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757CA8C3-F0C1-4371-A062-5F2165855900}" xr6:coauthVersionLast="47" xr6:coauthVersionMax="47" xr10:uidLastSave="{00000000-0000-0000-0000-000000000000}"/>
  <bookViews>
    <workbookView xWindow="-120" yWindow="-120" windowWidth="29040" windowHeight="15720" tabRatio="833" firstSheet="1" activeTab="4" xr2:uid="{00000000-000D-0000-FFFF-FFFF00000000}"/>
  </bookViews>
  <sheets>
    <sheet name="Guidance" sheetId="12" state="hidden" r:id="rId1"/>
    <sheet name="Guidance (Indonesia)" sheetId="26" r:id="rId2"/>
    <sheet name="Guidance (English)" sheetId="27" r:id="rId3"/>
    <sheet name="Asset determination" sheetId="21" r:id="rId4"/>
    <sheet name="Cover" sheetId="18" r:id="rId5"/>
    <sheet name="Budget Capex Detail" sheetId="10" r:id="rId6"/>
    <sheet name="Budget Opex Detail" sheetId="7" r:id="rId7"/>
    <sheet name="Activity Master Opex" sheetId="8" r:id="rId8"/>
    <sheet name="Master Data" sheetId="22" r:id="rId9"/>
    <sheet name="BU Warehouse cost to SCM" sheetId="28" r:id="rId10"/>
    <sheet name="RD" sheetId="24" state="hidden" r:id="rId11"/>
  </sheets>
  <definedNames>
    <definedName name="\" localSheetId="10" hidden="1">{#N/A,#N/A,FALSE,"Aging Summary";#N/A,#N/A,FALSE,"Ratio Analysis";#N/A,#N/A,FALSE,"Test 120 Day Accts";#N/A,#N/A,FALSE,"Tickmarks"}</definedName>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10"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10"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10"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10"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10"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10"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10"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10"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10"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10"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10"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10"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10"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10"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10"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10"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10"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10"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10"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10"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10"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10"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localSheetId="10" hidden="1">{"'Model'!$A$1:$N$53"}</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localSheetId="10" hidden="1">{"'Model'!$A$1:$N$53"}</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10" hidden="1">{#N/A,#N/A,FALSE,"特殊室（ＢＱ表）"}</definedName>
    <definedName name="______________PPP3" hidden="1">{#N/A,#N/A,FALSE,"特殊室（ＢＱ表）"}</definedName>
    <definedName name="______________PPP33" localSheetId="10" hidden="1">{#N/A,#N/A,FALSE,"特殊室（ＢＱ表）"}</definedName>
    <definedName name="______________PPP33" hidden="1">{#N/A,#N/A,FALSE,"特殊室（ＢＱ表）"}</definedName>
    <definedName name="______________ppp34" localSheetId="10" hidden="1">{#N/A,#N/A,FALSE,"特殊室（ＢＱ表）"}</definedName>
    <definedName name="______________ppp34" hidden="1">{#N/A,#N/A,FALSE,"特殊室（ＢＱ表）"}</definedName>
    <definedName name="______________ppp3444" localSheetId="10"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localSheetId="10" hidden="1">{"'Model'!$A$1:$N$53"}</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10"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localSheetId="10"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10" hidden="1">{#N/A,#N/A,FALSE,"Act.Fcst Costs"}</definedName>
    <definedName name="____________act2" hidden="1">{#N/A,#N/A,FALSE,"Act.Fcst Costs"}</definedName>
    <definedName name="____________act2_1" localSheetId="10" hidden="1">{#N/A,#N/A,FALSE,"Act.Fcst Costs"}</definedName>
    <definedName name="____________act2_1" hidden="1">{#N/A,#N/A,FALSE,"Act.Fcst Costs"}</definedName>
    <definedName name="____________d1" localSheetId="10" hidden="1">{"'Model'!$A$1:$N$53"}</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localSheetId="10" hidden="1">{#N/A,#N/A,FALSE,"OUT  AREC"}</definedName>
    <definedName name="____________FA2008" hidden="1">{#N/A,#N/A,FALSE,"OUT  AREC"}</definedName>
    <definedName name="____________FA2008_1" localSheetId="10"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10" hidden="1">{#N/A,#N/A,FALSE,"特殊室（ＢＱ表）"}</definedName>
    <definedName name="____________PPP3" hidden="1">{#N/A,#N/A,FALSE,"特殊室（ＢＱ表）"}</definedName>
    <definedName name="____________PPP33" localSheetId="10" hidden="1">{#N/A,#N/A,FALSE,"特殊室（ＢＱ表）"}</definedName>
    <definedName name="____________PPP33" hidden="1">{#N/A,#N/A,FALSE,"特殊室（ＢＱ表）"}</definedName>
    <definedName name="____________ppp34" localSheetId="10" hidden="1">{#N/A,#N/A,FALSE,"特殊室（ＢＱ表）"}</definedName>
    <definedName name="____________ppp34" hidden="1">{#N/A,#N/A,FALSE,"特殊室（ＢＱ表）"}</definedName>
    <definedName name="____________ppp3444" localSheetId="10"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localSheetId="10"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10" hidden="1">{#N/A,#N/A,FALSE,"Act.Fcst Costs"}</definedName>
    <definedName name="___________act2" hidden="1">{#N/A,#N/A,FALSE,"Act.Fcst Costs"}</definedName>
    <definedName name="___________act2_1" localSheetId="10" hidden="1">{#N/A,#N/A,FALSE,"Act.Fcst Costs"}</definedName>
    <definedName name="___________act2_1" hidden="1">{#N/A,#N/A,FALSE,"Act.Fcst Costs"}</definedName>
    <definedName name="___________d1" localSheetId="10" hidden="1">{"'Model'!$A$1:$N$53"}</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localSheetId="10" hidden="1">{#N/A,#N/A,FALSE,"OUT  AREC"}</definedName>
    <definedName name="___________FA2008" hidden="1">{#N/A,#N/A,FALSE,"OUT  AREC"}</definedName>
    <definedName name="___________FA2008_1" localSheetId="10"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10"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localSheetId="10" hidden="1">{#N/A,#N/A,FALSE,"Act.Fcst Costs"}</definedName>
    <definedName name="___________X1" hidden="1">{#N/A,#N/A,FALSE,"Act.Fcst Costs"}</definedName>
    <definedName name="________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10" hidden="1">{"Admin Costs",#N/A,FALSE,"Act.Fcst Costs"}</definedName>
    <definedName name="___________X3" hidden="1">{"Admin Costs",#N/A,FALSE,"Act.Fcst Costs"}</definedName>
    <definedName name="___________X4" localSheetId="10" hidden="1">{#N/A,#N/A,FALSE,"Cost Report";#N/A,#N/A,FALSE,"Qtly Summ.";#N/A,#N/A,FALSE,"Mar  Qtr";#N/A,#N/A,FALSE,"Report Summary"}</definedName>
    <definedName name="___________X4" hidden="1">{#N/A,#N/A,FALSE,"Cost Report";#N/A,#N/A,FALSE,"Qtly Summ.";#N/A,#N/A,FALSE,"Mar  Qtr";#N/A,#N/A,FALSE,"Report Summary"}</definedName>
    <definedName name="___________X5" localSheetId="10"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10"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10" hidden="1">{#N/A,#N/A,FALSE,"Act.Fcst Costs"}</definedName>
    <definedName name="__________act2" hidden="1">{#N/A,#N/A,FALSE,"Act.Fcst Costs"}</definedName>
    <definedName name="__________act2_1" localSheetId="10" hidden="1">{#N/A,#N/A,FALSE,"Act.Fcst Costs"}</definedName>
    <definedName name="__________act2_1" hidden="1">{#N/A,#N/A,FALSE,"Act.Fcst Costs"}</definedName>
    <definedName name="__________ccv49">#REF!</definedName>
    <definedName name="__________d1" localSheetId="10" hidden="1">{"'Model'!$A$1:$N$53"}</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localSheetId="10" hidden="1">{#N/A,#N/A,FALSE,"OUT  AREC"}</definedName>
    <definedName name="__________FA2008" hidden="1">{#N/A,#N/A,FALSE,"OUT  AREC"}</definedName>
    <definedName name="__________FA2008_1" localSheetId="10"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10" hidden="1">{#N/A,#N/A,FALSE,"特殊室（ＢＱ表）"}</definedName>
    <definedName name="__________PPP3" hidden="1">{#N/A,#N/A,FALSE,"特殊室（ＢＱ表）"}</definedName>
    <definedName name="__________PPP33" localSheetId="10" hidden="1">{#N/A,#N/A,FALSE,"特殊室（ＢＱ表）"}</definedName>
    <definedName name="__________PPP33" hidden="1">{#N/A,#N/A,FALSE,"特殊室（ＢＱ表）"}</definedName>
    <definedName name="__________ppp34" localSheetId="10" hidden="1">{#N/A,#N/A,FALSE,"特殊室（ＢＱ表）"}</definedName>
    <definedName name="__________ppp34" hidden="1">{#N/A,#N/A,FALSE,"特殊室（ＢＱ表）"}</definedName>
    <definedName name="__________ppp3444" localSheetId="10"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localSheetId="10" hidden="1">{#N/A,#N/A,FALSE,"DATA"}</definedName>
    <definedName name="__________WHT23" hidden="1">{#N/A,#N/A,FALSE,"DATA"}</definedName>
    <definedName name="__________WL25">#REF!</definedName>
    <definedName name="__________X1" localSheetId="10" hidden="1">{#N/A,#N/A,FALSE,"Act.Fcst Costs"}</definedName>
    <definedName name="__________X1" hidden="1">{#N/A,#N/A,FALSE,"Act.Fcst Costs"}</definedName>
    <definedName name="_______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10" hidden="1">{"Admin Costs",#N/A,FALSE,"Act.Fcst Costs"}</definedName>
    <definedName name="__________X3" hidden="1">{"Admin Costs",#N/A,FALSE,"Act.Fcst Costs"}</definedName>
    <definedName name="__________X4" localSheetId="10" hidden="1">{#N/A,#N/A,FALSE,"Cost Report";#N/A,#N/A,FALSE,"Qtly Summ.";#N/A,#N/A,FALSE,"Mar  Qtr";#N/A,#N/A,FALSE,"Report Summary"}</definedName>
    <definedName name="__________X4" hidden="1">{#N/A,#N/A,FALSE,"Cost Report";#N/A,#N/A,FALSE,"Qtly Summ.";#N/A,#N/A,FALSE,"Mar  Qtr";#N/A,#N/A,FALSE,"Report Summary"}</definedName>
    <definedName name="__________X5" localSheetId="10"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10" hidden="1">{#N/A,#N/A,FALSE,"Act.Fcst Costs"}</definedName>
    <definedName name="_________act2" hidden="1">{#N/A,#N/A,FALSE,"Act.Fcst Costs"}</definedName>
    <definedName name="_________act2_1" localSheetId="10"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localSheetId="10" hidden="1">{"'Model'!$A$1:$N$53"}</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localSheetId="10" hidden="1">{#N/A,#N/A,FALSE,"OUT  AREC"}</definedName>
    <definedName name="_________FA2008" hidden="1">{#N/A,#N/A,FALSE,"OUT  AREC"}</definedName>
    <definedName name="_________FA2008_1" localSheetId="10"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10"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localSheetId="10" hidden="1">{#N/A,#N/A,FALSE,"Cost Report";"Geology",#N/A,FALSE,"Cost Summary";"Geolgy Recon",#N/A,FALSE,"UG Geology Rep."}</definedName>
    <definedName name="_________PPH25" hidden="1">{#N/A,#N/A,FALSE,"Cost Report";"Geology",#N/A,FALSE,"Cost Summary";"Geolgy Recon",#N/A,FALSE,"UG Geology Rep."}</definedName>
    <definedName name="_________PPP3" localSheetId="10" hidden="1">{#N/A,#N/A,FALSE,"特殊室（ＢＱ表）"}</definedName>
    <definedName name="_________PPP3" hidden="1">{#N/A,#N/A,FALSE,"特殊室（ＢＱ表）"}</definedName>
    <definedName name="_________PPP33" localSheetId="10" hidden="1">{#N/A,#N/A,FALSE,"特殊室（ＢＱ表）"}</definedName>
    <definedName name="_________PPP33" hidden="1">{#N/A,#N/A,FALSE,"特殊室（ＢＱ表）"}</definedName>
    <definedName name="_________ppp34" localSheetId="10" hidden="1">{#N/A,#N/A,FALSE,"特殊室（ＢＱ表）"}</definedName>
    <definedName name="_________ppp34" hidden="1">{#N/A,#N/A,FALSE,"特殊室（ＢＱ表）"}</definedName>
    <definedName name="_________ppp3444" localSheetId="10"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localSheetId="10"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10" hidden="1">{#N/A,#N/A,FALSE,"Act.Fcst Costs"}</definedName>
    <definedName name="________act2" hidden="1">{#N/A,#N/A,FALSE,"Act.Fcst Costs"}</definedName>
    <definedName name="________act2_1" localSheetId="10"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localSheetId="10" hidden="1">{"'Model'!$A$1:$N$53"}</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localSheetId="10" hidden="1">{#N/A,#N/A,FALSE,"OUT  AREC"}</definedName>
    <definedName name="________FA2008" hidden="1">{#N/A,#N/A,FALSE,"OUT  AREC"}</definedName>
    <definedName name="________FA2008_1" localSheetId="10"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10"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10" hidden="1">{#N/A,#N/A,FALSE,"特殊室（ＢＱ表）"}</definedName>
    <definedName name="________PPP3" hidden="1">{#N/A,#N/A,FALSE,"特殊室（ＢＱ表）"}</definedName>
    <definedName name="________PPP33" localSheetId="10" hidden="1">{#N/A,#N/A,FALSE,"特殊室（ＢＱ表）"}</definedName>
    <definedName name="________PPP33" hidden="1">{#N/A,#N/A,FALSE,"特殊室（ＢＱ表）"}</definedName>
    <definedName name="________ppp34" localSheetId="10" hidden="1">{#N/A,#N/A,FALSE,"特殊室（ＢＱ表）"}</definedName>
    <definedName name="________ppp34" hidden="1">{#N/A,#N/A,FALSE,"特殊室（ＢＱ表）"}</definedName>
    <definedName name="________ppp3444" localSheetId="10"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localSheetId="10" hidden="1">{#N/A,#N/A,FALSE,"DATA"}</definedName>
    <definedName name="________WHT23" hidden="1">{#N/A,#N/A,FALSE,"DATA"}</definedName>
    <definedName name="________WL25">#REF!</definedName>
    <definedName name="________wm1" hidden="1">#REF!</definedName>
    <definedName name="________X1" localSheetId="10" hidden="1">{#N/A,#N/A,FALSE,"Act.Fcst Costs"}</definedName>
    <definedName name="________X1" hidden="1">{#N/A,#N/A,FALSE,"Act.Fcst Costs"}</definedName>
    <definedName name="_____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10" hidden="1">{"Admin Costs",#N/A,FALSE,"Act.Fcst Costs"}</definedName>
    <definedName name="________X3" hidden="1">{"Admin Costs",#N/A,FALSE,"Act.Fcst Costs"}</definedName>
    <definedName name="________X4" localSheetId="10" hidden="1">{#N/A,#N/A,FALSE,"Cost Report";#N/A,#N/A,FALSE,"Qtly Summ.";#N/A,#N/A,FALSE,"Mar  Qtr";#N/A,#N/A,FALSE,"Report Summary"}</definedName>
    <definedName name="________X4" hidden="1">{#N/A,#N/A,FALSE,"Cost Report";#N/A,#N/A,FALSE,"Qtly Summ.";#N/A,#N/A,FALSE,"Mar  Qtr";#N/A,#N/A,FALSE,"Report Summary"}</definedName>
    <definedName name="________X5" localSheetId="10"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10"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10" hidden="1">{#N/A,#N/A,FALSE,"Act.Fcst Costs"}</definedName>
    <definedName name="_______act2" hidden="1">{#N/A,#N/A,FALSE,"Act.Fcst Costs"}</definedName>
    <definedName name="_______act2_1" localSheetId="10"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localSheetId="10" hidden="1">{"'Model'!$A$1:$N$53"}</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localSheetId="10" hidden="1">{#N/A,#N/A,FALSE,"OUT  AREC"}</definedName>
    <definedName name="_______FA2008" hidden="1">{#N/A,#N/A,FALSE,"OUT  AREC"}</definedName>
    <definedName name="_______FA2008_1" localSheetId="10"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10"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localSheetId="10" hidden="1">{#N/A,#N/A,FALSE,"Cost Report";"Geology",#N/A,FALSE,"Cost Summary";"Geolgy Recon",#N/A,FALSE,"UG Geology Rep."}</definedName>
    <definedName name="_______PPH25" hidden="1">{#N/A,#N/A,FALSE,"Cost Report";"Geology",#N/A,FALSE,"Cost Summary";"Geolgy Recon",#N/A,FALSE,"UG Geology Rep."}</definedName>
    <definedName name="_______PPh26">#REF!</definedName>
    <definedName name="_______PPP3" localSheetId="10" hidden="1">{#N/A,#N/A,FALSE,"特殊室（ＢＱ表）"}</definedName>
    <definedName name="_______PPP3" hidden="1">{#N/A,#N/A,FALSE,"特殊室（ＢＱ表）"}</definedName>
    <definedName name="_______PPP33" localSheetId="10" hidden="1">{#N/A,#N/A,FALSE,"特殊室（ＢＱ表）"}</definedName>
    <definedName name="_______PPP33" hidden="1">{#N/A,#N/A,FALSE,"特殊室（ＢＱ表）"}</definedName>
    <definedName name="_______ppp34" localSheetId="10" hidden="1">{#N/A,#N/A,FALSE,"特殊室（ＢＱ表）"}</definedName>
    <definedName name="_______ppp34" hidden="1">{#N/A,#N/A,FALSE,"特殊室（ＢＱ表）"}</definedName>
    <definedName name="_______ppp3444" localSheetId="10"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localSheetId="10" hidden="1">{#N/A,#N/A,FALSE,"DATA"}</definedName>
    <definedName name="_______WHT23" hidden="1">{#N/A,#N/A,FALSE,"DATA"}</definedName>
    <definedName name="_______WL25">#REF!</definedName>
    <definedName name="_______wm1" hidden="1">#REF!</definedName>
    <definedName name="_______X1" localSheetId="10" hidden="1">{#N/A,#N/A,FALSE,"Act.Fcst Costs"}</definedName>
    <definedName name="_______X1" hidden="1">{#N/A,#N/A,FALSE,"Act.Fcst Costs"}</definedName>
    <definedName name="____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10" hidden="1">{"Admin Costs",#N/A,FALSE,"Act.Fcst Costs"}</definedName>
    <definedName name="_______X3" hidden="1">{"Admin Costs",#N/A,FALSE,"Act.Fcst Costs"}</definedName>
    <definedName name="_______X4" localSheetId="10" hidden="1">{#N/A,#N/A,FALSE,"Cost Report";#N/A,#N/A,FALSE,"Qtly Summ.";#N/A,#N/A,FALSE,"Mar  Qtr";#N/A,#N/A,FALSE,"Report Summary"}</definedName>
    <definedName name="_______X4" hidden="1">{#N/A,#N/A,FALSE,"Cost Report";#N/A,#N/A,FALSE,"Qtly Summ.";#N/A,#N/A,FALSE,"Mar  Qtr";#N/A,#N/A,FALSE,"Report Summary"}</definedName>
    <definedName name="_______X5" localSheetId="10"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10"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10" hidden="1">{#N/A,#N/A,FALSE,"Act.Fcst Costs"}</definedName>
    <definedName name="______act2" hidden="1">{#N/A,#N/A,FALSE,"Act.Fcst Costs"}</definedName>
    <definedName name="______act2_1" localSheetId="10"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localSheetId="10" hidden="1">{"'Model'!$A$1:$N$53"}</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localSheetId="10" hidden="1">{#N/A,#N/A,FALSE,"OUT  AREC"}</definedName>
    <definedName name="______FA2008" hidden="1">{#N/A,#N/A,FALSE,"OUT  AREC"}</definedName>
    <definedName name="______FA2008_1" localSheetId="10"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10"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localSheetId="10" hidden="1">{#N/A,#N/A,FALSE,"Cost Report";"Geology",#N/A,FALSE,"Cost Summary";"Geolgy Recon",#N/A,FALSE,"UG Geology Rep."}</definedName>
    <definedName name="______PPH25" hidden="1">{#N/A,#N/A,FALSE,"Cost Report";"Geology",#N/A,FALSE,"Cost Summary";"Geolgy Recon",#N/A,FALSE,"UG Geology Rep."}</definedName>
    <definedName name="______PPh26">#REF!</definedName>
    <definedName name="______PPP3" localSheetId="10" hidden="1">{#N/A,#N/A,FALSE,"特殊室（ＢＱ表）"}</definedName>
    <definedName name="______PPP3" hidden="1">{#N/A,#N/A,FALSE,"特殊室（ＢＱ表）"}</definedName>
    <definedName name="______PPP33" localSheetId="10" hidden="1">{#N/A,#N/A,FALSE,"特殊室（ＢＱ表）"}</definedName>
    <definedName name="______PPP33" hidden="1">{#N/A,#N/A,FALSE,"特殊室（ＢＱ表）"}</definedName>
    <definedName name="______ppp34" localSheetId="10" hidden="1">{#N/A,#N/A,FALSE,"特殊室（ＢＱ表）"}</definedName>
    <definedName name="______ppp34" hidden="1">{#N/A,#N/A,FALSE,"特殊室（ＢＱ表）"}</definedName>
    <definedName name="______ppp3444" localSheetId="10"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localSheetId="10"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10" hidden="1">{#N/A,#N/A,FALSE,"Act.Fcst Costs"}</definedName>
    <definedName name="_____act2" hidden="1">{#N/A,#N/A,FALSE,"Act.Fcst Costs"}</definedName>
    <definedName name="_____act2_1" localSheetId="10" hidden="1">{#N/A,#N/A,FALSE,"Act.Fcst Costs"}</definedName>
    <definedName name="_____act2_1" hidden="1">{#N/A,#N/A,FALSE,"Act.Fcst Costs"}</definedName>
    <definedName name="_____ccv49">#REF!</definedName>
    <definedName name="_____cf1" localSheetId="10" hidden="1">{#N/A,#N/A,FALSE,"Aging Summary";#N/A,#N/A,FALSE,"Ratio Analysis";#N/A,#N/A,FALSE,"Test 120 Day Accts";#N/A,#N/A,FALSE,"Tickmarks"}</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localSheetId="10" hidden="1">{"'Model'!$A$1:$N$53"}</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localSheetId="10" hidden="1">{#N/A,#N/A,FALSE,"OUT  AREC"}</definedName>
    <definedName name="_____FA2008" hidden="1">{#N/A,#N/A,FALSE,"OUT  AREC"}</definedName>
    <definedName name="_____FA2008_1" localSheetId="10"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10"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10" hidden="1">{#N/A,#N/A,FALSE,"特殊室（ＢＱ表）"}</definedName>
    <definedName name="_____PPP3" hidden="1">{#N/A,#N/A,FALSE,"特殊室（ＢＱ表）"}</definedName>
    <definedName name="_____PPP33" localSheetId="10" hidden="1">{#N/A,#N/A,FALSE,"特殊室（ＢＱ表）"}</definedName>
    <definedName name="_____PPP33" hidden="1">{#N/A,#N/A,FALSE,"特殊室（ＢＱ表）"}</definedName>
    <definedName name="_____ppp34" localSheetId="10" hidden="1">{#N/A,#N/A,FALSE,"特殊室（ＢＱ表）"}</definedName>
    <definedName name="_____ppp34" hidden="1">{#N/A,#N/A,FALSE,"特殊室（ＢＱ表）"}</definedName>
    <definedName name="_____ppp3444" localSheetId="10"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localSheetId="10" hidden="1">{#N/A,#N/A,FALSE,"Aging Summary";#N/A,#N/A,FALSE,"Ratio Analysis";#N/A,#N/A,FALSE,"Test 120 Day Accts";#N/A,#N/A,FALSE,"Tickmarks"}</definedName>
    <definedName name="____A6" hidden="1">{#N/A,#N/A,FALSE,"Aging Summary";#N/A,#N/A,FALSE,"Ratio Analysis";#N/A,#N/A,FALSE,"Test 120 Day Accts";#N/A,#N/A,FALSE,"Tickmarks"}</definedName>
    <definedName name="____ABR1">#REF!</definedName>
    <definedName name="____ABR2">#REF!</definedName>
    <definedName name="____act2" localSheetId="10" hidden="1">{#N/A,#N/A,FALSE,"Act.Fcst Costs"}</definedName>
    <definedName name="____act2" hidden="1">{#N/A,#N/A,FALSE,"Act.Fcst Costs"}</definedName>
    <definedName name="____act2_1" localSheetId="10"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localSheetId="10" hidden="1">{#N/A,#N/A,FALSE,"Aging Summary";#N/A,#N/A,FALSE,"Ratio Analysis";#N/A,#N/A,FALSE,"Test 120 Day Accts";#N/A,#N/A,FALSE,"Tickmarks"}</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localSheetId="10" hidden="1">{"'Model'!$A$1:$N$53"}</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localSheetId="10" hidden="1">{"'ตัวอย่าง'!$A$1:$O$21"}</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localSheetId="10" hidden="1">{#N/A,#N/A,FALSE,"OUT  AREC"}</definedName>
    <definedName name="____FA2008" hidden="1">{#N/A,#N/A,FALSE,"OUT  AREC"}</definedName>
    <definedName name="____FA2008_1" localSheetId="10"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10"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10" hidden="1">{#N/A,#N/A,FALSE,"特殊室（ＢＱ表）"}</definedName>
    <definedName name="____PPP3" hidden="1">{#N/A,#N/A,FALSE,"特殊室（ＢＱ表）"}</definedName>
    <definedName name="____PPP33" localSheetId="10" hidden="1">{#N/A,#N/A,FALSE,"特殊室（ＢＱ表）"}</definedName>
    <definedName name="____PPP33" hidden="1">{#N/A,#N/A,FALSE,"特殊室（ＢＱ表）"}</definedName>
    <definedName name="____ppp34" localSheetId="10" hidden="1">{#N/A,#N/A,FALSE,"特殊室（ＢＱ表）"}</definedName>
    <definedName name="____ppp34" hidden="1">{#N/A,#N/A,FALSE,"特殊室（ＢＱ表）"}</definedName>
    <definedName name="____ppp3444" localSheetId="10"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localSheetId="10" hidden="1">{#N/A,#N/A,FALSE,"Act.Fcst Costs"}</definedName>
    <definedName name="____X1" hidden="1">{#N/A,#N/A,FALSE,"Act.Fcst Costs"}</definedName>
    <definedName name="_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10" hidden="1">{"Admin Costs",#N/A,FALSE,"Act.Fcst Costs"}</definedName>
    <definedName name="____X3" hidden="1">{"Admin Costs",#N/A,FALSE,"Act.Fcst Costs"}</definedName>
    <definedName name="____X4" localSheetId="10" hidden="1">{#N/A,#N/A,FALSE,"Cost Report";#N/A,#N/A,FALSE,"Qtly Summ.";#N/A,#N/A,FALSE,"Mar  Qtr";#N/A,#N/A,FALSE,"Report Summary"}</definedName>
    <definedName name="____X4" hidden="1">{#N/A,#N/A,FALSE,"Cost Report";#N/A,#N/A,FALSE,"Qtly Summ.";#N/A,#N/A,FALSE,"Mar  Qtr";#N/A,#N/A,FALSE,"Report Summary"}</definedName>
    <definedName name="____X5" localSheetId="10"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10" hidden="1">{#N/A,#N/A,FALSE,"Aging Summary";#N/A,#N/A,FALSE,"Ratio Analysis";#N/A,#N/A,FALSE,"Test 120 Day Accts";#N/A,#N/A,FALSE,"Tickmarks"}</definedName>
    <definedName name="___a2" hidden="1">{#N/A,#N/A,FALSE,"Aging Summary";#N/A,#N/A,FALSE,"Ratio Analysis";#N/A,#N/A,FALSE,"Test 120 Day Accts";#N/A,#N/A,FALSE,"Tickmarks"}</definedName>
    <definedName name="___A6" localSheetId="10"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localSheetId="10" hidden="1">{#N/A,#N/A,FALSE,"Act.Fcst Costs"}</definedName>
    <definedName name="___act2" hidden="1">{#N/A,#N/A,FALSE,"Act.Fcst Costs"}</definedName>
    <definedName name="___act2_1" localSheetId="10" hidden="1">{#N/A,#N/A,FALSE,"Act.Fcst Costs"}</definedName>
    <definedName name="___act2_1" hidden="1">{#N/A,#N/A,FALSE,"Act.Fcst Costs"}</definedName>
    <definedName name="___alt1">#N/A</definedName>
    <definedName name="___APP3">#N/A</definedName>
    <definedName name="___apr1">#REF!</definedName>
    <definedName name="___AS1" localSheetId="10"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localSheetId="10" hidden="1">{#N/A,#N/A,FALSE,"Aging Summary";#N/A,#N/A,FALSE,"Ratio Analysis";#N/A,#N/A,FALSE,"Test 120 Day Accts";#N/A,#N/A,FALSE,"Tickmarks"}</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localSheetId="10" hidden="1">{"'Model'!$A$1:$N$53"}</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10" hidden="1">{"'ตัวอย่าง'!$A$1:$O$21"}</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localSheetId="10" hidden="1">{#N/A,#N/A,FALSE,"OUT  AREC"}</definedName>
    <definedName name="___FA2008" hidden="1">{#N/A,#N/A,FALSE,"OUT  AREC"}</definedName>
    <definedName name="___FA2008_1" localSheetId="10"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10"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localSheetId="10" hidden="1">{#N/A,#N/A,FALSE,"Act.Fcst Costs"}</definedName>
    <definedName name="___X1" hidden="1">{#N/A,#N/A,FALSE,"Act.Fcst Costs"}</definedName>
    <definedName name="_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10" hidden="1">{"Admin Costs",#N/A,FALSE,"Act.Fcst Costs"}</definedName>
    <definedName name="___X3" hidden="1">{"Admin Costs",#N/A,FALSE,"Act.Fcst Costs"}</definedName>
    <definedName name="___X4" localSheetId="10" hidden="1">{#N/A,#N/A,FALSE,"Cost Report";#N/A,#N/A,FALSE,"Qtly Summ.";#N/A,#N/A,FALSE,"Mar  Qtr";#N/A,#N/A,FALSE,"Report Summary"}</definedName>
    <definedName name="___X4" hidden="1">{#N/A,#N/A,FALSE,"Cost Report";#N/A,#N/A,FALSE,"Qtly Summ.";#N/A,#N/A,FALSE,"Mar  Qtr";#N/A,#N/A,FALSE,"Report Summary"}</definedName>
    <definedName name="___X5" localSheetId="10"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localSheetId="10"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localSheetId="10"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10"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10"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localSheetId="10" hidden="1">{#N/A,#N/A,FALSE,"Act.Fcst Costs"}</definedName>
    <definedName name="__act2" hidden="1">{#N/A,#N/A,FALSE,"Act.Fcst Costs"}</definedName>
    <definedName name="__act2_1" localSheetId="10" hidden="1">{#N/A,#N/A,FALSE,"Act.Fcst Costs"}</definedName>
    <definedName name="__act2_1" hidden="1">{#N/A,#N/A,FALSE,"Act.Fcst Costs"}</definedName>
    <definedName name="__ADD2">#N/A</definedName>
    <definedName name="__ADD3">#N/A</definedName>
    <definedName name="__adr1">#REF!</definedName>
    <definedName name="__AE1" localSheetId="10" hidden="1">{#N/A,#N/A,FALSE,"Aging Summary";#N/A,#N/A,FALSE,"Ratio Analysis";#N/A,#N/A,FALSE,"Test 120 Day Accts";#N/A,#N/A,FALSE,"Tickmarks"}</definedName>
    <definedName name="__AE1" hidden="1">{#N/A,#N/A,FALSE,"Aging Summary";#N/A,#N/A,FALSE,"Ratio Analysis";#N/A,#N/A,FALSE,"Test 120 Day Accts";#N/A,#N/A,FALSE,"Tickmarks"}</definedName>
    <definedName name="__AE1_1" localSheetId="10" hidden="1">{#N/A,#N/A,FALSE,"Aging Summary";#N/A,#N/A,FALSE,"Ratio Analysis";#N/A,#N/A,FALSE,"Test 120 Day Accts";#N/A,#N/A,FALSE,"Tickmarks"}</definedName>
    <definedName name="__AE1_1" hidden="1">{#N/A,#N/A,FALSE,"Aging Summary";#N/A,#N/A,FALSE,"Ratio Analysis";#N/A,#N/A,FALSE,"Test 120 Day Accts";#N/A,#N/A,FALSE,"Tickmarks"}</definedName>
    <definedName name="__AE2" localSheetId="10" hidden="1">{#N/A,#N/A,FALSE,"Aging Summary";#N/A,#N/A,FALSE,"Ratio Analysis";#N/A,#N/A,FALSE,"Test 120 Day Accts";#N/A,#N/A,FALSE,"Tickmarks"}</definedName>
    <definedName name="__AE2" hidden="1">{#N/A,#N/A,FALSE,"Aging Summary";#N/A,#N/A,FALSE,"Ratio Analysis";#N/A,#N/A,FALSE,"Test 120 Day Accts";#N/A,#N/A,FALSE,"Tickmarks"}</definedName>
    <definedName name="__AE2_1" localSheetId="10" hidden="1">{#N/A,#N/A,FALSE,"Aging Summary";#N/A,#N/A,FALSE,"Ratio Analysis";#N/A,#N/A,FALSE,"Test 120 Day Accts";#N/A,#N/A,FALSE,"Tickmarks"}</definedName>
    <definedName name="__AE2_1" hidden="1">{#N/A,#N/A,FALSE,"Aging Summary";#N/A,#N/A,FALSE,"Ratio Analysis";#N/A,#N/A,FALSE,"Test 120 Day Accts";#N/A,#N/A,FALSE,"Tickmarks"}</definedName>
    <definedName name="__AE4" localSheetId="10" hidden="1">{#N/A,#N/A,FALSE,"Aging Summary";#N/A,#N/A,FALSE,"Ratio Analysis";#N/A,#N/A,FALSE,"Test 120 Day Accts";#N/A,#N/A,FALSE,"Tickmarks"}</definedName>
    <definedName name="__AE4" hidden="1">{#N/A,#N/A,FALSE,"Aging Summary";#N/A,#N/A,FALSE,"Ratio Analysis";#N/A,#N/A,FALSE,"Test 120 Day Accts";#N/A,#N/A,FALSE,"Tickmarks"}</definedName>
    <definedName name="__AE4_1" localSheetId="10"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localSheetId="10" hidden="1">{#N/A,#N/A,FALSE,"Aging Summary";#N/A,#N/A,FALSE,"Ratio Analysis";#N/A,#N/A,FALSE,"Test 120 Day Accts";#N/A,#N/A,FALSE,"Tickmarks"}</definedName>
    <definedName name="__ar1" hidden="1">{#N/A,#N/A,FALSE,"Aging Summary";#N/A,#N/A,FALSE,"Ratio Analysis";#N/A,#N/A,FALSE,"Test 120 Day Accts";#N/A,#N/A,FALSE,"Tickmarks"}</definedName>
    <definedName name="__ar1_1" localSheetId="10" hidden="1">{#N/A,#N/A,FALSE,"Aging Summary";#N/A,#N/A,FALSE,"Ratio Analysis";#N/A,#N/A,FALSE,"Test 120 Day Accts";#N/A,#N/A,FALSE,"Tickmarks"}</definedName>
    <definedName name="__ar1_1" hidden="1">{#N/A,#N/A,FALSE,"Aging Summary";#N/A,#N/A,FALSE,"Ratio Analysis";#N/A,#N/A,FALSE,"Test 120 Day Accts";#N/A,#N/A,FALSE,"Tickmarks"}</definedName>
    <definedName name="__ar4" localSheetId="10" hidden="1">{#N/A,#N/A,FALSE,"Aging Summary";#N/A,#N/A,FALSE,"Ratio Analysis";#N/A,#N/A,FALSE,"Test 120 Day Accts";#N/A,#N/A,FALSE,"Tickmarks"}</definedName>
    <definedName name="__ar4" hidden="1">{#N/A,#N/A,FALSE,"Aging Summary";#N/A,#N/A,FALSE,"Ratio Analysis";#N/A,#N/A,FALSE,"Test 120 Day Accts";#N/A,#N/A,FALSE,"Tickmarks"}</definedName>
    <definedName name="__ar4_1" localSheetId="10" hidden="1">{#N/A,#N/A,FALSE,"Aging Summary";#N/A,#N/A,FALSE,"Ratio Analysis";#N/A,#N/A,FALSE,"Test 120 Day Accts";#N/A,#N/A,FALSE,"Tickmarks"}</definedName>
    <definedName name="__ar4_1" hidden="1">{#N/A,#N/A,FALSE,"Aging Summary";#N/A,#N/A,FALSE,"Ratio Analysis";#N/A,#N/A,FALSE,"Test 120 Day Accts";#N/A,#N/A,FALSE,"Tickmarks"}</definedName>
    <definedName name="__arr3" localSheetId="10">{"Book1","4.09 FLORA DAN FAUNA.xls","4.22 PERLENGKAPAN SEKOLAH.xls"}</definedName>
    <definedName name="__arr3">{"Book1","4.09 FLORA DAN FAUNA.xls","4.22 PERLENGKAPAN SEKOLAH.xls"}</definedName>
    <definedName name="__as1" localSheetId="10"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10" hidden="1">{#N/A,#N/A,FALSE,"Aging Summary";#N/A,#N/A,FALSE,"Ratio Analysis";#N/A,#N/A,FALSE,"Test 120 Day Accts";#N/A,#N/A,FALSE,"Tickmarks"}</definedName>
    <definedName name="__AS3" hidden="1">{#N/A,#N/A,FALSE,"Aging Summary";#N/A,#N/A,FALSE,"Ratio Analysis";#N/A,#N/A,FALSE,"Test 120 Day Accts";#N/A,#N/A,FALSE,"Tickmarks"}</definedName>
    <definedName name="__AS3_1" localSheetId="10" hidden="1">{#N/A,#N/A,FALSE,"Aging Summary";#N/A,#N/A,FALSE,"Ratio Analysis";#N/A,#N/A,FALSE,"Test 120 Day Accts";#N/A,#N/A,FALSE,"Tickmarks"}</definedName>
    <definedName name="__AS3_1" hidden="1">{#N/A,#N/A,FALSE,"Aging Summary";#N/A,#N/A,FALSE,"Ratio Analysis";#N/A,#N/A,FALSE,"Test 120 Day Accts";#N/A,#N/A,FALSE,"Tickmarks"}</definedName>
    <definedName name="__AS4" localSheetId="10" hidden="1">{#N/A,#N/A,FALSE,"Aging Summary";#N/A,#N/A,FALSE,"Ratio Analysis";#N/A,#N/A,FALSE,"Test 120 Day Accts";#N/A,#N/A,FALSE,"Tickmarks"}</definedName>
    <definedName name="__AS4" hidden="1">{#N/A,#N/A,FALSE,"Aging Summary";#N/A,#N/A,FALSE,"Ratio Analysis";#N/A,#N/A,FALSE,"Test 120 Day Accts";#N/A,#N/A,FALSE,"Tickmarks"}</definedName>
    <definedName name="__AS4_1" localSheetId="10" hidden="1">{#N/A,#N/A,FALSE,"Aging Summary";#N/A,#N/A,FALSE,"Ratio Analysis";#N/A,#N/A,FALSE,"Test 120 Day Accts";#N/A,#N/A,FALSE,"Tickmarks"}</definedName>
    <definedName name="__AS4_1" hidden="1">{#N/A,#N/A,FALSE,"Aging Summary";#N/A,#N/A,FALSE,"Ratio Analysis";#N/A,#N/A,FALSE,"Test 120 Day Accts";#N/A,#N/A,FALSE,"Tickmarks"}</definedName>
    <definedName name="__ase1" localSheetId="10" hidden="1">{#N/A,#N/A,FALSE,"Aging Summary";#N/A,#N/A,FALSE,"Ratio Analysis";#N/A,#N/A,FALSE,"Test 120 Day Accts";#N/A,#N/A,FALSE,"Tickmarks"}</definedName>
    <definedName name="__ase1" hidden="1">{#N/A,#N/A,FALSE,"Aging Summary";#N/A,#N/A,FALSE,"Ratio Analysis";#N/A,#N/A,FALSE,"Test 120 Day Accts";#N/A,#N/A,FALSE,"Tickmarks"}</definedName>
    <definedName name="__ase1_1" localSheetId="10" hidden="1">{#N/A,#N/A,FALSE,"Aging Summary";#N/A,#N/A,FALSE,"Ratio Analysis";#N/A,#N/A,FALSE,"Test 120 Day Accts";#N/A,#N/A,FALSE,"Tickmarks"}</definedName>
    <definedName name="__ase1_1" hidden="1">{#N/A,#N/A,FALSE,"Aging Summary";#N/A,#N/A,FALSE,"Ratio Analysis";#N/A,#N/A,FALSE,"Test 120 Day Accts";#N/A,#N/A,FALSE,"Tickmarks"}</definedName>
    <definedName name="__ase4" localSheetId="10" hidden="1">{#N/A,#N/A,FALSE,"Aging Summary";#N/A,#N/A,FALSE,"Ratio Analysis";#N/A,#N/A,FALSE,"Test 120 Day Accts";#N/A,#N/A,FALSE,"Tickmarks"}</definedName>
    <definedName name="__ase4" hidden="1">{#N/A,#N/A,FALSE,"Aging Summary";#N/A,#N/A,FALSE,"Ratio Analysis";#N/A,#N/A,FALSE,"Test 120 Day Accts";#N/A,#N/A,FALSE,"Tickmarks"}</definedName>
    <definedName name="__ase4_1" localSheetId="10" hidden="1">{#N/A,#N/A,FALSE,"Aging Summary";#N/A,#N/A,FALSE,"Ratio Analysis";#N/A,#N/A,FALSE,"Test 120 Day Accts";#N/A,#N/A,FALSE,"Tickmarks"}</definedName>
    <definedName name="__ase4_1" hidden="1">{#N/A,#N/A,FALSE,"Aging Summary";#N/A,#N/A,FALSE,"Ratio Analysis";#N/A,#N/A,FALSE,"Test 120 Day Accts";#N/A,#N/A,FALSE,"Tickmarks"}</definedName>
    <definedName name="__asr1" localSheetId="10" hidden="1">{#N/A,#N/A,FALSE,"Aging Summary";#N/A,#N/A,FALSE,"Ratio Analysis";#N/A,#N/A,FALSE,"Test 120 Day Accts";#N/A,#N/A,FALSE,"Tickmarks"}</definedName>
    <definedName name="__asr1" hidden="1">{#N/A,#N/A,FALSE,"Aging Summary";#N/A,#N/A,FALSE,"Ratio Analysis";#N/A,#N/A,FALSE,"Test 120 Day Accts";#N/A,#N/A,FALSE,"Tickmarks"}</definedName>
    <definedName name="__asr1_1" localSheetId="10" hidden="1">{#N/A,#N/A,FALSE,"Aging Summary";#N/A,#N/A,FALSE,"Ratio Analysis";#N/A,#N/A,FALSE,"Test 120 Day Accts";#N/A,#N/A,FALSE,"Tickmarks"}</definedName>
    <definedName name="__asr1_1" hidden="1">{#N/A,#N/A,FALSE,"Aging Summary";#N/A,#N/A,FALSE,"Ratio Analysis";#N/A,#N/A,FALSE,"Test 120 Day Accts";#N/A,#N/A,FALSE,"Tickmarks"}</definedName>
    <definedName name="__asr4" localSheetId="10" hidden="1">{#N/A,#N/A,FALSE,"Aging Summary";#N/A,#N/A,FALSE,"Ratio Analysis";#N/A,#N/A,FALSE,"Test 120 Day Accts";#N/A,#N/A,FALSE,"Tickmarks"}</definedName>
    <definedName name="__asr4" hidden="1">{#N/A,#N/A,FALSE,"Aging Summary";#N/A,#N/A,FALSE,"Ratio Analysis";#N/A,#N/A,FALSE,"Test 120 Day Accts";#N/A,#N/A,FALSE,"Tickmarks"}</definedName>
    <definedName name="__asr4_1" localSheetId="10"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localSheetId="10" hidden="1">{#N/A,#N/A,FALSE,"Aging Summary";#N/A,#N/A,FALSE,"Ratio Analysis";#N/A,#N/A,FALSE,"Test 120 Day Accts";#N/A,#N/A,FALSE,"Tickmarks"}</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localSheetId="10" hidden="1">{"'Model'!$A$1:$N$53"}</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10" hidden="1">{"'ตัวอย่าง'!$A$1:$O$21"}</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10"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localSheetId="10" hidden="1">{"rp_only",#N/A,FALSE,"2225"}</definedName>
    <definedName name="__esf65" hidden="1">{"rp_only",#N/A,FALSE,"2225"}</definedName>
    <definedName name="__esf65_1" localSheetId="10" hidden="1">{"rp_only",#N/A,FALSE,"2225"}</definedName>
    <definedName name="__esf65_1" hidden="1">{"rp_only",#N/A,FALSE,"2225"}</definedName>
    <definedName name="__ewr4">#REF!</definedName>
    <definedName name="__FA2008" localSheetId="10" hidden="1">{#N/A,#N/A,FALSE,"OUT  AREC"}</definedName>
    <definedName name="__FA2008" hidden="1">{#N/A,#N/A,FALSE,"OUT  AREC"}</definedName>
    <definedName name="__FA2008_1" localSheetId="10"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localSheetId="10" hidden="1">{#N/A,#N/A,FALSE,"Aging Summary";#N/A,#N/A,FALSE,"Ratio Analysis";#N/A,#N/A,FALSE,"Test 120 Day Accts";#N/A,#N/A,FALSE,"Tickmarks"}</definedName>
    <definedName name="__HP1" hidden="1">{#N/A,#N/A,FALSE,"Aging Summary";#N/A,#N/A,FALSE,"Ratio Analysis";#N/A,#N/A,FALSE,"Test 120 Day Accts";#N/A,#N/A,FALSE,"Tickmarks"}</definedName>
    <definedName name="__HP1_1" localSheetId="10" hidden="1">{#N/A,#N/A,FALSE,"Aging Summary";#N/A,#N/A,FALSE,"Ratio Analysis";#N/A,#N/A,FALSE,"Test 120 Day Accts";#N/A,#N/A,FALSE,"Tickmarks"}</definedName>
    <definedName name="__HP1_1" hidden="1">{#N/A,#N/A,FALSE,"Aging Summary";#N/A,#N/A,FALSE,"Ratio Analysis";#N/A,#N/A,FALSE,"Test 120 Day Accts";#N/A,#N/A,FALSE,"Tickmarks"}</definedName>
    <definedName name="__HP4" localSheetId="10" hidden="1">{#N/A,#N/A,FALSE,"Aging Summary";#N/A,#N/A,FALSE,"Ratio Analysis";#N/A,#N/A,FALSE,"Test 120 Day Accts";#N/A,#N/A,FALSE,"Tickmarks"}</definedName>
    <definedName name="__HP4" hidden="1">{#N/A,#N/A,FALSE,"Aging Summary";#N/A,#N/A,FALSE,"Ratio Analysis";#N/A,#N/A,FALSE,"Test 120 Day Accts";#N/A,#N/A,FALSE,"Tickmarks"}</definedName>
    <definedName name="__HP4_1" localSheetId="10"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localSheetId="10" hidden="1">{"with_oth_curr",#N/A,FALSE,"2225"}</definedName>
    <definedName name="__jiu7857" hidden="1">{"with_oth_curr",#N/A,FALSE,"2225"}</definedName>
    <definedName name="__jiu7857_1" localSheetId="10"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localSheetId="10" hidden="1">{"rp_only",#N/A,FALSE,"2225"}</definedName>
    <definedName name="__liy87668" hidden="1">{"rp_only",#N/A,FALSE,"2225"}</definedName>
    <definedName name="__liy87668_1" localSheetId="10"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 localSheetId="10">{"Book1","4.09 FLORA DAN FAUNA.xls","4.22 PERLENGKAPAN SEKOLAH.xls"}</definedName>
    <definedName name="__mas1">{"Book1","4.09 FLORA DAN FAUNA.xls","4.22 PERLENGKAPAN SEKOLAH.xls"}</definedName>
    <definedName name="__mas12" localSheetId="10">{"Book1","4.09 FLORA DAN FAUNA.xls","4.22 PERLENGKAPAN SEKOLAH.xls"}</definedName>
    <definedName name="__mas12">{"Book1","4.09 FLORA DAN FAUNA.xls","4.22 PERLENGKAPAN SEKOLAH.xls"}</definedName>
    <definedName name="__mas2" localSheetId="10">{"Book1","4.09 FLORA DAN FAUNA.xls","4.22 PERLENGKAPAN SEKOLAH.xls"}</definedName>
    <definedName name="__mas2">{"Book1","4.09 FLORA DAN FAUNA.xls","4.22 PERLENGKAPAN SEKOLAH.xls"}</definedName>
    <definedName name="__mas4" localSheetId="10">{"Book1","4.09 FLORA DAN FAUNA.xls","4.22 PERLENGKAPAN SEKOLAH.xls"}</definedName>
    <definedName name="__mas4">{"Book1","4.09 FLORA DAN FAUNA.xls","4.22 PERLENGKAPAN SEKOLAH.xls"}</definedName>
    <definedName name="__mas5" localSheetId="10">{"Book1","4.09 FLORA DAN FAUNA.xls","4.22 PERLENGKAPAN SEKOLAH.xls"}</definedName>
    <definedName name="__mas5">{"Book1","4.09 FLORA DAN FAUNA.xls","4.22 PERLENGKAPAN SEKOLAH.xls"}</definedName>
    <definedName name="__mas6" localSheetId="10">{"Book1","4.09 FLORA DAN FAUNA.xls","4.22 PERLENGKAPAN SEKOLAH.xls"}</definedName>
    <definedName name="__mas6">{"Book1","4.09 FLORA DAN FAUNA.xls","4.22 PERLENGKAPAN SEKOLAH.xls"}</definedName>
    <definedName name="__mas7" localSheetId="10">{"Book1","4.09 FLORA DAN FAUNA.xls","4.22 PERLENGKAPAN SEKOLAH.xls"}</definedName>
    <definedName name="__mas7">{"Book1","4.09 FLORA DAN FAUNA.xls","4.22 PERLENGKAPAN SEKOLAH.xls"}</definedName>
    <definedName name="__mas8" localSheetId="10">{"Book1","4.09 FLORA DAN FAUNA.xls","4.22 PERLENGKAPAN SEKOLAH.xls"}</definedName>
    <definedName name="__mas8">{"Book1","4.09 FLORA DAN FAUNA.xls","4.22 PERLENGKAPAN SEKOLAH.xls"}</definedName>
    <definedName name="__mas9" localSheetId="10">{"Book1","4.09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 localSheetId="10">{"Book1","4.09 FLORA DAN FAUNA.xls","4.22 PERLENGKAPAN SEKOLAH.xls"}</definedName>
    <definedName name="__me1">{"Book1","4.09 FLORA DAN FAUNA.xls","4.22 PERLENGKAPAN SEKOLAH.xls"}</definedName>
    <definedName name="__me2" localSheetId="10">{"Book1","4.09 FLORA DAN FAUNA.xls","4.22 PERLENGKAPAN SEKOLAH.xls"}</definedName>
    <definedName name="__me2">{"Book1","4.09 FLORA DAN FAUNA.xls","4.22 PERLENGKAPAN SEKOLAH.xls"}</definedName>
    <definedName name="__me3" localSheetId="10">{"Book1","4.09 FLORA DAN FAUNA.xls","4.22 PERLENGKAPAN SEKOLAH.xls"}</definedName>
    <definedName name="__me3">{"Book1","4.09 FLORA DAN FAUNA.xls","4.22 PERLENGKAPAN SEKOLAH.xls"}</definedName>
    <definedName name="__me4" localSheetId="10">{"Book1","4.09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 localSheetId="10">{"Book1","4.09 FLORA DAN FAUNA.xls","4.22 PERLENGKAPAN SEKOLAH.xls"}</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 localSheetId="10">{"Book1","4.09 FLORA DAN FAUNA.xls","4.22 PERLENGKAPAN SEKOLAH.xls"}</definedName>
    <definedName name="__mek3">{"Book1","4.09 FLORA DAN FAUNA.xls","4.22 PERLENGKAPAN SEKOLAH.xls"}</definedName>
    <definedName name="__mek5" localSheetId="10">{"Book1","4.09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localSheetId="10" hidden="1">{#N/A,#N/A,FALSE,"Aging Summary";#N/A,#N/A,FALSE,"Ratio Analysis";#N/A,#N/A,FALSE,"Test 120 Day Accts";#N/A,#N/A,FALSE,"Tickmarks"}</definedName>
    <definedName name="__o1" hidden="1">{#N/A,#N/A,FALSE,"Aging Summary";#N/A,#N/A,FALSE,"Ratio Analysis";#N/A,#N/A,FALSE,"Test 120 Day Accts";#N/A,#N/A,FALSE,"Tickmarks"}</definedName>
    <definedName name="__o1_1" localSheetId="10" hidden="1">{#N/A,#N/A,FALSE,"Aging Summary";#N/A,#N/A,FALSE,"Ratio Analysis";#N/A,#N/A,FALSE,"Test 120 Day Accts";#N/A,#N/A,FALSE,"Tickmarks"}</definedName>
    <definedName name="__o1_1" hidden="1">{#N/A,#N/A,FALSE,"Aging Summary";#N/A,#N/A,FALSE,"Ratio Analysis";#N/A,#N/A,FALSE,"Test 120 Day Accts";#N/A,#N/A,FALSE,"Tickmarks"}</definedName>
    <definedName name="__o2" localSheetId="10" hidden="1">{#N/A,#N/A,FALSE,"Aging Summary";#N/A,#N/A,FALSE,"Ratio Analysis";#N/A,#N/A,FALSE,"Test 120 Day Accts";#N/A,#N/A,FALSE,"Tickmarks"}</definedName>
    <definedName name="__o2" hidden="1">{#N/A,#N/A,FALSE,"Aging Summary";#N/A,#N/A,FALSE,"Ratio Analysis";#N/A,#N/A,FALSE,"Test 120 Day Accts";#N/A,#N/A,FALSE,"Tickmarks"}</definedName>
    <definedName name="__o2_1" localSheetId="10" hidden="1">{#N/A,#N/A,FALSE,"Aging Summary";#N/A,#N/A,FALSE,"Ratio Analysis";#N/A,#N/A,FALSE,"Test 120 Day Accts";#N/A,#N/A,FALSE,"Tickmarks"}</definedName>
    <definedName name="__o2_1" hidden="1">{#N/A,#N/A,FALSE,"Aging Summary";#N/A,#N/A,FALSE,"Ratio Analysis";#N/A,#N/A,FALSE,"Test 120 Day Accts";#N/A,#N/A,FALSE,"Tickmarks"}</definedName>
    <definedName name="__o4" localSheetId="10" hidden="1">{#N/A,#N/A,FALSE,"Aging Summary";#N/A,#N/A,FALSE,"Ratio Analysis";#N/A,#N/A,FALSE,"Test 120 Day Accts";#N/A,#N/A,FALSE,"Tickmarks"}</definedName>
    <definedName name="__o4" hidden="1">{#N/A,#N/A,FALSE,"Aging Summary";#N/A,#N/A,FALSE,"Ratio Analysis";#N/A,#N/A,FALSE,"Test 120 Day Accts";#N/A,#N/A,FALSE,"Tickmarks"}</definedName>
    <definedName name="__o4_1" localSheetId="10" hidden="1">{#N/A,#N/A,FALSE,"Aging Summary";#N/A,#N/A,FALSE,"Ratio Analysis";#N/A,#N/A,FALSE,"Test 120 Day Accts";#N/A,#N/A,FALSE,"Tickmarks"}</definedName>
    <definedName name="__o4_1" hidden="1">{#N/A,#N/A,FALSE,"Aging Summary";#N/A,#N/A,FALSE,"Ratio Analysis";#N/A,#N/A,FALSE,"Test 120 Day Accts";#N/A,#N/A,FALSE,"Tickmarks"}</definedName>
    <definedName name="__ok2" localSheetId="10" hidden="1">{#N/A,#N/A,FALSE,"Cost Report";#N/A,#N/A,FALSE,"Qtly Summ.";#N/A,#N/A,FALSE,"Mar  Qtr";#N/A,#N/A,FALSE,"Report Summary"}</definedName>
    <definedName name="__ok2" hidden="1">{#N/A,#N/A,FALSE,"Cost Report";#N/A,#N/A,FALSE,"Qtly Summ.";#N/A,#N/A,FALSE,"Mar  Qtr";#N/A,#N/A,FALSE,"Report Summary"}</definedName>
    <definedName name="__ok2_1" localSheetId="10" hidden="1">{#N/A,#N/A,FALSE,"Cost Report";#N/A,#N/A,FALSE,"Qtly Summ.";#N/A,#N/A,FALSE,"Mar  Qtr";#N/A,#N/A,FALSE,"Report Summary"}</definedName>
    <definedName name="__ok2_1" hidden="1">{#N/A,#N/A,FALSE,"Cost Report";#N/A,#N/A,FALSE,"Qtly Summ.";#N/A,#N/A,FALSE,"Mar  Qtr";#N/A,#N/A,FALSE,"Report Summary"}</definedName>
    <definedName name="__ok3" localSheetId="10"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10"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10"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10"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10" hidden="1">{#N/A,#N/A,FALSE,"Cost Report";"Geology",#N/A,FALSE,"Cost Summary";"Geolgy Recon",#N/A,FALSE,"UG Geology Rep."}</definedName>
    <definedName name="__ok7" hidden="1">{#N/A,#N/A,FALSE,"Cost Report";"Geology",#N/A,FALSE,"Cost Summary";"Geolgy Recon",#N/A,FALSE,"UG Geology Rep."}</definedName>
    <definedName name="__ok7_1" localSheetId="10" hidden="1">{#N/A,#N/A,FALSE,"Cost Report";"Geology",#N/A,FALSE,"Cost Summary";"Geolgy Recon",#N/A,FALSE,"UG Geology Rep."}</definedName>
    <definedName name="__ok7_1" hidden="1">{#N/A,#N/A,FALSE,"Cost Report";"Geology",#N/A,FALSE,"Cost Summary";"Geolgy Recon",#N/A,FALSE,"UG Geology Rep."}</definedName>
    <definedName name="__ok8"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10"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10" hidden="1">{"'장비'!$A$3:$M$12"}</definedName>
    <definedName name="__PK2" hidden="1">{"'장비'!$A$3:$M$12"}</definedName>
    <definedName name="__PKG3" localSheetId="10"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localSheetId="10" hidden="1">{#N/A,#N/A,FALSE,"Cost Report";"Geology",#N/A,FALSE,"Cost Summary";"Geolgy Recon",#N/A,FALSE,"UG Geology Rep."}</definedName>
    <definedName name="__PPH25" hidden="1">{#N/A,#N/A,FALSE,"Cost Report";"Geology",#N/A,FALSE,"Cost Summary";"Geolgy Recon",#N/A,FALSE,"UG Geology Rep."}</definedName>
    <definedName name="__PPh26">#REF!</definedName>
    <definedName name="__PPP3" localSheetId="10" hidden="1">{#N/A,#N/A,FALSE,"特殊室（ＢＱ表）"}</definedName>
    <definedName name="__PPP3" hidden="1">{#N/A,#N/A,FALSE,"特殊室（ＢＱ表）"}</definedName>
    <definedName name="__PPP33" localSheetId="10" hidden="1">{#N/A,#N/A,FALSE,"特殊室（ＢＱ表）"}</definedName>
    <definedName name="__PPP33" hidden="1">{#N/A,#N/A,FALSE,"特殊室（ＢＱ表）"}</definedName>
    <definedName name="__ppp34" localSheetId="10" hidden="1">{#N/A,#N/A,FALSE,"特殊室（ＢＱ表）"}</definedName>
    <definedName name="__ppp34" hidden="1">{#N/A,#N/A,FALSE,"特殊室（ＢＱ表）"}</definedName>
    <definedName name="__ppp3444" localSheetId="10"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10"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localSheetId="10" hidden="1">{#N/A,#N/A,FALSE,"Aging Summary";#N/A,#N/A,FALSE,"Ratio Analysis";#N/A,#N/A,FALSE,"Test 120 Day Accts";#N/A,#N/A,FALSE,"Tickmarks"}</definedName>
    <definedName name="__rup1" hidden="1">{#N/A,#N/A,FALSE,"Aging Summary";#N/A,#N/A,FALSE,"Ratio Analysis";#N/A,#N/A,FALSE,"Test 120 Day Accts";#N/A,#N/A,FALSE,"Tickmarks"}</definedName>
    <definedName name="__rup1_1" localSheetId="10" hidden="1">{#N/A,#N/A,FALSE,"Aging Summary";#N/A,#N/A,FALSE,"Ratio Analysis";#N/A,#N/A,FALSE,"Test 120 Day Accts";#N/A,#N/A,FALSE,"Tickmarks"}</definedName>
    <definedName name="__rup1_1" hidden="1">{#N/A,#N/A,FALSE,"Aging Summary";#N/A,#N/A,FALSE,"Ratio Analysis";#N/A,#N/A,FALSE,"Test 120 Day Accts";#N/A,#N/A,FALSE,"Tickmarks"}</definedName>
    <definedName name="__rup4" localSheetId="10" hidden="1">{#N/A,#N/A,FALSE,"Aging Summary";#N/A,#N/A,FALSE,"Ratio Analysis";#N/A,#N/A,FALSE,"Test 120 Day Accts";#N/A,#N/A,FALSE,"Tickmarks"}</definedName>
    <definedName name="__rup4" hidden="1">{#N/A,#N/A,FALSE,"Aging Summary";#N/A,#N/A,FALSE,"Ratio Analysis";#N/A,#N/A,FALSE,"Test 120 Day Accts";#N/A,#N/A,FALSE,"Tickmarks"}</definedName>
    <definedName name="__rup4_1" localSheetId="10"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10"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localSheetId="10" hidden="1">{"with_oth_curr",#N/A,FALSE,"2225"}</definedName>
    <definedName name="__t46" hidden="1">{"with_oth_curr",#N/A,FALSE,"2225"}</definedName>
    <definedName name="__t46_1" localSheetId="10"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localSheetId="10" hidden="1">{#N/A,#N/A,FALSE,"DATA"}</definedName>
    <definedName name="__WHT23" hidden="1">{#N/A,#N/A,FALSE,"DATA"}</definedName>
    <definedName name="__WL25">#REF!</definedName>
    <definedName name="__wm1" hidden="1">#REF!</definedName>
    <definedName name="__X1" localSheetId="10" hidden="1">{#N/A,#N/A,FALSE,"Act.Fcst Costs"}</definedName>
    <definedName name="__X1" hidden="1">{#N/A,#N/A,FALSE,"Act.Fcst Costs"}</definedName>
    <definedName name="_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10" hidden="1">{"Admin Costs",#N/A,FALSE,"Act.Fcst Costs"}</definedName>
    <definedName name="__X3" hidden="1">{"Admin Costs",#N/A,FALSE,"Act.Fcst Costs"}</definedName>
    <definedName name="__X4" localSheetId="10" hidden="1">{#N/A,#N/A,FALSE,"Cost Report";#N/A,#N/A,FALSE,"Qtly Summ.";#N/A,#N/A,FALSE,"Mar  Qtr";#N/A,#N/A,FALSE,"Report Summary"}</definedName>
    <definedName name="__X4" hidden="1">{#N/A,#N/A,FALSE,"Cost Report";#N/A,#N/A,FALSE,"Qtly Summ.";#N/A,#N/A,FALSE,"Mar  Qtr";#N/A,#N/A,FALSE,"Report Summary"}</definedName>
    <definedName name="__X5" localSheetId="10"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localSheetId="10"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10"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10"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10"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10"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10"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10"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10"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localSheetId="10"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localSheetId="10" hidden="1">{"'Sheet1'!$L$16"}</definedName>
    <definedName name="_a1" hidden="1">{"'Sheet1'!$L$16"}</definedName>
    <definedName name="_A16500">#REF!</definedName>
    <definedName name="_a2" localSheetId="10" hidden="1">{#N/A,#N/A,FALSE,"Aging Summary";#N/A,#N/A,FALSE,"Ratio Analysis";#N/A,#N/A,FALSE,"Test 120 Day Accts";#N/A,#N/A,FALSE,"Tickmarks"}</definedName>
    <definedName name="_a2" hidden="1">{#N/A,#N/A,FALSE,"Aging Summary";#N/A,#N/A,FALSE,"Ratio Analysis";#N/A,#N/A,FALSE,"Test 120 Day Accts";#N/A,#N/A,FALSE,"Tickmarks"}</definedName>
    <definedName name="_a222222" hidden="1">#REF!</definedName>
    <definedName name="_A5" localSheetId="10"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10" hidden="1">{#N/A,#N/A,FALSE,"Aging Summary";#N/A,#N/A,FALSE,"Ratio Analysis";#N/A,#N/A,FALSE,"Test 120 Day Accts";#N/A,#N/A,FALSE,"Tickmarks"}</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localSheetId="10" hidden="1">{#N/A,#N/A,FALSE,"Act.Fcst Costs"}</definedName>
    <definedName name="_act2" hidden="1">{#N/A,#N/A,FALSE,"Act.Fcst Costs"}</definedName>
    <definedName name="_act2_1" localSheetId="10" hidden="1">{#N/A,#N/A,FALSE,"Act.Fcst Costs"}</definedName>
    <definedName name="_act2_1" hidden="1">{#N/A,#N/A,FALSE,"Act.Fcst Costs"}</definedName>
    <definedName name="_ADD2">#N/A</definedName>
    <definedName name="_ADD3">#N/A</definedName>
    <definedName name="_adr1">#REF!</definedName>
    <definedName name="_AE1" localSheetId="10" hidden="1">{#N/A,#N/A,FALSE,"Aging Summary";#N/A,#N/A,FALSE,"Ratio Analysis";#N/A,#N/A,FALSE,"Test 120 Day Accts";#N/A,#N/A,FALSE,"Tickmarks"}</definedName>
    <definedName name="_AE1" hidden="1">{#N/A,#N/A,FALSE,"Aging Summary";#N/A,#N/A,FALSE,"Ratio Analysis";#N/A,#N/A,FALSE,"Test 120 Day Accts";#N/A,#N/A,FALSE,"Tickmarks"}</definedName>
    <definedName name="_AE1_1" localSheetId="10" hidden="1">{#N/A,#N/A,FALSE,"Aging Summary";#N/A,#N/A,FALSE,"Ratio Analysis";#N/A,#N/A,FALSE,"Test 120 Day Accts";#N/A,#N/A,FALSE,"Tickmarks"}</definedName>
    <definedName name="_AE1_1" hidden="1">{#N/A,#N/A,FALSE,"Aging Summary";#N/A,#N/A,FALSE,"Ratio Analysis";#N/A,#N/A,FALSE,"Test 120 Day Accts";#N/A,#N/A,FALSE,"Tickmarks"}</definedName>
    <definedName name="_AE2" localSheetId="10" hidden="1">{#N/A,#N/A,FALSE,"Aging Summary";#N/A,#N/A,FALSE,"Ratio Analysis";#N/A,#N/A,FALSE,"Test 120 Day Accts";#N/A,#N/A,FALSE,"Tickmarks"}</definedName>
    <definedName name="_AE2" hidden="1">{#N/A,#N/A,FALSE,"Aging Summary";#N/A,#N/A,FALSE,"Ratio Analysis";#N/A,#N/A,FALSE,"Test 120 Day Accts";#N/A,#N/A,FALSE,"Tickmarks"}</definedName>
    <definedName name="_AE2_1" localSheetId="10" hidden="1">{#N/A,#N/A,FALSE,"Aging Summary";#N/A,#N/A,FALSE,"Ratio Analysis";#N/A,#N/A,FALSE,"Test 120 Day Accts";#N/A,#N/A,FALSE,"Tickmarks"}</definedName>
    <definedName name="_AE2_1" hidden="1">{#N/A,#N/A,FALSE,"Aging Summary";#N/A,#N/A,FALSE,"Ratio Analysis";#N/A,#N/A,FALSE,"Test 120 Day Accts";#N/A,#N/A,FALSE,"Tickmarks"}</definedName>
    <definedName name="_AE4" localSheetId="10" hidden="1">{#N/A,#N/A,FALSE,"Aging Summary";#N/A,#N/A,FALSE,"Ratio Analysis";#N/A,#N/A,FALSE,"Test 120 Day Accts";#N/A,#N/A,FALSE,"Tickmarks"}</definedName>
    <definedName name="_AE4" hidden="1">{#N/A,#N/A,FALSE,"Aging Summary";#N/A,#N/A,FALSE,"Ratio Analysis";#N/A,#N/A,FALSE,"Test 120 Day Accts";#N/A,#N/A,FALSE,"Tickmarks"}</definedName>
    <definedName name="_AE4_1" localSheetId="10"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localSheetId="10" hidden="1">{#N/A,#N/A,FALSE,"Aging Summary";#N/A,#N/A,FALSE,"Ratio Analysis";#N/A,#N/A,FALSE,"Test 120 Day Accts";#N/A,#N/A,FALSE,"Tickmarks"}</definedName>
    <definedName name="_ar1" hidden="1">{#N/A,#N/A,FALSE,"Aging Summary";#N/A,#N/A,FALSE,"Ratio Analysis";#N/A,#N/A,FALSE,"Test 120 Day Accts";#N/A,#N/A,FALSE,"Tickmarks"}</definedName>
    <definedName name="_ar1_1" localSheetId="10" hidden="1">{#N/A,#N/A,FALSE,"Aging Summary";#N/A,#N/A,FALSE,"Ratio Analysis";#N/A,#N/A,FALSE,"Test 120 Day Accts";#N/A,#N/A,FALSE,"Tickmarks"}</definedName>
    <definedName name="_ar1_1" hidden="1">{#N/A,#N/A,FALSE,"Aging Summary";#N/A,#N/A,FALSE,"Ratio Analysis";#N/A,#N/A,FALSE,"Test 120 Day Accts";#N/A,#N/A,FALSE,"Tickmarks"}</definedName>
    <definedName name="_ar4" localSheetId="10" hidden="1">{#N/A,#N/A,FALSE,"Aging Summary";#N/A,#N/A,FALSE,"Ratio Analysis";#N/A,#N/A,FALSE,"Test 120 Day Accts";#N/A,#N/A,FALSE,"Tickmarks"}</definedName>
    <definedName name="_ar4" hidden="1">{#N/A,#N/A,FALSE,"Aging Summary";#N/A,#N/A,FALSE,"Ratio Analysis";#N/A,#N/A,FALSE,"Test 120 Day Accts";#N/A,#N/A,FALSE,"Tickmarks"}</definedName>
    <definedName name="_ar4_1" localSheetId="10" hidden="1">{#N/A,#N/A,FALSE,"Aging Summary";#N/A,#N/A,FALSE,"Ratio Analysis";#N/A,#N/A,FALSE,"Test 120 Day Accts";#N/A,#N/A,FALSE,"Tickmarks"}</definedName>
    <definedName name="_ar4_1" hidden="1">{#N/A,#N/A,FALSE,"Aging Summary";#N/A,#N/A,FALSE,"Ratio Analysis";#N/A,#N/A,FALSE,"Test 120 Day Accts";#N/A,#N/A,FALSE,"Tickmarks"}</definedName>
    <definedName name="_arr3" localSheetId="10">{"Book1","4.09 FLORA DAN FAUNA.xls","4.22 PERLENGKAPAN SEKOLAH.xls"}</definedName>
    <definedName name="_arr3">{"Book1","4.09 FLORA DAN FAUNA.xls","4.22 PERLENGKAPAN SEKOLAH.xls"}</definedName>
    <definedName name="_AS1" localSheetId="10" hidden="1">{#N/A,#N/A,FALSE,"Aging Summary";#N/A,#N/A,FALSE,"Ratio Analysis";#N/A,#N/A,FALSE,"Test 120 Day Accts";#N/A,#N/A,FALSE,"Tickmarks"}</definedName>
    <definedName name="_AS1" hidden="1">{#N/A,#N/A,FALSE,"Aging Summary";#N/A,#N/A,FALSE,"Ratio Analysis";#N/A,#N/A,FALSE,"Test 120 Day Accts";#N/A,#N/A,FALSE,"Tickmarks"}</definedName>
    <definedName name="_AS3" localSheetId="10" hidden="1">{#N/A,#N/A,FALSE,"Aging Summary";#N/A,#N/A,FALSE,"Ratio Analysis";#N/A,#N/A,FALSE,"Test 120 Day Accts";#N/A,#N/A,FALSE,"Tickmarks"}</definedName>
    <definedName name="_AS3" hidden="1">{#N/A,#N/A,FALSE,"Aging Summary";#N/A,#N/A,FALSE,"Ratio Analysis";#N/A,#N/A,FALSE,"Test 120 Day Accts";#N/A,#N/A,FALSE,"Tickmarks"}</definedName>
    <definedName name="_AS3_1" localSheetId="10" hidden="1">{#N/A,#N/A,FALSE,"Aging Summary";#N/A,#N/A,FALSE,"Ratio Analysis";#N/A,#N/A,FALSE,"Test 120 Day Accts";#N/A,#N/A,FALSE,"Tickmarks"}</definedName>
    <definedName name="_AS3_1" hidden="1">{#N/A,#N/A,FALSE,"Aging Summary";#N/A,#N/A,FALSE,"Ratio Analysis";#N/A,#N/A,FALSE,"Test 120 Day Accts";#N/A,#N/A,FALSE,"Tickmarks"}</definedName>
    <definedName name="_AS4" localSheetId="10" hidden="1">{#N/A,#N/A,FALSE,"Aging Summary";#N/A,#N/A,FALSE,"Ratio Analysis";#N/A,#N/A,FALSE,"Test 120 Day Accts";#N/A,#N/A,FALSE,"Tickmarks"}</definedName>
    <definedName name="_AS4" hidden="1">{#N/A,#N/A,FALSE,"Aging Summary";#N/A,#N/A,FALSE,"Ratio Analysis";#N/A,#N/A,FALSE,"Test 120 Day Accts";#N/A,#N/A,FALSE,"Tickmarks"}</definedName>
    <definedName name="_AS4_1" localSheetId="10" hidden="1">{#N/A,#N/A,FALSE,"Aging Summary";#N/A,#N/A,FALSE,"Ratio Analysis";#N/A,#N/A,FALSE,"Test 120 Day Accts";#N/A,#N/A,FALSE,"Tickmarks"}</definedName>
    <definedName name="_AS4_1" hidden="1">{#N/A,#N/A,FALSE,"Aging Summary";#N/A,#N/A,FALSE,"Ratio Analysis";#N/A,#N/A,FALSE,"Test 120 Day Accts";#N/A,#N/A,FALSE,"Tickmarks"}</definedName>
    <definedName name="_ase1" localSheetId="10" hidden="1">{#N/A,#N/A,FALSE,"Aging Summary";#N/A,#N/A,FALSE,"Ratio Analysis";#N/A,#N/A,FALSE,"Test 120 Day Accts";#N/A,#N/A,FALSE,"Tickmarks"}</definedName>
    <definedName name="_ase1" hidden="1">{#N/A,#N/A,FALSE,"Aging Summary";#N/A,#N/A,FALSE,"Ratio Analysis";#N/A,#N/A,FALSE,"Test 120 Day Accts";#N/A,#N/A,FALSE,"Tickmarks"}</definedName>
    <definedName name="_ase1_1" localSheetId="10" hidden="1">{#N/A,#N/A,FALSE,"Aging Summary";#N/A,#N/A,FALSE,"Ratio Analysis";#N/A,#N/A,FALSE,"Test 120 Day Accts";#N/A,#N/A,FALSE,"Tickmarks"}</definedName>
    <definedName name="_ase1_1" hidden="1">{#N/A,#N/A,FALSE,"Aging Summary";#N/A,#N/A,FALSE,"Ratio Analysis";#N/A,#N/A,FALSE,"Test 120 Day Accts";#N/A,#N/A,FALSE,"Tickmarks"}</definedName>
    <definedName name="_ase4" localSheetId="10" hidden="1">{#N/A,#N/A,FALSE,"Aging Summary";#N/A,#N/A,FALSE,"Ratio Analysis";#N/A,#N/A,FALSE,"Test 120 Day Accts";#N/A,#N/A,FALSE,"Tickmarks"}</definedName>
    <definedName name="_ase4" hidden="1">{#N/A,#N/A,FALSE,"Aging Summary";#N/A,#N/A,FALSE,"Ratio Analysis";#N/A,#N/A,FALSE,"Test 120 Day Accts";#N/A,#N/A,FALSE,"Tickmarks"}</definedName>
    <definedName name="_ase4_1" localSheetId="10" hidden="1">{#N/A,#N/A,FALSE,"Aging Summary";#N/A,#N/A,FALSE,"Ratio Analysis";#N/A,#N/A,FALSE,"Test 120 Day Accts";#N/A,#N/A,FALSE,"Tickmarks"}</definedName>
    <definedName name="_ase4_1" hidden="1">{#N/A,#N/A,FALSE,"Aging Summary";#N/A,#N/A,FALSE,"Ratio Analysis";#N/A,#N/A,FALSE,"Test 120 Day Accts";#N/A,#N/A,FALSE,"Tickmarks"}</definedName>
    <definedName name="_asr1" localSheetId="10" hidden="1">{#N/A,#N/A,FALSE,"Aging Summary";#N/A,#N/A,FALSE,"Ratio Analysis";#N/A,#N/A,FALSE,"Test 120 Day Accts";#N/A,#N/A,FALSE,"Tickmarks"}</definedName>
    <definedName name="_asr1" hidden="1">{#N/A,#N/A,FALSE,"Aging Summary";#N/A,#N/A,FALSE,"Ratio Analysis";#N/A,#N/A,FALSE,"Test 120 Day Accts";#N/A,#N/A,FALSE,"Tickmarks"}</definedName>
    <definedName name="_asr1_1" localSheetId="10" hidden="1">{#N/A,#N/A,FALSE,"Aging Summary";#N/A,#N/A,FALSE,"Ratio Analysis";#N/A,#N/A,FALSE,"Test 120 Day Accts";#N/A,#N/A,FALSE,"Tickmarks"}</definedName>
    <definedName name="_asr1_1" hidden="1">{#N/A,#N/A,FALSE,"Aging Summary";#N/A,#N/A,FALSE,"Ratio Analysis";#N/A,#N/A,FALSE,"Test 120 Day Accts";#N/A,#N/A,FALSE,"Tickmarks"}</definedName>
    <definedName name="_asr4" localSheetId="10" hidden="1">{#N/A,#N/A,FALSE,"Aging Summary";#N/A,#N/A,FALSE,"Ratio Analysis";#N/A,#N/A,FALSE,"Test 120 Day Accts";#N/A,#N/A,FALSE,"Tickmarks"}</definedName>
    <definedName name="_asr4" hidden="1">{#N/A,#N/A,FALSE,"Aging Summary";#N/A,#N/A,FALSE,"Ratio Analysis";#N/A,#N/A,FALSE,"Test 120 Day Accts";#N/A,#N/A,FALSE,"Tickmarks"}</definedName>
    <definedName name="_asr4_1" localSheetId="10"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localSheetId="10" hidden="1">{#N/A,#N/A,FALSE,"Aging Summary";#N/A,#N/A,FALSE,"Ratio Analysis";#N/A,#N/A,FALSE,"Test 120 Day Accts";#N/A,#N/A,FALSE,"Tickmarks"}</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localSheetId="10" hidden="1">{"'Model'!$A$1:$N$53"}</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10" hidden="1">{"'ตัวอย่าง'!$A$1:$O$21"}</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localSheetId="10" hidden="1">{"rp_only",#N/A,FALSE,"2225"}</definedName>
    <definedName name="_esf65" hidden="1">{"rp_only",#N/A,FALSE,"2225"}</definedName>
    <definedName name="_esf65_1" localSheetId="10"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localSheetId="10" hidden="1">{#N/A,#N/A,FALSE,"OUT  AREC"}</definedName>
    <definedName name="_FA2008" hidden="1">{#N/A,#N/A,FALSE,"OUT  AREC"}</definedName>
    <definedName name="_FA2008_1" localSheetId="10"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7" hidden="1">'Activity Master Opex'!$B$3:$G$88</definedName>
    <definedName name="_xlnm._FilterDatabase" localSheetId="5">'Budget Capex Detail'!$A$3:$AK$25</definedName>
    <definedName name="_xlnm._FilterDatabase" localSheetId="6" hidden="1">'Budget Opex Detail'!$A$3:$AR$55</definedName>
    <definedName name="_xlnm._FilterDatabase" localSheetId="10" hidden="1">RD!$A$1:$AW$151</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localSheetId="10" hidden="1">{#N/A,#N/A,FALSE,"Aging Summary";#N/A,#N/A,FALSE,"Ratio Analysis";#N/A,#N/A,FALSE,"Test 120 Day Accts";#N/A,#N/A,FALSE,"Tickmarks"}</definedName>
    <definedName name="_HP1" hidden="1">{#N/A,#N/A,FALSE,"Aging Summary";#N/A,#N/A,FALSE,"Ratio Analysis";#N/A,#N/A,FALSE,"Test 120 Day Accts";#N/A,#N/A,FALSE,"Tickmarks"}</definedName>
    <definedName name="_HP1_1" localSheetId="10" hidden="1">{#N/A,#N/A,FALSE,"Aging Summary";#N/A,#N/A,FALSE,"Ratio Analysis";#N/A,#N/A,FALSE,"Test 120 Day Accts";#N/A,#N/A,FALSE,"Tickmarks"}</definedName>
    <definedName name="_HP1_1" hidden="1">{#N/A,#N/A,FALSE,"Aging Summary";#N/A,#N/A,FALSE,"Ratio Analysis";#N/A,#N/A,FALSE,"Test 120 Day Accts";#N/A,#N/A,FALSE,"Tickmarks"}</definedName>
    <definedName name="_HP4" localSheetId="10" hidden="1">{#N/A,#N/A,FALSE,"Aging Summary";#N/A,#N/A,FALSE,"Ratio Analysis";#N/A,#N/A,FALSE,"Test 120 Day Accts";#N/A,#N/A,FALSE,"Tickmarks"}</definedName>
    <definedName name="_HP4" hidden="1">{#N/A,#N/A,FALSE,"Aging Summary";#N/A,#N/A,FALSE,"Ratio Analysis";#N/A,#N/A,FALSE,"Test 120 Day Accts";#N/A,#N/A,FALSE,"Tickmarks"}</definedName>
    <definedName name="_HP4_1" localSheetId="10"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localSheetId="10" hidden="1">{"with_oth_curr",#N/A,FALSE,"2225"}</definedName>
    <definedName name="_jiu7857" hidden="1">{"with_oth_curr",#N/A,FALSE,"2225"}</definedName>
    <definedName name="_jiu7857_1" localSheetId="10"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localSheetId="10" hidden="1">{"rp_only",#N/A,FALSE,"2225"}</definedName>
    <definedName name="_liy87668" hidden="1">{"rp_only",#N/A,FALSE,"2225"}</definedName>
    <definedName name="_liy87668_1" localSheetId="10"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10"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 localSheetId="10">{"Book1","4.09 FLORA DAN FAUNA.xls","4.22 PERLENGKAPAN SEKOLAH.xls"}</definedName>
    <definedName name="_mas1">{"Book1","4.09 FLORA DAN FAUNA.xls","4.22 PERLENGKAPAN SEKOLAH.xls"}</definedName>
    <definedName name="_mas12" localSheetId="10">{"Book1","4.09 FLORA DAN FAUNA.xls","4.22 PERLENGKAPAN SEKOLAH.xls"}</definedName>
    <definedName name="_mas12">{"Book1","4.09 FLORA DAN FAUNA.xls","4.22 PERLENGKAPAN SEKOLAH.xls"}</definedName>
    <definedName name="_mas2" localSheetId="10">{"Book1","4.09 FLORA DAN FAUNA.xls","4.22 PERLENGKAPAN SEKOLAH.xls"}</definedName>
    <definedName name="_mas2">{"Book1","4.09 FLORA DAN FAUNA.xls","4.22 PERLENGKAPAN SEKOLAH.xls"}</definedName>
    <definedName name="_mas4" localSheetId="10">{"Book1","4.09 FLORA DAN FAUNA.xls","4.22 PERLENGKAPAN SEKOLAH.xls"}</definedName>
    <definedName name="_mas4">{"Book1","4.09 FLORA DAN FAUNA.xls","4.22 PERLENGKAPAN SEKOLAH.xls"}</definedName>
    <definedName name="_mas5" localSheetId="10">{"Book1","4.09 FLORA DAN FAUNA.xls","4.22 PERLENGKAPAN SEKOLAH.xls"}</definedName>
    <definedName name="_mas5">{"Book1","4.09 FLORA DAN FAUNA.xls","4.22 PERLENGKAPAN SEKOLAH.xls"}</definedName>
    <definedName name="_mas6" localSheetId="10">{"Book1","4.09 FLORA DAN FAUNA.xls","4.22 PERLENGKAPAN SEKOLAH.xls"}</definedName>
    <definedName name="_mas6">{"Book1","4.09 FLORA DAN FAUNA.xls","4.22 PERLENGKAPAN SEKOLAH.xls"}</definedName>
    <definedName name="_mas7" localSheetId="10">{"Book1","4.09 FLORA DAN FAUNA.xls","4.22 PERLENGKAPAN SEKOLAH.xls"}</definedName>
    <definedName name="_mas7">{"Book1","4.09 FLORA DAN FAUNA.xls","4.22 PERLENGKAPAN SEKOLAH.xls"}</definedName>
    <definedName name="_mas8" localSheetId="10">{"Book1","4.09 FLORA DAN FAUNA.xls","4.22 PERLENGKAPAN SEKOLAH.xls"}</definedName>
    <definedName name="_mas8">{"Book1","4.09 FLORA DAN FAUNA.xls","4.22 PERLENGKAPAN SEKOLAH.xls"}</definedName>
    <definedName name="_mas9" localSheetId="10">{"Book1","4.09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 localSheetId="10">{"Book1","4.09 FLORA DAN FAUNA.xls","4.22 PERLENGKAPAN SEKOLAH.xls"}</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 localSheetId="10">{"Book1","4.09 FLORA DAN FAUNA.xls","4.22 PERLENGKAPAN SEKOLAH.xls"}</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 localSheetId="10">{"Book1","4.09 FLORA DAN FAUNA.xls","4.22 PERLENGKAPAN SEKOLAH.xls"}</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 localSheetId="10">{"Book1","4.09 FLORA DAN FAUNA.xls","4.22 PERLENGKAPAN SEKOLAH.xls"}</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 localSheetId="10">{"Book1","4.09 FLORA DAN FAUNA.xls","4.22 PERLENGKAPAN SEKOLAH.xls"}</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 localSheetId="10">{"Book1","4.09 FLORA DAN FAUNA.xls","4.22 PERLENGKAPAN SEKOLAH.xls"}</definedName>
    <definedName name="_mek3">{"Book1","4.09 FLORA DAN FAUNA.xls","4.22 PERLENGKAPAN SEKOLAH.xls"}</definedName>
    <definedName name="_mek5" localSheetId="10">{"Book1","4.09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localSheetId="10" hidden="1">{"'Sheet1'!$L$16"}</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localSheetId="10" hidden="1">{#N/A,#N/A,FALSE,"Aging Summary";#N/A,#N/A,FALSE,"Ratio Analysis";#N/A,#N/A,FALSE,"Test 120 Day Accts";#N/A,#N/A,FALSE,"Tickmarks"}</definedName>
    <definedName name="_o1" hidden="1">{#N/A,#N/A,FALSE,"Aging Summary";#N/A,#N/A,FALSE,"Ratio Analysis";#N/A,#N/A,FALSE,"Test 120 Day Accts";#N/A,#N/A,FALSE,"Tickmarks"}</definedName>
    <definedName name="_o1_1" localSheetId="10" hidden="1">{#N/A,#N/A,FALSE,"Aging Summary";#N/A,#N/A,FALSE,"Ratio Analysis";#N/A,#N/A,FALSE,"Test 120 Day Accts";#N/A,#N/A,FALSE,"Tickmarks"}</definedName>
    <definedName name="_o1_1" hidden="1">{#N/A,#N/A,FALSE,"Aging Summary";#N/A,#N/A,FALSE,"Ratio Analysis";#N/A,#N/A,FALSE,"Test 120 Day Accts";#N/A,#N/A,FALSE,"Tickmarks"}</definedName>
    <definedName name="_o2" localSheetId="10" hidden="1">{#N/A,#N/A,FALSE,"Aging Summary";#N/A,#N/A,FALSE,"Ratio Analysis";#N/A,#N/A,FALSE,"Test 120 Day Accts";#N/A,#N/A,FALSE,"Tickmarks"}</definedName>
    <definedName name="_o2" hidden="1">{#N/A,#N/A,FALSE,"Aging Summary";#N/A,#N/A,FALSE,"Ratio Analysis";#N/A,#N/A,FALSE,"Test 120 Day Accts";#N/A,#N/A,FALSE,"Tickmarks"}</definedName>
    <definedName name="_o2_1" localSheetId="10" hidden="1">{#N/A,#N/A,FALSE,"Aging Summary";#N/A,#N/A,FALSE,"Ratio Analysis";#N/A,#N/A,FALSE,"Test 120 Day Accts";#N/A,#N/A,FALSE,"Tickmarks"}</definedName>
    <definedName name="_o2_1" hidden="1">{#N/A,#N/A,FALSE,"Aging Summary";#N/A,#N/A,FALSE,"Ratio Analysis";#N/A,#N/A,FALSE,"Test 120 Day Accts";#N/A,#N/A,FALSE,"Tickmarks"}</definedName>
    <definedName name="_o4" localSheetId="10" hidden="1">{#N/A,#N/A,FALSE,"Aging Summary";#N/A,#N/A,FALSE,"Ratio Analysis";#N/A,#N/A,FALSE,"Test 120 Day Accts";#N/A,#N/A,FALSE,"Tickmarks"}</definedName>
    <definedName name="_o4" hidden="1">{#N/A,#N/A,FALSE,"Aging Summary";#N/A,#N/A,FALSE,"Ratio Analysis";#N/A,#N/A,FALSE,"Test 120 Day Accts";#N/A,#N/A,FALSE,"Tickmarks"}</definedName>
    <definedName name="_o4_1" localSheetId="10"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localSheetId="10" hidden="1">{#N/A,#N/A,FALSE,"Cost Report";#N/A,#N/A,FALSE,"Qtly Summ.";#N/A,#N/A,FALSE,"Mar  Qtr";#N/A,#N/A,FALSE,"Report Summary"}</definedName>
    <definedName name="_ok2" hidden="1">{#N/A,#N/A,FALSE,"Cost Report";#N/A,#N/A,FALSE,"Qtly Summ.";#N/A,#N/A,FALSE,"Mar  Qtr";#N/A,#N/A,FALSE,"Report Summary"}</definedName>
    <definedName name="_ok2_1" localSheetId="10" hidden="1">{#N/A,#N/A,FALSE,"Cost Report";#N/A,#N/A,FALSE,"Qtly Summ.";#N/A,#N/A,FALSE,"Mar  Qtr";#N/A,#N/A,FALSE,"Report Summary"}</definedName>
    <definedName name="_ok2_1" hidden="1">{#N/A,#N/A,FALSE,"Cost Report";#N/A,#N/A,FALSE,"Qtly Summ.";#N/A,#N/A,FALSE,"Mar  Qtr";#N/A,#N/A,FALSE,"Report Summary"}</definedName>
    <definedName name="_ok3" localSheetId="10"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10"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10" hidden="1">{#N/A,#N/A,FALSE,"Cost Report";#N/A,#N/A,FALSE,"Table 2.1";#N/A,#N/A,FALSE,"Plant Statistics";"Plant Costs",#N/A,FALSE,"Cost Summary"}</definedName>
    <definedName name="_ok5" hidden="1">{#N/A,#N/A,FALSE,"Cost Report";#N/A,#N/A,FALSE,"Table 2.1";#N/A,#N/A,FALSE,"Plant Statistics";"Plant Costs",#N/A,FALSE,"Cost Summary"}</definedName>
    <definedName name="_ok5_1" localSheetId="10" hidden="1">{#N/A,#N/A,FALSE,"Cost Report";#N/A,#N/A,FALSE,"Table 2.1";#N/A,#N/A,FALSE,"Plant Statistics";"Plant Costs",#N/A,FALSE,"Cost Summary"}</definedName>
    <definedName name="_ok5_1" hidden="1">{#N/A,#N/A,FALSE,"Cost Report";#N/A,#N/A,FALSE,"Table 2.1";#N/A,#N/A,FALSE,"Plant Statistics";"Plant Costs",#N/A,FALSE,"Cost Summary"}</definedName>
    <definedName name="_ok6"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10" hidden="1">{#N/A,#N/A,FALSE,"Cost Report";"Geology",#N/A,FALSE,"Cost Summary";"Geolgy Recon",#N/A,FALSE,"UG Geology Rep."}</definedName>
    <definedName name="_ok7" hidden="1">{#N/A,#N/A,FALSE,"Cost Report";"Geology",#N/A,FALSE,"Cost Summary";"Geolgy Recon",#N/A,FALSE,"UG Geology Rep."}</definedName>
    <definedName name="_ok7_1" localSheetId="10" hidden="1">{#N/A,#N/A,FALSE,"Cost Report";"Geology",#N/A,FALSE,"Cost Summary";"Geolgy Recon",#N/A,FALSE,"UG Geology Rep."}</definedName>
    <definedName name="_ok7_1" hidden="1">{#N/A,#N/A,FALSE,"Cost Report";"Geology",#N/A,FALSE,"Cost Summary";"Geolgy Recon",#N/A,FALSE,"UG Geology Rep."}</definedName>
    <definedName name="_ok8"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10"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localSheetId="10" hidden="1">{#N/A,#N/A,FALSE,"Cost Report";"Geology",#N/A,FALSE,"Cost Summary";"Geolgy Recon",#N/A,FALSE,"UG Geology Rep."}</definedName>
    <definedName name="_PPH25" hidden="1">{#N/A,#N/A,FALSE,"Cost Report";"Geology",#N/A,FALSE,"Cost Summary";"Geolgy Recon",#N/A,FALSE,"UG Geology Rep."}</definedName>
    <definedName name="_PPh26">#REF!</definedName>
    <definedName name="_PPP3" localSheetId="10" hidden="1">{#N/A,#N/A,FALSE,"特殊室（ＢＱ表）"}</definedName>
    <definedName name="_PPP3" hidden="1">{#N/A,#N/A,FALSE,"特殊室（ＢＱ表）"}</definedName>
    <definedName name="_PPP33" localSheetId="10" hidden="1">{#N/A,#N/A,FALSE,"特殊室（ＢＱ表）"}</definedName>
    <definedName name="_PPP33" hidden="1">{#N/A,#N/A,FALSE,"特殊室（ＢＱ表）"}</definedName>
    <definedName name="_ppp34" localSheetId="10" hidden="1">{#N/A,#N/A,FALSE,"特殊室（ＢＱ表）"}</definedName>
    <definedName name="_ppp34" hidden="1">{#N/A,#N/A,FALSE,"特殊室（ＢＱ表）"}</definedName>
    <definedName name="_ppp3444" localSheetId="10"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localSheetId="10" hidden="1">{#N/A,#N/A,FALSE,"Aging Summary";#N/A,#N/A,FALSE,"Ratio Analysis";#N/A,#N/A,FALSE,"Test 120 Day Accts";#N/A,#N/A,FALSE,"Tickmarks"}</definedName>
    <definedName name="_rup1" hidden="1">{#N/A,#N/A,FALSE,"Aging Summary";#N/A,#N/A,FALSE,"Ratio Analysis";#N/A,#N/A,FALSE,"Test 120 Day Accts";#N/A,#N/A,FALSE,"Tickmarks"}</definedName>
    <definedName name="_rup1_1" localSheetId="10" hidden="1">{#N/A,#N/A,FALSE,"Aging Summary";#N/A,#N/A,FALSE,"Ratio Analysis";#N/A,#N/A,FALSE,"Test 120 Day Accts";#N/A,#N/A,FALSE,"Tickmarks"}</definedName>
    <definedName name="_rup1_1" hidden="1">{#N/A,#N/A,FALSE,"Aging Summary";#N/A,#N/A,FALSE,"Ratio Analysis";#N/A,#N/A,FALSE,"Test 120 Day Accts";#N/A,#N/A,FALSE,"Tickmarks"}</definedName>
    <definedName name="_rup4" localSheetId="10" hidden="1">{#N/A,#N/A,FALSE,"Aging Summary";#N/A,#N/A,FALSE,"Ratio Analysis";#N/A,#N/A,FALSE,"Test 120 Day Accts";#N/A,#N/A,FALSE,"Tickmarks"}</definedName>
    <definedName name="_rup4" hidden="1">{#N/A,#N/A,FALSE,"Aging Summary";#N/A,#N/A,FALSE,"Ratio Analysis";#N/A,#N/A,FALSE,"Test 120 Day Accts";#N/A,#N/A,FALSE,"Tickmarks"}</definedName>
    <definedName name="_rup4_1" localSheetId="10"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 localSheetId="10">{0.1;0;0.382758620689655;0;0;0;0.258620689655172;0;0.258620689655172}</definedName>
    <definedName name="_S_Base">{0.1;0;0.382758620689655;0;0;0;0.258620689655172;0;0.258620689655172}</definedName>
    <definedName name="_S_new_case" localSheetId="10">{0.1;0;0.45;0;0;0;0;0;0.45}</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 localSheetId="10">{"Book1"}</definedName>
    <definedName name="_T4">{"Book1"}</definedName>
    <definedName name="_t46" localSheetId="10" hidden="1">{"with_oth_curr",#N/A,FALSE,"2225"}</definedName>
    <definedName name="_t46" hidden="1">{"with_oth_curr",#N/A,FALSE,"2225"}</definedName>
    <definedName name="_t46_1" localSheetId="10"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localSheetId="10" hidden="1">{"'Sheet1'!$L$16"}</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localSheetId="10" hidden="1">{"'Feb 99'!$A$1:$G$30"}</definedName>
    <definedName name="_UB1" hidden="1">{"'Feb 99'!$A$1:$G$30"}</definedName>
    <definedName name="_UB2" localSheetId="10"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localSheetId="10" hidden="1">{#N/A,#N/A,FALSE,"DATA"}</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localSheetId="10" hidden="1">{#N/A,#N/A,FALSE,"Act.Fcst Costs"}</definedName>
    <definedName name="_X1" hidden="1">{#N/A,#N/A,FALSE,"Act.Fcst Costs"}</definedName>
    <definedName name="_X2"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10" hidden="1">{"Admin Costs",#N/A,FALSE,"Act.Fcst Costs"}</definedName>
    <definedName name="_X3" hidden="1">{"Admin Costs",#N/A,FALSE,"Act.Fcst Costs"}</definedName>
    <definedName name="_X4" localSheetId="10" hidden="1">{#N/A,#N/A,FALSE,"Cost Report";#N/A,#N/A,FALSE,"Qtly Summ.";#N/A,#N/A,FALSE,"Mar  Qtr";#N/A,#N/A,FALSE,"Report Summary"}</definedName>
    <definedName name="_X4" hidden="1">{#N/A,#N/A,FALSE,"Cost Report";#N/A,#N/A,FALSE,"Qtly Summ.";#N/A,#N/A,FALSE,"Mar  Qtr";#N/A,#N/A,FALSE,"Report Summary"}</definedName>
    <definedName name="_X5" localSheetId="10"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Y">#REF!</definedName>
    <definedName name="_Y_1">#REF!</definedName>
    <definedName name="_Y_5">#REF!</definedName>
    <definedName name="_Z">#REF!</definedName>
    <definedName name="_Z_1">#REF!</definedName>
    <definedName name="_Z_5">#REF!</definedName>
    <definedName name="_Z5.5_Discounted_Cash_Flow_2" localSheetId="10">{0;0;0;0;1;#N/A;0;0;0.3;0.3;2;FALSE;FALSE;FALSE;FALSE;FALSE;#N/A;1;#N/A;1;1;"";""}</definedName>
    <definedName name="_Z5.5_Discounted_Cash_Flow_2">{0;0;0;0;1;#N/A;0;0;0.3;0.3;2;FALSE;FALSE;FALSE;FALSE;FALSE;#N/A;1;#N/A;1;1;"";""}</definedName>
    <definedName name="_Zprint_all" localSheetId="10">{0;0;0;0;1;#N/A;0;0;0.3;0.3;2;FALSE;FALSE;FALSE;FALSE;FALSE;#N/A;1;96;#N/A;#N/A;"";""}</definedName>
    <definedName name="_Zprint_all">{0;0;0;0;1;#N/A;0;0;0.3;0.3;2;FALSE;FALSE;FALSE;FALSE;FALSE;#N/A;1;96;#N/A;#N/A;"";""}</definedName>
    <definedName name="_Zprint_area" localSheetId="10">{0;0;0;0;1;#N/A;0;0;0.3;0.3;2;FALSE;FALSE;FALSE;FALSE;FALSE;#N/A;1;100;#N/A;#N/A;"";""}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10" hidden="1">{#N/A,#N/A,FALSE,"CCTV"}</definedName>
    <definedName name="aa">#REF!</definedName>
    <definedName name="AA_02">#REF!</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10" hidden="1">{#N/A,#N/A,FALSE,"CCTV"}</definedName>
    <definedName name="aaaa" hidden="1">{#N/A,#N/A,FALSE,"CCTV"}</definedName>
    <definedName name="aaaaa" localSheetId="10" hidden="1">{#N/A,#N/A,FALSE,"M06";#N/A,#N/A,FALSE,"M07"}</definedName>
    <definedName name="aaaaa" hidden="1">{#N/A,#N/A,FALSE,"M06";#N/A,#N/A,FALSE,"M07"}</definedName>
    <definedName name="aaaaaa" localSheetId="10"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10"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localSheetId="10" hidden="1">{"Admin Costs",#N/A,FALSE,"Act.Fcst Costs"}</definedName>
    <definedName name="aaaaaaaaaaaaaaaaaaaaaaaa" hidden="1">{"Admin Costs",#N/A,FALSE,"Act.Fcst Costs"}</definedName>
    <definedName name="aaaaaaaaaaaaaaaaaaaaaaaaaaa" hidden="1">#REF!</definedName>
    <definedName name="aaaasffffffasasdfdsf" localSheetId="10" hidden="1">{"rp_only",#N/A,FALSE,"2225"}</definedName>
    <definedName name="aaaasffffffasasdfdsf" hidden="1">{"rp_only",#N/A,FALSE,"2225"}</definedName>
    <definedName name="aaaasffffffasasdfdsf_1" localSheetId="10" hidden="1">{"rp_only",#N/A,FALSE,"2225"}</definedName>
    <definedName name="aaaasffffffasasdfdsf_1" hidden="1">{"rp_only",#N/A,FALSE,"2225"}</definedName>
    <definedName name="aaabbb" localSheetId="10" hidden="1">{#N/A,#N/A,FALSE,"CCTV"}</definedName>
    <definedName name="aaabbb" hidden="1">{#N/A,#N/A,FALSE,"CCTV"}</definedName>
    <definedName name="AaASA" localSheetId="10" hidden="1">{"with_oth_curr",#N/A,FALSE,"2225"}</definedName>
    <definedName name="AaASA" hidden="1">{"with_oth_curr",#N/A,FALSE,"2225"}</definedName>
    <definedName name="AaASA_1" localSheetId="10"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10" hidden="1">{#N/A,#N/A,FALSE,"Aging Summary";#N/A,#N/A,FALSE,"Ratio Analysis";#N/A,#N/A,FALSE,"Test 120 Day Accts";#N/A,#N/A,FALSE,"Tickmarks"}</definedName>
    <definedName name="aadas" hidden="1">{#N/A,#N/A,FALSE,"Aging Summary";#N/A,#N/A,FALSE,"Ratio Analysis";#N/A,#N/A,FALSE,"Test 120 Day Accts";#N/A,#N/A,FALSE,"Tickmarks"}</definedName>
    <definedName name="Aadsads" localSheetId="10" hidden="1">{"with_oth_curr",#N/A,FALSE,"2225"}</definedName>
    <definedName name="Aadsads" hidden="1">{"with_oth_curr",#N/A,FALSE,"2225"}</definedName>
    <definedName name="Aadsads_1" localSheetId="10" hidden="1">{"with_oth_curr",#N/A,FALSE,"2225"}</definedName>
    <definedName name="Aadsads_1" hidden="1">{"with_oth_curr",#N/A,FALSE,"2225"}</definedName>
    <definedName name="aadsasad" localSheetId="10" hidden="1">{"rp_only",#N/A,FALSE,"2225"}</definedName>
    <definedName name="aadsasad" hidden="1">{"rp_only",#N/A,FALSE,"2225"}</definedName>
    <definedName name="aadsasad_1" localSheetId="10" hidden="1">{"rp_only",#N/A,FALSE,"2225"}</definedName>
    <definedName name="aadsasad_1" hidden="1">{"rp_only",#N/A,FALSE,"2225"}</definedName>
    <definedName name="aafa" localSheetId="10" hidden="1">{"with_oth_curr",#N/A,FALSE,"2225"}</definedName>
    <definedName name="aafa" hidden="1">{"with_oth_curr",#N/A,FALSE,"2225"}</definedName>
    <definedName name="aafa_1" localSheetId="10" hidden="1">{"with_oth_curr",#N/A,FALSE,"2225"}</definedName>
    <definedName name="aafa_1" hidden="1">{"with_oth_curr",#N/A,FALSE,"2225"}</definedName>
    <definedName name="aal">#REF!</definedName>
    <definedName name="Aanstm">#REF!</definedName>
    <definedName name="aasad" localSheetId="10" hidden="1">{"rp_only",#N/A,FALSE,"2225"}</definedName>
    <definedName name="aasad" hidden="1">{"rp_only",#N/A,FALSE,"2225"}</definedName>
    <definedName name="aasad_1" localSheetId="10" hidden="1">{"rp_only",#N/A,FALSE,"2225"}</definedName>
    <definedName name="aasad_1" hidden="1">{"rp_only",#N/A,FALSE,"2225"}</definedName>
    <definedName name="aasasds" localSheetId="10" hidden="1">{"SCH1B",#N/A,FALSE,"Canada";"SCH2B",#N/A,FALSE,"Canada"}</definedName>
    <definedName name="aasasds" hidden="1">{"SCH1B",#N/A,FALSE,"Canada";"SCH2B",#N/A,FALSE,"Canada"}</definedName>
    <definedName name="AASD" localSheetId="10" hidden="1">{"rp_only",#N/A,FALSE,"2225"}</definedName>
    <definedName name="AASD" hidden="1">{"rp_only",#N/A,FALSE,"2225"}</definedName>
    <definedName name="AASD_1" localSheetId="10"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10"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10" hidden="1">{#N/A,#N/A,FALSE,"Cost Report";"Geology",#N/A,FALSE,"Cost Summary";"Geolgy Recon",#N/A,FALSE,"UG Geology Rep."}</definedName>
    <definedName name="abc" hidden="1">{#N/A,#N/A,FALSE,"Cost Report";"Geology",#N/A,FALSE,"Cost Summary";"Geolgy Recon",#N/A,FALSE,"UG Geology Rep."}</definedName>
    <definedName name="abc_1" localSheetId="10" hidden="1">{#N/A,#N/A,FALSE,"Cost Report";"Geology",#N/A,FALSE,"Cost Summary";"Geolgy Recon",#N/A,FALSE,"UG Geology Rep."}</definedName>
    <definedName name="abc_1" hidden="1">{#N/A,#N/A,FALSE,"Cost Report";"Geology",#N/A,FALSE,"Cost Summary";"Geolgy Recon",#N/A,FALSE,"UG Geology Rep."}</definedName>
    <definedName name="abcd" localSheetId="10"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localSheetId="10" hidden="1">{#N/A,#N/A,FALSE,"Aging Summary";#N/A,#N/A,FALSE,"Ratio Analysis";#N/A,#N/A,FALSE,"Test 120 Day Accts";#N/A,#N/A,FALSE,"Tickmarks"}</definedName>
    <definedName name="ac" hidden="1">{#N/A,#N/A,FALSE,"Aging Summary";#N/A,#N/A,FALSE,"Ratio Analysis";#N/A,#N/A,FALSE,"Test 120 Day Accts";#N/A,#N/A,FALSE,"Tickmarks"}</definedName>
    <definedName name="ac_1" localSheetId="10"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10" hidden="1">{#N/A,#N/A,FALSE,"特殊室（ＢＱ表）"}</definedName>
    <definedName name="ada" hidden="1">{#N/A,#N/A,FALSE,"特殊室（ＢＱ表）"}</definedName>
    <definedName name="adaa" localSheetId="10" hidden="1">{"with_oth_curr",#N/A,FALSE,"2225"}</definedName>
    <definedName name="adaa" hidden="1">{"with_oth_curr",#N/A,FALSE,"2225"}</definedName>
    <definedName name="adaa_1" localSheetId="10" hidden="1">{"with_oth_curr",#N/A,FALSE,"2225"}</definedName>
    <definedName name="adaa_1" hidden="1">{"with_oth_curr",#N/A,FALSE,"2225"}</definedName>
    <definedName name="adad" localSheetId="10" hidden="1">{"rp_only",#N/A,FALSE,"2225"}</definedName>
    <definedName name="adad" hidden="1">{"rp_only",#N/A,FALSE,"2225"}</definedName>
    <definedName name="adad_1" localSheetId="10" hidden="1">{"rp_only",#N/A,FALSE,"2225"}</definedName>
    <definedName name="adad_1" hidden="1">{"rp_only",#N/A,FALSE,"2225"}</definedName>
    <definedName name="adada" localSheetId="10" hidden="1">{"rp_only",#N/A,FALSE,"2225"}</definedName>
    <definedName name="adada" hidden="1">{"rp_only",#N/A,FALSE,"2225"}</definedName>
    <definedName name="adada_1" localSheetId="10" hidden="1">{"rp_only",#N/A,FALSE,"2225"}</definedName>
    <definedName name="adada_1" hidden="1">{"rp_only",#N/A,FALSE,"2225"}</definedName>
    <definedName name="adADADS" localSheetId="10" hidden="1">{"rp_only",#N/A,FALSE,"2225"}</definedName>
    <definedName name="adADADS" hidden="1">{"rp_only",#N/A,FALSE,"2225"}</definedName>
    <definedName name="adADADS_1" localSheetId="10" hidden="1">{"rp_only",#N/A,FALSE,"2225"}</definedName>
    <definedName name="adADADS_1" hidden="1">{"rp_only",#N/A,FALSE,"2225"}</definedName>
    <definedName name="adadas" localSheetId="10" hidden="1">{"rp_only",#N/A,FALSE,"2225"}</definedName>
    <definedName name="adadas" hidden="1">{"rp_only",#N/A,FALSE,"2225"}</definedName>
    <definedName name="adadas_1" localSheetId="10" hidden="1">{"rp_only",#N/A,FALSE,"2225"}</definedName>
    <definedName name="adadas_1" hidden="1">{"rp_only",#N/A,FALSE,"2225"}</definedName>
    <definedName name="adadasa" localSheetId="10" hidden="1">{"rp_only",#N/A,FALSE,"2225"}</definedName>
    <definedName name="adadasa" hidden="1">{"rp_only",#N/A,FALSE,"2225"}</definedName>
    <definedName name="adadasa_1" localSheetId="10" hidden="1">{"rp_only",#N/A,FALSE,"2225"}</definedName>
    <definedName name="adadasa_1" hidden="1">{"rp_only",#N/A,FALSE,"2225"}</definedName>
    <definedName name="adaddas" localSheetId="10" hidden="1">{"rp_only",#N/A,FALSE,"2225"}</definedName>
    <definedName name="adaddas" hidden="1">{"rp_only",#N/A,FALSE,"2225"}</definedName>
    <definedName name="adaddas_1" localSheetId="10" hidden="1">{"rp_only",#N/A,FALSE,"2225"}</definedName>
    <definedName name="adaddas_1" hidden="1">{"rp_only",#N/A,FALSE,"2225"}</definedName>
    <definedName name="adadf" localSheetId="10" hidden="1">{#N/A,#N/A,FALSE,"Aging Summary";#N/A,#N/A,FALSE,"Ratio Analysis";#N/A,#N/A,FALSE,"Test 120 Day Accts";#N/A,#N/A,FALSE,"Tickmarks"}</definedName>
    <definedName name="adadf" hidden="1">{#N/A,#N/A,FALSE,"Aging Summary";#N/A,#N/A,FALSE,"Ratio Analysis";#N/A,#N/A,FALSE,"Test 120 Day Accts";#N/A,#N/A,FALSE,"Tickmarks"}</definedName>
    <definedName name="adadfdsf" localSheetId="10" hidden="1">{"rp_only",#N/A,FALSE,"2225"}</definedName>
    <definedName name="adadfdsf" hidden="1">{"rp_only",#N/A,FALSE,"2225"}</definedName>
    <definedName name="adadfdsf_1" localSheetId="10" hidden="1">{"rp_only",#N/A,FALSE,"2225"}</definedName>
    <definedName name="adadfdsf_1" hidden="1">{"rp_only",#N/A,FALSE,"2225"}</definedName>
    <definedName name="ADADSAFSDF" localSheetId="10" hidden="1">{"rp_only",#N/A,FALSE,"2225"}</definedName>
    <definedName name="ADADSAFSDF" hidden="1">{"rp_only",#N/A,FALSE,"2225"}</definedName>
    <definedName name="ADADSAFSDF_1" localSheetId="10" hidden="1">{"rp_only",#N/A,FALSE,"2225"}</definedName>
    <definedName name="ADADSAFSDF_1" hidden="1">{"rp_only",#N/A,FALSE,"2225"}</definedName>
    <definedName name="adadsd" localSheetId="10" hidden="1">{"rp_only",#N/A,FALSE,"2225"}</definedName>
    <definedName name="adadsd" hidden="1">{"rp_only",#N/A,FALSE,"2225"}</definedName>
    <definedName name="adadsd_1" localSheetId="10" hidden="1">{"rp_only",#N/A,FALSE,"2225"}</definedName>
    <definedName name="adadsd_1" hidden="1">{"rp_only",#N/A,FALSE,"2225"}</definedName>
    <definedName name="adas" localSheetId="10" hidden="1">{"rp_only",#N/A,FALSE,"2225"}</definedName>
    <definedName name="adas" hidden="1">{"rp_only",#N/A,FALSE,"2225"}</definedName>
    <definedName name="adas_1" localSheetId="10" hidden="1">{"rp_only",#N/A,FALSE,"2225"}</definedName>
    <definedName name="adas_1" hidden="1">{"rp_only",#N/A,FALSE,"2225"}</definedName>
    <definedName name="adasda" localSheetId="10" hidden="1">{"rp_only",#N/A,FALSE,"2225"}</definedName>
    <definedName name="adasda" hidden="1">{"rp_only",#N/A,FALSE,"2225"}</definedName>
    <definedName name="adasda_1" localSheetId="10" hidden="1">{"rp_only",#N/A,FALSE,"2225"}</definedName>
    <definedName name="adasda_1" hidden="1">{"rp_only",#N/A,FALSE,"2225"}</definedName>
    <definedName name="adasdads" localSheetId="10" hidden="1">{"rp_only",#N/A,FALSE,"2225"}</definedName>
    <definedName name="adasdads" hidden="1">{"rp_only",#N/A,FALSE,"2225"}</definedName>
    <definedName name="adasdads_1" localSheetId="10" hidden="1">{"rp_only",#N/A,FALSE,"2225"}</definedName>
    <definedName name="adasdads_1" hidden="1">{"rp_only",#N/A,FALSE,"2225"}</definedName>
    <definedName name="adasdd" localSheetId="10" hidden="1">{"with_oth_curr",#N/A,FALSE,"2225"}</definedName>
    <definedName name="adasdd" hidden="1">{"with_oth_curr",#N/A,FALSE,"2225"}</definedName>
    <definedName name="adasdd_1" localSheetId="10" hidden="1">{"with_oth_curr",#N/A,FALSE,"2225"}</definedName>
    <definedName name="adasdd_1" hidden="1">{"with_oth_curr",#N/A,FALSE,"2225"}</definedName>
    <definedName name="adasdsasd" localSheetId="10" hidden="1">{"rp_only",#N/A,FALSE,"2225"}</definedName>
    <definedName name="adasdsasd" hidden="1">{"rp_only",#N/A,FALSE,"2225"}</definedName>
    <definedName name="adasdsasd_1" localSheetId="10" hidden="1">{"rp_only",#N/A,FALSE,"2225"}</definedName>
    <definedName name="adasdsasd_1" hidden="1">{"rp_only",#N/A,FALSE,"2225"}</definedName>
    <definedName name="adaSDSD" localSheetId="10" hidden="1">{"rp_only",#N/A,FALSE,"2225"}</definedName>
    <definedName name="adaSDSD" hidden="1">{"rp_only",#N/A,FALSE,"2225"}</definedName>
    <definedName name="adaSDSD_1" localSheetId="10" hidden="1">{"rp_only",#N/A,FALSE,"2225"}</definedName>
    <definedName name="adaSDSD_1" hidden="1">{"rp_only",#N/A,FALSE,"2225"}</definedName>
    <definedName name="ADASF" localSheetId="10" hidden="1">{"rp_only",#N/A,FALSE,"2225"}</definedName>
    <definedName name="ADASF" hidden="1">{"rp_only",#N/A,FALSE,"2225"}</definedName>
    <definedName name="ADASF_1" localSheetId="10" hidden="1">{"rp_only",#N/A,FALSE,"2225"}</definedName>
    <definedName name="ADASF_1" hidden="1">{"rp_only",#N/A,FALSE,"2225"}</definedName>
    <definedName name="ADCD" localSheetId="10"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10" hidden="1">{"rp_only",#N/A,FALSE,"2225"}</definedName>
    <definedName name="ADdasdasd" hidden="1">{"rp_only",#N/A,FALSE,"2225"}</definedName>
    <definedName name="ADdasdasd_1" localSheetId="10" hidden="1">{"rp_only",#N/A,FALSE,"2225"}</definedName>
    <definedName name="ADdasdasd_1" hidden="1">{"rp_only",#N/A,FALSE,"2225"}</definedName>
    <definedName name="addg" localSheetId="10" hidden="1">{#N/A,#N/A,FALSE,"CBE";#N/A,#N/A,FALSE,"SWK"}</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localSheetId="10"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10"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10"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10" hidden="1">{"rp_only",#N/A,FALSE,"2225"}</definedName>
    <definedName name="adfsadf" hidden="1">{"rp_only",#N/A,FALSE,"2225"}</definedName>
    <definedName name="adfsadf_1" localSheetId="10" hidden="1">{"rp_only",#N/A,FALSE,"2225"}</definedName>
    <definedName name="adfsadf_1" hidden="1">{"rp_only",#N/A,FALSE,"2225"}</definedName>
    <definedName name="adhie">#REF!</definedName>
    <definedName name="adhlhp"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localSheetId="10" hidden="1">{#N/A,#N/A,FALSE,"Aging Summary";#N/A,#N/A,FALSE,"Ratio Analysis";#N/A,#N/A,FALSE,"Test 120 Day Accts";#N/A,#N/A,FALSE,"Tickmarks"}</definedName>
    <definedName name="Adjusment" hidden="1">{#N/A,#N/A,FALSE,"Aging Summary";#N/A,#N/A,FALSE,"Ratio Analysis";#N/A,#N/A,FALSE,"Test 120 Day Accts";#N/A,#N/A,FALSE,"Tickmarks"}</definedName>
    <definedName name="Admin">#REF!</definedName>
    <definedName name="adra">#REF!</definedName>
    <definedName name="adrate">#REF!</definedName>
    <definedName name="ads" localSheetId="10" hidden="1">{"rp_only",#N/A,FALSE,"2225"}</definedName>
    <definedName name="ads" hidden="1">{"rp_only",#N/A,FALSE,"2225"}</definedName>
    <definedName name="ads_1" localSheetId="10" hidden="1">{"rp_only",#N/A,FALSE,"2225"}</definedName>
    <definedName name="ads_1" hidden="1">{"rp_only",#N/A,FALSE,"2225"}</definedName>
    <definedName name="adsa" localSheetId="10" hidden="1">{"with_oth_curr",#N/A,FALSE,"2225"}</definedName>
    <definedName name="adsa" hidden="1">{"with_oth_curr",#N/A,FALSE,"2225"}</definedName>
    <definedName name="adsa_1" localSheetId="10" hidden="1">{"with_oth_curr",#N/A,FALSE,"2225"}</definedName>
    <definedName name="adsa_1" hidden="1">{"with_oth_curr",#N/A,FALSE,"2225"}</definedName>
    <definedName name="ADSAAA" localSheetId="10" hidden="1">{"rp_only",#N/A,FALSE,"2225"}</definedName>
    <definedName name="ADSAAA" hidden="1">{"rp_only",#N/A,FALSE,"2225"}</definedName>
    <definedName name="ADSAAA_1" localSheetId="10" hidden="1">{"rp_only",#N/A,FALSE,"2225"}</definedName>
    <definedName name="ADSAAA_1" hidden="1">{"rp_only",#N/A,FALSE,"2225"}</definedName>
    <definedName name="adsad" localSheetId="10" hidden="1">{"rp_only",#N/A,FALSE,"2225"}</definedName>
    <definedName name="adsad" hidden="1">{"rp_only",#N/A,FALSE,"2225"}</definedName>
    <definedName name="adsad_1" localSheetId="10" hidden="1">{"rp_only",#N/A,FALSE,"2225"}</definedName>
    <definedName name="adsad_1" hidden="1">{"rp_only",#N/A,FALSE,"2225"}</definedName>
    <definedName name="ADSAda" localSheetId="10" hidden="1">{"with_oth_curr",#N/A,FALSE,"2225"}</definedName>
    <definedName name="ADSAda" hidden="1">{"with_oth_curr",#N/A,FALSE,"2225"}</definedName>
    <definedName name="ADSAda_1" localSheetId="10" hidden="1">{"with_oth_curr",#N/A,FALSE,"2225"}</definedName>
    <definedName name="ADSAda_1" hidden="1">{"with_oth_curr",#N/A,FALSE,"2225"}</definedName>
    <definedName name="adsadasd" localSheetId="10" hidden="1">{"rp_only",#N/A,FALSE,"2225"}</definedName>
    <definedName name="adsadasd" hidden="1">{"rp_only",#N/A,FALSE,"2225"}</definedName>
    <definedName name="adsadasd_1" localSheetId="10" hidden="1">{"rp_only",#N/A,FALSE,"2225"}</definedName>
    <definedName name="adsadasd_1" hidden="1">{"rp_only",#N/A,FALSE,"2225"}</definedName>
    <definedName name="adsadsdsa" localSheetId="10" hidden="1">{"rp_only",#N/A,FALSE,"2225"}</definedName>
    <definedName name="adsadsdsa" hidden="1">{"rp_only",#N/A,FALSE,"2225"}</definedName>
    <definedName name="adsadsdsa_1" localSheetId="10" hidden="1">{"rp_only",#N/A,FALSE,"2225"}</definedName>
    <definedName name="adsadsdsa_1" hidden="1">{"rp_only",#N/A,FALSE,"2225"}</definedName>
    <definedName name="adsaf" localSheetId="10" hidden="1">{"rp_only",#N/A,FALSE,"2225"}</definedName>
    <definedName name="adsaf" hidden="1">{"rp_only",#N/A,FALSE,"2225"}</definedName>
    <definedName name="adsaf_1" localSheetId="10" hidden="1">{"rp_only",#N/A,FALSE,"2225"}</definedName>
    <definedName name="adsaf_1" hidden="1">{"rp_only",#N/A,FALSE,"2225"}</definedName>
    <definedName name="aDSAGFDSD" localSheetId="10" hidden="1">{"with_oth_curr",#N/A,FALSE,"2225"}</definedName>
    <definedName name="aDSAGFDSD" hidden="1">{"with_oth_curr",#N/A,FALSE,"2225"}</definedName>
    <definedName name="aDSAGFDSD_1" localSheetId="10" hidden="1">{"with_oth_curr",#N/A,FALSE,"2225"}</definedName>
    <definedName name="aDSAGFDSD_1" hidden="1">{"with_oth_curr",#N/A,FALSE,"2225"}</definedName>
    <definedName name="adsas" localSheetId="10" hidden="1">{"with_oth_curr",#N/A,FALSE,"2225"}</definedName>
    <definedName name="adsas" hidden="1">{"with_oth_curr",#N/A,FALSE,"2225"}</definedName>
    <definedName name="adsas_1" localSheetId="10" hidden="1">{"with_oth_curr",#N/A,FALSE,"2225"}</definedName>
    <definedName name="adsas_1" hidden="1">{"with_oth_curr",#N/A,FALSE,"2225"}</definedName>
    <definedName name="ADSASDA" localSheetId="10" hidden="1">{"rp_only",#N/A,FALSE,"2225"}</definedName>
    <definedName name="ADSASDA" hidden="1">{"rp_only",#N/A,FALSE,"2225"}</definedName>
    <definedName name="ADSASDA_1" localSheetId="10" hidden="1">{"rp_only",#N/A,FALSE,"2225"}</definedName>
    <definedName name="ADSASDA_1" hidden="1">{"rp_only",#N/A,FALSE,"2225"}</definedName>
    <definedName name="adsasdsadsad" localSheetId="10" hidden="1">{"rp_only",#N/A,FALSE,"2225"}</definedName>
    <definedName name="adsasdsadsad" hidden="1">{"rp_only",#N/A,FALSE,"2225"}</definedName>
    <definedName name="adsasdsadsad_1" localSheetId="10" hidden="1">{"rp_only",#N/A,FALSE,"2225"}</definedName>
    <definedName name="adsasdsadsad_1" hidden="1">{"rp_only",#N/A,FALSE,"2225"}</definedName>
    <definedName name="adsda" localSheetId="10" hidden="1">{"rp_only",#N/A,FALSE,"2225"}</definedName>
    <definedName name="adsda" hidden="1">{"rp_only",#N/A,FALSE,"2225"}</definedName>
    <definedName name="adsda_1" localSheetId="10" hidden="1">{"rp_only",#N/A,FALSE,"2225"}</definedName>
    <definedName name="adsda_1" hidden="1">{"rp_only",#N/A,FALSE,"2225"}</definedName>
    <definedName name="adsdaas" localSheetId="10" hidden="1">{"with_oth_curr",#N/A,FALSE,"2225"}</definedName>
    <definedName name="adsdaas" hidden="1">{"with_oth_curr",#N/A,FALSE,"2225"}</definedName>
    <definedName name="adsdaas_1" localSheetId="10" hidden="1">{"with_oth_curr",#N/A,FALSE,"2225"}</definedName>
    <definedName name="adsdaas_1" hidden="1">{"with_oth_curr",#N/A,FALSE,"2225"}</definedName>
    <definedName name="adsdasdas" localSheetId="10" hidden="1">{"with_oth_curr",#N/A,FALSE,"2225"}</definedName>
    <definedName name="adsdasdas" hidden="1">{"with_oth_curr",#N/A,FALSE,"2225"}</definedName>
    <definedName name="adsdasdas_1" localSheetId="10" hidden="1">{"with_oth_curr",#N/A,FALSE,"2225"}</definedName>
    <definedName name="adsdasdas_1" hidden="1">{"with_oth_curr",#N/A,FALSE,"2225"}</definedName>
    <definedName name="adsdasdfdsfdfs" localSheetId="10" hidden="1">{"rp_only",#N/A,FALSE,"2225"}</definedName>
    <definedName name="adsdasdfdsfdfs" hidden="1">{"rp_only",#N/A,FALSE,"2225"}</definedName>
    <definedName name="adsdasdfdsfdfs_1" localSheetId="10" hidden="1">{"rp_only",#N/A,FALSE,"2225"}</definedName>
    <definedName name="adsdasdfdsfdfs_1" hidden="1">{"rp_only",#N/A,FALSE,"2225"}</definedName>
    <definedName name="adsdsa" localSheetId="10" hidden="1">{"rp_only",#N/A,FALSE,"2225"}</definedName>
    <definedName name="adsdsa" hidden="1">{"rp_only",#N/A,FALSE,"2225"}</definedName>
    <definedName name="adsdsa_1" localSheetId="10" hidden="1">{"rp_only",#N/A,FALSE,"2225"}</definedName>
    <definedName name="adsdsa_1" hidden="1">{"rp_only",#N/A,FALSE,"2225"}</definedName>
    <definedName name="adsdsaf" localSheetId="10" hidden="1">{"with_oth_curr",#N/A,FALSE,"2225"}</definedName>
    <definedName name="adsdsaf" hidden="1">{"with_oth_curr",#N/A,FALSE,"2225"}</definedName>
    <definedName name="adsdsaf_1" localSheetId="10" hidden="1">{"with_oth_curr",#N/A,FALSE,"2225"}</definedName>
    <definedName name="adsdsaf_1" hidden="1">{"with_oth_curr",#N/A,FALSE,"2225"}</definedName>
    <definedName name="adsdsasda" localSheetId="10" hidden="1">{"rp_only",#N/A,FALSE,"2225"}</definedName>
    <definedName name="adsdsasda" hidden="1">{"rp_only",#N/A,FALSE,"2225"}</definedName>
    <definedName name="adsdsasda_1" localSheetId="10" hidden="1">{"rp_only",#N/A,FALSE,"2225"}</definedName>
    <definedName name="adsdsasda_1" hidden="1">{"rp_only",#N/A,FALSE,"2225"}</definedName>
    <definedName name="adssa" localSheetId="10" hidden="1">{"rp_only",#N/A,FALSE,"2225"}</definedName>
    <definedName name="adssa" hidden="1">{"rp_only",#N/A,FALSE,"2225"}</definedName>
    <definedName name="adssa_1" localSheetId="10" hidden="1">{"rp_only",#N/A,FALSE,"2225"}</definedName>
    <definedName name="adssa_1" hidden="1">{"rp_only",#N/A,FALSE,"2225"}</definedName>
    <definedName name="adssddsa" localSheetId="10" hidden="1">{"rp_only",#N/A,FALSE,"2225"}</definedName>
    <definedName name="adssddsa" hidden="1">{"rp_only",#N/A,FALSE,"2225"}</definedName>
    <definedName name="adssddsa_1" localSheetId="10"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localSheetId="10" hidden="1">{"with_oth_curr",#N/A,FALSE,"2225"}</definedName>
    <definedName name="ae" hidden="1">{"with_oth_curr",#N/A,FALSE,"2225"}</definedName>
    <definedName name="ae_1" localSheetId="10" hidden="1">{"with_oth_curr",#N/A,FALSE,"2225"}</definedName>
    <definedName name="ae_1" hidden="1">{"with_oth_curr",#N/A,FALSE,"2225"}</definedName>
    <definedName name="AER_2005">#REF!</definedName>
    <definedName name="AER_budget">#REF!</definedName>
    <definedName name="af"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10" hidden="1">{"rp_only",#N/A,FALSE,"2225"}</definedName>
    <definedName name="afadsffsad" hidden="1">{"rp_only",#N/A,FALSE,"2225"}</definedName>
    <definedName name="afadsffsad_1" localSheetId="10" hidden="1">{"rp_only",#N/A,FALSE,"2225"}</definedName>
    <definedName name="afadsffsad_1" hidden="1">{"rp_only",#N/A,FALSE,"2225"}</definedName>
    <definedName name="afaffa" localSheetId="10" hidden="1">{"rp_only",#N/A,FALSE,"2225"}</definedName>
    <definedName name="afaffa" hidden="1">{"rp_only",#N/A,FALSE,"2225"}</definedName>
    <definedName name="afaffa_1" localSheetId="10" hidden="1">{"rp_only",#N/A,FALSE,"2225"}</definedName>
    <definedName name="afaffa_1" hidden="1">{"rp_only",#N/A,FALSE,"2225"}</definedName>
    <definedName name="afas" localSheetId="10" hidden="1">{"with_oth_curr",#N/A,FALSE,"2225"}</definedName>
    <definedName name="afas" hidden="1">{"with_oth_curr",#N/A,FALSE,"2225"}</definedName>
    <definedName name="afas_1" localSheetId="10" hidden="1">{"with_oth_curr",#N/A,FALSE,"2225"}</definedName>
    <definedName name="afas_1" hidden="1">{"with_oth_curr",#N/A,FALSE,"2225"}</definedName>
    <definedName name="afdasgh" localSheetId="10" hidden="1">{#N/A,#N/A,FALSE,"CCTV"}</definedName>
    <definedName name="afdasgh" hidden="1">{#N/A,#N/A,FALSE,"CCTV"}</definedName>
    <definedName name="afdsad" localSheetId="10" hidden="1">{"with_oth_curr",#N/A,FALSE,"2225"}</definedName>
    <definedName name="afdsad" hidden="1">{"with_oth_curr",#N/A,FALSE,"2225"}</definedName>
    <definedName name="afdsad_1" localSheetId="10" hidden="1">{"with_oth_curr",#N/A,FALSE,"2225"}</definedName>
    <definedName name="afdsad_1" hidden="1">{"with_oth_curr",#N/A,FALSE,"2225"}</definedName>
    <definedName name="afdsadfdsf" localSheetId="10" hidden="1">{"with_oth_curr",#N/A,FALSE,"2225"}</definedName>
    <definedName name="afdsadfdsf" hidden="1">{"with_oth_curr",#N/A,FALSE,"2225"}</definedName>
    <definedName name="afdsadfdsf_1" localSheetId="10" hidden="1">{"with_oth_curr",#N/A,FALSE,"2225"}</definedName>
    <definedName name="afdsadfdsf_1" hidden="1">{"with_oth_curr",#N/A,FALSE,"2225"}</definedName>
    <definedName name="afdsf" localSheetId="10" hidden="1">{"with_oth_curr",#N/A,FALSE,"2225"}</definedName>
    <definedName name="afdsf" hidden="1">{"with_oth_curr",#N/A,FALSE,"2225"}</definedName>
    <definedName name="afdsf_1" localSheetId="10" hidden="1">{"with_oth_curr",#N/A,FALSE,"2225"}</definedName>
    <definedName name="afdsf_1" hidden="1">{"with_oth_curr",#N/A,FALSE,"2225"}</definedName>
    <definedName name="afdsfdg" localSheetId="10" hidden="1">{#N/A,#N/A,FALSE,"CCTV"}</definedName>
    <definedName name="afdsfdg" hidden="1">{#N/A,#N/A,FALSE,"CCTV"}</definedName>
    <definedName name="afffgff" localSheetId="10" hidden="1">{#N/A,#N/A,FALSE,"CCTV"}</definedName>
    <definedName name="afffgff" hidden="1">{#N/A,#N/A,FALSE,"CCTV"}</definedName>
    <definedName name="afs" localSheetId="10" hidden="1">{"rp_only",#N/A,FALSE,"2225"}</definedName>
    <definedName name="afs" hidden="1">{"rp_only",#N/A,FALSE,"2225"}</definedName>
    <definedName name="afs_1" localSheetId="10" hidden="1">{"rp_only",#N/A,FALSE,"2225"}</definedName>
    <definedName name="afs_1" hidden="1">{"rp_only",#N/A,FALSE,"2225"}</definedName>
    <definedName name="AFS_notes_print_area">#REF!</definedName>
    <definedName name="AFS_print_area">#REF!</definedName>
    <definedName name="AFSD" localSheetId="10" hidden="1">{"rp_only",#N/A,FALSE,"2225"}</definedName>
    <definedName name="AFSD" hidden="1">{"rp_only",#N/A,FALSE,"2225"}</definedName>
    <definedName name="AFSD_1" localSheetId="10"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localSheetId="10" hidden="1">{"adj95mult",#N/A,FALSE,"COMPCO";"adj95est",#N/A,FALSE,"COMPCO"}</definedName>
    <definedName name="agag" hidden="1">{"adj95mult",#N/A,FALSE,"COMPCO";"adj95est",#N/A,FALSE,"COMPCO"}</definedName>
    <definedName name="agag_1" localSheetId="10" hidden="1">{"adj95mult",#N/A,FALSE,"COMPCO";"adj95est",#N/A,FALSE,"COMPCO"}</definedName>
    <definedName name="agag_1" hidden="1">{"adj95mult",#N/A,FALSE,"COMPCO";"adj95est",#N/A,FALSE,"COMPCO"}</definedName>
    <definedName name="agasgadsfg" localSheetId="10" hidden="1">{"rp_only",#N/A,FALSE,"2225"}</definedName>
    <definedName name="agasgadsfg" hidden="1">{"rp_only",#N/A,FALSE,"2225"}</definedName>
    <definedName name="agasgadsfg_1" localSheetId="10" hidden="1">{"rp_only",#N/A,FALSE,"2225"}</definedName>
    <definedName name="agasgadsfg_1" hidden="1">{"rp_only",#N/A,FALSE,"2225"}</definedName>
    <definedName name="age" localSheetId="10" hidden="1">{#N/A,#N/A,FALSE,"Aging Summary";#N/A,#N/A,FALSE,"Ratio Analysis";#N/A,#N/A,FALSE,"Test 120 Day Accts";#N/A,#N/A,FALSE,"Tickmarks"}</definedName>
    <definedName name="age" hidden="1">{#N/A,#N/A,FALSE,"Aging Summary";#N/A,#N/A,FALSE,"Ratio Analysis";#N/A,#N/A,FALSE,"Test 120 Day Accts";#N/A,#N/A,FALSE,"Tickmarks"}</definedName>
    <definedName name="age_1" localSheetId="10"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localSheetId="10" hidden="1">{"rp_only",#N/A,FALSE,"2225"}</definedName>
    <definedName name="aggfafsagfasdfg" hidden="1">{"rp_only",#N/A,FALSE,"2225"}</definedName>
    <definedName name="aggfafsagfasdfg_1" localSheetId="10"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localSheetId="10"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 localSheetId="10">BLCH</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 localSheetId="10">BLCH</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localSheetId="10" hidden="1">{#N/A,#N/A,FALSE,"Aging Summary";#N/A,#N/A,FALSE,"Ratio Analysis";#N/A,#N/A,FALSE,"Test 120 Day Accts";#N/A,#N/A,FALSE,"Tickmarks"}</definedName>
    <definedName name="ale" hidden="1">{#N/A,#N/A,FALSE,"Aging Summary";#N/A,#N/A,FALSE,"Ratio Analysis";#N/A,#N/A,FALSE,"Test 120 Day Accts";#N/A,#N/A,FALSE,"Tickmarks"}</definedName>
    <definedName name="ALI" localSheetId="10" hidden="1">{"'Feb 99'!$A$1:$G$30"}</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localSheetId="10"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localSheetId="10" hidden="1">{"Area1",#N/A,TRUE,"Obiettivo";"Area2",#N/A,TRUE,"Dati per Direzione"}</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localSheetId="10"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localSheetId="10" hidden="1">{#N/A,#N/A,FALSE,"DATA"}</definedName>
    <definedName name="apa" hidden="1">{#N/A,#N/A,FALSE,"DATA"}</definedName>
    <definedName name="apa_1" localSheetId="10" hidden="1">{#N/A,#N/A,FALSE,"DATA"}</definedName>
    <definedName name="apa_1" hidden="1">{#N/A,#N/A,FALSE,"DATA"}</definedName>
    <definedName name="APAFFBB">#REF!</definedName>
    <definedName name="apak" localSheetId="10" hidden="1">{"SCH1A",#N/A,FALSE,"US";"SCH2A",#N/A,FALSE,"US"}</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10"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 localSheetId="10">{"Book1","4.09 FLORA DAN FAUNA.xls","4.22 PERLENGKAPAN SEKOLAH.xls"}</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localSheetId="10" hidden="1">{#N/A,#N/A,FALSE,"Aging Summary";#N/A,#N/A,FALSE,"Ratio Analysis";#N/A,#N/A,FALSE,"Test 120 Day Accts";#N/A,#N/A,FALSE,"Tickmarks"}</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localSheetId="10" hidden="1">{"rp_only",#N/A,FALSE,"2225"}</definedName>
    <definedName name="ASAAADS" hidden="1">{"rp_only",#N/A,FALSE,"2225"}</definedName>
    <definedName name="ASAAADS_1" localSheetId="10" hidden="1">{"rp_only",#N/A,FALSE,"2225"}</definedName>
    <definedName name="ASAAADS_1" hidden="1">{"rp_only",#N/A,FALSE,"2225"}</definedName>
    <definedName name="asaads" localSheetId="10" hidden="1">{"rp_only",#N/A,FALSE,"2225"}</definedName>
    <definedName name="asaads" hidden="1">{"rp_only",#N/A,FALSE,"2225"}</definedName>
    <definedName name="asaads_1" localSheetId="10" hidden="1">{"rp_only",#N/A,FALSE,"2225"}</definedName>
    <definedName name="asaads_1" hidden="1">{"rp_only",#N/A,FALSE,"2225"}</definedName>
    <definedName name="asad" localSheetId="10" hidden="1">{"rp_only",#N/A,FALSE,"2225"}</definedName>
    <definedName name="asad" hidden="1">{"rp_only",#N/A,FALSE,"2225"}</definedName>
    <definedName name="asad_1" localSheetId="10" hidden="1">{"rp_only",#N/A,FALSE,"2225"}</definedName>
    <definedName name="asad_1" hidden="1">{"rp_only",#N/A,FALSE,"2225"}</definedName>
    <definedName name="ASADA" localSheetId="10" hidden="1">{"with_oth_curr",#N/A,FALSE,"2225"}</definedName>
    <definedName name="ASADA" hidden="1">{"with_oth_curr",#N/A,FALSE,"2225"}</definedName>
    <definedName name="ASADA_1" localSheetId="10" hidden="1">{"with_oth_curr",#N/A,FALSE,"2225"}</definedName>
    <definedName name="ASADA_1" hidden="1">{"with_oth_curr",#N/A,FALSE,"2225"}</definedName>
    <definedName name="asadffg" localSheetId="10" hidden="1">{"with_oth_curr",#N/A,FALSE,"2225"}</definedName>
    <definedName name="asadffg" hidden="1">{"with_oth_curr",#N/A,FALSE,"2225"}</definedName>
    <definedName name="asadffg_1" localSheetId="10" hidden="1">{"with_oth_curr",#N/A,FALSE,"2225"}</definedName>
    <definedName name="asadffg_1" hidden="1">{"with_oth_curr",#N/A,FALSE,"2225"}</definedName>
    <definedName name="asadsa" localSheetId="10" hidden="1">{"with_oth_curr",#N/A,FALSE,"2225"}</definedName>
    <definedName name="asadsa" hidden="1">{"with_oth_curr",#N/A,FALSE,"2225"}</definedName>
    <definedName name="asadsa_1" localSheetId="10" hidden="1">{"with_oth_curr",#N/A,FALSE,"2225"}</definedName>
    <definedName name="asadsa_1" hidden="1">{"with_oth_curr",#N/A,FALSE,"2225"}</definedName>
    <definedName name="asakdsjjk" localSheetId="10" hidden="1">{"rp_only",#N/A,FALSE,"2225"}</definedName>
    <definedName name="asakdsjjk" hidden="1">{"rp_only",#N/A,FALSE,"2225"}</definedName>
    <definedName name="asakdsjjk_1" localSheetId="10" hidden="1">{"rp_only",#N/A,FALSE,"2225"}</definedName>
    <definedName name="asakdsjjk_1" hidden="1">{"rp_only",#N/A,FALSE,"2225"}</definedName>
    <definedName name="ASANAFTA" localSheetId="10">BLCH</definedName>
    <definedName name="ASANAFTA">BLCH</definedName>
    <definedName name="asaS">#N/A</definedName>
    <definedName name="asasdasdads" localSheetId="10" hidden="1">{"rp_only",#N/A,FALSE,"2225"}</definedName>
    <definedName name="asasdasdads" hidden="1">{"rp_only",#N/A,FALSE,"2225"}</definedName>
    <definedName name="asasdasdads_1" localSheetId="10" hidden="1">{"rp_only",#N/A,FALSE,"2225"}</definedName>
    <definedName name="asasdasdads_1" hidden="1">{"rp_only",#N/A,FALSE,"2225"}</definedName>
    <definedName name="asasdsad" localSheetId="10" hidden="1">{"with_oth_curr",#N/A,FALSE,"2225"}</definedName>
    <definedName name="asasdsad" hidden="1">{"with_oth_curr",#N/A,FALSE,"2225"}</definedName>
    <definedName name="asasdsad_1" localSheetId="10" hidden="1">{"with_oth_curr",#N/A,FALSE,"2225"}</definedName>
    <definedName name="asasdsad_1" hidden="1">{"with_oth_curr",#N/A,FALSE,"2225"}</definedName>
    <definedName name="asass" localSheetId="10" hidden="1">{"rp_only",#N/A,FALSE,"2225"}</definedName>
    <definedName name="asass" hidden="1">{"rp_only",#N/A,FALSE,"2225"}</definedName>
    <definedName name="asass_1" localSheetId="10" hidden="1">{"rp_only",#N/A,FALSE,"2225"}</definedName>
    <definedName name="asass_1" hidden="1">{"rp_only",#N/A,FALSE,"2225"}</definedName>
    <definedName name="asaw" localSheetId="10" hidden="1">{"with_oth_curr",#N/A,FALSE,"2225"}</definedName>
    <definedName name="asaw" hidden="1">{"with_oth_curr",#N/A,FALSE,"2225"}</definedName>
    <definedName name="asaw_1" localSheetId="10"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localSheetId="10" hidden="1">{"rp_only",#N/A,FALSE,"2225"}</definedName>
    <definedName name="ASDAA" hidden="1">{"rp_only",#N/A,FALSE,"2225"}</definedName>
    <definedName name="ASDAA_1" localSheetId="10" hidden="1">{"rp_only",#N/A,FALSE,"2225"}</definedName>
    <definedName name="ASDAA_1" hidden="1">{"rp_only",#N/A,FALSE,"2225"}</definedName>
    <definedName name="asdad" localSheetId="10" hidden="1">{"rp_only",#N/A,FALSE,"2225"}</definedName>
    <definedName name="asdad" hidden="1">{"rp_only",#N/A,FALSE,"2225"}</definedName>
    <definedName name="asdad_1" localSheetId="10" hidden="1">{"rp_only",#N/A,FALSE,"2225"}</definedName>
    <definedName name="asdad_1" hidden="1">{"rp_only",#N/A,FALSE,"2225"}</definedName>
    <definedName name="asdada" localSheetId="10" hidden="1">{#N/A,#N/A,FALSE,"特殊室（ＢＱ表）"}</definedName>
    <definedName name="asdada" hidden="1">{#N/A,#N/A,FALSE,"特殊室（ＢＱ表）"}</definedName>
    <definedName name="asdada_1" localSheetId="10" hidden="1">{"rp_only",#N/A,FALSE,"2225"}</definedName>
    <definedName name="asdada_1" hidden="1">{"rp_only",#N/A,FALSE,"2225"}</definedName>
    <definedName name="asdadad" localSheetId="10" hidden="1">{"with_oth_curr",#N/A,FALSE,"2225"}</definedName>
    <definedName name="asdadad" hidden="1">{"with_oth_curr",#N/A,FALSE,"2225"}</definedName>
    <definedName name="asdadad_1" localSheetId="10" hidden="1">{"with_oth_curr",#N/A,FALSE,"2225"}</definedName>
    <definedName name="asdadad_1" hidden="1">{"with_oth_curr",#N/A,FALSE,"2225"}</definedName>
    <definedName name="asdadas" localSheetId="10" hidden="1">{"rp_only",#N/A,FALSE,"2225"}</definedName>
    <definedName name="asdadas" hidden="1">{"rp_only",#N/A,FALSE,"2225"}</definedName>
    <definedName name="asdadas_1" localSheetId="10" hidden="1">{"rp_only",#N/A,FALSE,"2225"}</definedName>
    <definedName name="asdadas_1" hidden="1">{"rp_only",#N/A,FALSE,"2225"}</definedName>
    <definedName name="asdadasd" localSheetId="10" hidden="1">{"rp_only",#N/A,FALSE,"2225"}</definedName>
    <definedName name="asdadasd" hidden="1">{"rp_only",#N/A,FALSE,"2225"}</definedName>
    <definedName name="asdadasd_1" localSheetId="10" hidden="1">{"rp_only",#N/A,FALSE,"2225"}</definedName>
    <definedName name="asdadasd_1" hidden="1">{"rp_only",#N/A,FALSE,"2225"}</definedName>
    <definedName name="asdadasdaadadadadada">#REF!</definedName>
    <definedName name="asdadd" localSheetId="10" hidden="1">{"rp_only",#N/A,FALSE,"2225"}</definedName>
    <definedName name="asdadd" hidden="1">{"rp_only",#N/A,FALSE,"2225"}</definedName>
    <definedName name="asdadd_1" localSheetId="10" hidden="1">{"rp_only",#N/A,FALSE,"2225"}</definedName>
    <definedName name="asdadd_1" hidden="1">{"rp_only",#N/A,FALSE,"2225"}</definedName>
    <definedName name="asdaddsa" localSheetId="10" hidden="1">{"with_oth_curr",#N/A,FALSE,"2225"}</definedName>
    <definedName name="asdaddsa" hidden="1">{"with_oth_curr",#N/A,FALSE,"2225"}</definedName>
    <definedName name="asdaddsa_1" localSheetId="10" hidden="1">{"with_oth_curr",#N/A,FALSE,"2225"}</definedName>
    <definedName name="asdaddsa_1" hidden="1">{"with_oth_curr",#N/A,FALSE,"2225"}</definedName>
    <definedName name="asdadfsadasdf" localSheetId="10" hidden="1">{"with_oth_curr",#N/A,FALSE,"2225"}</definedName>
    <definedName name="asdadfsadasdf" hidden="1">{"with_oth_curr",#N/A,FALSE,"2225"}</definedName>
    <definedName name="asdadfsadasdf_1" localSheetId="10" hidden="1">{"with_oth_curr",#N/A,FALSE,"2225"}</definedName>
    <definedName name="asdadfsadasdf_1" hidden="1">{"with_oth_curr",#N/A,FALSE,"2225"}</definedName>
    <definedName name="asdads" localSheetId="10" hidden="1">{"rp_only",#N/A,FALSE,"2225"}</definedName>
    <definedName name="asdads" hidden="1">{"rp_only",#N/A,FALSE,"2225"}</definedName>
    <definedName name="asdads_1" localSheetId="10" hidden="1">{"rp_only",#N/A,FALSE,"2225"}</definedName>
    <definedName name="asdads_1" hidden="1">{"rp_only",#N/A,FALSE,"2225"}</definedName>
    <definedName name="asdadsa" localSheetId="10" hidden="1">{"rp_only",#N/A,FALSE,"2225"}</definedName>
    <definedName name="asdadsa" hidden="1">{"rp_only",#N/A,FALSE,"2225"}</definedName>
    <definedName name="asdadsa_1" localSheetId="10" hidden="1">{"rp_only",#N/A,FALSE,"2225"}</definedName>
    <definedName name="asdadsa_1" hidden="1">{"rp_only",#N/A,FALSE,"2225"}</definedName>
    <definedName name="asdadsd" localSheetId="10" hidden="1">{"with_oth_curr",#N/A,FALSE,"2225"}</definedName>
    <definedName name="asdadsd" hidden="1">{"with_oth_curr",#N/A,FALSE,"2225"}</definedName>
    <definedName name="asdadsd_1" localSheetId="10" hidden="1">{"with_oth_curr",#N/A,FALSE,"2225"}</definedName>
    <definedName name="asdadsd_1" hidden="1">{"with_oth_curr",#N/A,FALSE,"2225"}</definedName>
    <definedName name="asdadssa" localSheetId="10" hidden="1">{"rp_only",#N/A,FALSE,"2225"}</definedName>
    <definedName name="asdadssa" hidden="1">{"rp_only",#N/A,FALSE,"2225"}</definedName>
    <definedName name="asdadssa_1" localSheetId="10" hidden="1">{"rp_only",#N/A,FALSE,"2225"}</definedName>
    <definedName name="asdadssa_1" hidden="1">{"rp_only",#N/A,FALSE,"2225"}</definedName>
    <definedName name="asdadssfasf" localSheetId="10" hidden="1">{"with_oth_curr",#N/A,FALSE,"2225"}</definedName>
    <definedName name="asdadssfasf" hidden="1">{"with_oth_curr",#N/A,FALSE,"2225"}</definedName>
    <definedName name="asdadssfasf_1" localSheetId="10" hidden="1">{"with_oth_curr",#N/A,FALSE,"2225"}</definedName>
    <definedName name="asdadssfasf_1" hidden="1">{"with_oth_curr",#N/A,FALSE,"2225"}</definedName>
    <definedName name="asdafsdf" hidden="1">#REF!</definedName>
    <definedName name="asdasadasd" localSheetId="10" hidden="1">{"rp_only",#N/A,FALSE,"2225"}</definedName>
    <definedName name="asdasadasd" hidden="1">{"rp_only",#N/A,FALSE,"2225"}</definedName>
    <definedName name="asdasadasd_1" localSheetId="10" hidden="1">{"rp_only",#N/A,FALSE,"2225"}</definedName>
    <definedName name="asdasadasd_1" hidden="1">{"rp_only",#N/A,FALSE,"2225"}</definedName>
    <definedName name="asdasd" localSheetId="10" hidden="1">{"with_oth_curr",#N/A,FALSE,"2225"}</definedName>
    <definedName name="asdasd" hidden="1">{"with_oth_curr",#N/A,FALSE,"2225"}</definedName>
    <definedName name="asdasd_1" localSheetId="10" hidden="1">{"with_oth_curr",#N/A,FALSE,"2225"}</definedName>
    <definedName name="asdasd_1" hidden="1">{"with_oth_curr",#N/A,FALSE,"2225"}</definedName>
    <definedName name="asdasda" localSheetId="10" hidden="1">{"rp_only",#N/A,FALSE,"2225"}</definedName>
    <definedName name="asdasda" hidden="1">{"rp_only",#N/A,FALSE,"2225"}</definedName>
    <definedName name="asdasda_1" localSheetId="10" hidden="1">{"rp_only",#N/A,FALSE,"2225"}</definedName>
    <definedName name="asdasda_1" hidden="1">{"rp_only",#N/A,FALSE,"2225"}</definedName>
    <definedName name="asdasdad" localSheetId="10" hidden="1">{"with_oth_curr",#N/A,FALSE,"2225"}</definedName>
    <definedName name="asdasdad" hidden="1">{"with_oth_curr",#N/A,FALSE,"2225"}</definedName>
    <definedName name="asdasdad_1" localSheetId="10" hidden="1">{"with_oth_curr",#N/A,FALSE,"2225"}</definedName>
    <definedName name="asdasdad_1" hidden="1">{"with_oth_curr",#N/A,FALSE,"2225"}</definedName>
    <definedName name="asdasdada" localSheetId="10" hidden="1">{"rp_only",#N/A,FALSE,"2225"}</definedName>
    <definedName name="asdasdada" hidden="1">{"rp_only",#N/A,FALSE,"2225"}</definedName>
    <definedName name="asdasdada_1" localSheetId="10" hidden="1">{"rp_only",#N/A,FALSE,"2225"}</definedName>
    <definedName name="asdasdada_1" hidden="1">{"rp_only",#N/A,FALSE,"2225"}</definedName>
    <definedName name="asdasdadad" localSheetId="10" hidden="1">{"rp_only",#N/A,FALSE,"2225"}</definedName>
    <definedName name="asdasdadad" hidden="1">{"rp_only",#N/A,FALSE,"2225"}</definedName>
    <definedName name="asdasdadad_1" localSheetId="10" hidden="1">{"rp_only",#N/A,FALSE,"2225"}</definedName>
    <definedName name="asdasdadad_1" hidden="1">{"rp_only",#N/A,FALSE,"2225"}</definedName>
    <definedName name="asdasdadasd" localSheetId="10" hidden="1">{"rp_only",#N/A,FALSE,"2225"}</definedName>
    <definedName name="asdasdadasd" hidden="1">{"rp_only",#N/A,FALSE,"2225"}</definedName>
    <definedName name="asdasdadasd_1" localSheetId="10" hidden="1">{"rp_only",#N/A,FALSE,"2225"}</definedName>
    <definedName name="asdasdadasd_1" hidden="1">{"rp_only",#N/A,FALSE,"2225"}</definedName>
    <definedName name="asdasdads" localSheetId="10" hidden="1">{"rp_only",#N/A,FALSE,"2225"}</definedName>
    <definedName name="asdasdads" hidden="1">{"rp_only",#N/A,FALSE,"2225"}</definedName>
    <definedName name="asdasdads_1" localSheetId="10" hidden="1">{"rp_only",#N/A,FALSE,"2225"}</definedName>
    <definedName name="asdasdads_1" hidden="1">{"rp_only",#N/A,FALSE,"2225"}</definedName>
    <definedName name="asdasdadsasd" localSheetId="10" hidden="1">{"with_oth_curr",#N/A,FALSE,"2225"}</definedName>
    <definedName name="asdasdadsasd" hidden="1">{"with_oth_curr",#N/A,FALSE,"2225"}</definedName>
    <definedName name="asdasdadsasd_1" localSheetId="10" hidden="1">{"with_oth_curr",#N/A,FALSE,"2225"}</definedName>
    <definedName name="asdasdadsasd_1" hidden="1">{"with_oth_curr",#N/A,FALSE,"2225"}</definedName>
    <definedName name="asdasdas" localSheetId="10" hidden="1">{"rp_only",#N/A,FALSE,"2225"}</definedName>
    <definedName name="asdasdas" hidden="1">{"rp_only",#N/A,FALSE,"2225"}</definedName>
    <definedName name="asdasdas_1" localSheetId="10" hidden="1">{"rp_only",#N/A,FALSE,"2225"}</definedName>
    <definedName name="asdasdas_1" hidden="1">{"rp_only",#N/A,FALSE,"2225"}</definedName>
    <definedName name="asdasdasd" localSheetId="10" hidden="1">{"with_oth_curr",#N/A,FALSE,"2225"}</definedName>
    <definedName name="asdasdasd" hidden="1">{"with_oth_curr",#N/A,FALSE,"2225"}</definedName>
    <definedName name="asdasdasd_1" localSheetId="10" hidden="1">{"with_oth_curr",#N/A,FALSE,"2225"}</definedName>
    <definedName name="asdasdasd_1" hidden="1">{"with_oth_curr",#N/A,FALSE,"2225"}</definedName>
    <definedName name="asdasdasdad" localSheetId="10" hidden="1">{"rp_only",#N/A,FALSE,"2225"}</definedName>
    <definedName name="asdasdasdad" hidden="1">{"rp_only",#N/A,FALSE,"2225"}</definedName>
    <definedName name="asdasdasdad_1" localSheetId="10" hidden="1">{"rp_only",#N/A,FALSE,"2225"}</definedName>
    <definedName name="asdasdasdad_1" hidden="1">{"rp_only",#N/A,FALSE,"2225"}</definedName>
    <definedName name="asdasdasdads" localSheetId="10" hidden="1">{"rp_only",#N/A,FALSE,"2225"}</definedName>
    <definedName name="asdasdasdads" hidden="1">{"rp_only",#N/A,FALSE,"2225"}</definedName>
    <definedName name="asdasdasdads_1" localSheetId="10" hidden="1">{"rp_only",#N/A,FALSE,"2225"}</definedName>
    <definedName name="asdasdasdads_1" hidden="1">{"rp_only",#N/A,FALSE,"2225"}</definedName>
    <definedName name="asdasdasdadsa" hidden="1">#REF!</definedName>
    <definedName name="asdasdasdas" localSheetId="10" hidden="1">{"with_oth_curr",#N/A,FALSE,"2225"}</definedName>
    <definedName name="asdasdasdas" hidden="1">{"with_oth_curr",#N/A,FALSE,"2225"}</definedName>
    <definedName name="asdasdasdas_1" localSheetId="10" hidden="1">{"with_oth_curr",#N/A,FALSE,"2225"}</definedName>
    <definedName name="asdasdasdas_1" hidden="1">{"with_oth_curr",#N/A,FALSE,"2225"}</definedName>
    <definedName name="asdasdasdasd" localSheetId="10" hidden="1">{"rp_only",#N/A,FALSE,"2225"}</definedName>
    <definedName name="asdasdasdasd" hidden="1">{"rp_only",#N/A,FALSE,"2225"}</definedName>
    <definedName name="asdasdasdasd_1" localSheetId="10" hidden="1">{"rp_only",#N/A,FALSE,"2225"}</definedName>
    <definedName name="asdasdasdasd_1" hidden="1">{"rp_only",#N/A,FALSE,"2225"}</definedName>
    <definedName name="asdasdasdsa" localSheetId="10" hidden="1">{"rp_only",#N/A,FALSE,"2225"}</definedName>
    <definedName name="asdasdasdsa" hidden="1">{"rp_only",#N/A,FALSE,"2225"}</definedName>
    <definedName name="asdasdasdsa_1" localSheetId="10" hidden="1">{"rp_only",#N/A,FALSE,"2225"}</definedName>
    <definedName name="asdasdasdsa_1" hidden="1">{"rp_only",#N/A,FALSE,"2225"}</definedName>
    <definedName name="asdasddfguer" hidden="1">#REF!</definedName>
    <definedName name="asdasdds" hidden="1">#REF!</definedName>
    <definedName name="asdasdfasdf" localSheetId="10" hidden="1">{"rp_only",#N/A,FALSE,"2225"}</definedName>
    <definedName name="asdasdfasdf" hidden="1">{"rp_only",#N/A,FALSE,"2225"}</definedName>
    <definedName name="asdasdfasdf_1" localSheetId="10" hidden="1">{"rp_only",#N/A,FALSE,"2225"}</definedName>
    <definedName name="asdasdfasdf_1" hidden="1">{"rp_only",#N/A,FALSE,"2225"}</definedName>
    <definedName name="asdasds" localSheetId="10" hidden="1">{"rp_only",#N/A,FALSE,"2225"}</definedName>
    <definedName name="asdasds" hidden="1">{"rp_only",#N/A,FALSE,"2225"}</definedName>
    <definedName name="asdasds_1" localSheetId="10" hidden="1">{"rp_only",#N/A,FALSE,"2225"}</definedName>
    <definedName name="asdasds_1" hidden="1">{"rp_only",#N/A,FALSE,"2225"}</definedName>
    <definedName name="asdasdsa" localSheetId="10" hidden="1">{"rp_only",#N/A,FALSE,"2225"}</definedName>
    <definedName name="asdasdsa" hidden="1">{"rp_only",#N/A,FALSE,"2225"}</definedName>
    <definedName name="asdasdsa_1" localSheetId="10" hidden="1">{"rp_only",#N/A,FALSE,"2225"}</definedName>
    <definedName name="asdasdsa_1" hidden="1">{"rp_only",#N/A,FALSE,"2225"}</definedName>
    <definedName name="asdasgfasgdagds" localSheetId="10" hidden="1">{"rp_only",#N/A,FALSE,"2225"}</definedName>
    <definedName name="asdasgfasgdagds" hidden="1">{"rp_only",#N/A,FALSE,"2225"}</definedName>
    <definedName name="asdasgfasgdagds_1" localSheetId="10" hidden="1">{"rp_only",#N/A,FALSE,"2225"}</definedName>
    <definedName name="asdasgfasgdagds_1" hidden="1">{"rp_only",#N/A,FALSE,"2225"}</definedName>
    <definedName name="asdassdas" localSheetId="10" hidden="1">{"rp_only",#N/A,FALSE,"2225"}</definedName>
    <definedName name="asdassdas" hidden="1">{"rp_only",#N/A,FALSE,"2225"}</definedName>
    <definedName name="asdassdas_1" localSheetId="10" hidden="1">{"rp_only",#N/A,FALSE,"2225"}</definedName>
    <definedName name="asdassdas_1" hidden="1">{"rp_only",#N/A,FALSE,"2225"}</definedName>
    <definedName name="asdd" localSheetId="10" hidden="1">{"rp_only",#N/A,FALSE,"2225"}</definedName>
    <definedName name="asdd" hidden="1">{"rp_only",#N/A,FALSE,"2225"}</definedName>
    <definedName name="asdd_1" localSheetId="10" hidden="1">{"rp_only",#N/A,FALSE,"2225"}</definedName>
    <definedName name="asdd_1" hidden="1">{"rp_only",#N/A,FALSE,"2225"}</definedName>
    <definedName name="ASDDA" localSheetId="10" hidden="1">{"rp_only",#N/A,FALSE,"2225"}</definedName>
    <definedName name="ASDDA" hidden="1">{"rp_only",#N/A,FALSE,"2225"}</definedName>
    <definedName name="ASDDA_1" localSheetId="10" hidden="1">{"rp_only",#N/A,FALSE,"2225"}</definedName>
    <definedName name="ASDDA_1" hidden="1">{"rp_only",#N/A,FALSE,"2225"}</definedName>
    <definedName name="asdds" localSheetId="10" hidden="1">{"with_oth_curr",#N/A,FALSE,"2225"}</definedName>
    <definedName name="asdds" hidden="1">{"with_oth_curr",#N/A,FALSE,"2225"}</definedName>
    <definedName name="asdds_1" localSheetId="10" hidden="1">{"with_oth_curr",#N/A,FALSE,"2225"}</definedName>
    <definedName name="asdds_1" hidden="1">{"with_oth_curr",#N/A,FALSE,"2225"}</definedName>
    <definedName name="asdf" localSheetId="10" hidden="1">{#N/A,#N/A,FALSE,"Calc";#N/A,#N/A,FALSE,"Sensitivity";#N/A,#N/A,FALSE,"LT Earn.Dil.";#N/A,#N/A,FALSE,"Dil. AVP"}</definedName>
    <definedName name="asdf" hidden="1">{#N/A,#N/A,FALSE,"Calc";#N/A,#N/A,FALSE,"Sensitivity";#N/A,#N/A,FALSE,"LT Earn.Dil.";#N/A,#N/A,FALSE,"Dil. AVP"}</definedName>
    <definedName name="asdfas" localSheetId="10" hidden="1">{"rp_only",#N/A,FALSE,"2225"}</definedName>
    <definedName name="asdfas" hidden="1">{"rp_only",#N/A,FALSE,"2225"}</definedName>
    <definedName name="asdfas_1" localSheetId="10" hidden="1">{"rp_only",#N/A,FALSE,"2225"}</definedName>
    <definedName name="asdfas_1" hidden="1">{"rp_only",#N/A,FALSE,"2225"}</definedName>
    <definedName name="asdfasdf" localSheetId="10" hidden="1">{"rp_only",#N/A,FALSE,"2225"}</definedName>
    <definedName name="asdfasdf" hidden="1">{"rp_only",#N/A,FALSE,"2225"}</definedName>
    <definedName name="asdfasdf_1" localSheetId="10" hidden="1">{"rp_only",#N/A,FALSE,"2225"}</definedName>
    <definedName name="asdfasdf_1" hidden="1">{"rp_only",#N/A,FALSE,"2225"}</definedName>
    <definedName name="asdfasdfasfddfsdf" localSheetId="10" hidden="1">{"with_oth_curr",#N/A,FALSE,"2225"}</definedName>
    <definedName name="asdfasdfasfddfsdf" hidden="1">{"with_oth_curr",#N/A,FALSE,"2225"}</definedName>
    <definedName name="asdfasdfasfddfsdf_1" localSheetId="10" hidden="1">{"with_oth_curr",#N/A,FALSE,"2225"}</definedName>
    <definedName name="asdfasdfasfddfsdf_1" hidden="1">{"with_oth_curr",#N/A,FALSE,"2225"}</definedName>
    <definedName name="asdfasdfsadf" localSheetId="10" hidden="1">{"with_oth_curr",#N/A,FALSE,"2225"}</definedName>
    <definedName name="asdfasdfsadf" hidden="1">{"with_oth_curr",#N/A,FALSE,"2225"}</definedName>
    <definedName name="asdfasdfsadf_1" localSheetId="10" hidden="1">{"with_oth_curr",#N/A,FALSE,"2225"}</definedName>
    <definedName name="asdfasdfsadf_1" hidden="1">{"with_oth_curr",#N/A,FALSE,"2225"}</definedName>
    <definedName name="asdfasdfsdaf" localSheetId="10" hidden="1">{"rp_only",#N/A,FALSE,"2225"}</definedName>
    <definedName name="asdfasdfsdaf" hidden="1">{"rp_only",#N/A,FALSE,"2225"}</definedName>
    <definedName name="asdfasdfsdaf_1" localSheetId="10" hidden="1">{"rp_only",#N/A,FALSE,"2225"}</definedName>
    <definedName name="asdfasdfsdaf_1" hidden="1">{"rp_only",#N/A,FALSE,"2225"}</definedName>
    <definedName name="asdfasdfsfd" localSheetId="10" hidden="1">{"rp_only",#N/A,FALSE,"2225"}</definedName>
    <definedName name="asdfasdfsfd" hidden="1">{"rp_only",#N/A,FALSE,"2225"}</definedName>
    <definedName name="asdfasdfsfd_1" localSheetId="10" hidden="1">{"rp_only",#N/A,FALSE,"2225"}</definedName>
    <definedName name="asdfasdfsfd_1" hidden="1">{"rp_only",#N/A,FALSE,"2225"}</definedName>
    <definedName name="asdfasfsdafsdf" localSheetId="10" hidden="1">{"rp_only",#N/A,FALSE,"2225"}</definedName>
    <definedName name="asdfasfsdafsdf" hidden="1">{"rp_only",#N/A,FALSE,"2225"}</definedName>
    <definedName name="asdfasfsdafsdf_1" localSheetId="10" hidden="1">{"rp_only",#N/A,FALSE,"2225"}</definedName>
    <definedName name="asdfasfsdafsdf_1" hidden="1">{"rp_only",#N/A,FALSE,"2225"}</definedName>
    <definedName name="asdfdsdsf" localSheetId="10" hidden="1">{"rp_only",#N/A,FALSE,"2225"}</definedName>
    <definedName name="asdfdsdsf" hidden="1">{"rp_only",#N/A,FALSE,"2225"}</definedName>
    <definedName name="asdfdsdsf_1" localSheetId="10" hidden="1">{"rp_only",#N/A,FALSE,"2225"}</definedName>
    <definedName name="asdfdsdsf_1" hidden="1">{"rp_only",#N/A,FALSE,"2225"}</definedName>
    <definedName name="asdff" localSheetId="10"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10" hidden="1">{#N/A,#N/A,FALSE,"Aging Summary";#N/A,#N/A,FALSE,"Ratio Analysis";#N/A,#N/A,FALSE,"Test 120 Day Accts";#N/A,#N/A,FALSE,"Tickmarks"}</definedName>
    <definedName name="asdfg" hidden="1">{#N/A,#N/A,FALSE,"Aging Summary";#N/A,#N/A,FALSE,"Ratio Analysis";#N/A,#N/A,FALSE,"Test 120 Day Accts";#N/A,#N/A,FALSE,"Tickmarks"}</definedName>
    <definedName name="asdfsadf" localSheetId="10" hidden="1">{"rp_only",#N/A,FALSE,"2225"}</definedName>
    <definedName name="asdfsadf" hidden="1">{"rp_only",#N/A,FALSE,"2225"}</definedName>
    <definedName name="asdfsadf_1" localSheetId="10" hidden="1">{"rp_only",#N/A,FALSE,"2225"}</definedName>
    <definedName name="asdfsadf_1" hidden="1">{"rp_only",#N/A,FALSE,"2225"}</definedName>
    <definedName name="asdfsadfdsf" localSheetId="10" hidden="1">{"with_oth_curr",#N/A,FALSE,"2225"}</definedName>
    <definedName name="asdfsadfdsf" hidden="1">{"with_oth_curr",#N/A,FALSE,"2225"}</definedName>
    <definedName name="asdfsadfdsf_1" localSheetId="10" hidden="1">{"with_oth_curr",#N/A,FALSE,"2225"}</definedName>
    <definedName name="asdfsadfdsf_1" hidden="1">{"with_oth_curr",#N/A,FALSE,"2225"}</definedName>
    <definedName name="asdfsdads" localSheetId="10" hidden="1">{"rp_only",#N/A,FALSE,"2225"}</definedName>
    <definedName name="asdfsdads" hidden="1">{"rp_only",#N/A,FALSE,"2225"}</definedName>
    <definedName name="asdfsdads_1" localSheetId="10" hidden="1">{"rp_only",#N/A,FALSE,"2225"}</definedName>
    <definedName name="asdfsdads_1" hidden="1">{"rp_only",#N/A,FALSE,"2225"}</definedName>
    <definedName name="asdfsdfsda" localSheetId="10" hidden="1">{"rp_only",#N/A,FALSE,"2225"}</definedName>
    <definedName name="asdfsdfsda" hidden="1">{"rp_only",#N/A,FALSE,"2225"}</definedName>
    <definedName name="asdfsdfsda_1" localSheetId="10" hidden="1">{"rp_only",#N/A,FALSE,"2225"}</definedName>
    <definedName name="asdfsdfsda_1" hidden="1">{"rp_only",#N/A,FALSE,"2225"}</definedName>
    <definedName name="asdfsdfsdf" localSheetId="10" hidden="1">{"with_oth_curr",#N/A,FALSE,"2225"}</definedName>
    <definedName name="asdfsdfsdf" hidden="1">{"with_oth_curr",#N/A,FALSE,"2225"}</definedName>
    <definedName name="asdfsdfsdf_1" localSheetId="10" hidden="1">{"with_oth_curr",#N/A,FALSE,"2225"}</definedName>
    <definedName name="asdfsdfsdf_1" hidden="1">{"with_oth_curr",#N/A,FALSE,"2225"}</definedName>
    <definedName name="asdsad" localSheetId="10" hidden="1">{"rp_only",#N/A,FALSE,"2225"}</definedName>
    <definedName name="asdsad" hidden="1">{"rp_only",#N/A,FALSE,"2225"}</definedName>
    <definedName name="asdsad_1" localSheetId="10" hidden="1">{"rp_only",#N/A,FALSE,"2225"}</definedName>
    <definedName name="asdsad_1" hidden="1">{"rp_only",#N/A,FALSE,"2225"}</definedName>
    <definedName name="asdsadad" localSheetId="10" hidden="1">{"rp_only",#N/A,FALSE,"2225"}</definedName>
    <definedName name="asdsadad" hidden="1">{"rp_only",#N/A,FALSE,"2225"}</definedName>
    <definedName name="asdsadad_1" localSheetId="10" hidden="1">{"rp_only",#N/A,FALSE,"2225"}</definedName>
    <definedName name="asdsadad_1" hidden="1">{"rp_only",#N/A,FALSE,"2225"}</definedName>
    <definedName name="asdsadas" localSheetId="10" hidden="1">{"with_oth_curr",#N/A,FALSE,"2225"}</definedName>
    <definedName name="asdsadas" hidden="1">{"with_oth_curr",#N/A,FALSE,"2225"}</definedName>
    <definedName name="asdsadas_1" localSheetId="10" hidden="1">{"with_oth_curr",#N/A,FALSE,"2225"}</definedName>
    <definedName name="asdsadas_1" hidden="1">{"with_oth_curr",#N/A,FALSE,"2225"}</definedName>
    <definedName name="asdsddsa" localSheetId="10" hidden="1">{"with_oth_curr",#N/A,FALSE,"2225"}</definedName>
    <definedName name="asdsddsa" hidden="1">{"with_oth_curr",#N/A,FALSE,"2225"}</definedName>
    <definedName name="asdsddsa_1" localSheetId="10" hidden="1">{"with_oth_curr",#N/A,FALSE,"2225"}</definedName>
    <definedName name="asdsddsa_1" hidden="1">{"with_oth_curr",#N/A,FALSE,"2225"}</definedName>
    <definedName name="asdsfadsf" localSheetId="10" hidden="1">{"rp_only",#N/A,FALSE,"2225"}</definedName>
    <definedName name="asdsfadsf" hidden="1">{"rp_only",#N/A,FALSE,"2225"}</definedName>
    <definedName name="asdsfadsf_1" localSheetId="10" hidden="1">{"rp_only",#N/A,FALSE,"2225"}</definedName>
    <definedName name="asdsfadsf_1" hidden="1">{"rp_only",#N/A,FALSE,"2225"}</definedName>
    <definedName name="ASDWDWD">#REF!</definedName>
    <definedName name="ase" localSheetId="10" hidden="1">{#N/A,#N/A,FALSE,"Aging Summary";#N/A,#N/A,FALSE,"Ratio Analysis";#N/A,#N/A,FALSE,"Test 120 Day Accts";#N/A,#N/A,FALSE,"Tickmarks"}</definedName>
    <definedName name="ase" hidden="1">{#N/A,#N/A,FALSE,"Aging Summary";#N/A,#N/A,FALSE,"Ratio Analysis";#N/A,#N/A,FALSE,"Test 120 Day Accts";#N/A,#N/A,FALSE,"Tickmarks"}</definedName>
    <definedName name="ase_1" localSheetId="10"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localSheetId="10" hidden="1">{"rp_only",#N/A,FALSE,"2225"}</definedName>
    <definedName name="asf" hidden="1">{"rp_only",#N/A,FALSE,"2225"}</definedName>
    <definedName name="asf_1" localSheetId="10" hidden="1">{"rp_only",#N/A,FALSE,"2225"}</definedName>
    <definedName name="asf_1" hidden="1">{"rp_only",#N/A,FALSE,"2225"}</definedName>
    <definedName name="asfa" localSheetId="10" hidden="1">{"rp_only",#N/A,FALSE,"2225"}</definedName>
    <definedName name="asfa" hidden="1">{"rp_only",#N/A,FALSE,"2225"}</definedName>
    <definedName name="asfa_1" localSheetId="10" hidden="1">{"rp_only",#N/A,FALSE,"2225"}</definedName>
    <definedName name="asfa_1" hidden="1">{"rp_only",#N/A,FALSE,"2225"}</definedName>
    <definedName name="ASFAFA" localSheetId="10" hidden="1">{"with_oth_curr",#N/A,FALSE,"2225"}</definedName>
    <definedName name="ASFAFA" hidden="1">{"with_oth_curr",#N/A,FALSE,"2225"}</definedName>
    <definedName name="ASFAFA_1" localSheetId="10" hidden="1">{"with_oth_curr",#N/A,FALSE,"2225"}</definedName>
    <definedName name="ASFAFA_1" hidden="1">{"with_oth_curr",#N/A,FALSE,"2225"}</definedName>
    <definedName name="asfas" localSheetId="10" hidden="1">{"rp_only",#N/A,FALSE,"2225"}</definedName>
    <definedName name="asfas" hidden="1">{"rp_only",#N/A,FALSE,"2225"}</definedName>
    <definedName name="asfas_1" localSheetId="10" hidden="1">{"rp_only",#N/A,FALSE,"2225"}</definedName>
    <definedName name="asfas_1" hidden="1">{"rp_only",#N/A,FALSE,"2225"}</definedName>
    <definedName name="asfd" hidden="1">#REF!</definedName>
    <definedName name="asfdasf" localSheetId="10" hidden="1">{"rp_only",#N/A,FALSE,"2225"}</definedName>
    <definedName name="asfdasf" hidden="1">{"rp_only",#N/A,FALSE,"2225"}</definedName>
    <definedName name="asfdasf_1" localSheetId="10" hidden="1">{"rp_only",#N/A,FALSE,"2225"}</definedName>
    <definedName name="asfdasf_1" hidden="1">{"rp_only",#N/A,FALSE,"2225"}</definedName>
    <definedName name="asfdasfgsafgfsafg" localSheetId="10" hidden="1">{"rp_only",#N/A,FALSE,"2225"}</definedName>
    <definedName name="asfdasfgsafgfsafg" hidden="1">{"rp_only",#N/A,FALSE,"2225"}</definedName>
    <definedName name="asfdasfgsafgfsafg_1" localSheetId="10" hidden="1">{"rp_only",#N/A,FALSE,"2225"}</definedName>
    <definedName name="asfdasfgsafgfsafg_1" hidden="1">{"rp_only",#N/A,FALSE,"2225"}</definedName>
    <definedName name="ASFDASSF" localSheetId="10" hidden="1">{"with_oth_curr",#N/A,FALSE,"2225"}</definedName>
    <definedName name="ASFDASSF" hidden="1">{"with_oth_curr",#N/A,FALSE,"2225"}</definedName>
    <definedName name="ASFDASSF_1" localSheetId="10" hidden="1">{"with_oth_curr",#N/A,FALSE,"2225"}</definedName>
    <definedName name="ASFDASSF_1" hidden="1">{"with_oth_curr",#N/A,FALSE,"2225"}</definedName>
    <definedName name="asfdsa" localSheetId="10" hidden="1">{"rp_only",#N/A,FALSE,"2225"}</definedName>
    <definedName name="asfdsa" hidden="1">{"rp_only",#N/A,FALSE,"2225"}</definedName>
    <definedName name="asfdsa_1" localSheetId="10" hidden="1">{"rp_only",#N/A,FALSE,"2225"}</definedName>
    <definedName name="asfdsa_1" hidden="1">{"rp_only",#N/A,FALSE,"2225"}</definedName>
    <definedName name="asfdsadfsafd" localSheetId="10" hidden="1">{"with_oth_curr",#N/A,FALSE,"2225"}</definedName>
    <definedName name="asfdsadfsafd" hidden="1">{"with_oth_curr",#N/A,FALSE,"2225"}</definedName>
    <definedName name="asfdsadfsafd_1" localSheetId="10" hidden="1">{"with_oth_curr",#N/A,FALSE,"2225"}</definedName>
    <definedName name="asfdsadfsafd_1" hidden="1">{"with_oth_curr",#N/A,FALSE,"2225"}</definedName>
    <definedName name="asffassd" localSheetId="10" hidden="1">{"rp_only",#N/A,FALSE,"2225"}</definedName>
    <definedName name="asffassd" hidden="1">{"rp_only",#N/A,FALSE,"2225"}</definedName>
    <definedName name="asffassd_1" localSheetId="10" hidden="1">{"rp_only",#N/A,FALSE,"2225"}</definedName>
    <definedName name="asffassd_1" hidden="1">{"rp_only",#N/A,FALSE,"2225"}</definedName>
    <definedName name="ASFJHSKJFSXGJKSDJKG" hidden="1">#REF!</definedName>
    <definedName name="asgel5">#REF!</definedName>
    <definedName name="asgel6">#REF!</definedName>
    <definedName name="ASIH" localSheetId="10" hidden="1">{#N/A,#N/A,FALSE,"Aging Summary";#N/A,#N/A,FALSE,"Ratio Analysis";#N/A,#N/A,FALSE,"Test 120 Day Accts";#N/A,#N/A,FALSE,"Tickmarks"}</definedName>
    <definedName name="ASIH" hidden="1">{#N/A,#N/A,FALSE,"Aging Summary";#N/A,#N/A,FALSE,"Ratio Analysis";#N/A,#N/A,FALSE,"Test 120 Day Accts";#N/A,#N/A,FALSE,"Tickmarks"}</definedName>
    <definedName name="asldjf" localSheetId="10" hidden="1">{"SCH2C",#N/A,FALSE,"North America"}</definedName>
    <definedName name="asldjf" hidden="1">{"SCH2C",#N/A,FALSE,"North America"}</definedName>
    <definedName name="Aspalan">#REF!</definedName>
    <definedName name="Asphalt.Finishe">#REF!</definedName>
    <definedName name="Asphalt.Mixing.">#REF!</definedName>
    <definedName name="Asphalt.Sprayer">#REF!</definedName>
    <definedName name="asr" localSheetId="10" hidden="1">{#N/A,#N/A,FALSE,"Aging Summary";#N/A,#N/A,FALSE,"Ratio Analysis";#N/A,#N/A,FALSE,"Test 120 Day Accts";#N/A,#N/A,FALSE,"Tickmarks"}</definedName>
    <definedName name="asr" hidden="1">{#N/A,#N/A,FALSE,"Aging Summary";#N/A,#N/A,FALSE,"Ratio Analysis";#N/A,#N/A,FALSE,"Test 120 Day Accts";#N/A,#N/A,FALSE,"Tickmarks"}</definedName>
    <definedName name="asr_1" localSheetId="10" hidden="1">{#N/A,#N/A,FALSE,"Aging Summary";#N/A,#N/A,FALSE,"Ratio Analysis";#N/A,#N/A,FALSE,"Test 120 Day Accts";#N/A,#N/A,FALSE,"Tickmarks"}</definedName>
    <definedName name="asr_1" hidden="1">{#N/A,#N/A,FALSE,"Aging Summary";#N/A,#N/A,FALSE,"Ratio Analysis";#N/A,#N/A,FALSE,"Test 120 Day Accts";#N/A,#N/A,FALSE,"Tickmarks"}</definedName>
    <definedName name="aSs" localSheetId="10" hidden="1">{"rp_only",#N/A,FALSE,"2225"}</definedName>
    <definedName name="aSs" hidden="1">{"rp_only",#N/A,FALSE,"2225"}</definedName>
    <definedName name="aSs_1" localSheetId="10" hidden="1">{"rp_only",#N/A,FALSE,"2225"}</definedName>
    <definedName name="aSs_1" hidden="1">{"rp_only",#N/A,FALSE,"2225"}</definedName>
    <definedName name="assa" localSheetId="10" hidden="1">{"rp_only",#N/A,FALSE,"2225"}</definedName>
    <definedName name="assa" hidden="1">{"rp_only",#N/A,FALSE,"2225"}</definedName>
    <definedName name="assa_1" localSheetId="10" hidden="1">{"rp_only",#N/A,FALSE,"2225"}</definedName>
    <definedName name="assa_1" hidden="1">{"rp_only",#N/A,FALSE,"2225"}</definedName>
    <definedName name="assdasd" localSheetId="10" hidden="1">{"rp_only",#N/A,FALSE,"2225"}</definedName>
    <definedName name="assdasd" hidden="1">{"rp_only",#N/A,FALSE,"2225"}</definedName>
    <definedName name="assdasd_1" localSheetId="10" hidden="1">{"rp_only",#N/A,FALSE,"2225"}</definedName>
    <definedName name="assdasd_1" hidden="1">{"rp_only",#N/A,FALSE,"2225"}</definedName>
    <definedName name="asset" localSheetId="10" hidden="1">{#N/A,#N/A,FALSE,"Aging Summary";#N/A,#N/A,FALSE,"Ratio Analysis";#N/A,#N/A,FALSE,"Test 120 Day Accts";#N/A,#N/A,FALSE,"Tickmarks"}</definedName>
    <definedName name="asset" hidden="1">{#N/A,#N/A,FALSE,"Aging Summary";#N/A,#N/A,FALSE,"Ratio Analysis";#N/A,#N/A,FALSE,"Test 120 Day Accts";#N/A,#N/A,FALSE,"Tickmarks"}</definedName>
    <definedName name="asset1" localSheetId="10" hidden="1">{#N/A,#N/A,FALSE,"Aging Summary";#N/A,#N/A,FALSE,"Ratio Analysis";#N/A,#N/A,FALSE,"Test 120 Day Accts";#N/A,#N/A,FALSE,"Tickmarks"}</definedName>
    <definedName name="asset1" hidden="1">{#N/A,#N/A,FALSE,"Aging Summary";#N/A,#N/A,FALSE,"Ratio Analysis";#N/A,#N/A,FALSE,"Test 120 Day Accts";#N/A,#N/A,FALSE,"Tickmarks"}</definedName>
    <definedName name="asset1_1" localSheetId="10" hidden="1">{#N/A,#N/A,FALSE,"Aging Summary";#N/A,#N/A,FALSE,"Ratio Analysis";#N/A,#N/A,FALSE,"Test 120 Day Accts";#N/A,#N/A,FALSE,"Tickmarks"}</definedName>
    <definedName name="asset1_1" hidden="1">{#N/A,#N/A,FALSE,"Aging Summary";#N/A,#N/A,FALSE,"Ratio Analysis";#N/A,#N/A,FALSE,"Test 120 Day Accts";#N/A,#N/A,FALSE,"Tickmarks"}</definedName>
    <definedName name="asset4" localSheetId="10" hidden="1">{#N/A,#N/A,FALSE,"Aging Summary";#N/A,#N/A,FALSE,"Ratio Analysis";#N/A,#N/A,FALSE,"Test 120 Day Accts";#N/A,#N/A,FALSE,"Tickmarks"}</definedName>
    <definedName name="asset4" hidden="1">{#N/A,#N/A,FALSE,"Aging Summary";#N/A,#N/A,FALSE,"Ratio Analysis";#N/A,#N/A,FALSE,"Test 120 Day Accts";#N/A,#N/A,FALSE,"Tickmarks"}</definedName>
    <definedName name="asset4_1" localSheetId="10"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localSheetId="10" hidden="1">{#N/A,#N/A,FALSE,"M06";#N/A,#N/A,FALSE,"M07"}</definedName>
    <definedName name="asss" hidden="1">{#N/A,#N/A,FALSE,"M06";#N/A,#N/A,FALSE,"M07"}</definedName>
    <definedName name="ASSU">#REF!</definedName>
    <definedName name="astarstasgtastfd" localSheetId="10" hidden="1">{"rp_only",#N/A,FALSE,"2225"}</definedName>
    <definedName name="astarstasgtastfd" hidden="1">{"rp_only",#N/A,FALSE,"2225"}</definedName>
    <definedName name="astarstasgtastfd_1" localSheetId="10" hidden="1">{"rp_only",#N/A,FALSE,"2225"}</definedName>
    <definedName name="astarstasgtastfd_1" hidden="1">{"rp_only",#N/A,FALSE,"2225"}</definedName>
    <definedName name="ASTRI" localSheetId="10" hidden="1">{#N/A,#N/A,FALSE,"Cost Report";#N/A,#N/A,FALSE,"Qtly Summ.";#N/A,#N/A,FALSE,"Mar  Qtr";#N/A,#N/A,FALSE,"Report Summary"}</definedName>
    <definedName name="ASTRI" hidden="1">{#N/A,#N/A,FALSE,"Cost Report";#N/A,#N/A,FALSE,"Qtly Summ.";#N/A,#N/A,FALSE,"Mar  Qtr";#N/A,#N/A,FALSE,"Report Summary"}</definedName>
    <definedName name="ASU" hidden="1">#REF!</definedName>
    <definedName name="asueransi" localSheetId="10" hidden="1">{#N/A,#N/A,FALSE,"Aging Summary";#N/A,#N/A,FALSE,"Ratio Analysis";#N/A,#N/A,FALSE,"Test 120 Day Accts";#N/A,#N/A,FALSE,"Tickmarks"}</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localSheetId="10" hidden="1">{#N/A,#N/A,FALSE,"Aging Summary";#N/A,#N/A,FALSE,"Ratio Analysis";#N/A,#N/A,FALSE,"Test 120 Day Accts";#N/A,#N/A,FALSE,"Tickmarks"}</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localSheetId="10" hidden="1">{#N/A,#N/A,FALSE,"Sheet1"}</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localSheetId="10" hidden="1">{#N/A,#N/A,FALSE,"Calc";#N/A,#N/A,FALSE,"Sensitivity";#N/A,#N/A,FALSE,"LT Earn.Dil.";#N/A,#N/A,FALSE,"Dil. AVP"}</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localSheetId="10" hidden="1">{#N/A,#N/A,FALSE,"b_s &amp; p_l"}</definedName>
    <definedName name="avgfm927" hidden="1">{#N/A,#N/A,FALSE,"b_s &amp; p_l"}</definedName>
    <definedName name="AVI">#REF!</definedName>
    <definedName name="Avoor_Stenlis_Steel">#REF!</definedName>
    <definedName name="aw">#REF!</definedName>
    <definedName name="awee" localSheetId="10" hidden="1">{"rp_only",#N/A,FALSE,"2225"}</definedName>
    <definedName name="awee" hidden="1">{"rp_only",#N/A,FALSE,"2225"}</definedName>
    <definedName name="awee_1" localSheetId="10" hidden="1">{"rp_only",#N/A,FALSE,"2225"}</definedName>
    <definedName name="awee_1" hidden="1">{"rp_only",#N/A,FALSE,"2225"}</definedName>
    <definedName name="awert" localSheetId="10" hidden="1">{#N/A,#N/A,FALSE,"REK";#N/A,#N/A,FALSE,"rab"}</definedName>
    <definedName name="awert" hidden="1">{#N/A,#N/A,FALSE,"REK";#N/A,#N/A,FALSE,"rab"}</definedName>
    <definedName name="AWERYGT" localSheetId="10" hidden="1">{#N/A,#N/A,FALSE,"REK";#N/A,#N/A,FALSE,"rab"}</definedName>
    <definedName name="AWERYGT" hidden="1">{#N/A,#N/A,FALSE,"REK";#N/A,#N/A,FALSE,"rab"}</definedName>
    <definedName name="awet" localSheetId="10" hidden="1">{#N/A,#N/A,FALSE,"REK-S-TPL";#N/A,#N/A,FALSE,"REK-TPML";#N/A,#N/A,FALSE,"RAB-TEMPEL"}</definedName>
    <definedName name="awet" hidden="1">{#N/A,#N/A,FALSE,"REK-S-TPL";#N/A,#N/A,FALSE,"REK-TPML";#N/A,#N/A,FALSE,"RAB-TEMPEL"}</definedName>
    <definedName name="ax" localSheetId="10" hidden="1">{"INV_INSURANCE",#N/A,FALSE,"PREPAID-1"}</definedName>
    <definedName name="ax" hidden="1">{"INV_INSURANCE",#N/A,FALSE,"PREPAID-1"}</definedName>
    <definedName name="ax_1" localSheetId="10"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10"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localSheetId="10" hidden="1">{#N/A,#N/A,FALSE,"Aging Summary";#N/A,#N/A,FALSE,"Ratio Analysis";#N/A,#N/A,FALSE,"Test 120 Day Accts";#N/A,#N/A,FALSE,"Tickmarks"}</definedName>
    <definedName name="ba" hidden="1">{#N/A,#N/A,FALSE,"Aging Summary";#N/A,#N/A,FALSE,"Ratio Analysis";#N/A,#N/A,FALSE,"Test 120 Day Accts";#N/A,#N/A,FALSE,"Tickmarks"}</definedName>
    <definedName name="ba_1" localSheetId="10"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localSheetId="10" hidden="1">{"rp_only",#N/A,FALSE,"2225"}</definedName>
    <definedName name="bar" hidden="1">{"rp_only",#N/A,FALSE,"2225"}</definedName>
    <definedName name="bar_1" localSheetId="10" hidden="1">{"rp_only",#N/A,FALSE,"2225"}</definedName>
    <definedName name="bar_1" hidden="1">{"rp_only",#N/A,FALSE,"2225"}</definedName>
    <definedName name="bar_bender">#REF!</definedName>
    <definedName name="bar_cutter">#REF!</definedName>
    <definedName name="BarData">#REF!</definedName>
    <definedName name="BARU" localSheetId="10" hidden="1">{#N/A,#N/A,FALSE,"M01";#N/A,#N/A,FALSE,"M02";#N/A,#N/A,FALSE,"M03";#N/A,#N/A,FALSE,"M04";#N/A,#N/A,FALSE,"M05";#N/A,#N/A,FALSE,"M08"}</definedName>
    <definedName name="BARU" hidden="1">{#N/A,#N/A,FALSE,"M01";#N/A,#N/A,FALSE,"M02";#N/A,#N/A,FALSE,"M03";#N/A,#N/A,FALSE,"M04";#N/A,#N/A,FALSE,"M05";#N/A,#N/A,FALSE,"M08"}</definedName>
    <definedName name="BARU1" localSheetId="10" hidden="1">{#N/A,#N/A,FALSE,"Sheet1";#N/A,#N/A,FALSE,"Sheet2"}</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localSheetId="10" hidden="1">{#N/A,#N/A,FALSE,"Aging Summary";#N/A,#N/A,FALSE,"Ratio Analysis";#N/A,#N/A,FALSE,"Test 120 Day Accts";#N/A,#N/A,FALSE,"Tickmarks"}</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10" hidden="1">{#N/A,#N/A,FALSE,"CCTV"}</definedName>
    <definedName name="BBB" hidden="1">{#N/A,#N/A,FALSE,"CCTV"}</definedName>
    <definedName name="BBB_1"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localSheetId="10" hidden="1">{"rp_only",#N/A,FALSE,"2225"}</definedName>
    <definedName name="bbhtrt" hidden="1">{"rp_only",#N/A,FALSE,"2225"}</definedName>
    <definedName name="bbhtrt_1" localSheetId="10" hidden="1">{"rp_only",#N/A,FALSE,"2225"}</definedName>
    <definedName name="bbhtrt_1" hidden="1">{"rp_only",#N/A,FALSE,"2225"}</definedName>
    <definedName name="BBHU">#REF!</definedName>
    <definedName name="bbmok" hidden="1">#REF!</definedName>
    <definedName name="bbnmbmnb" localSheetId="10" hidden="1">{"rp_only",#N/A,FALSE,"2225"}</definedName>
    <definedName name="bbnmbmnb" hidden="1">{"rp_only",#N/A,FALSE,"2225"}</definedName>
    <definedName name="bbnmbmnb_1" localSheetId="10" hidden="1">{"rp_only",#N/A,FALSE,"2225"}</definedName>
    <definedName name="bbnmbmnb_1" hidden="1">{"rp_only",#N/A,FALSE,"2225"}</definedName>
    <definedName name="bbnnbnb" localSheetId="10" hidden="1">{"with_oth_curr",#N/A,FALSE,"2225"}</definedName>
    <definedName name="bbnnbnb" hidden="1">{"with_oth_curr",#N/A,FALSE,"2225"}</definedName>
    <definedName name="bbnnbnb_1" localSheetId="10"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localSheetId="10" hidden="1">{"with_oth_curr",#N/A,FALSE,"2225"}</definedName>
    <definedName name="bcbbc" hidden="1">{"with_oth_curr",#N/A,FALSE,"2225"}</definedName>
    <definedName name="bcbbc_1" localSheetId="10" hidden="1">{"with_oth_curr",#N/A,FALSE,"2225"}</definedName>
    <definedName name="bcbbc_1" hidden="1">{"with_oth_curr",#N/A,FALSE,"2225"}</definedName>
    <definedName name="bcbcbcv" localSheetId="10" hidden="1">{"rp_only",#N/A,FALSE,"2225"}</definedName>
    <definedName name="bcbcbcv" hidden="1">{"rp_only",#N/A,FALSE,"2225"}</definedName>
    <definedName name="bcbcbcv_1" localSheetId="10" hidden="1">{"rp_only",#N/A,FALSE,"2225"}</definedName>
    <definedName name="bcbcbcv_1" hidden="1">{"rp_only",#N/A,FALSE,"2225"}</definedName>
    <definedName name="bcbcvbcb" localSheetId="10" hidden="1">{"rp_only",#N/A,FALSE,"2225"}</definedName>
    <definedName name="bcbcvbcb" hidden="1">{"rp_only",#N/A,FALSE,"2225"}</definedName>
    <definedName name="bcbcvbcb_1" localSheetId="10" hidden="1">{"rp_only",#N/A,FALSE,"2225"}</definedName>
    <definedName name="bcbcvbcb_1" hidden="1">{"rp_only",#N/A,FALSE,"2225"}</definedName>
    <definedName name="bcc" localSheetId="10" hidden="1">{"rp_only",#N/A,FALSE,"2225"}</definedName>
    <definedName name="bcc" hidden="1">{"rp_only",#N/A,FALSE,"2225"}</definedName>
    <definedName name="bcc_1" localSheetId="10" hidden="1">{"rp_only",#N/A,FALSE,"2225"}</definedName>
    <definedName name="bcc_1" hidden="1">{"rp_only",#N/A,FALSE,"2225"}</definedName>
    <definedName name="bccbvcb" localSheetId="10" hidden="1">{"with_oth_curr",#N/A,FALSE,"2225"}</definedName>
    <definedName name="bccbvcb" hidden="1">{"with_oth_curr",#N/A,FALSE,"2225"}</definedName>
    <definedName name="bccbvcb_1" localSheetId="10" hidden="1">{"with_oth_curr",#N/A,FALSE,"2225"}</definedName>
    <definedName name="bccbvcb_1" hidden="1">{"with_oth_curr",#N/A,FALSE,"2225"}</definedName>
    <definedName name="bcccb" localSheetId="10" hidden="1">{"rp_only",#N/A,FALSE,"2225"}</definedName>
    <definedName name="bcccb" hidden="1">{"rp_only",#N/A,FALSE,"2225"}</definedName>
    <definedName name="bcccb_1" localSheetId="10" hidden="1">{"rp_only",#N/A,FALSE,"2225"}</definedName>
    <definedName name="bcccb_1" hidden="1">{"rp_only",#N/A,FALSE,"2225"}</definedName>
    <definedName name="bccnbvnm" localSheetId="10" hidden="1">{"rp_only",#N/A,FALSE,"2225"}</definedName>
    <definedName name="bccnbvnm" hidden="1">{"rp_only",#N/A,FALSE,"2225"}</definedName>
    <definedName name="bccnbvnm_1" localSheetId="10" hidden="1">{"rp_only",#N/A,FALSE,"2225"}</definedName>
    <definedName name="bccnbvnm_1" hidden="1">{"rp_only",#N/A,FALSE,"2225"}</definedName>
    <definedName name="BCNXT152153">#REF!</definedName>
    <definedName name="BCNXT155156">#REF!</definedName>
    <definedName name="bcor">#REF!</definedName>
    <definedName name="BCT">#REF!</definedName>
    <definedName name="bcv" localSheetId="10" hidden="1">{"rp_only",#N/A,FALSE,"2225"}</definedName>
    <definedName name="bcv" hidden="1">{"rp_only",#N/A,FALSE,"2225"}</definedName>
    <definedName name="bcv_1" localSheetId="10"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localSheetId="10" hidden="1">{"rp_only",#N/A,FALSE,"2225"}</definedName>
    <definedName name="bcvbb" hidden="1">{"rp_only",#N/A,FALSE,"2225"}</definedName>
    <definedName name="bcvbb_1" localSheetId="10" hidden="1">{"rp_only",#N/A,FALSE,"2225"}</definedName>
    <definedName name="bcvbb_1" hidden="1">{"rp_only",#N/A,FALSE,"2225"}</definedName>
    <definedName name="bcvbc" localSheetId="10" hidden="1">{"rp_only",#N/A,FALSE,"2225"}</definedName>
    <definedName name="bcvbc" hidden="1">{"rp_only",#N/A,FALSE,"2225"}</definedName>
    <definedName name="bcvbc_1" localSheetId="10" hidden="1">{"rp_only",#N/A,FALSE,"2225"}</definedName>
    <definedName name="bcvbc_1" hidden="1">{"rp_only",#N/A,FALSE,"2225"}</definedName>
    <definedName name="bcvbcbc" localSheetId="10" hidden="1">{"rp_only",#N/A,FALSE,"2225"}</definedName>
    <definedName name="bcvbcbc" hidden="1">{"rp_only",#N/A,FALSE,"2225"}</definedName>
    <definedName name="bcvbcbc_1" localSheetId="10" hidden="1">{"rp_only",#N/A,FALSE,"2225"}</definedName>
    <definedName name="bcvbcbc_1" hidden="1">{"rp_only",#N/A,FALSE,"2225"}</definedName>
    <definedName name="bcvcb" localSheetId="10" hidden="1">{"with_oth_curr",#N/A,FALSE,"2225"}</definedName>
    <definedName name="bcvcb" hidden="1">{"with_oth_curr",#N/A,FALSE,"2225"}</definedName>
    <definedName name="bcvcb_1" localSheetId="10"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localSheetId="10" hidden="1">{#N/A,#N/A,FALSE,"Aging Summary";#N/A,#N/A,FALSE,"Ratio Analysis";#N/A,#N/A,FALSE,"Test 120 Day Accts";#N/A,#N/A,FALSE,"Tickmarks"}</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localSheetId="10" hidden="1">{#N/A,#N/A,FALSE,"REK-S-TPL";#N/A,#N/A,FALSE,"REK-TPML";#N/A,#N/A,FALSE,"RAB-TEMPEL"}</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localSheetId="10" hidden="1">{#N/A,#N/A,FALSE,"REK";#N/A,#N/A,FALSE,"rab"}</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10" hidden="1">{#N/A,#N/A,FALSE,"CCTV"}</definedName>
    <definedName name="bfbfdhfdhdfgh" hidden="1">{#N/A,#N/A,FALSE,"CCTV"}</definedName>
    <definedName name="bfdfdffggf" localSheetId="10" hidden="1">{"with_oth_curr",#N/A,FALSE,"2225"}</definedName>
    <definedName name="bfdfdffggf" hidden="1">{"with_oth_curr",#N/A,FALSE,"2225"}</definedName>
    <definedName name="bfdfdffggf_1" localSheetId="10" hidden="1">{"with_oth_curr",#N/A,FALSE,"2225"}</definedName>
    <definedName name="bfdfdffggf_1" hidden="1">{"with_oth_curr",#N/A,FALSE,"2225"}</definedName>
    <definedName name="bfvsghnh" localSheetId="10" hidden="1">{"with_oth_curr",#N/A,FALSE,"2225"}</definedName>
    <definedName name="bfvsghnh" hidden="1">{"with_oth_curr",#N/A,FALSE,"2225"}</definedName>
    <definedName name="bfvsghnh_1" localSheetId="10" hidden="1">{"with_oth_curr",#N/A,FALSE,"2225"}</definedName>
    <definedName name="bfvsghnh_1" hidden="1">{"with_oth_curr",#N/A,FALSE,"2225"}</definedName>
    <definedName name="bfvv" localSheetId="10" hidden="1">{"with_oth_curr",#N/A,FALSE,"2225"}</definedName>
    <definedName name="bfvv" hidden="1">{"with_oth_curr",#N/A,FALSE,"2225"}</definedName>
    <definedName name="bfvv_1" localSheetId="10" hidden="1">{"with_oth_curr",#N/A,FALSE,"2225"}</definedName>
    <definedName name="bfvv_1" hidden="1">{"with_oth_curr",#N/A,FALSE,"2225"}</definedName>
    <definedName name="BG" localSheetId="10"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10" hidden="1">{"rp_only",#N/A,FALSE,"2225"}</definedName>
    <definedName name="bgdbvvbvbv" hidden="1">{"rp_only",#N/A,FALSE,"2225"}</definedName>
    <definedName name="bgdbvvbvbv_1" localSheetId="10" hidden="1">{"rp_only",#N/A,FALSE,"2225"}</definedName>
    <definedName name="bgdbvvbvbv_1" hidden="1">{"rp_only",#N/A,FALSE,"2225"}</definedName>
    <definedName name="bgfv" localSheetId="10" hidden="1">{"with_oth_curr",#N/A,FALSE,"2225"}</definedName>
    <definedName name="bgfv" hidden="1">{"with_oth_curr",#N/A,FALSE,"2225"}</definedName>
    <definedName name="bgfv_1" localSheetId="10" hidden="1">{"with_oth_curr",#N/A,FALSE,"2225"}</definedName>
    <definedName name="bgfv_1" hidden="1">{"with_oth_curr",#N/A,FALSE,"2225"}</definedName>
    <definedName name="bgfvbgbg" localSheetId="10" hidden="1">{"with_oth_curr",#N/A,FALSE,"2225"}</definedName>
    <definedName name="bgfvbgbg" hidden="1">{"with_oth_curr",#N/A,FALSE,"2225"}</definedName>
    <definedName name="bgfvbgbg_1" localSheetId="10" hidden="1">{"with_oth_curr",#N/A,FALSE,"2225"}</definedName>
    <definedName name="bgfvbgbg_1" hidden="1">{"with_oth_curr",#N/A,FALSE,"2225"}</definedName>
    <definedName name="bgvgddgs" localSheetId="10" hidden="1">{"rp_only",#N/A,FALSE,"2225"}</definedName>
    <definedName name="bgvgddgs" hidden="1">{"rp_only",#N/A,FALSE,"2225"}</definedName>
    <definedName name="bgvgddgs_1" localSheetId="10" hidden="1">{"rp_only",#N/A,FALSE,"2225"}</definedName>
    <definedName name="bgvgddgs_1" hidden="1">{"rp_only",#N/A,FALSE,"2225"}</definedName>
    <definedName name="BH">#REF!</definedName>
    <definedName name="bhbh" localSheetId="10" hidden="1">{"Admin Costs",#N/A,FALSE,"Act.Fcst Costs"}</definedName>
    <definedName name="bhbh" hidden="1">{"Admin Costs",#N/A,FALSE,"Act.Fcst Costs"}</definedName>
    <definedName name="bhbh_1" localSheetId="10"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localSheetId="10" hidden="1">{#N/A,#N/A,FALSE,"BS"}</definedName>
    <definedName name="BIIMAN" hidden="1">{#N/A,#N/A,FALSE,"BS"}</definedName>
    <definedName name="BIIMAN_1" localSheetId="10" hidden="1">{#N/A,#N/A,FALSE,"BS"}</definedName>
    <definedName name="BIIMAN_1" hidden="1">{#N/A,#N/A,FALSE,"BS"}</definedName>
    <definedName name="bil">#REF!</definedName>
    <definedName name="Billion">#REF!</definedName>
    <definedName name="BINDER">#REF!</definedName>
    <definedName name="Bingung" localSheetId="10" hidden="1">{"SCH1C",#N/A,FALSE,"North America"}</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localSheetId="10"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10"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localSheetId="10" hidden="1">{"with_oth_curr",#N/A,FALSE,"2225"}</definedName>
    <definedName name="bkhjhj" hidden="1">{"with_oth_curr",#N/A,FALSE,"2225"}</definedName>
    <definedName name="bkhjhj_1" localSheetId="10"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localSheetId="10" hidden="1">{"with_oth_curr",#N/A,FALSE,"2225"}</definedName>
    <definedName name="bmbnmb" hidden="1">{"with_oth_curr",#N/A,FALSE,"2225"}</definedName>
    <definedName name="bmbnmb_1" localSheetId="10" hidden="1">{"with_oth_curr",#N/A,FALSE,"2225"}</definedName>
    <definedName name="bmbnmb_1" hidden="1">{"with_oth_curr",#N/A,FALSE,"2225"}</definedName>
    <definedName name="bmbnmbnm" localSheetId="10" hidden="1">{"rp_only",#N/A,FALSE,"2225"}</definedName>
    <definedName name="bmbnmbnm" hidden="1">{"rp_only",#N/A,FALSE,"2225"}</definedName>
    <definedName name="bmbnmbnm_1" localSheetId="10"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localSheetId="10" hidden="1">{"rp_only",#N/A,FALSE,"2225"}</definedName>
    <definedName name="bmhjkhjkghk" hidden="1">{"rp_only",#N/A,FALSE,"2225"}</definedName>
    <definedName name="bmhjkhjkghk_1" localSheetId="10" hidden="1">{"rp_only",#N/A,FALSE,"2225"}</definedName>
    <definedName name="bmhjkhjkghk_1" hidden="1">{"rp_only",#N/A,FALSE,"2225"}</definedName>
    <definedName name="BMMMAT">#N/A</definedName>
    <definedName name="bmnbmn" localSheetId="10" hidden="1">{"rp_only",#N/A,FALSE,"2225"}</definedName>
    <definedName name="bmnbmn" hidden="1">{"rp_only",#N/A,FALSE,"2225"}</definedName>
    <definedName name="bmnbmn_1" localSheetId="10" hidden="1">{"rp_only",#N/A,FALSE,"2225"}</definedName>
    <definedName name="bmnbmn_1" hidden="1">{"rp_only",#N/A,FALSE,"2225"}</definedName>
    <definedName name="bn" localSheetId="10" hidden="1">{#N/A,#N/A,FALSE,"Aging Summary";#N/A,#N/A,FALSE,"Ratio Analysis";#N/A,#N/A,FALSE,"Test 120 Day Accts";#N/A,#N/A,FALSE,"Tickmarks"}</definedName>
    <definedName name="bn" hidden="1">{#N/A,#N/A,FALSE,"Aging Summary";#N/A,#N/A,FALSE,"Ratio Analysis";#N/A,#N/A,FALSE,"Test 120 Day Accts";#N/A,#N/A,FALSE,"Tickmarks"}</definedName>
    <definedName name="bnbnnvnv" localSheetId="10" hidden="1">{"with_oth_curr",#N/A,FALSE,"2225"}</definedName>
    <definedName name="bnbnnvnv" hidden="1">{"with_oth_curr",#N/A,FALSE,"2225"}</definedName>
    <definedName name="bnbnnvnv_1" localSheetId="10" hidden="1">{"with_oth_curr",#N/A,FALSE,"2225"}</definedName>
    <definedName name="bnbnnvnv_1" hidden="1">{"with_oth_curr",#N/A,FALSE,"2225"}</definedName>
    <definedName name="bnbnvbcvbc" localSheetId="10" hidden="1">{"rp_only",#N/A,FALSE,"2225"}</definedName>
    <definedName name="bnbnvbcvbc" hidden="1">{"rp_only",#N/A,FALSE,"2225"}</definedName>
    <definedName name="bnbnvbcvbc_1" localSheetId="10" hidden="1">{"rp_only",#N/A,FALSE,"2225"}</definedName>
    <definedName name="bnbnvbcvbc_1" hidden="1">{"rp_only",#N/A,FALSE,"2225"}</definedName>
    <definedName name="BNE_MESSAGES_HIDDEN" hidden="1">#REF!</definedName>
    <definedName name="bnfdhhfc" localSheetId="10" hidden="1">{"rp_only",#N/A,FALSE,"2225"}</definedName>
    <definedName name="bnfdhhfc" hidden="1">{"rp_only",#N/A,FALSE,"2225"}</definedName>
    <definedName name="bnfdhhfc_1" localSheetId="10" hidden="1">{"rp_only",#N/A,FALSE,"2225"}</definedName>
    <definedName name="bnfdhhfc_1" hidden="1">{"rp_only",#N/A,FALSE,"2225"}</definedName>
    <definedName name="bnll"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10" hidden="1">{"rp_only",#N/A,FALSE,"2225"}</definedName>
    <definedName name="bnmbmbm" hidden="1">{"rp_only",#N/A,FALSE,"2225"}</definedName>
    <definedName name="bnmbmbm_1" localSheetId="10" hidden="1">{"rp_only",#N/A,FALSE,"2225"}</definedName>
    <definedName name="bnmbmbm_1" hidden="1">{"rp_only",#N/A,FALSE,"2225"}</definedName>
    <definedName name="bnmbmbvm" localSheetId="10" hidden="1">{"rp_only",#N/A,FALSE,"2225"}</definedName>
    <definedName name="bnmbmbvm" hidden="1">{"rp_only",#N/A,FALSE,"2225"}</definedName>
    <definedName name="bnmbmbvm_1" localSheetId="10" hidden="1">{"rp_only",#N/A,FALSE,"2225"}</definedName>
    <definedName name="bnmbmbvm_1" hidden="1">{"rp_only",#N/A,FALSE,"2225"}</definedName>
    <definedName name="bnmbnmbnm" localSheetId="10" hidden="1">{"rp_only",#N/A,FALSE,"2225"}</definedName>
    <definedName name="bnmbnmbnm" hidden="1">{"rp_only",#N/A,FALSE,"2225"}</definedName>
    <definedName name="bnmbnmbnm_1" localSheetId="10" hidden="1">{"rp_only",#N/A,FALSE,"2225"}</definedName>
    <definedName name="bnmbnmbnm_1" hidden="1">{"rp_only",#N/A,FALSE,"2225"}</definedName>
    <definedName name="bnmbnmbnmbm" localSheetId="10" hidden="1">{"rp_only",#N/A,FALSE,"2225"}</definedName>
    <definedName name="bnmbnmbnmbm" hidden="1">{"rp_only",#N/A,FALSE,"2225"}</definedName>
    <definedName name="bnmbnmbnmbm_1" localSheetId="10" hidden="1">{"rp_only",#N/A,FALSE,"2225"}</definedName>
    <definedName name="bnmbnmbnmbm_1" hidden="1">{"rp_only",#N/A,FALSE,"2225"}</definedName>
    <definedName name="bnmbvmnb" localSheetId="10" hidden="1">{"rp_only",#N/A,FALSE,"2225"}</definedName>
    <definedName name="bnmbvmnb" hidden="1">{"rp_only",#N/A,FALSE,"2225"}</definedName>
    <definedName name="bnmbvmnb_1" localSheetId="10" hidden="1">{"rp_only",#N/A,FALSE,"2225"}</definedName>
    <definedName name="bnmbvmnb_1" hidden="1">{"rp_only",#N/A,FALSE,"2225"}</definedName>
    <definedName name="BNN" localSheetId="10" hidden="1">{#N/A,#N/A,FALSE,"CCTV"}</definedName>
    <definedName name="BNN" hidden="1">{#N/A,#N/A,FALSE,"CCTV"}</definedName>
    <definedName name="bnnvvn" localSheetId="10" hidden="1">{"rp_only",#N/A,FALSE,"2225"}</definedName>
    <definedName name="bnnvvn" hidden="1">{"rp_only",#N/A,FALSE,"2225"}</definedName>
    <definedName name="bnnvvn_1" localSheetId="10" hidden="1">{"rp_only",#N/A,FALSE,"2225"}</definedName>
    <definedName name="bnnvvn_1" hidden="1">{"rp_only",#N/A,FALSE,"2225"}</definedName>
    <definedName name="bnvbnbvnvbnvnvnbnbvnvbnvbn" localSheetId="10" hidden="1">{"rp_only",#N/A,FALSE,"2225"}</definedName>
    <definedName name="bnvbnbvnvbnvnvnbnbvnvbnvbn" hidden="1">{"rp_only",#N/A,FALSE,"2225"}</definedName>
    <definedName name="bnvbnbvnvbnvnvnbnbvnvbnvbn_1" localSheetId="10" hidden="1">{"rp_only",#N/A,FALSE,"2225"}</definedName>
    <definedName name="bnvbnbvnvbnvnvnbnbvnvbnvbn_1" hidden="1">{"rp_only",#N/A,FALSE,"2225"}</definedName>
    <definedName name="bnvbnv" localSheetId="10" hidden="1">{"rp_only",#N/A,FALSE,"2225"}</definedName>
    <definedName name="bnvbnv" hidden="1">{"rp_only",#N/A,FALSE,"2225"}</definedName>
    <definedName name="bnvbnv_1" localSheetId="10" hidden="1">{"rp_only",#N/A,FALSE,"2225"}</definedName>
    <definedName name="bnvbnv_1" hidden="1">{"rp_only",#N/A,FALSE,"2225"}</definedName>
    <definedName name="bnvbv" localSheetId="10" hidden="1">{"rp_only",#N/A,FALSE,"2225"}</definedName>
    <definedName name="bnvbv" hidden="1">{"rp_only",#N/A,FALSE,"2225"}</definedName>
    <definedName name="bnvbv_1" localSheetId="10" hidden="1">{"rp_only",#N/A,FALSE,"2225"}</definedName>
    <definedName name="bnvbv_1" hidden="1">{"rp_only",#N/A,FALSE,"2225"}</definedName>
    <definedName name="bnvn" localSheetId="10" hidden="1">{"with_oth_curr",#N/A,FALSE,"2225"}</definedName>
    <definedName name="bnvn" hidden="1">{"with_oth_curr",#N/A,FALSE,"2225"}</definedName>
    <definedName name="bnvn_1" localSheetId="10" hidden="1">{"with_oth_curr",#N/A,FALSE,"2225"}</definedName>
    <definedName name="bnvn_1" hidden="1">{"with_oth_curr",#N/A,FALSE,"2225"}</definedName>
    <definedName name="bnvnbnb" localSheetId="10" hidden="1">{"rp_only",#N/A,FALSE,"2225"}</definedName>
    <definedName name="bnvnbnb" hidden="1">{"rp_only",#N/A,FALSE,"2225"}</definedName>
    <definedName name="bnvnbnb_1" localSheetId="10" hidden="1">{"rp_only",#N/A,FALSE,"2225"}</definedName>
    <definedName name="bnvnbnb_1" hidden="1">{"rp_only",#N/A,FALSE,"2225"}</definedName>
    <definedName name="bnvnv" localSheetId="10" hidden="1">{"rp_only",#N/A,FALSE,"2225"}</definedName>
    <definedName name="bnvnv" hidden="1">{"rp_only",#N/A,FALSE,"2225"}</definedName>
    <definedName name="bnvnv_1" localSheetId="10" hidden="1">{"rp_only",#N/A,FALSE,"2225"}</definedName>
    <definedName name="bnvnv_1" hidden="1">{"rp_only",#N/A,FALSE,"2225"}</definedName>
    <definedName name="bnvnvb" localSheetId="10" hidden="1">{"with_oth_curr",#N/A,FALSE,"2225"}</definedName>
    <definedName name="bnvnvb" hidden="1">{"with_oth_curr",#N/A,FALSE,"2225"}</definedName>
    <definedName name="bnvnvb_1" localSheetId="10" hidden="1">{"with_oth_curr",#N/A,FALSE,"2225"}</definedName>
    <definedName name="bnvnvb_1" hidden="1">{"with_oth_curr",#N/A,FALSE,"2225"}</definedName>
    <definedName name="BNY">#REF!</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10"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localSheetId="10" hidden="1">{#N/A,#N/A,FALSE,"Aging Summary";#N/A,#N/A,FALSE,"Ratio Analysis";#N/A,#N/A,FALSE,"Test 120 Day Accts";#N/A,#N/A,FALSE,"Tickmarks"}</definedName>
    <definedName name="br" hidden="1">{#N/A,#N/A,FALSE,"Aging Summary";#N/A,#N/A,FALSE,"Ratio Analysis";#N/A,#N/A,FALSE,"Test 120 Day Accts";#N/A,#N/A,FALSE,"Tickmarks"}</definedName>
    <definedName name="br_1" localSheetId="10"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localSheetId="10" hidden="1">{"rp_only",#N/A,FALSE,"2225"}</definedName>
    <definedName name="bvb" hidden="1">{"rp_only",#N/A,FALSE,"2225"}</definedName>
    <definedName name="bvb_1" localSheetId="10" hidden="1">{"rp_only",#N/A,FALSE,"2225"}</definedName>
    <definedName name="bvb_1" hidden="1">{"rp_only",#N/A,FALSE,"2225"}</definedName>
    <definedName name="bvbbv" localSheetId="10" hidden="1">{"rp_only",#N/A,FALSE,"2225"}</definedName>
    <definedName name="bvbbv" hidden="1">{"rp_only",#N/A,FALSE,"2225"}</definedName>
    <definedName name="bvbbv_1" localSheetId="10" hidden="1">{"rp_only",#N/A,FALSE,"2225"}</definedName>
    <definedName name="bvbbv_1" hidden="1">{"rp_only",#N/A,FALSE,"2225"}</definedName>
    <definedName name="bvbcb" localSheetId="10" hidden="1">{"with_oth_curr",#N/A,FALSE,"2225"}</definedName>
    <definedName name="bvbcb" hidden="1">{"with_oth_curr",#N/A,FALSE,"2225"}</definedName>
    <definedName name="bvbcb_1" localSheetId="10" hidden="1">{"with_oth_curr",#N/A,FALSE,"2225"}</definedName>
    <definedName name="bvbcb_1" hidden="1">{"with_oth_curr",#N/A,FALSE,"2225"}</definedName>
    <definedName name="bvbcbc" localSheetId="10" hidden="1">{"with_oth_curr",#N/A,FALSE,"2225"}</definedName>
    <definedName name="bvbcbc" hidden="1">{"with_oth_curr",#N/A,FALSE,"2225"}</definedName>
    <definedName name="bvbcbc_1" localSheetId="10" hidden="1">{"with_oth_curr",#N/A,FALSE,"2225"}</definedName>
    <definedName name="bvbcbc_1" hidden="1">{"with_oth_curr",#N/A,FALSE,"2225"}</definedName>
    <definedName name="bvbcvb" localSheetId="10" hidden="1">{"rp_only",#N/A,FALSE,"2225"}</definedName>
    <definedName name="bvbcvb" hidden="1">{"rp_only",#N/A,FALSE,"2225"}</definedName>
    <definedName name="bvbcvb_1" localSheetId="10" hidden="1">{"rp_only",#N/A,FALSE,"2225"}</definedName>
    <definedName name="bvbcvb_1" hidden="1">{"rp_only",#N/A,FALSE,"2225"}</definedName>
    <definedName name="bvbget" localSheetId="10" hidden="1">{"rp_only",#N/A,FALSE,"2225"}</definedName>
    <definedName name="bvbget" hidden="1">{"rp_only",#N/A,FALSE,"2225"}</definedName>
    <definedName name="bvbget_1" localSheetId="10" hidden="1">{"rp_only",#N/A,FALSE,"2225"}</definedName>
    <definedName name="bvbget_1" hidden="1">{"rp_only",#N/A,FALSE,"2225"}</definedName>
    <definedName name="bvbnvbnbvnbn" localSheetId="10" hidden="1">{"rp_only",#N/A,FALSE,"2225"}</definedName>
    <definedName name="bvbnvbnbvnbn" hidden="1">{"rp_only",#N/A,FALSE,"2225"}</definedName>
    <definedName name="bvbnvbnbvnbn_1" localSheetId="10" hidden="1">{"rp_only",#N/A,FALSE,"2225"}</definedName>
    <definedName name="bvbnvbnbvnbn_1" hidden="1">{"rp_only",#N/A,FALSE,"2225"}</definedName>
    <definedName name="bvbv" localSheetId="10" hidden="1">{"rp_only",#N/A,FALSE,"2225"}</definedName>
    <definedName name="bvbv" hidden="1">{"rp_only",#N/A,FALSE,"2225"}</definedName>
    <definedName name="bvbv_1" localSheetId="10" hidden="1">{"rp_only",#N/A,FALSE,"2225"}</definedName>
    <definedName name="bvbv_1" hidden="1">{"rp_only",#N/A,FALSE,"2225"}</definedName>
    <definedName name="bvbvb" localSheetId="10" hidden="1">{"rp_only",#N/A,FALSE,"2225"}</definedName>
    <definedName name="bvbvb" hidden="1">{"rp_only",#N/A,FALSE,"2225"}</definedName>
    <definedName name="bvbvb_1" localSheetId="10" hidden="1">{"rp_only",#N/A,FALSE,"2225"}</definedName>
    <definedName name="bvbvb_1" hidden="1">{"rp_only",#N/A,FALSE,"2225"}</definedName>
    <definedName name="bvbvvb" localSheetId="10" hidden="1">{"rp_only",#N/A,FALSE,"2225"}</definedName>
    <definedName name="bvbvvb" hidden="1">{"rp_only",#N/A,FALSE,"2225"}</definedName>
    <definedName name="bvbvvb_1" localSheetId="10" hidden="1">{"rp_only",#N/A,FALSE,"2225"}</definedName>
    <definedName name="bvbvvb_1" hidden="1">{"rp_only",#N/A,FALSE,"2225"}</definedName>
    <definedName name="bvbvvnv" localSheetId="10" hidden="1">{"with_oth_curr",#N/A,FALSE,"2225"}</definedName>
    <definedName name="bvbvvnv" hidden="1">{"with_oth_curr",#N/A,FALSE,"2225"}</definedName>
    <definedName name="bvbvvnv_1" localSheetId="10" hidden="1">{"with_oth_curr",#N/A,FALSE,"2225"}</definedName>
    <definedName name="bvbvvnv_1" hidden="1">{"with_oth_curr",#N/A,FALSE,"2225"}</definedName>
    <definedName name="bvbxcgfx" localSheetId="10" hidden="1">{"rp_only",#N/A,FALSE,"2225"}</definedName>
    <definedName name="bvbxcgfx" hidden="1">{"rp_only",#N/A,FALSE,"2225"}</definedName>
    <definedName name="bvbxcgfx_1" localSheetId="10" hidden="1">{"rp_only",#N/A,FALSE,"2225"}</definedName>
    <definedName name="bvbxcgfx_1" hidden="1">{"rp_only",#N/A,FALSE,"2225"}</definedName>
    <definedName name="bvc" localSheetId="10" hidden="1">{"rp_only",#N/A,FALSE,"2225"}</definedName>
    <definedName name="bvc" hidden="1">{"rp_only",#N/A,FALSE,"2225"}</definedName>
    <definedName name="bvc_1" localSheetId="10" hidden="1">{"rp_only",#N/A,FALSE,"2225"}</definedName>
    <definedName name="bvc_1" hidden="1">{"rp_only",#N/A,FALSE,"2225"}</definedName>
    <definedName name="bvcbbcbc" localSheetId="10" hidden="1">{"with_oth_curr",#N/A,FALSE,"2225"}</definedName>
    <definedName name="bvcbbcbc" hidden="1">{"with_oth_curr",#N/A,FALSE,"2225"}</definedName>
    <definedName name="bvcbbcbc_1" localSheetId="10" hidden="1">{"with_oth_curr",#N/A,FALSE,"2225"}</definedName>
    <definedName name="bvcbbcbc_1" hidden="1">{"with_oth_curr",#N/A,FALSE,"2225"}</definedName>
    <definedName name="bvcbcbcb" localSheetId="10" hidden="1">{"rp_only",#N/A,FALSE,"2225"}</definedName>
    <definedName name="bvcbcbcb" hidden="1">{"rp_only",#N/A,FALSE,"2225"}</definedName>
    <definedName name="bvcbcbcb_1" localSheetId="10" hidden="1">{"rp_only",#N/A,FALSE,"2225"}</definedName>
    <definedName name="bvcbcbcb_1" hidden="1">{"rp_only",#N/A,FALSE,"2225"}</definedName>
    <definedName name="bvcbcvbvc" localSheetId="10" hidden="1">{"rp_only",#N/A,FALSE,"2225"}</definedName>
    <definedName name="bvcbcvbvc" hidden="1">{"rp_only",#N/A,FALSE,"2225"}</definedName>
    <definedName name="bvcbcvbvc_1" localSheetId="10" hidden="1">{"rp_only",#N/A,FALSE,"2225"}</definedName>
    <definedName name="bvcbcvbvc_1" hidden="1">{"rp_only",#N/A,FALSE,"2225"}</definedName>
    <definedName name="bvcbvbv" localSheetId="10" hidden="1">{"rp_only",#N/A,FALSE,"2225"}</definedName>
    <definedName name="bvcbvbv" hidden="1">{"rp_only",#N/A,FALSE,"2225"}</definedName>
    <definedName name="bvcbvbv_1" localSheetId="10" hidden="1">{"rp_only",#N/A,FALSE,"2225"}</definedName>
    <definedName name="bvcbvbv_1" hidden="1">{"rp_only",#N/A,FALSE,"2225"}</definedName>
    <definedName name="bvcbvcvbcv" localSheetId="10" hidden="1">{"rp_only",#N/A,FALSE,"2225"}</definedName>
    <definedName name="bvcbvcvbcv" hidden="1">{"rp_only",#N/A,FALSE,"2225"}</definedName>
    <definedName name="bvcbvcvbcv_1" localSheetId="10" hidden="1">{"rp_only",#N/A,FALSE,"2225"}</definedName>
    <definedName name="bvcbvcvbcv_1" hidden="1">{"rp_only",#N/A,FALSE,"2225"}</definedName>
    <definedName name="bvcbvcvcbcvb" localSheetId="10" hidden="1">{"rp_only",#N/A,FALSE,"2225"}</definedName>
    <definedName name="bvcbvcvcbcvb" hidden="1">{"rp_only",#N/A,FALSE,"2225"}</definedName>
    <definedName name="bvcbvcvcbcvb_1" localSheetId="10" hidden="1">{"rp_only",#N/A,FALSE,"2225"}</definedName>
    <definedName name="bvcbvcvcbcvb_1" hidden="1">{"rp_only",#N/A,FALSE,"2225"}</definedName>
    <definedName name="bvccvb" localSheetId="10" hidden="1">{"with_oth_curr",#N/A,FALSE,"2225"}</definedName>
    <definedName name="bvccvb" hidden="1">{"with_oth_curr",#N/A,FALSE,"2225"}</definedName>
    <definedName name="bvccvb_1" localSheetId="10" hidden="1">{"with_oth_curr",#N/A,FALSE,"2225"}</definedName>
    <definedName name="bvccvb_1" hidden="1">{"with_oth_curr",#N/A,FALSE,"2225"}</definedName>
    <definedName name="BVCISUMMARY">#REF!</definedName>
    <definedName name="bvctrytyr" localSheetId="10" hidden="1">{"rp_only",#N/A,FALSE,"2225"}</definedName>
    <definedName name="bvctrytyr" hidden="1">{"rp_only",#N/A,FALSE,"2225"}</definedName>
    <definedName name="bvctrytyr_1" localSheetId="10" hidden="1">{"rp_only",#N/A,FALSE,"2225"}</definedName>
    <definedName name="bvctrytyr_1" hidden="1">{"rp_only",#N/A,FALSE,"2225"}</definedName>
    <definedName name="bvcvbcbcb" localSheetId="10" hidden="1">{"rp_only",#N/A,FALSE,"2225"}</definedName>
    <definedName name="bvcvbcbcb" hidden="1">{"rp_only",#N/A,FALSE,"2225"}</definedName>
    <definedName name="bvcvbcbcb_1" localSheetId="10" hidden="1">{"rp_only",#N/A,FALSE,"2225"}</definedName>
    <definedName name="bvcvbcbcb_1" hidden="1">{"rp_only",#N/A,FALSE,"2225"}</definedName>
    <definedName name="bvcvbcv" localSheetId="10" hidden="1">{"rp_only",#N/A,FALSE,"2225"}</definedName>
    <definedName name="bvcvbcv" hidden="1">{"rp_only",#N/A,FALSE,"2225"}</definedName>
    <definedName name="bvcvbcv_1" localSheetId="10" hidden="1">{"rp_only",#N/A,FALSE,"2225"}</definedName>
    <definedName name="bvcvbcv_1" hidden="1">{"rp_only",#N/A,FALSE,"2225"}</definedName>
    <definedName name="bvcvbcvbcvb" localSheetId="10" hidden="1">{"with_oth_curr",#N/A,FALSE,"2225"}</definedName>
    <definedName name="bvcvbcvbcvb" hidden="1">{"with_oth_curr",#N/A,FALSE,"2225"}</definedName>
    <definedName name="bvcvbcvbcvb_1" localSheetId="10" hidden="1">{"with_oth_curr",#N/A,FALSE,"2225"}</definedName>
    <definedName name="bvcvbcvbcvb_1" hidden="1">{"with_oth_curr",#N/A,FALSE,"2225"}</definedName>
    <definedName name="bvcvbcvbcvbcb" localSheetId="10" hidden="1">{"rp_only",#N/A,FALSE,"2225"}</definedName>
    <definedName name="bvcvbcvbcvbcb" hidden="1">{"rp_only",#N/A,FALSE,"2225"}</definedName>
    <definedName name="bvcvbcvbcvbcb_1" localSheetId="10" hidden="1">{"rp_only",#N/A,FALSE,"2225"}</definedName>
    <definedName name="bvcvbcvbcvbcb_1" hidden="1">{"rp_only",#N/A,FALSE,"2225"}</definedName>
    <definedName name="bvcvbv" localSheetId="10" hidden="1">{"rp_only",#N/A,FALSE,"2225"}</definedName>
    <definedName name="bvcvbv" hidden="1">{"rp_only",#N/A,FALSE,"2225"}</definedName>
    <definedName name="bvcvbv_1" localSheetId="10" hidden="1">{"rp_only",#N/A,FALSE,"2225"}</definedName>
    <definedName name="bvcvbv_1" hidden="1">{"rp_only",#N/A,FALSE,"2225"}</definedName>
    <definedName name="bvcvbvnbm" localSheetId="10" hidden="1">{"rp_only",#N/A,FALSE,"2225"}</definedName>
    <definedName name="bvcvbvnbm" hidden="1">{"rp_only",#N/A,FALSE,"2225"}</definedName>
    <definedName name="bvcvbvnbm_1" localSheetId="10" hidden="1">{"rp_only",#N/A,FALSE,"2225"}</definedName>
    <definedName name="bvcvbvnbm_1" hidden="1">{"rp_only",#N/A,FALSE,"2225"}</definedName>
    <definedName name="bvcvvbbvbvbv" localSheetId="10" hidden="1">{"rp_only",#N/A,FALSE,"2225"}</definedName>
    <definedName name="bvcvvbbvbvbv" hidden="1">{"rp_only",#N/A,FALSE,"2225"}</definedName>
    <definedName name="bvcvvbbvbvbv_1" localSheetId="10" hidden="1">{"rp_only",#N/A,FALSE,"2225"}</definedName>
    <definedName name="bvcvvbbvbvbv_1" hidden="1">{"rp_only",#N/A,FALSE,"2225"}</definedName>
    <definedName name="bvcvvc" localSheetId="10" hidden="1">{"rp_only",#N/A,FALSE,"2225"}</definedName>
    <definedName name="bvcvvc" hidden="1">{"rp_only",#N/A,FALSE,"2225"}</definedName>
    <definedName name="bvcvvc_1" localSheetId="10"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localSheetId="10" hidden="1">{"rp_only",#N/A,FALSE,"2225"}</definedName>
    <definedName name="bvdfgc" hidden="1">{"rp_only",#N/A,FALSE,"2225"}</definedName>
    <definedName name="bvdfgc_1" localSheetId="10" hidden="1">{"rp_only",#N/A,FALSE,"2225"}</definedName>
    <definedName name="bvdfgc_1" hidden="1">{"rp_only",#N/A,FALSE,"2225"}</definedName>
    <definedName name="bvfvvfbvbcvbv" localSheetId="10" hidden="1">{"with_oth_curr",#N/A,FALSE,"2225"}</definedName>
    <definedName name="bvfvvfbvbcvbv" hidden="1">{"with_oth_curr",#N/A,FALSE,"2225"}</definedName>
    <definedName name="bvfvvfbvbcvbv_1" localSheetId="10" hidden="1">{"with_oth_curr",#N/A,FALSE,"2225"}</definedName>
    <definedName name="bvfvvfbvbcvbv_1" hidden="1">{"with_oth_curr",#N/A,FALSE,"2225"}</definedName>
    <definedName name="bvgfgf" localSheetId="10" hidden="1">{"rp_only",#N/A,FALSE,"2225"}</definedName>
    <definedName name="bvgfgf" hidden="1">{"rp_only",#N/A,FALSE,"2225"}</definedName>
    <definedName name="bvgfgf_1" localSheetId="10" hidden="1">{"rp_only",#N/A,FALSE,"2225"}</definedName>
    <definedName name="bvgfgf_1" hidden="1">{"rp_only",#N/A,FALSE,"2225"}</definedName>
    <definedName name="bvmbnmbnvm" localSheetId="10" hidden="1">{"rp_only",#N/A,FALSE,"2225"}</definedName>
    <definedName name="bvmbnmbnvm" hidden="1">{"rp_only",#N/A,FALSE,"2225"}</definedName>
    <definedName name="bvmbnmbnvm_1" localSheetId="10" hidden="1">{"rp_only",#N/A,FALSE,"2225"}</definedName>
    <definedName name="bvmbnmbnvm_1" hidden="1">{"rp_only",#N/A,FALSE,"2225"}</definedName>
    <definedName name="bvmbvnmb" localSheetId="10" hidden="1">{"with_oth_curr",#N/A,FALSE,"2225"}</definedName>
    <definedName name="bvmbvnmb" hidden="1">{"with_oth_curr",#N/A,FALSE,"2225"}</definedName>
    <definedName name="bvmbvnmb_1" localSheetId="10" hidden="1">{"with_oth_curr",#N/A,FALSE,"2225"}</definedName>
    <definedName name="bvmbvnmb_1" hidden="1">{"with_oth_curr",#N/A,FALSE,"2225"}</definedName>
    <definedName name="bvnbbn" localSheetId="10" hidden="1">{"with_oth_curr",#N/A,FALSE,"2225"}</definedName>
    <definedName name="bvnbbn" hidden="1">{"with_oth_curr",#N/A,FALSE,"2225"}</definedName>
    <definedName name="bvnbbn_1" localSheetId="10" hidden="1">{"with_oth_curr",#N/A,FALSE,"2225"}</definedName>
    <definedName name="bvnbbn_1" hidden="1">{"with_oth_curr",#N/A,FALSE,"2225"}</definedName>
    <definedName name="bvnbn" localSheetId="10" hidden="1">{"with_oth_curr",#N/A,FALSE,"2225"}</definedName>
    <definedName name="bvnbn" hidden="1">{"with_oth_curr",#N/A,FALSE,"2225"}</definedName>
    <definedName name="bvnbn_1" localSheetId="10" hidden="1">{"with_oth_curr",#N/A,FALSE,"2225"}</definedName>
    <definedName name="bvnbn_1" hidden="1">{"with_oth_curr",#N/A,FALSE,"2225"}</definedName>
    <definedName name="bvnbv">#REF!</definedName>
    <definedName name="bvnvbnv" localSheetId="10" hidden="1">{"rp_only",#N/A,FALSE,"2225"}</definedName>
    <definedName name="bvnvbnv" hidden="1">{"rp_only",#N/A,FALSE,"2225"}</definedName>
    <definedName name="bvnvbnv_1" localSheetId="10" hidden="1">{"rp_only",#N/A,FALSE,"2225"}</definedName>
    <definedName name="bvnvbnv_1" hidden="1">{"rp_only",#N/A,FALSE,"2225"}</definedName>
    <definedName name="bvnvbnvbnvnbvnbvnvbnn" localSheetId="10" hidden="1">{"rp_only",#N/A,FALSE,"2225"}</definedName>
    <definedName name="bvnvbnvbnvnbvnbvnvbnn" hidden="1">{"rp_only",#N/A,FALSE,"2225"}</definedName>
    <definedName name="bvnvbnvbnvnbvnbvnvbnn_1" localSheetId="10" hidden="1">{"rp_only",#N/A,FALSE,"2225"}</definedName>
    <definedName name="bvnvbnvbnvnbvnbvnvbnn_1" hidden="1">{"rp_only",#N/A,FALSE,"2225"}</definedName>
    <definedName name="bvnvbnvn" localSheetId="10" hidden="1">{"rp_only",#N/A,FALSE,"2225"}</definedName>
    <definedName name="bvnvbnvn" hidden="1">{"rp_only",#N/A,FALSE,"2225"}</definedName>
    <definedName name="bvnvbnvn_1" localSheetId="10" hidden="1">{"rp_only",#N/A,FALSE,"2225"}</definedName>
    <definedName name="bvnvbnvn_1" hidden="1">{"rp_only",#N/A,FALSE,"2225"}</definedName>
    <definedName name="bvnvn" localSheetId="10" hidden="1">{"rp_only",#N/A,FALSE,"2225"}</definedName>
    <definedName name="bvnvn" hidden="1">{"rp_only",#N/A,FALSE,"2225"}</definedName>
    <definedName name="bvnvn_1" localSheetId="10" hidden="1">{"rp_only",#N/A,FALSE,"2225"}</definedName>
    <definedName name="bvnvn_1" hidden="1">{"rp_only",#N/A,FALSE,"2225"}</definedName>
    <definedName name="bvnvnv" localSheetId="10" hidden="1">{"rp_only",#N/A,FALSE,"2225"}</definedName>
    <definedName name="bvnvnv" hidden="1">{"rp_only",#N/A,FALSE,"2225"}</definedName>
    <definedName name="bvnvnv_1" localSheetId="10" hidden="1">{"rp_only",#N/A,FALSE,"2225"}</definedName>
    <definedName name="bvnvnv_1" hidden="1">{"rp_only",#N/A,FALSE,"2225"}</definedName>
    <definedName name="bvnvnvbn" localSheetId="10" hidden="1">{"rp_only",#N/A,FALSE,"2225"}</definedName>
    <definedName name="bvnvnvbn" hidden="1">{"rp_only",#N/A,FALSE,"2225"}</definedName>
    <definedName name="bvnvnvbn_1" localSheetId="10" hidden="1">{"rp_only",#N/A,FALSE,"2225"}</definedName>
    <definedName name="bvnvnvbn_1" hidden="1">{"rp_only",#N/A,FALSE,"2225"}</definedName>
    <definedName name="bvnvnvcn" localSheetId="10" hidden="1">{"with_oth_curr",#N/A,FALSE,"2225"}</definedName>
    <definedName name="bvnvnvcn" hidden="1">{"with_oth_curr",#N/A,FALSE,"2225"}</definedName>
    <definedName name="bvnvnvcn_1" localSheetId="10" hidden="1">{"with_oth_curr",#N/A,FALSE,"2225"}</definedName>
    <definedName name="bvnvnvcn_1" hidden="1">{"with_oth_curr",#N/A,FALSE,"2225"}</definedName>
    <definedName name="bvnvnvn" localSheetId="10" hidden="1">{"with_oth_curr",#N/A,FALSE,"2225"}</definedName>
    <definedName name="bvnvnvn" hidden="1">{"with_oth_curr",#N/A,FALSE,"2225"}</definedName>
    <definedName name="bvnvnvn_1" localSheetId="10" hidden="1">{"with_oth_curr",#N/A,FALSE,"2225"}</definedName>
    <definedName name="bvnvnvn_1" hidden="1">{"with_oth_curr",#N/A,FALSE,"2225"}</definedName>
    <definedName name="bvv" localSheetId="10" hidden="1">{"with_oth_curr",#N/A,FALSE,"2225"}</definedName>
    <definedName name="bvv" hidden="1">{"with_oth_curr",#N/A,FALSE,"2225"}</definedName>
    <definedName name="bvv_1" localSheetId="10" hidden="1">{"with_oth_curr",#N/A,FALSE,"2225"}</definedName>
    <definedName name="bvv_1" hidden="1">{"with_oth_curr",#N/A,FALSE,"2225"}</definedName>
    <definedName name="bvvb" localSheetId="10" hidden="1">{"with_oth_curr",#N/A,FALSE,"2225"}</definedName>
    <definedName name="bvvb" hidden="1">{"with_oth_curr",#N/A,FALSE,"2225"}</definedName>
    <definedName name="bvvb_1" localSheetId="10" hidden="1">{"with_oth_curr",#N/A,FALSE,"2225"}</definedName>
    <definedName name="bvvb_1" hidden="1">{"with_oth_curr",#N/A,FALSE,"2225"}</definedName>
    <definedName name="bvxbvvb" localSheetId="10" hidden="1">{"rp_only",#N/A,FALSE,"2225"}</definedName>
    <definedName name="bvxbvvb" hidden="1">{"rp_only",#N/A,FALSE,"2225"}</definedName>
    <definedName name="bvxbvvb_1" localSheetId="10" hidden="1">{"rp_only",#N/A,FALSE,"2225"}</definedName>
    <definedName name="bvxbvvb_1" hidden="1">{"rp_only",#N/A,FALSE,"2225"}</definedName>
    <definedName name="bwic_a">#REF!</definedName>
    <definedName name="bwic_b">#REF!</definedName>
    <definedName name="bwic_c">#REF!</definedName>
    <definedName name="bx" localSheetId="10" hidden="1">{"INV_INSURANCE",#N/A,FALSE,"PREPAID-1"}</definedName>
    <definedName name="bx" hidden="1">{"INV_INSURANCE",#N/A,FALSE,"PREPAID-1"}</definedName>
    <definedName name="bx_1" localSheetId="10" hidden="1">{"INV_INSURANCE",#N/A,FALSE,"PREPAID-1"}</definedName>
    <definedName name="bx_1" hidden="1">{"INV_INSURANCE",#N/A,FALSE,"PREPAID-1"}</definedName>
    <definedName name="bxbc" localSheetId="10" hidden="1">{"with_oth_curr",#N/A,FALSE,"2225"}</definedName>
    <definedName name="bxbc" hidden="1">{"with_oth_curr",#N/A,FALSE,"2225"}</definedName>
    <definedName name="bxbc_1" localSheetId="10" hidden="1">{"with_oth_curr",#N/A,FALSE,"2225"}</definedName>
    <definedName name="bxbc_1" hidden="1">{"with_oth_curr",#N/A,FALSE,"2225"}</definedName>
    <definedName name="bxggrbgdb" localSheetId="10" hidden="1">{"rp_only",#N/A,FALSE,"2225"}</definedName>
    <definedName name="bxggrbgdb" hidden="1">{"rp_only",#N/A,FALSE,"2225"}</definedName>
    <definedName name="bxggrbgdb_1" localSheetId="10"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localSheetId="10" hidden="1">{#N/A,#N/A,FALSE,"b_s &amp; p_l"}</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localSheetId="10"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localSheetId="10"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10"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localSheetId="10"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10"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10"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10"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10"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10"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10"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localSheetId="10" hidden="1">{#N/A,#N/A,FALSE,"Aging Summary";#N/A,#N/A,FALSE,"Ratio Analysis";#N/A,#N/A,FALSE,"Test 120 Day Accts";#N/A,#N/A,FALSE,"Tickmarks"}</definedName>
    <definedName name="cashflow" hidden="1">{#N/A,#N/A,FALSE,"Aging Summary";#N/A,#N/A,FALSE,"Ratio Analysis";#N/A,#N/A,FALSE,"Test 120 Day Accts";#N/A,#N/A,FALSE,"Tickmarks"}</definedName>
    <definedName name="CashFlowProf">#REF!</definedName>
    <definedName name="Cashflows" localSheetId="10" hidden="1">{#N/A,#N/A,FALSE,"Act.Fcst Costs"}</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localSheetId="10" hidden="1">{"with_oth_curr",#N/A,FALSE,"2225"}</definedName>
    <definedName name="cbbvbv" hidden="1">{"with_oth_curr",#N/A,FALSE,"2225"}</definedName>
    <definedName name="cbbvbv_1" localSheetId="10" hidden="1">{"with_oth_curr",#N/A,FALSE,"2225"}</definedName>
    <definedName name="cbbvbv_1" hidden="1">{"with_oth_curr",#N/A,FALSE,"2225"}</definedName>
    <definedName name="cbc" localSheetId="10" hidden="1">{"rp_only",#N/A,FALSE,"2225"}</definedName>
    <definedName name="cbc" hidden="1">{"rp_only",#N/A,FALSE,"2225"}</definedName>
    <definedName name="cbc_1" localSheetId="10" hidden="1">{"rp_only",#N/A,FALSE,"2225"}</definedName>
    <definedName name="cbc_1" hidden="1">{"rp_only",#N/A,FALSE,"2225"}</definedName>
    <definedName name="cbcbbc" localSheetId="10" hidden="1">{"rp_only",#N/A,FALSE,"2225"}</definedName>
    <definedName name="cbcbbc" hidden="1">{"rp_only",#N/A,FALSE,"2225"}</definedName>
    <definedName name="cbcbbc_1" localSheetId="10" hidden="1">{"rp_only",#N/A,FALSE,"2225"}</definedName>
    <definedName name="cbcbbc_1" hidden="1">{"rp_only",#N/A,FALSE,"2225"}</definedName>
    <definedName name="cbcbcb" localSheetId="10" hidden="1">{"rp_only",#N/A,FALSE,"2225"}</definedName>
    <definedName name="cbcbcb" hidden="1">{"rp_only",#N/A,FALSE,"2225"}</definedName>
    <definedName name="cbcbcb_1" localSheetId="10" hidden="1">{"rp_only",#N/A,FALSE,"2225"}</definedName>
    <definedName name="cbcbcb_1" hidden="1">{"rp_only",#N/A,FALSE,"2225"}</definedName>
    <definedName name="cbcbcbv" localSheetId="10" hidden="1">{"rp_only",#N/A,FALSE,"2225"}</definedName>
    <definedName name="cbcbcbv" hidden="1">{"rp_only",#N/A,FALSE,"2225"}</definedName>
    <definedName name="cbcbcbv_1" localSheetId="10" hidden="1">{"rp_only",#N/A,FALSE,"2225"}</definedName>
    <definedName name="cbcbcbv_1" hidden="1">{"rp_only",#N/A,FALSE,"2225"}</definedName>
    <definedName name="cbcvb" localSheetId="10" hidden="1">{"rp_only",#N/A,FALSE,"2225"}</definedName>
    <definedName name="cbcvb" hidden="1">{"rp_only",#N/A,FALSE,"2225"}</definedName>
    <definedName name="cbcvb_1" localSheetId="10" hidden="1">{"rp_only",#N/A,FALSE,"2225"}</definedName>
    <definedName name="cbcvb_1" hidden="1">{"rp_only",#N/A,FALSE,"2225"}</definedName>
    <definedName name="cbcvbcvb" localSheetId="10" hidden="1">{"rp_only",#N/A,FALSE,"2225"}</definedName>
    <definedName name="cbcvbcvb" hidden="1">{"rp_only",#N/A,FALSE,"2225"}</definedName>
    <definedName name="cbcvbcvb_1" localSheetId="10" hidden="1">{"rp_only",#N/A,FALSE,"2225"}</definedName>
    <definedName name="cbcvbcvb_1" hidden="1">{"rp_only",#N/A,FALSE,"2225"}</definedName>
    <definedName name="cbcvbcvbbcvb" localSheetId="10" hidden="1">{"rp_only",#N/A,FALSE,"2225"}</definedName>
    <definedName name="cbcvbcvbbcvb" hidden="1">{"rp_only",#N/A,FALSE,"2225"}</definedName>
    <definedName name="cbcvbcvbbcvb_1" localSheetId="10" hidden="1">{"rp_only",#N/A,FALSE,"2225"}</definedName>
    <definedName name="cbcvbcvbbcvb_1" hidden="1">{"rp_only",#N/A,FALSE,"2225"}</definedName>
    <definedName name="cbvbbv" localSheetId="10" hidden="1">{"rp_only",#N/A,FALSE,"2225"}</definedName>
    <definedName name="cbvbbv" hidden="1">{"rp_only",#N/A,FALSE,"2225"}</definedName>
    <definedName name="cbvbbv_1" localSheetId="10" hidden="1">{"rp_only",#N/A,FALSE,"2225"}</definedName>
    <definedName name="cbvbbv_1" hidden="1">{"rp_only",#N/A,FALSE,"2225"}</definedName>
    <definedName name="cbvc" localSheetId="10" hidden="1">{"rp_only",#N/A,FALSE,"2225"}</definedName>
    <definedName name="cbvc" hidden="1">{"rp_only",#N/A,FALSE,"2225"}</definedName>
    <definedName name="cbvc_1" localSheetId="10" hidden="1">{"rp_only",#N/A,FALSE,"2225"}</definedName>
    <definedName name="cbvc_1" hidden="1">{"rp_only",#N/A,FALSE,"2225"}</definedName>
    <definedName name="cbvcb" localSheetId="10" hidden="1">{"with_oth_curr",#N/A,FALSE,"2225"}</definedName>
    <definedName name="cbvcb" hidden="1">{"with_oth_curr",#N/A,FALSE,"2225"}</definedName>
    <definedName name="cbvcb_1" localSheetId="10" hidden="1">{"with_oth_curr",#N/A,FALSE,"2225"}</definedName>
    <definedName name="cbvcb_1" hidden="1">{"with_oth_curr",#N/A,FALSE,"2225"}</definedName>
    <definedName name="cbvcbcbcv" localSheetId="10" hidden="1">{"with_oth_curr",#N/A,FALSE,"2225"}</definedName>
    <definedName name="cbvcbcbcv" hidden="1">{"with_oth_curr",#N/A,FALSE,"2225"}</definedName>
    <definedName name="cbvcbcbcv_1" localSheetId="10" hidden="1">{"with_oth_curr",#N/A,FALSE,"2225"}</definedName>
    <definedName name="cbvcbcbcv_1" hidden="1">{"with_oth_curr",#N/A,FALSE,"2225"}</definedName>
    <definedName name="cbvcbcvb" localSheetId="10" hidden="1">{"rp_only",#N/A,FALSE,"2225"}</definedName>
    <definedName name="cbvcbcvb" hidden="1">{"rp_only",#N/A,FALSE,"2225"}</definedName>
    <definedName name="cbvcbcvb_1" localSheetId="10" hidden="1">{"rp_only",#N/A,FALSE,"2225"}</definedName>
    <definedName name="cbvcbcvb_1" hidden="1">{"rp_only",#N/A,FALSE,"2225"}</definedName>
    <definedName name="cbvccb" localSheetId="10" hidden="1">{"rp_only",#N/A,FALSE,"2225"}</definedName>
    <definedName name="cbvccb" hidden="1">{"rp_only",#N/A,FALSE,"2225"}</definedName>
    <definedName name="cbvccb_1" localSheetId="10" hidden="1">{"rp_only",#N/A,FALSE,"2225"}</definedName>
    <definedName name="cbvccb_1" hidden="1">{"rp_only",#N/A,FALSE,"2225"}</definedName>
    <definedName name="cbvcvbcbc" localSheetId="10" hidden="1">{"with_oth_curr",#N/A,FALSE,"2225"}</definedName>
    <definedName name="cbvcvbcbc" hidden="1">{"with_oth_curr",#N/A,FALSE,"2225"}</definedName>
    <definedName name="cbvcvbcbc_1" localSheetId="10"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localSheetId="10" hidden="1">{"rp_only",#N/A,FALSE,"2225"}</definedName>
    <definedName name="ccbbv" hidden="1">{"rp_only",#N/A,FALSE,"2225"}</definedName>
    <definedName name="ccbbv_1" localSheetId="10" hidden="1">{"rp_only",#N/A,FALSE,"2225"}</definedName>
    <definedName name="ccbbv_1" hidden="1">{"rp_only",#N/A,FALSE,"2225"}</definedName>
    <definedName name="ccc" localSheetId="10"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localSheetId="10" hidden="1">{"rp_only",#N/A,FALSE,"2225"}</definedName>
    <definedName name="cccv" hidden="1">{"rp_only",#N/A,FALSE,"2225"}</definedName>
    <definedName name="cccv_1" localSheetId="10"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localSheetId="10" hidden="1">{#N/A,#N/A,FALSE,"Act.Fcst Costs"}</definedName>
    <definedName name="cde" hidden="1">{#N/A,#N/A,FALSE,"Act.Fcst Costs"}</definedName>
    <definedName name="cde_1" localSheetId="10" hidden="1">{#N/A,#N/A,FALSE,"Act.Fcst Costs"}</definedName>
    <definedName name="cde_1" hidden="1">{#N/A,#N/A,FALSE,"Act.Fcst Costs"}</definedName>
    <definedName name="CDL">#REF!</definedName>
    <definedName name="CDL_1">#REF!</definedName>
    <definedName name="cdn">#REF!</definedName>
    <definedName name="CDV"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10" hidden="1">{"rp_only",#N/A,FALSE,"2225"}</definedName>
    <definedName name="cdx" hidden="1">{"rp_only",#N/A,FALSE,"2225"}</definedName>
    <definedName name="cdx_1" localSheetId="10" hidden="1">{"rp_only",#N/A,FALSE,"2225"}</definedName>
    <definedName name="cdx_1" hidden="1">{"rp_only",#N/A,FALSE,"2225"}</definedName>
    <definedName name="cdzxcvcx" localSheetId="10" hidden="1">{"with_oth_curr",#N/A,FALSE,"2225"}</definedName>
    <definedName name="cdzxcvcx" hidden="1">{"with_oth_curr",#N/A,FALSE,"2225"}</definedName>
    <definedName name="cdzxcvcx_1" localSheetId="10" hidden="1">{"with_oth_curr",#N/A,FALSE,"2225"}</definedName>
    <definedName name="cdzxcvcx_1" hidden="1">{"with_oth_curr",#N/A,FALSE,"2225"}</definedName>
    <definedName name="ce">#REF!</definedName>
    <definedName name="ce_6">#REF!</definedName>
    <definedName name="cecep" hidden="1">#REF!</definedName>
    <definedName name="ceer"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localSheetId="10" hidden="1">{"rp_only",#N/A,FALSE,"2225"}</definedName>
    <definedName name="cfbvbcxvbbvvb" hidden="1">{"rp_only",#N/A,FALSE,"2225"}</definedName>
    <definedName name="cfbvbcxvbbvvb_1" localSheetId="10" hidden="1">{"rp_only",#N/A,FALSE,"2225"}</definedName>
    <definedName name="cfbvbcxvbbvvb_1" hidden="1">{"rp_only",#N/A,FALSE,"2225"}</definedName>
    <definedName name="cfk">#REF!</definedName>
    <definedName name="CFP">#REF!</definedName>
    <definedName name="CFPS">#REF!</definedName>
    <definedName name="cfs">#REF!</definedName>
    <definedName name="cft" localSheetId="10" hidden="1">{#N/A,#N/A,FALSE,"Cost Report";#N/A,#N/A,FALSE,"Table 2.1";#N/A,#N/A,FALSE,"Plant Statistics";"Plant Costs",#N/A,FALSE,"Cost Summary"}</definedName>
    <definedName name="cft" hidden="1">{#N/A,#N/A,FALSE,"Cost Report";#N/A,#N/A,FALSE,"Table 2.1";#N/A,#N/A,FALSE,"Plant Statistics";"Plant Costs",#N/A,FALSE,"Cost Summary"}</definedName>
    <definedName name="cft_1" localSheetId="10" hidden="1">{#N/A,#N/A,FALSE,"Cost Report";#N/A,#N/A,FALSE,"Table 2.1";#N/A,#N/A,FALSE,"Plant Statistics";"Plant Costs",#N/A,FALSE,"Cost Summary"}</definedName>
    <definedName name="cft_1" hidden="1">{#N/A,#N/A,FALSE,"Cost Report";#N/A,#N/A,FALSE,"Table 2.1";#N/A,#N/A,FALSE,"Plant Statistics";"Plant Costs",#N/A,FALSE,"Cost Summary"}</definedName>
    <definedName name="cfy"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10" hidden="1">{"rp_only",#N/A,FALSE,"2225"}</definedName>
    <definedName name="cgdg" hidden="1">{"rp_only",#N/A,FALSE,"2225"}</definedName>
    <definedName name="cgdg_1" localSheetId="10"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localSheetId="10"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10"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 localSheetId="10">SUM(CIB_ADM,CIB_CERUKAN,CIB_I_Jasa,CIB_INTEREST,CIB_LATEFEE,CIB_OR_B,CIB_POKOK,CIB_SBLM,CIB_TAMBAK)</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localSheetId="10" hidden="1">{"DCF","UPSIDE CASE",FALSE,"Sheet1";"DCF","BASE CASE",FALSE,"Sheet1";"DCF","DOWNSIDE CASE",FALSE,"Sheet1"}</definedName>
    <definedName name="cipta" hidden="1">{"DCF","UPSIDE CASE",FALSE,"Sheet1";"DCF","BASE CASE",FALSE,"Sheet1";"DCF","DOWNSIDE CASE",FALSE,"Sheet1"}</definedName>
    <definedName name="cipta2008" localSheetId="10"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localSheetId="10" hidden="1">{"rp_only",#N/A,FALSE,"2225"}</definedName>
    <definedName name="cnvbn" hidden="1">{"rp_only",#N/A,FALSE,"2225"}</definedName>
    <definedName name="cnvbn_1" localSheetId="10"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localSheetId="10" hidden="1">{#N/A,#N/A,FALSE,"INCOME STATE";#N/A,#N/A,FALSE,"TOT EXP";#N/A,#N/A,FALSE,"PROMO";#N/A,#N/A,FALSE,"NTS RP"}</definedName>
    <definedName name="COMMENT" hidden="1">{#N/A,#N/A,FALSE,"INCOME STATE";#N/A,#N/A,FALSE,"TOT EXP";#N/A,#N/A,FALSE,"PROMO";#N/A,#N/A,FALSE,"NTS RP"}</definedName>
    <definedName name="COMMENT_1" localSheetId="10" hidden="1">{#N/A,#N/A,FALSE,"INCOME STATE";#N/A,#N/A,FALSE,"TOT EXP";#N/A,#N/A,FALSE,"PROMO";#N/A,#N/A,FALSE,"NTS RP"}</definedName>
    <definedName name="COMMENT_1" hidden="1">{#N/A,#N/A,FALSE,"INCOME STATE";#N/A,#N/A,FALSE,"TOT EXP";#N/A,#N/A,FALSE,"PROMO";#N/A,#N/A,FALSE,"NTS RP"}</definedName>
    <definedName name="comment1" localSheetId="10" hidden="1">{#N/A,#N/A,FALSE,"M-ETH";#N/A,#N/A,FALSE,"M-PSO";#N/A,#N/A,FALSE,"M-BIO"}</definedName>
    <definedName name="comment1" hidden="1">{#N/A,#N/A,FALSE,"M-ETH";#N/A,#N/A,FALSE,"M-PSO";#N/A,#N/A,FALSE,"M-BIO"}</definedName>
    <definedName name="comment1_1" localSheetId="10" hidden="1">{#N/A,#N/A,FALSE,"M-ETH";#N/A,#N/A,FALSE,"M-PSO";#N/A,#N/A,FALSE,"M-BIO"}</definedName>
    <definedName name="comment1_1" hidden="1">{#N/A,#N/A,FALSE,"M-ETH";#N/A,#N/A,FALSE,"M-PSO";#N/A,#N/A,FALSE,"M-BIO"}</definedName>
    <definedName name="comment2" localSheetId="10" hidden="1">{#N/A,#N/A,FALSE,"S-ETH";#N/A,#N/A,FALSE,"S-PSO"}</definedName>
    <definedName name="comment2" hidden="1">{#N/A,#N/A,FALSE,"S-ETH";#N/A,#N/A,FALSE,"S-PSO"}</definedName>
    <definedName name="comment2_1" localSheetId="10" hidden="1">{#N/A,#N/A,FALSE,"S-ETH";#N/A,#N/A,FALSE,"S-PSO"}</definedName>
    <definedName name="comment2_1" hidden="1">{#N/A,#N/A,FALSE,"S-ETH";#N/A,#N/A,FALSE,"S-PSO"}</definedName>
    <definedName name="Comment5" localSheetId="10" hidden="1">{#N/A,#N/A,FALSE,"OUT  AREC"}</definedName>
    <definedName name="Comment5" hidden="1">{#N/A,#N/A,FALSE,"OUT  AREC"}</definedName>
    <definedName name="Comment5_1" localSheetId="10" hidden="1">{#N/A,#N/A,FALSE,"OUT  AREC"}</definedName>
    <definedName name="Comment5_1" hidden="1">{#N/A,#N/A,FALSE,"OUT  AREC"}</definedName>
    <definedName name="Comments" localSheetId="10" hidden="1">{#N/A,#N/A,FALSE,"OUT  AREC"}</definedName>
    <definedName name="Comments" hidden="1">{#N/A,#N/A,FALSE,"OUT  AREC"}</definedName>
    <definedName name="Comments_1" localSheetId="10"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 localSheetId="10">OFFSET(#REF!,0,0,conv.count,1)</definedName>
    <definedName name="conv.from">OFFSET(#REF!,0,0,conv.count,1)</definedName>
    <definedName name="conv.to" localSheetId="10">OFFSET(#REF!,0,0,conv.count,1)</definedName>
    <definedName name="conv.to">OFFSET(#REF!,0,0,conv.count,1)</definedName>
    <definedName name="conv.unit" localSheetId="10">OFFSET(#REF!,0,0,conv.count,1)</definedName>
    <definedName name="conv.unit">OFFSET(#REF!,0,0,conv.count,1)</definedName>
    <definedName name="conv.value" localSheetId="10">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 localSheetId="10">RD!COPY_YTD</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localSheetId="10"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localSheetId="10"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10"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localSheetId="10" hidden="1">{#N/A,#N/A,TRUE,"Cover sheet";#N/A,#N/A,TRUE,"INPUTS";#N/A,#N/A,TRUE,"OUTPUTS";#N/A,#N/A,TRUE,"VALUATION"}</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localSheetId="10"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localSheetId="10" hidden="1">{"with_oth_curr",#N/A,FALSE,"2225"}</definedName>
    <definedName name="cscdcscddc" hidden="1">{"with_oth_curr",#N/A,FALSE,"2225"}</definedName>
    <definedName name="cscdcscddc_1" localSheetId="10"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localSheetId="10" hidden="1">{#N/A,#N/A,FALSE,"Cost Report";#N/A,#N/A,FALSE,"Qtly Summ.";#N/A,#N/A,FALSE,"Mar  Qtr";#N/A,#N/A,FALSE,"Report Summary"}</definedName>
    <definedName name="cts" hidden="1">{#N/A,#N/A,FALSE,"Cost Report";#N/A,#N/A,FALSE,"Qtly Summ.";#N/A,#N/A,FALSE,"Mar  Qtr";#N/A,#N/A,FALSE,"Report Summary"}</definedName>
    <definedName name="cts_1" localSheetId="10"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localSheetId="10" hidden="1">{"rp_only",#N/A,FALSE,"2225"}</definedName>
    <definedName name="cv" hidden="1">{"rp_only",#N/A,FALSE,"2225"}</definedName>
    <definedName name="cv_1" localSheetId="10" hidden="1">{"rp_only",#N/A,FALSE,"2225"}</definedName>
    <definedName name="cv_1" hidden="1">{"rp_only",#N/A,FALSE,"2225"}</definedName>
    <definedName name="cvb" localSheetId="10" hidden="1">{"rp_only",#N/A,FALSE,"2225"}</definedName>
    <definedName name="cvb" hidden="1">{"rp_only",#N/A,FALSE,"2225"}</definedName>
    <definedName name="cvb_1" localSheetId="10" hidden="1">{"rp_only",#N/A,FALSE,"2225"}</definedName>
    <definedName name="cvb_1" hidden="1">{"rp_only",#N/A,FALSE,"2225"}</definedName>
    <definedName name="cvbbbcb" localSheetId="10" hidden="1">{"rp_only",#N/A,FALSE,"2225"}</definedName>
    <definedName name="cvbbbcb" hidden="1">{"rp_only",#N/A,FALSE,"2225"}</definedName>
    <definedName name="cvbbbcb_1" localSheetId="10" hidden="1">{"rp_only",#N/A,FALSE,"2225"}</definedName>
    <definedName name="cvbbbcb_1" hidden="1">{"rp_only",#N/A,FALSE,"2225"}</definedName>
    <definedName name="cvbbc" localSheetId="10" hidden="1">{"rp_only",#N/A,FALSE,"2225"}</definedName>
    <definedName name="cvbbc" hidden="1">{"rp_only",#N/A,FALSE,"2225"}</definedName>
    <definedName name="cvbbc_1" localSheetId="10" hidden="1">{"rp_only",#N/A,FALSE,"2225"}</definedName>
    <definedName name="cvbbc_1" hidden="1">{"rp_only",#N/A,FALSE,"2225"}</definedName>
    <definedName name="cvbbvbv" localSheetId="10" hidden="1">{"with_oth_curr",#N/A,FALSE,"2225"}</definedName>
    <definedName name="cvbbvbv" hidden="1">{"with_oth_curr",#N/A,FALSE,"2225"}</definedName>
    <definedName name="cvbbvbv_1" localSheetId="10" hidden="1">{"with_oth_curr",#N/A,FALSE,"2225"}</definedName>
    <definedName name="cvbbvbv_1" hidden="1">{"with_oth_curr",#N/A,FALSE,"2225"}</definedName>
    <definedName name="cvbcb" localSheetId="10" hidden="1">{"rp_only",#N/A,FALSE,"2225"}</definedName>
    <definedName name="cvbcb" hidden="1">{"rp_only",#N/A,FALSE,"2225"}</definedName>
    <definedName name="cvbcb_1" localSheetId="10" hidden="1">{"rp_only",#N/A,FALSE,"2225"}</definedName>
    <definedName name="cvbcb_1" hidden="1">{"rp_only",#N/A,FALSE,"2225"}</definedName>
    <definedName name="cvbcbc" localSheetId="10" hidden="1">{"rp_only",#N/A,FALSE,"2225"}</definedName>
    <definedName name="cvbcbc" hidden="1">{"rp_only",#N/A,FALSE,"2225"}</definedName>
    <definedName name="cvbcbc_1" localSheetId="10" hidden="1">{"rp_only",#N/A,FALSE,"2225"}</definedName>
    <definedName name="cvbcbc_1" hidden="1">{"rp_only",#N/A,FALSE,"2225"}</definedName>
    <definedName name="cvbcbcb" localSheetId="10" hidden="1">{"with_oth_curr",#N/A,FALSE,"2225"}</definedName>
    <definedName name="cvbcbcb" hidden="1">{"with_oth_curr",#N/A,FALSE,"2225"}</definedName>
    <definedName name="cvbcbcb_1" localSheetId="10" hidden="1">{"with_oth_curr",#N/A,FALSE,"2225"}</definedName>
    <definedName name="cvbcbcb_1" hidden="1">{"with_oth_curr",#N/A,FALSE,"2225"}</definedName>
    <definedName name="cvbcbcvb" localSheetId="10" hidden="1">{"rp_only",#N/A,FALSE,"2225"}</definedName>
    <definedName name="cvbcbcvb" hidden="1">{"rp_only",#N/A,FALSE,"2225"}</definedName>
    <definedName name="cvbcbcvb_1" localSheetId="10" hidden="1">{"rp_only",#N/A,FALSE,"2225"}</definedName>
    <definedName name="cvbcbcvb_1" hidden="1">{"rp_only",#N/A,FALSE,"2225"}</definedName>
    <definedName name="cvbcbnnbvmn" localSheetId="10" hidden="1">{"rp_only",#N/A,FALSE,"2225"}</definedName>
    <definedName name="cvbcbnnbvmn" hidden="1">{"rp_only",#N/A,FALSE,"2225"}</definedName>
    <definedName name="cvbcbnnbvmn_1" localSheetId="10" hidden="1">{"rp_only",#N/A,FALSE,"2225"}</definedName>
    <definedName name="cvbcbnnbvmn_1" hidden="1">{"rp_only",#N/A,FALSE,"2225"}</definedName>
    <definedName name="cvbcbvc" localSheetId="10" hidden="1">{"rp_only",#N/A,FALSE,"2225"}</definedName>
    <definedName name="cvbcbvc" hidden="1">{"rp_only",#N/A,FALSE,"2225"}</definedName>
    <definedName name="cvbcbvc_1" localSheetId="10" hidden="1">{"rp_only",#N/A,FALSE,"2225"}</definedName>
    <definedName name="cvbcbvc_1" hidden="1">{"rp_only",#N/A,FALSE,"2225"}</definedName>
    <definedName name="cvbcvb" localSheetId="10" hidden="1">{"rp_only",#N/A,FALSE,"2225"}</definedName>
    <definedName name="cvbcvb" hidden="1">{"rp_only",#N/A,FALSE,"2225"}</definedName>
    <definedName name="cvbcvb_1" localSheetId="10" hidden="1">{"rp_only",#N/A,FALSE,"2225"}</definedName>
    <definedName name="cvbcvb_1" hidden="1">{"rp_only",#N/A,FALSE,"2225"}</definedName>
    <definedName name="cvbcvbbv" localSheetId="10" hidden="1">{"with_oth_curr",#N/A,FALSE,"2225"}</definedName>
    <definedName name="cvbcvbbv" hidden="1">{"with_oth_curr",#N/A,FALSE,"2225"}</definedName>
    <definedName name="cvbcvbbv_1" localSheetId="10" hidden="1">{"with_oth_curr",#N/A,FALSE,"2225"}</definedName>
    <definedName name="cvbcvbbv_1" hidden="1">{"with_oth_curr",#N/A,FALSE,"2225"}</definedName>
    <definedName name="cvbcvbc" localSheetId="10" hidden="1">{"with_oth_curr",#N/A,FALSE,"2225"}</definedName>
    <definedName name="cvbcvbc" hidden="1">{"with_oth_curr",#N/A,FALSE,"2225"}</definedName>
    <definedName name="cvbcvbc_1" localSheetId="10" hidden="1">{"with_oth_curr",#N/A,FALSE,"2225"}</definedName>
    <definedName name="cvbcvbc_1" hidden="1">{"with_oth_curr",#N/A,FALSE,"2225"}</definedName>
    <definedName name="cvbcvbcb" localSheetId="10" hidden="1">{"rp_only",#N/A,FALSE,"2225"}</definedName>
    <definedName name="cvbcvbcb" hidden="1">{"rp_only",#N/A,FALSE,"2225"}</definedName>
    <definedName name="cvbcvbcb_1" localSheetId="10" hidden="1">{"rp_only",#N/A,FALSE,"2225"}</definedName>
    <definedName name="cvbcvbcb_1" hidden="1">{"rp_only",#N/A,FALSE,"2225"}</definedName>
    <definedName name="cvbcvbcbc" localSheetId="10" hidden="1">{"rp_only",#N/A,FALSE,"2225"}</definedName>
    <definedName name="cvbcvbcbc" hidden="1">{"rp_only",#N/A,FALSE,"2225"}</definedName>
    <definedName name="cvbcvbcbc_1" localSheetId="10" hidden="1">{"rp_only",#N/A,FALSE,"2225"}</definedName>
    <definedName name="cvbcvbcbc_1" hidden="1">{"rp_only",#N/A,FALSE,"2225"}</definedName>
    <definedName name="cvbcvbcbcvbcvb" localSheetId="10" hidden="1">{"rp_only",#N/A,FALSE,"2225"}</definedName>
    <definedName name="cvbcvbcbcvbcvb" hidden="1">{"rp_only",#N/A,FALSE,"2225"}</definedName>
    <definedName name="cvbcvbcbcvbcvb_1" localSheetId="10" hidden="1">{"rp_only",#N/A,FALSE,"2225"}</definedName>
    <definedName name="cvbcvbcbcvbcvb_1" hidden="1">{"rp_only",#N/A,FALSE,"2225"}</definedName>
    <definedName name="cvbcvbcbv" localSheetId="10" hidden="1">{"rp_only",#N/A,FALSE,"2225"}</definedName>
    <definedName name="cvbcvbcbv" hidden="1">{"rp_only",#N/A,FALSE,"2225"}</definedName>
    <definedName name="cvbcvbcbv_1" localSheetId="10" hidden="1">{"rp_only",#N/A,FALSE,"2225"}</definedName>
    <definedName name="cvbcvbcbv_1" hidden="1">{"rp_only",#N/A,FALSE,"2225"}</definedName>
    <definedName name="cvbcvbcvb" localSheetId="10" hidden="1">{"with_oth_curr",#N/A,FALSE,"2225"}</definedName>
    <definedName name="cvbcvbcvb" hidden="1">{"with_oth_curr",#N/A,FALSE,"2225"}</definedName>
    <definedName name="cvbcvbcvb_1" localSheetId="10" hidden="1">{"with_oth_curr",#N/A,FALSE,"2225"}</definedName>
    <definedName name="cvbcvbcvb_1" hidden="1">{"with_oth_curr",#N/A,FALSE,"2225"}</definedName>
    <definedName name="cvbcvbcvbc" localSheetId="10" hidden="1">{"rp_only",#N/A,FALSE,"2225"}</definedName>
    <definedName name="cvbcvbcvbc" hidden="1">{"rp_only",#N/A,FALSE,"2225"}</definedName>
    <definedName name="cvbcvbcvbc_1" localSheetId="10" hidden="1">{"rp_only",#N/A,FALSE,"2225"}</definedName>
    <definedName name="cvbcvbcvbc_1" hidden="1">{"rp_only",#N/A,FALSE,"2225"}</definedName>
    <definedName name="cvbcvbvb" localSheetId="10" hidden="1">{"with_oth_curr",#N/A,FALSE,"2225"}</definedName>
    <definedName name="cvbcvbvb" hidden="1">{"with_oth_curr",#N/A,FALSE,"2225"}</definedName>
    <definedName name="cvbcvbvb_1" localSheetId="10" hidden="1">{"with_oth_curr",#N/A,FALSE,"2225"}</definedName>
    <definedName name="cvbcvbvb_1" hidden="1">{"with_oth_curr",#N/A,FALSE,"2225"}</definedName>
    <definedName name="cvbcvbvbcbvcbcb" localSheetId="10" hidden="1">{"rp_only",#N/A,FALSE,"2225"}</definedName>
    <definedName name="cvbcvbvbcbvcbcb" hidden="1">{"rp_only",#N/A,FALSE,"2225"}</definedName>
    <definedName name="cvbcvbvbcbvcbcb_1" localSheetId="10" hidden="1">{"rp_only",#N/A,FALSE,"2225"}</definedName>
    <definedName name="cvbcvbvbcbvcbcb_1" hidden="1">{"rp_only",#N/A,FALSE,"2225"}</definedName>
    <definedName name="cvbcvbvc" localSheetId="10" hidden="1">{"rp_only",#N/A,FALSE,"2225"}</definedName>
    <definedName name="cvbcvbvc" hidden="1">{"rp_only",#N/A,FALSE,"2225"}</definedName>
    <definedName name="cvbcvbvc_1" localSheetId="10" hidden="1">{"rp_only",#N/A,FALSE,"2225"}</definedName>
    <definedName name="cvbcvbvc_1" hidden="1">{"rp_only",#N/A,FALSE,"2225"}</definedName>
    <definedName name="cvbvc" localSheetId="10" hidden="1">{"rp_only",#N/A,FALSE,"2225"}</definedName>
    <definedName name="cvbvc" hidden="1">{"rp_only",#N/A,FALSE,"2225"}</definedName>
    <definedName name="cvbvc_1" localSheetId="10" hidden="1">{"rp_only",#N/A,FALSE,"2225"}</definedName>
    <definedName name="cvbvc_1" hidden="1">{"rp_only",#N/A,FALSE,"2225"}</definedName>
    <definedName name="cvbvccb" localSheetId="10" hidden="1">{"rp_only",#N/A,FALSE,"2225"}</definedName>
    <definedName name="cvbvccb" hidden="1">{"rp_only",#N/A,FALSE,"2225"}</definedName>
    <definedName name="cvbvccb_1" localSheetId="10" hidden="1">{"rp_only",#N/A,FALSE,"2225"}</definedName>
    <definedName name="cvbvccb_1" hidden="1">{"rp_only",#N/A,FALSE,"2225"}</definedName>
    <definedName name="cvbvvbbv" localSheetId="10" hidden="1">{"rp_only",#N/A,FALSE,"2225"}</definedName>
    <definedName name="cvbvvbbv" hidden="1">{"rp_only",#N/A,FALSE,"2225"}</definedName>
    <definedName name="cvbvvbbv_1" localSheetId="10" hidden="1">{"rp_only",#N/A,FALSE,"2225"}</definedName>
    <definedName name="cvbvvbbv_1" hidden="1">{"rp_only",#N/A,FALSE,"2225"}</definedName>
    <definedName name="cvbxcbvcnxcvb" localSheetId="10" hidden="1">{"rp_only",#N/A,FALSE,"2225"}</definedName>
    <definedName name="cvbxcbvcnxcvb" hidden="1">{"rp_only",#N/A,FALSE,"2225"}</definedName>
    <definedName name="cvbxcbvcnxcvb_1" localSheetId="10" hidden="1">{"rp_only",#N/A,FALSE,"2225"}</definedName>
    <definedName name="cvbxcbvcnxcvb_1" hidden="1">{"rp_only",#N/A,FALSE,"2225"}</definedName>
    <definedName name="cvbxv" localSheetId="10" hidden="1">{"rp_only",#N/A,FALSE,"2225"}</definedName>
    <definedName name="cvbxv" hidden="1">{"rp_only",#N/A,FALSE,"2225"}</definedName>
    <definedName name="cvbxv_1" localSheetId="10" hidden="1">{"rp_only",#N/A,FALSE,"2225"}</definedName>
    <definedName name="cvbxv_1" hidden="1">{"rp_only",#N/A,FALSE,"2225"}</definedName>
    <definedName name="cvbxvzv" localSheetId="10" hidden="1">{"with_oth_curr",#N/A,FALSE,"2225"}</definedName>
    <definedName name="cvbxvzv" hidden="1">{"with_oth_curr",#N/A,FALSE,"2225"}</definedName>
    <definedName name="cvbxvzv_1" localSheetId="10" hidden="1">{"with_oth_curr",#N/A,FALSE,"2225"}</definedName>
    <definedName name="cvbxvzv_1" hidden="1">{"with_oth_curr",#N/A,FALSE,"2225"}</definedName>
    <definedName name="cvcb" localSheetId="10" hidden="1">{"rp_only",#N/A,FALSE,"2225"}</definedName>
    <definedName name="cvcb" hidden="1">{"rp_only",#N/A,FALSE,"2225"}</definedName>
    <definedName name="cvcb_1" localSheetId="10" hidden="1">{"rp_only",#N/A,FALSE,"2225"}</definedName>
    <definedName name="cvcb_1" hidden="1">{"rp_only",#N/A,FALSE,"2225"}</definedName>
    <definedName name="cvcbbbbbbbbbbbbbbb" localSheetId="10" hidden="1">{"with_oth_curr",#N/A,FALSE,"2225"}</definedName>
    <definedName name="cvcbbbbbbbbbbbbbbb" hidden="1">{"with_oth_curr",#N/A,FALSE,"2225"}</definedName>
    <definedName name="cvcbbbbbbbbbbbbbbb_1" localSheetId="10" hidden="1">{"with_oth_curr",#N/A,FALSE,"2225"}</definedName>
    <definedName name="cvcbbbbbbbbbbbbbbb_1" hidden="1">{"with_oth_curr",#N/A,FALSE,"2225"}</definedName>
    <definedName name="cvcbbc" localSheetId="10" hidden="1">{"rp_only",#N/A,FALSE,"2225"}</definedName>
    <definedName name="cvcbbc" hidden="1">{"rp_only",#N/A,FALSE,"2225"}</definedName>
    <definedName name="cvcbbc_1" localSheetId="10" hidden="1">{"rp_only",#N/A,FALSE,"2225"}</definedName>
    <definedName name="cvcbbc_1" hidden="1">{"rp_only",#N/A,FALSE,"2225"}</definedName>
    <definedName name="cvcbcvb" localSheetId="10" hidden="1">{"rp_only",#N/A,FALSE,"2225"}</definedName>
    <definedName name="cvcbcvb" hidden="1">{"rp_only",#N/A,FALSE,"2225"}</definedName>
    <definedName name="cvcbcvb_1" localSheetId="10" hidden="1">{"rp_only",#N/A,FALSE,"2225"}</definedName>
    <definedName name="cvcbcvb_1" hidden="1">{"rp_only",#N/A,FALSE,"2225"}</definedName>
    <definedName name="CVCV" localSheetId="10" hidden="1">{#N/A,#N/A,FALSE,"Sheet1"}</definedName>
    <definedName name="CVCV" hidden="1">{#N/A,#N/A,FALSE,"Sheet1"}</definedName>
    <definedName name="cvcvb" localSheetId="10" hidden="1">{"rp_only",#N/A,FALSE,"2225"}</definedName>
    <definedName name="cvcvb" hidden="1">{"rp_only",#N/A,FALSE,"2225"}</definedName>
    <definedName name="cvcvb_1" localSheetId="10" hidden="1">{"rp_only",#N/A,FALSE,"2225"}</definedName>
    <definedName name="cvcvb_1" hidden="1">{"rp_only",#N/A,FALSE,"2225"}</definedName>
    <definedName name="cvcvc" localSheetId="10" hidden="1">{"rp_only",#N/A,FALSE,"2225"}</definedName>
    <definedName name="cvcvc" hidden="1">{"rp_only",#N/A,FALSE,"2225"}</definedName>
    <definedName name="cvcvc_1" localSheetId="10" hidden="1">{"rp_only",#N/A,FALSE,"2225"}</definedName>
    <definedName name="cvcvc_1" hidden="1">{"rp_only",#N/A,FALSE,"2225"}</definedName>
    <definedName name="cvcvxvcxvc" localSheetId="10" hidden="1">{"rp_only",#N/A,FALSE,"2225"}</definedName>
    <definedName name="cvcvxvcxvc" hidden="1">{"rp_only",#N/A,FALSE,"2225"}</definedName>
    <definedName name="cvcvxvcxvc_1" localSheetId="10" hidden="1">{"rp_only",#N/A,FALSE,"2225"}</definedName>
    <definedName name="cvcvxvcxvc_1" hidden="1">{"rp_only",#N/A,FALSE,"2225"}</definedName>
    <definedName name="cvcvxvczvxccxv" localSheetId="10" hidden="1">{"rp_only",#N/A,FALSE,"2225"}</definedName>
    <definedName name="cvcvxvczvxccxv" hidden="1">{"rp_only",#N/A,FALSE,"2225"}</definedName>
    <definedName name="cvcvxvczvxccxv_1" localSheetId="10"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localSheetId="10" hidden="1">{"rp_only",#N/A,FALSE,"2225"}</definedName>
    <definedName name="cvvbvccvx" hidden="1">{"rp_only",#N/A,FALSE,"2225"}</definedName>
    <definedName name="cvvbvccvx_1" localSheetId="10" hidden="1">{"rp_only",#N/A,FALSE,"2225"}</definedName>
    <definedName name="cvvbvccvx_1" hidden="1">{"rp_only",#N/A,FALSE,"2225"}</definedName>
    <definedName name="cvx" localSheetId="10" hidden="1">{"with_oth_curr",#N/A,FALSE,"2225"}</definedName>
    <definedName name="cvx" hidden="1">{"with_oth_curr",#N/A,FALSE,"2225"}</definedName>
    <definedName name="cvx_1" localSheetId="10" hidden="1">{"with_oth_curr",#N/A,FALSE,"2225"}</definedName>
    <definedName name="cvx_1" hidden="1">{"with_oth_curr",#N/A,FALSE,"2225"}</definedName>
    <definedName name="cvxcvxcvxcvxxvcx" localSheetId="10" hidden="1">{"rp_only",#N/A,FALSE,"2225"}</definedName>
    <definedName name="cvxcvxcvxcvxxvcx" hidden="1">{"rp_only",#N/A,FALSE,"2225"}</definedName>
    <definedName name="cvxcvxcvxcvxxvcx_1" localSheetId="10" hidden="1">{"rp_only",#N/A,FALSE,"2225"}</definedName>
    <definedName name="cvxcvxcvxcvxxvcx_1" hidden="1">{"rp_only",#N/A,FALSE,"2225"}</definedName>
    <definedName name="cvxv" localSheetId="10" hidden="1">{"rp_only",#N/A,FALSE,"2225"}</definedName>
    <definedName name="cvxv" hidden="1">{"rp_only",#N/A,FALSE,"2225"}</definedName>
    <definedName name="cvxv_1" localSheetId="10" hidden="1">{"rp_only",#N/A,FALSE,"2225"}</definedName>
    <definedName name="cvxv_1" hidden="1">{"rp_only",#N/A,FALSE,"2225"}</definedName>
    <definedName name="cvxvc" localSheetId="10" hidden="1">{"with_oth_curr",#N/A,FALSE,"2225"}</definedName>
    <definedName name="cvxvc" hidden="1">{"with_oth_curr",#N/A,FALSE,"2225"}</definedName>
    <definedName name="cvxvc_1" localSheetId="10" hidden="1">{"with_oth_curr",#N/A,FALSE,"2225"}</definedName>
    <definedName name="cvxvc_1" hidden="1">{"with_oth_curr",#N/A,FALSE,"2225"}</definedName>
    <definedName name="cvxvcxcxvvcxcxvvcx" localSheetId="10" hidden="1">{"with_oth_curr",#N/A,FALSE,"2225"}</definedName>
    <definedName name="cvxvcxcxvvcxcxvvcx" hidden="1">{"with_oth_curr",#N/A,FALSE,"2225"}</definedName>
    <definedName name="cvxvcxcxvvcxcxvvcx_1" localSheetId="10" hidden="1">{"with_oth_curr",#N/A,FALSE,"2225"}</definedName>
    <definedName name="cvxvcxcxvvcxcxvvcx_1" hidden="1">{"with_oth_curr",#N/A,FALSE,"2225"}</definedName>
    <definedName name="cvxvcxcxvzvcxcvxvxccxvzx" localSheetId="10" hidden="1">{"rp_only",#N/A,FALSE,"2225"}</definedName>
    <definedName name="cvxvcxcxvzvcxcvxvxccxvzx" hidden="1">{"rp_only",#N/A,FALSE,"2225"}</definedName>
    <definedName name="cvxvcxcxvzvcxcvxvxccxvzx_1" localSheetId="10" hidden="1">{"rp_only",#N/A,FALSE,"2225"}</definedName>
    <definedName name="cvxvcxcxvzvcxcvxvxccxvzx_1" hidden="1">{"rp_only",#N/A,FALSE,"2225"}</definedName>
    <definedName name="cvxvcxzcvxzczxvcvx" localSheetId="10" hidden="1">{"rp_only",#N/A,FALSE,"2225"}</definedName>
    <definedName name="cvxvcxzcvxzczxvcvx" hidden="1">{"rp_only",#N/A,FALSE,"2225"}</definedName>
    <definedName name="cvxvcxzcvxzczxvcvx_1" localSheetId="10" hidden="1">{"rp_only",#N/A,FALSE,"2225"}</definedName>
    <definedName name="cvxvcxzcvxzczxvcvx_1" hidden="1">{"rp_only",#N/A,FALSE,"2225"}</definedName>
    <definedName name="cvxvsdfvf" localSheetId="10" hidden="1">{"with_oth_curr",#N/A,FALSE,"2225"}</definedName>
    <definedName name="cvxvsdfvf" hidden="1">{"with_oth_curr",#N/A,FALSE,"2225"}</definedName>
    <definedName name="cvxvsdfvf_1" localSheetId="10" hidden="1">{"with_oth_curr",#N/A,FALSE,"2225"}</definedName>
    <definedName name="cvxvsdfvf_1" hidden="1">{"with_oth_curr",#N/A,FALSE,"2225"}</definedName>
    <definedName name="cvxvxvc" localSheetId="10" hidden="1">{"rp_only",#N/A,FALSE,"2225"}</definedName>
    <definedName name="cvxvxvc" hidden="1">{"rp_only",#N/A,FALSE,"2225"}</definedName>
    <definedName name="cvxvxvc_1" localSheetId="10" hidden="1">{"rp_only",#N/A,FALSE,"2225"}</definedName>
    <definedName name="cvxvxvc_1" hidden="1">{"rp_only",#N/A,FALSE,"2225"}</definedName>
    <definedName name="cvxvxvxvvvvvvvvvvvvvvvvvvvvvvv" localSheetId="10" hidden="1">{"rp_only",#N/A,FALSE,"2225"}</definedName>
    <definedName name="cvxvxvxvvvvvvvvvvvvvvvvvvvvvvv" hidden="1">{"rp_only",#N/A,FALSE,"2225"}</definedName>
    <definedName name="cvxvxvxvvvvvvvvvvvvvvvvvvvvvvv_1" localSheetId="10" hidden="1">{"rp_only",#N/A,FALSE,"2225"}</definedName>
    <definedName name="cvxvxvxvvvvvvvvvvvvvvvvvvvvvvv_1" hidden="1">{"rp_only",#N/A,FALSE,"2225"}</definedName>
    <definedName name="cvxzcvcxzv" localSheetId="10" hidden="1">{"with_oth_curr",#N/A,FALSE,"2225"}</definedName>
    <definedName name="cvxzcvcxzv" hidden="1">{"with_oth_curr",#N/A,FALSE,"2225"}</definedName>
    <definedName name="cvxzcvcxzv_1" localSheetId="10" hidden="1">{"with_oth_curr",#N/A,FALSE,"2225"}</definedName>
    <definedName name="cvxzcvcxzv_1" hidden="1">{"with_oth_curr",#N/A,FALSE,"2225"}</definedName>
    <definedName name="cvxzxv" localSheetId="10" hidden="1">{"with_oth_curr",#N/A,FALSE,"2225"}</definedName>
    <definedName name="cvxzxv" hidden="1">{"with_oth_curr",#N/A,FALSE,"2225"}</definedName>
    <definedName name="cvxzxv_1" localSheetId="10" hidden="1">{"with_oth_curr",#N/A,FALSE,"2225"}</definedName>
    <definedName name="cvxzxv_1" hidden="1">{"with_oth_curr",#N/A,FALSE,"2225"}</definedName>
    <definedName name="cvzcxvczvxcz" localSheetId="10" hidden="1">{"rp_only",#N/A,FALSE,"2225"}</definedName>
    <definedName name="cvzcxvczvxcz" hidden="1">{"rp_only",#N/A,FALSE,"2225"}</definedName>
    <definedName name="cvzcxvczvxcz_1" localSheetId="10" hidden="1">{"rp_only",#N/A,FALSE,"2225"}</definedName>
    <definedName name="cvzcxvczvxcz_1" hidden="1">{"rp_only",#N/A,FALSE,"2225"}</definedName>
    <definedName name="cvzx" localSheetId="10" hidden="1">{"rp_only",#N/A,FALSE,"2225"}</definedName>
    <definedName name="cvzx" hidden="1">{"rp_only",#N/A,FALSE,"2225"}</definedName>
    <definedName name="cvzx_1" localSheetId="10" hidden="1">{"rp_only",#N/A,FALSE,"2225"}</definedName>
    <definedName name="cvzx_1" hidden="1">{"rp_only",#N/A,FALSE,"2225"}</definedName>
    <definedName name="cvzxv" localSheetId="10" hidden="1">{"rp_only",#N/A,FALSE,"2225"}</definedName>
    <definedName name="cvzxv" hidden="1">{"rp_only",#N/A,FALSE,"2225"}</definedName>
    <definedName name="cvzxv_1" localSheetId="10" hidden="1">{"rp_only",#N/A,FALSE,"2225"}</definedName>
    <definedName name="cvzxv_1" hidden="1">{"rp_only",#N/A,FALSE,"2225"}</definedName>
    <definedName name="CW"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localSheetId="10" hidden="1">{"with_oth_curr",#N/A,FALSE,"2225"}</definedName>
    <definedName name="cxcvxzxcvcxvcxczxv" hidden="1">{"with_oth_curr",#N/A,FALSE,"2225"}</definedName>
    <definedName name="cxcvxzxcvcxvcxczxv_1" localSheetId="10" hidden="1">{"with_oth_curr",#N/A,FALSE,"2225"}</definedName>
    <definedName name="cxcvxzxcvcxvcxczxv_1" hidden="1">{"with_oth_curr",#N/A,FALSE,"2225"}</definedName>
    <definedName name="cxv" localSheetId="10" hidden="1">{"rp_only",#N/A,FALSE,"2225"}</definedName>
    <definedName name="cxv" hidden="1">{"rp_only",#N/A,FALSE,"2225"}</definedName>
    <definedName name="cxv_1" localSheetId="10" hidden="1">{"rp_only",#N/A,FALSE,"2225"}</definedName>
    <definedName name="cxv_1" hidden="1">{"rp_only",#N/A,FALSE,"2225"}</definedName>
    <definedName name="cxvcvxvxccvxzvxcvcx" localSheetId="10" hidden="1">{"with_oth_curr",#N/A,FALSE,"2225"}</definedName>
    <definedName name="cxvcvxvxccvxzvxcvcx" hidden="1">{"with_oth_curr",#N/A,FALSE,"2225"}</definedName>
    <definedName name="cxvcvxvxccvxzvxcvcx_1" localSheetId="10" hidden="1">{"with_oth_curr",#N/A,FALSE,"2225"}</definedName>
    <definedName name="cxvcvxvxccvxzvxcvcx_1" hidden="1">{"with_oth_curr",#N/A,FALSE,"2225"}</definedName>
    <definedName name="cxvvcxcvxcvxcvx" localSheetId="10" hidden="1">{"rp_only",#N/A,FALSE,"2225"}</definedName>
    <definedName name="cxvvcxcvxcvxcvx" hidden="1">{"rp_only",#N/A,FALSE,"2225"}</definedName>
    <definedName name="cxvvcxcvxcvxcvx_1" localSheetId="10" hidden="1">{"rp_only",#N/A,FALSE,"2225"}</definedName>
    <definedName name="cxvvcxcvxcvxcvx_1" hidden="1">{"rp_only",#N/A,FALSE,"2225"}</definedName>
    <definedName name="cxvvxcvxcvxczdv" localSheetId="10" hidden="1">{"rp_only",#N/A,FALSE,"2225"}</definedName>
    <definedName name="cxvvxcvxcvxczdv" hidden="1">{"rp_only",#N/A,FALSE,"2225"}</definedName>
    <definedName name="cxvvxcvxcvxczdv_1" localSheetId="10" hidden="1">{"rp_only",#N/A,FALSE,"2225"}</definedName>
    <definedName name="cxvvxcvxcvxczdv_1" hidden="1">{"rp_only",#N/A,FALSE,"2225"}</definedName>
    <definedName name="cxvxcv" localSheetId="10" hidden="1">{"with_oth_curr",#N/A,FALSE,"2225"}</definedName>
    <definedName name="cxvxcv" hidden="1">{"with_oth_curr",#N/A,FALSE,"2225"}</definedName>
    <definedName name="cxvxcv_1" localSheetId="10" hidden="1">{"with_oth_curr",#N/A,FALSE,"2225"}</definedName>
    <definedName name="cxvxcv_1" hidden="1">{"with_oth_curr",#N/A,FALSE,"2225"}</definedName>
    <definedName name="cxvxcvxcvxcv" localSheetId="10" hidden="1">{"with_oth_curr",#N/A,FALSE,"2225"}</definedName>
    <definedName name="cxvxcvxcvxcv" hidden="1">{"with_oth_curr",#N/A,FALSE,"2225"}</definedName>
    <definedName name="cxvxcvxcvxcv_1" localSheetId="10" hidden="1">{"with_oth_curr",#N/A,FALSE,"2225"}</definedName>
    <definedName name="cxvxcvxcvxcv_1" hidden="1">{"with_oth_curr",#N/A,FALSE,"2225"}</definedName>
    <definedName name="cxvxv" localSheetId="10" hidden="1">{"with_oth_curr",#N/A,FALSE,"2225"}</definedName>
    <definedName name="cxvxv" hidden="1">{"with_oth_curr",#N/A,FALSE,"2225"}</definedName>
    <definedName name="cxvxv_1" localSheetId="10" hidden="1">{"with_oth_curr",#N/A,FALSE,"2225"}</definedName>
    <definedName name="cxvxv_1" hidden="1">{"with_oth_curr",#N/A,FALSE,"2225"}</definedName>
    <definedName name="cxvxvcxcvxcv" localSheetId="10" hidden="1">{"rp_only",#N/A,FALSE,"2225"}</definedName>
    <definedName name="cxvxvcxcvxcv" hidden="1">{"rp_only",#N/A,FALSE,"2225"}</definedName>
    <definedName name="cxvxvcxcvxcv_1" localSheetId="10" hidden="1">{"rp_only",#N/A,FALSE,"2225"}</definedName>
    <definedName name="cxvxvcxcvxcv_1" hidden="1">{"rp_only",#N/A,FALSE,"2225"}</definedName>
    <definedName name="cxvxvxvcxvx" localSheetId="10" hidden="1">{"rp_only",#N/A,FALSE,"2225"}</definedName>
    <definedName name="cxvxvxvcxvx" hidden="1">{"rp_only",#N/A,FALSE,"2225"}</definedName>
    <definedName name="cxvxvxvcxvx_1" localSheetId="10" hidden="1">{"rp_only",#N/A,FALSE,"2225"}</definedName>
    <definedName name="cxvxvxvcxvx_1" hidden="1">{"rp_only",#N/A,FALSE,"2225"}</definedName>
    <definedName name="cxx" localSheetId="10" hidden="1">{"rp_only",#N/A,FALSE,"2225"}</definedName>
    <definedName name="cxx" hidden="1">{"rp_only",#N/A,FALSE,"2225"}</definedName>
    <definedName name="cxx_1" localSheetId="10" hidden="1">{"rp_only",#N/A,FALSE,"2225"}</definedName>
    <definedName name="cxx_1" hidden="1">{"rp_only",#N/A,FALSE,"2225"}</definedName>
    <definedName name="cxxc" localSheetId="10" hidden="1">{"rp_only",#N/A,FALSE,"2225"}</definedName>
    <definedName name="cxxc" hidden="1">{"rp_only",#N/A,FALSE,"2225"}</definedName>
    <definedName name="cxxc_1" localSheetId="10" hidden="1">{"rp_only",#N/A,FALSE,"2225"}</definedName>
    <definedName name="cxxc_1" hidden="1">{"rp_only",#N/A,FALSE,"2225"}</definedName>
    <definedName name="cxxvx" localSheetId="10" hidden="1">{"with_oth_curr",#N/A,FALSE,"2225"}</definedName>
    <definedName name="cxxvx" hidden="1">{"with_oth_curr",#N/A,FALSE,"2225"}</definedName>
    <definedName name="cxxvx_1" localSheetId="10" hidden="1">{"with_oth_curr",#N/A,FALSE,"2225"}</definedName>
    <definedName name="cxxvx_1" hidden="1">{"with_oth_curr",#N/A,FALSE,"2225"}</definedName>
    <definedName name="cxz" localSheetId="10" hidden="1">{"with_oth_curr",#N/A,FALSE,"2225"}</definedName>
    <definedName name="cxz" hidden="1">{"with_oth_curr",#N/A,FALSE,"2225"}</definedName>
    <definedName name="cxz_1" localSheetId="10" hidden="1">{"with_oth_curr",#N/A,FALSE,"2225"}</definedName>
    <definedName name="cxz_1" hidden="1">{"with_oth_curr",#N/A,FALSE,"2225"}</definedName>
    <definedName name="cxzcvxzcxvvxczcxvvcxz" localSheetId="10" hidden="1">{"rp_only",#N/A,FALSE,"2225"}</definedName>
    <definedName name="cxzcvxzcxvvxczcxvvcxz" hidden="1">{"rp_only",#N/A,FALSE,"2225"}</definedName>
    <definedName name="cxzcvxzcxvvxczcxvvcxz_1" localSheetId="10" hidden="1">{"rp_only",#N/A,FALSE,"2225"}</definedName>
    <definedName name="cxzcvxzcxvvxczcxvvcxz_1" hidden="1">{"rp_only",#N/A,FALSE,"2225"}</definedName>
    <definedName name="cy">#REF!</definedName>
    <definedName name="cz">#REF!</definedName>
    <definedName name="czc" localSheetId="10" hidden="1">{"rp_only",#N/A,FALSE,"2225"}</definedName>
    <definedName name="czc" hidden="1">{"rp_only",#N/A,FALSE,"2225"}</definedName>
    <definedName name="czc_1" localSheetId="10" hidden="1">{"rp_only",#N/A,FALSE,"2225"}</definedName>
    <definedName name="czc_1" hidden="1">{"rp_only",#N/A,FALSE,"2225"}</definedName>
    <definedName name="czczcxzczx" localSheetId="10" hidden="1">{"with_oth_curr",#N/A,FALSE,"2225"}</definedName>
    <definedName name="czczcxzczx" hidden="1">{"with_oth_curr",#N/A,FALSE,"2225"}</definedName>
    <definedName name="czczcxzczx_1" localSheetId="10"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localSheetId="10" hidden="1">{"with_oth_curr",#N/A,FALSE,"2225"}</definedName>
    <definedName name="czv" hidden="1">{"with_oth_curr",#N/A,FALSE,"2225"}</definedName>
    <definedName name="czv_1" localSheetId="10" hidden="1">{"with_oth_curr",#N/A,FALSE,"2225"}</definedName>
    <definedName name="czv_1" hidden="1">{"with_oth_curr",#N/A,FALSE,"2225"}</definedName>
    <definedName name="czvcxzv" localSheetId="10" hidden="1">{"rp_only",#N/A,FALSE,"2225"}</definedName>
    <definedName name="czvcxzv" hidden="1">{"rp_only",#N/A,FALSE,"2225"}</definedName>
    <definedName name="czvcxzv_1" localSheetId="10" hidden="1">{"rp_only",#N/A,FALSE,"2225"}</definedName>
    <definedName name="czvcxzv_1" hidden="1">{"rp_only",#N/A,FALSE,"2225"}</definedName>
    <definedName name="czxvcvxzcvxzcvxvxczvxcz" localSheetId="10" hidden="1">{"rp_only",#N/A,FALSE,"2225"}</definedName>
    <definedName name="czxvcvxzcvxzcvxvxczvxcz" hidden="1">{"rp_only",#N/A,FALSE,"2225"}</definedName>
    <definedName name="czxvcvxzcvxzcvxvxczvxcz_1" localSheetId="10" hidden="1">{"rp_only",#N/A,FALSE,"2225"}</definedName>
    <definedName name="czxvcvxzcvxzcvxvxczvxcz_1" hidden="1">{"rp_only",#N/A,FALSE,"2225"}</definedName>
    <definedName name="CZxzc" localSheetId="10" hidden="1">{"with_oth_curr",#N/A,FALSE,"2225"}</definedName>
    <definedName name="CZxzc" hidden="1">{"with_oth_curr",#N/A,FALSE,"2225"}</definedName>
    <definedName name="CZxzc_1" localSheetId="10" hidden="1">{"with_oth_curr",#N/A,FALSE,"2225"}</definedName>
    <definedName name="CZxzc_1" hidden="1">{"with_oth_curr",#N/A,FALSE,"2225"}</definedName>
    <definedName name="czxzxczc" localSheetId="10" hidden="1">{"with_oth_curr",#N/A,FALSE,"2225"}</definedName>
    <definedName name="czxzxczc" hidden="1">{"with_oth_curr",#N/A,FALSE,"2225"}</definedName>
    <definedName name="czxzxczc_1" localSheetId="10"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10"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10"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localSheetId="10" hidden="1">{"with_oth_curr",#N/A,FALSE,"2225"}</definedName>
    <definedName name="daasda" hidden="1">{"with_oth_curr",#N/A,FALSE,"2225"}</definedName>
    <definedName name="daasda_1" localSheetId="10" hidden="1">{"with_oth_curr",#N/A,FALSE,"2225"}</definedName>
    <definedName name="daasda_1" hidden="1">{"with_oth_curr",#N/A,FALSE,"2225"}</definedName>
    <definedName name="Dac">#REF!</definedName>
    <definedName name="dad" localSheetId="10" hidden="1">{#N/A,#N/A,FALSE,"特殊室（ＢＱ表）"}</definedName>
    <definedName name="dad" hidden="1">{#N/A,#N/A,FALSE,"特殊室（ＢＱ表）"}</definedName>
    <definedName name="dada" localSheetId="10" hidden="1">{#N/A,#N/A,FALSE,"特殊室（ＢＱ表）"}</definedName>
    <definedName name="dada" hidden="1">{#N/A,#N/A,FALSE,"特殊室（ＢＱ表）"}</definedName>
    <definedName name="dADAD" localSheetId="10" hidden="1">{"rp_only",#N/A,FALSE,"2225"}</definedName>
    <definedName name="dADAD" hidden="1">{"rp_only",#N/A,FALSE,"2225"}</definedName>
    <definedName name="dADAD_1" localSheetId="10" hidden="1">{"rp_only",#N/A,FALSE,"2225"}</definedName>
    <definedName name="dADAD_1" hidden="1">{"rp_only",#N/A,FALSE,"2225"}</definedName>
    <definedName name="dadasda" localSheetId="10" hidden="1">{#N/A,#N/A,FALSE,"特殊室（ＢＱ表）"}</definedName>
    <definedName name="dadasda" hidden="1">{#N/A,#N/A,FALSE,"特殊室（ＢＱ表）"}</definedName>
    <definedName name="dadassadsad" localSheetId="10" hidden="1">{"rp_only",#N/A,FALSE,"2225"}</definedName>
    <definedName name="dadassadsad" hidden="1">{"rp_only",#N/A,FALSE,"2225"}</definedName>
    <definedName name="dadassadsad_1" localSheetId="10" hidden="1">{"rp_only",#N/A,FALSE,"2225"}</definedName>
    <definedName name="dadassadsad_1" hidden="1">{"rp_only",#N/A,FALSE,"2225"}</definedName>
    <definedName name="DADAWDW">#REF!</definedName>
    <definedName name="dadhgf" localSheetId="10" hidden="1">{#N/A,#N/A,FALSE,"Aging Summary";#N/A,#N/A,FALSE,"Ratio Analysis";#N/A,#N/A,FALSE,"Test 120 Day Accts";#N/A,#N/A,FALSE,"Tickmarks"}</definedName>
    <definedName name="dadhgf" hidden="1">{#N/A,#N/A,FALSE,"Aging Summary";#N/A,#N/A,FALSE,"Ratio Analysis";#N/A,#N/A,FALSE,"Test 120 Day Accts";#N/A,#N/A,FALSE,"Tickmarks"}</definedName>
    <definedName name="dads" localSheetId="10" hidden="1">{"rp_only",#N/A,FALSE,"2225"}</definedName>
    <definedName name="dads" hidden="1">{"rp_only",#N/A,FALSE,"2225"}</definedName>
    <definedName name="dads_1" localSheetId="10" hidden="1">{"rp_only",#N/A,FALSE,"2225"}</definedName>
    <definedName name="dads_1" hidden="1">{"rp_only",#N/A,FALSE,"2225"}</definedName>
    <definedName name="dadsa" localSheetId="10" hidden="1">{"rp_only",#N/A,FALSE,"2225"}</definedName>
    <definedName name="dadsa" hidden="1">{"rp_only",#N/A,FALSE,"2225"}</definedName>
    <definedName name="dadsa_1" localSheetId="10" hidden="1">{"rp_only",#N/A,FALSE,"2225"}</definedName>
    <definedName name="dadsa_1" hidden="1">{"rp_only",#N/A,FALSE,"2225"}</definedName>
    <definedName name="dadsada" localSheetId="10" hidden="1">{"with_oth_curr",#N/A,FALSE,"2225"}</definedName>
    <definedName name="dadsada" hidden="1">{"with_oth_curr",#N/A,FALSE,"2225"}</definedName>
    <definedName name="dadsada_1" localSheetId="10"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localSheetId="10" hidden="1">{"rp_only",#N/A,FALSE,"2225"}</definedName>
    <definedName name="dafs" hidden="1">{"rp_only",#N/A,FALSE,"2225"}</definedName>
    <definedName name="dafs_1" localSheetId="10"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localSheetId="10"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#REF!</definedName>
    <definedName name="dasd" localSheetId="10" hidden="1">{"rp_only",#N/A,FALSE,"2225"}</definedName>
    <definedName name="dasd" hidden="1">{"rp_only",#N/A,FALSE,"2225"}</definedName>
    <definedName name="dasd_1" localSheetId="10" hidden="1">{"rp_only",#N/A,FALSE,"2225"}</definedName>
    <definedName name="dasd_1" hidden="1">{"rp_only",#N/A,FALSE,"2225"}</definedName>
    <definedName name="dasdadad" localSheetId="10" hidden="1">{"rp_only",#N/A,FALSE,"2225"}</definedName>
    <definedName name="dasdadad" hidden="1">{"rp_only",#N/A,FALSE,"2225"}</definedName>
    <definedName name="dasdadad_1" localSheetId="10" hidden="1">{"rp_only",#N/A,FALSE,"2225"}</definedName>
    <definedName name="dasdadad_1" hidden="1">{"rp_only",#N/A,FALSE,"2225"}</definedName>
    <definedName name="dasdasd" localSheetId="10" hidden="1">{#N/A,#N/A,FALSE,"Sheet1"}</definedName>
    <definedName name="dasdasd" hidden="1">{#N/A,#N/A,FALSE,"Sheet1"}</definedName>
    <definedName name="dasdasdad" localSheetId="10" hidden="1">{"rp_only",#N/A,FALSE,"2225"}</definedName>
    <definedName name="dasdasdad" hidden="1">{"rp_only",#N/A,FALSE,"2225"}</definedName>
    <definedName name="dasdasdad_1" localSheetId="10" hidden="1">{"rp_only",#N/A,FALSE,"2225"}</definedName>
    <definedName name="dasdasdad_1" hidden="1">{"rp_only",#N/A,FALSE,"2225"}</definedName>
    <definedName name="dasdasdasdadasdasd" localSheetId="10" hidden="1">{"rp_only",#N/A,FALSE,"2225"}</definedName>
    <definedName name="dasdasdasdadasdasd" hidden="1">{"rp_only",#N/A,FALSE,"2225"}</definedName>
    <definedName name="dasdasdasdadasdasd_1" localSheetId="10" hidden="1">{"rp_only",#N/A,FALSE,"2225"}</definedName>
    <definedName name="dasdasdasdadasdasd_1" hidden="1">{"rp_only",#N/A,FALSE,"2225"}</definedName>
    <definedName name="dasdsa" localSheetId="10" hidden="1">{"rp_only",#N/A,FALSE,"2225"}</definedName>
    <definedName name="dasdsa" hidden="1">{"rp_only",#N/A,FALSE,"2225"}</definedName>
    <definedName name="dasdsa_1" localSheetId="10" hidden="1">{"rp_only",#N/A,FALSE,"2225"}</definedName>
    <definedName name="dasdsa_1" hidden="1">{"rp_only",#N/A,FALSE,"2225"}</definedName>
    <definedName name="dasfasdfsdf" localSheetId="10" hidden="1">{"rp_only",#N/A,FALSE,"2225"}</definedName>
    <definedName name="dasfasdfsdf" hidden="1">{"rp_only",#N/A,FALSE,"2225"}</definedName>
    <definedName name="dasfasdfsdf_1" localSheetId="10" hidden="1">{"rp_only",#N/A,FALSE,"2225"}</definedName>
    <definedName name="dasfasdfsdf_1" hidden="1">{"rp_only",#N/A,FALSE,"2225"}</definedName>
    <definedName name="dassdsda" localSheetId="10" hidden="1">{"with_oth_curr",#N/A,FALSE,"2225"}</definedName>
    <definedName name="dassdsda" hidden="1">{"with_oth_curr",#N/A,FALSE,"2225"}</definedName>
    <definedName name="dassdsda_1" localSheetId="10" hidden="1">{"with_oth_curr",#N/A,FALSE,"2225"}</definedName>
    <definedName name="dassdsda_1" hidden="1">{"with_oth_curr",#N/A,FALSE,"2225"}</definedName>
    <definedName name="dasx" localSheetId="10" hidden="1">{"rp_only",#N/A,FALSE,"2225"}</definedName>
    <definedName name="dasx" hidden="1">{"rp_only",#N/A,FALSE,"2225"}</definedName>
    <definedName name="dasx_1" localSheetId="10"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localSheetId="10"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localSheetId="10" hidden="1">{"with_oth_curr",#N/A,FALSE,"2225"}</definedName>
    <definedName name="dcxzxc" hidden="1">{"with_oth_curr",#N/A,FALSE,"2225"}</definedName>
    <definedName name="dcxzxc_1" localSheetId="10" hidden="1">{"with_oth_curr",#N/A,FALSE,"2225"}</definedName>
    <definedName name="dcxzxc_1" hidden="1">{"with_oth_curr",#N/A,FALSE,"2225"}</definedName>
    <definedName name="dd">#REF!</definedName>
    <definedName name="dd4x6">#REF!</definedName>
    <definedName name="ddas" localSheetId="10" hidden="1">{"with_oth_curr",#N/A,FALSE,"2225"}</definedName>
    <definedName name="ddas" hidden="1">{"with_oth_curr",#N/A,FALSE,"2225"}</definedName>
    <definedName name="ddas_1" localSheetId="10" hidden="1">{"with_oth_curr",#N/A,FALSE,"2225"}</definedName>
    <definedName name="ddas_1" hidden="1">{"with_oth_curr",#N/A,FALSE,"2225"}</definedName>
    <definedName name="dday">#REF!</definedName>
    <definedName name="ddd" localSheetId="10" hidden="1">{#N/A,#N/A,FALSE,"M01";#N/A,#N/A,FALSE,"M02";#N/A,#N/A,FALSE,"M03";#N/A,#N/A,FALSE,"M04";#N/A,#N/A,FALSE,"M05";#N/A,#N/A,FALSE,"M08"}</definedName>
    <definedName name="ddd" hidden="1">{#N/A,#N/A,FALSE,"M01";#N/A,#N/A,FALSE,"M02";#N/A,#N/A,FALSE,"M03";#N/A,#N/A,FALSE,"M04";#N/A,#N/A,FALSE,"M05";#N/A,#N/A,FALSE,"M08"}</definedName>
    <definedName name="DDD_1">#REF!</definedName>
    <definedName name="DDD_5">#REF!</definedName>
    <definedName name="ddddd" localSheetId="10"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localSheetId="10" hidden="1">{"10yp profit and loss",#N/A,FALSE,"Celtel alternative 6"}</definedName>
    <definedName name="dddddd" hidden="1">{"10yp profit and loss",#N/A,FALSE,"Celtel alternative 6"}</definedName>
    <definedName name="dden">#REF!</definedName>
    <definedName name="DDFD" localSheetId="10" hidden="1">{#N/A,#N/A,FALSE,"CCTV"}</definedName>
    <definedName name="DDFD" hidden="1">{#N/A,#N/A,FALSE,"CCTV"}</definedName>
    <definedName name="ddfg" localSheetId="10" hidden="1">{"rp_only",#N/A,FALSE,"2225"}</definedName>
    <definedName name="ddfg" hidden="1">{"rp_only",#N/A,FALSE,"2225"}</definedName>
    <definedName name="ddfg_1" localSheetId="10" hidden="1">{"rp_only",#N/A,FALSE,"2225"}</definedName>
    <definedName name="ddfg_1" hidden="1">{"rp_only",#N/A,FALSE,"2225"}</definedName>
    <definedName name="ddfgd" localSheetId="10" hidden="1">{"rp_only",#N/A,FALSE,"2225"}</definedName>
    <definedName name="ddfgd" hidden="1">{"rp_only",#N/A,FALSE,"2225"}</definedName>
    <definedName name="ddfgd_1" localSheetId="10" hidden="1">{"rp_only",#N/A,FALSE,"2225"}</definedName>
    <definedName name="ddfgd_1" hidden="1">{"rp_only",#N/A,FALSE,"2225"}</definedName>
    <definedName name="DDFYDFYUDF">#REF!</definedName>
    <definedName name="DDHG" localSheetId="10" hidden="1">{"with_oth_curr",#N/A,FALSE,"2225"}</definedName>
    <definedName name="DDHG" hidden="1">{"with_oth_curr",#N/A,FALSE,"2225"}</definedName>
    <definedName name="DDHG_1" localSheetId="10" hidden="1">{"with_oth_curr",#N/A,FALSE,"2225"}</definedName>
    <definedName name="DDHG_1" hidden="1">{"with_oth_curr",#N/A,FALSE,"2225"}</definedName>
    <definedName name="ddia">#REF!</definedName>
    <definedName name="ddsa" localSheetId="10" hidden="1">{#N/A,#N/A,FALSE,"M06";#N/A,#N/A,FALSE,"M07"}</definedName>
    <definedName name="ddsa" hidden="1">{#N/A,#N/A,FALSE,"M06";#N/A,#N/A,FALSE,"M07"}</definedName>
    <definedName name="dDSAD" localSheetId="10" hidden="1">{"with_oth_curr",#N/A,FALSE,"2225"}</definedName>
    <definedName name="dDSAD" hidden="1">{"with_oth_curr",#N/A,FALSE,"2225"}</definedName>
    <definedName name="dDSAD_1" localSheetId="10" hidden="1">{"with_oth_curr",#N/A,FALSE,"2225"}</definedName>
    <definedName name="dDSAD_1" hidden="1">{"with_oth_curr",#N/A,FALSE,"2225"}</definedName>
    <definedName name="ddsadsa" localSheetId="10" hidden="1">{"with_oth_curr",#N/A,FALSE,"2225"}</definedName>
    <definedName name="ddsadsa" hidden="1">{"with_oth_curr",#N/A,FALSE,"2225"}</definedName>
    <definedName name="ddsadsa_1" localSheetId="10" hidden="1">{"with_oth_curr",#N/A,FALSE,"2225"}</definedName>
    <definedName name="ddsadsa_1" hidden="1">{"with_oth_curr",#N/A,FALSE,"2225"}</definedName>
    <definedName name="ddsadsaads" localSheetId="10" hidden="1">{"rp_only",#N/A,FALSE,"2225"}</definedName>
    <definedName name="ddsadsaads" hidden="1">{"rp_only",#N/A,FALSE,"2225"}</definedName>
    <definedName name="ddsadsaads_1" localSheetId="10" hidden="1">{"rp_only",#N/A,FALSE,"2225"}</definedName>
    <definedName name="ddsadsaads_1" hidden="1">{"rp_only",#N/A,FALSE,"2225"}</definedName>
    <definedName name="DDSS" localSheetId="10">SUM(KBB_ADM,KBB_CERUKAN,KBB_I_Jasa,KBB_INTEREST,KBB_LATEFEE,KBB_OR_B,KBB_POKOK,KBB_SBLM,KBB_TAMBAK)</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localSheetId="10" hidden="1">{"Admin Costs",#N/A,FALSE,"Act.Fcst Costs"}</definedName>
    <definedName name="debb" hidden="1">{"Admin Costs",#N/A,FALSE,"Act.Fcst Costs"}</definedName>
    <definedName name="debb_1" localSheetId="10"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localSheetId="10" hidden="1">{#N/A,#N/A,FALSE,"Aging Summary";#N/A,#N/A,FALSE,"Ratio Analysis";#N/A,#N/A,FALSE,"Test 120 Day Accts";#N/A,#N/A,FALSE,"Tickmarks"}</definedName>
    <definedName name="den" hidden="1">{#N/A,#N/A,FALSE,"Aging Summary";#N/A,#N/A,FALSE,"Ratio Analysis";#N/A,#N/A,FALSE,"Test 120 Day Accts";#N/A,#N/A,FALSE,"Tickmarks"}</definedName>
    <definedName name="den_bu">#REF!</definedName>
    <definedName name="DepOpeningIn">#REF!</definedName>
    <definedName name="Depos" localSheetId="10" hidden="1">{#N/A,#N/A,FALSE,"OUT  AREC"}</definedName>
    <definedName name="Depos" hidden="1">{#N/A,#N/A,FALSE,"OUT  AREC"}</definedName>
    <definedName name="Depos_1" localSheetId="10"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localSheetId="10" hidden="1">{"with_oth_curr",#N/A,FALSE,"2225"}</definedName>
    <definedName name="dfadsdasffdas" hidden="1">{"with_oth_curr",#N/A,FALSE,"2225"}</definedName>
    <definedName name="dfadsdasffdas_1" localSheetId="10" hidden="1">{"with_oth_curr",#N/A,FALSE,"2225"}</definedName>
    <definedName name="dfadsdasffdas_1" hidden="1">{"with_oth_curr",#N/A,FALSE,"2225"}</definedName>
    <definedName name="dfafsdfsdf" localSheetId="10" hidden="1">{"with_oth_curr",#N/A,FALSE,"2225"}</definedName>
    <definedName name="dfafsdfsdf" hidden="1">{"with_oth_curr",#N/A,FALSE,"2225"}</definedName>
    <definedName name="dfafsdfsdf_1" localSheetId="10" hidden="1">{"with_oth_curr",#N/A,FALSE,"2225"}</definedName>
    <definedName name="dfafsdfsdf_1" hidden="1">{"with_oth_curr",#N/A,FALSE,"2225"}</definedName>
    <definedName name="dfasdfasdf" localSheetId="10" hidden="1">{"rp_only",#N/A,FALSE,"2225"}</definedName>
    <definedName name="dfasdfasdf" hidden="1">{"rp_only",#N/A,FALSE,"2225"}</definedName>
    <definedName name="dfasdfasdf_1" localSheetId="10" hidden="1">{"rp_only",#N/A,FALSE,"2225"}</definedName>
    <definedName name="dfasdfasdf_1" hidden="1">{"rp_only",#N/A,FALSE,"2225"}</definedName>
    <definedName name="dfasdfgsdfg" localSheetId="10" hidden="1">{"rp_only",#N/A,FALSE,"2225"}</definedName>
    <definedName name="dfasdfgsdfg" hidden="1">{"rp_only",#N/A,FALSE,"2225"}</definedName>
    <definedName name="dfasdfgsdfg_1" localSheetId="10" hidden="1">{"rp_only",#N/A,FALSE,"2225"}</definedName>
    <definedName name="dfasdfgsdfg_1" hidden="1">{"rp_only",#N/A,FALSE,"2225"}</definedName>
    <definedName name="dfasdvfbfxgf" localSheetId="10" hidden="1">{"rp_only",#N/A,FALSE,"2225"}</definedName>
    <definedName name="dfasdvfbfxgf" hidden="1">{"rp_only",#N/A,FALSE,"2225"}</definedName>
    <definedName name="dfasdvfbfxgf_1" localSheetId="10" hidden="1">{"rp_only",#N/A,FALSE,"2225"}</definedName>
    <definedName name="dfasdvfbfxgf_1" hidden="1">{"rp_only",#N/A,FALSE,"2225"}</definedName>
    <definedName name="dfasfas" localSheetId="10" hidden="1">{"rp_only",#N/A,FALSE,"2225"}</definedName>
    <definedName name="dfasfas" hidden="1">{"rp_only",#N/A,FALSE,"2225"}</definedName>
    <definedName name="dfasfas_1" localSheetId="10" hidden="1">{"rp_only",#N/A,FALSE,"2225"}</definedName>
    <definedName name="dfasfas_1" hidden="1">{"rp_only",#N/A,FALSE,"2225"}</definedName>
    <definedName name="dfbdbcv" localSheetId="10" hidden="1">{"rp_only",#N/A,FALSE,"2225"}</definedName>
    <definedName name="dfbdbcv" hidden="1">{"rp_only",#N/A,FALSE,"2225"}</definedName>
    <definedName name="dfbdbcv_1" localSheetId="10" hidden="1">{"rp_only",#N/A,FALSE,"2225"}</definedName>
    <definedName name="dfbdbcv_1" hidden="1">{"rp_only",#N/A,FALSE,"2225"}</definedName>
    <definedName name="dfd" localSheetId="10" hidden="1">{"rp_only",#N/A,FALSE,"2225"}</definedName>
    <definedName name="dfd" hidden="1">{"rp_only",#N/A,FALSE,"2225"}</definedName>
    <definedName name="dfd_1" localSheetId="10" hidden="1">{"rp_only",#N/A,FALSE,"2225"}</definedName>
    <definedName name="dfd_1" hidden="1">{"rp_only",#N/A,FALSE,"2225"}</definedName>
    <definedName name="dfdd" localSheetId="10" hidden="1">{"rp_only",#N/A,FALSE,"2225"}</definedName>
    <definedName name="dfdd" hidden="1">{"rp_only",#N/A,FALSE,"2225"}</definedName>
    <definedName name="dfdd_1" localSheetId="10"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10" hidden="1">{"with_oth_curr",#N/A,FALSE,"2225"}</definedName>
    <definedName name="dfdfdf" hidden="1">{"with_oth_curr",#N/A,FALSE,"2225"}</definedName>
    <definedName name="dfdfdf_1" localSheetId="10" hidden="1">{"with_oth_curr",#N/A,FALSE,"2225"}</definedName>
    <definedName name="dfdfdf_1" hidden="1">{"with_oth_curr",#N/A,FALSE,"2225"}</definedName>
    <definedName name="dfdfdfdaadsf" localSheetId="10" hidden="1">{"rp_only",#N/A,FALSE,"2225"}</definedName>
    <definedName name="dfdfdfdaadsf" hidden="1">{"rp_only",#N/A,FALSE,"2225"}</definedName>
    <definedName name="dfdfdfdaadsf_1" localSheetId="10" hidden="1">{"rp_only",#N/A,FALSE,"2225"}</definedName>
    <definedName name="dfdfdfdaadsf_1" hidden="1">{"rp_only",#N/A,FALSE,"2225"}</definedName>
    <definedName name="DFDFDS">#REF!</definedName>
    <definedName name="dfdfgdgd" localSheetId="10" hidden="1">{"rp_only",#N/A,FALSE,"2225"}</definedName>
    <definedName name="dfdfgdgd" hidden="1">{"rp_only",#N/A,FALSE,"2225"}</definedName>
    <definedName name="dfdfgdgd_1" localSheetId="10" hidden="1">{"rp_only",#N/A,FALSE,"2225"}</definedName>
    <definedName name="dfdfgdgd_1" hidden="1">{"rp_only",#N/A,FALSE,"2225"}</definedName>
    <definedName name="dfdfsfds" localSheetId="10" hidden="1">{"rp_only",#N/A,FALSE,"2225"}</definedName>
    <definedName name="dfdfsfds" hidden="1">{"rp_only",#N/A,FALSE,"2225"}</definedName>
    <definedName name="dfdfsfds_1" localSheetId="10" hidden="1">{"rp_only",#N/A,FALSE,"2225"}</definedName>
    <definedName name="dfdfsfds_1" hidden="1">{"rp_only",#N/A,FALSE,"2225"}</definedName>
    <definedName name="dfdg" localSheetId="10" hidden="1">{"with_oth_curr",#N/A,FALSE,"2225"}</definedName>
    <definedName name="dfdg" hidden="1">{"with_oth_curr",#N/A,FALSE,"2225"}</definedName>
    <definedName name="dfdg_1" localSheetId="10" hidden="1">{"with_oth_curr",#N/A,FALSE,"2225"}</definedName>
    <definedName name="dfdg_1" hidden="1">{"with_oth_curr",#N/A,FALSE,"2225"}</definedName>
    <definedName name="dfdgd" localSheetId="10" hidden="1">{"rp_only",#N/A,FALSE,"2225"}</definedName>
    <definedName name="dfdgd" hidden="1">{"rp_only",#N/A,FALSE,"2225"}</definedName>
    <definedName name="dfdgd_1" localSheetId="10" hidden="1">{"rp_only",#N/A,FALSE,"2225"}</definedName>
    <definedName name="dfdgd_1" hidden="1">{"rp_only",#N/A,FALSE,"2225"}</definedName>
    <definedName name="DFDGDFSGDFSGDS" localSheetId="10" hidden="1">{"rp_only",#N/A,FALSE,"2225"}</definedName>
    <definedName name="DFDGDFSGDFSGDS" hidden="1">{"rp_only",#N/A,FALSE,"2225"}</definedName>
    <definedName name="DFDGDFSGDFSGDS_1" localSheetId="10" hidden="1">{"rp_only",#N/A,FALSE,"2225"}</definedName>
    <definedName name="DFDGDFSGDFSGDS_1" hidden="1">{"rp_only",#N/A,FALSE,"2225"}</definedName>
    <definedName name="dfds" localSheetId="10" hidden="1">{"rp_only",#N/A,FALSE,"2225"}</definedName>
    <definedName name="dfds" hidden="1">{"rp_only",#N/A,FALSE,"2225"}</definedName>
    <definedName name="dfds_1" localSheetId="10" hidden="1">{"rp_only",#N/A,FALSE,"2225"}</definedName>
    <definedName name="dfds_1" hidden="1">{"rp_only",#N/A,FALSE,"2225"}</definedName>
    <definedName name="dfdsafdssdgf" localSheetId="10" hidden="1">{"rp_only",#N/A,FALSE,"2225"}</definedName>
    <definedName name="dfdsafdssdgf" hidden="1">{"rp_only",#N/A,FALSE,"2225"}</definedName>
    <definedName name="dfdsafdssdgf_1" localSheetId="10" hidden="1">{"rp_only",#N/A,FALSE,"2225"}</definedName>
    <definedName name="dfdsafdssdgf_1" hidden="1">{"rp_only",#N/A,FALSE,"2225"}</definedName>
    <definedName name="dfdsfds" localSheetId="10" hidden="1">{"with_oth_curr",#N/A,FALSE,"2225"}</definedName>
    <definedName name="dfdsfds" hidden="1">{"with_oth_curr",#N/A,FALSE,"2225"}</definedName>
    <definedName name="dfdsfds_1" localSheetId="10" hidden="1">{"with_oth_curr",#N/A,FALSE,"2225"}</definedName>
    <definedName name="dfdsfds_1" hidden="1">{"with_oth_curr",#N/A,FALSE,"2225"}</definedName>
    <definedName name="dfdtrert" localSheetId="10" hidden="1">{"rp_only",#N/A,FALSE,"2225"}</definedName>
    <definedName name="dfdtrert" hidden="1">{"rp_only",#N/A,FALSE,"2225"}</definedName>
    <definedName name="dfdtrert_1" localSheetId="10" hidden="1">{"rp_only",#N/A,FALSE,"2225"}</definedName>
    <definedName name="dfdtrert_1" hidden="1">{"rp_only",#N/A,FALSE,"2225"}</definedName>
    <definedName name="DFE">#REF!</definedName>
    <definedName name="dfewer" localSheetId="10" hidden="1">{"with_oth_curr",#N/A,FALSE,"2225"}</definedName>
    <definedName name="dfewer" hidden="1">{"with_oth_curr",#N/A,FALSE,"2225"}</definedName>
    <definedName name="dfewer_1" localSheetId="10" hidden="1">{"with_oth_curr",#N/A,FALSE,"2225"}</definedName>
    <definedName name="dfewer_1" hidden="1">{"with_oth_curr",#N/A,FALSE,"2225"}</definedName>
    <definedName name="dff" localSheetId="10" hidden="1">{"with_oth_curr",#N/A,FALSE,"2225"}</definedName>
    <definedName name="dff" hidden="1">{"with_oth_curr",#N/A,FALSE,"2225"}</definedName>
    <definedName name="dff_1" localSheetId="10" hidden="1">{"with_oth_curr",#N/A,FALSE,"2225"}</definedName>
    <definedName name="dff_1" hidden="1">{"with_oth_curr",#N/A,FALSE,"2225"}</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10" hidden="1">{"rp_only",#N/A,FALSE,"2225"}</definedName>
    <definedName name="dffdsfsf" hidden="1">{"rp_only",#N/A,FALSE,"2225"}</definedName>
    <definedName name="dffdsfsf_1" localSheetId="10" hidden="1">{"rp_only",#N/A,FALSE,"2225"}</definedName>
    <definedName name="dffdsfsf_1" hidden="1">{"rp_only",#N/A,FALSE,"2225"}</definedName>
    <definedName name="dfffff" localSheetId="10"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10" hidden="1">{"rp_only",#N/A,FALSE,"2225"}</definedName>
    <definedName name="dffgsfsdgf" hidden="1">{"rp_only",#N/A,FALSE,"2225"}</definedName>
    <definedName name="dffgsfsdgf_1" localSheetId="10" hidden="1">{"rp_only",#N/A,FALSE,"2225"}</definedName>
    <definedName name="dffgsfsdgf_1" hidden="1">{"rp_only",#N/A,FALSE,"2225"}</definedName>
    <definedName name="dffsdfsd" localSheetId="10" hidden="1">{"rp_only",#N/A,FALSE,"2225"}</definedName>
    <definedName name="dffsdfsd" hidden="1">{"rp_only",#N/A,FALSE,"2225"}</definedName>
    <definedName name="dffsdfsd_1" localSheetId="10" hidden="1">{"rp_only",#N/A,FALSE,"2225"}</definedName>
    <definedName name="dffsdfsd_1" hidden="1">{"rp_only",#N/A,FALSE,"2225"}</definedName>
    <definedName name="dfg" localSheetId="10" hidden="1">{#N/A,#N/A,FALSE,"Aging Summary";#N/A,#N/A,FALSE,"Ratio Analysis";#N/A,#N/A,FALSE,"Test 120 Day Accts";#N/A,#N/A,FALSE,"Tickmarks"}</definedName>
    <definedName name="dfg" hidden="1">{#N/A,#N/A,FALSE,"Aging Summary";#N/A,#N/A,FALSE,"Ratio Analysis";#N/A,#N/A,FALSE,"Test 120 Day Accts";#N/A,#N/A,FALSE,"Tickmarks"}</definedName>
    <definedName name="dfgd" localSheetId="10" hidden="1">{"subs",#N/A,FALSE,"database ";"proportional",#N/A,FALSE,"database "}</definedName>
    <definedName name="dfgd" hidden="1">{"subs",#N/A,FALSE,"database ";"proportional",#N/A,FALSE,"database "}</definedName>
    <definedName name="dfgdf" localSheetId="10" hidden="1">{"rp_only",#N/A,FALSE,"2225"}</definedName>
    <definedName name="dfgdf" hidden="1">{"rp_only",#N/A,FALSE,"2225"}</definedName>
    <definedName name="dfgdf_1" localSheetId="10" hidden="1">{"rp_only",#N/A,FALSE,"2225"}</definedName>
    <definedName name="dfgdf_1" hidden="1">{"rp_only",#N/A,FALSE,"2225"}</definedName>
    <definedName name="dfgdfg" localSheetId="10" hidden="1">{"with_oth_curr",#N/A,FALSE,"2225"}</definedName>
    <definedName name="dfgdfg" hidden="1">{"with_oth_curr",#N/A,FALSE,"2225"}</definedName>
    <definedName name="dfgdfg_1" localSheetId="10" hidden="1">{"with_oth_curr",#N/A,FALSE,"2225"}</definedName>
    <definedName name="dfgdfg_1" hidden="1">{"with_oth_curr",#N/A,FALSE,"2225"}</definedName>
    <definedName name="dfgdfgd" localSheetId="10" hidden="1">{"rp_only",#N/A,FALSE,"2225"}</definedName>
    <definedName name="dfgdfgd" hidden="1">{"rp_only",#N/A,FALSE,"2225"}</definedName>
    <definedName name="dfgdfgd_1" localSheetId="10" hidden="1">{"rp_only",#N/A,FALSE,"2225"}</definedName>
    <definedName name="dfgdfgd_1" hidden="1">{"rp_only",#N/A,FALSE,"2225"}</definedName>
    <definedName name="dfgdfgdf" localSheetId="10" hidden="1">{"rp_only",#N/A,FALSE,"2225"}</definedName>
    <definedName name="dfgdfgdf" hidden="1">{"rp_only",#N/A,FALSE,"2225"}</definedName>
    <definedName name="dfgdfgdf_1" localSheetId="10" hidden="1">{"rp_only",#N/A,FALSE,"2225"}</definedName>
    <definedName name="dfgdfgdf_1" hidden="1">{"rp_only",#N/A,FALSE,"2225"}</definedName>
    <definedName name="dfgdfgdfg" localSheetId="10" hidden="1">{"rp_only",#N/A,FALSE,"2225"}</definedName>
    <definedName name="dfgdfgdfg" hidden="1">{"rp_only",#N/A,FALSE,"2225"}</definedName>
    <definedName name="dfgdfgdfg_1" localSheetId="10" hidden="1">{"rp_only",#N/A,FALSE,"2225"}</definedName>
    <definedName name="dfgdfgdfg_1" hidden="1">{"rp_only",#N/A,FALSE,"2225"}</definedName>
    <definedName name="dfgdfgdfgdf" localSheetId="10" hidden="1">{"rp_only",#N/A,FALSE,"2225"}</definedName>
    <definedName name="dfgdfgdfgdf" hidden="1">{"rp_only",#N/A,FALSE,"2225"}</definedName>
    <definedName name="dfgdfgdfgdf_1" localSheetId="10" hidden="1">{"rp_only",#N/A,FALSE,"2225"}</definedName>
    <definedName name="dfgdfgdfgdf_1" hidden="1">{"rp_only",#N/A,FALSE,"2225"}</definedName>
    <definedName name="dfgdfgdfgdg" localSheetId="10" hidden="1">{"rp_only",#N/A,FALSE,"2225"}</definedName>
    <definedName name="dfgdfgdfgdg" hidden="1">{"rp_only",#N/A,FALSE,"2225"}</definedName>
    <definedName name="dfgdfgdfgdg_1" localSheetId="10" hidden="1">{"rp_only",#N/A,FALSE,"2225"}</definedName>
    <definedName name="dfgdfgdfgdg_1" hidden="1">{"rp_only",#N/A,FALSE,"2225"}</definedName>
    <definedName name="dfgdfgdgd" localSheetId="10" hidden="1">{"rp_only",#N/A,FALSE,"2225"}</definedName>
    <definedName name="dfgdfgdgd" hidden="1">{"rp_only",#N/A,FALSE,"2225"}</definedName>
    <definedName name="dfgdfgdgd_1" localSheetId="10" hidden="1">{"rp_only",#N/A,FALSE,"2225"}</definedName>
    <definedName name="dfgdfgdgd_1" hidden="1">{"rp_only",#N/A,FALSE,"2225"}</definedName>
    <definedName name="dfgdfgdgdfg" localSheetId="10" hidden="1">{"with_oth_curr",#N/A,FALSE,"2225"}</definedName>
    <definedName name="dfgdfgdgdfg" hidden="1">{"with_oth_curr",#N/A,FALSE,"2225"}</definedName>
    <definedName name="dfgdfgdgdfg_1" localSheetId="10" hidden="1">{"with_oth_curr",#N/A,FALSE,"2225"}</definedName>
    <definedName name="dfgdfgdgdfg_1" hidden="1">{"with_oth_curr",#N/A,FALSE,"2225"}</definedName>
    <definedName name="dfgdfgdgdg" localSheetId="10" hidden="1">{"with_oth_curr",#N/A,FALSE,"2225"}</definedName>
    <definedName name="dfgdfgdgdg" hidden="1">{"with_oth_curr",#N/A,FALSE,"2225"}</definedName>
    <definedName name="dfgdfgdgdg_1" localSheetId="10" hidden="1">{"with_oth_curr",#N/A,FALSE,"2225"}</definedName>
    <definedName name="dfgdfgdgdg_1" hidden="1">{"with_oth_curr",#N/A,FALSE,"2225"}</definedName>
    <definedName name="dfgdfgdgf" localSheetId="10" hidden="1">{"rp_only",#N/A,FALSE,"2225"}</definedName>
    <definedName name="dfgdfgdgf" hidden="1">{"rp_only",#N/A,FALSE,"2225"}</definedName>
    <definedName name="dfgdfgdgf_1" localSheetId="10" hidden="1">{"rp_only",#N/A,FALSE,"2225"}</definedName>
    <definedName name="dfgdfgdgf_1" hidden="1">{"rp_only",#N/A,FALSE,"2225"}</definedName>
    <definedName name="dfgdfgdgfdgf" localSheetId="10" hidden="1">{"rp_only",#N/A,FALSE,"2225"}</definedName>
    <definedName name="dfgdfgdgfdgf" hidden="1">{"rp_only",#N/A,FALSE,"2225"}</definedName>
    <definedName name="dfgdfgdgfdgf_1" localSheetId="10" hidden="1">{"rp_only",#N/A,FALSE,"2225"}</definedName>
    <definedName name="dfgdfgdgfdgf_1" hidden="1">{"rp_only",#N/A,FALSE,"2225"}</definedName>
    <definedName name="dfgdfgwereqr" localSheetId="10" hidden="1">{"rp_only",#N/A,FALSE,"2225"}</definedName>
    <definedName name="dfgdfgwereqr" hidden="1">{"rp_only",#N/A,FALSE,"2225"}</definedName>
    <definedName name="dfgdfgwereqr_1" localSheetId="10" hidden="1">{"rp_only",#N/A,FALSE,"2225"}</definedName>
    <definedName name="dfgdfgwereqr_1" hidden="1">{"rp_only",#N/A,FALSE,"2225"}</definedName>
    <definedName name="dfgdgd" localSheetId="10" hidden="1">{"with_oth_curr",#N/A,FALSE,"2225"}</definedName>
    <definedName name="dfgdgd" hidden="1">{"with_oth_curr",#N/A,FALSE,"2225"}</definedName>
    <definedName name="dfgdgd_1" localSheetId="10" hidden="1">{"with_oth_curr",#N/A,FALSE,"2225"}</definedName>
    <definedName name="dfgdgd_1" hidden="1">{"with_oth_curr",#N/A,FALSE,"2225"}</definedName>
    <definedName name="dfgdgddffg" localSheetId="10" hidden="1">{"rp_only",#N/A,FALSE,"2225"}</definedName>
    <definedName name="dfgdgddffg" hidden="1">{"rp_only",#N/A,FALSE,"2225"}</definedName>
    <definedName name="dfgdgddffg_1" localSheetId="10" hidden="1">{"rp_only",#N/A,FALSE,"2225"}</definedName>
    <definedName name="dfgdgddffg_1" hidden="1">{"rp_only",#N/A,FALSE,"2225"}</definedName>
    <definedName name="dfgdgdf" localSheetId="10" hidden="1">{"rp_only",#N/A,FALSE,"2225"}</definedName>
    <definedName name="dfgdgdf" hidden="1">{"rp_only",#N/A,FALSE,"2225"}</definedName>
    <definedName name="dfgdgdf_1" localSheetId="10" hidden="1">{"rp_only",#N/A,FALSE,"2225"}</definedName>
    <definedName name="dfgdgdf_1" hidden="1">{"rp_only",#N/A,FALSE,"2225"}</definedName>
    <definedName name="dfgdgdfgd" localSheetId="10" hidden="1">{"with_oth_curr",#N/A,FALSE,"2225"}</definedName>
    <definedName name="dfgdgdfgd" hidden="1">{"with_oth_curr",#N/A,FALSE,"2225"}</definedName>
    <definedName name="dfgdgdfgd_1" localSheetId="10" hidden="1">{"with_oth_curr",#N/A,FALSE,"2225"}</definedName>
    <definedName name="dfgdgdfgd_1" hidden="1">{"with_oth_curr",#N/A,FALSE,"2225"}</definedName>
    <definedName name="dfgdgdfgdg" localSheetId="10" hidden="1">{"rp_only",#N/A,FALSE,"2225"}</definedName>
    <definedName name="dfgdgdfgdg" hidden="1">{"rp_only",#N/A,FALSE,"2225"}</definedName>
    <definedName name="dfgdgdfgdg_1" localSheetId="10" hidden="1">{"rp_only",#N/A,FALSE,"2225"}</definedName>
    <definedName name="dfgdgdfgdg_1" hidden="1">{"rp_only",#N/A,FALSE,"2225"}</definedName>
    <definedName name="dfgdgdgd" localSheetId="10" hidden="1">{"rp_only",#N/A,FALSE,"2225"}</definedName>
    <definedName name="dfgdgdgd" hidden="1">{"rp_only",#N/A,FALSE,"2225"}</definedName>
    <definedName name="dfgdgdgd_1" localSheetId="10" hidden="1">{"rp_only",#N/A,FALSE,"2225"}</definedName>
    <definedName name="dfgdgdgd_1" hidden="1">{"rp_only",#N/A,FALSE,"2225"}</definedName>
    <definedName name="dfgdgdgf" localSheetId="10" hidden="1">{"with_oth_curr",#N/A,FALSE,"2225"}</definedName>
    <definedName name="dfgdgdgf" hidden="1">{"with_oth_curr",#N/A,FALSE,"2225"}</definedName>
    <definedName name="dfgdgdgf_1" localSheetId="10" hidden="1">{"with_oth_curr",#N/A,FALSE,"2225"}</definedName>
    <definedName name="dfgdgdgf_1" hidden="1">{"with_oth_curr",#N/A,FALSE,"2225"}</definedName>
    <definedName name="dfgdgdgfdfg" localSheetId="10" hidden="1">{"rp_only",#N/A,FALSE,"2225"}</definedName>
    <definedName name="dfgdgdgfdfg" hidden="1">{"rp_only",#N/A,FALSE,"2225"}</definedName>
    <definedName name="dfgdgdgfdfg_1" localSheetId="10" hidden="1">{"rp_only",#N/A,FALSE,"2225"}</definedName>
    <definedName name="dfgdgdgfdfg_1" hidden="1">{"rp_only",#N/A,FALSE,"2225"}</definedName>
    <definedName name="dfgdgf" localSheetId="10" hidden="1">{"rp_only",#N/A,FALSE,"2225"}</definedName>
    <definedName name="dfgdgf" hidden="1">{"rp_only",#N/A,FALSE,"2225"}</definedName>
    <definedName name="dfgdgf_1" localSheetId="10" hidden="1">{"rp_only",#N/A,FALSE,"2225"}</definedName>
    <definedName name="dfgdgf_1" hidden="1">{"rp_only",#N/A,FALSE,"2225"}</definedName>
    <definedName name="dfgdgfd" localSheetId="10" hidden="1">{"rp_only",#N/A,FALSE,"2225"}</definedName>
    <definedName name="dfgdgfd" hidden="1">{"rp_only",#N/A,FALSE,"2225"}</definedName>
    <definedName name="dfgdgfd_1" localSheetId="10" hidden="1">{"rp_only",#N/A,FALSE,"2225"}</definedName>
    <definedName name="dfgdgfd_1" hidden="1">{"rp_only",#N/A,FALSE,"2225"}</definedName>
    <definedName name="dfgdgfdf" localSheetId="10" hidden="1">{"rp_only",#N/A,FALSE,"2225"}</definedName>
    <definedName name="dfgdgfdf" hidden="1">{"rp_only",#N/A,FALSE,"2225"}</definedName>
    <definedName name="dfgdgfdf_1" localSheetId="10" hidden="1">{"rp_only",#N/A,FALSE,"2225"}</definedName>
    <definedName name="dfgdgfdf_1" hidden="1">{"rp_only",#N/A,FALSE,"2225"}</definedName>
    <definedName name="dfgdgfdfgdg" localSheetId="10" hidden="1">{"rp_only",#N/A,FALSE,"2225"}</definedName>
    <definedName name="dfgdgfdfgdg" hidden="1">{"rp_only",#N/A,FALSE,"2225"}</definedName>
    <definedName name="dfgdgfdfgdg_1" localSheetId="10" hidden="1">{"rp_only",#N/A,FALSE,"2225"}</definedName>
    <definedName name="dfgdgfdfgdg_1" hidden="1">{"rp_only",#N/A,FALSE,"2225"}</definedName>
    <definedName name="dfgdgfdg" localSheetId="10" hidden="1">{"rp_only",#N/A,FALSE,"2225"}</definedName>
    <definedName name="dfgdgfdg" hidden="1">{"rp_only",#N/A,FALSE,"2225"}</definedName>
    <definedName name="dfgdgfdg_1" localSheetId="10" hidden="1">{"rp_only",#N/A,FALSE,"2225"}</definedName>
    <definedName name="dfgdgfdg_1" hidden="1">{"rp_only",#N/A,FALSE,"2225"}</definedName>
    <definedName name="dfgdggd" localSheetId="10" hidden="1">{"rp_only",#N/A,FALSE,"2225"}</definedName>
    <definedName name="dfgdggd" hidden="1">{"rp_only",#N/A,FALSE,"2225"}</definedName>
    <definedName name="dfgdggd_1" localSheetId="10" hidden="1">{"rp_only",#N/A,FALSE,"2225"}</definedName>
    <definedName name="dfgdggd_1" hidden="1">{"rp_only",#N/A,FALSE,"2225"}</definedName>
    <definedName name="DFGDSFFG" localSheetId="10" hidden="1">{"rp_only",#N/A,FALSE,"2225"}</definedName>
    <definedName name="DFGDSFFG" hidden="1">{"rp_only",#N/A,FALSE,"2225"}</definedName>
    <definedName name="DFGDSFFG_1" localSheetId="10" hidden="1">{"rp_only",#N/A,FALSE,"2225"}</definedName>
    <definedName name="DFGDSFFG_1" hidden="1">{"rp_only",#N/A,FALSE,"2225"}</definedName>
    <definedName name="DFGDSFGDSGFFDG" localSheetId="10" hidden="1">{"rp_only",#N/A,FALSE,"2225"}</definedName>
    <definedName name="DFGDSFGDSGFFDG" hidden="1">{"rp_only",#N/A,FALSE,"2225"}</definedName>
    <definedName name="DFGDSFGDSGFFDG_1" localSheetId="10" hidden="1">{"rp_only",#N/A,FALSE,"2225"}</definedName>
    <definedName name="DFGDSFGDSGFFDG_1" hidden="1">{"rp_only",#N/A,FALSE,"2225"}</definedName>
    <definedName name="dfgfdf" localSheetId="10" hidden="1">{"rp_only",#N/A,FALSE,"2225"}</definedName>
    <definedName name="dfgfdf" hidden="1">{"rp_only",#N/A,FALSE,"2225"}</definedName>
    <definedName name="dfgfdf_1" localSheetId="10" hidden="1">{"rp_only",#N/A,FALSE,"2225"}</definedName>
    <definedName name="dfgfdf_1" hidden="1">{"rp_only",#N/A,FALSE,"2225"}</definedName>
    <definedName name="dfgfdgg" localSheetId="10" hidden="1">{"with_oth_curr",#N/A,FALSE,"2225"}</definedName>
    <definedName name="dfgfdgg" hidden="1">{"with_oth_curr",#N/A,FALSE,"2225"}</definedName>
    <definedName name="dfgfdgg_1" localSheetId="10" hidden="1">{"with_oth_curr",#N/A,FALSE,"2225"}</definedName>
    <definedName name="dfgfdgg_1" hidden="1">{"with_oth_curr",#N/A,FALSE,"2225"}</definedName>
    <definedName name="dfgfg" localSheetId="10" hidden="1">{"with_oth_curr",#N/A,FALSE,"2225"}</definedName>
    <definedName name="dfgfg" hidden="1">{"with_oth_curr",#N/A,FALSE,"2225"}</definedName>
    <definedName name="dfgfg_1" localSheetId="10" hidden="1">{"with_oth_curr",#N/A,FALSE,"2225"}</definedName>
    <definedName name="dfgfg_1" hidden="1">{"with_oth_curr",#N/A,FALSE,"2225"}</definedName>
    <definedName name="dfgg" localSheetId="10" hidden="1">{"rp_only",#N/A,FALSE,"2225"}</definedName>
    <definedName name="dfgg" hidden="1">{"rp_only",#N/A,FALSE,"2225"}</definedName>
    <definedName name="dfgg_1" localSheetId="10" hidden="1">{"rp_only",#N/A,FALSE,"2225"}</definedName>
    <definedName name="dfgg_1" hidden="1">{"rp_only",#N/A,FALSE,"2225"}</definedName>
    <definedName name="dfggf" localSheetId="10" hidden="1">{"rp_only",#N/A,FALSE,"2225"}</definedName>
    <definedName name="dfggf" hidden="1">{"rp_only",#N/A,FALSE,"2225"}</definedName>
    <definedName name="dfggf_1" localSheetId="10" hidden="1">{"rp_only",#N/A,FALSE,"2225"}</definedName>
    <definedName name="dfggf_1" hidden="1">{"rp_only",#N/A,FALSE,"2225"}</definedName>
    <definedName name="dfghdfhfd" localSheetId="10" hidden="1">{"rp_only",#N/A,FALSE,"2225"}</definedName>
    <definedName name="dfghdfhfd" hidden="1">{"rp_only",#N/A,FALSE,"2225"}</definedName>
    <definedName name="dfghdfhfd_1" localSheetId="10" hidden="1">{"rp_only",#N/A,FALSE,"2225"}</definedName>
    <definedName name="dfghdfhfd_1" hidden="1">{"rp_only",#N/A,FALSE,"2225"}</definedName>
    <definedName name="dfghfdghfgh" localSheetId="10" hidden="1">{"rp_only",#N/A,FALSE,"2225"}</definedName>
    <definedName name="dfghfdghfgh" hidden="1">{"rp_only",#N/A,FALSE,"2225"}</definedName>
    <definedName name="dfghfdghfgh_1" localSheetId="10" hidden="1">{"rp_only",#N/A,FALSE,"2225"}</definedName>
    <definedName name="dfghfdghfgh_1" hidden="1">{"rp_only",#N/A,FALSE,"2225"}</definedName>
    <definedName name="dfghj" localSheetId="10" hidden="1">{#N/A,#N/A,FALSE,"Aging Summary";#N/A,#N/A,FALSE,"Ratio Analysis";#N/A,#N/A,FALSE,"Test 120 Day Accts";#N/A,#N/A,FALSE,"Tickmarks"}</definedName>
    <definedName name="dfghj" hidden="1">{#N/A,#N/A,FALSE,"Aging Summary";#N/A,#N/A,FALSE,"Ratio Analysis";#N/A,#N/A,FALSE,"Test 120 Day Accts";#N/A,#N/A,FALSE,"Tickmarks"}</definedName>
    <definedName name="dfh" localSheetId="10" hidden="1">{#N/A,#N/A,FALSE,"特殊室（ＢＱ表）"}</definedName>
    <definedName name="dfh" hidden="1">{#N/A,#N/A,FALSE,"特殊室（ＢＱ表）"}</definedName>
    <definedName name="dfhcvbcb" localSheetId="10" hidden="1">{"rp_only",#N/A,FALSE,"2225"}</definedName>
    <definedName name="dfhcvbcb" hidden="1">{"rp_only",#N/A,FALSE,"2225"}</definedName>
    <definedName name="dfhcvbcb_1" localSheetId="10" hidden="1">{"rp_only",#N/A,FALSE,"2225"}</definedName>
    <definedName name="dfhcvbcb_1" hidden="1">{"rp_only",#N/A,FALSE,"2225"}</definedName>
    <definedName name="dfhdh" hidden="1">#REF!</definedName>
    <definedName name="dfhfhdh" localSheetId="10" hidden="1">{"'ตัวอย่าง'!$A$1:$O$21"}</definedName>
    <definedName name="dfhfhdh" hidden="1">{"'ตัวอย่าง'!$A$1:$O$21"}</definedName>
    <definedName name="dfsa" localSheetId="10" hidden="1">{"rp_only",#N/A,FALSE,"2225"}</definedName>
    <definedName name="dfsa" hidden="1">{"rp_only",#N/A,FALSE,"2225"}</definedName>
    <definedName name="dfsa_1" localSheetId="10" hidden="1">{"rp_only",#N/A,FALSE,"2225"}</definedName>
    <definedName name="dfsa_1" hidden="1">{"rp_only",#N/A,FALSE,"2225"}</definedName>
    <definedName name="dfsaadfsdfsafsdafsda" localSheetId="10" hidden="1">{"rp_only",#N/A,FALSE,"2225"}</definedName>
    <definedName name="dfsaadfsdfsafsdafsda" hidden="1">{"rp_only",#N/A,FALSE,"2225"}</definedName>
    <definedName name="dfsaadfsdfsafsdafsda_1" localSheetId="10" hidden="1">{"rp_only",#N/A,FALSE,"2225"}</definedName>
    <definedName name="dfsaadfsdfsafsdafsda_1" hidden="1">{"rp_only",#N/A,FALSE,"2225"}</definedName>
    <definedName name="dfsadf" localSheetId="10" hidden="1">{"rp_only",#N/A,FALSE,"2225"}</definedName>
    <definedName name="dfsadf" hidden="1">{"rp_only",#N/A,FALSE,"2225"}</definedName>
    <definedName name="dfsadf_1" localSheetId="10" hidden="1">{"rp_only",#N/A,FALSE,"2225"}</definedName>
    <definedName name="dfsadf_1" hidden="1">{"rp_only",#N/A,FALSE,"2225"}</definedName>
    <definedName name="dfsadsfadfsadasf" localSheetId="10" hidden="1">{"with_oth_curr",#N/A,FALSE,"2225"}</definedName>
    <definedName name="dfsadsfadfsadasf" hidden="1">{"with_oth_curr",#N/A,FALSE,"2225"}</definedName>
    <definedName name="dfsadsfadfsadasf_1" localSheetId="10" hidden="1">{"with_oth_curr",#N/A,FALSE,"2225"}</definedName>
    <definedName name="dfsadsfadfsadasf_1" hidden="1">{"with_oth_curr",#N/A,FALSE,"2225"}</definedName>
    <definedName name="dfsadsfdfsa" localSheetId="10" hidden="1">{"rp_only",#N/A,FALSE,"2225"}</definedName>
    <definedName name="dfsadsfdfsa" hidden="1">{"rp_only",#N/A,FALSE,"2225"}</definedName>
    <definedName name="dfsadsfdfsa_1" localSheetId="10" hidden="1">{"rp_only",#N/A,FALSE,"2225"}</definedName>
    <definedName name="dfsadsfdfsa_1" hidden="1">{"rp_only",#N/A,FALSE,"2225"}</definedName>
    <definedName name="dfsafasdfds" localSheetId="10" hidden="1">{"with_oth_curr",#N/A,FALSE,"2225"}</definedName>
    <definedName name="dfsafasdfds" hidden="1">{"with_oth_curr",#N/A,FALSE,"2225"}</definedName>
    <definedName name="dfsafasdfds_1" localSheetId="10" hidden="1">{"with_oth_curr",#N/A,FALSE,"2225"}</definedName>
    <definedName name="dfsafasdfds_1" hidden="1">{"with_oth_curr",#N/A,FALSE,"2225"}</definedName>
    <definedName name="dfsafdsafdsa" localSheetId="10" hidden="1">{"rp_only",#N/A,FALSE,"2225"}</definedName>
    <definedName name="dfsafdsafdsa" hidden="1">{"rp_only",#N/A,FALSE,"2225"}</definedName>
    <definedName name="dfsafdsafdsa_1" localSheetId="10" hidden="1">{"rp_only",#N/A,FALSE,"2225"}</definedName>
    <definedName name="dfsafdsafdsa_1" hidden="1">{"rp_only",#N/A,FALSE,"2225"}</definedName>
    <definedName name="dfsafdsfds" localSheetId="10" hidden="1">{"with_oth_curr",#N/A,FALSE,"2225"}</definedName>
    <definedName name="dfsafdsfds" hidden="1">{"with_oth_curr",#N/A,FALSE,"2225"}</definedName>
    <definedName name="dfsafdsfds_1" localSheetId="10" hidden="1">{"with_oth_curr",#N/A,FALSE,"2225"}</definedName>
    <definedName name="dfsafdsfds_1" hidden="1">{"with_oth_curr",#N/A,FALSE,"2225"}</definedName>
    <definedName name="dfsafgff" localSheetId="10" hidden="1">{"with_oth_curr",#N/A,FALSE,"2225"}</definedName>
    <definedName name="dfsafgff" hidden="1">{"with_oth_curr",#N/A,FALSE,"2225"}</definedName>
    <definedName name="dfsafgff_1" localSheetId="10" hidden="1">{"with_oth_curr",#N/A,FALSE,"2225"}</definedName>
    <definedName name="dfsafgff_1" hidden="1">{"with_oth_curr",#N/A,FALSE,"2225"}</definedName>
    <definedName name="dfsafsdafdsfds" localSheetId="10" hidden="1">{"with_oth_curr",#N/A,FALSE,"2225"}</definedName>
    <definedName name="dfsafsdafdsfds" hidden="1">{"with_oth_curr",#N/A,FALSE,"2225"}</definedName>
    <definedName name="dfsafsdafdsfds_1" localSheetId="10" hidden="1">{"with_oth_curr",#N/A,FALSE,"2225"}</definedName>
    <definedName name="dfsafsdafdsfds_1" hidden="1">{"with_oth_curr",#N/A,FALSE,"2225"}</definedName>
    <definedName name="dfsafsddsaf" localSheetId="10" hidden="1">{"with_oth_curr",#N/A,FALSE,"2225"}</definedName>
    <definedName name="dfsafsddsaf" hidden="1">{"with_oth_curr",#N/A,FALSE,"2225"}</definedName>
    <definedName name="dfsafsddsaf_1" localSheetId="10" hidden="1">{"with_oth_curr",#N/A,FALSE,"2225"}</definedName>
    <definedName name="dfsafsddsaf_1" hidden="1">{"with_oth_curr",#N/A,FALSE,"2225"}</definedName>
    <definedName name="dfsdfs" localSheetId="10" hidden="1">{"rp_only",#N/A,FALSE,"2225"}</definedName>
    <definedName name="dfsdfs" hidden="1">{"rp_only",#N/A,FALSE,"2225"}</definedName>
    <definedName name="dfsdfs_1" localSheetId="10" hidden="1">{"rp_only",#N/A,FALSE,"2225"}</definedName>
    <definedName name="dfsdfs_1" hidden="1">{"rp_only",#N/A,FALSE,"2225"}</definedName>
    <definedName name="dfsdfsafdsa" localSheetId="10" hidden="1">{"rp_only",#N/A,FALSE,"2225"}</definedName>
    <definedName name="dfsdfsafdsa" hidden="1">{"rp_only",#N/A,FALSE,"2225"}</definedName>
    <definedName name="dfsdfsafdsa_1" localSheetId="10" hidden="1">{"rp_only",#N/A,FALSE,"2225"}</definedName>
    <definedName name="dfsdfsafdsa_1" hidden="1">{"rp_only",#N/A,FALSE,"2225"}</definedName>
    <definedName name="dfsdfsafdsadasffads" localSheetId="10" hidden="1">{"rp_only",#N/A,FALSE,"2225"}</definedName>
    <definedName name="dfsdfsafdsadasffads" hidden="1">{"rp_only",#N/A,FALSE,"2225"}</definedName>
    <definedName name="dfsdfsafdsadasffads_1" localSheetId="10" hidden="1">{"rp_only",#N/A,FALSE,"2225"}</definedName>
    <definedName name="dfsdfsafdsadasffads_1" hidden="1">{"rp_only",#N/A,FALSE,"2225"}</definedName>
    <definedName name="dfsdfsd" localSheetId="10" hidden="1">{"rp_only",#N/A,FALSE,"2225"}</definedName>
    <definedName name="dfsdfsd" hidden="1">{"rp_only",#N/A,FALSE,"2225"}</definedName>
    <definedName name="dfsdfsd_1" localSheetId="10" hidden="1">{"rp_only",#N/A,FALSE,"2225"}</definedName>
    <definedName name="dfsdfsd_1" hidden="1">{"rp_only",#N/A,FALSE,"2225"}</definedName>
    <definedName name="dfsdfsdf" localSheetId="10" hidden="1">{"rp_only",#N/A,FALSE,"2225"}</definedName>
    <definedName name="dfsdfsdf" hidden="1">{"rp_only",#N/A,FALSE,"2225"}</definedName>
    <definedName name="dfsdfsdf_1" localSheetId="10" hidden="1">{"rp_only",#N/A,FALSE,"2225"}</definedName>
    <definedName name="dfsdfsdf_1" hidden="1">{"rp_only",#N/A,FALSE,"2225"}</definedName>
    <definedName name="dfsdfsdfs" localSheetId="10" hidden="1">{"rp_only",#N/A,FALSE,"2225"}</definedName>
    <definedName name="dfsdfsdfs" hidden="1">{"rp_only",#N/A,FALSE,"2225"}</definedName>
    <definedName name="dfsdfsdfs_1" localSheetId="10" hidden="1">{"rp_only",#N/A,FALSE,"2225"}</definedName>
    <definedName name="dfsdfsdfs_1" hidden="1">{"rp_only",#N/A,FALSE,"2225"}</definedName>
    <definedName name="dfsdfsdfsdfsfsd" localSheetId="10" hidden="1">{"with_oth_curr",#N/A,FALSE,"2225"}</definedName>
    <definedName name="dfsdfsdfsdfsfsd" hidden="1">{"with_oth_curr",#N/A,FALSE,"2225"}</definedName>
    <definedName name="dfsdfsdfsdfsfsd_1" localSheetId="10" hidden="1">{"with_oth_curr",#N/A,FALSE,"2225"}</definedName>
    <definedName name="dfsdfsdfsdfsfsd_1" hidden="1">{"with_oth_curr",#N/A,FALSE,"2225"}</definedName>
    <definedName name="dfsdfsfdsfdsadfs" localSheetId="10" hidden="1">{"with_oth_curr",#N/A,FALSE,"2225"}</definedName>
    <definedName name="dfsdfsfdsfdsadfs" hidden="1">{"with_oth_curr",#N/A,FALSE,"2225"}</definedName>
    <definedName name="dfsdfsfdsfdsadfs_1" localSheetId="10" hidden="1">{"with_oth_curr",#N/A,FALSE,"2225"}</definedName>
    <definedName name="dfsdfsfdsfdsadfs_1" hidden="1">{"with_oth_curr",#N/A,FALSE,"2225"}</definedName>
    <definedName name="dfsdfsfs" localSheetId="10" hidden="1">{"with_oth_curr",#N/A,FALSE,"2225"}</definedName>
    <definedName name="dfsdfsfs" hidden="1">{"with_oth_curr",#N/A,FALSE,"2225"}</definedName>
    <definedName name="dfsdfsfs_1" localSheetId="10" hidden="1">{"with_oth_curr",#N/A,FALSE,"2225"}</definedName>
    <definedName name="dfsdfsfs_1" hidden="1">{"with_oth_curr",#N/A,FALSE,"2225"}</definedName>
    <definedName name="dfsdfsfsf" localSheetId="10" hidden="1">{"with_oth_curr",#N/A,FALSE,"2225"}</definedName>
    <definedName name="dfsdfsfsf" hidden="1">{"with_oth_curr",#N/A,FALSE,"2225"}</definedName>
    <definedName name="dfsdfsfsf_1" localSheetId="10" hidden="1">{"with_oth_curr",#N/A,FALSE,"2225"}</definedName>
    <definedName name="dfsdfsfsf_1" hidden="1">{"with_oth_curr",#N/A,FALSE,"2225"}</definedName>
    <definedName name="DFSF" localSheetId="10" hidden="1">{#N/A,#N/A,FALSE,"特殊室（ＢＱ表）"}</definedName>
    <definedName name="DFSF" hidden="1">{#N/A,#N/A,FALSE,"特殊室（ＢＱ表）"}</definedName>
    <definedName name="dfsfdfds" localSheetId="10" hidden="1">{"rp_only",#N/A,FALSE,"2225"}</definedName>
    <definedName name="dfsfdfds" hidden="1">{"rp_only",#N/A,FALSE,"2225"}</definedName>
    <definedName name="dfsfdfds_1" localSheetId="10" hidden="1">{"rp_only",#N/A,FALSE,"2225"}</definedName>
    <definedName name="dfsfdfds_1" hidden="1">{"rp_only",#N/A,FALSE,"2225"}</definedName>
    <definedName name="dfsfds" localSheetId="10" hidden="1">{"with_oth_curr",#N/A,FALSE,"2225"}</definedName>
    <definedName name="dfsfds" hidden="1">{"with_oth_curr",#N/A,FALSE,"2225"}</definedName>
    <definedName name="dfsfds_1" localSheetId="10" hidden="1">{"with_oth_curr",#N/A,FALSE,"2225"}</definedName>
    <definedName name="dfsfds_1" hidden="1">{"with_oth_curr",#N/A,FALSE,"2225"}</definedName>
    <definedName name="dfsfdsadfa" localSheetId="10" hidden="1">{"rp_only",#N/A,FALSE,"2225"}</definedName>
    <definedName name="dfsfdsadfa" hidden="1">{"rp_only",#N/A,FALSE,"2225"}</definedName>
    <definedName name="dfsfdsadfa_1" localSheetId="10" hidden="1">{"rp_only",#N/A,FALSE,"2225"}</definedName>
    <definedName name="dfsfdsadfa_1" hidden="1">{"rp_only",#N/A,FALSE,"2225"}</definedName>
    <definedName name="dfsfdsadffdsfdsfdas" localSheetId="10" hidden="1">{"with_oth_curr",#N/A,FALSE,"2225"}</definedName>
    <definedName name="dfsfdsadffdsfdsfdas" hidden="1">{"with_oth_curr",#N/A,FALSE,"2225"}</definedName>
    <definedName name="dfsfdsadffdsfdsfdas_1" localSheetId="10" hidden="1">{"with_oth_curr",#N/A,FALSE,"2225"}</definedName>
    <definedName name="dfsfdsadffdsfdsfdas_1" hidden="1">{"with_oth_curr",#N/A,FALSE,"2225"}</definedName>
    <definedName name="dfsfdsafdsfdssdfa" localSheetId="10" hidden="1">{"with_oth_curr",#N/A,FALSE,"2225"}</definedName>
    <definedName name="dfsfdsafdsfdssdfa" hidden="1">{"with_oth_curr",#N/A,FALSE,"2225"}</definedName>
    <definedName name="dfsfdsafdsfdssdfa_1" localSheetId="10" hidden="1">{"with_oth_curr",#N/A,FALSE,"2225"}</definedName>
    <definedName name="dfsfdsafdsfdssdfa_1" hidden="1">{"with_oth_curr",#N/A,FALSE,"2225"}</definedName>
    <definedName name="dfsfdsafes" localSheetId="10" hidden="1">{"with_oth_curr",#N/A,FALSE,"2225"}</definedName>
    <definedName name="dfsfdsafes" hidden="1">{"with_oth_curr",#N/A,FALSE,"2225"}</definedName>
    <definedName name="dfsfdsafes_1" localSheetId="10" hidden="1">{"with_oth_curr",#N/A,FALSE,"2225"}</definedName>
    <definedName name="dfsfdsafes_1" hidden="1">{"with_oth_curr",#N/A,FALSE,"2225"}</definedName>
    <definedName name="dfsfdsafsdadfsdfasa" localSheetId="10" hidden="1">{"rp_only",#N/A,FALSE,"2225"}</definedName>
    <definedName name="dfsfdsafsdadfsdfasa" hidden="1">{"rp_only",#N/A,FALSE,"2225"}</definedName>
    <definedName name="dfsfdsafsdadfsdfasa_1" localSheetId="10" hidden="1">{"rp_only",#N/A,FALSE,"2225"}</definedName>
    <definedName name="dfsfdsafsdadfsdfasa_1" hidden="1">{"rp_only",#N/A,FALSE,"2225"}</definedName>
    <definedName name="dfsfdsdffd" localSheetId="10" hidden="1">{"rp_only",#N/A,FALSE,"2225"}</definedName>
    <definedName name="dfsfdsdffd" hidden="1">{"rp_only",#N/A,FALSE,"2225"}</definedName>
    <definedName name="dfsfdsdffd_1" localSheetId="10" hidden="1">{"rp_only",#N/A,FALSE,"2225"}</definedName>
    <definedName name="dfsfdsdffd_1" hidden="1">{"rp_only",#N/A,FALSE,"2225"}</definedName>
    <definedName name="dfsfdsdfs" localSheetId="10" hidden="1">{"with_oth_curr",#N/A,FALSE,"2225"}</definedName>
    <definedName name="dfsfdsdfs" hidden="1">{"with_oth_curr",#N/A,FALSE,"2225"}</definedName>
    <definedName name="dfsfdsdfs_1" localSheetId="10" hidden="1">{"with_oth_curr",#N/A,FALSE,"2225"}</definedName>
    <definedName name="dfsfdsdfs_1" hidden="1">{"with_oth_curr",#N/A,FALSE,"2225"}</definedName>
    <definedName name="dfsfdsfds" localSheetId="10" hidden="1">{"with_oth_curr",#N/A,FALSE,"2225"}</definedName>
    <definedName name="dfsfdsfds" hidden="1">{"with_oth_curr",#N/A,FALSE,"2225"}</definedName>
    <definedName name="dfsfdsfds_1" localSheetId="10" hidden="1">{"with_oth_curr",#N/A,FALSE,"2225"}</definedName>
    <definedName name="dfsfdsfds_1" hidden="1">{"with_oth_curr",#N/A,FALSE,"2225"}</definedName>
    <definedName name="dfsfdsfdsfgbvcxv" localSheetId="10" hidden="1">{"rp_only",#N/A,FALSE,"2225"}</definedName>
    <definedName name="dfsfdsfdsfgbvcxv" hidden="1">{"rp_only",#N/A,FALSE,"2225"}</definedName>
    <definedName name="dfsfdsfdsfgbvcxv_1" localSheetId="10" hidden="1">{"rp_only",#N/A,FALSE,"2225"}</definedName>
    <definedName name="dfsfdsfdsfgbvcxv_1" hidden="1">{"rp_only",#N/A,FALSE,"2225"}</definedName>
    <definedName name="dfsfdsfgvcxz" localSheetId="10" hidden="1">{"with_oth_curr",#N/A,FALSE,"2225"}</definedName>
    <definedName name="dfsfdsfgvcxz" hidden="1">{"with_oth_curr",#N/A,FALSE,"2225"}</definedName>
    <definedName name="dfsfdsfgvcxz_1" localSheetId="10" hidden="1">{"with_oth_curr",#N/A,FALSE,"2225"}</definedName>
    <definedName name="dfsfdsfgvcxz_1" hidden="1">{"with_oth_curr",#N/A,FALSE,"2225"}</definedName>
    <definedName name="dfsff" localSheetId="10" hidden="1">{"rp_only",#N/A,FALSE,"2225"}</definedName>
    <definedName name="dfsff" hidden="1">{"rp_only",#N/A,FALSE,"2225"}</definedName>
    <definedName name="dfsff_1" localSheetId="10" hidden="1">{"rp_only",#N/A,FALSE,"2225"}</definedName>
    <definedName name="dfsff_1" hidden="1">{"rp_only",#N/A,FALSE,"2225"}</definedName>
    <definedName name="dfsffds" localSheetId="10" hidden="1">{"rp_only",#N/A,FALSE,"2225"}</definedName>
    <definedName name="dfsffds" hidden="1">{"rp_only",#N/A,FALSE,"2225"}</definedName>
    <definedName name="dfsffds_1" localSheetId="10" hidden="1">{"rp_only",#N/A,FALSE,"2225"}</definedName>
    <definedName name="dfsffds_1" hidden="1">{"rp_only",#N/A,FALSE,"2225"}</definedName>
    <definedName name="dfsffsf" localSheetId="10" hidden="1">{"with_oth_curr",#N/A,FALSE,"2225"}</definedName>
    <definedName name="dfsffsf" hidden="1">{"with_oth_curr",#N/A,FALSE,"2225"}</definedName>
    <definedName name="dfsffsf_1" localSheetId="10" hidden="1">{"with_oth_curr",#N/A,FALSE,"2225"}</definedName>
    <definedName name="dfsffsf_1" hidden="1">{"with_oth_curr",#N/A,FALSE,"2225"}</definedName>
    <definedName name="dfsfs" localSheetId="10" hidden="1">{"rp_only",#N/A,FALSE,"2225"}</definedName>
    <definedName name="dfsfs" hidden="1">{"rp_only",#N/A,FALSE,"2225"}</definedName>
    <definedName name="dfsfs_1" localSheetId="10" hidden="1">{"rp_only",#N/A,FALSE,"2225"}</definedName>
    <definedName name="dfsfs_1" hidden="1">{"rp_only",#N/A,FALSE,"2225"}</definedName>
    <definedName name="dfsfsdafsdafdsfdsa" localSheetId="10" hidden="1">{"with_oth_curr",#N/A,FALSE,"2225"}</definedName>
    <definedName name="dfsfsdafsdafdsfdsa" hidden="1">{"with_oth_curr",#N/A,FALSE,"2225"}</definedName>
    <definedName name="dfsfsdafsdafdsfdsa_1" localSheetId="10" hidden="1">{"with_oth_curr",#N/A,FALSE,"2225"}</definedName>
    <definedName name="dfsfsdafsdafdsfdsa_1" hidden="1">{"with_oth_curr",#N/A,FALSE,"2225"}</definedName>
    <definedName name="dfsfsdasfdfsdfdsa" localSheetId="10" hidden="1">{"with_oth_curr",#N/A,FALSE,"2225"}</definedName>
    <definedName name="dfsfsdasfdfsdfdsa" hidden="1">{"with_oth_curr",#N/A,FALSE,"2225"}</definedName>
    <definedName name="dfsfsdasfdfsdfdsa_1" localSheetId="10" hidden="1">{"with_oth_curr",#N/A,FALSE,"2225"}</definedName>
    <definedName name="dfsfsdasfdfsdfdsa_1" hidden="1">{"with_oth_curr",#N/A,FALSE,"2225"}</definedName>
    <definedName name="dfsfsddfsfdsdvs" localSheetId="10" hidden="1">{"rp_only",#N/A,FALSE,"2225"}</definedName>
    <definedName name="dfsfsddfsfdsdvs" hidden="1">{"rp_only",#N/A,FALSE,"2225"}</definedName>
    <definedName name="dfsfsddfsfdsdvs_1" localSheetId="10" hidden="1">{"rp_only",#N/A,FALSE,"2225"}</definedName>
    <definedName name="dfsfsddfsfdsdvs_1" hidden="1">{"rp_only",#N/A,FALSE,"2225"}</definedName>
    <definedName name="dfsfsdf" localSheetId="10" hidden="1">{"with_oth_curr",#N/A,FALSE,"2225"}</definedName>
    <definedName name="dfsfsdf" hidden="1">{"with_oth_curr",#N/A,FALSE,"2225"}</definedName>
    <definedName name="dfsfsdf_1" localSheetId="10" hidden="1">{"with_oth_curr",#N/A,FALSE,"2225"}</definedName>
    <definedName name="dfsfsdf_1" hidden="1">{"with_oth_curr",#N/A,FALSE,"2225"}</definedName>
    <definedName name="dfsfsdfsf" localSheetId="10" hidden="1">{"rp_only",#N/A,FALSE,"2225"}</definedName>
    <definedName name="dfsfsdfsf" hidden="1">{"rp_only",#N/A,FALSE,"2225"}</definedName>
    <definedName name="dfsfsdfsf_1" localSheetId="10" hidden="1">{"rp_only",#N/A,FALSE,"2225"}</definedName>
    <definedName name="dfsfsdfsf_1" hidden="1">{"rp_only",#N/A,FALSE,"2225"}</definedName>
    <definedName name="dfsfsdfsfs" localSheetId="10" hidden="1">{"rp_only",#N/A,FALSE,"2225"}</definedName>
    <definedName name="dfsfsdfsfs" hidden="1">{"rp_only",#N/A,FALSE,"2225"}</definedName>
    <definedName name="dfsfsdfsfs_1" localSheetId="10" hidden="1">{"rp_only",#N/A,FALSE,"2225"}</definedName>
    <definedName name="dfsfsdfsfs_1" hidden="1">{"rp_only",#N/A,FALSE,"2225"}</definedName>
    <definedName name="dfsfsf" localSheetId="10" hidden="1">{"with_oth_curr",#N/A,FALSE,"2225"}</definedName>
    <definedName name="dfsfsf" hidden="1">{"with_oth_curr",#N/A,FALSE,"2225"}</definedName>
    <definedName name="dfsfsf_1" localSheetId="10" hidden="1">{"with_oth_curr",#N/A,FALSE,"2225"}</definedName>
    <definedName name="dfsfsf_1" hidden="1">{"with_oth_curr",#N/A,FALSE,"2225"}</definedName>
    <definedName name="dfsfsfsdfs" localSheetId="10" hidden="1">{"rp_only",#N/A,FALSE,"2225"}</definedName>
    <definedName name="dfsfsfsdfs" hidden="1">{"rp_only",#N/A,FALSE,"2225"}</definedName>
    <definedName name="dfsfsfsdfs_1" localSheetId="10" hidden="1">{"rp_only",#N/A,FALSE,"2225"}</definedName>
    <definedName name="dfsfsfsdfs_1" hidden="1">{"rp_only",#N/A,FALSE,"2225"}</definedName>
    <definedName name="dfsgsd" localSheetId="10" hidden="1">{"rp_only",#N/A,FALSE,"2225"}</definedName>
    <definedName name="dfsgsd" hidden="1">{"rp_only",#N/A,FALSE,"2225"}</definedName>
    <definedName name="dfsgsd_1" localSheetId="10" hidden="1">{"rp_only",#N/A,FALSE,"2225"}</definedName>
    <definedName name="dfsgsd_1" hidden="1">{"rp_only",#N/A,FALSE,"2225"}</definedName>
    <definedName name="DFSGSDFSDF" localSheetId="10" hidden="1">{"rp_only",#N/A,FALSE,"2225"}</definedName>
    <definedName name="DFSGSDFSDF" hidden="1">{"rp_only",#N/A,FALSE,"2225"}</definedName>
    <definedName name="DFSGSDFSDF_1" localSheetId="10" hidden="1">{"rp_only",#N/A,FALSE,"2225"}</definedName>
    <definedName name="DFSGSDFSDF_1" hidden="1">{"rp_only",#N/A,FALSE,"2225"}</definedName>
    <definedName name="DFSGSDGFDGDF" localSheetId="10" hidden="1">{"with_oth_curr",#N/A,FALSE,"2225"}</definedName>
    <definedName name="DFSGSDGFDGDF" hidden="1">{"with_oth_curr",#N/A,FALSE,"2225"}</definedName>
    <definedName name="DFSGSDGFDGDF_1" localSheetId="10" hidden="1">{"with_oth_curr",#N/A,FALSE,"2225"}</definedName>
    <definedName name="DFSGSDGFDGDF_1" hidden="1">{"with_oth_curr",#N/A,FALSE,"2225"}</definedName>
    <definedName name="dfssadfsadgf" localSheetId="10" hidden="1">{"rp_only",#N/A,FALSE,"2225"}</definedName>
    <definedName name="dfssadfsadgf" hidden="1">{"rp_only",#N/A,FALSE,"2225"}</definedName>
    <definedName name="dfssadfsadgf_1" localSheetId="10" hidden="1">{"rp_only",#N/A,FALSE,"2225"}</definedName>
    <definedName name="dfssadfsadgf_1" hidden="1">{"rp_only",#N/A,FALSE,"2225"}</definedName>
    <definedName name="dfssdffdsfds" localSheetId="10" hidden="1">{"rp_only",#N/A,FALSE,"2225"}</definedName>
    <definedName name="dfssdffdsfds" hidden="1">{"rp_only",#N/A,FALSE,"2225"}</definedName>
    <definedName name="dfssdffdsfds_1" localSheetId="10" hidden="1">{"rp_only",#N/A,FALSE,"2225"}</definedName>
    <definedName name="dfssdffdsfds_1" hidden="1">{"rp_only",#N/A,FALSE,"2225"}</definedName>
    <definedName name="dfssfd" localSheetId="10" hidden="1">{"rp_only",#N/A,FALSE,"2225"}</definedName>
    <definedName name="dfssfd" hidden="1">{"rp_only",#N/A,FALSE,"2225"}</definedName>
    <definedName name="dfssfd_1" localSheetId="10" hidden="1">{"rp_only",#N/A,FALSE,"2225"}</definedName>
    <definedName name="dfssfd_1" hidden="1">{"rp_only",#N/A,FALSE,"2225"}</definedName>
    <definedName name="dfssfsdfs" localSheetId="10" hidden="1">{"with_oth_curr",#N/A,FALSE,"2225"}</definedName>
    <definedName name="dfssfsdfs" hidden="1">{"with_oth_curr",#N/A,FALSE,"2225"}</definedName>
    <definedName name="dfssfsdfs_1" localSheetId="10" hidden="1">{"with_oth_curr",#N/A,FALSE,"2225"}</definedName>
    <definedName name="dfssfsdfs_1" hidden="1">{"with_oth_curr",#N/A,FALSE,"2225"}</definedName>
    <definedName name="DFST0405">#REF!</definedName>
    <definedName name="dfxgdfgdfg" localSheetId="10" hidden="1">{"with_oth_curr",#N/A,FALSE,"2225"}</definedName>
    <definedName name="dfxgdfgdfg" hidden="1">{"with_oth_curr",#N/A,FALSE,"2225"}</definedName>
    <definedName name="dfxgdfgdfg_1" localSheetId="10" hidden="1">{"with_oth_curr",#N/A,FALSE,"2225"}</definedName>
    <definedName name="dfxgdfgdfg_1" hidden="1">{"with_oth_curr",#N/A,FALSE,"2225"}</definedName>
    <definedName name="dfxvxcvxcv" localSheetId="10" hidden="1">{"rp_only",#N/A,FALSE,"2225"}</definedName>
    <definedName name="dfxvxcvxcv" hidden="1">{"rp_only",#N/A,FALSE,"2225"}</definedName>
    <definedName name="dfxvxcvxcv_1" localSheetId="10" hidden="1">{"rp_only",#N/A,FALSE,"2225"}</definedName>
    <definedName name="dfxvxcvxcv_1" hidden="1">{"rp_only",#N/A,FALSE,"2225"}</definedName>
    <definedName name="dg">#REF!</definedName>
    <definedName name="DGBBHop">#REF!</definedName>
    <definedName name="DGCTI592">#REF!</definedName>
    <definedName name="dgdfg" localSheetId="10" hidden="1">{"rp_only",#N/A,FALSE,"2225"}</definedName>
    <definedName name="dgdfg" hidden="1">{"rp_only",#N/A,FALSE,"2225"}</definedName>
    <definedName name="dgdfg_1" localSheetId="10" hidden="1">{"rp_only",#N/A,FALSE,"2225"}</definedName>
    <definedName name="dgdfg_1" hidden="1">{"rp_only",#N/A,FALSE,"2225"}</definedName>
    <definedName name="dgdfgdg" localSheetId="10" hidden="1">{"rp_only",#N/A,FALSE,"2225"}</definedName>
    <definedName name="dgdfgdg" hidden="1">{"rp_only",#N/A,FALSE,"2225"}</definedName>
    <definedName name="dgdfgdg_1" localSheetId="10" hidden="1">{"rp_only",#N/A,FALSE,"2225"}</definedName>
    <definedName name="dgdfgdg_1" hidden="1">{"rp_only",#N/A,FALSE,"2225"}</definedName>
    <definedName name="dgdg" localSheetId="10" hidden="1">{"rp_only",#N/A,FALSE,"2225"}</definedName>
    <definedName name="dgdg" hidden="1">{"rp_only",#N/A,FALSE,"2225"}</definedName>
    <definedName name="dgdg_1" localSheetId="10" hidden="1">{"rp_only",#N/A,FALSE,"2225"}</definedName>
    <definedName name="dgdg_1" hidden="1">{"rp_only",#N/A,FALSE,"2225"}</definedName>
    <definedName name="dgdgd" localSheetId="10" hidden="1">{"with_oth_curr",#N/A,FALSE,"2225"}</definedName>
    <definedName name="dgdgd" hidden="1">{"with_oth_curr",#N/A,FALSE,"2225"}</definedName>
    <definedName name="dgdgd_1" localSheetId="10" hidden="1">{"with_oth_curr",#N/A,FALSE,"2225"}</definedName>
    <definedName name="dgdgd_1" hidden="1">{"with_oth_curr",#N/A,FALSE,"2225"}</definedName>
    <definedName name="dgdgdg" localSheetId="10" hidden="1">{"rp_only",#N/A,FALSE,"2225"}</definedName>
    <definedName name="dgdgdg" hidden="1">{"rp_only",#N/A,FALSE,"2225"}</definedName>
    <definedName name="dgdgdg_1" localSheetId="10" hidden="1">{"rp_only",#N/A,FALSE,"2225"}</definedName>
    <definedName name="dgdgdg_1" hidden="1">{"rp_only",#N/A,FALSE,"2225"}</definedName>
    <definedName name="dgdgfdhg" localSheetId="10" hidden="1">{"rp_only",#N/A,FALSE,"2225"}</definedName>
    <definedName name="dgdgfdhg" hidden="1">{"rp_only",#N/A,FALSE,"2225"}</definedName>
    <definedName name="dgdgfdhg_1" localSheetId="10" hidden="1">{"rp_only",#N/A,FALSE,"2225"}</definedName>
    <definedName name="dgdgfdhg_1" hidden="1">{"rp_only",#N/A,FALSE,"2225"}</definedName>
    <definedName name="dgdsgsd">#REF!</definedName>
    <definedName name="dgdss" localSheetId="10" hidden="1">{"rp_only",#N/A,FALSE,"2225"}</definedName>
    <definedName name="dgdss" hidden="1">{"rp_only",#N/A,FALSE,"2225"}</definedName>
    <definedName name="dgdss_1" localSheetId="10" hidden="1">{"rp_only",#N/A,FALSE,"2225"}</definedName>
    <definedName name="dgdss_1" hidden="1">{"rp_only",#N/A,FALSE,"2225"}</definedName>
    <definedName name="DGF" localSheetId="10" hidden="1">{#N/A,#N/A,FALSE,"特殊室（ＢＱ表）"}</definedName>
    <definedName name="DGF" hidden="1">{#N/A,#N/A,FALSE,"特殊室（ＢＱ表）"}</definedName>
    <definedName name="dgfd" localSheetId="10"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10" hidden="1">{"with_oth_curr",#N/A,FALSE,"2225"}</definedName>
    <definedName name="dgfd_1" hidden="1">{"with_oth_curr",#N/A,FALSE,"2225"}</definedName>
    <definedName name="dgfdfgd" localSheetId="10" hidden="1">{"with_oth_curr",#N/A,FALSE,"2225"}</definedName>
    <definedName name="dgfdfgd" hidden="1">{"with_oth_curr",#N/A,FALSE,"2225"}</definedName>
    <definedName name="dgfdfgd_1" localSheetId="10" hidden="1">{"with_oth_curr",#N/A,FALSE,"2225"}</definedName>
    <definedName name="dgfdfgd_1" hidden="1">{"with_oth_curr",#N/A,FALSE,"2225"}</definedName>
    <definedName name="DGFDG" localSheetId="10" hidden="1">{#N/A,#N/A,FALSE,"特殊室（ＢＱ表）"}</definedName>
    <definedName name="DGFDG" hidden="1">{#N/A,#N/A,FALSE,"特殊室（ＢＱ表）"}</definedName>
    <definedName name="dgfdg_1" localSheetId="10" hidden="1">{"with_oth_curr",#N/A,FALSE,"2225"}</definedName>
    <definedName name="dgfdg_1" hidden="1">{"with_oth_curr",#N/A,FALSE,"2225"}</definedName>
    <definedName name="dgfdgdgdfg" localSheetId="10" hidden="1">{"rp_only",#N/A,FALSE,"2225"}</definedName>
    <definedName name="dgfdgdgdfg" hidden="1">{"rp_only",#N/A,FALSE,"2225"}</definedName>
    <definedName name="dgfdgdgdfg_1" localSheetId="10" hidden="1">{"rp_only",#N/A,FALSE,"2225"}</definedName>
    <definedName name="dgfdgdgdfg_1" hidden="1">{"rp_only",#N/A,FALSE,"2225"}</definedName>
    <definedName name="dgfdgdgdg" localSheetId="10" hidden="1">{"with_oth_curr",#N/A,FALSE,"2225"}</definedName>
    <definedName name="dgfdgdgdg" hidden="1">{"with_oth_curr",#N/A,FALSE,"2225"}</definedName>
    <definedName name="dgfdgdgdg_1" localSheetId="10" hidden="1">{"with_oth_curr",#N/A,FALSE,"2225"}</definedName>
    <definedName name="dgfdgdgdg_1" hidden="1">{"with_oth_curr",#N/A,FALSE,"2225"}</definedName>
    <definedName name="dgfdgf" localSheetId="10" hidden="1">{"rp_only",#N/A,FALSE,"2225"}</definedName>
    <definedName name="dgfdgf" hidden="1">{"rp_only",#N/A,FALSE,"2225"}</definedName>
    <definedName name="dgfdgf_1" localSheetId="10" hidden="1">{"rp_only",#N/A,FALSE,"2225"}</definedName>
    <definedName name="dgfdgf_1" hidden="1">{"rp_only",#N/A,FALSE,"2225"}</definedName>
    <definedName name="dgfgjgj" localSheetId="10" hidden="1">{#N/A,#N/A,FALSE,"CCTV"}</definedName>
    <definedName name="dgfgjgj" hidden="1">{#N/A,#N/A,FALSE,"CCTV"}</definedName>
    <definedName name="dgfh" localSheetId="10"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10"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10" hidden="1">{"rp_only",#N/A,FALSE,"2225"}</definedName>
    <definedName name="dgfsgffds" hidden="1">{"rp_only",#N/A,FALSE,"2225"}</definedName>
    <definedName name="dgfsgffds_1" localSheetId="10" hidden="1">{"rp_only",#N/A,FALSE,"2225"}</definedName>
    <definedName name="dgfsgffds_1" hidden="1">{"rp_only",#N/A,FALSE,"2225"}</definedName>
    <definedName name="dgh" localSheetId="10">{0.1;0;0.382758620689655;0;0;0;0.258620689655172;0;0.258620689655172}</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localSheetId="10" hidden="1">{"rp_only",#N/A,FALSE,"2225"}</definedName>
    <definedName name="dgretertr" hidden="1">{"rp_only",#N/A,FALSE,"2225"}</definedName>
    <definedName name="dgretertr_1" localSheetId="10" hidden="1">{"rp_only",#N/A,FALSE,"2225"}</definedName>
    <definedName name="dgretertr_1" hidden="1">{"rp_only",#N/A,FALSE,"2225"}</definedName>
    <definedName name="DGS" localSheetId="10" hidden="1">{"rp_only",#N/A,FALSE,"2225"}</definedName>
    <definedName name="DGS" hidden="1">{"rp_only",#N/A,FALSE,"2225"}</definedName>
    <definedName name="DGS_1" localSheetId="10" hidden="1">{"rp_only",#N/A,FALSE,"2225"}</definedName>
    <definedName name="DGS_1" hidden="1">{"rp_only",#N/A,FALSE,"2225"}</definedName>
    <definedName name="dgsdadgdsfgdfg" localSheetId="10" hidden="1">{"rp_only",#N/A,FALSE,"2225"}</definedName>
    <definedName name="dgsdadgdsfgdfg" hidden="1">{"rp_only",#N/A,FALSE,"2225"}</definedName>
    <definedName name="dgsdadgdsfgdfg_1" localSheetId="10" hidden="1">{"rp_only",#N/A,FALSE,"2225"}</definedName>
    <definedName name="dgsdadgdsfgdfg_1" hidden="1">{"rp_only",#N/A,FALSE,"2225"}</definedName>
    <definedName name="dgsdg" localSheetId="10" hidden="1">{"rp_only",#N/A,FALSE,"2225"}</definedName>
    <definedName name="dgsdg" hidden="1">{"rp_only",#N/A,FALSE,"2225"}</definedName>
    <definedName name="dgsdg_1" localSheetId="10" hidden="1">{"rp_only",#N/A,FALSE,"2225"}</definedName>
    <definedName name="dgsdg_1" hidden="1">{"rp_only",#N/A,FALSE,"2225"}</definedName>
    <definedName name="dgsg" localSheetId="10">BLCH</definedName>
    <definedName name="dgsg">BLCH</definedName>
    <definedName name="dgvl">#REF!</definedName>
    <definedName name="dh">#REF!</definedName>
    <definedName name="dhgh">#N/A</definedName>
    <definedName name="dhyrtyry" localSheetId="10" hidden="1">{"rp_only",#N/A,FALSE,"2225"}</definedName>
    <definedName name="dhyrtyry" hidden="1">{"rp_only",#N/A,FALSE,"2225"}</definedName>
    <definedName name="dhyrtyry_1" localSheetId="10"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localSheetId="10" hidden="1">{"SCH1A",#N/A,FALSE,"US";"SCH2A",#N/A,FALSE,"US"}</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localSheetId="10"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localSheetId="10" hidden="1">{#N/A,#N/A,FALSE,"Aging Summary";#N/A,#N/A,FALSE,"Ratio Analysis";#N/A,#N/A,FALSE,"Test 120 Day Accts";#N/A,#N/A,FALSE,"Tickmarks"}</definedName>
    <definedName name="dina" hidden="1">{#N/A,#N/A,FALSE,"Aging Summary";#N/A,#N/A,FALSE,"Ratio Analysis";#N/A,#N/A,FALSE,"Test 120 Day Accts";#N/A,#N/A,FALSE,"Tickmarks"}</definedName>
    <definedName name="dina_1" localSheetId="10" hidden="1">{#N/A,#N/A,FALSE,"Aging Summary";#N/A,#N/A,FALSE,"Ratio Analysis";#N/A,#N/A,FALSE,"Test 120 Day Accts";#N/A,#N/A,FALSE,"Tickmarks"}</definedName>
    <definedName name="dina_1" hidden="1">{#N/A,#N/A,FALSE,"Aging Summary";#N/A,#N/A,FALSE,"Ratio Analysis";#N/A,#N/A,FALSE,"Test 120 Day Accts";#N/A,#N/A,FALSE,"Tickmarks"}</definedName>
    <definedName name="dina1" localSheetId="10" hidden="1">{#N/A,#N/A,FALSE,"Aging Summary";#N/A,#N/A,FALSE,"Ratio Analysis";#N/A,#N/A,FALSE,"Test 120 Day Accts";#N/A,#N/A,FALSE,"Tickmarks"}</definedName>
    <definedName name="dina1" hidden="1">{#N/A,#N/A,FALSE,"Aging Summary";#N/A,#N/A,FALSE,"Ratio Analysis";#N/A,#N/A,FALSE,"Test 120 Day Accts";#N/A,#N/A,FALSE,"Tickmarks"}</definedName>
    <definedName name="dina1_1" localSheetId="10" hidden="1">{#N/A,#N/A,FALSE,"Aging Summary";#N/A,#N/A,FALSE,"Ratio Analysis";#N/A,#N/A,FALSE,"Test 120 Day Accts";#N/A,#N/A,FALSE,"Tickmarks"}</definedName>
    <definedName name="dina1_1" hidden="1">{#N/A,#N/A,FALSE,"Aging Summary";#N/A,#N/A,FALSE,"Ratio Analysis";#N/A,#N/A,FALSE,"Test 120 Day Accts";#N/A,#N/A,FALSE,"Tickmarks"}</definedName>
    <definedName name="dina4" localSheetId="10" hidden="1">{#N/A,#N/A,FALSE,"Aging Summary";#N/A,#N/A,FALSE,"Ratio Analysis";#N/A,#N/A,FALSE,"Test 120 Day Accts";#N/A,#N/A,FALSE,"Tickmarks"}</definedName>
    <definedName name="dina4" hidden="1">{#N/A,#N/A,FALSE,"Aging Summary";#N/A,#N/A,FALSE,"Ratio Analysis";#N/A,#N/A,FALSE,"Test 120 Day Accts";#N/A,#N/A,FALSE,"Tickmarks"}</definedName>
    <definedName name="dina4_1" localSheetId="10"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localSheetId="10" hidden="1">{#N/A,#N/A,FALSE,"Cost Report";#N/A,#N/A,FALSE,"Qtly Summ.";#N/A,#N/A,FALSE,"Mar  Qtr";#N/A,#N/A,FALSE,"Report Summary"}</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 localSheetId="10">{"Book1","4.09 FLORA DAN FAUNA.xls","4.22 PERLENGKAPAN SEKOLAH.xls"}</definedName>
    <definedName name="docr">{"Book1","4.09 FLORA DAN FAUNA.xls","4.22 PERLENGKAPAN SEKOLAH.xls"}</definedName>
    <definedName name="Document_array" localSheetId="10">{"Book1"}</definedName>
    <definedName name="Document_array">{"Book1"}</definedName>
    <definedName name="Documents_array">#REF!</definedName>
    <definedName name="dodol" localSheetId="10" hidden="1">{#N/A,#N/A,FALSE,"DATA"}</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localSheetId="10" hidden="1">{#N/A,#N/A,FALSE,"Umsatz";#N/A,#N/A,FALSE,"Base V.02";#N/A,#N/A,FALSE,"Charts"}</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localSheetId="10"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localSheetId="10" hidden="1">{#N/A,#N/A,FALSE,"REK-S-TPL";#N/A,#N/A,FALSE,"REK-TPML";#N/A,#N/A,FALSE,"RAB-TEMPEL"}</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localSheetId="10" hidden="1">{#N/A,#N/A,FALSE,"Aging Summary";#N/A,#N/A,FALSE,"Ratio Analysis";#N/A,#N/A,FALSE,"Test 120 Day Accts";#N/A,#N/A,FALSE,"Tickmarks"}</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localSheetId="10" hidden="1">{"rp_only",#N/A,FALSE,"2225"}</definedName>
    <definedName name="dsaa" hidden="1">{"rp_only",#N/A,FALSE,"2225"}</definedName>
    <definedName name="dsaa_1" localSheetId="10" hidden="1">{"rp_only",#N/A,FALSE,"2225"}</definedName>
    <definedName name="dsaa_1" hidden="1">{"rp_only",#N/A,FALSE,"2225"}</definedName>
    <definedName name="dsaads" localSheetId="10" hidden="1">{"with_oth_curr",#N/A,FALSE,"2225"}</definedName>
    <definedName name="dsaads" hidden="1">{"with_oth_curr",#N/A,FALSE,"2225"}</definedName>
    <definedName name="dsaads_1" localSheetId="10" hidden="1">{"with_oth_curr",#N/A,FALSE,"2225"}</definedName>
    <definedName name="dsaads_1" hidden="1">{"with_oth_curr",#N/A,FALSE,"2225"}</definedName>
    <definedName name="dsaasd" localSheetId="10" hidden="1">{"rp_only",#N/A,FALSE,"2225"}</definedName>
    <definedName name="dsaasd" hidden="1">{"rp_only",#N/A,FALSE,"2225"}</definedName>
    <definedName name="dsaasd_1" localSheetId="10" hidden="1">{"rp_only",#N/A,FALSE,"2225"}</definedName>
    <definedName name="dsaasd_1" hidden="1">{"rp_only",#N/A,FALSE,"2225"}</definedName>
    <definedName name="dsaasdsda" localSheetId="10" hidden="1">{"rp_only",#N/A,FALSE,"2225"}</definedName>
    <definedName name="dsaasdsda" hidden="1">{"rp_only",#N/A,FALSE,"2225"}</definedName>
    <definedName name="dsaasdsda_1" localSheetId="10" hidden="1">{"rp_only",#N/A,FALSE,"2225"}</definedName>
    <definedName name="dsaasdsda_1" hidden="1">{"rp_only",#N/A,FALSE,"2225"}</definedName>
    <definedName name="dsad" localSheetId="10" hidden="1">{"rp_only",#N/A,FALSE,"2225"}</definedName>
    <definedName name="dsad" hidden="1">{"rp_only",#N/A,FALSE,"2225"}</definedName>
    <definedName name="dsad_1" localSheetId="10" hidden="1">{"rp_only",#N/A,FALSE,"2225"}</definedName>
    <definedName name="dsad_1" hidden="1">{"rp_only",#N/A,FALSE,"2225"}</definedName>
    <definedName name="DSADA" localSheetId="10" hidden="1">{"rp_only",#N/A,FALSE,"2225"}</definedName>
    <definedName name="DSADA" hidden="1">{"rp_only",#N/A,FALSE,"2225"}</definedName>
    <definedName name="DSADA_1" localSheetId="10" hidden="1">{"rp_only",#N/A,FALSE,"2225"}</definedName>
    <definedName name="DSADA_1" hidden="1">{"rp_only",#N/A,FALSE,"2225"}</definedName>
    <definedName name="dsadadads" localSheetId="10" hidden="1">{"rp_only",#N/A,FALSE,"2225"}</definedName>
    <definedName name="dsadadads" hidden="1">{"rp_only",#N/A,FALSE,"2225"}</definedName>
    <definedName name="dsadadads_1" localSheetId="10" hidden="1">{"rp_only",#N/A,FALSE,"2225"}</definedName>
    <definedName name="dsadadads_1" hidden="1">{"rp_only",#N/A,FALSE,"2225"}</definedName>
    <definedName name="dsadas" localSheetId="10" hidden="1">{"rp_only",#N/A,FALSE,"2225"}</definedName>
    <definedName name="dsadas" hidden="1">{"rp_only",#N/A,FALSE,"2225"}</definedName>
    <definedName name="dsadas_1" localSheetId="10" hidden="1">{"rp_only",#N/A,FALSE,"2225"}</definedName>
    <definedName name="dsadas_1" hidden="1">{"rp_only",#N/A,FALSE,"2225"}</definedName>
    <definedName name="dsadasads" localSheetId="10" hidden="1">{"with_oth_curr",#N/A,FALSE,"2225"}</definedName>
    <definedName name="dsadasads" hidden="1">{"with_oth_curr",#N/A,FALSE,"2225"}</definedName>
    <definedName name="dsadasads_1" localSheetId="10" hidden="1">{"with_oth_curr",#N/A,FALSE,"2225"}</definedName>
    <definedName name="dsadasads_1" hidden="1">{"with_oth_curr",#N/A,FALSE,"2225"}</definedName>
    <definedName name="dsadasds" localSheetId="10" hidden="1">{"with_oth_curr",#N/A,FALSE,"2225"}</definedName>
    <definedName name="dsadasds" hidden="1">{"with_oth_curr",#N/A,FALSE,"2225"}</definedName>
    <definedName name="dsadasds_1" localSheetId="10" hidden="1">{"with_oth_curr",#N/A,FALSE,"2225"}</definedName>
    <definedName name="dsadasds_1" hidden="1">{"with_oth_curr",#N/A,FALSE,"2225"}</definedName>
    <definedName name="dsadassdasad" localSheetId="10" hidden="1">{"with_oth_curr",#N/A,FALSE,"2225"}</definedName>
    <definedName name="dsadassdasad" hidden="1">{"with_oth_curr",#N/A,FALSE,"2225"}</definedName>
    <definedName name="dsadassdasad_1" localSheetId="10" hidden="1">{"with_oth_curr",#N/A,FALSE,"2225"}</definedName>
    <definedName name="dsadassdasad_1" hidden="1">{"with_oth_curr",#N/A,FALSE,"2225"}</definedName>
    <definedName name="dsaddsa" localSheetId="10" hidden="1">{"rp_only",#N/A,FALSE,"2225"}</definedName>
    <definedName name="dsaddsa" hidden="1">{"rp_only",#N/A,FALSE,"2225"}</definedName>
    <definedName name="dsaddsa_1" localSheetId="10" hidden="1">{"rp_only",#N/A,FALSE,"2225"}</definedName>
    <definedName name="dsaddsa_1" hidden="1">{"rp_only",#N/A,FALSE,"2225"}</definedName>
    <definedName name="dsads" localSheetId="10" hidden="1">{"rp_only",#N/A,FALSE,"2225"}</definedName>
    <definedName name="dsads" hidden="1">{"rp_only",#N/A,FALSE,"2225"}</definedName>
    <definedName name="dsads_1" localSheetId="10" hidden="1">{"rp_only",#N/A,FALSE,"2225"}</definedName>
    <definedName name="dsads_1" hidden="1">{"rp_only",#N/A,FALSE,"2225"}</definedName>
    <definedName name="dsadsa" localSheetId="10" hidden="1">{"rp_only",#N/A,FALSE,"2225"}</definedName>
    <definedName name="dsadsa" hidden="1">{"rp_only",#N/A,FALSE,"2225"}</definedName>
    <definedName name="dsadsa_1" localSheetId="10" hidden="1">{"rp_only",#N/A,FALSE,"2225"}</definedName>
    <definedName name="dsadsa_1" hidden="1">{"rp_only",#N/A,FALSE,"2225"}</definedName>
    <definedName name="dsadsadas" localSheetId="10" hidden="1">{"rp_only",#N/A,FALSE,"2225"}</definedName>
    <definedName name="dsadsadas" hidden="1">{"rp_only",#N/A,FALSE,"2225"}</definedName>
    <definedName name="dsadsadas_1" localSheetId="10" hidden="1">{"rp_only",#N/A,FALSE,"2225"}</definedName>
    <definedName name="dsadsadas_1" hidden="1">{"rp_only",#N/A,FALSE,"2225"}</definedName>
    <definedName name="dsadsadsa" localSheetId="10" hidden="1">{"rp_only",#N/A,FALSE,"2225"}</definedName>
    <definedName name="dsadsadsa" hidden="1">{"rp_only",#N/A,FALSE,"2225"}</definedName>
    <definedName name="dsadsadsa_1" localSheetId="10" hidden="1">{"rp_only",#N/A,FALSE,"2225"}</definedName>
    <definedName name="dsadsadsa_1" hidden="1">{"rp_only",#N/A,FALSE,"2225"}</definedName>
    <definedName name="dsadsadsasda" localSheetId="10" hidden="1">{"rp_only",#N/A,FALSE,"2225"}</definedName>
    <definedName name="dsadsadsasda" hidden="1">{"rp_only",#N/A,FALSE,"2225"}</definedName>
    <definedName name="dsadsadsasda_1" localSheetId="10" hidden="1">{"rp_only",#N/A,FALSE,"2225"}</definedName>
    <definedName name="dsadsadsasda_1" hidden="1">{"rp_only",#N/A,FALSE,"2225"}</definedName>
    <definedName name="dsadsasadsad" localSheetId="10" hidden="1">{"rp_only",#N/A,FALSE,"2225"}</definedName>
    <definedName name="dsadsasadsad" hidden="1">{"rp_only",#N/A,FALSE,"2225"}</definedName>
    <definedName name="dsadsasadsad_1" localSheetId="10" hidden="1">{"rp_only",#N/A,FALSE,"2225"}</definedName>
    <definedName name="dsadsasadsad_1" hidden="1">{"rp_only",#N/A,FALSE,"2225"}</definedName>
    <definedName name="dsadsasd" localSheetId="10" hidden="1">{"with_oth_curr",#N/A,FALSE,"2225"}</definedName>
    <definedName name="dsadsasd" hidden="1">{"with_oth_curr",#N/A,FALSE,"2225"}</definedName>
    <definedName name="dsadsasd_1" localSheetId="10" hidden="1">{"with_oth_curr",#N/A,FALSE,"2225"}</definedName>
    <definedName name="dsadsasd_1" hidden="1">{"with_oth_curr",#N/A,FALSE,"2225"}</definedName>
    <definedName name="dsadsasda" localSheetId="10" hidden="1">{"rp_only",#N/A,FALSE,"2225"}</definedName>
    <definedName name="dsadsasda" hidden="1">{"rp_only",#N/A,FALSE,"2225"}</definedName>
    <definedName name="dsadsasda_1" localSheetId="10" hidden="1">{"rp_only",#N/A,FALSE,"2225"}</definedName>
    <definedName name="dsadsasda_1" hidden="1">{"rp_only",#N/A,FALSE,"2225"}</definedName>
    <definedName name="dsaf" localSheetId="10" hidden="1">{"rp_only",#N/A,FALSE,"2225"}</definedName>
    <definedName name="dsaf" hidden="1">{"rp_only",#N/A,FALSE,"2225"}</definedName>
    <definedName name="dsaf_1" localSheetId="10" hidden="1">{"rp_only",#N/A,FALSE,"2225"}</definedName>
    <definedName name="dsaf_1" hidden="1">{"rp_only",#N/A,FALSE,"2225"}</definedName>
    <definedName name="dsafads" localSheetId="10" hidden="1">{"rp_only",#N/A,FALSE,"2225"}</definedName>
    <definedName name="dsafads" hidden="1">{"rp_only",#N/A,FALSE,"2225"}</definedName>
    <definedName name="dsafads_1" localSheetId="10" hidden="1">{"rp_only",#N/A,FALSE,"2225"}</definedName>
    <definedName name="dsafads_1" hidden="1">{"rp_only",#N/A,FALSE,"2225"}</definedName>
    <definedName name="dsafasdfasdf" localSheetId="10" hidden="1">{"rp_only",#N/A,FALSE,"2225"}</definedName>
    <definedName name="dsafasdfasdf" hidden="1">{"rp_only",#N/A,FALSE,"2225"}</definedName>
    <definedName name="dsafasdfasdf_1" localSheetId="10" hidden="1">{"rp_only",#N/A,FALSE,"2225"}</definedName>
    <definedName name="dsafasdfasdf_1" hidden="1">{"rp_only",#N/A,FALSE,"2225"}</definedName>
    <definedName name="dsafasdfsa" localSheetId="10" hidden="1">{"rp_only",#N/A,FALSE,"2225"}</definedName>
    <definedName name="dsafasdfsa" hidden="1">{"rp_only",#N/A,FALSE,"2225"}</definedName>
    <definedName name="dsafasdfsa_1" localSheetId="10" hidden="1">{"rp_only",#N/A,FALSE,"2225"}</definedName>
    <definedName name="dsafasdfsa_1" hidden="1">{"rp_only",#N/A,FALSE,"2225"}</definedName>
    <definedName name="dsafasgasfg" localSheetId="10" hidden="1">{"rp_only",#N/A,FALSE,"2225"}</definedName>
    <definedName name="dsafasgasfg" hidden="1">{"rp_only",#N/A,FALSE,"2225"}</definedName>
    <definedName name="dsafasgasfg_1" localSheetId="10" hidden="1">{"rp_only",#N/A,FALSE,"2225"}</definedName>
    <definedName name="dsafasgasfg_1" hidden="1">{"rp_only",#N/A,FALSE,"2225"}</definedName>
    <definedName name="dsafd" localSheetId="10" hidden="1">{"rp_only",#N/A,FALSE,"2225"}</definedName>
    <definedName name="dsafd" hidden="1">{"rp_only",#N/A,FALSE,"2225"}</definedName>
    <definedName name="dsafd_1" localSheetId="10" hidden="1">{"rp_only",#N/A,FALSE,"2225"}</definedName>
    <definedName name="dsafd_1" hidden="1">{"rp_only",#N/A,FALSE,"2225"}</definedName>
    <definedName name="dsafds" localSheetId="10" hidden="1">{"with_oth_curr",#N/A,FALSE,"2225"}</definedName>
    <definedName name="dsafds" hidden="1">{"with_oth_curr",#N/A,FALSE,"2225"}</definedName>
    <definedName name="dsafds_1" localSheetId="10" hidden="1">{"with_oth_curr",#N/A,FALSE,"2225"}</definedName>
    <definedName name="dsafds_1" hidden="1">{"with_oth_curr",#N/A,FALSE,"2225"}</definedName>
    <definedName name="dsafdsafsadf" localSheetId="10" hidden="1">{"rp_only",#N/A,FALSE,"2225"}</definedName>
    <definedName name="dsafdsafsadf" hidden="1">{"rp_only",#N/A,FALSE,"2225"}</definedName>
    <definedName name="dsafdsafsadf_1" localSheetId="10" hidden="1">{"rp_only",#N/A,FALSE,"2225"}</definedName>
    <definedName name="dsafdsafsadf_1" hidden="1">{"rp_only",#N/A,FALSE,"2225"}</definedName>
    <definedName name="dsaffds" localSheetId="10" hidden="1">{"rp_only",#N/A,FALSE,"2225"}</definedName>
    <definedName name="dsaffds" hidden="1">{"rp_only",#N/A,FALSE,"2225"}</definedName>
    <definedName name="dsaffds_1" localSheetId="10" hidden="1">{"rp_only",#N/A,FALSE,"2225"}</definedName>
    <definedName name="dsaffds_1" hidden="1">{"rp_only",#N/A,FALSE,"2225"}</definedName>
    <definedName name="dsafsdfdsa" localSheetId="10" hidden="1">{"rp_only",#N/A,FALSE,"2225"}</definedName>
    <definedName name="dsafsdfdsa" hidden="1">{"rp_only",#N/A,FALSE,"2225"}</definedName>
    <definedName name="dsafsdfdsa_1" localSheetId="10" hidden="1">{"rp_only",#N/A,FALSE,"2225"}</definedName>
    <definedName name="dsafsdfdsa_1" hidden="1">{"rp_only",#N/A,FALSE,"2225"}</definedName>
    <definedName name="dsasa" localSheetId="10" hidden="1">{"rp_only",#N/A,FALSE,"2225"}</definedName>
    <definedName name="dsasa" hidden="1">{"rp_only",#N/A,FALSE,"2225"}</definedName>
    <definedName name="dsasa_1" localSheetId="10" hidden="1">{"rp_only",#N/A,FALSE,"2225"}</definedName>
    <definedName name="dsasa_1" hidden="1">{"rp_only",#N/A,FALSE,"2225"}</definedName>
    <definedName name="DSASADD" localSheetId="10" hidden="1">{"rp_only",#N/A,FALSE,"2225"}</definedName>
    <definedName name="DSASADD" hidden="1">{"rp_only",#N/A,FALSE,"2225"}</definedName>
    <definedName name="DSASADD_1" localSheetId="10" hidden="1">{"rp_only",#N/A,FALSE,"2225"}</definedName>
    <definedName name="DSASADD_1" hidden="1">{"rp_only",#N/A,FALSE,"2225"}</definedName>
    <definedName name="dsasadsad" localSheetId="10" hidden="1">{"rp_only",#N/A,FALSE,"2225"}</definedName>
    <definedName name="dsasadsad" hidden="1">{"rp_only",#N/A,FALSE,"2225"}</definedName>
    <definedName name="dsasadsad_1" localSheetId="10" hidden="1">{"rp_only",#N/A,FALSE,"2225"}</definedName>
    <definedName name="dsasadsad_1" hidden="1">{"rp_only",#N/A,FALSE,"2225"}</definedName>
    <definedName name="dsasadsd" localSheetId="10" hidden="1">{"rp_only",#N/A,FALSE,"2225"}</definedName>
    <definedName name="dsasadsd" hidden="1">{"rp_only",#N/A,FALSE,"2225"}</definedName>
    <definedName name="dsasadsd_1" localSheetId="10" hidden="1">{"rp_only",#N/A,FALSE,"2225"}</definedName>
    <definedName name="dsasadsd_1" hidden="1">{"rp_only",#N/A,FALSE,"2225"}</definedName>
    <definedName name="dsasadsgf" localSheetId="10" hidden="1">{"rp_only",#N/A,FALSE,"2225"}</definedName>
    <definedName name="dsasadsgf" hidden="1">{"rp_only",#N/A,FALSE,"2225"}</definedName>
    <definedName name="dsasadsgf_1" localSheetId="10" hidden="1">{"rp_only",#N/A,FALSE,"2225"}</definedName>
    <definedName name="dsasadsgf_1" hidden="1">{"rp_only",#N/A,FALSE,"2225"}</definedName>
    <definedName name="dsasd" localSheetId="10" hidden="1">{"rp_only",#N/A,FALSE,"2225"}</definedName>
    <definedName name="dsasd" hidden="1">{"rp_only",#N/A,FALSE,"2225"}</definedName>
    <definedName name="dsasd_1" localSheetId="10" hidden="1">{"rp_only",#N/A,FALSE,"2225"}</definedName>
    <definedName name="dsasd_1" hidden="1">{"rp_only",#N/A,FALSE,"2225"}</definedName>
    <definedName name="dsasdasd" localSheetId="10" hidden="1">{"with_oth_curr",#N/A,FALSE,"2225"}</definedName>
    <definedName name="dsasdasd" hidden="1">{"with_oth_curr",#N/A,FALSE,"2225"}</definedName>
    <definedName name="dsasdasd_1" localSheetId="10" hidden="1">{"with_oth_curr",#N/A,FALSE,"2225"}</definedName>
    <definedName name="dsasdasd_1" hidden="1">{"with_oth_curr",#N/A,FALSE,"2225"}</definedName>
    <definedName name="dsasdsa" localSheetId="10" hidden="1">{"rp_only",#N/A,FALSE,"2225"}</definedName>
    <definedName name="dsasdsa" hidden="1">{"rp_only",#N/A,FALSE,"2225"}</definedName>
    <definedName name="dsasdsa_1" localSheetId="10" hidden="1">{"rp_only",#N/A,FALSE,"2225"}</definedName>
    <definedName name="dsasdsa_1" hidden="1">{"rp_only",#N/A,FALSE,"2225"}</definedName>
    <definedName name="dsasdsad" localSheetId="10" hidden="1">{"rp_only",#N/A,FALSE,"2225"}</definedName>
    <definedName name="dsasdsad" hidden="1">{"rp_only",#N/A,FALSE,"2225"}</definedName>
    <definedName name="dsasdsad_1" localSheetId="10" hidden="1">{"rp_only",#N/A,FALSE,"2225"}</definedName>
    <definedName name="dsasdsad_1" hidden="1">{"rp_only",#N/A,FALSE,"2225"}</definedName>
    <definedName name="DSASDSD" localSheetId="10" hidden="1">{"rp_only",#N/A,FALSE,"2225"}</definedName>
    <definedName name="DSASDSD" hidden="1">{"rp_only",#N/A,FALSE,"2225"}</definedName>
    <definedName name="DSASDSD_1" localSheetId="10" hidden="1">{"rp_only",#N/A,FALSE,"2225"}</definedName>
    <definedName name="DSASDSD_1" hidden="1">{"rp_only",#N/A,FALSE,"2225"}</definedName>
    <definedName name="dsd">#REF!</definedName>
    <definedName name="dsdasda" localSheetId="10" hidden="1">{"with_oth_curr",#N/A,FALSE,"2225"}</definedName>
    <definedName name="dsdasda" hidden="1">{"with_oth_curr",#N/A,FALSE,"2225"}</definedName>
    <definedName name="dsdasda_1" localSheetId="10" hidden="1">{"with_oth_curr",#N/A,FALSE,"2225"}</definedName>
    <definedName name="dsdasda_1" hidden="1">{"with_oth_curr",#N/A,FALSE,"2225"}</definedName>
    <definedName name="dsdfsdfs" localSheetId="10" hidden="1">{"rp_only",#N/A,FALSE,"2225"}</definedName>
    <definedName name="dsdfsdfs" hidden="1">{"rp_only",#N/A,FALSE,"2225"}</definedName>
    <definedName name="dsdfsdfs_1" localSheetId="10" hidden="1">{"rp_only",#N/A,FALSE,"2225"}</definedName>
    <definedName name="dsdfsdfs_1" hidden="1">{"rp_only",#N/A,FALSE,"2225"}</definedName>
    <definedName name="DSDSGDFG" localSheetId="10" hidden="1">{"rp_only",#N/A,FALSE,"2225"}</definedName>
    <definedName name="DSDSGDFG" hidden="1">{"rp_only",#N/A,FALSE,"2225"}</definedName>
    <definedName name="DSDSGDFG_1" localSheetId="10" hidden="1">{"rp_only",#N/A,FALSE,"2225"}</definedName>
    <definedName name="DSDSGDFG_1" hidden="1">{"rp_only",#N/A,FALSE,"2225"}</definedName>
    <definedName name="dsf" localSheetId="10" hidden="1">{"rp_only",#N/A,FALSE,"2225"}</definedName>
    <definedName name="dsf" hidden="1">{"rp_only",#N/A,FALSE,"2225"}</definedName>
    <definedName name="dsf_1" localSheetId="10" hidden="1">{"rp_only",#N/A,FALSE,"2225"}</definedName>
    <definedName name="dsf_1" hidden="1">{"rp_only",#N/A,FALSE,"2225"}</definedName>
    <definedName name="dsfadffds" localSheetId="10" hidden="1">{"rp_only",#N/A,FALSE,"2225"}</definedName>
    <definedName name="dsfadffds" hidden="1">{"rp_only",#N/A,FALSE,"2225"}</definedName>
    <definedName name="dsfadffds_1" localSheetId="10" hidden="1">{"rp_only",#N/A,FALSE,"2225"}</definedName>
    <definedName name="dsfadffds_1" hidden="1">{"rp_only",#N/A,FALSE,"2225"}</definedName>
    <definedName name="dsfads" localSheetId="10" hidden="1">{"rp_only",#N/A,FALSE,"2225"}</definedName>
    <definedName name="dsfads" hidden="1">{"rp_only",#N/A,FALSE,"2225"}</definedName>
    <definedName name="dsfads_1" localSheetId="10" hidden="1">{"rp_only",#N/A,FALSE,"2225"}</definedName>
    <definedName name="dsfads_1" hidden="1">{"rp_only",#N/A,FALSE,"2225"}</definedName>
    <definedName name="dsfafsdadsf" localSheetId="10" hidden="1">{"rp_only",#N/A,FALSE,"2225"}</definedName>
    <definedName name="dsfafsdadsf" hidden="1">{"rp_only",#N/A,FALSE,"2225"}</definedName>
    <definedName name="dsfafsdadsf_1" localSheetId="10" hidden="1">{"rp_only",#N/A,FALSE,"2225"}</definedName>
    <definedName name="dsfafsdadsf_1" hidden="1">{"rp_only",#N/A,FALSE,"2225"}</definedName>
    <definedName name="dsfddsfd" localSheetId="10" hidden="1">{"rp_only",#N/A,FALSE,"2225"}</definedName>
    <definedName name="dsfddsfd" hidden="1">{"rp_only",#N/A,FALSE,"2225"}</definedName>
    <definedName name="dsfddsfd_1" localSheetId="10" hidden="1">{"rp_only",#N/A,FALSE,"2225"}</definedName>
    <definedName name="dsfddsfd_1" hidden="1">{"rp_only",#N/A,FALSE,"2225"}</definedName>
    <definedName name="dsfdfdsf" localSheetId="10" hidden="1">{"with_oth_curr",#N/A,FALSE,"2225"}</definedName>
    <definedName name="dsfdfdsf" hidden="1">{"with_oth_curr",#N/A,FALSE,"2225"}</definedName>
    <definedName name="dsfdfdsf_1" localSheetId="10" hidden="1">{"with_oth_curr",#N/A,FALSE,"2225"}</definedName>
    <definedName name="dsfdfdsf_1" hidden="1">{"with_oth_curr",#N/A,FALSE,"2225"}</definedName>
    <definedName name="dsfdfdsfafdsfd" localSheetId="10" hidden="1">{"rp_only",#N/A,FALSE,"2225"}</definedName>
    <definedName name="dsfdfdsfafdsfd" hidden="1">{"rp_only",#N/A,FALSE,"2225"}</definedName>
    <definedName name="dsfdfdsfafdsfd_1" localSheetId="10" hidden="1">{"rp_only",#N/A,FALSE,"2225"}</definedName>
    <definedName name="dsfdfdsfafdsfd_1" hidden="1">{"rp_only",#N/A,FALSE,"2225"}</definedName>
    <definedName name="dsfdffdsa" localSheetId="10" hidden="1">{"rp_only",#N/A,FALSE,"2225"}</definedName>
    <definedName name="dsfdffdsa" hidden="1">{"rp_only",#N/A,FALSE,"2225"}</definedName>
    <definedName name="dsfdffdsa_1" localSheetId="10" hidden="1">{"rp_only",#N/A,FALSE,"2225"}</definedName>
    <definedName name="dsfdffdsa_1" hidden="1">{"rp_only",#N/A,FALSE,"2225"}</definedName>
    <definedName name="dsfdfsadsfadfsadfsafs" localSheetId="10" hidden="1">{"rp_only",#N/A,FALSE,"2225"}</definedName>
    <definedName name="dsfdfsadsfadfsadfsafs" hidden="1">{"rp_only",#N/A,FALSE,"2225"}</definedName>
    <definedName name="dsfdfsadsfadfsadfsafs_1" localSheetId="10" hidden="1">{"rp_only",#N/A,FALSE,"2225"}</definedName>
    <definedName name="dsfdfsadsfadfsadfsafs_1" hidden="1">{"rp_only",#N/A,FALSE,"2225"}</definedName>
    <definedName name="dsfdfsddsdsd" localSheetId="10" hidden="1">{"rp_only",#N/A,FALSE,"2225"}</definedName>
    <definedName name="dsfdfsddsdsd" hidden="1">{"rp_only",#N/A,FALSE,"2225"}</definedName>
    <definedName name="dsfdfsddsdsd_1" localSheetId="10" hidden="1">{"rp_only",#N/A,FALSE,"2225"}</definedName>
    <definedName name="dsfdfsddsdsd_1" hidden="1">{"rp_only",#N/A,FALSE,"2225"}</definedName>
    <definedName name="dsfdfsfds" localSheetId="10" hidden="1">{"rp_only",#N/A,FALSE,"2225"}</definedName>
    <definedName name="dsfdfsfds" hidden="1">{"rp_only",#N/A,FALSE,"2225"}</definedName>
    <definedName name="dsfdfsfds_1" localSheetId="10" hidden="1">{"rp_only",#N/A,FALSE,"2225"}</definedName>
    <definedName name="dsfdfsfds_1" hidden="1">{"rp_only",#N/A,FALSE,"2225"}</definedName>
    <definedName name="dsfds" localSheetId="10" hidden="1">{"rp_only",#N/A,FALSE,"2225"}</definedName>
    <definedName name="dsfds" hidden="1">{"rp_only",#N/A,FALSE,"2225"}</definedName>
    <definedName name="dsfds_1" localSheetId="10" hidden="1">{"rp_only",#N/A,FALSE,"2225"}</definedName>
    <definedName name="dsfds_1" hidden="1">{"rp_only",#N/A,FALSE,"2225"}</definedName>
    <definedName name="dsfdsaf" localSheetId="10" hidden="1">{"with_oth_curr",#N/A,FALSE,"2225"}</definedName>
    <definedName name="dsfdsaf" hidden="1">{"with_oth_curr",#N/A,FALSE,"2225"}</definedName>
    <definedName name="dsfdsaf_1" localSheetId="10" hidden="1">{"with_oth_curr",#N/A,FALSE,"2225"}</definedName>
    <definedName name="dsfdsaf_1" hidden="1">{"with_oth_curr",#N/A,FALSE,"2225"}</definedName>
    <definedName name="dsfdsafd" localSheetId="10" hidden="1">{"rp_only",#N/A,FALSE,"2225"}</definedName>
    <definedName name="dsfdsafd" hidden="1">{"rp_only",#N/A,FALSE,"2225"}</definedName>
    <definedName name="dsfdsafd_1" localSheetId="10" hidden="1">{"rp_only",#N/A,FALSE,"2225"}</definedName>
    <definedName name="dsfdsafd_1" hidden="1">{"rp_only",#N/A,FALSE,"2225"}</definedName>
    <definedName name="dsfdsdsfdf" localSheetId="10" hidden="1">{"with_oth_curr",#N/A,FALSE,"2225"}</definedName>
    <definedName name="dsfdsdsfdf" hidden="1">{"with_oth_curr",#N/A,FALSE,"2225"}</definedName>
    <definedName name="dsfdsdsfdf_1" localSheetId="10" hidden="1">{"with_oth_curr",#N/A,FALSE,"2225"}</definedName>
    <definedName name="dsfdsdsfdf_1" hidden="1">{"with_oth_curr",#N/A,FALSE,"2225"}</definedName>
    <definedName name="dsfdsfcfdssddsfsd" localSheetId="10" hidden="1">{"with_oth_curr",#N/A,FALSE,"2225"}</definedName>
    <definedName name="dsfdsfcfdssddsfsd" hidden="1">{"with_oth_curr",#N/A,FALSE,"2225"}</definedName>
    <definedName name="dsfdsfcfdssddsfsd_1" localSheetId="10" hidden="1">{"with_oth_curr",#N/A,FALSE,"2225"}</definedName>
    <definedName name="dsfdsfcfdssddsfsd_1" hidden="1">{"with_oth_curr",#N/A,FALSE,"2225"}</definedName>
    <definedName name="dsfdsfdfsadsfafdsa" localSheetId="10" hidden="1">{"with_oth_curr",#N/A,FALSE,"2225"}</definedName>
    <definedName name="dsfdsfdfsadsfafdsa" hidden="1">{"with_oth_curr",#N/A,FALSE,"2225"}</definedName>
    <definedName name="dsfdsfdfsadsfafdsa_1" localSheetId="10" hidden="1">{"with_oth_curr",#N/A,FALSE,"2225"}</definedName>
    <definedName name="dsfdsfdfsadsfafdsa_1" hidden="1">{"with_oth_curr",#N/A,FALSE,"2225"}</definedName>
    <definedName name="dsfdsfsdds" localSheetId="10" hidden="1">{"rp_only",#N/A,FALSE,"2225"}</definedName>
    <definedName name="dsfdsfsdds" hidden="1">{"rp_only",#N/A,FALSE,"2225"}</definedName>
    <definedName name="dsfdsfsdds_1" localSheetId="10" hidden="1">{"rp_only",#N/A,FALSE,"2225"}</definedName>
    <definedName name="dsfdsfsdds_1" hidden="1">{"rp_only",#N/A,FALSE,"2225"}</definedName>
    <definedName name="dsfdsfsdfdasfdfsdfs" localSheetId="10" hidden="1">{"rp_only",#N/A,FALSE,"2225"}</definedName>
    <definedName name="dsfdsfsdfdasfdfsdfs" hidden="1">{"rp_only",#N/A,FALSE,"2225"}</definedName>
    <definedName name="dsfdsfsdfdasfdfsdfs_1" localSheetId="10" hidden="1">{"rp_only",#N/A,FALSE,"2225"}</definedName>
    <definedName name="dsfdsfsdfdasfdfsdfs_1" hidden="1">{"rp_only",#N/A,FALSE,"2225"}</definedName>
    <definedName name="dsfdsg" localSheetId="10" hidden="1">{"rp_only",#N/A,FALSE,"2225"}</definedName>
    <definedName name="dsfdsg" hidden="1">{"rp_only",#N/A,FALSE,"2225"}</definedName>
    <definedName name="dsfdsg_1" localSheetId="10" hidden="1">{"rp_only",#N/A,FALSE,"2225"}</definedName>
    <definedName name="dsfdsg_1" hidden="1">{"rp_only",#N/A,FALSE,"2225"}</definedName>
    <definedName name="dsff" localSheetId="10" hidden="1">{"rp_only",#N/A,FALSE,"2225"}</definedName>
    <definedName name="dsff" hidden="1">{"rp_only",#N/A,FALSE,"2225"}</definedName>
    <definedName name="dsff_1" localSheetId="10" hidden="1">{"rp_only",#N/A,FALSE,"2225"}</definedName>
    <definedName name="dsff_1" hidden="1">{"rp_only",#N/A,FALSE,"2225"}</definedName>
    <definedName name="dsffds" localSheetId="10" hidden="1">{"rp_only",#N/A,FALSE,"2225"}</definedName>
    <definedName name="dsffds" hidden="1">{"rp_only",#N/A,FALSE,"2225"}</definedName>
    <definedName name="dsffds_1" localSheetId="10" hidden="1">{"rp_only",#N/A,FALSE,"2225"}</definedName>
    <definedName name="dsffds_1" hidden="1">{"rp_only",#N/A,FALSE,"2225"}</definedName>
    <definedName name="dsffdsafds" localSheetId="10" hidden="1">{"rp_only",#N/A,FALSE,"2225"}</definedName>
    <definedName name="dsffdsafds" hidden="1">{"rp_only",#N/A,FALSE,"2225"}</definedName>
    <definedName name="dsffdsafds_1" localSheetId="10" hidden="1">{"rp_only",#N/A,FALSE,"2225"}</definedName>
    <definedName name="dsffdsafds_1" hidden="1">{"rp_only",#N/A,FALSE,"2225"}</definedName>
    <definedName name="dsffdsfd" localSheetId="10" hidden="1">{"with_oth_curr",#N/A,FALSE,"2225"}</definedName>
    <definedName name="dsffdsfd" hidden="1">{"with_oth_curr",#N/A,FALSE,"2225"}</definedName>
    <definedName name="dsffdsfd_1" localSheetId="10" hidden="1">{"with_oth_curr",#N/A,FALSE,"2225"}</definedName>
    <definedName name="dsffdsfd_1" hidden="1">{"with_oth_curr",#N/A,FALSE,"2225"}</definedName>
    <definedName name="dsffdsfdasdfsaafsd" localSheetId="10" hidden="1">{"rp_only",#N/A,FALSE,"2225"}</definedName>
    <definedName name="dsffdsfdasdfsaafsd" hidden="1">{"rp_only",#N/A,FALSE,"2225"}</definedName>
    <definedName name="dsffdsfdasdfsaafsd_1" localSheetId="10" hidden="1">{"rp_only",#N/A,FALSE,"2225"}</definedName>
    <definedName name="dsffdsfdasdfsaafsd_1" hidden="1">{"rp_only",#N/A,FALSE,"2225"}</definedName>
    <definedName name="DSFGDFGSDG" localSheetId="10" hidden="1">{"rp_only",#N/A,FALSE,"2225"}</definedName>
    <definedName name="DSFGDFGSDG" hidden="1">{"rp_only",#N/A,FALSE,"2225"}</definedName>
    <definedName name="DSFGDFGSDG_1" localSheetId="10" hidden="1">{"rp_only",#N/A,FALSE,"2225"}</definedName>
    <definedName name="DSFGDFGSDG_1" hidden="1">{"rp_only",#N/A,FALSE,"2225"}</definedName>
    <definedName name="dsfgdsgcxgvbcxbv" localSheetId="10" hidden="1">{"rp_only",#N/A,FALSE,"2225"}</definedName>
    <definedName name="dsfgdsgcxgvbcxbv" hidden="1">{"rp_only",#N/A,FALSE,"2225"}</definedName>
    <definedName name="dsfgdsgcxgvbcxbv_1" localSheetId="10" hidden="1">{"rp_only",#N/A,FALSE,"2225"}</definedName>
    <definedName name="dsfgdsgcxgvbcxbv_1" hidden="1">{"rp_only",#N/A,FALSE,"2225"}</definedName>
    <definedName name="DSFGSDGDFG" localSheetId="10" hidden="1">{"rp_only",#N/A,FALSE,"2225"}</definedName>
    <definedName name="DSFGSDGDFG" hidden="1">{"rp_only",#N/A,FALSE,"2225"}</definedName>
    <definedName name="DSFGSDGDFG_1" localSheetId="10" hidden="1">{"rp_only",#N/A,FALSE,"2225"}</definedName>
    <definedName name="DSFGSDGDFG_1" hidden="1">{"rp_only",#N/A,FALSE,"2225"}</definedName>
    <definedName name="dsfgsdgf" localSheetId="10" hidden="1">{"rp_only",#N/A,FALSE,"2225"}</definedName>
    <definedName name="dsfgsdgf" hidden="1">{"rp_only",#N/A,FALSE,"2225"}</definedName>
    <definedName name="dsfgsdgf_1" localSheetId="10" hidden="1">{"rp_only",#N/A,FALSE,"2225"}</definedName>
    <definedName name="dsfgsdgf_1" hidden="1">{"rp_only",#N/A,FALSE,"2225"}</definedName>
    <definedName name="dsfs" localSheetId="10" hidden="1">{"rp_only",#N/A,FALSE,"2225"}</definedName>
    <definedName name="dsfs" hidden="1">{"rp_only",#N/A,FALSE,"2225"}</definedName>
    <definedName name="dsfs_1" localSheetId="10" hidden="1">{"rp_only",#N/A,FALSE,"2225"}</definedName>
    <definedName name="dsfs_1" hidden="1">{"rp_only",#N/A,FALSE,"2225"}</definedName>
    <definedName name="dsfsa" localSheetId="10" hidden="1">{"rp_only",#N/A,FALSE,"2225"}</definedName>
    <definedName name="dsfsa" hidden="1">{"rp_only",#N/A,FALSE,"2225"}</definedName>
    <definedName name="dsfsa_1" localSheetId="10" hidden="1">{"rp_only",#N/A,FALSE,"2225"}</definedName>
    <definedName name="dsfsa_1" hidden="1">{"rp_only",#N/A,FALSE,"2225"}</definedName>
    <definedName name="dsfsadf" localSheetId="10" hidden="1">{"rp_only",#N/A,FALSE,"2225"}</definedName>
    <definedName name="dsfsadf" hidden="1">{"rp_only",#N/A,FALSE,"2225"}</definedName>
    <definedName name="dsfsadf_1" localSheetId="10" hidden="1">{"rp_only",#N/A,FALSE,"2225"}</definedName>
    <definedName name="dsfsadf_1" hidden="1">{"rp_only",#N/A,FALSE,"2225"}</definedName>
    <definedName name="dsfsd" localSheetId="10" hidden="1">{"rp_only",#N/A,FALSE,"2225"}</definedName>
    <definedName name="dsfsd" hidden="1">{"rp_only",#N/A,FALSE,"2225"}</definedName>
    <definedName name="dsfsd_1" localSheetId="10" hidden="1">{"rp_only",#N/A,FALSE,"2225"}</definedName>
    <definedName name="dsfsd_1" hidden="1">{"rp_only",#N/A,FALSE,"2225"}</definedName>
    <definedName name="dsfsdaafsddfs" localSheetId="10" hidden="1">{"rp_only",#N/A,FALSE,"2225"}</definedName>
    <definedName name="dsfsdaafsddfs" hidden="1">{"rp_only",#N/A,FALSE,"2225"}</definedName>
    <definedName name="dsfsdaafsddfs_1" localSheetId="10" hidden="1">{"rp_only",#N/A,FALSE,"2225"}</definedName>
    <definedName name="dsfsdaafsddfs_1" hidden="1">{"rp_only",#N/A,FALSE,"2225"}</definedName>
    <definedName name="dsfsdf" localSheetId="10" hidden="1">{"with_oth_curr",#N/A,FALSE,"2225"}</definedName>
    <definedName name="dsfsdf" hidden="1">{"with_oth_curr",#N/A,FALSE,"2225"}</definedName>
    <definedName name="dsfsdf_1" localSheetId="10" hidden="1">{"with_oth_curr",#N/A,FALSE,"2225"}</definedName>
    <definedName name="dsfsdf_1" hidden="1">{"with_oth_curr",#N/A,FALSE,"2225"}</definedName>
    <definedName name="dsfsdfd" localSheetId="10" hidden="1">{"rp_only",#N/A,FALSE,"2225"}</definedName>
    <definedName name="dsfsdfd" hidden="1">{"rp_only",#N/A,FALSE,"2225"}</definedName>
    <definedName name="dsfsdfd_1" localSheetId="10" hidden="1">{"rp_only",#N/A,FALSE,"2225"}</definedName>
    <definedName name="dsfsdfd_1" hidden="1">{"rp_only",#N/A,FALSE,"2225"}</definedName>
    <definedName name="dsfsdfdf" localSheetId="10" hidden="1">{"rp_only",#N/A,FALSE,"2225"}</definedName>
    <definedName name="dsfsdfdf" hidden="1">{"rp_only",#N/A,FALSE,"2225"}</definedName>
    <definedName name="dsfsdfdf_1" localSheetId="10" hidden="1">{"rp_only",#N/A,FALSE,"2225"}</definedName>
    <definedName name="dsfsdfdf_1" hidden="1">{"rp_only",#N/A,FALSE,"2225"}</definedName>
    <definedName name="dsfsdfds" localSheetId="10" hidden="1">{"rp_only",#N/A,FALSE,"2225"}</definedName>
    <definedName name="dsfsdfds" hidden="1">{"rp_only",#N/A,FALSE,"2225"}</definedName>
    <definedName name="dsfsdfds_1" localSheetId="10" hidden="1">{"rp_only",#N/A,FALSE,"2225"}</definedName>
    <definedName name="dsfsdfds_1" hidden="1">{"rp_only",#N/A,FALSE,"2225"}</definedName>
    <definedName name="dsfsdfs" localSheetId="10" hidden="1">{"with_oth_curr",#N/A,FALSE,"2225"}</definedName>
    <definedName name="dsfsdfs" hidden="1">{"with_oth_curr",#N/A,FALSE,"2225"}</definedName>
    <definedName name="dsfsdfs_1" localSheetId="10" hidden="1">{"with_oth_curr",#N/A,FALSE,"2225"}</definedName>
    <definedName name="dsfsdfs_1" hidden="1">{"with_oth_curr",#N/A,FALSE,"2225"}</definedName>
    <definedName name="dsfsdfsd" localSheetId="10" hidden="1">{"with_oth_curr",#N/A,FALSE,"2225"}</definedName>
    <definedName name="dsfsdfsd" hidden="1">{"with_oth_curr",#N/A,FALSE,"2225"}</definedName>
    <definedName name="dsfsdfsd_1" localSheetId="10" hidden="1">{"with_oth_curr",#N/A,FALSE,"2225"}</definedName>
    <definedName name="dsfsdfsd_1" hidden="1">{"with_oth_curr",#N/A,FALSE,"2225"}</definedName>
    <definedName name="dsfsdfsdf">#N/A</definedName>
    <definedName name="dsfsdfsdfsf" localSheetId="10" hidden="1">{"with_oth_curr",#N/A,FALSE,"2225"}</definedName>
    <definedName name="dsfsdfsdfsf" hidden="1">{"with_oth_curr",#N/A,FALSE,"2225"}</definedName>
    <definedName name="dsfsdfsdfsf_1" localSheetId="10" hidden="1">{"with_oth_curr",#N/A,FALSE,"2225"}</definedName>
    <definedName name="dsfsdfsdfsf_1" hidden="1">{"with_oth_curr",#N/A,FALSE,"2225"}</definedName>
    <definedName name="dsfsdfsf" localSheetId="10" hidden="1">{"rp_only",#N/A,FALSE,"2225"}</definedName>
    <definedName name="dsfsdfsf" hidden="1">{"rp_only",#N/A,FALSE,"2225"}</definedName>
    <definedName name="dsfsdfsf_1" localSheetId="10" hidden="1">{"rp_only",#N/A,FALSE,"2225"}</definedName>
    <definedName name="dsfsdfsf_1" hidden="1">{"rp_only",#N/A,FALSE,"2225"}</definedName>
    <definedName name="dsfsdfsfd" localSheetId="10" hidden="1">{"rp_only",#N/A,FALSE,"2225"}</definedName>
    <definedName name="dsfsdfsfd" hidden="1">{"rp_only",#N/A,FALSE,"2225"}</definedName>
    <definedName name="dsfsdfsfd_1" localSheetId="10" hidden="1">{"rp_only",#N/A,FALSE,"2225"}</definedName>
    <definedName name="dsfsdfsfd_1" hidden="1">{"rp_only",#N/A,FALSE,"2225"}</definedName>
    <definedName name="dsfsdgdg" localSheetId="10" hidden="1">{"rp_only",#N/A,FALSE,"2225"}</definedName>
    <definedName name="dsfsdgdg" hidden="1">{"rp_only",#N/A,FALSE,"2225"}</definedName>
    <definedName name="dsfsdgdg_1" localSheetId="10" hidden="1">{"rp_only",#N/A,FALSE,"2225"}</definedName>
    <definedName name="dsfsdgdg_1" hidden="1">{"rp_only",#N/A,FALSE,"2225"}</definedName>
    <definedName name="dsfsf" localSheetId="10" hidden="1">{"with_oth_curr",#N/A,FALSE,"2225"}</definedName>
    <definedName name="dsfsf" hidden="1">{"with_oth_curr",#N/A,FALSE,"2225"}</definedName>
    <definedName name="dsfsf_1" localSheetId="10" hidden="1">{"with_oth_curr",#N/A,FALSE,"2225"}</definedName>
    <definedName name="dsfsf_1" hidden="1">{"with_oth_curr",#N/A,FALSE,"2225"}</definedName>
    <definedName name="dsfsfdsfsffsdfddddddddddddddddddddddddddd" localSheetId="10" hidden="1">{"rp_only",#N/A,FALSE,"2225"}</definedName>
    <definedName name="dsfsfdsfsffsdfddddddddddddddddddddddddddd" hidden="1">{"rp_only",#N/A,FALSE,"2225"}</definedName>
    <definedName name="dsfsfdsfsffsdfddddddddddddddddddddddddddd_1" localSheetId="10" hidden="1">{"rp_only",#N/A,FALSE,"2225"}</definedName>
    <definedName name="dsfsfdsfsffsdfddddddddddddddddddddddddddd_1" hidden="1">{"rp_only",#N/A,FALSE,"2225"}</definedName>
    <definedName name="dsfsfs" localSheetId="10" hidden="1">{"rp_only",#N/A,FALSE,"2225"}</definedName>
    <definedName name="dsfsfs" hidden="1">{"rp_only",#N/A,FALSE,"2225"}</definedName>
    <definedName name="dsfsfs_1" localSheetId="10" hidden="1">{"rp_only",#N/A,FALSE,"2225"}</definedName>
    <definedName name="dsfsfs_1" hidden="1">{"rp_only",#N/A,FALSE,"2225"}</definedName>
    <definedName name="dsfsfsd" localSheetId="10" hidden="1">{"rp_only",#N/A,FALSE,"2225"}</definedName>
    <definedName name="dsfsfsd" hidden="1">{"rp_only",#N/A,FALSE,"2225"}</definedName>
    <definedName name="dsfsfsd_1" localSheetId="10" hidden="1">{"rp_only",#N/A,FALSE,"2225"}</definedName>
    <definedName name="dsfsfsd_1" hidden="1">{"rp_only",#N/A,FALSE,"2225"}</definedName>
    <definedName name="dsfsfsdfsf" localSheetId="10" hidden="1">{"with_oth_curr",#N/A,FALSE,"2225"}</definedName>
    <definedName name="dsfsfsdfsf" hidden="1">{"with_oth_curr",#N/A,FALSE,"2225"}</definedName>
    <definedName name="dsfsfsdfsf_1" localSheetId="10" hidden="1">{"with_oth_curr",#N/A,FALSE,"2225"}</definedName>
    <definedName name="dsfsfsdfsf_1" hidden="1">{"with_oth_curr",#N/A,FALSE,"2225"}</definedName>
    <definedName name="dsfsfsf" localSheetId="10" hidden="1">{"rp_only",#N/A,FALSE,"2225"}</definedName>
    <definedName name="dsfsfsf" hidden="1">{"rp_only",#N/A,FALSE,"2225"}</definedName>
    <definedName name="dsfsfsf_1" localSheetId="10" hidden="1">{"rp_only",#N/A,FALSE,"2225"}</definedName>
    <definedName name="dsfsfsf_1" hidden="1">{"rp_only",#N/A,FALSE,"2225"}</definedName>
    <definedName name="dsfsgsfgfh" localSheetId="10" hidden="1">{"rp_only",#N/A,FALSE,"2225"}</definedName>
    <definedName name="dsfsgsfgfh" hidden="1">{"rp_only",#N/A,FALSE,"2225"}</definedName>
    <definedName name="dsfsgsfgfh_1" localSheetId="10" hidden="1">{"rp_only",#N/A,FALSE,"2225"}</definedName>
    <definedName name="dsfsgsfgfh_1" hidden="1">{"rp_only",#N/A,FALSE,"2225"}</definedName>
    <definedName name="dsfssf" localSheetId="10" hidden="1">{"rp_only",#N/A,FALSE,"2225"}</definedName>
    <definedName name="dsfssf" hidden="1">{"rp_only",#N/A,FALSE,"2225"}</definedName>
    <definedName name="dsfssf_1" localSheetId="10" hidden="1">{"rp_only",#N/A,FALSE,"2225"}</definedName>
    <definedName name="dsfssf_1" hidden="1">{"rp_only",#N/A,FALSE,"2225"}</definedName>
    <definedName name="DSG" localSheetId="10" hidden="1">{"rp_only",#N/A,FALSE,"2225"}</definedName>
    <definedName name="DSG" hidden="1">{"rp_only",#N/A,FALSE,"2225"}</definedName>
    <definedName name="DSG_1" localSheetId="10" hidden="1">{"rp_only",#N/A,FALSE,"2225"}</definedName>
    <definedName name="DSG_1" hidden="1">{"rp_only",#N/A,FALSE,"2225"}</definedName>
    <definedName name="DSGDSFD" localSheetId="10" hidden="1">{"rp_only",#N/A,FALSE,"2225"}</definedName>
    <definedName name="DSGDSFD" hidden="1">{"rp_only",#N/A,FALSE,"2225"}</definedName>
    <definedName name="DSGDSFD_1" localSheetId="10" hidden="1">{"rp_only",#N/A,FALSE,"2225"}</definedName>
    <definedName name="DSGDSFD_1" hidden="1">{"rp_only",#N/A,FALSE,"2225"}</definedName>
    <definedName name="dsgdsfgfdgs" localSheetId="10" hidden="1">{"with_oth_curr",#N/A,FALSE,"2225"}</definedName>
    <definedName name="dsgdsfgfdgs" hidden="1">{"with_oth_curr",#N/A,FALSE,"2225"}</definedName>
    <definedName name="dsgdsfgfdgs_1" localSheetId="10" hidden="1">{"with_oth_curr",#N/A,FALSE,"2225"}</definedName>
    <definedName name="dsgdsfgfdgs_1" hidden="1">{"with_oth_curr",#N/A,FALSE,"2225"}</definedName>
    <definedName name="dsgdsg" localSheetId="10" hidden="1">{"rp_only",#N/A,FALSE,"2225"}</definedName>
    <definedName name="dsgdsg" hidden="1">{"rp_only",#N/A,FALSE,"2225"}</definedName>
    <definedName name="dsgdsg_1" localSheetId="10" hidden="1">{"rp_only",#N/A,FALSE,"2225"}</definedName>
    <definedName name="dsgdsg_1" hidden="1">{"rp_only",#N/A,FALSE,"2225"}</definedName>
    <definedName name="dsgdsgfsd" localSheetId="10" hidden="1">{"rp_only",#N/A,FALSE,"2225"}</definedName>
    <definedName name="dsgdsgfsd" hidden="1">{"rp_only",#N/A,FALSE,"2225"}</definedName>
    <definedName name="dsgdsgfsd_1" localSheetId="10" hidden="1">{"rp_only",#N/A,FALSE,"2225"}</definedName>
    <definedName name="dsgdsgfsd_1" hidden="1">{"rp_only",#N/A,FALSE,"2225"}</definedName>
    <definedName name="dsgfg" localSheetId="10" hidden="1">{"rp_only",#N/A,FALSE,"2225"}</definedName>
    <definedName name="dsgfg" hidden="1">{"rp_only",#N/A,FALSE,"2225"}</definedName>
    <definedName name="dsgfg_1" localSheetId="10" hidden="1">{"rp_only",#N/A,FALSE,"2225"}</definedName>
    <definedName name="dsgfg_1" hidden="1">{"rp_only",#N/A,FALSE,"2225"}</definedName>
    <definedName name="dsggd" localSheetId="10"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10" hidden="1">{"rp_only",#N/A,FALSE,"2225"}</definedName>
    <definedName name="dsgrgtgtf" hidden="1">{"rp_only",#N/A,FALSE,"2225"}</definedName>
    <definedName name="dsgrgtgtf_1" localSheetId="10" hidden="1">{"rp_only",#N/A,FALSE,"2225"}</definedName>
    <definedName name="dsgrgtgtf_1" hidden="1">{"rp_only",#N/A,FALSE,"2225"}</definedName>
    <definedName name="dsgsags" localSheetId="10" hidden="1">{"rp_only",#N/A,FALSE,"2225"}</definedName>
    <definedName name="dsgsags" hidden="1">{"rp_only",#N/A,FALSE,"2225"}</definedName>
    <definedName name="dsgsags_1" localSheetId="10" hidden="1">{"rp_only",#N/A,FALSE,"2225"}</definedName>
    <definedName name="dsgsags_1" hidden="1">{"rp_only",#N/A,FALSE,"2225"}</definedName>
    <definedName name="dshgjj" localSheetId="10" hidden="1">{"with_oth_curr",#N/A,FALSE,"2225"}</definedName>
    <definedName name="dshgjj" hidden="1">{"with_oth_curr",#N/A,FALSE,"2225"}</definedName>
    <definedName name="dshgjj_1" localSheetId="10"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localSheetId="10" hidden="1">{"with_oth_curr",#N/A,FALSE,"2225"}</definedName>
    <definedName name="dsrwe" hidden="1">{"with_oth_curr",#N/A,FALSE,"2225"}</definedName>
    <definedName name="dsrwe_1" localSheetId="10" hidden="1">{"with_oth_curr",#N/A,FALSE,"2225"}</definedName>
    <definedName name="dsrwe_1" hidden="1">{"with_oth_curr",#N/A,FALSE,"2225"}</definedName>
    <definedName name="dssdfsd" localSheetId="10" hidden="1">{"rp_only",#N/A,FALSE,"2225"}</definedName>
    <definedName name="dssdfsd" hidden="1">{"rp_only",#N/A,FALSE,"2225"}</definedName>
    <definedName name="dssdfsd_1" localSheetId="10" hidden="1">{"rp_only",#N/A,FALSE,"2225"}</definedName>
    <definedName name="dssdfsd_1" hidden="1">{"rp_only",#N/A,FALSE,"2225"}</definedName>
    <definedName name="dssdg" localSheetId="10" hidden="1">{"with_oth_curr",#N/A,FALSE,"2225"}</definedName>
    <definedName name="dssdg" hidden="1">{"with_oth_curr",#N/A,FALSE,"2225"}</definedName>
    <definedName name="dssdg_1" localSheetId="10" hidden="1">{"with_oth_curr",#N/A,FALSE,"2225"}</definedName>
    <definedName name="dssdg_1" hidden="1">{"with_oth_curr",#N/A,FALSE,"2225"}</definedName>
    <definedName name="dssdsaAF" localSheetId="10" hidden="1">{"rp_only",#N/A,FALSE,"2225"}</definedName>
    <definedName name="dssdsaAF" hidden="1">{"rp_only",#N/A,FALSE,"2225"}</definedName>
    <definedName name="dssdsaAF_1" localSheetId="10" hidden="1">{"rp_only",#N/A,FALSE,"2225"}</definedName>
    <definedName name="dssdsaAF_1" hidden="1">{"rp_only",#N/A,FALSE,"2225"}</definedName>
    <definedName name="dssf" localSheetId="10" hidden="1">{"with_oth_curr",#N/A,FALSE,"2225"}</definedName>
    <definedName name="dssf" hidden="1">{"with_oth_curr",#N/A,FALSE,"2225"}</definedName>
    <definedName name="dssf_1" localSheetId="10" hidden="1">{"with_oth_curr",#N/A,FALSE,"2225"}</definedName>
    <definedName name="dssf_1" hidden="1">{"with_oth_curr",#N/A,FALSE,"2225"}</definedName>
    <definedName name="dssfds" localSheetId="10" hidden="1">{"rp_only",#N/A,FALSE,"2225"}</definedName>
    <definedName name="dssfds" hidden="1">{"rp_only",#N/A,FALSE,"2225"}</definedName>
    <definedName name="dssfds_1" localSheetId="10"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localSheetId="10" hidden="1">{#N/A,#N/A,FALSE,"Bank Rec Cover Sheet";#N/A,#N/A,FALSE,"Bank Rec Details"}</definedName>
    <definedName name="DTScalc" hidden="1">{#N/A,#N/A,FALSE,"Bank Rec Cover Sheet";#N/A,#N/A,FALSE,"Bank Rec Details"}</definedName>
    <definedName name="DTScalc_1" localSheetId="10" hidden="1">{#N/A,#N/A,FALSE,"Bank Rec Cover Sheet";#N/A,#N/A,FALSE,"Bank Rec Details"}</definedName>
    <definedName name="DTScalc_1" hidden="1">{#N/A,#N/A,FALSE,"Bank Rec Cover Sheet";#N/A,#N/A,FALSE,"Bank Rec Details"}</definedName>
    <definedName name="dtt" localSheetId="10" hidden="1">{"rp_only",#N/A,FALSE,"2225"}</definedName>
    <definedName name="dtt" hidden="1">{"rp_only",#N/A,FALSE,"2225"}</definedName>
    <definedName name="dtt_1" localSheetId="10"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10"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10" hidden="1">{"rp_only",#N/A,FALSE,"2225"}</definedName>
    <definedName name="dvxcv" hidden="1">{"rp_only",#N/A,FALSE,"2225"}</definedName>
    <definedName name="dvxcv_1" localSheetId="10" hidden="1">{"rp_only",#N/A,FALSE,"2225"}</definedName>
    <definedName name="dvxcv_1" hidden="1">{"rp_only",#N/A,FALSE,"2225"}</definedName>
    <definedName name="dvzcxdfvgffa" localSheetId="10" hidden="1">{"rp_only",#N/A,FALSE,"2225"}</definedName>
    <definedName name="dvzcxdfvgffa" hidden="1">{"rp_only",#N/A,FALSE,"2225"}</definedName>
    <definedName name="dvzcxdfvgffa_1" localSheetId="10" hidden="1">{"rp_only",#N/A,FALSE,"2225"}</definedName>
    <definedName name="dvzcxdfvgffa_1" hidden="1">{"rp_only",#N/A,FALSE,"2225"}</definedName>
    <definedName name="dw">#REF!</definedName>
    <definedName name="dweswf">#REF!</definedName>
    <definedName name="dwi">#REF!</definedName>
    <definedName name="DWI_Cap">#REF!</definedName>
    <definedName name="dxgg" localSheetId="10" hidden="1">{"rp_only",#N/A,FALSE,"2225"}</definedName>
    <definedName name="dxgg" hidden="1">{"rp_only",#N/A,FALSE,"2225"}</definedName>
    <definedName name="dxgg_1" localSheetId="10"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localSheetId="10" hidden="1">{"WORK IN PROCESS",#N/A,FALSE,"COGS"}</definedName>
    <definedName name="dyfdy" hidden="1">{"WORK IN PROCESS",#N/A,FALSE,"COGS"}</definedName>
    <definedName name="dyfdy_1" localSheetId="10" hidden="1">{"WORK IN PROCESS",#N/A,FALSE,"COGS"}</definedName>
    <definedName name="dyfdy_1" hidden="1">{"WORK IN PROCESS",#N/A,FALSE,"COGS"}</definedName>
    <definedName name="e">#REF!</definedName>
    <definedName name="E..." localSheetId="10" hidden="1">{"with_oth_curr",#N/A,FALSE,"2225"}</definedName>
    <definedName name="E..." hidden="1">{"with_oth_curr",#N/A,FALSE,"2225"}</definedName>
    <definedName name="E..._1" localSheetId="10" hidden="1">{"with_oth_curr",#N/A,FALSE,"2225"}</definedName>
    <definedName name="E..._1" hidden="1">{"with_oth_curr",#N/A,FALSE,"2225"}</definedName>
    <definedName name="E.2" localSheetId="10" hidden="1">{"with_oth_curr",#N/A,FALSE,"2225"}</definedName>
    <definedName name="E.2" hidden="1">{"with_oth_curr",#N/A,FALSE,"2225"}</definedName>
    <definedName name="E.2_1" localSheetId="10" hidden="1">{"with_oth_curr",#N/A,FALSE,"2225"}</definedName>
    <definedName name="E.2_1" hidden="1">{"with_oth_curr",#N/A,FALSE,"2225"}</definedName>
    <definedName name="E.2ddsada" localSheetId="10" hidden="1">{"with_oth_curr",#N/A,FALSE,"2225"}</definedName>
    <definedName name="E.2ddsada" hidden="1">{"with_oth_curr",#N/A,FALSE,"2225"}</definedName>
    <definedName name="E.2ddsada_1" localSheetId="10" hidden="1">{"with_oth_curr",#N/A,FALSE,"2225"}</definedName>
    <definedName name="E.2ddsada_1" hidden="1">{"with_oth_curr",#N/A,FALSE,"2225"}</definedName>
    <definedName name="E.3" localSheetId="10" hidden="1">{"rp_only",#N/A,FALSE,"2225"}</definedName>
    <definedName name="E.3" hidden="1">{"rp_only",#N/A,FALSE,"2225"}</definedName>
    <definedName name="E.3_1" localSheetId="10" hidden="1">{"rp_only",#N/A,FALSE,"2225"}</definedName>
    <definedName name="E.3_1" hidden="1">{"rp_only",#N/A,FALSE,"2225"}</definedName>
    <definedName name="E.3dada" localSheetId="10" hidden="1">{"rp_only",#N/A,FALSE,"2225"}</definedName>
    <definedName name="E.3dada" hidden="1">{"rp_only",#N/A,FALSE,"2225"}</definedName>
    <definedName name="E.3dada_1" localSheetId="10" hidden="1">{"rp_only",#N/A,FALSE,"2225"}</definedName>
    <definedName name="E.3dada_1" hidden="1">{"rp_only",#N/A,FALSE,"2225"}</definedName>
    <definedName name="E.4" localSheetId="10" hidden="1">{"rp_only",#N/A,FALSE,"2225"}</definedName>
    <definedName name="E.4" hidden="1">{"rp_only",#N/A,FALSE,"2225"}</definedName>
    <definedName name="E.4...." localSheetId="10" hidden="1">{"rp_only",#N/A,FALSE,"2225"}</definedName>
    <definedName name="E.4...." hidden="1">{"rp_only",#N/A,FALSE,"2225"}</definedName>
    <definedName name="E.4...._1" localSheetId="10" hidden="1">{"rp_only",#N/A,FALSE,"2225"}</definedName>
    <definedName name="E.4...._1" hidden="1">{"rp_only",#N/A,FALSE,"2225"}</definedName>
    <definedName name="E.4..hgdsaj" localSheetId="10" hidden="1">{"rp_only",#N/A,FALSE,"2225"}</definedName>
    <definedName name="E.4..hgdsaj" hidden="1">{"rp_only",#N/A,FALSE,"2225"}</definedName>
    <definedName name="E.4..hgdsaj_1" localSheetId="10" hidden="1">{"rp_only",#N/A,FALSE,"2225"}</definedName>
    <definedName name="E.4..hgdsaj_1" hidden="1">{"rp_only",#N/A,FALSE,"2225"}</definedName>
    <definedName name="E.4_1" localSheetId="10" hidden="1">{"rp_only",#N/A,FALSE,"2225"}</definedName>
    <definedName name="E.4_1" hidden="1">{"rp_only",#N/A,FALSE,"2225"}</definedName>
    <definedName name="E.sec" localSheetId="10" hidden="1">{"rp_only",#N/A,FALSE,"2225"}</definedName>
    <definedName name="E.sec" hidden="1">{"rp_only",#N/A,FALSE,"2225"}</definedName>
    <definedName name="E.sec_1" localSheetId="10"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localSheetId="10" hidden="1">{#N/A,#N/A,FALSE,"REK-S-TPL";#N/A,#N/A,FALSE,"REK-TPML";#N/A,#N/A,FALSE,"RAB-TEMPEL"}</definedName>
    <definedName name="e35u" hidden="1">{#N/A,#N/A,FALSE,"REK-S-TPL";#N/A,#N/A,FALSE,"REK-TPML";#N/A,#N/A,FALSE,"RAB-TEMPEL"}</definedName>
    <definedName name="E5700.">#REF!</definedName>
    <definedName name="ea" localSheetId="10" hidden="1">{#N/A,#N/A,FALSE,"Aging Summary";#N/A,#N/A,FALSE,"Ratio Analysis";#N/A,#N/A,FALSE,"Test 120 Day Accts";#N/A,#N/A,FALSE,"Tickmarks"}</definedName>
    <definedName name="ea" hidden="1">{#N/A,#N/A,FALSE,"Aging Summary";#N/A,#N/A,FALSE,"Ratio Analysis";#N/A,#N/A,FALSE,"Test 120 Day Accts";#N/A,#N/A,FALSE,"Tickmarks"}</definedName>
    <definedName name="ea_1" localSheetId="10"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localSheetId="10" hidden="1">{"with_oth_curr",#N/A,FALSE,"2225"}</definedName>
    <definedName name="eada" hidden="1">{"with_oth_curr",#N/A,FALSE,"2225"}</definedName>
    <definedName name="eada_1" localSheetId="10"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localSheetId="10" hidden="1">{#N/A,#N/A,FALSE,"M06";#N/A,#N/A,FALSE,"M07"}</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localSheetId="10" hidden="1">{"rp_only",#N/A,FALSE,"2225"}</definedName>
    <definedName name="edfqwe" hidden="1">{"rp_only",#N/A,FALSE,"2225"}</definedName>
    <definedName name="edfqwe_1" localSheetId="10" hidden="1">{"rp_only",#N/A,FALSE,"2225"}</definedName>
    <definedName name="edfqwe_1" hidden="1">{"rp_only",#N/A,FALSE,"2225"}</definedName>
    <definedName name="EDK"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10"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 localSheetId="10">BLCH</definedName>
    <definedName name="EEE">BLCH</definedName>
    <definedName name="EEE_1">#REF!</definedName>
    <definedName name="EEE_5">#REF!</definedName>
    <definedName name="eeeee" localSheetId="10" hidden="1">{#N/A,#N/A,FALSE,"Sheet1";#N/A,#N/A,FALSE,"Sheet2"}</definedName>
    <definedName name="eeeee" hidden="1">{#N/A,#N/A,FALSE,"Sheet1";#N/A,#N/A,FALSE,"Sheet2"}</definedName>
    <definedName name="eetrt" localSheetId="10" hidden="1">{"rp_only",#N/A,FALSE,"2225"}</definedName>
    <definedName name="eetrt" hidden="1">{"rp_only",#N/A,FALSE,"2225"}</definedName>
    <definedName name="eetrt_1" localSheetId="10"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localSheetId="10" hidden="1">{#N/A,#N/A,FALSE,"Cost Report";"Geology",#N/A,FALSE,"Cost Summary";"Geolgy Recon",#N/A,FALSE,"UG Geology Rep."}</definedName>
    <definedName name="ef" hidden="1">{#N/A,#N/A,FALSE,"Cost Report";"Geology",#N/A,FALSE,"Cost Summary";"Geolgy Recon",#N/A,FALSE,"UG Geology Rep."}</definedName>
    <definedName name="ef_1" localSheetId="10"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10" hidden="1">{"rp_only",#N/A,FALSE,"2225"}</definedName>
    <definedName name="efsdfsdf" hidden="1">{"rp_only",#N/A,FALSE,"2225"}</definedName>
    <definedName name="efsdfsdf_1" localSheetId="10"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localSheetId="10"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localSheetId="10" hidden="1">{#N/A,#N/A,FALSE,"Aging Summary";#N/A,#N/A,FALSE,"Ratio Analysis";#N/A,#N/A,FALSE,"Test 120 Day Accts";#N/A,#N/A,FALSE,"Tickmarks"}</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localSheetId="10" hidden="1">{#N/A,#N/A,FALSE,"Calc";#N/A,#N/A,FALSE,"Sensitivity";#N/A,#N/A,FALSE,"LT Earn.Dil.";#N/A,#N/A,FALSE,"Dil. AVP"}</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localSheetId="10" hidden="1">{#N/A,#N/A,FALSE,"Act.Fcst Costs"}</definedName>
    <definedName name="ent" hidden="1">{#N/A,#N/A,FALSE,"Act.Fcst Costs"}</definedName>
    <definedName name="ent_1" localSheetId="10"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localSheetId="10" hidden="1">{"rp_only",#N/A,FALSE,"2225"}</definedName>
    <definedName name="eqewqe" hidden="1">{"rp_only",#N/A,FALSE,"2225"}</definedName>
    <definedName name="eqewqe_1" localSheetId="10"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10" hidden="1">{#N/A,#N/A,FALSE,"REK";#N/A,#N/A,FALSE,"rab"}</definedName>
    <definedName name="eqw" hidden="1">{#N/A,#N/A,FALSE,"REK";#N/A,#N/A,FALSE,"rab"}</definedName>
    <definedName name="eqwgtqwegt" localSheetId="10" hidden="1">{#N/A,#N/A,FALSE,"REK";#N/A,#N/A,FALSE,"Bq-ARS"}</definedName>
    <definedName name="eqwgtqwegt" hidden="1">{#N/A,#N/A,FALSE,"REK";#N/A,#N/A,FALSE,"Bq-ARS"}</definedName>
    <definedName name="er" localSheetId="10"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localSheetId="10" hidden="1">{"rp_only",#N/A,FALSE,"2225"}</definedName>
    <definedName name="erer" hidden="1">{"rp_only",#N/A,FALSE,"2225"}</definedName>
    <definedName name="erer_1" localSheetId="10" hidden="1">{"rp_only",#N/A,FALSE,"2225"}</definedName>
    <definedName name="erer_1" hidden="1">{"rp_only",#N/A,FALSE,"2225"}</definedName>
    <definedName name="erertetr" localSheetId="10" hidden="1">{"with_oth_curr",#N/A,FALSE,"2225"}</definedName>
    <definedName name="erertetr" hidden="1">{"with_oth_curr",#N/A,FALSE,"2225"}</definedName>
    <definedName name="erertetr_1" localSheetId="10" hidden="1">{"with_oth_curr",#N/A,FALSE,"2225"}</definedName>
    <definedName name="erertetr_1" hidden="1">{"with_oth_curr",#N/A,FALSE,"2225"}</definedName>
    <definedName name="eresr" localSheetId="10" hidden="1">{#N/A,#N/A,FALSE,"Aging Summary";#N/A,#N/A,FALSE,"Ratio Analysis";#N/A,#N/A,FALSE,"Test 120 Day Accts";#N/A,#N/A,FALSE,"Tickmarks"}</definedName>
    <definedName name="eresr" hidden="1">{#N/A,#N/A,FALSE,"Aging Summary";#N/A,#N/A,FALSE,"Ratio Analysis";#N/A,#N/A,FALSE,"Test 120 Day Accts";#N/A,#N/A,FALSE,"Tickmarks"}</definedName>
    <definedName name="eresr_1" localSheetId="10" hidden="1">{#N/A,#N/A,FALSE,"Aging Summary";#N/A,#N/A,FALSE,"Ratio Analysis";#N/A,#N/A,FALSE,"Test 120 Day Accts";#N/A,#N/A,FALSE,"Tickmarks"}</definedName>
    <definedName name="eresr_1" hidden="1">{#N/A,#N/A,FALSE,"Aging Summary";#N/A,#N/A,FALSE,"Ratio Analysis";#N/A,#N/A,FALSE,"Test 120 Day Accts";#N/A,#N/A,FALSE,"Tickmarks"}</definedName>
    <definedName name="eret" localSheetId="10" hidden="1">{"rp_only",#N/A,FALSE,"2225"}</definedName>
    <definedName name="eret" hidden="1">{"rp_only",#N/A,FALSE,"2225"}</definedName>
    <definedName name="eret_1" localSheetId="10" hidden="1">{"rp_only",#N/A,FALSE,"2225"}</definedName>
    <definedName name="eret_1" hidden="1">{"rp_only",#N/A,FALSE,"2225"}</definedName>
    <definedName name="eretet" localSheetId="10" hidden="1">{"rp_only",#N/A,FALSE,"2225"}</definedName>
    <definedName name="eretet" hidden="1">{"rp_only",#N/A,FALSE,"2225"}</definedName>
    <definedName name="eretet_1" localSheetId="10" hidden="1">{"rp_only",#N/A,FALSE,"2225"}</definedName>
    <definedName name="eretet_1" hidden="1">{"rp_only",#N/A,FALSE,"2225"}</definedName>
    <definedName name="erew" localSheetId="10" hidden="1">{"rp_only",#N/A,FALSE,"2225"}</definedName>
    <definedName name="erew" hidden="1">{"rp_only",#N/A,FALSE,"2225"}</definedName>
    <definedName name="erew_1" localSheetId="10" hidden="1">{"rp_only",#N/A,FALSE,"2225"}</definedName>
    <definedName name="erew_1" hidden="1">{"rp_only",#N/A,FALSE,"2225"}</definedName>
    <definedName name="erewaewr" localSheetId="10" hidden="1">{"rp_only",#N/A,FALSE,"2225"}</definedName>
    <definedName name="erewaewr" hidden="1">{"rp_only",#N/A,FALSE,"2225"}</definedName>
    <definedName name="erewaewr_1" localSheetId="10" hidden="1">{"rp_only",#N/A,FALSE,"2225"}</definedName>
    <definedName name="erewaewr_1" hidden="1">{"rp_only",#N/A,FALSE,"2225"}</definedName>
    <definedName name="erft">#REF!</definedName>
    <definedName name="erft_1">#REF!</definedName>
    <definedName name="ergf" localSheetId="10" hidden="1">{"rp_only",#N/A,FALSE,"2225"}</definedName>
    <definedName name="ergf" hidden="1">{"rp_only",#N/A,FALSE,"2225"}</definedName>
    <definedName name="ergf_1" localSheetId="10" hidden="1">{"rp_only",#N/A,FALSE,"2225"}</definedName>
    <definedName name="ergf_1" hidden="1">{"rp_only",#N/A,FALSE,"2225"}</definedName>
    <definedName name="ergtret" localSheetId="10" hidden="1">{"rp_only",#N/A,FALSE,"2225"}</definedName>
    <definedName name="ergtret" hidden="1">{"rp_only",#N/A,FALSE,"2225"}</definedName>
    <definedName name="ergtret_1" localSheetId="10" hidden="1">{"rp_only",#N/A,FALSE,"2225"}</definedName>
    <definedName name="ergtret_1" hidden="1">{"rp_only",#N/A,FALSE,"2225"}</definedName>
    <definedName name="ERRE" localSheetId="10" hidden="1">{"rp_only",#N/A,FALSE,"2225"}</definedName>
    <definedName name="ERRE" hidden="1">{"rp_only",#N/A,FALSE,"2225"}</definedName>
    <definedName name="ERRE_1" localSheetId="10" hidden="1">{"rp_only",#N/A,FALSE,"2225"}</definedName>
    <definedName name="ERRE_1" hidden="1">{"rp_only",#N/A,FALSE,"2225"}</definedName>
    <definedName name="ErrorBars">#REF!</definedName>
    <definedName name="errtt" localSheetId="10" hidden="1">{"adj95mult",#N/A,FALSE,"COMPCO";"adj95est",#N/A,FALSE,"COMPCO"}</definedName>
    <definedName name="errtt" hidden="1">{"adj95mult",#N/A,FALSE,"COMPCO";"adj95est",#N/A,FALSE,"COMPCO"}</definedName>
    <definedName name="errtt_1" localSheetId="10" hidden="1">{"adj95mult",#N/A,FALSE,"COMPCO";"adj95est",#N/A,FALSE,"COMPCO"}</definedName>
    <definedName name="errtt_1" hidden="1">{"adj95mult",#N/A,FALSE,"COMPCO";"adj95est",#N/A,FALSE,"COMPCO"}</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10" hidden="1">{"rp_only",#N/A,FALSE,"2225"}</definedName>
    <definedName name="erte" hidden="1">{"rp_only",#N/A,FALSE,"2225"}</definedName>
    <definedName name="erte_1" localSheetId="10" hidden="1">{"rp_only",#N/A,FALSE,"2225"}</definedName>
    <definedName name="erte_1" hidden="1">{"rp_only",#N/A,FALSE,"2225"}</definedName>
    <definedName name="erterte" localSheetId="10" hidden="1">{"rp_only",#N/A,FALSE,"2225"}</definedName>
    <definedName name="erterte" hidden="1">{"rp_only",#N/A,FALSE,"2225"}</definedName>
    <definedName name="erterte_1" localSheetId="10" hidden="1">{"rp_only",#N/A,FALSE,"2225"}</definedName>
    <definedName name="erterte_1" hidden="1">{"rp_only",#N/A,FALSE,"2225"}</definedName>
    <definedName name="ertertert" localSheetId="10" hidden="1">{"rp_only",#N/A,FALSE,"2225"}</definedName>
    <definedName name="ertertert" hidden="1">{"rp_only",#N/A,FALSE,"2225"}</definedName>
    <definedName name="ertertert_1" localSheetId="10" hidden="1">{"rp_only",#N/A,FALSE,"2225"}</definedName>
    <definedName name="ertertert_1" hidden="1">{"rp_only",#N/A,FALSE,"2225"}</definedName>
    <definedName name="ertertertert" localSheetId="10" hidden="1">{"rp_only",#N/A,FALSE,"2225"}</definedName>
    <definedName name="ertertertert" hidden="1">{"rp_only",#N/A,FALSE,"2225"}</definedName>
    <definedName name="ertertertert_1" localSheetId="10" hidden="1">{"rp_only",#N/A,FALSE,"2225"}</definedName>
    <definedName name="ertertertert_1" hidden="1">{"rp_only",#N/A,FALSE,"2225"}</definedName>
    <definedName name="ertertertertet" localSheetId="10" hidden="1">{"rp_only",#N/A,FALSE,"2225"}</definedName>
    <definedName name="ertertertertet" hidden="1">{"rp_only",#N/A,FALSE,"2225"}</definedName>
    <definedName name="ertertertertet_1" localSheetId="10" hidden="1">{"rp_only",#N/A,FALSE,"2225"}</definedName>
    <definedName name="ertertertertet_1" hidden="1">{"rp_only",#N/A,FALSE,"2225"}</definedName>
    <definedName name="ertertet" localSheetId="10" hidden="1">{"with_oth_curr",#N/A,FALSE,"2225"}</definedName>
    <definedName name="ertertet" hidden="1">{"with_oth_curr",#N/A,FALSE,"2225"}</definedName>
    <definedName name="ertertet_1" localSheetId="10" hidden="1">{"with_oth_curr",#N/A,FALSE,"2225"}</definedName>
    <definedName name="ertertet_1" hidden="1">{"with_oth_curr",#N/A,FALSE,"2225"}</definedName>
    <definedName name="ertertwerwer" localSheetId="10" hidden="1">{"with_oth_curr",#N/A,FALSE,"2225"}</definedName>
    <definedName name="ertertwerwer" hidden="1">{"with_oth_curr",#N/A,FALSE,"2225"}</definedName>
    <definedName name="ertertwerwer_1" localSheetId="10" hidden="1">{"with_oth_curr",#N/A,FALSE,"2225"}</definedName>
    <definedName name="ertertwerwer_1" hidden="1">{"with_oth_curr",#N/A,FALSE,"2225"}</definedName>
    <definedName name="ertertyre" localSheetId="10" hidden="1">{"with_oth_curr",#N/A,FALSE,"2225"}</definedName>
    <definedName name="ertertyre" hidden="1">{"with_oth_curr",#N/A,FALSE,"2225"}</definedName>
    <definedName name="ertertyre_1" localSheetId="10" hidden="1">{"with_oth_curr",#N/A,FALSE,"2225"}</definedName>
    <definedName name="ertertyre_1" hidden="1">{"with_oth_curr",#N/A,FALSE,"2225"}</definedName>
    <definedName name="ertet" localSheetId="10" hidden="1">{"rp_only",#N/A,FALSE,"2225"}</definedName>
    <definedName name="ertet" hidden="1">{"rp_only",#N/A,FALSE,"2225"}</definedName>
    <definedName name="ertet_1" localSheetId="10" hidden="1">{"rp_only",#N/A,FALSE,"2225"}</definedName>
    <definedName name="ertet_1" hidden="1">{"rp_only",#N/A,FALSE,"2225"}</definedName>
    <definedName name="ertetretet" localSheetId="10" hidden="1">{"rp_only",#N/A,FALSE,"2225"}</definedName>
    <definedName name="ertetretet" hidden="1">{"rp_only",#N/A,FALSE,"2225"}</definedName>
    <definedName name="ertetretet_1" localSheetId="10" hidden="1">{"rp_only",#N/A,FALSE,"2225"}</definedName>
    <definedName name="ertetretet_1" hidden="1">{"rp_only",#N/A,FALSE,"2225"}</definedName>
    <definedName name="ertetrrt" localSheetId="10" hidden="1">{"rp_only",#N/A,FALSE,"2225"}</definedName>
    <definedName name="ertetrrt" hidden="1">{"rp_only",#N/A,FALSE,"2225"}</definedName>
    <definedName name="ertetrrt_1" localSheetId="10" hidden="1">{"rp_only",#N/A,FALSE,"2225"}</definedName>
    <definedName name="ertetrrt_1" hidden="1">{"rp_only",#N/A,FALSE,"2225"}</definedName>
    <definedName name="ertretert" localSheetId="10" hidden="1">{"rp_only",#N/A,FALSE,"2225"}</definedName>
    <definedName name="ertretert" hidden="1">{"rp_only",#N/A,FALSE,"2225"}</definedName>
    <definedName name="ertretert_1" localSheetId="10" hidden="1">{"rp_only",#N/A,FALSE,"2225"}</definedName>
    <definedName name="ertretert_1" hidden="1">{"rp_only",#N/A,FALSE,"2225"}</definedName>
    <definedName name="ertretet" localSheetId="10" hidden="1">{"rp_only",#N/A,FALSE,"2225"}</definedName>
    <definedName name="ertretet" hidden="1">{"rp_only",#N/A,FALSE,"2225"}</definedName>
    <definedName name="ertretet_1" localSheetId="10" hidden="1">{"rp_only",#N/A,FALSE,"2225"}</definedName>
    <definedName name="ertretet_1" hidden="1">{"rp_only",#N/A,FALSE,"2225"}</definedName>
    <definedName name="ertty" localSheetId="10" hidden="1">{#N/A,#N/A,FALSE,"Aging Summary";#N/A,#N/A,FALSE,"Ratio Analysis";#N/A,#N/A,FALSE,"Test 120 Day Accts";#N/A,#N/A,FALSE,"Tickmarks"}</definedName>
    <definedName name="ertty" hidden="1">{#N/A,#N/A,FALSE,"Aging Summary";#N/A,#N/A,FALSE,"Ratio Analysis";#N/A,#N/A,FALSE,"Test 120 Day Accts";#N/A,#N/A,FALSE,"Tickmarks"}</definedName>
    <definedName name="ertwe" localSheetId="10" hidden="1">{"with_oth_curr",#N/A,FALSE,"2225"}</definedName>
    <definedName name="ertwe" hidden="1">{"with_oth_curr",#N/A,FALSE,"2225"}</definedName>
    <definedName name="ertwe_1" localSheetId="10" hidden="1">{"with_oth_curr",#N/A,FALSE,"2225"}</definedName>
    <definedName name="ertwe_1" hidden="1">{"with_oth_curr",#N/A,FALSE,"2225"}</definedName>
    <definedName name="ertwerwe" localSheetId="10" hidden="1">{"rp_only",#N/A,FALSE,"2225"}</definedName>
    <definedName name="ertwerwe" hidden="1">{"rp_only",#N/A,FALSE,"2225"}</definedName>
    <definedName name="ertwerwe_1" localSheetId="10" hidden="1">{"rp_only",#N/A,FALSE,"2225"}</definedName>
    <definedName name="ertwerwe_1" hidden="1">{"rp_only",#N/A,FALSE,"2225"}</definedName>
    <definedName name="ERW_Cap">#REF!</definedName>
    <definedName name="erwer" localSheetId="10" hidden="1">{"with_oth_curr",#N/A,FALSE,"2225"}</definedName>
    <definedName name="erwer" hidden="1">{"with_oth_curr",#N/A,FALSE,"2225"}</definedName>
    <definedName name="erwer_1" localSheetId="10" hidden="1">{"with_oth_curr",#N/A,FALSE,"2225"}</definedName>
    <definedName name="erwer_1" hidden="1">{"with_oth_curr",#N/A,FALSE,"2225"}</definedName>
    <definedName name="erweretrt" localSheetId="10" hidden="1">{"with_oth_curr",#N/A,FALSE,"2225"}</definedName>
    <definedName name="erweretrt" hidden="1">{"with_oth_curr",#N/A,FALSE,"2225"}</definedName>
    <definedName name="erweretrt_1" localSheetId="10" hidden="1">{"with_oth_curr",#N/A,FALSE,"2225"}</definedName>
    <definedName name="erweretrt_1" hidden="1">{"with_oth_curr",#N/A,FALSE,"2225"}</definedName>
    <definedName name="erwerw" localSheetId="10" hidden="1">{"with_oth_curr",#N/A,FALSE,"2225"}</definedName>
    <definedName name="erwerw" hidden="1">{"with_oth_curr",#N/A,FALSE,"2225"}</definedName>
    <definedName name="erwerw_1" localSheetId="10" hidden="1">{"with_oth_curr",#N/A,FALSE,"2225"}</definedName>
    <definedName name="erwerw_1" hidden="1">{"with_oth_curr",#N/A,FALSE,"2225"}</definedName>
    <definedName name="erwerwe" localSheetId="10" hidden="1">{"with_oth_curr",#N/A,FALSE,"2225"}</definedName>
    <definedName name="erwerwe" hidden="1">{"with_oth_curr",#N/A,FALSE,"2225"}</definedName>
    <definedName name="erwerwe_1" localSheetId="10" hidden="1">{"with_oth_curr",#N/A,FALSE,"2225"}</definedName>
    <definedName name="erwerwe_1" hidden="1">{"with_oth_curr",#N/A,FALSE,"2225"}</definedName>
    <definedName name="erwerwer" localSheetId="10" hidden="1">{"rp_only",#N/A,FALSE,"2225"}</definedName>
    <definedName name="erwerwer" hidden="1">{"rp_only",#N/A,FALSE,"2225"}</definedName>
    <definedName name="erwerwer_1" localSheetId="10" hidden="1">{"rp_only",#N/A,FALSE,"2225"}</definedName>
    <definedName name="erwerwer_1" hidden="1">{"rp_only",#N/A,FALSE,"2225"}</definedName>
    <definedName name="erwerwerwer" localSheetId="10" hidden="1">{"rp_only",#N/A,FALSE,"2225"}</definedName>
    <definedName name="erwerwerwer" hidden="1">{"rp_only",#N/A,FALSE,"2225"}</definedName>
    <definedName name="erwerwerwer_1" localSheetId="10" hidden="1">{"rp_only",#N/A,FALSE,"2225"}</definedName>
    <definedName name="erwerwerwer_1" hidden="1">{"rp_only",#N/A,FALSE,"2225"}</definedName>
    <definedName name="erwerwerwerwer" localSheetId="10" hidden="1">{"rp_only",#N/A,FALSE,"2225"}</definedName>
    <definedName name="erwerwerwerwer" hidden="1">{"rp_only",#N/A,FALSE,"2225"}</definedName>
    <definedName name="erwerwerwerwer_1" localSheetId="10" hidden="1">{"rp_only",#N/A,FALSE,"2225"}</definedName>
    <definedName name="erwerwerwerwer_1" hidden="1">{"rp_only",#N/A,FALSE,"2225"}</definedName>
    <definedName name="erwerwr" localSheetId="10" hidden="1">{"with_oth_curr",#N/A,FALSE,"2225"}</definedName>
    <definedName name="erwerwr" hidden="1">{"with_oth_curr",#N/A,FALSE,"2225"}</definedName>
    <definedName name="erwerwr_1" localSheetId="10" hidden="1">{"with_oth_curr",#N/A,FALSE,"2225"}</definedName>
    <definedName name="erwerwr_1" hidden="1">{"with_oth_curr",#N/A,FALSE,"2225"}</definedName>
    <definedName name="erwewrwe" localSheetId="10" hidden="1">{"rp_only",#N/A,FALSE,"2225"}</definedName>
    <definedName name="erwewrwe" hidden="1">{"rp_only",#N/A,FALSE,"2225"}</definedName>
    <definedName name="erwewrwe_1" localSheetId="10" hidden="1">{"rp_only",#N/A,FALSE,"2225"}</definedName>
    <definedName name="erwewrwe_1" hidden="1">{"rp_only",#N/A,FALSE,"2225"}</definedName>
    <definedName name="erwr" localSheetId="10" hidden="1">{"rp_only",#N/A,FALSE,"2225"}</definedName>
    <definedName name="erwr" hidden="1">{"rp_only",#N/A,FALSE,"2225"}</definedName>
    <definedName name="erwr_1" localSheetId="10" hidden="1">{"rp_only",#N/A,FALSE,"2225"}</definedName>
    <definedName name="erwr_1" hidden="1">{"rp_only",#N/A,FALSE,"2225"}</definedName>
    <definedName name="erwrtwetert" localSheetId="10" hidden="1">{"rp_only",#N/A,FALSE,"2225"}</definedName>
    <definedName name="erwrtwetert" hidden="1">{"rp_only",#N/A,FALSE,"2225"}</definedName>
    <definedName name="erwrtwetert_1" localSheetId="10" hidden="1">{"rp_only",#N/A,FALSE,"2225"}</definedName>
    <definedName name="erwrtwetert_1" hidden="1">{"rp_only",#N/A,FALSE,"2225"}</definedName>
    <definedName name="erwrw" localSheetId="10" hidden="1">{"with_oth_curr",#N/A,FALSE,"2225"}</definedName>
    <definedName name="erwrw" hidden="1">{"with_oth_curr",#N/A,FALSE,"2225"}</definedName>
    <definedName name="erwrw_1" localSheetId="10" hidden="1">{"with_oth_curr",#N/A,FALSE,"2225"}</definedName>
    <definedName name="erwrw_1" hidden="1">{"with_oth_curr",#N/A,FALSE,"2225"}</definedName>
    <definedName name="erwwerwer" localSheetId="10" hidden="1">{"rp_only",#N/A,FALSE,"2225"}</definedName>
    <definedName name="erwwerwer" hidden="1">{"rp_only",#N/A,FALSE,"2225"}</definedName>
    <definedName name="erwwerwer_1" localSheetId="10" hidden="1">{"rp_only",#N/A,FALSE,"2225"}</definedName>
    <definedName name="erwwerwer_1" hidden="1">{"rp_only",#N/A,FALSE,"2225"}</definedName>
    <definedName name="eryey" localSheetId="10" hidden="1">{"rp_only",#N/A,FALSE,"2225"}</definedName>
    <definedName name="eryey" hidden="1">{"rp_only",#N/A,FALSE,"2225"}</definedName>
    <definedName name="eryey_1" localSheetId="10" hidden="1">{"rp_only",#N/A,FALSE,"2225"}</definedName>
    <definedName name="eryey_1" hidden="1">{"rp_only",#N/A,FALSE,"2225"}</definedName>
    <definedName name="erytrete" localSheetId="10" hidden="1">{"rp_only",#N/A,FALSE,"2225"}</definedName>
    <definedName name="erytrete" hidden="1">{"rp_only",#N/A,FALSE,"2225"}</definedName>
    <definedName name="erytrete_1" localSheetId="10" hidden="1">{"rp_only",#N/A,FALSE,"2225"}</definedName>
    <definedName name="erytrete_1" hidden="1">{"rp_only",#N/A,FALSE,"2225"}</definedName>
    <definedName name="es" localSheetId="10" hidden="1">{#N/A,#N/A,FALSE,"Aging Summary";#N/A,#N/A,FALSE,"Ratio Analysis";#N/A,#N/A,FALSE,"Test 120 Day Accts";#N/A,#N/A,FALSE,"Tickmarks"}</definedName>
    <definedName name="es" hidden="1">{#N/A,#N/A,FALSE,"Aging Summary";#N/A,#N/A,FALSE,"Ratio Analysis";#N/A,#N/A,FALSE,"Test 120 Day Accts";#N/A,#N/A,FALSE,"Tickmarks"}</definedName>
    <definedName name="es_1" localSheetId="10"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10" hidden="1">{"rp_only",#N/A,FALSE,"2225"}</definedName>
    <definedName name="essrs" hidden="1">{"rp_only",#N/A,FALSE,"2225"}</definedName>
    <definedName name="essrs_1" localSheetId="10" hidden="1">{"rp_only",#N/A,FALSE,"2225"}</definedName>
    <definedName name="essrs_1" hidden="1">{"rp_only",#N/A,FALSE,"2225"}</definedName>
    <definedName name="EST" localSheetId="10"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10"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10"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10"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10" hidden="1">{#N/A,#N/A,FALSE,"REK-S-TPL";#N/A,#N/A,FALSE,"REK-TPML";#N/A,#N/A,FALSE,"RAB-TEMPEL"}</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localSheetId="10" hidden="1">{"rp_only",#N/A,FALSE,"2225"}</definedName>
    <definedName name="etertert" hidden="1">{"rp_only",#N/A,FALSE,"2225"}</definedName>
    <definedName name="etertert_1" localSheetId="10" hidden="1">{"rp_only",#N/A,FALSE,"2225"}</definedName>
    <definedName name="etertert_1" hidden="1">{"rp_only",#N/A,FALSE,"2225"}</definedName>
    <definedName name="eterteryt" localSheetId="10" hidden="1">{"with_oth_curr",#N/A,FALSE,"2225"}</definedName>
    <definedName name="eterteryt" hidden="1">{"with_oth_curr",#N/A,FALSE,"2225"}</definedName>
    <definedName name="eterteryt_1" localSheetId="10" hidden="1">{"with_oth_curr",#N/A,FALSE,"2225"}</definedName>
    <definedName name="eterteryt_1" hidden="1">{"with_oth_curr",#N/A,FALSE,"2225"}</definedName>
    <definedName name="etewrt" localSheetId="10" hidden="1">{"rp_only",#N/A,FALSE,"2225"}</definedName>
    <definedName name="etewrt" hidden="1">{"rp_only",#N/A,FALSE,"2225"}</definedName>
    <definedName name="etewrt_1" localSheetId="10" hidden="1">{"rp_only",#N/A,FALSE,"2225"}</definedName>
    <definedName name="etewrt_1" hidden="1">{"rp_only",#N/A,FALSE,"2225"}</definedName>
    <definedName name="etreertert" localSheetId="10" hidden="1">{"rp_only",#N/A,FALSE,"2225"}</definedName>
    <definedName name="etreertert" hidden="1">{"rp_only",#N/A,FALSE,"2225"}</definedName>
    <definedName name="etreertert_1" localSheetId="10" hidden="1">{"rp_only",#N/A,FALSE,"2225"}</definedName>
    <definedName name="etreertert_1" hidden="1">{"rp_only",#N/A,FALSE,"2225"}</definedName>
    <definedName name="etsgt" localSheetId="10" hidden="1">{"rp_only",#N/A,FALSE,"2225"}</definedName>
    <definedName name="etsgt" hidden="1">{"rp_only",#N/A,FALSE,"2225"}</definedName>
    <definedName name="etsgt_1" localSheetId="10" hidden="1">{"rp_only",#N/A,FALSE,"2225"}</definedName>
    <definedName name="etsgt_1" hidden="1">{"rp_only",#N/A,FALSE,"2225"}</definedName>
    <definedName name="etyeye" localSheetId="10" hidden="1">{"rp_only",#N/A,FALSE,"2225"}</definedName>
    <definedName name="etyeye" hidden="1">{"rp_only",#N/A,FALSE,"2225"}</definedName>
    <definedName name="etyeye_1" localSheetId="10" hidden="1">{"rp_only",#N/A,FALSE,"2225"}</definedName>
    <definedName name="etyeye_1" hidden="1">{"rp_only",#N/A,FALSE,"2225"}</definedName>
    <definedName name="eù" localSheetId="10">{"Book1"}</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localSheetId="10" hidden="1">{"rp_only",#N/A,FALSE,"2225"}</definedName>
    <definedName name="eweew" hidden="1">{"rp_only",#N/A,FALSE,"2225"}</definedName>
    <definedName name="eweew_1" localSheetId="10" hidden="1">{"rp_only",#N/A,FALSE,"2225"}</definedName>
    <definedName name="eweew_1" hidden="1">{"rp_only",#N/A,FALSE,"2225"}</definedName>
    <definedName name="eweqweaq" localSheetId="10" hidden="1">{"rp_only",#N/A,FALSE,"2225"}</definedName>
    <definedName name="eweqweaq" hidden="1">{"rp_only",#N/A,FALSE,"2225"}</definedName>
    <definedName name="eweqweaq_1" localSheetId="10" hidden="1">{"rp_only",#N/A,FALSE,"2225"}</definedName>
    <definedName name="eweqweaq_1" hidden="1">{"rp_only",#N/A,FALSE,"2225"}</definedName>
    <definedName name="ewerew" localSheetId="10" hidden="1">{"with_oth_curr",#N/A,FALSE,"2225"}</definedName>
    <definedName name="ewerew" hidden="1">{"with_oth_curr",#N/A,FALSE,"2225"}</definedName>
    <definedName name="ewerew_1" localSheetId="10" hidden="1">{"with_oth_curr",#N/A,FALSE,"2225"}</definedName>
    <definedName name="ewerew_1" hidden="1">{"with_oth_curr",#N/A,FALSE,"2225"}</definedName>
    <definedName name="ewerewr" localSheetId="10" hidden="1">{"rp_only",#N/A,FALSE,"2225"}</definedName>
    <definedName name="ewerewr" hidden="1">{"rp_only",#N/A,FALSE,"2225"}</definedName>
    <definedName name="ewerewr_1" localSheetId="10" hidden="1">{"rp_only",#N/A,FALSE,"2225"}</definedName>
    <definedName name="ewerewr_1" hidden="1">{"rp_only",#N/A,FALSE,"2225"}</definedName>
    <definedName name="ewerwerwerwer" localSheetId="10" hidden="1">{"rp_only",#N/A,FALSE,"2225"}</definedName>
    <definedName name="ewerwerwerwer" hidden="1">{"rp_only",#N/A,FALSE,"2225"}</definedName>
    <definedName name="ewerwerwerwer_1" localSheetId="10" hidden="1">{"rp_only",#N/A,FALSE,"2225"}</definedName>
    <definedName name="ewerwerwerwer_1" hidden="1">{"rp_only",#N/A,FALSE,"2225"}</definedName>
    <definedName name="ewewt" localSheetId="10" hidden="1">{"rp_only",#N/A,FALSE,"2225"}</definedName>
    <definedName name="ewewt" hidden="1">{"rp_only",#N/A,FALSE,"2225"}</definedName>
    <definedName name="ewewt_1" localSheetId="10" hidden="1">{"rp_only",#N/A,FALSE,"2225"}</definedName>
    <definedName name="ewewt_1" hidden="1">{"rp_only",#N/A,FALSE,"2225"}</definedName>
    <definedName name="ewq"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10" hidden="1">{"rp_only",#N/A,FALSE,"2225"}</definedName>
    <definedName name="ewqew" hidden="1">{"rp_only",#N/A,FALSE,"2225"}</definedName>
    <definedName name="ewqew_1" localSheetId="10" hidden="1">{"rp_only",#N/A,FALSE,"2225"}</definedName>
    <definedName name="ewqew_1" hidden="1">{"rp_only",#N/A,FALSE,"2225"}</definedName>
    <definedName name="ewrerwerwqewrq" localSheetId="10" hidden="1">{"rp_only",#N/A,FALSE,"2225"}</definedName>
    <definedName name="ewrerwerwqewrq" hidden="1">{"rp_only",#N/A,FALSE,"2225"}</definedName>
    <definedName name="ewrerwerwqewrq_1" localSheetId="10" hidden="1">{"rp_only",#N/A,FALSE,"2225"}</definedName>
    <definedName name="ewrerwerwqewrq_1" hidden="1">{"rp_only",#N/A,FALSE,"2225"}</definedName>
    <definedName name="ewrew" localSheetId="10" hidden="1">{"rp_only",#N/A,FALSE,"2225"}</definedName>
    <definedName name="ewrew" hidden="1">{"rp_only",#N/A,FALSE,"2225"}</definedName>
    <definedName name="ewrew_1" localSheetId="10" hidden="1">{"rp_only",#N/A,FALSE,"2225"}</definedName>
    <definedName name="ewrew_1" hidden="1">{"rp_only",#N/A,FALSE,"2225"}</definedName>
    <definedName name="ewrgtewrterwt" localSheetId="10" hidden="1">{"rp_only",#N/A,FALSE,"2225"}</definedName>
    <definedName name="ewrgtewrterwt" hidden="1">{"rp_only",#N/A,FALSE,"2225"}</definedName>
    <definedName name="ewrgtewrterwt_1" localSheetId="10" hidden="1">{"rp_only",#N/A,FALSE,"2225"}</definedName>
    <definedName name="ewrgtewrterwt_1" hidden="1">{"rp_only",#N/A,FALSE,"2225"}</definedName>
    <definedName name="ewrtwertt" localSheetId="10" hidden="1">{"rp_only",#N/A,FALSE,"2225"}</definedName>
    <definedName name="ewrtwertt" hidden="1">{"rp_only",#N/A,FALSE,"2225"}</definedName>
    <definedName name="ewrtwertt_1" localSheetId="10" hidden="1">{"rp_only",#N/A,FALSE,"2225"}</definedName>
    <definedName name="ewrtwertt_1" hidden="1">{"rp_only",#N/A,FALSE,"2225"}</definedName>
    <definedName name="ewrwer" localSheetId="10" hidden="1">{"rp_only",#N/A,FALSE,"2225"}</definedName>
    <definedName name="ewrwer" hidden="1">{"rp_only",#N/A,FALSE,"2225"}</definedName>
    <definedName name="ewrwer_1" localSheetId="10" hidden="1">{"rp_only",#N/A,FALSE,"2225"}</definedName>
    <definedName name="ewrwer_1" hidden="1">{"rp_only",#N/A,FALSE,"2225"}</definedName>
    <definedName name="ewrwertwer" localSheetId="10" hidden="1">{"rp_only",#N/A,FALSE,"2225"}</definedName>
    <definedName name="ewrwertwer" hidden="1">{"rp_only",#N/A,FALSE,"2225"}</definedName>
    <definedName name="ewrwertwer_1" localSheetId="10" hidden="1">{"rp_only",#N/A,FALSE,"2225"}</definedName>
    <definedName name="ewrwertwer_1" hidden="1">{"rp_only",#N/A,FALSE,"2225"}</definedName>
    <definedName name="ewrwerwer" localSheetId="10" hidden="1">{"rp_only",#N/A,FALSE,"2225"}</definedName>
    <definedName name="ewrwerwer" hidden="1">{"rp_only",#N/A,FALSE,"2225"}</definedName>
    <definedName name="ewrwerwer_1" localSheetId="10" hidden="1">{"rp_only",#N/A,FALSE,"2225"}</definedName>
    <definedName name="ewrwerwer_1" hidden="1">{"rp_only",#N/A,FALSE,"2225"}</definedName>
    <definedName name="ewrwr" localSheetId="10" hidden="1">{"with_oth_curr",#N/A,FALSE,"2225"}</definedName>
    <definedName name="ewrwr" hidden="1">{"with_oth_curr",#N/A,FALSE,"2225"}</definedName>
    <definedName name="ewrwr_1" localSheetId="10" hidden="1">{"with_oth_curr",#N/A,FALSE,"2225"}</definedName>
    <definedName name="ewrwr_1" hidden="1">{"with_oth_curr",#N/A,FALSE,"2225"}</definedName>
    <definedName name="ewrwrew" localSheetId="10" hidden="1">{"rp_only",#N/A,FALSE,"2225"}</definedName>
    <definedName name="ewrwrew" hidden="1">{"rp_only",#N/A,FALSE,"2225"}</definedName>
    <definedName name="ewrwrew_1" localSheetId="10" hidden="1">{"rp_only",#N/A,FALSE,"2225"}</definedName>
    <definedName name="ewrwrew_1" hidden="1">{"rp_only",#N/A,FALSE,"2225"}</definedName>
    <definedName name="ewrwrwr" localSheetId="10" hidden="1">{"rp_only",#N/A,FALSE,"2225"}</definedName>
    <definedName name="ewrwrwr" hidden="1">{"rp_only",#N/A,FALSE,"2225"}</definedName>
    <definedName name="ewrwrwr_1" localSheetId="10" hidden="1">{"rp_only",#N/A,FALSE,"2225"}</definedName>
    <definedName name="ewrwrwr_1" hidden="1">{"rp_only",#N/A,FALSE,"2225"}</definedName>
    <definedName name="EWTEW" localSheetId="10" hidden="1">{"rp_only",#N/A,FALSE,"2225"}</definedName>
    <definedName name="EWTEW" hidden="1">{"rp_only",#N/A,FALSE,"2225"}</definedName>
    <definedName name="EWTEW_1" localSheetId="10" hidden="1">{"rp_only",#N/A,FALSE,"2225"}</definedName>
    <definedName name="EWTEW_1" hidden="1">{"rp_only",#N/A,FALSE,"2225"}</definedName>
    <definedName name="ewwerw" localSheetId="10" hidden="1">{"rp_only",#N/A,FALSE,"2225"}</definedName>
    <definedName name="ewwerw" hidden="1">{"rp_only",#N/A,FALSE,"2225"}</definedName>
    <definedName name="ewwerw_1" localSheetId="10" hidden="1">{"rp_only",#N/A,FALSE,"2225"}</definedName>
    <definedName name="ewwerw_1" hidden="1">{"rp_only",#N/A,FALSE,"2225"}</definedName>
    <definedName name="ewwwerw" localSheetId="10" hidden="1">{"rp_only",#N/A,FALSE,"2225"}</definedName>
    <definedName name="ewwwerw" hidden="1">{"rp_only",#N/A,FALSE,"2225"}</definedName>
    <definedName name="ewwwerw_1" localSheetId="10"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localSheetId="10" hidden="1">{"EVA",#N/A,FALSE,"EVA";"WACC",#N/A,FALSE,"WACC"}</definedName>
    <definedName name="Exel" hidden="1">{"EVA",#N/A,FALSE,"EVA";"WACC",#N/A,FALSE,"WACC"}</definedName>
    <definedName name="exit">#REF!</definedName>
    <definedName name="exit2015">#REF!</definedName>
    <definedName name="exittaxtotal">#REF!</definedName>
    <definedName name="exp" localSheetId="10" hidden="1">{#N/A,#N/A,FALSE,"Aging Summary";#N/A,#N/A,FALSE,"Ratio Analysis";#N/A,#N/A,FALSE,"Test 120 Day Accts";#N/A,#N/A,FALSE,"Tickmarks"}</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localSheetId="10" hidden="1">{"WORK IN PROCESS",#N/A,FALSE,"COGS"}</definedName>
    <definedName name="ey" hidden="1">{"WORK IN PROCESS",#N/A,FALSE,"COGS"}</definedName>
    <definedName name="ey_1" localSheetId="10" hidden="1">{"WORK IN PROCESS",#N/A,FALSE,"COGS"}</definedName>
    <definedName name="ey_1" hidden="1">{"WORK IN PROCESS",#N/A,FALSE,"COGS"}</definedName>
    <definedName name="eyerter" localSheetId="10" hidden="1">{"rp_only",#N/A,FALSE,"2225"}</definedName>
    <definedName name="eyerter" hidden="1">{"rp_only",#N/A,FALSE,"2225"}</definedName>
    <definedName name="eyerter_1" localSheetId="10" hidden="1">{"rp_only",#N/A,FALSE,"2225"}</definedName>
    <definedName name="eyerter_1" hidden="1">{"rp_only",#N/A,FALSE,"2225"}</definedName>
    <definedName name="eymy" localSheetId="10" hidden="1">{"'Feb 99'!$A$1:$G$30"}</definedName>
    <definedName name="eymy" hidden="1">{"'Feb 99'!$A$1:$G$30"}</definedName>
    <definedName name="eytey" localSheetId="10" hidden="1">{"with_oth_curr",#N/A,FALSE,"2225"}</definedName>
    <definedName name="eytey" hidden="1">{"with_oth_curr",#N/A,FALSE,"2225"}</definedName>
    <definedName name="eytey_1" localSheetId="10" hidden="1">{"with_oth_curr",#N/A,FALSE,"2225"}</definedName>
    <definedName name="eytey_1" hidden="1">{"with_oth_curr",#N/A,FALSE,"2225"}</definedName>
    <definedName name="eyteyt" localSheetId="10" hidden="1">{#N/A,#N/A,FALSE,"CCTV"}</definedName>
    <definedName name="eyteyt" hidden="1">{#N/A,#N/A,FALSE,"CCTV"}</definedName>
    <definedName name="eyuyjghjg" localSheetId="10" hidden="1">{"rp_only",#N/A,FALSE,"2225"}</definedName>
    <definedName name="eyuyjghjg" hidden="1">{"rp_only",#N/A,FALSE,"2225"}</definedName>
    <definedName name="eyuyjghjg_1" localSheetId="10" hidden="1">{"rp_only",#N/A,FALSE,"2225"}</definedName>
    <definedName name="eyuyjghjg_1" hidden="1">{"rp_only",#N/A,FALSE,"2225"}</definedName>
    <definedName name="ezperhead.txt">#REF!</definedName>
    <definedName name="ezpertable.tbl">#REF!</definedName>
    <definedName name="f">#REF!</definedName>
    <definedName name="F...." localSheetId="10" hidden="1">{"with_oth_curr",#N/A,FALSE,"2225"}</definedName>
    <definedName name="F...." hidden="1">{"with_oth_curr",#N/A,FALSE,"2225"}</definedName>
    <definedName name="F...._1" localSheetId="10"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localSheetId="10" hidden="1">{#N/A,#N/A,FALSE,"Act.Fcst Costs"}</definedName>
    <definedName name="FA_2006" hidden="1">{#N/A,#N/A,FALSE,"Act.Fcst Costs"}</definedName>
    <definedName name="FA1ACCUMDEPR">#REF!</definedName>
    <definedName name="FA1CARRYINGVALUE">#REF!</definedName>
    <definedName name="fa20042005" localSheetId="10"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10"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10"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10"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10"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10"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localSheetId="10" hidden="1">{"rp_only",#N/A,FALSE,"2225"}</definedName>
    <definedName name="FADGDSHFH" hidden="1">{"rp_only",#N/A,FALSE,"2225"}</definedName>
    <definedName name="FADGDSHFH_1" localSheetId="10" hidden="1">{"rp_only",#N/A,FALSE,"2225"}</definedName>
    <definedName name="FADGDSHFH_1" hidden="1">{"rp_only",#N/A,FALSE,"2225"}</definedName>
    <definedName name="fadsfd" localSheetId="10" hidden="1">{"rp_only",#N/A,FALSE,"2225"}</definedName>
    <definedName name="fadsfd" hidden="1">{"rp_only",#N/A,FALSE,"2225"}</definedName>
    <definedName name="fadsfd_1" localSheetId="10"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localSheetId="10"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10" hidden="1">{"rp_only",#N/A,FALSE,"2225"}</definedName>
    <definedName name="fafsa" hidden="1">{"rp_only",#N/A,FALSE,"2225"}</definedName>
    <definedName name="fafsa_1" localSheetId="10" hidden="1">{"rp_only",#N/A,FALSE,"2225"}</definedName>
    <definedName name="fafsa_1" hidden="1">{"rp_only",#N/A,FALSE,"2225"}</definedName>
    <definedName name="faggf" localSheetId="10" hidden="1">{"rp_only",#N/A,FALSE,"2225"}</definedName>
    <definedName name="faggf" hidden="1">{"rp_only",#N/A,FALSE,"2225"}</definedName>
    <definedName name="faggf_1" localSheetId="10"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localSheetId="10"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localSheetId="10" hidden="1">{"with_oth_curr",#N/A,FALSE,"2225"}</definedName>
    <definedName name="fasdfsdfs" hidden="1">{"with_oth_curr",#N/A,FALSE,"2225"}</definedName>
    <definedName name="fasdfsdfs_1" localSheetId="10" hidden="1">{"with_oth_curr",#N/A,FALSE,"2225"}</definedName>
    <definedName name="fasdfsdfs_1" hidden="1">{"with_oth_curr",#N/A,FALSE,"2225"}</definedName>
    <definedName name="fasdgfdagdsfgdsfg" localSheetId="10" hidden="1">{"rp_only",#N/A,FALSE,"2225"}</definedName>
    <definedName name="fasdgfdagdsfgdsfg" hidden="1">{"rp_only",#N/A,FALSE,"2225"}</definedName>
    <definedName name="fasdgfdagdsfgdsfg_1" localSheetId="10" hidden="1">{"rp_only",#N/A,FALSE,"2225"}</definedName>
    <definedName name="fasdgfdagdsfgdsfg_1" hidden="1">{"rp_only",#N/A,FALSE,"2225"}</definedName>
    <definedName name="fasdsaf" localSheetId="10" hidden="1">{"with_oth_curr",#N/A,FALSE,"2225"}</definedName>
    <definedName name="fasdsaf" hidden="1">{"with_oth_curr",#N/A,FALSE,"2225"}</definedName>
    <definedName name="fasdsaf_1" localSheetId="10"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localSheetId="10" hidden="1">{"with_oth_curr",#N/A,FALSE,"2225"}</definedName>
    <definedName name="fasfsdfgdsgsdg" hidden="1">{"with_oth_curr",#N/A,FALSE,"2225"}</definedName>
    <definedName name="fasfsdfgdsgsdg_1" localSheetId="10" hidden="1">{"with_oth_curr",#N/A,FALSE,"2225"}</definedName>
    <definedName name="fasfsdfgdsgsdg_1" hidden="1">{"with_oth_curr",#N/A,FALSE,"2225"}</definedName>
    <definedName name="fasgfaf" localSheetId="10" hidden="1">{"rp_only",#N/A,FALSE,"2225"}</definedName>
    <definedName name="fasgfaf" hidden="1">{"rp_only",#N/A,FALSE,"2225"}</definedName>
    <definedName name="fasgfaf_1" localSheetId="10" hidden="1">{"rp_only",#N/A,FALSE,"2225"}</definedName>
    <definedName name="fasgfaf_1" hidden="1">{"rp_only",#N/A,FALSE,"2225"}</definedName>
    <definedName name="fassadadsa" localSheetId="10" hidden="1">{"rp_only",#N/A,FALSE,"2225"}</definedName>
    <definedName name="fassadadsa" hidden="1">{"rp_only",#N/A,FALSE,"2225"}</definedName>
    <definedName name="fassadadsa_1" localSheetId="10"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localSheetId="10" hidden="1">{"rp_only",#N/A,FALSE,"2225"}</definedName>
    <definedName name="Fcdsds" hidden="1">{"rp_only",#N/A,FALSE,"2225"}</definedName>
    <definedName name="Fcdsds_1" localSheetId="10" hidden="1">{"rp_only",#N/A,FALSE,"2225"}</definedName>
    <definedName name="Fcdsds_1" hidden="1">{"rp_only",#N/A,FALSE,"2225"}</definedName>
    <definedName name="FCHFCHFGHFG">#REF!</definedName>
    <definedName name="FCode" hidden="1">#REF!</definedName>
    <definedName name="FCU">#REF!</definedName>
    <definedName name="fd" localSheetId="10" hidden="1">{"with_oth_curr",#N/A,FALSE,"2225"}</definedName>
    <definedName name="fd" hidden="1">{"with_oth_curr",#N/A,FALSE,"2225"}</definedName>
    <definedName name="fd_1" localSheetId="10" hidden="1">{"with_oth_curr",#N/A,FALSE,"2225"}</definedName>
    <definedName name="fd_1" hidden="1">{"with_oth_curr",#N/A,FALSE,"2225"}</definedName>
    <definedName name="fdAfdsdfs" localSheetId="10" hidden="1">{"rp_only",#N/A,FALSE,"2225"}</definedName>
    <definedName name="fdAfdsdfs" hidden="1">{"rp_only",#N/A,FALSE,"2225"}</definedName>
    <definedName name="fdAfdsdfs_1" localSheetId="10" hidden="1">{"rp_only",#N/A,FALSE,"2225"}</definedName>
    <definedName name="fdAfdsdfs_1" hidden="1">{"rp_only",#N/A,FALSE,"2225"}</definedName>
    <definedName name="fdafdsfdfdas" localSheetId="10" hidden="1">{"rp_only",#N/A,FALSE,"2225"}</definedName>
    <definedName name="fdafdsfdfdas" hidden="1">{"rp_only",#N/A,FALSE,"2225"}</definedName>
    <definedName name="fdafdsfdfdas_1" localSheetId="10" hidden="1">{"rp_only",#N/A,FALSE,"2225"}</definedName>
    <definedName name="fdafdsfdfdas_1" hidden="1">{"rp_only",#N/A,FALSE,"2225"}</definedName>
    <definedName name="fdasdfsfsda" localSheetId="10" hidden="1">{"rp_only",#N/A,FALSE,"2225"}</definedName>
    <definedName name="fdasdfsfsda" hidden="1">{"rp_only",#N/A,FALSE,"2225"}</definedName>
    <definedName name="fdasdfsfsda_1" localSheetId="10" hidden="1">{"rp_only",#N/A,FALSE,"2225"}</definedName>
    <definedName name="fdasdfsfsda_1" hidden="1">{"rp_only",#N/A,FALSE,"2225"}</definedName>
    <definedName name="fdasdsfafd" localSheetId="10" hidden="1">{"rp_only",#N/A,FALSE,"2225"}</definedName>
    <definedName name="fdasdsfafd" hidden="1">{"rp_only",#N/A,FALSE,"2225"}</definedName>
    <definedName name="fdasdsfafd_1" localSheetId="10" hidden="1">{"rp_only",#N/A,FALSE,"2225"}</definedName>
    <definedName name="fdasdsfafd_1" hidden="1">{"rp_only",#N/A,FALSE,"2225"}</definedName>
    <definedName name="fdasfadsfdsafd" localSheetId="10" hidden="1">{"rp_only",#N/A,FALSE,"2225"}</definedName>
    <definedName name="fdasfadsfdsafd" hidden="1">{"rp_only",#N/A,FALSE,"2225"}</definedName>
    <definedName name="fdasfadsfdsafd_1" localSheetId="10" hidden="1">{"rp_only",#N/A,FALSE,"2225"}</definedName>
    <definedName name="fdasfadsfdsafd_1" hidden="1">{"rp_only",#N/A,FALSE,"2225"}</definedName>
    <definedName name="fdasfasfasf" localSheetId="10" hidden="1">{"rp_only",#N/A,FALSE,"2225"}</definedName>
    <definedName name="fdasfasfasf" hidden="1">{"rp_only",#N/A,FALSE,"2225"}</definedName>
    <definedName name="fdasfasfasf_1" localSheetId="10" hidden="1">{"rp_only",#N/A,FALSE,"2225"}</definedName>
    <definedName name="fdasfasfasf_1" hidden="1">{"rp_only",#N/A,FALSE,"2225"}</definedName>
    <definedName name="fdasfdasfdsafdas" localSheetId="10" hidden="1">{"with_oth_curr",#N/A,FALSE,"2225"}</definedName>
    <definedName name="fdasfdasfdsafdas" hidden="1">{"with_oth_curr",#N/A,FALSE,"2225"}</definedName>
    <definedName name="fdasfdasfdsafdas_1" localSheetId="10" hidden="1">{"with_oth_curr",#N/A,FALSE,"2225"}</definedName>
    <definedName name="fdasfdasfdsafdas_1" hidden="1">{"with_oth_curr",#N/A,FALSE,"2225"}</definedName>
    <definedName name="fdasfdsafdas" localSheetId="10" hidden="1">{"with_oth_curr",#N/A,FALSE,"2225"}</definedName>
    <definedName name="fdasfdsafdas" hidden="1">{"with_oth_curr",#N/A,FALSE,"2225"}</definedName>
    <definedName name="fdasfdsafdas_1" localSheetId="10"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localSheetId="10" hidden="1">{"rp_only",#N/A,FALSE,"2225"}</definedName>
    <definedName name="fddfgsdegtgds" hidden="1">{"rp_only",#N/A,FALSE,"2225"}</definedName>
    <definedName name="fddfgsdegtgds_1" localSheetId="10" hidden="1">{"rp_only",#N/A,FALSE,"2225"}</definedName>
    <definedName name="fddfgsdegtgds_1" hidden="1">{"rp_only",#N/A,FALSE,"2225"}</definedName>
    <definedName name="fddfhdfhdgh" localSheetId="10" hidden="1">{#N/A,#N/A,FALSE,"CCTV"}</definedName>
    <definedName name="fddfhdfhdgh" hidden="1">{#N/A,#N/A,FALSE,"CCTV"}</definedName>
    <definedName name="fddfssdfsfd" localSheetId="10" hidden="1">{"rp_only",#N/A,FALSE,"2225"}</definedName>
    <definedName name="fddfssdfsfd" hidden="1">{"rp_only",#N/A,FALSE,"2225"}</definedName>
    <definedName name="fddfssdfsfd_1" localSheetId="10" hidden="1">{"rp_only",#N/A,FALSE,"2225"}</definedName>
    <definedName name="fddfssdfsfd_1" hidden="1">{"rp_only",#N/A,FALSE,"2225"}</definedName>
    <definedName name="fddgsgfgf" localSheetId="10" hidden="1">{"rp_only",#N/A,FALSE,"2225"}</definedName>
    <definedName name="fddgsgfgf" hidden="1">{"rp_only",#N/A,FALSE,"2225"}</definedName>
    <definedName name="fddgsgfgf_1" localSheetId="10" hidden="1">{"rp_only",#N/A,FALSE,"2225"}</definedName>
    <definedName name="fddgsgfgf_1" hidden="1">{"rp_only",#N/A,FALSE,"2225"}</definedName>
    <definedName name="fdf" localSheetId="10" hidden="1">{#N/A,#N/A,FALSE,"CCTV"}</definedName>
    <definedName name="fdf" hidden="1">{#N/A,#N/A,FALSE,"CCTV"}</definedName>
    <definedName name="fdfafds" localSheetId="10" hidden="1">{"rp_only",#N/A,FALSE,"2225"}</definedName>
    <definedName name="fdfafds" hidden="1">{"rp_only",#N/A,FALSE,"2225"}</definedName>
    <definedName name="fdfafds_1" localSheetId="10" hidden="1">{"rp_only",#N/A,FALSE,"2225"}</definedName>
    <definedName name="fdfafds_1" hidden="1">{"rp_only",#N/A,FALSE,"2225"}</definedName>
    <definedName name="FDFDF" localSheetId="10" hidden="1">{#N/A,#N/A,FALSE,"CCTV"}</definedName>
    <definedName name="FDFDF" hidden="1">{#N/A,#N/A,FALSE,"CCTV"}</definedName>
    <definedName name="fdfdfd">#REF!</definedName>
    <definedName name="fdfdsadfsa" localSheetId="10" hidden="1">{"rp_only",#N/A,FALSE,"2225"}</definedName>
    <definedName name="fdfdsadfsa" hidden="1">{"rp_only",#N/A,FALSE,"2225"}</definedName>
    <definedName name="fdfdsadfsa_1" localSheetId="10" hidden="1">{"rp_only",#N/A,FALSE,"2225"}</definedName>
    <definedName name="fdfdsadfsa_1" hidden="1">{"rp_only",#N/A,FALSE,"2225"}</definedName>
    <definedName name="fdfdsafdsa" localSheetId="10" hidden="1">{"rp_only",#N/A,FALSE,"2225"}</definedName>
    <definedName name="fdfdsafdsa" hidden="1">{"rp_only",#N/A,FALSE,"2225"}</definedName>
    <definedName name="fdfdsafdsa_1" localSheetId="10" hidden="1">{"rp_only",#N/A,FALSE,"2225"}</definedName>
    <definedName name="fdfdsafdsa_1" hidden="1">{"rp_only",#N/A,FALSE,"2225"}</definedName>
    <definedName name="fdfdsafdsadsfa" localSheetId="10" hidden="1">{"rp_only",#N/A,FALSE,"2225"}</definedName>
    <definedName name="fdfdsafdsadsfa" hidden="1">{"rp_only",#N/A,FALSE,"2225"}</definedName>
    <definedName name="fdfdsafdsadsfa_1" localSheetId="10" hidden="1">{"rp_only",#N/A,FALSE,"2225"}</definedName>
    <definedName name="fdfdsafdsadsfa_1" hidden="1">{"rp_only",#N/A,FALSE,"2225"}</definedName>
    <definedName name="fdff" localSheetId="10"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localSheetId="10" hidden="1">{"with_oth_curr",#N/A,FALSE,"2225"}</definedName>
    <definedName name="fdfg" hidden="1">{"with_oth_curr",#N/A,FALSE,"2225"}</definedName>
    <definedName name="fdfg_1" localSheetId="10" hidden="1">{"with_oth_curr",#N/A,FALSE,"2225"}</definedName>
    <definedName name="fdfg_1" hidden="1">{"with_oth_curr",#N/A,FALSE,"2225"}</definedName>
    <definedName name="fdfgdfs" localSheetId="10" hidden="1">{"with_oth_curr",#N/A,FALSE,"2225"}</definedName>
    <definedName name="fdfgdfs" hidden="1">{"with_oth_curr",#N/A,FALSE,"2225"}</definedName>
    <definedName name="fdfgdfs_1" localSheetId="10" hidden="1">{"with_oth_curr",#N/A,FALSE,"2225"}</definedName>
    <definedName name="fdfgdfs_1" hidden="1">{"with_oth_curr",#N/A,FALSE,"2225"}</definedName>
    <definedName name="fdfsd" hidden="1">#REF!</definedName>
    <definedName name="fdfsdsdaf" localSheetId="10" hidden="1">{"rp_only",#N/A,FALSE,"2225"}</definedName>
    <definedName name="fdfsdsdaf" hidden="1">{"rp_only",#N/A,FALSE,"2225"}</definedName>
    <definedName name="fdfsdsdaf_1" localSheetId="10" hidden="1">{"rp_only",#N/A,FALSE,"2225"}</definedName>
    <definedName name="fdfsdsdaf_1" hidden="1">{"rp_only",#N/A,FALSE,"2225"}</definedName>
    <definedName name="fdfsfd" localSheetId="10" hidden="1">{"rp_only",#N/A,FALSE,"2225"}</definedName>
    <definedName name="fdfsfd" hidden="1">{"rp_only",#N/A,FALSE,"2225"}</definedName>
    <definedName name="fdfsfd_1" localSheetId="10" hidden="1">{"rp_only",#N/A,FALSE,"2225"}</definedName>
    <definedName name="fdfsfd_1" hidden="1">{"rp_only",#N/A,FALSE,"2225"}</definedName>
    <definedName name="fdg" hidden="1">#REF!</definedName>
    <definedName name="fdgcv" localSheetId="10" hidden="1">{"with_oth_curr",#N/A,FALSE,"2225"}</definedName>
    <definedName name="fdgcv" hidden="1">{"with_oth_curr",#N/A,FALSE,"2225"}</definedName>
    <definedName name="fdgcv_1" localSheetId="10" hidden="1">{"with_oth_curr",#N/A,FALSE,"2225"}</definedName>
    <definedName name="fdgcv_1" hidden="1">{"with_oth_curr",#N/A,FALSE,"2225"}</definedName>
    <definedName name="fdgd" localSheetId="10" hidden="1">{"with_oth_curr",#N/A,FALSE,"2225"}</definedName>
    <definedName name="fdgd" hidden="1">{"with_oth_curr",#N/A,FALSE,"2225"}</definedName>
    <definedName name="fdgd_1" localSheetId="10" hidden="1">{"with_oth_curr",#N/A,FALSE,"2225"}</definedName>
    <definedName name="fdgd_1" hidden="1">{"with_oth_curr",#N/A,FALSE,"2225"}</definedName>
    <definedName name="FDGDFD" localSheetId="10" hidden="1">{"rp_only",#N/A,FALSE,"2225"}</definedName>
    <definedName name="FDGDFD" hidden="1">{"rp_only",#N/A,FALSE,"2225"}</definedName>
    <definedName name="FDGDFD_1" localSheetId="10" hidden="1">{"rp_only",#N/A,FALSE,"2225"}</definedName>
    <definedName name="FDGDFD_1" hidden="1">{"rp_only",#N/A,FALSE,"2225"}</definedName>
    <definedName name="fdgdfg" localSheetId="10" hidden="1">{"rp_only",#N/A,FALSE,"2225"}</definedName>
    <definedName name="fdgdfg" hidden="1">{"rp_only",#N/A,FALSE,"2225"}</definedName>
    <definedName name="fdgdfg_1" localSheetId="10" hidden="1">{"rp_only",#N/A,FALSE,"2225"}</definedName>
    <definedName name="fdgdfg_1" hidden="1">{"rp_only",#N/A,FALSE,"2225"}</definedName>
    <definedName name="fdgdfgd" localSheetId="10" hidden="1">{"with_oth_curr",#N/A,FALSE,"2225"}</definedName>
    <definedName name="fdgdfgd" hidden="1">{"with_oth_curr",#N/A,FALSE,"2225"}</definedName>
    <definedName name="fdgdfgd_1" localSheetId="10" hidden="1">{"with_oth_curr",#N/A,FALSE,"2225"}</definedName>
    <definedName name="fdgdfgd_1" hidden="1">{"with_oth_curr",#N/A,FALSE,"2225"}</definedName>
    <definedName name="fdgdfgdf" localSheetId="10" hidden="1">{"rp_only",#N/A,FALSE,"2225"}</definedName>
    <definedName name="fdgdfgdf" hidden="1">{"rp_only",#N/A,FALSE,"2225"}</definedName>
    <definedName name="fdgdfgdf_1" localSheetId="10" hidden="1">{"rp_only",#N/A,FALSE,"2225"}</definedName>
    <definedName name="fdgdfgdf_1" hidden="1">{"rp_only",#N/A,FALSE,"2225"}</definedName>
    <definedName name="fdgdfgdg" localSheetId="10" hidden="1">{"rp_only",#N/A,FALSE,"2225"}</definedName>
    <definedName name="fdgdfgdg" hidden="1">{"rp_only",#N/A,FALSE,"2225"}</definedName>
    <definedName name="fdgdfgdg_1" localSheetId="10" hidden="1">{"rp_only",#N/A,FALSE,"2225"}</definedName>
    <definedName name="fdgdfgdg_1" hidden="1">{"rp_only",#N/A,FALSE,"2225"}</definedName>
    <definedName name="fdgdg" localSheetId="10" hidden="1">{"rp_only",#N/A,FALSE,"2225"}</definedName>
    <definedName name="fdgdg" hidden="1">{"rp_only",#N/A,FALSE,"2225"}</definedName>
    <definedName name="fdgdg_1" localSheetId="10" hidden="1">{"rp_only",#N/A,FALSE,"2225"}</definedName>
    <definedName name="fdgdg_1" hidden="1">{"rp_only",#N/A,FALSE,"2225"}</definedName>
    <definedName name="fdgdgdg" localSheetId="10" hidden="1">{"rp_only",#N/A,FALSE,"2225"}</definedName>
    <definedName name="fdgdgdg" hidden="1">{"rp_only",#N/A,FALSE,"2225"}</definedName>
    <definedName name="fdgdgdg_1" localSheetId="10" hidden="1">{"rp_only",#N/A,FALSE,"2225"}</definedName>
    <definedName name="fdgdgdg_1" hidden="1">{"rp_only",#N/A,FALSE,"2225"}</definedName>
    <definedName name="fdgdgf" localSheetId="10" hidden="1">{"with_oth_curr",#N/A,FALSE,"2225"}</definedName>
    <definedName name="fdgdgf" hidden="1">{"with_oth_curr",#N/A,FALSE,"2225"}</definedName>
    <definedName name="fdgdgf_1" localSheetId="10" hidden="1">{"with_oth_curr",#N/A,FALSE,"2225"}</definedName>
    <definedName name="fdgdgf_1" hidden="1">{"with_oth_curr",#N/A,FALSE,"2225"}</definedName>
    <definedName name="fdgdgtdfg" localSheetId="10" hidden="1">{"rp_only",#N/A,FALSE,"2225"}</definedName>
    <definedName name="fdgdgtdfg" hidden="1">{"rp_only",#N/A,FALSE,"2225"}</definedName>
    <definedName name="fdgdgtdfg_1" localSheetId="10" hidden="1">{"rp_only",#N/A,FALSE,"2225"}</definedName>
    <definedName name="fdgdgtdfg_1" hidden="1">{"rp_only",#N/A,FALSE,"2225"}</definedName>
    <definedName name="fdgdhdfhfghjgf" localSheetId="10" hidden="1">{"with_oth_curr",#N/A,FALSE,"2225"}</definedName>
    <definedName name="fdgdhdfhfghjgf" hidden="1">{"with_oth_curr",#N/A,FALSE,"2225"}</definedName>
    <definedName name="fdgdhdfhfghjgf_1" localSheetId="10" hidden="1">{"with_oth_curr",#N/A,FALSE,"2225"}</definedName>
    <definedName name="fdgdhdfhfghjgf_1" hidden="1">{"with_oth_curr",#N/A,FALSE,"2225"}</definedName>
    <definedName name="fdgfg" localSheetId="10" hidden="1">{"rp_only",#N/A,FALSE,"2225"}</definedName>
    <definedName name="fdgfg" hidden="1">{"rp_only",#N/A,FALSE,"2225"}</definedName>
    <definedName name="fdgfg_1" localSheetId="10" hidden="1">{"rp_only",#N/A,FALSE,"2225"}</definedName>
    <definedName name="fdgfg_1" hidden="1">{"rp_only",#N/A,FALSE,"2225"}</definedName>
    <definedName name="fdgfgf" localSheetId="10" hidden="1">{"rp_only",#N/A,FALSE,"2225"}</definedName>
    <definedName name="fdgfgf" hidden="1">{"rp_only",#N/A,FALSE,"2225"}</definedName>
    <definedName name="fdgfgf_1" localSheetId="10" hidden="1">{"rp_only",#N/A,FALSE,"2225"}</definedName>
    <definedName name="fdgfgf_1" hidden="1">{"rp_only",#N/A,FALSE,"2225"}</definedName>
    <definedName name="fdggf" localSheetId="10" hidden="1">{"rp_only",#N/A,FALSE,"2225"}</definedName>
    <definedName name="fdggf" hidden="1">{"rp_only",#N/A,FALSE,"2225"}</definedName>
    <definedName name="fdggf_1" localSheetId="10" hidden="1">{"rp_only",#N/A,FALSE,"2225"}</definedName>
    <definedName name="fdggf_1" hidden="1">{"rp_only",#N/A,FALSE,"2225"}</definedName>
    <definedName name="fdghcvutfu" localSheetId="10" hidden="1">{"rp_only",#N/A,FALSE,"2225"}</definedName>
    <definedName name="fdghcvutfu" hidden="1">{"rp_only",#N/A,FALSE,"2225"}</definedName>
    <definedName name="fdghcvutfu_1" localSheetId="10" hidden="1">{"rp_only",#N/A,FALSE,"2225"}</definedName>
    <definedName name="fdghcvutfu_1" hidden="1">{"rp_only",#N/A,FALSE,"2225"}</definedName>
    <definedName name="FDGS" localSheetId="10" hidden="1">{"rp_only",#N/A,FALSE,"2225"}</definedName>
    <definedName name="FDGS" hidden="1">{"rp_only",#N/A,FALSE,"2225"}</definedName>
    <definedName name="FDGS_1" localSheetId="10" hidden="1">{"rp_only",#N/A,FALSE,"2225"}</definedName>
    <definedName name="FDGS_1" hidden="1">{"rp_only",#N/A,FALSE,"2225"}</definedName>
    <definedName name="fdgsf" localSheetId="10" hidden="1">{"with_oth_curr",#N/A,FALSE,"2225"}</definedName>
    <definedName name="fdgsf" hidden="1">{"with_oth_curr",#N/A,FALSE,"2225"}</definedName>
    <definedName name="fdgsf_1" localSheetId="10" hidden="1">{"with_oth_curr",#N/A,FALSE,"2225"}</definedName>
    <definedName name="fdgsf_1" hidden="1">{"with_oth_curr",#N/A,FALSE,"2225"}</definedName>
    <definedName name="fdgss" localSheetId="10" hidden="1">{"with_oth_curr",#N/A,FALSE,"2225"}</definedName>
    <definedName name="fdgss" hidden="1">{"with_oth_curr",#N/A,FALSE,"2225"}</definedName>
    <definedName name="fdgss_1" localSheetId="10" hidden="1">{"with_oth_curr",#N/A,FALSE,"2225"}</definedName>
    <definedName name="fdgss_1" hidden="1">{"with_oth_curr",#N/A,FALSE,"2225"}</definedName>
    <definedName name="fdgvdgfrg" localSheetId="10" hidden="1">{"with_oth_curr",#N/A,FALSE,"2225"}</definedName>
    <definedName name="fdgvdgfrg" hidden="1">{"with_oth_curr",#N/A,FALSE,"2225"}</definedName>
    <definedName name="fdgvdgfrg_1" localSheetId="10" hidden="1">{"with_oth_curr",#N/A,FALSE,"2225"}</definedName>
    <definedName name="fdgvdgfrg_1" hidden="1">{"with_oth_curr",#N/A,FALSE,"2225"}</definedName>
    <definedName name="fdhfj" localSheetId="10" hidden="1">{"with_oth_curr",#N/A,FALSE,"2225"}</definedName>
    <definedName name="fdhfj" hidden="1">{"with_oth_curr",#N/A,FALSE,"2225"}</definedName>
    <definedName name="fdhfj_1" localSheetId="10"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localSheetId="10" hidden="1">{"comps",#N/A,FALSE,"comps";"notes",#N/A,FALSE,"comps"}</definedName>
    <definedName name="fds" hidden="1">{"comps",#N/A,FALSE,"comps";"notes",#N/A,FALSE,"comps"}</definedName>
    <definedName name="fdsa" localSheetId="10" hidden="1">{"rp_only",#N/A,FALSE,"2225"}</definedName>
    <definedName name="fdsa" hidden="1">{"rp_only",#N/A,FALSE,"2225"}</definedName>
    <definedName name="fdsa_1" localSheetId="10" hidden="1">{"rp_only",#N/A,FALSE,"2225"}</definedName>
    <definedName name="fdsa_1" hidden="1">{"rp_only",#N/A,FALSE,"2225"}</definedName>
    <definedName name="fdsaadfda" localSheetId="10" hidden="1">{"with_oth_curr",#N/A,FALSE,"2225"}</definedName>
    <definedName name="fdsaadfda" hidden="1">{"with_oth_curr",#N/A,FALSE,"2225"}</definedName>
    <definedName name="fdsaadfda_1" localSheetId="10" hidden="1">{"with_oth_curr",#N/A,FALSE,"2225"}</definedName>
    <definedName name="fdsaadfda_1" hidden="1">{"with_oth_curr",#N/A,FALSE,"2225"}</definedName>
    <definedName name="fdsad" localSheetId="10" hidden="1">{"with_oth_curr",#N/A,FALSE,"2225"}</definedName>
    <definedName name="fdsad" hidden="1">{"with_oth_curr",#N/A,FALSE,"2225"}</definedName>
    <definedName name="fdsad_1" localSheetId="10" hidden="1">{"with_oth_curr",#N/A,FALSE,"2225"}</definedName>
    <definedName name="fdsad_1" hidden="1">{"with_oth_curr",#N/A,FALSE,"2225"}</definedName>
    <definedName name="fdsadfsadfsa" localSheetId="10" hidden="1">{"with_oth_curr",#N/A,FALSE,"2225"}</definedName>
    <definedName name="fdsadfsadfsa" hidden="1">{"with_oth_curr",#N/A,FALSE,"2225"}</definedName>
    <definedName name="fdsadfsadfsa_1" localSheetId="10" hidden="1">{"with_oth_curr",#N/A,FALSE,"2225"}</definedName>
    <definedName name="fdsadfsadfsa_1" hidden="1">{"with_oth_curr",#N/A,FALSE,"2225"}</definedName>
    <definedName name="fdsadfsadfsafdasfdas" localSheetId="10" hidden="1">{"with_oth_curr",#N/A,FALSE,"2225"}</definedName>
    <definedName name="fdsadfsadfsafdasfdas" hidden="1">{"with_oth_curr",#N/A,FALSE,"2225"}</definedName>
    <definedName name="fdsadfsadfsafdasfdas_1" localSheetId="10" hidden="1">{"with_oth_curr",#N/A,FALSE,"2225"}</definedName>
    <definedName name="fdsadfsadfsafdasfdas_1" hidden="1">{"with_oth_curr",#N/A,FALSE,"2225"}</definedName>
    <definedName name="fdsads" localSheetId="10" hidden="1">{"rp_only",#N/A,FALSE,"2225"}</definedName>
    <definedName name="fdsads" hidden="1">{"rp_only",#N/A,FALSE,"2225"}</definedName>
    <definedName name="fdsads_1" localSheetId="10" hidden="1">{"rp_only",#N/A,FALSE,"2225"}</definedName>
    <definedName name="fdsads_1" hidden="1">{"rp_only",#N/A,FALSE,"2225"}</definedName>
    <definedName name="fdsadsa" localSheetId="10" hidden="1">{"rp_only",#N/A,FALSE,"2225"}</definedName>
    <definedName name="fdsadsa" hidden="1">{"rp_only",#N/A,FALSE,"2225"}</definedName>
    <definedName name="fdsadsa_1" localSheetId="10" hidden="1">{"rp_only",#N/A,FALSE,"2225"}</definedName>
    <definedName name="fdsadsa_1" hidden="1">{"rp_only",#N/A,FALSE,"2225"}</definedName>
    <definedName name="fdsadsfadsffdas" localSheetId="10" hidden="1">{"with_oth_curr",#N/A,FALSE,"2225"}</definedName>
    <definedName name="fdsadsfadsffdas" hidden="1">{"with_oth_curr",#N/A,FALSE,"2225"}</definedName>
    <definedName name="fdsadsfadsffdas_1" localSheetId="10" hidden="1">{"with_oth_curr",#N/A,FALSE,"2225"}</definedName>
    <definedName name="fdsadsfadsffdas_1" hidden="1">{"with_oth_curr",#N/A,FALSE,"2225"}</definedName>
    <definedName name="fdsaf" localSheetId="10" hidden="1">{"with_oth_curr",#N/A,FALSE,"2225"}</definedName>
    <definedName name="fdsaf" hidden="1">{"with_oth_curr",#N/A,FALSE,"2225"}</definedName>
    <definedName name="fdsaf_1" localSheetId="10" hidden="1">{"with_oth_curr",#N/A,FALSE,"2225"}</definedName>
    <definedName name="fdsaf_1" hidden="1">{"with_oth_curr",#N/A,FALSE,"2225"}</definedName>
    <definedName name="fdsafas" localSheetId="10" hidden="1">{"rp_only",#N/A,FALSE,"2225"}</definedName>
    <definedName name="fdsafas" hidden="1">{"rp_only",#N/A,FALSE,"2225"}</definedName>
    <definedName name="fdsafas_1" localSheetId="10" hidden="1">{"rp_only",#N/A,FALSE,"2225"}</definedName>
    <definedName name="fdsafas_1" hidden="1">{"rp_only",#N/A,FALSE,"2225"}</definedName>
    <definedName name="fdsafdasfdsa" localSheetId="10" hidden="1">{"with_oth_curr",#N/A,FALSE,"2225"}</definedName>
    <definedName name="fdsafdasfdsa" hidden="1">{"with_oth_curr",#N/A,FALSE,"2225"}</definedName>
    <definedName name="fdsafdasfdsa_1" localSheetId="10" hidden="1">{"with_oth_curr",#N/A,FALSE,"2225"}</definedName>
    <definedName name="fdsafdasfdsa_1" hidden="1">{"with_oth_curr",#N/A,FALSE,"2225"}</definedName>
    <definedName name="fdsafdf" localSheetId="10" hidden="1">{"SCH1A",#N/A,FALSE,"US"}</definedName>
    <definedName name="fdsafdf" hidden="1">{"SCH1A",#N/A,FALSE,"US"}</definedName>
    <definedName name="fdsafdsa" localSheetId="10" hidden="1">{"rp_only",#N/A,FALSE,"2225"}</definedName>
    <definedName name="fdsafdsa" hidden="1">{"rp_only",#N/A,FALSE,"2225"}</definedName>
    <definedName name="fdsafdsa_1" localSheetId="10" hidden="1">{"rp_only",#N/A,FALSE,"2225"}</definedName>
    <definedName name="fdsafdsa_1" hidden="1">{"rp_only",#N/A,FALSE,"2225"}</definedName>
    <definedName name="fdsafdsadsfdsdsfsdf" localSheetId="10" hidden="1">{"rp_only",#N/A,FALSE,"2225"}</definedName>
    <definedName name="fdsafdsadsfdsdsfsdf" hidden="1">{"rp_only",#N/A,FALSE,"2225"}</definedName>
    <definedName name="fdsafdsadsfdsdsfsdf_1" localSheetId="10" hidden="1">{"rp_only",#N/A,FALSE,"2225"}</definedName>
    <definedName name="fdsafdsadsfdsdsfsdf_1" hidden="1">{"rp_only",#N/A,FALSE,"2225"}</definedName>
    <definedName name="fdsafdsafads" localSheetId="10" hidden="1">{"rp_only",#N/A,FALSE,"2225"}</definedName>
    <definedName name="fdsafdsafads" hidden="1">{"rp_only",#N/A,FALSE,"2225"}</definedName>
    <definedName name="fdsafdsafads_1" localSheetId="10" hidden="1">{"rp_only",#N/A,FALSE,"2225"}</definedName>
    <definedName name="fdsafdsafads_1" hidden="1">{"rp_only",#N/A,FALSE,"2225"}</definedName>
    <definedName name="fdsafdsafds" localSheetId="10" hidden="1">{"with_oth_curr",#N/A,FALSE,"2225"}</definedName>
    <definedName name="fdsafdsafds" hidden="1">{"with_oth_curr",#N/A,FALSE,"2225"}</definedName>
    <definedName name="fdsafdsafds_1" localSheetId="10" hidden="1">{"with_oth_curr",#N/A,FALSE,"2225"}</definedName>
    <definedName name="fdsafdsafds_1" hidden="1">{"with_oth_curr",#N/A,FALSE,"2225"}</definedName>
    <definedName name="fdsafdsfd" localSheetId="10" hidden="1">{"with_oth_curr",#N/A,FALSE,"2225"}</definedName>
    <definedName name="fdsafdsfd" hidden="1">{"with_oth_curr",#N/A,FALSE,"2225"}</definedName>
    <definedName name="fdsafdsfd_1" localSheetId="10" hidden="1">{"with_oth_curr",#N/A,FALSE,"2225"}</definedName>
    <definedName name="fdsafdsfd_1" hidden="1">{"with_oth_curr",#N/A,FALSE,"2225"}</definedName>
    <definedName name="fdsafdsfds" localSheetId="10" hidden="1">{"rp_only",#N/A,FALSE,"2225"}</definedName>
    <definedName name="fdsafdsfds" hidden="1">{"rp_only",#N/A,FALSE,"2225"}</definedName>
    <definedName name="fdsafdsfds_1" localSheetId="10" hidden="1">{"rp_only",#N/A,FALSE,"2225"}</definedName>
    <definedName name="fdsafdsfds_1" hidden="1">{"rp_only",#N/A,FALSE,"2225"}</definedName>
    <definedName name="fdsafdsfsa" localSheetId="10" hidden="1">{"rp_only",#N/A,FALSE,"2225"}</definedName>
    <definedName name="fdsafdsfsa" hidden="1">{"rp_only",#N/A,FALSE,"2225"}</definedName>
    <definedName name="fdsafdsfsa_1" localSheetId="10" hidden="1">{"rp_only",#N/A,FALSE,"2225"}</definedName>
    <definedName name="fdsafdsfsa_1" hidden="1">{"rp_only",#N/A,FALSE,"2225"}</definedName>
    <definedName name="fdsafsddfs" localSheetId="10" hidden="1">{"rp_only",#N/A,FALSE,"2225"}</definedName>
    <definedName name="fdsafsddfs" hidden="1">{"rp_only",#N/A,FALSE,"2225"}</definedName>
    <definedName name="fdsafsddfs_1" localSheetId="10" hidden="1">{"rp_only",#N/A,FALSE,"2225"}</definedName>
    <definedName name="fdsafsddfs_1" hidden="1">{"rp_only",#N/A,FALSE,"2225"}</definedName>
    <definedName name="fdsaggds" localSheetId="10" hidden="1">{"with_oth_curr",#N/A,FALSE,"2225"}</definedName>
    <definedName name="fdsaggds" hidden="1">{"with_oth_curr",#N/A,FALSE,"2225"}</definedName>
    <definedName name="fdsaggds_1" localSheetId="10" hidden="1">{"with_oth_curr",#N/A,FALSE,"2225"}</definedName>
    <definedName name="fdsaggds_1" hidden="1">{"with_oth_curr",#N/A,FALSE,"2225"}</definedName>
    <definedName name="fdsasdaf" localSheetId="10" hidden="1">{"with_oth_curr",#N/A,FALSE,"2225"}</definedName>
    <definedName name="fdsasdaf" hidden="1">{"with_oth_curr",#N/A,FALSE,"2225"}</definedName>
    <definedName name="fdsasdaf_1" localSheetId="10" hidden="1">{"with_oth_curr",#N/A,FALSE,"2225"}</definedName>
    <definedName name="fdsasdaf_1" hidden="1">{"with_oth_curr",#N/A,FALSE,"2225"}</definedName>
    <definedName name="fdsddsfdsfdasf" localSheetId="10" hidden="1">{"rp_only",#N/A,FALSE,"2225"}</definedName>
    <definedName name="fdsddsfdsfdasf" hidden="1">{"rp_only",#N/A,FALSE,"2225"}</definedName>
    <definedName name="fdsddsfdsfdasf_1" localSheetId="10" hidden="1">{"rp_only",#N/A,FALSE,"2225"}</definedName>
    <definedName name="fdsddsfdsfdasf_1" hidden="1">{"rp_only",#N/A,FALSE,"2225"}</definedName>
    <definedName name="fdsdffds" localSheetId="10" hidden="1">{"rp_only",#N/A,FALSE,"2225"}</definedName>
    <definedName name="fdsdffds" hidden="1">{"rp_only",#N/A,FALSE,"2225"}</definedName>
    <definedName name="fdsdffds_1" localSheetId="10" hidden="1">{"rp_only",#N/A,FALSE,"2225"}</definedName>
    <definedName name="fdsdffds_1" hidden="1">{"rp_only",#N/A,FALSE,"2225"}</definedName>
    <definedName name="fdsdfsdf" localSheetId="10" hidden="1">{"with_oth_curr",#N/A,FALSE,"2225"}</definedName>
    <definedName name="fdsdfsdf" hidden="1">{"with_oth_curr",#N/A,FALSE,"2225"}</definedName>
    <definedName name="fdsdfsdf_1" localSheetId="10" hidden="1">{"with_oth_curr",#N/A,FALSE,"2225"}</definedName>
    <definedName name="fdsdfsdf_1" hidden="1">{"with_oth_curr",#N/A,FALSE,"2225"}</definedName>
    <definedName name="fdsdfsfds" localSheetId="10" hidden="1">{"rp_only",#N/A,FALSE,"2225"}</definedName>
    <definedName name="fdsdfsfds" hidden="1">{"rp_only",#N/A,FALSE,"2225"}</definedName>
    <definedName name="fdsdfsfds_1" localSheetId="10" hidden="1">{"rp_only",#N/A,FALSE,"2225"}</definedName>
    <definedName name="fdsdfsfds_1" hidden="1">{"rp_only",#N/A,FALSE,"2225"}</definedName>
    <definedName name="fdsdfsfdsfsdasfda" localSheetId="10" hidden="1">{"with_oth_curr",#N/A,FALSE,"2225"}</definedName>
    <definedName name="fdsdfsfdsfsdasfda" hidden="1">{"with_oth_curr",#N/A,FALSE,"2225"}</definedName>
    <definedName name="fdsdfsfdsfsdasfda_1" localSheetId="10" hidden="1">{"with_oth_curr",#N/A,FALSE,"2225"}</definedName>
    <definedName name="fdsdfsfdsfsdasfda_1" hidden="1">{"with_oth_curr",#N/A,FALSE,"2225"}</definedName>
    <definedName name="fdsdfsfsd" localSheetId="10" hidden="1">{"with_oth_curr",#N/A,FALSE,"2225"}</definedName>
    <definedName name="fdsdfsfsd" hidden="1">{"with_oth_curr",#N/A,FALSE,"2225"}</definedName>
    <definedName name="fdsdfsfsd_1" localSheetId="10" hidden="1">{"with_oth_curr",#N/A,FALSE,"2225"}</definedName>
    <definedName name="fdsdfsfsd_1" hidden="1">{"with_oth_curr",#N/A,FALSE,"2225"}</definedName>
    <definedName name="fdsdsdfsdf" localSheetId="10" hidden="1">{"rp_only",#N/A,FALSE,"2225"}</definedName>
    <definedName name="fdsdsdfsdf" hidden="1">{"rp_only",#N/A,FALSE,"2225"}</definedName>
    <definedName name="fdsdsdfsdf_1" localSheetId="10" hidden="1">{"rp_only",#N/A,FALSE,"2225"}</definedName>
    <definedName name="fdsdsdfsdf_1" hidden="1">{"rp_only",#N/A,FALSE,"2225"}</definedName>
    <definedName name="fdsdsfafdsdfsfdasdasf" localSheetId="10" hidden="1">{"rp_only",#N/A,FALSE,"2225"}</definedName>
    <definedName name="fdsdsfafdsdfsfdasdasf" hidden="1">{"rp_only",#N/A,FALSE,"2225"}</definedName>
    <definedName name="fdsdsfafdsdfsfdasdasf_1" localSheetId="10" hidden="1">{"rp_only",#N/A,FALSE,"2225"}</definedName>
    <definedName name="fdsdsfafdsdfsfdasdasf_1" hidden="1">{"rp_only",#N/A,FALSE,"2225"}</definedName>
    <definedName name="fdsdsffd" localSheetId="10" hidden="1">{"with_oth_curr",#N/A,FALSE,"2225"}</definedName>
    <definedName name="fdsdsffd" hidden="1">{"with_oth_curr",#N/A,FALSE,"2225"}</definedName>
    <definedName name="fdsdsffd_1" localSheetId="10" hidden="1">{"with_oth_curr",#N/A,FALSE,"2225"}</definedName>
    <definedName name="fdsdsffd_1" hidden="1">{"with_oth_curr",#N/A,FALSE,"2225"}</definedName>
    <definedName name="fdsf" localSheetId="10" hidden="1">{"general",#N/A,FALSE,"Assumptions"}</definedName>
    <definedName name="fdsf" hidden="1">{"general",#N/A,FALSE,"Assumptions"}</definedName>
    <definedName name="fdsfadsfdsafdasdfsafsda" localSheetId="10" hidden="1">{"rp_only",#N/A,FALSE,"2225"}</definedName>
    <definedName name="fdsfadsfdsafdasdfsafsda" hidden="1">{"rp_only",#N/A,FALSE,"2225"}</definedName>
    <definedName name="fdsfadsfdsafdasdfsafsda_1" localSheetId="10" hidden="1">{"rp_only",#N/A,FALSE,"2225"}</definedName>
    <definedName name="fdsfadsfdsafdasdfsafsda_1" hidden="1">{"rp_only",#N/A,FALSE,"2225"}</definedName>
    <definedName name="fdsfafds" localSheetId="10" hidden="1">{"with_oth_curr",#N/A,FALSE,"2225"}</definedName>
    <definedName name="fdsfafds" hidden="1">{"with_oth_curr",#N/A,FALSE,"2225"}</definedName>
    <definedName name="fdsfafds_1" localSheetId="10" hidden="1">{"with_oth_curr",#N/A,FALSE,"2225"}</definedName>
    <definedName name="fdsfafds_1" hidden="1">{"with_oth_curr",#N/A,FALSE,"2225"}</definedName>
    <definedName name="fdsfdasdsfa" localSheetId="10" hidden="1">{"rp_only",#N/A,FALSE,"2225"}</definedName>
    <definedName name="fdsfdasdsfa" hidden="1">{"rp_only",#N/A,FALSE,"2225"}</definedName>
    <definedName name="fdsfdasdsfa_1" localSheetId="10" hidden="1">{"rp_only",#N/A,FALSE,"2225"}</definedName>
    <definedName name="fdsfdasdsfa_1" hidden="1">{"rp_only",#N/A,FALSE,"2225"}</definedName>
    <definedName name="fdsfdasfsdafdasfsda" localSheetId="10" hidden="1">{"rp_only",#N/A,FALSE,"2225"}</definedName>
    <definedName name="fdsfdasfsdafdasfsda" hidden="1">{"rp_only",#N/A,FALSE,"2225"}</definedName>
    <definedName name="fdsfdasfsdafdasfsda_1" localSheetId="10" hidden="1">{"rp_only",#N/A,FALSE,"2225"}</definedName>
    <definedName name="fdsfdasfsdafdasfsda_1" hidden="1">{"rp_only",#N/A,FALSE,"2225"}</definedName>
    <definedName name="fdsfdfds" localSheetId="10" hidden="1">{"rp_only",#N/A,FALSE,"2225"}</definedName>
    <definedName name="fdsfdfds" hidden="1">{"rp_only",#N/A,FALSE,"2225"}</definedName>
    <definedName name="fdsfdfds_1" localSheetId="10" hidden="1">{"rp_only",#N/A,FALSE,"2225"}</definedName>
    <definedName name="fdsfdfds_1" hidden="1">{"rp_only",#N/A,FALSE,"2225"}</definedName>
    <definedName name="fdsfdfsdafadsfdsa" localSheetId="10" hidden="1">{"rp_only",#N/A,FALSE,"2225"}</definedName>
    <definedName name="fdsfdfsdafadsfdsa" hidden="1">{"rp_only",#N/A,FALSE,"2225"}</definedName>
    <definedName name="fdsfdfsdafadsfdsa_1" localSheetId="10" hidden="1">{"rp_only",#N/A,FALSE,"2225"}</definedName>
    <definedName name="fdsfdfsdafadsfdsa_1" hidden="1">{"rp_only",#N/A,FALSE,"2225"}</definedName>
    <definedName name="fdsfds" localSheetId="10" hidden="1">{"with_oth_curr",#N/A,FALSE,"2225"}</definedName>
    <definedName name="fdsfds" hidden="1">{"with_oth_curr",#N/A,FALSE,"2225"}</definedName>
    <definedName name="fdsfds_1" localSheetId="10" hidden="1">{"with_oth_curr",#N/A,FALSE,"2225"}</definedName>
    <definedName name="fdsfds_1" hidden="1">{"with_oth_curr",#N/A,FALSE,"2225"}</definedName>
    <definedName name="fdsfdsa" localSheetId="10" hidden="1">{"with_oth_curr",#N/A,FALSE,"2225"}</definedName>
    <definedName name="fdsfdsa" hidden="1">{"with_oth_curr",#N/A,FALSE,"2225"}</definedName>
    <definedName name="fdsfdsa_1" localSheetId="10" hidden="1">{"with_oth_curr",#N/A,FALSE,"2225"}</definedName>
    <definedName name="fdsfdsa_1" hidden="1">{"with_oth_curr",#N/A,FALSE,"2225"}</definedName>
    <definedName name="fdsfdsadsffsd" localSheetId="10" hidden="1">{"with_oth_curr",#N/A,FALSE,"2225"}</definedName>
    <definedName name="fdsfdsadsffsd" hidden="1">{"with_oth_curr",#N/A,FALSE,"2225"}</definedName>
    <definedName name="fdsfdsadsffsd_1" localSheetId="10" hidden="1">{"with_oth_curr",#N/A,FALSE,"2225"}</definedName>
    <definedName name="fdsfdsadsffsd_1" hidden="1">{"with_oth_curr",#N/A,FALSE,"2225"}</definedName>
    <definedName name="fdsfdsdfs" localSheetId="10" hidden="1">{"rp_only",#N/A,FALSE,"2225"}</definedName>
    <definedName name="fdsfdsdfs" hidden="1">{"rp_only",#N/A,FALSE,"2225"}</definedName>
    <definedName name="fdsfdsdfs_1" localSheetId="10" hidden="1">{"rp_only",#N/A,FALSE,"2225"}</definedName>
    <definedName name="fdsfdsdfs_1" hidden="1">{"rp_only",#N/A,FALSE,"2225"}</definedName>
    <definedName name="fdsfdsdfsadsf" localSheetId="10" hidden="1">{"rp_only",#N/A,FALSE,"2225"}</definedName>
    <definedName name="fdsfdsdfsadsf" hidden="1">{"rp_only",#N/A,FALSE,"2225"}</definedName>
    <definedName name="fdsfdsdfsadsf_1" localSheetId="10" hidden="1">{"rp_only",#N/A,FALSE,"2225"}</definedName>
    <definedName name="fdsfdsdfsadsf_1" hidden="1">{"rp_only",#N/A,FALSE,"2225"}</definedName>
    <definedName name="fdsfdsdfsfds" localSheetId="10" hidden="1">{"rp_only",#N/A,FALSE,"2225"}</definedName>
    <definedName name="fdsfdsdfsfds" hidden="1">{"rp_only",#N/A,FALSE,"2225"}</definedName>
    <definedName name="fdsfdsdfsfds_1" localSheetId="10" hidden="1">{"rp_only",#N/A,FALSE,"2225"}</definedName>
    <definedName name="fdsfdsdfsfds_1" hidden="1">{"rp_only",#N/A,FALSE,"2225"}</definedName>
    <definedName name="fdsfdsdfssdf" localSheetId="10" hidden="1">{"with_oth_curr",#N/A,FALSE,"2225"}</definedName>
    <definedName name="fdsfdsdfssdf" hidden="1">{"with_oth_curr",#N/A,FALSE,"2225"}</definedName>
    <definedName name="fdsfdsdfssdf_1" localSheetId="10" hidden="1">{"with_oth_curr",#N/A,FALSE,"2225"}</definedName>
    <definedName name="fdsfdsdfssdf_1" hidden="1">{"with_oth_curr",#N/A,FALSE,"2225"}</definedName>
    <definedName name="fdsfdsdsf" localSheetId="10" hidden="1">{"rp_only",#N/A,FALSE,"2225"}</definedName>
    <definedName name="fdsfdsdsf" hidden="1">{"rp_only",#N/A,FALSE,"2225"}</definedName>
    <definedName name="fdsfdsdsf_1" localSheetId="10" hidden="1">{"rp_only",#N/A,FALSE,"2225"}</definedName>
    <definedName name="fdsfdsdsf_1" hidden="1">{"rp_only",#N/A,FALSE,"2225"}</definedName>
    <definedName name="fdsfdsdsgra" localSheetId="10" hidden="1">{"rp_only",#N/A,FALSE,"2225"}</definedName>
    <definedName name="fdsfdsdsgra" hidden="1">{"rp_only",#N/A,FALSE,"2225"}</definedName>
    <definedName name="fdsfdsdsgra_1" localSheetId="10" hidden="1">{"rp_only",#N/A,FALSE,"2225"}</definedName>
    <definedName name="fdsfdsdsgra_1" hidden="1">{"rp_only",#N/A,FALSE,"2225"}</definedName>
    <definedName name="fdsfdsfadsfdsa" localSheetId="10" hidden="1">{"rp_only",#N/A,FALSE,"2225"}</definedName>
    <definedName name="fdsfdsfadsfdsa" hidden="1">{"rp_only",#N/A,FALSE,"2225"}</definedName>
    <definedName name="fdsfdsfadsfdsa_1" localSheetId="10" hidden="1">{"rp_only",#N/A,FALSE,"2225"}</definedName>
    <definedName name="fdsfdsfadsfdsa_1" hidden="1">{"rp_only",#N/A,FALSE,"2225"}</definedName>
    <definedName name="fdsfdsfd" localSheetId="10" hidden="1">{"with_oth_curr",#N/A,FALSE,"2225"}</definedName>
    <definedName name="fdsfdsfd" hidden="1">{"with_oth_curr",#N/A,FALSE,"2225"}</definedName>
    <definedName name="fdsfdsfd_1" localSheetId="10" hidden="1">{"with_oth_curr",#N/A,FALSE,"2225"}</definedName>
    <definedName name="fdsfdsfd_1" hidden="1">{"with_oth_curr",#N/A,FALSE,"2225"}</definedName>
    <definedName name="fdsfdsfds" localSheetId="10" hidden="1">{"rp_only",#N/A,FALSE,"2225"}</definedName>
    <definedName name="fdsfdsfds" hidden="1">{"rp_only",#N/A,FALSE,"2225"}</definedName>
    <definedName name="fdsfdsfds_1" localSheetId="10" hidden="1">{"rp_only",#N/A,FALSE,"2225"}</definedName>
    <definedName name="fdsfdsfds_1" hidden="1">{"rp_only",#N/A,FALSE,"2225"}</definedName>
    <definedName name="fdsfdsfdsa" localSheetId="10" hidden="1">{"rp_only",#N/A,FALSE,"2225"}</definedName>
    <definedName name="fdsfdsfdsa" hidden="1">{"rp_only",#N/A,FALSE,"2225"}</definedName>
    <definedName name="fdsfdsfdsa_1" localSheetId="10" hidden="1">{"rp_only",#N/A,FALSE,"2225"}</definedName>
    <definedName name="fdsfdsfdsa_1" hidden="1">{"rp_only",#N/A,FALSE,"2225"}</definedName>
    <definedName name="fdsfdsfdsdf" localSheetId="10" hidden="1">{"with_oth_curr",#N/A,FALSE,"2225"}</definedName>
    <definedName name="fdsfdsfdsdf" hidden="1">{"with_oth_curr",#N/A,FALSE,"2225"}</definedName>
    <definedName name="fdsfdsfdsdf_1" localSheetId="10" hidden="1">{"with_oth_curr",#N/A,FALSE,"2225"}</definedName>
    <definedName name="fdsfdsfdsdf_1" hidden="1">{"with_oth_curr",#N/A,FALSE,"2225"}</definedName>
    <definedName name="fdsfdsfdsfds" localSheetId="10" hidden="1">{"with_oth_curr",#N/A,FALSE,"2225"}</definedName>
    <definedName name="fdsfdsfdsfds" hidden="1">{"with_oth_curr",#N/A,FALSE,"2225"}</definedName>
    <definedName name="fdsfdsfdsfds_1" localSheetId="10" hidden="1">{"with_oth_curr",#N/A,FALSE,"2225"}</definedName>
    <definedName name="fdsfdsfdsfds_1" hidden="1">{"with_oth_curr",#N/A,FALSE,"2225"}</definedName>
    <definedName name="fdsfdsfdsfdssfd" localSheetId="10" hidden="1">{"rp_only",#N/A,FALSE,"2225"}</definedName>
    <definedName name="fdsfdsfdsfdssfd" hidden="1">{"rp_only",#N/A,FALSE,"2225"}</definedName>
    <definedName name="fdsfdsfdsfdssfd_1" localSheetId="10" hidden="1">{"rp_only",#N/A,FALSE,"2225"}</definedName>
    <definedName name="fdsfdsfdsfdssfd_1" hidden="1">{"rp_only",#N/A,FALSE,"2225"}</definedName>
    <definedName name="fdsfdsfsd" localSheetId="10" hidden="1">{"rp_only",#N/A,FALSE,"2225"}</definedName>
    <definedName name="fdsfdsfsd" hidden="1">{"rp_only",#N/A,FALSE,"2225"}</definedName>
    <definedName name="fdsfdsfsd_1" localSheetId="10" hidden="1">{"rp_only",#N/A,FALSE,"2225"}</definedName>
    <definedName name="fdsfdsfsd_1" hidden="1">{"rp_only",#N/A,FALSE,"2225"}</definedName>
    <definedName name="fdsfdssdf" localSheetId="10" hidden="1">{"with_oth_curr",#N/A,FALSE,"2225"}</definedName>
    <definedName name="fdsfdssdf" hidden="1">{"with_oth_curr",#N/A,FALSE,"2225"}</definedName>
    <definedName name="fdsfdssdf_1" localSheetId="10" hidden="1">{"with_oth_curr",#N/A,FALSE,"2225"}</definedName>
    <definedName name="fdsfdssdf_1" hidden="1">{"with_oth_curr",#N/A,FALSE,"2225"}</definedName>
    <definedName name="fdsfdssfd" localSheetId="10" hidden="1">{"rp_only",#N/A,FALSE,"2225"}</definedName>
    <definedName name="fdsfdssfd" hidden="1">{"rp_only",#N/A,FALSE,"2225"}</definedName>
    <definedName name="fdsfdssfd_1" localSheetId="10" hidden="1">{"rp_only",#N/A,FALSE,"2225"}</definedName>
    <definedName name="fdsfdssfd_1" hidden="1">{"rp_only",#N/A,FALSE,"2225"}</definedName>
    <definedName name="fdsffds" localSheetId="10" hidden="1">{"rp_only",#N/A,FALSE,"2225"}</definedName>
    <definedName name="fdsffds" hidden="1">{"rp_only",#N/A,FALSE,"2225"}</definedName>
    <definedName name="fdsffds_1" localSheetId="10" hidden="1">{"rp_only",#N/A,FALSE,"2225"}</definedName>
    <definedName name="fdsffds_1" hidden="1">{"rp_only",#N/A,FALSE,"2225"}</definedName>
    <definedName name="FDSFFFDS" localSheetId="10" hidden="1">{"with_oth_curr",#N/A,FALSE,"2225"}</definedName>
    <definedName name="FDSFFFDS" hidden="1">{"with_oth_curr",#N/A,FALSE,"2225"}</definedName>
    <definedName name="FDSFFFDS_1" localSheetId="10" hidden="1">{"with_oth_curr",#N/A,FALSE,"2225"}</definedName>
    <definedName name="FDSFFFDS_1" hidden="1">{"with_oth_curr",#N/A,FALSE,"2225"}</definedName>
    <definedName name="fdsfsddfsa" localSheetId="10" hidden="1">{"with_oth_curr",#N/A,FALSE,"2225"}</definedName>
    <definedName name="fdsfsddfsa" hidden="1">{"with_oth_curr",#N/A,FALSE,"2225"}</definedName>
    <definedName name="fdsfsddfsa_1" localSheetId="10" hidden="1">{"with_oth_curr",#N/A,FALSE,"2225"}</definedName>
    <definedName name="fdsfsddfsa_1" hidden="1">{"with_oth_curr",#N/A,FALSE,"2225"}</definedName>
    <definedName name="fdsfsdfds" localSheetId="10" hidden="1">{"rp_only",#N/A,FALSE,"2225"}</definedName>
    <definedName name="fdsfsdfds" hidden="1">{"rp_only",#N/A,FALSE,"2225"}</definedName>
    <definedName name="fdsfsdfds_1" localSheetId="10" hidden="1">{"rp_only",#N/A,FALSE,"2225"}</definedName>
    <definedName name="fdsfsdfds_1" hidden="1">{"rp_only",#N/A,FALSE,"2225"}</definedName>
    <definedName name="fdsfsdfs" localSheetId="10" hidden="1">{"rp_only",#N/A,FALSE,"2225"}</definedName>
    <definedName name="fdsfsdfs" hidden="1">{"rp_only",#N/A,FALSE,"2225"}</definedName>
    <definedName name="fdsfsdfs_1" localSheetId="10" hidden="1">{"rp_only",#N/A,FALSE,"2225"}</definedName>
    <definedName name="fdsfsdfs_1" hidden="1">{"rp_only",#N/A,FALSE,"2225"}</definedName>
    <definedName name="fdsfsdfsd" localSheetId="10" hidden="1">{"with_oth_curr",#N/A,FALSE,"2225"}</definedName>
    <definedName name="fdsfsdfsd" hidden="1">{"with_oth_curr",#N/A,FALSE,"2225"}</definedName>
    <definedName name="fdsfsdfsd_1" localSheetId="10" hidden="1">{"with_oth_curr",#N/A,FALSE,"2225"}</definedName>
    <definedName name="fdsfsdfsd_1" hidden="1">{"with_oth_curr",#N/A,FALSE,"2225"}</definedName>
    <definedName name="fdsfsdfsf" localSheetId="10" hidden="1">{"rp_only",#N/A,FALSE,"2225"}</definedName>
    <definedName name="fdsfsdfsf" hidden="1">{"rp_only",#N/A,FALSE,"2225"}</definedName>
    <definedName name="fdsfsdfsf_1" localSheetId="10" hidden="1">{"rp_only",#N/A,FALSE,"2225"}</definedName>
    <definedName name="fdsfsdfsf_1" hidden="1">{"rp_only",#N/A,FALSE,"2225"}</definedName>
    <definedName name="fdsfsdsdf" localSheetId="10" hidden="1">{"with_oth_curr",#N/A,FALSE,"2225"}</definedName>
    <definedName name="fdsfsdsdf" hidden="1">{"with_oth_curr",#N/A,FALSE,"2225"}</definedName>
    <definedName name="fdsfsdsdf_1" localSheetId="10" hidden="1">{"with_oth_curr",#N/A,FALSE,"2225"}</definedName>
    <definedName name="fdsfsdsdf_1" hidden="1">{"with_oth_curr",#N/A,FALSE,"2225"}</definedName>
    <definedName name="fdsfsfdsf" localSheetId="10" hidden="1">{"with_oth_curr",#N/A,FALSE,"2225"}</definedName>
    <definedName name="fdsfsfdsf" hidden="1">{"with_oth_curr",#N/A,FALSE,"2225"}</definedName>
    <definedName name="fdsfsfdsf_1" localSheetId="10" hidden="1">{"with_oth_curr",#N/A,FALSE,"2225"}</definedName>
    <definedName name="fdsfsfdsf_1" hidden="1">{"with_oth_curr",#N/A,FALSE,"2225"}</definedName>
    <definedName name="fdsfsff" localSheetId="10" hidden="1">{"rp_only",#N/A,FALSE,"2225"}</definedName>
    <definedName name="fdsfsff" hidden="1">{"rp_only",#N/A,FALSE,"2225"}</definedName>
    <definedName name="fdsfsff_1" localSheetId="10" hidden="1">{"rp_only",#N/A,FALSE,"2225"}</definedName>
    <definedName name="fdsfsff_1" hidden="1">{"rp_only",#N/A,FALSE,"2225"}</definedName>
    <definedName name="fdsfsfs" localSheetId="10" hidden="1">{"rp_only",#N/A,FALSE,"2225"}</definedName>
    <definedName name="fdsfsfs" hidden="1">{"rp_only",#N/A,FALSE,"2225"}</definedName>
    <definedName name="fdsfsfs_1" localSheetId="10" hidden="1">{"rp_only",#N/A,FALSE,"2225"}</definedName>
    <definedName name="fdsfsfs_1" hidden="1">{"rp_only",#N/A,FALSE,"2225"}</definedName>
    <definedName name="fdsfsfsf" localSheetId="10" hidden="1">{"with_oth_curr",#N/A,FALSE,"2225"}</definedName>
    <definedName name="fdsfsfsf" hidden="1">{"with_oth_curr",#N/A,FALSE,"2225"}</definedName>
    <definedName name="fdsfsfsf_1" localSheetId="10" hidden="1">{"with_oth_curr",#N/A,FALSE,"2225"}</definedName>
    <definedName name="fdsfsfsf_1" hidden="1">{"with_oth_curr",#N/A,FALSE,"2225"}</definedName>
    <definedName name="fdsgfsdfhufuuyr" localSheetId="10" hidden="1">{"rp_only",#N/A,FALSE,"2225"}</definedName>
    <definedName name="fdsgfsdfhufuuyr" hidden="1">{"rp_only",#N/A,FALSE,"2225"}</definedName>
    <definedName name="fdsgfsdfhufuuyr_1" localSheetId="10" hidden="1">{"rp_only",#N/A,FALSE,"2225"}</definedName>
    <definedName name="fdsgfsdfhufuuyr_1" hidden="1">{"rp_only",#N/A,FALSE,"2225"}</definedName>
    <definedName name="fdssadffsdadfsadsf" localSheetId="10" hidden="1">{"with_oth_curr",#N/A,FALSE,"2225"}</definedName>
    <definedName name="fdssadffsdadfsadsf" hidden="1">{"with_oth_curr",#N/A,FALSE,"2225"}</definedName>
    <definedName name="fdssadffsdadfsadsf_1" localSheetId="10" hidden="1">{"with_oth_curr",#N/A,FALSE,"2225"}</definedName>
    <definedName name="fdssadffsdadfsadsf_1" hidden="1">{"with_oth_curr",#N/A,FALSE,"2225"}</definedName>
    <definedName name="fdssdaffdsfds" localSheetId="10" hidden="1">{"with_oth_curr",#N/A,FALSE,"2225"}</definedName>
    <definedName name="fdssdaffdsfds" hidden="1">{"with_oth_curr",#N/A,FALSE,"2225"}</definedName>
    <definedName name="fdssdaffdsfds_1" localSheetId="10" hidden="1">{"with_oth_curr",#N/A,FALSE,"2225"}</definedName>
    <definedName name="fdssdaffdsfds_1" hidden="1">{"with_oth_curr",#N/A,FALSE,"2225"}</definedName>
    <definedName name="fdssdfdfs" localSheetId="10" hidden="1">{"rp_only",#N/A,FALSE,"2225"}</definedName>
    <definedName name="fdssdfdfs" hidden="1">{"rp_only",#N/A,FALSE,"2225"}</definedName>
    <definedName name="fdssdfdfs_1" localSheetId="10" hidden="1">{"rp_only",#N/A,FALSE,"2225"}</definedName>
    <definedName name="fdssdfdfs_1" hidden="1">{"rp_only",#N/A,FALSE,"2225"}</definedName>
    <definedName name="fdssdfdssdfdfs" localSheetId="10" hidden="1">{"with_oth_curr",#N/A,FALSE,"2225"}</definedName>
    <definedName name="fdssdfdssdfdfs" hidden="1">{"with_oth_curr",#N/A,FALSE,"2225"}</definedName>
    <definedName name="fdssdfdssdfdfs_1" localSheetId="10" hidden="1">{"with_oth_curr",#N/A,FALSE,"2225"}</definedName>
    <definedName name="fdssdfdssdfdfs_1" hidden="1">{"with_oth_curr",#N/A,FALSE,"2225"}</definedName>
    <definedName name="fdssfds" localSheetId="10" hidden="1">{"rp_only",#N/A,FALSE,"2225"}</definedName>
    <definedName name="fdssfds" hidden="1">{"rp_only",#N/A,FALSE,"2225"}</definedName>
    <definedName name="fdssfds_1" localSheetId="10" hidden="1">{"rp_only",#N/A,FALSE,"2225"}</definedName>
    <definedName name="fdssfds_1" hidden="1">{"rp_only",#N/A,FALSE,"2225"}</definedName>
    <definedName name="fdssgfhgfj" localSheetId="10" hidden="1">{"with_oth_curr",#N/A,FALSE,"2225"}</definedName>
    <definedName name="fdssgfhgfj" hidden="1">{"with_oth_curr",#N/A,FALSE,"2225"}</definedName>
    <definedName name="fdssgfhgfj_1" localSheetId="10"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localSheetId="10" hidden="1">{#N/A,#N/A,FALSE,"Cost Report";#N/A,#N/A,FALSE,"Table 2.1";#N/A,#N/A,FALSE,"Plant Statistics";"Plant Costs",#N/A,FALSE,"Cost Summary"}</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localSheetId="10" hidden="1">{"with_oth_curr",#N/A,FALSE,"2225"}</definedName>
    <definedName name="ffbdgvzcxv" hidden="1">{"with_oth_curr",#N/A,FALSE,"2225"}</definedName>
    <definedName name="ffbdgvzcxv_1" localSheetId="10" hidden="1">{"with_oth_curr",#N/A,FALSE,"2225"}</definedName>
    <definedName name="ffbdgvzcxv_1" hidden="1">{"with_oth_curr",#N/A,FALSE,"2225"}</definedName>
    <definedName name="ffddfsfdsfdsfads" localSheetId="10" hidden="1">{"with_oth_curr",#N/A,FALSE,"2225"}</definedName>
    <definedName name="ffddfsfdsfdsfads" hidden="1">{"with_oth_curr",#N/A,FALSE,"2225"}</definedName>
    <definedName name="ffddfsfdsfdsfads_1" localSheetId="10" hidden="1">{"with_oth_curr",#N/A,FALSE,"2225"}</definedName>
    <definedName name="ffddfsfdsfdsfads_1" hidden="1">{"with_oth_curr",#N/A,FALSE,"2225"}</definedName>
    <definedName name="ffdsadfsa" localSheetId="10" hidden="1">{"rp_only",#N/A,FALSE,"2225"}</definedName>
    <definedName name="ffdsadfsa" hidden="1">{"rp_only",#N/A,FALSE,"2225"}</definedName>
    <definedName name="ffdsadfsa_1" localSheetId="10" hidden="1">{"rp_only",#N/A,FALSE,"2225"}</definedName>
    <definedName name="ffdsadfsa_1" hidden="1">{"rp_only",#N/A,FALSE,"2225"}</definedName>
    <definedName name="ffefe" localSheetId="10" hidden="1">{"adj95mult",#N/A,FALSE,"COMPCO";"adj95est",#N/A,FALSE,"COMPCO"}</definedName>
    <definedName name="ffefe" hidden="1">{"adj95mult",#N/A,FALSE,"COMPCO";"adj95est",#N/A,FALSE,"COMPCO"}</definedName>
    <definedName name="ffefe_1" localSheetId="10" hidden="1">{"adj95mult",#N/A,FALSE,"COMPCO";"adj95est",#N/A,FALSE,"COMPCO"}</definedName>
    <definedName name="ffefe_1" hidden="1">{"adj95mult",#N/A,FALSE,"COMPCO";"adj95est",#N/A,FALSE,"COMPCO"}</definedName>
    <definedName name="fff" localSheetId="10"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10" hidden="1">{#N/A,#N/A,FALSE,"CCTV"}</definedName>
    <definedName name="ffffff" hidden="1">{#N/A,#N/A,FALSE,"CCTV"}</definedName>
    <definedName name="fffffffffffffff" hidden="1">#REF!</definedName>
    <definedName name="ffgfgfdgfgfg" localSheetId="10" hidden="1">{"rp_only",#N/A,FALSE,"2225"}</definedName>
    <definedName name="ffgfgfdgfgfg" hidden="1">{"rp_only",#N/A,FALSE,"2225"}</definedName>
    <definedName name="ffgfgfdgfgfg_1" localSheetId="10" hidden="1">{"rp_only",#N/A,FALSE,"2225"}</definedName>
    <definedName name="ffgfgfdgfgfg_1" hidden="1">{"rp_only",#N/A,FALSE,"2225"}</definedName>
    <definedName name="ffryf" localSheetId="10" hidden="1">{"with_oth_curr",#N/A,FALSE,"2225"}</definedName>
    <definedName name="ffryf" hidden="1">{"with_oth_curr",#N/A,FALSE,"2225"}</definedName>
    <definedName name="ffryf_1" localSheetId="10" hidden="1">{"with_oth_curr",#N/A,FALSE,"2225"}</definedName>
    <definedName name="ffryf_1" hidden="1">{"with_oth_curr",#N/A,FALSE,"2225"}</definedName>
    <definedName name="ffsad" localSheetId="10" hidden="1">{"with_oth_curr",#N/A,FALSE,"2225"}</definedName>
    <definedName name="ffsad" hidden="1">{"with_oth_curr",#N/A,FALSE,"2225"}</definedName>
    <definedName name="ffsad_1" localSheetId="10"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localSheetId="10" hidden="1">{"with_oth_curr",#N/A,FALSE,"2225"}</definedName>
    <definedName name="ffytu" hidden="1">{"with_oth_curr",#N/A,FALSE,"2225"}</definedName>
    <definedName name="ffytu_1" localSheetId="10" hidden="1">{"with_oth_curr",#N/A,FALSE,"2225"}</definedName>
    <definedName name="ffytu_1" hidden="1">{"with_oth_curr",#N/A,FALSE,"2225"}</definedName>
    <definedName name="fg" localSheetId="10"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localSheetId="10" hidden="1">{"rp_only",#N/A,FALSE,"2225"}</definedName>
    <definedName name="fgafadsfdas" hidden="1">{"rp_only",#N/A,FALSE,"2225"}</definedName>
    <definedName name="fgafadsfdas_1" localSheetId="10" hidden="1">{"rp_only",#N/A,FALSE,"2225"}</definedName>
    <definedName name="fgafadsfdas_1" hidden="1">{"rp_only",#N/A,FALSE,"2225"}</definedName>
    <definedName name="fgdf" localSheetId="10" hidden="1">{"rp_only",#N/A,FALSE,"2225"}</definedName>
    <definedName name="fgdf" hidden="1">{"rp_only",#N/A,FALSE,"2225"}</definedName>
    <definedName name="fgdf_1" localSheetId="10" hidden="1">{"rp_only",#N/A,FALSE,"2225"}</definedName>
    <definedName name="fgdf_1" hidden="1">{"rp_only",#N/A,FALSE,"2225"}</definedName>
    <definedName name="fgdfg" localSheetId="10"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10" hidden="1">{"with_oth_curr",#N/A,FALSE,"2225"}</definedName>
    <definedName name="fgdfg_1" hidden="1">{"with_oth_curr",#N/A,FALSE,"2225"}</definedName>
    <definedName name="fgdfgd" localSheetId="10" hidden="1">{"rp_only",#N/A,FALSE,"2225"}</definedName>
    <definedName name="fgdfgd" hidden="1">{"rp_only",#N/A,FALSE,"2225"}</definedName>
    <definedName name="fgdfgd_1" localSheetId="10" hidden="1">{"rp_only",#N/A,FALSE,"2225"}</definedName>
    <definedName name="fgdfgd_1" hidden="1">{"rp_only",#N/A,FALSE,"2225"}</definedName>
    <definedName name="fgdfgdfg" localSheetId="10" hidden="1">{"rp_only",#N/A,FALSE,"2225"}</definedName>
    <definedName name="fgdfgdfg" hidden="1">{"rp_only",#N/A,FALSE,"2225"}</definedName>
    <definedName name="fgdfgdfg_1" localSheetId="10" hidden="1">{"rp_only",#N/A,FALSE,"2225"}</definedName>
    <definedName name="fgdfgdfg_1" hidden="1">{"rp_only",#N/A,FALSE,"2225"}</definedName>
    <definedName name="fgdfgdfgd" localSheetId="10" hidden="1">{"rp_only",#N/A,FALSE,"2225"}</definedName>
    <definedName name="fgdfgdfgd" hidden="1">{"rp_only",#N/A,FALSE,"2225"}</definedName>
    <definedName name="fgdfgdfgd_1" localSheetId="10" hidden="1">{"rp_only",#N/A,FALSE,"2225"}</definedName>
    <definedName name="fgdfgdfgd_1" hidden="1">{"rp_only",#N/A,FALSE,"2225"}</definedName>
    <definedName name="fgdfggf" localSheetId="10" hidden="1">{"with_oth_curr",#N/A,FALSE,"2225"}</definedName>
    <definedName name="fgdfggf" hidden="1">{"with_oth_curr",#N/A,FALSE,"2225"}</definedName>
    <definedName name="fgdfggf_1" localSheetId="10" hidden="1">{"with_oth_curr",#N/A,FALSE,"2225"}</definedName>
    <definedName name="fgdfggf_1" hidden="1">{"with_oth_curr",#N/A,FALSE,"2225"}</definedName>
    <definedName name="fgdgdg" localSheetId="10" hidden="1">{"with_oth_curr",#N/A,FALSE,"2225"}</definedName>
    <definedName name="fgdgdg" hidden="1">{"with_oth_curr",#N/A,FALSE,"2225"}</definedName>
    <definedName name="fgdgdg_1" localSheetId="10" hidden="1">{"with_oth_curr",#N/A,FALSE,"2225"}</definedName>
    <definedName name="fgdgdg_1" hidden="1">{"with_oth_curr",#N/A,FALSE,"2225"}</definedName>
    <definedName name="fgdgdgf" localSheetId="10" hidden="1">{"rp_only",#N/A,FALSE,"2225"}</definedName>
    <definedName name="fgdgdgf" hidden="1">{"rp_only",#N/A,FALSE,"2225"}</definedName>
    <definedName name="fgdgdgf_1" localSheetId="10" hidden="1">{"rp_only",#N/A,FALSE,"2225"}</definedName>
    <definedName name="fgdgdgf_1" hidden="1">{"rp_only",#N/A,FALSE,"2225"}</definedName>
    <definedName name="fgdgf" localSheetId="10" hidden="1">{"with_oth_curr",#N/A,FALSE,"2225"}</definedName>
    <definedName name="fgdgf" hidden="1">{"with_oth_curr",#N/A,FALSE,"2225"}</definedName>
    <definedName name="fgdgf_1" localSheetId="10" hidden="1">{"with_oth_curr",#N/A,FALSE,"2225"}</definedName>
    <definedName name="fgdgf_1" hidden="1">{"with_oth_curr",#N/A,FALSE,"2225"}</definedName>
    <definedName name="fgdgfd" localSheetId="10" hidden="1">{"rp_only",#N/A,FALSE,"2225"}</definedName>
    <definedName name="fgdgfd" hidden="1">{"rp_only",#N/A,FALSE,"2225"}</definedName>
    <definedName name="fgdgfd_1" localSheetId="10" hidden="1">{"rp_only",#N/A,FALSE,"2225"}</definedName>
    <definedName name="fgdgfd_1" hidden="1">{"rp_only",#N/A,FALSE,"2225"}</definedName>
    <definedName name="fgdgg" localSheetId="10" hidden="1">{"rp_only",#N/A,FALSE,"2225"}</definedName>
    <definedName name="fgdgg" hidden="1">{"rp_only",#N/A,FALSE,"2225"}</definedName>
    <definedName name="fgdgg_1" localSheetId="10" hidden="1">{"rp_only",#N/A,FALSE,"2225"}</definedName>
    <definedName name="fgdgg_1" hidden="1">{"rp_only",#N/A,FALSE,"2225"}</definedName>
    <definedName name="fgdggd" localSheetId="10" hidden="1">{"rp_only",#N/A,FALSE,"2225"}</definedName>
    <definedName name="fgdggd" hidden="1">{"rp_only",#N/A,FALSE,"2225"}</definedName>
    <definedName name="fgdggd_1" localSheetId="10" hidden="1">{"rp_only",#N/A,FALSE,"2225"}</definedName>
    <definedName name="fgdggd_1" hidden="1">{"rp_only",#N/A,FALSE,"2225"}</definedName>
    <definedName name="fgdsgdsg" localSheetId="10" hidden="1">{"rp_only",#N/A,FALSE,"2225"}</definedName>
    <definedName name="fgdsgdsg" hidden="1">{"rp_only",#N/A,FALSE,"2225"}</definedName>
    <definedName name="fgdsgdsg_1" localSheetId="10" hidden="1">{"rp_only",#N/A,FALSE,"2225"}</definedName>
    <definedName name="fgdsgdsg_1" hidden="1">{"rp_only",#N/A,FALSE,"2225"}</definedName>
    <definedName name="fgdsgfasdgfsdfgsdg" localSheetId="10" hidden="1">{"rp_only",#N/A,FALSE,"2225"}</definedName>
    <definedName name="fgdsgfasdgfsdfgsdg" hidden="1">{"rp_only",#N/A,FALSE,"2225"}</definedName>
    <definedName name="fgdsgfasdgfsdfgsdg_1" localSheetId="10" hidden="1">{"rp_only",#N/A,FALSE,"2225"}</definedName>
    <definedName name="fgdsgfasdgfsdfgsdg_1" hidden="1">{"rp_only",#N/A,FALSE,"2225"}</definedName>
    <definedName name="FGF" localSheetId="10" hidden="1">{#N/A,#N/A,FALSE,"CCTV"}</definedName>
    <definedName name="FGF" hidden="1">{#N/A,#N/A,FALSE,"CCTV"}</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10" hidden="1">{"rp_only",#N/A,FALSE,"2225"}</definedName>
    <definedName name="fgfd_1" hidden="1">{"rp_only",#N/A,FALSE,"2225"}</definedName>
    <definedName name="fgfdg" localSheetId="10"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10" hidden="1">{"with_oth_curr",#N/A,FALSE,"2225"}</definedName>
    <definedName name="fgfdg_1" hidden="1">{"with_oth_curr",#N/A,FALSE,"2225"}</definedName>
    <definedName name="fgfdgsd" localSheetId="10">SUM(CIB_ADM,CIB_CERUKAN,CIB_I_Jasa,CIB_INTEREST,CIB_LATEFEE,CIB_OR_B,CIB_POKOK,CIB_SBLM,CIB_TAMBAK)</definedName>
    <definedName name="fgfdgsd">SUM(CIB_ADM,CIB_CERUKAN,CIB_I_Jasa,CIB_INTEREST,CIB_LATEFEE,CIB_OR_B,CIB_POKOK,CIB_SBLM,CIB_TAMBAK)</definedName>
    <definedName name="fgffdgsfds" localSheetId="10" hidden="1">{"with_oth_curr",#N/A,FALSE,"2225"}</definedName>
    <definedName name="fgffdgsfds" hidden="1">{"with_oth_curr",#N/A,FALSE,"2225"}</definedName>
    <definedName name="fgffdgsfds_1" localSheetId="10" hidden="1">{"with_oth_curr",#N/A,FALSE,"2225"}</definedName>
    <definedName name="fgffdgsfds_1" hidden="1">{"with_oth_curr",#N/A,FALSE,"2225"}</definedName>
    <definedName name="fgfgfhgdgffg" localSheetId="10" hidden="1">{"with_oth_curr",#N/A,FALSE,"2225"}</definedName>
    <definedName name="fgfgfhgdgffg" hidden="1">{"with_oth_curr",#N/A,FALSE,"2225"}</definedName>
    <definedName name="fgfgfhgdgffg_1" localSheetId="10" hidden="1">{"with_oth_curr",#N/A,FALSE,"2225"}</definedName>
    <definedName name="fgfgfhgdgffg_1" hidden="1">{"with_oth_curr",#N/A,FALSE,"2225"}</definedName>
    <definedName name="fgfghfh" localSheetId="10" hidden="1">{"rp_only",#N/A,FALSE,"2225"}</definedName>
    <definedName name="fgfghfh" hidden="1">{"rp_only",#N/A,FALSE,"2225"}</definedName>
    <definedName name="fgfghfh_1" localSheetId="10" hidden="1">{"rp_only",#N/A,FALSE,"2225"}</definedName>
    <definedName name="fgfghfh_1" hidden="1">{"rp_only",#N/A,FALSE,"2225"}</definedName>
    <definedName name="fgfgsagfasgfsagdfg" localSheetId="10" hidden="1">{"rp_only",#N/A,FALSE,"2225"}</definedName>
    <definedName name="fgfgsagfasgfsagdfg" hidden="1">{"rp_only",#N/A,FALSE,"2225"}</definedName>
    <definedName name="fgfgsagfasgfsagdfg_1" localSheetId="10" hidden="1">{"rp_only",#N/A,FALSE,"2225"}</definedName>
    <definedName name="fgfgsagfasgfsagdfg_1" hidden="1">{"rp_only",#N/A,FALSE,"2225"}</definedName>
    <definedName name="fgfhf" localSheetId="10" hidden="1">{"rp_only",#N/A,FALSE,"2225"}</definedName>
    <definedName name="fgfhf" hidden="1">{"rp_only",#N/A,FALSE,"2225"}</definedName>
    <definedName name="fgfhf_1" localSheetId="10" hidden="1">{"rp_only",#N/A,FALSE,"2225"}</definedName>
    <definedName name="fgfhf_1" hidden="1">{"rp_only",#N/A,FALSE,"2225"}</definedName>
    <definedName name="FGFR" localSheetId="10"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10" hidden="1">{"'장비'!$A$3:$M$12"}</definedName>
    <definedName name="fgg" hidden="1">{"'장비'!$A$3:$M$12"}</definedName>
    <definedName name="fgg_1" localSheetId="10" hidden="1">{"rp_only",#N/A,FALSE,"2225"}</definedName>
    <definedName name="fgg_1" hidden="1">{"rp_only",#N/A,FALSE,"2225"}</definedName>
    <definedName name="fggddf" localSheetId="10" hidden="1">{"Employee Efficiency",#N/A,FALSE,"Benchmarking"}</definedName>
    <definedName name="fggddf" hidden="1">{"Employee Efficiency",#N/A,FALSE,"Benchmarking"}</definedName>
    <definedName name="fggfd" localSheetId="10" hidden="1">{"rp_only",#N/A,FALSE,"2225"}</definedName>
    <definedName name="fggfd" hidden="1">{"rp_only",#N/A,FALSE,"2225"}</definedName>
    <definedName name="fggfd_1" localSheetId="10" hidden="1">{"rp_only",#N/A,FALSE,"2225"}</definedName>
    <definedName name="fggfd_1" hidden="1">{"rp_only",#N/A,FALSE,"2225"}</definedName>
    <definedName name="fggffgfgdgradg" localSheetId="10" hidden="1">{"rp_only",#N/A,FALSE,"2225"}</definedName>
    <definedName name="fggffgfgdgradg" hidden="1">{"rp_only",#N/A,FALSE,"2225"}</definedName>
    <definedName name="fggffgfgdgradg_1" localSheetId="10" hidden="1">{"rp_only",#N/A,FALSE,"2225"}</definedName>
    <definedName name="fggffgfgdgradg_1" hidden="1">{"rp_only",#N/A,FALSE,"2225"}</definedName>
    <definedName name="fggg" hidden="1">#REF!</definedName>
    <definedName name="fgh">#REF!</definedName>
    <definedName name="fghfg" localSheetId="10"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10" hidden="1">{"rp_only",#N/A,FALSE,"2225"}</definedName>
    <definedName name="fghfghf" hidden="1">{"rp_only",#N/A,FALSE,"2225"}</definedName>
    <definedName name="fghfghf_1" localSheetId="10" hidden="1">{"rp_only",#N/A,FALSE,"2225"}</definedName>
    <definedName name="fghfghf_1" hidden="1">{"rp_only",#N/A,FALSE,"2225"}</definedName>
    <definedName name="fghfghfghfh" localSheetId="10" hidden="1">{"rp_only",#N/A,FALSE,"2225"}</definedName>
    <definedName name="fghfghfghfh" hidden="1">{"rp_only",#N/A,FALSE,"2225"}</definedName>
    <definedName name="fghfghfghfh_1" localSheetId="10" hidden="1">{"rp_only",#N/A,FALSE,"2225"}</definedName>
    <definedName name="fghfghfghfh_1" hidden="1">{"rp_only",#N/A,FALSE,"2225"}</definedName>
    <definedName name="fghfghfh" localSheetId="10" hidden="1">{"rp_only",#N/A,FALSE,"2225"}</definedName>
    <definedName name="fghfghfh" hidden="1">{"rp_only",#N/A,FALSE,"2225"}</definedName>
    <definedName name="fghfghfh_1" localSheetId="10" hidden="1">{"rp_only",#N/A,FALSE,"2225"}</definedName>
    <definedName name="fghfghfh_1" hidden="1">{"rp_only",#N/A,FALSE,"2225"}</definedName>
    <definedName name="fghfhfgh" localSheetId="10" hidden="1">{"with_oth_curr",#N/A,FALSE,"2225"}</definedName>
    <definedName name="fghfhfgh" hidden="1">{"with_oth_curr",#N/A,FALSE,"2225"}</definedName>
    <definedName name="fghfhfgh_1" localSheetId="10" hidden="1">{"with_oth_curr",#N/A,FALSE,"2225"}</definedName>
    <definedName name="fghfhfgh_1" hidden="1">{"with_oth_curr",#N/A,FALSE,"2225"}</definedName>
    <definedName name="fghfhfh" localSheetId="10" hidden="1">{"with_oth_curr",#N/A,FALSE,"2225"}</definedName>
    <definedName name="fghfhfh" hidden="1">{"with_oth_curr",#N/A,FALSE,"2225"}</definedName>
    <definedName name="fghfhfh_1" localSheetId="10" hidden="1">{"with_oth_curr",#N/A,FALSE,"2225"}</definedName>
    <definedName name="fghfhfh_1" hidden="1">{"with_oth_curr",#N/A,FALSE,"2225"}</definedName>
    <definedName name="fghfhg" localSheetId="10" hidden="1">{"rp_only",#N/A,FALSE,"2225"}</definedName>
    <definedName name="fghfhg" hidden="1">{"rp_only",#N/A,FALSE,"2225"}</definedName>
    <definedName name="fghfhg_1" localSheetId="10" hidden="1">{"rp_only",#N/A,FALSE,"2225"}</definedName>
    <definedName name="fghfhg_1" hidden="1">{"rp_only",#N/A,FALSE,"2225"}</definedName>
    <definedName name="fghfhgf" localSheetId="10" hidden="1">{"rp_only",#N/A,FALSE,"2225"}</definedName>
    <definedName name="fghfhgf" hidden="1">{"rp_only",#N/A,FALSE,"2225"}</definedName>
    <definedName name="fghfhgf_1" localSheetId="10" hidden="1">{"rp_only",#N/A,FALSE,"2225"}</definedName>
    <definedName name="fghfhgf_1" hidden="1">{"rp_only",#N/A,FALSE,"2225"}</definedName>
    <definedName name="fghgfhgf" localSheetId="10" hidden="1">{"rp_only",#N/A,FALSE,"2225"}</definedName>
    <definedName name="fghgfhgf" hidden="1">{"rp_only",#N/A,FALSE,"2225"}</definedName>
    <definedName name="fghgfhgf_1" localSheetId="10" hidden="1">{"rp_only",#N/A,FALSE,"2225"}</definedName>
    <definedName name="fghgfhgf_1" hidden="1">{"rp_only",#N/A,FALSE,"2225"}</definedName>
    <definedName name="FGHH" localSheetId="10"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10" hidden="1">{"rp_only",#N/A,FALSE,"2225"}</definedName>
    <definedName name="fghhgf" hidden="1">{"rp_only",#N/A,FALSE,"2225"}</definedName>
    <definedName name="fghhgf_1" localSheetId="10" hidden="1">{"rp_only",#N/A,FALSE,"2225"}</definedName>
    <definedName name="fghhgf_1" hidden="1">{"rp_only",#N/A,FALSE,"2225"}</definedName>
    <definedName name="fgjdf">#REF!</definedName>
    <definedName name="fgjhgmg" localSheetId="10" hidden="1">{"rp_only",#N/A,FALSE,"2225"}</definedName>
    <definedName name="fgjhgmg" hidden="1">{"rp_only",#N/A,FALSE,"2225"}</definedName>
    <definedName name="fgjhgmg_1" localSheetId="10" hidden="1">{"rp_only",#N/A,FALSE,"2225"}</definedName>
    <definedName name="fgjhgmg_1" hidden="1">{"rp_only",#N/A,FALSE,"2225"}</definedName>
    <definedName name="fgreffdsdf" localSheetId="10" hidden="1">{"rp_only",#N/A,FALSE,"2225"}</definedName>
    <definedName name="fgreffdsdf" hidden="1">{"rp_only",#N/A,FALSE,"2225"}</definedName>
    <definedName name="fgreffdsdf_1" localSheetId="10" hidden="1">{"rp_only",#N/A,FALSE,"2225"}</definedName>
    <definedName name="fgreffdsdf_1" hidden="1">{"rp_only",#N/A,FALSE,"2225"}</definedName>
    <definedName name="fgrfyj">#REF!</definedName>
    <definedName name="FGrowth">#REF!</definedName>
    <definedName name="fgrtete" localSheetId="10" hidden="1">{"rp_only",#N/A,FALSE,"2225"}</definedName>
    <definedName name="fgrtete" hidden="1">{"rp_only",#N/A,FALSE,"2225"}</definedName>
    <definedName name="fgrtete_1" localSheetId="10" hidden="1">{"rp_only",#N/A,FALSE,"2225"}</definedName>
    <definedName name="fgrtete_1" hidden="1">{"rp_only",#N/A,FALSE,"2225"}</definedName>
    <definedName name="fgsdffdfd" localSheetId="10" hidden="1">{"rp_only",#N/A,FALSE,"2225"}</definedName>
    <definedName name="fgsdffdfd" hidden="1">{"rp_only",#N/A,FALSE,"2225"}</definedName>
    <definedName name="fgsdffdfd_1" localSheetId="10" hidden="1">{"rp_only",#N/A,FALSE,"2225"}</definedName>
    <definedName name="fgsdffdfd_1" hidden="1">{"rp_only",#N/A,FALSE,"2225"}</definedName>
    <definedName name="fgsgfg" localSheetId="10" hidden="1">{"rp_only",#N/A,FALSE,"2225"}</definedName>
    <definedName name="fgsgfg" hidden="1">{"rp_only",#N/A,FALSE,"2225"}</definedName>
    <definedName name="fgsgfg_1" localSheetId="10" hidden="1">{"rp_only",#N/A,FALSE,"2225"}</definedName>
    <definedName name="fgsgfg_1" hidden="1">{"rp_only",#N/A,FALSE,"2225"}</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10" hidden="1">{"rp_only",#N/A,FALSE,"2225"}</definedName>
    <definedName name="fgthdfh" hidden="1">{"rp_only",#N/A,FALSE,"2225"}</definedName>
    <definedName name="fgthdfh_1" localSheetId="10"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localSheetId="10" hidden="1">{"with_oth_curr",#N/A,FALSE,"2225"}</definedName>
    <definedName name="fhfghdf" hidden="1">{"with_oth_curr",#N/A,FALSE,"2225"}</definedName>
    <definedName name="fhfghdf_1" localSheetId="10" hidden="1">{"with_oth_curr",#N/A,FALSE,"2225"}</definedName>
    <definedName name="fhfghdf_1" hidden="1">{"with_oth_curr",#N/A,FALSE,"2225"}</definedName>
    <definedName name="fhfhfhf" localSheetId="10" hidden="1">{"rp_only",#N/A,FALSE,"2225"}</definedName>
    <definedName name="fhfhfhf" hidden="1">{"rp_only",#N/A,FALSE,"2225"}</definedName>
    <definedName name="fhfhfhf_1" localSheetId="10" hidden="1">{"rp_only",#N/A,FALSE,"2225"}</definedName>
    <definedName name="fhfhfhf_1" hidden="1">{"rp_only",#N/A,FALSE,"2225"}</definedName>
    <definedName name="fhfhfhg" localSheetId="10" hidden="1">{"with_oth_curr",#N/A,FALSE,"2225"}</definedName>
    <definedName name="fhfhfhg" hidden="1">{"with_oth_curr",#N/A,FALSE,"2225"}</definedName>
    <definedName name="fhfhfhg_1" localSheetId="10" hidden="1">{"with_oth_curr",#N/A,FALSE,"2225"}</definedName>
    <definedName name="fhfhfhg_1" hidden="1">{"with_oth_curr",#N/A,FALSE,"2225"}</definedName>
    <definedName name="fhfhgf" localSheetId="10" hidden="1">{"rp_only",#N/A,FALSE,"2225"}</definedName>
    <definedName name="fhfhgf" hidden="1">{"rp_only",#N/A,FALSE,"2225"}</definedName>
    <definedName name="fhfhgf_1" localSheetId="10" hidden="1">{"rp_only",#N/A,FALSE,"2225"}</definedName>
    <definedName name="fhfhgf_1" hidden="1">{"rp_only",#N/A,FALSE,"2225"}</definedName>
    <definedName name="fhg" localSheetId="10" hidden="1">{#N/A,#N/A,FALSE,"REK";#N/A,#N/A,FALSE,"Bq-ARS"}</definedName>
    <definedName name="fhg" hidden="1">{#N/A,#N/A,FALSE,"REK";#N/A,#N/A,FALSE,"Bq-ARS"}</definedName>
    <definedName name="fhgfh" localSheetId="10" hidden="1">{"rp_only",#N/A,FALSE,"2225"}</definedName>
    <definedName name="fhgfh" hidden="1">{"rp_only",#N/A,FALSE,"2225"}</definedName>
    <definedName name="fhgfh_1" localSheetId="10" hidden="1">{"rp_only",#N/A,FALSE,"2225"}</definedName>
    <definedName name="fhgfh_1" hidden="1">{"rp_only",#N/A,FALSE,"2225"}</definedName>
    <definedName name="fhgfhfgh" localSheetId="10" hidden="1">{"rp_only",#N/A,FALSE,"2225"}</definedName>
    <definedName name="fhgfhfgh" hidden="1">{"rp_only",#N/A,FALSE,"2225"}</definedName>
    <definedName name="fhgfhfgh_1" localSheetId="10" hidden="1">{"rp_only",#N/A,FALSE,"2225"}</definedName>
    <definedName name="fhgfhfgh_1" hidden="1">{"rp_only",#N/A,FALSE,"2225"}</definedName>
    <definedName name="fhgfhj">#REF!</definedName>
    <definedName name="fhgjfghfghgf" localSheetId="10" hidden="1">{#N/A,#N/A,FALSE,"CCTV"}</definedName>
    <definedName name="fhgjfghfghgf" hidden="1">{#N/A,#N/A,FALSE,"CCTV"}</definedName>
    <definedName name="fhjghj" localSheetId="10" hidden="1">{"rp_only",#N/A,FALSE,"2225"}</definedName>
    <definedName name="fhjghj" hidden="1">{"rp_only",#N/A,FALSE,"2225"}</definedName>
    <definedName name="fhjghj_1" localSheetId="10" hidden="1">{"rp_only",#N/A,FALSE,"2225"}</definedName>
    <definedName name="fhjghj_1" hidden="1">{"rp_only",#N/A,FALSE,"2225"}</definedName>
    <definedName name="fhjgjgh" localSheetId="10" hidden="1">{"rp_only",#N/A,FALSE,"2225"}</definedName>
    <definedName name="fhjgjgh" hidden="1">{"rp_only",#N/A,FALSE,"2225"}</definedName>
    <definedName name="fhjgjgh_1" localSheetId="10"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localSheetId="10" hidden="1">{#N/A,#N/A,FALSE,"Cost Report";#N/A,#N/A,FALSE,"Qtly Summ.";#N/A,#N/A,FALSE,"Mar  Qtr";#N/A,#N/A,FALSE,"Report Summary"}</definedName>
    <definedName name="finna" hidden="1">{#N/A,#N/A,FALSE,"Cost Report";#N/A,#N/A,FALSE,"Qtly Summ.";#N/A,#N/A,FALSE,"Mar  Qtr";#N/A,#N/A,FALSE,"Report Summary"}</definedName>
    <definedName name="finna_1" localSheetId="10"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10" hidden="1">{#N/A,#N/A,FALSE,"Aging Summary";#N/A,#N/A,FALSE,"Ratio Analysis";#N/A,#N/A,FALSE,"Test 120 Day Accts";#N/A,#N/A,FALSE,"Tickmarks"}</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localSheetId="10" hidden="1">{"rp_only",#N/A,FALSE,"2225"}</definedName>
    <definedName name="fjfjgf" hidden="1">{"rp_only",#N/A,FALSE,"2225"}</definedName>
    <definedName name="fjfjgf_1" localSheetId="10" hidden="1">{"rp_only",#N/A,FALSE,"2225"}</definedName>
    <definedName name="fjfjgf_1" hidden="1">{"rp_only",#N/A,FALSE,"2225"}</definedName>
    <definedName name="fjgfjh">#REF!</definedName>
    <definedName name="fjhfjh">#REF!</definedName>
    <definedName name="fjhg" localSheetId="10" hidden="1">{"WORK IN PROCESS",#N/A,FALSE,"COGS"}</definedName>
    <definedName name="fjhg" hidden="1">{"WORK IN PROCESS",#N/A,FALSE,"COGS"}</definedName>
    <definedName name="fjhg_1" localSheetId="10"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localSheetId="10" hidden="1">{#N/A,#N/A,FALSE,"Aging Summary";#N/A,#N/A,FALSE,"Ratio Analysis";#N/A,#N/A,FALSE,"Test 120 Day Accts";#N/A,#N/A,FALSE,"Tickmarks"}</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localSheetId="10" hidden="1">{#N/A,#N/A,TRUE,"Cover sheet";#N/A,#N/A,TRUE,"DCF analysis";#N/A,#N/A,TRUE,"WACC calculation"}</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localSheetId="10" hidden="1">{#N/A,#N/A,FALSE,"b_s &amp; p_l"}</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localSheetId="10" hidden="1">{"with_oth_curr",#N/A,FALSE,"2225"}</definedName>
    <definedName name="fsadasffg" hidden="1">{"with_oth_curr",#N/A,FALSE,"2225"}</definedName>
    <definedName name="fsadasffg_1" localSheetId="10" hidden="1">{"with_oth_curr",#N/A,FALSE,"2225"}</definedName>
    <definedName name="fsadasffg_1" hidden="1">{"with_oth_curr",#N/A,FALSE,"2225"}</definedName>
    <definedName name="fsadf" localSheetId="10" hidden="1">{"rp_only",#N/A,FALSE,"2225"}</definedName>
    <definedName name="fsadf" hidden="1">{"rp_only",#N/A,FALSE,"2225"}</definedName>
    <definedName name="fsadf_1" localSheetId="10" hidden="1">{"rp_only",#N/A,FALSE,"2225"}</definedName>
    <definedName name="fsadf_1" hidden="1">{"rp_only",#N/A,FALSE,"2225"}</definedName>
    <definedName name="fsadfasdf" localSheetId="10" hidden="1">{"rp_only",#N/A,FALSE,"2225"}</definedName>
    <definedName name="fsadfasdf" hidden="1">{"rp_only",#N/A,FALSE,"2225"}</definedName>
    <definedName name="fsadfasdf_1" localSheetId="10" hidden="1">{"rp_only",#N/A,FALSE,"2225"}</definedName>
    <definedName name="fsadfasdf_1" hidden="1">{"rp_only",#N/A,FALSE,"2225"}</definedName>
    <definedName name="fsadfsadf" localSheetId="10" hidden="1">{"rp_only",#N/A,FALSE,"2225"}</definedName>
    <definedName name="fsadfsadf" hidden="1">{"rp_only",#N/A,FALSE,"2225"}</definedName>
    <definedName name="fsadfsadf_1" localSheetId="10" hidden="1">{"rp_only",#N/A,FALSE,"2225"}</definedName>
    <definedName name="fsadfsadf_1" hidden="1">{"rp_only",#N/A,FALSE,"2225"}</definedName>
    <definedName name="fsadfsdaf" localSheetId="10" hidden="1">{"rp_only",#N/A,FALSE,"2225"}</definedName>
    <definedName name="fsadfsdaf" hidden="1">{"rp_only",#N/A,FALSE,"2225"}</definedName>
    <definedName name="fsadfsdaf_1" localSheetId="10" hidden="1">{"rp_only",#N/A,FALSE,"2225"}</definedName>
    <definedName name="fsadfsdaf_1" hidden="1">{"rp_only",#N/A,FALSE,"2225"}</definedName>
    <definedName name="fsadfsdfsf" localSheetId="10" hidden="1">{"rp_only",#N/A,FALSE,"2225"}</definedName>
    <definedName name="fsadfsdfsf" hidden="1">{"rp_only",#N/A,FALSE,"2225"}</definedName>
    <definedName name="fsadfsdfsf_1" localSheetId="10" hidden="1">{"rp_only",#N/A,FALSE,"2225"}</definedName>
    <definedName name="fsadfsdfsf_1" hidden="1">{"rp_only",#N/A,FALSE,"2225"}</definedName>
    <definedName name="fsadsa" localSheetId="10" hidden="1">{"rp_only",#N/A,FALSE,"2225"}</definedName>
    <definedName name="fsadsa" hidden="1">{"rp_only",#N/A,FALSE,"2225"}</definedName>
    <definedName name="fsadsa_1" localSheetId="10" hidden="1">{"rp_only",#N/A,FALSE,"2225"}</definedName>
    <definedName name="fsadsa_1" hidden="1">{"rp_only",#N/A,FALSE,"2225"}</definedName>
    <definedName name="fsafds" localSheetId="10" hidden="1">{"rp_only",#N/A,FALSE,"2225"}</definedName>
    <definedName name="fsafds" hidden="1">{"rp_only",#N/A,FALSE,"2225"}</definedName>
    <definedName name="fsafds_1" localSheetId="10" hidden="1">{"rp_only",#N/A,FALSE,"2225"}</definedName>
    <definedName name="fsafds_1" hidden="1">{"rp_only",#N/A,FALSE,"2225"}</definedName>
    <definedName name="fsafdsafdas" localSheetId="10" hidden="1">{"rp_only",#N/A,FALSE,"2225"}</definedName>
    <definedName name="fsafdsafdas" hidden="1">{"rp_only",#N/A,FALSE,"2225"}</definedName>
    <definedName name="fsafdsafdas_1" localSheetId="10" hidden="1">{"rp_only",#N/A,FALSE,"2225"}</definedName>
    <definedName name="fsafdsafdas_1" hidden="1">{"rp_only",#N/A,FALSE,"2225"}</definedName>
    <definedName name="fsagfgfggf" localSheetId="10" hidden="1">{"with_oth_curr",#N/A,FALSE,"2225"}</definedName>
    <definedName name="fsagfgfggf" hidden="1">{"with_oth_curr",#N/A,FALSE,"2225"}</definedName>
    <definedName name="fsagfgfggf_1" localSheetId="10" hidden="1">{"with_oth_curr",#N/A,FALSE,"2225"}</definedName>
    <definedName name="fsagfgfggf_1" hidden="1">{"with_oth_curr",#N/A,FALSE,"2225"}</definedName>
    <definedName name="fsasad" localSheetId="10" hidden="1">{"rp_only",#N/A,FALSE,"2225"}</definedName>
    <definedName name="fsasad" hidden="1">{"rp_only",#N/A,FALSE,"2225"}</definedName>
    <definedName name="fsasad_1" localSheetId="10"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localSheetId="10" hidden="1">{"with_oth_curr",#N/A,FALSE,"2225"}</definedName>
    <definedName name="fsdadfsaadfs" hidden="1">{"with_oth_curr",#N/A,FALSE,"2225"}</definedName>
    <definedName name="fsdadfsaadfs_1" localSheetId="10" hidden="1">{"with_oth_curr",#N/A,FALSE,"2225"}</definedName>
    <definedName name="fsdadfsaadfs_1" hidden="1">{"with_oth_curr",#N/A,FALSE,"2225"}</definedName>
    <definedName name="fsdafadsfdsa" localSheetId="10" hidden="1">{"with_oth_curr",#N/A,FALSE,"2225"}</definedName>
    <definedName name="fsdafadsfdsa" hidden="1">{"with_oth_curr",#N/A,FALSE,"2225"}</definedName>
    <definedName name="fsdafadsfdsa_1" localSheetId="10" hidden="1">{"with_oth_curr",#N/A,FALSE,"2225"}</definedName>
    <definedName name="fsdafadsfdsa_1" hidden="1">{"with_oth_curr",#N/A,FALSE,"2225"}</definedName>
    <definedName name="fsdafdsdsfsadfsfafdfs" localSheetId="10" hidden="1">{"rp_only",#N/A,FALSE,"2225"}</definedName>
    <definedName name="fsdafdsdsfsadfsfafdfs" hidden="1">{"rp_only",#N/A,FALSE,"2225"}</definedName>
    <definedName name="fsdafdsdsfsadfsfafdfs_1" localSheetId="10" hidden="1">{"rp_only",#N/A,FALSE,"2225"}</definedName>
    <definedName name="fsdafdsdsfsadfsfafdfs_1" hidden="1">{"rp_only",#N/A,FALSE,"2225"}</definedName>
    <definedName name="fsdafdsfds" localSheetId="10" hidden="1">{"with_oth_curr",#N/A,FALSE,"2225"}</definedName>
    <definedName name="fsdafdsfds" hidden="1">{"with_oth_curr",#N/A,FALSE,"2225"}</definedName>
    <definedName name="fsdafdsfds_1" localSheetId="10"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localSheetId="10" hidden="1">{"rp_only",#N/A,FALSE,"2225"}</definedName>
    <definedName name="fsddfsadsfafdas" hidden="1">{"rp_only",#N/A,FALSE,"2225"}</definedName>
    <definedName name="fsddfsadsfafdas_1" localSheetId="10" hidden="1">{"rp_only",#N/A,FALSE,"2225"}</definedName>
    <definedName name="fsddfsadsfafdas_1" hidden="1">{"rp_only",#N/A,FALSE,"2225"}</definedName>
    <definedName name="fsddfsadsffdsa" localSheetId="10" hidden="1">{"rp_only",#N/A,FALSE,"2225"}</definedName>
    <definedName name="fsddfsadsffdsa" hidden="1">{"rp_only",#N/A,FALSE,"2225"}</definedName>
    <definedName name="fsddfsadsffdsa_1" localSheetId="10" hidden="1">{"rp_only",#N/A,FALSE,"2225"}</definedName>
    <definedName name="fsddfsadsffdsa_1" hidden="1">{"rp_only",#N/A,FALSE,"2225"}</definedName>
    <definedName name="fsddgsgffggf" localSheetId="10" hidden="1">{"rp_only",#N/A,FALSE,"2225"}</definedName>
    <definedName name="fsddgsgffggf" hidden="1">{"rp_only",#N/A,FALSE,"2225"}</definedName>
    <definedName name="fsddgsgffggf_1" localSheetId="10" hidden="1">{"rp_only",#N/A,FALSE,"2225"}</definedName>
    <definedName name="fsddgsgffggf_1" hidden="1">{"rp_only",#N/A,FALSE,"2225"}</definedName>
    <definedName name="fsdfdsa" hidden="1">#REF!</definedName>
    <definedName name="fsdfdsafdsafdsasadff" localSheetId="10" hidden="1">{"rp_only",#N/A,FALSE,"2225"}</definedName>
    <definedName name="fsdfdsafdsafdsasadff" hidden="1">{"rp_only",#N/A,FALSE,"2225"}</definedName>
    <definedName name="fsdfdsafdsafdsasadff_1" localSheetId="10" hidden="1">{"rp_only",#N/A,FALSE,"2225"}</definedName>
    <definedName name="fsdfdsafdsafdsasadff_1" hidden="1">{"rp_only",#N/A,FALSE,"2225"}</definedName>
    <definedName name="fsdfdsfds" localSheetId="10" hidden="1">{"with_oth_curr",#N/A,FALSE,"2225"}</definedName>
    <definedName name="fsdfdsfds" hidden="1">{"with_oth_curr",#N/A,FALSE,"2225"}</definedName>
    <definedName name="fsdfdsfds_1" localSheetId="10" hidden="1">{"with_oth_curr",#N/A,FALSE,"2225"}</definedName>
    <definedName name="fsdfdsfds_1" hidden="1">{"with_oth_curr",#N/A,FALSE,"2225"}</definedName>
    <definedName name="fsdfdsfdsadfsadfsa" localSheetId="10" hidden="1">{"rp_only",#N/A,FALSE,"2225"}</definedName>
    <definedName name="fsdfdsfdsadfsadfsa" hidden="1">{"rp_only",#N/A,FALSE,"2225"}</definedName>
    <definedName name="fsdfdsfdsadfsadfsa_1" localSheetId="10" hidden="1">{"rp_only",#N/A,FALSE,"2225"}</definedName>
    <definedName name="fsdfdsfdsadfsadfsa_1" hidden="1">{"rp_only",#N/A,FALSE,"2225"}</definedName>
    <definedName name="fsdfdsfsafadsdfas" localSheetId="10" hidden="1">{"rp_only",#N/A,FALSE,"2225"}</definedName>
    <definedName name="fsdfdsfsafadsdfas" hidden="1">{"rp_only",#N/A,FALSE,"2225"}</definedName>
    <definedName name="fsdfdsfsafadsdfas_1" localSheetId="10" hidden="1">{"rp_only",#N/A,FALSE,"2225"}</definedName>
    <definedName name="fsdfdsfsafadsdfas_1" hidden="1">{"rp_only",#N/A,FALSE,"2225"}</definedName>
    <definedName name="fsdfs" localSheetId="10" hidden="1">{"rp_only",#N/A,FALSE,"2225"}</definedName>
    <definedName name="fsdfs" hidden="1">{"rp_only",#N/A,FALSE,"2225"}</definedName>
    <definedName name="fsdfs_1" localSheetId="10" hidden="1">{"rp_only",#N/A,FALSE,"2225"}</definedName>
    <definedName name="fsdfs_1" hidden="1">{"rp_only",#N/A,FALSE,"2225"}</definedName>
    <definedName name="fsdfsdadsfdfsfdsadsfa" localSheetId="10" hidden="1">{"with_oth_curr",#N/A,FALSE,"2225"}</definedName>
    <definedName name="fsdfsdadsfdfsfdsadsfa" hidden="1">{"with_oth_curr",#N/A,FALSE,"2225"}</definedName>
    <definedName name="fsdfsdadsfdfsfdsadsfa_1" localSheetId="10" hidden="1">{"with_oth_curr",#N/A,FALSE,"2225"}</definedName>
    <definedName name="fsdfsdadsfdfsfdsadsfa_1" hidden="1">{"with_oth_curr",#N/A,FALSE,"2225"}</definedName>
    <definedName name="fsdfsdfa" localSheetId="10" hidden="1">{"rp_only",#N/A,FALSE,"2225"}</definedName>
    <definedName name="fsdfsdfa" hidden="1">{"rp_only",#N/A,FALSE,"2225"}</definedName>
    <definedName name="fsdfsdfa_1" localSheetId="10" hidden="1">{"rp_only",#N/A,FALSE,"2225"}</definedName>
    <definedName name="fsdfsdfa_1" hidden="1">{"rp_only",#N/A,FALSE,"2225"}</definedName>
    <definedName name="fsdfsdfds" localSheetId="10" hidden="1">{"rp_only",#N/A,FALSE,"2225"}</definedName>
    <definedName name="fsdfsdfds" hidden="1">{"rp_only",#N/A,FALSE,"2225"}</definedName>
    <definedName name="fsdfsdfds_1" localSheetId="10" hidden="1">{"rp_only",#N/A,FALSE,"2225"}</definedName>
    <definedName name="fsdfsdfds_1" hidden="1">{"rp_only",#N/A,FALSE,"2225"}</definedName>
    <definedName name="fsdfsdfsd" localSheetId="10" hidden="1">{"rp_only",#N/A,FALSE,"2225"}</definedName>
    <definedName name="fsdfsdfsd" hidden="1">{"rp_only",#N/A,FALSE,"2225"}</definedName>
    <definedName name="fsdfsdfsd_1" localSheetId="10" hidden="1">{"rp_only",#N/A,FALSE,"2225"}</definedName>
    <definedName name="fsdfsdfsd_1" hidden="1">{"rp_only",#N/A,FALSE,"2225"}</definedName>
    <definedName name="fsdfsdfsdf" localSheetId="10" hidden="1">{"rp_only",#N/A,FALSE,"2225"}</definedName>
    <definedName name="fsdfsdfsdf" hidden="1">{"rp_only",#N/A,FALSE,"2225"}</definedName>
    <definedName name="fsdfsdfsdf_1" localSheetId="10" hidden="1">{"rp_only",#N/A,FALSE,"2225"}</definedName>
    <definedName name="fsdfsdfsdf_1" hidden="1">{"rp_only",#N/A,FALSE,"2225"}</definedName>
    <definedName name="fsdfsdfsfdsdf" localSheetId="10" hidden="1">{"rp_only",#N/A,FALSE,"2225"}</definedName>
    <definedName name="fsdfsdfsfdsdf" hidden="1">{"rp_only",#N/A,FALSE,"2225"}</definedName>
    <definedName name="fsdfsdfsfdsdf_1" localSheetId="10" hidden="1">{"rp_only",#N/A,FALSE,"2225"}</definedName>
    <definedName name="fsdfsdfsfdsdf_1" hidden="1">{"rp_only",#N/A,FALSE,"2225"}</definedName>
    <definedName name="FSDHDSFHDFG" localSheetId="10" hidden="1">{"rp_only",#N/A,FALSE,"2225"}</definedName>
    <definedName name="FSDHDSFHDFG" hidden="1">{"rp_only",#N/A,FALSE,"2225"}</definedName>
    <definedName name="FSDHDSFHDFG_1" localSheetId="10" hidden="1">{"rp_only",#N/A,FALSE,"2225"}</definedName>
    <definedName name="FSDHDSFHDFG_1" hidden="1">{"rp_only",#N/A,FALSE,"2225"}</definedName>
    <definedName name="fsds" localSheetId="10" hidden="1">{"rp_only",#N/A,FALSE,"2225"}</definedName>
    <definedName name="fsds" hidden="1">{"rp_only",#N/A,FALSE,"2225"}</definedName>
    <definedName name="fsds_1" localSheetId="10" hidden="1">{"rp_only",#N/A,FALSE,"2225"}</definedName>
    <definedName name="fsds_1" hidden="1">{"rp_only",#N/A,FALSE,"2225"}</definedName>
    <definedName name="fsdsdfdfsdffff" localSheetId="10" hidden="1">{"with_oth_curr",#N/A,FALSE,"2225"}</definedName>
    <definedName name="fsdsdfdfsdffff" hidden="1">{"with_oth_curr",#N/A,FALSE,"2225"}</definedName>
    <definedName name="fsdsdfdfsdffff_1" localSheetId="10" hidden="1">{"with_oth_curr",#N/A,FALSE,"2225"}</definedName>
    <definedName name="fsdsdfdfsdffff_1" hidden="1">{"with_oth_curr",#N/A,FALSE,"2225"}</definedName>
    <definedName name="fsdsfzesarwedfd" localSheetId="10" hidden="1">{"with_oth_curr",#N/A,FALSE,"2225"}</definedName>
    <definedName name="fsdsfzesarwedfd" hidden="1">{"with_oth_curr",#N/A,FALSE,"2225"}</definedName>
    <definedName name="fsdsfzesarwedfd_1" localSheetId="10" hidden="1">{"with_oth_curr",#N/A,FALSE,"2225"}</definedName>
    <definedName name="fsdsfzesarwedfd_1" hidden="1">{"with_oth_curr",#N/A,FALSE,"2225"}</definedName>
    <definedName name="fsfdsa" localSheetId="10" hidden="1">{"with_oth_curr",#N/A,FALSE,"2225"}</definedName>
    <definedName name="fsfdsa" hidden="1">{"with_oth_curr",#N/A,FALSE,"2225"}</definedName>
    <definedName name="fsfdsa_1" localSheetId="10" hidden="1">{"with_oth_curr",#N/A,FALSE,"2225"}</definedName>
    <definedName name="fsfdsa_1" hidden="1">{"with_oth_curr",#N/A,FALSE,"2225"}</definedName>
    <definedName name="fsfdsfs" localSheetId="10" hidden="1">{"rp_only",#N/A,FALSE,"2225"}</definedName>
    <definedName name="fsfdsfs" hidden="1">{"rp_only",#N/A,FALSE,"2225"}</definedName>
    <definedName name="fsfdsfs_1" localSheetId="10" hidden="1">{"rp_only",#N/A,FALSE,"2225"}</definedName>
    <definedName name="fsfdsfs_1" hidden="1">{"rp_only",#N/A,FALSE,"2225"}</definedName>
    <definedName name="fsffsf" localSheetId="10" hidden="1">{"rp_only",#N/A,FALSE,"2225"}</definedName>
    <definedName name="fsffsf" hidden="1">{"rp_only",#N/A,FALSE,"2225"}</definedName>
    <definedName name="fsffsf_1" localSheetId="10" hidden="1">{"rp_only",#N/A,FALSE,"2225"}</definedName>
    <definedName name="fsffsf_1" hidden="1">{"rp_only",#N/A,FALSE,"2225"}</definedName>
    <definedName name="fsfgfd" localSheetId="10" hidden="1">{"with_oth_curr",#N/A,FALSE,"2225"}</definedName>
    <definedName name="fsfgfd" hidden="1">{"with_oth_curr",#N/A,FALSE,"2225"}</definedName>
    <definedName name="fsfgfd_1" localSheetId="10" hidden="1">{"with_oth_curr",#N/A,FALSE,"2225"}</definedName>
    <definedName name="fsfgfd_1" hidden="1">{"with_oth_curr",#N/A,FALSE,"2225"}</definedName>
    <definedName name="fsfsfdsdf" localSheetId="10" hidden="1">{"rp_only",#N/A,FALSE,"2225"}</definedName>
    <definedName name="fsfsfdsdf" hidden="1">{"rp_only",#N/A,FALSE,"2225"}</definedName>
    <definedName name="fsfsfdsdf_1" localSheetId="10" hidden="1">{"rp_only",#N/A,FALSE,"2225"}</definedName>
    <definedName name="fsfsfdsdf_1" hidden="1">{"rp_only",#N/A,FALSE,"2225"}</definedName>
    <definedName name="fsgfgfgfgafg" localSheetId="10" hidden="1">{"rp_only",#N/A,FALSE,"2225"}</definedName>
    <definedName name="fsgfgfgfgafg" hidden="1">{"rp_only",#N/A,FALSE,"2225"}</definedName>
    <definedName name="fsgfgfgfgafg_1" localSheetId="10" hidden="1">{"rp_only",#N/A,FALSE,"2225"}</definedName>
    <definedName name="fsgfgfgfgafg_1" hidden="1">{"rp_only",#N/A,FALSE,"2225"}</definedName>
    <definedName name="FSS" localSheetId="10" hidden="1">{"with_oth_curr",#N/A,FALSE,"2225"}</definedName>
    <definedName name="FSS" hidden="1">{"with_oth_curr",#N/A,FALSE,"2225"}</definedName>
    <definedName name="FSS_1" localSheetId="10"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localSheetId="10" hidden="1">{"with_oth_curr",#N/A,FALSE,"2225"}</definedName>
    <definedName name="ftdgf" hidden="1">{"with_oth_curr",#N/A,FALSE,"2225"}</definedName>
    <definedName name="ftdgf_1" localSheetId="10" hidden="1">{"with_oth_curr",#N/A,FALSE,"2225"}</definedName>
    <definedName name="ftdgf_1" hidden="1">{"with_oth_curr",#N/A,FALSE,"2225"}</definedName>
    <definedName name="ftgregh">#REF!</definedName>
    <definedName name="ftjgfk" localSheetId="10" hidden="1">{"rp_only",#N/A,FALSE,"2225"}</definedName>
    <definedName name="ftjgfk" hidden="1">{"rp_only",#N/A,FALSE,"2225"}</definedName>
    <definedName name="ftjgfk_1" localSheetId="10" hidden="1">{"rp_only",#N/A,FALSE,"2225"}</definedName>
    <definedName name="ftjgfk_1" hidden="1">{"rp_only",#N/A,FALSE,"2225"}</definedName>
    <definedName name="fturedh">#REF!</definedName>
    <definedName name="ftutyutrui" localSheetId="10" hidden="1">{"rp_only",#N/A,FALSE,"2225"}</definedName>
    <definedName name="ftutyutrui" hidden="1">{"rp_only",#N/A,FALSE,"2225"}</definedName>
    <definedName name="ftutyutrui_1" localSheetId="10" hidden="1">{"rp_only",#N/A,FALSE,"2225"}</definedName>
    <definedName name="ftutyutrui_1" hidden="1">{"rp_only",#N/A,FALSE,"2225"}</definedName>
    <definedName name="ftyftyfty" localSheetId="10" hidden="1">{"rp_only",#N/A,FALSE,"2225"}</definedName>
    <definedName name="ftyftyfty" hidden="1">{"rp_only",#N/A,FALSE,"2225"}</definedName>
    <definedName name="ftyftyfty_1" localSheetId="10" hidden="1">{"rp_only",#N/A,FALSE,"2225"}</definedName>
    <definedName name="ftyftyfty_1" hidden="1">{"rp_only",#N/A,FALSE,"2225"}</definedName>
    <definedName name="fu" localSheetId="10" hidden="1">{#N/A,#N/A,FALSE,"TBF1"}</definedName>
    <definedName name="fu" hidden="1">{#N/A,#N/A,FALSE,"TBF1"}</definedName>
    <definedName name="fuel">#REF!</definedName>
    <definedName name="fuffuy" localSheetId="10" hidden="1">{#N/A,#N/A,FALSE,"Cover";"outputs total",#N/A,FALSE,"Outputs"}</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 localSheetId="10">Main.SAPF4Help()</definedName>
    <definedName name="Func">Main.SAPF4Help()</definedName>
    <definedName name="Function" localSheetId="10">Main.SAPF4Help()</definedName>
    <definedName name="Function">Main.SAPF4Help()</definedName>
    <definedName name="FUNCTIONALCURRENCY1">#REF!</definedName>
    <definedName name="FUNCTIONALCURRENCY2">#REF!</definedName>
    <definedName name="Furnica___Melamin____1_2_x_2_4__m">#REF!</definedName>
    <definedName name="Furniture"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localSheetId="10" hidden="1">{"rp_only",#N/A,FALSE,"2225"}</definedName>
    <definedName name="fvsfsddc" hidden="1">{"rp_only",#N/A,FALSE,"2225"}</definedName>
    <definedName name="fvsfsddc_1" localSheetId="10" hidden="1">{"rp_only",#N/A,FALSE,"2225"}</definedName>
    <definedName name="fvsfsddc_1" hidden="1">{"rp_only",#N/A,FALSE,"2225"}</definedName>
    <definedName name="fvxc" localSheetId="10" hidden="1">{"rp_only",#N/A,FALSE,"2225"}</definedName>
    <definedName name="fvxc" hidden="1">{"rp_only",#N/A,FALSE,"2225"}</definedName>
    <definedName name="fvxc_1" localSheetId="10" hidden="1">{"rp_only",#N/A,FALSE,"2225"}</definedName>
    <definedName name="fvxc_1" hidden="1">{"rp_only",#N/A,FALSE,"2225"}</definedName>
    <definedName name="FX">#REF!</definedName>
    <definedName name="fxcvxcvx" localSheetId="10" hidden="1">{"with_oth_curr",#N/A,FALSE,"2225"}</definedName>
    <definedName name="fxcvxcvx" hidden="1">{"with_oth_curr",#N/A,FALSE,"2225"}</definedName>
    <definedName name="fxcvxcvx_1" localSheetId="10" hidden="1">{"with_oth_curr",#N/A,FALSE,"2225"}</definedName>
    <definedName name="fxcvxcvx_1" hidden="1">{"with_oth_curr",#N/A,FALSE,"2225"}</definedName>
    <definedName name="fxrate">#REF!</definedName>
    <definedName name="FY">2001</definedName>
    <definedName name="fyftu">#REF!</definedName>
    <definedName name="fyhfb" localSheetId="10" hidden="1">{"rp_only",#N/A,FALSE,"2225"}</definedName>
    <definedName name="fyhfb" hidden="1">{"rp_only",#N/A,FALSE,"2225"}</definedName>
    <definedName name="fyhfb_1" localSheetId="10" hidden="1">{"rp_only",#N/A,FALSE,"2225"}</definedName>
    <definedName name="fyhfb_1" hidden="1">{"rp_only",#N/A,FALSE,"2225"}</definedName>
    <definedName name="fyrtyrt" localSheetId="10" hidden="1">{"with_oth_curr",#N/A,FALSE,"2225"}</definedName>
    <definedName name="fyrtyrt" hidden="1">{"with_oth_curr",#N/A,FALSE,"2225"}</definedName>
    <definedName name="fyrtyrt_1" localSheetId="10" hidden="1">{"with_oth_curr",#N/A,FALSE,"2225"}</definedName>
    <definedName name="fyrtyrt_1" hidden="1">{"with_oth_curr",#N/A,FALSE,"2225"}</definedName>
    <definedName name="fzd" localSheetId="10" hidden="1">{"rp_only",#N/A,FALSE,"2225"}</definedName>
    <definedName name="fzd" hidden="1">{"rp_only",#N/A,FALSE,"2225"}</definedName>
    <definedName name="fzd_1" localSheetId="10" hidden="1">{"rp_only",#N/A,FALSE,"2225"}</definedName>
    <definedName name="fzd_1" hidden="1">{"rp_only",#N/A,FALSE,"2225"}</definedName>
    <definedName name="g">#REF!</definedName>
    <definedName name="G..." localSheetId="10" hidden="1">{"with_oth_curr",#N/A,FALSE,"2225"}</definedName>
    <definedName name="G..." hidden="1">{"with_oth_curr",#N/A,FALSE,"2225"}</definedName>
    <definedName name="G..._1" localSheetId="10"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_1" localSheetId="10"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localSheetId="10" hidden="1">{"rp_only",#N/A,FALSE,"2225"}</definedName>
    <definedName name="Gakjdlajs" hidden="1">{"rp_only",#N/A,FALSE,"2225"}</definedName>
    <definedName name="Gakjdlajs_1" localSheetId="10"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localSheetId="10" hidden="1">{"rp_only",#N/A,FALSE,"2225"}</definedName>
    <definedName name="gardsagfsafsdagf" hidden="1">{"rp_only",#N/A,FALSE,"2225"}</definedName>
    <definedName name="gardsagfsafsdagf_1" localSheetId="10"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10" hidden="1">{#N/A,#N/A,FALSE,"特殊室（ＢＱ表）"}</definedName>
    <definedName name="GD" hidden="1">{#N/A,#N/A,FALSE,"特殊室（ＢＱ表）"}</definedName>
    <definedName name="gdff" localSheetId="10"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10" hidden="1">{"with_oth_curr",#N/A,FALSE,"2225"}</definedName>
    <definedName name="gdfgdfg" hidden="1">{"with_oth_curr",#N/A,FALSE,"2225"}</definedName>
    <definedName name="gdfgdfg_1" localSheetId="10" hidden="1">{"with_oth_curr",#N/A,FALSE,"2225"}</definedName>
    <definedName name="gdfgdfg_1" hidden="1">{"with_oth_curr",#N/A,FALSE,"2225"}</definedName>
    <definedName name="gdfgdfgd" localSheetId="10" hidden="1">{"rp_only",#N/A,FALSE,"2225"}</definedName>
    <definedName name="gdfgdfgd" hidden="1">{"rp_only",#N/A,FALSE,"2225"}</definedName>
    <definedName name="gdfgdfgd_1" localSheetId="10" hidden="1">{"rp_only",#N/A,FALSE,"2225"}</definedName>
    <definedName name="gdfgdfgd_1" hidden="1">{"rp_only",#N/A,FALSE,"2225"}</definedName>
    <definedName name="gdfgdgdg" localSheetId="10" hidden="1">{"with_oth_curr",#N/A,FALSE,"2225"}</definedName>
    <definedName name="gdfgdgdg" hidden="1">{"with_oth_curr",#N/A,FALSE,"2225"}</definedName>
    <definedName name="gdfgdgdg_1" localSheetId="10" hidden="1">{"with_oth_curr",#N/A,FALSE,"2225"}</definedName>
    <definedName name="gdfgdgdg_1" hidden="1">{"with_oth_curr",#N/A,FALSE,"2225"}</definedName>
    <definedName name="gdfgfg" localSheetId="10" hidden="1">{"rp_only",#N/A,FALSE,"2225"}</definedName>
    <definedName name="gdfgfg" hidden="1">{"rp_only",#N/A,FALSE,"2225"}</definedName>
    <definedName name="gdfgfg_1" localSheetId="10" hidden="1">{"rp_only",#N/A,FALSE,"2225"}</definedName>
    <definedName name="gdfgfg_1" hidden="1">{"rp_only",#N/A,FALSE,"2225"}</definedName>
    <definedName name="gdfsfdsgdhsfhdgs" localSheetId="10" hidden="1">{"rp_only",#N/A,FALSE,"2225"}</definedName>
    <definedName name="gdfsfdsgdhsfhdgs" hidden="1">{"rp_only",#N/A,FALSE,"2225"}</definedName>
    <definedName name="gdfsfdsgdhsfhdgs_1" localSheetId="10" hidden="1">{"rp_only",#N/A,FALSE,"2225"}</definedName>
    <definedName name="gdfsfdsgdhsfhdgs_1" hidden="1">{"rp_only",#N/A,FALSE,"2225"}</definedName>
    <definedName name="gdg" localSheetId="10" hidden="1">{#N/A,#N/A,FALSE,"特殊室（ＢＱ表）"}</definedName>
    <definedName name="gdg" hidden="1">{#N/A,#N/A,FALSE,"特殊室（ＢＱ表）"}</definedName>
    <definedName name="gdgdfgdfg" localSheetId="10" hidden="1">{"rp_only",#N/A,FALSE,"2225"}</definedName>
    <definedName name="gdgdfgdfg" hidden="1">{"rp_only",#N/A,FALSE,"2225"}</definedName>
    <definedName name="gdgdfgdfg_1" localSheetId="10" hidden="1">{"rp_only",#N/A,FALSE,"2225"}</definedName>
    <definedName name="gdgdfgdfg_1" hidden="1">{"rp_only",#N/A,FALSE,"2225"}</definedName>
    <definedName name="gdgdgf" localSheetId="10" hidden="1">{"rp_only",#N/A,FALSE,"2225"}</definedName>
    <definedName name="gdgdgf" hidden="1">{"rp_only",#N/A,FALSE,"2225"}</definedName>
    <definedName name="gdgdgf_1" localSheetId="10" hidden="1">{"rp_only",#N/A,FALSE,"2225"}</definedName>
    <definedName name="gdgdgf_1" hidden="1">{"rp_only",#N/A,FALSE,"2225"}</definedName>
    <definedName name="gdghd">#REF!</definedName>
    <definedName name="gdhghg" localSheetId="10" hidden="1">{"with_oth_curr",#N/A,FALSE,"2225"}</definedName>
    <definedName name="gdhghg" hidden="1">{"with_oth_curr",#N/A,FALSE,"2225"}</definedName>
    <definedName name="gdhghg_1" localSheetId="10" hidden="1">{"with_oth_curr",#N/A,FALSE,"2225"}</definedName>
    <definedName name="gdhghg_1" hidden="1">{"with_oth_curr",#N/A,FALSE,"2225"}</definedName>
    <definedName name="gdnh" localSheetId="10" hidden="1">{#N/A,#N/A,FALSE,"REK";#N/A,#N/A,FALSE,"rab"}</definedName>
    <definedName name="gdnh" hidden="1">{#N/A,#N/A,FALSE,"REK";#N/A,#N/A,FALSE,"rab"}</definedName>
    <definedName name="GDPTRUC">#REF!</definedName>
    <definedName name="GDPXUAN">#REF!</definedName>
    <definedName name="gdsfg" localSheetId="10" hidden="1">{#N/A,#N/A,TRUE,"Cover sheet";#N/A,#N/A,TRUE,"INPUTS";#N/A,#N/A,TRUE,"OUTPUTS";#N/A,#N/A,TRUE,"VALUATION"}</definedName>
    <definedName name="gdsfg" hidden="1">{#N/A,#N/A,TRUE,"Cover sheet";#N/A,#N/A,TRUE,"INPUTS";#N/A,#N/A,TRUE,"OUTPUTS";#N/A,#N/A,TRUE,"VALUATION"}</definedName>
    <definedName name="GDSFGDFGDSFG" localSheetId="10" hidden="1">{"with_oth_curr",#N/A,FALSE,"2225"}</definedName>
    <definedName name="GDSFGDFGDSFG" hidden="1">{"with_oth_curr",#N/A,FALSE,"2225"}</definedName>
    <definedName name="GDSFGDFGDSFG_1" localSheetId="10" hidden="1">{"with_oth_curr",#N/A,FALSE,"2225"}</definedName>
    <definedName name="GDSFGDFGDSFG_1" hidden="1">{"with_oth_curr",#N/A,FALSE,"2225"}</definedName>
    <definedName name="GDSFGDSFGD" localSheetId="10" hidden="1">{"rp_only",#N/A,FALSE,"2225"}</definedName>
    <definedName name="GDSFGDSFGD" hidden="1">{"rp_only",#N/A,FALSE,"2225"}</definedName>
    <definedName name="GDSFGDSFGD_1" localSheetId="10" hidden="1">{"rp_only",#N/A,FALSE,"2225"}</definedName>
    <definedName name="GDSFGDSFGD_1" hidden="1">{"rp_only",#N/A,FALSE,"2225"}</definedName>
    <definedName name="gdsgf" localSheetId="10" hidden="1">{"rp_only",#N/A,FALSE,"2225"}</definedName>
    <definedName name="gdsgf" hidden="1">{"rp_only",#N/A,FALSE,"2225"}</definedName>
    <definedName name="gdsgf_1" localSheetId="10" hidden="1">{"rp_only",#N/A,FALSE,"2225"}</definedName>
    <definedName name="gdsgf_1" hidden="1">{"rp_only",#N/A,FALSE,"2225"}</definedName>
    <definedName name="gdssdg" localSheetId="10" hidden="1">{"rp_only",#N/A,FALSE,"2225"}</definedName>
    <definedName name="gdssdg" hidden="1">{"rp_only",#N/A,FALSE,"2225"}</definedName>
    <definedName name="gdssdg_1" localSheetId="10" hidden="1">{"rp_only",#N/A,FALSE,"2225"}</definedName>
    <definedName name="gdssdg_1" hidden="1">{"rp_only",#N/A,FALSE,"2225"}</definedName>
    <definedName name="ge" localSheetId="10" hidden="1">{#N/A,#N/A,FALSE,"Act.Fcst Costs"}</definedName>
    <definedName name="ge" hidden="1">{#N/A,#N/A,FALSE,"Act.Fcst Costs"}</definedName>
    <definedName name="ge_1" localSheetId="10"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localSheetId="10" hidden="1">{#N/A,#N/A,FALSE,"DATA"}</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 localSheetId="10">{"Book1","4.09 FLORA DAN FAUNA.xls","4.22 PERLENGKAPAN SEKOLAH.xls"}</definedName>
    <definedName name="ger">{"Book1","4.09 FLORA DAN FAUNA.xls","4.22 PERLENGKAPAN SEKOLAH.xls"}</definedName>
    <definedName name="gersel">#REF!</definedName>
    <definedName name="GetData">#REF!</definedName>
    <definedName name="GETMAT">#N/A</definedName>
    <definedName name="gf" localSheetId="10" hidden="1">{#N/A,#N/A,FALSE,"Aging Summary";#N/A,#N/A,FALSE,"Ratio Analysis";#N/A,#N/A,FALSE,"Test 120 Day Accts";#N/A,#N/A,FALSE,"Tickmarks"}</definedName>
    <definedName name="gf" hidden="1">{#N/A,#N/A,FALSE,"Aging Summary";#N/A,#N/A,FALSE,"Ratio Analysis";#N/A,#N/A,FALSE,"Test 120 Day Accts";#N/A,#N/A,FALSE,"Tickmarks"}</definedName>
    <definedName name="gf_1" localSheetId="10"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10" hidden="1">{"rp_only",#N/A,FALSE,"2225"}</definedName>
    <definedName name="gfabfvvfgsd" hidden="1">{"rp_only",#N/A,FALSE,"2225"}</definedName>
    <definedName name="gfabfvvfgsd_1" localSheetId="10" hidden="1">{"rp_only",#N/A,FALSE,"2225"}</definedName>
    <definedName name="gfabfvvfgsd_1" hidden="1">{"rp_only",#N/A,FALSE,"2225"}</definedName>
    <definedName name="gfbank">#REF!</definedName>
    <definedName name="gfddf" localSheetId="10" hidden="1">{"rp_only",#N/A,FALSE,"2225"}</definedName>
    <definedName name="gfddf" hidden="1">{"rp_only",#N/A,FALSE,"2225"}</definedName>
    <definedName name="gfddf_1" localSheetId="10" hidden="1">{"rp_only",#N/A,FALSE,"2225"}</definedName>
    <definedName name="gfddf_1" hidden="1">{"rp_only",#N/A,FALSE,"2225"}</definedName>
    <definedName name="gfdfgdf" localSheetId="10" hidden="1">{"rp_only",#N/A,FALSE,"2225"}</definedName>
    <definedName name="gfdfgdf" hidden="1">{"rp_only",#N/A,FALSE,"2225"}</definedName>
    <definedName name="gfdfgdf_1" localSheetId="10" hidden="1">{"rp_only",#N/A,FALSE,"2225"}</definedName>
    <definedName name="gfdfgdf_1" hidden="1">{"rp_only",#N/A,FALSE,"2225"}</definedName>
    <definedName name="gfdfgdfgdf" localSheetId="10" hidden="1">{"rp_only",#N/A,FALSE,"2225"}</definedName>
    <definedName name="gfdfgdfgdf" hidden="1">{"rp_only",#N/A,FALSE,"2225"}</definedName>
    <definedName name="gfdfgdfgdf_1" localSheetId="10" hidden="1">{"rp_only",#N/A,FALSE,"2225"}</definedName>
    <definedName name="gfdfgdfgdf_1" hidden="1">{"rp_only",#N/A,FALSE,"2225"}</definedName>
    <definedName name="gfdfgdfgdg" localSheetId="10" hidden="1">{"rp_only",#N/A,FALSE,"2225"}</definedName>
    <definedName name="gfdfgdfgdg" hidden="1">{"rp_only",#N/A,FALSE,"2225"}</definedName>
    <definedName name="gfdfgdfgdg_1" localSheetId="10" hidden="1">{"rp_only",#N/A,FALSE,"2225"}</definedName>
    <definedName name="gfdfgdfgdg_1" hidden="1">{"rp_only",#N/A,FALSE,"2225"}</definedName>
    <definedName name="gfdfgdfggf" localSheetId="10" hidden="1">{"rp_only",#N/A,FALSE,"2225"}</definedName>
    <definedName name="gfdfgdfggf" hidden="1">{"rp_only",#N/A,FALSE,"2225"}</definedName>
    <definedName name="gfdfgdfggf_1" localSheetId="10" hidden="1">{"rp_only",#N/A,FALSE,"2225"}</definedName>
    <definedName name="gfdfgdfggf_1" hidden="1">{"rp_only",#N/A,FALSE,"2225"}</definedName>
    <definedName name="gfdfgdg" localSheetId="10" hidden="1">{"rp_only",#N/A,FALSE,"2225"}</definedName>
    <definedName name="gfdfgdg" hidden="1">{"rp_only",#N/A,FALSE,"2225"}</definedName>
    <definedName name="gfdfgdg_1" localSheetId="10" hidden="1">{"rp_only",#N/A,FALSE,"2225"}</definedName>
    <definedName name="gfdfgdg_1" hidden="1">{"rp_only",#N/A,FALSE,"2225"}</definedName>
    <definedName name="gfdfgdgdf" localSheetId="10" hidden="1">{"with_oth_curr",#N/A,FALSE,"2225"}</definedName>
    <definedName name="gfdfgdgdf" hidden="1">{"with_oth_curr",#N/A,FALSE,"2225"}</definedName>
    <definedName name="gfdfgdgdf_1" localSheetId="10" hidden="1">{"with_oth_curr",#N/A,FALSE,"2225"}</definedName>
    <definedName name="gfdfgdgdf_1" hidden="1">{"with_oth_curr",#N/A,FALSE,"2225"}</definedName>
    <definedName name="gfdfgdgf" localSheetId="10" hidden="1">{"rp_only",#N/A,FALSE,"2225"}</definedName>
    <definedName name="gfdfgdgf" hidden="1">{"rp_only",#N/A,FALSE,"2225"}</definedName>
    <definedName name="gfdfgdgf_1" localSheetId="10" hidden="1">{"rp_only",#N/A,FALSE,"2225"}</definedName>
    <definedName name="gfdfgdgf_1" hidden="1">{"rp_only",#N/A,FALSE,"2225"}</definedName>
    <definedName name="gfdfsvfbvxvcx" localSheetId="10" hidden="1">{"rp_only",#N/A,FALSE,"2225"}</definedName>
    <definedName name="gfdfsvfbvxvcx" hidden="1">{"rp_only",#N/A,FALSE,"2225"}</definedName>
    <definedName name="gfdfsvfbvxvcx_1" localSheetId="10" hidden="1">{"rp_only",#N/A,FALSE,"2225"}</definedName>
    <definedName name="gfdfsvfbvxvcx_1" hidden="1">{"rp_only",#N/A,FALSE,"2225"}</definedName>
    <definedName name="gfdg" localSheetId="10" hidden="1">{#N/A,#N/A,FALSE,"特殊室（ＢＱ表）"}</definedName>
    <definedName name="gfdg" hidden="1">{#N/A,#N/A,FALSE,"特殊室（ＢＱ表）"}</definedName>
    <definedName name="gfdg_1" localSheetId="10" hidden="1">{"rp_only",#N/A,FALSE,"2225"}</definedName>
    <definedName name="gfdg_1" hidden="1">{"rp_only",#N/A,FALSE,"2225"}</definedName>
    <definedName name="gfdgd" localSheetId="10" hidden="1">{"rp_only",#N/A,FALSE,"2225"}</definedName>
    <definedName name="gfdgd" hidden="1">{"rp_only",#N/A,FALSE,"2225"}</definedName>
    <definedName name="gfdgd_1" localSheetId="10" hidden="1">{"rp_only",#N/A,FALSE,"2225"}</definedName>
    <definedName name="gfdgd_1" hidden="1">{"rp_only",#N/A,FALSE,"2225"}</definedName>
    <definedName name="gfdgdfgdg" localSheetId="10" hidden="1">{"rp_only",#N/A,FALSE,"2225"}</definedName>
    <definedName name="gfdgdfgdg" hidden="1">{"rp_only",#N/A,FALSE,"2225"}</definedName>
    <definedName name="gfdgdfgdg_1" localSheetId="10" hidden="1">{"rp_only",#N/A,FALSE,"2225"}</definedName>
    <definedName name="gfdgdfgdg_1" hidden="1">{"rp_only",#N/A,FALSE,"2225"}</definedName>
    <definedName name="gfdgdg" localSheetId="10" hidden="1">{"with_oth_curr",#N/A,FALSE,"2225"}</definedName>
    <definedName name="gfdgdg" hidden="1">{"with_oth_curr",#N/A,FALSE,"2225"}</definedName>
    <definedName name="gfdgdg_1" localSheetId="10" hidden="1">{"with_oth_curr",#N/A,FALSE,"2225"}</definedName>
    <definedName name="gfdgdg_1" hidden="1">{"with_oth_curr",#N/A,FALSE,"2225"}</definedName>
    <definedName name="gfdgdgfdg" localSheetId="10" hidden="1">{"rp_only",#N/A,FALSE,"2225"}</definedName>
    <definedName name="gfdgdgfdg" hidden="1">{"rp_only",#N/A,FALSE,"2225"}</definedName>
    <definedName name="gfdgdgfdg_1" localSheetId="10" hidden="1">{"rp_only",#N/A,FALSE,"2225"}</definedName>
    <definedName name="gfdgdgfdg_1" hidden="1">{"rp_only",#N/A,FALSE,"2225"}</definedName>
    <definedName name="gfdgfdfgdfg" localSheetId="10" hidden="1">{"rp_only",#N/A,FALSE,"2225"}</definedName>
    <definedName name="gfdgfdfgdfg" hidden="1">{"rp_only",#N/A,FALSE,"2225"}</definedName>
    <definedName name="gfdgfdfgdfg_1" localSheetId="10" hidden="1">{"rp_only",#N/A,FALSE,"2225"}</definedName>
    <definedName name="gfdgfdfgdfg_1" hidden="1">{"rp_only",#N/A,FALSE,"2225"}</definedName>
    <definedName name="gfdgfdg" localSheetId="10"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10" hidden="1">{"with_oth_curr",#N/A,FALSE,"2225"}</definedName>
    <definedName name="gfdgfg" hidden="1">{"with_oth_curr",#N/A,FALSE,"2225"}</definedName>
    <definedName name="gfdgfg_1" localSheetId="10" hidden="1">{"with_oth_curr",#N/A,FALSE,"2225"}</definedName>
    <definedName name="gfdgfg_1" hidden="1">{"with_oth_curr",#N/A,FALSE,"2225"}</definedName>
    <definedName name="gfdghdfhfh" localSheetId="10" hidden="1">{"rp_only",#N/A,FALSE,"2225"}</definedName>
    <definedName name="gfdghdfhfh" hidden="1">{"rp_only",#N/A,FALSE,"2225"}</definedName>
    <definedName name="gfdghdfhfh_1" localSheetId="10" hidden="1">{"rp_only",#N/A,FALSE,"2225"}</definedName>
    <definedName name="gfdghdfhfh_1" hidden="1">{"rp_only",#N/A,FALSE,"2225"}</definedName>
    <definedName name="gfdhdf" localSheetId="10" hidden="1">{"rp_only",#N/A,FALSE,"2225"}</definedName>
    <definedName name="gfdhdf" hidden="1">{"rp_only",#N/A,FALSE,"2225"}</definedName>
    <definedName name="gfdhdf_1" localSheetId="10" hidden="1">{"rp_only",#N/A,FALSE,"2225"}</definedName>
    <definedName name="gfdhdf_1" hidden="1">{"rp_only",#N/A,FALSE,"2225"}</definedName>
    <definedName name="gfdsgfdsh" localSheetId="10" hidden="1">{"rp_only",#N/A,FALSE,"2225"}</definedName>
    <definedName name="gfdsgfdsh" hidden="1">{"rp_only",#N/A,FALSE,"2225"}</definedName>
    <definedName name="gfdsgfdsh_1" localSheetId="10" hidden="1">{"rp_only",#N/A,FALSE,"2225"}</definedName>
    <definedName name="gfdsgfdsh_1" hidden="1">{"rp_only",#N/A,FALSE,"2225"}</definedName>
    <definedName name="gfdsgg" localSheetId="10" hidden="1">{"with_oth_curr",#N/A,FALSE,"2225"}</definedName>
    <definedName name="gfdsgg" hidden="1">{"with_oth_curr",#N/A,FALSE,"2225"}</definedName>
    <definedName name="gfdsgg_1" localSheetId="10" hidden="1">{"with_oth_curr",#N/A,FALSE,"2225"}</definedName>
    <definedName name="gfdsgg_1" hidden="1">{"with_oth_curr",#N/A,FALSE,"2225"}</definedName>
    <definedName name="gff" localSheetId="10"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10" hidden="1">{"rp_only",#N/A,FALSE,"2225"}</definedName>
    <definedName name="gffdgfg" hidden="1">{"rp_only",#N/A,FALSE,"2225"}</definedName>
    <definedName name="gffdgfg_1" localSheetId="10" hidden="1">{"rp_only",#N/A,FALSE,"2225"}</definedName>
    <definedName name="gffdgfg_1" hidden="1">{"rp_only",#N/A,FALSE,"2225"}</definedName>
    <definedName name="gffgfgdgf" localSheetId="10" hidden="1">{"rp_only",#N/A,FALSE,"2225"}</definedName>
    <definedName name="gffgfgdgf" hidden="1">{"rp_only",#N/A,FALSE,"2225"}</definedName>
    <definedName name="gffgfgdgf_1" localSheetId="10" hidden="1">{"rp_only",#N/A,FALSE,"2225"}</definedName>
    <definedName name="gffgfgdgf_1" hidden="1">{"rp_only",#N/A,FALSE,"2225"}</definedName>
    <definedName name="gfgf" localSheetId="10" hidden="1">{"with_oth_curr",#N/A,FALSE,"2225"}</definedName>
    <definedName name="gfgf" hidden="1">{"with_oth_curr",#N/A,FALSE,"2225"}</definedName>
    <definedName name="gfgf_1" localSheetId="10" hidden="1">{"with_oth_curr",#N/A,FALSE,"2225"}</definedName>
    <definedName name="gfgf_1" hidden="1">{"with_oth_curr",#N/A,FALSE,"2225"}</definedName>
    <definedName name="gfgfasgfdasdfsa" localSheetId="10" hidden="1">{"rp_only",#N/A,FALSE,"2225"}</definedName>
    <definedName name="gfgfasgfdasdfsa" hidden="1">{"rp_only",#N/A,FALSE,"2225"}</definedName>
    <definedName name="gfgfasgfdasdfsa_1" localSheetId="10" hidden="1">{"rp_only",#N/A,FALSE,"2225"}</definedName>
    <definedName name="gfgfasgfdasdfsa_1" hidden="1">{"rp_only",#N/A,FALSE,"2225"}</definedName>
    <definedName name="gfgfdfo" localSheetId="10" hidden="1">{"rp_only",#N/A,FALSE,"2225"}</definedName>
    <definedName name="gfgfdfo" hidden="1">{"rp_only",#N/A,FALSE,"2225"}</definedName>
    <definedName name="gfgfdfo_1" localSheetId="10" hidden="1">{"rp_only",#N/A,FALSE,"2225"}</definedName>
    <definedName name="gfgfdfo_1" hidden="1">{"rp_only",#N/A,FALSE,"2225"}</definedName>
    <definedName name="gfgfdgf" localSheetId="10" hidden="1">{"rp_only",#N/A,FALSE,"2225"}</definedName>
    <definedName name="gfgfdgf" hidden="1">{"rp_only",#N/A,FALSE,"2225"}</definedName>
    <definedName name="gfgfdgf_1" localSheetId="10" hidden="1">{"rp_only",#N/A,FALSE,"2225"}</definedName>
    <definedName name="gfgfdgf_1" hidden="1">{"rp_only",#N/A,FALSE,"2225"}</definedName>
    <definedName name="gfgffggfgf" localSheetId="10" hidden="1">{"rp_only",#N/A,FALSE,"2225"}</definedName>
    <definedName name="gfgffggfgf" hidden="1">{"rp_only",#N/A,FALSE,"2225"}</definedName>
    <definedName name="gfgffggfgf_1" localSheetId="10" hidden="1">{"rp_only",#N/A,FALSE,"2225"}</definedName>
    <definedName name="gfgffggfgf_1" hidden="1">{"rp_only",#N/A,FALSE,"2225"}</definedName>
    <definedName name="gfgfgf" localSheetId="10" hidden="1">{"rp_only",#N/A,FALSE,"2225"}</definedName>
    <definedName name="gfgfgf" hidden="1">{"rp_only",#N/A,FALSE,"2225"}</definedName>
    <definedName name="gfgfgf_1" localSheetId="10" hidden="1">{"rp_only",#N/A,FALSE,"2225"}</definedName>
    <definedName name="gfgfgf_1" hidden="1">{"rp_only",#N/A,FALSE,"2225"}</definedName>
    <definedName name="gfgfgfgfg" localSheetId="10"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10"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10" hidden="1">{"with_oth_curr",#N/A,FALSE,"2225"}</definedName>
    <definedName name="gfgfgsagfsgafg" hidden="1">{"with_oth_curr",#N/A,FALSE,"2225"}</definedName>
    <definedName name="gfgfgsagfsgafg_1" localSheetId="10" hidden="1">{"with_oth_curr",#N/A,FALSE,"2225"}</definedName>
    <definedName name="gfgfgsagfsgafg_1" hidden="1">{"with_oth_curr",#N/A,FALSE,"2225"}</definedName>
    <definedName name="gfgfhgh" localSheetId="10" hidden="1">{"rp_only",#N/A,FALSE,"2225"}</definedName>
    <definedName name="gfgfhgh" hidden="1">{"rp_only",#N/A,FALSE,"2225"}</definedName>
    <definedName name="gfgfhgh_1" localSheetId="10" hidden="1">{"rp_only",#N/A,FALSE,"2225"}</definedName>
    <definedName name="gfgfhgh_1" hidden="1">{"rp_only",#N/A,FALSE,"2225"}</definedName>
    <definedName name="gfgfvfd" localSheetId="10" hidden="1">{"rp_only",#N/A,FALSE,"2225"}</definedName>
    <definedName name="gfgfvfd" hidden="1">{"rp_only",#N/A,FALSE,"2225"}</definedName>
    <definedName name="gfgfvfd_1" localSheetId="10" hidden="1">{"rp_only",#N/A,FALSE,"2225"}</definedName>
    <definedName name="gfgfvfd_1" hidden="1">{"rp_only",#N/A,FALSE,"2225"}</definedName>
    <definedName name="gfghds" localSheetId="10" hidden="1">{"with_oth_curr",#N/A,FALSE,"2225"}</definedName>
    <definedName name="gfghds" hidden="1">{"with_oth_curr",#N/A,FALSE,"2225"}</definedName>
    <definedName name="gfghds_1" localSheetId="10" hidden="1">{"with_oth_curr",#N/A,FALSE,"2225"}</definedName>
    <definedName name="gfghds_1" hidden="1">{"with_oth_curr",#N/A,FALSE,"2225"}</definedName>
    <definedName name="gfghfgjfgjgj" localSheetId="10" hidden="1">{"with_oth_curr",#N/A,FALSE,"2225"}</definedName>
    <definedName name="gfghfgjfgjgj" hidden="1">{"with_oth_curr",#N/A,FALSE,"2225"}</definedName>
    <definedName name="gfghfgjfgjgj_1" localSheetId="10" hidden="1">{"with_oth_curr",#N/A,FALSE,"2225"}</definedName>
    <definedName name="gfghfgjfgjgj_1" hidden="1">{"with_oth_curr",#N/A,FALSE,"2225"}</definedName>
    <definedName name="gfgsdtsdfg" localSheetId="10" hidden="1">{"with_oth_curr",#N/A,FALSE,"2225"}</definedName>
    <definedName name="gfgsdtsdfg" hidden="1">{"with_oth_curr",#N/A,FALSE,"2225"}</definedName>
    <definedName name="gfgsdtsdfg_1" localSheetId="10" hidden="1">{"with_oth_curr",#N/A,FALSE,"2225"}</definedName>
    <definedName name="gfgsdtsdfg_1" hidden="1">{"with_oth_curr",#N/A,FALSE,"2225"}</definedName>
    <definedName name="gfgsfg" localSheetId="10" hidden="1">{"with_oth_curr",#N/A,FALSE,"2225"}</definedName>
    <definedName name="gfgsfg" hidden="1">{"with_oth_curr",#N/A,FALSE,"2225"}</definedName>
    <definedName name="gfgsfg_1" localSheetId="10" hidden="1">{"with_oth_curr",#N/A,FALSE,"2225"}</definedName>
    <definedName name="gfgsfg_1" hidden="1">{"with_oth_curr",#N/A,FALSE,"2225"}</definedName>
    <definedName name="gfgtsey" localSheetId="10" hidden="1">{"rp_only",#N/A,FALSE,"2225"}</definedName>
    <definedName name="gfgtsey" hidden="1">{"rp_only",#N/A,FALSE,"2225"}</definedName>
    <definedName name="gfgtsey_1" localSheetId="10" hidden="1">{"rp_only",#N/A,FALSE,"2225"}</definedName>
    <definedName name="gfgtsey_1" hidden="1">{"rp_only",#N/A,FALSE,"2225"}</definedName>
    <definedName name="gfhdfh" localSheetId="10" hidden="1">{"rp_only",#N/A,FALSE,"2225"}</definedName>
    <definedName name="gfhdfh" hidden="1">{"rp_only",#N/A,FALSE,"2225"}</definedName>
    <definedName name="gfhdfh_1" localSheetId="10" hidden="1">{"rp_only",#N/A,FALSE,"2225"}</definedName>
    <definedName name="gfhdfh_1" hidden="1">{"rp_only",#N/A,FALSE,"2225"}</definedName>
    <definedName name="gfhdfhfghnbv" localSheetId="10" hidden="1">{"rp_only",#N/A,FALSE,"2225"}</definedName>
    <definedName name="gfhdfhfghnbv" hidden="1">{"rp_only",#N/A,FALSE,"2225"}</definedName>
    <definedName name="gfhdfhfghnbv_1" localSheetId="10" hidden="1">{"rp_only",#N/A,FALSE,"2225"}</definedName>
    <definedName name="gfhdfhfghnbv_1" hidden="1">{"rp_only",#N/A,FALSE,"2225"}</definedName>
    <definedName name="gfhfg" localSheetId="10" hidden="1">{"with_oth_curr",#N/A,FALSE,"2225"}</definedName>
    <definedName name="gfhfg" hidden="1">{"with_oth_curr",#N/A,FALSE,"2225"}</definedName>
    <definedName name="gfhfg_1" localSheetId="10" hidden="1">{"with_oth_curr",#N/A,FALSE,"2225"}</definedName>
    <definedName name="gfhfg_1" hidden="1">{"with_oth_curr",#N/A,FALSE,"2225"}</definedName>
    <definedName name="gfhfgh" localSheetId="10" hidden="1">{"rp_only",#N/A,FALSE,"2225"}</definedName>
    <definedName name="gfhfgh" hidden="1">{"rp_only",#N/A,FALSE,"2225"}</definedName>
    <definedName name="gfhfgh_1" localSheetId="10" hidden="1">{"rp_only",#N/A,FALSE,"2225"}</definedName>
    <definedName name="gfhfgh_1" hidden="1">{"rp_only",#N/A,FALSE,"2225"}</definedName>
    <definedName name="gfhfghbvn" localSheetId="10" hidden="1">{"rp_only",#N/A,FALSE,"2225"}</definedName>
    <definedName name="gfhfghbvn" hidden="1">{"rp_only",#N/A,FALSE,"2225"}</definedName>
    <definedName name="gfhfghbvn_1" localSheetId="10" hidden="1">{"rp_only",#N/A,FALSE,"2225"}</definedName>
    <definedName name="gfhfghbvn_1" hidden="1">{"rp_only",#N/A,FALSE,"2225"}</definedName>
    <definedName name="gfhfghf" localSheetId="10" hidden="1">{"rp_only",#N/A,FALSE,"2225"}</definedName>
    <definedName name="gfhfghf" hidden="1">{"rp_only",#N/A,FALSE,"2225"}</definedName>
    <definedName name="gfhfghf_1" localSheetId="10" hidden="1">{"rp_only",#N/A,FALSE,"2225"}</definedName>
    <definedName name="gfhfghf_1" hidden="1">{"rp_only",#N/A,FALSE,"2225"}</definedName>
    <definedName name="gfhfghfg" localSheetId="10" hidden="1">{"rp_only",#N/A,FALSE,"2225"}</definedName>
    <definedName name="gfhfghfg" hidden="1">{"rp_only",#N/A,FALSE,"2225"}</definedName>
    <definedName name="gfhfghfg_1" localSheetId="10" hidden="1">{"rp_only",#N/A,FALSE,"2225"}</definedName>
    <definedName name="gfhfghfg_1" hidden="1">{"rp_only",#N/A,FALSE,"2225"}</definedName>
    <definedName name="gfhfghfgh" localSheetId="10" hidden="1">{"rp_only",#N/A,FALSE,"2225"}</definedName>
    <definedName name="gfhfghfgh" hidden="1">{"rp_only",#N/A,FALSE,"2225"}</definedName>
    <definedName name="gfhfghfgh_1" localSheetId="10" hidden="1">{"rp_only",#N/A,FALSE,"2225"}</definedName>
    <definedName name="gfhfghfgh_1" hidden="1">{"rp_only",#N/A,FALSE,"2225"}</definedName>
    <definedName name="gfhfghfghf" localSheetId="10" hidden="1">{"rp_only",#N/A,FALSE,"2225"}</definedName>
    <definedName name="gfhfghfghf" hidden="1">{"rp_only",#N/A,FALSE,"2225"}</definedName>
    <definedName name="gfhfghfghf_1" localSheetId="10" hidden="1">{"rp_only",#N/A,FALSE,"2225"}</definedName>
    <definedName name="gfhfghfghf_1" hidden="1">{"rp_only",#N/A,FALSE,"2225"}</definedName>
    <definedName name="gfhfghfghfghgfh" localSheetId="10" hidden="1">{"with_oth_curr",#N/A,FALSE,"2225"}</definedName>
    <definedName name="gfhfghfghfghgfh" hidden="1">{"with_oth_curr",#N/A,FALSE,"2225"}</definedName>
    <definedName name="gfhfghfghfghgfh_1" localSheetId="10" hidden="1">{"with_oth_curr",#N/A,FALSE,"2225"}</definedName>
    <definedName name="gfhfghfghfghgfh_1" hidden="1">{"with_oth_curr",#N/A,FALSE,"2225"}</definedName>
    <definedName name="gfhfghfghh" localSheetId="10" hidden="1">{"rp_only",#N/A,FALSE,"2225"}</definedName>
    <definedName name="gfhfghfghh" hidden="1">{"rp_only",#N/A,FALSE,"2225"}</definedName>
    <definedName name="gfhfghfghh_1" localSheetId="10" hidden="1">{"rp_only",#N/A,FALSE,"2225"}</definedName>
    <definedName name="gfhfghfghh_1" hidden="1">{"rp_only",#N/A,FALSE,"2225"}</definedName>
    <definedName name="gfhfghfh" localSheetId="10" hidden="1">{"rp_only",#N/A,FALSE,"2225"}</definedName>
    <definedName name="gfhfghfh" hidden="1">{"rp_only",#N/A,FALSE,"2225"}</definedName>
    <definedName name="gfhfghfh_1" localSheetId="10" hidden="1">{"rp_only",#N/A,FALSE,"2225"}</definedName>
    <definedName name="gfhfghfh_1" hidden="1">{"rp_only",#N/A,FALSE,"2225"}</definedName>
    <definedName name="gfhfghfhf" localSheetId="10" hidden="1">{"with_oth_curr",#N/A,FALSE,"2225"}</definedName>
    <definedName name="gfhfghfhf" hidden="1">{"with_oth_curr",#N/A,FALSE,"2225"}</definedName>
    <definedName name="gfhfghfhf_1" localSheetId="10" hidden="1">{"with_oth_curr",#N/A,FALSE,"2225"}</definedName>
    <definedName name="gfhfghfhf_1" hidden="1">{"with_oth_curr",#N/A,FALSE,"2225"}</definedName>
    <definedName name="gfhfghg" localSheetId="10" hidden="1">{"rp_only",#N/A,FALSE,"2225"}</definedName>
    <definedName name="gfhfghg" hidden="1">{"rp_only",#N/A,FALSE,"2225"}</definedName>
    <definedName name="gfhfghg_1" localSheetId="10" hidden="1">{"rp_only",#N/A,FALSE,"2225"}</definedName>
    <definedName name="gfhfghg_1" hidden="1">{"rp_only",#N/A,FALSE,"2225"}</definedName>
    <definedName name="gfhfghgfh" localSheetId="10" hidden="1">{"rp_only",#N/A,FALSE,"2225"}</definedName>
    <definedName name="gfhfghgfh" hidden="1">{"rp_only",#N/A,FALSE,"2225"}</definedName>
    <definedName name="gfhfghgfh_1" localSheetId="10" hidden="1">{"rp_only",#N/A,FALSE,"2225"}</definedName>
    <definedName name="gfhfghgfh_1" hidden="1">{"rp_only",#N/A,FALSE,"2225"}</definedName>
    <definedName name="gfhfghgfhfh" localSheetId="10" hidden="1">{"rp_only",#N/A,FALSE,"2225"}</definedName>
    <definedName name="gfhfghgfhfh" hidden="1">{"rp_only",#N/A,FALSE,"2225"}</definedName>
    <definedName name="gfhfghgfhfh_1" localSheetId="10" hidden="1">{"rp_only",#N/A,FALSE,"2225"}</definedName>
    <definedName name="gfhfghgfhfh_1" hidden="1">{"rp_only",#N/A,FALSE,"2225"}</definedName>
    <definedName name="gfhfghh" localSheetId="10" hidden="1">{"rp_only",#N/A,FALSE,"2225"}</definedName>
    <definedName name="gfhfghh" hidden="1">{"rp_only",#N/A,FALSE,"2225"}</definedName>
    <definedName name="gfhfghh_1" localSheetId="10" hidden="1">{"rp_only",#N/A,FALSE,"2225"}</definedName>
    <definedName name="gfhfghh_1" hidden="1">{"rp_only",#N/A,FALSE,"2225"}</definedName>
    <definedName name="gfhfgtryey" localSheetId="10" hidden="1">{"rp_only",#N/A,FALSE,"2225"}</definedName>
    <definedName name="gfhfgtryey" hidden="1">{"rp_only",#N/A,FALSE,"2225"}</definedName>
    <definedName name="gfhfgtryey_1" localSheetId="10" hidden="1">{"rp_only",#N/A,FALSE,"2225"}</definedName>
    <definedName name="gfhfgtryey_1" hidden="1">{"rp_only",#N/A,FALSE,"2225"}</definedName>
    <definedName name="gfhfh" localSheetId="10" hidden="1">{"with_oth_curr",#N/A,FALSE,"2225"}</definedName>
    <definedName name="gfhfh" hidden="1">{"with_oth_curr",#N/A,FALSE,"2225"}</definedName>
    <definedName name="gfhfh_1" localSheetId="10" hidden="1">{"with_oth_curr",#N/A,FALSE,"2225"}</definedName>
    <definedName name="gfhfh_1" hidden="1">{"with_oth_curr",#N/A,FALSE,"2225"}</definedName>
    <definedName name="gfhfhf" localSheetId="10" hidden="1">{"with_oth_curr",#N/A,FALSE,"2225"}</definedName>
    <definedName name="gfhfhf" hidden="1">{"with_oth_curr",#N/A,FALSE,"2225"}</definedName>
    <definedName name="gfhfhf_1" localSheetId="10" hidden="1">{"with_oth_curr",#N/A,FALSE,"2225"}</definedName>
    <definedName name="gfhfhf_1" hidden="1">{"with_oth_curr",#N/A,FALSE,"2225"}</definedName>
    <definedName name="gfhfhfh" localSheetId="10" hidden="1">{"rp_only",#N/A,FALSE,"2225"}</definedName>
    <definedName name="gfhfhfh" hidden="1">{"rp_only",#N/A,FALSE,"2225"}</definedName>
    <definedName name="gfhfhfh_1" localSheetId="10" hidden="1">{"rp_only",#N/A,FALSE,"2225"}</definedName>
    <definedName name="gfhfhfh_1" hidden="1">{"rp_only",#N/A,FALSE,"2225"}</definedName>
    <definedName name="gfhfhfhfgh" localSheetId="10" hidden="1">{"rp_only",#N/A,FALSE,"2225"}</definedName>
    <definedName name="gfhfhfhfgh" hidden="1">{"rp_only",#N/A,FALSE,"2225"}</definedName>
    <definedName name="gfhfhfhfgh_1" localSheetId="10" hidden="1">{"rp_only",#N/A,FALSE,"2225"}</definedName>
    <definedName name="gfhfhfhfgh_1" hidden="1">{"rp_only",#N/A,FALSE,"2225"}</definedName>
    <definedName name="gfhfhgf" localSheetId="10" hidden="1">{"rp_only",#N/A,FALSE,"2225"}</definedName>
    <definedName name="gfhfhgf" hidden="1">{"rp_only",#N/A,FALSE,"2225"}</definedName>
    <definedName name="gfhfhgf_1" localSheetId="10" hidden="1">{"rp_only",#N/A,FALSE,"2225"}</definedName>
    <definedName name="gfhfhgf_1" hidden="1">{"rp_only",#N/A,FALSE,"2225"}</definedName>
    <definedName name="gfhfytryr" localSheetId="10" hidden="1">{"with_oth_curr",#N/A,FALSE,"2225"}</definedName>
    <definedName name="gfhfytryr" hidden="1">{"with_oth_curr",#N/A,FALSE,"2225"}</definedName>
    <definedName name="gfhfytryr_1" localSheetId="10" hidden="1">{"with_oth_curr",#N/A,FALSE,"2225"}</definedName>
    <definedName name="gfhfytryr_1" hidden="1">{"with_oth_curr",#N/A,FALSE,"2225"}</definedName>
    <definedName name="gfhgfhf" localSheetId="10" hidden="1">{"rp_only",#N/A,FALSE,"2225"}</definedName>
    <definedName name="gfhgfhf" hidden="1">{"rp_only",#N/A,FALSE,"2225"}</definedName>
    <definedName name="gfhgfhf_1" localSheetId="10" hidden="1">{"rp_only",#N/A,FALSE,"2225"}</definedName>
    <definedName name="gfhgfhf_1" hidden="1">{"rp_only",#N/A,FALSE,"2225"}</definedName>
    <definedName name="gfhgfhfh" localSheetId="10" hidden="1">{"with_oth_curr",#N/A,FALSE,"2225"}</definedName>
    <definedName name="gfhgfhfh" hidden="1">{"with_oth_curr",#N/A,FALSE,"2225"}</definedName>
    <definedName name="gfhgfhfh_1" localSheetId="10" hidden="1">{"with_oth_curr",#N/A,FALSE,"2225"}</definedName>
    <definedName name="gfhgfhfh_1" hidden="1">{"with_oth_curr",#N/A,FALSE,"2225"}</definedName>
    <definedName name="gfhgfhfhfhfh" localSheetId="10" hidden="1">{"rp_only",#N/A,FALSE,"2225"}</definedName>
    <definedName name="gfhgfhfhfhfh" hidden="1">{"rp_only",#N/A,FALSE,"2225"}</definedName>
    <definedName name="gfhgfhfhfhfh_1" localSheetId="10" hidden="1">{"rp_only",#N/A,FALSE,"2225"}</definedName>
    <definedName name="gfhgfhfhfhfh_1" hidden="1">{"rp_only",#N/A,FALSE,"2225"}</definedName>
    <definedName name="gfhgfhgf" localSheetId="10" hidden="1">{"rp_only",#N/A,FALSE,"2225"}</definedName>
    <definedName name="gfhgfhgf" hidden="1">{"rp_only",#N/A,FALSE,"2225"}</definedName>
    <definedName name="gfhgfhgf_1" localSheetId="10" hidden="1">{"rp_only",#N/A,FALSE,"2225"}</definedName>
    <definedName name="gfhgfhgf_1" hidden="1">{"rp_only",#N/A,FALSE,"2225"}</definedName>
    <definedName name="gfhgfhgfhfdgh" localSheetId="10" hidden="1">{"rp_only",#N/A,FALSE,"2225"}</definedName>
    <definedName name="gfhgfhgfhfdgh" hidden="1">{"rp_only",#N/A,FALSE,"2225"}</definedName>
    <definedName name="gfhgfhgfhfdgh_1" localSheetId="10" hidden="1">{"rp_only",#N/A,FALSE,"2225"}</definedName>
    <definedName name="gfhgfhgfhfdgh_1" hidden="1">{"rp_only",#N/A,FALSE,"2225"}</definedName>
    <definedName name="gfhghfghfhfhg" localSheetId="10" hidden="1">{"rp_only",#N/A,FALSE,"2225"}</definedName>
    <definedName name="gfhghfghfhfhg" hidden="1">{"rp_only",#N/A,FALSE,"2225"}</definedName>
    <definedName name="gfhghfghfhfhg_1" localSheetId="10" hidden="1">{"rp_only",#N/A,FALSE,"2225"}</definedName>
    <definedName name="gfhghfghfhfhg_1" hidden="1">{"rp_only",#N/A,FALSE,"2225"}</definedName>
    <definedName name="gfhjgjg" localSheetId="10" hidden="1">{"rp_only",#N/A,FALSE,"2225"}</definedName>
    <definedName name="gfhjgjg" hidden="1">{"rp_only",#N/A,FALSE,"2225"}</definedName>
    <definedName name="gfhjgjg_1" localSheetId="10" hidden="1">{"rp_only",#N/A,FALSE,"2225"}</definedName>
    <definedName name="gfhjgjg_1" hidden="1">{"rp_only",#N/A,FALSE,"2225"}</definedName>
    <definedName name="gfjgfh" localSheetId="10" hidden="1">{#N/A,#N/A,FALSE,"CCTV"}</definedName>
    <definedName name="gfjgfh" hidden="1">{#N/A,#N/A,FALSE,"CCTV"}</definedName>
    <definedName name="gfjgfhfg" localSheetId="10" hidden="1">{#N/A,#N/A,FALSE,"CCTV"}</definedName>
    <definedName name="gfjgfhfg" hidden="1">{#N/A,#N/A,FALSE,"CCTV"}</definedName>
    <definedName name="gfjgfhjjtyutyuyjghnjbmyj" localSheetId="10" hidden="1">{"rp_only",#N/A,FALSE,"2225"}</definedName>
    <definedName name="gfjgfhjjtyutyuyjghnjbmyj" hidden="1">{"rp_only",#N/A,FALSE,"2225"}</definedName>
    <definedName name="gfjgfhjjtyutyuyjghnjbmyj_1" localSheetId="10" hidden="1">{"rp_only",#N/A,FALSE,"2225"}</definedName>
    <definedName name="gfjgfhjjtyutyuyjghnjbmyj_1" hidden="1">{"rp_only",#N/A,FALSE,"2225"}</definedName>
    <definedName name="gfjgfjgjy" localSheetId="10" hidden="1">{"rp_only",#N/A,FALSE,"2225"}</definedName>
    <definedName name="gfjgfjgjy" hidden="1">{"rp_only",#N/A,FALSE,"2225"}</definedName>
    <definedName name="gfjgfjgjy_1" localSheetId="10" hidden="1">{"rp_only",#N/A,FALSE,"2225"}</definedName>
    <definedName name="gfjgfjgjy_1" hidden="1">{"rp_only",#N/A,FALSE,"2225"}</definedName>
    <definedName name="gfjghj" localSheetId="10" hidden="1">{"rp_only",#N/A,FALSE,"2225"}</definedName>
    <definedName name="gfjghj" hidden="1">{"rp_only",#N/A,FALSE,"2225"}</definedName>
    <definedName name="gfjghj_1" localSheetId="10" hidden="1">{"rp_only",#N/A,FALSE,"2225"}</definedName>
    <definedName name="gfjghj_1" hidden="1">{"rp_only",#N/A,FALSE,"2225"}</definedName>
    <definedName name="GFST04">#REF!</definedName>
    <definedName name="gfvc" localSheetId="10" hidden="1">{"rp_only",#N/A,FALSE,"2225"}</definedName>
    <definedName name="gfvc" hidden="1">{"rp_only",#N/A,FALSE,"2225"}</definedName>
    <definedName name="gfvc_1" localSheetId="10" hidden="1">{"rp_only",#N/A,FALSE,"2225"}</definedName>
    <definedName name="gfvc_1" hidden="1">{"rp_only",#N/A,FALSE,"2225"}</definedName>
    <definedName name="gfvffv" localSheetId="10" hidden="1">{"rp_only",#N/A,FALSE,"2225"}</definedName>
    <definedName name="gfvffv" hidden="1">{"rp_only",#N/A,FALSE,"2225"}</definedName>
    <definedName name="gfvffv_1" localSheetId="10" hidden="1">{"rp_only",#N/A,FALSE,"2225"}</definedName>
    <definedName name="gfvffv_1" hidden="1">{"rp_only",#N/A,FALSE,"2225"}</definedName>
    <definedName name="gfxczvcxvxczvgfgf" localSheetId="10" hidden="1">{"rp_only",#N/A,FALSE,"2225"}</definedName>
    <definedName name="gfxczvcxvxczvgfgf" hidden="1">{"rp_only",#N/A,FALSE,"2225"}</definedName>
    <definedName name="gfxczvcxvxczvgfgf_1" localSheetId="10" hidden="1">{"rp_only",#N/A,FALSE,"2225"}</definedName>
    <definedName name="gfxczvcxvxczvgfgf_1" hidden="1">{"rp_only",#N/A,FALSE,"2225"}</definedName>
    <definedName name="gfxgfxgzgfz" localSheetId="10" hidden="1">{"with_oth_curr",#N/A,FALSE,"2225"}</definedName>
    <definedName name="gfxgfxgzgfz" hidden="1">{"with_oth_curr",#N/A,FALSE,"2225"}</definedName>
    <definedName name="gfxgfxgzgfz_1" localSheetId="10" hidden="1">{"with_oth_curr",#N/A,FALSE,"2225"}</definedName>
    <definedName name="gfxgfxgzgfz_1" hidden="1">{"with_oth_curr",#N/A,FALSE,"2225"}</definedName>
    <definedName name="GG" localSheetId="10" hidden="1">{"INV_INSURANCE",#N/A,FALSE,"PREPAID-1"}</definedName>
    <definedName name="GG" hidden="1">{"INV_INSURANCE",#N/A,FALSE,"PREPAID-1"}</definedName>
    <definedName name="GG_1" localSheetId="10" hidden="1">{"INV_INSURANCE",#N/A,FALSE,"PREPAID-1"}</definedName>
    <definedName name="GG_1" hidden="1">{"INV_INSURANCE",#N/A,FALSE,"PREPAID-1"}</definedName>
    <definedName name="ggfg" localSheetId="10" hidden="1">{"rp_only",#N/A,FALSE,"2225"}</definedName>
    <definedName name="ggfg" hidden="1">{"rp_only",#N/A,FALSE,"2225"}</definedName>
    <definedName name="ggfg_1" localSheetId="10" hidden="1">{"rp_only",#N/A,FALSE,"2225"}</definedName>
    <definedName name="ggfg_1" hidden="1">{"rp_only",#N/A,FALSE,"2225"}</definedName>
    <definedName name="ggg" localSheetId="10" hidden="1">{#N/A,#N/A,FALSE,"QR";#N/A,#N/A,FALSE,"R02";#N/A,#N/A,FALSE,"R04";#N/A,#N/A,FALSE,"R05";#N/A,#N/A,FALSE,"R08"}</definedName>
    <definedName name="ggg" hidden="1">{#N/A,#N/A,FALSE,"QR";#N/A,#N/A,FALSE,"R02";#N/A,#N/A,FALSE,"R04";#N/A,#N/A,FALSE,"R05";#N/A,#N/A,FALSE,"R08"}</definedName>
    <definedName name="ggggg" localSheetId="10" hidden="1">{"budget992000_customers",#N/A,FALSE,"Celtel alternative 6"}</definedName>
    <definedName name="ggggg" hidden="1">{"budget992000_customers",#N/A,FALSE,"Celtel alternative 6"}</definedName>
    <definedName name="ggggggg" localSheetId="10" hidden="1">{#N/A,#N/A,FALSE,"Sheet1";#N/A,#N/A,FALSE,"Sheet2"}</definedName>
    <definedName name="ggggggg" hidden="1">{#N/A,#N/A,FALSE,"Sheet1";#N/A,#N/A,FALSE,"Sheet2"}</definedName>
    <definedName name="gggggggggggggggggggggg">#REF!</definedName>
    <definedName name="gggggggggggggggggggggggggggg">#REF!</definedName>
    <definedName name="gggr" localSheetId="10" hidden="1">{"rp_only",#N/A,FALSE,"2225"}</definedName>
    <definedName name="gggr" hidden="1">{"rp_only",#N/A,FALSE,"2225"}</definedName>
    <definedName name="gggr_1" localSheetId="10" hidden="1">{"rp_only",#N/A,FALSE,"2225"}</definedName>
    <definedName name="gggr_1" hidden="1">{"rp_only",#N/A,FALSE,"2225"}</definedName>
    <definedName name="ggsdd" localSheetId="10" hidden="1">{"rp_only",#N/A,FALSE,"2225"}</definedName>
    <definedName name="ggsdd" hidden="1">{"rp_only",#N/A,FALSE,"2225"}</definedName>
    <definedName name="ggsdd_1" localSheetId="10" hidden="1">{"rp_only",#N/A,FALSE,"2225"}</definedName>
    <definedName name="ggsdd_1" hidden="1">{"rp_only",#N/A,FALSE,"2225"}</definedName>
    <definedName name="ggsgvg" localSheetId="10" hidden="1">{"rp_only",#N/A,FALSE,"2225"}</definedName>
    <definedName name="ggsgvg" hidden="1">{"rp_only",#N/A,FALSE,"2225"}</definedName>
    <definedName name="ggsgvg_1" localSheetId="10" hidden="1">{"rp_only",#N/A,FALSE,"2225"}</definedName>
    <definedName name="ggsgvg_1" hidden="1">{"rp_only",#N/A,FALSE,"2225"}</definedName>
    <definedName name="gh" localSheetId="10" hidden="1">{"CSC_1",#N/A,FALSE,"CSC Outputs";"CSC_2",#N/A,FALSE,"CSC Outputs"}</definedName>
    <definedName name="gh" hidden="1">{"CSC_1",#N/A,FALSE,"CSC Outputs";"CSC_2",#N/A,FALSE,"CSC Outputs"}</definedName>
    <definedName name="ghcbhcvb" localSheetId="10" hidden="1">{"rp_only",#N/A,FALSE,"2225"}</definedName>
    <definedName name="ghcbhcvb" hidden="1">{"rp_only",#N/A,FALSE,"2225"}</definedName>
    <definedName name="ghcbhcvb_1" localSheetId="10" hidden="1">{"rp_only",#N/A,FALSE,"2225"}</definedName>
    <definedName name="ghcbhcvb_1" hidden="1">{"rp_only",#N/A,FALSE,"2225"}</definedName>
    <definedName name="ghdfgdfg" localSheetId="10" hidden="1">{"with_oth_curr",#N/A,FALSE,"2225"}</definedName>
    <definedName name="ghdfgdfg" hidden="1">{"with_oth_curr",#N/A,FALSE,"2225"}</definedName>
    <definedName name="ghdfgdfg_1" localSheetId="10" hidden="1">{"with_oth_curr",#N/A,FALSE,"2225"}</definedName>
    <definedName name="ghdfgdfg_1" hidden="1">{"with_oth_curr",#N/A,FALSE,"2225"}</definedName>
    <definedName name="ghdfhdfgh" localSheetId="10" hidden="1">{"with_oth_curr",#N/A,FALSE,"2225"}</definedName>
    <definedName name="ghdfhdfgh" hidden="1">{"with_oth_curr",#N/A,FALSE,"2225"}</definedName>
    <definedName name="ghdfhdfgh_1" localSheetId="10" hidden="1">{"with_oth_curr",#N/A,FALSE,"2225"}</definedName>
    <definedName name="ghdfhdfgh_1" hidden="1">{"with_oth_curr",#N/A,FALSE,"2225"}</definedName>
    <definedName name="ghdshghgghhghgd" localSheetId="10" hidden="1">{"rp_only",#N/A,FALSE,"2225"}</definedName>
    <definedName name="ghdshghgghhghgd" hidden="1">{"rp_only",#N/A,FALSE,"2225"}</definedName>
    <definedName name="ghdshghgghhghgd_1" localSheetId="10" hidden="1">{"rp_only",#N/A,FALSE,"2225"}</definedName>
    <definedName name="ghdshghgghhghgd_1" hidden="1">{"rp_only",#N/A,FALSE,"2225"}</definedName>
    <definedName name="ghfgh" localSheetId="10" hidden="1">{"rp_only",#N/A,FALSE,"2225"}</definedName>
    <definedName name="ghfgh" hidden="1">{"rp_only",#N/A,FALSE,"2225"}</definedName>
    <definedName name="ghfgh_1" localSheetId="10" hidden="1">{"rp_only",#N/A,FALSE,"2225"}</definedName>
    <definedName name="ghfgh_1" hidden="1">{"rp_only",#N/A,FALSE,"2225"}</definedName>
    <definedName name="ghfghdfg" localSheetId="10" hidden="1">{"rp_only",#N/A,FALSE,"2225"}</definedName>
    <definedName name="ghfghdfg" hidden="1">{"rp_only",#N/A,FALSE,"2225"}</definedName>
    <definedName name="ghfghdfg_1" localSheetId="10" hidden="1">{"rp_only",#N/A,FALSE,"2225"}</definedName>
    <definedName name="ghfghdfg_1" hidden="1">{"rp_only",#N/A,FALSE,"2225"}</definedName>
    <definedName name="ghfghfh" localSheetId="10" hidden="1">{"with_oth_curr",#N/A,FALSE,"2225"}</definedName>
    <definedName name="ghfghfh" hidden="1">{"with_oth_curr",#N/A,FALSE,"2225"}</definedName>
    <definedName name="ghfghfh_1" localSheetId="10" hidden="1">{"with_oth_curr",#N/A,FALSE,"2225"}</definedName>
    <definedName name="ghfghfh_1" hidden="1">{"with_oth_curr",#N/A,FALSE,"2225"}</definedName>
    <definedName name="ghfghfhg" localSheetId="10" hidden="1">{"rp_only",#N/A,FALSE,"2225"}</definedName>
    <definedName name="ghfghfhg" hidden="1">{"rp_only",#N/A,FALSE,"2225"}</definedName>
    <definedName name="ghfghfhg_1" localSheetId="10" hidden="1">{"rp_only",#N/A,FALSE,"2225"}</definedName>
    <definedName name="ghfghfhg_1" hidden="1">{"rp_only",#N/A,FALSE,"2225"}</definedName>
    <definedName name="ghfghfhgh" localSheetId="10" hidden="1">{"rp_only",#N/A,FALSE,"2225"}</definedName>
    <definedName name="ghfghfhgh" hidden="1">{"rp_only",#N/A,FALSE,"2225"}</definedName>
    <definedName name="ghfghfhgh_1" localSheetId="10" hidden="1">{"rp_only",#N/A,FALSE,"2225"}</definedName>
    <definedName name="ghfghfhgh_1" hidden="1">{"rp_only",#N/A,FALSE,"2225"}</definedName>
    <definedName name="ghfghg" localSheetId="10" hidden="1">{"rp_only",#N/A,FALSE,"2225"}</definedName>
    <definedName name="ghfghg" hidden="1">{"rp_only",#N/A,FALSE,"2225"}</definedName>
    <definedName name="ghfghg_1" localSheetId="10" hidden="1">{"rp_only",#N/A,FALSE,"2225"}</definedName>
    <definedName name="ghfghg_1" hidden="1">{"rp_only",#N/A,FALSE,"2225"}</definedName>
    <definedName name="ghfghgfh" localSheetId="10" hidden="1">{"rp_only",#N/A,FALSE,"2225"}</definedName>
    <definedName name="ghfghgfh" hidden="1">{"rp_only",#N/A,FALSE,"2225"}</definedName>
    <definedName name="ghfghgfh_1" localSheetId="10" hidden="1">{"rp_only",#N/A,FALSE,"2225"}</definedName>
    <definedName name="ghfghgfh_1" hidden="1">{"rp_only",#N/A,FALSE,"2225"}</definedName>
    <definedName name="ghfghgfhfh" localSheetId="10" hidden="1">{"rp_only",#N/A,FALSE,"2225"}</definedName>
    <definedName name="ghfghgfhfh" hidden="1">{"rp_only",#N/A,FALSE,"2225"}</definedName>
    <definedName name="ghfghgfhfh_1" localSheetId="10" hidden="1">{"rp_only",#N/A,FALSE,"2225"}</definedName>
    <definedName name="ghfghgfhfh_1" hidden="1">{"rp_only",#N/A,FALSE,"2225"}</definedName>
    <definedName name="ghfhfghf" localSheetId="10" hidden="1">{"rp_only",#N/A,FALSE,"2225"}</definedName>
    <definedName name="ghfhfghf" hidden="1">{"rp_only",#N/A,FALSE,"2225"}</definedName>
    <definedName name="ghfhfghf_1" localSheetId="10" hidden="1">{"rp_only",#N/A,FALSE,"2225"}</definedName>
    <definedName name="ghfhfghf_1" hidden="1">{"rp_only",#N/A,FALSE,"2225"}</definedName>
    <definedName name="ghfhfhgf" localSheetId="10" hidden="1">{"rp_only",#N/A,FALSE,"2225"}</definedName>
    <definedName name="ghfhfhgf" hidden="1">{"rp_only",#N/A,FALSE,"2225"}</definedName>
    <definedName name="ghfhfhgf_1" localSheetId="10" hidden="1">{"rp_only",#N/A,FALSE,"2225"}</definedName>
    <definedName name="ghfhfhgf_1" hidden="1">{"rp_only",#N/A,FALSE,"2225"}</definedName>
    <definedName name="ghfhgfhj" localSheetId="10" hidden="1">{"rp_only",#N/A,FALSE,"2225"}</definedName>
    <definedName name="ghfhgfhj" hidden="1">{"rp_only",#N/A,FALSE,"2225"}</definedName>
    <definedName name="ghfhgfhj_1" localSheetId="10" hidden="1">{"rp_only",#N/A,FALSE,"2225"}</definedName>
    <definedName name="ghfhgfhj_1" hidden="1">{"rp_only",#N/A,FALSE,"2225"}</definedName>
    <definedName name="ghfhgjg" localSheetId="10" hidden="1">{"rp_only",#N/A,FALSE,"2225"}</definedName>
    <definedName name="ghfhgjg" hidden="1">{"rp_only",#N/A,FALSE,"2225"}</definedName>
    <definedName name="ghfhgjg_1" localSheetId="10" hidden="1">{"rp_only",#N/A,FALSE,"2225"}</definedName>
    <definedName name="ghfhgjg_1" hidden="1">{"rp_only",#N/A,FALSE,"2225"}</definedName>
    <definedName name="ghg">#REF!</definedName>
    <definedName name="ghgfgfhgf" localSheetId="10" hidden="1">{"with_oth_curr",#N/A,FALSE,"2225"}</definedName>
    <definedName name="ghgfgfhgf" hidden="1">{"with_oth_curr",#N/A,FALSE,"2225"}</definedName>
    <definedName name="ghgfgfhgf_1" localSheetId="10" hidden="1">{"with_oth_curr",#N/A,FALSE,"2225"}</definedName>
    <definedName name="ghgfgfhgf_1" hidden="1">{"with_oth_curr",#N/A,FALSE,"2225"}</definedName>
    <definedName name="ghggg" localSheetId="10"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10" hidden="1">{"rp_only",#N/A,FALSE,"2225"}</definedName>
    <definedName name="ghghghjgh" hidden="1">{"rp_only",#N/A,FALSE,"2225"}</definedName>
    <definedName name="ghghghjgh_1" localSheetId="10" hidden="1">{"rp_only",#N/A,FALSE,"2225"}</definedName>
    <definedName name="ghghghjgh_1" hidden="1">{"rp_only",#N/A,FALSE,"2225"}</definedName>
    <definedName name="ghghjg" localSheetId="10" hidden="1">{"rp_only",#N/A,FALSE,"2225"}</definedName>
    <definedName name="ghghjg" hidden="1">{"rp_only",#N/A,FALSE,"2225"}</definedName>
    <definedName name="ghghjg_1" localSheetId="10" hidden="1">{"rp_only",#N/A,FALSE,"2225"}</definedName>
    <definedName name="ghghjg_1" hidden="1">{"rp_only",#N/A,FALSE,"2225"}</definedName>
    <definedName name="ghghjgjghjghj" localSheetId="10" hidden="1">{"rp_only",#N/A,FALSE,"2225"}</definedName>
    <definedName name="ghghjgjghjghj" hidden="1">{"rp_only",#N/A,FALSE,"2225"}</definedName>
    <definedName name="ghghjgjghjghj_1" localSheetId="10" hidden="1">{"rp_only",#N/A,FALSE,"2225"}</definedName>
    <definedName name="ghghjgjghjghj_1" hidden="1">{"rp_only",#N/A,FALSE,"2225"}</definedName>
    <definedName name="ghhjkj" localSheetId="10" hidden="1">{"rp_only",#N/A,FALSE,"2225"}</definedName>
    <definedName name="ghhjkj" hidden="1">{"rp_only",#N/A,FALSE,"2225"}</definedName>
    <definedName name="ghhjkj_1" localSheetId="10" hidden="1">{"rp_only",#N/A,FALSE,"2225"}</definedName>
    <definedName name="ghhjkj_1" hidden="1">{"rp_only",#N/A,FALSE,"2225"}</definedName>
    <definedName name="GHJ">#REF!</definedName>
    <definedName name="ghjfg" localSheetId="10" hidden="1">{"rp_only",#N/A,FALSE,"2225"}</definedName>
    <definedName name="ghjfg" hidden="1">{"rp_only",#N/A,FALSE,"2225"}</definedName>
    <definedName name="ghjfg_1" localSheetId="10" hidden="1">{"rp_only",#N/A,FALSE,"2225"}</definedName>
    <definedName name="ghjfg_1" hidden="1">{"rp_only",#N/A,FALSE,"2225"}</definedName>
    <definedName name="ghjfj" localSheetId="10" hidden="1">{"rp_only",#N/A,FALSE,"2225"}</definedName>
    <definedName name="ghjfj" hidden="1">{"rp_only",#N/A,FALSE,"2225"}</definedName>
    <definedName name="ghjfj_1" localSheetId="10" hidden="1">{"rp_only",#N/A,FALSE,"2225"}</definedName>
    <definedName name="ghjfj_1" hidden="1">{"rp_only",#N/A,FALSE,"2225"}</definedName>
    <definedName name="ghjg">#REF!</definedName>
    <definedName name="ghjgfjfjhgf" localSheetId="10" hidden="1">{"rp_only",#N/A,FALSE,"2225"}</definedName>
    <definedName name="ghjgfjfjhgf" hidden="1">{"rp_only",#N/A,FALSE,"2225"}</definedName>
    <definedName name="ghjgfjfjhgf_1" localSheetId="10" hidden="1">{"rp_only",#N/A,FALSE,"2225"}</definedName>
    <definedName name="ghjgfjfjhgf_1" hidden="1">{"rp_only",#N/A,FALSE,"2225"}</definedName>
    <definedName name="ghjghgjjgj" localSheetId="10" hidden="1">{"rp_only",#N/A,FALSE,"2225"}</definedName>
    <definedName name="ghjghgjjgj" hidden="1">{"rp_only",#N/A,FALSE,"2225"}</definedName>
    <definedName name="ghjghgjjgj_1" localSheetId="10" hidden="1">{"rp_only",#N/A,FALSE,"2225"}</definedName>
    <definedName name="ghjghgjjgj_1" hidden="1">{"rp_only",#N/A,FALSE,"2225"}</definedName>
    <definedName name="ghjghj" localSheetId="10" hidden="1">{"rp_only",#N/A,FALSE,"2225"}</definedName>
    <definedName name="ghjghj" hidden="1">{"rp_only",#N/A,FALSE,"2225"}</definedName>
    <definedName name="ghjghj_1" localSheetId="10" hidden="1">{"rp_only",#N/A,FALSE,"2225"}</definedName>
    <definedName name="ghjghj_1" hidden="1">{"rp_only",#N/A,FALSE,"2225"}</definedName>
    <definedName name="ghjghjg" localSheetId="10" hidden="1">{"rp_only",#N/A,FALSE,"2225"}</definedName>
    <definedName name="ghjghjg" hidden="1">{"rp_only",#N/A,FALSE,"2225"}</definedName>
    <definedName name="ghjghjg_1" localSheetId="10" hidden="1">{"rp_only",#N/A,FALSE,"2225"}</definedName>
    <definedName name="ghjghjg_1" hidden="1">{"rp_only",#N/A,FALSE,"2225"}</definedName>
    <definedName name="ghjghjgfjf" localSheetId="10" hidden="1">{"with_oth_curr",#N/A,FALSE,"2225"}</definedName>
    <definedName name="ghjghjgfjf" hidden="1">{"with_oth_curr",#N/A,FALSE,"2225"}</definedName>
    <definedName name="ghjghjgfjf_1" localSheetId="10" hidden="1">{"with_oth_curr",#N/A,FALSE,"2225"}</definedName>
    <definedName name="ghjghjgfjf_1" hidden="1">{"with_oth_curr",#N/A,FALSE,"2225"}</definedName>
    <definedName name="ghjghjghj" localSheetId="10" hidden="1">{"rp_only",#N/A,FALSE,"2225"}</definedName>
    <definedName name="ghjghjghj" hidden="1">{"rp_only",#N/A,FALSE,"2225"}</definedName>
    <definedName name="ghjghjghj_1" localSheetId="10" hidden="1">{"rp_only",#N/A,FALSE,"2225"}</definedName>
    <definedName name="ghjghjghj_1" hidden="1">{"rp_only",#N/A,FALSE,"2225"}</definedName>
    <definedName name="ghjghjgj" localSheetId="10" hidden="1">{"rp_only",#N/A,FALSE,"2225"}</definedName>
    <definedName name="ghjghjgj" hidden="1">{"rp_only",#N/A,FALSE,"2225"}</definedName>
    <definedName name="ghjghjgj_1" localSheetId="10" hidden="1">{"rp_only",#N/A,FALSE,"2225"}</definedName>
    <definedName name="ghjghjgj_1" hidden="1">{"rp_only",#N/A,FALSE,"2225"}</definedName>
    <definedName name="ghjghjgjg" localSheetId="10" hidden="1">{"with_oth_curr",#N/A,FALSE,"2225"}</definedName>
    <definedName name="ghjghjgjg" hidden="1">{"with_oth_curr",#N/A,FALSE,"2225"}</definedName>
    <definedName name="ghjghjgjg_1" localSheetId="10" hidden="1">{"with_oth_curr",#N/A,FALSE,"2225"}</definedName>
    <definedName name="ghjghjgjg_1" hidden="1">{"with_oth_curr",#N/A,FALSE,"2225"}</definedName>
    <definedName name="ghjghjhj" localSheetId="10" hidden="1">{"rp_only",#N/A,FALSE,"2225"}</definedName>
    <definedName name="ghjghjhj" hidden="1">{"rp_only",#N/A,FALSE,"2225"}</definedName>
    <definedName name="ghjghjhj_1" localSheetId="10" hidden="1">{"rp_only",#N/A,FALSE,"2225"}</definedName>
    <definedName name="ghjghjhj_1" hidden="1">{"rp_only",#N/A,FALSE,"2225"}</definedName>
    <definedName name="ghjghjnjbmbnm" localSheetId="10" hidden="1">{"rp_only",#N/A,FALSE,"2225"}</definedName>
    <definedName name="ghjghjnjbmbnm" hidden="1">{"rp_only",#N/A,FALSE,"2225"}</definedName>
    <definedName name="ghjghjnjbmbnm_1" localSheetId="10" hidden="1">{"rp_only",#N/A,FALSE,"2225"}</definedName>
    <definedName name="ghjghjnjbmbnm_1" hidden="1">{"rp_only",#N/A,FALSE,"2225"}</definedName>
    <definedName name="GHJGJGFK">#REF!</definedName>
    <definedName name="ghjgjgh" localSheetId="10" hidden="1">{"rp_only",#N/A,FALSE,"2225"}</definedName>
    <definedName name="ghjgjgh" hidden="1">{"rp_only",#N/A,FALSE,"2225"}</definedName>
    <definedName name="ghjgjgh_1" localSheetId="10" hidden="1">{"rp_only",#N/A,FALSE,"2225"}</definedName>
    <definedName name="ghjgjgh_1" hidden="1">{"rp_only",#N/A,FALSE,"2225"}</definedName>
    <definedName name="ghjgjghj" localSheetId="10" hidden="1">{"rp_only",#N/A,FALSE,"2225"}</definedName>
    <definedName name="ghjgjghj" hidden="1">{"rp_only",#N/A,FALSE,"2225"}</definedName>
    <definedName name="ghjgjghj_1" localSheetId="10" hidden="1">{"rp_only",#N/A,FALSE,"2225"}</definedName>
    <definedName name="ghjgjghj_1" hidden="1">{"rp_only",#N/A,FALSE,"2225"}</definedName>
    <definedName name="ghjgjgj" localSheetId="10" hidden="1">{"rp_only",#N/A,FALSE,"2225"}</definedName>
    <definedName name="ghjgjgj" hidden="1">{"rp_only",#N/A,FALSE,"2225"}</definedName>
    <definedName name="ghjgjgj_1" localSheetId="10" hidden="1">{"rp_only",#N/A,FALSE,"2225"}</definedName>
    <definedName name="ghjgjgj_1" hidden="1">{"rp_only",#N/A,FALSE,"2225"}</definedName>
    <definedName name="ghjgjgjg" localSheetId="10" hidden="1">{"rp_only",#N/A,FALSE,"2225"}</definedName>
    <definedName name="ghjgjgjg" hidden="1">{"rp_only",#N/A,FALSE,"2225"}</definedName>
    <definedName name="ghjgjgjg_1" localSheetId="10" hidden="1">{"rp_only",#N/A,FALSE,"2225"}</definedName>
    <definedName name="ghjgjgjg_1" hidden="1">{"rp_only",#N/A,FALSE,"2225"}</definedName>
    <definedName name="ghjgjhgj" localSheetId="10" hidden="1">{"rp_only",#N/A,FALSE,"2225"}</definedName>
    <definedName name="ghjgjhgj" hidden="1">{"rp_only",#N/A,FALSE,"2225"}</definedName>
    <definedName name="ghjgjhgj_1" localSheetId="10" hidden="1">{"rp_only",#N/A,FALSE,"2225"}</definedName>
    <definedName name="ghjgjhgj_1" hidden="1">{"rp_only",#N/A,FALSE,"2225"}</definedName>
    <definedName name="ghjjghjghj" localSheetId="10" hidden="1">{"rp_only",#N/A,FALSE,"2225"}</definedName>
    <definedName name="ghjjghjghj" hidden="1">{"rp_only",#N/A,FALSE,"2225"}</definedName>
    <definedName name="ghjjghjghj_1" localSheetId="10" hidden="1">{"rp_only",#N/A,FALSE,"2225"}</definedName>
    <definedName name="ghjjghjghj_1" hidden="1">{"rp_only",#N/A,FALSE,"2225"}</definedName>
    <definedName name="ghjk" localSheetId="10" hidden="1">{#N/A,#N/A,FALSE,"Aging Summary";#N/A,#N/A,FALSE,"Ratio Analysis";#N/A,#N/A,FALSE,"Test 120 Day Accts";#N/A,#N/A,FALSE,"Tickmarks"}</definedName>
    <definedName name="ghjk" hidden="1">{#N/A,#N/A,FALSE,"Aging Summary";#N/A,#N/A,FALSE,"Ratio Analysis";#N/A,#N/A,FALSE,"Test 120 Day Accts";#N/A,#N/A,FALSE,"Tickmarks"}</definedName>
    <definedName name="ghjkghk" localSheetId="10" hidden="1">{"rp_only",#N/A,FALSE,"2225"}</definedName>
    <definedName name="ghjkghk" hidden="1">{"rp_only",#N/A,FALSE,"2225"}</definedName>
    <definedName name="ghjkghk_1" localSheetId="10" hidden="1">{"rp_only",#N/A,FALSE,"2225"}</definedName>
    <definedName name="ghjkghk_1" hidden="1">{"rp_only",#N/A,FALSE,"2225"}</definedName>
    <definedName name="ghjkkjk" localSheetId="10" hidden="1">{"rp_only",#N/A,FALSE,"2225"}</definedName>
    <definedName name="ghjkkjk" hidden="1">{"rp_only",#N/A,FALSE,"2225"}</definedName>
    <definedName name="ghjkkjk_1" localSheetId="10" hidden="1">{"rp_only",#N/A,FALSE,"2225"}</definedName>
    <definedName name="ghjkkjk_1" hidden="1">{"rp_only",#N/A,FALSE,"2225"}</definedName>
    <definedName name="ghjkl" localSheetId="10"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10" hidden="1">{"rp_only",#N/A,FALSE,"2225"}</definedName>
    <definedName name="ghkghjk" hidden="1">{"rp_only",#N/A,FALSE,"2225"}</definedName>
    <definedName name="ghkghjk_1" localSheetId="10" hidden="1">{"rp_only",#N/A,FALSE,"2225"}</definedName>
    <definedName name="ghkghjk_1" hidden="1">{"rp_only",#N/A,FALSE,"2225"}</definedName>
    <definedName name="ghkhgkh" localSheetId="10" hidden="1">{"rp_only",#N/A,FALSE,"2225"}</definedName>
    <definedName name="ghkhgkh" hidden="1">{"rp_only",#N/A,FALSE,"2225"}</definedName>
    <definedName name="ghkhgkh_1" localSheetId="10" hidden="1">{"rp_only",#N/A,FALSE,"2225"}</definedName>
    <definedName name="ghkhgkh_1" hidden="1">{"rp_only",#N/A,FALSE,"2225"}</definedName>
    <definedName name="ghststhhtw" localSheetId="10" hidden="1">{"rp_only",#N/A,FALSE,"2225"}</definedName>
    <definedName name="ghststhhtw" hidden="1">{"rp_only",#N/A,FALSE,"2225"}</definedName>
    <definedName name="ghststhhtw_1" localSheetId="10" hidden="1">{"rp_only",#N/A,FALSE,"2225"}</definedName>
    <definedName name="ghststhhtw_1" hidden="1">{"rp_only",#N/A,FALSE,"2225"}</definedName>
    <definedName name="ghtrgste" localSheetId="10" hidden="1">{"rp_only",#N/A,FALSE,"2225"}</definedName>
    <definedName name="ghtrgste" hidden="1">{"rp_only",#N/A,FALSE,"2225"}</definedName>
    <definedName name="ghtrgste_1" localSheetId="10" hidden="1">{"rp_only",#N/A,FALSE,"2225"}</definedName>
    <definedName name="ghtrgste_1" hidden="1">{"rp_only",#N/A,FALSE,"2225"}</definedName>
    <definedName name="ghvmnmbmn" localSheetId="10" hidden="1">{"rp_only",#N/A,FALSE,"2225"}</definedName>
    <definedName name="ghvmnmbmn" hidden="1">{"rp_only",#N/A,FALSE,"2225"}</definedName>
    <definedName name="ghvmnmbmn_1" localSheetId="10"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10" hidden="1">{#N/A,#N/A,FALSE,"特殊室（ＢＱ表）"}</definedName>
    <definedName name="gjfgvfh" hidden="1">{#N/A,#N/A,FALSE,"特殊室（ＢＱ表）"}</definedName>
    <definedName name="gjfhfhfh" localSheetId="10" hidden="1">{"rp_only",#N/A,FALSE,"2225"}</definedName>
    <definedName name="gjfhfhfh" hidden="1">{"rp_only",#N/A,FALSE,"2225"}</definedName>
    <definedName name="gjfhfhfh_1" localSheetId="10" hidden="1">{"rp_only",#N/A,FALSE,"2225"}</definedName>
    <definedName name="gjfhfhfh_1" hidden="1">{"rp_only",#N/A,FALSE,"2225"}</definedName>
    <definedName name="gjfhgfjfgf" localSheetId="10" hidden="1">{"with_oth_curr",#N/A,FALSE,"2225"}</definedName>
    <definedName name="gjfhgfjfgf" hidden="1">{"with_oth_curr",#N/A,FALSE,"2225"}</definedName>
    <definedName name="gjfhgfjfgf_1" localSheetId="10" hidden="1">{"with_oth_curr",#N/A,FALSE,"2225"}</definedName>
    <definedName name="gjfhgfjfgf_1" hidden="1">{"with_oth_curr",#N/A,FALSE,"2225"}</definedName>
    <definedName name="gjghj" localSheetId="10" hidden="1">{"rp_only",#N/A,FALSE,"2225"}</definedName>
    <definedName name="gjghj" hidden="1">{"rp_only",#N/A,FALSE,"2225"}</definedName>
    <definedName name="gjghj_1" localSheetId="10" hidden="1">{"rp_only",#N/A,FALSE,"2225"}</definedName>
    <definedName name="gjghj_1" hidden="1">{"rp_only",#N/A,FALSE,"2225"}</definedName>
    <definedName name="gjghjgh" localSheetId="10" hidden="1">{"with_oth_curr",#N/A,FALSE,"2225"}</definedName>
    <definedName name="gjghjgh" hidden="1">{"with_oth_curr",#N/A,FALSE,"2225"}</definedName>
    <definedName name="gjghjgh_1" localSheetId="10" hidden="1">{"with_oth_curr",#N/A,FALSE,"2225"}</definedName>
    <definedName name="gjghjgh_1" hidden="1">{"with_oth_curr",#N/A,FALSE,"2225"}</definedName>
    <definedName name="gjgjghj" localSheetId="10" hidden="1">{"rp_only",#N/A,FALSE,"2225"}</definedName>
    <definedName name="gjgjghj" hidden="1">{"rp_only",#N/A,FALSE,"2225"}</definedName>
    <definedName name="gjgjghj_1" localSheetId="10" hidden="1">{"rp_only",#N/A,FALSE,"2225"}</definedName>
    <definedName name="gjgjghj_1" hidden="1">{"rp_only",#N/A,FALSE,"2225"}</definedName>
    <definedName name="gjhghf" localSheetId="10" hidden="1">{"rp_only",#N/A,FALSE,"2225"}</definedName>
    <definedName name="gjhghf" hidden="1">{"rp_only",#N/A,FALSE,"2225"}</definedName>
    <definedName name="gjhghf_1" localSheetId="10" hidden="1">{"rp_only",#N/A,FALSE,"2225"}</definedName>
    <definedName name="gjhghf_1" hidden="1">{"rp_only",#N/A,FALSE,"2225"}</definedName>
    <definedName name="gjkhjkhjk" localSheetId="10" hidden="1">{"with_oth_curr",#N/A,FALSE,"2225"}</definedName>
    <definedName name="gjkhjkhjk" hidden="1">{"with_oth_curr",#N/A,FALSE,"2225"}</definedName>
    <definedName name="gjkhjkhjk_1" localSheetId="10" hidden="1">{"with_oth_curr",#N/A,FALSE,"2225"}</definedName>
    <definedName name="gjkhjkhjk_1" hidden="1">{"with_oth_curr",#N/A,FALSE,"2225"}</definedName>
    <definedName name="gjkhk" localSheetId="10" hidden="1">{"rp_only",#N/A,FALSE,"2225"}</definedName>
    <definedName name="gjkhk" hidden="1">{"rp_only",#N/A,FALSE,"2225"}</definedName>
    <definedName name="gjkhk_1" localSheetId="10" hidden="1">{"rp_only",#N/A,FALSE,"2225"}</definedName>
    <definedName name="gjkhk_1" hidden="1">{"rp_only",#N/A,FALSE,"2225"}</definedName>
    <definedName name="gkgkgkju">#REF!</definedName>
    <definedName name="gkj.">#REF!</definedName>
    <definedName name="gkjgh" localSheetId="10" hidden="1">{"with_oth_curr",#N/A,FALSE,"2225"}</definedName>
    <definedName name="gkjgh" hidden="1">{"with_oth_curr",#N/A,FALSE,"2225"}</definedName>
    <definedName name="gkjgh_1" localSheetId="10"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10"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localSheetId="10" hidden="1">{#N/A,#N/A,TRUE,"Cover sheet";#N/A,#N/A,TRUE,"INPUTS";#N/A,#N/A,TRUE,"OUTPUTS";#N/A,#N/A,TRUE,"VALUATION"}</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localSheetId="10"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localSheetId="10" hidden="1">{#N/A,#N/A,FALSE,"Cost Report";"Geology",#N/A,FALSE,"Cost Summary";"Geolgy Recon",#N/A,FALSE,"UG Geology Rep."}</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localSheetId="10" hidden="1">{"rp_only",#N/A,FALSE,"2225"}</definedName>
    <definedName name="grfdsx" hidden="1">{"rp_only",#N/A,FALSE,"2225"}</definedName>
    <definedName name="grfdsx_1" localSheetId="10" hidden="1">{"rp_only",#N/A,FALSE,"2225"}</definedName>
    <definedName name="grfdsx_1" hidden="1">{"rp_only",#N/A,FALSE,"2225"}</definedName>
    <definedName name="grg" localSheetId="10"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10"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localSheetId="10" hidden="1">{"rp_only",#N/A,FALSE,"2225"}</definedName>
    <definedName name="gryr" hidden="1">{"rp_only",#N/A,FALSE,"2225"}</definedName>
    <definedName name="gryr_1" localSheetId="10"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10" hidden="1">{"rp_only",#N/A,FALSE,"2225"}</definedName>
    <definedName name="GSADFGDFG" hidden="1">{"rp_only",#N/A,FALSE,"2225"}</definedName>
    <definedName name="GSADFGDFG_1" localSheetId="10" hidden="1">{"rp_only",#N/A,FALSE,"2225"}</definedName>
    <definedName name="GSADFGDFG_1" hidden="1">{"rp_only",#N/A,FALSE,"2225"}</definedName>
    <definedName name="gsadfgszgfsdfg" localSheetId="10" hidden="1">{"with_oth_curr",#N/A,FALSE,"2225"}</definedName>
    <definedName name="gsadfgszgfsdfg" hidden="1">{"with_oth_curr",#N/A,FALSE,"2225"}</definedName>
    <definedName name="gsadfgszgfsdfg_1" localSheetId="10" hidden="1">{"with_oth_curr",#N/A,FALSE,"2225"}</definedName>
    <definedName name="gsadfgszgfsdfg_1" hidden="1">{"with_oth_curr",#N/A,FALSE,"2225"}</definedName>
    <definedName name="gsdgs" localSheetId="10" hidden="1">{"with_oth_curr",#N/A,FALSE,"2225"}</definedName>
    <definedName name="gsdgs" hidden="1">{"with_oth_curr",#N/A,FALSE,"2225"}</definedName>
    <definedName name="gsdgs_1" localSheetId="10" hidden="1">{"with_oth_curr",#N/A,FALSE,"2225"}</definedName>
    <definedName name="gsdgs_1" hidden="1">{"with_oth_curr",#N/A,FALSE,"2225"}</definedName>
    <definedName name="gsdhs">#REF!</definedName>
    <definedName name="gsekring">#REF!</definedName>
    <definedName name="gsffzgfgrg" localSheetId="10" hidden="1">{"with_oth_curr",#N/A,FALSE,"2225"}</definedName>
    <definedName name="gsffzgfgrg" hidden="1">{"with_oth_curr",#N/A,FALSE,"2225"}</definedName>
    <definedName name="gsffzgfgrg_1" localSheetId="10" hidden="1">{"with_oth_curr",#N/A,FALSE,"2225"}</definedName>
    <definedName name="gsffzgfgrg_1" hidden="1">{"with_oth_curr",#N/A,FALSE,"2225"}</definedName>
    <definedName name="gsgdsf" localSheetId="10" hidden="1">{"rp_only",#N/A,FALSE,"2225"}</definedName>
    <definedName name="gsgdsf" hidden="1">{"rp_only",#N/A,FALSE,"2225"}</definedName>
    <definedName name="gsgdsf_1" localSheetId="10" hidden="1">{"rp_only",#N/A,FALSE,"2225"}</definedName>
    <definedName name="gsgdsf_1" hidden="1">{"rp_only",#N/A,FALSE,"2225"}</definedName>
    <definedName name="gsgsdg" localSheetId="10" hidden="1">{"rp_only",#N/A,FALSE,"2225"}</definedName>
    <definedName name="gsgsdg" hidden="1">{"rp_only",#N/A,FALSE,"2225"}</definedName>
    <definedName name="gsgsdg_1" localSheetId="10" hidden="1">{"rp_only",#N/A,FALSE,"2225"}</definedName>
    <definedName name="gsgsdg_1" hidden="1">{"rp_only",#N/A,FALSE,"2225"}</definedName>
    <definedName name="gshdf">#REF!</definedName>
    <definedName name="gssgs" localSheetId="10" hidden="1">{"with_oth_curr",#N/A,FALSE,"2225"}</definedName>
    <definedName name="gssgs" hidden="1">{"with_oth_curr",#N/A,FALSE,"2225"}</definedName>
    <definedName name="gssgs_1" localSheetId="10" hidden="1">{"with_oth_curr",#N/A,FALSE,"2225"}</definedName>
    <definedName name="gssgs_1" hidden="1">{"with_oth_curr",#N/A,FALSE,"2225"}</definedName>
    <definedName name="gt" localSheetId="10" hidden="1">{#N/A,#N/A,FALSE,"Aging Summary";#N/A,#N/A,FALSE,"Ratio Analysis";#N/A,#N/A,FALSE,"Test 120 Day Accts";#N/A,#N/A,FALSE,"Tickmarks"}</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localSheetId="10" hidden="1">{"rp_only",#N/A,FALSE,"2225"}</definedName>
    <definedName name="gtehgshdjm" hidden="1">{"rp_only",#N/A,FALSE,"2225"}</definedName>
    <definedName name="gtehgshdjm_1" localSheetId="10" hidden="1">{"rp_only",#N/A,FALSE,"2225"}</definedName>
    <definedName name="gtehgshdjm_1" hidden="1">{"rp_only",#N/A,FALSE,"2225"}</definedName>
    <definedName name="gtfdcx" localSheetId="10" hidden="1">{"rp_only",#N/A,FALSE,"2225"}</definedName>
    <definedName name="gtfdcx" hidden="1">{"rp_only",#N/A,FALSE,"2225"}</definedName>
    <definedName name="gtfdcx_1" localSheetId="10"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localSheetId="10" hidden="1">{"rp_only",#N/A,FALSE,"2225"}</definedName>
    <definedName name="gtrdfg" hidden="1">{"rp_only",#N/A,FALSE,"2225"}</definedName>
    <definedName name="gtrdfg_1" localSheetId="10" hidden="1">{"rp_only",#N/A,FALSE,"2225"}</definedName>
    <definedName name="gtrdfg_1" hidden="1">{"rp_only",#N/A,FALSE,"2225"}</definedName>
    <definedName name="GTRI">#REF!</definedName>
    <definedName name="gttfrtgg" localSheetId="10" hidden="1">{"rp_only",#N/A,FALSE,"2225"}</definedName>
    <definedName name="gttfrtgg" hidden="1">{"rp_only",#N/A,FALSE,"2225"}</definedName>
    <definedName name="gttfrtgg_1" localSheetId="10"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localSheetId="10" hidden="1">{"rp_only",#N/A,FALSE,"2225"}</definedName>
    <definedName name="gxbvgbv" hidden="1">{"rp_only",#N/A,FALSE,"2225"}</definedName>
    <definedName name="gxbvgbv_1" localSheetId="10"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10" hidden="1">{"'Sheet1'!$L$16"}</definedName>
    <definedName name="HA" hidden="1">{"'Sheet1'!$L$16"}</definedName>
    <definedName name="hadi" localSheetId="10"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10"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localSheetId="1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1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localSheetId="10"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10" hidden="1">{"Admin Costs",#N/A,FALSE,"Act.Fcst Costs"}</definedName>
    <definedName name="hawkins" hidden="1">{"Admin Costs",#N/A,FALSE,"Act.Fcst Costs"}</definedName>
    <definedName name="hawkins_1" localSheetId="10"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localSheetId="10" hidden="1">{"rp_only",#N/A,FALSE,"2225"}</definedName>
    <definedName name="hdgdf" hidden="1">{"rp_only",#N/A,FALSE,"2225"}</definedName>
    <definedName name="hdgdf_1" localSheetId="10" hidden="1">{"rp_only",#N/A,FALSE,"2225"}</definedName>
    <definedName name="hdgdf_1" hidden="1">{"rp_only",#N/A,FALSE,"2225"}</definedName>
    <definedName name="hdljend">#REF!</definedName>
    <definedName name="hdrehryjhcjn" localSheetId="10" hidden="1">{"rp_only",#N/A,FALSE,"2225"}</definedName>
    <definedName name="hdrehryjhcjn" hidden="1">{"rp_only",#N/A,FALSE,"2225"}</definedName>
    <definedName name="hdrehryjhcjn_1" localSheetId="10"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localSheetId="10" hidden="1">{#N/A,#N/A,FALSE,"Cover";"outputs total",#N/A,FALSE,"Outputs"}</definedName>
    <definedName name="hello" hidden="1">{#N/A,#N/A,FALSE,"Cover";"outputs total",#N/A,FALSE,"Outputs"}</definedName>
    <definedName name="helo">#N/A</definedName>
    <definedName name="hendry" hidden="1">#REF!</definedName>
    <definedName name="HEXAS">#REF!</definedName>
    <definedName name="hf" localSheetId="10" hidden="1">{#N/A,#N/A,FALSE,"Cost Report";"Geology",#N/A,FALSE,"Cost Summary";"Geolgy Recon",#N/A,FALSE,"UG Geology Rep."}</definedName>
    <definedName name="hf" hidden="1">{#N/A,#N/A,FALSE,"Cost Report";"Geology",#N/A,FALSE,"Cost Summary";"Geolgy Recon",#N/A,FALSE,"UG Geology Rep."}</definedName>
    <definedName name="hf_1" localSheetId="10" hidden="1">{#N/A,#N/A,FALSE,"Cost Report";"Geology",#N/A,FALSE,"Cost Summary";"Geolgy Recon",#N/A,FALSE,"UG Geology Rep."}</definedName>
    <definedName name="hf_1" hidden="1">{#N/A,#N/A,FALSE,"Cost Report";"Geology",#N/A,FALSE,"Cost Summary";"Geolgy Recon",#N/A,FALSE,"UG Geology Rep."}</definedName>
    <definedName name="HFA" localSheetId="10" hidden="1">{"Graphic",#N/A,TRUE,"Graphic"}</definedName>
    <definedName name="HFA" hidden="1">{"Graphic",#N/A,TRUE,"Graphic"}</definedName>
    <definedName name="HFA_1" localSheetId="10" hidden="1">{"Graphic",#N/A,TRUE,"Graphic"}</definedName>
    <definedName name="HFA_1" hidden="1">{"Graphic",#N/A,TRUE,"Graphic"}</definedName>
    <definedName name="hfdgfdg" localSheetId="10" hidden="1">{#N/A,#N/A,FALSE,"CCTV"}</definedName>
    <definedName name="hfdgfdg" hidden="1">{#N/A,#N/A,FALSE,"CCTV"}</definedName>
    <definedName name="HFGFKFG" hidden="1">#REF!</definedName>
    <definedName name="hfghf">#REF!</definedName>
    <definedName name="hfghf_5">#REF!</definedName>
    <definedName name="hfghfgh" localSheetId="10" hidden="1">{"with_oth_curr",#N/A,FALSE,"2225"}</definedName>
    <definedName name="hfghfgh" hidden="1">{"with_oth_curr",#N/A,FALSE,"2225"}</definedName>
    <definedName name="hfghfgh_1" localSheetId="10" hidden="1">{"with_oth_curr",#N/A,FALSE,"2225"}</definedName>
    <definedName name="hfghfgh_1" hidden="1">{"with_oth_curr",#N/A,FALSE,"2225"}</definedName>
    <definedName name="hfghfghfh" localSheetId="10" hidden="1">{"rp_only",#N/A,FALSE,"2225"}</definedName>
    <definedName name="hfghfghfh" hidden="1">{"rp_only",#N/A,FALSE,"2225"}</definedName>
    <definedName name="hfghfghfh_1" localSheetId="10" hidden="1">{"rp_only",#N/A,FALSE,"2225"}</definedName>
    <definedName name="hfghfghfh_1" hidden="1">{"rp_only",#N/A,FALSE,"2225"}</definedName>
    <definedName name="hfgk" localSheetId="10" hidden="1">{#N/A,#N/A,FALSE,"特殊室（ＢＱ表）"}</definedName>
    <definedName name="hfgk" hidden="1">{#N/A,#N/A,FALSE,"特殊室（ＢＱ表）"}</definedName>
    <definedName name="hfh" hidden="1">#REF!</definedName>
    <definedName name="hfhf" localSheetId="10" hidden="1">{"rp_only",#N/A,FALSE,"2225"}</definedName>
    <definedName name="hfhf" hidden="1">{"rp_only",#N/A,FALSE,"2225"}</definedName>
    <definedName name="hfhf_1" localSheetId="10" hidden="1">{"rp_only",#N/A,FALSE,"2225"}</definedName>
    <definedName name="hfhf_1" hidden="1">{"rp_only",#N/A,FALSE,"2225"}</definedName>
    <definedName name="hfhfhf" localSheetId="10" hidden="1">{"rp_only",#N/A,FALSE,"2225"}</definedName>
    <definedName name="hfhfhf" hidden="1">{"rp_only",#N/A,FALSE,"2225"}</definedName>
    <definedName name="hfhfhf_1" localSheetId="10" hidden="1">{"rp_only",#N/A,FALSE,"2225"}</definedName>
    <definedName name="hfhfhf_1" hidden="1">{"rp_only",#N/A,FALSE,"2225"}</definedName>
    <definedName name="hfhgfh" localSheetId="10" hidden="1">{"with_oth_curr",#N/A,FALSE,"2225"}</definedName>
    <definedName name="hfhgfh" hidden="1">{"with_oth_curr",#N/A,FALSE,"2225"}</definedName>
    <definedName name="hfhgfh_1" localSheetId="10" hidden="1">{"with_oth_curr",#N/A,FALSE,"2225"}</definedName>
    <definedName name="hfhgfh_1" hidden="1">{"with_oth_curr",#N/A,FALSE,"2225"}</definedName>
    <definedName name="hfjhhjj" localSheetId="10" hidden="1">{#N/A,#N/A,FALSE,"CCTV"}</definedName>
    <definedName name="hfjhhjj" hidden="1">{#N/A,#N/A,FALSE,"CCTV"}</definedName>
    <definedName name="hg" localSheetId="10" hidden="1">{#N/A,#N/A,FALSE,"Aging Summary";#N/A,#N/A,FALSE,"Ratio Analysis";#N/A,#N/A,FALSE,"Test 120 Day Accts";#N/A,#N/A,FALSE,"Tickmarks"}</definedName>
    <definedName name="hg" hidden="1">{#N/A,#N/A,FALSE,"Aging Summary";#N/A,#N/A,FALSE,"Ratio Analysis";#N/A,#N/A,FALSE,"Test 120 Day Accts";#N/A,#N/A,FALSE,"Tickmarks"}</definedName>
    <definedName name="HGDHJFBJK"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10" hidden="1">{"with_oth_curr",#N/A,FALSE,"2225"}</definedName>
    <definedName name="hgds" hidden="1">{"with_oth_curr",#N/A,FALSE,"2225"}</definedName>
    <definedName name="hgds_1" localSheetId="10" hidden="1">{"with_oth_curr",#N/A,FALSE,"2225"}</definedName>
    <definedName name="hgds_1" hidden="1">{"with_oth_curr",#N/A,FALSE,"2225"}</definedName>
    <definedName name="hgertetet" localSheetId="10" hidden="1">{"rp_only",#N/A,FALSE,"2225"}</definedName>
    <definedName name="hgertetet" hidden="1">{"rp_only",#N/A,FALSE,"2225"}</definedName>
    <definedName name="hgertetet_1" localSheetId="10" hidden="1">{"rp_only",#N/A,FALSE,"2225"}</definedName>
    <definedName name="hgertetet_1" hidden="1">{"rp_only",#N/A,FALSE,"2225"}</definedName>
    <definedName name="hgfcd" localSheetId="10" hidden="1">{"with_oth_curr",#N/A,FALSE,"2225"}</definedName>
    <definedName name="hgfcd" hidden="1">{"with_oth_curr",#N/A,FALSE,"2225"}</definedName>
    <definedName name="hgfcd_1" localSheetId="10" hidden="1">{"with_oth_curr",#N/A,FALSE,"2225"}</definedName>
    <definedName name="hgfcd_1" hidden="1">{"with_oth_curr",#N/A,FALSE,"2225"}</definedName>
    <definedName name="hgfds" localSheetId="10" hidden="1">{"with_oth_curr",#N/A,FALSE,"2225"}</definedName>
    <definedName name="hgfds" hidden="1">{"with_oth_curr",#N/A,FALSE,"2225"}</definedName>
    <definedName name="hgfds_1" localSheetId="10" hidden="1">{"with_oth_curr",#N/A,FALSE,"2225"}</definedName>
    <definedName name="hgfds_1" hidden="1">{"with_oth_curr",#N/A,FALSE,"2225"}</definedName>
    <definedName name="hgfghdf" localSheetId="10" hidden="1">{"with_oth_curr",#N/A,FALSE,"2225"}</definedName>
    <definedName name="hgfghdf" hidden="1">{"with_oth_curr",#N/A,FALSE,"2225"}</definedName>
    <definedName name="hgfghdf_1" localSheetId="10" hidden="1">{"with_oth_curr",#N/A,FALSE,"2225"}</definedName>
    <definedName name="hgfghdf_1" hidden="1">{"with_oth_curr",#N/A,FALSE,"2225"}</definedName>
    <definedName name="hgfhfghfgh" localSheetId="10" hidden="1">{"with_oth_curr",#N/A,FALSE,"2225"}</definedName>
    <definedName name="hgfhfghfgh" hidden="1">{"with_oth_curr",#N/A,FALSE,"2225"}</definedName>
    <definedName name="hgfhfghfgh_1" localSheetId="10" hidden="1">{"with_oth_curr",#N/A,FALSE,"2225"}</definedName>
    <definedName name="hgfhfghfgh_1" hidden="1">{"with_oth_curr",#N/A,FALSE,"2225"}</definedName>
    <definedName name="hgfhfhfghf" localSheetId="10" hidden="1">{"with_oth_curr",#N/A,FALSE,"2225"}</definedName>
    <definedName name="hgfhfhfghf" hidden="1">{"with_oth_curr",#N/A,FALSE,"2225"}</definedName>
    <definedName name="hgfhfhfghf_1" localSheetId="10" hidden="1">{"with_oth_curr",#N/A,FALSE,"2225"}</definedName>
    <definedName name="hgfhfhfghf_1" hidden="1">{"with_oth_curr",#N/A,FALSE,"2225"}</definedName>
    <definedName name="hgfhgfh" localSheetId="10" hidden="1">{"rp_only",#N/A,FALSE,"2225"}</definedName>
    <definedName name="hgfhgfh" hidden="1">{"rp_only",#N/A,FALSE,"2225"}</definedName>
    <definedName name="hgfhgfh_1" localSheetId="10" hidden="1">{"rp_only",#N/A,FALSE,"2225"}</definedName>
    <definedName name="hgfhgfh_1" hidden="1">{"rp_only",#N/A,FALSE,"2225"}</definedName>
    <definedName name="hgfhjgj" localSheetId="10" hidden="1">{"rp_only",#N/A,FALSE,"2225"}</definedName>
    <definedName name="hgfhjgj" hidden="1">{"rp_only",#N/A,FALSE,"2225"}</definedName>
    <definedName name="hgfhjgj_1" localSheetId="10" hidden="1">{"rp_only",#N/A,FALSE,"2225"}</definedName>
    <definedName name="hgfhjgj_1" hidden="1">{"rp_only",#N/A,FALSE,"2225"}</definedName>
    <definedName name="hggdxvgxzfx" localSheetId="10" hidden="1">{"with_oth_curr",#N/A,FALSE,"2225"}</definedName>
    <definedName name="hggdxvgxzfx" hidden="1">{"with_oth_curr",#N/A,FALSE,"2225"}</definedName>
    <definedName name="hggdxvgxzfx_1" localSheetId="10" hidden="1">{"with_oth_curr",#N/A,FALSE,"2225"}</definedName>
    <definedName name="hggdxvgxzfx_1" hidden="1">{"with_oth_curr",#N/A,FALSE,"2225"}</definedName>
    <definedName name="hggfbv" localSheetId="10" hidden="1">{"rp_only",#N/A,FALSE,"2225"}</definedName>
    <definedName name="hggfbv" hidden="1">{"rp_only",#N/A,FALSE,"2225"}</definedName>
    <definedName name="hggfbv_1" localSheetId="10" hidden="1">{"rp_only",#N/A,FALSE,"2225"}</definedName>
    <definedName name="hggfbv_1" hidden="1">{"rp_only",#N/A,FALSE,"2225"}</definedName>
    <definedName name="hggfdgffdsafsda" localSheetId="10" hidden="1">{"rp_only",#N/A,FALSE,"2225"}</definedName>
    <definedName name="hggfdgffdsafsda" hidden="1">{"rp_only",#N/A,FALSE,"2225"}</definedName>
    <definedName name="hggfdgffdsafsda_1" localSheetId="10" hidden="1">{"rp_only",#N/A,FALSE,"2225"}</definedName>
    <definedName name="hggfdgffdsafsda_1" hidden="1">{"rp_only",#N/A,FALSE,"2225"}</definedName>
    <definedName name="hghbkljlj">#REF!</definedName>
    <definedName name="hghg" localSheetId="10" hidden="1">{"rp_only",#N/A,FALSE,"2225"}</definedName>
    <definedName name="hghg" hidden="1">{"rp_only",#N/A,FALSE,"2225"}</definedName>
    <definedName name="hghg_1" localSheetId="10" hidden="1">{"rp_only",#N/A,FALSE,"2225"}</definedName>
    <definedName name="hghg_1" hidden="1">{"rp_only",#N/A,FALSE,"2225"}</definedName>
    <definedName name="hghggf" localSheetId="10" hidden="1">{"rp_only",#N/A,FALSE,"2225"}</definedName>
    <definedName name="hghggf" hidden="1">{"rp_only",#N/A,FALSE,"2225"}</definedName>
    <definedName name="hghggf_1" localSheetId="10" hidden="1">{"rp_only",#N/A,FALSE,"2225"}</definedName>
    <definedName name="hghggf_1" hidden="1">{"rp_only",#N/A,FALSE,"2225"}</definedName>
    <definedName name="hghgghhjhghj" localSheetId="10" hidden="1">{"with_oth_curr",#N/A,FALSE,"2225"}</definedName>
    <definedName name="hghgghhjhghj" hidden="1">{"with_oth_curr",#N/A,FALSE,"2225"}</definedName>
    <definedName name="hghgghhjhghj_1" localSheetId="10" hidden="1">{"with_oth_curr",#N/A,FALSE,"2225"}</definedName>
    <definedName name="hghgghhjhghj_1" hidden="1">{"with_oth_curr",#N/A,FALSE,"2225"}</definedName>
    <definedName name="hghghghghghghghghghghghghghg" hidden="1">#REF!</definedName>
    <definedName name="hghghjfv">#REF!</definedName>
    <definedName name="hghgytyu" localSheetId="10" hidden="1">{"rp_only",#N/A,FALSE,"2225"}</definedName>
    <definedName name="hghgytyu" hidden="1">{"rp_only",#N/A,FALSE,"2225"}</definedName>
    <definedName name="hghgytyu_1" localSheetId="10" hidden="1">{"rp_only",#N/A,FALSE,"2225"}</definedName>
    <definedName name="hghgytyu_1" hidden="1">{"rp_only",#N/A,FALSE,"2225"}</definedName>
    <definedName name="HGHHKF" hidden="1">#REF!</definedName>
    <definedName name="hghjgh" localSheetId="10" hidden="1">{"rp_only",#N/A,FALSE,"2225"}</definedName>
    <definedName name="hghjgh" hidden="1">{"rp_only",#N/A,FALSE,"2225"}</definedName>
    <definedName name="hghjgh_1" localSheetId="10" hidden="1">{"rp_only",#N/A,FALSE,"2225"}</definedName>
    <definedName name="hghjgh_1" hidden="1">{"rp_only",#N/A,FALSE,"2225"}</definedName>
    <definedName name="hghjghjghj" localSheetId="10" hidden="1">{"rp_only",#N/A,FALSE,"2225"}</definedName>
    <definedName name="hghjghjghj" hidden="1">{"rp_only",#N/A,FALSE,"2225"}</definedName>
    <definedName name="hghjghjghj_1" localSheetId="10" hidden="1">{"rp_only",#N/A,FALSE,"2225"}</definedName>
    <definedName name="hghjghjghj_1" hidden="1">{"rp_only",#N/A,FALSE,"2225"}</definedName>
    <definedName name="hgjfgh" localSheetId="10" hidden="1">{#N/A,#N/A,FALSE,"CCTV"}</definedName>
    <definedName name="hgjfgh" hidden="1">{#N/A,#N/A,FALSE,"CCTV"}</definedName>
    <definedName name="hgjfgjgj" localSheetId="10" hidden="1">{"rp_only",#N/A,FALSE,"2225"}</definedName>
    <definedName name="hgjfgjgj" hidden="1">{"rp_only",#N/A,FALSE,"2225"}</definedName>
    <definedName name="hgjfgjgj_1" localSheetId="10" hidden="1">{"rp_only",#N/A,FALSE,"2225"}</definedName>
    <definedName name="hgjfgjgj_1" hidden="1">{"rp_only",#N/A,FALSE,"2225"}</definedName>
    <definedName name="hgjgfhgh" localSheetId="10" hidden="1">{#N/A,#N/A,FALSE,"CCTV"}</definedName>
    <definedName name="hgjgfhgh" hidden="1">{#N/A,#N/A,FALSE,"CCTV"}</definedName>
    <definedName name="hgjghj" localSheetId="10" hidden="1">{"with_oth_curr",#N/A,FALSE,"2225"}</definedName>
    <definedName name="hgjghj" hidden="1">{"with_oth_curr",#N/A,FALSE,"2225"}</definedName>
    <definedName name="hgjghj_1" localSheetId="10" hidden="1">{"with_oth_curr",#N/A,FALSE,"2225"}</definedName>
    <definedName name="hgjghj_1" hidden="1">{"with_oth_curr",#N/A,FALSE,"2225"}</definedName>
    <definedName name="hgjghjg" localSheetId="10" hidden="1">{"rp_only",#N/A,FALSE,"2225"}</definedName>
    <definedName name="hgjghjg" hidden="1">{"rp_only",#N/A,FALSE,"2225"}</definedName>
    <definedName name="hgjghjg_1" localSheetId="10" hidden="1">{"rp_only",#N/A,FALSE,"2225"}</definedName>
    <definedName name="hgjghjg_1" hidden="1">{"rp_only",#N/A,FALSE,"2225"}</definedName>
    <definedName name="hgjghjj" localSheetId="10" hidden="1">{"rp_only",#N/A,FALSE,"2225"}</definedName>
    <definedName name="hgjghjj" hidden="1">{"rp_only",#N/A,FALSE,"2225"}</definedName>
    <definedName name="hgjghjj_1" localSheetId="10" hidden="1">{"rp_only",#N/A,FALSE,"2225"}</definedName>
    <definedName name="hgjghjj_1" hidden="1">{"rp_only",#N/A,FALSE,"2225"}</definedName>
    <definedName name="hgjghjjj" localSheetId="10" hidden="1">{"rp_only",#N/A,FALSE,"2225"}</definedName>
    <definedName name="hgjghjjj" hidden="1">{"rp_only",#N/A,FALSE,"2225"}</definedName>
    <definedName name="hgjghjjj_1" localSheetId="10" hidden="1">{"rp_only",#N/A,FALSE,"2225"}</definedName>
    <definedName name="hgjghjjj_1" hidden="1">{"rp_only",#N/A,FALSE,"2225"}</definedName>
    <definedName name="hgjgjgj" localSheetId="10" hidden="1">{"rp_only",#N/A,FALSE,"2225"}</definedName>
    <definedName name="hgjgjgj" hidden="1">{"rp_only",#N/A,FALSE,"2225"}</definedName>
    <definedName name="hgjgjgj_1" localSheetId="10" hidden="1">{"rp_only",#N/A,FALSE,"2225"}</definedName>
    <definedName name="hgjgjgj_1" hidden="1">{"rp_only",#N/A,FALSE,"2225"}</definedName>
    <definedName name="hgjhkhjkjh" localSheetId="10" hidden="1">{"rp_only",#N/A,FALSE,"2225"}</definedName>
    <definedName name="hgjhkhjkjh" hidden="1">{"rp_only",#N/A,FALSE,"2225"}</definedName>
    <definedName name="hgjhkhjkjh_1" localSheetId="10" hidden="1">{"rp_only",#N/A,FALSE,"2225"}</definedName>
    <definedName name="hgjhkhjkjh_1" hidden="1">{"rp_only",#N/A,FALSE,"2225"}</definedName>
    <definedName name="hgkghkh" localSheetId="10" hidden="1">{"rp_only",#N/A,FALSE,"2225"}</definedName>
    <definedName name="hgkghkh" hidden="1">{"rp_only",#N/A,FALSE,"2225"}</definedName>
    <definedName name="hgkghkh_1" localSheetId="10" hidden="1">{"rp_only",#N/A,FALSE,"2225"}</definedName>
    <definedName name="hgkghkh_1" hidden="1">{"rp_only",#N/A,FALSE,"2225"}</definedName>
    <definedName name="hgkhjkhgk" localSheetId="10" hidden="1">{"rp_only",#N/A,FALSE,"2225"}</definedName>
    <definedName name="hgkhjkhgk" hidden="1">{"rp_only",#N/A,FALSE,"2225"}</definedName>
    <definedName name="hgkhjkhgk_1" localSheetId="10" hidden="1">{"rp_only",#N/A,FALSE,"2225"}</definedName>
    <definedName name="hgkhjkhgk_1" hidden="1">{"rp_only",#N/A,FALSE,"2225"}</definedName>
    <definedName name="hgkiknmnuhuhyh"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localSheetId="10" hidden="1">{#N/A,#N/A,FALSE,"Cost Report";#N/A,#N/A,FALSE,"Table 2.1";#N/A,#N/A,FALSE,"Plant Statistics";"Plant Costs",#N/A,FALSE,"Cost Summary"}</definedName>
    <definedName name="hhh" hidden="1">{#N/A,#N/A,FALSE,"Cost Report";#N/A,#N/A,FALSE,"Table 2.1";#N/A,#N/A,FALSE,"Plant Statistics";"Plant Costs",#N/A,FALSE,"Cost Summary"}</definedName>
    <definedName name="hhh_1" localSheetId="10"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10" hidden="1">{"up stand alones",#N/A,FALSE,"Acquiror"}</definedName>
    <definedName name="hhhsdf" hidden="1">{"up stand alones",#N/A,FALSE,"Acquiror"}</definedName>
    <definedName name="HHJGHJ">#REF!</definedName>
    <definedName name="hhjojpkpk" localSheetId="10" hidden="1">{"rp_only",#N/A,FALSE,"2225"}</definedName>
    <definedName name="hhjojpkpk" hidden="1">{"rp_only",#N/A,FALSE,"2225"}</definedName>
    <definedName name="hhjojpkpk_1" localSheetId="10" hidden="1">{"rp_only",#N/A,FALSE,"2225"}</definedName>
    <definedName name="hhjojpkpk_1" hidden="1">{"rp_only",#N/A,FALSE,"2225"}</definedName>
    <definedName name="hhkhkjj" localSheetId="10" hidden="1">{"rp_only",#N/A,FALSE,"2225"}</definedName>
    <definedName name="hhkhkjj" hidden="1">{"rp_only",#N/A,FALSE,"2225"}</definedName>
    <definedName name="hhkhkjj_1" localSheetId="10" hidden="1">{"rp_only",#N/A,FALSE,"2225"}</definedName>
    <definedName name="hhkhkjj_1" hidden="1">{"rp_only",#N/A,FALSE,"2225"}</definedName>
    <definedName name="hhnhgb" localSheetId="10" hidden="1">{"rp_only",#N/A,FALSE,"2225"}</definedName>
    <definedName name="hhnhgb" hidden="1">{"rp_only",#N/A,FALSE,"2225"}</definedName>
    <definedName name="hhnhgb_1" localSheetId="10"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localSheetId="10" hidden="1">{#N/A,#N/A,FALSE,"Aging Summary";#N/A,#N/A,FALSE,"Ratio Analysis";#N/A,#N/A,FALSE,"Test 120 Day Accts";#N/A,#N/A,FALSE,"Tickmarks"}</definedName>
    <definedName name="hire" hidden="1">{#N/A,#N/A,FALSE,"Aging Summary";#N/A,#N/A,FALSE,"Ratio Analysis";#N/A,#N/A,FALSE,"Test 120 Day Accts";#N/A,#N/A,FALSE,"Tickmarks"}</definedName>
    <definedName name="hire_1" localSheetId="10" hidden="1">{#N/A,#N/A,FALSE,"Aging Summary";#N/A,#N/A,FALSE,"Ratio Analysis";#N/A,#N/A,FALSE,"Test 120 Day Accts";#N/A,#N/A,FALSE,"Tickmarks"}</definedName>
    <definedName name="hire_1" hidden="1">{#N/A,#N/A,FALSE,"Aging Summary";#N/A,#N/A,FALSE,"Ratio Analysis";#N/A,#N/A,FALSE,"Test 120 Day Accts";#N/A,#N/A,FALSE,"Tickmarks"}</definedName>
    <definedName name="hire2" localSheetId="10" hidden="1">{#N/A,#N/A,FALSE,"Aging Summary";#N/A,#N/A,FALSE,"Ratio Analysis";#N/A,#N/A,FALSE,"Test 120 Day Accts";#N/A,#N/A,FALSE,"Tickmarks"}</definedName>
    <definedName name="hire2" hidden="1">{#N/A,#N/A,FALSE,"Aging Summary";#N/A,#N/A,FALSE,"Ratio Analysis";#N/A,#N/A,FALSE,"Test 120 Day Accts";#N/A,#N/A,FALSE,"Tickmarks"}</definedName>
    <definedName name="hire2_1" localSheetId="10" hidden="1">{#N/A,#N/A,FALSE,"Aging Summary";#N/A,#N/A,FALSE,"Ratio Analysis";#N/A,#N/A,FALSE,"Test 120 Day Accts";#N/A,#N/A,FALSE,"Tickmarks"}</definedName>
    <definedName name="hire2_1" hidden="1">{#N/A,#N/A,FALSE,"Aging Summary";#N/A,#N/A,FALSE,"Ratio Analysis";#N/A,#N/A,FALSE,"Test 120 Day Accts";#N/A,#N/A,FALSE,"Tickmarks"}</definedName>
    <definedName name="hire4" localSheetId="10" hidden="1">{#N/A,#N/A,FALSE,"Aging Summary";#N/A,#N/A,FALSE,"Ratio Analysis";#N/A,#N/A,FALSE,"Test 120 Day Accts";#N/A,#N/A,FALSE,"Tickmarks"}</definedName>
    <definedName name="hire4" hidden="1">{#N/A,#N/A,FALSE,"Aging Summary";#N/A,#N/A,FALSE,"Ratio Analysis";#N/A,#N/A,FALSE,"Test 120 Day Accts";#N/A,#N/A,FALSE,"Tickmarks"}</definedName>
    <definedName name="hire4_1" localSheetId="10"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localSheetId="10" hidden="1">{#N/A,#N/A,FALSE,"Aging Summary";#N/A,#N/A,FALSE,"Ratio Analysis";#N/A,#N/A,FALSE,"Test 120 Day Accts";#N/A,#N/A,FALSE,"Tickmarks"}</definedName>
    <definedName name="hj" hidden="1">{#N/A,#N/A,FALSE,"Aging Summary";#N/A,#N/A,FALSE,"Ratio Analysis";#N/A,#N/A,FALSE,"Test 120 Day Accts";#N/A,#N/A,FALSE,"Tickmarks"}</definedName>
    <definedName name="hjfgjgfjgj" localSheetId="10" hidden="1">{"with_oth_curr",#N/A,FALSE,"2225"}</definedName>
    <definedName name="hjfgjgfjgj" hidden="1">{"with_oth_curr",#N/A,FALSE,"2225"}</definedName>
    <definedName name="hjfgjgfjgj_1" localSheetId="10" hidden="1">{"with_oth_curr",#N/A,FALSE,"2225"}</definedName>
    <definedName name="hjfgjgfjgj_1" hidden="1">{"with_oth_curr",#N/A,FALSE,"2225"}</definedName>
    <definedName name="hjgfjgj" localSheetId="10" hidden="1">{"with_oth_curr",#N/A,FALSE,"2225"}</definedName>
    <definedName name="hjgfjgj" hidden="1">{"with_oth_curr",#N/A,FALSE,"2225"}</definedName>
    <definedName name="hjgfjgj_1" localSheetId="10" hidden="1">{"with_oth_curr",#N/A,FALSE,"2225"}</definedName>
    <definedName name="hjgfjgj_1" hidden="1">{"with_oth_curr",#N/A,FALSE,"2225"}</definedName>
    <definedName name="hjghhj" localSheetId="10" hidden="1">{"rp_only",#N/A,FALSE,"2225"}</definedName>
    <definedName name="hjghhj" hidden="1">{"rp_only",#N/A,FALSE,"2225"}</definedName>
    <definedName name="hjghhj_1" localSheetId="10" hidden="1">{"rp_only",#N/A,FALSE,"2225"}</definedName>
    <definedName name="hjghhj_1" hidden="1">{"rp_only",#N/A,FALSE,"2225"}</definedName>
    <definedName name="hjghj" localSheetId="10" hidden="1">{"rp_only",#N/A,FALSE,"2225"}</definedName>
    <definedName name="hjghj" hidden="1">{"rp_only",#N/A,FALSE,"2225"}</definedName>
    <definedName name="hjghj_1" localSheetId="10" hidden="1">{"rp_only",#N/A,FALSE,"2225"}</definedName>
    <definedName name="hjghj_1" hidden="1">{"rp_only",#N/A,FALSE,"2225"}</definedName>
    <definedName name="hjghjg" localSheetId="10" hidden="1">{"rp_only",#N/A,FALSE,"2225"}</definedName>
    <definedName name="hjghjg" hidden="1">{"rp_only",#N/A,FALSE,"2225"}</definedName>
    <definedName name="hjghjg_1" localSheetId="10" hidden="1">{"rp_only",#N/A,FALSE,"2225"}</definedName>
    <definedName name="hjghjg_1" hidden="1">{"rp_only",#N/A,FALSE,"2225"}</definedName>
    <definedName name="hjghjgf" localSheetId="10" hidden="1">{"rp_only",#N/A,FALSE,"2225"}</definedName>
    <definedName name="hjghjgf" hidden="1">{"rp_only",#N/A,FALSE,"2225"}</definedName>
    <definedName name="hjghjgf_1" localSheetId="10" hidden="1">{"rp_only",#N/A,FALSE,"2225"}</definedName>
    <definedName name="hjghjgf_1" hidden="1">{"rp_only",#N/A,FALSE,"2225"}</definedName>
    <definedName name="hjghjghjg" localSheetId="10" hidden="1">{"rp_only",#N/A,FALSE,"2225"}</definedName>
    <definedName name="hjghjghjg" hidden="1">{"rp_only",#N/A,FALSE,"2225"}</definedName>
    <definedName name="hjghjghjg_1" localSheetId="10" hidden="1">{"rp_only",#N/A,FALSE,"2225"}</definedName>
    <definedName name="hjghjghjg_1" hidden="1">{"rp_only",#N/A,FALSE,"2225"}</definedName>
    <definedName name="hjghjghjgh" localSheetId="10" hidden="1">{"with_oth_curr",#N/A,FALSE,"2225"}</definedName>
    <definedName name="hjghjghjgh" hidden="1">{"with_oth_curr",#N/A,FALSE,"2225"}</definedName>
    <definedName name="hjghjghjgh_1" localSheetId="10" hidden="1">{"with_oth_curr",#N/A,FALSE,"2225"}</definedName>
    <definedName name="hjghjghjgh_1" hidden="1">{"with_oth_curr",#N/A,FALSE,"2225"}</definedName>
    <definedName name="hjghjghjghj" localSheetId="10" hidden="1">{"rp_only",#N/A,FALSE,"2225"}</definedName>
    <definedName name="hjghjghjghj" hidden="1">{"rp_only",#N/A,FALSE,"2225"}</definedName>
    <definedName name="hjghjghjghj_1" localSheetId="10" hidden="1">{"rp_only",#N/A,FALSE,"2225"}</definedName>
    <definedName name="hjghjghjghj_1" hidden="1">{"rp_only",#N/A,FALSE,"2225"}</definedName>
    <definedName name="hjghjghjgj" localSheetId="10" hidden="1">{"rp_only",#N/A,FALSE,"2225"}</definedName>
    <definedName name="hjghjghjgj" hidden="1">{"rp_only",#N/A,FALSE,"2225"}</definedName>
    <definedName name="hjghjghjgj_1" localSheetId="10" hidden="1">{"rp_only",#N/A,FALSE,"2225"}</definedName>
    <definedName name="hjghjghjgj_1" hidden="1">{"rp_only",#N/A,FALSE,"2225"}</definedName>
    <definedName name="hjghjghjh" localSheetId="10" hidden="1">{"rp_only",#N/A,FALSE,"2225"}</definedName>
    <definedName name="hjghjghjh" hidden="1">{"rp_only",#N/A,FALSE,"2225"}</definedName>
    <definedName name="hjghjghjh_1" localSheetId="10" hidden="1">{"rp_only",#N/A,FALSE,"2225"}</definedName>
    <definedName name="hjghjghjh_1" hidden="1">{"rp_only",#N/A,FALSE,"2225"}</definedName>
    <definedName name="hjghjgj" localSheetId="10" hidden="1">{"rp_only",#N/A,FALSE,"2225"}</definedName>
    <definedName name="hjghjgj" hidden="1">{"rp_only",#N/A,FALSE,"2225"}</definedName>
    <definedName name="hjghjgj_1" localSheetId="10" hidden="1">{"rp_only",#N/A,FALSE,"2225"}</definedName>
    <definedName name="hjghjgj_1" hidden="1">{"rp_only",#N/A,FALSE,"2225"}</definedName>
    <definedName name="hjghjhj" localSheetId="10" hidden="1">{"with_oth_curr",#N/A,FALSE,"2225"}</definedName>
    <definedName name="hjghjhj" hidden="1">{"with_oth_curr",#N/A,FALSE,"2225"}</definedName>
    <definedName name="hjghjhj_1" localSheetId="10" hidden="1">{"with_oth_curr",#N/A,FALSE,"2225"}</definedName>
    <definedName name="hjghjhj_1" hidden="1">{"with_oth_curr",#N/A,FALSE,"2225"}</definedName>
    <definedName name="hjghjj" localSheetId="10" hidden="1">{"with_oth_curr",#N/A,FALSE,"2225"}</definedName>
    <definedName name="hjghjj" hidden="1">{"with_oth_curr",#N/A,FALSE,"2225"}</definedName>
    <definedName name="hjghjj_1" localSheetId="10" hidden="1">{"with_oth_curr",#N/A,FALSE,"2225"}</definedName>
    <definedName name="hjghjj_1" hidden="1">{"with_oth_curr",#N/A,FALSE,"2225"}</definedName>
    <definedName name="hjgjg" localSheetId="10" hidden="1">{"rp_only",#N/A,FALSE,"2225"}</definedName>
    <definedName name="hjgjg" hidden="1">{"rp_only",#N/A,FALSE,"2225"}</definedName>
    <definedName name="hjgjg_1" localSheetId="10" hidden="1">{"rp_only",#N/A,FALSE,"2225"}</definedName>
    <definedName name="hjgjg_1" hidden="1">{"rp_only",#N/A,FALSE,"2225"}</definedName>
    <definedName name="hjgjghjghjgj" localSheetId="10" hidden="1">{"rp_only",#N/A,FALSE,"2225"}</definedName>
    <definedName name="hjgjghjghjgj" hidden="1">{"rp_only",#N/A,FALSE,"2225"}</definedName>
    <definedName name="hjgjghjghjgj_1" localSheetId="10" hidden="1">{"rp_only",#N/A,FALSE,"2225"}</definedName>
    <definedName name="hjgjghjghjgj_1" hidden="1">{"rp_only",#N/A,FALSE,"2225"}</definedName>
    <definedName name="hjgjgjg" localSheetId="10" hidden="1">{"rp_only",#N/A,FALSE,"2225"}</definedName>
    <definedName name="hjgjgjg" hidden="1">{"rp_only",#N/A,FALSE,"2225"}</definedName>
    <definedName name="hjgjgjg_1" localSheetId="10" hidden="1">{"rp_only",#N/A,FALSE,"2225"}</definedName>
    <definedName name="hjgjgjg_1" hidden="1">{"rp_only",#N/A,FALSE,"2225"}</definedName>
    <definedName name="hjgjh" localSheetId="10" hidden="1">{"rp_only",#N/A,FALSE,"2225"}</definedName>
    <definedName name="hjgjh" hidden="1">{"rp_only",#N/A,FALSE,"2225"}</definedName>
    <definedName name="hjgjh_1" localSheetId="10" hidden="1">{"rp_only",#N/A,FALSE,"2225"}</definedName>
    <definedName name="hjgjh_1" hidden="1">{"rp_only",#N/A,FALSE,"2225"}</definedName>
    <definedName name="hjgjk" localSheetId="10" hidden="1">{"rp_only",#N/A,FALSE,"2225"}</definedName>
    <definedName name="hjgjk" hidden="1">{"rp_only",#N/A,FALSE,"2225"}</definedName>
    <definedName name="hjgjk_1" localSheetId="10" hidden="1">{"rp_only",#N/A,FALSE,"2225"}</definedName>
    <definedName name="hjgjk_1" hidden="1">{"rp_only",#N/A,FALSE,"2225"}</definedName>
    <definedName name="hjgkghkgh" localSheetId="10" hidden="1">{"with_oth_curr",#N/A,FALSE,"2225"}</definedName>
    <definedName name="hjgkghkgh" hidden="1">{"with_oth_curr",#N/A,FALSE,"2225"}</definedName>
    <definedName name="hjgkghkgh_1" localSheetId="10" hidden="1">{"with_oth_curr",#N/A,FALSE,"2225"}</definedName>
    <definedName name="hjgkghkgh_1" hidden="1">{"with_oth_curr",#N/A,FALSE,"2225"}</definedName>
    <definedName name="hjh" hidden="1">#REF!</definedName>
    <definedName name="hjhgjghghhj" localSheetId="10" hidden="1">{"rp_only",#N/A,FALSE,"2225"}</definedName>
    <definedName name="hjhgjghghhj" hidden="1">{"rp_only",#N/A,FALSE,"2225"}</definedName>
    <definedName name="hjhgjghghhj_1" localSheetId="10" hidden="1">{"rp_only",#N/A,FALSE,"2225"}</definedName>
    <definedName name="hjhgjghghhj_1" hidden="1">{"rp_only",#N/A,FALSE,"2225"}</definedName>
    <definedName name="hjhgjghj" localSheetId="10" hidden="1">{"with_oth_curr",#N/A,FALSE,"2225"}</definedName>
    <definedName name="hjhgjghj" hidden="1">{"with_oth_curr",#N/A,FALSE,"2225"}</definedName>
    <definedName name="hjhgjghj_1" localSheetId="10" hidden="1">{"with_oth_curr",#N/A,FALSE,"2225"}</definedName>
    <definedName name="hjhgjghj_1" hidden="1">{"with_oth_curr",#N/A,FALSE,"2225"}</definedName>
    <definedName name="hjhgxdgdz">#REF!</definedName>
    <definedName name="hjhjjhg" localSheetId="10" hidden="1">{"with_oth_curr",#N/A,FALSE,"2225"}</definedName>
    <definedName name="hjhjjhg" hidden="1">{"with_oth_curr",#N/A,FALSE,"2225"}</definedName>
    <definedName name="hjhjjhg_1" localSheetId="10" hidden="1">{"with_oth_curr",#N/A,FALSE,"2225"}</definedName>
    <definedName name="hjhjjhg_1" hidden="1">{"with_oth_curr",#N/A,FALSE,"2225"}</definedName>
    <definedName name="hjhjkkh" localSheetId="10" hidden="1">{"with_oth_curr",#N/A,FALSE,"2225"}</definedName>
    <definedName name="hjhjkkh" hidden="1">{"with_oth_curr",#N/A,FALSE,"2225"}</definedName>
    <definedName name="hjhjkkh_1" localSheetId="10" hidden="1">{"with_oth_curr",#N/A,FALSE,"2225"}</definedName>
    <definedName name="hjhjkkh_1" hidden="1">{"with_oth_curr",#N/A,FALSE,"2225"}</definedName>
    <definedName name="hjhklh">#REF!</definedName>
    <definedName name="hjhygygoui" localSheetId="10" hidden="1">{"rp_only",#N/A,FALSE,"2225"}</definedName>
    <definedName name="hjhygygoui" hidden="1">{"rp_only",#N/A,FALSE,"2225"}</definedName>
    <definedName name="hjhygygoui_1" localSheetId="10" hidden="1">{"rp_only",#N/A,FALSE,"2225"}</definedName>
    <definedName name="hjhygygoui_1" hidden="1">{"rp_only",#N/A,FALSE,"2225"}</definedName>
    <definedName name="hjj" localSheetId="10" hidden="1">{#N/A,#N/A,FALSE,"Aging Summary";#N/A,#N/A,FALSE,"Ratio Analysis";#N/A,#N/A,FALSE,"Test 120 Day Accts";#N/A,#N/A,FALSE,"Tickmarks"}</definedName>
    <definedName name="hjj" hidden="1">{#N/A,#N/A,FALSE,"Aging Summary";#N/A,#N/A,FALSE,"Ratio Analysis";#N/A,#N/A,FALSE,"Test 120 Day Accts";#N/A,#N/A,FALSE,"Tickmarks"}</definedName>
    <definedName name="hjjghjgj" localSheetId="10" hidden="1">{"with_oth_curr",#N/A,FALSE,"2225"}</definedName>
    <definedName name="hjjghjgj" hidden="1">{"with_oth_curr",#N/A,FALSE,"2225"}</definedName>
    <definedName name="hjjghjgj_1" localSheetId="10" hidden="1">{"with_oth_curr",#N/A,FALSE,"2225"}</definedName>
    <definedName name="hjjghjgj_1" hidden="1">{"with_oth_curr",#N/A,FALSE,"2225"}</definedName>
    <definedName name="hjjjgghj" localSheetId="10" hidden="1">{"rp_only",#N/A,FALSE,"2225"}</definedName>
    <definedName name="hjjjgghj" hidden="1">{"rp_only",#N/A,FALSE,"2225"}</definedName>
    <definedName name="hjjjgghj_1" localSheetId="10" hidden="1">{"rp_only",#N/A,FALSE,"2225"}</definedName>
    <definedName name="hjjjgghj_1" hidden="1">{"rp_only",#N/A,FALSE,"2225"}</definedName>
    <definedName name="hjkghjkgh" localSheetId="10" hidden="1">{"rp_only",#N/A,FALSE,"2225"}</definedName>
    <definedName name="hjkghjkgh" hidden="1">{"rp_only",#N/A,FALSE,"2225"}</definedName>
    <definedName name="hjkghjkgh_1" localSheetId="10" hidden="1">{"rp_only",#N/A,FALSE,"2225"}</definedName>
    <definedName name="hjkghjkgh_1" hidden="1">{"rp_only",#N/A,FALSE,"2225"}</definedName>
    <definedName name="hjkghk" localSheetId="10" hidden="1">{"rp_only",#N/A,FALSE,"2225"}</definedName>
    <definedName name="hjkghk" hidden="1">{"rp_only",#N/A,FALSE,"2225"}</definedName>
    <definedName name="hjkghk_1" localSheetId="10" hidden="1">{"rp_only",#N/A,FALSE,"2225"}</definedName>
    <definedName name="hjkghk_1" hidden="1">{"rp_only",#N/A,FALSE,"2225"}</definedName>
    <definedName name="hjkghkhgjhgk" localSheetId="10" hidden="1">{"rp_only",#N/A,FALSE,"2225"}</definedName>
    <definedName name="hjkghkhgjhgk" hidden="1">{"rp_only",#N/A,FALSE,"2225"}</definedName>
    <definedName name="hjkghkhgjhgk_1" localSheetId="10" hidden="1">{"rp_only",#N/A,FALSE,"2225"}</definedName>
    <definedName name="hjkghkhgjhgk_1" hidden="1">{"rp_only",#N/A,FALSE,"2225"}</definedName>
    <definedName name="hjkgjh" localSheetId="10" hidden="1">{"rp_only",#N/A,FALSE,"2225"}</definedName>
    <definedName name="hjkgjh" hidden="1">{"rp_only",#N/A,FALSE,"2225"}</definedName>
    <definedName name="hjkgjh_1" localSheetId="10" hidden="1">{"rp_only",#N/A,FALSE,"2225"}</definedName>
    <definedName name="hjkgjh_1" hidden="1">{"rp_only",#N/A,FALSE,"2225"}</definedName>
    <definedName name="hjkhgjkgh" localSheetId="10" hidden="1">{"rp_only",#N/A,FALSE,"2225"}</definedName>
    <definedName name="hjkhgjkgh" hidden="1">{"rp_only",#N/A,FALSE,"2225"}</definedName>
    <definedName name="hjkhgjkgh_1" localSheetId="10" hidden="1">{"rp_only",#N/A,FALSE,"2225"}</definedName>
    <definedName name="hjkhgjkgh_1" hidden="1">{"rp_only",#N/A,FALSE,"2225"}</definedName>
    <definedName name="hjkhjk" localSheetId="10" hidden="1">{"rp_only",#N/A,FALSE,"2225"}</definedName>
    <definedName name="hjkhjk" hidden="1">{"rp_only",#N/A,FALSE,"2225"}</definedName>
    <definedName name="hjkhjk_1" localSheetId="10" hidden="1">{"rp_only",#N/A,FALSE,"2225"}</definedName>
    <definedName name="hjkhjk_1" hidden="1">{"rp_only",#N/A,FALSE,"2225"}</definedName>
    <definedName name="hjkhjkhjk" localSheetId="10" hidden="1">{"with_oth_curr",#N/A,FALSE,"2225"}</definedName>
    <definedName name="hjkhjkhjk" hidden="1">{"with_oth_curr",#N/A,FALSE,"2225"}</definedName>
    <definedName name="hjkhjkhjk_1" localSheetId="10" hidden="1">{"with_oth_curr",#N/A,FALSE,"2225"}</definedName>
    <definedName name="hjkhjkhjk_1" hidden="1">{"with_oth_curr",#N/A,FALSE,"2225"}</definedName>
    <definedName name="hjkhjkhjkh" localSheetId="10" hidden="1">{"rp_only",#N/A,FALSE,"2225"}</definedName>
    <definedName name="hjkhjkhjkh" hidden="1">{"rp_only",#N/A,FALSE,"2225"}</definedName>
    <definedName name="hjkhjkhjkh_1" localSheetId="10" hidden="1">{"rp_only",#N/A,FALSE,"2225"}</definedName>
    <definedName name="hjkhjkhjkh_1" hidden="1">{"rp_only",#N/A,FALSE,"2225"}</definedName>
    <definedName name="hjkhk" localSheetId="10" hidden="1">{"rp_only",#N/A,FALSE,"2225"}</definedName>
    <definedName name="hjkhk" hidden="1">{"rp_only",#N/A,FALSE,"2225"}</definedName>
    <definedName name="hjkhk_1" localSheetId="10" hidden="1">{"rp_only",#N/A,FALSE,"2225"}</definedName>
    <definedName name="hjkhk_1" hidden="1">{"rp_only",#N/A,FALSE,"2225"}</definedName>
    <definedName name="hjkhkh" localSheetId="10" hidden="1">{"rp_only",#N/A,FALSE,"2225"}</definedName>
    <definedName name="hjkhkh" hidden="1">{"rp_only",#N/A,FALSE,"2225"}</definedName>
    <definedName name="hjkhkh_1" localSheetId="10" hidden="1">{"rp_only",#N/A,FALSE,"2225"}</definedName>
    <definedName name="hjkhkh_1" hidden="1">{"rp_only",#N/A,FALSE,"2225"}</definedName>
    <definedName name="hjkhkhkh" localSheetId="10" hidden="1">{"with_oth_curr",#N/A,FALSE,"2225"}</definedName>
    <definedName name="hjkhkhkh" hidden="1">{"with_oth_curr",#N/A,FALSE,"2225"}</definedName>
    <definedName name="hjkhkhkh_1" localSheetId="10" hidden="1">{"with_oth_curr",#N/A,FALSE,"2225"}</definedName>
    <definedName name="hjkhkhkh_1" hidden="1">{"with_oth_curr",#N/A,FALSE,"2225"}</definedName>
    <definedName name="hjkhkjkghkghjk" localSheetId="10" hidden="1">{"with_oth_curr",#N/A,FALSE,"2225"}</definedName>
    <definedName name="hjkhkjkghkghjk" hidden="1">{"with_oth_curr",#N/A,FALSE,"2225"}</definedName>
    <definedName name="hjkhkjkghkghjk_1" localSheetId="10" hidden="1">{"with_oth_curr",#N/A,FALSE,"2225"}</definedName>
    <definedName name="hjkhkjkghkghjk_1" hidden="1">{"with_oth_curr",#N/A,FALSE,"2225"}</definedName>
    <definedName name="hjkjkghjkk" localSheetId="10" hidden="1">{"with_oth_curr",#N/A,FALSE,"2225"}</definedName>
    <definedName name="hjkjkghjkk" hidden="1">{"with_oth_curr",#N/A,FALSE,"2225"}</definedName>
    <definedName name="hjkjkghjkk_1" localSheetId="10" hidden="1">{"with_oth_curr",#N/A,FALSE,"2225"}</definedName>
    <definedName name="hjkjkghjkk_1" hidden="1">{"with_oth_curr",#N/A,FALSE,"2225"}</definedName>
    <definedName name="hjkjkh" localSheetId="10" hidden="1">{"with_oth_curr",#N/A,FALSE,"2225"}</definedName>
    <definedName name="hjkjkh" hidden="1">{"with_oth_curr",#N/A,FALSE,"2225"}</definedName>
    <definedName name="hjkjkh_1" localSheetId="10" hidden="1">{"with_oth_curr",#N/A,FALSE,"2225"}</definedName>
    <definedName name="hjkjkh_1" hidden="1">{"with_oth_curr",#N/A,FALSE,"2225"}</definedName>
    <definedName name="hjlkjh" localSheetId="10" hidden="1">{"rp_only",#N/A,FALSE,"2225"}</definedName>
    <definedName name="hjlkjh" hidden="1">{"rp_only",#N/A,FALSE,"2225"}</definedName>
    <definedName name="hjlkjh_1" localSheetId="10" hidden="1">{"rp_only",#N/A,FALSE,"2225"}</definedName>
    <definedName name="hjlkjh_1" hidden="1">{"rp_only",#N/A,FALSE,"2225"}</definedName>
    <definedName name="hjoiuipo" localSheetId="10" hidden="1">{"rp_only",#N/A,FALSE,"2225"}</definedName>
    <definedName name="hjoiuipo" hidden="1">{"rp_only",#N/A,FALSE,"2225"}</definedName>
    <definedName name="hjoiuipo_1" localSheetId="10" hidden="1">{"rp_only",#N/A,FALSE,"2225"}</definedName>
    <definedName name="hjoiuipo_1" hidden="1">{"rp_only",#N/A,FALSE,"2225"}</definedName>
    <definedName name="hjuhhhui" localSheetId="10" hidden="1">{"rp_only",#N/A,FALSE,"2225"}</definedName>
    <definedName name="hjuhhhui" hidden="1">{"rp_only",#N/A,FALSE,"2225"}</definedName>
    <definedName name="hjuhhhui_1" localSheetId="10" hidden="1">{"rp_only",#N/A,FALSE,"2225"}</definedName>
    <definedName name="hjuhhhui_1" hidden="1">{"rp_only",#N/A,FALSE,"2225"}</definedName>
    <definedName name="HK">#REF!</definedName>
    <definedName name="hkhgkhjkhkghk" localSheetId="10" hidden="1">{"rp_only",#N/A,FALSE,"2225"}</definedName>
    <definedName name="hkhgkhjkhkghk" hidden="1">{"rp_only",#N/A,FALSE,"2225"}</definedName>
    <definedName name="hkhgkhjkhkghk_1" localSheetId="10" hidden="1">{"rp_only",#N/A,FALSE,"2225"}</definedName>
    <definedName name="hkhgkhjkhkghk_1" hidden="1">{"rp_only",#N/A,FALSE,"2225"}</definedName>
    <definedName name="hkhk" localSheetId="10" hidden="1">{"rp_only",#N/A,FALSE,"2225"}</definedName>
    <definedName name="hkhk" hidden="1">{"rp_only",#N/A,FALSE,"2225"}</definedName>
    <definedName name="hkhk_1" localSheetId="10" hidden="1">{"rp_only",#N/A,FALSE,"2225"}</definedName>
    <definedName name="hkhk_1" hidden="1">{"rp_only",#N/A,FALSE,"2225"}</definedName>
    <definedName name="HKJ">#REF!</definedName>
    <definedName name="hkjj" localSheetId="10" hidden="1">{"Line Efficiency",#N/A,FALSE,"Benchmarking"}</definedName>
    <definedName name="hkjj" hidden="1">{"Line Efficiency",#N/A,FALSE,"Benchmarking"}</definedName>
    <definedName name="HL">#REF!</definedName>
    <definedName name="hnbvmnh" localSheetId="10" hidden="1">{"rp_only",#N/A,FALSE,"2225"}</definedName>
    <definedName name="hnbvmnh" hidden="1">{"rp_only",#N/A,FALSE,"2225"}</definedName>
    <definedName name="hnbvmnh_1" localSheetId="10" hidden="1">{"rp_only",#N/A,FALSE,"2225"}</definedName>
    <definedName name="hnbvmnh_1" hidden="1">{"rp_only",#N/A,FALSE,"2225"}</definedName>
    <definedName name="hnhbv" localSheetId="10" hidden="1">{"with_oth_curr",#N/A,FALSE,"2225"}</definedName>
    <definedName name="hnhbv" hidden="1">{"with_oth_curr",#N/A,FALSE,"2225"}</definedName>
    <definedName name="hnhbv_1" localSheetId="10"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localSheetId="10"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10" hidden="1">{#N/A,#N/A,FALSE,"Aging Summary";#N/A,#N/A,FALSE,"Ratio Analysis";#N/A,#N/A,FALSE,"Test 120 Day Accts";#N/A,#N/A,FALSE,"Tickmarks"}</definedName>
    <definedName name="HP" hidden="1">{#N/A,#N/A,FALSE,"Aging Summary";#N/A,#N/A,FALSE,"Ratio Analysis";#N/A,#N/A,FALSE,"Test 120 Day Accts";#N/A,#N/A,FALSE,"Tickmarks"}</definedName>
    <definedName name="HP_1" localSheetId="10"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localSheetId="10" hidden="1">{#N/A,#N/A,FALSE,"Aging Summary";#N/A,#N/A,FALSE,"Ratio Analysis";#N/A,#N/A,FALSE,"Test 120 Day Accts";#N/A,#N/A,FALSE,"Tickmarks"}</definedName>
    <definedName name="hq" hidden="1">{#N/A,#N/A,FALSE,"Aging Summary";#N/A,#N/A,FALSE,"Ratio Analysis";#N/A,#N/A,FALSE,"Test 120 Day Accts";#N/A,#N/A,FALSE,"Tickmarks"}</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10" hidden="1">{"'장비'!$A$3:$M$12"}</definedName>
    <definedName name="HTML" hidden="1">{"'장비'!$A$3:$M$12"}</definedName>
    <definedName name="HTML_CodePage" hidden="1">949</definedName>
    <definedName name="HTML_Control" localSheetId="10" hidden="1">{"'장비'!$A$3:$M$12"}</definedName>
    <definedName name="HTML_Control" hidden="1">{"'장비'!$A$3:$M$12"}</definedName>
    <definedName name="HTML_Control_1" localSheetId="10" hidden="1">{"'매출'!$A$1:$I$22"}</definedName>
    <definedName name="HTML_Control_1" hidden="1">{"'매출'!$A$1:$I$22"}</definedName>
    <definedName name="HTML_Control2" localSheetId="10" hidden="1">{"'OTARI- IKAHO'!$A$11:$AF$42"}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localSheetId="10" hidden="1">{"Admin Costs",#N/A,FALSE,"Act.Fcst Costs"}</definedName>
    <definedName name="hu" hidden="1">{"Admin Costs",#N/A,FALSE,"Act.Fcst Costs"}</definedName>
    <definedName name="hu_1" localSheetId="10" hidden="1">{"Admin Costs",#N/A,FALSE,"Act.Fcst Costs"}</definedName>
    <definedName name="hu_1" hidden="1">{"Admin Costs",#N/A,FALSE,"Act.Fcst Costs"}</definedName>
    <definedName name="humaira">#REF!</definedName>
    <definedName name="hundredpercent">#REF!</definedName>
    <definedName name="Hung">#REF!</definedName>
    <definedName name="huy" localSheetId="10" hidden="1">{"'Sheet1'!$L$16"}</definedName>
    <definedName name="huy" hidden="1">{"'Sheet1'!$L$16"}</definedName>
    <definedName name="HUYHAN">#REF!</definedName>
    <definedName name="hvnbvmbvm" localSheetId="10" hidden="1">{"with_oth_curr",#N/A,FALSE,"2225"}</definedName>
    <definedName name="hvnbvmbvm" hidden="1">{"with_oth_curr",#N/A,FALSE,"2225"}</definedName>
    <definedName name="hvnbvmbvm_1" localSheetId="10" hidden="1">{"with_oth_curr",#N/A,FALSE,"2225"}</definedName>
    <definedName name="hvnbvmbvm_1" hidden="1">{"with_oth_curr",#N/A,FALSE,"2225"}</definedName>
    <definedName name="hw" localSheetId="10" hidden="1">{#N/A,#N/A,FALSE,"REK-S-TPL";#N/A,#N/A,FALSE,"REK-TPML";#N/A,#N/A,FALSE,"RAB-TEMPEL"}</definedName>
    <definedName name="hw" hidden="1">{#N/A,#N/A,FALSE,"REK-S-TPL";#N/A,#N/A,FALSE,"REK-TPML";#N/A,#N/A,FALSE,"RAB-TEMPEL"}</definedName>
    <definedName name="Hybrid">#REF!</definedName>
    <definedName name="HYDRANT">#REF!</definedName>
    <definedName name="hygfi">#REF!</definedName>
    <definedName name="hygtfv" localSheetId="10" hidden="1">{"with_oth_curr",#N/A,FALSE,"2225"}</definedName>
    <definedName name="hygtfv" hidden="1">{"with_oth_curr",#N/A,FALSE,"2225"}</definedName>
    <definedName name="hygtfv_1" localSheetId="10" hidden="1">{"with_oth_curr",#N/A,FALSE,"2225"}</definedName>
    <definedName name="hygtfv_1" hidden="1">{"with_oth_curr",#N/A,FALSE,"2225"}</definedName>
    <definedName name="hygyggj" localSheetId="10" hidden="1">{"rp_only",#N/A,FALSE,"2225"}</definedName>
    <definedName name="hygyggj" hidden="1">{"rp_only",#N/A,FALSE,"2225"}</definedName>
    <definedName name="hygyggj_1" localSheetId="10" hidden="1">{"rp_only",#N/A,FALSE,"2225"}</definedName>
    <definedName name="hygyggj_1" hidden="1">{"rp_only",#N/A,FALSE,"2225"}</definedName>
    <definedName name="hyutuyt" localSheetId="10" hidden="1">{"with_oth_curr",#N/A,FALSE,"2225"}</definedName>
    <definedName name="hyutuyt" hidden="1">{"with_oth_curr",#N/A,FALSE,"2225"}</definedName>
    <definedName name="hyutuyt_1" localSheetId="10"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localSheetId="10" hidden="1">{#N/A,#N/A,FALSE,"Aging Summary";#N/A,#N/A,FALSE,"Ratio Analysis";#N/A,#N/A,FALSE,"Test 120 Day Accts";#N/A,#N/A,FALSE,"Tickmarks"}</definedName>
    <definedName name="ia" hidden="1">{#N/A,#N/A,FALSE,"Aging Summary";#N/A,#N/A,FALSE,"Ratio Analysis";#N/A,#N/A,FALSE,"Test 120 Day Accts";#N/A,#N/A,FALSE,"Tickmarks"}</definedName>
    <definedName name="ia_1" localSheetId="10" hidden="1">{#N/A,#N/A,FALSE,"Aging Summary";#N/A,#N/A,FALSE,"Ratio Analysis";#N/A,#N/A,FALSE,"Test 120 Day Accts";#N/A,#N/A,FALSE,"Tickmarks"}</definedName>
    <definedName name="ia_1" hidden="1">{#N/A,#N/A,FALSE,"Aging Summary";#N/A,#N/A,FALSE,"Ratio Analysis";#N/A,#N/A,FALSE,"Test 120 Day Accts";#N/A,#N/A,FALSE,"Tickmarks"}</definedName>
    <definedName name="IAHCCHOTEL" localSheetId="10" hidden="1">{"adj95mult",#N/A,FALSE,"COMPCO";"adj95est",#N/A,FALSE,"COMPCO"}</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localSheetId="10"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10" hidden="1">{#N/A,#N/A,FALSE,"CCTV"}</definedName>
    <definedName name="iiouolkll" hidden="1">{#N/A,#N/A,FALSE,"CCTV"}</definedName>
    <definedName name="ijiu7866" localSheetId="10" hidden="1">{"rp_only",#N/A,FALSE,"2225"}</definedName>
    <definedName name="ijiu7866" hidden="1">{"rp_only",#N/A,FALSE,"2225"}</definedName>
    <definedName name="ijiu7866_1" localSheetId="10" hidden="1">{"rp_only",#N/A,FALSE,"2225"}</definedName>
    <definedName name="ijiu7866_1" hidden="1">{"rp_only",#N/A,FALSE,"2225"}</definedName>
    <definedName name="iko" localSheetId="10" hidden="1">{#N/A,#N/A,FALSE,"Aging Summary";#N/A,#N/A,FALSE,"Ratio Analysis";#N/A,#N/A,FALSE,"Test 120 Day Accts";#N/A,#N/A,FALSE,"Tickmarks"}</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localSheetId="10" hidden="1">{#N/A,#N/A,FALSE,"Aging Summary";#N/A,#N/A,FALSE,"Ratio Analysis";#N/A,#N/A,FALSE,"Test 120 Day Accts";#N/A,#N/A,FALSE,"Tickmarks"}</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localSheetId="10" hidden="1">{#N/A,#N/A,FALSE,"Cost Report";#N/A,#N/A,FALSE,"Qtly Summ.";#N/A,#N/A,FALSE,"Mar  Qtr";#N/A,#N/A,FALSE,"Report Summary"}</definedName>
    <definedName name="ina" hidden="1">{#N/A,#N/A,FALSE,"Cost Report";#N/A,#N/A,FALSE,"Qtly Summ.";#N/A,#N/A,FALSE,"Mar  Qtr";#N/A,#N/A,FALSE,"Report Summary"}</definedName>
    <definedName name="ina_1" localSheetId="10"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 localSheetId="10">Main.SAPF4Help()</definedName>
    <definedName name="indus">Main.SAPF4Help()</definedName>
    <definedName name="Indust" localSheetId="10">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localSheetId="10" hidden="1">{"SCH1B",#N/A,FALSE,"Canada";"SCH2B",#N/A,FALSE,"Canada"}</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localSheetId="10" hidden="1">{"rp_only",#N/A,FALSE,"2225"}</definedName>
    <definedName name="iopiopi" hidden="1">{"rp_only",#N/A,FALSE,"2225"}</definedName>
    <definedName name="iopiopi_1" localSheetId="10" hidden="1">{"rp_only",#N/A,FALSE,"2225"}</definedName>
    <definedName name="iopiopi_1" hidden="1">{"rp_only",#N/A,FALSE,"2225"}</definedName>
    <definedName name="iopiopio" localSheetId="10" hidden="1">{"with_oth_curr",#N/A,FALSE,"2225"}</definedName>
    <definedName name="iopiopio" hidden="1">{"with_oth_curr",#N/A,FALSE,"2225"}</definedName>
    <definedName name="iopiopio_1" localSheetId="10" hidden="1">{"with_oth_curr",#N/A,FALSE,"2225"}</definedName>
    <definedName name="iopiopio_1" hidden="1">{"with_oth_curr",#N/A,FALSE,"2225"}</definedName>
    <definedName name="iopiopiop" localSheetId="10" hidden="1">{"with_oth_curr",#N/A,FALSE,"2225"}</definedName>
    <definedName name="iopiopiop" hidden="1">{"with_oth_curr",#N/A,FALSE,"2225"}</definedName>
    <definedName name="iopiopiop_1" localSheetId="10" hidden="1">{"with_oth_curr",#N/A,FALSE,"2225"}</definedName>
    <definedName name="iopiopiop_1" hidden="1">{"with_oth_curr",#N/A,FALSE,"2225"}</definedName>
    <definedName name="iouioiuo" localSheetId="10" hidden="1">{"rp_only",#N/A,FALSE,"2225"}</definedName>
    <definedName name="iouioiuo" hidden="1">{"rp_only",#N/A,FALSE,"2225"}</definedName>
    <definedName name="iouioiuo_1" localSheetId="10" hidden="1">{"rp_only",#N/A,FALSE,"2225"}</definedName>
    <definedName name="iouioiuo_1" hidden="1">{"rp_only",#N/A,FALSE,"2225"}</definedName>
    <definedName name="iouoiuoiu" localSheetId="10" hidden="1">{"rp_only",#N/A,FALSE,"2225"}</definedName>
    <definedName name="iouoiuoiu" hidden="1">{"rp_only",#N/A,FALSE,"2225"}</definedName>
    <definedName name="iouoiuoiu_1" localSheetId="10" hidden="1">{"rp_only",#N/A,FALSE,"2225"}</definedName>
    <definedName name="iouoiuoiu_1" hidden="1">{"rp_only",#N/A,FALSE,"2225"}</definedName>
    <definedName name="iououiouio" localSheetId="10" hidden="1">{"rp_only",#N/A,FALSE,"2225"}</definedName>
    <definedName name="iououiouio" hidden="1">{"rp_only",#N/A,FALSE,"2225"}</definedName>
    <definedName name="iououiouio_1" localSheetId="10"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localSheetId="10" hidden="1">{#N/A,#N/A,FALSE,"Aging Summary";#N/A,#N/A,FALSE,"Ratio Analysis";#N/A,#N/A,FALSE,"Test 120 Day Accts";#N/A,#N/A,FALSE,"Tickmarks"}</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localSheetId="10" hidden="1">{"rp_only",#N/A,FALSE,"2225"}</definedName>
    <definedName name="IUJHKJH" hidden="1">{"rp_only",#N/A,FALSE,"2225"}</definedName>
    <definedName name="IUJHKJH_1" localSheetId="10" hidden="1">{"rp_only",#N/A,FALSE,"2225"}</definedName>
    <definedName name="IUJHKJH_1" hidden="1">{"rp_only",#N/A,FALSE,"2225"}</definedName>
    <definedName name="iuo809oiu9p" localSheetId="10" hidden="1">{"rp_only",#N/A,FALSE,"2225"}</definedName>
    <definedName name="iuo809oiu9p" hidden="1">{"rp_only",#N/A,FALSE,"2225"}</definedName>
    <definedName name="iuo809oiu9p_1" localSheetId="10" hidden="1">{"rp_only",#N/A,FALSE,"2225"}</definedName>
    <definedName name="iuo809oiu9p_1" hidden="1">{"rp_only",#N/A,FALSE,"2225"}</definedName>
    <definedName name="iuouou" localSheetId="10" hidden="1">{"rp_only",#N/A,FALSE,"2225"}</definedName>
    <definedName name="iuouou" hidden="1">{"rp_only",#N/A,FALSE,"2225"}</definedName>
    <definedName name="iuouou_1" localSheetId="10" hidden="1">{"rp_only",#N/A,FALSE,"2225"}</definedName>
    <definedName name="iuouou_1" hidden="1">{"rp_only",#N/A,FALSE,"2225"}</definedName>
    <definedName name="iuououio" localSheetId="10" hidden="1">{"rp_only",#N/A,FALSE,"2225"}</definedName>
    <definedName name="iuououio" hidden="1">{"rp_only",#N/A,FALSE,"2225"}</definedName>
    <definedName name="iuououio_1" localSheetId="10" hidden="1">{"rp_only",#N/A,FALSE,"2225"}</definedName>
    <definedName name="iuououio_1" hidden="1">{"rp_only",#N/A,FALSE,"2225"}</definedName>
    <definedName name="iuuhhgg" localSheetId="10"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10" hidden="1">{"rp_only",#N/A,FALSE,"2225"}</definedName>
    <definedName name="iuyuiyuiyui" hidden="1">{"rp_only",#N/A,FALSE,"2225"}</definedName>
    <definedName name="iuyuiyuiyui_1" localSheetId="10"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localSheetId="10" hidden="1">{"rp_only",#N/A,FALSE,"2225"}</definedName>
    <definedName name="iy6465r7" hidden="1">{"rp_only",#N/A,FALSE,"2225"}</definedName>
    <definedName name="iy6465r7_1" localSheetId="10" hidden="1">{"rp_only",#N/A,FALSE,"2225"}</definedName>
    <definedName name="iy6465r7_1" hidden="1">{"rp_only",#N/A,FALSE,"2225"}</definedName>
    <definedName name="iyui" localSheetId="10" hidden="1">{"rp_only",#N/A,FALSE,"2225"}</definedName>
    <definedName name="iyui" hidden="1">{"rp_only",#N/A,FALSE,"2225"}</definedName>
    <definedName name="iyui_1" localSheetId="10"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localSheetId="10" hidden="1">{"'Feb 99'!$A$1:$G$30"}</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localSheetId="10" hidden="1">{#N/A,#N/A,FALSE,"Cost Report";#N/A,#N/A,FALSE,"Qtly Summ.";#N/A,#N/A,FALSE,"Mar  Qtr";#N/A,#N/A,FALSE,"Report Summary"}</definedName>
    <definedName name="je" hidden="1">{#N/A,#N/A,FALSE,"Cost Report";#N/A,#N/A,FALSE,"Qtly Summ.";#N/A,#N/A,FALSE,"Mar  Qtr";#N/A,#N/A,FALSE,"Report Summary"}</definedName>
    <definedName name="je_1" localSheetId="10"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10" hidden="1">{"rp_only",#N/A,FALSE,"2225"}</definedName>
    <definedName name="jfhjgjghj" hidden="1">{"rp_only",#N/A,FALSE,"2225"}</definedName>
    <definedName name="jfhjgjghj_1" localSheetId="10" hidden="1">{"rp_only",#N/A,FALSE,"2225"}</definedName>
    <definedName name="jfhjgjghj_1" hidden="1">{"rp_only",#N/A,FALSE,"2225"}</definedName>
    <definedName name="jfjfj" localSheetId="10" hidden="1">{#N/A,#N/A,TRUE,"Cover sheet";#N/A,#N/A,TRUE,"DCF analysis";#N/A,#N/A,TRUE,"WACC calculation"}</definedName>
    <definedName name="jfjfj" hidden="1">{#N/A,#N/A,TRUE,"Cover sheet";#N/A,#N/A,TRUE,"DCF analysis";#N/A,#N/A,TRUE,"WACC calculation"}</definedName>
    <definedName name="jghjghhj" localSheetId="10" hidden="1">{"rp_only",#N/A,FALSE,"2225"}</definedName>
    <definedName name="jghjghhj" hidden="1">{"rp_only",#N/A,FALSE,"2225"}</definedName>
    <definedName name="jghjghhj_1" localSheetId="10" hidden="1">{"rp_only",#N/A,FALSE,"2225"}</definedName>
    <definedName name="jghjghhj_1" hidden="1">{"rp_only",#N/A,FALSE,"2225"}</definedName>
    <definedName name="jghjghj" localSheetId="10" hidden="1">{"rp_only",#N/A,FALSE,"2225"}</definedName>
    <definedName name="jghjghj" hidden="1">{"rp_only",#N/A,FALSE,"2225"}</definedName>
    <definedName name="jghjghj_1" localSheetId="10" hidden="1">{"rp_only",#N/A,FALSE,"2225"}</definedName>
    <definedName name="jghjghj_1" hidden="1">{"rp_only",#N/A,FALSE,"2225"}</definedName>
    <definedName name="jghjghjg" localSheetId="10" hidden="1">{"rp_only",#N/A,FALSE,"2225"}</definedName>
    <definedName name="jghjghjg" hidden="1">{"rp_only",#N/A,FALSE,"2225"}</definedName>
    <definedName name="jghjghjg_1" localSheetId="10" hidden="1">{"rp_only",#N/A,FALSE,"2225"}</definedName>
    <definedName name="jghjghjg_1" hidden="1">{"rp_only",#N/A,FALSE,"2225"}</definedName>
    <definedName name="jghjghjghj" localSheetId="10" hidden="1">{"with_oth_curr",#N/A,FALSE,"2225"}</definedName>
    <definedName name="jghjghjghj" hidden="1">{"with_oth_curr",#N/A,FALSE,"2225"}</definedName>
    <definedName name="jghjghjghj_1" localSheetId="10" hidden="1">{"with_oth_curr",#N/A,FALSE,"2225"}</definedName>
    <definedName name="jghjghjghj_1" hidden="1">{"with_oth_curr",#N/A,FALSE,"2225"}</definedName>
    <definedName name="jghjgj" localSheetId="10" hidden="1">{"rp_only",#N/A,FALSE,"2225"}</definedName>
    <definedName name="jghjgj" hidden="1">{"rp_only",#N/A,FALSE,"2225"}</definedName>
    <definedName name="jghjgj_1" localSheetId="10" hidden="1">{"rp_only",#N/A,FALSE,"2225"}</definedName>
    <definedName name="jghjgj_1" hidden="1">{"rp_only",#N/A,FALSE,"2225"}</definedName>
    <definedName name="jghjgjhj" localSheetId="10" hidden="1">{"rp_only",#N/A,FALSE,"2225"}</definedName>
    <definedName name="jghjgjhj" hidden="1">{"rp_only",#N/A,FALSE,"2225"}</definedName>
    <definedName name="jghjgjhj_1" localSheetId="10" hidden="1">{"rp_only",#N/A,FALSE,"2225"}</definedName>
    <definedName name="jghjgjhj_1" hidden="1">{"rp_only",#N/A,FALSE,"2225"}</definedName>
    <definedName name="jghjmn" localSheetId="10" hidden="1">{"rp_only",#N/A,FALSE,"2225"}</definedName>
    <definedName name="jghjmn" hidden="1">{"rp_only",#N/A,FALSE,"2225"}</definedName>
    <definedName name="jghjmn_1" localSheetId="10" hidden="1">{"rp_only",#N/A,FALSE,"2225"}</definedName>
    <definedName name="jghjmn_1" hidden="1">{"rp_only",#N/A,FALSE,"2225"}</definedName>
    <definedName name="jgiuhjbyggh" localSheetId="10"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10" hidden="1">{"rp_only",#N/A,FALSE,"2225"}</definedName>
    <definedName name="jgjgf" hidden="1">{"rp_only",#N/A,FALSE,"2225"}</definedName>
    <definedName name="jgjgf_1" localSheetId="10" hidden="1">{"rp_only",#N/A,FALSE,"2225"}</definedName>
    <definedName name="jgjgf_1" hidden="1">{"rp_only",#N/A,FALSE,"2225"}</definedName>
    <definedName name="jgkhj" localSheetId="10" hidden="1">{"with_oth_curr",#N/A,FALSE,"2225"}</definedName>
    <definedName name="jgkhj" hidden="1">{"with_oth_curr",#N/A,FALSE,"2225"}</definedName>
    <definedName name="jgkhj_1" localSheetId="10" hidden="1">{"with_oth_curr",#N/A,FALSE,"2225"}</definedName>
    <definedName name="jgkhj_1" hidden="1">{"with_oth_curr",#N/A,FALSE,"2225"}</definedName>
    <definedName name="jh" localSheetId="10"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10" hidden="1">{"EVA",#N/A,FALSE,"EVA";"WACC",#N/A,FALSE,"WACC"}</definedName>
    <definedName name="jh_1" hidden="1">{"EVA",#N/A,FALSE,"EVA";"WACC",#N/A,FALSE,"WACC"}</definedName>
    <definedName name="jhgf" localSheetId="10" hidden="1">{"BUILD_MACHINERIES",#N/A,FALSE,"PREPAID-1"}</definedName>
    <definedName name="jhgf" hidden="1">{"BUILD_MACHINERIES",#N/A,FALSE,"PREPAID-1"}</definedName>
    <definedName name="jhgf_1" localSheetId="10" hidden="1">{"BUILD_MACHINERIES",#N/A,FALSE,"PREPAID-1"}</definedName>
    <definedName name="jhgf_1" hidden="1">{"BUILD_MACHINERIES",#N/A,FALSE,"PREPAID-1"}</definedName>
    <definedName name="jhgfdc" localSheetId="10" hidden="1">{"rp_only",#N/A,FALSE,"2225"}</definedName>
    <definedName name="jhgfdc" hidden="1">{"rp_only",#N/A,FALSE,"2225"}</definedName>
    <definedName name="jhgfdc_1" localSheetId="10" hidden="1">{"rp_only",#N/A,FALSE,"2225"}</definedName>
    <definedName name="jhgfdc_1" hidden="1">{"rp_only",#N/A,FALSE,"2225"}</definedName>
    <definedName name="jhgfvdc" localSheetId="10" hidden="1">{"with_oth_curr",#N/A,FALSE,"2225"}</definedName>
    <definedName name="jhgfvdc" hidden="1">{"with_oth_curr",#N/A,FALSE,"2225"}</definedName>
    <definedName name="jhgfvdc_1" localSheetId="10" hidden="1">{"with_oth_curr",#N/A,FALSE,"2225"}</definedName>
    <definedName name="jhgfvdc_1" hidden="1">{"with_oth_curr",#N/A,FALSE,"2225"}</definedName>
    <definedName name="jhghnfhnhbg" localSheetId="10" hidden="1">{"with_oth_curr",#N/A,FALSE,"2225"}</definedName>
    <definedName name="jhghnfhnhbg" hidden="1">{"with_oth_curr",#N/A,FALSE,"2225"}</definedName>
    <definedName name="jhghnfhnhbg_1" localSheetId="10" hidden="1">{"with_oth_curr",#N/A,FALSE,"2225"}</definedName>
    <definedName name="jhghnfhnhbg_1" hidden="1">{"with_oth_curr",#N/A,FALSE,"2225"}</definedName>
    <definedName name="jhgj" localSheetId="10" hidden="1">{"with_oth_curr",#N/A,FALSE,"2225"}</definedName>
    <definedName name="jhgj" hidden="1">{"with_oth_curr",#N/A,FALSE,"2225"}</definedName>
    <definedName name="jhgj_1" localSheetId="10" hidden="1">{"with_oth_curr",#N/A,FALSE,"2225"}</definedName>
    <definedName name="jhgj_1" hidden="1">{"with_oth_curr",#N/A,FALSE,"2225"}</definedName>
    <definedName name="jhgjghjgh" localSheetId="10" hidden="1">{"rp_only",#N/A,FALSE,"2225"}</definedName>
    <definedName name="jhgjghjgh" hidden="1">{"rp_only",#N/A,FALSE,"2225"}</definedName>
    <definedName name="jhgjghjgh_1" localSheetId="10" hidden="1">{"rp_only",#N/A,FALSE,"2225"}</definedName>
    <definedName name="jhgjghjgh_1" hidden="1">{"rp_only",#N/A,FALSE,"2225"}</definedName>
    <definedName name="jhgjhj" localSheetId="10" hidden="1">{"rp_only",#N/A,FALSE,"2225"}</definedName>
    <definedName name="jhgjhj" hidden="1">{"rp_only",#N/A,FALSE,"2225"}</definedName>
    <definedName name="jhgjhj_1" localSheetId="10" hidden="1">{"rp_only",#N/A,FALSE,"2225"}</definedName>
    <definedName name="jhgjhj_1" hidden="1">{"rp_only",#N/A,FALSE,"2225"}</definedName>
    <definedName name="jhgkjhgkj" localSheetId="10" hidden="1">{"rp_only",#N/A,FALSE,"2225"}</definedName>
    <definedName name="jhgkjhgkj" hidden="1">{"rp_only",#N/A,FALSE,"2225"}</definedName>
    <definedName name="jhgkjhgkj_1" localSheetId="10" hidden="1">{"rp_only",#N/A,FALSE,"2225"}</definedName>
    <definedName name="jhgkjhgkj_1" hidden="1">{"rp_only",#N/A,FALSE,"2225"}</definedName>
    <definedName name="jhhhh" localSheetId="10" hidden="1">{#N/A,#N/A,FALSE,"CCTV"}</definedName>
    <definedName name="jhhhh" hidden="1">{#N/A,#N/A,FALSE,"CCTV"}</definedName>
    <definedName name="jhiyuiuyi" localSheetId="10" hidden="1">{"with_oth_curr",#N/A,FALSE,"2225"}</definedName>
    <definedName name="jhiyuiuyi" hidden="1">{"with_oth_curr",#N/A,FALSE,"2225"}</definedName>
    <definedName name="jhiyuiuyi_1" localSheetId="10" hidden="1">{"with_oth_curr",#N/A,FALSE,"2225"}</definedName>
    <definedName name="jhiyuiuyi_1" hidden="1">{"with_oth_curr",#N/A,FALSE,"2225"}</definedName>
    <definedName name="jhjhhhj" localSheetId="10" hidden="1">{"with_oth_curr",#N/A,FALSE,"2225"}</definedName>
    <definedName name="jhjhhhj" hidden="1">{"with_oth_curr",#N/A,FALSE,"2225"}</definedName>
    <definedName name="jhjhhhj_1" localSheetId="10" hidden="1">{"with_oth_curr",#N/A,FALSE,"2225"}</definedName>
    <definedName name="jhjhhhj_1" hidden="1">{"with_oth_curr",#N/A,FALSE,"2225"}</definedName>
    <definedName name="jhjyu" localSheetId="10" hidden="1">{"rp_only",#N/A,FALSE,"2225"}</definedName>
    <definedName name="jhjyu" hidden="1">{"rp_only",#N/A,FALSE,"2225"}</definedName>
    <definedName name="jhjyu_1" localSheetId="10" hidden="1">{"rp_only",#N/A,FALSE,"2225"}</definedName>
    <definedName name="jhjyu_1" hidden="1">{"rp_only",#N/A,FALSE,"2225"}</definedName>
    <definedName name="jhk" localSheetId="10" hidden="1">{"rp_only",#N/A,FALSE,"2225"}</definedName>
    <definedName name="jhk" hidden="1">{"rp_only",#N/A,FALSE,"2225"}</definedName>
    <definedName name="jhk_1" localSheetId="10" hidden="1">{"rp_only",#N/A,FALSE,"2225"}</definedName>
    <definedName name="jhk_1" hidden="1">{"rp_only",#N/A,FALSE,"2225"}</definedName>
    <definedName name="jhkhiyuy8y" localSheetId="10" hidden="1">{"rp_only",#N/A,FALSE,"2225"}</definedName>
    <definedName name="jhkhiyuy8y" hidden="1">{"rp_only",#N/A,FALSE,"2225"}</definedName>
    <definedName name="jhkhiyuy8y_1" localSheetId="10" hidden="1">{"rp_only",#N/A,FALSE,"2225"}</definedName>
    <definedName name="jhkhiyuy8y_1" hidden="1">{"rp_only",#N/A,FALSE,"2225"}</definedName>
    <definedName name="jhkhjkh" localSheetId="10" hidden="1">{"rp_only",#N/A,FALSE,"2225"}</definedName>
    <definedName name="jhkhjkh" hidden="1">{"rp_only",#N/A,FALSE,"2225"}</definedName>
    <definedName name="jhkhjkh_1" localSheetId="10" hidden="1">{"rp_only",#N/A,FALSE,"2225"}</definedName>
    <definedName name="jhkhjkh_1" hidden="1">{"rp_only",#N/A,FALSE,"2225"}</definedName>
    <definedName name="jhkhjkhkjhk" localSheetId="10" hidden="1">{"rp_only",#N/A,FALSE,"2225"}</definedName>
    <definedName name="jhkhjkhkjhk" hidden="1">{"rp_only",#N/A,FALSE,"2225"}</definedName>
    <definedName name="jhkhjkhkjhk_1" localSheetId="10" hidden="1">{"rp_only",#N/A,FALSE,"2225"}</definedName>
    <definedName name="jhkhjkhkjhk_1" hidden="1">{"rp_only",#N/A,FALSE,"2225"}</definedName>
    <definedName name="jhkhk" localSheetId="10" hidden="1">{"rp_only",#N/A,FALSE,"2225"}</definedName>
    <definedName name="jhkhk" hidden="1">{"rp_only",#N/A,FALSE,"2225"}</definedName>
    <definedName name="jhkhk_1" localSheetId="10" hidden="1">{"rp_only",#N/A,FALSE,"2225"}</definedName>
    <definedName name="jhkhk_1" hidden="1">{"rp_only",#N/A,FALSE,"2225"}</definedName>
    <definedName name="jhnbgv" localSheetId="10" hidden="1">{"rp_only",#N/A,FALSE,"2225"}</definedName>
    <definedName name="jhnbgv" hidden="1">{"rp_only",#N/A,FALSE,"2225"}</definedName>
    <definedName name="jhnbgv_1" localSheetId="10" hidden="1">{"rp_only",#N/A,FALSE,"2225"}</definedName>
    <definedName name="jhnbgv_1" hidden="1">{"rp_only",#N/A,FALSE,"2225"}</definedName>
    <definedName name="jhngbvf" localSheetId="10" hidden="1">{"rp_only",#N/A,FALSE,"2225"}</definedName>
    <definedName name="jhngbvf" hidden="1">{"rp_only",#N/A,FALSE,"2225"}</definedName>
    <definedName name="jhngbvf_1" localSheetId="10" hidden="1">{"rp_only",#N/A,FALSE,"2225"}</definedName>
    <definedName name="jhngbvf_1" hidden="1">{"rp_only",#N/A,FALSE,"2225"}</definedName>
    <definedName name="jhnhjn" localSheetId="10" hidden="1">{"rp_only",#N/A,FALSE,"2225"}</definedName>
    <definedName name="jhnhjn" hidden="1">{"rp_only",#N/A,FALSE,"2225"}</definedName>
    <definedName name="jhnhjn_1" localSheetId="10" hidden="1">{"rp_only",#N/A,FALSE,"2225"}</definedName>
    <definedName name="jhnhjn_1" hidden="1">{"rp_only",#N/A,FALSE,"2225"}</definedName>
    <definedName name="jict" localSheetId="10"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localSheetId="10" hidden="1">{"rp_only",#N/A,FALSE,"2225"}</definedName>
    <definedName name="jiuy8767" hidden="1">{"rp_only",#N/A,FALSE,"2225"}</definedName>
    <definedName name="jiuy8767_1" localSheetId="10" hidden="1">{"rp_only",#N/A,FALSE,"2225"}</definedName>
    <definedName name="jiuy8767_1" hidden="1">{"rp_only",#N/A,FALSE,"2225"}</definedName>
    <definedName name="jiuy886" localSheetId="10" hidden="1">{"rp_only",#N/A,FALSE,"2225"}</definedName>
    <definedName name="jiuy886" hidden="1">{"rp_only",#N/A,FALSE,"2225"}</definedName>
    <definedName name="jiuy886_1" localSheetId="10"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localSheetId="10" hidden="1">{#N/A,#N/A,FALSE,"Sheet1";#N/A,#N/A,FALSE,"Sheet2"}</definedName>
    <definedName name="jjjj" hidden="1">{#N/A,#N/A,FALSE,"Sheet1";#N/A,#N/A,FALSE,"Sheet2"}</definedName>
    <definedName name="jju" hidden="1">#REF!</definedName>
    <definedName name="jk" localSheetId="10" hidden="1">{"'Feb 99'!$A$1:$G$30"}</definedName>
    <definedName name="jk" hidden="1">{"'Feb 99'!$A$1:$G$30"}</definedName>
    <definedName name="jkbhkhj" localSheetId="10" hidden="1">{"with_oth_curr",#N/A,FALSE,"2225"}</definedName>
    <definedName name="jkbhkhj" hidden="1">{"with_oth_curr",#N/A,FALSE,"2225"}</definedName>
    <definedName name="jkbhkhj_1" localSheetId="10" hidden="1">{"with_oth_curr",#N/A,FALSE,"2225"}</definedName>
    <definedName name="jkbhkhj_1" hidden="1">{"with_oth_curr",#N/A,FALSE,"2225"}</definedName>
    <definedName name="jkghjkgh" localSheetId="10" hidden="1">{"rp_only",#N/A,FALSE,"2225"}</definedName>
    <definedName name="jkghjkgh" hidden="1">{"rp_only",#N/A,FALSE,"2225"}</definedName>
    <definedName name="jkghjkgh_1" localSheetId="10" hidden="1">{"rp_only",#N/A,FALSE,"2225"}</definedName>
    <definedName name="jkghjkgh_1" hidden="1">{"rp_only",#N/A,FALSE,"2225"}</definedName>
    <definedName name="jkghkhj" localSheetId="10" hidden="1">{"rp_only",#N/A,FALSE,"2225"}</definedName>
    <definedName name="jkghkhj" hidden="1">{"rp_only",#N/A,FALSE,"2225"}</definedName>
    <definedName name="jkghkhj_1" localSheetId="10" hidden="1">{"rp_only",#N/A,FALSE,"2225"}</definedName>
    <definedName name="jkghkhj_1" hidden="1">{"rp_only",#N/A,FALSE,"2225"}</definedName>
    <definedName name="jkghkhjk" localSheetId="10" hidden="1">{"rp_only",#N/A,FALSE,"2225"}</definedName>
    <definedName name="jkghkhjk" hidden="1">{"rp_only",#N/A,FALSE,"2225"}</definedName>
    <definedName name="jkghkhjk_1" localSheetId="10" hidden="1">{"rp_only",#N/A,FALSE,"2225"}</definedName>
    <definedName name="jkghkhjk_1" hidden="1">{"rp_only",#N/A,FALSE,"2225"}</definedName>
    <definedName name="JKHASDKLHASF">#REF!</definedName>
    <definedName name="jkhjkghjghj" localSheetId="10" hidden="1">{"rp_only",#N/A,FALSE,"2225"}</definedName>
    <definedName name="jkhjkghjghj" hidden="1">{"rp_only",#N/A,FALSE,"2225"}</definedName>
    <definedName name="jkhjkghjghj_1" localSheetId="10" hidden="1">{"rp_only",#N/A,FALSE,"2225"}</definedName>
    <definedName name="jkhjkghjghj_1" hidden="1">{"rp_only",#N/A,FALSE,"2225"}</definedName>
    <definedName name="jkhjkhgkgh" localSheetId="10" hidden="1">{"rp_only",#N/A,FALSE,"2225"}</definedName>
    <definedName name="jkhjkhgkgh" hidden="1">{"rp_only",#N/A,FALSE,"2225"}</definedName>
    <definedName name="jkhjkhgkgh_1" localSheetId="10" hidden="1">{"rp_only",#N/A,FALSE,"2225"}</definedName>
    <definedName name="jkhjkhgkgh_1" hidden="1">{"rp_only",#N/A,FALSE,"2225"}</definedName>
    <definedName name="jkhjkhj" localSheetId="10" hidden="1">{"rp_only",#N/A,FALSE,"2225"}</definedName>
    <definedName name="jkhjkhj" hidden="1">{"rp_only",#N/A,FALSE,"2225"}</definedName>
    <definedName name="jkhjkhj_1" localSheetId="10" hidden="1">{"rp_only",#N/A,FALSE,"2225"}</definedName>
    <definedName name="jkhjkhj_1" hidden="1">{"rp_only",#N/A,FALSE,"2225"}</definedName>
    <definedName name="jkhjkhjkh" localSheetId="10" hidden="1">{"rp_only",#N/A,FALSE,"2225"}</definedName>
    <definedName name="jkhjkhjkh" hidden="1">{"rp_only",#N/A,FALSE,"2225"}</definedName>
    <definedName name="jkhjkhjkh_1" localSheetId="10" hidden="1">{"rp_only",#N/A,FALSE,"2225"}</definedName>
    <definedName name="jkhjkhjkh_1" hidden="1">{"rp_only",#N/A,FALSE,"2225"}</definedName>
    <definedName name="jkhkhj" localSheetId="10" hidden="1">{"rp_only",#N/A,FALSE,"2225"}</definedName>
    <definedName name="jkhkhj" hidden="1">{"rp_only",#N/A,FALSE,"2225"}</definedName>
    <definedName name="jkhkhj_1" localSheetId="10" hidden="1">{"rp_only",#N/A,FALSE,"2225"}</definedName>
    <definedName name="jkhkhj_1" hidden="1">{"rp_only",#N/A,FALSE,"2225"}</definedName>
    <definedName name="jkhkhjk" localSheetId="10" hidden="1">{"rp_only",#N/A,FALSE,"2225"}</definedName>
    <definedName name="jkhkhjk" hidden="1">{"rp_only",#N/A,FALSE,"2225"}</definedName>
    <definedName name="jkhkhjk_1" localSheetId="10" hidden="1">{"rp_only",#N/A,FALSE,"2225"}</definedName>
    <definedName name="jkhkhjk_1" hidden="1">{"rp_only",#N/A,FALSE,"2225"}</definedName>
    <definedName name="jkhkhjkhj" localSheetId="10" hidden="1">{"rp_only",#N/A,FALSE,"2225"}</definedName>
    <definedName name="jkhkhjkhj" hidden="1">{"rp_only",#N/A,FALSE,"2225"}</definedName>
    <definedName name="jkhkhjkhj_1" localSheetId="10" hidden="1">{"rp_only",#N/A,FALSE,"2225"}</definedName>
    <definedName name="jkhkhjkhj_1" hidden="1">{"rp_only",#N/A,FALSE,"2225"}</definedName>
    <definedName name="jkhkj" localSheetId="10" hidden="1">{"rp_only",#N/A,FALSE,"2225"}</definedName>
    <definedName name="jkhkj" hidden="1">{"rp_only",#N/A,FALSE,"2225"}</definedName>
    <definedName name="jkhkj_1" localSheetId="10" hidden="1">{"rp_only",#N/A,FALSE,"2225"}</definedName>
    <definedName name="jkhkj_1" hidden="1">{"rp_only",#N/A,FALSE,"2225"}</definedName>
    <definedName name="jkj" localSheetId="10"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10"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10" hidden="1">{"rp_only",#N/A,FALSE,"2225"}</definedName>
    <definedName name="jkjhkhjkhj" hidden="1">{"rp_only",#N/A,FALSE,"2225"}</definedName>
    <definedName name="jkjhkhjkhj_1" localSheetId="10" hidden="1">{"rp_only",#N/A,FALSE,"2225"}</definedName>
    <definedName name="jkjhkhjkhj_1" hidden="1">{"rp_only",#N/A,FALSE,"2225"}</definedName>
    <definedName name="jkjkjkgh" localSheetId="10" hidden="1">{"with_oth_curr",#N/A,FALSE,"2225"}</definedName>
    <definedName name="jkjkjkgh" hidden="1">{"with_oth_curr",#N/A,FALSE,"2225"}</definedName>
    <definedName name="jkjkjkgh_1" localSheetId="10" hidden="1">{"with_oth_curr",#N/A,FALSE,"2225"}</definedName>
    <definedName name="jkjkjkgh_1" hidden="1">{"with_oth_curr",#N/A,FALSE,"2225"}</definedName>
    <definedName name="JKKKKK" localSheetId="10" hidden="1">{#N/A,#N/A,FALSE,"Sheet1";#N/A,#N/A,FALSE,"Sheet2"}</definedName>
    <definedName name="JKKKKK" hidden="1">{#N/A,#N/A,FALSE,"Sheet1";#N/A,#N/A,FALSE,"Sheet2"}</definedName>
    <definedName name="jkljkljl" localSheetId="10" hidden="1">{"with_oth_curr",#N/A,FALSE,"2225"}</definedName>
    <definedName name="jkljkljl" hidden="1">{"with_oth_curr",#N/A,FALSE,"2225"}</definedName>
    <definedName name="jkljkljl_1" localSheetId="10" hidden="1">{"with_oth_curr",#N/A,FALSE,"2225"}</definedName>
    <definedName name="jkljkljl_1" hidden="1">{"with_oth_curr",#N/A,FALSE,"2225"}</definedName>
    <definedName name="jkllhgg" localSheetId="10" hidden="1">{#N/A,#N/A,FALSE,"Aging Summary";#N/A,#N/A,FALSE,"Ratio Analysis";#N/A,#N/A,FALSE,"Test 120 Day Accts";#N/A,#N/A,FALSE,"Tickmarks"}</definedName>
    <definedName name="jkllhgg" hidden="1">{#N/A,#N/A,FALSE,"Aging Summary";#N/A,#N/A,FALSE,"Ratio Analysis";#N/A,#N/A,FALSE,"Test 120 Day Accts";#N/A,#N/A,FALSE,"Tickmarks"}</definedName>
    <definedName name="jkt">#REF!</definedName>
    <definedName name="jl" localSheetId="10" hidden="1">{#N/A,#N/A,FALSE,"Sheet1";#N/A,#N/A,FALSE,"Sheet2"}</definedName>
    <definedName name="jl" hidden="1">{#N/A,#N/A,FALSE,"Sheet1";#N/A,#N/A,FALSE,"Sheet2"}</definedName>
    <definedName name="jljjoi080" localSheetId="10" hidden="1">{"rp_only",#N/A,FALSE,"2225"}</definedName>
    <definedName name="jljjoi080" hidden="1">{"rp_only",#N/A,FALSE,"2225"}</definedName>
    <definedName name="jljjoi080_1" localSheetId="10" hidden="1">{"rp_only",#N/A,FALSE,"2225"}</definedName>
    <definedName name="jljjoi080_1" hidden="1">{"rp_only",#N/A,FALSE,"2225"}</definedName>
    <definedName name="jme" localSheetId="10" hidden="1">{#N/A,#N/A,FALSE,"Aging Summary";#N/A,#N/A,FALSE,"Ratio Analysis";#N/A,#N/A,FALSE,"Test 120 Day Accts";#N/A,#N/A,FALSE,"Tickmarks"}</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10" hidden="1">{"rp_only",#N/A,FALSE,"2225"}</definedName>
    <definedName name="jnhgbvf" hidden="1">{"rp_only",#N/A,FALSE,"2225"}</definedName>
    <definedName name="jnhgbvf_1" localSheetId="10" hidden="1">{"rp_only",#N/A,FALSE,"2225"}</definedName>
    <definedName name="jnhgbvf_1" hidden="1">{"rp_only",#N/A,FALSE,"2225"}</definedName>
    <definedName name="JO" hidden="1">#REF!</definedName>
    <definedName name="JobTable">#REF!</definedName>
    <definedName name="johnston"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localSheetId="10" hidden="1">{#N/A,#N/A,FALSE,"Aging Summary";#N/A,#N/A,FALSE,"Ratio Analysis";#N/A,#N/A,FALSE,"Test 120 Day Accts";#N/A,#N/A,FALSE,"Tickmarks"}</definedName>
    <definedName name="joko" hidden="1">{#N/A,#N/A,FALSE,"Aging Summary";#N/A,#N/A,FALSE,"Ratio Analysis";#N/A,#N/A,FALSE,"Test 120 Day Accts";#N/A,#N/A,FALSE,"Tickmarks"}</definedName>
    <definedName name="joko_1" localSheetId="10"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localSheetId="10"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#REF!</definedName>
    <definedName name="juhjnhj" localSheetId="10" hidden="1">{"rp_only",#N/A,FALSE,"2225"}</definedName>
    <definedName name="juhjnhj" hidden="1">{"rp_only",#N/A,FALSE,"2225"}</definedName>
    <definedName name="juhjnhj_1" localSheetId="10" hidden="1">{"rp_only",#N/A,FALSE,"2225"}</definedName>
    <definedName name="juhjnhj_1" hidden="1">{"rp_only",#N/A,FALSE,"2225"}</definedName>
    <definedName name="juhujklk" localSheetId="10" hidden="1">{"with_oth_curr",#N/A,FALSE,"2225"}</definedName>
    <definedName name="juhujklk" hidden="1">{"with_oth_curr",#N/A,FALSE,"2225"}</definedName>
    <definedName name="juhujklk_1" localSheetId="10" hidden="1">{"with_oth_curr",#N/A,FALSE,"2225"}</definedName>
    <definedName name="juhujklk_1" hidden="1">{"with_oth_curr",#N/A,FALSE,"2225"}</definedName>
    <definedName name="juhytgvf" localSheetId="10" hidden="1">{"with_oth_curr",#N/A,FALSE,"2225"}</definedName>
    <definedName name="juhytgvf" hidden="1">{"with_oth_curr",#N/A,FALSE,"2225"}</definedName>
    <definedName name="juhytgvf_1" localSheetId="10" hidden="1">{"with_oth_curr",#N/A,FALSE,"2225"}</definedName>
    <definedName name="juhytgvf_1" hidden="1">{"with_oth_curr",#N/A,FALSE,"2225"}</definedName>
    <definedName name="jukk" localSheetId="10" hidden="1">{#N/A,#N/A,FALSE,"QR";#N/A,#N/A,FALSE,"R02";#N/A,#N/A,FALSE,"R04";#N/A,#N/A,FALSE,"R05";#N/A,#N/A,FALSE,"R08"}</definedName>
    <definedName name="jukk" hidden="1">{#N/A,#N/A,FALSE,"QR";#N/A,#N/A,FALSE,"R02";#N/A,#N/A,FALSE,"R04";#N/A,#N/A,FALSE,"R05";#N/A,#N/A,FALSE,"R08"}</definedName>
    <definedName name="Jul">#REF!</definedName>
    <definedName name="Jul_00">#REF!</definedName>
    <definedName name="Jul_01">#REF!</definedName>
    <definedName name="Julianita"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localSheetId="10"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localSheetId="10"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10"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localSheetId="10" hidden="1">{#N/A,#N/A,FALSE,"REK";#N/A,#N/A,FALSE,"Bq-ARS"}</definedName>
    <definedName name="karyo" hidden="1">{#N/A,#N/A,FALSE,"REK";#N/A,#N/A,FALSE,"Bq-ARS"}</definedName>
    <definedName name="kasa">#REF!</definedName>
    <definedName name="KASARHALUS">#REF!</definedName>
    <definedName name="KASBUN" localSheetId="10">{"Book1","RAB PASAR 30 AUG SCRAB.xls"}</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 localSheetId="10">SUM(KBB_ADM,KBB_CERUKAN,KBB_I_Jasa,KBB_INTEREST,KBB_LATEFEE,KBB_OR_B,KBB_POKOK,KBB_SBLM,KBB_TAMBAK)</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 localSheetId="10">BLCH</definedName>
    <definedName name="KDJHSKDSKH">BLCH</definedName>
    <definedName name="KDJU" localSheetId="10" hidden="1">{"'장비'!$A$3:$M$12"}</definedName>
    <definedName name="KDJU" hidden="1">{"'장비'!$A$3:$M$12"}</definedName>
    <definedName name="KDQTT0405">#REF!</definedName>
    <definedName name="KE_CUSTOMER">#REF!</definedName>
    <definedName name="kel">#REF!</definedName>
    <definedName name="kelon" localSheetId="10" hidden="1">{#N/A,#N/A,FALSE,"REK";#N/A,#N/A,FALSE,"rab"}</definedName>
    <definedName name="kelon" hidden="1">{#N/A,#N/A,FALSE,"REK";#N/A,#N/A,FALSE,"rab"}</definedName>
    <definedName name="kemala" localSheetId="10"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10"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localSheetId="10" hidden="1">{#N/A,#N/A,FALSE,"REK";#N/A,#N/A,FALSE,"rab"}</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localSheetId="10"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10" hidden="1">{#N/A,#N/A,FALSE,"CCTV"}</definedName>
    <definedName name="kghlgh" hidden="1">{#N/A,#N/A,FALSE,"CCTV"}</definedName>
    <definedName name="kgkgk" localSheetId="10" hidden="1">{#N/A,#N/A,TRUE,"Cover sheet";#N/A,#N/A,TRUE,"DCF analysis";#N/A,#N/A,TRUE,"WACC calculation"}</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localSheetId="10" hidden="1">{"rp_only",#N/A,FALSE,"2225"}</definedName>
    <definedName name="khjggytyu" hidden="1">{"rp_only",#N/A,FALSE,"2225"}</definedName>
    <definedName name="khjggytyu_1" localSheetId="10" hidden="1">{"rp_only",#N/A,FALSE,"2225"}</definedName>
    <definedName name="khjggytyu_1" hidden="1">{"rp_only",#N/A,FALSE,"2225"}</definedName>
    <definedName name="khjk" localSheetId="10" hidden="1">{"with_oth_curr",#N/A,FALSE,"2225"}</definedName>
    <definedName name="khjk" hidden="1">{"with_oth_curr",#N/A,FALSE,"2225"}</definedName>
    <definedName name="khjk_1" localSheetId="10" hidden="1">{"with_oth_curr",#N/A,FALSE,"2225"}</definedName>
    <definedName name="khjk_1" hidden="1">{"with_oth_curr",#N/A,FALSE,"2225"}</definedName>
    <definedName name="khjkgh" localSheetId="10" hidden="1">{"rp_only",#N/A,FALSE,"2225"}</definedName>
    <definedName name="khjkgh" hidden="1">{"rp_only",#N/A,FALSE,"2225"}</definedName>
    <definedName name="khjkgh_1" localSheetId="10" hidden="1">{"rp_only",#N/A,FALSE,"2225"}</definedName>
    <definedName name="khjkgh_1" hidden="1">{"rp_only",#N/A,FALSE,"2225"}</definedName>
    <definedName name="khjkghjk" localSheetId="10" hidden="1">{"rp_only",#N/A,FALSE,"2225"}</definedName>
    <definedName name="khjkghjk" hidden="1">{"rp_only",#N/A,FALSE,"2225"}</definedName>
    <definedName name="khjkghjk_1" localSheetId="10" hidden="1">{"rp_only",#N/A,FALSE,"2225"}</definedName>
    <definedName name="khjkghjk_1" hidden="1">{"rp_only",#N/A,FALSE,"2225"}</definedName>
    <definedName name="khjkghkh" localSheetId="10" hidden="1">{"with_oth_curr",#N/A,FALSE,"2225"}</definedName>
    <definedName name="khjkghkh" hidden="1">{"with_oth_curr",#N/A,FALSE,"2225"}</definedName>
    <definedName name="khjkghkh_1" localSheetId="10" hidden="1">{"with_oth_curr",#N/A,FALSE,"2225"}</definedName>
    <definedName name="khjkghkh_1" hidden="1">{"with_oth_curr",#N/A,FALSE,"2225"}</definedName>
    <definedName name="khjkh" localSheetId="10" hidden="1">{"rp_only",#N/A,FALSE,"2225"}</definedName>
    <definedName name="khjkh" hidden="1">{"rp_only",#N/A,FALSE,"2225"}</definedName>
    <definedName name="khjkh_1" localSheetId="10" hidden="1">{"rp_only",#N/A,FALSE,"2225"}</definedName>
    <definedName name="khjkh_1" hidden="1">{"rp_only",#N/A,FALSE,"2225"}</definedName>
    <definedName name="khkhjkh" localSheetId="10" hidden="1">{"rp_only",#N/A,FALSE,"2225"}</definedName>
    <definedName name="khkhjkh" hidden="1">{"rp_only",#N/A,FALSE,"2225"}</definedName>
    <definedName name="khkhjkh_1" localSheetId="10" hidden="1">{"rp_only",#N/A,FALSE,"2225"}</definedName>
    <definedName name="khkhjkh_1" hidden="1">{"rp_only",#N/A,FALSE,"2225"}</definedName>
    <definedName name="khkj" localSheetId="10" hidden="1">{"rp_only",#N/A,FALSE,"2225"}</definedName>
    <definedName name="khkj" hidden="1">{"rp_only",#N/A,FALSE,"2225"}</definedName>
    <definedName name="khkj_1" localSheetId="10" hidden="1">{"rp_only",#N/A,FALSE,"2225"}</definedName>
    <definedName name="khkj_1" hidden="1">{"rp_only",#N/A,FALSE,"2225"}</definedName>
    <definedName name="khkjhk" localSheetId="10" hidden="1">{"rp_only",#N/A,FALSE,"2225"}</definedName>
    <definedName name="khkjhk" hidden="1">{"rp_only",#N/A,FALSE,"2225"}</definedName>
    <definedName name="khkjhk_1" localSheetId="10"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localSheetId="10" hidden="1">{"with_oth_curr",#N/A,FALSE,"2225"}</definedName>
    <definedName name="khuygftre76ty7" hidden="1">{"with_oth_curr",#N/A,FALSE,"2225"}</definedName>
    <definedName name="khuygftre76ty7_1" localSheetId="10" hidden="1">{"with_oth_curr",#N/A,FALSE,"2225"}</definedName>
    <definedName name="khuygftre76ty7_1" hidden="1">{"with_oth_curr",#N/A,FALSE,"2225"}</definedName>
    <definedName name="khyty6r5" localSheetId="10" hidden="1">{"with_oth_curr",#N/A,FALSE,"2225"}</definedName>
    <definedName name="khyty6r5" hidden="1">{"with_oth_curr",#N/A,FALSE,"2225"}</definedName>
    <definedName name="khyty6r5_1" localSheetId="10"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localSheetId="10" hidden="1">{"rp_only",#N/A,FALSE,"2225"}</definedName>
    <definedName name="kioihyuyft" hidden="1">{"rp_only",#N/A,FALSE,"2225"}</definedName>
    <definedName name="kioihyuyft_1" localSheetId="10"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10" hidden="1">{"rp_only",#N/A,FALSE,"2225"}</definedName>
    <definedName name="kiuiy876" hidden="1">{"rp_only",#N/A,FALSE,"2225"}</definedName>
    <definedName name="kiuiy876_1" localSheetId="10" hidden="1">{"rp_only",#N/A,FALSE,"2225"}</definedName>
    <definedName name="kiuiy876_1" hidden="1">{"rp_only",#N/A,FALSE,"2225"}</definedName>
    <definedName name="kiulil" localSheetId="10" hidden="1">{#N/A,#N/A,FALSE,"CCTV"}</definedName>
    <definedName name="kiulil" hidden="1">{#N/A,#N/A,FALSE,"CCTV"}</definedName>
    <definedName name="kj" hidden="1">#REF!</definedName>
    <definedName name="kjgjkhjk" localSheetId="10" hidden="1">{"with_oth_curr",#N/A,FALSE,"2225"}</definedName>
    <definedName name="kjgjkhjk" hidden="1">{"with_oth_curr",#N/A,FALSE,"2225"}</definedName>
    <definedName name="kjgjkhjk_1" localSheetId="10" hidden="1">{"with_oth_curr",#N/A,FALSE,"2225"}</definedName>
    <definedName name="kjgjkhjk_1" hidden="1">{"with_oth_curr",#N/A,FALSE,"2225"}</definedName>
    <definedName name="kjhiuyy8" localSheetId="10" hidden="1">{"with_oth_curr",#N/A,FALSE,"2225"}</definedName>
    <definedName name="kjhiuyy8" hidden="1">{"with_oth_curr",#N/A,FALSE,"2225"}</definedName>
    <definedName name="kjhiuyy8_1" localSheetId="10" hidden="1">{"with_oth_curr",#N/A,FALSE,"2225"}</definedName>
    <definedName name="kjhiuyy8_1" hidden="1">{"with_oth_curr",#N/A,FALSE,"2225"}</definedName>
    <definedName name="kjhkh" localSheetId="10" hidden="1">{"rp_only",#N/A,FALSE,"2225"}</definedName>
    <definedName name="kjhkh" hidden="1">{"rp_only",#N/A,FALSE,"2225"}</definedName>
    <definedName name="kjhkh_1" localSheetId="10" hidden="1">{"rp_only",#N/A,FALSE,"2225"}</definedName>
    <definedName name="kjhkh_1" hidden="1">{"rp_only",#N/A,FALSE,"2225"}</definedName>
    <definedName name="kjhkhj" localSheetId="10" hidden="1">{"rp_only",#N/A,FALSE,"2225"}</definedName>
    <definedName name="kjhkhj" hidden="1">{"rp_only",#N/A,FALSE,"2225"}</definedName>
    <definedName name="kjhkhj_1" localSheetId="10" hidden="1">{"rp_only",#N/A,FALSE,"2225"}</definedName>
    <definedName name="kjhkhj_1" hidden="1">{"rp_only",#N/A,FALSE,"2225"}</definedName>
    <definedName name="kjhkj" localSheetId="10"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10" hidden="1">{#N/A,#N/A,FALSE,"CCTV"}</definedName>
    <definedName name="kjhlh" hidden="1">{#N/A,#N/A,FALSE,"CCTV"}</definedName>
    <definedName name="kjhljhk" localSheetId="10" hidden="1">{#N/A,#N/A,FALSE,"CCTV"}</definedName>
    <definedName name="kjhljhk" hidden="1">{#N/A,#N/A,FALSE,"CCTV"}</definedName>
    <definedName name="kjhn" localSheetId="10" hidden="1">{"rp_only",#N/A,FALSE,"2225"}</definedName>
    <definedName name="kjhn" hidden="1">{"rp_only",#N/A,FALSE,"2225"}</definedName>
    <definedName name="kjhn_1" localSheetId="10"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localSheetId="10" hidden="1">{"rp_only",#N/A,FALSE,"2225"}</definedName>
    <definedName name="kjjhhjlkl" hidden="1">{"rp_only",#N/A,FALSE,"2225"}</definedName>
    <definedName name="kjjhhjlkl_1" localSheetId="10" hidden="1">{"rp_only",#N/A,FALSE,"2225"}</definedName>
    <definedName name="kjjhhjlkl_1" hidden="1">{"rp_only",#N/A,FALSE,"2225"}</definedName>
    <definedName name="kjk" localSheetId="10" hidden="1">{#N/A,#N/A,FALSE,"Aging Summary";#N/A,#N/A,FALSE,"Ratio Analysis";#N/A,#N/A,FALSE,"Test 120 Day Accts";#N/A,#N/A,FALSE,"Tickmarks"}</definedName>
    <definedName name="kjk" hidden="1">{#N/A,#N/A,FALSE,"Aging Summary";#N/A,#N/A,FALSE,"Ratio Analysis";#N/A,#N/A,FALSE,"Test 120 Day Accts";#N/A,#N/A,FALSE,"Tickmarks"}</definedName>
    <definedName name="kjkj9jhg" localSheetId="10" hidden="1">{"rp_only",#N/A,FALSE,"2225"}</definedName>
    <definedName name="kjkj9jhg" hidden="1">{"rp_only",#N/A,FALSE,"2225"}</definedName>
    <definedName name="kjkj9jhg_1" localSheetId="10" hidden="1">{"rp_only",#N/A,FALSE,"2225"}</definedName>
    <definedName name="kjkj9jhg_1" hidden="1">{"rp_only",#N/A,FALSE,"2225"}</definedName>
    <definedName name="kjkkkkk" localSheetId="10" hidden="1">{"rp_only",#N/A,FALSE,"2225"}</definedName>
    <definedName name="kjkkkkk" hidden="1">{"rp_only",#N/A,FALSE,"2225"}</definedName>
    <definedName name="kjkkkkk_1" localSheetId="10" hidden="1">{"rp_only",#N/A,FALSE,"2225"}</definedName>
    <definedName name="kjkkkkk_1" hidden="1">{"rp_only",#N/A,FALSE,"2225"}</definedName>
    <definedName name="KJNK" localSheetId="10">BLCH</definedName>
    <definedName name="KJNK">BLCH</definedName>
    <definedName name="kjoh" localSheetId="10" hidden="1">{#N/A,#N/A,FALSE,"特殊室（ＢＱ表）"}</definedName>
    <definedName name="kjoh" hidden="1">{#N/A,#N/A,FALSE,"特殊室（ＢＱ表）"}</definedName>
    <definedName name="kjul97">#REF!</definedName>
    <definedName name="kjul98">#REF!</definedName>
    <definedName name="kjunh" localSheetId="10" hidden="1">{"with_oth_curr",#N/A,FALSE,"2225"}</definedName>
    <definedName name="kjunh" hidden="1">{"with_oth_curr",#N/A,FALSE,"2225"}</definedName>
    <definedName name="kjunh_1" localSheetId="10" hidden="1">{"with_oth_curr",#N/A,FALSE,"2225"}</definedName>
    <definedName name="kjunh_1" hidden="1">{"with_oth_curr",#N/A,FALSE,"2225"}</definedName>
    <definedName name="kjut77t" localSheetId="10" hidden="1">{"rp_only",#N/A,FALSE,"2225"}</definedName>
    <definedName name="kjut77t" hidden="1">{"rp_only",#N/A,FALSE,"2225"}</definedName>
    <definedName name="kjut77t_1" localSheetId="10" hidden="1">{"rp_only",#N/A,FALSE,"2225"}</definedName>
    <definedName name="kjut77t_1" hidden="1">{"rp_only",#N/A,FALSE,"2225"}</definedName>
    <definedName name="kk" localSheetId="10"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10" hidden="1">{#N/A,#N/A,FALSE,"CCTV"}</definedName>
    <definedName name="kkk" hidden="1">{#N/A,#N/A,FALSE,"CCTV"}</definedName>
    <definedName name="KKKK">#N/A</definedName>
    <definedName name="KKKKK" localSheetId="10" hidden="1">{#N/A,#N/A,FALSE,"Sheet1";#N/A,#N/A,FALSE,"Sheet2"}</definedName>
    <definedName name="KKKKK" hidden="1">{#N/A,#N/A,FALSE,"Sheet1";#N/A,#N/A,FALSE,"Sheet2"}</definedName>
    <definedName name="kkm" localSheetId="10" hidden="1">{#N/A,#N/A,FALSE,"Aging Summary";#N/A,#N/A,FALSE,"Ratio Analysis";#N/A,#N/A,FALSE,"Test 120 Day Accts";#N/A,#N/A,FALSE,"Tickmarks"}</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localSheetId="10" hidden="1">{"rp_only",#N/A,FALSE,"2225"}</definedName>
    <definedName name="kljkljklj" hidden="1">{"rp_only",#N/A,FALSE,"2225"}</definedName>
    <definedName name="kljkljklj_1" localSheetId="10" hidden="1">{"rp_only",#N/A,FALSE,"2225"}</definedName>
    <definedName name="kljkljklj_1" hidden="1">{"rp_only",#N/A,FALSE,"2225"}</definedName>
    <definedName name="klk" localSheetId="10" hidden="1">{"Graphic",#N/A,TRUE,"Graphic"}</definedName>
    <definedName name="klk" hidden="1">{"Graphic",#N/A,TRUE,"Graphic"}</definedName>
    <definedName name="klk_1" localSheetId="10" hidden="1">{"Graphic",#N/A,TRUE,"Graphic"}</definedName>
    <definedName name="klk_1" hidden="1">{"Graphic",#N/A,TRUE,"Graphic"}</definedName>
    <definedName name="kll" localSheetId="10" hidden="1">{#N/A,#N/A,FALSE,"Aging Summary";#N/A,#N/A,FALSE,"Ratio Analysis";#N/A,#N/A,FALSE,"Test 120 Day Accts";#N/A,#N/A,FALSE,"Tickmarks"}</definedName>
    <definedName name="kll" hidden="1">{#N/A,#N/A,FALSE,"Aging Summary";#N/A,#N/A,FALSE,"Ratio Analysis";#N/A,#N/A,FALSE,"Test 120 Day Accts";#N/A,#N/A,FALSE,"Tickmarks"}</definedName>
    <definedName name="klll" localSheetId="10"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localSheetId="10" hidden="1">{#N/A,#N/A,TRUE,"Cover sheet";#N/A,#N/A,TRUE,"DCF analysis";#N/A,#N/A,TRUE,"WACC calculation"}</definedName>
    <definedName name="kmh" hidden="1">{#N/A,#N/A,TRUE,"Cover sheet";#N/A,#N/A,TRUE,"DCF analysis";#N/A,#N/A,TRUE,"WACC calculation"}</definedName>
    <definedName name="kmjnh" localSheetId="10" hidden="1">{"rp_only",#N/A,FALSE,"2225"}</definedName>
    <definedName name="kmjnh" hidden="1">{"rp_only",#N/A,FALSE,"2225"}</definedName>
    <definedName name="kmjnh_1" localSheetId="10" hidden="1">{"rp_only",#N/A,FALSE,"2225"}</definedName>
    <definedName name="kmjnh_1" hidden="1">{"rp_only",#N/A,FALSE,"2225"}</definedName>
    <definedName name="kmjnhbgv" localSheetId="10" hidden="1">{"rp_only",#N/A,FALSE,"2225"}</definedName>
    <definedName name="kmjnhbgv" hidden="1">{"rp_only",#N/A,FALSE,"2225"}</definedName>
    <definedName name="kmjnhbgv_1" localSheetId="10"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localSheetId="10" hidden="1">{"rp_only",#N/A,FALSE,"2225"}</definedName>
    <definedName name="koiuu09grer" hidden="1">{"rp_only",#N/A,FALSE,"2225"}</definedName>
    <definedName name="koiuu09grer_1" localSheetId="10" hidden="1">{"rp_only",#N/A,FALSE,"2225"}</definedName>
    <definedName name="koiuu09grer_1" hidden="1">{"rp_only",#N/A,FALSE,"2225"}</definedName>
    <definedName name="kojcjhsdjvhjlsdcv" localSheetId="10"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10"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localSheetId="10" hidden="1">{#N/A,#N/A,FALSE,"Aging Summary";#N/A,#N/A,FALSE,"Ratio Analysis";#N/A,#N/A,FALSE,"Test 120 Day Accts";#N/A,#N/A,FALSE,"Tickmarks"}</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localSheetId="10"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localSheetId="10" hidden="1">{"'Model'!$A$1:$N$53"}</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localSheetId="10" hidden="1">{#N/A,#N/A,TRUE,"BT M200 da 10x20"}</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localSheetId="10" hidden="1">{#N/A,#N/A,FALSE,"Aging Summary";#N/A,#N/A,FALSE,"Ratio Analysis";#N/A,#N/A,FALSE,"Test 120 Day Accts";#N/A,#N/A,FALSE,"Tickmarks"}</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localSheetId="10"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localSheetId="10"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#REF!</definedName>
    <definedName name="lead" localSheetId="10" hidden="1">{#N/A,#N/A,FALSE,"Aging Summary";#N/A,#N/A,FALSE,"Ratio Analysis";#N/A,#N/A,FALSE,"Test 120 Day Accts";#N/A,#N/A,FALSE,"Tickmarks"}</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localSheetId="10" hidden="1">{#N/A,#N/A,FALSE,"Aging Summary";#N/A,#N/A,FALSE,"Ratio Analysis";#N/A,#N/A,FALSE,"Test 120 Day Accts";#N/A,#N/A,FALSE,"Tickmarks"}</definedName>
    <definedName name="lek" hidden="1">{#N/A,#N/A,FALSE,"Aging Summary";#N/A,#N/A,FALSE,"Ratio Analysis";#N/A,#N/A,FALSE,"Test 120 Day Accts";#N/A,#N/A,FALSE,"Tickmarks"}</definedName>
    <definedName name="lek_1" localSheetId="10"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localSheetId="10" hidden="1">{"rp_only",#N/A,FALSE,"2225"}</definedName>
    <definedName name="lkiuo6879" hidden="1">{"rp_only",#N/A,FALSE,"2225"}</definedName>
    <definedName name="lkiuo6879_1" localSheetId="10" hidden="1">{"rp_only",#N/A,FALSE,"2225"}</definedName>
    <definedName name="lkiuo6879_1" hidden="1">{"rp_only",#N/A,FALSE,"2225"}</definedName>
    <definedName name="lkjlkdwaf" hidden="1">#REF!</definedName>
    <definedName name="lkjlklkjlkjlkj" localSheetId="10" hidden="1">{"page1",#N/A,TRUE,"CSC";"page2",#N/A,TRUE,"CSC"}</definedName>
    <definedName name="lkjlklkjlkjlkj" hidden="1">{"page1",#N/A,TRUE,"CSC";"page2",#N/A,TRUE,"CSC"}</definedName>
    <definedName name="LKL" localSheetId="10"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10" hidden="1">{#N/A,#N/A,FALSE,"CCTV"}</definedName>
    <definedName name="lklhlkjl" hidden="1">{#N/A,#N/A,FALSE,"CCTV"}</definedName>
    <definedName name="ll" localSheetId="10" hidden="1">{#N/A,#N/A,FALSE,"Aging Summary";#N/A,#N/A,FALSE,"Ratio Analysis";#N/A,#N/A,FALSE,"Test 120 Day Accts";#N/A,#N/A,FALSE,"Tickmarks"}</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localSheetId="10" hidden="1">{"adj95mult",#N/A,FALSE,"COMPCO";"adj95est",#N/A,FALSE,"COMPCO"}</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10" hidden="1">{#N/A,#N/A,FALSE,"特殊室（ＢＱ表）"}</definedName>
    <definedName name="lop" hidden="1">{#N/A,#N/A,FALSE,"特殊室（ＢＱ表）"}</definedName>
    <definedName name="lop." localSheetId="10"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localSheetId="10" hidden="1">{#N/A,#N/A,FALSE,"Aging Summary";#N/A,#N/A,FALSE,"Ratio Analysis";#N/A,#N/A,FALSE,"Test 120 Day Accts";#N/A,#N/A,FALSE,"Tickmarks"}</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localSheetId="10" hidden="1">{#N/A,#N/A,FALSE,"Act.Fcst Costs"}</definedName>
    <definedName name="mac" hidden="1">{#N/A,#N/A,FALSE,"Act.Fcst Costs"}</definedName>
    <definedName name="Macadam">#REF!</definedName>
    <definedName name="Machinery\" localSheetId="10" hidden="1">{#N/A,#N/A,FALSE,"Cost Report";#N/A,#N/A,FALSE,"Qtly Summ.";#N/A,#N/A,FALSE,"Mar  Qtr";#N/A,#N/A,FALSE,"Report Summary"}</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 localSheetId="10">{"Book1","4.09 FLORA DAN FAUNA.xls","4.22 PERLENGKAPAN SEKOLAH.xls"}</definedName>
    <definedName name="mas">{"Book1","4.09 FLORA DAN FAUNA.xls","4.22 PERLENGKAPAN SEKOLAH.xls"}</definedName>
    <definedName name="mas0" localSheetId="10">{"Book1","4.09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localSheetId="10"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10" hidden="1">{#N/A,#N/A,FALSE,"特殊室（ＢＱ表）"}</definedName>
    <definedName name="MBM" hidden="1">{#N/A,#N/A,FALSE,"特殊室（ＢＱ表）"}</definedName>
    <definedName name="Mbn1p">#REF!</definedName>
    <definedName name="mbnmbm" localSheetId="10" hidden="1">{"with_oth_curr",#N/A,FALSE,"2225"}</definedName>
    <definedName name="mbnmbm" hidden="1">{"with_oth_curr",#N/A,FALSE,"2225"}</definedName>
    <definedName name="mbnmbm_1" localSheetId="10" hidden="1">{"with_oth_curr",#N/A,FALSE,"2225"}</definedName>
    <definedName name="mbnmbm_1" hidden="1">{"with_oth_curr",#N/A,FALSE,"2225"}</definedName>
    <definedName name="mbnmbmbn" localSheetId="10" hidden="1">{"rp_only",#N/A,FALSE,"2225"}</definedName>
    <definedName name="mbnmbmbn" hidden="1">{"rp_only",#N/A,FALSE,"2225"}</definedName>
    <definedName name="mbnmbmbn_1" localSheetId="10" hidden="1">{"rp_only",#N/A,FALSE,"2225"}</definedName>
    <definedName name="mbnmbmbn_1" hidden="1">{"rp_only",#N/A,FALSE,"2225"}</definedName>
    <definedName name="mbnmbmbnmb" localSheetId="10" hidden="1">{"rp_only",#N/A,FALSE,"2225"}</definedName>
    <definedName name="mbnmbmbnmb" hidden="1">{"rp_only",#N/A,FALSE,"2225"}</definedName>
    <definedName name="mbnmbmbnmb_1" localSheetId="10" hidden="1">{"rp_only",#N/A,FALSE,"2225"}</definedName>
    <definedName name="mbnmbmbnmb_1" hidden="1">{"rp_only",#N/A,FALSE,"2225"}</definedName>
    <definedName name="mbnmbnmbm" localSheetId="10" hidden="1">{"rp_only",#N/A,FALSE,"2225"}</definedName>
    <definedName name="mbnmbnmbm" hidden="1">{"rp_only",#N/A,FALSE,"2225"}</definedName>
    <definedName name="mbnmbnmbm_1" localSheetId="10"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 localSheetId="10">{"Book1","4.09 FLORA DAN FAUNA.xls","4.22 PERLENGKAPAN SEKOLAH.xls"}</definedName>
    <definedName name="mek">{"Book1","4.09 FLORA DAN FAUNA.xls","4.22 PERLENGKAPAN SEKOLAH.xls"}</definedName>
    <definedName name="meka" localSheetId="10">{"Book1","4.09 FLORA DAN FAUNA.xls","4.22 PERLENGKAPAN SEKOLAH.xls"}</definedName>
    <definedName name="meka">{"Book1","4.09 FLORA DAN FAUNA.xls","4.22 PERLENGKAPAN SEKOLAH.xls"}</definedName>
    <definedName name="MEKANIKAL">#REF!</definedName>
    <definedName name="mekar" localSheetId="10">{"Book1","4.09 FLORA DAN FAUNA.xls","4.22 PERLENGKAPAN SEKOLAH.xls"}</definedName>
    <definedName name="mekar">{"Book1","4.09 FLORA DAN FAUNA.xls","4.22 PERLENGKAPAN SEKOLAH.xls"}</definedName>
    <definedName name="mekd" localSheetId="10">{"Book1","4.09 FLORA DAN FAUNA.xls","4.22 PERLENGKAPAN SEKOLAH.xls"}</definedName>
    <definedName name="mekd">{"Book1","4.09 FLORA DAN FAUNA.xls","4.22 PERLENGKAPAN SEKOLAH.xls"}</definedName>
    <definedName name="meke" localSheetId="10">{"Book1","4.09 FLORA DAN FAUNA.xls","4.22 PERLENGKAPAN SEKOLAH.xls"}</definedName>
    <definedName name="meke">{"Book1","4.09 FLORA DAN FAUNA.xls","4.22 PERLENGKAPAN SEKOLAH.xls"}</definedName>
    <definedName name="mekf" localSheetId="10">{"Book1","4.09 FLORA DAN FAUNA.xls","4.22 PERLENGKAPAN SEKOLAH.xls"}</definedName>
    <definedName name="mekf">{"Book1","4.09 FLORA DAN FAUNA.xls","4.22 PERLENGKAPAN SEKOLAH.xls"}</definedName>
    <definedName name="meki" localSheetId="10">{"Book1","4.09 FLORA DAN FAUNA.xls","4.22 PERLENGKAPAN SEKOLAH.xls"}</definedName>
    <definedName name="meki">{"Book1","4.09 FLORA DAN FAUNA.xls","4.22 PERLENGKAPAN SEKOLAH.xls"}</definedName>
    <definedName name="mekl" localSheetId="10">{"Book1","4.09 FLORA DAN FAUNA.xls","4.22 PERLENGKAPAN SEKOLAH.xls"}</definedName>
    <definedName name="mekl">{"Book1","4.09 FLORA DAN FAUNA.xls","4.22 PERLENGKAPAN SEKOLAH.xls"}</definedName>
    <definedName name="meko" localSheetId="10">{"Book1","4.09 FLORA DAN FAUNA.xls","4.22 PERLENGKAPAN SEKOLAH.xls"}</definedName>
    <definedName name="meko">{"Book1","4.09 FLORA DAN FAUNA.xls","4.22 PERLENGKAPAN SEKOLAH.xls"}</definedName>
    <definedName name="mekp" localSheetId="10">{"Book1","4.09 FLORA DAN FAUNA.xls","4.22 PERLENGKAPAN SEKOLAH.xls"}</definedName>
    <definedName name="mekp">{"Book1","4.09 FLORA DAN FAUNA.xls","4.22 PERLENGKAPAN SEKOLAH.xls"}</definedName>
    <definedName name="meku" localSheetId="10">{"Book1","4.09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localSheetId="10"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10"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 localSheetId="10">{"Book1","4.09 FLORA DAN FAUNA.xls","4.22 PERLENGKAPAN SEKOLAH.xls"}</definedName>
    <definedName name="meq">{"Book1","4.09 FLORA DAN FAUNA.xls","4.22 PERLENGKAPAN SEKOLAH.xls"}</definedName>
    <definedName name="mer" localSheetId="10">{"Book1","4.09 FLORA DAN FAUNA.xls","4.22 PERLENGKAPAN SEKOLAH.xls"}</definedName>
    <definedName name="mer">{"Book1","4.09 FLORA DAN FAUNA.xls","4.22 PERLENGKAPAN SEKOLAH.xls"}</definedName>
    <definedName name="meranti">#REF!</definedName>
    <definedName name="mes" localSheetId="10">{"Book1","4.09 FLORA DAN FAUNA.xls","4.22 PERLENGKAPAN SEKOLAH.xls"}</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 localSheetId="10">{"Book1","4.09 FLORA DAN FAUNA.xls","4.22 PERLENGKAPAN SEKOLAH.xls"}</definedName>
    <definedName name="met">{"Book1","4.09 FLORA DAN FAUNA.xls","4.22 PERLENGKAPAN SEKOLAH.xls"}</definedName>
    <definedName name="metal" hidden="1">#REF!</definedName>
    <definedName name="mev" localSheetId="10">{"Book1","4.09 FLORA DAN FAUNA.xls","4.22 PERLENGKAPAN SEKOLAH.xls"}</definedName>
    <definedName name="mev">{"Book1","4.09 FLORA DAN FAUNA.xls","4.22 PERLENGKAPAN SEKOLAH.xls"}</definedName>
    <definedName name="mey" localSheetId="10">{"Book1","4.09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10"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localSheetId="10" hidden="1">{"with_oth_curr",#N/A,FALSE,"2225"}</definedName>
    <definedName name="mhjkhjk" hidden="1">{"with_oth_curr",#N/A,FALSE,"2225"}</definedName>
    <definedName name="mhjkhjk_1" localSheetId="10" hidden="1">{"with_oth_curr",#N/A,FALSE,"2225"}</definedName>
    <definedName name="mhjkhjk_1" hidden="1">{"with_oth_curr",#N/A,FALSE,"2225"}</definedName>
    <definedName name="mhm" localSheetId="10" hidden="1">{"rp_only",#N/A,FALSE,"2225"}</definedName>
    <definedName name="mhm" hidden="1">{"rp_only",#N/A,FALSE,"2225"}</definedName>
    <definedName name="mhm_1" localSheetId="10"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localSheetId="10" hidden="1">{#N/A,#N/A,FALSE,"Aging Summary";#N/A,#N/A,FALSE,"Ratio Analysis";#N/A,#N/A,FALSE,"Test 120 Day Accts";#N/A,#N/A,FALSE,"Tickmarks"}</definedName>
    <definedName name="mia" hidden="1">{#N/A,#N/A,FALSE,"Aging Summary";#N/A,#N/A,FALSE,"Ratio Analysis";#N/A,#N/A,FALSE,"Test 120 Day Accts";#N/A,#N/A,FALSE,"Tickmarks"}</definedName>
    <definedName name="Milano" localSheetId="10" hidden="1">{#N/A,#N/A,FALSE,"Cipta-All";#N/A,#N/A,FALSE,"Individual"}</definedName>
    <definedName name="Milano" hidden="1">{#N/A,#N/A,FALSE,"Cipta-All";#N/A,#N/A,FALSE,"Individual"}</definedName>
    <definedName name="Milano_1" localSheetId="10" hidden="1">{#N/A,#N/A,FALSE,"Cipta-All";#N/A,#N/A,FALSE,"Individual"}</definedName>
    <definedName name="Milano_1" hidden="1">{#N/A,#N/A,FALSE,"Cipta-All";#N/A,#N/A,FALSE,"Individual"}</definedName>
    <definedName name="MILYAR">#REF!</definedName>
    <definedName name="min" localSheetId="10" hidden="1">{"'Feb 99'!$A$1:$G$30"}</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localSheetId="10" hidden="1">{"with_oth_curr",#N/A,FALSE,"2225"}</definedName>
    <definedName name="mjnhbgfv" hidden="1">{"with_oth_curr",#N/A,FALSE,"2225"}</definedName>
    <definedName name="mjnhbgfv_1" localSheetId="10" hidden="1">{"with_oth_curr",#N/A,FALSE,"2225"}</definedName>
    <definedName name="mjnhbgfv_1" hidden="1">{"with_oth_curr",#N/A,FALSE,"2225"}</definedName>
    <definedName name="MJUUJKU" localSheetId="10" hidden="1">{#N/A,#N/A,FALSE,"M01";#N/A,#N/A,FALSE,"M02";#N/A,#N/A,FALSE,"M03";#N/A,#N/A,FALSE,"M04";#N/A,#N/A,FALSE,"M05";#N/A,#N/A,FALSE,"M08"}</definedName>
    <definedName name="MJUUJKU" hidden="1">{#N/A,#N/A,FALSE,"M01";#N/A,#N/A,FALSE,"M02";#N/A,#N/A,FALSE,"M03";#N/A,#N/A,FALSE,"M04";#N/A,#N/A,FALSE,"M05";#N/A,#N/A,FALSE,"M08"}</definedName>
    <definedName name="mk" hidden="1">#REF!</definedName>
    <definedName name="mker20">#REF!</definedName>
    <definedName name="mker30">#REF!</definedName>
    <definedName name="mkjnhbgvfcd" localSheetId="10" hidden="1">{"rp_only",#N/A,FALSE,"2225"}</definedName>
    <definedName name="mkjnhbgvfcd" hidden="1">{"rp_only",#N/A,FALSE,"2225"}</definedName>
    <definedName name="mkjnhbgvfcd_1" localSheetId="10" hidden="1">{"rp_only",#N/A,FALSE,"2225"}</definedName>
    <definedName name="mkjnhbgvfcd_1" hidden="1">{"rp_only",#N/A,FALSE,"2225"}</definedName>
    <definedName name="mkl" localSheetId="10" hidden="1">{#N/A,#N/A,FALSE,"Aging Summary";#N/A,#N/A,FALSE,"Ratio Analysis";#N/A,#N/A,FALSE,"Test 120 Day Accts";#N/A,#N/A,FALSE,"Tickmarks"}</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localSheetId="10" hidden="1">{#N/A,#N/A,FALSE,"Aging Summary";#N/A,#N/A,FALSE,"Ratio Analysis";#N/A,#N/A,FALSE,"Test 120 Day Accts";#N/A,#N/A,FALSE,"Tickmarks"}</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localSheetId="10"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10" hidden="1">{"'장비'!$A$3:$M$12"}</definedName>
    <definedName name="mmm" hidden="1">{"'장비'!$A$3:$M$12"}</definedName>
    <definedName name="MMM17A">#REF!</definedName>
    <definedName name="MMM35A">#REF!</definedName>
    <definedName name="mmmmm" localSheetId="10" hidden="1">{#N/A,#N/A,FALSE,"CCTV"}</definedName>
    <definedName name="mmmmm" hidden="1">{#N/A,#N/A,FALSE,"CCTV"}</definedName>
    <definedName name="Mn">#REF!</definedName>
    <definedName name="MNB" localSheetId="10" hidden="1">{#N/A,#N/A,FALSE,"特殊室（ＢＱ表）"}</definedName>
    <definedName name="MNB" hidden="1">{#N/A,#N/A,FALSE,"特殊室（ＢＱ表）"}</definedName>
    <definedName name="mnbbnm" localSheetId="10" hidden="1">{"rp_only",#N/A,FALSE,"2225"}</definedName>
    <definedName name="mnbbnm" hidden="1">{"rp_only",#N/A,FALSE,"2225"}</definedName>
    <definedName name="mnbbnm_1" localSheetId="10" hidden="1">{"rp_only",#N/A,FALSE,"2225"}</definedName>
    <definedName name="mnbbnm_1" hidden="1">{"rp_only",#N/A,FALSE,"2225"}</definedName>
    <definedName name="mnbm" localSheetId="10" hidden="1">{"with_oth_curr",#N/A,FALSE,"2225"}</definedName>
    <definedName name="mnbm" hidden="1">{"with_oth_curr",#N/A,FALSE,"2225"}</definedName>
    <definedName name="mnbm_1" localSheetId="10" hidden="1">{"with_oth_curr",#N/A,FALSE,"2225"}</definedName>
    <definedName name="mnbm_1" hidden="1">{"with_oth_curr",#N/A,FALSE,"2225"}</definedName>
    <definedName name="mnbmnb" localSheetId="10" hidden="1">{"rp_only",#N/A,FALSE,"2225"}</definedName>
    <definedName name="mnbmnb" hidden="1">{"rp_only",#N/A,FALSE,"2225"}</definedName>
    <definedName name="mnbmnb_1" localSheetId="10" hidden="1">{"rp_only",#N/A,FALSE,"2225"}</definedName>
    <definedName name="mnbmnb_1" hidden="1">{"rp_only",#N/A,FALSE,"2225"}</definedName>
    <definedName name="mnc_E">#REF!</definedName>
    <definedName name="mnc_P">#REF!</definedName>
    <definedName name="mnjhbv" localSheetId="10" hidden="1">{"rp_only",#N/A,FALSE,"2225"}</definedName>
    <definedName name="mnjhbv" hidden="1">{"rp_only",#N/A,FALSE,"2225"}</definedName>
    <definedName name="mnjhbv_1" localSheetId="10"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localSheetId="10"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localSheetId="10"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 localSheetId="10">{"Jan","Feb","Mar","Apr","May","Jun","Jul","Aug","Sep","Oct","Nov","Dec";"January","February","March","April","May","June","July","August","September","October","November","December"}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10">{"Jan","Feb","Mar","Apr","May","Jun","Jul","Aug","Sep","Oct","Nov","Dec";"January","February","March","April","May","June","July","August","September","October","November","December"}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 localSheetId="10">coname</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localSheetId="10" hidden="1">{"'Model'!$A$1:$N$53"}</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 localSheetId="10">OFFSET(#REF!,IF(Place=TRUE,0,5),0,4,16)</definedName>
    <definedName name="MultSummary">OFFSET(#REF!,IF(Place=TRUE,0,5),0,4,16)</definedName>
    <definedName name="MultSummary1" localSheetId="10">OFFSET(#REF!,IF(Place1=TRUE,0,5),0,4,16)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localSheetId="10"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10"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localSheetId="10" hidden="1">{"rp_only",#N/A,FALSE,"2225"}</definedName>
    <definedName name="MVperross" hidden="1">{"rp_only",#N/A,FALSE,"2225"}</definedName>
    <definedName name="MVperross_1" localSheetId="10"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localSheetId="10" hidden="1">{"with_oth_curr",#N/A,FALSE,"2225"}</definedName>
    <definedName name="nbbnbn" hidden="1">{"with_oth_curr",#N/A,FALSE,"2225"}</definedName>
    <definedName name="nbbnbn_1" localSheetId="10" hidden="1">{"with_oth_curr",#N/A,FALSE,"2225"}</definedName>
    <definedName name="nbbnbn_1" hidden="1">{"with_oth_curr",#N/A,FALSE,"2225"}</definedName>
    <definedName name="nbbnvnb" localSheetId="10" hidden="1">{"with_oth_curr",#N/A,FALSE,"2225"}</definedName>
    <definedName name="nbbnvnb" hidden="1">{"with_oth_curr",#N/A,FALSE,"2225"}</definedName>
    <definedName name="nbbnvnb_1" localSheetId="10" hidden="1">{"with_oth_curr",#N/A,FALSE,"2225"}</definedName>
    <definedName name="nbbnvnb_1" hidden="1">{"with_oth_curr",#N/A,FALSE,"2225"}</definedName>
    <definedName name="nbbvb" localSheetId="10" hidden="1">{"rp_only",#N/A,FALSE,"2225"}</definedName>
    <definedName name="nbbvb" hidden="1">{"rp_only",#N/A,FALSE,"2225"}</definedName>
    <definedName name="nbbvb_1" localSheetId="10" hidden="1">{"rp_only",#N/A,FALSE,"2225"}</definedName>
    <definedName name="nbbvb_1" hidden="1">{"rp_only",#N/A,FALSE,"2225"}</definedName>
    <definedName name="nbbvnb" localSheetId="10" hidden="1">{"with_oth_curr",#N/A,FALSE,"2225"}</definedName>
    <definedName name="nbbvnb" hidden="1">{"with_oth_curr",#N/A,FALSE,"2225"}</definedName>
    <definedName name="nbbvnb_1" localSheetId="10" hidden="1">{"with_oth_curr",#N/A,FALSE,"2225"}</definedName>
    <definedName name="nbbvnb_1" hidden="1">{"with_oth_curr",#N/A,FALSE,"2225"}</definedName>
    <definedName name="nbhgvf" localSheetId="10" hidden="1">{"rp_only",#N/A,FALSE,"2225"}</definedName>
    <definedName name="nbhgvf" hidden="1">{"rp_only",#N/A,FALSE,"2225"}</definedName>
    <definedName name="nbhgvf_1" localSheetId="10" hidden="1">{"rp_only",#N/A,FALSE,"2225"}</definedName>
    <definedName name="nbhgvf_1" hidden="1">{"rp_only",#N/A,FALSE,"2225"}</definedName>
    <definedName name="nbmbm" localSheetId="10" hidden="1">{"rp_only",#N/A,FALSE,"2225"}</definedName>
    <definedName name="nbmbm" hidden="1">{"rp_only",#N/A,FALSE,"2225"}</definedName>
    <definedName name="nbmbm_1" localSheetId="10" hidden="1">{"rp_only",#N/A,FALSE,"2225"}</definedName>
    <definedName name="nbmbm_1" hidden="1">{"rp_only",#N/A,FALSE,"2225"}</definedName>
    <definedName name="nbmbmbm" localSheetId="10" hidden="1">{"with_oth_curr",#N/A,FALSE,"2225"}</definedName>
    <definedName name="nbmbmbm" hidden="1">{"with_oth_curr",#N/A,FALSE,"2225"}</definedName>
    <definedName name="nbmbmbm_1" localSheetId="10" hidden="1">{"with_oth_curr",#N/A,FALSE,"2225"}</definedName>
    <definedName name="nbmbmbm_1" hidden="1">{"with_oth_curr",#N/A,FALSE,"2225"}</definedName>
    <definedName name="nbmbmnm" localSheetId="10" hidden="1">{"with_oth_curr",#N/A,FALSE,"2225"}</definedName>
    <definedName name="nbmbmnm" hidden="1">{"with_oth_curr",#N/A,FALSE,"2225"}</definedName>
    <definedName name="nbmbmnm_1" localSheetId="10" hidden="1">{"with_oth_curr",#N/A,FALSE,"2225"}</definedName>
    <definedName name="nbmbmnm_1" hidden="1">{"with_oth_curr",#N/A,FALSE,"2225"}</definedName>
    <definedName name="nbnb" localSheetId="10" hidden="1">{"rp_only",#N/A,FALSE,"2225"}</definedName>
    <definedName name="nbnb" hidden="1">{"rp_only",#N/A,FALSE,"2225"}</definedName>
    <definedName name="nbnb_1" localSheetId="10" hidden="1">{"rp_only",#N/A,FALSE,"2225"}</definedName>
    <definedName name="nbnb_1" hidden="1">{"rp_only",#N/A,FALSE,"2225"}</definedName>
    <definedName name="nbnbnbb" localSheetId="10" hidden="1">{"rp_only",#N/A,FALSE,"2225"}</definedName>
    <definedName name="nbnbnbb" hidden="1">{"rp_only",#N/A,FALSE,"2225"}</definedName>
    <definedName name="nbnbnbb_1" localSheetId="10" hidden="1">{"rp_only",#N/A,FALSE,"2225"}</definedName>
    <definedName name="nbnbnbb_1" hidden="1">{"rp_only",#N/A,FALSE,"2225"}</definedName>
    <definedName name="nbnbnbbn" localSheetId="10" hidden="1">{"rp_only",#N/A,FALSE,"2225"}</definedName>
    <definedName name="nbnbnbbn" hidden="1">{"rp_only",#N/A,FALSE,"2225"}</definedName>
    <definedName name="nbnbnbbn_1" localSheetId="10" hidden="1">{"rp_only",#N/A,FALSE,"2225"}</definedName>
    <definedName name="nbnbnbbn_1" hidden="1">{"rp_only",#N/A,FALSE,"2225"}</definedName>
    <definedName name="nbnbnbnb" localSheetId="10" hidden="1">{"rp_only",#N/A,FALSE,"2225"}</definedName>
    <definedName name="nbnbnbnb" hidden="1">{"rp_only",#N/A,FALSE,"2225"}</definedName>
    <definedName name="nbnbnbnb_1" localSheetId="10" hidden="1">{"rp_only",#N/A,FALSE,"2225"}</definedName>
    <definedName name="nbnbnbnb_1" hidden="1">{"rp_only",#N/A,FALSE,"2225"}</definedName>
    <definedName name="nbnbvnb" localSheetId="10" hidden="1">{"with_oth_curr",#N/A,FALSE,"2225"}</definedName>
    <definedName name="nbnbvnb" hidden="1">{"with_oth_curr",#N/A,FALSE,"2225"}</definedName>
    <definedName name="nbnbvnb_1" localSheetId="10" hidden="1">{"with_oth_curr",#N/A,FALSE,"2225"}</definedName>
    <definedName name="nbnbvnb_1" hidden="1">{"with_oth_curr",#N/A,FALSE,"2225"}</definedName>
    <definedName name="NBNHJJH" localSheetId="10" hidden="1">{"rp_only",#N/A,FALSE,"2225"}</definedName>
    <definedName name="NBNHJJH" hidden="1">{"rp_only",#N/A,FALSE,"2225"}</definedName>
    <definedName name="NBNHJJH_1" localSheetId="10" hidden="1">{"rp_only",#N/A,FALSE,"2225"}</definedName>
    <definedName name="NBNHJJH_1" hidden="1">{"rp_only",#N/A,FALSE,"2225"}</definedName>
    <definedName name="nbnmbnm" localSheetId="10" hidden="1">{"with_oth_curr",#N/A,FALSE,"2225"}</definedName>
    <definedName name="nbnmbnm" hidden="1">{"with_oth_curr",#N/A,FALSE,"2225"}</definedName>
    <definedName name="nbnmbnm_1" localSheetId="10" hidden="1">{"with_oth_curr",#N/A,FALSE,"2225"}</definedName>
    <definedName name="nbnmbnm_1" hidden="1">{"with_oth_curr",#N/A,FALSE,"2225"}</definedName>
    <definedName name="nbnvn" localSheetId="10" hidden="1">{"rp_only",#N/A,FALSE,"2225"}</definedName>
    <definedName name="nbnvn" hidden="1">{"rp_only",#N/A,FALSE,"2225"}</definedName>
    <definedName name="nbnvn_1" localSheetId="10" hidden="1">{"rp_only",#N/A,FALSE,"2225"}</definedName>
    <definedName name="nbnvn_1" hidden="1">{"rp_only",#N/A,FALSE,"2225"}</definedName>
    <definedName name="nbnvnb" localSheetId="10" hidden="1">{"rp_only",#N/A,FALSE,"2225"}</definedName>
    <definedName name="nbnvnb" hidden="1">{"rp_only",#N/A,FALSE,"2225"}</definedName>
    <definedName name="nbnvnb_1" localSheetId="10" hidden="1">{"rp_only",#N/A,FALSE,"2225"}</definedName>
    <definedName name="nbnvnb_1" hidden="1">{"rp_only",#N/A,FALSE,"2225"}</definedName>
    <definedName name="nbv" localSheetId="10" hidden="1">{"with_oth_curr",#N/A,FALSE,"2225"}</definedName>
    <definedName name="nbv" hidden="1">{"with_oth_curr",#N/A,FALSE,"2225"}</definedName>
    <definedName name="nbv_1" localSheetId="10" hidden="1">{"with_oth_curr",#N/A,FALSE,"2225"}</definedName>
    <definedName name="nbv_1" hidden="1">{"with_oth_curr",#N/A,FALSE,"2225"}</definedName>
    <definedName name="NBV_ex_gw">#REF!</definedName>
    <definedName name="NBV_FF">#REF!</definedName>
    <definedName name="nbvbbn" localSheetId="10" hidden="1">{"rp_only",#N/A,FALSE,"2225"}</definedName>
    <definedName name="nbvbbn" hidden="1">{"rp_only",#N/A,FALSE,"2225"}</definedName>
    <definedName name="nbvbbn_1" localSheetId="10" hidden="1">{"rp_only",#N/A,FALSE,"2225"}</definedName>
    <definedName name="nbvbbn_1" hidden="1">{"rp_only",#N/A,FALSE,"2225"}</definedName>
    <definedName name="nbvbnvb" localSheetId="10" hidden="1">{"rp_only",#N/A,FALSE,"2225"}</definedName>
    <definedName name="nbvbnvb" hidden="1">{"rp_only",#N/A,FALSE,"2225"}</definedName>
    <definedName name="nbvbnvb_1" localSheetId="10" hidden="1">{"rp_only",#N/A,FALSE,"2225"}</definedName>
    <definedName name="nbvbnvb_1" hidden="1">{"rp_only",#N/A,FALSE,"2225"}</definedName>
    <definedName name="nbvbvb" localSheetId="10" hidden="1">{"rp_only",#N/A,FALSE,"2225"}</definedName>
    <definedName name="nbvbvb" hidden="1">{"rp_only",#N/A,FALSE,"2225"}</definedName>
    <definedName name="nbvbvb_1" localSheetId="10" hidden="1">{"rp_only",#N/A,FALSE,"2225"}</definedName>
    <definedName name="nbvbvb_1" hidden="1">{"rp_only",#N/A,FALSE,"2225"}</definedName>
    <definedName name="nbvc" localSheetId="10" hidden="1">{"rp_only",#N/A,FALSE,"2225"}</definedName>
    <definedName name="nbvc" hidden="1">{"rp_only",#N/A,FALSE,"2225"}</definedName>
    <definedName name="nbvc_1" localSheetId="10" hidden="1">{"rp_only",#N/A,FALSE,"2225"}</definedName>
    <definedName name="nbvc_1" hidden="1">{"rp_only",#N/A,FALSE,"2225"}</definedName>
    <definedName name="nbvnn" localSheetId="10" hidden="1">{"rp_only",#N/A,FALSE,"2225"}</definedName>
    <definedName name="nbvnn" hidden="1">{"rp_only",#N/A,FALSE,"2225"}</definedName>
    <definedName name="nbvnn_1" localSheetId="10" hidden="1">{"rp_only",#N/A,FALSE,"2225"}</definedName>
    <definedName name="nbvnn_1" hidden="1">{"rp_only",#N/A,FALSE,"2225"}</definedName>
    <definedName name="nbvnvn" localSheetId="10" hidden="1">{"rp_only",#N/A,FALSE,"2225"}</definedName>
    <definedName name="nbvnvn" hidden="1">{"rp_only",#N/A,FALSE,"2225"}</definedName>
    <definedName name="nbvnvn_1" localSheetId="10" hidden="1">{"rp_only",#N/A,FALSE,"2225"}</definedName>
    <definedName name="nbvnvn_1" hidden="1">{"rp_only",#N/A,FALSE,"2225"}</definedName>
    <definedName name="nbvvbv" localSheetId="10" hidden="1">{"rp_only",#N/A,FALSE,"2225"}</definedName>
    <definedName name="nbvvbv" hidden="1">{"rp_only",#N/A,FALSE,"2225"}</definedName>
    <definedName name="nbvvbv_1" localSheetId="10"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 localSheetId="10">FST:(FSB)</definedName>
    <definedName name="newb">FST:(FSB)</definedName>
    <definedName name="newDC" localSheetId="10" hidden="1">{#N/A,#N/A,TRUE,"Cover sheet";#N/A,#N/A,TRUE,"DCF analysis";#N/A,#N/A,TRUE,"WACC calculation"}</definedName>
    <definedName name="newDC" hidden="1">{#N/A,#N/A,TRUE,"Cover sheet";#N/A,#N/A,TRUE,"DCF analysis";#N/A,#N/A,TRUE,"WACC calculation"}</definedName>
    <definedName name="NEWNAME" localSheetId="10" hidden="1">{#N/A,#N/A,FALSE,"CCTV"}</definedName>
    <definedName name="NEWNAME" hidden="1">{#N/A,#N/A,FALSE,"CCTV"}</definedName>
    <definedName name="newtab">#REF!</definedName>
    <definedName name="Next_Mth_p11">#REF!</definedName>
    <definedName name="NextButton">"Button 18"</definedName>
    <definedName name="NFI" localSheetId="10"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localSheetId="10" hidden="1">{"with_oth_curr",#N/A,FALSE,"2225"}</definedName>
    <definedName name="ngbnbg" hidden="1">{"with_oth_curr",#N/A,FALSE,"2225"}</definedName>
    <definedName name="ngbnbg_1" localSheetId="10" hidden="1">{"with_oth_curr",#N/A,FALSE,"2225"}</definedName>
    <definedName name="ngbnbg_1" hidden="1">{"with_oth_curr",#N/A,FALSE,"2225"}</definedName>
    <definedName name="NGRA">#REF!</definedName>
    <definedName name="ngytr6r4" localSheetId="10" hidden="1">{"rp_only",#N/A,FALSE,"2225"}</definedName>
    <definedName name="ngytr6r4" hidden="1">{"rp_only",#N/A,FALSE,"2225"}</definedName>
    <definedName name="ngytr6r4_1" localSheetId="10"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localSheetId="10" hidden="1">{#N/A,#N/A,FALSE,"Chi tiÆt"}</definedName>
    <definedName name="nharac" hidden="1">{#N/A,#N/A,FALSE,"Chi tiÆt"}</definedName>
    <definedName name="nhason">#REF!</definedName>
    <definedName name="nhd" hidden="1">#REF!</definedName>
    <definedName name="nhdfnhfdhsdg" localSheetId="10" hidden="1">{"rp_only",#N/A,FALSE,"2225"}</definedName>
    <definedName name="nhdfnhfdhsdg" hidden="1">{"rp_only",#N/A,FALSE,"2225"}</definedName>
    <definedName name="nhdfnhfdhsdg_1" localSheetId="10"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localSheetId="10" hidden="1">{"rp_only",#N/A,FALSE,"2225"}</definedName>
    <definedName name="njhbgv" hidden="1">{"rp_only",#N/A,FALSE,"2225"}</definedName>
    <definedName name="njhbgv_1" localSheetId="10" hidden="1">{"rp_only",#N/A,FALSE,"2225"}</definedName>
    <definedName name="njhbgv_1" hidden="1">{"rp_only",#N/A,FALSE,"2225"}</definedName>
    <definedName name="njhbv" localSheetId="10" hidden="1">{"with_oth_curr",#N/A,FALSE,"2225"}</definedName>
    <definedName name="njhbv" hidden="1">{"with_oth_curr",#N/A,FALSE,"2225"}</definedName>
    <definedName name="njhbv_1" localSheetId="10" hidden="1">{"with_oth_curr",#N/A,FALSE,"2225"}</definedName>
    <definedName name="njhbv_1" hidden="1">{"with_oth_curr",#N/A,FALSE,"2225"}</definedName>
    <definedName name="NJKJJK" localSheetId="10" hidden="1">{"with_oth_curr",#N/A,FALSE,"2225"}</definedName>
    <definedName name="NJKJJK" hidden="1">{"with_oth_curr",#N/A,FALSE,"2225"}</definedName>
    <definedName name="NJKJJK_1" localSheetId="10" hidden="1">{"with_oth_curr",#N/A,FALSE,"2225"}</definedName>
    <definedName name="NJKJJK_1" hidden="1">{"with_oth_curr",#N/A,FALSE,"2225"}</definedName>
    <definedName name="njuolhnolnh" localSheetId="10"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10"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10"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localSheetId="10" hidden="1">{"rp_only",#N/A,FALSE,"2225"}</definedName>
    <definedName name="nmbnmvncbncbnv" hidden="1">{"rp_only",#N/A,FALSE,"2225"}</definedName>
    <definedName name="nmbnmvncbncbnv_1" localSheetId="10" hidden="1">{"rp_only",#N/A,FALSE,"2225"}</definedName>
    <definedName name="nmbnmvncbncbnv_1" hidden="1">{"rp_only",#N/A,FALSE,"2225"}</definedName>
    <definedName name="nmbnmyui" localSheetId="10" hidden="1">{"with_oth_curr",#N/A,FALSE,"2225"}</definedName>
    <definedName name="nmbnmyui" hidden="1">{"with_oth_curr",#N/A,FALSE,"2225"}</definedName>
    <definedName name="nmbnmyui_1" localSheetId="10" hidden="1">{"with_oth_curr",#N/A,FALSE,"2225"}</definedName>
    <definedName name="nmbnmyui_1" hidden="1">{"with_oth_curr",#N/A,FALSE,"2225"}</definedName>
    <definedName name="nmbvmbjmntun" localSheetId="10" hidden="1">{"rp_only",#N/A,FALSE,"2225"}</definedName>
    <definedName name="nmbvmbjmntun" hidden="1">{"rp_only",#N/A,FALSE,"2225"}</definedName>
    <definedName name="nmbvmbjmntun_1" localSheetId="10" hidden="1">{"rp_only",#N/A,FALSE,"2225"}</definedName>
    <definedName name="nmbvmbjmntun_1" hidden="1">{"rp_only",#N/A,FALSE,"2225"}</definedName>
    <definedName name="nmhk" localSheetId="10" hidden="1">{#N/A,#N/A,FALSE,"Sheet1";#N/A,#N/A,FALSE,"Sheet2"}</definedName>
    <definedName name="nmhk" hidden="1">{#N/A,#N/A,FALSE,"Sheet1";#N/A,#N/A,FALSE,"Sheet2"}</definedName>
    <definedName name="nmm0" localSheetId="10" hidden="1">{"with_oth_curr",#N/A,FALSE,"2225"}</definedName>
    <definedName name="nmm0" hidden="1">{"with_oth_curr",#N/A,FALSE,"2225"}</definedName>
    <definedName name="nmm0_1" localSheetId="10" hidden="1">{"with_oth_curr",#N/A,FALSE,"2225"}</definedName>
    <definedName name="nmm0_1" hidden="1">{"with_oth_curr",#N/A,FALSE,"2225"}</definedName>
    <definedName name="nmmbnmbnmb" localSheetId="10" hidden="1">{"rp_only",#N/A,FALSE,"2225"}</definedName>
    <definedName name="nmmbnmbnmb" hidden="1">{"rp_only",#N/A,FALSE,"2225"}</definedName>
    <definedName name="nmmbnmbnmb_1" localSheetId="10" hidden="1">{"rp_only",#N/A,FALSE,"2225"}</definedName>
    <definedName name="nmmbnmbnmb_1" hidden="1">{"rp_only",#N/A,FALSE,"2225"}</definedName>
    <definedName name="nmnmbm" localSheetId="10" hidden="1">{"rp_only",#N/A,FALSE,"2225"}</definedName>
    <definedName name="nmnmbm" hidden="1">{"rp_only",#N/A,FALSE,"2225"}</definedName>
    <definedName name="nmnmbm_1" localSheetId="10" hidden="1">{"rp_only",#N/A,FALSE,"2225"}</definedName>
    <definedName name="nmnmbm_1" hidden="1">{"rp_only",#N/A,FALSE,"2225"}</definedName>
    <definedName name="nn" hidden="1">#REF!</definedName>
    <definedName name="nn1p">#REF!</definedName>
    <definedName name="nn3p">#REF!</definedName>
    <definedName name="nnn" localSheetId="10"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10"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10"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10"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10" hidden="1">{#N/A,#N/A,FALSE,"Cost Report";#N/A,#N/A,FALSE,"Qtly Summ.";#N/A,#N/A,FALSE,"Mar  Qtr";#N/A,#N/A,FALSE,"Report Summary"}</definedName>
    <definedName name="nnu" hidden="1">{#N/A,#N/A,FALSE,"Cost Report";#N/A,#N/A,FALSE,"Qtly Summ.";#N/A,#N/A,FALSE,"Mar  Qtr";#N/A,#N/A,FALSE,"Report Summary"}</definedName>
    <definedName name="nnu_1" localSheetId="10"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localSheetId="10" hidden="1">{#N/A,#N/A,FALSE,"Calc";#N/A,#N/A,FALSE,"Sensitivity";#N/A,#N/A,FALSE,"LT Earn.Dil.";#N/A,#N/A,FALSE,"Dil. AVP"}</definedName>
    <definedName name="noidea" hidden="1">{#N/A,#N/A,FALSE,"Calc";#N/A,#N/A,FALSE,"Sensitivity";#N/A,#N/A,FALSE,"LT Earn.Dil.";#N/A,#N/A,FALSE,"Dil. AVP"}</definedName>
    <definedName name="NOIDEA2" localSheetId="10"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localSheetId="10"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10" hidden="1">{"rp_only",#N/A,FALSE,"2225"}</definedName>
    <definedName name="Nsada" hidden="1">{"rp_only",#N/A,FALSE,"2225"}</definedName>
    <definedName name="Nsada_1" localSheetId="10"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localSheetId="10"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10"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localSheetId="10" hidden="1">{"rp_only",#N/A,FALSE,"2225"}</definedName>
    <definedName name="nuy65u" hidden="1">{"rp_only",#N/A,FALSE,"2225"}</definedName>
    <definedName name="nuy65u_1" localSheetId="10" hidden="1">{"rp_only",#N/A,FALSE,"2225"}</definedName>
    <definedName name="nuy65u_1" hidden="1">{"rp_only",#N/A,FALSE,"2225"}</definedName>
    <definedName name="nv">#REF!</definedName>
    <definedName name="nvbn" localSheetId="10" hidden="1">{"rp_only",#N/A,FALSE,"2225"}</definedName>
    <definedName name="nvbn" hidden="1">{"rp_only",#N/A,FALSE,"2225"}</definedName>
    <definedName name="nvbn_1" localSheetId="10" hidden="1">{"rp_only",#N/A,FALSE,"2225"}</definedName>
    <definedName name="nvbn_1" hidden="1">{"rp_only",#N/A,FALSE,"2225"}</definedName>
    <definedName name="nvbnvbn" localSheetId="10" hidden="1">{"rp_only",#N/A,FALSE,"2225"}</definedName>
    <definedName name="nvbnvbn" hidden="1">{"rp_only",#N/A,FALSE,"2225"}</definedName>
    <definedName name="nvbnvbn_1" localSheetId="10" hidden="1">{"rp_only",#N/A,FALSE,"2225"}</definedName>
    <definedName name="nvbnvbn_1" hidden="1">{"rp_only",#N/A,FALSE,"2225"}</definedName>
    <definedName name="nvbvbn" localSheetId="10" hidden="1">{"rp_only",#N/A,FALSE,"2225"}</definedName>
    <definedName name="nvbvbn" hidden="1">{"rp_only",#N/A,FALSE,"2225"}</definedName>
    <definedName name="nvbvbn_1" localSheetId="10" hidden="1">{"rp_only",#N/A,FALSE,"2225"}</definedName>
    <definedName name="nvbvbn_1" hidden="1">{"rp_only",#N/A,FALSE,"2225"}</definedName>
    <definedName name="NVL">#REF!</definedName>
    <definedName name="nvldm">#REF!</definedName>
    <definedName name="NVLxuatkho">#REF!</definedName>
    <definedName name="nvnvbn" localSheetId="10" hidden="1">{"with_oth_curr",#N/A,FALSE,"2225"}</definedName>
    <definedName name="nvnvbn" hidden="1">{"with_oth_curr",#N/A,FALSE,"2225"}</definedName>
    <definedName name="nvnvbn_1" localSheetId="10"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10" hidden="1">{"rp_only",#N/A,FALSE,"2225"}</definedName>
    <definedName name="nvvnb" hidden="1">{"rp_only",#N/A,FALSE,"2225"}</definedName>
    <definedName name="nvvnb_1" localSheetId="10"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localSheetId="10" hidden="1">{#N/A,#N/A,FALSE,"Aging Summary";#N/A,#N/A,FALSE,"Ratio Analysis";#N/A,#N/A,FALSE,"Test 120 Day Accts";#N/A,#N/A,FALSE,"Tickmarks"}</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localSheetId="10" hidden="1">{#N/A,#N/A,FALSE,"Sheet1"}</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10" hidden="1">{#N/A,#N/A,FALSE,"CCTV"}</definedName>
    <definedName name="oililui" hidden="1">{#N/A,#N/A,FALSE,"CCTV"}</definedName>
    <definedName name="oilk" localSheetId="10" hidden="1">{"with_oth_curr",#N/A,FALSE,"2225"}</definedName>
    <definedName name="oilk" hidden="1">{"with_oth_curr",#N/A,FALSE,"2225"}</definedName>
    <definedName name="oilk_1" localSheetId="10"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localSheetId="10" hidden="1">{"with_oth_curr",#N/A,FALSE,"2225"}</definedName>
    <definedName name="oioi9\" hidden="1">{"with_oth_curr",#N/A,FALSE,"2225"}</definedName>
    <definedName name="oioi9\_1" localSheetId="10" hidden="1">{"with_oth_curr",#N/A,FALSE,"2225"}</definedName>
    <definedName name="oioi9\_1" hidden="1">{"with_oth_curr",#N/A,FALSE,"2225"}</definedName>
    <definedName name="oipiuopiu" localSheetId="10" hidden="1">{"rp_only",#N/A,FALSE,"2225"}</definedName>
    <definedName name="oipiuopiu" hidden="1">{"rp_only",#N/A,FALSE,"2225"}</definedName>
    <definedName name="oipiuopiu_1" localSheetId="10" hidden="1">{"rp_only",#N/A,FALSE,"2225"}</definedName>
    <definedName name="oipiuopiu_1" hidden="1">{"rp_only",#N/A,FALSE,"2225"}</definedName>
    <definedName name="oiuouo" localSheetId="10" hidden="1">{"with_oth_curr",#N/A,FALSE,"2225"}</definedName>
    <definedName name="oiuouo" hidden="1">{"with_oth_curr",#N/A,FALSE,"2225"}</definedName>
    <definedName name="oiuouo_1" localSheetId="10" hidden="1">{"with_oth_curr",#N/A,FALSE,"2225"}</definedName>
    <definedName name="oiuouo_1" hidden="1">{"with_oth_curr",#N/A,FALSE,"2225"}</definedName>
    <definedName name="oiuu" localSheetId="10" hidden="1">{"rp_only",#N/A,FALSE,"2225"}</definedName>
    <definedName name="oiuu" hidden="1">{"rp_only",#N/A,FALSE,"2225"}</definedName>
    <definedName name="oiuu_1" localSheetId="10" hidden="1">{"rp_only",#N/A,FALSE,"2225"}</definedName>
    <definedName name="oiuu_1" hidden="1">{"rp_only",#N/A,FALSE,"2225"}</definedName>
    <definedName name="ojopj" hidden="1">#REF!</definedName>
    <definedName name="ok">#REF!</definedName>
    <definedName name="ok_1" localSheetId="10" hidden="1">{"Admin Costs",#N/A,FALSE,"Act.Fcst Costs"}</definedName>
    <definedName name="ok_1" hidden="1">{"Admin Costs",#N/A,FALSE,"Act.Fcst Costs"}</definedName>
    <definedName name="Oker">#REF!</definedName>
    <definedName name="oksi">#REF!</definedName>
    <definedName name="Okt" localSheetId="10" hidden="1">{"rp_only",#N/A,FALSE,"2225"}</definedName>
    <definedName name="Okt" hidden="1">{"rp_only",#N/A,FALSE,"2225"}</definedName>
    <definedName name="Okt_01">#REF!</definedName>
    <definedName name="Okt_1" localSheetId="10" hidden="1">{"rp_only",#N/A,FALSE,"2225"}</definedName>
    <definedName name="Okt_1" hidden="1">{"rp_only",#N/A,FALSE,"2225"}</definedName>
    <definedName name="OLD" hidden="1">#REF!</definedName>
    <definedName name="olddata">#REF!</definedName>
    <definedName name="olk" localSheetId="10" hidden="1">{#N/A,#N/A,FALSE,"特殊室（ＢＱ表）"}</definedName>
    <definedName name="olk" hidden="1">{#N/A,#N/A,FALSE,"特殊室（ＢＱ表）"}</definedName>
    <definedName name="olkj" hidden="1">#REF!</definedName>
    <definedName name="OMC" localSheetId="10"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10"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localSheetId="10" hidden="1">{"with_oth_curr",#N/A,FALSE,"2225"}</definedName>
    <definedName name="oon" hidden="1">{"with_oth_curr",#N/A,FALSE,"2225"}</definedName>
    <definedName name="oon_1" localSheetId="10" hidden="1">{"with_oth_curr",#N/A,FALSE,"2225"}</definedName>
    <definedName name="oon_1" hidden="1">{"with_oth_curr",#N/A,FALSE,"2225"}</definedName>
    <definedName name="ooo" localSheetId="10" hidden="1">{#N/A,#N/A,FALSE,"Act.Fcst Costs"}</definedName>
    <definedName name="ooo" hidden="1">{#N/A,#N/A,FALSE,"Act.Fcst Costs"}</definedName>
    <definedName name="ooo_1" localSheetId="10" hidden="1">{#N/A,#N/A,FALSE,"Act.Fcst Costs"}</definedName>
    <definedName name="ooo_1" hidden="1">{#N/A,#N/A,FALSE,"Act.Fcst Costs"}</definedName>
    <definedName name="oooo" localSheetId="10"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10"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10"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10" hidden="1">{"rp_only",#N/A,FALSE,"2225"}</definedName>
    <definedName name="oouooiuuiuuo" hidden="1">{"rp_only",#N/A,FALSE,"2225"}</definedName>
    <definedName name="oouooiuuiuuo_1" localSheetId="10" hidden="1">{"rp_only",#N/A,FALSE,"2225"}</definedName>
    <definedName name="oouooiuuiuuo_1" hidden="1">{"rp_only",#N/A,FALSE,"2225"}</definedName>
    <definedName name="op" localSheetId="10" hidden="1">{#N/A,#N/A,FALSE,"Aging Summary";#N/A,#N/A,FALSE,"Ratio Analysis";#N/A,#N/A,FALSE,"Test 120 Day Accts";#N/A,#N/A,FALSE,"Tickmarks"}</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localSheetId="10" hidden="1">{#N/A,#N/A,FALSE,"Cost Report";#N/A,#N/A,FALSE,"Qtly Summ.";#N/A,#N/A,FALSE,"Mar  Qtr";#N/A,#N/A,FALSE,"Report Summary"}</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localSheetId="10" hidden="1">{"with_oth_curr",#N/A,FALSE,"2225"}</definedName>
    <definedName name="opiopiiopiop" hidden="1">{"with_oth_curr",#N/A,FALSE,"2225"}</definedName>
    <definedName name="opiopiiopiop_1" localSheetId="10" hidden="1">{"with_oth_curr",#N/A,FALSE,"2225"}</definedName>
    <definedName name="opiopiiopiop_1" hidden="1">{"with_oth_curr",#N/A,FALSE,"2225"}</definedName>
    <definedName name="opiopiop" localSheetId="10" hidden="1">{"with_oth_curr",#N/A,FALSE,"2225"}</definedName>
    <definedName name="opiopiop" hidden="1">{"with_oth_curr",#N/A,FALSE,"2225"}</definedName>
    <definedName name="opiopiop_1" localSheetId="10" hidden="1">{"with_oth_curr",#N/A,FALSE,"2225"}</definedName>
    <definedName name="opiopiop_1" hidden="1">{"with_oth_curr",#N/A,FALSE,"2225"}</definedName>
    <definedName name="opiopiopiop" localSheetId="10" hidden="1">{"rp_only",#N/A,FALSE,"2225"}</definedName>
    <definedName name="opiopiopiop" hidden="1">{"rp_only",#N/A,FALSE,"2225"}</definedName>
    <definedName name="opiopiopiop_1" localSheetId="10" hidden="1">{"rp_only",#N/A,FALSE,"2225"}</definedName>
    <definedName name="opiopiopiop_1" hidden="1">{"rp_only",#N/A,FALSE,"2225"}</definedName>
    <definedName name="opipip" localSheetId="10" hidden="1">{"with_oth_curr",#N/A,FALSE,"2225"}</definedName>
    <definedName name="opipip" hidden="1">{"with_oth_curr",#N/A,FALSE,"2225"}</definedName>
    <definedName name="opipip_1" localSheetId="10" hidden="1">{"with_oth_curr",#N/A,FALSE,"2225"}</definedName>
    <definedName name="opipip_1" hidden="1">{"with_oth_curr",#N/A,FALSE,"2225"}</definedName>
    <definedName name="OPLAMP">#REF!</definedName>
    <definedName name="oplkk" localSheetId="10" hidden="1">{#N/A,#N/A,FALSE,"Aging Summary";#N/A,#N/A,FALSE,"Ratio Analysis";#N/A,#N/A,FALSE,"Test 120 Day Accts";#N/A,#N/A,FALSE,"Tickmarks"}</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localSheetId="10" hidden="1">{"rp_only",#N/A,FALSE,"2225"}</definedName>
    <definedName name="opuuio" hidden="1">{"rp_only",#N/A,FALSE,"2225"}</definedName>
    <definedName name="opuuio_1" localSheetId="10" hidden="1">{"rp_only",#N/A,FALSE,"2225"}</definedName>
    <definedName name="opuuio_1" hidden="1">{"rp_only",#N/A,FALSE,"2225"}</definedName>
    <definedName name="OR" localSheetId="10"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localSheetId="10" hidden="1">{"rp_only",#N/A,FALSE,"2225"}</definedName>
    <definedName name="ouiio" hidden="1">{"rp_only",#N/A,FALSE,"2225"}</definedName>
    <definedName name="ouiio_1" localSheetId="10"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localSheetId="10" hidden="1">{"DCF","UPSIDE CASE",FALSE,"Sheet1";"DCF","BASE CASE",FALSE,"Sheet1";"DCF","DOWNSIDE CASE",FALSE,"Sheet1"}</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localSheetId="10" hidden="1">{"with_oth_curr",#N/A,FALSE,"2225"}</definedName>
    <definedName name="P.." hidden="1">{"with_oth_curr",#N/A,FALSE,"2225"}</definedName>
    <definedName name="P..." localSheetId="10" hidden="1">{"rp_only",#N/A,FALSE,"2225"}</definedName>
    <definedName name="P..." hidden="1">{"rp_only",#N/A,FALSE,"2225"}</definedName>
    <definedName name="P...." localSheetId="10" hidden="1">{"rp_only",#N/A,FALSE,"2225"}</definedName>
    <definedName name="P...." hidden="1">{"rp_only",#N/A,FALSE,"2225"}</definedName>
    <definedName name="P...._1" localSheetId="10" hidden="1">{"rp_only",#N/A,FALSE,"2225"}</definedName>
    <definedName name="P...._1" hidden="1">{"rp_only",#N/A,FALSE,"2225"}</definedName>
    <definedName name="P..._1" localSheetId="10" hidden="1">{"rp_only",#N/A,FALSE,"2225"}</definedName>
    <definedName name="P..._1" hidden="1">{"rp_only",#N/A,FALSE,"2225"}</definedName>
    <definedName name="P.._1" localSheetId="10" hidden="1">{"with_oth_curr",#N/A,FALSE,"2225"}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localSheetId="10" hidden="1">{"rp_only",#N/A,FALSE,"2225"}</definedName>
    <definedName name="Padads" hidden="1">{"rp_only",#N/A,FALSE,"2225"}</definedName>
    <definedName name="Padads_1" localSheetId="10"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localSheetId="10"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10"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localSheetId="10" hidden="1">{#N/A,#N/A,FALSE,"REK";#N/A,#N/A,FALSE,"Bq-ARS"}</definedName>
    <definedName name="peno" hidden="1">{#N/A,#N/A,FALSE,"REK";#N/A,#N/A,FALSE,"Bq-ARS"}</definedName>
    <definedName name="pensionfund">#REF!</definedName>
    <definedName name="pentul" localSheetId="10" hidden="1">{#N/A,#N/A,FALSE,"REK-S-TPL";#N/A,#N/A,FALSE,"REK-TPML";#N/A,#N/A,FALSE,"RAB-TEMPEL"}</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 localSheetId="10">HAJIME:OWARI</definedName>
    <definedName name="Persiapan1">HAJIME:OWARI</definedName>
    <definedName name="personnel_db">#REF!</definedName>
    <definedName name="PERYR">#REF!</definedName>
    <definedName name="Pes" localSheetId="10" hidden="1">{#N/A,#N/A,FALSE,"M01";#N/A,#N/A,FALSE,"M02";#N/A,#N/A,FALSE,"M03";#N/A,#N/A,FALSE,"M04";#N/A,#N/A,FALSE,"M05";#N/A,#N/A,FALSE,"M08"}</definedName>
    <definedName name="Pes" hidden="1">{#N/A,#N/A,FALSE,"M01";#N/A,#N/A,FALSE,"M02";#N/A,#N/A,FALSE,"M03";#N/A,#N/A,FALSE,"M04";#N/A,#N/A,FALSE,"M05";#N/A,#N/A,FALSE,"M08"}</definedName>
    <definedName name="PETC">#REF!</definedName>
    <definedName name="peter"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localSheetId="10" hidden="1">{#N/A,#N/A,FALSE,"REK-S-TPL";#N/A,#N/A,FALSE,"REK-TPML";#N/A,#N/A,FALSE,"RAB-TEMPEL"}</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localSheetId="10" hidden="1">{#N/A,#N/A,FALSE,"Aging Summary";#N/A,#N/A,FALSE,"Ratio Analysis";#N/A,#N/A,FALSE,"Test 120 Day Accts";#N/A,#N/A,FALSE,"Tickmarks"}</definedName>
    <definedName name="pin" hidden="1">{#N/A,#N/A,FALSE,"Aging Summary";#N/A,#N/A,FALSE,"Ratio Analysis";#N/A,#N/A,FALSE,"Test 120 Day Accts";#N/A,#N/A,FALSE,"Tickmarks"}</definedName>
    <definedName name="pin_1" localSheetId="10"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localSheetId="10" hidden="1">{"with_oth_curr",#N/A,FALSE,"2225"}</definedName>
    <definedName name="piopiop" hidden="1">{"with_oth_curr",#N/A,FALSE,"2225"}</definedName>
    <definedName name="piopiop_1" localSheetId="10" hidden="1">{"with_oth_curr",#N/A,FALSE,"2225"}</definedName>
    <definedName name="piopiop_1" hidden="1">{"with_oth_curr",#N/A,FALSE,"2225"}</definedName>
    <definedName name="piopiopio" localSheetId="10" hidden="1">{"rp_only",#N/A,FALSE,"2225"}</definedName>
    <definedName name="piopiopio" hidden="1">{"rp_only",#N/A,FALSE,"2225"}</definedName>
    <definedName name="piopiopio_1" localSheetId="10"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localSheetId="10" hidden="1">{#N/A,#N/A,FALSE,"Aging Summary";#N/A,#N/A,FALSE,"Ratio Analysis";#N/A,#N/A,FALSE,"Test 120 Day Accts";#N/A,#N/A,FALSE,"Tickmarks"}</definedName>
    <definedName name="PLAu" hidden="1">{#N/A,#N/A,FALSE,"Aging Summary";#N/A,#N/A,FALSE,"Ratio Analysis";#N/A,#N/A,FALSE,"Test 120 Day Accts";#N/A,#N/A,FALSE,"Tickmarks"}</definedName>
    <definedName name="PLAu_1" localSheetId="10"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localSheetId="10"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10"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localSheetId="10"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localSheetId="10" hidden="1">{"rp_only",#N/A,FALSE,"2225"}</definedName>
    <definedName name="pooiup7yu76" hidden="1">{"rp_only",#N/A,FALSE,"2225"}</definedName>
    <definedName name="pooiup7yu76_1" localSheetId="10"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10" hidden="1">{#N/A,#N/A,FALSE,"特殊室（ＢＱ表）"}</definedName>
    <definedName name="Port1" hidden="1">{#N/A,#N/A,FALSE,"特殊室（ＢＱ表）"}</definedName>
    <definedName name="port11" localSheetId="10"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localSheetId="10" hidden="1">{"'Model'!$A$1:$N$53"}</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localSheetId="10" hidden="1">{#N/A,#N/A,FALSE,"Sheet1";#N/A,#N/A,FALSE,"Sheet2"}</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10" hidden="1">{#N/A,#N/A,FALSE,"CCTV"}</definedName>
    <definedName name="PPP" hidden="1">{#N/A,#N/A,FALSE,"CCTV"}</definedName>
    <definedName name="ppppttttttttttttttttttttttmjfvvvvvvvvvvvvv" localSheetId="10" hidden="1">{"Variance Q4",#N/A,FALSE,"Var"}</definedName>
    <definedName name="ppppttttttttttttttttttttttmjfvvvvvvvvvvvvv" hidden="1">{"Variance Q4",#N/A,FALSE,"Var"}</definedName>
    <definedName name="ppppttttttttttttttttttttttmjfvvvvvvvvvvvvv_1" localSheetId="10" hidden="1">{"Variance Q4",#N/A,FALSE,"Var"}</definedName>
    <definedName name="ppppttttttttttttttttttttttmjfvvvvvvvvvvvvv_1" hidden="1">{"Variance Q4",#N/A,FALSE,"Var"}</definedName>
    <definedName name="pr" localSheetId="10" hidden="1">{#N/A,#N/A,FALSE,"Aging Summary";#N/A,#N/A,FALSE,"Ratio Analysis";#N/A,#N/A,FALSE,"Test 120 Day Accts";#N/A,#N/A,FALSE,"Tickmarks"}</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localSheetId="10"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localSheetId="10"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 localSheetId="4">Cover!$A$1:$L$30</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localSheetId="10" hidden="1">{"CSC_1",#N/A,FALSE,"CSC Outputs";"CSC_2",#N/A,FALSE,"CSC Outputs"}</definedName>
    <definedName name="Print_CSC_Report_2" hidden="1">{"CSC_1",#N/A,FALSE,"CSC Outputs";"CSC_2",#N/A,FALSE,"CSC Outputs"}</definedName>
    <definedName name="Print_CSC_Report_3" localSheetId="10"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 localSheetId="0">#REF!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localSheetId="10" hidden="1">{#N/A,#N/A,FALSE,"Sheet1"}</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localSheetId="10" hidden="1">{"with_oth_curr",#N/A,FALSE,"2225"}</definedName>
    <definedName name="Pya...." hidden="1">{"with_oth_curr",#N/A,FALSE,"2225"}</definedName>
    <definedName name="Pya...._1" localSheetId="10"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localSheetId="10" hidden="1">{"rp_only",#N/A,FALSE,"2225"}</definedName>
    <definedName name="Q.." hidden="1">{"rp_only",#N/A,FALSE,"2225"}</definedName>
    <definedName name="Q.._1" localSheetId="10"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localSheetId="10" hidden="1">{#N/A,#N/A,FALSE,"Aging Summary";#N/A,#N/A,FALSE,"Ratio Analysis";#N/A,#N/A,FALSE,"Test 120 Day Accts";#N/A,#N/A,FALSE,"Tickmarks"}</definedName>
    <definedName name="qa" hidden="1">{#N/A,#N/A,FALSE,"Aging Summary";#N/A,#N/A,FALSE,"Ratio Analysis";#N/A,#N/A,FALSE,"Test 120 Day Accts";#N/A,#N/A,FALSE,"Tickmarks"}</definedName>
    <definedName name="qa_1" localSheetId="10"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10" hidden="1">{#N/A,#N/A,FALSE,"CCTV"}</definedName>
    <definedName name="QAZ" hidden="1">{#N/A,#N/A,FALSE,"CCTV"}</definedName>
    <definedName name="qd10_gt" localSheetId="10" hidden="1">{"'Sheet1'!$L$16"}</definedName>
    <definedName name="qd10_gt" hidden="1">{"'Sheet1'!$L$16"}</definedName>
    <definedName name="qegtegt" localSheetId="10" hidden="1">{#N/A,#N/A,FALSE,"REK-S-TPL";#N/A,#N/A,FALSE,"REK-TPML";#N/A,#N/A,FALSE,"RAB-TEMPEL"}</definedName>
    <definedName name="qegtegt" hidden="1">{#N/A,#N/A,FALSE,"REK-S-TPL";#N/A,#N/A,FALSE,"REK-TPML";#N/A,#N/A,FALSE,"RAB-TEMPEL"}</definedName>
    <definedName name="qegtqegt" localSheetId="10" hidden="1">{#N/A,#N/A,FALSE,"REK";#N/A,#N/A,FALSE,"rab"}</definedName>
    <definedName name="qegtqegt" hidden="1">{#N/A,#N/A,FALSE,"REK";#N/A,#N/A,FALSE,"rab"}</definedName>
    <definedName name="qegtqgt" localSheetId="10" hidden="1">{#N/A,#N/A,FALSE,"REK";#N/A,#N/A,FALSE,"rab"}</definedName>
    <definedName name="qegtqgt" hidden="1">{#N/A,#N/A,FALSE,"REK";#N/A,#N/A,FALSE,"rab"}</definedName>
    <definedName name="qeq" localSheetId="10" hidden="1">{#N/A,#N/A,FALSE,"Aging Summary";#N/A,#N/A,FALSE,"Ratio Analysis";#N/A,#N/A,FALSE,"Test 120 Day Accts";#N/A,#N/A,FALSE,"Tickmarks"}</definedName>
    <definedName name="qeq" hidden="1">{#N/A,#N/A,FALSE,"Aging Summary";#N/A,#N/A,FALSE,"Ratio Analysis";#N/A,#N/A,FALSE,"Test 120 Day Accts";#N/A,#N/A,FALSE,"Tickmarks"}</definedName>
    <definedName name="qeqe" localSheetId="10" hidden="1">{"rp_only",#N/A,FALSE,"2225"}</definedName>
    <definedName name="qeqe" hidden="1">{"rp_only",#N/A,FALSE,"2225"}</definedName>
    <definedName name="qeqe_1" localSheetId="10" hidden="1">{"rp_only",#N/A,FALSE,"2225"}</definedName>
    <definedName name="qeqe_1" hidden="1">{"rp_only",#N/A,FALSE,"2225"}</definedName>
    <definedName name="qeqweqwe" localSheetId="10" hidden="1">{"rp_only",#N/A,FALSE,"2225"}</definedName>
    <definedName name="qeqweqwe" hidden="1">{"rp_only",#N/A,FALSE,"2225"}</definedName>
    <definedName name="qeqweqwe_1" localSheetId="10" hidden="1">{"rp_only",#N/A,FALSE,"2225"}</definedName>
    <definedName name="qeqweqwe_1" hidden="1">{"rp_only",#N/A,FALSE,"2225"}</definedName>
    <definedName name="qerqewrw" localSheetId="10" hidden="1">{"rp_only",#N/A,FALSE,"2225"}</definedName>
    <definedName name="qerqewrw" hidden="1">{"rp_only",#N/A,FALSE,"2225"}</definedName>
    <definedName name="qerqewrw_1" localSheetId="10" hidden="1">{"rp_only",#N/A,FALSE,"2225"}</definedName>
    <definedName name="qerqewrw_1" hidden="1">{"rp_only",#N/A,FALSE,"2225"}</definedName>
    <definedName name="qewerwer" localSheetId="10" hidden="1">{"with_oth_curr",#N/A,FALSE,"2225"}</definedName>
    <definedName name="qewerwer" hidden="1">{"with_oth_curr",#N/A,FALSE,"2225"}</definedName>
    <definedName name="qewerwer_1" localSheetId="10" hidden="1">{"with_oth_curr",#N/A,FALSE,"2225"}</definedName>
    <definedName name="qewerwer_1" hidden="1">{"with_oth_curr",#N/A,FALSE,"2225"}</definedName>
    <definedName name="QEWYTGq" localSheetId="10" hidden="1">{#N/A,#N/A,FALSE,"REK";#N/A,#N/A,FALSE,"rab"}</definedName>
    <definedName name="QEWYTGq" hidden="1">{#N/A,#N/A,FALSE,"REK";#N/A,#N/A,FALSE,"rab"}</definedName>
    <definedName name="qf" localSheetId="10" hidden="1">{#N/A,#N/A,TRUE,"Cover sheet";#N/A,#N/A,TRUE,"INPUTS";#N/A,#N/A,TRUE,"OUTPUTS";#N/A,#N/A,TRUE,"VALUATION"}</definedName>
    <definedName name="qf" hidden="1">{#N/A,#N/A,TRUE,"Cover sheet";#N/A,#N/A,TRUE,"INPUTS";#N/A,#N/A,TRUE,"OUTPUTS";#N/A,#N/A,TRUE,"VALUATION"}</definedName>
    <definedName name="qgg" localSheetId="10" hidden="1">{#N/A,#N/A,FALSE,"Cover";"outputs total",#N/A,FALSE,"Outputs"}</definedName>
    <definedName name="qgg" hidden="1">{#N/A,#N/A,FALSE,"Cover";"outputs total",#N/A,FALSE,"Outputs"}</definedName>
    <definedName name="qh">#REF!</definedName>
    <definedName name="qow" hidden="1">#REF!</definedName>
    <definedName name="qq" localSheetId="10" hidden="1">{#N/A,#N/A,FALSE,"Aging Summary";#N/A,#N/A,FALSE,"Ratio Analysis";#N/A,#N/A,FALSE,"Test 120 Day Accts";#N/A,#N/A,FALSE,"Tickmarks"}</definedName>
    <definedName name="qq" hidden="1">{#N/A,#N/A,FALSE,"Aging Summary";#N/A,#N/A,FALSE,"Ratio Analysis";#N/A,#N/A,FALSE,"Test 120 Day Accts";#N/A,#N/A,FALSE,"Tickmarks"}</definedName>
    <definedName name="qq_1" localSheetId="10"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10" hidden="1">{#N/A,#N/A,FALSE,"CCTV"}</definedName>
    <definedName name="QQW" hidden="1">{#N/A,#N/A,FALSE,"CCTV"}</definedName>
    <definedName name="qqwe" localSheetId="10" hidden="1">{"rp_only",#N/A,FALSE,"2225"}</definedName>
    <definedName name="qqwe" hidden="1">{"rp_only",#N/A,FALSE,"2225"}</definedName>
    <definedName name="qqwe_1" localSheetId="10"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localSheetId="10" hidden="1">{#N/A,#N/A,TRUE,"Cover sheet";#N/A,#N/A,TRUE,"DCF analysis";#N/A,#N/A,TRUE,"WACC calculation"}</definedName>
    <definedName name="qsd" hidden="1">{#N/A,#N/A,TRUE,"Cover sheet";#N/A,#N/A,TRUE,"DCF analysis";#N/A,#N/A,TRUE,"WACC calculation"}</definedName>
    <definedName name="qsfd" localSheetId="10" hidden="1">{#N/A,#N/A,TRUE,"Cover sheet";#N/A,#N/A,TRUE,"INPUTS";#N/A,#N/A,TRUE,"OUTPUTS";#N/A,#N/A,TRUE,"VALUATION"}</definedName>
    <definedName name="qsfd" hidden="1">{#N/A,#N/A,TRUE,"Cover sheet";#N/A,#N/A,TRUE,"INPUTS";#N/A,#N/A,TRUE,"OUTPUTS";#N/A,#N/A,TRUE,"VALUATION"}</definedName>
    <definedName name="qsfdq">#REF!</definedName>
    <definedName name="Qtegt" localSheetId="10" hidden="1">{#N/A,#N/A,FALSE,"REK";#N/A,#N/A,FALSE,"rab"}</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localSheetId="10" hidden="1">{#N/A,#N/A,FALSE,"Aging Summary";#N/A,#N/A,FALSE,"Ratio Analysis";#N/A,#N/A,FALSE,"Test 120 Day Accts";#N/A,#N/A,FALSE,"Tickmarks"}</definedName>
    <definedName name="qw" hidden="1">{#N/A,#N/A,FALSE,"Aging Summary";#N/A,#N/A,FALSE,"Ratio Analysis";#N/A,#N/A,FALSE,"Test 120 Day Accts";#N/A,#N/A,FALSE,"Tickmarks"}</definedName>
    <definedName name="qw_1" localSheetId="10"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10" hidden="1">{"rp_only",#N/A,FALSE,"2225"}</definedName>
    <definedName name="qweewer" hidden="1">{"rp_only",#N/A,FALSE,"2225"}</definedName>
    <definedName name="qweewer_1" localSheetId="10" hidden="1">{"rp_only",#N/A,FALSE,"2225"}</definedName>
    <definedName name="qweewer_1" hidden="1">{"rp_only",#N/A,FALSE,"2225"}</definedName>
    <definedName name="qwegtqwegt" localSheetId="10" hidden="1">{#N/A,#N/A,FALSE,"REK";#N/A,#N/A,FALSE,"rab"}</definedName>
    <definedName name="qwegtqwegt" hidden="1">{#N/A,#N/A,FALSE,"REK";#N/A,#N/A,FALSE,"rab"}</definedName>
    <definedName name="qweqe" localSheetId="10" hidden="1">{"rp_only",#N/A,FALSE,"2225"}</definedName>
    <definedName name="qweqe" hidden="1">{"rp_only",#N/A,FALSE,"2225"}</definedName>
    <definedName name="qweqe_1" localSheetId="10" hidden="1">{"rp_only",#N/A,FALSE,"2225"}</definedName>
    <definedName name="qweqe_1" hidden="1">{"rp_only",#N/A,FALSE,"2225"}</definedName>
    <definedName name="qweqeqe" localSheetId="10" hidden="1">{"rp_only",#N/A,FALSE,"2225"}</definedName>
    <definedName name="qweqeqe" hidden="1">{"rp_only",#N/A,FALSE,"2225"}</definedName>
    <definedName name="qweqeqe_1" localSheetId="10" hidden="1">{"rp_only",#N/A,FALSE,"2225"}</definedName>
    <definedName name="qweqeqe_1" hidden="1">{"rp_only",#N/A,FALSE,"2225"}</definedName>
    <definedName name="qweqew" localSheetId="10" hidden="1">{"with_oth_curr",#N/A,FALSE,"2225"}</definedName>
    <definedName name="qweqew" hidden="1">{"with_oth_curr",#N/A,FALSE,"2225"}</definedName>
    <definedName name="qweqew_1" localSheetId="10" hidden="1">{"with_oth_curr",#N/A,FALSE,"2225"}</definedName>
    <definedName name="qweqew_1" hidden="1">{"with_oth_curr",#N/A,FALSE,"2225"}</definedName>
    <definedName name="qweqqweqewr" localSheetId="10" hidden="1">{"rp_only",#N/A,FALSE,"2225"}</definedName>
    <definedName name="qweqqweqewr" hidden="1">{"rp_only",#N/A,FALSE,"2225"}</definedName>
    <definedName name="qweqqweqewr_1" localSheetId="10" hidden="1">{"rp_only",#N/A,FALSE,"2225"}</definedName>
    <definedName name="qweqqweqewr_1" hidden="1">{"rp_only",#N/A,FALSE,"2225"}</definedName>
    <definedName name="qweqwe" localSheetId="10" hidden="1">{"rp_only",#N/A,FALSE,"2225"}</definedName>
    <definedName name="qweqwe" hidden="1">{"rp_only",#N/A,FALSE,"2225"}</definedName>
    <definedName name="qweqwe_1" localSheetId="10" hidden="1">{"rp_only",#N/A,FALSE,"2225"}</definedName>
    <definedName name="qweqwe_1" hidden="1">{"rp_only",#N/A,FALSE,"2225"}</definedName>
    <definedName name="qweqwee" localSheetId="10" hidden="1">{"with_oth_curr",#N/A,FALSE,"2225"}</definedName>
    <definedName name="qweqwee" hidden="1">{"with_oth_curr",#N/A,FALSE,"2225"}</definedName>
    <definedName name="qweqwee_1" localSheetId="10" hidden="1">{"with_oth_curr",#N/A,FALSE,"2225"}</definedName>
    <definedName name="qweqwee_1" hidden="1">{"with_oth_curr",#N/A,FALSE,"2225"}</definedName>
    <definedName name="qweqweqeqwe" localSheetId="10" hidden="1">{"with_oth_curr",#N/A,FALSE,"2225"}</definedName>
    <definedName name="qweqweqeqwe" hidden="1">{"with_oth_curr",#N/A,FALSE,"2225"}</definedName>
    <definedName name="qweqweqeqwe_1" localSheetId="10" hidden="1">{"with_oth_curr",#N/A,FALSE,"2225"}</definedName>
    <definedName name="qweqweqeqwe_1" hidden="1">{"with_oth_curr",#N/A,FALSE,"2225"}</definedName>
    <definedName name="qweqweqwe" localSheetId="10" hidden="1">{"rp_only",#N/A,FALSE,"2225"}</definedName>
    <definedName name="qweqweqwe" hidden="1">{"rp_only",#N/A,FALSE,"2225"}</definedName>
    <definedName name="qweqweqwe_1" localSheetId="10" hidden="1">{"rp_only",#N/A,FALSE,"2225"}</definedName>
    <definedName name="qweqweqwe_1" hidden="1">{"rp_only",#N/A,FALSE,"2225"}</definedName>
    <definedName name="qweqweqwrqwer" localSheetId="10" hidden="1">{"rp_only",#N/A,FALSE,"2225"}</definedName>
    <definedName name="qweqweqwrqwer" hidden="1">{"rp_only",#N/A,FALSE,"2225"}</definedName>
    <definedName name="qweqweqwrqwer_1" localSheetId="10" hidden="1">{"rp_only",#N/A,FALSE,"2225"}</definedName>
    <definedName name="qweqweqwrqwer_1" hidden="1">{"rp_only",#N/A,FALSE,"2225"}</definedName>
    <definedName name="qweqwrweqrer" localSheetId="10" hidden="1">{"rp_only",#N/A,FALSE,"2225"}</definedName>
    <definedName name="qweqwrweqrer" hidden="1">{"rp_only",#N/A,FALSE,"2225"}</definedName>
    <definedName name="qweqwrweqrer_1" localSheetId="10" hidden="1">{"rp_only",#N/A,FALSE,"2225"}</definedName>
    <definedName name="qweqwrweqrer_1" hidden="1">{"rp_only",#N/A,FALSE,"2225"}</definedName>
    <definedName name="qwer" localSheetId="10"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10" hidden="1">{#N/A,#N/A,FALSE,"Aging Summary";#N/A,#N/A,FALSE,"Ratio Analysis";#N/A,#N/A,FALSE,"Test 120 Day Accts";#N/A,#N/A,FALSE,"Tickmarks"}</definedName>
    <definedName name="qwert" hidden="1">{#N/A,#N/A,FALSE,"Aging Summary";#N/A,#N/A,FALSE,"Ratio Analysis";#N/A,#N/A,FALSE,"Test 120 Day Accts";#N/A,#N/A,FALSE,"Tickmarks"}</definedName>
    <definedName name="qwerty" localSheetId="10" hidden="1">{"with_oth_curr",#N/A,FALSE,"2225"}</definedName>
    <definedName name="qwerty" hidden="1">{"with_oth_curr",#N/A,FALSE,"2225"}</definedName>
    <definedName name="qwerty_1" localSheetId="10" hidden="1">{"with_oth_curr",#N/A,FALSE,"2225"}</definedName>
    <definedName name="qwerty_1" hidden="1">{"with_oth_curr",#N/A,FALSE,"2225"}</definedName>
    <definedName name="QWQ">#REF!</definedName>
    <definedName name="qwqeq">#REF!</definedName>
    <definedName name="qwrwew" localSheetId="10" hidden="1">{"rp_only",#N/A,FALSE,"2225"}</definedName>
    <definedName name="qwrwew" hidden="1">{"rp_only",#N/A,FALSE,"2225"}</definedName>
    <definedName name="qwrwew_1" localSheetId="10" hidden="1">{"rp_only",#N/A,FALSE,"2225"}</definedName>
    <definedName name="qwrwew_1" hidden="1">{"rp_only",#N/A,FALSE,"2225"}</definedName>
    <definedName name="qws" localSheetId="10" hidden="1">{#N/A,#N/A,FALSE,"Cost Report";#N/A,#N/A,FALSE,"Qtly Summ.";#N/A,#N/A,FALSE,"Mar  Qtr";#N/A,#N/A,FALSE,"Report Summary"}</definedName>
    <definedName name="qws" hidden="1">{#N/A,#N/A,FALSE,"Cost Report";#N/A,#N/A,FALSE,"Qtly Summ.";#N/A,#N/A,FALSE,"Mar  Qtr";#N/A,#N/A,FALSE,"Report Summary"}</definedName>
    <definedName name="qws_1" localSheetId="10" hidden="1">{#N/A,#N/A,FALSE,"Cost Report";#N/A,#N/A,FALSE,"Qtly Summ.";#N/A,#N/A,FALSE,"Mar  Qtr";#N/A,#N/A,FALSE,"Report Summary"}</definedName>
    <definedName name="qws_1" hidden="1">{#N/A,#N/A,FALSE,"Cost Report";#N/A,#N/A,FALSE,"Qtly Summ.";#N/A,#N/A,FALSE,"Mar  Qtr";#N/A,#N/A,FALSE,"Report Summary"}</definedName>
    <definedName name="QWT" localSheetId="10" hidden="1">{#N/A,#N/A,FALSE,"REK";#N/A,#N/A,FALSE,"rab"}</definedName>
    <definedName name="QWT" hidden="1">{#N/A,#N/A,FALSE,"REK";#N/A,#N/A,FALSE,"rab"}</definedName>
    <definedName name="qwwr" localSheetId="10" hidden="1">{"rp_only",#N/A,FALSE,"2225"}</definedName>
    <definedName name="qwwr" hidden="1">{"rp_only",#N/A,FALSE,"2225"}</definedName>
    <definedName name="qwwr_1" localSheetId="10" hidden="1">{"rp_only",#N/A,FALSE,"2225"}</definedName>
    <definedName name="qwwr_1" hidden="1">{"rp_only",#N/A,FALSE,"2225"}</definedName>
    <definedName name="qwwrwr" localSheetId="10" hidden="1">{"with_oth_curr",#N/A,FALSE,"2225"}</definedName>
    <definedName name="qwwrwr" hidden="1">{"with_oth_curr",#N/A,FALSE,"2225"}</definedName>
    <definedName name="qwwrwr_1" localSheetId="10" hidden="1">{"with_oth_curr",#N/A,FALSE,"2225"}</definedName>
    <definedName name="qwwrwr_1" hidden="1">{"with_oth_curr",#N/A,FALSE,"2225"}</definedName>
    <definedName name="QWYGH" localSheetId="10" hidden="1">{#N/A,#N/A,FALSE,"REK-S-TPL";#N/A,#N/A,FALSE,"REK-TPML";#N/A,#N/A,FALSE,"RAB-TEMPEL"}</definedName>
    <definedName name="QWYGH" hidden="1">{#N/A,#N/A,FALSE,"REK-S-TPL";#N/A,#N/A,FALSE,"REK-TPML";#N/A,#N/A,FALSE,"RAB-TEMPEL"}</definedName>
    <definedName name="R..." localSheetId="10" hidden="1">{"rp_only",#N/A,FALSE,"2225"}</definedName>
    <definedName name="R..." hidden="1">{"rp_only",#N/A,FALSE,"2225"}</definedName>
    <definedName name="R..._1" localSheetId="10"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localSheetId="10"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10"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10">HAJIME:OWARI</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localSheetId="10" hidden="1">{#N/A,#N/A,FALSE,"Aging Summary";#N/A,#N/A,FALSE,"Ratio Analysis";#N/A,#N/A,FALSE,"Test 120 Day Accts";#N/A,#N/A,FALSE,"Tickmarks"}</definedName>
    <definedName name="rani" hidden="1">{#N/A,#N/A,FALSE,"Aging Summary";#N/A,#N/A,FALSE,"Ratio Analysis";#N/A,#N/A,FALSE,"Test 120 Day Accts";#N/A,#N/A,FALSE,"Tickmarks"}</definedName>
    <definedName name="ranie" localSheetId="10"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10"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localSheetId="10" hidden="1">{"rp_only",#N/A,FALSE,"2225"}</definedName>
    <definedName name="raterhg" hidden="1">{"rp_only",#N/A,FALSE,"2225"}</definedName>
    <definedName name="raterhg_1" localSheetId="10"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localSheetId="10" hidden="1">{"rp_only",#N/A,FALSE,"2225"}</definedName>
    <definedName name="rdf" hidden="1">{"rp_only",#N/A,FALSE,"2225"}</definedName>
    <definedName name="rdf_1" localSheetId="10" hidden="1">{"rp_only",#N/A,FALSE,"2225"}</definedName>
    <definedName name="rdf_1" hidden="1">{"rp_only",#N/A,FALSE,"2225"}</definedName>
    <definedName name="rdfs" localSheetId="10" hidden="1">{"with_oth_curr",#N/A,FALSE,"2225"}</definedName>
    <definedName name="rdfs" hidden="1">{"with_oth_curr",#N/A,FALSE,"2225"}</definedName>
    <definedName name="rdfs_1" localSheetId="10" hidden="1">{"with_oth_curr",#N/A,FALSE,"2225"}</definedName>
    <definedName name="rdfs_1" hidden="1">{"with_oth_curr",#N/A,FALSE,"2225"}</definedName>
    <definedName name="Rdh">#REF!</definedName>
    <definedName name="Rdm">#REF!</definedName>
    <definedName name="rdsh" localSheetId="10" hidden="1">{#N/A,#N/A,FALSE,"REK";#N/A,#N/A,FALSE,"rab"}</definedName>
    <definedName name="rdsh" hidden="1">{#N/A,#N/A,FALSE,"REK";#N/A,#N/A,FALSE,"rab"}</definedName>
    <definedName name="RDU">#REF!,#REF!,#REF!,#REF!,#REF!,#REF!</definedName>
    <definedName name="RDU_1">#REF!</definedName>
    <definedName name="RDU_5">#REF!</definedName>
    <definedName name="RE" localSheetId="10" hidden="1">{#N/A,#N/A,FALSE,"Bank Rec Cover Sheet";#N/A,#N/A,FALSE,"Bank Rec Details"}</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localSheetId="10" hidden="1">{#N/A,#N/A,FALSE,"Aging Summary";#N/A,#N/A,FALSE,"Ratio Analysis";#N/A,#N/A,FALSE,"Test 120 Day Accts";#N/A,#N/A,FALSE,"Tickmarks"}</definedName>
    <definedName name="recon" hidden="1">{#N/A,#N/A,FALSE,"Aging Summary";#N/A,#N/A,FALSE,"Ratio Analysis";#N/A,#N/A,FALSE,"Test 120 Day Accts";#N/A,#N/A,FALSE,"Tickmarks"}</definedName>
    <definedName name="Reconciliation">#REF!</definedName>
    <definedName name="RECONFIS" localSheetId="10"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localSheetId="10" hidden="1">{"rp_only",#N/A,FALSE,"2225"}</definedName>
    <definedName name="reertert" hidden="1">{"rp_only",#N/A,FALSE,"2225"}</definedName>
    <definedName name="reertert_1" localSheetId="10" hidden="1">{"rp_only",#N/A,FALSE,"2225"}</definedName>
    <definedName name="reertert_1" hidden="1">{"rp_only",#N/A,FALSE,"2225"}</definedName>
    <definedName name="reete" localSheetId="10" hidden="1">{"rp_only",#N/A,FALSE,"2225"}</definedName>
    <definedName name="reete" hidden="1">{"rp_only",#N/A,FALSE,"2225"}</definedName>
    <definedName name="reete_1" localSheetId="10" hidden="1">{"rp_only",#N/A,FALSE,"2225"}</definedName>
    <definedName name="reete_1" hidden="1">{"rp_only",#N/A,FALSE,"2225"}</definedName>
    <definedName name="reetert" localSheetId="10" hidden="1">{"rp_only",#N/A,FALSE,"2225"}</definedName>
    <definedName name="reetert" hidden="1">{"rp_only",#N/A,FALSE,"2225"}</definedName>
    <definedName name="reetert_1" localSheetId="10"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localSheetId="10" hidden="1">{#N/A,#N/A,FALSE,"Aging Summary";#N/A,#N/A,FALSE,"Ratio Analysis";#N/A,#N/A,FALSE,"Test 120 Day Accts";#N/A,#N/A,FALSE,"Tickmarks"}</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localSheetId="10" hidden="1">{#N/A,#N/A,FALSE,"Aging Summary";#N/A,#N/A,FALSE,"Ratio Analysis";#N/A,#N/A,FALSE,"Test 120 Day Accts";#N/A,#N/A,FALSE,"Tickmarks"}</definedName>
    <definedName name="RekFis" hidden="1">{#N/A,#N/A,FALSE,"Aging Summary";#N/A,#N/A,FALSE,"Ratio Analysis";#N/A,#N/A,FALSE,"Test 120 Day Accts";#N/A,#N/A,FALSE,"Tickmarks"}</definedName>
    <definedName name="RekFis_1" localSheetId="10"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10"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10"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10"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10"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10" hidden="1">{#N/A,#N/A,FALSE,"Aging Summary";#N/A,#N/A,FALSE,"Ratio Analysis";#N/A,#N/A,FALSE,"Test 120 Day Accts";#N/A,#N/A,FALSE,"Tickmarks"}</definedName>
    <definedName name="rekis2" hidden="1">{#N/A,#N/A,FALSE,"Aging Summary";#N/A,#N/A,FALSE,"Ratio Analysis";#N/A,#N/A,FALSE,"Test 120 Day Accts";#N/A,#N/A,FALSE,"Tickmarks"}</definedName>
    <definedName name="rekis2_1" localSheetId="10" hidden="1">{#N/A,#N/A,FALSE,"Aging Summary";#N/A,#N/A,FALSE,"Ratio Analysis";#N/A,#N/A,FALSE,"Test 120 Day Accts";#N/A,#N/A,FALSE,"Tickmarks"}</definedName>
    <definedName name="rekis2_1" hidden="1">{#N/A,#N/A,FALSE,"Aging Summary";#N/A,#N/A,FALSE,"Ratio Analysis";#N/A,#N/A,FALSE,"Test 120 Day Accts";#N/A,#N/A,FALSE,"Tickmarks"}</definedName>
    <definedName name="Reklas" localSheetId="10" hidden="1">{#N/A,#N/A,FALSE,"Aging Summary";#N/A,#N/A,FALSE,"Ratio Analysis";#N/A,#N/A,FALSE,"Test 120 Day Accts";#N/A,#N/A,FALSE,"Tickmarks"}</definedName>
    <definedName name="Reklas" hidden="1">{#N/A,#N/A,FALSE,"Aging Summary";#N/A,#N/A,FALSE,"Ratio Analysis";#N/A,#N/A,FALSE,"Test 120 Day Accts";#N/A,#N/A,FALSE,"Tickmarks"}</definedName>
    <definedName name="rekon" localSheetId="10"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localSheetId="10" hidden="1">{"page1",#N/A,TRUE,"CSC";"page2",#N/A,TRUE,"CSC"}</definedName>
    <definedName name="rename_of_wrn.CSC" hidden="1">{"page1",#N/A,TRUE,"CSC";"page2",#N/A,TRUE,"CSC"}</definedName>
    <definedName name="reng_3_4">#REF!</definedName>
    <definedName name="rengjati">#REF!</definedName>
    <definedName name="rep" localSheetId="10" hidden="1">{#N/A,#N/A,FALSE,"COVER";#N/A,#N/A,FALSE,"VALUATION";#N/A,#N/A,FALSE,"FORECAST";#N/A,#N/A,FALSE,"FY ANALYSIS ";#N/A,#N/A,FALSE," HY ANALYSIS"}</definedName>
    <definedName name="rep" hidden="1">{#N/A,#N/A,FALSE,"COVER";#N/A,#N/A,FALSE,"VALUATION";#N/A,#N/A,FALSE,"FORECAST";#N/A,#N/A,FALSE,"FY ANALYSIS ";#N/A,#N/A,FALSE," HY ANALYSIS"}</definedName>
    <definedName name="rep_1" localSheetId="10"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10" hidden="1">{#N/A,#N/A,FALSE,"特殊室（ＢＱ表）"}</definedName>
    <definedName name="report1" hidden="1">{#N/A,#N/A,FALSE,"特殊室（ＢＱ表）"}</definedName>
    <definedName name="REPORT1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10"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localSheetId="10" hidden="1">{"with_oth_curr",#N/A,FALSE,"2225"}</definedName>
    <definedName name="rertrtettyyuyui" hidden="1">{"with_oth_curr",#N/A,FALSE,"2225"}</definedName>
    <definedName name="rertrtettyyuyui_1" localSheetId="10" hidden="1">{"with_oth_curr",#N/A,FALSE,"2225"}</definedName>
    <definedName name="rertrtettyyuyui_1" hidden="1">{"with_oth_curr",#N/A,FALSE,"2225"}</definedName>
    <definedName name="Resal" localSheetId="10" hidden="1">{#N/A,#N/A,FALSE,"Bank Rec Cover Sheet";#N/A,#N/A,FALSE,"Bank Rec Details"}</definedName>
    <definedName name="Resal" hidden="1">{#N/A,#N/A,FALSE,"Bank Rec Cover Sheet";#N/A,#N/A,FALSE,"Bank Rec Details"}</definedName>
    <definedName name="Resal_1" localSheetId="10"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localSheetId="10" hidden="1">{"rp_only",#N/A,FALSE,"2225"}</definedName>
    <definedName name="retdehy" hidden="1">{"rp_only",#N/A,FALSE,"2225"}</definedName>
    <definedName name="retdehy_1" localSheetId="10" hidden="1">{"rp_only",#N/A,FALSE,"2225"}</definedName>
    <definedName name="retdehy_1" hidden="1">{"rp_only",#N/A,FALSE,"2225"}</definedName>
    <definedName name="reterrt" localSheetId="10" hidden="1">{"rp_only",#N/A,FALSE,"2225"}</definedName>
    <definedName name="reterrt" hidden="1">{"rp_only",#N/A,FALSE,"2225"}</definedName>
    <definedName name="reterrt_1" localSheetId="10" hidden="1">{"rp_only",#N/A,FALSE,"2225"}</definedName>
    <definedName name="reterrt_1" hidden="1">{"rp_only",#N/A,FALSE,"2225"}</definedName>
    <definedName name="retert" localSheetId="10" hidden="1">{"rp_only",#N/A,FALSE,"2225"}</definedName>
    <definedName name="retert" hidden="1">{"rp_only",#N/A,FALSE,"2225"}</definedName>
    <definedName name="retert_1" localSheetId="10" hidden="1">{"rp_only",#N/A,FALSE,"2225"}</definedName>
    <definedName name="retert_1" hidden="1">{"rp_only",#N/A,FALSE,"2225"}</definedName>
    <definedName name="reterte" localSheetId="10" hidden="1">{"rp_only",#N/A,FALSE,"2225"}</definedName>
    <definedName name="reterte" hidden="1">{"rp_only",#N/A,FALSE,"2225"}</definedName>
    <definedName name="reterte_1" localSheetId="10" hidden="1">{"rp_only",#N/A,FALSE,"2225"}</definedName>
    <definedName name="reterte_1" hidden="1">{"rp_only",#N/A,FALSE,"2225"}</definedName>
    <definedName name="reterterte" localSheetId="10" hidden="1">{"with_oth_curr",#N/A,FALSE,"2225"}</definedName>
    <definedName name="reterterte" hidden="1">{"with_oth_curr",#N/A,FALSE,"2225"}</definedName>
    <definedName name="reterterte_1" localSheetId="10" hidden="1">{"with_oth_curr",#N/A,FALSE,"2225"}</definedName>
    <definedName name="reterterte_1" hidden="1">{"with_oth_curr",#N/A,FALSE,"2225"}</definedName>
    <definedName name="retertet" localSheetId="10" hidden="1">{"with_oth_curr",#N/A,FALSE,"2225"}</definedName>
    <definedName name="retertet" hidden="1">{"with_oth_curr",#N/A,FALSE,"2225"}</definedName>
    <definedName name="retertet_1" localSheetId="10" hidden="1">{"with_oth_curr",#N/A,FALSE,"2225"}</definedName>
    <definedName name="retertet_1" hidden="1">{"with_oth_curr",#N/A,FALSE,"2225"}</definedName>
    <definedName name="retesp">#REF!</definedName>
    <definedName name="retesphyp">#REF!</definedName>
    <definedName name="retespsup">#REF!</definedName>
    <definedName name="retettyty" localSheetId="10" hidden="1">{"rp_only",#N/A,FALSE,"2225"}</definedName>
    <definedName name="retettyty" hidden="1">{"rp_only",#N/A,FALSE,"2225"}</definedName>
    <definedName name="retettyty_1" localSheetId="10"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localSheetId="10" hidden="1">{"rp_only",#N/A,FALSE,"2225"}</definedName>
    <definedName name="retrertete" hidden="1">{"rp_only",#N/A,FALSE,"2225"}</definedName>
    <definedName name="retrertete_1" localSheetId="10" hidden="1">{"rp_only",#N/A,FALSE,"2225"}</definedName>
    <definedName name="retrertete_1" hidden="1">{"rp_only",#N/A,FALSE,"2225"}</definedName>
    <definedName name="retret" localSheetId="10" hidden="1">{"rp_only",#N/A,FALSE,"2225"}</definedName>
    <definedName name="retret" hidden="1">{"rp_only",#N/A,FALSE,"2225"}</definedName>
    <definedName name="retret_1" localSheetId="10" hidden="1">{"rp_only",#N/A,FALSE,"2225"}</definedName>
    <definedName name="retret_1" hidden="1">{"rp_only",#N/A,FALSE,"2225"}</definedName>
    <definedName name="retreter" localSheetId="10" hidden="1">{"rp_only",#N/A,FALSE,"2225"}</definedName>
    <definedName name="retreter" hidden="1">{"rp_only",#N/A,FALSE,"2225"}</definedName>
    <definedName name="retreter_1" localSheetId="10"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localSheetId="10" hidden="1">{"rp_only",#N/A,FALSE,"2225"}</definedName>
    <definedName name="retttr" hidden="1">{"rp_only",#N/A,FALSE,"2225"}</definedName>
    <definedName name="retttr_1" localSheetId="10"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localSheetId="10" hidden="1">{"with_oth_curr",#N/A,FALSE,"2225"}</definedName>
    <definedName name="retyeryt" hidden="1">{"with_oth_curr",#N/A,FALSE,"2225"}</definedName>
    <definedName name="retyeryt_1" localSheetId="10" hidden="1">{"with_oth_curr",#N/A,FALSE,"2225"}</definedName>
    <definedName name="retyeryt_1" hidden="1">{"with_oth_curr",#N/A,FALSE,"2225"}</definedName>
    <definedName name="RETZ">#REF!</definedName>
    <definedName name="rev" hidden="1">#REF!</definedName>
    <definedName name="REVENUE">#REF!</definedName>
    <definedName name="review" localSheetId="10">{"Book1","4.09 FLORA DAN FAUNA.xls","4.22 PERLENGKAPAN SEKOLAH.xls"}</definedName>
    <definedName name="review">{"Book1","4.09 FLORA DAN FAUNA.xls","4.22 PERLENGKAPAN SEKOLAH.xls"}</definedName>
    <definedName name="rew"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10" hidden="1">{"with_oth_curr",#N/A,FALSE,"2225"}</definedName>
    <definedName name="rewerwed" hidden="1">{"with_oth_curr",#N/A,FALSE,"2225"}</definedName>
    <definedName name="rewerwed_1" localSheetId="10" hidden="1">{"with_oth_curr",#N/A,FALSE,"2225"}</definedName>
    <definedName name="rewerwed_1" hidden="1">{"with_oth_curr",#N/A,FALSE,"2225"}</definedName>
    <definedName name="rewerwer" localSheetId="10" hidden="1">{"with_oth_curr",#N/A,FALSE,"2225"}</definedName>
    <definedName name="rewerwer" hidden="1">{"with_oth_curr",#N/A,FALSE,"2225"}</definedName>
    <definedName name="rewerwer_1" localSheetId="10" hidden="1">{"with_oth_curr",#N/A,FALSE,"2225"}</definedName>
    <definedName name="rewerwer_1" hidden="1">{"with_oth_curr",#N/A,FALSE,"2225"}</definedName>
    <definedName name="rewreer" localSheetId="10" hidden="1">{"with_oth_curr",#N/A,FALSE,"2225"}</definedName>
    <definedName name="rewreer" hidden="1">{"with_oth_curr",#N/A,FALSE,"2225"}</definedName>
    <definedName name="rewreer_1" localSheetId="10" hidden="1">{"with_oth_curr",#N/A,FALSE,"2225"}</definedName>
    <definedName name="rewreer_1" hidden="1">{"with_oth_curr",#N/A,FALSE,"2225"}</definedName>
    <definedName name="rewrwr" localSheetId="10" hidden="1">{"with_oth_curr",#N/A,FALSE,"2225"}</definedName>
    <definedName name="rewrwr" hidden="1">{"with_oth_curr",#N/A,FALSE,"2225"}</definedName>
    <definedName name="rewrwr_1" localSheetId="10" hidden="1">{"with_oth_curr",#N/A,FALSE,"2225"}</definedName>
    <definedName name="rewrwr_1" hidden="1">{"with_oth_curr",#N/A,FALSE,"2225"}</definedName>
    <definedName name="rewterte" localSheetId="10" hidden="1">{"with_oth_curr",#N/A,FALSE,"2225"}</definedName>
    <definedName name="rewterte" hidden="1">{"with_oth_curr",#N/A,FALSE,"2225"}</definedName>
    <definedName name="rewterte_1" localSheetId="10" hidden="1">{"with_oth_curr",#N/A,FALSE,"2225"}</definedName>
    <definedName name="rewterte_1" hidden="1">{"with_oth_curr",#N/A,FALSE,"2225"}</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10" hidden="1">{"with_oth_curr",#N/A,FALSE,"2225"}</definedName>
    <definedName name="reyrtyrt" hidden="1">{"with_oth_curr",#N/A,FALSE,"2225"}</definedName>
    <definedName name="reyrtyrt_1" localSheetId="10" hidden="1">{"with_oth_curr",#N/A,FALSE,"2225"}</definedName>
    <definedName name="reyrtyrt_1" hidden="1">{"with_oth_curr",#N/A,FALSE,"2225"}</definedName>
    <definedName name="Rf">#REF!</definedName>
    <definedName name="rfaw">#REF!</definedName>
    <definedName name="rfbila_dec07_MACS" localSheetId="10" hidden="1">{"WORK IN PROCESS",#N/A,FALSE,"COGS"}</definedName>
    <definedName name="rfbila_dec07_MACS" hidden="1">{"WORK IN PROCESS",#N/A,FALSE,"COGS"}</definedName>
    <definedName name="rfbila_dec07_MACS_1" localSheetId="10" hidden="1">{"WORK IN PROCESS",#N/A,FALSE,"COGS"}</definedName>
    <definedName name="rfbila_dec07_MACS_1" hidden="1">{"WORK IN PROCESS",#N/A,FALSE,"COGS"}</definedName>
    <definedName name="rffddf" localSheetId="10" hidden="1">{"rp_only",#N/A,FALSE,"2225"}</definedName>
    <definedName name="rffddf" hidden="1">{"rp_only",#N/A,FALSE,"2225"}</definedName>
    <definedName name="rffddf_1" localSheetId="10"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 localSheetId="10">BLCH</definedName>
    <definedName name="RFSDF">BLCH</definedName>
    <definedName name="RFSL">#REF!</definedName>
    <definedName name="RFSL_1">#REF!</definedName>
    <definedName name="RFSL_5">#REF!</definedName>
    <definedName name="rg">#REF!</definedName>
    <definedName name="RH" hidden="1">#REF!</definedName>
    <definedName name="rhm" localSheetId="10" hidden="1">{#N/A,#N/A,FALSE,"Aging Summary";#N/A,#N/A,FALSE,"Ratio Analysis";#N/A,#N/A,FALSE,"Test 120 Day Accts";#N/A,#N/A,FALSE,"Tickmarks"}</definedName>
    <definedName name="rhm" hidden="1">{#N/A,#N/A,FALSE,"Aging Summary";#N/A,#N/A,FALSE,"Ratio Analysis";#N/A,#N/A,FALSE,"Test 120 Day Accts";#N/A,#N/A,FALSE,"Tickmarks"}</definedName>
    <definedName name="rhm_1" localSheetId="10" hidden="1">{#N/A,#N/A,FALSE,"Aging Summary";#N/A,#N/A,FALSE,"Ratio Analysis";#N/A,#N/A,FALSE,"Test 120 Day Accts";#N/A,#N/A,FALSE,"Tickmarks"}</definedName>
    <definedName name="rhm_1" hidden="1">{#N/A,#N/A,FALSE,"Aging Summary";#N/A,#N/A,FALSE,"Ratio Analysis";#N/A,#N/A,FALSE,"Test 120 Day Accts";#N/A,#N/A,FALSE,"Tickmarks"}</definedName>
    <definedName name="rhq" localSheetId="10">{"Book1"}</definedName>
    <definedName name="rhq">{"Book1"}</definedName>
    <definedName name="rhr"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localSheetId="10" hidden="1">{#N/A,#N/A,FALSE,"Aging Summary";#N/A,#N/A,FALSE,"Ratio Analysis";#N/A,#N/A,FALSE,"Test 120 Day Accts";#N/A,#N/A,FALSE,"Tickmarks"}</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10" hidden="1">{#N/A,#N/A,FALSE,"Aging Summary";#N/A,#N/A,FALSE,"Ratio Analysis";#N/A,#N/A,FALSE,"Test 120 Day Accts";#N/A,#N/A,FALSE,"Tickmarks"}</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10" hidden="1">{"'장비'!$A$3:$M$12"}</definedName>
    <definedName name="RNAO" hidden="1">{"'장비'!$A$3:$M$12"}</definedName>
    <definedName name="Rng_SAPGCOA">#REF!</definedName>
    <definedName name="rnqsj">#REF!,#REF!</definedName>
    <definedName name="roa">#REF!</definedName>
    <definedName name="roadmarking">#REF!</definedName>
    <definedName name="rob" localSheetId="10" hidden="1">{#N/A,#N/A,FALSE,"Cost Report";"Geology",#N/A,FALSE,"Cost Summary";"Geolgy Recon",#N/A,FALSE,"UG Geology Rep."}</definedName>
    <definedName name="rob" hidden="1">{#N/A,#N/A,FALSE,"Cost Report";"Geology",#N/A,FALSE,"Cost Summary";"Geolgy Recon",#N/A,FALSE,"UG Geology Rep."}</definedName>
    <definedName name="rob_1" localSheetId="10"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 localSheetId="10">HAJIME:OWARI</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localSheetId="10" hidden="1">{"rp_only",#N/A,FALSE,"2225"}</definedName>
    <definedName name="Ross" hidden="1">{"rp_only",#N/A,FALSE,"2225"}</definedName>
    <definedName name="Ross_1" localSheetId="10"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localSheetId="10" hidden="1">{#N/A,#N/A,FALSE,"Aging Summary";#N/A,#N/A,FALSE,"Ratio Analysis";#N/A,#N/A,FALSE,"Test 120 Day Accts";#N/A,#N/A,FALSE,"Tickmarks"}</definedName>
    <definedName name="RPRIIOUr0" hidden="1">{#N/A,#N/A,FALSE,"Aging Summary";#N/A,#N/A,FALSE,"Ratio Analysis";#N/A,#N/A,FALSE,"Test 120 Day Accts";#N/A,#N/A,FALSE,"Tickmarks"}</definedName>
    <definedName name="RPX">#REF!</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10" hidden="1">{"'장비'!$A$3:$M$12"}</definedName>
    <definedName name="rrrrr" hidden="1">{"'장비'!$A$3:$M$12"}</definedName>
    <definedName name="rrrrrr" localSheetId="10" hidden="1">{"cash plan",#N/A,FALSE,"fccashflow"}</definedName>
    <definedName name="rrrrrr" hidden="1">{"cash plan",#N/A,FALSE,"fccashflow"}</definedName>
    <definedName name="rrrrrrrr" localSheetId="10" hidden="1">{"'장비'!$A$3:$M$12"}</definedName>
    <definedName name="rrrrrrrr" hidden="1">{"'장비'!$A$3:$M$12"}</definedName>
    <definedName name="rrt" hidden="1">#REF!</definedName>
    <definedName name="rrtet" localSheetId="10" hidden="1">{"rp_only",#N/A,FALSE,"2225"}</definedName>
    <definedName name="rrtet" hidden="1">{"rp_only",#N/A,FALSE,"2225"}</definedName>
    <definedName name="rrtet_1" localSheetId="10"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localSheetId="10" hidden="1">{#N/A,#N/A,FALSE,"Aging Summary";#N/A,#N/A,FALSE,"Ratio Analysis";#N/A,#N/A,FALSE,"Test 120 Day Accts";#N/A,#N/A,FALSE,"Tickmarks"}</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localSheetId="10" hidden="1">{#N/A,#N/A,FALSE,"REK";#N/A,#N/A,FALSE,"rab"}</definedName>
    <definedName name="rtejhv" hidden="1">{#N/A,#N/A,FALSE,"REK";#N/A,#N/A,FALSE,"rab"}</definedName>
    <definedName name="rterte" localSheetId="10" hidden="1">{"rp_only",#N/A,FALSE,"2225"}</definedName>
    <definedName name="rterte" hidden="1">{"rp_only",#N/A,FALSE,"2225"}</definedName>
    <definedName name="rterte_1" localSheetId="10" hidden="1">{"rp_only",#N/A,FALSE,"2225"}</definedName>
    <definedName name="rterte_1" hidden="1">{"rp_only",#N/A,FALSE,"2225"}</definedName>
    <definedName name="rtertert" localSheetId="10" hidden="1">{"rp_only",#N/A,FALSE,"2225"}</definedName>
    <definedName name="rtertert" hidden="1">{"rp_only",#N/A,FALSE,"2225"}</definedName>
    <definedName name="rtertert_1" localSheetId="10"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localSheetId="10" hidden="1">{"rp_only",#N/A,FALSE,"2225"}</definedName>
    <definedName name="rtetetert" hidden="1">{"rp_only",#N/A,FALSE,"2225"}</definedName>
    <definedName name="rtetetert_1" localSheetId="10" hidden="1">{"rp_only",#N/A,FALSE,"2225"}</definedName>
    <definedName name="rtetetert_1" hidden="1">{"rp_only",#N/A,FALSE,"2225"}</definedName>
    <definedName name="rtewrytrety" localSheetId="10" hidden="1">{"rp_only",#N/A,FALSE,"2225"}</definedName>
    <definedName name="rtewrytrety" hidden="1">{"rp_only",#N/A,FALSE,"2225"}</definedName>
    <definedName name="rtewrytrety_1" localSheetId="10" hidden="1">{"rp_only",#N/A,FALSE,"2225"}</definedName>
    <definedName name="rtewrytrety_1" hidden="1">{"rp_only",#N/A,FALSE,"2225"}</definedName>
    <definedName name="rtrt" localSheetId="10">{"Jan","Feb","Mar","Apr","May","Jun","Jul","Aug","Sep","Oct","Nov","Dec";"January","February","March","April","May","June","July","August","September","October","November","December"}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10">{"Jan","Feb","Mar","Apr","May","Jun","Jul","Aug","Sep","Oct","Nov","Dec";"January","February","March","April","May","June","July","August","September","October","November","December"}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10" hidden="1">{"rp_only",#N/A,FALSE,"2225"}</definedName>
    <definedName name="rtryf" hidden="1">{"rp_only",#N/A,FALSE,"2225"}</definedName>
    <definedName name="rtryf_1" localSheetId="10" hidden="1">{"rp_only",#N/A,FALSE,"2225"}</definedName>
    <definedName name="rtryf_1" hidden="1">{"rp_only",#N/A,FALSE,"2225"}</definedName>
    <definedName name="rtryrt" localSheetId="10" hidden="1">{"with_oth_curr",#N/A,FALSE,"2225"}</definedName>
    <definedName name="rtryrt" hidden="1">{"with_oth_curr",#N/A,FALSE,"2225"}</definedName>
    <definedName name="rtryrt_1" localSheetId="10" hidden="1">{"with_oth_curr",#N/A,FALSE,"2225"}</definedName>
    <definedName name="rtryrt_1" hidden="1">{"with_oth_curr",#N/A,FALSE,"2225"}</definedName>
    <definedName name="rttrrgttyew" localSheetId="10" hidden="1">{"rp_only",#N/A,FALSE,"2225"}</definedName>
    <definedName name="rttrrgttyew" hidden="1">{"rp_only",#N/A,FALSE,"2225"}</definedName>
    <definedName name="rttrrgttyew_1" localSheetId="10" hidden="1">{"rp_only",#N/A,FALSE,"2225"}</definedName>
    <definedName name="rttrrgttyew_1" hidden="1">{"rp_only",#N/A,FALSE,"2225"}</definedName>
    <definedName name="rttrrtr" localSheetId="10" hidden="1">{"rp_only",#N/A,FALSE,"2225"}</definedName>
    <definedName name="rttrrtr" hidden="1">{"rp_only",#N/A,FALSE,"2225"}</definedName>
    <definedName name="rttrrtr_1" localSheetId="10" hidden="1">{"rp_only",#N/A,FALSE,"2225"}</definedName>
    <definedName name="rttrrtr_1" hidden="1">{"rp_only",#N/A,FALSE,"2225"}</definedName>
    <definedName name="rttrtyew" localSheetId="10" hidden="1">{"rp_only",#N/A,FALSE,"2225"}</definedName>
    <definedName name="rttrtyew" hidden="1">{"rp_only",#N/A,FALSE,"2225"}</definedName>
    <definedName name="rttrtyew_1" localSheetId="10" hidden="1">{"rp_only",#N/A,FALSE,"2225"}</definedName>
    <definedName name="rttrtyew_1" hidden="1">{"rp_only",#N/A,FALSE,"2225"}</definedName>
    <definedName name="rttryty" localSheetId="10" hidden="1">{"rp_only",#N/A,FALSE,"2225"}</definedName>
    <definedName name="rttryty" hidden="1">{"rp_only",#N/A,FALSE,"2225"}</definedName>
    <definedName name="rttryty_1" localSheetId="10" hidden="1">{"rp_only",#N/A,FALSE,"2225"}</definedName>
    <definedName name="rttryty_1" hidden="1">{"rp_only",#N/A,FALSE,"2225"}</definedName>
    <definedName name="rtutruu" localSheetId="10" hidden="1">{"rp_only",#N/A,FALSE,"2225"}</definedName>
    <definedName name="rtutruu" hidden="1">{"rp_only",#N/A,FALSE,"2225"}</definedName>
    <definedName name="rtutruu_1" localSheetId="10" hidden="1">{"rp_only",#N/A,FALSE,"2225"}</definedName>
    <definedName name="rtutruu_1" hidden="1">{"rp_only",#N/A,FALSE,"2225"}</definedName>
    <definedName name="rtwreqw" localSheetId="10" hidden="1">{"with_oth_curr",#N/A,FALSE,"2225"}</definedName>
    <definedName name="rtwreqw" hidden="1">{"with_oth_curr",#N/A,FALSE,"2225"}</definedName>
    <definedName name="rtwreqw_1" localSheetId="10" hidden="1">{"with_oth_curr",#N/A,FALSE,"2225"}</definedName>
    <definedName name="rtwreqw_1" hidden="1">{"with_oth_curr",#N/A,FALSE,"2225"}</definedName>
    <definedName name="rtwtwt" localSheetId="10" hidden="1">{"with_oth_curr",#N/A,FALSE,"2225"}</definedName>
    <definedName name="rtwtwt" hidden="1">{"with_oth_curr",#N/A,FALSE,"2225"}</definedName>
    <definedName name="rtwtwt_1" localSheetId="10" hidden="1">{"with_oth_curr",#N/A,FALSE,"2225"}</definedName>
    <definedName name="rtwtwt_1" hidden="1">{"with_oth_curr",#N/A,FALSE,"2225"}</definedName>
    <definedName name="rty" localSheetId="10" hidden="1">{#N/A,#N/A,FALSE,"REK";#N/A,#N/A,FALSE,"Bq-ARS"}</definedName>
    <definedName name="rty" hidden="1">{#N/A,#N/A,FALSE,"REK";#N/A,#N/A,FALSE,"Bq-ARS"}</definedName>
    <definedName name="RTYE" localSheetId="10" hidden="1">{"'장비'!$A$3:$M$12"}</definedName>
    <definedName name="RTYE" hidden="1">{"'장비'!$A$3:$M$12"}</definedName>
    <definedName name="rtyrr" localSheetId="10" hidden="1">{"with_oth_curr",#N/A,FALSE,"2225"}</definedName>
    <definedName name="rtyrr" hidden="1">{"with_oth_curr",#N/A,FALSE,"2225"}</definedName>
    <definedName name="rtyrr_1" localSheetId="10" hidden="1">{"with_oth_curr",#N/A,FALSE,"2225"}</definedName>
    <definedName name="rtyrr_1" hidden="1">{"with_oth_curr",#N/A,FALSE,"2225"}</definedName>
    <definedName name="rtyrt" localSheetId="10" hidden="1">{"with_oth_curr",#N/A,FALSE,"2225"}</definedName>
    <definedName name="rtyrt" hidden="1">{"with_oth_curr",#N/A,FALSE,"2225"}</definedName>
    <definedName name="rtyrt_1" localSheetId="10" hidden="1">{"with_oth_curr",#N/A,FALSE,"2225"}</definedName>
    <definedName name="rtyrt_1" hidden="1">{"with_oth_curr",#N/A,FALSE,"2225"}</definedName>
    <definedName name="rtyrty" localSheetId="10" hidden="1">{"with_oth_curr",#N/A,FALSE,"2225"}</definedName>
    <definedName name="rtyrty" hidden="1">{"with_oth_curr",#N/A,FALSE,"2225"}</definedName>
    <definedName name="rtyrty_1" localSheetId="10" hidden="1">{"with_oth_curr",#N/A,FALSE,"2225"}</definedName>
    <definedName name="rtyrty_1" hidden="1">{"with_oth_curr",#N/A,FALSE,"2225"}</definedName>
    <definedName name="rtyrtyrty" localSheetId="10" hidden="1">{"rp_only",#N/A,FALSE,"2225"}</definedName>
    <definedName name="rtyrtyrty" hidden="1">{"rp_only",#N/A,FALSE,"2225"}</definedName>
    <definedName name="rtyrtyrty_1" localSheetId="10" hidden="1">{"rp_only",#N/A,FALSE,"2225"}</definedName>
    <definedName name="rtyrtyrty_1" hidden="1">{"rp_only",#N/A,FALSE,"2225"}</definedName>
    <definedName name="rtyrtyry" localSheetId="10" hidden="1">{"rp_only",#N/A,FALSE,"2225"}</definedName>
    <definedName name="rtyrtyry" hidden="1">{"rp_only",#N/A,FALSE,"2225"}</definedName>
    <definedName name="rtyrtyry_1" localSheetId="10" hidden="1">{"rp_only",#N/A,FALSE,"2225"}</definedName>
    <definedName name="rtyrtyry_1" hidden="1">{"rp_only",#N/A,FALSE,"2225"}</definedName>
    <definedName name="rtyry" localSheetId="10" hidden="1">{"rp_only",#N/A,FALSE,"2225"}</definedName>
    <definedName name="rtyry" hidden="1">{"rp_only",#N/A,FALSE,"2225"}</definedName>
    <definedName name="rtyry_1" localSheetId="10" hidden="1">{"rp_only",#N/A,FALSE,"2225"}</definedName>
    <definedName name="rtyry_1" hidden="1">{"rp_only",#N/A,FALSE,"2225"}</definedName>
    <definedName name="rtyryry" localSheetId="10" hidden="1">{"with_oth_curr",#N/A,FALSE,"2225"}</definedName>
    <definedName name="rtyryry" hidden="1">{"with_oth_curr",#N/A,FALSE,"2225"}</definedName>
    <definedName name="rtyryry_1" localSheetId="10" hidden="1">{"with_oth_curr",#N/A,FALSE,"2225"}</definedName>
    <definedName name="rtyryry_1" hidden="1">{"with_oth_curr",#N/A,FALSE,"2225"}</definedName>
    <definedName name="rtyrytryt" localSheetId="10" hidden="1">{"rp_only",#N/A,FALSE,"2225"}</definedName>
    <definedName name="rtyrytryt" hidden="1">{"rp_only",#N/A,FALSE,"2225"}</definedName>
    <definedName name="rtyrytryt_1" localSheetId="10" hidden="1">{"rp_only",#N/A,FALSE,"2225"}</definedName>
    <definedName name="rtyrytryt_1" hidden="1">{"rp_only",#N/A,FALSE,"2225"}</definedName>
    <definedName name="rtytryertwe" localSheetId="10" hidden="1">{"rp_only",#N/A,FALSE,"2225"}</definedName>
    <definedName name="rtytryertwe" hidden="1">{"rp_only",#N/A,FALSE,"2225"}</definedName>
    <definedName name="rtytryertwe_1" localSheetId="10" hidden="1">{"rp_only",#N/A,FALSE,"2225"}</definedName>
    <definedName name="rtytryertwe_1" hidden="1">{"rp_only",#N/A,FALSE,"2225"}</definedName>
    <definedName name="rtytryr" localSheetId="10" hidden="1">{"rp_only",#N/A,FALSE,"2225"}</definedName>
    <definedName name="rtytryr" hidden="1">{"rp_only",#N/A,FALSE,"2225"}</definedName>
    <definedName name="rtytryr_1" localSheetId="10"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localSheetId="10" hidden="1">{#N/A,#N/A,FALSE,"Aging Summary";#N/A,#N/A,FALSE,"Ratio Analysis";#N/A,#N/A,FALSE,"Test 120 Day Accts";#N/A,#N/A,FALSE,"Tickmarks"}</definedName>
    <definedName name="rup" hidden="1">{#N/A,#N/A,FALSE,"Aging Summary";#N/A,#N/A,FALSE,"Ratio Analysis";#N/A,#N/A,FALSE,"Test 120 Day Accts";#N/A,#N/A,FALSE,"Tickmarks"}</definedName>
    <definedName name="rupiah">#REF!</definedName>
    <definedName name="rutyjuh" localSheetId="10" hidden="1">{"rp_only",#N/A,FALSE,"2225"}</definedName>
    <definedName name="rutyjuh" hidden="1">{"rp_only",#N/A,FALSE,"2225"}</definedName>
    <definedName name="rutyjuh_1" localSheetId="10" hidden="1">{"rp_only",#N/A,FALSE,"2225"}</definedName>
    <definedName name="rutyjuh_1" hidden="1">{"rp_only",#N/A,FALSE,"2225"}</definedName>
    <definedName name="rutyuyru" localSheetId="10" hidden="1">{"rp_only",#N/A,FALSE,"2225"}</definedName>
    <definedName name="rutyuyru" hidden="1">{"rp_only",#N/A,FALSE,"2225"}</definedName>
    <definedName name="rutyuyru_1" localSheetId="10" hidden="1">{"rp_only",#N/A,FALSE,"2225"}</definedName>
    <definedName name="rutyuyru_1" hidden="1">{"rp_only",#N/A,FALSE,"2225"}</definedName>
    <definedName name="rwerw">#REF!</definedName>
    <definedName name="rwerwre" localSheetId="10" hidden="1">{"with_oth_curr",#N/A,FALSE,"2225"}</definedName>
    <definedName name="rwerwre" hidden="1">{"with_oth_curr",#N/A,FALSE,"2225"}</definedName>
    <definedName name="rwerwre_1" localSheetId="10" hidden="1">{"with_oth_curr",#N/A,FALSE,"2225"}</definedName>
    <definedName name="rwerwre_1" hidden="1">{"with_oth_curr",#N/A,FALSE,"2225"}</definedName>
    <definedName name="rwetewrt" localSheetId="10" hidden="1">{"rp_only",#N/A,FALSE,"2225"}</definedName>
    <definedName name="rwetewrt" hidden="1">{"rp_only",#N/A,FALSE,"2225"}</definedName>
    <definedName name="rwetewrt_1" localSheetId="10" hidden="1">{"rp_only",#N/A,FALSE,"2225"}</definedName>
    <definedName name="rwetewrt_1" hidden="1">{"rp_only",#N/A,FALSE,"2225"}</definedName>
    <definedName name="rwetret" localSheetId="10" hidden="1">{"with_oth_curr",#N/A,FALSE,"2225"}</definedName>
    <definedName name="rwetret" hidden="1">{"with_oth_curr",#N/A,FALSE,"2225"}</definedName>
    <definedName name="rwetret_1" localSheetId="10" hidden="1">{"with_oth_curr",#N/A,FALSE,"2225"}</definedName>
    <definedName name="rwetret_1" hidden="1">{"with_oth_curr",#N/A,FALSE,"2225"}</definedName>
    <definedName name="rwrwre" localSheetId="10" hidden="1">{"rp_only",#N/A,FALSE,"2225"}</definedName>
    <definedName name="rwrwre" hidden="1">{"rp_only",#N/A,FALSE,"2225"}</definedName>
    <definedName name="rwrwre_1" localSheetId="10" hidden="1">{"rp_only",#N/A,FALSE,"2225"}</definedName>
    <definedName name="rwrwre_1" hidden="1">{"rp_only",#N/A,FALSE,"2225"}</definedName>
    <definedName name="ry">#REF!</definedName>
    <definedName name="ryeyrty" localSheetId="10" hidden="1">{"with_oth_curr",#N/A,FALSE,"2225"}</definedName>
    <definedName name="ryeyrty" hidden="1">{"with_oth_curr",#N/A,FALSE,"2225"}</definedName>
    <definedName name="ryeyrty_1" localSheetId="10" hidden="1">{"with_oth_curr",#N/A,FALSE,"2225"}</definedName>
    <definedName name="ryeyrty_1" hidden="1">{"with_oth_curr",#N/A,FALSE,"2225"}</definedName>
    <definedName name="ryrtyrtytry" localSheetId="10" hidden="1">{"with_oth_curr",#N/A,FALSE,"2225"}</definedName>
    <definedName name="ryrtyrtytry" hidden="1">{"with_oth_curr",#N/A,FALSE,"2225"}</definedName>
    <definedName name="ryrtyrtytry_1" localSheetId="10" hidden="1">{"with_oth_curr",#N/A,FALSE,"2225"}</definedName>
    <definedName name="ryrtyrtytry_1" hidden="1">{"with_oth_curr",#N/A,FALSE,"2225"}</definedName>
    <definedName name="ryryrtyryt" localSheetId="10" hidden="1">{"rp_only",#N/A,FALSE,"2225"}</definedName>
    <definedName name="ryryrtyryt" hidden="1">{"rp_only",#N/A,FALSE,"2225"}</definedName>
    <definedName name="ryryrtyryt_1" localSheetId="10" hidden="1">{"rp_only",#N/A,FALSE,"2225"}</definedName>
    <definedName name="ryryrtyryt_1" hidden="1">{"rp_only",#N/A,FALSE,"2225"}</definedName>
    <definedName name="rytj" localSheetId="10" hidden="1">{#N/A,#N/A,FALSE,"REK";#N/A,#N/A,FALSE,"rab"}</definedName>
    <definedName name="rytj" hidden="1">{#N/A,#N/A,FALSE,"REK";#N/A,#N/A,FALSE,"rab"}</definedName>
    <definedName name="ryyurty" localSheetId="10" hidden="1">{"rp_only",#N/A,FALSE,"2225"}</definedName>
    <definedName name="ryyurty" hidden="1">{"rp_only",#N/A,FALSE,"2225"}</definedName>
    <definedName name="ryyurty_1" localSheetId="10"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localSheetId="10" hidden="1">{#N/A,#N/A,FALSE,"Aging Summary";#N/A,#N/A,FALSE,"Ratio Analysis";#N/A,#N/A,FALSE,"Test 120 Day Accts";#N/A,#N/A,FALSE,"Tickmarks"}</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10" hidden="1">{#N/A,#N/A,FALSE,"特殊室（ＢＱ表）"}</definedName>
    <definedName name="saada" hidden="1">{#N/A,#N/A,FALSE,"特殊室（ＢＱ表）"}</definedName>
    <definedName name="saada_1" localSheetId="10" hidden="1">{"rp_only",#N/A,FALSE,"2225"}</definedName>
    <definedName name="saada_1" hidden="1">{"rp_only",#N/A,FALSE,"2225"}</definedName>
    <definedName name="saadasd" localSheetId="10" hidden="1">{"rp_only",#N/A,FALSE,"2225"}</definedName>
    <definedName name="saadasd" hidden="1">{"rp_only",#N/A,FALSE,"2225"}</definedName>
    <definedName name="saadasd_1" localSheetId="10" hidden="1">{"rp_only",#N/A,FALSE,"2225"}</definedName>
    <definedName name="saadasd_1" hidden="1">{"rp_only",#N/A,FALSE,"2225"}</definedName>
    <definedName name="saaf" localSheetId="10" hidden="1">{"rp_only",#N/A,FALSE,"2225"}</definedName>
    <definedName name="saaf" hidden="1">{"rp_only",#N/A,FALSE,"2225"}</definedName>
    <definedName name="saaf_1" localSheetId="10" hidden="1">{"rp_only",#N/A,FALSE,"2225"}</definedName>
    <definedName name="saaf_1" hidden="1">{"rp_only",#N/A,FALSE,"2225"}</definedName>
    <definedName name="saasdsa" localSheetId="10" hidden="1">{"rp_only",#N/A,FALSE,"2225"}</definedName>
    <definedName name="saasdsa" hidden="1">{"rp_only",#N/A,FALSE,"2225"}</definedName>
    <definedName name="saasdsa_1" localSheetId="10" hidden="1">{"rp_only",#N/A,FALSE,"2225"}</definedName>
    <definedName name="saasdsa_1" hidden="1">{"rp_only",#N/A,FALSE,"2225"}</definedName>
    <definedName name="sad" localSheetId="10" hidden="1">{"WORK IN PROCESS",#N/A,FALSE,"COGS"}</definedName>
    <definedName name="sad" hidden="1">{"WORK IN PROCESS",#N/A,FALSE,"COGS"}</definedName>
    <definedName name="sad_1" localSheetId="10" hidden="1">{"WORK IN PROCESS",#N/A,FALSE,"COGS"}</definedName>
    <definedName name="sad_1" hidden="1">{"WORK IN PROCESS",#N/A,FALSE,"COGS"}</definedName>
    <definedName name="SADA" localSheetId="10" hidden="1">{"with_oth_curr",#N/A,FALSE,"2225"}</definedName>
    <definedName name="SADA" hidden="1">{"with_oth_curr",#N/A,FALSE,"2225"}</definedName>
    <definedName name="SADA_1" localSheetId="10" hidden="1">{"with_oth_curr",#N/A,FALSE,"2225"}</definedName>
    <definedName name="SADA_1" hidden="1">{"with_oth_curr",#N/A,FALSE,"2225"}</definedName>
    <definedName name="sadaa" localSheetId="10" hidden="1">{"with_oth_curr",#N/A,FALSE,"2225"}</definedName>
    <definedName name="sadaa" hidden="1">{"with_oth_curr",#N/A,FALSE,"2225"}</definedName>
    <definedName name="sadaa_1" localSheetId="10" hidden="1">{"with_oth_curr",#N/A,FALSE,"2225"}</definedName>
    <definedName name="sadaa_1" hidden="1">{"with_oth_curr",#N/A,FALSE,"2225"}</definedName>
    <definedName name="sadad" localSheetId="10" hidden="1">{"rp_only",#N/A,FALSE,"2225"}</definedName>
    <definedName name="sadad" hidden="1">{"rp_only",#N/A,FALSE,"2225"}</definedName>
    <definedName name="sadad_1" localSheetId="10" hidden="1">{"rp_only",#N/A,FALSE,"2225"}</definedName>
    <definedName name="sadad_1" hidden="1">{"rp_only",#N/A,FALSE,"2225"}</definedName>
    <definedName name="sadadad" localSheetId="10" hidden="1">{"rp_only",#N/A,FALSE,"2225"}</definedName>
    <definedName name="sadadad" hidden="1">{"rp_only",#N/A,FALSE,"2225"}</definedName>
    <definedName name="sadadad_1" localSheetId="10" hidden="1">{"rp_only",#N/A,FALSE,"2225"}</definedName>
    <definedName name="sadadad_1" hidden="1">{"rp_only",#N/A,FALSE,"2225"}</definedName>
    <definedName name="sadadasd" localSheetId="10" hidden="1">{"rp_only",#N/A,FALSE,"2225"}</definedName>
    <definedName name="sadadasd" hidden="1">{"rp_only",#N/A,FALSE,"2225"}</definedName>
    <definedName name="sadadasd_1" localSheetId="10" hidden="1">{"rp_only",#N/A,FALSE,"2225"}</definedName>
    <definedName name="sadadasd_1" hidden="1">{"rp_only",#N/A,FALSE,"2225"}</definedName>
    <definedName name="sadadds" localSheetId="10" hidden="1">{"with_oth_curr",#N/A,FALSE,"2225"}</definedName>
    <definedName name="sadadds" hidden="1">{"with_oth_curr",#N/A,FALSE,"2225"}</definedName>
    <definedName name="sadadds_1" localSheetId="10" hidden="1">{"with_oth_curr",#N/A,FALSE,"2225"}</definedName>
    <definedName name="sadadds_1" hidden="1">{"with_oth_curr",#N/A,FALSE,"2225"}</definedName>
    <definedName name="sadads" localSheetId="10" hidden="1">{"rp_only",#N/A,FALSE,"2225"}</definedName>
    <definedName name="sadads" hidden="1">{"rp_only",#N/A,FALSE,"2225"}</definedName>
    <definedName name="sadads_1" localSheetId="10" hidden="1">{"rp_only",#N/A,FALSE,"2225"}</definedName>
    <definedName name="sadads_1" hidden="1">{"rp_only",#N/A,FALSE,"2225"}</definedName>
    <definedName name="sadadsad" localSheetId="10" hidden="1">{"rp_only",#N/A,FALSE,"2225"}</definedName>
    <definedName name="sadadsad" hidden="1">{"rp_only",#N/A,FALSE,"2225"}</definedName>
    <definedName name="sadadsad_1" localSheetId="10" hidden="1">{"rp_only",#N/A,FALSE,"2225"}</definedName>
    <definedName name="sadadsad_1" hidden="1">{"rp_only",#N/A,FALSE,"2225"}</definedName>
    <definedName name="sadadsada" localSheetId="10" hidden="1">{"rp_only",#N/A,FALSE,"2225"}</definedName>
    <definedName name="sadadsada" hidden="1">{"rp_only",#N/A,FALSE,"2225"}</definedName>
    <definedName name="sadadsada_1" localSheetId="10" hidden="1">{"rp_only",#N/A,FALSE,"2225"}</definedName>
    <definedName name="sadadsada_1" hidden="1">{"rp_only",#N/A,FALSE,"2225"}</definedName>
    <definedName name="sadadsadasd" localSheetId="10" hidden="1">{"rp_only",#N/A,FALSE,"2225"}</definedName>
    <definedName name="sadadsadasd" hidden="1">{"rp_only",#N/A,FALSE,"2225"}</definedName>
    <definedName name="sadadsadasd_1" localSheetId="10" hidden="1">{"rp_only",#N/A,FALSE,"2225"}</definedName>
    <definedName name="sadadsadasd_1" hidden="1">{"rp_only",#N/A,FALSE,"2225"}</definedName>
    <definedName name="sadadsasad" localSheetId="10" hidden="1">{"rp_only",#N/A,FALSE,"2225"}</definedName>
    <definedName name="sadadsasad" hidden="1">{"rp_only",#N/A,FALSE,"2225"}</definedName>
    <definedName name="sadadsasad_1" localSheetId="10" hidden="1">{"rp_only",#N/A,FALSE,"2225"}</definedName>
    <definedName name="sadadsasad_1" hidden="1">{"rp_only",#N/A,FALSE,"2225"}</definedName>
    <definedName name="sadadsd" localSheetId="10" hidden="1">{"rp_only",#N/A,FALSE,"2225"}</definedName>
    <definedName name="sadadsd" hidden="1">{"rp_only",#N/A,FALSE,"2225"}</definedName>
    <definedName name="sadadsd_1" localSheetId="10" hidden="1">{"rp_only",#N/A,FALSE,"2225"}</definedName>
    <definedName name="sadadsd_1" hidden="1">{"rp_only",#N/A,FALSE,"2225"}</definedName>
    <definedName name="SADAFD" localSheetId="10" hidden="1">{"with_oth_curr",#N/A,FALSE,"2225"}</definedName>
    <definedName name="SADAFD" hidden="1">{"with_oth_curr",#N/A,FALSE,"2225"}</definedName>
    <definedName name="SADAFD_1" localSheetId="10" hidden="1">{"with_oth_curr",#N/A,FALSE,"2225"}</definedName>
    <definedName name="SADAFD_1" hidden="1">{"with_oth_curr",#N/A,FALSE,"2225"}</definedName>
    <definedName name="SADAS" localSheetId="10" hidden="1">{"rp_only",#N/A,FALSE,"2225"}</definedName>
    <definedName name="SADAS" hidden="1">{"rp_only",#N/A,FALSE,"2225"}</definedName>
    <definedName name="SADAS_1" localSheetId="10" hidden="1">{"rp_only",#N/A,FALSE,"2225"}</definedName>
    <definedName name="SADAS_1" hidden="1">{"rp_only",#N/A,FALSE,"2225"}</definedName>
    <definedName name="sadasda" localSheetId="10" hidden="1">{"rp_only",#N/A,FALSE,"2225"}</definedName>
    <definedName name="sadasda" hidden="1">{"rp_only",#N/A,FALSE,"2225"}</definedName>
    <definedName name="sadasda_1" localSheetId="10" hidden="1">{"rp_only",#N/A,FALSE,"2225"}</definedName>
    <definedName name="sadasda_1" hidden="1">{"rp_only",#N/A,FALSE,"2225"}</definedName>
    <definedName name="sadasdad" localSheetId="10" hidden="1">{"with_oth_curr",#N/A,FALSE,"2225"}</definedName>
    <definedName name="sadasdad" hidden="1">{"with_oth_curr",#N/A,FALSE,"2225"}</definedName>
    <definedName name="sadasdad_1" localSheetId="10" hidden="1">{"with_oth_curr",#N/A,FALSE,"2225"}</definedName>
    <definedName name="sadasdad_1" hidden="1">{"with_oth_curr",#N/A,FALSE,"2225"}</definedName>
    <definedName name="sadasdadads" localSheetId="10" hidden="1">{"rp_only",#N/A,FALSE,"2225"}</definedName>
    <definedName name="sadasdadads" hidden="1">{"rp_only",#N/A,FALSE,"2225"}</definedName>
    <definedName name="sadasdadads_1" localSheetId="10" hidden="1">{"rp_only",#N/A,FALSE,"2225"}</definedName>
    <definedName name="sadasdadads_1" hidden="1">{"rp_only",#N/A,FALSE,"2225"}</definedName>
    <definedName name="sadasdas" localSheetId="10" hidden="1">{"rp_only",#N/A,FALSE,"2225"}</definedName>
    <definedName name="sadasdas" hidden="1">{"rp_only",#N/A,FALSE,"2225"}</definedName>
    <definedName name="sadasdas_1" localSheetId="10" hidden="1">{"rp_only",#N/A,FALSE,"2225"}</definedName>
    <definedName name="sadasdas_1" hidden="1">{"rp_only",#N/A,FALSE,"2225"}</definedName>
    <definedName name="sadasdasd" localSheetId="10" hidden="1">{"with_oth_curr",#N/A,FALSE,"2225"}</definedName>
    <definedName name="sadasdasd" hidden="1">{"with_oth_curr",#N/A,FALSE,"2225"}</definedName>
    <definedName name="sadasdasd_1" localSheetId="10" hidden="1">{"with_oth_curr",#N/A,FALSE,"2225"}</definedName>
    <definedName name="sadasdasd_1" hidden="1">{"with_oth_curr",#N/A,FALSE,"2225"}</definedName>
    <definedName name="sadasdasdasdasd" localSheetId="10" hidden="1">{"rp_only",#N/A,FALSE,"2225"}</definedName>
    <definedName name="sadasdasdasdasd" hidden="1">{"rp_only",#N/A,FALSE,"2225"}</definedName>
    <definedName name="sadasdasdasdasd_1" localSheetId="10" hidden="1">{"rp_only",#N/A,FALSE,"2225"}</definedName>
    <definedName name="sadasdasdasdasd_1" hidden="1">{"rp_only",#N/A,FALSE,"2225"}</definedName>
    <definedName name="sadasdasdsadsd" localSheetId="10" hidden="1">{"rp_only",#N/A,FALSE,"2225"}</definedName>
    <definedName name="sadasdasdsadsd" hidden="1">{"rp_only",#N/A,FALSE,"2225"}</definedName>
    <definedName name="sadasdasdsadsd_1" localSheetId="10" hidden="1">{"rp_only",#N/A,FALSE,"2225"}</definedName>
    <definedName name="sadasdasdsadsd_1" hidden="1">{"rp_only",#N/A,FALSE,"2225"}</definedName>
    <definedName name="sadasdsad" localSheetId="10" hidden="1">{"with_oth_curr",#N/A,FALSE,"2225"}</definedName>
    <definedName name="sadasdsad" hidden="1">{"with_oth_curr",#N/A,FALSE,"2225"}</definedName>
    <definedName name="sadasdsad_1" localSheetId="10" hidden="1">{"with_oth_curr",#N/A,FALSE,"2225"}</definedName>
    <definedName name="sadasdsad_1" hidden="1">{"with_oth_curr",#N/A,FALSE,"2225"}</definedName>
    <definedName name="SADASF" localSheetId="10" hidden="1">{"rp_only",#N/A,FALSE,"2225"}</definedName>
    <definedName name="SADASF" hidden="1">{"rp_only",#N/A,FALSE,"2225"}</definedName>
    <definedName name="SADASF_1" localSheetId="10" hidden="1">{"rp_only",#N/A,FALSE,"2225"}</definedName>
    <definedName name="SADASF_1" hidden="1">{"rp_only",#N/A,FALSE,"2225"}</definedName>
    <definedName name="sadasfdfsafsd" localSheetId="10" hidden="1">{"rp_only",#N/A,FALSE,"2225"}</definedName>
    <definedName name="sadasfdfsafsd" hidden="1">{"rp_only",#N/A,FALSE,"2225"}</definedName>
    <definedName name="sadasfdfsafsd_1" localSheetId="10" hidden="1">{"rp_only",#N/A,FALSE,"2225"}</definedName>
    <definedName name="sadasfdfsafsd_1" hidden="1">{"rp_only",#N/A,FALSE,"2225"}</definedName>
    <definedName name="sadasfdsa" localSheetId="10" hidden="1">{"with_oth_curr",#N/A,FALSE,"2225"}</definedName>
    <definedName name="sadasfdsa" hidden="1">{"with_oth_curr",#N/A,FALSE,"2225"}</definedName>
    <definedName name="sadasfdsa_1" localSheetId="10" hidden="1">{"with_oth_curr",#N/A,FALSE,"2225"}</definedName>
    <definedName name="sadasfdsa_1" hidden="1">{"with_oth_curr",#N/A,FALSE,"2225"}</definedName>
    <definedName name="SADDA" localSheetId="10" hidden="1">{"with_oth_curr",#N/A,FALSE,"2225"}</definedName>
    <definedName name="SADDA" hidden="1">{"with_oth_curr",#N/A,FALSE,"2225"}</definedName>
    <definedName name="SADDA_1" localSheetId="10" hidden="1">{"with_oth_curr",#N/A,FALSE,"2225"}</definedName>
    <definedName name="SADDA_1" hidden="1">{"with_oth_curr",#N/A,FALSE,"2225"}</definedName>
    <definedName name="saddadsa" localSheetId="10" hidden="1">{"with_oth_curr",#N/A,FALSE,"2225"}</definedName>
    <definedName name="saddadsa" hidden="1">{"with_oth_curr",#N/A,FALSE,"2225"}</definedName>
    <definedName name="saddadsa_1" localSheetId="10" hidden="1">{"with_oth_curr",#N/A,FALSE,"2225"}</definedName>
    <definedName name="saddadsa_1" hidden="1">{"with_oth_curr",#N/A,FALSE,"2225"}</definedName>
    <definedName name="saddfs" localSheetId="10" hidden="1">{"with_oth_curr",#N/A,FALSE,"2225"}</definedName>
    <definedName name="saddfs" hidden="1">{"with_oth_curr",#N/A,FALSE,"2225"}</definedName>
    <definedName name="saddfs_1" localSheetId="10" hidden="1">{"with_oth_curr",#N/A,FALSE,"2225"}</definedName>
    <definedName name="saddfs_1" hidden="1">{"with_oth_curr",#N/A,FALSE,"2225"}</definedName>
    <definedName name="sadds" localSheetId="10" hidden="1">{"rp_only",#N/A,FALSE,"2225"}</definedName>
    <definedName name="sadds" hidden="1">{"rp_only",#N/A,FALSE,"2225"}</definedName>
    <definedName name="sadds_1" localSheetId="10" hidden="1">{"rp_only",#N/A,FALSE,"2225"}</definedName>
    <definedName name="sadds_1" hidden="1">{"rp_only",#N/A,FALSE,"2225"}</definedName>
    <definedName name="SADDSA" localSheetId="10" hidden="1">{"rp_only",#N/A,FALSE,"2225"}</definedName>
    <definedName name="SADDSA" hidden="1">{"rp_only",#N/A,FALSE,"2225"}</definedName>
    <definedName name="SADDSA_1" localSheetId="10" hidden="1">{"rp_only",#N/A,FALSE,"2225"}</definedName>
    <definedName name="SADDSA_1" hidden="1">{"rp_only",#N/A,FALSE,"2225"}</definedName>
    <definedName name="saddsadsa" localSheetId="10" hidden="1">{"rp_only",#N/A,FALSE,"2225"}</definedName>
    <definedName name="saddsadsa" hidden="1">{"rp_only",#N/A,FALSE,"2225"}</definedName>
    <definedName name="saddsadsa_1" localSheetId="10" hidden="1">{"rp_only",#N/A,FALSE,"2225"}</definedName>
    <definedName name="saddsadsa_1" hidden="1">{"rp_only",#N/A,FALSE,"2225"}</definedName>
    <definedName name="saddsasad" localSheetId="10" hidden="1">{"rp_only",#N/A,FALSE,"2225"}</definedName>
    <definedName name="saddsasad" hidden="1">{"rp_only",#N/A,FALSE,"2225"}</definedName>
    <definedName name="saddsasad_1" localSheetId="10" hidden="1">{"rp_only",#N/A,FALSE,"2225"}</definedName>
    <definedName name="saddsasad_1" hidden="1">{"rp_only",#N/A,FALSE,"2225"}</definedName>
    <definedName name="saddsasdadsa" localSheetId="10" hidden="1">{"with_oth_curr",#N/A,FALSE,"2225"}</definedName>
    <definedName name="saddsasdadsa" hidden="1">{"with_oth_curr",#N/A,FALSE,"2225"}</definedName>
    <definedName name="saddsasdadsa_1" localSheetId="10" hidden="1">{"with_oth_curr",#N/A,FALSE,"2225"}</definedName>
    <definedName name="saddsasdadsa_1" hidden="1">{"with_oth_curr",#N/A,FALSE,"2225"}</definedName>
    <definedName name="sadf" localSheetId="10" hidden="1">{"rp_only",#N/A,FALSE,"2225"}</definedName>
    <definedName name="sadf" hidden="1">{"rp_only",#N/A,FALSE,"2225"}</definedName>
    <definedName name="sadf_1" localSheetId="10" hidden="1">{"rp_only",#N/A,FALSE,"2225"}</definedName>
    <definedName name="sadf_1" hidden="1">{"rp_only",#N/A,FALSE,"2225"}</definedName>
    <definedName name="sadfadsfd" localSheetId="10" hidden="1">{"rp_only",#N/A,FALSE,"2225"}</definedName>
    <definedName name="sadfadsfd" hidden="1">{"rp_only",#N/A,FALSE,"2225"}</definedName>
    <definedName name="sadfadsfd_1" localSheetId="10" hidden="1">{"rp_only",#N/A,FALSE,"2225"}</definedName>
    <definedName name="sadfadsfd_1" hidden="1">{"rp_only",#N/A,FALSE,"2225"}</definedName>
    <definedName name="sadfasdf" localSheetId="10" hidden="1">{"with_oth_curr",#N/A,FALSE,"2225"}</definedName>
    <definedName name="sadfasdf" hidden="1">{"with_oth_curr",#N/A,FALSE,"2225"}</definedName>
    <definedName name="sadfasdf_1" localSheetId="10" hidden="1">{"with_oth_curr",#N/A,FALSE,"2225"}</definedName>
    <definedName name="sadfasdf_1" hidden="1">{"with_oth_curr",#N/A,FALSE,"2225"}</definedName>
    <definedName name="sadfasdfa" localSheetId="10" hidden="1">{"rp_only",#N/A,FALSE,"2225"}</definedName>
    <definedName name="sadfasdfa" hidden="1">{"rp_only",#N/A,FALSE,"2225"}</definedName>
    <definedName name="sadfasdfa_1" localSheetId="10" hidden="1">{"rp_only",#N/A,FALSE,"2225"}</definedName>
    <definedName name="sadfasdfa_1" hidden="1">{"rp_only",#N/A,FALSE,"2225"}</definedName>
    <definedName name="sadfasdfsadf" localSheetId="10" hidden="1">{"rp_only",#N/A,FALSE,"2225"}</definedName>
    <definedName name="sadfasdfsadf" hidden="1">{"rp_only",#N/A,FALSE,"2225"}</definedName>
    <definedName name="sadfasdfsadf_1" localSheetId="10" hidden="1">{"rp_only",#N/A,FALSE,"2225"}</definedName>
    <definedName name="sadfasdfsadf_1" hidden="1">{"rp_only",#N/A,FALSE,"2225"}</definedName>
    <definedName name="sadfasdfsfad" localSheetId="10" hidden="1">{"rp_only",#N/A,FALSE,"2225"}</definedName>
    <definedName name="sadfasdfsfad" hidden="1">{"rp_only",#N/A,FALSE,"2225"}</definedName>
    <definedName name="sadfasdfsfad_1" localSheetId="10" hidden="1">{"rp_only",#N/A,FALSE,"2225"}</definedName>
    <definedName name="sadfasdfsfad_1" hidden="1">{"rp_only",#N/A,FALSE,"2225"}</definedName>
    <definedName name="sadfasfdsadfsadf" localSheetId="10" hidden="1">{"rp_only",#N/A,FALSE,"2225"}</definedName>
    <definedName name="sadfasfdsadfsadf" hidden="1">{"rp_only",#N/A,FALSE,"2225"}</definedName>
    <definedName name="sadfasfdsadfsadf_1" localSheetId="10" hidden="1">{"rp_only",#N/A,FALSE,"2225"}</definedName>
    <definedName name="sadfasfdsadfsadf_1" hidden="1">{"rp_only",#N/A,FALSE,"2225"}</definedName>
    <definedName name="sadfdasf" localSheetId="10" hidden="1">{"rp_only",#N/A,FALSE,"2225"}</definedName>
    <definedName name="sadfdasf" hidden="1">{"rp_only",#N/A,FALSE,"2225"}</definedName>
    <definedName name="sadfdasf_1" localSheetId="10" hidden="1">{"rp_only",#N/A,FALSE,"2225"}</definedName>
    <definedName name="sadfdasf_1" hidden="1">{"rp_only",#N/A,FALSE,"2225"}</definedName>
    <definedName name="sadfdsa" localSheetId="10" hidden="1">{"rp_only",#N/A,FALSE,"2225"}</definedName>
    <definedName name="sadfdsa" hidden="1">{"rp_only",#N/A,FALSE,"2225"}</definedName>
    <definedName name="sadfdsa_1" localSheetId="10" hidden="1">{"rp_only",#N/A,FALSE,"2225"}</definedName>
    <definedName name="sadfdsa_1" hidden="1">{"rp_only",#N/A,FALSE,"2225"}</definedName>
    <definedName name="sadfdsfadsf" localSheetId="10" hidden="1">{"rp_only",#N/A,FALSE,"2225"}</definedName>
    <definedName name="sadfdsfadsf" hidden="1">{"rp_only",#N/A,FALSE,"2225"}</definedName>
    <definedName name="sadfdsfadsf_1" localSheetId="10" hidden="1">{"rp_only",#N/A,FALSE,"2225"}</definedName>
    <definedName name="sadfdsfadsf_1" hidden="1">{"rp_only",#N/A,FALSE,"2225"}</definedName>
    <definedName name="sadfsa" localSheetId="10" hidden="1">{"rp_only",#N/A,FALSE,"2225"}</definedName>
    <definedName name="sadfsa" hidden="1">{"rp_only",#N/A,FALSE,"2225"}</definedName>
    <definedName name="sadfsa_1" localSheetId="10" hidden="1">{"rp_only",#N/A,FALSE,"2225"}</definedName>
    <definedName name="sadfsa_1" hidden="1">{"rp_only",#N/A,FALSE,"2225"}</definedName>
    <definedName name="sadfsadf" localSheetId="10" hidden="1">{"with_oth_curr",#N/A,FALSE,"2225"}</definedName>
    <definedName name="sadfsadf" hidden="1">{"with_oth_curr",#N/A,FALSE,"2225"}</definedName>
    <definedName name="sadfsadf_1" localSheetId="10" hidden="1">{"with_oth_curr",#N/A,FALSE,"2225"}</definedName>
    <definedName name="sadfsadf_1" hidden="1">{"with_oth_curr",#N/A,FALSE,"2225"}</definedName>
    <definedName name="sadfsadfa" localSheetId="10" hidden="1">{"with_oth_curr",#N/A,FALSE,"2225"}</definedName>
    <definedName name="sadfsadfa" hidden="1">{"with_oth_curr",#N/A,FALSE,"2225"}</definedName>
    <definedName name="sadfsadfa_1" localSheetId="10" hidden="1">{"with_oth_curr",#N/A,FALSE,"2225"}</definedName>
    <definedName name="sadfsadfa_1" hidden="1">{"with_oth_curr",#N/A,FALSE,"2225"}</definedName>
    <definedName name="sadfsafdsd" localSheetId="10" hidden="1">{"rp_only",#N/A,FALSE,"2225"}</definedName>
    <definedName name="sadfsafdsd" hidden="1">{"rp_only",#N/A,FALSE,"2225"}</definedName>
    <definedName name="sadfsafdsd_1" localSheetId="10" hidden="1">{"rp_only",#N/A,FALSE,"2225"}</definedName>
    <definedName name="sadfsafdsd_1" hidden="1">{"rp_only",#N/A,FALSE,"2225"}</definedName>
    <definedName name="sadfsdadfdsaf" localSheetId="10" hidden="1">{"with_oth_curr",#N/A,FALSE,"2225"}</definedName>
    <definedName name="sadfsdadfdsaf" hidden="1">{"with_oth_curr",#N/A,FALSE,"2225"}</definedName>
    <definedName name="sadfsdadfdsaf_1" localSheetId="10" hidden="1">{"with_oth_curr",#N/A,FALSE,"2225"}</definedName>
    <definedName name="sadfsdadfdsaf_1" hidden="1">{"with_oth_curr",#N/A,FALSE,"2225"}</definedName>
    <definedName name="sadfsdaf" localSheetId="10" hidden="1">{"rp_only",#N/A,FALSE,"2225"}</definedName>
    <definedName name="sadfsdaf" hidden="1">{"rp_only",#N/A,FALSE,"2225"}</definedName>
    <definedName name="sadfsdaf_1" localSheetId="10" hidden="1">{"rp_only",#N/A,FALSE,"2225"}</definedName>
    <definedName name="sadfsdaf_1" hidden="1">{"rp_only",#N/A,FALSE,"2225"}</definedName>
    <definedName name="sadfsdafasdf" localSheetId="10" hidden="1">{"rp_only",#N/A,FALSE,"2225"}</definedName>
    <definedName name="sadfsdafasdf" hidden="1">{"rp_only",#N/A,FALSE,"2225"}</definedName>
    <definedName name="sadfsdafasdf_1" localSheetId="10" hidden="1">{"rp_only",#N/A,FALSE,"2225"}</definedName>
    <definedName name="sadfsdafasdf_1" hidden="1">{"rp_only",#N/A,FALSE,"2225"}</definedName>
    <definedName name="sadfsdaffsd" localSheetId="10" hidden="1">{"rp_only",#N/A,FALSE,"2225"}</definedName>
    <definedName name="sadfsdaffsd" hidden="1">{"rp_only",#N/A,FALSE,"2225"}</definedName>
    <definedName name="sadfsdaffsd_1" localSheetId="10" hidden="1">{"rp_only",#N/A,FALSE,"2225"}</definedName>
    <definedName name="sadfsdaffsd_1" hidden="1">{"rp_only",#N/A,FALSE,"2225"}</definedName>
    <definedName name="sadfsdafsfd" localSheetId="10" hidden="1">{"with_oth_curr",#N/A,FALSE,"2225"}</definedName>
    <definedName name="sadfsdafsfd" hidden="1">{"with_oth_curr",#N/A,FALSE,"2225"}</definedName>
    <definedName name="sadfsdafsfd_1" localSheetId="10" hidden="1">{"with_oth_curr",#N/A,FALSE,"2225"}</definedName>
    <definedName name="sadfsdafsfd_1" hidden="1">{"with_oth_curr",#N/A,FALSE,"2225"}</definedName>
    <definedName name="sadfsdf" localSheetId="10" hidden="1">{"rp_only",#N/A,FALSE,"2225"}</definedName>
    <definedName name="sadfsdf" hidden="1">{"rp_only",#N/A,FALSE,"2225"}</definedName>
    <definedName name="sadfsdf_1" localSheetId="10" hidden="1">{"rp_only",#N/A,FALSE,"2225"}</definedName>
    <definedName name="sadfsdf_1" hidden="1">{"rp_only",#N/A,FALSE,"2225"}</definedName>
    <definedName name="sadfsfa" localSheetId="10" hidden="1">{"rp_only",#N/A,FALSE,"2225"}</definedName>
    <definedName name="sadfsfa" hidden="1">{"rp_only",#N/A,FALSE,"2225"}</definedName>
    <definedName name="sadfsfa_1" localSheetId="10" hidden="1">{"rp_only",#N/A,FALSE,"2225"}</definedName>
    <definedName name="sadfsfa_1" hidden="1">{"rp_only",#N/A,FALSE,"2225"}</definedName>
    <definedName name="sadgdfgsagfsd" localSheetId="10" hidden="1">{"rp_only",#N/A,FALSE,"2225"}</definedName>
    <definedName name="sadgdfgsagfsd" hidden="1">{"rp_only",#N/A,FALSE,"2225"}</definedName>
    <definedName name="sadgdfgsagfsd_1" localSheetId="10" hidden="1">{"rp_only",#N/A,FALSE,"2225"}</definedName>
    <definedName name="sadgdfgsagfsd_1" hidden="1">{"rp_only",#N/A,FALSE,"2225"}</definedName>
    <definedName name="sads" hidden="1">#REF!</definedName>
    <definedName name="sadsa" localSheetId="10" hidden="1">{#N/A,#N/A,FALSE,"Aging Summary";#N/A,#N/A,FALSE,"Ratio Analysis";#N/A,#N/A,FALSE,"Test 120 Day Accts";#N/A,#N/A,FALSE,"Tickmarks"}</definedName>
    <definedName name="sadsa" hidden="1">{#N/A,#N/A,FALSE,"Aging Summary";#N/A,#N/A,FALSE,"Ratio Analysis";#N/A,#N/A,FALSE,"Test 120 Day Accts";#N/A,#N/A,FALSE,"Tickmarks"}</definedName>
    <definedName name="sadsad" localSheetId="10" hidden="1">{"rp_only",#N/A,FALSE,"2225"}</definedName>
    <definedName name="sadsad" hidden="1">{"rp_only",#N/A,FALSE,"2225"}</definedName>
    <definedName name="sadsad_1" localSheetId="10" hidden="1">{"rp_only",#N/A,FALSE,"2225"}</definedName>
    <definedName name="sadsad_1" hidden="1">{"rp_only",#N/A,FALSE,"2225"}</definedName>
    <definedName name="sadsada" localSheetId="10" hidden="1">{"with_oth_curr",#N/A,FALSE,"2225"}</definedName>
    <definedName name="sadsada" hidden="1">{"with_oth_curr",#N/A,FALSE,"2225"}</definedName>
    <definedName name="sadsada_1" localSheetId="10" hidden="1">{"with_oth_curr",#N/A,FALSE,"2225"}</definedName>
    <definedName name="sadsada_1" hidden="1">{"with_oth_curr",#N/A,FALSE,"2225"}</definedName>
    <definedName name="sadsadasd" localSheetId="10" hidden="1">{"rp_only",#N/A,FALSE,"2225"}</definedName>
    <definedName name="sadsadasd" hidden="1">{"rp_only",#N/A,FALSE,"2225"}</definedName>
    <definedName name="sadsadasd_1" localSheetId="10" hidden="1">{"rp_only",#N/A,FALSE,"2225"}</definedName>
    <definedName name="sadsadasd_1" hidden="1">{"rp_only",#N/A,FALSE,"2225"}</definedName>
    <definedName name="sadsaddsa" localSheetId="10" hidden="1">{"with_oth_curr",#N/A,FALSE,"2225"}</definedName>
    <definedName name="sadsaddsa" hidden="1">{"with_oth_curr",#N/A,FALSE,"2225"}</definedName>
    <definedName name="sadsaddsa_1" localSheetId="10" hidden="1">{"with_oth_curr",#N/A,FALSE,"2225"}</definedName>
    <definedName name="sadsaddsa_1" hidden="1">{"with_oth_curr",#N/A,FALSE,"2225"}</definedName>
    <definedName name="sadsads" localSheetId="10" hidden="1">{"rp_only",#N/A,FALSE,"2225"}</definedName>
    <definedName name="sadsads" hidden="1">{"rp_only",#N/A,FALSE,"2225"}</definedName>
    <definedName name="sadsads_1" localSheetId="10" hidden="1">{"rp_only",#N/A,FALSE,"2225"}</definedName>
    <definedName name="sadsads_1" hidden="1">{"rp_only",#N/A,FALSE,"2225"}</definedName>
    <definedName name="sadsas" localSheetId="10" hidden="1">{"rp_only",#N/A,FALSE,"2225"}</definedName>
    <definedName name="sadsas" hidden="1">{"rp_only",#N/A,FALSE,"2225"}</definedName>
    <definedName name="sadsas_1" localSheetId="10" hidden="1">{"rp_only",#N/A,FALSE,"2225"}</definedName>
    <definedName name="sadsas_1" hidden="1">{"rp_only",#N/A,FALSE,"2225"}</definedName>
    <definedName name="SADSASDA" localSheetId="10" hidden="1">{"with_oth_curr",#N/A,FALSE,"2225"}</definedName>
    <definedName name="SADSASDA" hidden="1">{"with_oth_curr",#N/A,FALSE,"2225"}</definedName>
    <definedName name="SADSASDA_1" localSheetId="10" hidden="1">{"with_oth_curr",#N/A,FALSE,"2225"}</definedName>
    <definedName name="SADSASDA_1" hidden="1">{"with_oth_curr",#N/A,FALSE,"2225"}</definedName>
    <definedName name="sadsdadsa" localSheetId="10" hidden="1">{"rp_only",#N/A,FALSE,"2225"}</definedName>
    <definedName name="sadsdadsa" hidden="1">{"rp_only",#N/A,FALSE,"2225"}</definedName>
    <definedName name="sadsdadsa_1" localSheetId="10" hidden="1">{"rp_only",#N/A,FALSE,"2225"}</definedName>
    <definedName name="sadsdadsa_1" hidden="1">{"rp_only",#N/A,FALSE,"2225"}</definedName>
    <definedName name="sadsdsa" localSheetId="10" hidden="1">{"rp_only",#N/A,FALSE,"2225"}</definedName>
    <definedName name="sadsdsa" hidden="1">{"rp_only",#N/A,FALSE,"2225"}</definedName>
    <definedName name="sadsdsa_1" localSheetId="10" hidden="1">{"rp_only",#N/A,FALSE,"2225"}</definedName>
    <definedName name="sadsdsa_1" hidden="1">{"rp_only",#N/A,FALSE,"2225"}</definedName>
    <definedName name="sadsf" localSheetId="10" hidden="1">{"rp_only",#N/A,FALSE,"2225"}</definedName>
    <definedName name="sadsf" hidden="1">{"rp_only",#N/A,FALSE,"2225"}</definedName>
    <definedName name="sadsf_1" localSheetId="10" hidden="1">{"rp_only",#N/A,FALSE,"2225"}</definedName>
    <definedName name="sadsf_1" hidden="1">{"rp_only",#N/A,FALSE,"2225"}</definedName>
    <definedName name="saf" localSheetId="10" hidden="1">{"with_oth_curr",#N/A,FALSE,"2225"}</definedName>
    <definedName name="saf" hidden="1">{"with_oth_curr",#N/A,FALSE,"2225"}</definedName>
    <definedName name="saf_1" localSheetId="10" hidden="1">{"with_oth_curr",#N/A,FALSE,"2225"}</definedName>
    <definedName name="saf_1" hidden="1">{"with_oth_curr",#N/A,FALSE,"2225"}</definedName>
    <definedName name="safadsfaaffdsfd" localSheetId="10" hidden="1">{"rp_only",#N/A,FALSE,"2225"}</definedName>
    <definedName name="safadsfaaffdsfd" hidden="1">{"rp_only",#N/A,FALSE,"2225"}</definedName>
    <definedName name="safadsfaaffdsfd_1" localSheetId="10" hidden="1">{"rp_only",#N/A,FALSE,"2225"}</definedName>
    <definedName name="safadsfaaffdsfd_1" hidden="1">{"rp_only",#N/A,FALSE,"2225"}</definedName>
    <definedName name="SAFAFS" localSheetId="10" hidden="1">{"rp_only",#N/A,FALSE,"2225"}</definedName>
    <definedName name="SAFAFS" hidden="1">{"rp_only",#N/A,FALSE,"2225"}</definedName>
    <definedName name="SAFAFS_1" localSheetId="10" hidden="1">{"rp_only",#N/A,FALSE,"2225"}</definedName>
    <definedName name="SAFAFS_1" hidden="1">{"rp_only",#N/A,FALSE,"2225"}</definedName>
    <definedName name="safd" localSheetId="10" hidden="1">{"with_oth_curr",#N/A,FALSE,"2225"}</definedName>
    <definedName name="safd" hidden="1">{"with_oth_curr",#N/A,FALSE,"2225"}</definedName>
    <definedName name="safd_1" localSheetId="10" hidden="1">{"with_oth_curr",#N/A,FALSE,"2225"}</definedName>
    <definedName name="safd_1" hidden="1">{"with_oth_curr",#N/A,FALSE,"2225"}</definedName>
    <definedName name="safdd" localSheetId="10" hidden="1">{"with_oth_curr",#N/A,FALSE,"2225"}</definedName>
    <definedName name="safdd" hidden="1">{"with_oth_curr",#N/A,FALSE,"2225"}</definedName>
    <definedName name="safdd_1" localSheetId="10" hidden="1">{"with_oth_curr",#N/A,FALSE,"2225"}</definedName>
    <definedName name="safdd_1" hidden="1">{"with_oth_curr",#N/A,FALSE,"2225"}</definedName>
    <definedName name="safdfdsa" localSheetId="10" hidden="1">{"rp_only",#N/A,FALSE,"2225"}</definedName>
    <definedName name="safdfdsa" hidden="1">{"rp_only",#N/A,FALSE,"2225"}</definedName>
    <definedName name="safdfdsa_1" localSheetId="10" hidden="1">{"rp_only",#N/A,FALSE,"2225"}</definedName>
    <definedName name="safdfdsa_1" hidden="1">{"rp_only",#N/A,FALSE,"2225"}</definedName>
    <definedName name="safdfsdfds" localSheetId="10" hidden="1">{"rp_only",#N/A,FALSE,"2225"}</definedName>
    <definedName name="safdfsdfds" hidden="1">{"rp_only",#N/A,FALSE,"2225"}</definedName>
    <definedName name="safdfsdfds_1" localSheetId="10" hidden="1">{"rp_only",#N/A,FALSE,"2225"}</definedName>
    <definedName name="safdfsdfds_1" hidden="1">{"rp_only",#N/A,FALSE,"2225"}</definedName>
    <definedName name="safdsad" localSheetId="10" hidden="1">{"rp_only",#N/A,FALSE,"2225"}</definedName>
    <definedName name="safdsad" hidden="1">{"rp_only",#N/A,FALSE,"2225"}</definedName>
    <definedName name="safdsad_1" localSheetId="10" hidden="1">{"rp_only",#N/A,FALSE,"2225"}</definedName>
    <definedName name="safdsad_1" hidden="1">{"rp_only",#N/A,FALSE,"2225"}</definedName>
    <definedName name="safdsdsf" localSheetId="10" hidden="1">{"with_oth_curr",#N/A,FALSE,"2225"}</definedName>
    <definedName name="safdsdsf" hidden="1">{"with_oth_curr",#N/A,FALSE,"2225"}</definedName>
    <definedName name="safdsdsf_1" localSheetId="10" hidden="1">{"with_oth_curr",#N/A,FALSE,"2225"}</definedName>
    <definedName name="safdsdsf_1" hidden="1">{"with_oth_curr",#N/A,FALSE,"2225"}</definedName>
    <definedName name="safdsf" localSheetId="10" hidden="1">{"with_oth_curr",#N/A,FALSE,"2225"}</definedName>
    <definedName name="safdsf" hidden="1">{"with_oth_curr",#N/A,FALSE,"2225"}</definedName>
    <definedName name="safdsf_1" localSheetId="10" hidden="1">{"with_oth_curr",#N/A,FALSE,"2225"}</definedName>
    <definedName name="safdsf_1" hidden="1">{"with_oth_curr",#N/A,FALSE,"2225"}</definedName>
    <definedName name="safdsfd" localSheetId="10" hidden="1">{"with_oth_curr",#N/A,FALSE,"2225"}</definedName>
    <definedName name="safdsfd" hidden="1">{"with_oth_curr",#N/A,FALSE,"2225"}</definedName>
    <definedName name="safdsfd_1" localSheetId="10" hidden="1">{"with_oth_curr",#N/A,FALSE,"2225"}</definedName>
    <definedName name="safdsfd_1" hidden="1">{"with_oth_curr",#N/A,FALSE,"2225"}</definedName>
    <definedName name="SAFETY_CONTROL">#REF!</definedName>
    <definedName name="safs" localSheetId="10" hidden="1">{"with_oth_curr",#N/A,FALSE,"2225"}</definedName>
    <definedName name="safs" hidden="1">{"with_oth_curr",#N/A,FALSE,"2225"}</definedName>
    <definedName name="safs_1" localSheetId="10" hidden="1">{"with_oth_curr",#N/A,FALSE,"2225"}</definedName>
    <definedName name="safs_1" hidden="1">{"with_oth_curr",#N/A,FALSE,"2225"}</definedName>
    <definedName name="SAFSADA" localSheetId="10" hidden="1">{"rp_only",#N/A,FALSE,"2225"}</definedName>
    <definedName name="SAFSADA" hidden="1">{"rp_only",#N/A,FALSE,"2225"}</definedName>
    <definedName name="SAFSADA_1" localSheetId="10" hidden="1">{"rp_only",#N/A,FALSE,"2225"}</definedName>
    <definedName name="SAFSADA_1" hidden="1">{"rp_only",#N/A,FALSE,"2225"}</definedName>
    <definedName name="safsadfd" localSheetId="10" hidden="1">{"rp_only",#N/A,FALSE,"2225"}</definedName>
    <definedName name="safsadfd" hidden="1">{"rp_only",#N/A,FALSE,"2225"}</definedName>
    <definedName name="safsadfd_1" localSheetId="10" hidden="1">{"rp_only",#N/A,FALSE,"2225"}</definedName>
    <definedName name="safsadfd_1" hidden="1">{"rp_only",#N/A,FALSE,"2225"}</definedName>
    <definedName name="safsaf" localSheetId="10" hidden="1">{"rp_only",#N/A,FALSE,"2225"}</definedName>
    <definedName name="safsaf" hidden="1">{"rp_only",#N/A,FALSE,"2225"}</definedName>
    <definedName name="safsaf_1" localSheetId="10" hidden="1">{"rp_only",#N/A,FALSE,"2225"}</definedName>
    <definedName name="safsaf_1" hidden="1">{"rp_only",#N/A,FALSE,"2225"}</definedName>
    <definedName name="safsafd" localSheetId="10" hidden="1">{"rp_only",#N/A,FALSE,"2225"}</definedName>
    <definedName name="safsafd" hidden="1">{"rp_only",#N/A,FALSE,"2225"}</definedName>
    <definedName name="safsafd_1" localSheetId="10" hidden="1">{"rp_only",#N/A,FALSE,"2225"}</definedName>
    <definedName name="safsafd_1" hidden="1">{"rp_only",#N/A,FALSE,"2225"}</definedName>
    <definedName name="safsd" localSheetId="10" hidden="1">{"rp_only",#N/A,FALSE,"2225"}</definedName>
    <definedName name="safsd" hidden="1">{"rp_only",#N/A,FALSE,"2225"}</definedName>
    <definedName name="safsd_1" localSheetId="10" hidden="1">{"rp_only",#N/A,FALSE,"2225"}</definedName>
    <definedName name="safsd_1" hidden="1">{"rp_only",#N/A,FALSE,"2225"}</definedName>
    <definedName name="safsda" localSheetId="10" hidden="1">{"with_oth_curr",#N/A,FALSE,"2225"}</definedName>
    <definedName name="safsda" hidden="1">{"with_oth_curr",#N/A,FALSE,"2225"}</definedName>
    <definedName name="safsda_1" localSheetId="10" hidden="1">{"with_oth_curr",#N/A,FALSE,"2225"}</definedName>
    <definedName name="safsda_1" hidden="1">{"with_oth_curr",#N/A,FALSE,"2225"}</definedName>
    <definedName name="safsdfs" localSheetId="10" hidden="1">{"rp_only",#N/A,FALSE,"2225"}</definedName>
    <definedName name="safsdfs" hidden="1">{"rp_only",#N/A,FALSE,"2225"}</definedName>
    <definedName name="safsdfs_1" localSheetId="10"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 localSheetId="10">BLCH</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10">Main.SAPF4Help()</definedName>
    <definedName name="SAPFuncF4Help">Main.SAPF4Help()</definedName>
    <definedName name="SAPsysID" hidden="1">"708C5W7SBKP804JT78WJ0JNKI"</definedName>
    <definedName name="SAPwbID" hidden="1">"ARS"</definedName>
    <definedName name="sas" localSheetId="10" hidden="1">{#N/A,#N/A,FALSE,"Aging Summary";#N/A,#N/A,FALSE,"Ratio Analysis";#N/A,#N/A,FALSE,"Test 120 Day Accts";#N/A,#N/A,FALSE,"Tickmarks"}</definedName>
    <definedName name="sas" hidden="1">{#N/A,#N/A,FALSE,"Aging Summary";#N/A,#N/A,FALSE,"Ratio Analysis";#N/A,#N/A,FALSE,"Test 120 Day Accts";#N/A,#N/A,FALSE,"Tickmarks"}</definedName>
    <definedName name="SASA" hidden="1">#REF!</definedName>
    <definedName name="sasad" localSheetId="10" hidden="1">{"with_oth_curr",#N/A,FALSE,"2225"}</definedName>
    <definedName name="sasad" hidden="1">{"with_oth_curr",#N/A,FALSE,"2225"}</definedName>
    <definedName name="sasad_1" localSheetId="10" hidden="1">{"with_oth_curr",#N/A,FALSE,"2225"}</definedName>
    <definedName name="sasad_1" hidden="1">{"with_oth_curr",#N/A,FALSE,"2225"}</definedName>
    <definedName name="sasdads" localSheetId="10" hidden="1">{"rp_only",#N/A,FALSE,"2225"}</definedName>
    <definedName name="sasdads" hidden="1">{"rp_only",#N/A,FALSE,"2225"}</definedName>
    <definedName name="sasdads_1" localSheetId="10" hidden="1">{"rp_only",#N/A,FALSE,"2225"}</definedName>
    <definedName name="sasdads_1" hidden="1">{"rp_only",#N/A,FALSE,"2225"}</definedName>
    <definedName name="sasdas" localSheetId="10" hidden="1">{"with_oth_curr",#N/A,FALSE,"2225"}</definedName>
    <definedName name="sasdas" hidden="1">{"with_oth_curr",#N/A,FALSE,"2225"}</definedName>
    <definedName name="sasdas_1" localSheetId="10" hidden="1">{"with_oth_curr",#N/A,FALSE,"2225"}</definedName>
    <definedName name="sasdas_1" hidden="1">{"with_oth_curr",#N/A,FALSE,"2225"}</definedName>
    <definedName name="sasdasf" localSheetId="10" hidden="1">{"with_oth_curr",#N/A,FALSE,"2225"}</definedName>
    <definedName name="sasdasf" hidden="1">{"with_oth_curr",#N/A,FALSE,"2225"}</definedName>
    <definedName name="sasdasf_1" localSheetId="10" hidden="1">{"with_oth_curr",#N/A,FALSE,"2225"}</definedName>
    <definedName name="sasdasf_1" hidden="1">{"with_oth_curr",#N/A,FALSE,"2225"}</definedName>
    <definedName name="sasfdsa" localSheetId="10" hidden="1">{"rp_only",#N/A,FALSE,"2225"}</definedName>
    <definedName name="sasfdsa" hidden="1">{"rp_only",#N/A,FALSE,"2225"}</definedName>
    <definedName name="sasfdsa_1" localSheetId="10" hidden="1">{"rp_only",#N/A,FALSE,"2225"}</definedName>
    <definedName name="sasfdsa_1" hidden="1">{"rp_only",#N/A,FALSE,"2225"}</definedName>
    <definedName name="saskj" localSheetId="10" hidden="1">{"rp_only",#N/A,FALSE,"2225"}</definedName>
    <definedName name="saskj" hidden="1">{"rp_only",#N/A,FALSE,"2225"}</definedName>
    <definedName name="saskj_1" localSheetId="10"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localSheetId="10" hidden="1">{"SCH2B",#N/A,FALSE,"Canada"}</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10"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localSheetId="10" hidden="1">{"SCH1A",#N/A,FALSE,"US";"SCH2A",#N/A,FALSE,"US"}</definedName>
    <definedName name="scedule" hidden="1">{"SCH1A",#N/A,FALSE,"US";"SCH2A",#N/A,FALSE,"US"}</definedName>
    <definedName name="SCementS">#REF!</definedName>
    <definedName name="Scenario_Number">#REF!</definedName>
    <definedName name="SCH">#REF!</definedName>
    <definedName name="SCH1.0">#REF!</definedName>
    <definedName name="Schdasd" localSheetId="10" hidden="1">{"SCH1C",#N/A,FALSE,"North America";"SCH2C",#N/A,FALSE,"North America"}</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localSheetId="10" hidden="1">{"SCH1C",#N/A,FALSE,"North America";"SCH2C",#N/A,FALSE,"North America"}</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localSheetId="10" hidden="1">{"with_oth_curr",#N/A,FALSE,"2225"}</definedName>
    <definedName name="sdaas" hidden="1">{"with_oth_curr",#N/A,FALSE,"2225"}</definedName>
    <definedName name="sdaas_1" localSheetId="10" hidden="1">{"with_oth_curr",#N/A,FALSE,"2225"}</definedName>
    <definedName name="sdaas_1" hidden="1">{"with_oth_curr",#N/A,FALSE,"2225"}</definedName>
    <definedName name="sdad" hidden="1">#REF!</definedName>
    <definedName name="sdada" localSheetId="10" hidden="1">{"rp_only",#N/A,FALSE,"2225"}</definedName>
    <definedName name="sdada" hidden="1">{"rp_only",#N/A,FALSE,"2225"}</definedName>
    <definedName name="sdada_1" localSheetId="10" hidden="1">{"rp_only",#N/A,FALSE,"2225"}</definedName>
    <definedName name="sdada_1" hidden="1">{"rp_only",#N/A,FALSE,"2225"}</definedName>
    <definedName name="sdadad" localSheetId="10" hidden="1">{"with_oth_curr",#N/A,FALSE,"2225"}</definedName>
    <definedName name="sdadad" hidden="1">{"with_oth_curr",#N/A,FALSE,"2225"}</definedName>
    <definedName name="sdadad_1" localSheetId="10" hidden="1">{"with_oth_curr",#N/A,FALSE,"2225"}</definedName>
    <definedName name="sdadad_1" hidden="1">{"with_oth_curr",#N/A,FALSE,"2225"}</definedName>
    <definedName name="sdadadad" localSheetId="10" hidden="1">{"rp_only",#N/A,FALSE,"2225"}</definedName>
    <definedName name="sdadadad" hidden="1">{"rp_only",#N/A,FALSE,"2225"}</definedName>
    <definedName name="sdadadad_1" localSheetId="10" hidden="1">{"rp_only",#N/A,FALSE,"2225"}</definedName>
    <definedName name="sdadadad_1" hidden="1">{"rp_only",#N/A,FALSE,"2225"}</definedName>
    <definedName name="sdadads" localSheetId="10" hidden="1">{"with_oth_curr",#N/A,FALSE,"2225"}</definedName>
    <definedName name="sdadads" hidden="1">{"with_oth_curr",#N/A,FALSE,"2225"}</definedName>
    <definedName name="sdadads_1" localSheetId="10" hidden="1">{"with_oth_curr",#N/A,FALSE,"2225"}</definedName>
    <definedName name="sdadads_1" hidden="1">{"with_oth_curr",#N/A,FALSE,"2225"}</definedName>
    <definedName name="sdadadsa" localSheetId="10" hidden="1">{"with_oth_curr",#N/A,FALSE,"2225"}</definedName>
    <definedName name="sdadadsa" hidden="1">{"with_oth_curr",#N/A,FALSE,"2225"}</definedName>
    <definedName name="sdadadsa_1" localSheetId="10" hidden="1">{"with_oth_curr",#N/A,FALSE,"2225"}</definedName>
    <definedName name="sdadadsa_1" hidden="1">{"with_oth_curr",#N/A,FALSE,"2225"}</definedName>
    <definedName name="sdadasd" localSheetId="10" hidden="1">{"rp_only",#N/A,FALSE,"2225"}</definedName>
    <definedName name="sdadasd" hidden="1">{"rp_only",#N/A,FALSE,"2225"}</definedName>
    <definedName name="sdadasd_1" localSheetId="10" hidden="1">{"rp_only",#N/A,FALSE,"2225"}</definedName>
    <definedName name="sdadasd_1" hidden="1">{"rp_only",#N/A,FALSE,"2225"}</definedName>
    <definedName name="sdadasdsa" localSheetId="10" hidden="1">{"with_oth_curr",#N/A,FALSE,"2225"}</definedName>
    <definedName name="sdadasdsa" hidden="1">{"with_oth_curr",#N/A,FALSE,"2225"}</definedName>
    <definedName name="sdadasdsa_1" localSheetId="10" hidden="1">{"with_oth_curr",#N/A,FALSE,"2225"}</definedName>
    <definedName name="sdadasdsa_1" hidden="1">{"with_oth_curr",#N/A,FALSE,"2225"}</definedName>
    <definedName name="sdadsad" localSheetId="10" hidden="1">{"rp_only",#N/A,FALSE,"2225"}</definedName>
    <definedName name="sdadsad" hidden="1">{"rp_only",#N/A,FALSE,"2225"}</definedName>
    <definedName name="sdadsad_1" localSheetId="10" hidden="1">{"rp_only",#N/A,FALSE,"2225"}</definedName>
    <definedName name="sdadsad_1" hidden="1">{"rp_only",#N/A,FALSE,"2225"}</definedName>
    <definedName name="sdadsasddsa" localSheetId="10" hidden="1">{"with_oth_curr",#N/A,FALSE,"2225"}</definedName>
    <definedName name="sdadsasddsa" hidden="1">{"with_oth_curr",#N/A,FALSE,"2225"}</definedName>
    <definedName name="sdadsasddsa_1" localSheetId="10" hidden="1">{"with_oth_curr",#N/A,FALSE,"2225"}</definedName>
    <definedName name="sdadsasddsa_1" hidden="1">{"with_oth_curr",#N/A,FALSE,"2225"}</definedName>
    <definedName name="sdadsdsa" localSheetId="10" hidden="1">{"with_oth_curr",#N/A,FALSE,"2225"}</definedName>
    <definedName name="sdadsdsa" hidden="1">{"with_oth_curr",#N/A,FALSE,"2225"}</definedName>
    <definedName name="sdadsdsa_1" localSheetId="10" hidden="1">{"with_oth_curr",#N/A,FALSE,"2225"}</definedName>
    <definedName name="sdadsdsa_1" hidden="1">{"with_oth_curr",#N/A,FALSE,"2225"}</definedName>
    <definedName name="sdaf" localSheetId="10" hidden="1">{"with_oth_curr",#N/A,FALSE,"2225"}</definedName>
    <definedName name="sdaf" hidden="1">{"with_oth_curr",#N/A,FALSE,"2225"}</definedName>
    <definedName name="sdaf_1" localSheetId="10" hidden="1">{"with_oth_curr",#N/A,FALSE,"2225"}</definedName>
    <definedName name="sdaf_1" hidden="1">{"with_oth_curr",#N/A,FALSE,"2225"}</definedName>
    <definedName name="sdafasdf" localSheetId="10" hidden="1">{"with_oth_curr",#N/A,FALSE,"2225"}</definedName>
    <definedName name="sdafasdf" hidden="1">{"with_oth_curr",#N/A,FALSE,"2225"}</definedName>
    <definedName name="sdafasdf_1" localSheetId="10" hidden="1">{"with_oth_curr",#N/A,FALSE,"2225"}</definedName>
    <definedName name="sdafasdf_1" hidden="1">{"with_oth_curr",#N/A,FALSE,"2225"}</definedName>
    <definedName name="sdafd" localSheetId="10" hidden="1">{"with_oth_curr",#N/A,FALSE,"2225"}</definedName>
    <definedName name="sdafd" hidden="1">{"with_oth_curr",#N/A,FALSE,"2225"}</definedName>
    <definedName name="sdafd_1" localSheetId="10" hidden="1">{"with_oth_curr",#N/A,FALSE,"2225"}</definedName>
    <definedName name="sdafd_1" hidden="1">{"with_oth_curr",#N/A,FALSE,"2225"}</definedName>
    <definedName name="sdafdfasf" localSheetId="10" hidden="1">{"with_oth_curr",#N/A,FALSE,"2225"}</definedName>
    <definedName name="sdafdfasf" hidden="1">{"with_oth_curr",#N/A,FALSE,"2225"}</definedName>
    <definedName name="sdafdfasf_1" localSheetId="10" hidden="1">{"with_oth_curr",#N/A,FALSE,"2225"}</definedName>
    <definedName name="sdafdfasf_1" hidden="1">{"with_oth_curr",#N/A,FALSE,"2225"}</definedName>
    <definedName name="sdafsadfdsf" localSheetId="10" hidden="1">{"rp_only",#N/A,FALSE,"2225"}</definedName>
    <definedName name="sdafsadfdsf" hidden="1">{"rp_only",#N/A,FALSE,"2225"}</definedName>
    <definedName name="sdafsadfdsf_1" localSheetId="10" hidden="1">{"rp_only",#N/A,FALSE,"2225"}</definedName>
    <definedName name="sdafsadfdsf_1" hidden="1">{"rp_only",#N/A,FALSE,"2225"}</definedName>
    <definedName name="sdafsadfsdf" localSheetId="10" hidden="1">{"with_oth_curr",#N/A,FALSE,"2225"}</definedName>
    <definedName name="sdafsadfsdf" hidden="1">{"with_oth_curr",#N/A,FALSE,"2225"}</definedName>
    <definedName name="sdafsadfsdf_1" localSheetId="10" hidden="1">{"with_oth_curr",#N/A,FALSE,"2225"}</definedName>
    <definedName name="sdafsadfsdf_1" hidden="1">{"with_oth_curr",#N/A,FALSE,"2225"}</definedName>
    <definedName name="sdafsdf" localSheetId="10" hidden="1">{"rp_only",#N/A,FALSE,"2225"}</definedName>
    <definedName name="sdafsdf" hidden="1">{"rp_only",#N/A,FALSE,"2225"}</definedName>
    <definedName name="sdafsdf_1" localSheetId="10" hidden="1">{"rp_only",#N/A,FALSE,"2225"}</definedName>
    <definedName name="sdafsdf_1" hidden="1">{"rp_only",#N/A,FALSE,"2225"}</definedName>
    <definedName name="sdagfdsgsdggd" localSheetId="10" hidden="1">{"rp_only",#N/A,FALSE,"2225"}</definedName>
    <definedName name="sdagfdsgsdggd" hidden="1">{"rp_only",#N/A,FALSE,"2225"}</definedName>
    <definedName name="sdagfdsgsdggd_1" localSheetId="10" hidden="1">{"rp_only",#N/A,FALSE,"2225"}</definedName>
    <definedName name="sdagfdsgsdggd_1" hidden="1">{"rp_only",#N/A,FALSE,"2225"}</definedName>
    <definedName name="sdasadsad" localSheetId="10" hidden="1">{"rp_only",#N/A,FALSE,"2225"}</definedName>
    <definedName name="sdasadsad" hidden="1">{"rp_only",#N/A,FALSE,"2225"}</definedName>
    <definedName name="sdasadsad_1" localSheetId="10" hidden="1">{"rp_only",#N/A,FALSE,"2225"}</definedName>
    <definedName name="sdasadsad_1" hidden="1">{"rp_only",#N/A,FALSE,"2225"}</definedName>
    <definedName name="sdasd" localSheetId="10" hidden="1">{"rp_only",#N/A,FALSE,"2225"}</definedName>
    <definedName name="sdasd" hidden="1">{"rp_only",#N/A,FALSE,"2225"}</definedName>
    <definedName name="sdasd_1" localSheetId="10" hidden="1">{"rp_only",#N/A,FALSE,"2225"}</definedName>
    <definedName name="sdasd_1" hidden="1">{"rp_only",#N/A,FALSE,"2225"}</definedName>
    <definedName name="sdasda" localSheetId="10" hidden="1">{"rp_only",#N/A,FALSE,"2225"}</definedName>
    <definedName name="sdasda" hidden="1">{"rp_only",#N/A,FALSE,"2225"}</definedName>
    <definedName name="sdasda_1" localSheetId="10" hidden="1">{"rp_only",#N/A,FALSE,"2225"}</definedName>
    <definedName name="sdasda_1" hidden="1">{"rp_only",#N/A,FALSE,"2225"}</definedName>
    <definedName name="sdasdaads" localSheetId="10" hidden="1">{"rp_only",#N/A,FALSE,"2225"}</definedName>
    <definedName name="sdasdaads" hidden="1">{"rp_only",#N/A,FALSE,"2225"}</definedName>
    <definedName name="sdasdaads_1" localSheetId="10" hidden="1">{"rp_only",#N/A,FALSE,"2225"}</definedName>
    <definedName name="sdasdaads_1" hidden="1">{"rp_only",#N/A,FALSE,"2225"}</definedName>
    <definedName name="sdasdad" localSheetId="10" hidden="1">{"rp_only",#N/A,FALSE,"2225"}</definedName>
    <definedName name="sdasdad" hidden="1">{"rp_only",#N/A,FALSE,"2225"}</definedName>
    <definedName name="sdasdad_1" localSheetId="10" hidden="1">{"rp_only",#N/A,FALSE,"2225"}</definedName>
    <definedName name="sdasdad_1" hidden="1">{"rp_only",#N/A,FALSE,"2225"}</definedName>
    <definedName name="sdasdads" localSheetId="10" hidden="1">{"rp_only",#N/A,FALSE,"2225"}</definedName>
    <definedName name="sdasdads" hidden="1">{"rp_only",#N/A,FALSE,"2225"}</definedName>
    <definedName name="sdasdads_1" localSheetId="10" hidden="1">{"rp_only",#N/A,FALSE,"2225"}</definedName>
    <definedName name="sdasdads_1" hidden="1">{"rp_only",#N/A,FALSE,"2225"}</definedName>
    <definedName name="sdasdadsa" localSheetId="10" hidden="1">{"rp_only",#N/A,FALSE,"2225"}</definedName>
    <definedName name="sdasdadsa" hidden="1">{"rp_only",#N/A,FALSE,"2225"}</definedName>
    <definedName name="sdasdadsa_1" localSheetId="10" hidden="1">{"rp_only",#N/A,FALSE,"2225"}</definedName>
    <definedName name="sdasdadsa_1" hidden="1">{"rp_only",#N/A,FALSE,"2225"}</definedName>
    <definedName name="sdasdasad" localSheetId="10" hidden="1">{"with_oth_curr",#N/A,FALSE,"2225"}</definedName>
    <definedName name="sdasdasad" hidden="1">{"with_oth_curr",#N/A,FALSE,"2225"}</definedName>
    <definedName name="sdasdasad_1" localSheetId="10" hidden="1">{"with_oth_curr",#N/A,FALSE,"2225"}</definedName>
    <definedName name="sdasdasad_1" hidden="1">{"with_oth_curr",#N/A,FALSE,"2225"}</definedName>
    <definedName name="sdasdasda" localSheetId="10" hidden="1">{"rp_only",#N/A,FALSE,"2225"}</definedName>
    <definedName name="sdasdasda" hidden="1">{"rp_only",#N/A,FALSE,"2225"}</definedName>
    <definedName name="sdasdasda_1" localSheetId="10" hidden="1">{"rp_only",#N/A,FALSE,"2225"}</definedName>
    <definedName name="sdasdasda_1" hidden="1">{"rp_only",#N/A,FALSE,"2225"}</definedName>
    <definedName name="sdasdasdasd" localSheetId="10" hidden="1">{"rp_only",#N/A,FALSE,"2225"}</definedName>
    <definedName name="sdasdasdasd" hidden="1">{"rp_only",#N/A,FALSE,"2225"}</definedName>
    <definedName name="sdasdasdasd_1" localSheetId="10" hidden="1">{"rp_only",#N/A,FALSE,"2225"}</definedName>
    <definedName name="sdasdasdasd_1" hidden="1">{"rp_only",#N/A,FALSE,"2225"}</definedName>
    <definedName name="sdasds" localSheetId="10" hidden="1">{"with_oth_curr",#N/A,FALSE,"2225"}</definedName>
    <definedName name="sdasds" hidden="1">{"with_oth_curr",#N/A,FALSE,"2225"}</definedName>
    <definedName name="sdasds_1" localSheetId="10" hidden="1">{"with_oth_curr",#N/A,FALSE,"2225"}</definedName>
    <definedName name="sdasds_1" hidden="1">{"with_oth_curr",#N/A,FALSE,"2225"}</definedName>
    <definedName name="sdasfasdfsdfsdf" localSheetId="10" hidden="1">{"rp_only",#N/A,FALSE,"2225"}</definedName>
    <definedName name="sdasfasdfsdfsdf" hidden="1">{"rp_only",#N/A,FALSE,"2225"}</definedName>
    <definedName name="sdasfasdfsdfsdf_1" localSheetId="10" hidden="1">{"rp_only",#N/A,FALSE,"2225"}</definedName>
    <definedName name="sdasfasdfsdfsdf_1" hidden="1">{"rp_only",#N/A,FALSE,"2225"}</definedName>
    <definedName name="sdasfdd" localSheetId="10" hidden="1">{"rp_only",#N/A,FALSE,"2225"}</definedName>
    <definedName name="sdasfdd" hidden="1">{"rp_only",#N/A,FALSE,"2225"}</definedName>
    <definedName name="sdasfdd_1" localSheetId="10" hidden="1">{"rp_only",#N/A,FALSE,"2225"}</definedName>
    <definedName name="sdasfdd_1" hidden="1">{"rp_only",#N/A,FALSE,"2225"}</definedName>
    <definedName name="sdatu">#REF!</definedName>
    <definedName name="SDd" localSheetId="10" hidden="1">{"with_oth_curr",#N/A,FALSE,"2225"}</definedName>
    <definedName name="SDd" hidden="1">{"with_oth_curr",#N/A,FALSE,"2225"}</definedName>
    <definedName name="SDd_1" localSheetId="10" hidden="1">{"with_oth_curr",#N/A,FALSE,"2225"}</definedName>
    <definedName name="SDd_1" hidden="1">{"with_oth_curr",#N/A,FALSE,"2225"}</definedName>
    <definedName name="sddsadsa" localSheetId="10" hidden="1">{"with_oth_curr",#N/A,FALSE,"2225"}</definedName>
    <definedName name="sddsadsa" hidden="1">{"with_oth_curr",#N/A,FALSE,"2225"}</definedName>
    <definedName name="sddsadsa_1" localSheetId="10" hidden="1">{"with_oth_curr",#N/A,FALSE,"2225"}</definedName>
    <definedName name="sddsadsa_1" hidden="1">{"with_oth_curr",#N/A,FALSE,"2225"}</definedName>
    <definedName name="sddsfsdf" localSheetId="10" hidden="1">{"rp_only",#N/A,FALSE,"2225"}</definedName>
    <definedName name="sddsfsdf" hidden="1">{"rp_only",#N/A,FALSE,"2225"}</definedName>
    <definedName name="sddsfsdf_1" localSheetId="10" hidden="1">{"rp_only",#N/A,FALSE,"2225"}</definedName>
    <definedName name="sddsfsdf_1" hidden="1">{"rp_only",#N/A,FALSE,"2225"}</definedName>
    <definedName name="sddsgd" localSheetId="10" hidden="1">{"with_oth_curr",#N/A,FALSE,"2225"}</definedName>
    <definedName name="sddsgd" hidden="1">{"with_oth_curr",#N/A,FALSE,"2225"}</definedName>
    <definedName name="sddsgd_1" localSheetId="10" hidden="1">{"with_oth_curr",#N/A,FALSE,"2225"}</definedName>
    <definedName name="sddsgd_1" hidden="1">{"with_oth_curr",#N/A,FALSE,"2225"}</definedName>
    <definedName name="SDE" hidden="1">#REF!</definedName>
    <definedName name="sdewe" localSheetId="10" hidden="1">{"rp_only",#N/A,FALSE,"2225"}</definedName>
    <definedName name="sdewe" hidden="1">{"rp_only",#N/A,FALSE,"2225"}</definedName>
    <definedName name="sdewe_1" localSheetId="10" hidden="1">{"rp_only",#N/A,FALSE,"2225"}</definedName>
    <definedName name="sdewe_1" hidden="1">{"rp_only",#N/A,FALSE,"2225"}</definedName>
    <definedName name="sdf" localSheetId="10" hidden="1">{#N/A,#N/A,FALSE,"Calc";#N/A,#N/A,FALSE,"Sensitivity";#N/A,#N/A,FALSE,"LT Earn.Dil.";#N/A,#N/A,FALSE,"Dil. AVP"}</definedName>
    <definedName name="sdf" hidden="1">{#N/A,#N/A,FALSE,"Calc";#N/A,#N/A,FALSE,"Sensitivity";#N/A,#N/A,FALSE,"LT Earn.Dil.";#N/A,#N/A,FALSE,"Dil. AVP"}</definedName>
    <definedName name="sdfa" localSheetId="10" hidden="1">{"rp_only",#N/A,FALSE,"2225"}</definedName>
    <definedName name="sdfa" hidden="1">{"rp_only",#N/A,FALSE,"2225"}</definedName>
    <definedName name="sdfa_1" localSheetId="10" hidden="1">{"rp_only",#N/A,FALSE,"2225"}</definedName>
    <definedName name="sdfa_1" hidden="1">{"rp_only",#N/A,FALSE,"2225"}</definedName>
    <definedName name="sdfasdfa" localSheetId="10" hidden="1">{"rp_only",#N/A,FALSE,"2225"}</definedName>
    <definedName name="sdfasdfa" hidden="1">{"rp_only",#N/A,FALSE,"2225"}</definedName>
    <definedName name="sdfasdfa_1" localSheetId="10" hidden="1">{"rp_only",#N/A,FALSE,"2225"}</definedName>
    <definedName name="sdfasdfa_1" hidden="1">{"rp_only",#N/A,FALSE,"2225"}</definedName>
    <definedName name="sdfasfasf" localSheetId="10" hidden="1">{"with_oth_curr",#N/A,FALSE,"2225"}</definedName>
    <definedName name="sdfasfasf" hidden="1">{"with_oth_curr",#N/A,FALSE,"2225"}</definedName>
    <definedName name="sdfasfasf_1" localSheetId="10" hidden="1">{"with_oth_curr",#N/A,FALSE,"2225"}</definedName>
    <definedName name="sdfasfasf_1" hidden="1">{"with_oth_curr",#N/A,FALSE,"2225"}</definedName>
    <definedName name="sdfasfdaf" localSheetId="10" hidden="1">{"with_oth_curr",#N/A,FALSE,"2225"}</definedName>
    <definedName name="sdfasfdaf" hidden="1">{"with_oth_curr",#N/A,FALSE,"2225"}</definedName>
    <definedName name="sdfasfdaf_1" localSheetId="10" hidden="1">{"with_oth_curr",#N/A,FALSE,"2225"}</definedName>
    <definedName name="sdfasfdaf_1" hidden="1">{"with_oth_curr",#N/A,FALSE,"2225"}</definedName>
    <definedName name="sdfasfsadf" localSheetId="10" hidden="1">{"rp_only",#N/A,FALSE,"2225"}</definedName>
    <definedName name="sdfasfsadf" hidden="1">{"rp_only",#N/A,FALSE,"2225"}</definedName>
    <definedName name="sdfasfsadf_1" localSheetId="10" hidden="1">{"rp_only",#N/A,FALSE,"2225"}</definedName>
    <definedName name="sdfasfsadf_1" hidden="1">{"rp_only",#N/A,FALSE,"2225"}</definedName>
    <definedName name="sdfcdsfds" localSheetId="10" hidden="1">{"with_oth_curr",#N/A,FALSE,"2225"}</definedName>
    <definedName name="sdfcdsfds" hidden="1">{"with_oth_curr",#N/A,FALSE,"2225"}</definedName>
    <definedName name="sdfcdsfds_1" localSheetId="10" hidden="1">{"with_oth_curr",#N/A,FALSE,"2225"}</definedName>
    <definedName name="sdfcdsfds_1" hidden="1">{"with_oth_curr",#N/A,FALSE,"2225"}</definedName>
    <definedName name="sdfdf" localSheetId="10" hidden="1">{"rp_only",#N/A,FALSE,"2225"}</definedName>
    <definedName name="sdfdf" hidden="1">{"rp_only",#N/A,FALSE,"2225"}</definedName>
    <definedName name="sdfdf_1" localSheetId="10" hidden="1">{"rp_only",#N/A,FALSE,"2225"}</definedName>
    <definedName name="sdfdf_1" hidden="1">{"rp_only",#N/A,FALSE,"2225"}</definedName>
    <definedName name="sdfdfs" localSheetId="10" hidden="1">{"rp_only",#N/A,FALSE,"2225"}</definedName>
    <definedName name="sdfdfs" hidden="1">{"rp_only",#N/A,FALSE,"2225"}</definedName>
    <definedName name="sdfdfs_1" localSheetId="10" hidden="1">{"rp_only",#N/A,FALSE,"2225"}</definedName>
    <definedName name="sdfdfs_1" hidden="1">{"rp_only",#N/A,FALSE,"2225"}</definedName>
    <definedName name="sdfdfsdfsdfs" localSheetId="10" hidden="1">{"with_oth_curr",#N/A,FALSE,"2225"}</definedName>
    <definedName name="sdfdfsdfsdfs" hidden="1">{"with_oth_curr",#N/A,FALSE,"2225"}</definedName>
    <definedName name="sdfdfsdfsdfs_1" localSheetId="10" hidden="1">{"with_oth_curr",#N/A,FALSE,"2225"}</definedName>
    <definedName name="sdfdfsdfsdfs_1" hidden="1">{"with_oth_curr",#N/A,FALSE,"2225"}</definedName>
    <definedName name="sdfdg" localSheetId="10" hidden="1">{"rp_only",#N/A,FALSE,"2225"}</definedName>
    <definedName name="sdfdg" hidden="1">{"rp_only",#N/A,FALSE,"2225"}</definedName>
    <definedName name="sdfdg_1" localSheetId="10" hidden="1">{"rp_only",#N/A,FALSE,"2225"}</definedName>
    <definedName name="sdfdg_1" hidden="1">{"rp_only",#N/A,FALSE,"2225"}</definedName>
    <definedName name="sdfds" localSheetId="10" hidden="1">{"rp_only",#N/A,FALSE,"2225"}</definedName>
    <definedName name="sdfds" hidden="1">{"rp_only",#N/A,FALSE,"2225"}</definedName>
    <definedName name="sdfds_1" localSheetId="10" hidden="1">{"rp_only",#N/A,FALSE,"2225"}</definedName>
    <definedName name="sdfds_1" hidden="1">{"rp_only",#N/A,FALSE,"2225"}</definedName>
    <definedName name="sdfdsds" localSheetId="10" hidden="1">{"rp_only",#N/A,FALSE,"2225"}</definedName>
    <definedName name="sdfdsds" hidden="1">{"rp_only",#N/A,FALSE,"2225"}</definedName>
    <definedName name="sdfdsds_1" localSheetId="10" hidden="1">{"rp_only",#N/A,FALSE,"2225"}</definedName>
    <definedName name="sdfdsds_1" hidden="1">{"rp_only",#N/A,FALSE,"2225"}</definedName>
    <definedName name="sdfdsf" hidden="1">#REF!</definedName>
    <definedName name="sdfdsffdsfds" localSheetId="10" hidden="1">{"rp_only",#N/A,FALSE,"2225"}</definedName>
    <definedName name="sdfdsffdsfds" hidden="1">{"rp_only",#N/A,FALSE,"2225"}</definedName>
    <definedName name="sdfdsffdsfds_1" localSheetId="10" hidden="1">{"rp_only",#N/A,FALSE,"2225"}</definedName>
    <definedName name="sdfdsffdsfds_1" hidden="1">{"rp_only",#N/A,FALSE,"2225"}</definedName>
    <definedName name="sdfdsfsdfds" localSheetId="10" hidden="1">{"rp_only",#N/A,FALSE,"2225"}</definedName>
    <definedName name="sdfdsfsdfds" hidden="1">{"rp_only",#N/A,FALSE,"2225"}</definedName>
    <definedName name="sdfdsfsdfds_1" localSheetId="10" hidden="1">{"rp_only",#N/A,FALSE,"2225"}</definedName>
    <definedName name="sdfdsfsdfds_1" hidden="1">{"rp_only",#N/A,FALSE,"2225"}</definedName>
    <definedName name="sdfdsg" localSheetId="10" hidden="1">{"with_oth_curr",#N/A,FALSE,"2225"}</definedName>
    <definedName name="sdfdsg" hidden="1">{"with_oth_curr",#N/A,FALSE,"2225"}</definedName>
    <definedName name="sdfdsg_1" localSheetId="10" hidden="1">{"with_oth_curr",#N/A,FALSE,"2225"}</definedName>
    <definedName name="sdfdsg_1" hidden="1">{"with_oth_curr",#N/A,FALSE,"2225"}</definedName>
    <definedName name="sdfdsgd" localSheetId="10" hidden="1">{"with_oth_curr",#N/A,FALSE,"2225"}</definedName>
    <definedName name="sdfdsgd" hidden="1">{"with_oth_curr",#N/A,FALSE,"2225"}</definedName>
    <definedName name="sdfdsgd_1" localSheetId="10" hidden="1">{"with_oth_curr",#N/A,FALSE,"2225"}</definedName>
    <definedName name="sdfdsgd_1" hidden="1">{"with_oth_curr",#N/A,FALSE,"2225"}</definedName>
    <definedName name="SDFE" localSheetId="10" hidden="1">{"with_oth_curr",#N/A,FALSE,"2225"}</definedName>
    <definedName name="SDFE" hidden="1">{"with_oth_curr",#N/A,FALSE,"2225"}</definedName>
    <definedName name="SDFE_1" localSheetId="10" hidden="1">{"with_oth_curr",#N/A,FALSE,"2225"}</definedName>
    <definedName name="SDFE_1" hidden="1">{"with_oth_curr",#N/A,FALSE,"2225"}</definedName>
    <definedName name="sdffdsfds" localSheetId="10" hidden="1">{"rp_only",#N/A,FALSE,"2225"}</definedName>
    <definedName name="sdffdsfds" hidden="1">{"rp_only",#N/A,FALSE,"2225"}</definedName>
    <definedName name="sdffdsfds_1" localSheetId="10" hidden="1">{"rp_only",#N/A,FALSE,"2225"}</definedName>
    <definedName name="sdffdsfds_1" hidden="1">{"rp_only",#N/A,FALSE,"2225"}</definedName>
    <definedName name="sdfff" localSheetId="10" hidden="1">{"rp_only",#N/A,FALSE,"2225"}</definedName>
    <definedName name="sdfff" hidden="1">{"rp_only",#N/A,FALSE,"2225"}</definedName>
    <definedName name="sdfff_1" localSheetId="10" hidden="1">{"rp_only",#N/A,FALSE,"2225"}</definedName>
    <definedName name="sdfff_1" hidden="1">{"rp_only",#N/A,FALSE,"2225"}</definedName>
    <definedName name="sdffsfd" localSheetId="10" hidden="1">{"rp_only",#N/A,FALSE,"2225"}</definedName>
    <definedName name="sdffsfd" hidden="1">{"rp_only",#N/A,FALSE,"2225"}</definedName>
    <definedName name="sdffsfd_1" localSheetId="10" hidden="1">{"rp_only",#N/A,FALSE,"2225"}</definedName>
    <definedName name="sdffsfd_1" hidden="1">{"rp_only",#N/A,FALSE,"2225"}</definedName>
    <definedName name="sdffsfdsf" localSheetId="10" hidden="1">{"rp_only",#N/A,FALSE,"2225"}</definedName>
    <definedName name="sdffsfdsf" hidden="1">{"rp_only",#N/A,FALSE,"2225"}</definedName>
    <definedName name="sdffsfdsf_1" localSheetId="10" hidden="1">{"rp_only",#N/A,FALSE,"2225"}</definedName>
    <definedName name="sdffsfdsf_1" hidden="1">{"rp_only",#N/A,FALSE,"2225"}</definedName>
    <definedName name="sdffsfs" localSheetId="10" hidden="1">{"rp_only",#N/A,FALSE,"2225"}</definedName>
    <definedName name="sdffsfs" hidden="1">{"rp_only",#N/A,FALSE,"2225"}</definedName>
    <definedName name="sdffsfs_1" localSheetId="10" hidden="1">{"rp_only",#N/A,FALSE,"2225"}</definedName>
    <definedName name="sdffsfs_1" hidden="1">{"rp_only",#N/A,FALSE,"2225"}</definedName>
    <definedName name="sdfgdsgsd" localSheetId="10" hidden="1">{"with_oth_curr",#N/A,FALSE,"2225"}</definedName>
    <definedName name="sdfgdsgsd" hidden="1">{"with_oth_curr",#N/A,FALSE,"2225"}</definedName>
    <definedName name="sdfgdsgsd_1" localSheetId="10" hidden="1">{"with_oth_curr",#N/A,FALSE,"2225"}</definedName>
    <definedName name="sdfgdsgsd_1" hidden="1">{"with_oth_curr",#N/A,FALSE,"2225"}</definedName>
    <definedName name="sdfgfdsh" localSheetId="10" hidden="1">{"with_oth_curr",#N/A,FALSE,"2225"}</definedName>
    <definedName name="sdfgfdsh" hidden="1">{"with_oth_curr",#N/A,FALSE,"2225"}</definedName>
    <definedName name="sdfgfdsh_1" localSheetId="10" hidden="1">{"with_oth_curr",#N/A,FALSE,"2225"}</definedName>
    <definedName name="sdfgfdsh_1" hidden="1">{"with_oth_curr",#N/A,FALSE,"2225"}</definedName>
    <definedName name="sdfgsdfgsdfg" localSheetId="10" hidden="1">{"rp_only",#N/A,FALSE,"2225"}</definedName>
    <definedName name="sdfgsdfgsdfg" hidden="1">{"rp_only",#N/A,FALSE,"2225"}</definedName>
    <definedName name="sdfgsdfgsdfg_1" localSheetId="10" hidden="1">{"rp_only",#N/A,FALSE,"2225"}</definedName>
    <definedName name="sdfgsdfgsdfg_1" hidden="1">{"rp_only",#N/A,FALSE,"2225"}</definedName>
    <definedName name="SDFJSDJKF" hidden="1">#REF!</definedName>
    <definedName name="sdfmn">#REF!</definedName>
    <definedName name="SDFS" localSheetId="10" hidden="1">{"rp_only",#N/A,FALSE,"2225"}</definedName>
    <definedName name="SDFS" hidden="1">{"rp_only",#N/A,FALSE,"2225"}</definedName>
    <definedName name="SDFS_1" localSheetId="10" hidden="1">{"rp_only",#N/A,FALSE,"2225"}</definedName>
    <definedName name="SDFS_1" hidden="1">{"rp_only",#N/A,FALSE,"2225"}</definedName>
    <definedName name="sdfsa" localSheetId="10" hidden="1">{"rp_only",#N/A,FALSE,"2225"}</definedName>
    <definedName name="sdfsa" hidden="1">{"rp_only",#N/A,FALSE,"2225"}</definedName>
    <definedName name="sdfsa_1" localSheetId="10" hidden="1">{"rp_only",#N/A,FALSE,"2225"}</definedName>
    <definedName name="sdfsa_1" hidden="1">{"rp_only",#N/A,FALSE,"2225"}</definedName>
    <definedName name="sdfsadfsad" localSheetId="10" hidden="1">{"with_oth_curr",#N/A,FALSE,"2225"}</definedName>
    <definedName name="sdfsadfsad" hidden="1">{"with_oth_curr",#N/A,FALSE,"2225"}</definedName>
    <definedName name="sdfsadfsad_1" localSheetId="10" hidden="1">{"with_oth_curr",#N/A,FALSE,"2225"}</definedName>
    <definedName name="sdfsadfsad_1" hidden="1">{"with_oth_curr",#N/A,FALSE,"2225"}</definedName>
    <definedName name="sdfSAESR" localSheetId="10" hidden="1">{"rp_only",#N/A,FALSE,"2225"}</definedName>
    <definedName name="sdfSAESR" hidden="1">{"rp_only",#N/A,FALSE,"2225"}</definedName>
    <definedName name="sdfSAESR_1" localSheetId="10" hidden="1">{"rp_only",#N/A,FALSE,"2225"}</definedName>
    <definedName name="sdfSAESR_1" hidden="1">{"rp_only",#N/A,FALSE,"2225"}</definedName>
    <definedName name="sdfsd" hidden="1">#REF!</definedName>
    <definedName name="sdfsdf" localSheetId="10" hidden="1">{"with_oth_curr",#N/A,FALSE,"2225"}</definedName>
    <definedName name="sdfsdf" hidden="1">{"with_oth_curr",#N/A,FALSE,"2225"}</definedName>
    <definedName name="sdfsdf_1" localSheetId="10" hidden="1">{"with_oth_curr",#N/A,FALSE,"2225"}</definedName>
    <definedName name="sdfsdf_1" hidden="1">{"with_oth_curr",#N/A,FALSE,"2225"}</definedName>
    <definedName name="sdfsdfdgfd" localSheetId="10" hidden="1">{"rp_only",#N/A,FALSE,"2225"}</definedName>
    <definedName name="sdfsdfdgfd" hidden="1">{"rp_only",#N/A,FALSE,"2225"}</definedName>
    <definedName name="sdfsdfdgfd_1" localSheetId="10" hidden="1">{"rp_only",#N/A,FALSE,"2225"}</definedName>
    <definedName name="sdfsdfdgfd_1" hidden="1">{"rp_only",#N/A,FALSE,"2225"}</definedName>
    <definedName name="sdfsdfdsf" localSheetId="10" hidden="1">{"rp_only",#N/A,FALSE,"2225"}</definedName>
    <definedName name="sdfsdfdsf" hidden="1">{"rp_only",#N/A,FALSE,"2225"}</definedName>
    <definedName name="sdfsdfdsf_1" localSheetId="10" hidden="1">{"rp_only",#N/A,FALSE,"2225"}</definedName>
    <definedName name="sdfsdfdsf_1" hidden="1">{"rp_only",#N/A,FALSE,"2225"}</definedName>
    <definedName name="sdfsdfffsd" localSheetId="10" hidden="1">{"rp_only",#N/A,FALSE,"2225"}</definedName>
    <definedName name="sdfsdfffsd" hidden="1">{"rp_only",#N/A,FALSE,"2225"}</definedName>
    <definedName name="sdfsdfffsd_1" localSheetId="10" hidden="1">{"rp_only",#N/A,FALSE,"2225"}</definedName>
    <definedName name="sdfsdfffsd_1" hidden="1">{"rp_only",#N/A,FALSE,"2225"}</definedName>
    <definedName name="sdfsdfs" localSheetId="10" hidden="1">{"rp_only",#N/A,FALSE,"2225"}</definedName>
    <definedName name="sdfsdfs" hidden="1">{"rp_only",#N/A,FALSE,"2225"}</definedName>
    <definedName name="sdfsdfs_1" localSheetId="10" hidden="1">{"rp_only",#N/A,FALSE,"2225"}</definedName>
    <definedName name="sdfsdfs_1" hidden="1">{"rp_only",#N/A,FALSE,"2225"}</definedName>
    <definedName name="SDFSDFSDF" localSheetId="10" hidden="1">{"rp_only",#N/A,FALSE,"2225"}</definedName>
    <definedName name="SDFSDFSDF" hidden="1">{"rp_only",#N/A,FALSE,"2225"}</definedName>
    <definedName name="SDFSDFSDF_1" localSheetId="10" hidden="1">{"rp_only",#N/A,FALSE,"2225"}</definedName>
    <definedName name="SDFSDFSDF_1" hidden="1">{"rp_only",#N/A,FALSE,"2225"}</definedName>
    <definedName name="sdfsdfsdfsfsdf" localSheetId="10" hidden="1">{"with_oth_curr",#N/A,FALSE,"2225"}</definedName>
    <definedName name="sdfsdfsdfsfsdf" hidden="1">{"with_oth_curr",#N/A,FALSE,"2225"}</definedName>
    <definedName name="sdfsdfsdfsfsdf_1" localSheetId="10" hidden="1">{"with_oth_curr",#N/A,FALSE,"2225"}</definedName>
    <definedName name="sdfsdfsdfsfsdf_1" hidden="1">{"with_oth_curr",#N/A,FALSE,"2225"}</definedName>
    <definedName name="sdfsdfsf" localSheetId="10" hidden="1">{"rp_only",#N/A,FALSE,"2225"}</definedName>
    <definedName name="sdfsdfsf" hidden="1">{"rp_only",#N/A,FALSE,"2225"}</definedName>
    <definedName name="sdfsdfsf_1" localSheetId="10" hidden="1">{"rp_only",#N/A,FALSE,"2225"}</definedName>
    <definedName name="sdfsdfsf_1" hidden="1">{"rp_only",#N/A,FALSE,"2225"}</definedName>
    <definedName name="sdfsdfsfsf" localSheetId="10" hidden="1">{"rp_only",#N/A,FALSE,"2225"}</definedName>
    <definedName name="sdfsdfsfsf" hidden="1">{"rp_only",#N/A,FALSE,"2225"}</definedName>
    <definedName name="sdfsdfsfsf_1" localSheetId="10" hidden="1">{"rp_only",#N/A,FALSE,"2225"}</definedName>
    <definedName name="sdfsdfsfsf_1" hidden="1">{"rp_only",#N/A,FALSE,"2225"}</definedName>
    <definedName name="sdfsdfsfsfsdf" localSheetId="10" hidden="1">{"rp_only",#N/A,FALSE,"2225"}</definedName>
    <definedName name="sdfsdfsfsfsdf" hidden="1">{"rp_only",#N/A,FALSE,"2225"}</definedName>
    <definedName name="sdfsdfsfsfsdf_1" localSheetId="10" hidden="1">{"rp_only",#N/A,FALSE,"2225"}</definedName>
    <definedName name="sdfsdfsfsfsdf_1" hidden="1">{"rp_only",#N/A,FALSE,"2225"}</definedName>
    <definedName name="sdfsdfsfsg" localSheetId="10" hidden="1">{"with_oth_curr",#N/A,FALSE,"2225"}</definedName>
    <definedName name="sdfsdfsfsg" hidden="1">{"with_oth_curr",#N/A,FALSE,"2225"}</definedName>
    <definedName name="sdfsdfsfsg_1" localSheetId="10" hidden="1">{"with_oth_curr",#N/A,FALSE,"2225"}</definedName>
    <definedName name="sdfsdfsfsg_1" hidden="1">{"with_oth_curr",#N/A,FALSE,"2225"}</definedName>
    <definedName name="sdfsdsf" localSheetId="10" hidden="1">{"rp_only",#N/A,FALSE,"2225"}</definedName>
    <definedName name="sdfsdsf" hidden="1">{"rp_only",#N/A,FALSE,"2225"}</definedName>
    <definedName name="sdfsdsf_1" localSheetId="10" hidden="1">{"rp_only",#N/A,FALSE,"2225"}</definedName>
    <definedName name="sdfsdsf_1" hidden="1">{"rp_only",#N/A,FALSE,"2225"}</definedName>
    <definedName name="SDFSF" localSheetId="10" hidden="1">{"rp_only",#N/A,FALSE,"2225"}</definedName>
    <definedName name="SDFSF" hidden="1">{"rp_only",#N/A,FALSE,"2225"}</definedName>
    <definedName name="SDFSF_1" localSheetId="10" hidden="1">{"rp_only",#N/A,FALSE,"2225"}</definedName>
    <definedName name="SDFSF_1" hidden="1">{"rp_only",#N/A,FALSE,"2225"}</definedName>
    <definedName name="sdfsfd" localSheetId="10" hidden="1">{"rp_only",#N/A,FALSE,"2225"}</definedName>
    <definedName name="sdfsfd" hidden="1">{"rp_only",#N/A,FALSE,"2225"}</definedName>
    <definedName name="sdfsfd_1" localSheetId="10" hidden="1">{"rp_only",#N/A,FALSE,"2225"}</definedName>
    <definedName name="sdfsfd_1" hidden="1">{"rp_only",#N/A,FALSE,"2225"}</definedName>
    <definedName name="sdfsfs" localSheetId="10" hidden="1">{"rp_only",#N/A,FALSE,"2225"}</definedName>
    <definedName name="sdfsfs" hidden="1">{"rp_only",#N/A,FALSE,"2225"}</definedName>
    <definedName name="sdfsfs_1" localSheetId="10" hidden="1">{"rp_only",#N/A,FALSE,"2225"}</definedName>
    <definedName name="sdfsfs_1" hidden="1">{"rp_only",#N/A,FALSE,"2225"}</definedName>
    <definedName name="sdfsfsd" localSheetId="10" hidden="1">{"with_oth_curr",#N/A,FALSE,"2225"}</definedName>
    <definedName name="sdfsfsd" hidden="1">{"with_oth_curr",#N/A,FALSE,"2225"}</definedName>
    <definedName name="sdfsfsd_1" localSheetId="10" hidden="1">{"with_oth_curr",#N/A,FALSE,"2225"}</definedName>
    <definedName name="sdfsfsd_1" hidden="1">{"with_oth_curr",#N/A,FALSE,"2225"}</definedName>
    <definedName name="sdfsfsdf" localSheetId="10" hidden="1">{"with_oth_curr",#N/A,FALSE,"2225"}</definedName>
    <definedName name="sdfsfsdf" hidden="1">{"with_oth_curr",#N/A,FALSE,"2225"}</definedName>
    <definedName name="sdfsfsdf_1" localSheetId="10" hidden="1">{"with_oth_curr",#N/A,FALSE,"2225"}</definedName>
    <definedName name="sdfsfsdf_1" hidden="1">{"with_oth_curr",#N/A,FALSE,"2225"}</definedName>
    <definedName name="sdfsfsf" localSheetId="10" hidden="1">{"rp_only",#N/A,FALSE,"2225"}</definedName>
    <definedName name="sdfsfsf" hidden="1">{"rp_only",#N/A,FALSE,"2225"}</definedName>
    <definedName name="sdfsfsf_1" localSheetId="10" hidden="1">{"rp_only",#N/A,FALSE,"2225"}</definedName>
    <definedName name="sdfsfsf_1" hidden="1">{"rp_only",#N/A,FALSE,"2225"}</definedName>
    <definedName name="sdfsfsfsfsf" localSheetId="10" hidden="1">{"with_oth_curr",#N/A,FALSE,"2225"}</definedName>
    <definedName name="sdfsfsfsfsf" hidden="1">{"with_oth_curr",#N/A,FALSE,"2225"}</definedName>
    <definedName name="sdfsfsfsfsf_1" localSheetId="10" hidden="1">{"with_oth_curr",#N/A,FALSE,"2225"}</definedName>
    <definedName name="sdfsfsfsfsf_1" hidden="1">{"with_oth_curr",#N/A,FALSE,"2225"}</definedName>
    <definedName name="sdfssfd" localSheetId="10" hidden="1">{"rp_only",#N/A,FALSE,"2225"}</definedName>
    <definedName name="sdfssfd" hidden="1">{"rp_only",#N/A,FALSE,"2225"}</definedName>
    <definedName name="sdfssfd_1" localSheetId="10" hidden="1">{"rp_only",#N/A,FALSE,"2225"}</definedName>
    <definedName name="sdfssfd_1" hidden="1">{"rp_only",#N/A,FALSE,"2225"}</definedName>
    <definedName name="sdfsz" localSheetId="10" hidden="1">{"with_oth_curr",#N/A,FALSE,"2225"}</definedName>
    <definedName name="sdfsz" hidden="1">{"with_oth_curr",#N/A,FALSE,"2225"}</definedName>
    <definedName name="sdfsz_1" localSheetId="10" hidden="1">{"with_oth_curr",#N/A,FALSE,"2225"}</definedName>
    <definedName name="sdfsz_1" hidden="1">{"with_oth_curr",#N/A,FALSE,"2225"}</definedName>
    <definedName name="sdg">#REF!</definedName>
    <definedName name="sdgdf" localSheetId="10" hidden="1">{"rp_only",#N/A,FALSE,"2225"}</definedName>
    <definedName name="sdgdf" hidden="1">{"rp_only",#N/A,FALSE,"2225"}</definedName>
    <definedName name="sdgdf_1" localSheetId="10" hidden="1">{"rp_only",#N/A,FALSE,"2225"}</definedName>
    <definedName name="sdgdf_1" hidden="1">{"rp_only",#N/A,FALSE,"2225"}</definedName>
    <definedName name="sdgsd" localSheetId="10" hidden="1">{"rp_only",#N/A,FALSE,"2225"}</definedName>
    <definedName name="sdgsd" hidden="1">{"rp_only",#N/A,FALSE,"2225"}</definedName>
    <definedName name="sdgsd_1" localSheetId="10" hidden="1">{"rp_only",#N/A,FALSE,"2225"}</definedName>
    <definedName name="sdgsd_1" hidden="1">{"rp_only",#N/A,FALSE,"2225"}</definedName>
    <definedName name="sdgsdfds" localSheetId="10" hidden="1">{"rp_only",#N/A,FALSE,"2225"}</definedName>
    <definedName name="sdgsdfds" hidden="1">{"rp_only",#N/A,FALSE,"2225"}</definedName>
    <definedName name="sdgsdfds_1" localSheetId="10" hidden="1">{"rp_only",#N/A,FALSE,"2225"}</definedName>
    <definedName name="sdgsdfds_1" hidden="1">{"rp_only",#N/A,FALSE,"2225"}</definedName>
    <definedName name="sdgsdg" localSheetId="10" hidden="1">{"with_oth_curr",#N/A,FALSE,"2225"}</definedName>
    <definedName name="sdgsdg" hidden="1">{"with_oth_curr",#N/A,FALSE,"2225"}</definedName>
    <definedName name="sdgsdg_1" localSheetId="10"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localSheetId="10" hidden="1">{"rp_only",#N/A,FALSE,"2225"}</definedName>
    <definedName name="sdsaads" hidden="1">{"rp_only",#N/A,FALSE,"2225"}</definedName>
    <definedName name="sdsaads_1" localSheetId="10" hidden="1">{"rp_only",#N/A,FALSE,"2225"}</definedName>
    <definedName name="sdsaads_1" hidden="1">{"rp_only",#N/A,FALSE,"2225"}</definedName>
    <definedName name="sdsadasd" localSheetId="10" hidden="1">{"rp_only",#N/A,FALSE,"2225"}</definedName>
    <definedName name="sdsadasd" hidden="1">{"rp_only",#N/A,FALSE,"2225"}</definedName>
    <definedName name="sdsadasd_1" localSheetId="10" hidden="1">{"rp_only",#N/A,FALSE,"2225"}</definedName>
    <definedName name="sdsadasd_1" hidden="1">{"rp_only",#N/A,FALSE,"2225"}</definedName>
    <definedName name="sdsafasfsdafsaf" localSheetId="10" hidden="1">{"rp_only",#N/A,FALSE,"2225"}</definedName>
    <definedName name="sdsafasfsdafsaf" hidden="1">{"rp_only",#N/A,FALSE,"2225"}</definedName>
    <definedName name="sdsafasfsdafsaf_1" localSheetId="10" hidden="1">{"rp_only",#N/A,FALSE,"2225"}</definedName>
    <definedName name="sdsafasfsdafsaf_1" hidden="1">{"rp_only",#N/A,FALSE,"2225"}</definedName>
    <definedName name="sdsasa" hidden="1">#REF!</definedName>
    <definedName name="sdsd" localSheetId="10" hidden="1">{"with_oth_curr",#N/A,FALSE,"2225"}</definedName>
    <definedName name="sdsd" hidden="1">{"with_oth_curr",#N/A,FALSE,"2225"}</definedName>
    <definedName name="sdsd_1" localSheetId="10" hidden="1">{"with_oth_curr",#N/A,FALSE,"2225"}</definedName>
    <definedName name="sdsd_1" hidden="1">{"with_oth_curr",#N/A,FALSE,"2225"}</definedName>
    <definedName name="SDSDFDG" localSheetId="10" hidden="1">{"with_oth_curr",#N/A,FALSE,"2225"}</definedName>
    <definedName name="SDSDFDG" hidden="1">{"with_oth_curr",#N/A,FALSE,"2225"}</definedName>
    <definedName name="SDSDFDG_1" localSheetId="10" hidden="1">{"with_oth_curr",#N/A,FALSE,"2225"}</definedName>
    <definedName name="SDSDFDG_1" hidden="1">{"with_oth_curr",#N/A,FALSE,"2225"}</definedName>
    <definedName name="sdsf" localSheetId="10" hidden="1">{"with_oth_curr",#N/A,FALSE,"2225"}</definedName>
    <definedName name="sdsf" hidden="1">{"with_oth_curr",#N/A,FALSE,"2225"}</definedName>
    <definedName name="sdsf_1" localSheetId="10" hidden="1">{"with_oth_curr",#N/A,FALSE,"2225"}</definedName>
    <definedName name="sdsf_1" hidden="1">{"with_oth_curr",#N/A,FALSE,"2225"}</definedName>
    <definedName name="sdsfdf" localSheetId="10" hidden="1">{"rp_only",#N/A,FALSE,"2225"}</definedName>
    <definedName name="sdsfdf" hidden="1">{"rp_only",#N/A,FALSE,"2225"}</definedName>
    <definedName name="sdsfdf_1" localSheetId="10" hidden="1">{"rp_only",#N/A,FALSE,"2225"}</definedName>
    <definedName name="sdsfdf_1" hidden="1">{"rp_only",#N/A,FALSE,"2225"}</definedName>
    <definedName name="sdsfs" localSheetId="10" hidden="1">{"with_oth_curr",#N/A,FALSE,"2225"}</definedName>
    <definedName name="sdsfs" hidden="1">{"with_oth_curr",#N/A,FALSE,"2225"}</definedName>
    <definedName name="sdsfs_1" localSheetId="10" hidden="1">{"with_oth_curr",#N/A,FALSE,"2225"}</definedName>
    <definedName name="sdsfs_1" hidden="1">{"with_oth_curr",#N/A,FALSE,"2225"}</definedName>
    <definedName name="SDSFSF" localSheetId="10" hidden="1">{"with_oth_curr",#N/A,FALSE,"2225"}</definedName>
    <definedName name="SDSFSF" hidden="1">{"with_oth_curr",#N/A,FALSE,"2225"}</definedName>
    <definedName name="SDSFSF_1" localSheetId="10"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localSheetId="10" hidden="1">{#N/A,#N/A,FALSE,"Bank Rec Cover Sheet";#N/A,#N/A,FALSE,"Bank Rec Details"}</definedName>
    <definedName name="sed" hidden="1">{#N/A,#N/A,FALSE,"Bank Rec Cover Sheet";#N/A,#N/A,FALSE,"Bank Rec Details"}</definedName>
    <definedName name="sed_1" localSheetId="10" hidden="1">{#N/A,#N/A,FALSE,"Bank Rec Cover Sheet";#N/A,#N/A,FALSE,"Bank Rec Details"}</definedName>
    <definedName name="sed_1" hidden="1">{#N/A,#N/A,FALSE,"Bank Rec Cover Sheet";#N/A,#N/A,FALSE,"Bank Rec Details"}</definedName>
    <definedName name="SEDI">#REF!</definedName>
    <definedName name="sedia">#REF!</definedName>
    <definedName name="seed" localSheetId="10" hidden="1">{"BUILD_MACHINERIES",#N/A,FALSE,"PREPAID-1"}</definedName>
    <definedName name="seed" hidden="1">{"BUILD_MACHINERIES",#N/A,FALSE,"PREPAID-1"}</definedName>
    <definedName name="seed_1" localSheetId="10"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localSheetId="10" hidden="1">{#N/A,#N/A,FALSE,"Sheet1"}</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10"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localSheetId="10" hidden="1">{"with_oth_curr",#N/A,FALSE,"2225"}</definedName>
    <definedName name="sfadsdfdsa" hidden="1">{"with_oth_curr",#N/A,FALSE,"2225"}</definedName>
    <definedName name="sfadsdfdsa_1" localSheetId="10" hidden="1">{"with_oth_curr",#N/A,FALSE,"2225"}</definedName>
    <definedName name="sfadsdfdsa_1" hidden="1">{"with_oth_curr",#N/A,FALSE,"2225"}</definedName>
    <definedName name="sfafdsfds" localSheetId="10" hidden="1">{"rp_only",#N/A,FALSE,"2225"}</definedName>
    <definedName name="sfafdsfds" hidden="1">{"rp_only",#N/A,FALSE,"2225"}</definedName>
    <definedName name="sfafdsfds_1" localSheetId="10" hidden="1">{"rp_only",#N/A,FALSE,"2225"}</definedName>
    <definedName name="sfafdsfds_1" hidden="1">{"rp_only",#N/A,FALSE,"2225"}</definedName>
    <definedName name="sfaffsd" localSheetId="10" hidden="1">{"rp_only",#N/A,FALSE,"2225"}</definedName>
    <definedName name="sfaffsd" hidden="1">{"rp_only",#N/A,FALSE,"2225"}</definedName>
    <definedName name="sfaffsd_1" localSheetId="10" hidden="1">{"rp_only",#N/A,FALSE,"2225"}</definedName>
    <definedName name="sfaffsd_1" hidden="1">{"rp_only",#N/A,FALSE,"2225"}</definedName>
    <definedName name="sfas" localSheetId="10" hidden="1">{"rp_only",#N/A,FALSE,"2225"}</definedName>
    <definedName name="sfas" hidden="1">{"rp_only",#N/A,FALSE,"2225"}</definedName>
    <definedName name="sfas_1" localSheetId="10" hidden="1">{"rp_only",#N/A,FALSE,"2225"}</definedName>
    <definedName name="sfas_1" hidden="1">{"rp_only",#N/A,FALSE,"2225"}</definedName>
    <definedName name="sfdafdgs" localSheetId="10" hidden="1">{"with_oth_curr",#N/A,FALSE,"2225"}</definedName>
    <definedName name="sfdafdgs" hidden="1">{"with_oth_curr",#N/A,FALSE,"2225"}</definedName>
    <definedName name="sfdafdgs_1" localSheetId="10" hidden="1">{"with_oth_curr",#N/A,FALSE,"2225"}</definedName>
    <definedName name="sfdafdgs_1" hidden="1">{"with_oth_curr",#N/A,FALSE,"2225"}</definedName>
    <definedName name="sfdafsddsffda" localSheetId="10" hidden="1">{"rp_only",#N/A,FALSE,"2225"}</definedName>
    <definedName name="sfdafsddsffda" hidden="1">{"rp_only",#N/A,FALSE,"2225"}</definedName>
    <definedName name="sfdafsddsffda_1" localSheetId="10" hidden="1">{"rp_only",#N/A,FALSE,"2225"}</definedName>
    <definedName name="sfdafsddsffda_1" hidden="1">{"rp_only",#N/A,FALSE,"2225"}</definedName>
    <definedName name="sfdfdsdfs" localSheetId="10" hidden="1">{"with_oth_curr",#N/A,FALSE,"2225"}</definedName>
    <definedName name="sfdfdsdfs" hidden="1">{"with_oth_curr",#N/A,FALSE,"2225"}</definedName>
    <definedName name="sfdfdsdfs_1" localSheetId="10" hidden="1">{"with_oth_curr",#N/A,FALSE,"2225"}</definedName>
    <definedName name="sfdfdsdfs_1" hidden="1">{"with_oth_curr",#N/A,FALSE,"2225"}</definedName>
    <definedName name="sfdfdsfd" localSheetId="10" hidden="1">{"rp_only",#N/A,FALSE,"2225"}</definedName>
    <definedName name="sfdfdsfd" hidden="1">{"rp_only",#N/A,FALSE,"2225"}</definedName>
    <definedName name="sfdfdsfd_1" localSheetId="10" hidden="1">{"rp_only",#N/A,FALSE,"2225"}</definedName>
    <definedName name="sfdfdsfd_1" hidden="1">{"rp_only",#N/A,FALSE,"2225"}</definedName>
    <definedName name="sfdfdsfds" localSheetId="10" hidden="1">{"with_oth_curr",#N/A,FALSE,"2225"}</definedName>
    <definedName name="sfdfdsfds" hidden="1">{"with_oth_curr",#N/A,FALSE,"2225"}</definedName>
    <definedName name="sfdfdsfds_1" localSheetId="10" hidden="1">{"with_oth_curr",#N/A,FALSE,"2225"}</definedName>
    <definedName name="sfdfdsfds_1" hidden="1">{"with_oth_curr",#N/A,FALSE,"2225"}</definedName>
    <definedName name="sfdfdsfsd" localSheetId="10" hidden="1">{"rp_only",#N/A,FALSE,"2225"}</definedName>
    <definedName name="sfdfdsfsd" hidden="1">{"rp_only",#N/A,FALSE,"2225"}</definedName>
    <definedName name="sfdfdsfsd_1" localSheetId="10" hidden="1">{"rp_only",#N/A,FALSE,"2225"}</definedName>
    <definedName name="sfdfdsfsd_1" hidden="1">{"rp_only",#N/A,FALSE,"2225"}</definedName>
    <definedName name="sfds" localSheetId="10" hidden="1">{"rp_only",#N/A,FALSE,"2225"}</definedName>
    <definedName name="sfds" hidden="1">{"rp_only",#N/A,FALSE,"2225"}</definedName>
    <definedName name="sfds_1" localSheetId="10" hidden="1">{"rp_only",#N/A,FALSE,"2225"}</definedName>
    <definedName name="sfds_1" hidden="1">{"rp_only",#N/A,FALSE,"2225"}</definedName>
    <definedName name="sfdsdffds" localSheetId="10" hidden="1">{"rp_only",#N/A,FALSE,"2225"}</definedName>
    <definedName name="sfdsdffds" hidden="1">{"rp_only",#N/A,FALSE,"2225"}</definedName>
    <definedName name="sfdsdffds_1" localSheetId="10" hidden="1">{"rp_only",#N/A,FALSE,"2225"}</definedName>
    <definedName name="sfdsdffds_1" hidden="1">{"rp_only",#N/A,FALSE,"2225"}</definedName>
    <definedName name="sfdsdfsafds" localSheetId="10" hidden="1">{"rp_only",#N/A,FALSE,"2225"}</definedName>
    <definedName name="sfdsdfsafds" hidden="1">{"rp_only",#N/A,FALSE,"2225"}</definedName>
    <definedName name="sfdsdfsafds_1" localSheetId="10" hidden="1">{"rp_only",#N/A,FALSE,"2225"}</definedName>
    <definedName name="sfdsdfsafds_1" hidden="1">{"rp_only",#N/A,FALSE,"2225"}</definedName>
    <definedName name="sfdsfd" localSheetId="10" hidden="1">{"rp_only",#N/A,FALSE,"2225"}</definedName>
    <definedName name="sfdsfd" hidden="1">{"rp_only",#N/A,FALSE,"2225"}</definedName>
    <definedName name="sfdsfd_1" localSheetId="10" hidden="1">{"rp_only",#N/A,FALSE,"2225"}</definedName>
    <definedName name="sfdsfd_1" hidden="1">{"rp_only",#N/A,FALSE,"2225"}</definedName>
    <definedName name="sfdsffd" localSheetId="10" hidden="1">{"rp_only",#N/A,FALSE,"2225"}</definedName>
    <definedName name="sfdsffd" hidden="1">{"rp_only",#N/A,FALSE,"2225"}</definedName>
    <definedName name="sfdsffd_1" localSheetId="10" hidden="1">{"rp_only",#N/A,FALSE,"2225"}</definedName>
    <definedName name="sfdsffd_1" hidden="1">{"rp_only",#N/A,FALSE,"2225"}</definedName>
    <definedName name="sffff" localSheetId="10"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localSheetId="10" hidden="1">{"rp_only",#N/A,FALSE,"2225"}</definedName>
    <definedName name="sfs" hidden="1">{"rp_only",#N/A,FALSE,"2225"}</definedName>
    <definedName name="sfs_1" localSheetId="10" hidden="1">{"rp_only",#N/A,FALSE,"2225"}</definedName>
    <definedName name="sfs_1" hidden="1">{"rp_only",#N/A,FALSE,"2225"}</definedName>
    <definedName name="sfsadfadsffdsafdas" localSheetId="10" hidden="1">{"rp_only",#N/A,FALSE,"2225"}</definedName>
    <definedName name="sfsadfadsffdsafdas" hidden="1">{"rp_only",#N/A,FALSE,"2225"}</definedName>
    <definedName name="sfsadfadsffdsafdas_1" localSheetId="10" hidden="1">{"rp_only",#N/A,FALSE,"2225"}</definedName>
    <definedName name="sfsadfadsffdsafdas_1" hidden="1">{"rp_only",#N/A,FALSE,"2225"}</definedName>
    <definedName name="sfsd" localSheetId="10" hidden="1">{"with_oth_curr",#N/A,FALSE,"2225"}</definedName>
    <definedName name="sfsd" hidden="1">{"with_oth_curr",#N/A,FALSE,"2225"}</definedName>
    <definedName name="sfsd_1" localSheetId="10" hidden="1">{"with_oth_curr",#N/A,FALSE,"2225"}</definedName>
    <definedName name="sfsd_1" hidden="1">{"with_oth_curr",#N/A,FALSE,"2225"}</definedName>
    <definedName name="sfsdadsffdas" localSheetId="10" hidden="1">{"rp_only",#N/A,FALSE,"2225"}</definedName>
    <definedName name="sfsdadsffdas" hidden="1">{"rp_only",#N/A,FALSE,"2225"}</definedName>
    <definedName name="sfsdadsffdas_1" localSheetId="10" hidden="1">{"rp_only",#N/A,FALSE,"2225"}</definedName>
    <definedName name="sfsdadsffdas_1" hidden="1">{"rp_only",#N/A,FALSE,"2225"}</definedName>
    <definedName name="sfsdasf" localSheetId="10" hidden="1">{"with_oth_curr",#N/A,FALSE,"2225"}</definedName>
    <definedName name="sfsdasf" hidden="1">{"with_oth_curr",#N/A,FALSE,"2225"}</definedName>
    <definedName name="sfsdasf_1" localSheetId="10" hidden="1">{"with_oth_curr",#N/A,FALSE,"2225"}</definedName>
    <definedName name="sfsdasf_1" hidden="1">{"with_oth_curr",#N/A,FALSE,"2225"}</definedName>
    <definedName name="sfsdf" localSheetId="10" hidden="1">{"rp_only",#N/A,FALSE,"2225"}</definedName>
    <definedName name="sfsdf" hidden="1">{"rp_only",#N/A,FALSE,"2225"}</definedName>
    <definedName name="sfsdf_1" localSheetId="10" hidden="1">{"rp_only",#N/A,FALSE,"2225"}</definedName>
    <definedName name="sfsdf_1" hidden="1">{"rp_only",#N/A,FALSE,"2225"}</definedName>
    <definedName name="sfsdffd" localSheetId="10" hidden="1">{"with_oth_curr",#N/A,FALSE,"2225"}</definedName>
    <definedName name="sfsdffd" hidden="1">{"with_oth_curr",#N/A,FALSE,"2225"}</definedName>
    <definedName name="sfsdffd_1" localSheetId="10" hidden="1">{"with_oth_curr",#N/A,FALSE,"2225"}</definedName>
    <definedName name="sfsdffd_1" hidden="1">{"with_oth_curr",#N/A,FALSE,"2225"}</definedName>
    <definedName name="sfsdfsd" localSheetId="10" hidden="1">{"rp_only",#N/A,FALSE,"2225"}</definedName>
    <definedName name="sfsdfsd" hidden="1">{"rp_only",#N/A,FALSE,"2225"}</definedName>
    <definedName name="sfsdfsd_1" localSheetId="10" hidden="1">{"rp_only",#N/A,FALSE,"2225"}</definedName>
    <definedName name="sfsdfsd_1" hidden="1">{"rp_only",#N/A,FALSE,"2225"}</definedName>
    <definedName name="sfsf" localSheetId="10" hidden="1">{"with_oth_curr",#N/A,FALSE,"2225"}</definedName>
    <definedName name="sfsf" hidden="1">{"with_oth_curr",#N/A,FALSE,"2225"}</definedName>
    <definedName name="sfsf_1" localSheetId="10" hidden="1">{"with_oth_curr",#N/A,FALSE,"2225"}</definedName>
    <definedName name="sfsf_1" hidden="1">{"with_oth_curr",#N/A,FALSE,"2225"}</definedName>
    <definedName name="SFSFDS" localSheetId="10" hidden="1">{"rp_only",#N/A,FALSE,"2225"}</definedName>
    <definedName name="SFSFDS" hidden="1">{"rp_only",#N/A,FALSE,"2225"}</definedName>
    <definedName name="SFSFDS_1" localSheetId="10" hidden="1">{"rp_only",#N/A,FALSE,"2225"}</definedName>
    <definedName name="SFSFDS_1" hidden="1">{"rp_only",#N/A,FALSE,"2225"}</definedName>
    <definedName name="SFSFF" localSheetId="10" hidden="1">{"with_oth_curr",#N/A,FALSE,"2225"}</definedName>
    <definedName name="SFSFF" hidden="1">{"with_oth_curr",#N/A,FALSE,"2225"}</definedName>
    <definedName name="SFSFF_1" localSheetId="10" hidden="1">{"with_oth_curr",#N/A,FALSE,"2225"}</definedName>
    <definedName name="SFSFF_1" hidden="1">{"with_oth_curr",#N/A,FALSE,"2225"}</definedName>
    <definedName name="SFSFS" localSheetId="10" hidden="1">{"rp_only",#N/A,FALSE,"2225"}</definedName>
    <definedName name="SFSFS" hidden="1">{"rp_only",#N/A,FALSE,"2225"}</definedName>
    <definedName name="SFSFS_1" localSheetId="10" hidden="1">{"rp_only",#N/A,FALSE,"2225"}</definedName>
    <definedName name="SFSFS_1" hidden="1">{"rp_only",#N/A,FALSE,"2225"}</definedName>
    <definedName name="SFSFSD" localSheetId="10" hidden="1">{"rp_only",#N/A,FALSE,"2225"}</definedName>
    <definedName name="SFSFSD" hidden="1">{"rp_only",#N/A,FALSE,"2225"}</definedName>
    <definedName name="SFSFSD_1" localSheetId="10" hidden="1">{"rp_only",#N/A,FALSE,"2225"}</definedName>
    <definedName name="SFSFSD_1" hidden="1">{"rp_only",#N/A,FALSE,"2225"}</definedName>
    <definedName name="SFSFSDF" localSheetId="10" hidden="1">{"with_oth_curr",#N/A,FALSE,"2225"}</definedName>
    <definedName name="SFSFSDF" hidden="1">{"with_oth_curr",#N/A,FALSE,"2225"}</definedName>
    <definedName name="SFSFSDF_1" localSheetId="10" hidden="1">{"with_oth_curr",#N/A,FALSE,"2225"}</definedName>
    <definedName name="SFSFSDF_1" hidden="1">{"with_oth_curr",#N/A,FALSE,"2225"}</definedName>
    <definedName name="SFSFSF" localSheetId="10" hidden="1">{"rp_only",#N/A,FALSE,"2225"}</definedName>
    <definedName name="SFSFSF" hidden="1">{"rp_only",#N/A,FALSE,"2225"}</definedName>
    <definedName name="SFSFSF_1" localSheetId="10"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localSheetId="10" hidden="1">{"subs",#N/A,FALSE,"database ";"proportional",#N/A,FALSE,"database "}</definedName>
    <definedName name="sgdzhet" hidden="1">{"subs",#N/A,FALSE,"database ";"proportional",#N/A,FALSE,"database "}</definedName>
    <definedName name="sgf">#REF!</definedName>
    <definedName name="sgfdsfgsd" localSheetId="10" hidden="1">{"rp_only",#N/A,FALSE,"2225"}</definedName>
    <definedName name="sgfdsfgsd" hidden="1">{"rp_only",#N/A,FALSE,"2225"}</definedName>
    <definedName name="sgfdsfgsd_1" localSheetId="10" hidden="1">{"rp_only",#N/A,FALSE,"2225"}</definedName>
    <definedName name="sgfdsfgsd_1" hidden="1">{"rp_only",#N/A,FALSE,"2225"}</definedName>
    <definedName name="SGRD">#REF!</definedName>
    <definedName name="sgsd" localSheetId="10" hidden="1">{"with_oth_curr",#N/A,FALSE,"2225"}</definedName>
    <definedName name="sgsd" hidden="1">{"with_oth_curr",#N/A,FALSE,"2225"}</definedName>
    <definedName name="sgsd_1" localSheetId="10" hidden="1">{"with_oth_curr",#N/A,FALSE,"2225"}</definedName>
    <definedName name="sgsd_1" hidden="1">{"with_oth_curr",#N/A,FALSE,"2225"}</definedName>
    <definedName name="sgsdg" localSheetId="10" hidden="1">{"with_oth_curr",#N/A,FALSE,"2225"}</definedName>
    <definedName name="sgsdg" hidden="1">{"with_oth_curr",#N/A,FALSE,"2225"}</definedName>
    <definedName name="sgsdg_1" localSheetId="10" hidden="1">{"with_oth_curr",#N/A,FALSE,"2225"}</definedName>
    <definedName name="sgsdg_1" hidden="1">{"with_oth_curr",#N/A,FALSE,"2225"}</definedName>
    <definedName name="sgsgds" localSheetId="10" hidden="1">{"rp_only",#N/A,FALSE,"2225"}</definedName>
    <definedName name="sgsgds" hidden="1">{"rp_only",#N/A,FALSE,"2225"}</definedName>
    <definedName name="sgsgds_1" localSheetId="10"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localSheetId="10"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localSheetId="10" hidden="1">{"'OTARI- IKAHO'!$A$11:$AF$42"}</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localSheetId="10" hidden="1">{"rp_only",#N/A,FALSE,"2225"}</definedName>
    <definedName name="shsfdbxd" hidden="1">{"rp_only",#N/A,FALSE,"2225"}</definedName>
    <definedName name="shsfdbxd_1" localSheetId="10"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10"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10"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localSheetId="10"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localSheetId="10"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10"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localSheetId="10" hidden="1">{#N/A,#N/A,FALSE,"Cost Report";"Geology",#N/A,FALSE,"Cost Summary";"Geolgy Recon",#N/A,FALSE,"UG Geology Rep."}</definedName>
    <definedName name="smith" hidden="1">{#N/A,#N/A,FALSE,"Cost Report";"Geology",#N/A,FALSE,"Cost Summary";"Geolgy Recon",#N/A,FALSE,"UG Geology Rep."}</definedName>
    <definedName name="smith_1" localSheetId="10"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localSheetId="10" hidden="1">{"rp_only",#N/A,FALSE,"2225"}</definedName>
    <definedName name="ssad" hidden="1">{"rp_only",#N/A,FALSE,"2225"}</definedName>
    <definedName name="ssad_1" localSheetId="10" hidden="1">{"rp_only",#N/A,FALSE,"2225"}</definedName>
    <definedName name="ssad_1" hidden="1">{"rp_only",#N/A,FALSE,"2225"}</definedName>
    <definedName name="ssdffg" localSheetId="10"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10" hidden="1">{"rp_only",#N/A,FALSE,"2225"}</definedName>
    <definedName name="ssdffsdfds" hidden="1">{"rp_only",#N/A,FALSE,"2225"}</definedName>
    <definedName name="ssdffsdfds_1" localSheetId="10" hidden="1">{"rp_only",#N/A,FALSE,"2225"}</definedName>
    <definedName name="ssdffsdfds_1" hidden="1">{"rp_only",#N/A,FALSE,"2225"}</definedName>
    <definedName name="ssdfsf" localSheetId="10" hidden="1">{"rp_only",#N/A,FALSE,"2225"}</definedName>
    <definedName name="ssdfsf" hidden="1">{"rp_only",#N/A,FALSE,"2225"}</definedName>
    <definedName name="ssdfsf_1" localSheetId="10" hidden="1">{"rp_only",#N/A,FALSE,"2225"}</definedName>
    <definedName name="ssdfsf_1" hidden="1">{"rp_only",#N/A,FALSE,"2225"}</definedName>
    <definedName name="SSDP" localSheetId="10" hidden="1">{#N/A,#N/A,FALSE,"Cipta-All";#N/A,#N/A,FALSE,"Individual"}</definedName>
    <definedName name="SSDP" hidden="1">{#N/A,#N/A,FALSE,"Cipta-All";#N/A,#N/A,FALSE,"Individual"}</definedName>
    <definedName name="SSDP_1" localSheetId="10" hidden="1">{#N/A,#N/A,FALSE,"Cipta-All";#N/A,#N/A,FALSE,"Individual"}</definedName>
    <definedName name="SSDP_1" hidden="1">{#N/A,#N/A,FALSE,"Cipta-All";#N/A,#N/A,FALSE,"Individual"}</definedName>
    <definedName name="SSE">#REF!</definedName>
    <definedName name="SSE_1">#REF!</definedName>
    <definedName name="SSE_5">#REF!</definedName>
    <definedName name="ssgsd" localSheetId="10" hidden="1">{"rp_only",#N/A,FALSE,"2225"}</definedName>
    <definedName name="ssgsd" hidden="1">{"rp_only",#N/A,FALSE,"2225"}</definedName>
    <definedName name="ssgsd_1" localSheetId="10" hidden="1">{"rp_only",#N/A,FALSE,"2225"}</definedName>
    <definedName name="ssgsd_1" hidden="1">{"rp_only",#N/A,FALSE,"2225"}</definedName>
    <definedName name="ssp" hidden="1">#REF!</definedName>
    <definedName name="ssppph29">#REF!</definedName>
    <definedName name="ssrs" localSheetId="10" hidden="1">{"with_oth_curr",#N/A,FALSE,"2225"}</definedName>
    <definedName name="ssrs" hidden="1">{"with_oth_curr",#N/A,FALSE,"2225"}</definedName>
    <definedName name="ssrs_1" localSheetId="10" hidden="1">{"with_oth_curr",#N/A,FALSE,"2225"}</definedName>
    <definedName name="ssrs_1" hidden="1">{"with_oth_curr",#N/A,FALSE,"2225"}</definedName>
    <definedName name="sss"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10"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10"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localSheetId="10" hidden="1">{#N/A,#N/A,FALSE,"Aging Summary";#N/A,#N/A,FALSE,"Ratio Analysis";#N/A,#N/A,FALSE,"Test 120 Day Accts";#N/A,#N/A,FALSE,"Tickmarks"}</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localSheetId="10" hidden="1">{#N/A,#N/A,FALSE,"Sheet1";#N/A,#N/A,FALSE,"Sheet2"}</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localSheetId="10" hidden="1">{"rp_only",#N/A,FALSE,"2225"}</definedName>
    <definedName name="sttrwyet" hidden="1">{"rp_only",#N/A,FALSE,"2225"}</definedName>
    <definedName name="sttrwyet_1" localSheetId="10" hidden="1">{"rp_only",#N/A,FALSE,"2225"}</definedName>
    <definedName name="sttrwyet_1" hidden="1">{"rp_only",#N/A,FALSE,"2225"}</definedName>
    <definedName name="student">#REF!</definedName>
    <definedName name="SU_DIV" localSheetId="0">#REF!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localSheetId="10" hidden="1">{#N/A,#N/A,FALSE,"Cost Report";#N/A,#N/A,FALSE,"Qtly Summ.";#N/A,#N/A,FALSE,"Mar  Qtr";#N/A,#N/A,FALSE,"Report Summary"}</definedName>
    <definedName name="SUD" hidden="1">{#N/A,#N/A,FALSE,"Cost Report";#N/A,#N/A,FALSE,"Qtly Summ.";#N/A,#N/A,FALSE,"Mar  Qtr";#N/A,#N/A,FALSE,"Report Summary"}</definedName>
    <definedName name="SUD_1" localSheetId="10" hidden="1">{#N/A,#N/A,FALSE,"Cost Report";#N/A,#N/A,FALSE,"Qtly Summ.";#N/A,#N/A,FALSE,"Mar  Qtr";#N/A,#N/A,FALSE,"Report Summary"}</definedName>
    <definedName name="SUD_1" hidden="1">{#N/A,#N/A,FALSE,"Cost Report";#N/A,#N/A,FALSE,"Qtly Summ.";#N/A,#N/A,FALSE,"Mar  Qtr";#N/A,#N/A,FALSE,"Report Summary"}</definedName>
    <definedName name="SUD_31.12.07"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10"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10"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10"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localSheetId="10" hidden="1">{"with_oth_curr",#N/A,FALSE,"2225"}</definedName>
    <definedName name="svcxv" hidden="1">{"with_oth_curr",#N/A,FALSE,"2225"}</definedName>
    <definedName name="svcxv_1" localSheetId="10"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localSheetId="10" hidden="1">{#N/A,#N/A,FALSE,"Sheet1";#N/A,#N/A,FALSE,"Sheet2"}</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localSheetId="10" hidden="1">{#N/A,#N/A,FALSE,"Aging Summary";#N/A,#N/A,FALSE,"Ratio Analysis";#N/A,#N/A,FALSE,"Test 120 Day Accts";#N/A,#N/A,FALSE,"Tickmarks"}</definedName>
    <definedName name="ta" hidden="1">{#N/A,#N/A,FALSE,"Aging Summary";#N/A,#N/A,FALSE,"Ratio Analysis";#N/A,#N/A,FALSE,"Test 120 Day Accts";#N/A,#N/A,FALSE,"Tickmarks"}</definedName>
    <definedName name="ta_1" localSheetId="10"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localSheetId="10"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#REF!</definedName>
    <definedName name="tahap2" localSheetId="10" hidden="1">{#N/A,#N/A,FALSE,"REK";#N/A,#N/A,FALSE,"rab"}</definedName>
    <definedName name="tahap2" hidden="1">{#N/A,#N/A,FALSE,"REK";#N/A,#N/A,FALSE,"rab"}</definedName>
    <definedName name="TAHAP21" localSheetId="10" hidden="1">{#N/A,#N/A,FALSE,"REK";#N/A,#N/A,FALSE,"rab"}</definedName>
    <definedName name="TAHAP21" hidden="1">{#N/A,#N/A,FALSE,"REK";#N/A,#N/A,FALSE,"rab"}</definedName>
    <definedName name="tahap22" localSheetId="10" hidden="1">{#N/A,#N/A,FALSE,"REK";#N/A,#N/A,FALSE,"rab"}</definedName>
    <definedName name="tahap22" hidden="1">{#N/A,#N/A,FALSE,"REK";#N/A,#N/A,FALSE,"rab"}</definedName>
    <definedName name="TAHAP221" localSheetId="10" hidden="1">{#N/A,#N/A,FALSE,"REK";#N/A,#N/A,FALSE,"rab"}</definedName>
    <definedName name="TAHAP221" hidden="1">{#N/A,#N/A,FALSE,"REK";#N/A,#N/A,FALSE,"rab"}</definedName>
    <definedName name="tahap222" localSheetId="10" hidden="1">{#N/A,#N/A,FALSE,"REK";#N/A,#N/A,FALSE,"rab"}</definedName>
    <definedName name="tahap222" hidden="1">{#N/A,#N/A,FALSE,"REK";#N/A,#N/A,FALSE,"rab"}</definedName>
    <definedName name="tahap3" localSheetId="10"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localSheetId="10" hidden="1">{"rp_only",#N/A,FALSE,"2225"}</definedName>
    <definedName name="tdfgd" hidden="1">{"rp_only",#N/A,FALSE,"2225"}</definedName>
    <definedName name="tdfgd_1" localSheetId="10" hidden="1">{"rp_only",#N/A,FALSE,"2225"}</definedName>
    <definedName name="tdfgd_1" hidden="1">{"rp_only",#N/A,FALSE,"2225"}</definedName>
    <definedName name="TDFYDFYU">#REF!</definedName>
    <definedName name="tdnc1p">#REF!</definedName>
    <definedName name="tdo">#REF!</definedName>
    <definedName name="TDOM">#REF!</definedName>
    <definedName name="tdt" localSheetId="10" hidden="1">{"with_oth_curr",#N/A,FALSE,"2225"}</definedName>
    <definedName name="tdt" hidden="1">{"with_oth_curr",#N/A,FALSE,"2225"}</definedName>
    <definedName name="tdt_1" localSheetId="10"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localSheetId="10"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10"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localSheetId="10" hidden="1">{"Variance Q4",#N/A,FALSE,"Var"}</definedName>
    <definedName name="ter" hidden="1">{"Variance Q4",#N/A,FALSE,"Var"}</definedName>
    <definedName name="ter_1" localSheetId="10" hidden="1">{"Variance Q4",#N/A,FALSE,"Var"}</definedName>
    <definedName name="ter_1" hidden="1">{"Variance Q4",#N/A,FALSE,"Var"}</definedName>
    <definedName name="ter_1_1" localSheetId="10">a27000_3112euro:#REF!</definedName>
    <definedName name="ter_1_1">a27000_3112euro:#REF!</definedName>
    <definedName name="ter_1_1_1" localSheetId="10">a27000_3112euro:#REF!</definedName>
    <definedName name="ter_1_1_1">a27000_3112euro:#REF!</definedName>
    <definedName name="ter_1_10">#REF!:#REF!</definedName>
    <definedName name="ter_10" localSheetId="10">#REF!:a27000_avret</definedName>
    <definedName name="ter_10">#REF!:a27000_avret</definedName>
    <definedName name="ter_10_5">#REF!:#REF!</definedName>
    <definedName name="ter_2" localSheetId="10">#REF!:a27000_avret</definedName>
    <definedName name="ter_2">#REF!:a27000_avret</definedName>
    <definedName name="ter_3" localSheetId="10">#REF!:a27000_avret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localSheetId="10" hidden="1">{"rp_only",#N/A,FALSE,"2225"}</definedName>
    <definedName name="tert" hidden="1">{"rp_only",#N/A,FALSE,"2225"}</definedName>
    <definedName name="tert_1" localSheetId="10" hidden="1">{"rp_only",#N/A,FALSE,"2225"}</definedName>
    <definedName name="tert_1" hidden="1">{"rp_only",#N/A,FALSE,"2225"}</definedName>
    <definedName name="terte" localSheetId="10" hidden="1">{"rp_only",#N/A,FALSE,"2225"}</definedName>
    <definedName name="terte" hidden="1">{"rp_only",#N/A,FALSE,"2225"}</definedName>
    <definedName name="terte_1" localSheetId="10" hidden="1">{"rp_only",#N/A,FALSE,"2225"}</definedName>
    <definedName name="terte_1" hidden="1">{"rp_only",#N/A,FALSE,"2225"}</definedName>
    <definedName name="tertertet" localSheetId="10" hidden="1">{"with_oth_curr",#N/A,FALSE,"2225"}</definedName>
    <definedName name="tertertet" hidden="1">{"with_oth_curr",#N/A,FALSE,"2225"}</definedName>
    <definedName name="tertertet_1" localSheetId="10"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localSheetId="10" hidden="1">{"COGS DETAIL",#N/A,FALSE,"COGS"}</definedName>
    <definedName name="test2" hidden="1">{"COGS DETAIL",#N/A,FALSE,"COGS"}</definedName>
    <definedName name="test2_1" localSheetId="10"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localSheetId="10" hidden="1">{"COGS SUMMARY",#N/A,FALSE,"COGS"}</definedName>
    <definedName name="test3" hidden="1">{"COGS SUMMARY",#N/A,FALSE,"COGS"}</definedName>
    <definedName name="test3_1" localSheetId="10" hidden="1">{"COGS SUMMARY",#N/A,FALSE,"COGS"}</definedName>
    <definedName name="test3_1" hidden="1">{"COGS SUMMARY",#N/A,FALSE,"COGS"}</definedName>
    <definedName name="TEST30">#REF!</definedName>
    <definedName name="TEST31">#REF!</definedName>
    <definedName name="TEST32">#REF!</definedName>
    <definedName name="TEST33">#REF!</definedName>
    <definedName name="test4" localSheetId="10" hidden="1">{"WORK IN PROCESS",#N/A,FALSE,"COGS"}</definedName>
    <definedName name="test4" hidden="1">{"WORK IN PROCESS",#N/A,FALSE,"COGS"}</definedName>
    <definedName name="test4_1" localSheetId="10" hidden="1">{"WORK IN PROCESS",#N/A,FALSE,"COGS"}</definedName>
    <definedName name="test4_1" hidden="1">{"WORK IN PROCESS",#N/A,FALSE,"COGS"}</definedName>
    <definedName name="test5" localSheetId="10" hidden="1">{"BUILD_MACHINERIES",#N/A,FALSE,"PREPAID-1"}</definedName>
    <definedName name="test5" hidden="1">{"BUILD_MACHINERIES",#N/A,FALSE,"PREPAID-1"}</definedName>
    <definedName name="test5_1" localSheetId="10" hidden="1">{"BUILD_MACHINERIES",#N/A,FALSE,"PREPAID-1"}</definedName>
    <definedName name="test5_1" hidden="1">{"BUILD_MACHINERIES",#N/A,FALSE,"PREPAID-1"}</definedName>
    <definedName name="test6" localSheetId="10" hidden="1">{"HOSPITALIZATION",#N/A,FALSE,"PREPAID-1"}</definedName>
    <definedName name="test6" hidden="1">{"HOSPITALIZATION",#N/A,FALSE,"PREPAID-1"}</definedName>
    <definedName name="test6_1" localSheetId="10" hidden="1">{"HOSPITALIZATION",#N/A,FALSE,"PREPAID-1"}</definedName>
    <definedName name="test6_1" hidden="1">{"HOSPITALIZATION",#N/A,FALSE,"PREPAID-1"}</definedName>
    <definedName name="test7" localSheetId="10" hidden="1">{"INV_INSURANCE",#N/A,FALSE,"PREPAID-1"}</definedName>
    <definedName name="test7" hidden="1">{"INV_INSURANCE",#N/A,FALSE,"PREPAID-1"}</definedName>
    <definedName name="test7_1" localSheetId="10" hidden="1">{"INV_INSURANCE",#N/A,FALSE,"PREPAID-1"}</definedName>
    <definedName name="test7_1" hidden="1">{"INV_INSURANCE",#N/A,FALSE,"PREPAID-1"}</definedName>
    <definedName name="test8" localSheetId="10" hidden="1">{"PERS_ACCD",#N/A,FALSE,"PREPAID-1"}</definedName>
    <definedName name="test8" hidden="1">{"PERS_ACCD",#N/A,FALSE,"PREPAID-1"}</definedName>
    <definedName name="test8_1" localSheetId="10" hidden="1">{"PERS_ACCD",#N/A,FALSE,"PREPAID-1"}</definedName>
    <definedName name="test8_1" hidden="1">{"PERS_ACCD",#N/A,FALSE,"PREPAID-1"}</definedName>
    <definedName name="test9" localSheetId="10" hidden="1">{"VEHICLE_INS",#N/A,FALSE,"PREPAID-1"}</definedName>
    <definedName name="test9" hidden="1">{"VEHICLE_INS",#N/A,FALSE,"PREPAID-1"}</definedName>
    <definedName name="test9_1" localSheetId="10"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localSheetId="10" hidden="1">{#N/A,#N/A,FALSE,"F_Plan";#N/A,#N/A,FALSE,"Parameter"}</definedName>
    <definedName name="tests" hidden="1">{#N/A,#N/A,FALSE,"F_Plan";#N/A,#N/A,FALSE,"Parameter"}</definedName>
    <definedName name="TESTVKEY">#REF!</definedName>
    <definedName name="tete" localSheetId="10" hidden="1">{"rp_only",#N/A,FALSE,"2225"}</definedName>
    <definedName name="tete" hidden="1">{"rp_only",#N/A,FALSE,"2225"}</definedName>
    <definedName name="tete_1" localSheetId="10" hidden="1">{"rp_only",#N/A,FALSE,"2225"}</definedName>
    <definedName name="tete_1" hidden="1">{"rp_only",#N/A,FALSE,"2225"}</definedName>
    <definedName name="tetre" localSheetId="10" hidden="1">{"with_oth_curr",#N/A,FALSE,"2225"}</definedName>
    <definedName name="tetre" hidden="1">{"with_oth_curr",#N/A,FALSE,"2225"}</definedName>
    <definedName name="tetre_1" localSheetId="10" hidden="1">{"with_oth_curr",#N/A,FALSE,"2225"}</definedName>
    <definedName name="tetre_1" hidden="1">{"with_oth_curr",#N/A,FALSE,"2225"}</definedName>
    <definedName name="tetret" localSheetId="10" hidden="1">{"rp_only",#N/A,FALSE,"2225"}</definedName>
    <definedName name="tetret" hidden="1">{"rp_only",#N/A,FALSE,"2225"}</definedName>
    <definedName name="tetret_1" localSheetId="10" hidden="1">{"rp_only",#N/A,FALSE,"2225"}</definedName>
    <definedName name="tetret_1" hidden="1">{"rp_only",#N/A,FALSE,"2225"}</definedName>
    <definedName name="tetwe" localSheetId="10" hidden="1">{"with_oth_curr",#N/A,FALSE,"2225"}</definedName>
    <definedName name="tetwe" hidden="1">{"with_oth_curr",#N/A,FALSE,"2225"}</definedName>
    <definedName name="tetwe_1" localSheetId="10" hidden="1">{"with_oth_curr",#N/A,FALSE,"2225"}</definedName>
    <definedName name="tetwe_1" hidden="1">{"with_oth_curr",#N/A,FALSE,"2225"}</definedName>
    <definedName name="tewrty" localSheetId="10" hidden="1">{"rp_only",#N/A,FALSE,"2225"}</definedName>
    <definedName name="tewrty" hidden="1">{"rp_only",#N/A,FALSE,"2225"}</definedName>
    <definedName name="tewrty_1" localSheetId="10"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localSheetId="10" hidden="1">{"rp_only",#N/A,FALSE,"2225"}</definedName>
    <definedName name="tgfgtg" hidden="1">{"rp_only",#N/A,FALSE,"2225"}</definedName>
    <definedName name="tgfgtg_1" localSheetId="10" hidden="1">{"rp_only",#N/A,FALSE,"2225"}</definedName>
    <definedName name="tgfgtg_1" hidden="1">{"rp_only",#N/A,FALSE,"2225"}</definedName>
    <definedName name="tgg" localSheetId="10" hidden="1">{"rp_only",#N/A,FALSE,"2225"}</definedName>
    <definedName name="tgg" hidden="1">{"rp_only",#N/A,FALSE,"2225"}</definedName>
    <definedName name="tgg_1" localSheetId="10"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localSheetId="10" hidden="1">{"with_oth_curr",#N/A,FALSE,"2225"}</definedName>
    <definedName name="tioyo" hidden="1">{"with_oth_curr",#N/A,FALSE,"2225"}</definedName>
    <definedName name="tioyo_1" localSheetId="10" hidden="1">{"with_oth_curr",#N/A,FALSE,"2225"}</definedName>
    <definedName name="tioyo_1" hidden="1">{"with_oth_curr",#N/A,FALSE,"2225"}</definedName>
    <definedName name="Tire.Roller">#REF!</definedName>
    <definedName name="TIREROLLER">#REF!</definedName>
    <definedName name="tirtr" localSheetId="10" hidden="1">{"with_oth_curr",#N/A,FALSE,"2225"}</definedName>
    <definedName name="tirtr" hidden="1">{"with_oth_curr",#N/A,FALSE,"2225"}</definedName>
    <definedName name="tirtr_1" localSheetId="10"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localSheetId="10" hidden="1">{"with_oth_curr",#N/A,FALSE,"2225"}</definedName>
    <definedName name="tiyi" hidden="1">{"with_oth_curr",#N/A,FALSE,"2225"}</definedName>
    <definedName name="tiyi_1" localSheetId="10" hidden="1">{"with_oth_curr",#N/A,FALSE,"2225"}</definedName>
    <definedName name="tiyi_1" hidden="1">{"with_oth_curr",#N/A,FALSE,"2225"}</definedName>
    <definedName name="tj" localSheetId="10" hidden="1">{#N/A,#N/A,FALSE,"REK";#N/A,#N/A,FALSE,"Bq-ARS"}</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localSheetId="10" hidden="1">{#N/A,#N/A,FALSE,"Aging Summary";#N/A,#N/A,FALSE,"Ratio Analysis";#N/A,#N/A,FALSE,"Test 120 Day Accts";#N/A,#N/A,FALSE,"Tickmarks"}</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localSheetId="10" hidden="1">{"rp_only",#N/A,FALSE,"2225"}</definedName>
    <definedName name="trehgn" hidden="1">{"rp_only",#N/A,FALSE,"2225"}</definedName>
    <definedName name="trehgn_1" localSheetId="10" hidden="1">{"rp_only",#N/A,FALSE,"2225"}</definedName>
    <definedName name="trehgn_1" hidden="1">{"rp_only",#N/A,FALSE,"2225"}</definedName>
    <definedName name="trertert" localSheetId="10" hidden="1">{"rp_only",#N/A,FALSE,"2225"}</definedName>
    <definedName name="trertert" hidden="1">{"rp_only",#N/A,FALSE,"2225"}</definedName>
    <definedName name="trertert_1" localSheetId="10" hidden="1">{"rp_only",#N/A,FALSE,"2225"}</definedName>
    <definedName name="trertert_1" hidden="1">{"rp_only",#N/A,FALSE,"2225"}</definedName>
    <definedName name="trertetet" localSheetId="10" hidden="1">{"rp_only",#N/A,FALSE,"2225"}</definedName>
    <definedName name="trertetet" hidden="1">{"rp_only",#N/A,FALSE,"2225"}</definedName>
    <definedName name="trertetet_1" localSheetId="10" hidden="1">{"rp_only",#N/A,FALSE,"2225"}</definedName>
    <definedName name="trertetet_1" hidden="1">{"rp_only",#N/A,FALSE,"2225"}</definedName>
    <definedName name="tretert" localSheetId="10" hidden="1">{"rp_only",#N/A,FALSE,"2225"}</definedName>
    <definedName name="tretert" hidden="1">{"rp_only",#N/A,FALSE,"2225"}</definedName>
    <definedName name="tretert_1" localSheetId="10" hidden="1">{"rp_only",#N/A,FALSE,"2225"}</definedName>
    <definedName name="tretert_1" hidden="1">{"rp_only",#N/A,FALSE,"2225"}</definedName>
    <definedName name="trfdg" localSheetId="10" hidden="1">{"rp_only",#N/A,FALSE,"2225"}</definedName>
    <definedName name="trfdg" hidden="1">{"rp_only",#N/A,FALSE,"2225"}</definedName>
    <definedName name="trfdg_1" localSheetId="10" hidden="1">{"rp_only",#N/A,FALSE,"2225"}</definedName>
    <definedName name="trfdg_1" hidden="1">{"rp_only",#N/A,FALSE,"2225"}</definedName>
    <definedName name="trfg" localSheetId="10" hidden="1">{"rp_only",#N/A,FALSE,"2225"}</definedName>
    <definedName name="trfg" hidden="1">{"rp_only",#N/A,FALSE,"2225"}</definedName>
    <definedName name="trfg_1" localSheetId="10"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localSheetId="10" hidden="1">{#N/A,#N/A,FALSE,"Aging Summary";#N/A,#N/A,FALSE,"Ratio Analysis";#N/A,#N/A,FALSE,"Test 120 Day Accts";#N/A,#N/A,FALSE,"Tickmarks"}</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localSheetId="10" hidden="1">{"rp_only",#N/A,FALSE,"2225"}</definedName>
    <definedName name="trret" hidden="1">{"rp_only",#N/A,FALSE,"2225"}</definedName>
    <definedName name="trret_1" localSheetId="10" hidden="1">{"rp_only",#N/A,FALSE,"2225"}</definedName>
    <definedName name="trret_1" hidden="1">{"rp_only",#N/A,FALSE,"2225"}</definedName>
    <definedName name="trruytry" localSheetId="10" hidden="1">{"rp_only",#N/A,FALSE,"2225"}</definedName>
    <definedName name="trruytry" hidden="1">{"rp_only",#N/A,FALSE,"2225"}</definedName>
    <definedName name="trruytry_1" localSheetId="10" hidden="1">{"rp_only",#N/A,FALSE,"2225"}</definedName>
    <definedName name="trruytry_1" hidden="1">{"rp_only",#N/A,FALSE,"2225"}</definedName>
    <definedName name="trsdtrsytes" localSheetId="10" hidden="1">{"rp_only",#N/A,FALSE,"2225"}</definedName>
    <definedName name="trsdtrsytes" hidden="1">{"rp_only",#N/A,FALSE,"2225"}</definedName>
    <definedName name="trsdtrsytes_1" localSheetId="10" hidden="1">{"rp_only",#N/A,FALSE,"2225"}</definedName>
    <definedName name="trsdtrsytes_1" hidden="1">{"rp_only",#N/A,FALSE,"2225"}</definedName>
    <definedName name="trtrtytr" localSheetId="10" hidden="1">{"with_oth_curr",#N/A,FALSE,"2225"}</definedName>
    <definedName name="trtrtytr" hidden="1">{"with_oth_curr",#N/A,FALSE,"2225"}</definedName>
    <definedName name="trtrtytr_1" localSheetId="10"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localSheetId="10" hidden="1">{"rp_only",#N/A,FALSE,"2225"}</definedName>
    <definedName name="trygfh" hidden="1">{"rp_only",#N/A,FALSE,"2225"}</definedName>
    <definedName name="trygfh_1" localSheetId="10" hidden="1">{"rp_only",#N/A,FALSE,"2225"}</definedName>
    <definedName name="trygfh_1" hidden="1">{"rp_only",#N/A,FALSE,"2225"}</definedName>
    <definedName name="tryrty" localSheetId="10" hidden="1">{"rp_only",#N/A,FALSE,"2225"}</definedName>
    <definedName name="tryrty" hidden="1">{"rp_only",#N/A,FALSE,"2225"}</definedName>
    <definedName name="tryrty_1" localSheetId="10" hidden="1">{"rp_only",#N/A,FALSE,"2225"}</definedName>
    <definedName name="tryrty_1" hidden="1">{"rp_only",#N/A,FALSE,"2225"}</definedName>
    <definedName name="tryrtyfgh" localSheetId="10" hidden="1">{"rp_only",#N/A,FALSE,"2225"}</definedName>
    <definedName name="tryrtyfgh" hidden="1">{"rp_only",#N/A,FALSE,"2225"}</definedName>
    <definedName name="tryrtyfgh_1" localSheetId="10" hidden="1">{"rp_only",#N/A,FALSE,"2225"}</definedName>
    <definedName name="tryrtyfgh_1" hidden="1">{"rp_only",#N/A,FALSE,"2225"}</definedName>
    <definedName name="tryrtyrt" localSheetId="10" hidden="1">{"with_oth_curr",#N/A,FALSE,"2225"}</definedName>
    <definedName name="tryrtyrt" hidden="1">{"with_oth_curr",#N/A,FALSE,"2225"}</definedName>
    <definedName name="tryrtyrt_1" localSheetId="10" hidden="1">{"with_oth_curr",#N/A,FALSE,"2225"}</definedName>
    <definedName name="tryrtyrt_1" hidden="1">{"with_oth_curr",#N/A,FALSE,"2225"}</definedName>
    <definedName name="tryrtyrtyr" localSheetId="10" hidden="1">{"with_oth_curr",#N/A,FALSE,"2225"}</definedName>
    <definedName name="tryrtyrtyr" hidden="1">{"with_oth_curr",#N/A,FALSE,"2225"}</definedName>
    <definedName name="tryrtyrtyr_1" localSheetId="10" hidden="1">{"with_oth_curr",#N/A,FALSE,"2225"}</definedName>
    <definedName name="tryrtyrtyr_1" hidden="1">{"with_oth_curr",#N/A,FALSE,"2225"}</definedName>
    <definedName name="tryrtyrtyry" localSheetId="10" hidden="1">{"rp_only",#N/A,FALSE,"2225"}</definedName>
    <definedName name="tryrtyrtyry" hidden="1">{"rp_only",#N/A,FALSE,"2225"}</definedName>
    <definedName name="tryrtyrtyry_1" localSheetId="10" hidden="1">{"rp_only",#N/A,FALSE,"2225"}</definedName>
    <definedName name="tryrtyrtyry_1" hidden="1">{"rp_only",#N/A,FALSE,"2225"}</definedName>
    <definedName name="tryrtyry" localSheetId="10" hidden="1">{"rp_only",#N/A,FALSE,"2225"}</definedName>
    <definedName name="tryrtyry" hidden="1">{"rp_only",#N/A,FALSE,"2225"}</definedName>
    <definedName name="tryrtyry_1" localSheetId="10" hidden="1">{"rp_only",#N/A,FALSE,"2225"}</definedName>
    <definedName name="tryrtyry_1" hidden="1">{"rp_only",#N/A,FALSE,"2225"}</definedName>
    <definedName name="tryrtytry" localSheetId="10" hidden="1">{"rp_only",#N/A,FALSE,"2225"}</definedName>
    <definedName name="tryrtytry" hidden="1">{"rp_only",#N/A,FALSE,"2225"}</definedName>
    <definedName name="tryrtytry_1" localSheetId="10" hidden="1">{"rp_only",#N/A,FALSE,"2225"}</definedName>
    <definedName name="tryrtytry_1" hidden="1">{"rp_only",#N/A,FALSE,"2225"}</definedName>
    <definedName name="tryryrty" localSheetId="10" hidden="1">{"rp_only",#N/A,FALSE,"2225"}</definedName>
    <definedName name="tryryrty" hidden="1">{"rp_only",#N/A,FALSE,"2225"}</definedName>
    <definedName name="tryryrty_1" localSheetId="10" hidden="1">{"rp_only",#N/A,FALSE,"2225"}</definedName>
    <definedName name="tryryrty_1" hidden="1">{"rp_only",#N/A,FALSE,"2225"}</definedName>
    <definedName name="tryryryry" localSheetId="10" hidden="1">{"rp_only",#N/A,FALSE,"2225"}</definedName>
    <definedName name="tryryryry" hidden="1">{"rp_only",#N/A,FALSE,"2225"}</definedName>
    <definedName name="tryryryry_1" localSheetId="10" hidden="1">{"rp_only",#N/A,FALSE,"2225"}</definedName>
    <definedName name="tryryryry_1" hidden="1">{"rp_only",#N/A,FALSE,"2225"}</definedName>
    <definedName name="tryryughj" localSheetId="10" hidden="1">{"rp_only",#N/A,FALSE,"2225"}</definedName>
    <definedName name="tryryughj" hidden="1">{"rp_only",#N/A,FALSE,"2225"}</definedName>
    <definedName name="tryryughj_1" localSheetId="10" hidden="1">{"rp_only",#N/A,FALSE,"2225"}</definedName>
    <definedName name="tryryughj_1" hidden="1">{"rp_only",#N/A,FALSE,"2225"}</definedName>
    <definedName name="trytutit" localSheetId="10" hidden="1">{"rp_only",#N/A,FALSE,"2225"}</definedName>
    <definedName name="trytutit" hidden="1">{"rp_only",#N/A,FALSE,"2225"}</definedName>
    <definedName name="trytutit_1" localSheetId="10" hidden="1">{"rp_only",#N/A,FALSE,"2225"}</definedName>
    <definedName name="trytutit_1" hidden="1">{"rp_only",#N/A,FALSE,"2225"}</definedName>
    <definedName name="trytyhgf" localSheetId="10" hidden="1">{"rp_only",#N/A,FALSE,"2225"}</definedName>
    <definedName name="trytyhgf" hidden="1">{"rp_only",#N/A,FALSE,"2225"}</definedName>
    <definedName name="trytyhgf_1" localSheetId="10" hidden="1">{"rp_only",#N/A,FALSE,"2225"}</definedName>
    <definedName name="trytyhgf_1" hidden="1">{"rp_only",#N/A,FALSE,"2225"}</definedName>
    <definedName name="tryurtrui" localSheetId="10" hidden="1">{"with_oth_curr",#N/A,FALSE,"2225"}</definedName>
    <definedName name="tryurtrui" hidden="1">{"with_oth_curr",#N/A,FALSE,"2225"}</definedName>
    <definedName name="tryurtrui_1" localSheetId="10" hidden="1">{"with_oth_curr",#N/A,FALSE,"2225"}</definedName>
    <definedName name="tryurtrui_1" hidden="1">{"with_oth_curr",#N/A,FALSE,"2225"}</definedName>
    <definedName name="tryyty" localSheetId="10" hidden="1">{"rp_only",#N/A,FALSE,"2225"}</definedName>
    <definedName name="tryyty" hidden="1">{"rp_only",#N/A,FALSE,"2225"}</definedName>
    <definedName name="tryyty_1" localSheetId="10" hidden="1">{"rp_only",#N/A,FALSE,"2225"}</definedName>
    <definedName name="tryyty_1" hidden="1">{"rp_only",#N/A,FALSE,"2225"}</definedName>
    <definedName name="tryytytr" localSheetId="10" hidden="1">{"rp_only",#N/A,FALSE,"2225"}</definedName>
    <definedName name="tryytytr" hidden="1">{"rp_only",#N/A,FALSE,"2225"}</definedName>
    <definedName name="tryytytr_1" localSheetId="10" hidden="1">{"rp_only",#N/A,FALSE,"2225"}</definedName>
    <definedName name="tryytytr_1" hidden="1">{"rp_only",#N/A,FALSE,"2225"}</definedName>
    <definedName name="TS" localSheetId="10">HAJIME:OWARI</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10" hidden="1">{#N/A,#N/A,FALSE,"Aging Summary";#N/A,#N/A,FALSE,"Ratio Analysis";#N/A,#N/A,FALSE,"Test 120 Day Accts";#N/A,#N/A,FALSE,"Tickmarks"}</definedName>
    <definedName name="ttt\" hidden="1">{#N/A,#N/A,FALSE,"Aging Summary";#N/A,#N/A,FALSE,"Ratio Analysis";#N/A,#N/A,FALSE,"Test 120 Day Accts";#N/A,#N/A,FALSE,"Tickmarks"}</definedName>
    <definedName name="tttt" localSheetId="10" hidden="1">{"'Sheet1'!$L$16"}</definedName>
    <definedName name="tttt" hidden="1">{"'Sheet1'!$L$16"}</definedName>
    <definedName name="tttt_1" localSheetId="10" hidden="1">{"rp_only",#N/A,FALSE,"2225"}</definedName>
    <definedName name="tttt_1" hidden="1">{"rp_only",#N/A,FALSE,"2225"}</definedName>
    <definedName name="ttttt0405">#REF!</definedName>
    <definedName name="tty" localSheetId="10" hidden="1">{"with_oth_curr",#N/A,FALSE,"2225"}</definedName>
    <definedName name="tty" hidden="1">{"with_oth_curr",#N/A,FALSE,"2225"}</definedName>
    <definedName name="tty_1" localSheetId="10" hidden="1">{"with_oth_curr",#N/A,FALSE,"2225"}</definedName>
    <definedName name="tty_1" hidden="1">{"with_oth_curr",#N/A,FALSE,"2225"}</definedName>
    <definedName name="ttyiiyiu" localSheetId="10" hidden="1">{"rp_only",#N/A,FALSE,"2225"}</definedName>
    <definedName name="ttyiiyiu" hidden="1">{"rp_only",#N/A,FALSE,"2225"}</definedName>
    <definedName name="ttyiiyiu_1" localSheetId="10"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localSheetId="10" hidden="1">{"rp_only",#N/A,FALSE,"2225"}</definedName>
    <definedName name="tuei" hidden="1">{"rp_only",#N/A,FALSE,"2225"}</definedName>
    <definedName name="tuei_1" localSheetId="10" hidden="1">{"rp_only",#N/A,FALSE,"2225"}</definedName>
    <definedName name="tuei_1" hidden="1">{"rp_only",#N/A,FALSE,"2225"}</definedName>
    <definedName name="TUGAL1">#REF!</definedName>
    <definedName name="tuiyii" localSheetId="10" hidden="1">{"rp_only",#N/A,FALSE,"2225"}</definedName>
    <definedName name="tuiyii" hidden="1">{"rp_only",#N/A,FALSE,"2225"}</definedName>
    <definedName name="tuiyii_1" localSheetId="10"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localSheetId="10" hidden="1">{"rp_only",#N/A,FALSE,"2225"}</definedName>
    <definedName name="tututyut" hidden="1">{"rp_only",#N/A,FALSE,"2225"}</definedName>
    <definedName name="tututyut_1" localSheetId="10" hidden="1">{"rp_only",#N/A,FALSE,"2225"}</definedName>
    <definedName name="tututyut_1" hidden="1">{"rp_only",#N/A,FALSE,"2225"}</definedName>
    <definedName name="tututyutyuty" localSheetId="10" hidden="1">{"rp_only",#N/A,FALSE,"2225"}</definedName>
    <definedName name="tututyutyuty" hidden="1">{"rp_only",#N/A,FALSE,"2225"}</definedName>
    <definedName name="tututyutyuty_1" localSheetId="10" hidden="1">{"rp_only",#N/A,FALSE,"2225"}</definedName>
    <definedName name="tututyutyuty_1" hidden="1">{"rp_only",#N/A,FALSE,"2225"}</definedName>
    <definedName name="tutyuughj" localSheetId="10" hidden="1">{"rp_only",#N/A,FALSE,"2225"}</definedName>
    <definedName name="tutyuughj" hidden="1">{"rp_only",#N/A,FALSE,"2225"}</definedName>
    <definedName name="tutyuughj_1" localSheetId="10" hidden="1">{"rp_only",#N/A,FALSE,"2225"}</definedName>
    <definedName name="tutyuughj_1" hidden="1">{"rp_only",#N/A,FALSE,"2225"}</definedName>
    <definedName name="Tuyen">#REF!</definedName>
    <definedName name="tuytyu" localSheetId="10" hidden="1">{"with_oth_curr",#N/A,FALSE,"2225"}</definedName>
    <definedName name="tuytyu" hidden="1">{"with_oth_curr",#N/A,FALSE,"2225"}</definedName>
    <definedName name="tuytyu_1" localSheetId="10"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localSheetId="10" hidden="1">{#N/A,#N/A,FALSE,"Aging Summary";#N/A,#N/A,FALSE,"Ratio Analysis";#N/A,#N/A,FALSE,"Test 120 Day Accts";#N/A,#N/A,FALSE,"Tickmarks"}</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localSheetId="10" hidden="1">{#N/A,#N/A,FALSE,"M01";#N/A,#N/A,FALSE,"M02";#N/A,#N/A,FALSE,"M03";#N/A,#N/A,FALSE,"M04";#N/A,#N/A,FALSE,"M05";#N/A,#N/A,FALSE,"M08"}</definedName>
    <definedName name="tya" hidden="1">{#N/A,#N/A,FALSE,"M01";#N/A,#N/A,FALSE,"M02";#N/A,#N/A,FALSE,"M03";#N/A,#N/A,FALSE,"M04";#N/A,#N/A,FALSE,"M05";#N/A,#N/A,FALSE,"M08"}</definedName>
    <definedName name="tygjhj" localSheetId="10" hidden="1">{"with_oth_curr",#N/A,FALSE,"2225"}</definedName>
    <definedName name="tygjhj" hidden="1">{"with_oth_curr",#N/A,FALSE,"2225"}</definedName>
    <definedName name="tygjhj_1" localSheetId="10" hidden="1">{"with_oth_curr",#N/A,FALSE,"2225"}</definedName>
    <definedName name="tygjhj_1" hidden="1">{"with_oth_curr",#N/A,FALSE,"2225"}</definedName>
    <definedName name="tyiyi" localSheetId="10" hidden="1">{"rp_only",#N/A,FALSE,"2225"}</definedName>
    <definedName name="tyiyi" hidden="1">{"rp_only",#N/A,FALSE,"2225"}</definedName>
    <definedName name="tyiyi_1" localSheetId="10"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localSheetId="10" hidden="1">{"rp_only",#N/A,FALSE,"2225"}</definedName>
    <definedName name="tyrty" hidden="1">{"rp_only",#N/A,FALSE,"2225"}</definedName>
    <definedName name="tyrty_1" localSheetId="10" hidden="1">{"rp_only",#N/A,FALSE,"2225"}</definedName>
    <definedName name="tyrty_1" hidden="1">{"rp_only",#N/A,FALSE,"2225"}</definedName>
    <definedName name="tyrtyrt" localSheetId="10" hidden="1">{"rp_only",#N/A,FALSE,"2225"}</definedName>
    <definedName name="tyrtyrt" hidden="1">{"rp_only",#N/A,FALSE,"2225"}</definedName>
    <definedName name="tyrtyrt_1" localSheetId="10" hidden="1">{"rp_only",#N/A,FALSE,"2225"}</definedName>
    <definedName name="tyrtyrt_1" hidden="1">{"rp_only",#N/A,FALSE,"2225"}</definedName>
    <definedName name="tyrtyrtyry" localSheetId="10" hidden="1">{"rp_only",#N/A,FALSE,"2225"}</definedName>
    <definedName name="tyrtyrtyry" hidden="1">{"rp_only",#N/A,FALSE,"2225"}</definedName>
    <definedName name="tyrtyrtyry_1" localSheetId="10" hidden="1">{"rp_only",#N/A,FALSE,"2225"}</definedName>
    <definedName name="tyrtyrtyry_1" hidden="1">{"rp_only",#N/A,FALSE,"2225"}</definedName>
    <definedName name="tyrtyuu" localSheetId="10" hidden="1">{"rp_only",#N/A,FALSE,"2225"}</definedName>
    <definedName name="tyrtyuu" hidden="1">{"rp_only",#N/A,FALSE,"2225"}</definedName>
    <definedName name="tyrtyuu_1" localSheetId="10" hidden="1">{"rp_only",#N/A,FALSE,"2225"}</definedName>
    <definedName name="tyrtyuu_1" hidden="1">{"rp_only",#N/A,FALSE,"2225"}</definedName>
    <definedName name="tyrtyyt" localSheetId="10" hidden="1">{"rp_only",#N/A,FALSE,"2225"}</definedName>
    <definedName name="tyrtyyt" hidden="1">{"rp_only",#N/A,FALSE,"2225"}</definedName>
    <definedName name="tyrtyyt_1" localSheetId="10" hidden="1">{"rp_only",#N/A,FALSE,"2225"}</definedName>
    <definedName name="tyrtyyt_1" hidden="1">{"rp_only",#N/A,FALSE,"2225"}</definedName>
    <definedName name="tytrtyr" localSheetId="10" hidden="1">{"rp_only",#N/A,FALSE,"2225"}</definedName>
    <definedName name="tytrtyr" hidden="1">{"rp_only",#N/A,FALSE,"2225"}</definedName>
    <definedName name="tytrtyr_1" localSheetId="10" hidden="1">{"rp_only",#N/A,FALSE,"2225"}</definedName>
    <definedName name="tytrtyr_1" hidden="1">{"rp_only",#N/A,FALSE,"2225"}</definedName>
    <definedName name="tyuet" localSheetId="10" hidden="1">{"rp_only",#N/A,FALSE,"2225"}</definedName>
    <definedName name="tyuet" hidden="1">{"rp_only",#N/A,FALSE,"2225"}</definedName>
    <definedName name="tyuet_1" localSheetId="10" hidden="1">{"rp_only",#N/A,FALSE,"2225"}</definedName>
    <definedName name="tyuet_1" hidden="1">{"rp_only",#N/A,FALSE,"2225"}</definedName>
    <definedName name="tyujhb" localSheetId="10" hidden="1">{"rp_only",#N/A,FALSE,"2225"}</definedName>
    <definedName name="tyujhb" hidden="1">{"rp_only",#N/A,FALSE,"2225"}</definedName>
    <definedName name="tyujhb_1" localSheetId="10" hidden="1">{"rp_only",#N/A,FALSE,"2225"}</definedName>
    <definedName name="tyujhb_1" hidden="1">{"rp_only",#N/A,FALSE,"2225"}</definedName>
    <definedName name="tyurytrty" localSheetId="10" hidden="1">{"with_oth_curr",#N/A,FALSE,"2225"}</definedName>
    <definedName name="tyurytrty" hidden="1">{"with_oth_curr",#N/A,FALSE,"2225"}</definedName>
    <definedName name="tyurytrty_1" localSheetId="10" hidden="1">{"with_oth_curr",#N/A,FALSE,"2225"}</definedName>
    <definedName name="tyurytrty_1" hidden="1">{"with_oth_curr",#N/A,FALSE,"2225"}</definedName>
    <definedName name="tyutty" localSheetId="10" hidden="1">{"rp_only",#N/A,FALSE,"2225"}</definedName>
    <definedName name="tyutty" hidden="1">{"rp_only",#N/A,FALSE,"2225"}</definedName>
    <definedName name="tyutty_1" localSheetId="10" hidden="1">{"rp_only",#N/A,FALSE,"2225"}</definedName>
    <definedName name="tyutty_1" hidden="1">{"rp_only",#N/A,FALSE,"2225"}</definedName>
    <definedName name="tyutut" localSheetId="10" hidden="1">{"rp_only",#N/A,FALSE,"2225"}</definedName>
    <definedName name="tyutut" hidden="1">{"rp_only",#N/A,FALSE,"2225"}</definedName>
    <definedName name="tyutut_1" localSheetId="10" hidden="1">{"rp_only",#N/A,FALSE,"2225"}</definedName>
    <definedName name="tyutut_1" hidden="1">{"rp_only",#N/A,FALSE,"2225"}</definedName>
    <definedName name="tyutuyt" localSheetId="10" hidden="1">{"rp_only",#N/A,FALSE,"2225"}</definedName>
    <definedName name="tyutuyt" hidden="1">{"rp_only",#N/A,FALSE,"2225"}</definedName>
    <definedName name="tyutuyt_1" localSheetId="10" hidden="1">{"rp_only",#N/A,FALSE,"2225"}</definedName>
    <definedName name="tyutuyt_1" hidden="1">{"rp_only",#N/A,FALSE,"2225"}</definedName>
    <definedName name="tyutuyu" localSheetId="10" hidden="1">{"rp_only",#N/A,FALSE,"2225"}</definedName>
    <definedName name="tyutuyu" hidden="1">{"rp_only",#N/A,FALSE,"2225"}</definedName>
    <definedName name="tyutuyu_1" localSheetId="10" hidden="1">{"rp_only",#N/A,FALSE,"2225"}</definedName>
    <definedName name="tyutuyu_1" hidden="1">{"rp_only",#N/A,FALSE,"2225"}</definedName>
    <definedName name="tyutyut" localSheetId="10" hidden="1">{"rp_only",#N/A,FALSE,"2225"}</definedName>
    <definedName name="tyutyut" hidden="1">{"rp_only",#N/A,FALSE,"2225"}</definedName>
    <definedName name="tyutyut_1" localSheetId="10" hidden="1">{"rp_only",#N/A,FALSE,"2225"}</definedName>
    <definedName name="tyutyut_1" hidden="1">{"rp_only",#N/A,FALSE,"2225"}</definedName>
    <definedName name="tyutyutu" localSheetId="10" hidden="1">{"rp_only",#N/A,FALSE,"2225"}</definedName>
    <definedName name="tyutyutu" hidden="1">{"rp_only",#N/A,FALSE,"2225"}</definedName>
    <definedName name="tyutyutu_1" localSheetId="10" hidden="1">{"rp_only",#N/A,FALSE,"2225"}</definedName>
    <definedName name="tyutyutu_1" hidden="1">{"rp_only",#N/A,FALSE,"2225"}</definedName>
    <definedName name="tyutyuty" localSheetId="10" hidden="1">{"rp_only",#N/A,FALSE,"2225"}</definedName>
    <definedName name="tyutyuty" hidden="1">{"rp_only",#N/A,FALSE,"2225"}</definedName>
    <definedName name="tyutyuty_1" localSheetId="10" hidden="1">{"rp_only",#N/A,FALSE,"2225"}</definedName>
    <definedName name="tyutyuty_1" hidden="1">{"rp_only",#N/A,FALSE,"2225"}</definedName>
    <definedName name="tyutyutyu" localSheetId="10" hidden="1">{"rp_only",#N/A,FALSE,"2225"}</definedName>
    <definedName name="tyutyutyu" hidden="1">{"rp_only",#N/A,FALSE,"2225"}</definedName>
    <definedName name="tyutyutyu_1" localSheetId="10" hidden="1">{"rp_only",#N/A,FALSE,"2225"}</definedName>
    <definedName name="tyutyutyu_1" hidden="1">{"rp_only",#N/A,FALSE,"2225"}</definedName>
    <definedName name="tyutyutyut" localSheetId="10" hidden="1">{"rp_only",#N/A,FALSE,"2225"}</definedName>
    <definedName name="tyutyutyut" hidden="1">{"rp_only",#N/A,FALSE,"2225"}</definedName>
    <definedName name="tyutyutyut_1" localSheetId="10" hidden="1">{"rp_only",#N/A,FALSE,"2225"}</definedName>
    <definedName name="tyutyutyut_1" hidden="1">{"rp_only",#N/A,FALSE,"2225"}</definedName>
    <definedName name="tyutyutyutyu" localSheetId="10" hidden="1">{"rp_only",#N/A,FALSE,"2225"}</definedName>
    <definedName name="tyutyutyutyu" hidden="1">{"rp_only",#N/A,FALSE,"2225"}</definedName>
    <definedName name="tyutyutyutyu_1" localSheetId="10" hidden="1">{"rp_only",#N/A,FALSE,"2225"}</definedName>
    <definedName name="tyutyutyutyu_1" hidden="1">{"rp_only",#N/A,FALSE,"2225"}</definedName>
    <definedName name="tyutyutyutyuty" localSheetId="10" hidden="1">{"with_oth_curr",#N/A,FALSE,"2225"}</definedName>
    <definedName name="tyutyutyutyuty" hidden="1">{"with_oth_curr",#N/A,FALSE,"2225"}</definedName>
    <definedName name="tyutyutyutyuty_1" localSheetId="10" hidden="1">{"with_oth_curr",#N/A,FALSE,"2225"}</definedName>
    <definedName name="tyutyutyutyuty_1" hidden="1">{"with_oth_curr",#N/A,FALSE,"2225"}</definedName>
    <definedName name="tyutyutyutyutyu" localSheetId="10" hidden="1">{"with_oth_curr",#N/A,FALSE,"2225"}</definedName>
    <definedName name="tyutyutyutyutyu" hidden="1">{"with_oth_curr",#N/A,FALSE,"2225"}</definedName>
    <definedName name="tyutyutyutyutyu_1" localSheetId="10" hidden="1">{"with_oth_curr",#N/A,FALSE,"2225"}</definedName>
    <definedName name="tyutyutyutyutyu_1" hidden="1">{"with_oth_curr",#N/A,FALSE,"2225"}</definedName>
    <definedName name="tyuythjnhg" localSheetId="10" hidden="1">{"rp_only",#N/A,FALSE,"2225"}</definedName>
    <definedName name="tyuythjnhg" hidden="1">{"rp_only",#N/A,FALSE,"2225"}</definedName>
    <definedName name="tyuythjnhg_1" localSheetId="10" hidden="1">{"rp_only",#N/A,FALSE,"2225"}</definedName>
    <definedName name="tyuythjnhg_1" hidden="1">{"rp_only",#N/A,FALSE,"2225"}</definedName>
    <definedName name="tyuytut" localSheetId="10" hidden="1">{"with_oth_curr",#N/A,FALSE,"2225"}</definedName>
    <definedName name="tyuytut" hidden="1">{"with_oth_curr",#N/A,FALSE,"2225"}</definedName>
    <definedName name="tyuytut_1" localSheetId="10" hidden="1">{"with_oth_curr",#N/A,FALSE,"2225"}</definedName>
    <definedName name="tyuytut_1" hidden="1">{"with_oth_curr",#N/A,FALSE,"2225"}</definedName>
    <definedName name="tyuytuyt" localSheetId="10" hidden="1">{"rp_only",#N/A,FALSE,"2225"}</definedName>
    <definedName name="tyuytuyt" hidden="1">{"rp_only",#N/A,FALSE,"2225"}</definedName>
    <definedName name="tyuytuyt_1" localSheetId="10" hidden="1">{"rp_only",#N/A,FALSE,"2225"}</definedName>
    <definedName name="tyuytuyt_1" hidden="1">{"rp_only",#N/A,FALSE,"2225"}</definedName>
    <definedName name="tyuytyut" localSheetId="10" hidden="1">{"rp_only",#N/A,FALSE,"2225"}</definedName>
    <definedName name="tyuytyut" hidden="1">{"rp_only",#N/A,FALSE,"2225"}</definedName>
    <definedName name="tyuytyut_1" localSheetId="10" hidden="1">{"rp_only",#N/A,FALSE,"2225"}</definedName>
    <definedName name="tyuytyut_1" hidden="1">{"rp_only",#N/A,FALSE,"2225"}</definedName>
    <definedName name="tyyte" localSheetId="10" hidden="1">{"rp_only",#N/A,FALSE,"2225"}</definedName>
    <definedName name="tyyte" hidden="1">{"rp_only",#N/A,FALSE,"2225"}</definedName>
    <definedName name="tyyte_1" localSheetId="10" hidden="1">{"rp_only",#N/A,FALSE,"2225"}</definedName>
    <definedName name="tyyte_1" hidden="1">{"rp_only",#N/A,FALSE,"2225"}</definedName>
    <definedName name="u">#REF!</definedName>
    <definedName name="U.." localSheetId="10" hidden="1">{"rp_only",#N/A,FALSE,"2225"}</definedName>
    <definedName name="U.." hidden="1">{"rp_only",#N/A,FALSE,"2225"}</definedName>
    <definedName name="U.._1" localSheetId="10"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localSheetId="10" hidden="1">{"rp_only",#N/A,FALSE,"2225"}</definedName>
    <definedName name="U2..." hidden="1">{"rp_only",#N/A,FALSE,"2225"}</definedName>
    <definedName name="U2..._1" localSheetId="10" hidden="1">{"rp_only",#N/A,FALSE,"2225"}</definedName>
    <definedName name="U2..._1" hidden="1">{"rp_only",#N/A,FALSE,"2225"}</definedName>
    <definedName name="U30_FSA" hidden="1">#REF!</definedName>
    <definedName name="u52.">#REF!</definedName>
    <definedName name="ua" localSheetId="10" hidden="1">{#N/A,#N/A,FALSE,"Aging Summary";#N/A,#N/A,FALSE,"Ratio Analysis";#N/A,#N/A,FALSE,"Test 120 Day Accts";#N/A,#N/A,FALSE,"Tickmarks"}</definedName>
    <definedName name="ua" hidden="1">{#N/A,#N/A,FALSE,"Aging Summary";#N/A,#N/A,FALSE,"Ratio Analysis";#N/A,#N/A,FALSE,"Test 120 Day Accts";#N/A,#N/A,FALSE,"Tickmarks"}</definedName>
    <definedName name="ua_1" localSheetId="10" hidden="1">{#N/A,#N/A,FALSE,"Aging Summary";#N/A,#N/A,FALSE,"Ratio Analysis";#N/A,#N/A,FALSE,"Test 120 Day Accts";#N/A,#N/A,FALSE,"Tickmarks"}</definedName>
    <definedName name="ua_1" hidden="1">{#N/A,#N/A,FALSE,"Aging Summary";#N/A,#N/A,FALSE,"Ratio Analysis";#N/A,#N/A,FALSE,"Test 120 Day Accts";#N/A,#N/A,FALSE,"Tickmarks"}</definedName>
    <definedName name="UAasdsa" localSheetId="10" hidden="1">{"rp_only",#N/A,FALSE,"2225"}</definedName>
    <definedName name="UAasdsa" hidden="1">{"rp_only",#N/A,FALSE,"2225"}</definedName>
    <definedName name="UAasdsa_1" localSheetId="10"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localSheetId="10" hidden="1">{#N/A,#N/A,FALSE,"REK";#N/A,#N/A,FALSE,"rab"}</definedName>
    <definedName name="udo" hidden="1">{#N/A,#N/A,FALSE,"REK";#N/A,#N/A,FALSE,"rab"}</definedName>
    <definedName name="Udsfda" localSheetId="10" hidden="1">{"rp_only",#N/A,FALSE,"2225"}</definedName>
    <definedName name="Udsfda" hidden="1">{"rp_only",#N/A,FALSE,"2225"}</definedName>
    <definedName name="Udsfda_1" localSheetId="10" hidden="1">{"rp_only",#N/A,FALSE,"2225"}</definedName>
    <definedName name="Udsfda_1" hidden="1">{"rp_only",#N/A,FALSE,"2225"}</definedName>
    <definedName name="UFCU">#REF!</definedName>
    <definedName name="ufyuyur" localSheetId="10" hidden="1">{"with_oth_curr",#N/A,FALSE,"2225"}</definedName>
    <definedName name="ufyuyur" hidden="1">{"with_oth_curr",#N/A,FALSE,"2225"}</definedName>
    <definedName name="ufyuyur_1" localSheetId="10" hidden="1">{"with_oth_curr",#N/A,FALSE,"2225"}</definedName>
    <definedName name="ufyuyur_1" hidden="1">{"with_oth_curr",#N/A,FALSE,"2225"}</definedName>
    <definedName name="ugal">#REF!</definedName>
    <definedName name="Ugf" localSheetId="10" hidden="1">{"rp_only",#N/A,FALSE,"2225"}</definedName>
    <definedName name="Ugf" hidden="1">{"rp_only",#N/A,FALSE,"2225"}</definedName>
    <definedName name="Ugf_1" localSheetId="10" hidden="1">{"rp_only",#N/A,FALSE,"2225"}</definedName>
    <definedName name="Ugf_1" hidden="1">{"rp_only",#N/A,FALSE,"2225"}</definedName>
    <definedName name="ui">#REF!</definedName>
    <definedName name="uiiooui" localSheetId="10" hidden="1">{"rp_only",#N/A,FALSE,"2225"}</definedName>
    <definedName name="uiiooui" hidden="1">{"rp_only",#N/A,FALSE,"2225"}</definedName>
    <definedName name="uiiooui_1" localSheetId="10" hidden="1">{"rp_only",#N/A,FALSE,"2225"}</definedName>
    <definedName name="uiiooui_1" hidden="1">{"rp_only",#N/A,FALSE,"2225"}</definedName>
    <definedName name="uiouioo" localSheetId="10" hidden="1">{"rp_only",#N/A,FALSE,"2225"}</definedName>
    <definedName name="uiouioo" hidden="1">{"rp_only",#N/A,FALSE,"2225"}</definedName>
    <definedName name="uiouioo_1" localSheetId="10" hidden="1">{"rp_only",#N/A,FALSE,"2225"}</definedName>
    <definedName name="uiouioo_1" hidden="1">{"rp_only",#N/A,FALSE,"2225"}</definedName>
    <definedName name="uiouiou" localSheetId="10" hidden="1">{"rp_only",#N/A,FALSE,"2225"}</definedName>
    <definedName name="uiouiou" hidden="1">{"rp_only",#N/A,FALSE,"2225"}</definedName>
    <definedName name="uiouiou_1" localSheetId="10" hidden="1">{"rp_only",#N/A,FALSE,"2225"}</definedName>
    <definedName name="uiouiou_1" hidden="1">{"rp_only",#N/A,FALSE,"2225"}</definedName>
    <definedName name="uiouiouio" localSheetId="10" hidden="1">{"rp_only",#N/A,FALSE,"2225"}</definedName>
    <definedName name="uiouiouio" hidden="1">{"rp_only",#N/A,FALSE,"2225"}</definedName>
    <definedName name="uiouiouio_1" localSheetId="10" hidden="1">{"rp_only",#N/A,FALSE,"2225"}</definedName>
    <definedName name="uiouiouio_1" hidden="1">{"rp_only",#N/A,FALSE,"2225"}</definedName>
    <definedName name="uiouiouiouio" localSheetId="10" hidden="1">{"with_oth_curr",#N/A,FALSE,"2225"}</definedName>
    <definedName name="uiouiouiouio" hidden="1">{"with_oth_curr",#N/A,FALSE,"2225"}</definedName>
    <definedName name="uiouiouiouio_1" localSheetId="10" hidden="1">{"with_oth_curr",#N/A,FALSE,"2225"}</definedName>
    <definedName name="uiouiouiouio_1" hidden="1">{"with_oth_curr",#N/A,FALSE,"2225"}</definedName>
    <definedName name="uiouiouo" localSheetId="10" hidden="1">{"with_oth_curr",#N/A,FALSE,"2225"}</definedName>
    <definedName name="uiouiouo" hidden="1">{"with_oth_curr",#N/A,FALSE,"2225"}</definedName>
    <definedName name="uiouiouo_1" localSheetId="10" hidden="1">{"with_oth_curr",#N/A,FALSE,"2225"}</definedName>
    <definedName name="uiouiouo_1" hidden="1">{"with_oth_curr",#N/A,FALSE,"2225"}</definedName>
    <definedName name="uiouiouoi" localSheetId="10" hidden="1">{"with_oth_curr",#N/A,FALSE,"2225"}</definedName>
    <definedName name="uiouiouoi" hidden="1">{"with_oth_curr",#N/A,FALSE,"2225"}</definedName>
    <definedName name="uiouiouoi_1" localSheetId="10" hidden="1">{"with_oth_curr",#N/A,FALSE,"2225"}</definedName>
    <definedName name="uiouiouoi_1" hidden="1">{"with_oth_curr",#N/A,FALSE,"2225"}</definedName>
    <definedName name="uiouo" localSheetId="10" hidden="1">{"with_oth_curr",#N/A,FALSE,"2225"}</definedName>
    <definedName name="uiouo" hidden="1">{"with_oth_curr",#N/A,FALSE,"2225"}</definedName>
    <definedName name="uiouo_1" localSheetId="10" hidden="1">{"with_oth_curr",#N/A,FALSE,"2225"}</definedName>
    <definedName name="uiouo_1" hidden="1">{"with_oth_curr",#N/A,FALSE,"2225"}</definedName>
    <definedName name="uipuiouo" localSheetId="10" hidden="1">{"rp_only",#N/A,FALSE,"2225"}</definedName>
    <definedName name="uipuiouo" hidden="1">{"rp_only",#N/A,FALSE,"2225"}</definedName>
    <definedName name="uipuiouo_1" localSheetId="10" hidden="1">{"rp_only",#N/A,FALSE,"2225"}</definedName>
    <definedName name="uipuiouo_1" hidden="1">{"rp_only",#N/A,FALSE,"2225"}</definedName>
    <definedName name="uiui" localSheetId="10" hidden="1">{"rp_only",#N/A,FALSE,"2225"}</definedName>
    <definedName name="uiui" hidden="1">{"rp_only",#N/A,FALSE,"2225"}</definedName>
    <definedName name="uiui_1" localSheetId="10" hidden="1">{"rp_only",#N/A,FALSE,"2225"}</definedName>
    <definedName name="uiui_1" hidden="1">{"rp_only",#N/A,FALSE,"2225"}</definedName>
    <definedName name="uiuiyuiyu" localSheetId="10" hidden="1">{"rp_only",#N/A,FALSE,"2225"}</definedName>
    <definedName name="uiuiyuiyu" hidden="1">{"rp_only",#N/A,FALSE,"2225"}</definedName>
    <definedName name="uiuiyuiyu_1" localSheetId="10" hidden="1">{"rp_only",#N/A,FALSE,"2225"}</definedName>
    <definedName name="uiuiyuiyu_1" hidden="1">{"rp_only",#N/A,FALSE,"2225"}</definedName>
    <definedName name="uiyiouio" localSheetId="10" hidden="1">{"with_oth_curr",#N/A,FALSE,"2225"}</definedName>
    <definedName name="uiyiouio" hidden="1">{"with_oth_curr",#N/A,FALSE,"2225"}</definedName>
    <definedName name="uiyiouio_1" localSheetId="10" hidden="1">{"with_oth_curr",#N/A,FALSE,"2225"}</definedName>
    <definedName name="uiyiouio_1" hidden="1">{"with_oth_curr",#N/A,FALSE,"2225"}</definedName>
    <definedName name="uiyiyi" localSheetId="10" hidden="1">{"rp_only",#N/A,FALSE,"2225"}</definedName>
    <definedName name="uiyiyi" hidden="1">{"rp_only",#N/A,FALSE,"2225"}</definedName>
    <definedName name="uiyiyi_1" localSheetId="10" hidden="1">{"rp_only",#N/A,FALSE,"2225"}</definedName>
    <definedName name="uiyiyi_1" hidden="1">{"rp_only",#N/A,FALSE,"2225"}</definedName>
    <definedName name="uiyiyiyu" localSheetId="10" hidden="1">{"rp_only",#N/A,FALSE,"2225"}</definedName>
    <definedName name="uiyiyiyu" hidden="1">{"rp_only",#N/A,FALSE,"2225"}</definedName>
    <definedName name="uiyiyiyu_1" localSheetId="10" hidden="1">{"rp_only",#N/A,FALSE,"2225"}</definedName>
    <definedName name="uiyiyiyu_1" hidden="1">{"rp_only",#N/A,FALSE,"2225"}</definedName>
    <definedName name="uiyiyuiyiyu" localSheetId="10" hidden="1">{"rp_only",#N/A,FALSE,"2225"}</definedName>
    <definedName name="uiyiyuiyiyu" hidden="1">{"rp_only",#N/A,FALSE,"2225"}</definedName>
    <definedName name="uiyiyuiyiyu_1" localSheetId="10" hidden="1">{"rp_only",#N/A,FALSE,"2225"}</definedName>
    <definedName name="uiyiyuiyiyu_1" hidden="1">{"rp_only",#N/A,FALSE,"2225"}</definedName>
    <definedName name="uiyuiyiyi" localSheetId="10" hidden="1">{"rp_only",#N/A,FALSE,"2225"}</definedName>
    <definedName name="uiyuiyiyi" hidden="1">{"rp_only",#N/A,FALSE,"2225"}</definedName>
    <definedName name="uiyuiyiyi_1" localSheetId="10" hidden="1">{"rp_only",#N/A,FALSE,"2225"}</definedName>
    <definedName name="uiyuiyiyi_1" hidden="1">{"rp_only",#N/A,FALSE,"2225"}</definedName>
    <definedName name="uiyuiyui" localSheetId="10" hidden="1">{"rp_only",#N/A,FALSE,"2225"}</definedName>
    <definedName name="uiyuiyui" hidden="1">{"rp_only",#N/A,FALSE,"2225"}</definedName>
    <definedName name="uiyuiyui_1" localSheetId="10" hidden="1">{"rp_only",#N/A,FALSE,"2225"}</definedName>
    <definedName name="uiyuiyui_1" hidden="1">{"rp_only",#N/A,FALSE,"2225"}</definedName>
    <definedName name="uiyuiyuy" localSheetId="10" hidden="1">{"with_oth_curr",#N/A,FALSE,"2225"}</definedName>
    <definedName name="uiyuiyuy" hidden="1">{"with_oth_curr",#N/A,FALSE,"2225"}</definedName>
    <definedName name="uiyuiyuy_1" localSheetId="10" hidden="1">{"with_oth_curr",#N/A,FALSE,"2225"}</definedName>
    <definedName name="uiyuiyuy_1" hidden="1">{"with_oth_curr",#N/A,FALSE,"2225"}</definedName>
    <definedName name="uiyuyuiyui" localSheetId="10" hidden="1">{"rp_only",#N/A,FALSE,"2225"}</definedName>
    <definedName name="uiyuyuiyui" hidden="1">{"rp_only",#N/A,FALSE,"2225"}</definedName>
    <definedName name="uiyuyuiyui_1" localSheetId="10" hidden="1">{"rp_only",#N/A,FALSE,"2225"}</definedName>
    <definedName name="uiyuyuiyui_1" hidden="1">{"rp_only",#N/A,FALSE,"2225"}</definedName>
    <definedName name="uj" localSheetId="10"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10" hidden="1">{"rp_only",#N/A,FALSE,"2225"}</definedName>
    <definedName name="ujhj" hidden="1">{"rp_only",#N/A,FALSE,"2225"}</definedName>
    <definedName name="ujhj_1" localSheetId="10"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localSheetId="10" hidden="1">{"with_oth_curr",#N/A,FALSE,"2225"}</definedName>
    <definedName name="uoiiouoi" hidden="1">{"with_oth_curr",#N/A,FALSE,"2225"}</definedName>
    <definedName name="uoiiouoi_1" localSheetId="10" hidden="1">{"with_oth_curr",#N/A,FALSE,"2225"}</definedName>
    <definedName name="uoiiouoi_1" hidden="1">{"with_oth_curr",#N/A,FALSE,"2225"}</definedName>
    <definedName name="uotyuty" localSheetId="10" hidden="1">{"rp_only",#N/A,FALSE,"2225"}</definedName>
    <definedName name="uotyuty" hidden="1">{"rp_only",#N/A,FALSE,"2225"}</definedName>
    <definedName name="uotyuty_1" localSheetId="10"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localSheetId="10" hidden="1">{"with_oth_curr",#N/A,FALSE,"2225"}</definedName>
    <definedName name="Usadsa" hidden="1">{"with_oth_curr",#N/A,FALSE,"2225"}</definedName>
    <definedName name="Usadsa_1" localSheetId="10"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localSheetId="10" hidden="1">{"with_oth_curr",#N/A,FALSE,"2225"}</definedName>
    <definedName name="Usdsaf" hidden="1">{"with_oth_curr",#N/A,FALSE,"2225"}</definedName>
    <definedName name="Usdsaf_1" localSheetId="10"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localSheetId="10" hidden="1">{"rp_only",#N/A,FALSE,"2225"}</definedName>
    <definedName name="utu5uythjmh" hidden="1">{"rp_only",#N/A,FALSE,"2225"}</definedName>
    <definedName name="utu5uythjmh_1" localSheetId="10" hidden="1">{"rp_only",#N/A,FALSE,"2225"}</definedName>
    <definedName name="utu5uythjmh_1" hidden="1">{"rp_only",#N/A,FALSE,"2225"}</definedName>
    <definedName name="utug" localSheetId="10" hidden="1">{"rp_only",#N/A,FALSE,"2225"}</definedName>
    <definedName name="utug" hidden="1">{"rp_only",#N/A,FALSE,"2225"}</definedName>
    <definedName name="utug_1" localSheetId="10" hidden="1">{"rp_only",#N/A,FALSE,"2225"}</definedName>
    <definedName name="utug_1" hidden="1">{"rp_only",#N/A,FALSE,"2225"}</definedName>
    <definedName name="utul24">#REF!</definedName>
    <definedName name="utul39">#REF!</definedName>
    <definedName name="ututyu" localSheetId="10" hidden="1">{"rp_only",#N/A,FALSE,"2225"}</definedName>
    <definedName name="ututyu" hidden="1">{"rp_only",#N/A,FALSE,"2225"}</definedName>
    <definedName name="ututyu_1" localSheetId="10" hidden="1">{"rp_only",#N/A,FALSE,"2225"}</definedName>
    <definedName name="ututyu_1" hidden="1">{"rp_only",#N/A,FALSE,"2225"}</definedName>
    <definedName name="utyhjhgj" localSheetId="10" hidden="1">{"rp_only",#N/A,FALSE,"2225"}</definedName>
    <definedName name="utyhjhgj" hidden="1">{"rp_only",#N/A,FALSE,"2225"}</definedName>
    <definedName name="utyhjhgj_1" localSheetId="10" hidden="1">{"rp_only",#N/A,FALSE,"2225"}</definedName>
    <definedName name="utyhjhgj_1" hidden="1">{"rp_only",#N/A,FALSE,"2225"}</definedName>
    <definedName name="utyutyutyu" localSheetId="10" hidden="1">{"rp_only",#N/A,FALSE,"2225"}</definedName>
    <definedName name="utyutyutyu" hidden="1">{"rp_only",#N/A,FALSE,"2225"}</definedName>
    <definedName name="utyutyutyu_1" localSheetId="10" hidden="1">{"rp_only",#N/A,FALSE,"2225"}</definedName>
    <definedName name="utyutyutyu_1" hidden="1">{"rp_only",#N/A,FALSE,"2225"}</definedName>
    <definedName name="utyutyuu" localSheetId="10" hidden="1">{"with_oth_curr",#N/A,FALSE,"2225"}</definedName>
    <definedName name="utyutyuu" hidden="1">{"with_oth_curr",#N/A,FALSE,"2225"}</definedName>
    <definedName name="utyutyuu_1" localSheetId="10" hidden="1">{"with_oth_curr",#N/A,FALSE,"2225"}</definedName>
    <definedName name="utyutyuu_1" hidden="1">{"with_oth_curr",#N/A,FALSE,"2225"}</definedName>
    <definedName name="uu" localSheetId="10" hidden="1">{#N/A,#N/A,FALSE,"Act.Fcst Costs"}</definedName>
    <definedName name="uu" hidden="1">{#N/A,#N/A,FALSE,"Act.Fcst Costs"}</definedName>
    <definedName name="uu_1" localSheetId="10" hidden="1">{#N/A,#N/A,FALSE,"Act.Fcst Costs"}</definedName>
    <definedName name="uu_1" hidden="1">{#N/A,#N/A,FALSE,"Act.Fcst Costs"}</definedName>
    <definedName name="uuk">#REF!</definedName>
    <definedName name="UUU" localSheetId="10" hidden="1">{#N/A,#N/A,FALSE,"CCTV"}</definedName>
    <definedName name="UUU" hidden="1">{#N/A,#N/A,FALSE,"CCTV"}</definedName>
    <definedName name="uuu_1" localSheetId="10" hidden="1">{#N/A,#N/A,FALSE,"Cost Report";"Geology",#N/A,FALSE,"Cost Summary";"Geolgy Recon",#N/A,FALSE,"UG Geology Rep."}</definedName>
    <definedName name="uuu_1" hidden="1">{#N/A,#N/A,FALSE,"Cost Report";"Geology",#N/A,FALSE,"Cost Summary";"Geolgy Recon",#N/A,FALSE,"UG Geology Rep."}</definedName>
    <definedName name="uv">#REF!</definedName>
    <definedName name="uwater">#REF!</definedName>
    <definedName name="uyiuuiy" localSheetId="10" hidden="1">{"rp_only",#N/A,FALSE,"2225"}</definedName>
    <definedName name="uyiuuiy" hidden="1">{"rp_only",#N/A,FALSE,"2225"}</definedName>
    <definedName name="uyiuuiy_1" localSheetId="10" hidden="1">{"rp_only",#N/A,FALSE,"2225"}</definedName>
    <definedName name="uyiuuiy_1" hidden="1">{"rp_only",#N/A,FALSE,"2225"}</definedName>
    <definedName name="uyiyiu" localSheetId="10" hidden="1">{"rp_only",#N/A,FALSE,"2225"}</definedName>
    <definedName name="uyiyiu" hidden="1">{"rp_only",#N/A,FALSE,"2225"}</definedName>
    <definedName name="uyiyiu_1" localSheetId="10" hidden="1">{"rp_only",#N/A,FALSE,"2225"}</definedName>
    <definedName name="uyiyiu_1" hidden="1">{"rp_only",#N/A,FALSE,"2225"}</definedName>
    <definedName name="uyiyiyiyi" localSheetId="10" hidden="1">{"rp_only",#N/A,FALSE,"2225"}</definedName>
    <definedName name="uyiyiyiyi" hidden="1">{"rp_only",#N/A,FALSE,"2225"}</definedName>
    <definedName name="uyiyiyiyi_1" localSheetId="10" hidden="1">{"rp_only",#N/A,FALSE,"2225"}</definedName>
    <definedName name="uyiyiyiyi_1" hidden="1">{"rp_only",#N/A,FALSE,"2225"}</definedName>
    <definedName name="uyiyiyui" localSheetId="10" hidden="1">{"rp_only",#N/A,FALSE,"2225"}</definedName>
    <definedName name="uyiyiyui" hidden="1">{"rp_only",#N/A,FALSE,"2225"}</definedName>
    <definedName name="uyiyiyui_1" localSheetId="10" hidden="1">{"rp_only",#N/A,FALSE,"2225"}</definedName>
    <definedName name="uyiyiyui_1" hidden="1">{"rp_only",#N/A,FALSE,"2225"}</definedName>
    <definedName name="uyiyuiouo" localSheetId="10" hidden="1">{"rp_only",#N/A,FALSE,"2225"}</definedName>
    <definedName name="uyiyuiouo" hidden="1">{"rp_only",#N/A,FALSE,"2225"}</definedName>
    <definedName name="uyiyuiouo_1" localSheetId="10" hidden="1">{"rp_only",#N/A,FALSE,"2225"}</definedName>
    <definedName name="uyiyuiouo_1" hidden="1">{"rp_only",#N/A,FALSE,"2225"}</definedName>
    <definedName name="uyiyuiyu" localSheetId="10" hidden="1">{"rp_only",#N/A,FALSE,"2225"}</definedName>
    <definedName name="uyiyuiyu" hidden="1">{"rp_only",#N/A,FALSE,"2225"}</definedName>
    <definedName name="uyiyuiyu_1" localSheetId="10" hidden="1">{"rp_only",#N/A,FALSE,"2225"}</definedName>
    <definedName name="uyiyuiyu_1" hidden="1">{"rp_only",#N/A,FALSE,"2225"}</definedName>
    <definedName name="uyiyuiyukj" localSheetId="10" hidden="1">{"with_oth_curr",#N/A,FALSE,"2225"}</definedName>
    <definedName name="uyiyuiyukj" hidden="1">{"with_oth_curr",#N/A,FALSE,"2225"}</definedName>
    <definedName name="uyiyuiyukj_1" localSheetId="10" hidden="1">{"with_oth_curr",#N/A,FALSE,"2225"}</definedName>
    <definedName name="uyiyuiyukj_1" hidden="1">{"with_oth_curr",#N/A,FALSE,"2225"}</definedName>
    <definedName name="uyjhgjgjf" localSheetId="10" hidden="1">{"with_oth_curr",#N/A,FALSE,"2225"}</definedName>
    <definedName name="uyjhgjgjf" hidden="1">{"with_oth_curr",#N/A,FALSE,"2225"}</definedName>
    <definedName name="uyjhgjgjf_1" localSheetId="10" hidden="1">{"with_oth_curr",#N/A,FALSE,"2225"}</definedName>
    <definedName name="uyjhgjgjf_1" hidden="1">{"with_oth_curr",#N/A,FALSE,"2225"}</definedName>
    <definedName name="uyrt">#REF!</definedName>
    <definedName name="uyutrutyu" localSheetId="10" hidden="1">{"rp_only",#N/A,FALSE,"2225"}</definedName>
    <definedName name="uyutrutyu" hidden="1">{"rp_only",#N/A,FALSE,"2225"}</definedName>
    <definedName name="uyutrutyu_1" localSheetId="10" hidden="1">{"rp_only",#N/A,FALSE,"2225"}</definedName>
    <definedName name="uyutrutyu_1" hidden="1">{"rp_only",#N/A,FALSE,"2225"}</definedName>
    <definedName name="uyyuoipoio" localSheetId="10" hidden="1">{"rp_only",#N/A,FALSE,"2225"}</definedName>
    <definedName name="uyyuoipoio" hidden="1">{"rp_only",#N/A,FALSE,"2225"}</definedName>
    <definedName name="uyyuoipoio_1" localSheetId="10" hidden="1">{"rp_only",#N/A,FALSE,"2225"}</definedName>
    <definedName name="uyyuoipoio_1" hidden="1">{"rp_only",#N/A,FALSE,"2225"}</definedName>
    <definedName name="uyyupoiygftryuoipopop" localSheetId="10" hidden="1">{"with_oth_curr",#N/A,FALSE,"2225"}</definedName>
    <definedName name="uyyupoiygftryuoipopop" hidden="1">{"with_oth_curr",#N/A,FALSE,"2225"}</definedName>
    <definedName name="uyyupoiygftryuoipopop_1" localSheetId="10" hidden="1">{"with_oth_curr",#N/A,FALSE,"2225"}</definedName>
    <definedName name="uyyupoiygftryuoipopop_1" hidden="1">{"with_oth_curr",#N/A,FALSE,"2225"}</definedName>
    <definedName name="v" localSheetId="10" hidden="1">{#N/A,#N/A,FALSE,"Aging Summary";#N/A,#N/A,FALSE,"Ratio Analysis";#N/A,#N/A,FALSE,"Test 120 Day Accts";#N/A,#N/A,FALSE,"Tickmarks"}</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10"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10"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localSheetId="10" hidden="1">{"WORK IN PROCESS",#N/A,FALSE,"COGS"}</definedName>
    <definedName name="vb" hidden="1">{"WORK IN PROCESS",#N/A,FALSE,"COGS"}</definedName>
    <definedName name="vb_1" localSheetId="10" hidden="1">{"WORK IN PROCESS",#N/A,FALSE,"COGS"}</definedName>
    <definedName name="vb_1" hidden="1">{"WORK IN PROCESS",#N/A,FALSE,"COGS"}</definedName>
    <definedName name="vbbnvn" localSheetId="10" hidden="1">{"rp_only",#N/A,FALSE,"2225"}</definedName>
    <definedName name="vbbnvn" hidden="1">{"rp_only",#N/A,FALSE,"2225"}</definedName>
    <definedName name="vbbnvn_1" localSheetId="10" hidden="1">{"rp_only",#N/A,FALSE,"2225"}</definedName>
    <definedName name="vbbnvn_1" hidden="1">{"rp_only",#N/A,FALSE,"2225"}</definedName>
    <definedName name="vbbvbvcv" localSheetId="10" hidden="1">{"with_oth_curr",#N/A,FALSE,"2225"}</definedName>
    <definedName name="vbbvbvcv" hidden="1">{"with_oth_curr",#N/A,FALSE,"2225"}</definedName>
    <definedName name="vbbvbvcv_1" localSheetId="10" hidden="1">{"with_oth_curr",#N/A,FALSE,"2225"}</definedName>
    <definedName name="vbbvbvcv_1" hidden="1">{"with_oth_curr",#N/A,FALSE,"2225"}</definedName>
    <definedName name="vbbxgtr" localSheetId="10" hidden="1">{"rp_only",#N/A,FALSE,"2225"}</definedName>
    <definedName name="vbbxgtr" hidden="1">{"rp_only",#N/A,FALSE,"2225"}</definedName>
    <definedName name="vbbxgtr_1" localSheetId="10" hidden="1">{"rp_only",#N/A,FALSE,"2225"}</definedName>
    <definedName name="vbbxgtr_1" hidden="1">{"rp_only",#N/A,FALSE,"2225"}</definedName>
    <definedName name="vbcbc" localSheetId="10" hidden="1">{"rp_only",#N/A,FALSE,"2225"}</definedName>
    <definedName name="vbcbc" hidden="1">{"rp_only",#N/A,FALSE,"2225"}</definedName>
    <definedName name="vbcbc_1" localSheetId="10" hidden="1">{"rp_only",#N/A,FALSE,"2225"}</definedName>
    <definedName name="vbcbc_1" hidden="1">{"rp_only",#N/A,FALSE,"2225"}</definedName>
    <definedName name="vbcbcb" localSheetId="10" hidden="1">{"rp_only",#N/A,FALSE,"2225"}</definedName>
    <definedName name="vbcbcb" hidden="1">{"rp_only",#N/A,FALSE,"2225"}</definedName>
    <definedName name="vbcbcb_1" localSheetId="10" hidden="1">{"rp_only",#N/A,FALSE,"2225"}</definedName>
    <definedName name="vbcbcb_1" hidden="1">{"rp_only",#N/A,FALSE,"2225"}</definedName>
    <definedName name="vbcbvcbbv" localSheetId="10" hidden="1">{"rp_only",#N/A,FALSE,"2225"}</definedName>
    <definedName name="vbcbvcbbv" hidden="1">{"rp_only",#N/A,FALSE,"2225"}</definedName>
    <definedName name="vbcbvcbbv_1" localSheetId="10" hidden="1">{"rp_only",#N/A,FALSE,"2225"}</definedName>
    <definedName name="vbcbvcbbv_1" hidden="1">{"rp_only",#N/A,FALSE,"2225"}</definedName>
    <definedName name="vbcbvcv" localSheetId="10" hidden="1">{"rp_only",#N/A,FALSE,"2225"}</definedName>
    <definedName name="vbcbvcv" hidden="1">{"rp_only",#N/A,FALSE,"2225"}</definedName>
    <definedName name="vbcbvcv_1" localSheetId="10" hidden="1">{"rp_only",#N/A,FALSE,"2225"}</definedName>
    <definedName name="vbcbvcv_1" hidden="1">{"rp_only",#N/A,FALSE,"2225"}</definedName>
    <definedName name="vbcvb" localSheetId="10" hidden="1">{"rp_only",#N/A,FALSE,"2225"}</definedName>
    <definedName name="vbcvb" hidden="1">{"rp_only",#N/A,FALSE,"2225"}</definedName>
    <definedName name="vbcvb_1" localSheetId="10" hidden="1">{"rp_only",#N/A,FALSE,"2225"}</definedName>
    <definedName name="vbcvb_1" hidden="1">{"rp_only",#N/A,FALSE,"2225"}</definedName>
    <definedName name="vbcvbcbvcvb" localSheetId="10" hidden="1">{"rp_only",#N/A,FALSE,"2225"}</definedName>
    <definedName name="vbcvbcbvcvb" hidden="1">{"rp_only",#N/A,FALSE,"2225"}</definedName>
    <definedName name="vbcvbcbvcvb_1" localSheetId="10" hidden="1">{"rp_only",#N/A,FALSE,"2225"}</definedName>
    <definedName name="vbcvbcbvcvb_1" hidden="1">{"rp_only",#N/A,FALSE,"2225"}</definedName>
    <definedName name="vbcvbcv" localSheetId="10" hidden="1">{"rp_only",#N/A,FALSE,"2225"}</definedName>
    <definedName name="vbcvbcv" hidden="1">{"rp_only",#N/A,FALSE,"2225"}</definedName>
    <definedName name="vbcvbcv_1" localSheetId="10" hidden="1">{"rp_only",#N/A,FALSE,"2225"}</definedName>
    <definedName name="vbcvbcv_1" hidden="1">{"rp_only",#N/A,FALSE,"2225"}</definedName>
    <definedName name="vbhgfhfghfgh" localSheetId="10" hidden="1">{"rp_only",#N/A,FALSE,"2225"}</definedName>
    <definedName name="vbhgfhfghfgh" hidden="1">{"rp_only",#N/A,FALSE,"2225"}</definedName>
    <definedName name="vbhgfhfghfgh_1" localSheetId="10" hidden="1">{"rp_only",#N/A,FALSE,"2225"}</definedName>
    <definedName name="vbhgfhfghfgh_1" hidden="1">{"rp_only",#N/A,FALSE,"2225"}</definedName>
    <definedName name="vbnvbnvn" localSheetId="10" hidden="1">{"with_oth_curr",#N/A,FALSE,"2225"}</definedName>
    <definedName name="vbnvbnvn" hidden="1">{"with_oth_curr",#N/A,FALSE,"2225"}</definedName>
    <definedName name="vbnvbnvn_1" localSheetId="10" hidden="1">{"with_oth_curr",#N/A,FALSE,"2225"}</definedName>
    <definedName name="vbnvbnvn_1" hidden="1">{"with_oth_curr",#N/A,FALSE,"2225"}</definedName>
    <definedName name="vbnvn" localSheetId="10" hidden="1">{"with_oth_curr",#N/A,FALSE,"2225"}</definedName>
    <definedName name="vbnvn" hidden="1">{"with_oth_curr",#N/A,FALSE,"2225"}</definedName>
    <definedName name="vbnvn_1" localSheetId="10" hidden="1">{"with_oth_curr",#N/A,FALSE,"2225"}</definedName>
    <definedName name="vbnvn_1" hidden="1">{"with_oth_curr",#N/A,FALSE,"2225"}</definedName>
    <definedName name="vbnvnvn" localSheetId="10" hidden="1">{"rp_only",#N/A,FALSE,"2225"}</definedName>
    <definedName name="vbnvnvn" hidden="1">{"rp_only",#N/A,FALSE,"2225"}</definedName>
    <definedName name="vbnvnvn_1" localSheetId="10" hidden="1">{"rp_only",#N/A,FALSE,"2225"}</definedName>
    <definedName name="vbnvnvn_1" hidden="1">{"rp_only",#N/A,FALSE,"2225"}</definedName>
    <definedName name="vbvb" localSheetId="10" hidden="1">{"rp_only",#N/A,FALSE,"2225"}</definedName>
    <definedName name="vbvb" hidden="1">{"rp_only",#N/A,FALSE,"2225"}</definedName>
    <definedName name="vbvb_1" localSheetId="10" hidden="1">{"rp_only",#N/A,FALSE,"2225"}</definedName>
    <definedName name="vbvb_1" hidden="1">{"rp_only",#N/A,FALSE,"2225"}</definedName>
    <definedName name="vbvc" localSheetId="10" hidden="1">{"with_oth_curr",#N/A,FALSE,"2225"}</definedName>
    <definedName name="vbvc" hidden="1">{"with_oth_curr",#N/A,FALSE,"2225"}</definedName>
    <definedName name="vbvc_1" localSheetId="10" hidden="1">{"with_oth_curr",#N/A,FALSE,"2225"}</definedName>
    <definedName name="vbvc_1" hidden="1">{"with_oth_curr",#N/A,FALSE,"2225"}</definedName>
    <definedName name="vbvgxc" localSheetId="10" hidden="1">{"with_oth_curr",#N/A,FALSE,"2225"}</definedName>
    <definedName name="vbvgxc" hidden="1">{"with_oth_curr",#N/A,FALSE,"2225"}</definedName>
    <definedName name="vbvgxc_1" localSheetId="10" hidden="1">{"with_oth_curr",#N/A,FALSE,"2225"}</definedName>
    <definedName name="vbvgxc_1" hidden="1">{"with_oth_curr",#N/A,FALSE,"2225"}</definedName>
    <definedName name="vbvnn" localSheetId="10" hidden="1">{"rp_only",#N/A,FALSE,"2225"}</definedName>
    <definedName name="vbvnn" hidden="1">{"rp_only",#N/A,FALSE,"2225"}</definedName>
    <definedName name="vbvnn_1" localSheetId="10" hidden="1">{"rp_only",#N/A,FALSE,"2225"}</definedName>
    <definedName name="vbvnn_1" hidden="1">{"rp_only",#N/A,FALSE,"2225"}</definedName>
    <definedName name="vbx" localSheetId="10" hidden="1">{"rp_only",#N/A,FALSE,"2225"}</definedName>
    <definedName name="vbx" hidden="1">{"rp_only",#N/A,FALSE,"2225"}</definedName>
    <definedName name="vbx_1" localSheetId="10" hidden="1">{"rp_only",#N/A,FALSE,"2225"}</definedName>
    <definedName name="vbx_1" hidden="1">{"rp_only",#N/A,FALSE,"2225"}</definedName>
    <definedName name="vc">#REF!</definedName>
    <definedName name="vcbbvb" localSheetId="10" hidden="1">{"rp_only",#N/A,FALSE,"2225"}</definedName>
    <definedName name="vcbbvb" hidden="1">{"rp_only",#N/A,FALSE,"2225"}</definedName>
    <definedName name="vcbbvb_1" localSheetId="10" hidden="1">{"rp_only",#N/A,FALSE,"2225"}</definedName>
    <definedName name="vcbbvb_1" hidden="1">{"rp_only",#N/A,FALSE,"2225"}</definedName>
    <definedName name="vcbcbc" localSheetId="10" hidden="1">{"rp_only",#N/A,FALSE,"2225"}</definedName>
    <definedName name="vcbcbc" hidden="1">{"rp_only",#N/A,FALSE,"2225"}</definedName>
    <definedName name="vcbcbc_1" localSheetId="10" hidden="1">{"rp_only",#N/A,FALSE,"2225"}</definedName>
    <definedName name="vcbcbc_1" hidden="1">{"rp_only",#N/A,FALSE,"2225"}</definedName>
    <definedName name="vcbcbcb" localSheetId="10" hidden="1">{"rp_only",#N/A,FALSE,"2225"}</definedName>
    <definedName name="vcbcbcb" hidden="1">{"rp_only",#N/A,FALSE,"2225"}</definedName>
    <definedName name="vcbcbcb_1" localSheetId="10" hidden="1">{"rp_only",#N/A,FALSE,"2225"}</definedName>
    <definedName name="vcbcbcb_1" hidden="1">{"rp_only",#N/A,FALSE,"2225"}</definedName>
    <definedName name="vcbcbv" localSheetId="10" hidden="1">{"with_oth_curr",#N/A,FALSE,"2225"}</definedName>
    <definedName name="vcbcbv" hidden="1">{"with_oth_curr",#N/A,FALSE,"2225"}</definedName>
    <definedName name="vcbcbv_1" localSheetId="10" hidden="1">{"with_oth_curr",#N/A,FALSE,"2225"}</definedName>
    <definedName name="vcbcbv_1" hidden="1">{"with_oth_curr",#N/A,FALSE,"2225"}</definedName>
    <definedName name="vcbcbvc" localSheetId="10" hidden="1">{"rp_only",#N/A,FALSE,"2225"}</definedName>
    <definedName name="vcbcbvc" hidden="1">{"rp_only",#N/A,FALSE,"2225"}</definedName>
    <definedName name="vcbcbvc_1" localSheetId="10" hidden="1">{"rp_only",#N/A,FALSE,"2225"}</definedName>
    <definedName name="vcbcbvc_1" hidden="1">{"rp_only",#N/A,FALSE,"2225"}</definedName>
    <definedName name="vcbccv" localSheetId="10" hidden="1">{"with_oth_curr",#N/A,FALSE,"2225"}</definedName>
    <definedName name="vcbccv" hidden="1">{"with_oth_curr",#N/A,FALSE,"2225"}</definedName>
    <definedName name="vcbccv_1" localSheetId="10" hidden="1">{"with_oth_curr",#N/A,FALSE,"2225"}</definedName>
    <definedName name="vcbccv_1" hidden="1">{"with_oth_curr",#N/A,FALSE,"2225"}</definedName>
    <definedName name="vcbcvb" localSheetId="10" hidden="1">{"with_oth_curr",#N/A,FALSE,"2225"}</definedName>
    <definedName name="vcbcvb" hidden="1">{"with_oth_curr",#N/A,FALSE,"2225"}</definedName>
    <definedName name="vcbcvb_1" localSheetId="10" hidden="1">{"with_oth_curr",#N/A,FALSE,"2225"}</definedName>
    <definedName name="vcbcvb_1" hidden="1">{"with_oth_curr",#N/A,FALSE,"2225"}</definedName>
    <definedName name="vcbcvbcb" localSheetId="10" hidden="1">{"rp_only",#N/A,FALSE,"2225"}</definedName>
    <definedName name="vcbcvbcb" hidden="1">{"rp_only",#N/A,FALSE,"2225"}</definedName>
    <definedName name="vcbcvbcb_1" localSheetId="10" hidden="1">{"rp_only",#N/A,FALSE,"2225"}</definedName>
    <definedName name="vcbcvbcb_1" hidden="1">{"rp_only",#N/A,FALSE,"2225"}</definedName>
    <definedName name="vcbcvbxcgfvasdfds" localSheetId="10" hidden="1">{"rp_only",#N/A,FALSE,"2225"}</definedName>
    <definedName name="vcbcvbxcgfvasdfds" hidden="1">{"rp_only",#N/A,FALSE,"2225"}</definedName>
    <definedName name="vcbcvbxcgfvasdfds_1" localSheetId="10" hidden="1">{"rp_only",#N/A,FALSE,"2225"}</definedName>
    <definedName name="vcbcvbxcgfvasdfds_1" hidden="1">{"rp_only",#N/A,FALSE,"2225"}</definedName>
    <definedName name="vcbcvc" localSheetId="10" hidden="1">{"rp_only",#N/A,FALSE,"2225"}</definedName>
    <definedName name="vcbcvc" hidden="1">{"rp_only",#N/A,FALSE,"2225"}</definedName>
    <definedName name="vcbcvc_1" localSheetId="10" hidden="1">{"rp_only",#N/A,FALSE,"2225"}</definedName>
    <definedName name="vcbcvc_1" hidden="1">{"rp_only",#N/A,FALSE,"2225"}</definedName>
    <definedName name="vcbvcb" localSheetId="10" hidden="1">{"rp_only",#N/A,FALSE,"2225"}</definedName>
    <definedName name="vcbvcb" hidden="1">{"rp_only",#N/A,FALSE,"2225"}</definedName>
    <definedName name="vcbvcb_1" localSheetId="10" hidden="1">{"rp_only",#N/A,FALSE,"2225"}</definedName>
    <definedName name="vcbvcb_1" hidden="1">{"rp_only",#N/A,FALSE,"2225"}</definedName>
    <definedName name="vcbvcbvcbv" localSheetId="10" hidden="1">{"with_oth_curr",#N/A,FALSE,"2225"}</definedName>
    <definedName name="vcbvcbvcbv" hidden="1">{"with_oth_curr",#N/A,FALSE,"2225"}</definedName>
    <definedName name="vcbvcbvcbv_1" localSheetId="10" hidden="1">{"with_oth_curr",#N/A,FALSE,"2225"}</definedName>
    <definedName name="vcbvcbvcbv_1" hidden="1">{"with_oth_curr",#N/A,FALSE,"2225"}</definedName>
    <definedName name="vccbcvb" localSheetId="10" hidden="1">{"rp_only",#N/A,FALSE,"2225"}</definedName>
    <definedName name="vccbcvb" hidden="1">{"rp_only",#N/A,FALSE,"2225"}</definedName>
    <definedName name="vccbcvb_1" localSheetId="10" hidden="1">{"rp_only",#N/A,FALSE,"2225"}</definedName>
    <definedName name="vccbcvb_1" hidden="1">{"rp_only",#N/A,FALSE,"2225"}</definedName>
    <definedName name="vccot">#REF!</definedName>
    <definedName name="vccvb" localSheetId="10" hidden="1">{"with_oth_curr",#N/A,FALSE,"2225"}</definedName>
    <definedName name="vccvb" hidden="1">{"with_oth_curr",#N/A,FALSE,"2225"}</definedName>
    <definedName name="vccvb_1" localSheetId="10" hidden="1">{"with_oth_curr",#N/A,FALSE,"2225"}</definedName>
    <definedName name="vccvb_1" hidden="1">{"with_oth_curr",#N/A,FALSE,"2225"}</definedName>
    <definedName name="vccvbcbcvb" localSheetId="10" hidden="1">{"with_oth_curr",#N/A,FALSE,"2225"}</definedName>
    <definedName name="vccvbcbcvb" hidden="1">{"with_oth_curr",#N/A,FALSE,"2225"}</definedName>
    <definedName name="vccvbcbcvb_1" localSheetId="10" hidden="1">{"with_oth_curr",#N/A,FALSE,"2225"}</definedName>
    <definedName name="vccvbcbcvb_1" hidden="1">{"with_oth_curr",#N/A,FALSE,"2225"}</definedName>
    <definedName name="vccvcxcxvvxccxvzxcvc" localSheetId="10" hidden="1">{"with_oth_curr",#N/A,FALSE,"2225"}</definedName>
    <definedName name="vccvcxcxvvxccxvzxcvc" hidden="1">{"with_oth_curr",#N/A,FALSE,"2225"}</definedName>
    <definedName name="vccvcxcxvvxccxvzxcvc_1" localSheetId="10" hidden="1">{"with_oth_curr",#N/A,FALSE,"2225"}</definedName>
    <definedName name="vccvcxcxvvxccxvzxcvc_1" hidden="1">{"with_oth_curr",#N/A,FALSE,"2225"}</definedName>
    <definedName name="vccvcxvcvxcxv" localSheetId="10" hidden="1">{"rp_only",#N/A,FALSE,"2225"}</definedName>
    <definedName name="vccvcxvcvxcxv" hidden="1">{"rp_only",#N/A,FALSE,"2225"}</definedName>
    <definedName name="vccvcxvcvxcxv_1" localSheetId="10" hidden="1">{"rp_only",#N/A,FALSE,"2225"}</definedName>
    <definedName name="vccvcxvcvxcxv_1" hidden="1">{"rp_only",#N/A,FALSE,"2225"}</definedName>
    <definedName name="vccvxcvxvcx" localSheetId="10" hidden="1">{"rp_only",#N/A,FALSE,"2225"}</definedName>
    <definedName name="vccvxcvxvcx" hidden="1">{"rp_only",#N/A,FALSE,"2225"}</definedName>
    <definedName name="vccvxcvxvcx_1" localSheetId="10" hidden="1">{"rp_only",#N/A,FALSE,"2225"}</definedName>
    <definedName name="vccvxcvxvcx_1" hidden="1">{"rp_only",#N/A,FALSE,"2225"}</definedName>
    <definedName name="vccvxcxzvvxczfdfdas" localSheetId="10" hidden="1">{"rp_only",#N/A,FALSE,"2225"}</definedName>
    <definedName name="vccvxcxzvvxczfdfdas" hidden="1">{"rp_only",#N/A,FALSE,"2225"}</definedName>
    <definedName name="vccvxcxzvvxczfdfdas_1" localSheetId="10"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localSheetId="10" hidden="1">{"rp_only",#N/A,FALSE,"2225"}</definedName>
    <definedName name="vcgfdtg" hidden="1">{"rp_only",#N/A,FALSE,"2225"}</definedName>
    <definedName name="vcgfdtg_1" localSheetId="10" hidden="1">{"rp_only",#N/A,FALSE,"2225"}</definedName>
    <definedName name="vcgfdtg_1" hidden="1">{"rp_only",#N/A,FALSE,"2225"}</definedName>
    <definedName name="VCHT">#REF!</definedName>
    <definedName name="vctb">#REF!</definedName>
    <definedName name="VCTT">#REF!</definedName>
    <definedName name="vcv" localSheetId="10" hidden="1">{"rp_only",#N/A,FALSE,"2225"}</definedName>
    <definedName name="vcv" hidden="1">{"rp_only",#N/A,FALSE,"2225"}</definedName>
    <definedName name="vcv_1" localSheetId="10" hidden="1">{"rp_only",#N/A,FALSE,"2225"}</definedName>
    <definedName name="vcv_1" hidden="1">{"rp_only",#N/A,FALSE,"2225"}</definedName>
    <definedName name="vcvb" localSheetId="10" hidden="1">{"rp_only",#N/A,FALSE,"2225"}</definedName>
    <definedName name="vcvb" hidden="1">{"rp_only",#N/A,FALSE,"2225"}</definedName>
    <definedName name="vcvb_1" localSheetId="10" hidden="1">{"rp_only",#N/A,FALSE,"2225"}</definedName>
    <definedName name="vcvb_1" hidden="1">{"rp_only",#N/A,FALSE,"2225"}</definedName>
    <definedName name="vcvbcb" localSheetId="10" hidden="1">{"rp_only",#N/A,FALSE,"2225"}</definedName>
    <definedName name="vcvbcb" hidden="1">{"rp_only",#N/A,FALSE,"2225"}</definedName>
    <definedName name="vcvbcb_1" localSheetId="10" hidden="1">{"rp_only",#N/A,FALSE,"2225"}</definedName>
    <definedName name="vcvbcb_1" hidden="1">{"rp_only",#N/A,FALSE,"2225"}</definedName>
    <definedName name="vcvbcvb" localSheetId="10" hidden="1">{"rp_only",#N/A,FALSE,"2225"}</definedName>
    <definedName name="vcvbcvb" hidden="1">{"rp_only",#N/A,FALSE,"2225"}</definedName>
    <definedName name="vcvbcvb_1" localSheetId="10" hidden="1">{"rp_only",#N/A,FALSE,"2225"}</definedName>
    <definedName name="vcvbcvb_1" hidden="1">{"rp_only",#N/A,FALSE,"2225"}</definedName>
    <definedName name="vcvbvb" localSheetId="10" hidden="1">{"with_oth_curr",#N/A,FALSE,"2225"}</definedName>
    <definedName name="vcvbvb" hidden="1">{"with_oth_curr",#N/A,FALSE,"2225"}</definedName>
    <definedName name="vcvbvb_1" localSheetId="10" hidden="1">{"with_oth_curr",#N/A,FALSE,"2225"}</definedName>
    <definedName name="vcvbvb_1" hidden="1">{"with_oth_curr",#N/A,FALSE,"2225"}</definedName>
    <definedName name="vcvccb" localSheetId="10" hidden="1">{"rp_only",#N/A,FALSE,"2225"}</definedName>
    <definedName name="vcvccb" hidden="1">{"rp_only",#N/A,FALSE,"2225"}</definedName>
    <definedName name="vcvccb_1" localSheetId="10" hidden="1">{"rp_only",#N/A,FALSE,"2225"}</definedName>
    <definedName name="vcvccb_1" hidden="1">{"rp_only",#N/A,FALSE,"2225"}</definedName>
    <definedName name="vcvccvvcxvzcx" localSheetId="10" hidden="1">{"rp_only",#N/A,FALSE,"2225"}</definedName>
    <definedName name="vcvccvvcxvzcx" hidden="1">{"rp_only",#N/A,FALSE,"2225"}</definedName>
    <definedName name="vcvccvvcxvzcx_1" localSheetId="10" hidden="1">{"rp_only",#N/A,FALSE,"2225"}</definedName>
    <definedName name="vcvccvvcxvzcx_1" hidden="1">{"rp_only",#N/A,FALSE,"2225"}</definedName>
    <definedName name="vcvcvcx" localSheetId="10" hidden="1">{"rp_only",#N/A,FALSE,"2225"}</definedName>
    <definedName name="vcvcvcx" hidden="1">{"rp_only",#N/A,FALSE,"2225"}</definedName>
    <definedName name="vcvcvcx_1" localSheetId="10" hidden="1">{"rp_only",#N/A,FALSE,"2225"}</definedName>
    <definedName name="vcvcvcx_1" hidden="1">{"rp_only",#N/A,FALSE,"2225"}</definedName>
    <definedName name="vcvvzcxvxczvxczvxcz" localSheetId="10" hidden="1">{"rp_only",#N/A,FALSE,"2225"}</definedName>
    <definedName name="vcvvzcxvxczvxczvxcz" hidden="1">{"rp_only",#N/A,FALSE,"2225"}</definedName>
    <definedName name="vcvvzcxvxczvxczvxcz_1" localSheetId="10" hidden="1">{"rp_only",#N/A,FALSE,"2225"}</definedName>
    <definedName name="vcvvzcxvxczvxczvxcz_1" hidden="1">{"rp_only",#N/A,FALSE,"2225"}</definedName>
    <definedName name="vcvxcvxcv" hidden="1">#REF!</definedName>
    <definedName name="vcvxcvxcvxcv" localSheetId="10" hidden="1">{"rp_only",#N/A,FALSE,"2225"}</definedName>
    <definedName name="vcvxcvxcvxcv" hidden="1">{"rp_only",#N/A,FALSE,"2225"}</definedName>
    <definedName name="vcvxcvxcvxcv_1" localSheetId="10" hidden="1">{"rp_only",#N/A,FALSE,"2225"}</definedName>
    <definedName name="vcvxcvxcvxcv_1" hidden="1">{"rp_only",#N/A,FALSE,"2225"}</definedName>
    <definedName name="vcx" localSheetId="10" hidden="1">{"rp_only",#N/A,FALSE,"2225"}</definedName>
    <definedName name="vcx" hidden="1">{"rp_only",#N/A,FALSE,"2225"}</definedName>
    <definedName name="vcx_1" localSheetId="10" hidden="1">{"rp_only",#N/A,FALSE,"2225"}</definedName>
    <definedName name="vcx_1" hidden="1">{"rp_only",#N/A,FALSE,"2225"}</definedName>
    <definedName name="vcxccxvvcx" localSheetId="10" hidden="1">{"rp_only",#N/A,FALSE,"2225"}</definedName>
    <definedName name="vcxccxvvcx" hidden="1">{"rp_only",#N/A,FALSE,"2225"}</definedName>
    <definedName name="vcxccxvvcx_1" localSheetId="10" hidden="1">{"rp_only",#N/A,FALSE,"2225"}</definedName>
    <definedName name="vcxccxvvcx_1" hidden="1">{"rp_only",#N/A,FALSE,"2225"}</definedName>
    <definedName name="vcxccxzvvcxcvxzvcxz" localSheetId="10" hidden="1">{"with_oth_curr",#N/A,FALSE,"2225"}</definedName>
    <definedName name="vcxccxzvvcxcvxzvcxz" hidden="1">{"with_oth_curr",#N/A,FALSE,"2225"}</definedName>
    <definedName name="vcxccxzvvcxcvxzvcxz_1" localSheetId="10" hidden="1">{"with_oth_curr",#N/A,FALSE,"2225"}</definedName>
    <definedName name="vcxccxzvvcxcvxzvcxz_1" hidden="1">{"with_oth_curr",#N/A,FALSE,"2225"}</definedName>
    <definedName name="vcxcvxcvxvcxz" localSheetId="10" hidden="1">{"rp_only",#N/A,FALSE,"2225"}</definedName>
    <definedName name="vcxcvxcvxvcxz" hidden="1">{"rp_only",#N/A,FALSE,"2225"}</definedName>
    <definedName name="vcxcvxcvxvcxz_1" localSheetId="10" hidden="1">{"rp_only",#N/A,FALSE,"2225"}</definedName>
    <definedName name="vcxcvxcvxvcxz_1" hidden="1">{"rp_only",#N/A,FALSE,"2225"}</definedName>
    <definedName name="vcxcvxcxvczxv" localSheetId="10" hidden="1">{"rp_only",#N/A,FALSE,"2225"}</definedName>
    <definedName name="vcxcvxcxvczxv" hidden="1">{"rp_only",#N/A,FALSE,"2225"}</definedName>
    <definedName name="vcxcvxcxvczxv_1" localSheetId="10" hidden="1">{"rp_only",#N/A,FALSE,"2225"}</definedName>
    <definedName name="vcxcvxcxvczxv_1" hidden="1">{"rp_only",#N/A,FALSE,"2225"}</definedName>
    <definedName name="vcxcvxxvczcvxzvcxz" localSheetId="10" hidden="1">{"rp_only",#N/A,FALSE,"2225"}</definedName>
    <definedName name="vcxcvxxvczcvxzvcxz" hidden="1">{"rp_only",#N/A,FALSE,"2225"}</definedName>
    <definedName name="vcxcvxxvczcvxzvcxz_1" localSheetId="10" hidden="1">{"rp_only",#N/A,FALSE,"2225"}</definedName>
    <definedName name="vcxcvxxvczcvxzvcxz_1" hidden="1">{"rp_only",#N/A,FALSE,"2225"}</definedName>
    <definedName name="vcxcvzvcx" localSheetId="10" hidden="1">{"rp_only",#N/A,FALSE,"2225"}</definedName>
    <definedName name="vcxcvzvcx" hidden="1">{"rp_only",#N/A,FALSE,"2225"}</definedName>
    <definedName name="vcxcvzvcx_1" localSheetId="10" hidden="1">{"rp_only",#N/A,FALSE,"2225"}</definedName>
    <definedName name="vcxcvzvcx_1" hidden="1">{"rp_only",#N/A,FALSE,"2225"}</definedName>
    <definedName name="vcxcxcvvxc" localSheetId="10" hidden="1">{"rp_only",#N/A,FALSE,"2225"}</definedName>
    <definedName name="vcxcxcvvxc" hidden="1">{"rp_only",#N/A,FALSE,"2225"}</definedName>
    <definedName name="vcxcxcvvxc_1" localSheetId="10" hidden="1">{"rp_only",#N/A,FALSE,"2225"}</definedName>
    <definedName name="vcxcxcvvxc_1" hidden="1">{"rp_only",#N/A,FALSE,"2225"}</definedName>
    <definedName name="vcxcxvvcx" localSheetId="10" hidden="1">{"with_oth_curr",#N/A,FALSE,"2225"}</definedName>
    <definedName name="vcxcxvvcx" hidden="1">{"with_oth_curr",#N/A,FALSE,"2225"}</definedName>
    <definedName name="vcxcxvvcx_1" localSheetId="10" hidden="1">{"with_oth_curr",#N/A,FALSE,"2225"}</definedName>
    <definedName name="vcxcxvvcx_1" hidden="1">{"with_oth_curr",#N/A,FALSE,"2225"}</definedName>
    <definedName name="vcxcxvvxczczxv" localSheetId="10" hidden="1">{"rp_only",#N/A,FALSE,"2225"}</definedName>
    <definedName name="vcxcxvvxczczxv" hidden="1">{"rp_only",#N/A,FALSE,"2225"}</definedName>
    <definedName name="vcxcxvvxczczxv_1" localSheetId="10" hidden="1">{"rp_only",#N/A,FALSE,"2225"}</definedName>
    <definedName name="vcxcxvvxczczxv_1" hidden="1">{"rp_only",#N/A,FALSE,"2225"}</definedName>
    <definedName name="vcxcxvzvczxxvczczxvcvxz" localSheetId="10" hidden="1">{"rp_only",#N/A,FALSE,"2225"}</definedName>
    <definedName name="vcxcxvzvczxxvczczxvcvxz" hidden="1">{"rp_only",#N/A,FALSE,"2225"}</definedName>
    <definedName name="vcxcxvzvczxxvczczxvcvxz_1" localSheetId="10" hidden="1">{"rp_only",#N/A,FALSE,"2225"}</definedName>
    <definedName name="vcxcxvzvczxxvczczxvcvxz_1" hidden="1">{"rp_only",#N/A,FALSE,"2225"}</definedName>
    <definedName name="vcxvccvxcvxcxvc" localSheetId="10" hidden="1">{"rp_only",#N/A,FALSE,"2225"}</definedName>
    <definedName name="vcxvccvxcvxcxvc" hidden="1">{"rp_only",#N/A,FALSE,"2225"}</definedName>
    <definedName name="vcxvccvxcvxcxvc_1" localSheetId="10" hidden="1">{"rp_only",#N/A,FALSE,"2225"}</definedName>
    <definedName name="vcxvccvxcvxcxvc_1" hidden="1">{"rp_only",#N/A,FALSE,"2225"}</definedName>
    <definedName name="vcxvccvxzvzcxdsfsd" localSheetId="10" hidden="1">{"rp_only",#N/A,FALSE,"2225"}</definedName>
    <definedName name="vcxvccvxzvzcxdsfsd" hidden="1">{"rp_only",#N/A,FALSE,"2225"}</definedName>
    <definedName name="vcxvccvxzvzcxdsfsd_1" localSheetId="10" hidden="1">{"rp_only",#N/A,FALSE,"2225"}</definedName>
    <definedName name="vcxvccvxzvzcxdsfsd_1" hidden="1">{"rp_only",#N/A,FALSE,"2225"}</definedName>
    <definedName name="vcxvcvcxvcxvc" localSheetId="10" hidden="1">{"rp_only",#N/A,FALSE,"2225"}</definedName>
    <definedName name="vcxvcvcxvcxvc" hidden="1">{"rp_only",#N/A,FALSE,"2225"}</definedName>
    <definedName name="vcxvcvcxvcxvc_1" localSheetId="10" hidden="1">{"rp_only",#N/A,FALSE,"2225"}</definedName>
    <definedName name="vcxvcvcxvcxvc_1" hidden="1">{"rp_only",#N/A,FALSE,"2225"}</definedName>
    <definedName name="vcxvcxcvcvxzvcxcvx" localSheetId="10" hidden="1">{"rp_only",#N/A,FALSE,"2225"}</definedName>
    <definedName name="vcxvcxcvcvxzvcxcvx" hidden="1">{"rp_only",#N/A,FALSE,"2225"}</definedName>
    <definedName name="vcxvcxcvcvxzvcxcvx_1" localSheetId="10" hidden="1">{"rp_only",#N/A,FALSE,"2225"}</definedName>
    <definedName name="vcxvcxcvcvxzvcxcvx_1" hidden="1">{"rp_only",#N/A,FALSE,"2225"}</definedName>
    <definedName name="vcxvcxcvxz" localSheetId="10" hidden="1">{"rp_only",#N/A,FALSE,"2225"}</definedName>
    <definedName name="vcxvcxcvxz" hidden="1">{"rp_only",#N/A,FALSE,"2225"}</definedName>
    <definedName name="vcxvcxcvxz_1" localSheetId="10" hidden="1">{"rp_only",#N/A,FALSE,"2225"}</definedName>
    <definedName name="vcxvcxcvxz_1" hidden="1">{"rp_only",#N/A,FALSE,"2225"}</definedName>
    <definedName name="vcxvcxczxvvxc" localSheetId="10" hidden="1">{"rp_only",#N/A,FALSE,"2225"}</definedName>
    <definedName name="vcxvcxczxvvxc" hidden="1">{"rp_only",#N/A,FALSE,"2225"}</definedName>
    <definedName name="vcxvcxczxvvxc_1" localSheetId="10" hidden="1">{"rp_only",#N/A,FALSE,"2225"}</definedName>
    <definedName name="vcxvcxczxvvxc_1" hidden="1">{"rp_only",#N/A,FALSE,"2225"}</definedName>
    <definedName name="vcxvcxvcvxcvcx" localSheetId="10" hidden="1">{"rp_only",#N/A,FALSE,"2225"}</definedName>
    <definedName name="vcxvcxvcvxcvcx" hidden="1">{"rp_only",#N/A,FALSE,"2225"}</definedName>
    <definedName name="vcxvcxvcvxcvcx_1" localSheetId="10" hidden="1">{"rp_only",#N/A,FALSE,"2225"}</definedName>
    <definedName name="vcxvcxvcvxcvcx_1" hidden="1">{"rp_only",#N/A,FALSE,"2225"}</definedName>
    <definedName name="vcxvcxvcxzvcx" localSheetId="10" hidden="1">{"with_oth_curr",#N/A,FALSE,"2225"}</definedName>
    <definedName name="vcxvcxvcxzvcx" hidden="1">{"with_oth_curr",#N/A,FALSE,"2225"}</definedName>
    <definedName name="vcxvcxvcxzvcx_1" localSheetId="10" hidden="1">{"with_oth_curr",#N/A,FALSE,"2225"}</definedName>
    <definedName name="vcxvcxvcxzvcx_1" hidden="1">{"with_oth_curr",#N/A,FALSE,"2225"}</definedName>
    <definedName name="vcxvcxvczxcxvvxc" localSheetId="10" hidden="1">{"rp_only",#N/A,FALSE,"2225"}</definedName>
    <definedName name="vcxvcxvczxcxvvxc" hidden="1">{"rp_only",#N/A,FALSE,"2225"}</definedName>
    <definedName name="vcxvcxvczxcxvvxc_1" localSheetId="10" hidden="1">{"rp_only",#N/A,FALSE,"2225"}</definedName>
    <definedName name="vcxvcxvczxcxvvxc_1" hidden="1">{"rp_only",#N/A,FALSE,"2225"}</definedName>
    <definedName name="vcxvczxzcxvczxvcvxz" localSheetId="10" hidden="1">{"rp_only",#N/A,FALSE,"2225"}</definedName>
    <definedName name="vcxvczxzcxvczxvcvxz" hidden="1">{"rp_only",#N/A,FALSE,"2225"}</definedName>
    <definedName name="vcxvczxzcxvczxvcvxz_1" localSheetId="10" hidden="1">{"rp_only",#N/A,FALSE,"2225"}</definedName>
    <definedName name="vcxvczxzcxvczxvcvxz_1" hidden="1">{"rp_only",#N/A,FALSE,"2225"}</definedName>
    <definedName name="vcxvxccvxzvcx" localSheetId="10" hidden="1">{"rp_only",#N/A,FALSE,"2225"}</definedName>
    <definedName name="vcxvxccvxzvcx" hidden="1">{"rp_only",#N/A,FALSE,"2225"}</definedName>
    <definedName name="vcxvxccvxzvcx_1" localSheetId="10" hidden="1">{"rp_only",#N/A,FALSE,"2225"}</definedName>
    <definedName name="vcxvxccvxzvcx_1" hidden="1">{"rp_only",#N/A,FALSE,"2225"}</definedName>
    <definedName name="vcxvxccxvvxcvcvcx" localSheetId="10" hidden="1">{"rp_only",#N/A,FALSE,"2225"}</definedName>
    <definedName name="vcxvxccxvvxcvcvcx" hidden="1">{"rp_only",#N/A,FALSE,"2225"}</definedName>
    <definedName name="vcxvxccxvvxcvcvcx_1" localSheetId="10" hidden="1">{"rp_only",#N/A,FALSE,"2225"}</definedName>
    <definedName name="vcxvxccxvvxcvcvcx_1" hidden="1">{"rp_only",#N/A,FALSE,"2225"}</definedName>
    <definedName name="vcxvxczcvx" localSheetId="10" hidden="1">{"with_oth_curr",#N/A,FALSE,"2225"}</definedName>
    <definedName name="vcxvxczcvx" hidden="1">{"with_oth_curr",#N/A,FALSE,"2225"}</definedName>
    <definedName name="vcxvxczcvx_1" localSheetId="10" hidden="1">{"with_oth_curr",#N/A,FALSE,"2225"}</definedName>
    <definedName name="vcxvxczcvx_1" hidden="1">{"with_oth_curr",#N/A,FALSE,"2225"}</definedName>
    <definedName name="vcxvxczvxc" localSheetId="10" hidden="1">{"with_oth_curr",#N/A,FALSE,"2225"}</definedName>
    <definedName name="vcxvxczvxc" hidden="1">{"with_oth_curr",#N/A,FALSE,"2225"}</definedName>
    <definedName name="vcxvxczvxc_1" localSheetId="10" hidden="1">{"with_oth_curr",#N/A,FALSE,"2225"}</definedName>
    <definedName name="vcxvxczvxc_1" hidden="1">{"with_oth_curr",#N/A,FALSE,"2225"}</definedName>
    <definedName name="vcxvxvcxvc" localSheetId="10" hidden="1">{"with_oth_curr",#N/A,FALSE,"2225"}</definedName>
    <definedName name="vcxvxvcxvc" hidden="1">{"with_oth_curr",#N/A,FALSE,"2225"}</definedName>
    <definedName name="vcxvxvcxvc_1" localSheetId="10" hidden="1">{"with_oth_curr",#N/A,FALSE,"2225"}</definedName>
    <definedName name="vcxvxvcxvc_1" hidden="1">{"with_oth_curr",#N/A,FALSE,"2225"}</definedName>
    <definedName name="vcxvxvxcvxbv" localSheetId="10" hidden="1">{"rp_only",#N/A,FALSE,"2225"}</definedName>
    <definedName name="vcxvxvxcvxbv" hidden="1">{"rp_only",#N/A,FALSE,"2225"}</definedName>
    <definedName name="vcxvxvxcvxbv_1" localSheetId="10" hidden="1">{"rp_only",#N/A,FALSE,"2225"}</definedName>
    <definedName name="vcxvxvxcvxbv_1" hidden="1">{"rp_only",#N/A,FALSE,"2225"}</definedName>
    <definedName name="vcxxcvcxv" localSheetId="10" hidden="1">{"rp_only",#N/A,FALSE,"2225"}</definedName>
    <definedName name="vcxxcvcxv" hidden="1">{"rp_only",#N/A,FALSE,"2225"}</definedName>
    <definedName name="vcxxcvcxv_1" localSheetId="10" hidden="1">{"rp_only",#N/A,FALSE,"2225"}</definedName>
    <definedName name="vcxxcvcxv_1" hidden="1">{"rp_only",#N/A,FALSE,"2225"}</definedName>
    <definedName name="vcxxcvvcx" localSheetId="10" hidden="1">{"rp_only",#N/A,FALSE,"2225"}</definedName>
    <definedName name="vcxxcvvcx" hidden="1">{"rp_only",#N/A,FALSE,"2225"}</definedName>
    <definedName name="vcxxcvvcx_1" localSheetId="10" hidden="1">{"rp_only",#N/A,FALSE,"2225"}</definedName>
    <definedName name="vcxxcvvcx_1" hidden="1">{"rp_only",#N/A,FALSE,"2225"}</definedName>
    <definedName name="vcxzcxvvcxcxvz" localSheetId="10" hidden="1">{"with_oth_curr",#N/A,FALSE,"2225"}</definedName>
    <definedName name="vcxzcxvvcxcxvz" hidden="1">{"with_oth_curr",#N/A,FALSE,"2225"}</definedName>
    <definedName name="vcxzcxvvcxcxvz_1" localSheetId="10" hidden="1">{"with_oth_curr",#N/A,FALSE,"2225"}</definedName>
    <definedName name="vcxzcxvvcxcxvz_1" hidden="1">{"with_oth_curr",#N/A,FALSE,"2225"}</definedName>
    <definedName name="vczxvcxzcvxzcvxzcvxz" localSheetId="10" hidden="1">{"rp_only",#N/A,FALSE,"2225"}</definedName>
    <definedName name="vczxvcxzcvxzcvxzcvxz" hidden="1">{"rp_only",#N/A,FALSE,"2225"}</definedName>
    <definedName name="vczxvcxzcvxzcvxzcvxz_1" localSheetId="10" hidden="1">{"rp_only",#N/A,FALSE,"2225"}</definedName>
    <definedName name="vczxvcxzcvxzcvxzcvxz_1" hidden="1">{"rp_only",#N/A,FALSE,"2225"}</definedName>
    <definedName name="vd">#REF!</definedName>
    <definedName name="vd3p">#REF!</definedName>
    <definedName name="VDrain">#REF!</definedName>
    <definedName name="vdvf" localSheetId="10" hidden="1">{"rp_only",#N/A,FALSE,"2225"}</definedName>
    <definedName name="vdvf" hidden="1">{"rp_only",#N/A,FALSE,"2225"}</definedName>
    <definedName name="vdvf_1" localSheetId="10"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localSheetId="10" hidden="1">{#N/A,#N/A,FALSE,"Aging Summary";#N/A,#N/A,FALSE,"Ratio Analysis";#N/A,#N/A,FALSE,"Test 120 Day Accts";#N/A,#N/A,FALSE,"Tickmarks"}</definedName>
    <definedName name="vf" hidden="1">{#N/A,#N/A,FALSE,"Aging Summary";#N/A,#N/A,FALSE,"Ratio Analysis";#N/A,#N/A,FALSE,"Test 120 Day Accts";#N/A,#N/A,FALSE,"Tickmarks"}</definedName>
    <definedName name="VFBGXDJBF" localSheetId="10"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10" hidden="1">{"rp_only",#N/A,FALSE,"2225"}</definedName>
    <definedName name="vfdfgfgffds" hidden="1">{"rp_only",#N/A,FALSE,"2225"}</definedName>
    <definedName name="vfdfgfgffds_1" localSheetId="10" hidden="1">{"rp_only",#N/A,FALSE,"2225"}</definedName>
    <definedName name="vfdfgfgffds_1" hidden="1">{"rp_only",#N/A,FALSE,"2225"}</definedName>
    <definedName name="vffggfgthghgfgjjhhgfhjghjkjklhjl" localSheetId="10" hidden="1">{"with_oth_curr",#N/A,FALSE,"2225"}</definedName>
    <definedName name="vffggfgthghgfgjjhhgfhjghjkjklhjl" hidden="1">{"with_oth_curr",#N/A,FALSE,"2225"}</definedName>
    <definedName name="vffggfgthghgfgjjhhgfhjghjkjklhjl_1" localSheetId="10" hidden="1">{"with_oth_curr",#N/A,FALSE,"2225"}</definedName>
    <definedName name="vffggfgthghgfgjjhhgfhjghjkjklhjl_1" hidden="1">{"with_oth_curr",#N/A,FALSE,"2225"}</definedName>
    <definedName name="vffsdsgfs" localSheetId="10" hidden="1">{"rp_only",#N/A,FALSE,"2225"}</definedName>
    <definedName name="vffsdsgfs" hidden="1">{"rp_only",#N/A,FALSE,"2225"}</definedName>
    <definedName name="vffsdsgfs_1" localSheetId="10" hidden="1">{"rp_only",#N/A,FALSE,"2225"}</definedName>
    <definedName name="vffsdsgfs_1" hidden="1">{"rp_only",#N/A,FALSE,"2225"}</definedName>
    <definedName name="vfgffdsvdbbv" localSheetId="10" hidden="1">{"rp_only",#N/A,FALSE,"2225"}</definedName>
    <definedName name="vfgffdsvdbbv" hidden="1">{"rp_only",#N/A,FALSE,"2225"}</definedName>
    <definedName name="vfgffdsvdbbv_1" localSheetId="10" hidden="1">{"rp_only",#N/A,FALSE,"2225"}</definedName>
    <definedName name="vfgffdsvdbbv_1" hidden="1">{"rp_only",#N/A,FALSE,"2225"}</definedName>
    <definedName name="vggsffdghgghtg" localSheetId="10" hidden="1">{"rp_only",#N/A,FALSE,"2225"}</definedName>
    <definedName name="vggsffdghgghtg" hidden="1">{"rp_only",#N/A,FALSE,"2225"}</definedName>
    <definedName name="vggsffdghgghtg_1" localSheetId="10" hidden="1">{"rp_only",#N/A,FALSE,"2225"}</definedName>
    <definedName name="vggsffdghgghtg_1" hidden="1">{"rp_only",#N/A,FALSE,"2225"}</definedName>
    <definedName name="vgjh" localSheetId="10" hidden="1">{#N/A,#N/A,FALSE,"特殊室（ＢＱ表）"}</definedName>
    <definedName name="vgjh" hidden="1">{#N/A,#N/A,FALSE,"特殊室（ＢＱ表）"}</definedName>
    <definedName name="vgr" localSheetId="10"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10"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localSheetId="10" hidden="1">{#N/A,#N/A,FALSE,"Cost Report";#N/A,#N/A,FALSE,"Qtly Summ.";#N/A,#N/A,FALSE,"Mar  Qtr";#N/A,#N/A,FALSE,"Report Summary"}</definedName>
    <definedName name="viska" hidden="1">{#N/A,#N/A,FALSE,"Cost Report";#N/A,#N/A,FALSE,"Qtly Summ.";#N/A,#N/A,FALSE,"Mar  Qtr";#N/A,#N/A,FALSE,"Report Summary"}</definedName>
    <definedName name="viska_1" localSheetId="10"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localSheetId="10" hidden="1">{"rp_only",#N/A,FALSE,"2225"}</definedName>
    <definedName name="vnnbnb" hidden="1">{"rp_only",#N/A,FALSE,"2225"}</definedName>
    <definedName name="vnnbnb_1" localSheetId="10" hidden="1">{"rp_only",#N/A,FALSE,"2225"}</definedName>
    <definedName name="vnnbnb_1" hidden="1">{"rp_only",#N/A,FALSE,"2225"}</definedName>
    <definedName name="vntf100">#REF!</definedName>
    <definedName name="vntf80">#REF!</definedName>
    <definedName name="vnvnb" localSheetId="10" hidden="1">{"rp_only",#N/A,FALSE,"2225"}</definedName>
    <definedName name="vnvnb" hidden="1">{"rp_only",#N/A,FALSE,"2225"}</definedName>
    <definedName name="vnvnb_1" localSheetId="10"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localSheetId="10" hidden="1">{"'Feb 99'!$A$1:$G$30"}</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localSheetId="10" hidden="1">{"DCF","UPSIDE CASE",FALSE,"Sheet1";"DCF","BASE CASE",FALSE,"Sheet1";"DCF","DOWNSIDE CASE",FALSE,"Sheet1"}</definedName>
    <definedName name="vvv" hidden="1">{"DCF","UPSIDE CASE",FALSE,"Sheet1";"DCF","BASE CASE",FALSE,"Sheet1";"DCF","DOWNSIDE CASE",FALSE,"Sheet1"}</definedName>
    <definedName name="vvv_1" localSheetId="10" hidden="1">{"DCF","UPSIDE CASE",FALSE,"Sheet1";"DCF","BASE CASE",FALSE,"Sheet1";"DCF","DOWNSIDE CASE",FALSE,"Sheet1"}</definedName>
    <definedName name="vvv_1" hidden="1">{"DCF","UPSIDE CASE",FALSE,"Sheet1";"DCF","BASE CASE",FALSE,"Sheet1";"DCF","DOWNSIDE CASE",FALSE,"Sheet1"}</definedName>
    <definedName name="vxcvcvcxvcxxcvx" localSheetId="10" hidden="1">{"rp_only",#N/A,FALSE,"2225"}</definedName>
    <definedName name="vxcvcvcxvcxxcvx" hidden="1">{"rp_only",#N/A,FALSE,"2225"}</definedName>
    <definedName name="vxcvcvcxvcxxcvx_1" localSheetId="10" hidden="1">{"rp_only",#N/A,FALSE,"2225"}</definedName>
    <definedName name="vxcvcvcxvcxxcvx_1" hidden="1">{"rp_only",#N/A,FALSE,"2225"}</definedName>
    <definedName name="vxcvcxvcxvcx" localSheetId="10" hidden="1">{"rp_only",#N/A,FALSE,"2225"}</definedName>
    <definedName name="vxcvcxvcxvcx" hidden="1">{"rp_only",#N/A,FALSE,"2225"}</definedName>
    <definedName name="vxcvcxvcxvcx_1" localSheetId="10" hidden="1">{"rp_only",#N/A,FALSE,"2225"}</definedName>
    <definedName name="vxcvcxvcxvcx_1" hidden="1">{"rp_only",#N/A,FALSE,"2225"}</definedName>
    <definedName name="vxcvcxvcxvcxcxvzvcxz" localSheetId="10" hidden="1">{"with_oth_curr",#N/A,FALSE,"2225"}</definedName>
    <definedName name="vxcvcxvcxvcxcxvzvcxz" hidden="1">{"with_oth_curr",#N/A,FALSE,"2225"}</definedName>
    <definedName name="vxcvcxvcxvcxcxvzvcxz_1" localSheetId="10" hidden="1">{"with_oth_curr",#N/A,FALSE,"2225"}</definedName>
    <definedName name="vxcvcxvcxvcxcxvzvcxz_1" hidden="1">{"with_oth_curr",#N/A,FALSE,"2225"}</definedName>
    <definedName name="vxcvcxvxcxcvvcx" localSheetId="10" hidden="1">{"rp_only",#N/A,FALSE,"2225"}</definedName>
    <definedName name="vxcvcxvxcxcvvcx" hidden="1">{"rp_only",#N/A,FALSE,"2225"}</definedName>
    <definedName name="vxcvcxvxcxcvvcx_1" localSheetId="10" hidden="1">{"rp_only",#N/A,FALSE,"2225"}</definedName>
    <definedName name="vxcvcxvxcxcvvcx_1" hidden="1">{"rp_only",#N/A,FALSE,"2225"}</definedName>
    <definedName name="vxcvxcv" localSheetId="10" hidden="1">{"with_oth_curr",#N/A,FALSE,"2225"}</definedName>
    <definedName name="vxcvxcv" hidden="1">{"with_oth_curr",#N/A,FALSE,"2225"}</definedName>
    <definedName name="vxcvxcv_1" localSheetId="10" hidden="1">{"with_oth_curr",#N/A,FALSE,"2225"}</definedName>
    <definedName name="vxcvxcv_1" hidden="1">{"with_oth_curr",#N/A,FALSE,"2225"}</definedName>
    <definedName name="vxcvxcvxcv" localSheetId="10" hidden="1">{"with_oth_curr",#N/A,FALSE,"2225"}</definedName>
    <definedName name="vxcvxcvxcv" hidden="1">{"with_oth_curr",#N/A,FALSE,"2225"}</definedName>
    <definedName name="vxcvxcvxcv_1" localSheetId="10" hidden="1">{"with_oth_curr",#N/A,FALSE,"2225"}</definedName>
    <definedName name="vxcvxcvxcv_1" hidden="1">{"with_oth_curr",#N/A,FALSE,"2225"}</definedName>
    <definedName name="vxcvxcvxcvxcvxcv" localSheetId="10" hidden="1">{"rp_only",#N/A,FALSE,"2225"}</definedName>
    <definedName name="vxcvxcvxcvxcvxcv" hidden="1">{"rp_only",#N/A,FALSE,"2225"}</definedName>
    <definedName name="vxcvxcvxcvxcvxcv_1" localSheetId="10" hidden="1">{"rp_only",#N/A,FALSE,"2225"}</definedName>
    <definedName name="vxcvxcvxcvxcvxcv_1" hidden="1">{"rp_only",#N/A,FALSE,"2225"}</definedName>
    <definedName name="vxczvczxvczxvxczvcxzcvxz" localSheetId="10" hidden="1">{"rp_only",#N/A,FALSE,"2225"}</definedName>
    <definedName name="vxczvczxvczxvxczvcxzcvxz" hidden="1">{"rp_only",#N/A,FALSE,"2225"}</definedName>
    <definedName name="vxczvczxvczxvxczvcxzcvxz_1" localSheetId="10" hidden="1">{"rp_only",#N/A,FALSE,"2225"}</definedName>
    <definedName name="vxczvczxvczxvxczvcxzcvxz_1" hidden="1">{"rp_only",#N/A,FALSE,"2225"}</definedName>
    <definedName name="vxvx" localSheetId="10" hidden="1">{"with_oth_curr",#N/A,FALSE,"2225"}</definedName>
    <definedName name="vxvx" hidden="1">{"with_oth_curr",#N/A,FALSE,"2225"}</definedName>
    <definedName name="vxvx_1" localSheetId="10" hidden="1">{"with_oth_curr",#N/A,FALSE,"2225"}</definedName>
    <definedName name="vxvx_1" hidden="1">{"with_oth_curr",#N/A,FALSE,"2225"}</definedName>
    <definedName name="vzcxcvvxcz" localSheetId="10" hidden="1">{"rp_only",#N/A,FALSE,"2225"}</definedName>
    <definedName name="vzcxcvvxcz" hidden="1">{"rp_only",#N/A,FALSE,"2225"}</definedName>
    <definedName name="vzcxcvvxcz_1" localSheetId="10" hidden="1">{"rp_only",#N/A,FALSE,"2225"}</definedName>
    <definedName name="vzcxcvvxcz_1" hidden="1">{"rp_only",#N/A,FALSE,"2225"}</definedName>
    <definedName name="vzcxvcxcxvcxv" localSheetId="10" hidden="1">{"with_oth_curr",#N/A,FALSE,"2225"}</definedName>
    <definedName name="vzcxvcxcxvcxv" hidden="1">{"with_oth_curr",#N/A,FALSE,"2225"}</definedName>
    <definedName name="vzcxvcxcxvcxv_1" localSheetId="10" hidden="1">{"with_oth_curr",#N/A,FALSE,"2225"}</definedName>
    <definedName name="vzcxvcxcxvcxv_1" hidden="1">{"with_oth_curr",#N/A,FALSE,"2225"}</definedName>
    <definedName name="vzxvzxvzxcv" localSheetId="10" hidden="1">{"rp_only",#N/A,FALSE,"2225"}</definedName>
    <definedName name="vzxvzxvzxcv" hidden="1">{"rp_only",#N/A,FALSE,"2225"}</definedName>
    <definedName name="vzxvzxvzxcv_1" localSheetId="10" hidden="1">{"rp_only",#N/A,FALSE,"2225"}</definedName>
    <definedName name="vzxvzxvzxcv_1" hidden="1">{"rp_only",#N/A,FALSE,"2225"}</definedName>
    <definedName name="w"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localSheetId="10" hidden="1">{"rp_only",#N/A,FALSE,"2225"}</definedName>
    <definedName name="WBSdfsfd" hidden="1">{"rp_only",#N/A,FALSE,"2225"}</definedName>
    <definedName name="WBSdfsfd_1" localSheetId="10" hidden="1">{"rp_only",#N/A,FALSE,"2225"}</definedName>
    <definedName name="WBSdfsfd_1" hidden="1">{"rp_only",#N/A,FALSE,"2225"}</definedName>
    <definedName name="WBSgfdfsfds" localSheetId="10" hidden="1">{"rp_only",#N/A,FALSE,"2225"}</definedName>
    <definedName name="WBSgfdfsfds" hidden="1">{"rp_only",#N/A,FALSE,"2225"}</definedName>
    <definedName name="WBSgfdfsfds_1" localSheetId="10"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localSheetId="10" hidden="1">{#N/A,#N/A,FALSE,"Aging Summary";#N/A,#N/A,FALSE,"Ratio Analysis";#N/A,#N/A,FALSE,"Test 120 Day Accts";#N/A,#N/A,FALSE,"Tickmarks"}</definedName>
    <definedName name="we" hidden="1">{#N/A,#N/A,FALSE,"Aging Summary";#N/A,#N/A,FALSE,"Ratio Analysis";#N/A,#N/A,FALSE,"Test 120 Day Accts";#N/A,#N/A,FALSE,"Tickmarks"}</definedName>
    <definedName name="WEAR">#REF!</definedName>
    <definedName name="wedus" hidden="1">#REF!</definedName>
    <definedName name="weeee" localSheetId="10" hidden="1">{"rp_only",#N/A,FALSE,"2225"}</definedName>
    <definedName name="weeee" hidden="1">{"rp_only",#N/A,FALSE,"2225"}</definedName>
    <definedName name="weeee_1" localSheetId="10" hidden="1">{"rp_only",#N/A,FALSE,"2225"}</definedName>
    <definedName name="weeee_1" hidden="1">{"rp_only",#N/A,FALSE,"2225"}</definedName>
    <definedName name="weert" localSheetId="10" hidden="1">{#N/A,#N/A,FALSE,"Aging Summary";#N/A,#N/A,FALSE,"Ratio Analysis";#N/A,#N/A,FALSE,"Test 120 Day Accts";#N/A,#N/A,FALSE,"Tickmarks"}</definedName>
    <definedName name="weert" hidden="1">{#N/A,#N/A,FALSE,"Aging Summary";#N/A,#N/A,FALSE,"Ratio Analysis";#N/A,#N/A,FALSE,"Test 120 Day Accts";#N/A,#N/A,FALSE,"Tickmarks"}</definedName>
    <definedName name="weew" localSheetId="10" hidden="1">{"rp_only",#N/A,FALSE,"2225"}</definedName>
    <definedName name="weew" hidden="1">{"rp_only",#N/A,FALSE,"2225"}</definedName>
    <definedName name="weew_1" localSheetId="10" hidden="1">{"rp_only",#N/A,FALSE,"2225"}</definedName>
    <definedName name="weew_1" hidden="1">{"rp_only",#N/A,FALSE,"2225"}</definedName>
    <definedName name="weftfdg" localSheetId="10" hidden="1">{"rp_only",#N/A,FALSE,"2225"}</definedName>
    <definedName name="weftfdg" hidden="1">{"rp_only",#N/A,FALSE,"2225"}</definedName>
    <definedName name="weftfdg_1" localSheetId="10" hidden="1">{"rp_only",#N/A,FALSE,"2225"}</definedName>
    <definedName name="weftfdg_1" hidden="1">{"rp_only",#N/A,FALSE,"2225"}</definedName>
    <definedName name="wegtgty" localSheetId="10" hidden="1">{#N/A,#N/A,FALSE,"REK";#N/A,#N/A,FALSE,"rab"}</definedName>
    <definedName name="wegtgty" hidden="1">{#N/A,#N/A,FALSE,"REK";#N/A,#N/A,FALSE,"rab"}</definedName>
    <definedName name="Weight">#REF!</definedName>
    <definedName name="Weight__Kgr.___1_Mtr">#REF!</definedName>
    <definedName name="Weight__Kgr.___6_Mtr">#REF!</definedName>
    <definedName name="weq" localSheetId="10"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10" hidden="1">{"rp_only",#N/A,FALSE,"2225"}</definedName>
    <definedName name="weqeqeq" hidden="1">{"rp_only",#N/A,FALSE,"2225"}</definedName>
    <definedName name="weqeqeq_1" localSheetId="10" hidden="1">{"rp_only",#N/A,FALSE,"2225"}</definedName>
    <definedName name="weqeqeq_1" hidden="1">{"rp_only",#N/A,FALSE,"2225"}</definedName>
    <definedName name="weqeqwe" localSheetId="10" hidden="1">{"rp_only",#N/A,FALSE,"2225"}</definedName>
    <definedName name="weqeqwe" hidden="1">{"rp_only",#N/A,FALSE,"2225"}</definedName>
    <definedName name="weqeqwe_1" localSheetId="10" hidden="1">{"rp_only",#N/A,FALSE,"2225"}</definedName>
    <definedName name="weqeqwe_1" hidden="1">{"rp_only",#N/A,FALSE,"2225"}</definedName>
    <definedName name="weqeqweq" localSheetId="10" hidden="1">{"rp_only",#N/A,FALSE,"2225"}</definedName>
    <definedName name="weqeqweq" hidden="1">{"rp_only",#N/A,FALSE,"2225"}</definedName>
    <definedName name="weqeqweq_1" localSheetId="10" hidden="1">{"rp_only",#N/A,FALSE,"2225"}</definedName>
    <definedName name="weqeqweq_1" hidden="1">{"rp_only",#N/A,FALSE,"2225"}</definedName>
    <definedName name="weqqewr" localSheetId="10" hidden="1">{"rp_only",#N/A,FALSE,"2225"}</definedName>
    <definedName name="weqqewr" hidden="1">{"rp_only",#N/A,FALSE,"2225"}</definedName>
    <definedName name="weqqewr_1" localSheetId="10" hidden="1">{"rp_only",#N/A,FALSE,"2225"}</definedName>
    <definedName name="weqqewr_1" hidden="1">{"rp_only",#N/A,FALSE,"2225"}</definedName>
    <definedName name="weqweqe" localSheetId="10" hidden="1">{"rp_only",#N/A,FALSE,"2225"}</definedName>
    <definedName name="weqweqe" hidden="1">{"rp_only",#N/A,FALSE,"2225"}</definedName>
    <definedName name="weqweqe_1" localSheetId="10" hidden="1">{"rp_only",#N/A,FALSE,"2225"}</definedName>
    <definedName name="weqweqe_1" hidden="1">{"rp_only",#N/A,FALSE,"2225"}</definedName>
    <definedName name="weqweqwe" localSheetId="10" hidden="1">{"with_oth_curr",#N/A,FALSE,"2225"}</definedName>
    <definedName name="weqweqwe" hidden="1">{"with_oth_curr",#N/A,FALSE,"2225"}</definedName>
    <definedName name="weqweqwe_1" localSheetId="10" hidden="1">{"with_oth_curr",#N/A,FALSE,"2225"}</definedName>
    <definedName name="weqweqwe_1" hidden="1">{"with_oth_curr",#N/A,FALSE,"2225"}</definedName>
    <definedName name="weqweqweq" localSheetId="10" hidden="1">{"rp_only",#N/A,FALSE,"2225"}</definedName>
    <definedName name="weqweqweq" hidden="1">{"rp_only",#N/A,FALSE,"2225"}</definedName>
    <definedName name="weqweqweq_1" localSheetId="10" hidden="1">{"rp_only",#N/A,FALSE,"2225"}</definedName>
    <definedName name="weqweqweq_1" hidden="1">{"rp_only",#N/A,FALSE,"2225"}</definedName>
    <definedName name="weqweqweqwe" localSheetId="10" hidden="1">{"with_oth_curr",#N/A,FALSE,"2225"}</definedName>
    <definedName name="weqweqweqwe" hidden="1">{"with_oth_curr",#N/A,FALSE,"2225"}</definedName>
    <definedName name="weqweqweqwe_1" localSheetId="10" hidden="1">{"with_oth_curr",#N/A,FALSE,"2225"}</definedName>
    <definedName name="weqweqweqwe_1" hidden="1">{"with_oth_curr",#N/A,FALSE,"2225"}</definedName>
    <definedName name="weqweqweqweewq" localSheetId="10" hidden="1">{"rp_only",#N/A,FALSE,"2225"}</definedName>
    <definedName name="weqweqweqweewq" hidden="1">{"rp_only",#N/A,FALSE,"2225"}</definedName>
    <definedName name="weqweqweqweewq_1" localSheetId="10"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localSheetId="10" hidden="1">{"with_oth_curr",#N/A,FALSE,"2225"}</definedName>
    <definedName name="werew" hidden="1">{"with_oth_curr",#N/A,FALSE,"2225"}</definedName>
    <definedName name="werew_1" localSheetId="10" hidden="1">{"with_oth_curr",#N/A,FALSE,"2225"}</definedName>
    <definedName name="werew_1" hidden="1">{"with_oth_curr",#N/A,FALSE,"2225"}</definedName>
    <definedName name="werewrw" localSheetId="10" hidden="1">{"rp_only",#N/A,FALSE,"2225"}</definedName>
    <definedName name="werewrw" hidden="1">{"rp_only",#N/A,FALSE,"2225"}</definedName>
    <definedName name="werewrw_1" localSheetId="10" hidden="1">{"rp_only",#N/A,FALSE,"2225"}</definedName>
    <definedName name="werewrw_1" hidden="1">{"rp_only",#N/A,FALSE,"2225"}</definedName>
    <definedName name="werg" localSheetId="10" hidden="1">{#N/A,#N/A,FALSE,"REK";#N/A,#N/A,FALSE,"rab"}</definedName>
    <definedName name="werg" hidden="1">{#N/A,#N/A,FALSE,"REK";#N/A,#N/A,FALSE,"rab"}</definedName>
    <definedName name="werqwerwqerwqe" localSheetId="10" hidden="1">{"rp_only",#N/A,FALSE,"2225"}</definedName>
    <definedName name="werqwerwqerwqe" hidden="1">{"rp_only",#N/A,FALSE,"2225"}</definedName>
    <definedName name="werqwerwqerwqe_1" localSheetId="10" hidden="1">{"rp_only",#N/A,FALSE,"2225"}</definedName>
    <definedName name="werqwerwqerwqe_1" hidden="1">{"rp_only",#N/A,FALSE,"2225"}</definedName>
    <definedName name="werrwqq" localSheetId="10" hidden="1">{"rp_only",#N/A,FALSE,"2225"}</definedName>
    <definedName name="werrwqq" hidden="1">{"rp_only",#N/A,FALSE,"2225"}</definedName>
    <definedName name="werrwqq_1" localSheetId="10" hidden="1">{"rp_only",#N/A,FALSE,"2225"}</definedName>
    <definedName name="werrwqq_1" hidden="1">{"rp_only",#N/A,FALSE,"2225"}</definedName>
    <definedName name="wert">#REF!</definedName>
    <definedName name="werwer" localSheetId="10" hidden="1">{"rp_only",#N/A,FALSE,"2225"}</definedName>
    <definedName name="werwer" hidden="1">{"rp_only",#N/A,FALSE,"2225"}</definedName>
    <definedName name="werwer_1" localSheetId="10" hidden="1">{"rp_only",#N/A,FALSE,"2225"}</definedName>
    <definedName name="werwer_1" hidden="1">{"rp_only",#N/A,FALSE,"2225"}</definedName>
    <definedName name="werwerw" localSheetId="10" hidden="1">{"with_oth_curr",#N/A,FALSE,"2225"}</definedName>
    <definedName name="werwerw" hidden="1">{"with_oth_curr",#N/A,FALSE,"2225"}</definedName>
    <definedName name="werwerw_1" localSheetId="10" hidden="1">{"with_oth_curr",#N/A,FALSE,"2225"}</definedName>
    <definedName name="werwerw_1" hidden="1">{"with_oth_curr",#N/A,FALSE,"2225"}</definedName>
    <definedName name="werwerwe" localSheetId="10" hidden="1">{"rp_only",#N/A,FALSE,"2225"}</definedName>
    <definedName name="werwerwe" hidden="1">{"rp_only",#N/A,FALSE,"2225"}</definedName>
    <definedName name="werwerwe_1" localSheetId="10" hidden="1">{"rp_only",#N/A,FALSE,"2225"}</definedName>
    <definedName name="werwerwe_1" hidden="1">{"rp_only",#N/A,FALSE,"2225"}</definedName>
    <definedName name="werwerwer" localSheetId="10" hidden="1">{"rp_only",#N/A,FALSE,"2225"}</definedName>
    <definedName name="werwerwer" hidden="1">{"rp_only",#N/A,FALSE,"2225"}</definedName>
    <definedName name="werwerwer_1" localSheetId="10" hidden="1">{"rp_only",#N/A,FALSE,"2225"}</definedName>
    <definedName name="werwerwer_1" hidden="1">{"rp_only",#N/A,FALSE,"2225"}</definedName>
    <definedName name="werwerwerw" localSheetId="10" hidden="1">{"rp_only",#N/A,FALSE,"2225"}</definedName>
    <definedName name="werwerwerw" hidden="1">{"rp_only",#N/A,FALSE,"2225"}</definedName>
    <definedName name="werwerwerw_1" localSheetId="10" hidden="1">{"rp_only",#N/A,FALSE,"2225"}</definedName>
    <definedName name="werwerwerw_1" hidden="1">{"rp_only",#N/A,FALSE,"2225"}</definedName>
    <definedName name="werwerwerwer" localSheetId="10" hidden="1">{"rp_only",#N/A,FALSE,"2225"}</definedName>
    <definedName name="werwerwerwer" hidden="1">{"rp_only",#N/A,FALSE,"2225"}</definedName>
    <definedName name="werwerwerwer_1" localSheetId="10" hidden="1">{"rp_only",#N/A,FALSE,"2225"}</definedName>
    <definedName name="werwerwerwer_1" hidden="1">{"rp_only",#N/A,FALSE,"2225"}</definedName>
    <definedName name="werwerwr" localSheetId="10" hidden="1">{"with_oth_curr",#N/A,FALSE,"2225"}</definedName>
    <definedName name="werwerwr" hidden="1">{"with_oth_curr",#N/A,FALSE,"2225"}</definedName>
    <definedName name="werwerwr_1" localSheetId="10" hidden="1">{"with_oth_curr",#N/A,FALSE,"2225"}</definedName>
    <definedName name="werwerwr_1" hidden="1">{"with_oth_curr",#N/A,FALSE,"2225"}</definedName>
    <definedName name="werwerwre" localSheetId="10" hidden="1">{"rp_only",#N/A,FALSE,"2225"}</definedName>
    <definedName name="werwerwre" hidden="1">{"rp_only",#N/A,FALSE,"2225"}</definedName>
    <definedName name="werwerwre_1" localSheetId="10" hidden="1">{"rp_only",#N/A,FALSE,"2225"}</definedName>
    <definedName name="werwerwre_1" hidden="1">{"rp_only",#N/A,FALSE,"2225"}</definedName>
    <definedName name="werwr" localSheetId="10" hidden="1">{"rp_only",#N/A,FALSE,"2225"}</definedName>
    <definedName name="werwr" hidden="1">{"rp_only",#N/A,FALSE,"2225"}</definedName>
    <definedName name="werwr_1" localSheetId="10" hidden="1">{"rp_only",#N/A,FALSE,"2225"}</definedName>
    <definedName name="werwr_1" hidden="1">{"rp_only",#N/A,FALSE,"2225"}</definedName>
    <definedName name="werwre" localSheetId="10" hidden="1">{"rp_only",#N/A,FALSE,"2225"}</definedName>
    <definedName name="werwre" hidden="1">{"rp_only",#N/A,FALSE,"2225"}</definedName>
    <definedName name="werwre_1" localSheetId="10" hidden="1">{"rp_only",#N/A,FALSE,"2225"}</definedName>
    <definedName name="werwre_1" hidden="1">{"rp_only",#N/A,FALSE,"2225"}</definedName>
    <definedName name="werwrer" localSheetId="10" hidden="1">{"rp_only",#N/A,FALSE,"2225"}</definedName>
    <definedName name="werwrer" hidden="1">{"rp_only",#N/A,FALSE,"2225"}</definedName>
    <definedName name="werwrer_1" localSheetId="10" hidden="1">{"rp_only",#N/A,FALSE,"2225"}</definedName>
    <definedName name="werwrer_1" hidden="1">{"rp_only",#N/A,FALSE,"2225"}</definedName>
    <definedName name="werwrt" localSheetId="10" hidden="1">{"with_oth_curr",#N/A,FALSE,"2225"}</definedName>
    <definedName name="werwrt" hidden="1">{"with_oth_curr",#N/A,FALSE,"2225"}</definedName>
    <definedName name="werwrt_1" localSheetId="10" hidden="1">{"with_oth_curr",#N/A,FALSE,"2225"}</definedName>
    <definedName name="werwrt_1" hidden="1">{"with_oth_curr",#N/A,FALSE,"2225"}</definedName>
    <definedName name="werwrwer" localSheetId="10" hidden="1">{"rp_only",#N/A,FALSE,"2225"}</definedName>
    <definedName name="werwrwer" hidden="1">{"rp_only",#N/A,FALSE,"2225"}</definedName>
    <definedName name="werwrwer_1" localSheetId="10"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localSheetId="10" hidden="1">{#N/A,#N/A,FALSE,"REK";#N/A,#N/A,FALSE,"Bq-ARS"}</definedName>
    <definedName name="wet" hidden="1">{#N/A,#N/A,FALSE,"REK";#N/A,#N/A,FALSE,"Bq-ARS"}</definedName>
    <definedName name="wetewtrtr" localSheetId="10" hidden="1">{"with_oth_curr",#N/A,FALSE,"2225"}</definedName>
    <definedName name="wetewtrtr" hidden="1">{"with_oth_curr",#N/A,FALSE,"2225"}</definedName>
    <definedName name="wetewtrtr_1" localSheetId="10" hidden="1">{"with_oth_curr",#N/A,FALSE,"2225"}</definedName>
    <definedName name="wetewtrtr_1" hidden="1">{"with_oth_curr",#N/A,FALSE,"2225"}</definedName>
    <definedName name="wetwerg" localSheetId="10" hidden="1">{#N/A,#N/A,FALSE,"REK";#N/A,#N/A,FALSE,"rab"}</definedName>
    <definedName name="wetwerg" hidden="1">{#N/A,#N/A,FALSE,"REK";#N/A,#N/A,FALSE,"rab"}</definedName>
    <definedName name="wewee" localSheetId="10" hidden="1">{"rp_only",#N/A,FALSE,"2225"}</definedName>
    <definedName name="wewee" hidden="1">{"rp_only",#N/A,FALSE,"2225"}</definedName>
    <definedName name="wewee_1" localSheetId="10" hidden="1">{"rp_only",#N/A,FALSE,"2225"}</definedName>
    <definedName name="wewee_1" hidden="1">{"rp_only",#N/A,FALSE,"2225"}</definedName>
    <definedName name="wewqe" localSheetId="10" hidden="1">{"rp_only",#N/A,FALSE,"2225"}</definedName>
    <definedName name="wewqe" hidden="1">{"rp_only",#N/A,FALSE,"2225"}</definedName>
    <definedName name="wewqe_1" localSheetId="10" hidden="1">{"rp_only",#N/A,FALSE,"2225"}</definedName>
    <definedName name="wewqe_1" hidden="1">{"rp_only",#N/A,FALSE,"2225"}</definedName>
    <definedName name="weygt" localSheetId="10" hidden="1">{#N/A,#N/A,FALSE,"REK";#N/A,#N/A,FALSE,"Bq-ARS"}</definedName>
    <definedName name="weygt" hidden="1">{#N/A,#N/A,FALSE,"REK";#N/A,#N/A,FALSE,"Bq-ARS"}</definedName>
    <definedName name="wf" localSheetId="10" hidden="1">{#N/A,#N/A,FALSE,"Act.Fcst Costs"}</definedName>
    <definedName name="wf" hidden="1">{#N/A,#N/A,FALSE,"Act.Fcst Costs"}</definedName>
    <definedName name="wfprof">#REF!</definedName>
    <definedName name="WFSDF" localSheetId="10" hidden="1">{"rp_only",#N/A,FALSE,"2225"}</definedName>
    <definedName name="WFSDF" hidden="1">{"rp_only",#N/A,FALSE,"2225"}</definedName>
    <definedName name="WFSDF_1" localSheetId="10" hidden="1">{"rp_only",#N/A,FALSE,"2225"}</definedName>
    <definedName name="WFSDF_1" hidden="1">{"rp_only",#N/A,FALSE,"2225"}</definedName>
    <definedName name="wgp_a">#REF!</definedName>
    <definedName name="wgp_b">#REF!</definedName>
    <definedName name="wgp_p">#REF!</definedName>
    <definedName name="wh">#REF!</definedName>
    <definedName name="whatever" localSheetId="10"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 localSheetId="10">coname</definedName>
    <definedName name="WILMAR_INTERNATIONAL_HOLDINGS_LTD__BVI">coname</definedName>
    <definedName name="WIN" localSheetId="10" hidden="1">{#N/A,#N/A,FALSE,"Sheet1";#N/A,#N/A,FALSE,"Sheet2"}</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localSheetId="10" hidden="1">{#N/A,#N/A,FALSE,"Aging Summary";#N/A,#N/A,FALSE,"Ratio Analysis";#N/A,#N/A,FALSE,"Test 120 Day Accts";#N/A,#N/A,FALSE,"Tickmarks"}</definedName>
    <definedName name="WISS" hidden="1">{#N/A,#N/A,FALSE,"Aging Summary";#N/A,#N/A,FALSE,"Ratio Analysis";#N/A,#N/A,FALSE,"Test 120 Day Accts";#N/A,#N/A,FALSE,"Tickmarks"}</definedName>
    <definedName name="witax" hidden="1">#REF!</definedName>
    <definedName name="Wj" localSheetId="10" hidden="1">{"WORK IN PROCESS",#N/A,FALSE,"COGS"}</definedName>
    <definedName name="Wj" hidden="1">{"WORK IN PROCESS",#N/A,FALSE,"COGS"}</definedName>
    <definedName name="Wj_1" localSheetId="10" hidden="1">{"WORK IN PROCESS",#N/A,FALSE,"COGS"}</definedName>
    <definedName name="Wj_1" hidden="1">{"WORK IN PROCESS",#N/A,FALSE,"COGS"}</definedName>
    <definedName name="wjs" localSheetId="10"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localSheetId="10" hidden="1">{#N/A,#N/A,FALSE,"Cost Report";"Geology",#N/A,FALSE,"Cost Summary";"Geolgy Recon",#N/A,FALSE,"UG Geology Rep."}</definedName>
    <definedName name="wow" hidden="1">{#N/A,#N/A,FALSE,"Cost Report";"Geology",#N/A,FALSE,"Cost Summary";"Geolgy Recon",#N/A,FALSE,"UG Geology Rep."}</definedName>
    <definedName name="wow_1" localSheetId="10"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localSheetId="10" hidden="1">{#N/A,#N/A,FALSE,"Aging Summary";#N/A,#N/A,FALSE,"Ratio Analysis";#N/A,#N/A,FALSE,"Test 120 Day Accts";#N/A,#N/A,FALSE,"Tickmarks"}</definedName>
    <definedName name="WPIS" hidden="1">{#N/A,#N/A,FALSE,"Aging Summary";#N/A,#N/A,FALSE,"Ratio Analysis";#N/A,#N/A,FALSE,"Test 120 Day Accts";#N/A,#N/A,FALSE,"Tickmarks"}</definedName>
    <definedName name="WPKUASA">#REF!</definedName>
    <definedName name="WPL">#REF!</definedName>
    <definedName name="WPL.Audit" localSheetId="10" hidden="1">{"with_oth_curr",#N/A,FALSE,"2225"}</definedName>
    <definedName name="WPL.Audit" hidden="1">{"with_oth_curr",#N/A,FALSE,"2225"}</definedName>
    <definedName name="WPL.Audit_1" localSheetId="10"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localSheetId="10" hidden="1">{"rp_only",#N/A,FALSE,"2225"}</definedName>
    <definedName name="wqeqeq" hidden="1">{"rp_only",#N/A,FALSE,"2225"}</definedName>
    <definedName name="wqeqeq_1" localSheetId="10" hidden="1">{"rp_only",#N/A,FALSE,"2225"}</definedName>
    <definedName name="wqeqeq_1" hidden="1">{"rp_only",#N/A,FALSE,"2225"}</definedName>
    <definedName name="wqeqeqw" localSheetId="10" hidden="1">{"with_oth_curr",#N/A,FALSE,"2225"}</definedName>
    <definedName name="wqeqeqw" hidden="1">{"with_oth_curr",#N/A,FALSE,"2225"}</definedName>
    <definedName name="wqeqeqw_1" localSheetId="10" hidden="1">{"with_oth_curr",#N/A,FALSE,"2225"}</definedName>
    <definedName name="wqeqeqw_1" hidden="1">{"with_oth_curr",#N/A,FALSE,"2225"}</definedName>
    <definedName name="wqeqeweq" localSheetId="10" hidden="1">{"rp_only",#N/A,FALSE,"2225"}</definedName>
    <definedName name="wqeqeweq" hidden="1">{"rp_only",#N/A,FALSE,"2225"}</definedName>
    <definedName name="wqeqeweq_1" localSheetId="10" hidden="1">{"rp_only",#N/A,FALSE,"2225"}</definedName>
    <definedName name="wqeqeweq_1" hidden="1">{"rp_only",#N/A,FALSE,"2225"}</definedName>
    <definedName name="wqeqqweretty" localSheetId="10" hidden="1">{"rp_only",#N/A,FALSE,"2225"}</definedName>
    <definedName name="wqeqqweretty" hidden="1">{"rp_only",#N/A,FALSE,"2225"}</definedName>
    <definedName name="wqeqqweretty_1" localSheetId="10" hidden="1">{"rp_only",#N/A,FALSE,"2225"}</definedName>
    <definedName name="wqeqqweretty_1" hidden="1">{"rp_only",#N/A,FALSE,"2225"}</definedName>
    <definedName name="wqeqwe" localSheetId="10" hidden="1">{"with_oth_curr",#N/A,FALSE,"2225"}</definedName>
    <definedName name="wqeqwe" hidden="1">{"with_oth_curr",#N/A,FALSE,"2225"}</definedName>
    <definedName name="wqeqwe_1" localSheetId="10" hidden="1">{"with_oth_curr",#N/A,FALSE,"2225"}</definedName>
    <definedName name="wqeqwe_1" hidden="1">{"with_oth_curr",#N/A,FALSE,"2225"}</definedName>
    <definedName name="wqeqwewe" localSheetId="10" hidden="1">{"with_oth_curr",#N/A,FALSE,"2225"}</definedName>
    <definedName name="wqeqwewe" hidden="1">{"with_oth_curr",#N/A,FALSE,"2225"}</definedName>
    <definedName name="wqeqwewe_1" localSheetId="10" hidden="1">{"with_oth_curr",#N/A,FALSE,"2225"}</definedName>
    <definedName name="wqeqwewe_1" hidden="1">{"with_oth_curr",#N/A,FALSE,"2225"}</definedName>
    <definedName name="WQEYGT" localSheetId="10" hidden="1">{#N/A,#N/A,FALSE,"REK";#N/A,#N/A,FALSE,"rab"}</definedName>
    <definedName name="WQEYGT" hidden="1">{#N/A,#N/A,FALSE,"REK";#N/A,#N/A,FALSE,"rab"}</definedName>
    <definedName name="wqeygtQWET" localSheetId="10" hidden="1">{#N/A,#N/A,FALSE,"REK";#N/A,#N/A,FALSE,"rab"}</definedName>
    <definedName name="wqeygtQWET" hidden="1">{#N/A,#N/A,FALSE,"REK";#N/A,#N/A,FALSE,"rab"}</definedName>
    <definedName name="wqqwe" localSheetId="10" hidden="1">{"with_oth_curr",#N/A,FALSE,"2225"}</definedName>
    <definedName name="wqqwe" hidden="1">{"with_oth_curr",#N/A,FALSE,"2225"}</definedName>
    <definedName name="wqqwe_1" localSheetId="10" hidden="1">{"with_oth_curr",#N/A,FALSE,"2225"}</definedName>
    <definedName name="wqqwe_1" hidden="1">{"with_oth_curr",#N/A,FALSE,"2225"}</definedName>
    <definedName name="wqrwtrt" localSheetId="10" hidden="1">{"with_oth_curr",#N/A,FALSE,"2225"}</definedName>
    <definedName name="wqrwtrt" hidden="1">{"with_oth_curr",#N/A,FALSE,"2225"}</definedName>
    <definedName name="wqrwtrt_1" localSheetId="10" hidden="1">{"with_oth_curr",#N/A,FALSE,"2225"}</definedName>
    <definedName name="wqrwtrt_1" hidden="1">{"with_oth_curr",#N/A,FALSE,"2225"}</definedName>
    <definedName name="wqweer" localSheetId="10" hidden="1">{"with_oth_curr",#N/A,FALSE,"2225"}</definedName>
    <definedName name="wqweer" hidden="1">{"with_oth_curr",#N/A,FALSE,"2225"}</definedName>
    <definedName name="wqweer_1" localSheetId="10" hidden="1">{"with_oth_curr",#N/A,FALSE,"2225"}</definedName>
    <definedName name="wqweer_1" hidden="1">{"with_oth_curr",#N/A,FALSE,"2225"}</definedName>
    <definedName name="wqweqe" localSheetId="10" hidden="1">{"rp_only",#N/A,FALSE,"2225"}</definedName>
    <definedName name="wqweqe" hidden="1">{"rp_only",#N/A,FALSE,"2225"}</definedName>
    <definedName name="wqweqe_1" localSheetId="10" hidden="1">{"rp_only",#N/A,FALSE,"2225"}</definedName>
    <definedName name="wqweqe_1" hidden="1">{"rp_only",#N/A,FALSE,"2225"}</definedName>
    <definedName name="wqwqqw" localSheetId="10" hidden="1">{"with_oth_curr",#N/A,FALSE,"2225"}</definedName>
    <definedName name="wqwqqw" hidden="1">{"with_oth_curr",#N/A,FALSE,"2225"}</definedName>
    <definedName name="wqwqqw_1" localSheetId="10" hidden="1">{"with_oth_curr",#N/A,FALSE,"2225"}</definedName>
    <definedName name="wqwqqw_1" hidden="1">{"with_oth_curr",#N/A,FALSE,"2225"}</definedName>
    <definedName name="wr" localSheetId="10" hidden="1">{"'Feb 99'!$A$1:$G$30"}</definedName>
    <definedName name="wr" hidden="1">{"'Feb 99'!$A$1:$G$30"}</definedName>
    <definedName name="wre"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10" hidden="1">{"with_oth_curr",#N/A,FALSE,"2225"}</definedName>
    <definedName name="wrerww" hidden="1">{"with_oth_curr",#N/A,FALSE,"2225"}</definedName>
    <definedName name="wrerww_1" localSheetId="10" hidden="1">{"with_oth_curr",#N/A,FALSE,"2225"}</definedName>
    <definedName name="wrerww_1" hidden="1">{"with_oth_curr",#N/A,FALSE,"2225"}</definedName>
    <definedName name="wrewre" localSheetId="10" hidden="1">{"rp_only",#N/A,FALSE,"2225"}</definedName>
    <definedName name="wrewre" hidden="1">{"rp_only",#N/A,FALSE,"2225"}</definedName>
    <definedName name="wrewre_1" localSheetId="10" hidden="1">{"rp_only",#N/A,FALSE,"2225"}</definedName>
    <definedName name="wrewre_1" hidden="1">{"rp_only",#N/A,FALSE,"2225"}</definedName>
    <definedName name="wrg" localSheetId="10" hidden="1">{#N/A,#N/A,FALSE,"REK";#N/A,#N/A,FALSE,"rab"}</definedName>
    <definedName name="wrg" hidden="1">{#N/A,#N/A,FALSE,"REK";#N/A,#N/A,FALSE,"rab"}</definedName>
    <definedName name="WRITE" localSheetId="10" hidden="1">{#N/A,#N/A,FALSE,"CCTV"}</definedName>
    <definedName name="WRITE" hidden="1">{#N/A,#N/A,FALSE,"CCTV"}</definedName>
    <definedName name="writeoff">#REF!</definedName>
    <definedName name="WRN" localSheetId="10" hidden="1">{#N/A,#N/A,FALSE,"INCOME STATE";#N/A,#N/A,FALSE,"TOT EXP";#N/A,#N/A,FALSE,"PROMO";#N/A,#N/A,FALSE,"NTS RP"}</definedName>
    <definedName name="WRN" hidden="1">{#N/A,#N/A,FALSE,"INCOME STATE";#N/A,#N/A,FALSE,"TOT EXP";#N/A,#N/A,FALSE,"PROMO";#N/A,#N/A,FALSE,"NTS RP"}</definedName>
    <definedName name="wrn.??"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0"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10"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0"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10"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10"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10" hidden="1">{#N/A,#N/A,FALSE,"Calc";#N/A,#N/A,FALSE,"Sensitivity";#N/A,#N/A,FALSE,"LT Earn.Dil.";#N/A,#N/A,FALSE,"Dil. AVP"}</definedName>
    <definedName name="wrn.1." hidden="1">{#N/A,#N/A,FALSE,"Calc";#N/A,#N/A,FALSE,"Sensitivity";#N/A,#N/A,FALSE,"LT Earn.Dil.";#N/A,#N/A,FALSE,"Dil. AVP"}</definedName>
    <definedName name="wrn.10yp._.balance._.sheet." localSheetId="10" hidden="1">{"10yp balance sheet",#N/A,FALSE,"Celtel alternative 6"}</definedName>
    <definedName name="wrn.10yp._.balance._.sheet." hidden="1">{"10yp balance sheet",#N/A,FALSE,"Celtel alternative 6"}</definedName>
    <definedName name="wrn.10yp._.capex." localSheetId="10" hidden="1">{"10yp capex",#N/A,FALSE,"Celtel alternative 6"}</definedName>
    <definedName name="wrn.10yp._.capex." hidden="1">{"10yp capex",#N/A,FALSE,"Celtel alternative 6"}</definedName>
    <definedName name="wrn.10yp._.customers." localSheetId="10" hidden="1">{"10yp customers",#N/A,FALSE,"Celtel alternative 6"}</definedName>
    <definedName name="wrn.10yp._.customers." hidden="1">{"10yp customers",#N/A,FALSE,"Celtel alternative 6"}</definedName>
    <definedName name="wrn.10yp._.graphs." localSheetId="10" hidden="1">{"10yp graphs",#N/A,FALSE,"Market Data"}</definedName>
    <definedName name="wrn.10yp._.graphs." hidden="1">{"10yp graphs",#N/A,FALSE,"Market Data"}</definedName>
    <definedName name="wrn.10yp._.key._.data." localSheetId="10" hidden="1">{"10yp key data",#N/A,FALSE,"Market Data"}</definedName>
    <definedName name="wrn.10yp._.key._.data." hidden="1">{"10yp key data",#N/A,FALSE,"Market Data"}</definedName>
    <definedName name="wrn.10yp._.profit._.and._.loss." localSheetId="10" hidden="1">{"10yp profit and loss",#N/A,FALSE,"Celtel alternative 6"}</definedName>
    <definedName name="wrn.10yp._.profit._.and._.loss." hidden="1">{"10yp profit and loss",#N/A,FALSE,"Celtel alternative 6"}</definedName>
    <definedName name="wrn.10yp._.tariffs." localSheetId="10" hidden="1">{"10yp tariffs",#N/A,FALSE,"Celtel alternative 6"}</definedName>
    <definedName name="wrn.10yp._.tariffs." hidden="1">{"10yp tariffs",#N/A,FALSE,"Celtel alternative 6"}</definedName>
    <definedName name="wrn.12._.Costs._.Act._.Fcast._.All." localSheetId="10" hidden="1">{#N/A,#N/A,FALSE,"Act.Fcst Costs"}</definedName>
    <definedName name="wrn.12._.Costs._.Act._.Fcast._.All." hidden="1">{#N/A,#N/A,FALSE,"Act.Fcst Costs"}</definedName>
    <definedName name="wrn.12._.Costs._.Act._.Fcast._.All._1" localSheetId="10" hidden="1">{#N/A,#N/A,FALSE,"Act.Fcst Costs"}</definedName>
    <definedName name="wrn.12._.Costs._.Act._.Fcast._.All._1" hidden="1">{#N/A,#N/A,FALSE,"Act.Fcst Costs"}</definedName>
    <definedName name="WRN.2." localSheetId="10" hidden="1">{#N/A,#N/A,FALSE,"Calc";#N/A,#N/A,FALSE,"Sensitivity";#N/A,#N/A,FALSE,"LT Earn.Dil.";#N/A,#N/A,FALSE,"Dil. AVP"}</definedName>
    <definedName name="WRN.2." hidden="1">{#N/A,#N/A,FALSE,"Calc";#N/A,#N/A,FALSE,"Sensitivity";#N/A,#N/A,FALSE,"LT Earn.Dil.";#N/A,#N/A,FALSE,"Dil. AVP"}</definedName>
    <definedName name="wrn.2._.pagers." localSheetId="10" hidden="1">{"Cover",#N/A,FALSE,"Cover";"Summary",#N/A,FALSE,"Summarpage"}</definedName>
    <definedName name="wrn.2._.pagers." hidden="1">{"Cover",#N/A,FALSE,"Cover";"Summary",#N/A,FALSE,"Summarpage"}</definedName>
    <definedName name="wrn.2._.pagers._1" localSheetId="10" hidden="1">{"Cover",#N/A,FALSE,"Cover";"Summary",#N/A,FALSE,"Summarpage"}</definedName>
    <definedName name="wrn.2._.pagers._1" hidden="1">{"Cover",#N/A,FALSE,"Cover";"Summary",#N/A,FALSE,"Summarpage"}</definedName>
    <definedName name="wrn.50._.50." localSheetId="10"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10" hidden="1">{#N/A,#N/A,FALSE,"지침";#N/A,#N/A,FALSE,"환경분석";#N/A,#N/A,FALSE,"Sheet16"}</definedName>
    <definedName name="wrn.97." hidden="1">{#N/A,#N/A,FALSE,"지침";#N/A,#N/A,FALSE,"환경분석";#N/A,#N/A,FALSE,"Sheet16"}</definedName>
    <definedName name="WRN.98." localSheetId="10" hidden="1">{#N/A,#N/A,FALSE,"지침";#N/A,#N/A,FALSE,"환경분석";#N/A,#N/A,FALSE,"Sheet16"}</definedName>
    <definedName name="WRN.98." hidden="1">{#N/A,#N/A,FALSE,"지침";#N/A,#N/A,FALSE,"환경분석";#N/A,#N/A,FALSE,"Sheet16"}</definedName>
    <definedName name="wrn.AAA." localSheetId="10" hidden="1">{#N/A,#N/A,FALSE,"REK";#N/A,#N/A,FALSE,"Bq-ARS"}</definedName>
    <definedName name="wrn.AAA." hidden="1">{#N/A,#N/A,FALSE,"REK";#N/A,#N/A,FALSE,"Bq-ARS"}</definedName>
    <definedName name="wrn.ac30prn." localSheetId="10"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1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1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10" hidden="1">{"Acq_matrix",#N/A,FALSE,"Acquisition Matrix"}</definedName>
    <definedName name="wrn.Acquisition_matrix." hidden="1">{"Acq_matrix",#N/A,FALSE,"Acquisition Matrix"}</definedName>
    <definedName name="wrn.Acquisition_matrix._1" localSheetId="10" hidden="1">{"Acq_matrix",#N/A,FALSE,"Acquisition Matrix"}</definedName>
    <definedName name="wrn.Acquisition_matrix._1" hidden="1">{"Acq_matrix",#N/A,FALSE,"Acquisition Matrix"}</definedName>
    <definedName name="wrn.adj95." localSheetId="10" hidden="1">{"adj95mult",#N/A,FALSE,"COMPCO";"adj95est",#N/A,FALSE,"COMPCO"}</definedName>
    <definedName name="wrn.adj95." hidden="1">{"adj95mult",#N/A,FALSE,"COMPCO";"adj95est",#N/A,FALSE,"COMPCO"}</definedName>
    <definedName name="wrn.adj95._1" localSheetId="10" hidden="1">{"adj95mult",#N/A,FALSE,"COMPCO";"adj95est",#N/A,FALSE,"COMPCO"}</definedName>
    <definedName name="wrn.adj95._1" hidden="1">{"adj95mult",#N/A,FALSE,"COMPCO";"adj95est",#N/A,FALSE,"COMPCO"}</definedName>
    <definedName name="wrn.adm." localSheetId="10" hidden="1">{#N/A,#N/A,FALSE,"FIN-J";#N/A,#N/A,FALSE,"FIN-P";#N/A,#N/A,FALSE,"MIS";#N/A,#N/A,FALSE,"GM";#N/A,#N/A,FALSE,"GEN. TOTAL"}</definedName>
    <definedName name="wrn.adm." hidden="1">{#N/A,#N/A,FALSE,"FIN-J";#N/A,#N/A,FALSE,"FIN-P";#N/A,#N/A,FALSE,"MIS";#N/A,#N/A,FALSE,"GM";#N/A,#N/A,FALSE,"GEN. TOTAL"}</definedName>
    <definedName name="wrn.adm._1" localSheetId="10" hidden="1">{#N/A,#N/A,FALSE,"FIN-J";#N/A,#N/A,FALSE,"FIN-P";#N/A,#N/A,FALSE,"MIS";#N/A,#N/A,FALSE,"GM";#N/A,#N/A,FALSE,"GEN. TOTAL"}</definedName>
    <definedName name="wrn.adm._1" hidden="1">{#N/A,#N/A,FALSE,"FIN-J";#N/A,#N/A,FALSE,"FIN-P";#N/A,#N/A,FALSE,"MIS";#N/A,#N/A,FALSE,"GM";#N/A,#N/A,FALSE,"GEN. TOTAL"}</definedName>
    <definedName name="wrn.agind" localSheetId="10"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10"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10"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10"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10"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10"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10"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localSheetId="10"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10"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10"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10"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1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1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1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1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1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10" hidden="1">{#N/A,#N/A,TRUE,"Historicals";#N/A,#N/A,TRUE,"Charts";#N/A,#N/A,TRUE,"Forecasts"}</definedName>
    <definedName name="wrn.allpages." hidden="1">{#N/A,#N/A,TRUE,"Historicals";#N/A,#N/A,TRUE,"Charts";#N/A,#N/A,TRUE,"Forecasts"}</definedName>
    <definedName name="wrn.allpages._1" localSheetId="10" hidden="1">{#N/A,#N/A,TRUE,"Historicals";#N/A,#N/A,TRUE,"Charts";#N/A,#N/A,TRUE,"Forecasts"}</definedName>
    <definedName name="wrn.allpages._1" hidden="1">{#N/A,#N/A,TRUE,"Historicals";#N/A,#N/A,TRUE,"Charts";#N/A,#N/A,TRUE,"Forecasts"}</definedName>
    <definedName name="wrn.Annual._.Operating._.Earnings." localSheetId="10"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10"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10"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10"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10" hidden="1">{"AQUIRORDCF",#N/A,FALSE,"Merger consequences";"Acquirorassns",#N/A,FALSE,"Merger consequences"}</definedName>
    <definedName name="wrn.AQUIROR._.DCF." hidden="1">{"AQUIRORDCF",#N/A,FALSE,"Merger consequences";"Acquirorassns",#N/A,FALSE,"Merger consequences"}</definedName>
    <definedName name="wrn.AQUIROR._.DCF._1" localSheetId="10" hidden="1">{"AQUIRORDCF",#N/A,FALSE,"Merger consequences";"Acquirorassns",#N/A,FALSE,"Merger consequences"}</definedName>
    <definedName name="wrn.AQUIROR._.DCF._1" hidden="1">{"AQUIRORDCF",#N/A,FALSE,"Merger consequences";"Acquirorassns",#N/A,FALSE,"Merger consequences"}</definedName>
    <definedName name="wrn.ar." localSheetId="10" hidden="1">{#N/A,#N/A,FALSE,"OUT  AREC"}</definedName>
    <definedName name="wrn.ar." hidden="1">{#N/A,#N/A,FALSE,"OUT  AREC"}</definedName>
    <definedName name="wrn.AR._.Meeting._.Schedules."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1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10" hidden="1">{#N/A,#N/A,FALSE,"OUT  AREC"}</definedName>
    <definedName name="wrn.ar._1" hidden="1">{#N/A,#N/A,FALSE,"OUT  AREC"}</definedName>
    <definedName name="wrn.Asia." localSheetId="10"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10" hidden="1">{#N/A,#N/A,FALSE,"Sheet1"}</definedName>
    <definedName name="wrn.ASSUMP." hidden="1">{#N/A,#N/A,FALSE,"Sheet1"}</definedName>
    <definedName name="wrn.assumptions." localSheetId="10" hidden="1">{"casespecific",#N/A,FALSE,"Assumptions"}</definedName>
    <definedName name="wrn.assumptions." hidden="1">{"casespecific",#N/A,FALSE,"Assumptions"}</definedName>
    <definedName name="wrn.Auto._.Comp." localSheetId="10" hidden="1">{#N/A,#N/A,FALSE,"Sheet1"}</definedName>
    <definedName name="wrn.Auto._.Comp." hidden="1">{#N/A,#N/A,FALSE,"Sheet1"}</definedName>
    <definedName name="wrn.away." localSheetId="10" hidden="1">{"away stand alones",#N/A,FALSE,"Target"}</definedName>
    <definedName name="wrn.away." hidden="1">{"away stand alones",#N/A,FALSE,"Target"}</definedName>
    <definedName name="wrn.Back._.Page." localSheetId="10" hidden="1">{"Back Page",#N/A,FALSE,"Front and Back"}</definedName>
    <definedName name="wrn.Back._.Page." hidden="1">{"Back Page",#N/A,FALSE,"Front and Back"}</definedName>
    <definedName name="wrn.Back._.Page.2" localSheetId="10" hidden="1">{"Back Page",#N/A,FALSE,"Front and Back"}</definedName>
    <definedName name="wrn.Back._.Page.2" hidden="1">{"Back Page",#N/A,FALSE,"Front and Back"}</definedName>
    <definedName name="wrn.Bao._.Cao." localSheetId="10" hidden="1">{#N/A,#N/A,FALSE,"Sheet1"}</definedName>
    <definedName name="wrn.Bao._.Cao." hidden="1">{#N/A,#N/A,FALSE,"Sheet1"}</definedName>
    <definedName name="wrn.BAOCAO." localSheetId="10" hidden="1">{#N/A,#N/A,FALSE,"sum";#N/A,#N/A,FALSE,"MARTV";#N/A,#N/A,FALSE,"APRTV"}</definedName>
    <definedName name="wrn.BAOCAO." hidden="1">{#N/A,#N/A,FALSE,"sum";#N/A,#N/A,FALSE,"MARTV";#N/A,#N/A,FALSE,"APRTV"}</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10" hidden="1">{#N/A,#N/A,FALSE,"CCTV"}</definedName>
    <definedName name="wrn.BM." hidden="1">{#N/A,#N/A,FALSE,"CCTV"}</definedName>
    <definedName name="wrn.BOOK11." localSheetId="10"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10" hidden="1">{#N/A,#N/A,FALSE,"INCOME STATE";#N/A,#N/A,FALSE,"TOT EXP";#N/A,#N/A,FALSE,"PROMO";#N/A,#N/A,FALSE,"NTS RP"}</definedName>
    <definedName name="wrn.bp96." hidden="1">{#N/A,#N/A,FALSE,"INCOME STATE";#N/A,#N/A,FALSE,"TOT EXP";#N/A,#N/A,FALSE,"PROMO";#N/A,#N/A,FALSE,"NTS RP"}</definedName>
    <definedName name="wrn.bp96._1" localSheetId="10" hidden="1">{#N/A,#N/A,FALSE,"INCOME STATE";#N/A,#N/A,FALSE,"TOT EXP";#N/A,#N/A,FALSE,"PROMO";#N/A,#N/A,FALSE,"NTS RP"}</definedName>
    <definedName name="wrn.bp96._1" hidden="1">{#N/A,#N/A,FALSE,"INCOME STATE";#N/A,#N/A,FALSE,"TOT EXP";#N/A,#N/A,FALSE,"PROMO";#N/A,#N/A,FALSE,"NTS RP"}</definedName>
    <definedName name="wrn.BPlan." localSheetId="10" hidden="1">{#N/A,#N/A,FALSE,"F_Plan";#N/A,#N/A,FALSE,"Parameter"}</definedName>
    <definedName name="wrn.BPlan." hidden="1">{#N/A,#N/A,FALSE,"F_Plan";#N/A,#N/A,FALSE,"Parameter"}</definedName>
    <definedName name="wrn.brand." localSheetId="10" hidden="1">{#N/A,#N/A,FALSE,"ISEWAD";#N/A,#N/A,FALSE,"THAI";#N/A,#N/A,FALSE,"INDIA";#N/A,#N/A,FALSE,"MAL";#N/A,#N/A,FALSE,"SWA";#N/A,#N/A,FALSE,"INDO"}</definedName>
    <definedName name="wrn.brand." hidden="1">{#N/A,#N/A,FALSE,"ISEWAD";#N/A,#N/A,FALSE,"THAI";#N/A,#N/A,FALSE,"INDIA";#N/A,#N/A,FALSE,"MAL";#N/A,#N/A,FALSE,"SWA";#N/A,#N/A,FALSE,"INDO"}</definedName>
    <definedName name="wrn.BRAND.PL." localSheetId="10"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10"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10" hidden="1">{#N/A,#N/A,FALSE,"output";#N/A,#N/A,FALSE,"contrib";#N/A,#N/A,FALSE,"profile";#N/A,#N/A,FALSE,"comps"}</definedName>
    <definedName name="wrn.brian." hidden="1">{#N/A,#N/A,FALSE,"output";#N/A,#N/A,FALSE,"contrib";#N/A,#N/A,FALSE,"profile";#N/A,#N/A,FALSE,"comps"}</definedName>
    <definedName name="wrn.BSRP." localSheetId="10" hidden="1">{#N/A,#N/A,FALSE,"b_s &amp; p_l"}</definedName>
    <definedName name="wrn.BSRP." hidden="1">{#N/A,#N/A,FALSE,"b_s &amp; p_l"}</definedName>
    <definedName name="wrn.BSUSD." localSheetId="10" hidden="1">{#N/A,#N/A,FALSE,"b_s &amp; p_l"}</definedName>
    <definedName name="wrn.BSUSD." hidden="1">{#N/A,#N/A,FALSE,"b_s &amp; p_l"}</definedName>
    <definedName name="wrn.BUDGET." localSheetId="10"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10" hidden="1">{"bugdet992000 balance sheet",#N/A,FALSE,"Celtel alternative 6"}</definedName>
    <definedName name="wrn.budget._.balance._.sheet." hidden="1">{"bugdet992000 balance sheet",#N/A,FALSE,"Celtel alternative 6"}</definedName>
    <definedName name="wrn.budget._.capex." localSheetId="10" hidden="1">{"budget992000 capex",#N/A,FALSE,"Celtel alternative 6"}</definedName>
    <definedName name="wrn.budget._.capex." hidden="1">{"budget992000 capex",#N/A,FALSE,"Celtel alternative 6"}</definedName>
    <definedName name="wrn.budget._.customers." localSheetId="10" hidden="1">{"budget992000_customers",#N/A,FALSE,"Celtel alternative 6"}</definedName>
    <definedName name="wrn.budget._.customers." hidden="1">{"budget992000_customers",#N/A,FALSE,"Celtel alternative 6"}</definedName>
    <definedName name="wrn.Budget._.Document"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10"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10" hidden="1">{"budget992000 profit and loss",#N/A,FALSE,"Celtel alternative 6"}</definedName>
    <definedName name="wrn.budget._.profit._.and._.loss." hidden="1">{"budget992000 profit and loss",#N/A,FALSE,"Celtel alternative 6"}</definedName>
    <definedName name="wrn.budget._.tariffs._.and._.usage." localSheetId="10" hidden="1">{"budget992000 tariff and usage",#N/A,FALSE,"Celtel alternative 6"}</definedName>
    <definedName name="wrn.budget._.tariffs._.and._.usage." hidden="1">{"budget992000 tariff and usage",#N/A,FALSE,"Celtel alternative 6"}</definedName>
    <definedName name="wrn.Can._.Sched._.1._.and._.2." localSheetId="10" hidden="1">{"SCH1B",#N/A,FALSE,"Canada";"SCH2B",#N/A,FALSE,"Canada"}</definedName>
    <definedName name="wrn.Can._.Sched._.1._.and._.2." hidden="1">{"SCH1B",#N/A,FALSE,"Canada";"SCH2B",#N/A,FALSE,"Canada"}</definedName>
    <definedName name="wrn.Can._.Schedule._.1." localSheetId="10" hidden="1">{"SCH1B",#N/A,FALSE,"Canada"}</definedName>
    <definedName name="wrn.Can._.Schedule._.1." hidden="1">{"SCH1B",#N/A,FALSE,"Canada"}</definedName>
    <definedName name="wrn.Can._.Schedule._.2." localSheetId="10" hidden="1">{"SCH2B",#N/A,FALSE,"Canada"}</definedName>
    <definedName name="wrn.Can._.Schedule._.2." hidden="1">{"SCH2B",#N/A,FALSE,"Canada"}</definedName>
    <definedName name="wrn.capital._.schedules." localSheetId="10"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10"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10"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10" hidden="1">{"cash plan",#N/A,FALSE,"fccashflow"}</definedName>
    <definedName name="wrn.Cash._.Plan." hidden="1">{"cash plan",#N/A,FALSE,"fccashflow"}</definedName>
    <definedName name="wrn.cellular." localSheetId="10"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10"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10" hidden="1">{#N/A,#N/A,FALSE,"Chi tiÆt"}</definedName>
    <definedName name="wrn.chi._.tiÆt." hidden="1">{#N/A,#N/A,FALSE,"Chi tiÆt"}</definedName>
    <definedName name="wrn.CHIEF._.REVIEW." localSheetId="10"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10" hidden="1">{#N/A,#N/A,FALSE,"Cider Segment";#N/A,#N/A,FALSE,"Bulmers";#N/A,#N/A,FALSE,"Ritz";#N/A,#N/A,FALSE,"Stag";#N/A,#N/A,FALSE,"Cider Others"}</definedName>
    <definedName name="wrn.Cider." hidden="1">{#N/A,#N/A,FALSE,"Cider Segment";#N/A,#N/A,FALSE,"Bulmers";#N/A,#N/A,FALSE,"Ritz";#N/A,#N/A,FALSE,"Stag";#N/A,#N/A,FALSE,"Cider Others"}</definedName>
    <definedName name="wrn.Cie_1." localSheetId="10"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10" hidden="1">{"DBANK",#N/A,FALSE,"PriceE";"CKTS",#N/A,FALSE,"PriceE"}</definedName>
    <definedName name="wrn.CIRCUITS." hidden="1">{"DBANK",#N/A,FALSE,"PriceE";"CKTS",#N/A,FALSE,"PriceE"}</definedName>
    <definedName name="wrn.COGS._.DETAIL." localSheetId="10" hidden="1">{"COGS DETAIL",#N/A,FALSE,"COGS"}</definedName>
    <definedName name="wrn.COGS._.DETAIL." hidden="1">{"COGS DETAIL",#N/A,FALSE,"COGS"}</definedName>
    <definedName name="wrn.COGS._.DETAIL._1" localSheetId="10" hidden="1">{"COGS DETAIL",#N/A,FALSE,"COGS"}</definedName>
    <definedName name="wrn.COGS._.DETAIL._1" hidden="1">{"COGS DETAIL",#N/A,FALSE,"COGS"}</definedName>
    <definedName name="wrn.COGS._.FG." localSheetId="10" hidden="1">{"F GOODS",#N/A,FALSE,"COGS"}</definedName>
    <definedName name="wrn.COGS._.FG." hidden="1">{"F GOODS",#N/A,FALSE,"COGS"}</definedName>
    <definedName name="wrn.COGS._.FG._1" localSheetId="10" hidden="1">{"F GOODS",#N/A,FALSE,"COGS"}</definedName>
    <definedName name="wrn.COGS._.FG._1" hidden="1">{"F GOODS",#N/A,FALSE,"COGS"}</definedName>
    <definedName name="wrn.COGS._.FOH." localSheetId="10" hidden="1">{"LABOR AND FOH",#N/A,FALSE,"COGS"}</definedName>
    <definedName name="wrn.COGS._.FOH." hidden="1">{"LABOR AND FOH",#N/A,FALSE,"COGS"}</definedName>
    <definedName name="wrn.COGS._.FOH._1" localSheetId="10" hidden="1">{"LABOR AND FOH",#N/A,FALSE,"COGS"}</definedName>
    <definedName name="wrn.COGS._.FOH._1" hidden="1">{"LABOR AND FOH",#N/A,FALSE,"COGS"}</definedName>
    <definedName name="wrn.COGS._.PARENT._.SEED." localSheetId="10" hidden="1">{"P SEED",#N/A,FALSE,"COGS"}</definedName>
    <definedName name="wrn.COGS._.PARENT._.SEED." hidden="1">{"P SEED",#N/A,FALSE,"COGS"}</definedName>
    <definedName name="wrn.COGS._.PARENT._.SEED._1" localSheetId="10" hidden="1">{"P SEED",#N/A,FALSE,"COGS"}</definedName>
    <definedName name="wrn.COGS._.PARENT._.SEED._1" hidden="1">{"P SEED",#N/A,FALSE,"COGS"}</definedName>
    <definedName name="wrn.COGS._.SUMMARY." localSheetId="10" hidden="1">{"COGS SUMMARY",#N/A,FALSE,"COGS"}</definedName>
    <definedName name="wrn.COGS._.SUMMARY." hidden="1">{"COGS SUMMARY",#N/A,FALSE,"COGS"}</definedName>
    <definedName name="wrn.COGS._.SUMMARY._1" localSheetId="10" hidden="1">{"COGS SUMMARY",#N/A,FALSE,"COGS"}</definedName>
    <definedName name="wrn.COGS._.SUMMARY._1" hidden="1">{"COGS SUMMARY",#N/A,FALSE,"COGS"}</definedName>
    <definedName name="wrn.COGS._.WIP." localSheetId="10" hidden="1">{"WORK IN PROCESS",#N/A,FALSE,"COGS"}</definedName>
    <definedName name="wrn.COGS._.WIP." hidden="1">{"WORK IN PROCESS",#N/A,FALSE,"COGS"}</definedName>
    <definedName name="wrn.COGS._.WIP._1" localSheetId="10" hidden="1">{"WORK IN PROCESS",#N/A,FALSE,"COGS"}</definedName>
    <definedName name="wrn.COGS._.WIP._1" hidden="1">{"WORK IN PROCESS",#N/A,FALSE,"COGS"}</definedName>
    <definedName name="wrn.compco." localSheetId="1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10"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10" hidden="1">{"comps",#N/A,FALSE,"comps";"notes",#N/A,FALSE,"comps"}</definedName>
    <definedName name="wrn.comps." hidden="1">{"comps",#N/A,FALSE,"comps";"notes",#N/A,FALSE,"comps"}</definedName>
    <definedName name="wrn.Consolidated._.Set." localSheetId="10"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10" hidden="1">{#N/A,#N/A,FALSE,"Contribution Analysis"}</definedName>
    <definedName name="wrn.contribution." hidden="1">{#N/A,#N/A,FALSE,"Contribution Analysis"}</definedName>
    <definedName name="wrn.control." localSheetId="10" hidden="1">{#N/A,#N/A,FALSE,"workingsheet"}</definedName>
    <definedName name="wrn.control." hidden="1">{#N/A,#N/A,FALSE,"workingsheet"}</definedName>
    <definedName name="wrn.control._1" localSheetId="10" hidden="1">{#N/A,#N/A,FALSE,"workingsheet"}</definedName>
    <definedName name="wrn.control._1" hidden="1">{#N/A,#N/A,FALSE,"workingsheet"}</definedName>
    <definedName name="wrn.cooper." localSheetId="10" hidden="1">{#N/A,#N/A,TRUE,"Pro Forma";#N/A,#N/A,TRUE,"PF_Bal";#N/A,#N/A,TRUE,"PF_INC";#N/A,#N/A,TRUE,"CBE";#N/A,#N/A,TRUE,"SWK"}</definedName>
    <definedName name="wrn.cooper." hidden="1">{#N/A,#N/A,TRUE,"Pro Forma";#N/A,#N/A,TRUE,"PF_Bal";#N/A,#N/A,TRUE,"PF_INC";#N/A,#N/A,TRUE,"CBE";#N/A,#N/A,TRUE,"SWK"}</definedName>
    <definedName name="wrn.COST_SHEETS." localSheetId="10" hidden="1">{#N/A,#N/A,FALSE,"WBS 1.06";#N/A,#N/A,FALSE,"WBS 1.14";#N/A,#N/A,FALSE,"WBS 1.17";#N/A,#N/A,FALSE,"WBS 1.18"}</definedName>
    <definedName name="wrn.COST_SHEETS." hidden="1">{#N/A,#N/A,FALSE,"WBS 1.06";#N/A,#N/A,FALSE,"WBS 1.14";#N/A,#N/A,FALSE,"WBS 1.17";#N/A,#N/A,FALSE,"WBS 1.18"}</definedName>
    <definedName name="wrn.Country._.summarys." localSheetId="10" hidden="1">{"Indonesia Summary",#N/A,FALSE,"Sourcing";"Thailand Summary",#N/A,FALSE,"Sourcing"}</definedName>
    <definedName name="wrn.Country._.summarys." hidden="1">{"Indonesia Summary",#N/A,FALSE,"Sourcing";"Thailand Summary",#N/A,FALSE,"Sourcing"}</definedName>
    <definedName name="wrn.Country._.summarys._1" localSheetId="10" hidden="1">{"Indonesia Summary",#N/A,FALSE,"Sourcing";"Thailand Summary",#N/A,FALSE,"Sourcing"}</definedName>
    <definedName name="wrn.Country._.summarys._1" hidden="1">{"Indonesia Summary",#N/A,FALSE,"Sourcing";"Thailand Summary",#N/A,FALSE,"Sourcing"}</definedName>
    <definedName name="wrn.Cover." localSheetId="10"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10"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10" hidden="1">{"page1",#N/A,TRUE,"CSC";"page2",#N/A,TRUE,"CSC"}</definedName>
    <definedName name="wrn.CSC." hidden="1">{"page1",#N/A,TRUE,"CSC";"page2",#N/A,TRUE,"CSC"}</definedName>
    <definedName name="wrn.CSC2" localSheetId="10" hidden="1">{"page1",#N/A,TRUE,"CSC";"page2",#N/A,TRUE,"CSC"}</definedName>
    <definedName name="wrn.CSC2" hidden="1">{"page1",#N/A,TRUE,"CSC";"page2",#N/A,TRUE,"CSC"}</definedName>
    <definedName name="wrn.csc2." localSheetId="10" hidden="1">{#N/A,#N/A,FALSE,"ORIX CSC"}</definedName>
    <definedName name="wrn.csc2." hidden="1">{#N/A,#N/A,FALSE,"ORIX CSC"}</definedName>
    <definedName name="wrn.data" localSheetId="10" hidden="1">{#N/A,#N/A,FALSE,"DATA"}</definedName>
    <definedName name="wrn.data" hidden="1">{#N/A,#N/A,FALSE,"DATA"}</definedName>
    <definedName name="wrn.data." localSheetId="10" hidden="1">{#N/A,#N/A,FALSE,"DATA"}</definedName>
    <definedName name="wrn.data." hidden="1">{#N/A,#N/A,FALSE,"DATA"}</definedName>
    <definedName name="wrn.data._1" localSheetId="10" hidden="1">{#N/A,#N/A,FALSE,"DATA"}</definedName>
    <definedName name="wrn.data._1" hidden="1">{#N/A,#N/A,FALSE,"DATA"}</definedName>
    <definedName name="wrn.database." localSheetId="10" hidden="1">{"subs",#N/A,FALSE,"database ";"proportional",#N/A,FALSE,"database "}</definedName>
    <definedName name="wrn.database." hidden="1">{"subs",#N/A,FALSE,"database ";"proportional",#N/A,FALSE,"database "}</definedName>
    <definedName name="wrn.dcf." localSheetId="10"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10" hidden="1">{"qchm_dcf",#N/A,FALSE,"QCHMDCF2";"qchm_terminal",#N/A,FALSE,"QCHMDCF2"}</definedName>
    <definedName name="wrn.DCF_Terminal_Value_qchm." hidden="1">{"qchm_dcf",#N/A,FALSE,"QCHMDCF2";"qchm_terminal",#N/A,FALSE,"QCHMDCF2"}</definedName>
    <definedName name="wrn.DCF_Terminal_Value_qchm._1" localSheetId="10" hidden="1">{"qchm_dcf",#N/A,FALSE,"QCHMDCF2";"qchm_terminal",#N/A,FALSE,"QCHMDCF2"}</definedName>
    <definedName name="wrn.DCF_Terminal_Value_qchm._1" hidden="1">{"qchm_dcf",#N/A,FALSE,"QCHMDCF2";"qchm_terminal",#N/A,FALSE,"QCHMDCF2"}</definedName>
    <definedName name="wrn.dd" localSheetId="1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1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10" hidden="1">{"Admin Costs",#N/A,FALSE,"Act.Fcst Costs"}</definedName>
    <definedName name="wrn.Debbie._.Hawkins." hidden="1">{"Admin Costs",#N/A,FALSE,"Act.Fcst Costs"}</definedName>
    <definedName name="wrn.Debbie._.Hawkins._1" localSheetId="10" hidden="1">{"Admin Costs",#N/A,FALSE,"Act.Fcst Costs"}</definedName>
    <definedName name="wrn.Debbie._.Hawkins._1" hidden="1">{"Admin Costs",#N/A,FALSE,"Act.Fcst Costs"}</definedName>
    <definedName name="wrn.Detailed._.P._.and._.L." localSheetId="10" hidden="1">{"P and L Detail Page 1",#N/A,FALSE,"Data";"P and L Detail Page 2",#N/A,FALSE,"Data"}</definedName>
    <definedName name="wrn.Detailed._.P._.and._.L." hidden="1">{"P and L Detail Page 1",#N/A,FALSE,"Data";"P and L Detail Page 2",#N/A,FALSE,"Data"}</definedName>
    <definedName name="wrn.Detailed._.P._.and._.L.2" localSheetId="10" hidden="1">{"P and L Detail Page 1",#N/A,FALSE,"Data";"P and L Detail Page 2",#N/A,FALSE,"Data"}</definedName>
    <definedName name="wrn.Detailed._.P._.and._.L.2" hidden="1">{"P and L Detail Page 1",#N/A,FALSE,"Data";"P and L Detail Page 2",#N/A,FALSE,"Data"}</definedName>
    <definedName name="wrn.Detailed._.print." localSheetId="10"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10" hidden="1">{"hiden",#N/A,FALSE,"14";"hidden",#N/A,FALSE,"16";"hidden",#N/A,FALSE,"18";"hidden",#N/A,FALSE,"20"}</definedName>
    <definedName name="wrn.dil_anal." hidden="1">{"hiden",#N/A,FALSE,"14";"hidden",#N/A,FALSE,"16";"hidden",#N/A,FALSE,"18";"hidden",#N/A,FALSE,"20"}</definedName>
    <definedName name="wrn.document." localSheetId="10" hidden="1">{"consolidated",#N/A,FALSE,"Sheet1";"cms",#N/A,FALSE,"Sheet1";"fse",#N/A,FALSE,"Sheet1"}</definedName>
    <definedName name="wrn.document." hidden="1">{"consolidated",#N/A,FALSE,"Sheet1";"cms",#N/A,FALSE,"Sheet1";"fse",#N/A,FALSE,"Sheet1"}</definedName>
    <definedName name="wrn.documentaero." localSheetId="10" hidden="1">{"comps2",#N/A,FALSE,"AERO";"footnotes",#N/A,FALSE,"AERO"}</definedName>
    <definedName name="wrn.documentaero." hidden="1">{"comps2",#N/A,FALSE,"AERO";"footnotes",#N/A,FALSE,"AERO"}</definedName>
    <definedName name="wrn.documenthand." localSheetId="10" hidden="1">{"comps",#N/A,FALSE,"HANDPACK";"footnotes",#N/A,FALSE,"HANDPACK"}</definedName>
    <definedName name="wrn.documenthand." hidden="1">{"comps",#N/A,FALSE,"HANDPACK";"footnotes",#N/A,FALSE,"HANDPACK"}</definedName>
    <definedName name="wrn.Economic._.Value._.Added._.Analysis." localSheetId="10" hidden="1">{"EVA",#N/A,FALSE,"EVA";"WACC",#N/A,FALSE,"WACC"}</definedName>
    <definedName name="wrn.Economic._.Value._.Added._.Analysis." hidden="1">{"EVA",#N/A,FALSE,"EVA";"WACC",#N/A,FALSE,"WACC"}</definedName>
    <definedName name="wrn.Economic._.Value._.Added._.Analysis._1" localSheetId="10" hidden="1">{"EVA",#N/A,FALSE,"EVA";"WACC",#N/A,FALSE,"WACC"}</definedName>
    <definedName name="wrn.Economic._.Value._.Added._.Analysis._1" hidden="1">{"EVA",#N/A,FALSE,"EVA";"WACC",#N/A,FALSE,"WACC"}</definedName>
    <definedName name="wrn.Employee._.Efficiency." localSheetId="10" hidden="1">{"Employee Efficiency",#N/A,FALSE,"Benchmarking"}</definedName>
    <definedName name="wrn.Employee._.Efficiency." hidden="1">{"Employee Efficiency",#N/A,FALSE,"Benchmarking"}</definedName>
    <definedName name="wrn.ENTITY." localSheetId="10" hidden="1">{"TREND1",#N/A,FALSE,"MDR";"TREND2",#N/A,FALSE,"MDR";"TREND3",#N/A,FALSE,"MDR"}</definedName>
    <definedName name="wrn.ENTITY." hidden="1">{"TREND1",#N/A,FALSE,"MDR";"TREND2",#N/A,FALSE,"MDR";"TREND3",#N/A,FALSE,"MDR"}</definedName>
    <definedName name="wrn.ENTITY._1" localSheetId="10" hidden="1">{"TREND1",#N/A,FALSE,"MDR";"TREND2",#N/A,FALSE,"MDR";"TREND3",#N/A,FALSE,"MDR"}</definedName>
    <definedName name="wrn.ENTITY._1" hidden="1">{"TREND1",#N/A,FALSE,"MDR";"TREND2",#N/A,FALSE,"MDR";"TREND3",#N/A,FALSE,"MDR"}</definedName>
    <definedName name="wrn.EO." localSheetId="10"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10"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10"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10"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10"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10"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10" hidden="1">{"Eur Base Top",#N/A,FALSE,"Europe Base";"Eur Base Bottom",#N/A,FALSE,"Europe Base"}</definedName>
    <definedName name="wrn.Europe._.Base." hidden="1">{"Eur Base Top",#N/A,FALSE,"Europe Base";"Eur Base Bottom",#N/A,FALSE,"Europe Base"}</definedName>
    <definedName name="wrn.Europe._.Set." localSheetId="10" hidden="1">{"IS w Ratios",#N/A,FALSE,"Europe";"PF CF Europe",#N/A,FALSE,"Europe";"DCF Eur Matrix",#N/A,FALSE,"Europe"}</definedName>
    <definedName name="wrn.Europe._.Set." hidden="1">{"IS w Ratios",#N/A,FALSE,"Europe";"PF CF Europe",#N/A,FALSE,"Europe";"DCF Eur Matrix",#N/A,FALSE,"Europe"}</definedName>
    <definedName name="wrn.Everything." localSheetId="10"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10"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10"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10"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10" hidden="1">{"Far East Top",#N/A,FALSE,"FE Model";"Far East Mid",#N/A,FALSE,"FE Model";"Far East Base",#N/A,FALSE,"FE Model"}</definedName>
    <definedName name="wrn.FE._.Sensitivity." hidden="1">{"Far East Top",#N/A,FALSE,"FE Model";"Far East Mid",#N/A,FALSE,"FE Model";"Far East Base",#N/A,FALSE,"FE Model"}</definedName>
    <definedName name="wrn.Februari." localSheetId="10" hidden="1">{#N/A,#N/A,FALSE,"ENT96"}</definedName>
    <definedName name="wrn.Februari." hidden="1">{#N/A,#N/A,FALSE,"ENT96"}</definedName>
    <definedName name="wrn.Februari._1" localSheetId="10" hidden="1">{#N/A,#N/A,FALSE,"ENT96"}</definedName>
    <definedName name="wrn.Februari._1" hidden="1">{#N/A,#N/A,FALSE,"ENT96"}</definedName>
    <definedName name="wrn.FIN.ST." localSheetId="10"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10"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10"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10"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10" hidden="1">{#N/A,#N/A,FALSE,"Sheet1";#N/A,#N/A,FALSE,"Sheet2"}</definedName>
    <definedName name="wrn.fir." hidden="1">{#N/A,#N/A,FALSE,"Sheet1";#N/A,#N/A,FALSE,"Sheet2"}</definedName>
    <definedName name="wrn.Five._.Year._.Record." localSheetId="10" hidden="1">{"Five Year Record",#N/A,FALSE,"Front and Back"}</definedName>
    <definedName name="wrn.Five._.Year._.Record." hidden="1">{"Five Year Record",#N/A,FALSE,"Front and Back"}</definedName>
    <definedName name="wrn.Five._.Year._.Record.2" localSheetId="10" hidden="1">{"Five Year Record",#N/A,FALSE,"Front and Back"}</definedName>
    <definedName name="wrn.Five._.Year._.Record.2" hidden="1">{"Five Year Record",#N/A,FALSE,"Front and Back"}</definedName>
    <definedName name="wrn.FLOCK_GROWING_SBG_2." localSheetId="10" hidden="1">{#N/A,#N/A,FALSE,"H.SBG"}</definedName>
    <definedName name="wrn.FLOCK_GROWING_SBG_2." hidden="1">{#N/A,#N/A,FALSE,"H.SBG"}</definedName>
    <definedName name="wrn.Forecast._.Q1." localSheetId="10"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10"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0"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10"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0"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10"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0"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10"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0"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10"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0"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10"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10" hidden="1">{#N/A,#N/A,FALSE,"form912"}</definedName>
    <definedName name="wrn.FORM931." hidden="1">{#N/A,#N/A,FALSE,"form912"}</definedName>
    <definedName name="wrn.Front._.Page." localSheetId="10" hidden="1">{"Front Page",#N/A,FALSE,"Front and Back"}</definedName>
    <definedName name="wrn.Front._.Page." hidden="1">{"Front Page",#N/A,FALSE,"Front and Back"}</definedName>
    <definedName name="wrn.Front._.Page.2" localSheetId="10" hidden="1">{"Front Page",#N/A,FALSE,"Front and Back"}</definedName>
    <definedName name="wrn.Front._.Page.2" hidden="1">{"Front Page",#N/A,FALSE,"Front and Back"}</definedName>
    <definedName name="wrn.Fuel._.oil._.option." localSheetId="10" hidden="1">{"FUEL OIL",#N/A,FALSE,"Option"}</definedName>
    <definedName name="wrn.Fuel._.oil._.option." hidden="1">{"FUEL OIL",#N/A,FALSE,"Option"}</definedName>
    <definedName name="wrn.full." localSheetId="10"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10" hidden="1">{#N/A,#N/A,TRUE,"Cover sheet";#N/A,#N/A,TRUE,"DCF analysis";#N/A,#N/A,TRUE,"WACC calculation"}</definedName>
    <definedName name="wrn.Full._.model." hidden="1">{#N/A,#N/A,TRUE,"Cover sheet";#N/A,#N/A,TRUE,"DCF analysis";#N/A,#N/A,TRUE,"WACC calculation"}</definedName>
    <definedName name="wrn.Full._.Report." localSheetId="10"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10"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10"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10"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10"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10" hidden="1">{"Geographic P1",#N/A,FALSE,"Division &amp; Geog"}</definedName>
    <definedName name="wrn.Geographic._.Trends." hidden="1">{"Geographic P1",#N/A,FALSE,"Division &amp; Geog"}</definedName>
    <definedName name="wrn.Geographic._.Trends.2" localSheetId="10" hidden="1">{"Geographic P1",#N/A,FALSE,"Division &amp; Geog"}</definedName>
    <definedName name="wrn.Geographic._.Trends.2" hidden="1">{"Geographic P1",#N/A,FALSE,"Division &amp; Geog"}</definedName>
    <definedName name="wrn.George._.Viska." localSheetId="10" hidden="1">{#N/A,#N/A,FALSE,"Cost Report";#N/A,#N/A,FALSE,"Qtly Summ.";#N/A,#N/A,FALSE,"Mar  Qtr";#N/A,#N/A,FALSE,"Report Summary"}</definedName>
    <definedName name="wrn.George._.Viska." hidden="1">{#N/A,#N/A,FALSE,"Cost Report";#N/A,#N/A,FALSE,"Qtly Summ.";#N/A,#N/A,FALSE,"Mar  Qtr";#N/A,#N/A,FALSE,"Report Summary"}</definedName>
    <definedName name="wrn.George._.Viska._1" localSheetId="10" hidden="1">{#N/A,#N/A,FALSE,"Cost Report";#N/A,#N/A,FALSE,"Qtly Summ.";#N/A,#N/A,FALSE,"Mar  Qtr";#N/A,#N/A,FALSE,"Report Summary"}</definedName>
    <definedName name="wrn.George._.Viska._1" hidden="1">{#N/A,#N/A,FALSE,"Cost Report";#N/A,#N/A,FALSE,"Qtly Summ.";#N/A,#N/A,FALSE,"Mar  Qtr";#N/A,#N/A,FALSE,"Report Summary"}</definedName>
    <definedName name="wrn.Global._.CompCo." localSheetId="10"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10"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10" hidden="1">{"summary",#N/A,FALSE,"SUMMARY"}</definedName>
    <definedName name="wrn.GSA." hidden="1">{"summary",#N/A,FALSE,"SUMMARY"}</definedName>
    <definedName name="wrn.GSA._1" localSheetId="10" hidden="1">{"summary",#N/A,FALSE,"SUMMARY"}</definedName>
    <definedName name="wrn.GSA._1" hidden="1">{"summary",#N/A,FALSE,"SUMMARY"}</definedName>
    <definedName name="wrn.HALFYRCONTVAR." localSheetId="10"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10" hidden="1">{#N/A,#N/A,TRUE,"BAN LE"}</definedName>
    <definedName name="wrn.huy." hidden="1">{#N/A,#N/A,TRUE,"BAN LE"}</definedName>
    <definedName name="wrn.imp." localSheetId="10" hidden="1">{"vue1",#N/A,FALSE,"synthese";"vue2",#N/A,FALSE,"synthese"}</definedName>
    <definedName name="wrn.imp." hidden="1">{"vue1",#N/A,FALSE,"synthese";"vue2",#N/A,FALSE,"synthese"}</definedName>
    <definedName name="wrn.Industry.xls." localSheetId="10"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10"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10" hidden="1">{#N/A,#N/A,FALSE,"12MFC"}</definedName>
    <definedName name="wrn.INPUT." hidden="1">{#N/A,#N/A,FALSE,"12MFC"}</definedName>
    <definedName name="wrn.INPUT._1" localSheetId="10" hidden="1">{#N/A,#N/A,FALSE,"12MFC"}</definedName>
    <definedName name="wrn.INPUT._1" hidden="1">{#N/A,#N/A,FALSE,"12MFC"}</definedName>
    <definedName name="wrn.Inputs." localSheetId="10"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10"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10" hidden="1">{"BUILD_MACHINERIES",#N/A,FALSE,"PREPAID-1"}</definedName>
    <definedName name="wrn.INS._.BUILD._.MACH." hidden="1">{"BUILD_MACHINERIES",#N/A,FALSE,"PREPAID-1"}</definedName>
    <definedName name="wrn.INS._.BUILD._.MACH._1" localSheetId="10" hidden="1">{"BUILD_MACHINERIES",#N/A,FALSE,"PREPAID-1"}</definedName>
    <definedName name="wrn.INS._.BUILD._.MACH._1" hidden="1">{"BUILD_MACHINERIES",#N/A,FALSE,"PREPAID-1"}</definedName>
    <definedName name="wrn.INS._.HOSPITALIZATION." localSheetId="10" hidden="1">{"HOSPITALIZATION",#N/A,FALSE,"PREPAID-1"}</definedName>
    <definedName name="wrn.INS._.HOSPITALIZATION." hidden="1">{"HOSPITALIZATION",#N/A,FALSE,"PREPAID-1"}</definedName>
    <definedName name="wrn.INS._.HOSPITALIZATION._1" localSheetId="10" hidden="1">{"HOSPITALIZATION",#N/A,FALSE,"PREPAID-1"}</definedName>
    <definedName name="wrn.INS._.HOSPITALIZATION._1" hidden="1">{"HOSPITALIZATION",#N/A,FALSE,"PREPAID-1"}</definedName>
    <definedName name="wrn.INS._.INVENTORY." localSheetId="10" hidden="1">{"INV_INSURANCE",#N/A,FALSE,"PREPAID-1"}</definedName>
    <definedName name="wrn.INS._.INVENTORY." hidden="1">{"INV_INSURANCE",#N/A,FALSE,"PREPAID-1"}</definedName>
    <definedName name="wrn.INS._.INVENTORY._1" localSheetId="10" hidden="1">{"INV_INSURANCE",#N/A,FALSE,"PREPAID-1"}</definedName>
    <definedName name="wrn.INS._.INVENTORY._1" hidden="1">{"INV_INSURANCE",#N/A,FALSE,"PREPAID-1"}</definedName>
    <definedName name="wrn.INS._.PERS._.ACCD." localSheetId="10" hidden="1">{"PERS_ACCD",#N/A,FALSE,"PREPAID-1"}</definedName>
    <definedName name="wrn.INS._.PERS._.ACCD." hidden="1">{"PERS_ACCD",#N/A,FALSE,"PREPAID-1"}</definedName>
    <definedName name="wrn.INS._.PERS._.ACCD._1" localSheetId="10" hidden="1">{"PERS_ACCD",#N/A,FALSE,"PREPAID-1"}</definedName>
    <definedName name="wrn.INS._.PERS._.ACCD._1" hidden="1">{"PERS_ACCD",#N/A,FALSE,"PREPAID-1"}</definedName>
    <definedName name="wrn.ins_h.sbg." localSheetId="10" hidden="1">{#N/A,#N/A,FALSE,"H.SBG"}</definedName>
    <definedName name="wrn.ins_h.sbg." hidden="1">{#N/A,#N/A,FALSE,"H.SBG"}</definedName>
    <definedName name="wrn.international." localSheetId="10"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10"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10" hidden="1">{#N/A,#N/A,FALSE,"ENT96"}</definedName>
    <definedName name="wrn.Januari." hidden="1">{#N/A,#N/A,FALSE,"ENT96"}</definedName>
    <definedName name="wrn.Januari._1" localSheetId="10" hidden="1">{#N/A,#N/A,FALSE,"ENT96"}</definedName>
    <definedName name="wrn.Januari._1" hidden="1">{#N/A,#N/A,FALSE,"ENT96"}</definedName>
    <definedName name="wrn.jck94TAXRETURN."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10" hidden="1">{"JG FE Top",#N/A,FALSE,"JG FE $";"JG FE Bottom",#N/A,FALSE,"JG FE $"}</definedName>
    <definedName name="wrn.JG._.FE._.Dollar." hidden="1">{"JG FE Top",#N/A,FALSE,"JG FE $";"JG FE Bottom",#N/A,FALSE,"JG FE $"}</definedName>
    <definedName name="wrn.JG._.FE._.Yen." localSheetId="10" hidden="1">{"JG FE Top",#N/A,FALSE,"JG FE ¥";"JG FE Bottom",#N/A,FALSE,"JG FE ¥"}</definedName>
    <definedName name="wrn.JG._.FE._.Yen." hidden="1">{"JG FE Top",#N/A,FALSE,"JG FE ¥";"JG FE Bottom",#N/A,FALSE,"JG FE ¥"}</definedName>
    <definedName name="wrn.JVDEC04" localSheetId="10"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10"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10"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10"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10"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10"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10"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10"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10" hidden="1">{#N/A,#N/A,FALSE,"Cipta-All";#N/A,#N/A,FALSE,"Individual"}</definedName>
    <definedName name="wrn.KESPCal." hidden="1">{#N/A,#N/A,FALSE,"Cipta-All";#N/A,#N/A,FALSE,"Individual"}</definedName>
    <definedName name="wrn.KESPCal._1" localSheetId="10" hidden="1">{#N/A,#N/A,FALSE,"Cipta-All";#N/A,#N/A,FALSE,"Individual"}</definedName>
    <definedName name="wrn.KESPCal._1" hidden="1">{#N/A,#N/A,FALSE,"Cipta-All";#N/A,#N/A,FALSE,"Individual"}</definedName>
    <definedName name="wrn.keyplan." localSheetId="10"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1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10"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10"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10"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10"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10"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10"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10"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10" hidden="1">{"Line Efficiency",#N/A,FALSE,"Benchmarking"}</definedName>
    <definedName name="wrn.Line._.Efficiency." hidden="1">{"Line Efficiency",#N/A,FALSE,"Benchmarking"}</definedName>
    <definedName name="wrn.LOCAL." localSheetId="10" hidden="1">{"LOCAL",#N/A,FALSE,"conso";"LOCAL",#N/A,FALSE,"conso"}</definedName>
    <definedName name="wrn.LOCAL." hidden="1">{"LOCAL",#N/A,FALSE,"conso";"LOCAL",#N/A,FALSE,"conso"}</definedName>
    <definedName name="wrn.LPEBYCOUNTRY." localSheetId="10"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10"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10"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10"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10" hidden="1">{#N/A,#N/A,FALSE,"M01";#N/A,#N/A,FALSE,"M02";#N/A,#N/A,FALSE,"M03";#N/A,#N/A,FALSE,"M04";#N/A,#N/A,FALSE,"M05";#N/A,#N/A,FALSE,"M08"}</definedName>
    <definedName name="wrn.M." hidden="1">{#N/A,#N/A,FALSE,"M01";#N/A,#N/A,FALSE,"M02";#N/A,#N/A,FALSE,"M03";#N/A,#N/A,FALSE,"M04";#N/A,#N/A,FALSE,"M05";#N/A,#N/A,FALSE,"M08"}</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10" hidden="1">{"Area1",#N/A,TRUE,"Obiettivo";"Area2",#N/A,TRUE,"Dati per Direzione"}</definedName>
    <definedName name="wrn.mario" hidden="1">{"Area1",#N/A,TRUE,"Obiettivo";"Area2",#N/A,TRUE,"Dati per Direzione"}</definedName>
    <definedName name="wrn.Mario." localSheetId="10" hidden="1">{"Area1",#N/A,TRUE,"Obiettivo";"Area2",#N/A,TRUE,"Dati per Direzione"}</definedName>
    <definedName name="wrn.Mario." hidden="1">{"Area1",#N/A,TRUE,"Obiettivo";"Area2",#N/A,TRUE,"Dati per Direzione"}</definedName>
    <definedName name="wrn.markt." localSheetId="10" hidden="1">{#N/A,#N/A,FALSE,"M-ETH";#N/A,#N/A,FALSE,"M-PSO";#N/A,#N/A,FALSE,"M-BIO"}</definedName>
    <definedName name="wrn.markt." hidden="1">{#N/A,#N/A,FALSE,"M-ETH";#N/A,#N/A,FALSE,"M-PSO";#N/A,#N/A,FALSE,"M-BIO"}</definedName>
    <definedName name="wrn.markt._1" localSheetId="10" hidden="1">{#N/A,#N/A,FALSE,"M-ETH";#N/A,#N/A,FALSE,"M-PSO";#N/A,#N/A,FALSE,"M-BIO"}</definedName>
    <definedName name="wrn.markt._1" hidden="1">{#N/A,#N/A,FALSE,"M-ETH";#N/A,#N/A,FALSE,"M-PSO";#N/A,#N/A,FALSE,"M-BIO"}</definedName>
    <definedName name="wrn.Melbourne." localSheetId="10"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10"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10" hidden="1">{#N/A,#N/A,TRUE,"financial";#N/A,#N/A,TRUE,"plants"}</definedName>
    <definedName name="wrn.memo." hidden="1">{#N/A,#N/A,TRUE,"financial";#N/A,#N/A,TRUE,"plants"}</definedName>
    <definedName name="wrn.merger." localSheetId="1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10"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10"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10" hidden="1">{#N/A,#N/A,FALSE,"MonthlyPL"}</definedName>
    <definedName name="wrn.monthlyPL." hidden="1">{#N/A,#N/A,FALSE,"MonthlyPL"}</definedName>
    <definedName name="wrn.MPLTC." localSheetId="10" hidden="1">{#N/A,#N/A,FALSE,"Sheet1"}</definedName>
    <definedName name="wrn.MPLTC." hidden="1">{#N/A,#N/A,FALSE,"Sheet1"}</definedName>
    <definedName name="wrn.Murray._.Simons." localSheetId="10"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10"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10" hidden="1">{"NA Top",#N/A,FALSE,"NA Model";"NA Bottom",#N/A,FALSE,"NA Model"}</definedName>
    <definedName name="wrn.NA._.Model._.T._.and._.B." hidden="1">{"NA Top",#N/A,FALSE,"NA Model";"NA Bottom",#N/A,FALSE,"NA Model"}</definedName>
    <definedName name="wrn.NA._.Sched._.1._.and._.2." localSheetId="10" hidden="1">{"SCH1C",#N/A,FALSE,"North America";"SCH2C",#N/A,FALSE,"North America"}</definedName>
    <definedName name="wrn.NA._.Sched._.1._.and._.2." hidden="1">{"SCH1C",#N/A,FALSE,"North America";"SCH2C",#N/A,FALSE,"North America"}</definedName>
    <definedName name="wrn.NA._.Schedule._.1." localSheetId="10" hidden="1">{"SCH1C",#N/A,FALSE,"North America"}</definedName>
    <definedName name="wrn.NA._.Schedule._.1." hidden="1">{"SCH1C",#N/A,FALSE,"North America"}</definedName>
    <definedName name="wrn.NA._.Schedule._.2." localSheetId="10" hidden="1">{"SCH2C",#N/A,FALSE,"North America"}</definedName>
    <definedName name="wrn.NA._.Schedule._.2." hidden="1">{"SCH2C",#N/A,FALSE,"North America"}</definedName>
    <definedName name="wrn.NA_ULV._.Tand._.B." localSheetId="10" hidden="1">{"NA Top",#N/A,FALSE,"NA-ULV";"NA Bottom",#N/A,FALSE,"NA-ULV"}</definedName>
    <definedName name="wrn.NA_ULV._.Tand._.B." hidden="1">{"NA Top",#N/A,FALSE,"NA-ULV";"NA Bottom",#N/A,FALSE,"NA-ULV"}</definedName>
    <definedName name="wrn.Normal." localSheetId="10"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10"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10" hidden="1">{#N/A,#N/A,FALSE,"Outlook for Month ";#N/A,#N/A,FALSE,"Risk for Month ";#N/A,#N/A,FALSE,"Upside for Month"}</definedName>
    <definedName name="wrn.Outlook._.Report." hidden="1">{#N/A,#N/A,FALSE,"Outlook for Month ";#N/A,#N/A,FALSE,"Risk for Month ";#N/A,#N/A,FALSE,"Upside for Month"}</definedName>
    <definedName name="wrn.Outlook._.Report._1" localSheetId="10" hidden="1">{#N/A,#N/A,FALSE,"Outlook for Month ";#N/A,#N/A,FALSE,"Risk for Month ";#N/A,#N/A,FALSE,"Upside for Month"}</definedName>
    <definedName name="wrn.Outlook._.Report._1" hidden="1">{#N/A,#N/A,FALSE,"Outlook for Month ";#N/A,#N/A,FALSE,"Risk for Month ";#N/A,#N/A,FALSE,"Upside for Month"}</definedName>
    <definedName name="wrn.OUTPUT." localSheetId="10" hidden="1">{"DCF","UPSIDE CASE",FALSE,"Sheet1";"DCF","BASE CASE",FALSE,"Sheet1";"DCF","DOWNSIDE CASE",FALSE,"Sheet1"}</definedName>
    <definedName name="wrn.OUTPUT." hidden="1">{"DCF","UPSIDE CASE",FALSE,"Sheet1";"DCF","BASE CASE",FALSE,"Sheet1";"DCF","DOWNSIDE CASE",FALSE,"Sheet1"}</definedName>
    <definedName name="wrn.OUTPUT._1" localSheetId="10" hidden="1">{"DCF","UPSIDE CASE",FALSE,"Sheet1";"DCF","BASE CASE",FALSE,"Sheet1";"DCF","DOWNSIDE CASE",FALSE,"Sheet1"}</definedName>
    <definedName name="wrn.OUTPUT._1" hidden="1">{"DCF","UPSIDE CASE",FALSE,"Sheet1";"DCF","BASE CASE",FALSE,"Sheet1";"DCF","DOWNSIDE CASE",FALSE,"Sheet1"}</definedName>
    <definedName name="wrn.paging." localSheetId="10"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10"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10"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10"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10"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10"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10"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10" hidden="1">{"Graphic",#N/A,TRUE,"Graphic"}</definedName>
    <definedName name="wrn.PEWC1." hidden="1">{"Graphic",#N/A,TRUE,"Graphic"}</definedName>
    <definedName name="wrn.PEWC1._1" localSheetId="10" hidden="1">{"Graphic",#N/A,TRUE,"Graphic"}</definedName>
    <definedName name="wrn.PEWC1._1" hidden="1">{"Graphic",#N/A,TRUE,"Graphic"}</definedName>
    <definedName name="wrn.PL." localSheetId="10" hidden="1">{"PL1",#N/A,TRUE,"REVENUE STATEMENT"}</definedName>
    <definedName name="wrn.PL." hidden="1">{"PL1",#N/A,TRUE,"REVENUE STATEMENT"}</definedName>
    <definedName name="wrn.PL._1" localSheetId="10" hidden="1">{"PL1",#N/A,TRUE,"REVENUE STATEMENT"}</definedName>
    <definedName name="wrn.PL._1" hidden="1">{"PL1",#N/A,TRUE,"REVENUE STATEMENT"}</definedName>
    <definedName name="wrn.plbscf." localSheetId="10" hidden="1">{"p_l",#N/A,FALSE,"Summary Accounts"}</definedName>
    <definedName name="wrn.plbscf." hidden="1">{"p_l",#N/A,FALSE,"Summary Accounts"}</definedName>
    <definedName name="wrn.PLRP." localSheetId="10" hidden="1">{#N/A,#N/A,FALSE,"b_s &amp; p_l"}</definedName>
    <definedName name="wrn.PLRP." hidden="1">{#N/A,#N/A,FALSE,"b_s &amp; p_l"}</definedName>
    <definedName name="wrn.PLUSD." localSheetId="10" hidden="1">{#N/A,#N/A,FALSE,"b_s &amp; p_l"}</definedName>
    <definedName name="wrn.PLUSD." hidden="1">{#N/A,#N/A,FALSE,"b_s &amp; p_l"}</definedName>
    <definedName name="wrn.PRESENTATION." localSheetId="10"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10" hidden="1">{"print 1",#N/A,FALSE,"PrimeCo PCS";"print 2",#N/A,FALSE,"PrimeCo PCS";"valuation",#N/A,FALSE,"PrimeCo PCS"}</definedName>
    <definedName name="wrn.PrimeCo." hidden="1">{"print 1",#N/A,FALSE,"PrimeCo PCS";"print 2",#N/A,FALSE,"PrimeCo PCS";"valuation",#N/A,FALSE,"PrimeCo PCS"}</definedName>
    <definedName name="wrn.Principal." localSheetId="10" hidden="1">{#N/A,#N/A,FALSE,"Principal";#N/A,#N/A,FALSE,"Principal2"}</definedName>
    <definedName name="wrn.Principal." hidden="1">{#N/A,#N/A,FALSE,"Principal";#N/A,#N/A,FALSE,"Principal2"}</definedName>
    <definedName name="wrn.print." localSheetId="10"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10"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10"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10"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10"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10" hidden="1">{"Print Top",#N/A,FALSE,"Europe Model";"Print Bottom",#N/A,FALSE,"Europe Model"}</definedName>
    <definedName name="wrn.Print._.Europe._.TandB." hidden="1">{"Print Top",#N/A,FALSE,"Europe Model";"Print Bottom",#N/A,FALSE,"Europe Model"}</definedName>
    <definedName name="wrn.Print._.FE._.T._.and._.B." localSheetId="10" hidden="1">{"Far East Top",#N/A,FALSE,"FE Model";"Far East Bottom",#N/A,FALSE,"FE Model"}</definedName>
    <definedName name="wrn.Print._.FE._.T._.and._.B." hidden="1">{"Far East Top",#N/A,FALSE,"FE Model";"Far East Bottom",#N/A,FALSE,"FE Model"}</definedName>
    <definedName name="wrn.print._.pages." localSheetId="10"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10" hidden="1">{"standalone1",#N/A,FALSE,"DCFBase";"standalone2",#N/A,FALSE,"DCFBase"}</definedName>
    <definedName name="wrn.print._.standalone." hidden="1">{"standalone1",#N/A,FALSE,"DCFBase";"standalone2",#N/A,FALSE,"DCFBase"}</definedName>
    <definedName name="wrn.Print_CSC." localSheetId="10" hidden="1">{"CSC_1",#N/A,FALSE,"CSC Outputs";"CSC_2",#N/A,FALSE,"CSC Outputs"}</definedName>
    <definedName name="wrn.Print_CSC." hidden="1">{"CSC_1",#N/A,FALSE,"CSC Outputs";"CSC_2",#N/A,FALSE,"CSC Outputs"}</definedName>
    <definedName name="wrn.Print_CSC2" localSheetId="10" hidden="1">{"CSC_1",#N/A,FALSE,"CSC Outputs";"CSC_2",#N/A,FALSE,"CSC Outputs"}</definedName>
    <definedName name="wrn.Print_CSC2" hidden="1">{"CSC_1",#N/A,FALSE,"CSC Outputs";"CSC_2",#N/A,FALSE,"CSC Outputs"}</definedName>
    <definedName name="wrn.PrintAll." localSheetId="10"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10"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10"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10" hidden="1">{#N/A,#N/A,FALSE,"Sheet1";#N/A,#N/A,FALSE,"Sheet2";#N/A,#N/A,FALSE,"Sheet3"}</definedName>
    <definedName name="wrn.PrintCurr." hidden="1">{#N/A,#N/A,FALSE,"Sheet1";#N/A,#N/A,FALSE,"Sheet2";#N/A,#N/A,FALSE,"Sheet3"}</definedName>
    <definedName name="wrn.PrintPrev1." localSheetId="10" hidden="1">{#N/A,#N/A,FALSE,"Sheet4";#N/A,#N/A,FALSE,"Sheet5";#N/A,#N/A,FALSE,"Sheet6"}</definedName>
    <definedName name="wrn.PrintPrev1." hidden="1">{#N/A,#N/A,FALSE,"Sheet4";#N/A,#N/A,FALSE,"Sheet5";#N/A,#N/A,FALSE,"Sheet6"}</definedName>
    <definedName name="wrn.PrintPrev2." localSheetId="10" hidden="1">{#N/A,#N/A,FALSE,"Sheet7";#N/A,#N/A,FALSE,"Sheet8";#N/A,#N/A,FALSE,"Sheet9"}</definedName>
    <definedName name="wrn.PrintPrev2." hidden="1">{#N/A,#N/A,FALSE,"Sheet7";#N/A,#N/A,FALSE,"Sheet8";#N/A,#N/A,FALSE,"Sheet9"}</definedName>
    <definedName name="wrn.Profit._.and._.Loss." localSheetId="10"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10"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10" hidden="1">{"Pulp Production",#N/A,FALSE,"Pulp";"Pulp Earnings",#N/A,FALSE,"Pulp"}</definedName>
    <definedName name="wrn.Pulp." hidden="1">{"Pulp Production",#N/A,FALSE,"Pulp";"Pulp Earnings",#N/A,FALSE,"Pulp"}</definedName>
    <definedName name="wrn.Pulp._1" localSheetId="10" hidden="1">{"Pulp Production",#N/A,FALSE,"Pulp";"Pulp Earnings",#N/A,FALSE,"Pulp"}</definedName>
    <definedName name="wrn.Pulp._1" hidden="1">{"Pulp Production",#N/A,FALSE,"Pulp";"Pulp Earnings",#N/A,FALSE,"Pulp"}</definedName>
    <definedName name="wrn.Qtr._.Op._.Q1." localSheetId="10"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10"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10"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10"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10"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10"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10"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10"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10"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10"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10"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10"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10" hidden="1">{#N/A,#N/A,FALSE,"QR";#N/A,#N/A,FALSE,"R02";#N/A,#N/A,FALSE,"R04";#N/A,#N/A,FALSE,"R05";#N/A,#N/A,FALSE,"R08"}</definedName>
    <definedName name="wrn.Quater." hidden="1">{#N/A,#N/A,FALSE,"QR";#N/A,#N/A,FALSE,"R02";#N/A,#N/A,FALSE,"R04";#N/A,#N/A,FALSE,"R05";#N/A,#N/A,FALSE,"R08"}</definedName>
    <definedName name="wrn.rapport._.1." localSheetId="10"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10" hidden="1">{"ratios",#N/A,FALSE,"Summary Accounts"}</definedName>
    <definedName name="wrn.ratios." hidden="1">{"ratios",#N/A,FALSE,"Summary Accounts"}</definedName>
    <definedName name="wrn.RE." localSheetId="10" hidden="1">{#N/A,#N/A,FALSE,"CurrRE( BAHT)";#N/A,#N/A,FALSE,"CurrRE";#N/A,#N/A,FALSE,"B";#N/A,#N/A,FALSE,"INV level "}</definedName>
    <definedName name="wrn.RE." hidden="1">{#N/A,#N/A,FALSE,"CurrRE( BAHT)";#N/A,#N/A,FALSE,"CurrRE";#N/A,#N/A,FALSE,"B";#N/A,#N/A,FALSE,"INV level "}</definedName>
    <definedName name="wrn.Redundant._.Equipment._.Option." localSheetId="10" hidden="1">{"pumps",#N/A,FALSE,"Option"}</definedName>
    <definedName name="wrn.Redundant._.Equipment._.Option." hidden="1">{"pumps",#N/A,FALSE,"Option"}</definedName>
    <definedName name="wrn.rep1." localSheetId="10"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10"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10"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10"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10" hidden="1">{#N/A,#N/A,FALSE,"特殊室（ＢＱ表）"}</definedName>
    <definedName name="wrn.report1." hidden="1">{#N/A,#N/A,FALSE,"特殊室（ＢＱ表）"}</definedName>
    <definedName name="wrn.RHD._.RESERVE._.REPORT." localSheetId="10"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10"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10" hidden="1">{#N/A,#N/A,FALSE,"REG";#N/A,#N/A,FALSE,"MED"}</definedName>
    <definedName name="wrn.riset." hidden="1">{#N/A,#N/A,FALSE,"REG";#N/A,#N/A,FALSE,"MED"}</definedName>
    <definedName name="wrn.riset._1" localSheetId="10" hidden="1">{#N/A,#N/A,FALSE,"REG";#N/A,#N/A,FALSE,"MED"}</definedName>
    <definedName name="wrn.riset._1" hidden="1">{#N/A,#N/A,FALSE,"REG";#N/A,#N/A,FALSE,"MED"}</definedName>
    <definedName name="wrn.Rob._.Smith." localSheetId="10" hidden="1">{#N/A,#N/A,FALSE,"Cost Report";"Geology",#N/A,FALSE,"Cost Summary";"Geolgy Recon",#N/A,FALSE,"UG Geology Rep."}</definedName>
    <definedName name="wrn.Rob._.Smith." hidden="1">{#N/A,#N/A,FALSE,"Cost Report";"Geology",#N/A,FALSE,"Cost Summary";"Geolgy Recon",#N/A,FALSE,"UG Geology Rep."}</definedName>
    <definedName name="wrn.Rob._.Smith._1" localSheetId="10" hidden="1">{#N/A,#N/A,FALSE,"Cost Report";"Geology",#N/A,FALSE,"Cost Summary";"Geolgy Recon",#N/A,FALSE,"UG Geology Rep."}</definedName>
    <definedName name="wrn.Rob._.Smith._1" hidden="1">{#N/A,#N/A,FALSE,"Cost Report";"Geology",#N/A,FALSE,"Cost Summary";"Geolgy Recon",#N/A,FALSE,"UG Geology Rep."}</definedName>
    <definedName name="wrn.rp_only." localSheetId="10" hidden="1">{"rp_only",#N/A,FALSE,"2225"}</definedName>
    <definedName name="wrn.rp_only." hidden="1">{"rp_only",#N/A,FALSE,"2225"}</definedName>
    <definedName name="wrn.rp_only.." localSheetId="10" hidden="1">{"rp_only",#N/A,FALSE,"2225"}</definedName>
    <definedName name="wrn.rp_only.." hidden="1">{"rp_only",#N/A,FALSE,"2225"}</definedName>
    <definedName name="wrn.rp_only..." localSheetId="10" hidden="1">{"rp_only",#N/A,FALSE,"2225"}</definedName>
    <definedName name="wrn.rp_only..." hidden="1">{"rp_only",#N/A,FALSE,"2225"}</definedName>
    <definedName name="wrn.rp_only..._1" localSheetId="10" hidden="1">{"rp_only",#N/A,FALSE,"2225"}</definedName>
    <definedName name="wrn.rp_only..._1" hidden="1">{"rp_only",#N/A,FALSE,"2225"}</definedName>
    <definedName name="wrn.rp_only.._1" localSheetId="10" hidden="1">{"rp_only",#N/A,FALSE,"2225"}</definedName>
    <definedName name="wrn.rp_only.._1" hidden="1">{"rp_only",#N/A,FALSE,"2225"}</definedName>
    <definedName name="wrn.rp_only._1" localSheetId="10" hidden="1">{"rp_only",#N/A,FALSE,"2225"}</definedName>
    <definedName name="wrn.rp_only._1" hidden="1">{"rp_only",#N/A,FALSE,"2225"}</definedName>
    <definedName name="wrn.RPT." localSheetId="10"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10"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10" hidden="1">{#N/A,#N/A,FALSE,"REK-S-TPL";#N/A,#N/A,FALSE,"REK-TPML";#N/A,#N/A,FALSE,"RAB-TEMPEL"}</definedName>
    <definedName name="wrn.rtpl." hidden="1">{#N/A,#N/A,FALSE,"REK-S-TPL";#N/A,#N/A,FALSE,"REK-TPML";#N/A,#N/A,FALSE,"RAB-TEMPEL"}</definedName>
    <definedName name="wrn.RTS." localSheetId="10" hidden="1">{"rts",#N/A,TRUE,"TITLE";#N/A,#N/A,TRUE,"P&amp;L - RTS";#N/A,#N/A,TRUE,"RTS biz";#N/A,#N/A,TRUE,"Cost - RTS";"RTS",#N/A,TRUE,"Capex "}</definedName>
    <definedName name="wrn.RTS." hidden="1">{"rts",#N/A,TRUE,"TITLE";#N/A,#N/A,TRUE,"P&amp;L - RTS";#N/A,#N/A,TRUE,"RTS biz";#N/A,#N/A,TRUE,"Cost - RTS";"RTS",#N/A,TRUE,"Capex "}</definedName>
    <definedName name="wrn.RTS._1" localSheetId="10" hidden="1">{"rts",#N/A,TRUE,"TITLE";#N/A,#N/A,TRUE,"P&amp;L - RTS";#N/A,#N/A,TRUE,"RTS biz";#N/A,#N/A,TRUE,"Cost - RTS";"RTS",#N/A,TRUE,"Capex "}</definedName>
    <definedName name="wrn.RTS._1" hidden="1">{"rts",#N/A,TRUE,"TITLE";#N/A,#N/A,TRUE,"P&amp;L - RTS";#N/A,#N/A,TRUE,"RTS biz";#N/A,#N/A,TRUE,"Cost - RTS";"RTS",#N/A,TRUE,"Capex "}</definedName>
    <definedName name="wrn.ry." localSheetId="10" hidden="1">{#N/A,#N/A,FALSE,"REK";#N/A,#N/A,FALSE,"rab"}</definedName>
    <definedName name="wrn.ry." hidden="1">{#N/A,#N/A,FALSE,"REK";#N/A,#N/A,FALSE,"rab"}</definedName>
    <definedName name="wrn.SA_MTHREP." localSheetId="10"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10"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10" hidden="1">{#N/A,#N/A,FALSE,"ins_sbg_2"}</definedName>
    <definedName name="wrn.SBG_2." hidden="1">{#N/A,#N/A,FALSE,"ins_sbg_2"}</definedName>
    <definedName name="wrn.selling." localSheetId="10" hidden="1">{#N/A,#N/A,FALSE,"S-ETH";#N/A,#N/A,FALSE,"S-PSO"}</definedName>
    <definedName name="wrn.selling." hidden="1">{#N/A,#N/A,FALSE,"S-ETH";#N/A,#N/A,FALSE,"S-PSO"}</definedName>
    <definedName name="wrn.selling._1" localSheetId="10" hidden="1">{#N/A,#N/A,FALSE,"S-ETH";#N/A,#N/A,FALSE,"S-PSO"}</definedName>
    <definedName name="wrn.selling._1" hidden="1">{#N/A,#N/A,FALSE,"S-ETH";#N/A,#N/A,FALSE,"S-PSO"}</definedName>
    <definedName name="wrn.sensitivity." localSheetId="10" hidden="1">{"sensitivity",#N/A,FALSE,"Sensitivity"}</definedName>
    <definedName name="wrn.sensitivity." hidden="1">{"sensitivity",#N/A,FALSE,"Sensitivity"}</definedName>
    <definedName name="wrn.sensitivity._.analyses." localSheetId="10" hidden="1">{"general",#N/A,FALSE,"Assumptions"}</definedName>
    <definedName name="wrn.sensitivity._.analyses." hidden="1">{"general",#N/A,FALSE,"Assumptions"}</definedName>
    <definedName name="wrn.Seth." localSheetId="10"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10"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10"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10"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10" hidden="1">{#N/A,#N/A,FALSE,"CBE";#N/A,#N/A,FALSE,"SWK"}</definedName>
    <definedName name="wrn.stand_alone." hidden="1">{#N/A,#N/A,FALSE,"CBE";#N/A,#N/A,FALSE,"SWK"}</definedName>
    <definedName name="wrn.Standard." localSheetId="10"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10"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10" hidden="1">{"turbine",#N/A,FALSE,"Option"}</definedName>
    <definedName name="wrn.STG._.BLDG._.ENCLOSURE." hidden="1">{"turbine",#N/A,FALSE,"Option"}</definedName>
    <definedName name="wrn.struckgi." localSheetId="10" hidden="1">{#N/A,#N/A,TRUE,"arnitower";#N/A,#N/A,TRUE,"arnigarage "}</definedName>
    <definedName name="wrn.struckgi." hidden="1">{#N/A,#N/A,TRUE,"arnitower";#N/A,#N/A,TRUE,"arnigarage "}</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10"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10"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10"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10"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10"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10"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10"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10"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10" hidden="1">{#N/A,#N/A,FALSE,"TAX COMPUTATION";#N/A,#N/A,FALSE,"TAX SCHEDULE";#N/A,#N/A,FALSE,"ADDITIONS";#N/A,#N/A,FALSE,"W &amp; T"}</definedName>
    <definedName name="wrn.TAX._.COMPUTATION._1" hidden="1">{#N/A,#N/A,FALSE,"TAX COMPUTATION";#N/A,#N/A,FALSE,"TAX SCHEDULE";#N/A,#N/A,FALSE,"ADDITIONS";#N/A,#N/A,FALSE,"W &amp; T"}</definedName>
    <definedName name="wrn.tax._.schedules." localSheetId="1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1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10" hidden="1">{"Inputs",#N/A,FALSE,"US_FL";"Inputs",#N/A,FALSE,"EUROPE_FL";"Inputs",#N/A,FALSE,"ASIA_FL"}</definedName>
    <definedName name="wrn.Telstra._.Inputs." hidden="1">{"Inputs",#N/A,FALSE,"US_FL";"Inputs",#N/A,FALSE,"EUROPE_FL";"Inputs",#N/A,FALSE,"ASIA_FL"}</definedName>
    <definedName name="wrn.Telstra._.Inputs._1" localSheetId="10" hidden="1">{"Inputs",#N/A,FALSE,"US_FL";"Inputs",#N/A,FALSE,"EUROPE_FL";"Inputs",#N/A,FALSE,"ASIA_FL"}</definedName>
    <definedName name="wrn.Telstra._.Inputs._1" hidden="1">{"Inputs",#N/A,FALSE,"US_FL";"Inputs",#N/A,FALSE,"EUROPE_FL";"Inputs",#N/A,FALSE,"ASIA_FL"}</definedName>
    <definedName name="wrn.Telstra._.Output." localSheetId="10" hidden="1">{"Output",#N/A,FALSE,"US_FL";"Output",#N/A,FALSE,"EUROPE_FL";"Output",#N/A,FALSE,"ASIA_FL"}</definedName>
    <definedName name="wrn.Telstra._.Output." hidden="1">{"Output",#N/A,FALSE,"US_FL";"Output",#N/A,FALSE,"EUROPE_FL";"Output",#N/A,FALSE,"ASIA_FL"}</definedName>
    <definedName name="wrn.Telstra._.Output._1" localSheetId="10" hidden="1">{"Output",#N/A,FALSE,"US_FL";"Output",#N/A,FALSE,"EUROPE_FL";"Output",#N/A,FALSE,"ASIA_FL"}</definedName>
    <definedName name="wrn.Telstra._.Output._1" hidden="1">{"Output",#N/A,FALSE,"US_FL";"Output",#N/A,FALSE,"EUROPE_FL";"Output",#N/A,FALSE,"ASIA_FL"}</definedName>
    <definedName name="wrn.test." localSheetId="10" hidden="1">{"test",#N/A,FALSE,"Dividend"}</definedName>
    <definedName name="wrn.test." hidden="1">{"test",#N/A,FALSE,"Dividend"}</definedName>
    <definedName name="wrn.test._1" localSheetId="10" hidden="1">{"test",#N/A,FALSE,"Dividend"}</definedName>
    <definedName name="wrn.test._1" hidden="1">{"test",#N/A,FALSE,"Dividend"}</definedName>
    <definedName name="wrn.Things." localSheetId="10" hidden="1">{#N/A,#N/A,FALSE,"Bank Rec Cover Sheet";#N/A,#N/A,FALSE,"Bank Rec Details"}</definedName>
    <definedName name="wrn.Things." hidden="1">{#N/A,#N/A,FALSE,"Bank Rec Cover Sheet";#N/A,#N/A,FALSE,"Bank Rec Details"}</definedName>
    <definedName name="wrn.Things._1" localSheetId="10" hidden="1">{#N/A,#N/A,FALSE,"Bank Rec Cover Sheet";#N/A,#N/A,FALSE,"Bank Rec Details"}</definedName>
    <definedName name="wrn.Things._1" hidden="1">{#N/A,#N/A,FALSE,"Bank Rec Cover Sheet";#N/A,#N/A,FALSE,"Bank Rec Details"}</definedName>
    <definedName name="wrn.totalcomp." localSheetId="10" hidden="1">{"comp1",#N/A,FALSE,"COMPS";"footnotes",#N/A,FALSE,"COMPS"}</definedName>
    <definedName name="wrn.totalcomp." hidden="1">{"comp1",#N/A,FALSE,"COMPS";"footnotes",#N/A,FALSE,"COMPS"}</definedName>
    <definedName name="wrn.Tout._.Sauf._.BG." localSheetId="10"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10" hidden="1">{"trans assumptions",#N/A,FALSE,"Merger";"trans accretion",#N/A,FALSE,"Merger"}</definedName>
    <definedName name="wrn.trans._.sum." hidden="1">{"trans assumptions",#N/A,FALSE,"Merger";"trans accretion",#N/A,FALSE,"Merger"}</definedName>
    <definedName name="wrn.Trial._.Balance." localSheetId="10" hidden="1">{#N/A,#N/A,FALSE,"TBF1"}</definedName>
    <definedName name="wrn.Trial._.Balance." hidden="1">{#N/A,#N/A,FALSE,"TBF1"}</definedName>
    <definedName name="wrn.Trial._.Balance._1" localSheetId="10" hidden="1">{#N/A,#N/A,FALSE,"TBF1"}</definedName>
    <definedName name="wrn.Trial._.Balance._1" hidden="1">{#N/A,#N/A,FALSE,"TBF1"}</definedName>
    <definedName name="wrn.tuan." localSheetId="10" hidden="1">{#N/A,#N/A,FALSE,"LEDGERSUMARY"}</definedName>
    <definedName name="wrn.tuan." hidden="1">{#N/A,#N/A,FALSE,"LEDGERSUMARY"}</definedName>
    <definedName name="wrn.tuan._1" localSheetId="10" hidden="1">{#N/A,#N/A,FALSE,"LEDGERSUMARY"}</definedName>
    <definedName name="wrn.tuan._1" hidden="1">{#N/A,#N/A,FALSE,"LEDGERSUMARY"}</definedName>
    <definedName name="wrn.Tweety." localSheetId="10" hidden="1">{#N/A,#N/A,FALSE,"A&amp;E";#N/A,#N/A,FALSE,"HighTop";#N/A,#N/A,FALSE,"JG";#N/A,#N/A,FALSE,"RI";#N/A,#N/A,FALSE,"woHT";#N/A,#N/A,FALSE,"woHT&amp;JG"}</definedName>
    <definedName name="wrn.Tweety." hidden="1">{#N/A,#N/A,FALSE,"A&amp;E";#N/A,#N/A,FALSE,"HighTop";#N/A,#N/A,FALSE,"JG";#N/A,#N/A,FALSE,"RI";#N/A,#N/A,FALSE,"woHT";#N/A,#N/A,FALSE,"woHT&amp;JG"}</definedName>
    <definedName name="wrn.Umsatz." localSheetId="10" hidden="1">{#N/A,#N/A,FALSE,"Umsatz";#N/A,#N/A,FALSE,"Base V.02";#N/A,#N/A,FALSE,"Charts"}</definedName>
    <definedName name="wrn.Umsatz." hidden="1">{#N/A,#N/A,FALSE,"Umsatz";#N/A,#N/A,FALSE,"Base V.02";#N/A,#N/A,FALSE,"Charts"}</definedName>
    <definedName name="wrn.unitcase." localSheetId="10" hidden="1">{#N/A,#N/A,FALSE,"REPORTpg1";#N/A,#N/A,FALSE,"REPORTpg2";#N/A,#N/A,FALSE,"REPORTpg3"}</definedName>
    <definedName name="wrn.unitcase." hidden="1">{#N/A,#N/A,FALSE,"REPORTpg1";#N/A,#N/A,FALSE,"REPORTpg2";#N/A,#N/A,FALSE,"REPORTpg3"}</definedName>
    <definedName name="wrn.up." localSheetId="10" hidden="1">{"up stand alones",#N/A,FALSE,"Acquiror"}</definedName>
    <definedName name="wrn.up." hidden="1">{"up stand alones",#N/A,FALSE,"Acquiror"}</definedName>
    <definedName name="wrn.Upper._.Case." localSheetId="10"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10" hidden="1">{"SCH1A",#N/A,FALSE,"US";"SCH2A",#N/A,FALSE,"US"}</definedName>
    <definedName name="wrn.US._.Sched._.1._.and._.2." hidden="1">{"SCH1A",#N/A,FALSE,"US";"SCH2A",#N/A,FALSE,"US"}</definedName>
    <definedName name="wrn.US._.Schedule._.1." localSheetId="10" hidden="1">{"SCH1A",#N/A,FALSE,"US"}</definedName>
    <definedName name="wrn.US._.Schedule._.1." hidden="1">{"SCH1A",#N/A,FALSE,"US"}</definedName>
    <definedName name="wrn.US._.Schedule._.2." localSheetId="10" hidden="1">{"SCH2A",#N/A,FALSE,"US"}</definedName>
    <definedName name="wrn.US._.Schedule._.2." hidden="1">{"SCH2A",#N/A,FALSE,"US"}</definedName>
    <definedName name="wrn.UTL._.Position." localSheetId="10" hidden="1">{"UTL effect",#N/A,FALSE,"Sensitivity"}</definedName>
    <definedName name="wrn.UTL._.Position." hidden="1">{"UTL effect",#N/A,FALSE,"Sensitivity"}</definedName>
    <definedName name="wrn.valderrama." localSheetId="10" hidden="1">{"valderrama1",#N/A,FALSE,"Pro Forma";"valderrama",#N/A,FALSE,"Pro Forma"}</definedName>
    <definedName name="wrn.valderrama." hidden="1">{"valderrama1",#N/A,FALSE,"Pro Forma";"valderrama",#N/A,FALSE,"Pro Forma"}</definedName>
    <definedName name="wrn.valuation." localSheetId="10" hidden="1">{#N/A,#N/A,FALSE,"Valuation";#N/A,#N/A,FALSE,"Valuation (5)";#N/A,#N/A,FALSE,"Valuation (2)";#N/A,#N/A,FALSE,"Valuation (3)"}</definedName>
    <definedName name="wrn.valuation." hidden="1">{#N/A,#N/A,FALSE,"Valuation";#N/A,#N/A,FALSE,"Valuation (5)";#N/A,#N/A,FALSE,"Valuation (2)";#N/A,#N/A,FALSE,"Valuation (3)"}</definedName>
    <definedName name="wrn.Valuation._.Package._.1." localSheetId="10"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10" hidden="1">{#N/A,#N/A,FALSE,"M06";#N/A,#N/A,FALSE,"M07"}</definedName>
    <definedName name="wrn.Variance." hidden="1">{#N/A,#N/A,FALSE,"M06";#N/A,#N/A,FALSE,"M07"}</definedName>
    <definedName name="wrn.Variance._.3." localSheetId="10" hidden="1">{"Variance Q3",#N/A,FALSE,"Var"}</definedName>
    <definedName name="wrn.Variance._.3." hidden="1">{"Variance Q3",#N/A,FALSE,"Var"}</definedName>
    <definedName name="wrn.Variance._.3._1" localSheetId="10" hidden="1">{"Variance Q3",#N/A,FALSE,"Var"}</definedName>
    <definedName name="wrn.Variance._.3._1" hidden="1">{"Variance Q3",#N/A,FALSE,"Var"}</definedName>
    <definedName name="wrn.Variance._.Q1." localSheetId="10" hidden="1">{"Variance Q1",#N/A,FALSE,"Var"}</definedName>
    <definedName name="wrn.Variance._.Q1." hidden="1">{"Variance Q1",#N/A,FALSE,"Var"}</definedName>
    <definedName name="wrn.Variance._.Q1._1" localSheetId="10" hidden="1">{"Variance Q1",#N/A,FALSE,"Var"}</definedName>
    <definedName name="wrn.Variance._.Q1._1" hidden="1">{"Variance Q1",#N/A,FALSE,"Var"}</definedName>
    <definedName name="wrn.Variance._.Q2." localSheetId="10" hidden="1">{"Variance Q2",#N/A,FALSE,"Var"}</definedName>
    <definedName name="wrn.Variance._.Q2." hidden="1">{"Variance Q2",#N/A,FALSE,"Var"}</definedName>
    <definedName name="wrn.Variance._.Q2._1" localSheetId="10" hidden="1">{"Variance Q2",#N/A,FALSE,"Var"}</definedName>
    <definedName name="wrn.Variance._.Q2._1" hidden="1">{"Variance Q2",#N/A,FALSE,"Var"}</definedName>
    <definedName name="wrn.Variance._.Q3." localSheetId="10" hidden="1">{"Variance Q3",#N/A,FALSE,"Var"}</definedName>
    <definedName name="wrn.Variance._.Q3." hidden="1">{"Variance Q3",#N/A,FALSE,"Var"}</definedName>
    <definedName name="wrn.Variance._.Q3._1" localSheetId="10" hidden="1">{"Variance Q3",#N/A,FALSE,"Var"}</definedName>
    <definedName name="wrn.Variance._.Q3._1" hidden="1">{"Variance Q3",#N/A,FALSE,"Var"}</definedName>
    <definedName name="wrn.Variance._.Q4" localSheetId="10" hidden="1">{"Variance Q4",#N/A,FALSE,"Var"}</definedName>
    <definedName name="wrn.Variance._.Q4" hidden="1">{"Variance Q4",#N/A,FALSE,"Var"}</definedName>
    <definedName name="wrn.Variance._.Q4." localSheetId="10" hidden="1">{"Variance Q4",#N/A,FALSE,"Var"}</definedName>
    <definedName name="wrn.Variance._.Q4." hidden="1">{"Variance Q4",#N/A,FALSE,"Var"}</definedName>
    <definedName name="wrn.Variance._.Q4._1" localSheetId="10" hidden="1">{"Variance Q4",#N/A,FALSE,"Var"}</definedName>
    <definedName name="wrn.Variance._.Q4._1" hidden="1">{"Variance Q4",#N/A,FALSE,"Var"}</definedName>
    <definedName name="wrn.Variance._.Q4_1" localSheetId="10" hidden="1">{"Variance Q4",#N/A,FALSE,"Var"}</definedName>
    <definedName name="wrn.Variance._.Q4_1" hidden="1">{"Variance Q4",#N/A,FALSE,"Var"}</definedName>
    <definedName name="wrn.vd." localSheetId="10" hidden="1">{#N/A,#N/A,TRUE,"BT M200 da 10x20"}</definedName>
    <definedName name="wrn.vd." hidden="1">{#N/A,#N/A,TRUE,"BT M200 da 10x20"}</definedName>
    <definedName name="wrn.VECICLE_INS." localSheetId="10" hidden="1">{"VEHICLE_INS",#N/A,FALSE,"PREPAID-1"}</definedName>
    <definedName name="wrn.VECICLE_INS." hidden="1">{"VEHICLE_INS",#N/A,FALSE,"PREPAID-1"}</definedName>
    <definedName name="wrn.VECICLE_INS._1" localSheetId="10" hidden="1">{"VEHICLE_INS",#N/A,FALSE,"PREPAID-1"}</definedName>
    <definedName name="wrn.VECICLE_INS._1" hidden="1">{"VEHICLE_INS",#N/A,FALSE,"PREPAID-1"}</definedName>
    <definedName name="wrn.Wacc." localSheetId="10" hidden="1">{"Area1",#N/A,FALSE,"OREWACC";"Area2",#N/A,FALSE,"OREWACC"}</definedName>
    <definedName name="wrn.Wacc." hidden="1">{"Area1",#N/A,FALSE,"OREWACC";"Area2",#N/A,FALSE,"OREWACC"}</definedName>
    <definedName name="wrn.Wacc._1" localSheetId="10" hidden="1">{"Area1",#N/A,FALSE,"OREWACC";"Area2",#N/A,FALSE,"OREWACC"}</definedName>
    <definedName name="wrn.Wacc._1" hidden="1">{"Area1",#N/A,FALSE,"OREWACC";"Area2",#N/A,FALSE,"OREWACC"}</definedName>
    <definedName name="wrn.Water." localSheetId="10" hidden="1">{#N/A,#N/A,FALSE,"Water";#N/A,#N/A,FALSE,"Ballygowan";#N/A,#N/A,FALSE,"Volvic"}</definedName>
    <definedName name="wrn.Water." hidden="1">{#N/A,#N/A,FALSE,"Water";#N/A,#N/A,FALSE,"Ballygowan";#N/A,#N/A,FALSE,"Volvic"}</definedName>
    <definedName name="wrn.whole._.document." localSheetId="10"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10"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10" hidden="1">{"WESTINGHOUSE",#N/A,FALSE,"Option"}</definedName>
    <definedName name="wrn.WHOUSE._.CT." hidden="1">{"WESTINGHOUSE",#N/A,FALSE,"Option"}</definedName>
    <definedName name="wrn.WineSpirits." localSheetId="10" hidden="1">{#N/A,#N/A,FALSE,"W&amp;Spirits";#N/A,#N/A,FALSE,"Grants";#N/A,#N/A,FALSE,"CCB"}</definedName>
    <definedName name="wrn.WineSpirits." hidden="1">{#N/A,#N/A,FALSE,"W&amp;Spirits";#N/A,#N/A,FALSE,"Grants";#N/A,#N/A,FALSE,"CCB"}</definedName>
    <definedName name="wrn.with_oth_curr." localSheetId="10" hidden="1">{"with_oth_curr",#N/A,FALSE,"2225"}</definedName>
    <definedName name="wrn.with_oth_curr." hidden="1">{"with_oth_curr",#N/A,FALSE,"2225"}</definedName>
    <definedName name="wrn.with_oth_curr.." localSheetId="10" hidden="1">{"with_oth_curr",#N/A,FALSE,"2225"}</definedName>
    <definedName name="wrn.with_oth_curr.." hidden="1">{"with_oth_curr",#N/A,FALSE,"2225"}</definedName>
    <definedName name="wrn.with_oth_curr..." localSheetId="10" hidden="1">{"with_oth_curr",#N/A,FALSE,"2225"}</definedName>
    <definedName name="wrn.with_oth_curr..." hidden="1">{"with_oth_curr",#N/A,FALSE,"2225"}</definedName>
    <definedName name="wrn.with_oth_curr..._1" localSheetId="10" hidden="1">{"with_oth_curr",#N/A,FALSE,"2225"}</definedName>
    <definedName name="wrn.with_oth_curr..._1" hidden="1">{"with_oth_curr",#N/A,FALSE,"2225"}</definedName>
    <definedName name="wrn.with_oth_curr.._1" localSheetId="10" hidden="1">{"with_oth_curr",#N/A,FALSE,"2225"}</definedName>
    <definedName name="wrn.with_oth_curr.._1" hidden="1">{"with_oth_curr",#N/A,FALSE,"2225"}</definedName>
    <definedName name="wrn.with_oth_curr._1" localSheetId="10" hidden="1">{"with_oth_curr",#N/A,FALSE,"2225"}</definedName>
    <definedName name="wrn.with_oth_curr._1" hidden="1">{"with_oth_curr",#N/A,FALSE,"2225"}</definedName>
    <definedName name="wrn.간단한세무조정계산서." localSheetId="1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1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1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10" hidden="1">{#N/A,#N/A,FALSE,"INCOME STATE";#N/A,#N/A,FALSE,"TOT EXP";#N/A,#N/A,FALSE,"PROMO";#N/A,#N/A,FALSE,"NTS RP"}</definedName>
    <definedName name="WRN_1" hidden="1">{#N/A,#N/A,FALSE,"INCOME STATE";#N/A,#N/A,FALSE,"TOT EXP";#N/A,#N/A,FALSE,"PROMO";#N/A,#N/A,FALSE,"NTS RP"}</definedName>
    <definedName name="wrn1.PLUSD." localSheetId="10" hidden="1">{#N/A,#N/A,FALSE,"b_s &amp; p_l"}</definedName>
    <definedName name="wrn1.PLUSD." hidden="1">{#N/A,#N/A,FALSE,"b_s &amp; p_l"}</definedName>
    <definedName name="wrn2.Bplan." localSheetId="10" hidden="1">{#N/A,#N/A,FALSE,"F_Plan";#N/A,#N/A,FALSE,"Parameter"}</definedName>
    <definedName name="wrn2.Bplan." hidden="1">{#N/A,#N/A,FALSE,"F_Plan";#N/A,#N/A,FALSE,"Parameter"}</definedName>
    <definedName name="WRN2.Document" localSheetId="10" hidden="1">{"consolidated",#N/A,FALSE,"Sheet1";"cms",#N/A,FALSE,"Sheet1";"fse",#N/A,FALSE,"Sheet1"}</definedName>
    <definedName name="WRN2.Document" hidden="1">{"consolidated",#N/A,FALSE,"Sheet1";"cms",#N/A,FALSE,"Sheet1";"fse",#N/A,FALSE,"Sheet1"}</definedName>
    <definedName name="WRS" localSheetId="10" hidden="1">{"'장비'!$A$3:$M$12"}</definedName>
    <definedName name="WRS" hidden="1">{"'장비'!$A$3:$M$12"}</definedName>
    <definedName name="wrtwtw" localSheetId="10" hidden="1">{"rp_only",#N/A,FALSE,"2225"}</definedName>
    <definedName name="wrtwtw" hidden="1">{"rp_only",#N/A,FALSE,"2225"}</definedName>
    <definedName name="wrtwtw_1" localSheetId="10" hidden="1">{"rp_only",#N/A,FALSE,"2225"}</definedName>
    <definedName name="wrtwtw_1" hidden="1">{"rp_only",#N/A,FALSE,"2225"}</definedName>
    <definedName name="wrw" localSheetId="10" hidden="1">{"rp_only",#N/A,FALSE,"2225"}</definedName>
    <definedName name="wrw" hidden="1">{"rp_only",#N/A,FALSE,"2225"}</definedName>
    <definedName name="wrw_1" localSheetId="10" hidden="1">{"rp_only",#N/A,FALSE,"2225"}</definedName>
    <definedName name="wrw_1" hidden="1">{"rp_only",#N/A,FALSE,"2225"}</definedName>
    <definedName name="wrwe" localSheetId="10" hidden="1">{"'Feb 99'!$A$1:$G$30"}</definedName>
    <definedName name="wrwe" hidden="1">{"'Feb 99'!$A$1:$G$30"}</definedName>
    <definedName name="wrwerw" localSheetId="10" hidden="1">{"rp_only",#N/A,FALSE,"2225"}</definedName>
    <definedName name="wrwerw" hidden="1">{"rp_only",#N/A,FALSE,"2225"}</definedName>
    <definedName name="wrwerw_1" localSheetId="10" hidden="1">{"rp_only",#N/A,FALSE,"2225"}</definedName>
    <definedName name="wrwerw_1" hidden="1">{"rp_only",#N/A,FALSE,"2225"}</definedName>
    <definedName name="wrwr" localSheetId="10" hidden="1">{"rp_only",#N/A,FALSE,"2225"}</definedName>
    <definedName name="wrwr" hidden="1">{"rp_only",#N/A,FALSE,"2225"}</definedName>
    <definedName name="wrwr_1" localSheetId="10" hidden="1">{"rp_only",#N/A,FALSE,"2225"}</definedName>
    <definedName name="wrwr_1" hidden="1">{"rp_only",#N/A,FALSE,"2225"}</definedName>
    <definedName name="WS">#REF!</definedName>
    <definedName name="ws_indirect" localSheetId="10"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10"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localSheetId="10" hidden="1">{"with_oth_curr",#N/A,FALSE,"2225"}</definedName>
    <definedName name="WTEFD" hidden="1">{"with_oth_curr",#N/A,FALSE,"2225"}</definedName>
    <definedName name="WTEFD_1" localSheetId="10" hidden="1">{"with_oth_curr",#N/A,FALSE,"2225"}</definedName>
    <definedName name="WTEFD_1" hidden="1">{"with_oth_curr",#N/A,FALSE,"2225"}</definedName>
    <definedName name="WTP_1">#REF!</definedName>
    <definedName name="WTP_2">#REF!</definedName>
    <definedName name="WTP_3">#REF!</definedName>
    <definedName name="wtwerwer" localSheetId="10" hidden="1">{"rp_only",#N/A,FALSE,"2225"}</definedName>
    <definedName name="wtwerwer" hidden="1">{"rp_only",#N/A,FALSE,"2225"}</definedName>
    <definedName name="wtwerwer_1" localSheetId="10" hidden="1">{"rp_only",#N/A,FALSE,"2225"}</definedName>
    <definedName name="wtwerwer_1" hidden="1">{"rp_only",#N/A,FALSE,"2225"}</definedName>
    <definedName name="wulff"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10"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10" hidden="1">{"with_oth_curr",#N/A,FALSE,"2225"}</definedName>
    <definedName name="ww" hidden="1">{"with_oth_curr",#N/A,FALSE,"2225"}</definedName>
    <definedName name="ww_1" localSheetId="10" hidden="1">{"with_oth_curr",#N/A,FALSE,"2225"}</definedName>
    <definedName name="ww_1" hidden="1">{"with_oth_curr",#N/A,FALSE,"2225"}</definedName>
    <definedName name="WWRW" localSheetId="10" hidden="1">{"rp_only",#N/A,FALSE,"2225"}</definedName>
    <definedName name="WWRW" hidden="1">{"rp_only",#N/A,FALSE,"2225"}</definedName>
    <definedName name="WWRW_1" localSheetId="10" hidden="1">{"rp_only",#N/A,FALSE,"2225"}</definedName>
    <definedName name="WWRW_1" hidden="1">{"rp_only",#N/A,FALSE,"2225"}</definedName>
    <definedName name="www" localSheetId="10" hidden="1">{"Admin Costs",#N/A,FALSE,"Act.Fcst Costs"}</definedName>
    <definedName name="www" hidden="1">{"Admin Costs",#N/A,FALSE,"Act.Fcst Costs"}</definedName>
    <definedName name="www_1" localSheetId="10" hidden="1">{"Admin Costs",#N/A,FALSE,"Act.Fcst Costs"}</definedName>
    <definedName name="www_1" hidden="1">{"Admin Costs",#N/A,FALSE,"Act.Fcst Costs"}</definedName>
    <definedName name="wwwwwwww"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 localSheetId="10">Main.SAPF4Help()</definedName>
    <definedName name="x">Main.SAPF4Help()</definedName>
    <definedName name="X.1">#REF!</definedName>
    <definedName name="x1pind">#REF!</definedName>
    <definedName name="x1ping">#REF!</definedName>
    <definedName name="x1pint">#REF!</definedName>
    <definedName name="xbvcvbgfhgfh" localSheetId="10" hidden="1">{"rp_only",#N/A,FALSE,"2225"}</definedName>
    <definedName name="xbvcvbgfhgfh" hidden="1">{"rp_only",#N/A,FALSE,"2225"}</definedName>
    <definedName name="xbvcvbgfhgfh_1" localSheetId="10" hidden="1">{"rp_only",#N/A,FALSE,"2225"}</definedName>
    <definedName name="xbvcvbgfhgfh_1" hidden="1">{"rp_only",#N/A,FALSE,"2225"}</definedName>
    <definedName name="xc" localSheetId="10"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localSheetId="10" hidden="1">{"with_oth_curr",#N/A,FALSE,"2225"}</definedName>
    <definedName name="xccvx" hidden="1">{"with_oth_curr",#N/A,FALSE,"2225"}</definedName>
    <definedName name="xccvx_1" localSheetId="10" hidden="1">{"with_oth_curr",#N/A,FALSE,"2225"}</definedName>
    <definedName name="xccvx_1" hidden="1">{"with_oth_curr",#N/A,FALSE,"2225"}</definedName>
    <definedName name="xccxxcv" localSheetId="10" hidden="1">{"rp_only",#N/A,FALSE,"2225"}</definedName>
    <definedName name="xccxxcv" hidden="1">{"rp_only",#N/A,FALSE,"2225"}</definedName>
    <definedName name="xccxxcv_1" localSheetId="10" hidden="1">{"rp_only",#N/A,FALSE,"2225"}</definedName>
    <definedName name="xccxxcv_1" hidden="1">{"rp_only",#N/A,FALSE,"2225"}</definedName>
    <definedName name="xcss" hidden="1">#REF!</definedName>
    <definedName name="xcvcvxcvb" localSheetId="10" hidden="1">{"rp_only",#N/A,FALSE,"2225"}</definedName>
    <definedName name="xcvcvxcvb" hidden="1">{"rp_only",#N/A,FALSE,"2225"}</definedName>
    <definedName name="xcvcvxcvb_1" localSheetId="10" hidden="1">{"rp_only",#N/A,FALSE,"2225"}</definedName>
    <definedName name="xcvcvxcvb_1" hidden="1">{"rp_only",#N/A,FALSE,"2225"}</definedName>
    <definedName name="xcvvcxvcxz" localSheetId="10" hidden="1">{"with_oth_curr",#N/A,FALSE,"2225"}</definedName>
    <definedName name="xcvvcxvcxz" hidden="1">{"with_oth_curr",#N/A,FALSE,"2225"}</definedName>
    <definedName name="xcvvcxvcxz_1" localSheetId="10" hidden="1">{"with_oth_curr",#N/A,FALSE,"2225"}</definedName>
    <definedName name="xcvvcxvcxz_1" hidden="1">{"with_oth_curr",#N/A,FALSE,"2225"}</definedName>
    <definedName name="xcvxbvn" localSheetId="10" hidden="1">{"rp_only",#N/A,FALSE,"2225"}</definedName>
    <definedName name="xcvxbvn" hidden="1">{"rp_only",#N/A,FALSE,"2225"}</definedName>
    <definedName name="xcvxbvn_1" localSheetId="10" hidden="1">{"rp_only",#N/A,FALSE,"2225"}</definedName>
    <definedName name="xcvxbvn_1" hidden="1">{"rp_only",#N/A,FALSE,"2225"}</definedName>
    <definedName name="xcvxbxcvbcvb" localSheetId="10" hidden="1">{"rp_only",#N/A,FALSE,"2225"}</definedName>
    <definedName name="xcvxbxcvbcvb" hidden="1">{"rp_only",#N/A,FALSE,"2225"}</definedName>
    <definedName name="xcvxbxcvbcvb_1" localSheetId="10" hidden="1">{"rp_only",#N/A,FALSE,"2225"}</definedName>
    <definedName name="xcvxbxcvbcvb_1" hidden="1">{"rp_only",#N/A,FALSE,"2225"}</definedName>
    <definedName name="xcvxcbcvb" localSheetId="10" hidden="1">{"with_oth_curr",#N/A,FALSE,"2225"}</definedName>
    <definedName name="xcvxcbcvb" hidden="1">{"with_oth_curr",#N/A,FALSE,"2225"}</definedName>
    <definedName name="xcvxcbcvb_1" localSheetId="10" hidden="1">{"with_oth_curr",#N/A,FALSE,"2225"}</definedName>
    <definedName name="xcvxcbcvb_1" hidden="1">{"with_oth_curr",#N/A,FALSE,"2225"}</definedName>
    <definedName name="xcvxcbvcxbnvcnvb" localSheetId="10" hidden="1">{"rp_only",#N/A,FALSE,"2225"}</definedName>
    <definedName name="xcvxcbvcxbnvcnvb" hidden="1">{"rp_only",#N/A,FALSE,"2225"}</definedName>
    <definedName name="xcvxcbvcxbnvcnvb_1" localSheetId="10" hidden="1">{"rp_only",#N/A,FALSE,"2225"}</definedName>
    <definedName name="xcvxcbvcxbnvcnvb_1" hidden="1">{"rp_only",#N/A,FALSE,"2225"}</definedName>
    <definedName name="xcvxcvxcv" localSheetId="10" hidden="1">{"rp_only",#N/A,FALSE,"2225"}</definedName>
    <definedName name="xcvxcvxcv" hidden="1">{"rp_only",#N/A,FALSE,"2225"}</definedName>
    <definedName name="xcvxcvxcv_1" localSheetId="10" hidden="1">{"rp_only",#N/A,FALSE,"2225"}</definedName>
    <definedName name="xcvxcvxcv_1" hidden="1">{"rp_only",#N/A,FALSE,"2225"}</definedName>
    <definedName name="xcvxcvxcvxcv" localSheetId="10" hidden="1">{"rp_only",#N/A,FALSE,"2225"}</definedName>
    <definedName name="xcvxcvxcvxcv" hidden="1">{"rp_only",#N/A,FALSE,"2225"}</definedName>
    <definedName name="xcvxcvxcvxcv_1" localSheetId="10" hidden="1">{"rp_only",#N/A,FALSE,"2225"}</definedName>
    <definedName name="xcvxcvxcvxcv_1" hidden="1">{"rp_only",#N/A,FALSE,"2225"}</definedName>
    <definedName name="xcvxcvxcvxcvxcvc" localSheetId="10" hidden="1">{"rp_only",#N/A,FALSE,"2225"}</definedName>
    <definedName name="xcvxcvxcvxcvxcvc" hidden="1">{"rp_only",#N/A,FALSE,"2225"}</definedName>
    <definedName name="xcvxcvxcvxcvxcvc_1" localSheetId="10" hidden="1">{"rp_only",#N/A,FALSE,"2225"}</definedName>
    <definedName name="xcvxcvxcvxcvxcvc_1" hidden="1">{"rp_only",#N/A,FALSE,"2225"}</definedName>
    <definedName name="xcvxcvxcvxv" localSheetId="10" hidden="1">{"with_oth_curr",#N/A,FALSE,"2225"}</definedName>
    <definedName name="xcvxcvxcvxv" hidden="1">{"with_oth_curr",#N/A,FALSE,"2225"}</definedName>
    <definedName name="xcvxcvxcvxv_1" localSheetId="10" hidden="1">{"with_oth_curr",#N/A,FALSE,"2225"}</definedName>
    <definedName name="xcvxcvxcvxv_1" hidden="1">{"with_oth_curr",#N/A,FALSE,"2225"}</definedName>
    <definedName name="xcvxcvxcvxvx" localSheetId="10" hidden="1">{"rp_only",#N/A,FALSE,"2225"}</definedName>
    <definedName name="xcvxcvxcvxvx" hidden="1">{"rp_only",#N/A,FALSE,"2225"}</definedName>
    <definedName name="xcvxcvxcvxvx_1" localSheetId="10" hidden="1">{"rp_only",#N/A,FALSE,"2225"}</definedName>
    <definedName name="xcvxcvxcvxvx_1" hidden="1">{"rp_only",#N/A,FALSE,"2225"}</definedName>
    <definedName name="xcvxcvxv" localSheetId="10" hidden="1">{"with_oth_curr",#N/A,FALSE,"2225"}</definedName>
    <definedName name="xcvxcvxv" hidden="1">{"with_oth_curr",#N/A,FALSE,"2225"}</definedName>
    <definedName name="xcvxcvxv_1" localSheetId="10" hidden="1">{"with_oth_curr",#N/A,FALSE,"2225"}</definedName>
    <definedName name="xcvxcvxv_1" hidden="1">{"with_oth_curr",#N/A,FALSE,"2225"}</definedName>
    <definedName name="xcvxcvxvcv" localSheetId="10" hidden="1">{"rp_only",#N/A,FALSE,"2225"}</definedName>
    <definedName name="xcvxcvxvcv" hidden="1">{"rp_only",#N/A,FALSE,"2225"}</definedName>
    <definedName name="xcvxcvxvcv_1" localSheetId="10" hidden="1">{"rp_only",#N/A,FALSE,"2225"}</definedName>
    <definedName name="xcvxcvxvcv_1" hidden="1">{"rp_only",#N/A,FALSE,"2225"}</definedName>
    <definedName name="xcvxv" localSheetId="10" hidden="1">{"rp_only",#N/A,FALSE,"2225"}</definedName>
    <definedName name="xcvxv" hidden="1">{"rp_only",#N/A,FALSE,"2225"}</definedName>
    <definedName name="xcvxv_1" localSheetId="10" hidden="1">{"rp_only",#N/A,FALSE,"2225"}</definedName>
    <definedName name="xcvxv_1" hidden="1">{"rp_only",#N/A,FALSE,"2225"}</definedName>
    <definedName name="xcvxvc" localSheetId="10" hidden="1">{"rp_only",#N/A,FALSE,"2225"}</definedName>
    <definedName name="xcvxvc" hidden="1">{"rp_only",#N/A,FALSE,"2225"}</definedName>
    <definedName name="xcvxvc_1" localSheetId="10" hidden="1">{"rp_only",#N/A,FALSE,"2225"}</definedName>
    <definedName name="xcvxvc_1" hidden="1">{"rp_only",#N/A,FALSE,"2225"}</definedName>
    <definedName name="xcvxvcx" localSheetId="10" hidden="1">{"rp_only",#N/A,FALSE,"2225"}</definedName>
    <definedName name="xcvxvcx" hidden="1">{"rp_only",#N/A,FALSE,"2225"}</definedName>
    <definedName name="xcvxvcx_1" localSheetId="10" hidden="1">{"rp_only",#N/A,FALSE,"2225"}</definedName>
    <definedName name="xcvxvcx_1" hidden="1">{"rp_only",#N/A,FALSE,"2225"}</definedName>
    <definedName name="xcvxvx" localSheetId="10" hidden="1">{"rp_only",#N/A,FALSE,"2225"}</definedName>
    <definedName name="xcvxvx" hidden="1">{"rp_only",#N/A,FALSE,"2225"}</definedName>
    <definedName name="xcvxvx_1" localSheetId="10" hidden="1">{"rp_only",#N/A,FALSE,"2225"}</definedName>
    <definedName name="xcvxvx_1" hidden="1">{"rp_only",#N/A,FALSE,"2225"}</definedName>
    <definedName name="xcvxvxcvxcv" localSheetId="10" hidden="1">{"rp_only",#N/A,FALSE,"2225"}</definedName>
    <definedName name="xcvxvxcvxcv" hidden="1">{"rp_only",#N/A,FALSE,"2225"}</definedName>
    <definedName name="xcvxvxcvxcv_1" localSheetId="10" hidden="1">{"rp_only",#N/A,FALSE,"2225"}</definedName>
    <definedName name="xcvxvxcvxcv_1" hidden="1">{"rp_only",#N/A,FALSE,"2225"}</definedName>
    <definedName name="xcvxvxv" localSheetId="10" hidden="1">{"rp_only",#N/A,FALSE,"2225"}</definedName>
    <definedName name="xcvxvxv" hidden="1">{"rp_only",#N/A,FALSE,"2225"}</definedName>
    <definedName name="xcvxvxv_1" localSheetId="10" hidden="1">{"rp_only",#N/A,FALSE,"2225"}</definedName>
    <definedName name="xcvxvxv_1" hidden="1">{"rp_only",#N/A,FALSE,"2225"}</definedName>
    <definedName name="xcvxvxvx" localSheetId="10" hidden="1">{"rp_only",#N/A,FALSE,"2225"}</definedName>
    <definedName name="xcvxvxvx" hidden="1">{"rp_only",#N/A,FALSE,"2225"}</definedName>
    <definedName name="xcvxvxvx_1" localSheetId="10" hidden="1">{"rp_only",#N/A,FALSE,"2225"}</definedName>
    <definedName name="xcvxvxvx_1" hidden="1">{"rp_only",#N/A,FALSE,"2225"}</definedName>
    <definedName name="xcvxvxvxv" localSheetId="10" hidden="1">{"with_oth_curr",#N/A,FALSE,"2225"}</definedName>
    <definedName name="xcvxvxvxv" hidden="1">{"with_oth_curr",#N/A,FALSE,"2225"}</definedName>
    <definedName name="xcvxvxvxv_1" localSheetId="10" hidden="1">{"with_oth_curr",#N/A,FALSE,"2225"}</definedName>
    <definedName name="xcvxvxvxv_1" hidden="1">{"with_oth_curr",#N/A,FALSE,"2225"}</definedName>
    <definedName name="xcvzxvzxv" localSheetId="10" hidden="1">{"with_oth_curr",#N/A,FALSE,"2225"}</definedName>
    <definedName name="xcvzxvzxv" hidden="1">{"with_oth_curr",#N/A,FALSE,"2225"}</definedName>
    <definedName name="xcvzxvzxv_1" localSheetId="10" hidden="1">{"with_oth_curr",#N/A,FALSE,"2225"}</definedName>
    <definedName name="xcvzxvzxv_1" hidden="1">{"with_oth_curr",#N/A,FALSE,"2225"}</definedName>
    <definedName name="xczcz" localSheetId="10" hidden="1">{"rp_only",#N/A,FALSE,"2225"}</definedName>
    <definedName name="xczcz" hidden="1">{"rp_only",#N/A,FALSE,"2225"}</definedName>
    <definedName name="xczcz_1" localSheetId="10" hidden="1">{"rp_only",#N/A,FALSE,"2225"}</definedName>
    <definedName name="xczcz_1" hidden="1">{"rp_only",#N/A,FALSE,"2225"}</definedName>
    <definedName name="xczvxzvzxcv" localSheetId="10" hidden="1">{"with_oth_curr",#N/A,FALSE,"2225"}</definedName>
    <definedName name="xczvxzvzxcv" hidden="1">{"with_oth_curr",#N/A,FALSE,"2225"}</definedName>
    <definedName name="xczvxzvzxcv_1" localSheetId="10"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localSheetId="10" hidden="1">{"rp_only",#N/A,FALSE,"2225"}</definedName>
    <definedName name="xfs" hidden="1">{"rp_only",#N/A,FALSE,"2225"}</definedName>
    <definedName name="xfs_1" localSheetId="10" hidden="1">{"rp_only",#N/A,FALSE,"2225"}</definedName>
    <definedName name="xfs_1" hidden="1">{"rp_only",#N/A,FALSE,"2225"}</definedName>
    <definedName name="xgxgds" localSheetId="10" hidden="1">{"with_oth_curr",#N/A,FALSE,"2225"}</definedName>
    <definedName name="xgxgds" hidden="1">{"with_oth_curr",#N/A,FALSE,"2225"}</definedName>
    <definedName name="xgxgds_1" localSheetId="10"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localSheetId="10" hidden="1">{#N/A,#N/A,FALSE,"Aging Summary";#N/A,#N/A,FALSE,"Ratio Analysis";#N/A,#N/A,FALSE,"Test 120 Day Accts";#N/A,#N/A,FALSE,"Tickmarks"}</definedName>
    <definedName name="xox" hidden="1">{#N/A,#N/A,FALSE,"Aging Summary";#N/A,#N/A,FALSE,"Ratio Analysis";#N/A,#N/A,FALSE,"Test 120 Day Accts";#N/A,#N/A,FALSE,"Tickmarks"}</definedName>
    <definedName name="xox_1" localSheetId="10"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localSheetId="10" hidden="1">{"with_oth_curr",#N/A,FALSE,"2225"}</definedName>
    <definedName name="xvbgxgzfgdfd" hidden="1">{"with_oth_curr",#N/A,FALSE,"2225"}</definedName>
    <definedName name="xvbgxgzfgdfd_1" localSheetId="10" hidden="1">{"with_oth_curr",#N/A,FALSE,"2225"}</definedName>
    <definedName name="xvbgxgzfgdfd_1" hidden="1">{"with_oth_curr",#N/A,FALSE,"2225"}</definedName>
    <definedName name="xvcxcv" localSheetId="10" hidden="1">{"rp_only",#N/A,FALSE,"2225"}</definedName>
    <definedName name="xvcxcv" hidden="1">{"rp_only",#N/A,FALSE,"2225"}</definedName>
    <definedName name="xvcxcv_1" localSheetId="10" hidden="1">{"rp_only",#N/A,FALSE,"2225"}</definedName>
    <definedName name="xvcxcv_1" hidden="1">{"rp_only",#N/A,FALSE,"2225"}</definedName>
    <definedName name="xvcxcvxvc" localSheetId="10" hidden="1">{"rp_only",#N/A,FALSE,"2225"}</definedName>
    <definedName name="xvcxcvxvc" hidden="1">{"rp_only",#N/A,FALSE,"2225"}</definedName>
    <definedName name="xvcxcvxvc_1" localSheetId="10" hidden="1">{"rp_only",#N/A,FALSE,"2225"}</definedName>
    <definedName name="xvcxcvxvc_1" hidden="1">{"rp_only",#N/A,FALSE,"2225"}</definedName>
    <definedName name="xvcxvcxvx" localSheetId="10" hidden="1">{"with_oth_curr",#N/A,FALSE,"2225"}</definedName>
    <definedName name="xvcxvcxvx" hidden="1">{"with_oth_curr",#N/A,FALSE,"2225"}</definedName>
    <definedName name="xvcxvcxvx_1" localSheetId="10" hidden="1">{"with_oth_curr",#N/A,FALSE,"2225"}</definedName>
    <definedName name="xvcxvcxvx_1" hidden="1">{"with_oth_curr",#N/A,FALSE,"2225"}</definedName>
    <definedName name="xvcxvcxxcvvxcxcvcxv" localSheetId="10" hidden="1">{"rp_only",#N/A,FALSE,"2225"}</definedName>
    <definedName name="xvcxvcxxcvvxcxcvcxv" hidden="1">{"rp_only",#N/A,FALSE,"2225"}</definedName>
    <definedName name="xvcxvcxxcvvxcxcvcxv_1" localSheetId="10" hidden="1">{"rp_only",#N/A,FALSE,"2225"}</definedName>
    <definedName name="xvcxvcxxcvvxcxcvcxv_1" hidden="1">{"rp_only",#N/A,FALSE,"2225"}</definedName>
    <definedName name="xvcxvx" localSheetId="10" hidden="1">{"rp_only",#N/A,FALSE,"2225"}</definedName>
    <definedName name="xvcxvx" hidden="1">{"rp_only",#N/A,FALSE,"2225"}</definedName>
    <definedName name="xvcxvx_1" localSheetId="10" hidden="1">{"rp_only",#N/A,FALSE,"2225"}</definedName>
    <definedName name="xvcxvx_1" hidden="1">{"rp_only",#N/A,FALSE,"2225"}</definedName>
    <definedName name="xvvcxcvxzcvxvcx" localSheetId="10" hidden="1">{"rp_only",#N/A,FALSE,"2225"}</definedName>
    <definedName name="xvvcxcvxzcvxvcx" hidden="1">{"rp_only",#N/A,FALSE,"2225"}</definedName>
    <definedName name="xvvcxcvxzcvxvcx_1" localSheetId="10" hidden="1">{"rp_only",#N/A,FALSE,"2225"}</definedName>
    <definedName name="xvvcxcvxzcvxvcx_1" hidden="1">{"rp_only",#N/A,FALSE,"2225"}</definedName>
    <definedName name="xvvx" localSheetId="10" hidden="1">{"rp_only",#N/A,FALSE,"2225"}</definedName>
    <definedName name="xvvx" hidden="1">{"rp_only",#N/A,FALSE,"2225"}</definedName>
    <definedName name="xvvx_1" localSheetId="10" hidden="1">{"rp_only",#N/A,FALSE,"2225"}</definedName>
    <definedName name="xvvx_1" hidden="1">{"rp_only",#N/A,FALSE,"2225"}</definedName>
    <definedName name="xvxcv" localSheetId="10" hidden="1">{"rp_only",#N/A,FALSE,"2225"}</definedName>
    <definedName name="xvxcv" hidden="1">{"rp_only",#N/A,FALSE,"2225"}</definedName>
    <definedName name="xvxcv_1" localSheetId="10" hidden="1">{"rp_only",#N/A,FALSE,"2225"}</definedName>
    <definedName name="xvxcv_1" hidden="1">{"rp_only",#N/A,FALSE,"2225"}</definedName>
    <definedName name="xvxcvvx" localSheetId="10" hidden="1">{"rp_only",#N/A,FALSE,"2225"}</definedName>
    <definedName name="xvxcvvx" hidden="1">{"rp_only",#N/A,FALSE,"2225"}</definedName>
    <definedName name="xvxcvvx_1" localSheetId="10" hidden="1">{"rp_only",#N/A,FALSE,"2225"}</definedName>
    <definedName name="xvxcvvx_1" hidden="1">{"rp_only",#N/A,FALSE,"2225"}</definedName>
    <definedName name="xvxcvx" localSheetId="10" hidden="1">{"with_oth_curr",#N/A,FALSE,"2225"}</definedName>
    <definedName name="xvxcvx" hidden="1">{"with_oth_curr",#N/A,FALSE,"2225"}</definedName>
    <definedName name="xvxcvx_1" localSheetId="10" hidden="1">{"with_oth_curr",#N/A,FALSE,"2225"}</definedName>
    <definedName name="xvxcvx_1" hidden="1">{"with_oth_curr",#N/A,FALSE,"2225"}</definedName>
    <definedName name="xvxcvxv" localSheetId="10" hidden="1">{"rp_only",#N/A,FALSE,"2225"}</definedName>
    <definedName name="xvxcvxv" hidden="1">{"rp_only",#N/A,FALSE,"2225"}</definedName>
    <definedName name="xvxcvxv_1" localSheetId="10" hidden="1">{"rp_only",#N/A,FALSE,"2225"}</definedName>
    <definedName name="xvxcvxv_1" hidden="1">{"rp_only",#N/A,FALSE,"2225"}</definedName>
    <definedName name="xvxv" localSheetId="10" hidden="1">{"rp_only",#N/A,FALSE,"2225"}</definedName>
    <definedName name="xvxv" hidden="1">{"rp_only",#N/A,FALSE,"2225"}</definedName>
    <definedName name="xvxv_1" localSheetId="10" hidden="1">{"rp_only",#N/A,FALSE,"2225"}</definedName>
    <definedName name="xvxv_1" hidden="1">{"rp_only",#N/A,FALSE,"2225"}</definedName>
    <definedName name="xvxvcv" localSheetId="10" hidden="1">{"rp_only",#N/A,FALSE,"2225"}</definedName>
    <definedName name="xvxvcv" hidden="1">{"rp_only",#N/A,FALSE,"2225"}</definedName>
    <definedName name="xvxvcv_1" localSheetId="10" hidden="1">{"rp_only",#N/A,FALSE,"2225"}</definedName>
    <definedName name="xvxvcv_1" hidden="1">{"rp_only",#N/A,FALSE,"2225"}</definedName>
    <definedName name="xvxvcx" localSheetId="10" hidden="1">{"with_oth_curr",#N/A,FALSE,"2225"}</definedName>
    <definedName name="xvxvcx" hidden="1">{"with_oth_curr",#N/A,FALSE,"2225"}</definedName>
    <definedName name="xvxvcx_1" localSheetId="10" hidden="1">{"with_oth_curr",#N/A,FALSE,"2225"}</definedName>
    <definedName name="xvxvcx_1" hidden="1">{"with_oth_curr",#N/A,FALSE,"2225"}</definedName>
    <definedName name="xvxvv" localSheetId="10" hidden="1">{"rp_only",#N/A,FALSE,"2225"}</definedName>
    <definedName name="xvxvv" hidden="1">{"rp_only",#N/A,FALSE,"2225"}</definedName>
    <definedName name="xvxvv_1" localSheetId="10" hidden="1">{"rp_only",#N/A,FALSE,"2225"}</definedName>
    <definedName name="xvxvv_1" hidden="1">{"rp_only",#N/A,FALSE,"2225"}</definedName>
    <definedName name="xvxx" localSheetId="10" hidden="1">{"rp_only",#N/A,FALSE,"2225"}</definedName>
    <definedName name="xvxx" hidden="1">{"rp_only",#N/A,FALSE,"2225"}</definedName>
    <definedName name="xvxx_1" localSheetId="10" hidden="1">{"rp_only",#N/A,FALSE,"2225"}</definedName>
    <definedName name="xvxx_1" hidden="1">{"rp_only",#N/A,FALSE,"2225"}</definedName>
    <definedName name="xx" localSheetId="10"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localSheetId="10" hidden="1">{"rp_only",#N/A,FALSE,"2225"}</definedName>
    <definedName name="xxcv" hidden="1">{"rp_only",#N/A,FALSE,"2225"}</definedName>
    <definedName name="xxcv_1" localSheetId="10" hidden="1">{"rp_only",#N/A,FALSE,"2225"}</definedName>
    <definedName name="xxcv_1" hidden="1">{"rp_only",#N/A,FALSE,"2225"}</definedName>
    <definedName name="xxv" localSheetId="10" hidden="1">{"rp_only",#N/A,FALSE,"2225"}</definedName>
    <definedName name="xxv" hidden="1">{"rp_only",#N/A,FALSE,"2225"}</definedName>
    <definedName name="xxv_1" localSheetId="10" hidden="1">{"rp_only",#N/A,FALSE,"2225"}</definedName>
    <definedName name="xxv_1" hidden="1">{"rp_only",#N/A,FALSE,"2225"}</definedName>
    <definedName name="xxvxv" localSheetId="10" hidden="1">{"with_oth_curr",#N/A,FALSE,"2225"}</definedName>
    <definedName name="xxvxv" hidden="1">{"with_oth_curr",#N/A,FALSE,"2225"}</definedName>
    <definedName name="xxvxv_1" localSheetId="10" hidden="1">{"with_oth_curr",#N/A,FALSE,"2225"}</definedName>
    <definedName name="xxvxv_1" hidden="1">{"with_oth_curr",#N/A,FALSE,"2225"}</definedName>
    <definedName name="xxx">#REF!</definedName>
    <definedName name="xxx_1">#REF!</definedName>
    <definedName name="XXXAAAA" localSheetId="10" hidden="1">{"'Sheet1'!$L$16"}</definedName>
    <definedName name="XXXAAAA" hidden="1">{"'Sheet1'!$L$16"}</definedName>
    <definedName name="xxxs">#REF!</definedName>
    <definedName name="xxxx">#REF!</definedName>
    <definedName name="xxxx_1">#REF!</definedName>
    <definedName name="xxxxx" localSheetId="10" hidden="1">{"10yp capex",#N/A,FALSE,"Celtel alternative 6"}</definedName>
    <definedName name="xxxxx" hidden="1">{"10yp capex",#N/A,FALSE,"Celtel alternative 6"}</definedName>
    <definedName name="xxxxxx" localSheetId="10" hidden="1">{"10yp graphs",#N/A,FALSE,"Market Data"}</definedName>
    <definedName name="xxxxxx" hidden="1">{"10yp graphs",#N/A,FALSE,"Market Data"}</definedName>
    <definedName name="xxxxxxxxxxxx" localSheetId="10"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10"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10" hidden="1">{"test",#N/A,FALSE,"Dividend"}</definedName>
    <definedName name="xxxxxxxxxxxxx" hidden="1">{"test",#N/A,FALSE,"Dividend"}</definedName>
    <definedName name="xxxxxxxxxxxxx_1" localSheetId="10" hidden="1">{"test",#N/A,FALSE,"Dividend"}</definedName>
    <definedName name="xxxxxxxxxxxxx_1" hidden="1">{"test",#N/A,FALSE,"Dividend"}</definedName>
    <definedName name="xyx">#REF!</definedName>
    <definedName name="xZafsfa" localSheetId="10" hidden="1">{"rp_only",#N/A,FALSE,"2225"}</definedName>
    <definedName name="xZafsfa" hidden="1">{"rp_only",#N/A,FALSE,"2225"}</definedName>
    <definedName name="xZafsfa_1" localSheetId="10" hidden="1">{"rp_only",#N/A,FALSE,"2225"}</definedName>
    <definedName name="xZafsfa_1" hidden="1">{"rp_only",#N/A,FALSE,"2225"}</definedName>
    <definedName name="xzc" localSheetId="10" hidden="1">{"rp_only",#N/A,FALSE,"2225"}</definedName>
    <definedName name="xzc" hidden="1">{"rp_only",#N/A,FALSE,"2225"}</definedName>
    <definedName name="xzc_1" localSheetId="10" hidden="1">{"rp_only",#N/A,FALSE,"2225"}</definedName>
    <definedName name="xzc_1" hidden="1">{"rp_only",#N/A,FALSE,"2225"}</definedName>
    <definedName name="xzcvxczvzxcv" localSheetId="10" hidden="1">{"rp_only",#N/A,FALSE,"2225"}</definedName>
    <definedName name="xzcvxczvzxcv" hidden="1">{"rp_only",#N/A,FALSE,"2225"}</definedName>
    <definedName name="xzcvxczvzxcv_1" localSheetId="10" hidden="1">{"rp_only",#N/A,FALSE,"2225"}</definedName>
    <definedName name="xzcvxczvzxcv_1" hidden="1">{"rp_only",#N/A,FALSE,"2225"}</definedName>
    <definedName name="xzcvxzcvzxcv" localSheetId="10" hidden="1">{"rp_only",#N/A,FALSE,"2225"}</definedName>
    <definedName name="xzcvxzcvzxcv" hidden="1">{"rp_only",#N/A,FALSE,"2225"}</definedName>
    <definedName name="xzcvxzcvzxcv_1" localSheetId="10" hidden="1">{"rp_only",#N/A,FALSE,"2225"}</definedName>
    <definedName name="xzcvxzcvzxcv_1" hidden="1">{"rp_only",#N/A,FALSE,"2225"}</definedName>
    <definedName name="xzcvxzvx" localSheetId="10" hidden="1">{"rp_only",#N/A,FALSE,"2225"}</definedName>
    <definedName name="xzcvxzvx" hidden="1">{"rp_only",#N/A,FALSE,"2225"}</definedName>
    <definedName name="xzcvxzvx_1" localSheetId="10" hidden="1">{"rp_only",#N/A,FALSE,"2225"}</definedName>
    <definedName name="xzcvxzvx_1" hidden="1">{"rp_only",#N/A,FALSE,"2225"}</definedName>
    <definedName name="xzcvzxcvxcv" localSheetId="10" hidden="1">{"rp_only",#N/A,FALSE,"2225"}</definedName>
    <definedName name="xzcvzxcvxcv" hidden="1">{"rp_only",#N/A,FALSE,"2225"}</definedName>
    <definedName name="xzcvzxcvxcv_1" localSheetId="10" hidden="1">{"rp_only",#N/A,FALSE,"2225"}</definedName>
    <definedName name="xzcvzxcvxcv_1" hidden="1">{"rp_only",#N/A,FALSE,"2225"}</definedName>
    <definedName name="xzcvzxcvxcvxzvxxc" localSheetId="10" hidden="1">{"with_oth_curr",#N/A,FALSE,"2225"}</definedName>
    <definedName name="xzcvzxcvxcvxzvxxc" hidden="1">{"with_oth_curr",#N/A,FALSE,"2225"}</definedName>
    <definedName name="xzcvzxcvxcvxzvxxc_1" localSheetId="10" hidden="1">{"with_oth_curr",#N/A,FALSE,"2225"}</definedName>
    <definedName name="xzcvzxcvxcvxzvxxc_1" hidden="1">{"with_oth_curr",#N/A,FALSE,"2225"}</definedName>
    <definedName name="xzcvzxcvxcvz" localSheetId="10" hidden="1">{"with_oth_curr",#N/A,FALSE,"2225"}</definedName>
    <definedName name="xzcvzxcvxcvz" hidden="1">{"with_oth_curr",#N/A,FALSE,"2225"}</definedName>
    <definedName name="xzcvzxcvxcvz_1" localSheetId="10" hidden="1">{"with_oth_curr",#N/A,FALSE,"2225"}</definedName>
    <definedName name="xzcvzxcvxcvz_1" hidden="1">{"with_oth_curr",#N/A,FALSE,"2225"}</definedName>
    <definedName name="xzcvzxvxzcvxzcv" localSheetId="10" hidden="1">{"rp_only",#N/A,FALSE,"2225"}</definedName>
    <definedName name="xzcvzxvxzcvxzcv" hidden="1">{"rp_only",#N/A,FALSE,"2225"}</definedName>
    <definedName name="xzcvzxvxzcvxzcv_1" localSheetId="10" hidden="1">{"rp_only",#N/A,FALSE,"2225"}</definedName>
    <definedName name="xzcvzxvxzcvxzcv_1" hidden="1">{"rp_only",#N/A,FALSE,"2225"}</definedName>
    <definedName name="xzcXczvczx" localSheetId="10" hidden="1">{"rp_only",#N/A,FALSE,"2225"}</definedName>
    <definedName name="xzcXczvczx" hidden="1">{"rp_only",#N/A,FALSE,"2225"}</definedName>
    <definedName name="xzcXczvczx_1" localSheetId="10" hidden="1">{"rp_only",#N/A,FALSE,"2225"}</definedName>
    <definedName name="xzcXczvczx_1" hidden="1">{"rp_only",#N/A,FALSE,"2225"}</definedName>
    <definedName name="xzczcvzxc" localSheetId="10" hidden="1">{"rp_only",#N/A,FALSE,"2225"}</definedName>
    <definedName name="xzczcvzxc" hidden="1">{"rp_only",#N/A,FALSE,"2225"}</definedName>
    <definedName name="xzczcvzxc_1" localSheetId="10" hidden="1">{"rp_only",#N/A,FALSE,"2225"}</definedName>
    <definedName name="xzczcvzxc_1" hidden="1">{"rp_only",#N/A,FALSE,"2225"}</definedName>
    <definedName name="xzczxcz" localSheetId="10" hidden="1">{"rp_only",#N/A,FALSE,"2225"}</definedName>
    <definedName name="xzczxcz" hidden="1">{"rp_only",#N/A,FALSE,"2225"}</definedName>
    <definedName name="xzczxcz_1" localSheetId="10" hidden="1">{"rp_only",#N/A,FALSE,"2225"}</definedName>
    <definedName name="xzczxcz_1" hidden="1">{"rp_only",#N/A,FALSE,"2225"}</definedName>
    <definedName name="xzvzxvxv" localSheetId="10" hidden="1">{"rp_only",#N/A,FALSE,"2225"}</definedName>
    <definedName name="xzvzxvxv" hidden="1">{"rp_only",#N/A,FALSE,"2225"}</definedName>
    <definedName name="xzvzxvxv_1" localSheetId="10" hidden="1">{"rp_only",#N/A,FALSE,"2225"}</definedName>
    <definedName name="xzvzxvxv_1" hidden="1">{"rp_only",#N/A,FALSE,"2225"}</definedName>
    <definedName name="xzzczx" localSheetId="10" hidden="1">{"with_oth_curr",#N/A,FALSE,"2225"}</definedName>
    <definedName name="xzzczx" hidden="1">{"with_oth_curr",#N/A,FALSE,"2225"}</definedName>
    <definedName name="xzzczx_1" localSheetId="10" hidden="1">{"with_oth_curr",#N/A,FALSE,"2225"}</definedName>
    <definedName name="xzzczx_1" hidden="1">{"with_oth_curr",#N/A,FALSE,"2225"}</definedName>
    <definedName name="y">#REF!</definedName>
    <definedName name="Y.Q">#REF!</definedName>
    <definedName name="ya" localSheetId="10" hidden="1">{#N/A,#N/A,FALSE,"Aging Summary";#N/A,#N/A,FALSE,"Ratio Analysis";#N/A,#N/A,FALSE,"Test 120 Day Accts";#N/A,#N/A,FALSE,"Tickmarks"}</definedName>
    <definedName name="ya" hidden="1">{#N/A,#N/A,FALSE,"Aging Summary";#N/A,#N/A,FALSE,"Ratio Analysis";#N/A,#N/A,FALSE,"Test 120 Day Accts";#N/A,#N/A,FALSE,"Tickmarks"}</definedName>
    <definedName name="ya_1" localSheetId="10"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localSheetId="10" hidden="1">{#N/A,#N/A,TRUE,"Cover sheet";#N/A,#N/A,TRUE,"INPUTS";#N/A,#N/A,TRUE,"OUTPUTS";#N/A,#N/A,TRUE,"VALUATION"}</definedName>
    <definedName name="yfj" hidden="1">{#N/A,#N/A,TRUE,"Cover sheet";#N/A,#N/A,TRUE,"INPUTS";#N/A,#N/A,TRUE,"OUTPUTS";#N/A,#N/A,TRUE,"VALUATION"}</definedName>
    <definedName name="ygtfrdes" localSheetId="10" hidden="1">{"rp_only",#N/A,FALSE,"2225"}</definedName>
    <definedName name="ygtfrdes" hidden="1">{"rp_only",#N/A,FALSE,"2225"}</definedName>
    <definedName name="ygtfrdes_1" localSheetId="10" hidden="1">{"rp_only",#N/A,FALSE,"2225"}</definedName>
    <definedName name="ygtfrdes_1" hidden="1">{"rp_only",#N/A,FALSE,"2225"}</definedName>
    <definedName name="yh" localSheetId="10" hidden="1">{#N/A,#N/A,FALSE,"Aging Summary";#N/A,#N/A,FALSE,"Ratio Analysis";#N/A,#N/A,FALSE,"Test 120 Day Accts";#N/A,#N/A,FALSE,"Tickmarks"}</definedName>
    <definedName name="yh" hidden="1">{#N/A,#N/A,FALSE,"Aging Summary";#N/A,#N/A,FALSE,"Ratio Analysis";#N/A,#N/A,FALSE,"Test 120 Day Accts";#N/A,#N/A,FALSE,"Tickmarks"}</definedName>
    <definedName name="yh_1" localSheetId="10"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localSheetId="10" hidden="1">{"rp_only",#N/A,FALSE,"2225"}</definedName>
    <definedName name="yiuyuiuy" hidden="1">{"rp_only",#N/A,FALSE,"2225"}</definedName>
    <definedName name="yiuyuiuy_1" localSheetId="10" hidden="1">{"rp_only",#N/A,FALSE,"2225"}</definedName>
    <definedName name="yiuyuiuy_1" hidden="1">{"rp_only",#N/A,FALSE,"2225"}</definedName>
    <definedName name="yiuyuiy" localSheetId="10" hidden="1">{"rp_only",#N/A,FALSE,"2225"}</definedName>
    <definedName name="yiuyuiy" hidden="1">{"rp_only",#N/A,FALSE,"2225"}</definedName>
    <definedName name="yiuyuiy_1" localSheetId="10" hidden="1">{"rp_only",#N/A,FALSE,"2225"}</definedName>
    <definedName name="yiuyuiy_1" hidden="1">{"rp_only",#N/A,FALSE,"2225"}</definedName>
    <definedName name="yiyuiyui" localSheetId="10" hidden="1">{"rp_only",#N/A,FALSE,"2225"}</definedName>
    <definedName name="yiyuiyui" hidden="1">{"rp_only",#N/A,FALSE,"2225"}</definedName>
    <definedName name="yiyuiyui_1" localSheetId="10" hidden="1">{"rp_only",#N/A,FALSE,"2225"}</definedName>
    <definedName name="yiyuiyui_1" hidden="1">{"rp_only",#N/A,FALSE,"2225"}</definedName>
    <definedName name="yiyuiyuiy" localSheetId="10" hidden="1">{"rp_only",#N/A,FALSE,"2225"}</definedName>
    <definedName name="yiyuiyuiy" hidden="1">{"rp_only",#N/A,FALSE,"2225"}</definedName>
    <definedName name="yiyuiyuiy_1" localSheetId="10" hidden="1">{"rp_only",#N/A,FALSE,"2225"}</definedName>
    <definedName name="yiyuiyuiy_1" hidden="1">{"rp_only",#N/A,FALSE,"2225"}</definedName>
    <definedName name="Ypl_01b">#REF!</definedName>
    <definedName name="Ypl_09">#REF!</definedName>
    <definedName name="yrdtytyt" localSheetId="10" hidden="1">{#N/A,#N/A,FALSE,"CCTV"}</definedName>
    <definedName name="yrdtytyt" hidden="1">{#N/A,#N/A,FALSE,"CCTV"}</definedName>
    <definedName name="YTD1">#REF!</definedName>
    <definedName name="YTD2">#REF!</definedName>
    <definedName name="ytdfy" hidden="1">#REF!</definedName>
    <definedName name="YTG">#REF!</definedName>
    <definedName name="ytiuiiu" localSheetId="10" hidden="1">{"rp_only",#N/A,FALSE,"2225"}</definedName>
    <definedName name="ytiuiiu" hidden="1">{"rp_only",#N/A,FALSE,"2225"}</definedName>
    <definedName name="ytiuiiu_1" localSheetId="10" hidden="1">{"rp_only",#N/A,FALSE,"2225"}</definedName>
    <definedName name="ytiuiiu_1" hidden="1">{"rp_only",#N/A,FALSE,"2225"}</definedName>
    <definedName name="ytre" localSheetId="10" hidden="1">{"rp_only",#N/A,FALSE,"2225"}</definedName>
    <definedName name="ytre" hidden="1">{"rp_only",#N/A,FALSE,"2225"}</definedName>
    <definedName name="ytre_1" localSheetId="10" hidden="1">{"rp_only",#N/A,FALSE,"2225"}</definedName>
    <definedName name="ytre_1" hidden="1">{"rp_only",#N/A,FALSE,"2225"}</definedName>
    <definedName name="ytreds" localSheetId="10" hidden="1">{"rp_only",#N/A,FALSE,"2225"}</definedName>
    <definedName name="ytreds" hidden="1">{"rp_only",#N/A,FALSE,"2225"}</definedName>
    <definedName name="ytreds_1" localSheetId="10" hidden="1">{"rp_only",#N/A,FALSE,"2225"}</definedName>
    <definedName name="ytreds_1" hidden="1">{"rp_only",#N/A,FALSE,"2225"}</definedName>
    <definedName name="ytrureu" localSheetId="10" hidden="1">{"rp_only",#N/A,FALSE,"2225"}</definedName>
    <definedName name="ytrureu" hidden="1">{"rp_only",#N/A,FALSE,"2225"}</definedName>
    <definedName name="ytrureu_1" localSheetId="10" hidden="1">{"rp_only",#N/A,FALSE,"2225"}</definedName>
    <definedName name="ytrureu_1" hidden="1">{"rp_only",#N/A,FALSE,"2225"}</definedName>
    <definedName name="ytry" localSheetId="10" hidden="1">{"rp_only",#N/A,FALSE,"2225"}</definedName>
    <definedName name="ytry" hidden="1">{"rp_only",#N/A,FALSE,"2225"}</definedName>
    <definedName name="ytry_1" localSheetId="10" hidden="1">{"rp_only",#N/A,FALSE,"2225"}</definedName>
    <definedName name="ytry_1" hidden="1">{"rp_only",#N/A,FALSE,"2225"}</definedName>
    <definedName name="ytryrtytry" localSheetId="10" hidden="1">{"rp_only",#N/A,FALSE,"2225"}</definedName>
    <definedName name="ytryrtytry" hidden="1">{"rp_only",#N/A,FALSE,"2225"}</definedName>
    <definedName name="ytryrtytry_1" localSheetId="10" hidden="1">{"rp_only",#N/A,FALSE,"2225"}</definedName>
    <definedName name="ytryrtytry_1" hidden="1">{"rp_only",#N/A,FALSE,"2225"}</definedName>
    <definedName name="yttu" localSheetId="10" hidden="1">{"rp_only",#N/A,FALSE,"2225"}</definedName>
    <definedName name="yttu" hidden="1">{"rp_only",#N/A,FALSE,"2225"}</definedName>
    <definedName name="yttu_1" localSheetId="10" hidden="1">{"rp_only",#N/A,FALSE,"2225"}</definedName>
    <definedName name="yttu_1" hidden="1">{"rp_only",#N/A,FALSE,"2225"}</definedName>
    <definedName name="ytughjn" localSheetId="10" hidden="1">{"rp_only",#N/A,FALSE,"2225"}</definedName>
    <definedName name="ytughjn" hidden="1">{"rp_only",#N/A,FALSE,"2225"}</definedName>
    <definedName name="ytughjn_1" localSheetId="10" hidden="1">{"rp_only",#N/A,FALSE,"2225"}</definedName>
    <definedName name="ytughjn_1" hidden="1">{"rp_only",#N/A,FALSE,"2225"}</definedName>
    <definedName name="ytuitiu" localSheetId="10" hidden="1">{"rp_only",#N/A,FALSE,"2225"}</definedName>
    <definedName name="ytuitiu" hidden="1">{"rp_only",#N/A,FALSE,"2225"}</definedName>
    <definedName name="ytuitiu_1" localSheetId="10" hidden="1">{"rp_only",#N/A,FALSE,"2225"}</definedName>
    <definedName name="ytuitiu_1" hidden="1">{"rp_only",#N/A,FALSE,"2225"}</definedName>
    <definedName name="ytutjuhvj" localSheetId="10" hidden="1">{"with_oth_curr",#N/A,FALSE,"2225"}</definedName>
    <definedName name="ytutjuhvj" hidden="1">{"with_oth_curr",#N/A,FALSE,"2225"}</definedName>
    <definedName name="ytutjuhvj_1" localSheetId="10" hidden="1">{"with_oth_curr",#N/A,FALSE,"2225"}</definedName>
    <definedName name="ytutjuhvj_1" hidden="1">{"with_oth_curr",#N/A,FALSE,"2225"}</definedName>
    <definedName name="ytutu" localSheetId="10" hidden="1">{"rp_only",#N/A,FALSE,"2225"}</definedName>
    <definedName name="ytutu" hidden="1">{"rp_only",#N/A,FALSE,"2225"}</definedName>
    <definedName name="ytutu_1" localSheetId="10" hidden="1">{"rp_only",#N/A,FALSE,"2225"}</definedName>
    <definedName name="ytutu_1" hidden="1">{"rp_only",#N/A,FALSE,"2225"}</definedName>
    <definedName name="ytutyu" localSheetId="10" hidden="1">{"with_oth_curr",#N/A,FALSE,"2225"}</definedName>
    <definedName name="ytutyu" hidden="1">{"with_oth_curr",#N/A,FALSE,"2225"}</definedName>
    <definedName name="ytutyu_1" localSheetId="10" hidden="1">{"with_oth_curr",#N/A,FALSE,"2225"}</definedName>
    <definedName name="ytutyu_1" hidden="1">{"with_oth_curr",#N/A,FALSE,"2225"}</definedName>
    <definedName name="ytutyutyu" localSheetId="10" hidden="1">{"with_oth_curr",#N/A,FALSE,"2225"}</definedName>
    <definedName name="ytutyutyu" hidden="1">{"with_oth_curr",#N/A,FALSE,"2225"}</definedName>
    <definedName name="ytutyutyu_1" localSheetId="10" hidden="1">{"with_oth_curr",#N/A,FALSE,"2225"}</definedName>
    <definedName name="ytutyutyu_1" hidden="1">{"with_oth_curr",#N/A,FALSE,"2225"}</definedName>
    <definedName name="ytutyutyutu" localSheetId="10" hidden="1">{"rp_only",#N/A,FALSE,"2225"}</definedName>
    <definedName name="ytutyutyutu" hidden="1">{"rp_only",#N/A,FALSE,"2225"}</definedName>
    <definedName name="ytutyutyutu_1" localSheetId="10" hidden="1">{"rp_only",#N/A,FALSE,"2225"}</definedName>
    <definedName name="ytutyutyutu_1" hidden="1">{"rp_only",#N/A,FALSE,"2225"}</definedName>
    <definedName name="ytuyjhb" localSheetId="10" hidden="1">{"rp_only",#N/A,FALSE,"2225"}</definedName>
    <definedName name="ytuyjhb" hidden="1">{"rp_only",#N/A,FALSE,"2225"}</definedName>
    <definedName name="ytuyjhb_1" localSheetId="10" hidden="1">{"rp_only",#N/A,FALSE,"2225"}</definedName>
    <definedName name="ytuyjhb_1" hidden="1">{"rp_only",#N/A,FALSE,"2225"}</definedName>
    <definedName name="ytytyt" localSheetId="10" hidden="1">{"rp_only",#N/A,FALSE,"2225"}</definedName>
    <definedName name="ytytyt" hidden="1">{"rp_only",#N/A,FALSE,"2225"}</definedName>
    <definedName name="ytytyt_1" localSheetId="10" hidden="1">{"rp_only",#N/A,FALSE,"2225"}</definedName>
    <definedName name="ytytyt_1" hidden="1">{"rp_only",#N/A,FALSE,"2225"}</definedName>
    <definedName name="ytyy" localSheetId="10" hidden="1">{"rp_only",#N/A,FALSE,"2225"}</definedName>
    <definedName name="ytyy" hidden="1">{"rp_only",#N/A,FALSE,"2225"}</definedName>
    <definedName name="ytyy_1" localSheetId="10" hidden="1">{"rp_only",#N/A,FALSE,"2225"}</definedName>
    <definedName name="ytyy_1" hidden="1">{"rp_only",#N/A,FALSE,"2225"}</definedName>
    <definedName name="yu">#REF!</definedName>
    <definedName name="yue">#REF!</definedName>
    <definedName name="yui">#REF!</definedName>
    <definedName name="yuiko">#REF!</definedName>
    <definedName name="yuiuyiyiyi" localSheetId="10" hidden="1">{"rp_only",#N/A,FALSE,"2225"}</definedName>
    <definedName name="yuiuyiyiyi" hidden="1">{"rp_only",#N/A,FALSE,"2225"}</definedName>
    <definedName name="yuiuyiyiyi_1" localSheetId="10" hidden="1">{"rp_only",#N/A,FALSE,"2225"}</definedName>
    <definedName name="yuiuyiyiyi_1" hidden="1">{"rp_only",#N/A,FALSE,"2225"}</definedName>
    <definedName name="yuiwrei">#REF!</definedName>
    <definedName name="yuiyiu" localSheetId="10" hidden="1">{"with_oth_curr",#N/A,FALSE,"2225"}</definedName>
    <definedName name="yuiyiu" hidden="1">{"with_oth_curr",#N/A,FALSE,"2225"}</definedName>
    <definedName name="yuiyiu_1" localSheetId="10" hidden="1">{"with_oth_curr",#N/A,FALSE,"2225"}</definedName>
    <definedName name="yuiyiu_1" hidden="1">{"with_oth_curr",#N/A,FALSE,"2225"}</definedName>
    <definedName name="yuiyiuyiy" localSheetId="10" hidden="1">{"rp_only",#N/A,FALSE,"2225"}</definedName>
    <definedName name="yuiyiuyiy" hidden="1">{"rp_only",#N/A,FALSE,"2225"}</definedName>
    <definedName name="yuiyiuyiy_1" localSheetId="10" hidden="1">{"rp_only",#N/A,FALSE,"2225"}</definedName>
    <definedName name="yuiyiuyiy_1" hidden="1">{"rp_only",#N/A,FALSE,"2225"}</definedName>
    <definedName name="yuiyiy" localSheetId="10" hidden="1">{"rp_only",#N/A,FALSE,"2225"}</definedName>
    <definedName name="yuiyiy" hidden="1">{"rp_only",#N/A,FALSE,"2225"}</definedName>
    <definedName name="yuiyiy_1" localSheetId="10" hidden="1">{"rp_only",#N/A,FALSE,"2225"}</definedName>
    <definedName name="yuiyiy_1" hidden="1">{"rp_only",#N/A,FALSE,"2225"}</definedName>
    <definedName name="yuiyiyi" localSheetId="10" hidden="1">{"rp_only",#N/A,FALSE,"2225"}</definedName>
    <definedName name="yuiyiyi" hidden="1">{"rp_only",#N/A,FALSE,"2225"}</definedName>
    <definedName name="yuiyiyi_1" localSheetId="10" hidden="1">{"rp_only",#N/A,FALSE,"2225"}</definedName>
    <definedName name="yuiyiyi_1" hidden="1">{"rp_only",#N/A,FALSE,"2225"}</definedName>
    <definedName name="yuiyiyiuy" localSheetId="10" hidden="1">{"rp_only",#N/A,FALSE,"2225"}</definedName>
    <definedName name="yuiyiyiuy" hidden="1">{"rp_only",#N/A,FALSE,"2225"}</definedName>
    <definedName name="yuiyiyiuy_1" localSheetId="10" hidden="1">{"rp_only",#N/A,FALSE,"2225"}</definedName>
    <definedName name="yuiyiyiuy_1" hidden="1">{"rp_only",#N/A,FALSE,"2225"}</definedName>
    <definedName name="yuiyiyiuyi" localSheetId="10" hidden="1">{"rp_only",#N/A,FALSE,"2225"}</definedName>
    <definedName name="yuiyiyiuyi" hidden="1">{"rp_only",#N/A,FALSE,"2225"}</definedName>
    <definedName name="yuiyiyiuyi_1" localSheetId="10" hidden="1">{"rp_only",#N/A,FALSE,"2225"}</definedName>
    <definedName name="yuiyiyiuyi_1" hidden="1">{"rp_only",#N/A,FALSE,"2225"}</definedName>
    <definedName name="yuiyiyiy" localSheetId="10" hidden="1">{"rp_only",#N/A,FALSE,"2225"}</definedName>
    <definedName name="yuiyiyiy" hidden="1">{"rp_only",#N/A,FALSE,"2225"}</definedName>
    <definedName name="yuiyiyiy_1" localSheetId="10" hidden="1">{"rp_only",#N/A,FALSE,"2225"}</definedName>
    <definedName name="yuiyiyiy_1" hidden="1">{"rp_only",#N/A,FALSE,"2225"}</definedName>
    <definedName name="yuiyiyuiyui" localSheetId="10" hidden="1">{"with_oth_curr",#N/A,FALSE,"2225"}</definedName>
    <definedName name="yuiyiyuiyui" hidden="1">{"with_oth_curr",#N/A,FALSE,"2225"}</definedName>
    <definedName name="yuiyiyuiyui_1" localSheetId="10" hidden="1">{"with_oth_curr",#N/A,FALSE,"2225"}</definedName>
    <definedName name="yuiyiyuiyui_1" hidden="1">{"with_oth_curr",#N/A,FALSE,"2225"}</definedName>
    <definedName name="yuiyui" localSheetId="10" hidden="1">{"rp_only",#N/A,FALSE,"2225"}</definedName>
    <definedName name="yuiyui" hidden="1">{"rp_only",#N/A,FALSE,"2225"}</definedName>
    <definedName name="yuiyui_1" localSheetId="10" hidden="1">{"rp_only",#N/A,FALSE,"2225"}</definedName>
    <definedName name="yuiyui_1" hidden="1">{"rp_only",#N/A,FALSE,"2225"}</definedName>
    <definedName name="yuiyuiyi" localSheetId="10" hidden="1">{"with_oth_curr",#N/A,FALSE,"2225"}</definedName>
    <definedName name="yuiyuiyi" hidden="1">{"with_oth_curr",#N/A,FALSE,"2225"}</definedName>
    <definedName name="yuiyuiyi_1" localSheetId="10" hidden="1">{"with_oth_curr",#N/A,FALSE,"2225"}</definedName>
    <definedName name="yuiyuiyi_1" hidden="1">{"with_oth_curr",#N/A,FALSE,"2225"}</definedName>
    <definedName name="yuiyuiyiui" localSheetId="10" hidden="1">{"with_oth_curr",#N/A,FALSE,"2225"}</definedName>
    <definedName name="yuiyuiyiui" hidden="1">{"with_oth_curr",#N/A,FALSE,"2225"}</definedName>
    <definedName name="yuiyuiyiui_1" localSheetId="10" hidden="1">{"with_oth_curr",#N/A,FALSE,"2225"}</definedName>
    <definedName name="yuiyuiyiui_1" hidden="1">{"with_oth_curr",#N/A,FALSE,"2225"}</definedName>
    <definedName name="yuiyuiyiyi" localSheetId="10" hidden="1">{"rp_only",#N/A,FALSE,"2225"}</definedName>
    <definedName name="yuiyuiyiyi" hidden="1">{"rp_only",#N/A,FALSE,"2225"}</definedName>
    <definedName name="yuiyuiyiyi_1" localSheetId="10" hidden="1">{"rp_only",#N/A,FALSE,"2225"}</definedName>
    <definedName name="yuiyuiyiyi_1" hidden="1">{"rp_only",#N/A,FALSE,"2225"}</definedName>
    <definedName name="yuiyuiyiyui" localSheetId="10" hidden="1">{"rp_only",#N/A,FALSE,"2225"}</definedName>
    <definedName name="yuiyuiyiyui" hidden="1">{"rp_only",#N/A,FALSE,"2225"}</definedName>
    <definedName name="yuiyuiyiyui_1" localSheetId="10" hidden="1">{"rp_only",#N/A,FALSE,"2225"}</definedName>
    <definedName name="yuiyuiyiyui_1" hidden="1">{"rp_only",#N/A,FALSE,"2225"}</definedName>
    <definedName name="yuiyuiyui" localSheetId="10" hidden="1">{"rp_only",#N/A,FALSE,"2225"}</definedName>
    <definedName name="yuiyuiyui" hidden="1">{"rp_only",#N/A,FALSE,"2225"}</definedName>
    <definedName name="yuiyuiyui_1" localSheetId="10" hidden="1">{"rp_only",#N/A,FALSE,"2225"}</definedName>
    <definedName name="yuiyuiyui_1" hidden="1">{"rp_only",#N/A,FALSE,"2225"}</definedName>
    <definedName name="yuiyuiyuiyu" localSheetId="10" hidden="1">{"rp_only",#N/A,FALSE,"2225"}</definedName>
    <definedName name="yuiyuiyuiyu" hidden="1">{"rp_only",#N/A,FALSE,"2225"}</definedName>
    <definedName name="yuiyuiyuiyu_1" localSheetId="10" hidden="1">{"rp_only",#N/A,FALSE,"2225"}</definedName>
    <definedName name="yuiyuiyuiyu_1" hidden="1">{"rp_only",#N/A,FALSE,"2225"}</definedName>
    <definedName name="yuiyuiyuiyui" localSheetId="10" hidden="1">{"rp_only",#N/A,FALSE,"2225"}</definedName>
    <definedName name="yuiyuiyuiyui" hidden="1">{"rp_only",#N/A,FALSE,"2225"}</definedName>
    <definedName name="yuiyuiyuiyui_1" localSheetId="10" hidden="1">{"rp_only",#N/A,FALSE,"2225"}</definedName>
    <definedName name="yuiyuiyuiyui_1" hidden="1">{"rp_only",#N/A,FALSE,"2225"}</definedName>
    <definedName name="yuli" localSheetId="10" hidden="1">{#N/A,#N/A,FALSE,"Aging Summary";#N/A,#N/A,FALSE,"Ratio Analysis";#N/A,#N/A,FALSE,"Test 120 Day Accts";#N/A,#N/A,FALSE,"Tickmarks"}</definedName>
    <definedName name="yuli" hidden="1">{#N/A,#N/A,FALSE,"Aging Summary";#N/A,#N/A,FALSE,"Ratio Analysis";#N/A,#N/A,FALSE,"Test 120 Day Accts";#N/A,#N/A,FALSE,"Tickmarks"}</definedName>
    <definedName name="yuop" localSheetId="10"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localSheetId="10" hidden="1">{"with_oth_curr",#N/A,FALSE,"2225"}</definedName>
    <definedName name="yurty" hidden="1">{"with_oth_curr",#N/A,FALSE,"2225"}</definedName>
    <definedName name="yurty_1" localSheetId="10" hidden="1">{"with_oth_curr",#N/A,FALSE,"2225"}</definedName>
    <definedName name="yurty_1" hidden="1">{"with_oth_curr",#N/A,FALSE,"2225"}</definedName>
    <definedName name="yut">#REF!</definedName>
    <definedName name="yutijhkhj" localSheetId="10" hidden="1">{"rp_only",#N/A,FALSE,"2225"}</definedName>
    <definedName name="yutijhkhj" hidden="1">{"rp_only",#N/A,FALSE,"2225"}</definedName>
    <definedName name="yutijhkhj_1" localSheetId="10" hidden="1">{"rp_only",#N/A,FALSE,"2225"}</definedName>
    <definedName name="yutijhkhj_1" hidden="1">{"rp_only",#N/A,FALSE,"2225"}</definedName>
    <definedName name="yutred" localSheetId="10" hidden="1">{"rp_only",#N/A,FALSE,"2225"}</definedName>
    <definedName name="yutred" hidden="1">{"rp_only",#N/A,FALSE,"2225"}</definedName>
    <definedName name="yutred_1" localSheetId="10" hidden="1">{"rp_only",#N/A,FALSE,"2225"}</definedName>
    <definedName name="yutred_1" hidden="1">{"rp_only",#N/A,FALSE,"2225"}</definedName>
    <definedName name="yutu" localSheetId="10" hidden="1">{"with_oth_curr",#N/A,FALSE,"2225"}</definedName>
    <definedName name="yutu" hidden="1">{"with_oth_curr",#N/A,FALSE,"2225"}</definedName>
    <definedName name="yutu_1" localSheetId="10" hidden="1">{"with_oth_curr",#N/A,FALSE,"2225"}</definedName>
    <definedName name="yutu_1" hidden="1">{"with_oth_curr",#N/A,FALSE,"2225"}</definedName>
    <definedName name="yutut" localSheetId="10" hidden="1">{"with_oth_curr",#N/A,FALSE,"2225"}</definedName>
    <definedName name="yutut" hidden="1">{"with_oth_curr",#N/A,FALSE,"2225"}</definedName>
    <definedName name="yutut_1" localSheetId="10" hidden="1">{"with_oth_curr",#N/A,FALSE,"2225"}</definedName>
    <definedName name="yutut_1" hidden="1">{"with_oth_curr",#N/A,FALSE,"2225"}</definedName>
    <definedName name="yututu" localSheetId="10" hidden="1">{"rp_only",#N/A,FALSE,"2225"}</definedName>
    <definedName name="yututu" hidden="1">{"rp_only",#N/A,FALSE,"2225"}</definedName>
    <definedName name="yututu_1" localSheetId="10" hidden="1">{"rp_only",#N/A,FALSE,"2225"}</definedName>
    <definedName name="yututu_1" hidden="1">{"rp_only",#N/A,FALSE,"2225"}</definedName>
    <definedName name="yututyutu" localSheetId="10" hidden="1">{"rp_only",#N/A,FALSE,"2225"}</definedName>
    <definedName name="yututyutu" hidden="1">{"rp_only",#N/A,FALSE,"2225"}</definedName>
    <definedName name="yututyutu_1" localSheetId="10" hidden="1">{"rp_only",#N/A,FALSE,"2225"}</definedName>
    <definedName name="yututyutu_1" hidden="1">{"rp_only",#N/A,FALSE,"2225"}</definedName>
    <definedName name="yututyutyu" localSheetId="10" hidden="1">{"with_oth_curr",#N/A,FALSE,"2225"}</definedName>
    <definedName name="yututyutyu" hidden="1">{"with_oth_curr",#N/A,FALSE,"2225"}</definedName>
    <definedName name="yututyutyu_1" localSheetId="10" hidden="1">{"with_oth_curr",#N/A,FALSE,"2225"}</definedName>
    <definedName name="yututyutyu_1" hidden="1">{"with_oth_curr",#N/A,FALSE,"2225"}</definedName>
    <definedName name="yutuyt" localSheetId="10" hidden="1">{"with_oth_curr",#N/A,FALSE,"2225"}</definedName>
    <definedName name="yutuyt" hidden="1">{"with_oth_curr",#N/A,FALSE,"2225"}</definedName>
    <definedName name="yutuyt_1" localSheetId="10" hidden="1">{"with_oth_curr",#N/A,FALSE,"2225"}</definedName>
    <definedName name="yutuyt_1" hidden="1">{"with_oth_curr",#N/A,FALSE,"2225"}</definedName>
    <definedName name="yutytyr" localSheetId="10" hidden="1">{"rp_only",#N/A,FALSE,"2225"}</definedName>
    <definedName name="yutytyr" hidden="1">{"rp_only",#N/A,FALSE,"2225"}</definedName>
    <definedName name="yutytyr_1" localSheetId="10" hidden="1">{"rp_only",#N/A,FALSE,"2225"}</definedName>
    <definedName name="yutytyr_1" hidden="1">{"rp_only",#N/A,FALSE,"2225"}</definedName>
    <definedName name="yutyugj" localSheetId="10" hidden="1">{"rp_only",#N/A,FALSE,"2225"}</definedName>
    <definedName name="yutyugj" hidden="1">{"rp_only",#N/A,FALSE,"2225"}</definedName>
    <definedName name="yutyugj_1" localSheetId="10" hidden="1">{"rp_only",#N/A,FALSE,"2225"}</definedName>
    <definedName name="yutyugj_1" hidden="1">{"rp_only",#N/A,FALSE,"2225"}</definedName>
    <definedName name="yutyutu" localSheetId="10" hidden="1">{"with_oth_curr",#N/A,FALSE,"2225"}</definedName>
    <definedName name="yutyutu" hidden="1">{"with_oth_curr",#N/A,FALSE,"2225"}</definedName>
    <definedName name="yutyutu_1" localSheetId="10" hidden="1">{"with_oth_curr",#N/A,FALSE,"2225"}</definedName>
    <definedName name="yutyutu_1" hidden="1">{"with_oth_curr",#N/A,FALSE,"2225"}</definedName>
    <definedName name="yutyuty" localSheetId="10" hidden="1">{"rp_only",#N/A,FALSE,"2225"}</definedName>
    <definedName name="yutyuty" hidden="1">{"rp_only",#N/A,FALSE,"2225"}</definedName>
    <definedName name="yutyuty_1" localSheetId="10" hidden="1">{"rp_only",#N/A,FALSE,"2225"}</definedName>
    <definedName name="yutyuty_1" hidden="1">{"rp_only",#N/A,FALSE,"2225"}</definedName>
    <definedName name="yutyutyjugf" localSheetId="10" hidden="1">{"with_oth_curr",#N/A,FALSE,"2225"}</definedName>
    <definedName name="yutyutyjugf" hidden="1">{"with_oth_curr",#N/A,FALSE,"2225"}</definedName>
    <definedName name="yutyutyjugf_1" localSheetId="10" hidden="1">{"with_oth_curr",#N/A,FALSE,"2225"}</definedName>
    <definedName name="yutyutyjugf_1" hidden="1">{"with_oth_curr",#N/A,FALSE,"2225"}</definedName>
    <definedName name="yutyutyu" localSheetId="10" hidden="1">{"with_oth_curr",#N/A,FALSE,"2225"}</definedName>
    <definedName name="yutyutyu" hidden="1">{"with_oth_curr",#N/A,FALSE,"2225"}</definedName>
    <definedName name="yutyutyu_1" localSheetId="10" hidden="1">{"with_oth_curr",#N/A,FALSE,"2225"}</definedName>
    <definedName name="yutyutyu_1" hidden="1">{"with_oth_curr",#N/A,FALSE,"2225"}</definedName>
    <definedName name="yutyutyutu" localSheetId="10" hidden="1">{"rp_only",#N/A,FALSE,"2225"}</definedName>
    <definedName name="yutyutyutu" hidden="1">{"rp_only",#N/A,FALSE,"2225"}</definedName>
    <definedName name="yutyutyutu_1" localSheetId="10" hidden="1">{"rp_only",#N/A,FALSE,"2225"}</definedName>
    <definedName name="yutyutyutu_1" hidden="1">{"rp_only",#N/A,FALSE,"2225"}</definedName>
    <definedName name="yutyutyutyu" localSheetId="10" hidden="1">{"rp_only",#N/A,FALSE,"2225"}</definedName>
    <definedName name="yutyutyutyu" hidden="1">{"rp_only",#N/A,FALSE,"2225"}</definedName>
    <definedName name="yutyutyutyu_1" localSheetId="10" hidden="1">{"rp_only",#N/A,FALSE,"2225"}</definedName>
    <definedName name="yutyutyutyu_1" hidden="1">{"rp_only",#N/A,FALSE,"2225"}</definedName>
    <definedName name="yutyuytu" localSheetId="10" hidden="1">{"rp_only",#N/A,FALSE,"2225"}</definedName>
    <definedName name="yutyuytu" hidden="1">{"rp_only",#N/A,FALSE,"2225"}</definedName>
    <definedName name="yutyuytu_1" localSheetId="10" hidden="1">{"rp_only",#N/A,FALSE,"2225"}</definedName>
    <definedName name="yutyuytu_1" hidden="1">{"rp_only",#N/A,FALSE,"2225"}</definedName>
    <definedName name="yuuiou" localSheetId="10" hidden="1">{"rp_only",#N/A,FALSE,"2225"}</definedName>
    <definedName name="yuuiou" hidden="1">{"rp_only",#N/A,FALSE,"2225"}</definedName>
    <definedName name="yuuiou_1" localSheetId="10" hidden="1">{"rp_only",#N/A,FALSE,"2225"}</definedName>
    <definedName name="yuuiou_1" hidden="1">{"rp_only",#N/A,FALSE,"2225"}</definedName>
    <definedName name="yuuuuuuu" localSheetId="10" hidden="1">{"ratios",#N/A,FALSE,"Summary Accounts"}</definedName>
    <definedName name="yuuuuuuu" hidden="1">{"ratios",#N/A,FALSE,"Summary Accounts"}</definedName>
    <definedName name="yuyiyiyiy" localSheetId="10" hidden="1">{"rp_only",#N/A,FALSE,"2225"}</definedName>
    <definedName name="yuyiyiyiy" hidden="1">{"rp_only",#N/A,FALSE,"2225"}</definedName>
    <definedName name="yuyiyiyiy_1" localSheetId="10" hidden="1">{"rp_only",#N/A,FALSE,"2225"}</definedName>
    <definedName name="yuyiyiyiy_1" hidden="1">{"rp_only",#N/A,FALSE,"2225"}</definedName>
    <definedName name="yuytutyu" localSheetId="10" hidden="1">{"rp_only",#N/A,FALSE,"2225"}</definedName>
    <definedName name="yuytutyu" hidden="1">{"rp_only",#N/A,FALSE,"2225"}</definedName>
    <definedName name="yuytutyu_1" localSheetId="10" hidden="1">{"rp_only",#N/A,FALSE,"2225"}</definedName>
    <definedName name="yuytutyu_1" hidden="1">{"rp_only",#N/A,FALSE,"2225"}</definedName>
    <definedName name="yuz">#REF!</definedName>
    <definedName name="yy" localSheetId="10" hidden="1">{"'장비'!$A$3:$M$12"}</definedName>
    <definedName name="yy" hidden="1">{"'장비'!$A$3:$M$12"}</definedName>
    <definedName name="yyyy" localSheetId="10" hidden="1">{#N/A,#N/A,FALSE,"Sheet1";#N/A,#N/A,FALSE,"Sheet2"}</definedName>
    <definedName name="yyyy" hidden="1">{#N/A,#N/A,FALSE,"Sheet1";#N/A,#N/A,FALSE,"Sheet2"}</definedName>
    <definedName name="yyyy_1">#REF!</definedName>
    <definedName name="yyyyyy" localSheetId="10" hidden="1">{"p_l",#N/A,FALSE,"Summary Accounts"}</definedName>
    <definedName name="yyyyyy" hidden="1">{"p_l",#N/A,FALSE,"Summary Accounts"}</definedName>
    <definedName name="yyyyyyyyyyyy" localSheetId="10" hidden="1">{#N/A,#N/A,FALSE,"Sheet1";#N/A,#N/A,FALSE,"Sheet2"}</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localSheetId="10" hidden="1">{"with_oth_curr",#N/A,FALSE,"2225"}</definedName>
    <definedName name="zcvxzcvxzcv" hidden="1">{"with_oth_curr",#N/A,FALSE,"2225"}</definedName>
    <definedName name="zcvxzcvxzcv_1" localSheetId="10" hidden="1">{"with_oth_curr",#N/A,FALSE,"2225"}</definedName>
    <definedName name="zcvxzcvxzcv_1" hidden="1">{"with_oth_curr",#N/A,FALSE,"2225"}</definedName>
    <definedName name="zcvzvxzcv" localSheetId="10" hidden="1">{"rp_only",#N/A,FALSE,"2225"}</definedName>
    <definedName name="zcvzvxzcv" hidden="1">{"rp_only",#N/A,FALSE,"2225"}</definedName>
    <definedName name="zcvzvxzcv_1" localSheetId="10" hidden="1">{"rp_only",#N/A,FALSE,"2225"}</definedName>
    <definedName name="zcvzvxzcv_1" hidden="1">{"rp_only",#N/A,FALSE,"2225"}</definedName>
    <definedName name="zcxcxzcxzcxzczxczx" localSheetId="10" hidden="1">{"rp_only",#N/A,FALSE,"2225"}</definedName>
    <definedName name="zcxcxzcxzcxzczxczx" hidden="1">{"rp_only",#N/A,FALSE,"2225"}</definedName>
    <definedName name="zcxcxzcxzcxzczxczx_1" localSheetId="10" hidden="1">{"rp_only",#N/A,FALSE,"2225"}</definedName>
    <definedName name="zcxcxzcxzcxzczxczx_1" hidden="1">{"rp_only",#N/A,FALSE,"2225"}</definedName>
    <definedName name="zcxvxxcv" localSheetId="10" hidden="1">{"rp_only",#N/A,FALSE,"2225"}</definedName>
    <definedName name="zcxvxxcv" hidden="1">{"rp_only",#N/A,FALSE,"2225"}</definedName>
    <definedName name="zcxvxxcv_1" localSheetId="10" hidden="1">{"rp_only",#N/A,FALSE,"2225"}</definedName>
    <definedName name="zcxvxxcv_1" hidden="1">{"rp_only",#N/A,FALSE,"2225"}</definedName>
    <definedName name="zcxzxcz" localSheetId="10" hidden="1">{"rp_only",#N/A,FALSE,"2225"}</definedName>
    <definedName name="zcxzxcz" hidden="1">{"rp_only",#N/A,FALSE,"2225"}</definedName>
    <definedName name="zcxzxcz_1" localSheetId="10" hidden="1">{"rp_only",#N/A,FALSE,"2225"}</definedName>
    <definedName name="zcxzxcz_1" hidden="1">{"rp_only",#N/A,FALSE,"2225"}</definedName>
    <definedName name="zczczc" localSheetId="10" hidden="1">{"rp_only",#N/A,FALSE,"2225"}</definedName>
    <definedName name="zczczc" hidden="1">{"rp_only",#N/A,FALSE,"2225"}</definedName>
    <definedName name="zczczc_1" localSheetId="10" hidden="1">{"rp_only",#N/A,FALSE,"2225"}</definedName>
    <definedName name="zczczc_1" hidden="1">{"rp_only",#N/A,FALSE,"2225"}</definedName>
    <definedName name="zebo.2">#REF!</definedName>
    <definedName name="zebo.3">#REF!</definedName>
    <definedName name="zeqq" localSheetId="10" hidden="1">{"'장비'!$A$3:$M$12"}</definedName>
    <definedName name="zeqq" hidden="1">{"'장비'!$A$3:$M$12"}</definedName>
    <definedName name="zff" localSheetId="10" hidden="1">{"rp_only",#N/A,FALSE,"2225"}</definedName>
    <definedName name="zff" hidden="1">{"rp_only",#N/A,FALSE,"2225"}</definedName>
    <definedName name="zff_1" localSheetId="10" hidden="1">{"rp_only",#N/A,FALSE,"2225"}</definedName>
    <definedName name="zff_1" hidden="1">{"rp_only",#N/A,FALSE,"2225"}</definedName>
    <definedName name="zfgxdgd">#REF!</definedName>
    <definedName name="zfs" localSheetId="10" hidden="1">{"rp_only",#N/A,FALSE,"2225"}</definedName>
    <definedName name="zfs" hidden="1">{"rp_only",#N/A,FALSE,"2225"}</definedName>
    <definedName name="zfs_1" localSheetId="10" hidden="1">{"rp_only",#N/A,FALSE,"2225"}</definedName>
    <definedName name="zfs_1" hidden="1">{"rp_only",#N/A,FALSE,"2225"}</definedName>
    <definedName name="zfz" localSheetId="10" hidden="1">{"rp_only",#N/A,FALSE,"2225"}</definedName>
    <definedName name="zfz" hidden="1">{"rp_only",#N/A,FALSE,"2225"}</definedName>
    <definedName name="zfz_1" localSheetId="10" hidden="1">{"rp_only",#N/A,FALSE,"2225"}</definedName>
    <definedName name="zfz_1" hidden="1">{"rp_only",#N/A,FALSE,"2225"}</definedName>
    <definedName name="zfzf" localSheetId="10" hidden="1">{"rp_only",#N/A,FALSE,"2225"}</definedName>
    <definedName name="zfzf" hidden="1">{"rp_only",#N/A,FALSE,"2225"}</definedName>
    <definedName name="zfzf_1" localSheetId="10"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localSheetId="10" hidden="1">{"with_oth_curr",#N/A,FALSE,"2225"}</definedName>
    <definedName name="zsad" hidden="1">{"with_oth_curr",#N/A,FALSE,"2225"}</definedName>
    <definedName name="zsad_1" localSheetId="10" hidden="1">{"with_oth_curr",#N/A,FALSE,"2225"}</definedName>
    <definedName name="zsad_1" hidden="1">{"with_oth_curr",#N/A,FALSE,"2225"}</definedName>
    <definedName name="zSDsafdsg" localSheetId="10" hidden="1">{"with_oth_curr",#N/A,FALSE,"2225"}</definedName>
    <definedName name="zSDsafdsg" hidden="1">{"with_oth_curr",#N/A,FALSE,"2225"}</definedName>
    <definedName name="zSDsafdsg_1" localSheetId="10" hidden="1">{"with_oth_curr",#N/A,FALSE,"2225"}</definedName>
    <definedName name="zSDsafdsg_1" hidden="1">{"with_oth_curr",#N/A,FALSE,"2225"}</definedName>
    <definedName name="zse" localSheetId="10"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10" hidden="1">{"with_oth_curr",#N/A,FALSE,"2225"}</definedName>
    <definedName name="zvx" hidden="1">{"with_oth_curr",#N/A,FALSE,"2225"}</definedName>
    <definedName name="zvx_1" localSheetId="10" hidden="1">{"with_oth_curr",#N/A,FALSE,"2225"}</definedName>
    <definedName name="zvx_1" hidden="1">{"with_oth_curr",#N/A,FALSE,"2225"}</definedName>
    <definedName name="zx" localSheetId="10" hidden="1">{"with_oth_curr",#N/A,FALSE,"2225"}</definedName>
    <definedName name="zx" hidden="1">{"with_oth_curr",#N/A,FALSE,"2225"}</definedName>
    <definedName name="zx_1" localSheetId="10" hidden="1">{"with_oth_curr",#N/A,FALSE,"2225"}</definedName>
    <definedName name="zx_1" hidden="1">{"with_oth_curr",#N/A,FALSE,"2225"}</definedName>
    <definedName name="zxcvxcvzxcxzcv" localSheetId="10" hidden="1">{"with_oth_curr",#N/A,FALSE,"2225"}</definedName>
    <definedName name="zxcvxcvzxcxzcv" hidden="1">{"with_oth_curr",#N/A,FALSE,"2225"}</definedName>
    <definedName name="zxcvxcvzxcxzcv_1" localSheetId="10" hidden="1">{"with_oth_curr",#N/A,FALSE,"2225"}</definedName>
    <definedName name="zxcvxcvzxcxzcv_1" hidden="1">{"with_oth_curr",#N/A,FALSE,"2225"}</definedName>
    <definedName name="zxcvxzcvxzvcxzcvxzv" localSheetId="10" hidden="1">{"rp_only",#N/A,FALSE,"2225"}</definedName>
    <definedName name="zxcvxzcvxzvcxzcvxzv" hidden="1">{"rp_only",#N/A,FALSE,"2225"}</definedName>
    <definedName name="zxcvxzcvxzvcxzcvxzv_1" localSheetId="10" hidden="1">{"rp_only",#N/A,FALSE,"2225"}</definedName>
    <definedName name="zxcvxzcvxzvcxzcvxzv_1" hidden="1">{"rp_only",#N/A,FALSE,"2225"}</definedName>
    <definedName name="zxcvzxcv" localSheetId="10" hidden="1">{"rp_only",#N/A,FALSE,"2225"}</definedName>
    <definedName name="zxcvzxcv" hidden="1">{"rp_only",#N/A,FALSE,"2225"}</definedName>
    <definedName name="zxcvzxcv_1" localSheetId="10" hidden="1">{"rp_only",#N/A,FALSE,"2225"}</definedName>
    <definedName name="zxcvzxcv_1" hidden="1">{"rp_only",#N/A,FALSE,"2225"}</definedName>
    <definedName name="zxczcxzc" localSheetId="10" hidden="1">{"rp_only",#N/A,FALSE,"2225"}</definedName>
    <definedName name="zxczcxzc" hidden="1">{"rp_only",#N/A,FALSE,"2225"}</definedName>
    <definedName name="zxczcxzc_1" localSheetId="10" hidden="1">{"rp_only",#N/A,FALSE,"2225"}</definedName>
    <definedName name="zxczcxzc_1" hidden="1">{"rp_only",#N/A,FALSE,"2225"}</definedName>
    <definedName name="zxczcxzxcc" localSheetId="10" hidden="1">{"rp_only",#N/A,FALSE,"2225"}</definedName>
    <definedName name="zxczcxzxcc" hidden="1">{"rp_only",#N/A,FALSE,"2225"}</definedName>
    <definedName name="zxczcxzxcc_1" localSheetId="10" hidden="1">{"rp_only",#N/A,FALSE,"2225"}</definedName>
    <definedName name="zxczcxzxcc_1" hidden="1">{"rp_only",#N/A,FALSE,"2225"}</definedName>
    <definedName name="zxczcz" localSheetId="10" hidden="1">{"rp_only",#N/A,FALSE,"2225"}</definedName>
    <definedName name="zxczcz" hidden="1">{"rp_only",#N/A,FALSE,"2225"}</definedName>
    <definedName name="zxczcz_1" localSheetId="10" hidden="1">{"rp_only",#N/A,FALSE,"2225"}</definedName>
    <definedName name="zxczcz_1" hidden="1">{"rp_only",#N/A,FALSE,"2225"}</definedName>
    <definedName name="zxczczc" localSheetId="10" hidden="1">{"with_oth_curr",#N/A,FALSE,"2225"}</definedName>
    <definedName name="zxczczc" hidden="1">{"with_oth_curr",#N/A,FALSE,"2225"}</definedName>
    <definedName name="zxczczc_1" localSheetId="10" hidden="1">{"with_oth_curr",#N/A,FALSE,"2225"}</definedName>
    <definedName name="zxczczc_1" hidden="1">{"with_oth_curr",#N/A,FALSE,"2225"}</definedName>
    <definedName name="zxczxc" localSheetId="10" hidden="1">{"with_oth_curr",#N/A,FALSE,"2225"}</definedName>
    <definedName name="zxczxc" hidden="1">{"with_oth_curr",#N/A,FALSE,"2225"}</definedName>
    <definedName name="zxczxc_1" localSheetId="10" hidden="1">{"with_oth_curr",#N/A,FALSE,"2225"}</definedName>
    <definedName name="zxczxc_1" hidden="1">{"with_oth_curr",#N/A,FALSE,"2225"}</definedName>
    <definedName name="zxczxcvzxcxzv" localSheetId="10" hidden="1">{"with_oth_curr",#N/A,FALSE,"2225"}</definedName>
    <definedName name="zxczxcvzxcxzv" hidden="1">{"with_oth_curr",#N/A,FALSE,"2225"}</definedName>
    <definedName name="zxczxcvzxcxzv_1" localSheetId="10" hidden="1">{"with_oth_curr",#N/A,FALSE,"2225"}</definedName>
    <definedName name="zxczxcvzxcxzv_1" hidden="1">{"with_oth_curr",#N/A,FALSE,"2225"}</definedName>
    <definedName name="zxczxczxc" localSheetId="10" hidden="1">{"with_oth_curr",#N/A,FALSE,"2225"}</definedName>
    <definedName name="zxczxczxc" hidden="1">{"with_oth_curr",#N/A,FALSE,"2225"}</definedName>
    <definedName name="zxczxczxc_1" localSheetId="10" hidden="1">{"with_oth_curr",#N/A,FALSE,"2225"}</definedName>
    <definedName name="zxczxczxc_1" hidden="1">{"with_oth_curr",#N/A,FALSE,"2225"}</definedName>
    <definedName name="zxczxczxczxv" localSheetId="10" hidden="1">{"rp_only",#N/A,FALSE,"2225"}</definedName>
    <definedName name="zxczxczxczxv" hidden="1">{"rp_only",#N/A,FALSE,"2225"}</definedName>
    <definedName name="zxczxczxczxv_1" localSheetId="10" hidden="1">{"rp_only",#N/A,FALSE,"2225"}</definedName>
    <definedName name="zxczxczxczxv_1" hidden="1">{"rp_only",#N/A,FALSE,"2225"}</definedName>
    <definedName name="zxczzv" localSheetId="10" hidden="1">{"rp_only",#N/A,FALSE,"2225"}</definedName>
    <definedName name="zxczzv" hidden="1">{"rp_only",#N/A,FALSE,"2225"}</definedName>
    <definedName name="zxczzv_1" localSheetId="10" hidden="1">{"rp_only",#N/A,FALSE,"2225"}</definedName>
    <definedName name="zxczzv_1" hidden="1">{"rp_only",#N/A,FALSE,"2225"}</definedName>
    <definedName name="zxfz" localSheetId="10" hidden="1">{"rp_only",#N/A,FALSE,"2225"}</definedName>
    <definedName name="zxfz" hidden="1">{"rp_only",#N/A,FALSE,"2225"}</definedName>
    <definedName name="zxfz_1" localSheetId="10" hidden="1">{"rp_only",#N/A,FALSE,"2225"}</definedName>
    <definedName name="zxfz_1" hidden="1">{"rp_only",#N/A,FALSE,"2225"}</definedName>
    <definedName name="zxxzcz" localSheetId="10" hidden="1">{"with_oth_curr",#N/A,FALSE,"2225"}</definedName>
    <definedName name="zxxzcz" hidden="1">{"with_oth_curr",#N/A,FALSE,"2225"}</definedName>
    <definedName name="zxxzcz_1" localSheetId="10" hidden="1">{"with_oth_curr",#N/A,FALSE,"2225"}</definedName>
    <definedName name="zxxzcz_1" hidden="1">{"with_oth_curr",#N/A,FALSE,"2225"}</definedName>
    <definedName name="zxzczxc" localSheetId="10" hidden="1">{"rp_only",#N/A,FALSE,"2225"}</definedName>
    <definedName name="zxzczxc" hidden="1">{"rp_only",#N/A,FALSE,"2225"}</definedName>
    <definedName name="zxzczxc_1" localSheetId="10" hidden="1">{"rp_only",#N/A,FALSE,"2225"}</definedName>
    <definedName name="zxzczxc_1" hidden="1">{"rp_only",#N/A,FALSE,"2225"}</definedName>
    <definedName name="ZYX">#REF!</definedName>
    <definedName name="zz" localSheetId="10"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localSheetId="10" hidden="1">{"with_oth_curr",#N/A,FALSE,"2225"}</definedName>
    <definedName name="zz_1" hidden="1">{"with_oth_curr",#N/A,FALSE,"2225"}</definedName>
    <definedName name="ZZZ">#REF!</definedName>
    <definedName name="zzzz">#REF!</definedName>
    <definedName name="zzzzzzz" localSheetId="10" hidden="1">{#N/A,#N/A,FALSE,"Sheet1";#N/A,#N/A,FALSE,"Sheet2"}</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localSheetId="10" hidden="1">{"'Model'!$A$1:$N$53"}</definedName>
    <definedName name="าาา" hidden="1">{"'Model'!$A$1:$N$53"}</definedName>
    <definedName name="าาาา" localSheetId="10" hidden="1">{"'Model'!$A$1:$N$53"}</definedName>
    <definedName name="าาาา" hidden="1">{"'Model'!$A$1:$N$53"}</definedName>
    <definedName name="ㄱㄱㄱ" localSheetId="10"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10" hidden="1">{"'장비'!$A$3:$M$12"}</definedName>
    <definedName name="ㄱㄷㄱㄷㄱㄱㅎㄺㄷ" hidden="1">{"'장비'!$A$3:$M$12"}</definedName>
    <definedName name="가" localSheetId="10">BLCH</definedName>
    <definedName name="가">BLCH</definedName>
    <definedName name="가나" localSheetId="10">BLCH</definedName>
    <definedName name="가나">BLCH</definedName>
    <definedName name="가나다라" localSheetId="10">BLCH</definedName>
    <definedName name="가나다라">BLCH</definedName>
    <definedName name="감리상주" localSheetId="10" hidden="1">{#N/A,#N/A,FALSE,"지침";#N/A,#N/A,FALSE,"환경분석";#N/A,#N/A,FALSE,"Sheet16"}</definedName>
    <definedName name="감리상주" hidden="1">{#N/A,#N/A,FALSE,"지침";#N/A,#N/A,FALSE,"환경분석";#N/A,#N/A,FALSE,"Sheet16"}</definedName>
    <definedName name="감리조서2" localSheetId="10">BLCH</definedName>
    <definedName name="감리조서2">BLCH</definedName>
    <definedName name="갑지2"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10"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localSheetId="10"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localSheetId="10"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0"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localSheetId="10"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10" hidden="1">{#N/A,#N/A,FALSE,"CCTV"}</definedName>
    <definedName name="ㄴㅇㄹ" hidden="1">{#N/A,#N/A,FALSE,"CCTV"}</definedName>
    <definedName name="나"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10" hidden="1">{"'장비'!$A$3:$M$12"}</definedName>
    <definedName name="ㄷㄳ" hidden="1">{"'장비'!$A$3:$M$12"}</definedName>
    <definedName name="ㄷㄷㄷㄷ" localSheetId="10" hidden="1">{"'장비'!$A$3:$M$12"}</definedName>
    <definedName name="ㄷㄷㄷㄷ" hidden="1">{"'장비'!$A$3:$M$12"}</definedName>
    <definedName name="ㄷㅈㅂㄷ" localSheetId="10"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10" hidden="1">{#N/A,#N/A,FALSE,"CCTV"}</definedName>
    <definedName name="동영" hidden="1">{#N/A,#N/A,FALSE,"CCTV"}</definedName>
    <definedName name="동원인원계획">#REF!</definedName>
    <definedName name="ㄹㄹ" localSheetId="10" hidden="1">{"'장비'!$A$3:$M$12"}</definedName>
    <definedName name="ㄹㄹ" hidden="1">{"'장비'!$A$3:$M$12"}</definedName>
    <definedName name="ㅁ1">#REF!</definedName>
    <definedName name="ㅁㅁ" localSheetId="10"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10">BLCH</definedName>
    <definedName name="ㅁㅁㅁ">BLCH</definedName>
    <definedName name="ㅁㅂ">#REF!</definedName>
    <definedName name="망">#REF!</definedName>
    <definedName name="매출bogo"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 localSheetId="10">BLCH</definedName>
    <definedName name="목ㄱ돋">BLCH</definedName>
    <definedName name="목동현대" localSheetId="10">BLCH</definedName>
    <definedName name="목동현대">BLCH</definedName>
    <definedName name="목표">#N/A</definedName>
    <definedName name="몰라">#REF!</definedName>
    <definedName name="문성수"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10" hidden="1">{"'장비'!$A$3:$M$12"}</definedName>
    <definedName name="뭉" hidden="1">{"'장비'!$A$3:$M$12"}</definedName>
    <definedName name="민자사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10" hidden="1">{"'장비'!$A$3:$M$12"}</definedName>
    <definedName name="ㅂㅈㄱㅂㅈㄷㄱ" hidden="1">{"'장비'!$A$3:$M$12"}</definedName>
    <definedName name="ㅂㅈㄷ" localSheetId="10" hidden="1">{"'장비'!$A$3:$M$12"}</definedName>
    <definedName name="ㅂㅈㄷ" hidden="1">{"'장비'!$A$3:$M$12"}</definedName>
    <definedName name="ㅂㅈㄷㄷㅂㅈㅈㅂ" localSheetId="10" hidden="1">{"'장비'!$A$3:$M$12"}</definedName>
    <definedName name="ㅂㅈㄷㄷㅂㅈㅈㅂ" hidden="1">{"'장비'!$A$3:$M$12"}</definedName>
    <definedName name="ㅂㅈㄷㅂㅈ" localSheetId="10" hidden="1">{"'장비'!$A$3:$M$12"}</definedName>
    <definedName name="ㅂㅈㄷㅂㅈ" hidden="1">{"'장비'!$A$3:$M$12"}</definedName>
    <definedName name="ㅂㅈㄷㅂㅈㅈㅂㄷ" localSheetId="10" hidden="1">{"'장비'!$A$3:$M$12"}</definedName>
    <definedName name="ㅂㅈㄷㅂㅈㅈㅂㄷ" hidden="1">{"'장비'!$A$3:$M$12"}</definedName>
    <definedName name="ㅂㅈㄷㅈㅂㄷ" localSheetId="10" hidden="1">{"'장비'!$A$3:$M$12"}</definedName>
    <definedName name="ㅂㅈㄷㅈㅂㄷ" hidden="1">{"'장비'!$A$3:$M$12"}</definedName>
    <definedName name="배관3"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localSheetId="10"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10" hidden="1">{"'장비'!$A$3:$M$12"}</definedName>
    <definedName name="ㅅㄱㄱㄷ" hidden="1">{"'장비'!$A$3:$M$12"}</definedName>
    <definedName name="ㅅㅅㅅㅅㅅ" localSheetId="10" hidden="1">{"'장비'!$A$3:$M$12"}</definedName>
    <definedName name="ㅅㅅㅅㅅㅅ" hidden="1">{"'장비'!$A$3:$M$12"}</definedName>
    <definedName name="사급">#REF!</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10" hidden="1">{#N/A,#N/A,FALSE,"지침";#N/A,#N/A,FALSE,"환경분석";#N/A,#N/A,FALSE,"Sheet16"}</definedName>
    <definedName name="상주" hidden="1">{#N/A,#N/A,FALSE,"지침";#N/A,#N/A,FALSE,"환경분석";#N/A,#N/A,FALSE,"Sheet16"}</definedName>
    <definedName name="상주감리" localSheetId="10" hidden="1">{#N/A,#N/A,FALSE,"지침";#N/A,#N/A,FALSE,"환경분석";#N/A,#N/A,FALSE,"Sheet16"}</definedName>
    <definedName name="상주감리" hidden="1">{#N/A,#N/A,FALSE,"지침";#N/A,#N/A,FALSE,"환경분석";#N/A,#N/A,FALSE,"Sheet16"}</definedName>
    <definedName name="서상">#REF!</definedName>
    <definedName name="석" localSheetId="10" hidden="1">{#N/A,#N/A,FALSE,"지침";#N/A,#N/A,FALSE,"환경분석";#N/A,#N/A,FALSE,"Sheet16"}</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10" hidden="1">{"'장비'!$A$3:$M$12"}</definedName>
    <definedName name="쇼ㅗㅎ로" hidden="1">{"'장비'!$A$3:$M$12"}</definedName>
    <definedName name="수송2">#REF!</definedName>
    <definedName name="수요분석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localSheetId="10" hidden="1">{#N/A,#N/A,FALSE,"지침";#N/A,#N/A,FALSE,"환경분석";#N/A,#N/A,FALSE,"Sheet16"}</definedName>
    <definedName name="승" hidden="1">{#N/A,#N/A,FALSE,"지침";#N/A,#N/A,FALSE,"환경분석";#N/A,#N/A,FALSE,"Sheet16"}</definedName>
    <definedName name="ㅇㅇ" localSheetId="10"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 localSheetId="10">BLCH</definedName>
    <definedName name="앙">BLCH</definedName>
    <definedName name="애">#N/A</definedName>
    <definedName name="애1">#N/A</definedName>
    <definedName name="애상">#N/A</definedName>
    <definedName name="야">#N/A</definedName>
    <definedName name="야간" localSheetId="10" hidden="1">{#N/A,#N/A,FALSE,"지침";#N/A,#N/A,FALSE,"환경분석";#N/A,#N/A,FALSE,"Sheet16"}</definedName>
    <definedName name="야간" hidden="1">{#N/A,#N/A,FALSE,"지침";#N/A,#N/A,FALSE,"환경분석";#N/A,#N/A,FALSE,"Sheet16"}</definedName>
    <definedName name="양식"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10">BLCH</definedName>
    <definedName name="연구및인력개발비세액공제">BLCH</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localSheetId="10" hidden="1">{#N/A,#N/A,FALSE,"지침";#N/A,#N/A,FALSE,"환경분석";#N/A,#N/A,FALSE,"Sheet16"}</definedName>
    <definedName name="월별투입" hidden="1">{#N/A,#N/A,FALSE,"지침";#N/A,#N/A,FALSE,"환경분석";#N/A,#N/A,FALSE,"Sheet16"}</definedName>
    <definedName name="유승"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 localSheetId="10">BLCH</definedName>
    <definedName name="이설공사_광양07호_시설진행중">BLCH</definedName>
    <definedName name="이익"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10">BLCH</definedName>
    <definedName name="임시">BLCH</definedName>
    <definedName name="자">#REF!</definedName>
    <definedName name="잔존가율">#REF!</definedName>
    <definedName name="잡철공사"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1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1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10" hidden="1">{"'장비'!$A$3:$M$12"}</definedName>
    <definedName name="전기" hidden="1">{"'장비'!$A$3:$M$12"}</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 localSheetId="10">BLCH</definedName>
    <definedName name="준공">BLCH</definedName>
    <definedName name="준공2" localSheetId="10">BLCH</definedName>
    <definedName name="준공2">BLCH</definedName>
    <definedName name="준공계2" localSheetId="10">BLCH</definedName>
    <definedName name="준공계2">BLCH</definedName>
    <definedName name="지분법">#N/A</definedName>
    <definedName name="진짜연습"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 localSheetId="10">BLCH</definedName>
    <definedName name="취소국소">BLCH</definedName>
    <definedName name="카메라" localSheetId="10" hidden="1">{#N/A,#N/A,FALSE,"지침";#N/A,#N/A,FALSE,"환경분석";#N/A,#N/A,FALSE,"Sheet16"}</definedName>
    <definedName name="카메라" hidden="1">{#N/A,#N/A,FALSE,"지침";#N/A,#N/A,FALSE,"환경분석";#N/A,#N/A,FALSE,"Sheet16"}</definedName>
    <definedName name="카메라11" localSheetId="10" hidden="1">{#N/A,#N/A,FALSE,"지침";#N/A,#N/A,FALSE,"환경분석";#N/A,#N/A,FALSE,"Sheet16"}</definedName>
    <definedName name="카메라11" hidden="1">{#N/A,#N/A,FALSE,"지침";#N/A,#N/A,FALSE,"환경분석";#N/A,#N/A,FALSE,"Sheet16"}</definedName>
    <definedName name="카메라1212" localSheetId="10" hidden="1">{#N/A,#N/A,FALSE,"지침";#N/A,#N/A,FALSE,"환경분석";#N/A,#N/A,FALSE,"Sheet16"}</definedName>
    <definedName name="카메라1212" hidden="1">{#N/A,#N/A,FALSE,"지침";#N/A,#N/A,FALSE,"환경분석";#N/A,#N/A,FALSE,"Sheet16"}</definedName>
    <definedName name="칷__?____?">#REF!</definedName>
    <definedName name="템플리트모듈1" localSheetId="10">BLCH</definedName>
    <definedName name="템플리트모듈1">BLCH</definedName>
    <definedName name="템플리트모듈2" localSheetId="10">BLCH</definedName>
    <definedName name="템플리트모듈2">BLCH</definedName>
    <definedName name="템플리트모듈3" localSheetId="10">BLCH</definedName>
    <definedName name="템플리트모듈3">BLCH</definedName>
    <definedName name="템플리트모듈4" localSheetId="10">BLCH</definedName>
    <definedName name="템플리트모듈4">BLCH</definedName>
    <definedName name="템플리트모듈5" localSheetId="10">BLCH</definedName>
    <definedName name="템플리트모듈5">BLCH</definedName>
    <definedName name="템플리트모듈6" localSheetId="10">BLCH</definedName>
    <definedName name="템플리트모듈6">BLCH</definedName>
    <definedName name="토건" localSheetId="10" hidden="1">{"'장비'!$A$3:$M$12"}</definedName>
    <definedName name="토건" hidden="1">{"'장비'!$A$3:$M$12"}</definedName>
    <definedName name="토건공사비대비r" localSheetId="10" hidden="1">{"'장비'!$A$3:$M$12"}</definedName>
    <definedName name="토건공사비대비r" hidden="1">{"'장비'!$A$3:$M$12"}</definedName>
    <definedName name="토건업체" localSheetId="10" hidden="1">{"'장비'!$A$3:$M$12"}</definedName>
    <definedName name="토건업체" hidden="1">{"'장비'!$A$3:$M$12"}</definedName>
    <definedName name="토건집계표r" localSheetId="10" hidden="1">{"'장비'!$A$3:$M$12"}</definedName>
    <definedName name="토건집계표r" hidden="1">{"'장비'!$A$3:$M$12"}</definedName>
    <definedName name="토공사"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10" hidden="1">{"'장비'!$A$3:$M$12"}</definedName>
    <definedName name="투찰예정가50" hidden="1">{"'장비'!$A$3:$M$12"}</definedName>
    <definedName name="투찰예정본부장" localSheetId="10" hidden="1">{"'장비'!$A$3:$M$12"}</definedName>
    <definedName name="투찰예정본부장" hidden="1">{"'장비'!$A$3:$M$12"}</definedName>
    <definedName name="트레이집계"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10"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10" hidden="1">{"'장비'!$A$3:$M$12"}</definedName>
    <definedName name="ㅎㅎㅎㅎ" hidden="1">{"'장비'!$A$3:$M$12"}</definedName>
    <definedName name="하" localSheetId="10" hidden="1">{#N/A,#N/A,FALSE,"지침";#N/A,#N/A,FALSE,"환경분석";#N/A,#N/A,FALSE,"Sheet16"}</definedName>
    <definedName name="하" hidden="1">{#N/A,#N/A,FALSE,"지침";#N/A,#N/A,FALSE,"환경분석";#N/A,#N/A,FALSE,"Sheet16"}</definedName>
    <definedName name="하반기차입금계획" localSheetId="10"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10"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localSheetId="10"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10"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localSheetId="10"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10" hidden="1">{"'장비'!$A$3:$M$12"}</definedName>
    <definedName name="ㅗ홓ㅎ로" hidden="1">{"'장비'!$A$3:$M$12"}</definedName>
    <definedName name="ㅗㅗㅗ" hidden="1">#REF!</definedName>
    <definedName name="ㅗㅗㅗㅗㅗ" localSheetId="10" hidden="1">{"'장비'!$A$3:$M$12"}</definedName>
    <definedName name="ㅗㅗㅗㅗㅗ" hidden="1">{"'장비'!$A$3:$M$12"}</definedName>
    <definedName name="ㅛ" localSheetId="10" hidden="1">{"'장비'!$A$3:$M$12"}</definedName>
    <definedName name="ㅛ" hidden="1">{"'장비'!$A$3:$M$12"}</definedName>
    <definedName name="ㅛㅛㅛ" localSheetId="10" hidden="1">{"'장비'!$A$3:$M$12"}</definedName>
    <definedName name="ㅛㅛㅛ" hidden="1">{"'장비'!$A$3:$M$12"}</definedName>
    <definedName name="ㅠ뮤ㅐ" hidden="1">#REF!</definedName>
    <definedName name="ㅡ48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7" l="1"/>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4" i="7"/>
  <c r="E54" i="8" l="1"/>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L100" i="22"/>
  <c r="J100" i="22"/>
  <c r="I100" i="22"/>
  <c r="L99" i="22"/>
  <c r="J99" i="22"/>
  <c r="I99" i="22"/>
  <c r="D56" i="10"/>
  <c r="E56" i="10" s="1"/>
  <c r="D55" i="10"/>
  <c r="E55" i="10" s="1"/>
  <c r="D54" i="10"/>
  <c r="E54" i="10" s="1"/>
  <c r="D53" i="10"/>
  <c r="E53" i="10" s="1"/>
  <c r="D52" i="10"/>
  <c r="E52" i="10" s="1"/>
  <c r="D51" i="10"/>
  <c r="E51" i="10" s="1"/>
  <c r="D50" i="10"/>
  <c r="E50" i="10" s="1"/>
  <c r="D49" i="10"/>
  <c r="E49" i="10" s="1"/>
  <c r="D48" i="10"/>
  <c r="E48" i="10" s="1"/>
  <c r="D47" i="10"/>
  <c r="E47" i="10" s="1"/>
  <c r="D46" i="10"/>
  <c r="E46" i="10" s="1"/>
  <c r="D45" i="10"/>
  <c r="E45" i="10" s="1"/>
  <c r="D44" i="10"/>
  <c r="E44" i="10" s="1"/>
  <c r="D43" i="10"/>
  <c r="E43" i="10" s="1"/>
  <c r="D42" i="10"/>
  <c r="E42" i="10" s="1"/>
  <c r="D41" i="10"/>
  <c r="E41" i="10" s="1"/>
  <c r="D40" i="10"/>
  <c r="E40" i="10" s="1"/>
  <c r="D39" i="10"/>
  <c r="E39" i="10" s="1"/>
  <c r="D38" i="10"/>
  <c r="E38" i="10" s="1"/>
  <c r="D37" i="10"/>
  <c r="E37" i="10" s="1"/>
  <c r="D36" i="10"/>
  <c r="E36" i="10" s="1"/>
  <c r="D35" i="10"/>
  <c r="E35" i="10" s="1"/>
  <c r="D34" i="10"/>
  <c r="E34" i="10" s="1"/>
  <c r="D33" i="10"/>
  <c r="E33" i="10" s="1"/>
  <c r="D32" i="10"/>
  <c r="E32" i="10" s="1"/>
  <c r="D31" i="10"/>
  <c r="E31" i="10" s="1"/>
  <c r="D30" i="10"/>
  <c r="E30" i="10" s="1"/>
  <c r="D29" i="10"/>
  <c r="E29" i="10" s="1"/>
  <c r="D28" i="10"/>
  <c r="E28" i="10" s="1"/>
  <c r="D27" i="10"/>
  <c r="E27" i="10" s="1"/>
  <c r="D26" i="10"/>
  <c r="E26" i="10" s="1"/>
  <c r="D25" i="10"/>
  <c r="E25" i="10" s="1"/>
  <c r="D24" i="10"/>
  <c r="E24" i="10" s="1"/>
  <c r="D23" i="10"/>
  <c r="E23" i="10" s="1"/>
  <c r="D22" i="10"/>
  <c r="E22" i="10" s="1"/>
  <c r="D21" i="10"/>
  <c r="E21" i="10" s="1"/>
  <c r="D20" i="10"/>
  <c r="E20" i="10" s="1"/>
  <c r="D19" i="10"/>
  <c r="E19" i="10" s="1"/>
  <c r="D18" i="10"/>
  <c r="E18" i="10" s="1"/>
  <c r="D17" i="10"/>
  <c r="E17" i="10" s="1"/>
  <c r="D16" i="10"/>
  <c r="E16" i="10" s="1"/>
  <c r="D15" i="10"/>
  <c r="E15" i="10" s="1"/>
  <c r="D14" i="10"/>
  <c r="E14" i="10" s="1"/>
  <c r="D13" i="10"/>
  <c r="E13" i="10" s="1"/>
  <c r="D12" i="10"/>
  <c r="E12" i="10" s="1"/>
  <c r="D11" i="10"/>
  <c r="E11" i="10" s="1"/>
  <c r="D10" i="10"/>
  <c r="E10" i="10" s="1"/>
  <c r="D9" i="10"/>
  <c r="E9" i="10" s="1"/>
  <c r="D8" i="10"/>
  <c r="E8" i="10" s="1"/>
  <c r="D7" i="10"/>
  <c r="E7" i="10" s="1"/>
  <c r="D6" i="10"/>
  <c r="E6" i="10" s="1"/>
  <c r="D5" i="10"/>
  <c r="E5" i="10" s="1"/>
  <c r="D4" i="10"/>
  <c r="E4" i="10" s="1"/>
  <c r="C50" i="27"/>
  <c r="C50" i="26"/>
  <c r="F90" i="8" l="1"/>
  <c r="F89" i="8"/>
  <c r="F88" i="8"/>
  <c r="F87" i="8"/>
  <c r="F86" i="8"/>
  <c r="F85" i="8"/>
  <c r="F84" i="8"/>
  <c r="F83" i="8"/>
  <c r="F82" i="8"/>
  <c r="F81" i="8"/>
  <c r="F76" i="8"/>
  <c r="F75" i="8"/>
  <c r="F74" i="8"/>
  <c r="F73" i="8"/>
  <c r="F72" i="8"/>
  <c r="F71" i="8"/>
  <c r="F70" i="8"/>
  <c r="F69" i="8"/>
  <c r="F68" i="8"/>
  <c r="F67" i="8"/>
  <c r="H331" i="22"/>
  <c r="H305" i="22"/>
  <c r="H290" i="22"/>
  <c r="H252" i="22"/>
  <c r="H251" i="22"/>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H228" i="22" l="1"/>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AU151" i="24"/>
  <c r="AU150" i="24"/>
  <c r="AU149" i="24"/>
  <c r="AU148" i="24"/>
  <c r="AU147" i="24"/>
  <c r="AU146" i="24"/>
  <c r="AU145" i="24"/>
  <c r="AU144" i="24"/>
  <c r="AU143" i="24"/>
  <c r="AU142" i="24"/>
  <c r="AU141" i="24"/>
  <c r="AU140" i="24"/>
  <c r="AU139" i="24"/>
  <c r="AU138" i="24"/>
  <c r="AU137" i="24"/>
  <c r="AU136" i="24"/>
  <c r="AU135" i="24"/>
  <c r="AU134" i="24"/>
  <c r="AU133" i="24"/>
  <c r="AU132" i="24"/>
  <c r="AU131" i="24"/>
  <c r="AU130" i="24"/>
  <c r="AU129" i="24"/>
  <c r="AU128" i="24"/>
  <c r="AU127" i="24"/>
  <c r="AU126" i="24"/>
  <c r="AU125" i="24"/>
  <c r="AU124" i="24"/>
  <c r="AU123" i="24"/>
  <c r="AU122" i="24"/>
  <c r="AU121" i="24"/>
  <c r="AU120" i="24"/>
  <c r="AU119" i="24"/>
  <c r="AU118" i="24"/>
  <c r="AU117" i="24"/>
  <c r="AU116" i="24"/>
  <c r="AU115" i="24"/>
  <c r="AU114" i="24"/>
  <c r="AU113" i="24"/>
  <c r="AU112" i="24"/>
  <c r="AU111" i="24"/>
  <c r="AU110" i="24"/>
  <c r="AU109" i="24"/>
  <c r="AU108" i="24"/>
  <c r="AU107" i="24"/>
  <c r="AU106" i="24"/>
  <c r="AU105" i="24"/>
  <c r="AU104" i="24"/>
  <c r="AU103" i="24"/>
  <c r="AU102" i="24"/>
  <c r="AU101" i="24"/>
  <c r="AU100" i="24"/>
  <c r="AU99" i="24"/>
  <c r="AU98" i="24"/>
  <c r="AU97" i="24"/>
  <c r="AU96" i="24"/>
  <c r="AU95" i="24"/>
  <c r="AU94" i="24"/>
  <c r="AU93" i="24"/>
  <c r="AU92" i="24"/>
  <c r="AU91" i="24"/>
  <c r="AU90" i="24"/>
  <c r="AU89" i="24"/>
  <c r="AU88" i="24"/>
  <c r="AU87" i="24"/>
  <c r="AU86" i="24"/>
  <c r="AU85" i="24"/>
  <c r="AU84" i="24"/>
  <c r="AU83" i="24"/>
  <c r="AU82" i="24"/>
  <c r="AU81" i="24"/>
  <c r="AU80" i="24"/>
  <c r="AU79" i="24"/>
  <c r="A55" i="7"/>
  <c r="A54" i="7"/>
  <c r="A53" i="7"/>
  <c r="A52" i="7"/>
  <c r="A51" i="7"/>
  <c r="A50" i="7"/>
  <c r="A49" i="7"/>
  <c r="A48" i="7"/>
  <c r="A47" i="7"/>
  <c r="A46" i="7"/>
  <c r="A45" i="7"/>
  <c r="A44" i="7"/>
  <c r="A43" i="7"/>
  <c r="A42" i="7"/>
  <c r="A41" i="7"/>
  <c r="A40" i="7"/>
  <c r="A39" i="7"/>
  <c r="A38" i="7"/>
  <c r="A37" i="7"/>
  <c r="A36" i="7"/>
  <c r="B55" i="7"/>
  <c r="B54" i="7"/>
  <c r="B53" i="7"/>
  <c r="B52" i="7"/>
  <c r="B51" i="7"/>
  <c r="B50" i="7"/>
  <c r="B49" i="7"/>
  <c r="B48" i="7"/>
  <c r="B47" i="7"/>
  <c r="B46" i="7"/>
  <c r="B45" i="7"/>
  <c r="B44" i="7"/>
  <c r="B43" i="7"/>
  <c r="B42" i="7"/>
  <c r="B41" i="7"/>
  <c r="B40" i="7"/>
  <c r="B39" i="7"/>
  <c r="B38" i="7"/>
  <c r="B37" i="7"/>
  <c r="B36" i="7"/>
  <c r="BD55" i="7"/>
  <c r="BD54" i="7"/>
  <c r="I146" i="22"/>
  <c r="I145" i="22"/>
  <c r="I144" i="22"/>
  <c r="I143" i="22"/>
  <c r="I142" i="22"/>
  <c r="I141" i="22"/>
  <c r="I140" i="22"/>
  <c r="I139" i="22"/>
  <c r="I138" i="22"/>
  <c r="I137" i="22"/>
  <c r="I136" i="22"/>
  <c r="I135" i="22"/>
  <c r="I134" i="22"/>
  <c r="I133"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B31" i="22"/>
  <c r="BL5" i="7"/>
  <c r="BL6" i="7"/>
  <c r="BL7" i="7"/>
  <c r="BL8" i="7"/>
  <c r="BL9" i="7"/>
  <c r="BL10" i="7"/>
  <c r="BL11" i="7"/>
  <c r="BL12" i="7"/>
  <c r="BL13" i="7"/>
  <c r="BL14" i="7"/>
  <c r="BL15" i="7"/>
  <c r="BL16" i="7"/>
  <c r="BL17" i="7"/>
  <c r="BL18" i="7"/>
  <c r="BL19" i="7"/>
  <c r="BL20" i="7"/>
  <c r="BL21" i="7"/>
  <c r="BL22" i="7"/>
  <c r="BL23" i="7"/>
  <c r="BL24" i="7"/>
  <c r="BL25" i="7"/>
  <c r="BL26" i="7"/>
  <c r="BL27" i="7"/>
  <c r="BL28" i="7"/>
  <c r="BL29" i="7"/>
  <c r="BL30" i="7"/>
  <c r="BL31" i="7"/>
  <c r="BL32" i="7"/>
  <c r="BL33" i="7"/>
  <c r="BL34" i="7"/>
  <c r="BL35" i="7"/>
  <c r="BL36" i="7"/>
  <c r="BL37" i="7"/>
  <c r="BL38" i="7"/>
  <c r="BL39" i="7"/>
  <c r="BL40" i="7"/>
  <c r="BL41" i="7"/>
  <c r="BL42" i="7"/>
  <c r="BL43" i="7"/>
  <c r="BL44" i="7"/>
  <c r="BL45" i="7"/>
  <c r="BL46" i="7"/>
  <c r="BL47" i="7"/>
  <c r="BL48" i="7"/>
  <c r="BL49" i="7"/>
  <c r="BL50" i="7"/>
  <c r="BL51" i="7"/>
  <c r="BL52" i="7"/>
  <c r="BL53" i="7"/>
  <c r="BL54" i="7"/>
  <c r="BL55" i="7"/>
  <c r="BL4" i="7"/>
  <c r="BI4" i="10"/>
  <c r="BI56" i="10" l="1"/>
  <c r="BI55" i="10"/>
  <c r="BI54" i="10"/>
  <c r="BI53" i="10"/>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L84" i="22"/>
  <c r="J84" i="22"/>
  <c r="D88" i="8" l="1"/>
  <c r="D87" i="8"/>
  <c r="D86" i="8"/>
  <c r="D85" i="8"/>
  <c r="D74" i="8"/>
  <c r="D73" i="8"/>
  <c r="D90" i="8"/>
  <c r="D89" i="8"/>
  <c r="D84" i="8"/>
  <c r="D83" i="8"/>
  <c r="D82" i="8"/>
  <c r="D81" i="8"/>
  <c r="D67" i="8"/>
  <c r="H56" i="10"/>
  <c r="J56" i="10" s="1"/>
  <c r="A56" i="10"/>
  <c r="C56" i="10"/>
  <c r="H55" i="10"/>
  <c r="I55" i="10" s="1"/>
  <c r="C55" i="10"/>
  <c r="H54" i="10"/>
  <c r="J54" i="10" s="1"/>
  <c r="C54" i="10"/>
  <c r="H53" i="10"/>
  <c r="C53" i="10"/>
  <c r="H52" i="10"/>
  <c r="J52" i="10" s="1"/>
  <c r="C52" i="10"/>
  <c r="H51" i="10"/>
  <c r="J51" i="10" s="1"/>
  <c r="C51" i="10"/>
  <c r="H50" i="10"/>
  <c r="I50" i="10" s="1"/>
  <c r="BK50" i="10" s="1"/>
  <c r="B50" i="10"/>
  <c r="C50" i="10"/>
  <c r="H49" i="10"/>
  <c r="J49" i="10" s="1"/>
  <c r="C49" i="10"/>
  <c r="H48" i="10"/>
  <c r="I48" i="10" s="1"/>
  <c r="A48" i="10"/>
  <c r="C48" i="10"/>
  <c r="H47" i="10"/>
  <c r="I47" i="10" s="1"/>
  <c r="BK47" i="10" s="1"/>
  <c r="C47" i="10"/>
  <c r="H46" i="10"/>
  <c r="J46" i="10" s="1"/>
  <c r="C46" i="10"/>
  <c r="H45" i="10"/>
  <c r="A45" i="10"/>
  <c r="C45" i="10"/>
  <c r="H44" i="10"/>
  <c r="J44" i="10" s="1"/>
  <c r="C44" i="10"/>
  <c r="H43" i="10"/>
  <c r="I43" i="10" s="1"/>
  <c r="C43" i="10"/>
  <c r="H42" i="10"/>
  <c r="I42" i="10" s="1"/>
  <c r="BL42" i="10" s="1"/>
  <c r="C42" i="10"/>
  <c r="H41" i="10"/>
  <c r="J41" i="10" s="1"/>
  <c r="C41" i="10"/>
  <c r="H40" i="10"/>
  <c r="J40" i="10" s="1"/>
  <c r="A40" i="10"/>
  <c r="C40" i="10"/>
  <c r="H39" i="10"/>
  <c r="I39" i="10" s="1"/>
  <c r="BK39" i="10" s="1"/>
  <c r="C39" i="10"/>
  <c r="H38" i="10"/>
  <c r="J38" i="10" s="1"/>
  <c r="C38" i="10"/>
  <c r="H37" i="10"/>
  <c r="J37" i="10" s="1"/>
  <c r="B37" i="10"/>
  <c r="C37" i="10"/>
  <c r="H36" i="10"/>
  <c r="I36" i="10" s="1"/>
  <c r="C36" i="10"/>
  <c r="H35" i="10"/>
  <c r="J35" i="10" s="1"/>
  <c r="C35" i="10"/>
  <c r="H34" i="10"/>
  <c r="I34" i="10" s="1"/>
  <c r="BK34" i="10" s="1"/>
  <c r="C34" i="10"/>
  <c r="H33" i="10"/>
  <c r="J33" i="10" s="1"/>
  <c r="C33" i="10"/>
  <c r="H32" i="10"/>
  <c r="J32" i="10" s="1"/>
  <c r="B32" i="10"/>
  <c r="C32" i="10"/>
  <c r="H31" i="10"/>
  <c r="I31" i="10" s="1"/>
  <c r="BK31" i="10" s="1"/>
  <c r="C31" i="10"/>
  <c r="H30" i="10"/>
  <c r="B30" i="10"/>
  <c r="C30" i="10"/>
  <c r="H29" i="10"/>
  <c r="J29" i="10" s="1"/>
  <c r="C29" i="10"/>
  <c r="H28" i="10"/>
  <c r="J28" i="10" s="1"/>
  <c r="C28" i="10"/>
  <c r="H27" i="10"/>
  <c r="J27" i="10" s="1"/>
  <c r="A27" i="10"/>
  <c r="C27" i="10"/>
  <c r="H26" i="10"/>
  <c r="I26" i="10" s="1"/>
  <c r="BL26" i="10" s="1"/>
  <c r="C26" i="10"/>
  <c r="H25" i="10"/>
  <c r="C25" i="10"/>
  <c r="H24" i="10"/>
  <c r="J24" i="10" s="1"/>
  <c r="C24" i="10"/>
  <c r="H23" i="10"/>
  <c r="I23" i="10" s="1"/>
  <c r="BK23" i="10" s="1"/>
  <c r="C23" i="10"/>
  <c r="H22" i="10"/>
  <c r="B22" i="10"/>
  <c r="C22" i="10"/>
  <c r="H21" i="10"/>
  <c r="J21" i="10" s="1"/>
  <c r="C21" i="10"/>
  <c r="H20" i="10"/>
  <c r="J20" i="10" s="1"/>
  <c r="C20" i="10"/>
  <c r="H19" i="10"/>
  <c r="I19" i="10" s="1"/>
  <c r="C19" i="10"/>
  <c r="H18" i="10"/>
  <c r="I18" i="10" s="1"/>
  <c r="BK18" i="10" s="1"/>
  <c r="C18" i="10"/>
  <c r="H17" i="10"/>
  <c r="C17" i="10"/>
  <c r="H16" i="10"/>
  <c r="J16" i="10" s="1"/>
  <c r="B16" i="10"/>
  <c r="C16" i="10"/>
  <c r="H15" i="10"/>
  <c r="I15" i="10" s="1"/>
  <c r="BK15" i="10" s="1"/>
  <c r="C15" i="10"/>
  <c r="H14" i="10"/>
  <c r="B14" i="10"/>
  <c r="C14" i="10"/>
  <c r="H13" i="10"/>
  <c r="J13" i="10" s="1"/>
  <c r="C13" i="10"/>
  <c r="H12" i="10"/>
  <c r="I12" i="10" s="1"/>
  <c r="C12" i="10"/>
  <c r="H11" i="10"/>
  <c r="J11" i="10" s="1"/>
  <c r="A11" i="10"/>
  <c r="C11" i="10"/>
  <c r="H10" i="10"/>
  <c r="I10" i="10" s="1"/>
  <c r="BL10" i="10" s="1"/>
  <c r="C10" i="10"/>
  <c r="H9" i="10"/>
  <c r="C9" i="10"/>
  <c r="H8" i="10"/>
  <c r="J8" i="10" s="1"/>
  <c r="B8" i="10"/>
  <c r="C8" i="10"/>
  <c r="H7" i="10"/>
  <c r="I7" i="10" s="1"/>
  <c r="BK7" i="10" s="1"/>
  <c r="C7" i="10"/>
  <c r="H6" i="10"/>
  <c r="B6" i="10"/>
  <c r="C6" i="10"/>
  <c r="H5" i="10"/>
  <c r="J5" i="10" s="1"/>
  <c r="A5" i="10"/>
  <c r="C5" i="10"/>
  <c r="H4" i="10"/>
  <c r="J4" i="10" s="1"/>
  <c r="C4" i="10"/>
  <c r="B45" i="10" l="1"/>
  <c r="A53" i="10"/>
  <c r="B53" i="10"/>
  <c r="A43" i="10"/>
  <c r="B17" i="10"/>
  <c r="A29" i="10"/>
  <c r="B26" i="10"/>
  <c r="A33" i="10"/>
  <c r="B33" i="10"/>
  <c r="J43" i="10"/>
  <c r="L43" i="10" s="1"/>
  <c r="A26" i="10"/>
  <c r="B29" i="10"/>
  <c r="B5" i="10"/>
  <c r="B41" i="10"/>
  <c r="A41" i="10"/>
  <c r="A13" i="10"/>
  <c r="A10" i="10"/>
  <c r="B13" i="10"/>
  <c r="B10" i="10"/>
  <c r="A17" i="10"/>
  <c r="A34" i="10"/>
  <c r="A14" i="10"/>
  <c r="A25" i="10"/>
  <c r="B34" i="10"/>
  <c r="A9" i="10"/>
  <c r="B9" i="10"/>
  <c r="A44" i="10"/>
  <c r="A6" i="10"/>
  <c r="A18" i="10"/>
  <c r="A21" i="10"/>
  <c r="A35" i="10"/>
  <c r="A42" i="10"/>
  <c r="B18" i="10"/>
  <c r="B21" i="10"/>
  <c r="B42" i="10"/>
  <c r="A52" i="10"/>
  <c r="B25" i="10"/>
  <c r="B56" i="10"/>
  <c r="BL18" i="10"/>
  <c r="A20" i="10"/>
  <c r="A28" i="10"/>
  <c r="J48" i="10"/>
  <c r="L48" i="10" s="1"/>
  <c r="A51" i="10"/>
  <c r="I32" i="10"/>
  <c r="BK32" i="10" s="1"/>
  <c r="A12" i="10"/>
  <c r="A36" i="10"/>
  <c r="A49" i="10"/>
  <c r="B49" i="10"/>
  <c r="J23" i="10"/>
  <c r="L23" i="10" s="1"/>
  <c r="J36" i="10"/>
  <c r="L36" i="10" s="1"/>
  <c r="J15" i="10"/>
  <c r="L15" i="10" s="1"/>
  <c r="A37" i="10"/>
  <c r="B40" i="10"/>
  <c r="A50" i="10"/>
  <c r="B48" i="10"/>
  <c r="BL19" i="10"/>
  <c r="BK19" i="10"/>
  <c r="I35" i="10"/>
  <c r="BL35" i="10" s="1"/>
  <c r="I40" i="10"/>
  <c r="I44" i="10"/>
  <c r="BL44" i="10" s="1"/>
  <c r="I56" i="10"/>
  <c r="BK48" i="10"/>
  <c r="I11" i="10"/>
  <c r="BL11" i="10" s="1"/>
  <c r="J42" i="10"/>
  <c r="L42" i="10" s="1"/>
  <c r="J47" i="10"/>
  <c r="L47" i="10" s="1"/>
  <c r="I51" i="10"/>
  <c r="BK51" i="10" s="1"/>
  <c r="BL48" i="10"/>
  <c r="I16" i="10"/>
  <c r="I27" i="10"/>
  <c r="BK27" i="10" s="1"/>
  <c r="J31" i="10"/>
  <c r="L31" i="10" s="1"/>
  <c r="BL34" i="10"/>
  <c r="J7" i="10"/>
  <c r="L7" i="10" s="1"/>
  <c r="J18" i="10"/>
  <c r="L18" i="10" s="1"/>
  <c r="I29" i="10"/>
  <c r="BK29" i="10" s="1"/>
  <c r="I24" i="10"/>
  <c r="BK24" i="10" s="1"/>
  <c r="J12" i="10"/>
  <c r="L12" i="10" s="1"/>
  <c r="J55" i="10"/>
  <c r="L55" i="10" s="1"/>
  <c r="BL50" i="10"/>
  <c r="I8" i="10"/>
  <c r="J10" i="10"/>
  <c r="L10" i="10" s="1"/>
  <c r="J19" i="10"/>
  <c r="L19" i="10" s="1"/>
  <c r="J26" i="10"/>
  <c r="L26" i="10" s="1"/>
  <c r="I28" i="10"/>
  <c r="L28" i="10" s="1"/>
  <c r="J34" i="10"/>
  <c r="L34" i="10" s="1"/>
  <c r="J39" i="10"/>
  <c r="L39" i="10" s="1"/>
  <c r="J50" i="10"/>
  <c r="L50" i="10" s="1"/>
  <c r="BL12" i="10"/>
  <c r="BK12" i="10"/>
  <c r="BL36" i="10"/>
  <c r="BK36" i="10"/>
  <c r="J25" i="10"/>
  <c r="I25" i="10"/>
  <c r="BL43" i="10"/>
  <c r="B38" i="10"/>
  <c r="A38" i="10"/>
  <c r="J53" i="10"/>
  <c r="I53" i="10"/>
  <c r="A8" i="10"/>
  <c r="J9" i="10"/>
  <c r="I9" i="10"/>
  <c r="I20" i="10"/>
  <c r="I21" i="10"/>
  <c r="B23" i="10"/>
  <c r="A23" i="10"/>
  <c r="J30" i="10"/>
  <c r="I30" i="10"/>
  <c r="A32" i="10"/>
  <c r="B47" i="10"/>
  <c r="A47" i="10"/>
  <c r="BK10" i="10"/>
  <c r="BK26" i="10"/>
  <c r="BK42" i="10"/>
  <c r="A22" i="10"/>
  <c r="BL47" i="10"/>
  <c r="I52" i="10"/>
  <c r="A54" i="10"/>
  <c r="B54" i="10"/>
  <c r="I5" i="10"/>
  <c r="B7" i="10"/>
  <c r="A7" i="10"/>
  <c r="J14" i="10"/>
  <c r="I14" i="10"/>
  <c r="BL23" i="10"/>
  <c r="B27" i="10"/>
  <c r="B31" i="10"/>
  <c r="A31" i="10"/>
  <c r="J45" i="10"/>
  <c r="I45" i="10"/>
  <c r="A24" i="10"/>
  <c r="A16" i="10"/>
  <c r="J17" i="10"/>
  <c r="I17" i="10"/>
  <c r="B39" i="10"/>
  <c r="A39" i="10"/>
  <c r="J6" i="10"/>
  <c r="I6" i="10"/>
  <c r="BL15" i="10"/>
  <c r="B19" i="10"/>
  <c r="B24" i="10"/>
  <c r="BL31" i="10"/>
  <c r="BL39" i="10"/>
  <c r="B46" i="10"/>
  <c r="A46" i="10"/>
  <c r="BL55" i="10"/>
  <c r="BK55" i="10"/>
  <c r="BL7" i="10"/>
  <c r="B11" i="10"/>
  <c r="A30" i="10"/>
  <c r="BK43" i="10"/>
  <c r="I13" i="10"/>
  <c r="B15" i="10"/>
  <c r="A15" i="10"/>
  <c r="A19" i="10"/>
  <c r="J22" i="10"/>
  <c r="I22" i="10"/>
  <c r="I37" i="10"/>
  <c r="B55" i="10"/>
  <c r="A55" i="10"/>
  <c r="B35" i="10"/>
  <c r="I38" i="10"/>
  <c r="B43" i="10"/>
  <c r="I46" i="10"/>
  <c r="B51" i="10"/>
  <c r="I54" i="10"/>
  <c r="B12" i="10"/>
  <c r="B20" i="10"/>
  <c r="B28" i="10"/>
  <c r="B36" i="10"/>
  <c r="B44" i="10"/>
  <c r="B52" i="10"/>
  <c r="I41" i="10"/>
  <c r="I33" i="10"/>
  <c r="I49" i="10"/>
  <c r="A4" i="10"/>
  <c r="B4" i="10"/>
  <c r="I4" i="10"/>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4" i="22"/>
  <c r="H303" i="22"/>
  <c r="H302" i="22"/>
  <c r="H301" i="22"/>
  <c r="H300" i="22"/>
  <c r="H299" i="22"/>
  <c r="H298" i="22"/>
  <c r="H297" i="22"/>
  <c r="H296" i="22"/>
  <c r="H295" i="22"/>
  <c r="H294" i="22"/>
  <c r="H293" i="22"/>
  <c r="H292" i="22"/>
  <c r="H291"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3" i="22"/>
  <c r="H250" i="22"/>
  <c r="H249" i="22"/>
  <c r="H248" i="22"/>
  <c r="H247" i="22"/>
  <c r="H246" i="22"/>
  <c r="H245" i="22"/>
  <c r="H244" i="22"/>
  <c r="H243" i="22"/>
  <c r="H242" i="22"/>
  <c r="H241" i="22"/>
  <c r="H240" i="22"/>
  <c r="H239" i="22"/>
  <c r="H238" i="22"/>
  <c r="H237" i="22"/>
  <c r="H236" i="22"/>
  <c r="H235" i="22"/>
  <c r="H234" i="22"/>
  <c r="H233"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3" i="22"/>
  <c r="J83" i="22"/>
  <c r="L82" i="22"/>
  <c r="J82" i="22"/>
  <c r="L81" i="22"/>
  <c r="J81" i="22"/>
  <c r="L80" i="22"/>
  <c r="J80" i="22"/>
  <c r="L79" i="22"/>
  <c r="J79" i="22"/>
  <c r="L78" i="22"/>
  <c r="J78" i="22"/>
  <c r="L77" i="22"/>
  <c r="J77" i="22"/>
  <c r="L76" i="22"/>
  <c r="J76" i="22"/>
  <c r="L75" i="22"/>
  <c r="J75" i="22"/>
  <c r="L74" i="22"/>
  <c r="J74" i="22"/>
  <c r="L73" i="22"/>
  <c r="J73" i="22"/>
  <c r="L72" i="22"/>
  <c r="J7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B35" i="7"/>
  <c r="A35" i="7"/>
  <c r="I76" i="8"/>
  <c r="I75" i="8"/>
  <c r="I72" i="8"/>
  <c r="I71" i="8"/>
  <c r="I70" i="8"/>
  <c r="I69" i="8"/>
  <c r="I68" i="8"/>
  <c r="I67" i="8"/>
  <c r="BL51" i="10" l="1"/>
  <c r="BK11" i="10"/>
  <c r="BK35" i="10"/>
  <c r="L29" i="10"/>
  <c r="I50" i="8"/>
  <c r="I38" i="8"/>
  <c r="I26" i="8"/>
  <c r="I9" i="8"/>
  <c r="I49" i="8"/>
  <c r="I37" i="8"/>
  <c r="I25" i="8"/>
  <c r="I8" i="8"/>
  <c r="I48" i="8"/>
  <c r="I36" i="8"/>
  <c r="I24" i="8"/>
  <c r="I7" i="8"/>
  <c r="I52" i="8"/>
  <c r="I34" i="8"/>
  <c r="I11" i="8"/>
  <c r="I51" i="8"/>
  <c r="I33" i="8"/>
  <c r="I19" i="8"/>
  <c r="I10" i="8"/>
  <c r="I47" i="8"/>
  <c r="I32" i="8"/>
  <c r="I6" i="8"/>
  <c r="I46" i="8"/>
  <c r="I31" i="8"/>
  <c r="I5" i="8"/>
  <c r="I45" i="8"/>
  <c r="I30" i="8"/>
  <c r="I4" i="8"/>
  <c r="I44" i="8"/>
  <c r="I29" i="8"/>
  <c r="I18" i="8"/>
  <c r="I43" i="8"/>
  <c r="I28" i="8"/>
  <c r="I17" i="8"/>
  <c r="I42" i="8"/>
  <c r="I27" i="8"/>
  <c r="I16" i="8"/>
  <c r="I41" i="8"/>
  <c r="I23" i="8"/>
  <c r="I15" i="8"/>
  <c r="I14" i="8"/>
  <c r="I13" i="8"/>
  <c r="I12" i="8"/>
  <c r="I54" i="8"/>
  <c r="I53" i="8"/>
  <c r="I40" i="8"/>
  <c r="I39" i="8"/>
  <c r="I35" i="8"/>
  <c r="I22" i="8"/>
  <c r="I21" i="8"/>
  <c r="I20" i="8"/>
  <c r="BL32" i="10"/>
  <c r="BL29" i="10"/>
  <c r="L11" i="10"/>
  <c r="L32" i="10"/>
  <c r="L35" i="10"/>
  <c r="L24" i="10"/>
  <c r="BL24" i="10"/>
  <c r="BL28" i="10"/>
  <c r="BK28" i="10"/>
  <c r="L56" i="10"/>
  <c r="BK56" i="10"/>
  <c r="BL56" i="10"/>
  <c r="L51" i="10"/>
  <c r="L44" i="10"/>
  <c r="BK44" i="10"/>
  <c r="L40" i="10"/>
  <c r="BK40" i="10"/>
  <c r="BL40" i="10"/>
  <c r="L8" i="10"/>
  <c r="BL8" i="10"/>
  <c r="BK8" i="10"/>
  <c r="BL27" i="10"/>
  <c r="L27" i="10"/>
  <c r="L4" i="10"/>
  <c r="BL4" i="10"/>
  <c r="L16" i="10"/>
  <c r="BK16" i="10"/>
  <c r="BL16" i="10"/>
  <c r="BL6" i="10"/>
  <c r="BK6" i="10"/>
  <c r="L6" i="10"/>
  <c r="BL45" i="10"/>
  <c r="L45" i="10"/>
  <c r="BK45" i="10"/>
  <c r="L52" i="10"/>
  <c r="BL52" i="10"/>
  <c r="BK52" i="10"/>
  <c r="BL53" i="10"/>
  <c r="L53" i="10"/>
  <c r="BK53" i="10"/>
  <c r="L46" i="10"/>
  <c r="BK46" i="10"/>
  <c r="BL46" i="10"/>
  <c r="BL17" i="10"/>
  <c r="L17" i="10"/>
  <c r="BK17" i="10"/>
  <c r="BL21" i="10"/>
  <c r="L21" i="10"/>
  <c r="BK21" i="10"/>
  <c r="BL37" i="10"/>
  <c r="L37" i="10"/>
  <c r="BK37" i="10"/>
  <c r="L20" i="10"/>
  <c r="BL20" i="10"/>
  <c r="BK20" i="10"/>
  <c r="BL13" i="10"/>
  <c r="L13" i="10"/>
  <c r="BK13" i="10"/>
  <c r="BL22" i="10"/>
  <c r="BK22" i="10"/>
  <c r="L22" i="10"/>
  <c r="L38" i="10"/>
  <c r="BL38" i="10"/>
  <c r="BK38" i="10"/>
  <c r="BL5" i="10"/>
  <c r="L5" i="10"/>
  <c r="BK5" i="10"/>
  <c r="BL9" i="10"/>
  <c r="BK9" i="10"/>
  <c r="L9" i="10"/>
  <c r="BL25" i="10"/>
  <c r="BK25" i="10"/>
  <c r="L25" i="10"/>
  <c r="BK14" i="10"/>
  <c r="L14" i="10"/>
  <c r="BL14" i="10"/>
  <c r="BL49" i="10"/>
  <c r="BK49" i="10"/>
  <c r="L49" i="10"/>
  <c r="BL33" i="10"/>
  <c r="BK33" i="10"/>
  <c r="L33" i="10"/>
  <c r="L30" i="10"/>
  <c r="BL30" i="10"/>
  <c r="BK30" i="10"/>
  <c r="BL41" i="10"/>
  <c r="BK41" i="10"/>
  <c r="L41" i="10"/>
  <c r="L54" i="10"/>
  <c r="BL54" i="10"/>
  <c r="BK54" i="10"/>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A34" i="7"/>
  <c r="B34" i="7"/>
  <c r="A33" i="7"/>
  <c r="B33" i="7"/>
  <c r="BO4" i="7"/>
  <c r="BO5" i="7"/>
  <c r="BO6" i="7"/>
  <c r="BO7" i="7"/>
  <c r="BO8" i="7"/>
  <c r="BO9" i="7"/>
  <c r="BO10" i="7"/>
  <c r="BO11" i="7"/>
  <c r="BO12" i="7"/>
  <c r="BO13" i="7"/>
  <c r="BO14" i="7"/>
  <c r="BO15" i="7"/>
  <c r="BO16" i="7"/>
  <c r="BO17" i="7"/>
  <c r="BO18" i="7"/>
  <c r="BO19" i="7"/>
  <c r="BO20" i="7"/>
  <c r="BO21" i="7"/>
  <c r="BO22" i="7"/>
  <c r="BO23" i="7"/>
  <c r="BO24" i="7"/>
  <c r="BO25" i="7"/>
  <c r="BO26" i="7"/>
  <c r="BO27" i="7"/>
  <c r="BO28" i="7"/>
  <c r="BO29" i="7"/>
  <c r="BO30" i="7"/>
  <c r="BO31" i="7"/>
  <c r="BO32" i="7"/>
  <c r="BO33" i="7"/>
  <c r="BO34" i="7"/>
  <c r="BO35" i="7"/>
  <c r="BO36" i="7"/>
  <c r="BO37" i="7"/>
  <c r="BO38" i="7"/>
  <c r="BO39" i="7"/>
  <c r="BO40" i="7"/>
  <c r="BO41" i="7"/>
  <c r="BO42" i="7"/>
  <c r="BO43" i="7"/>
  <c r="BO44" i="7"/>
  <c r="BO45" i="7"/>
  <c r="BO46" i="7"/>
  <c r="BO47" i="7"/>
  <c r="BO48" i="7"/>
  <c r="BO49" i="7"/>
  <c r="BO50" i="7"/>
  <c r="BO51" i="7"/>
  <c r="BO52" i="7"/>
  <c r="BO53" i="7"/>
  <c r="BO54" i="7"/>
  <c r="BO55"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AO43" i="10" l="1"/>
  <c r="BC22" i="10"/>
  <c r="BC48" i="10"/>
  <c r="BC11" i="10"/>
  <c r="BC23" i="10"/>
  <c r="BC27" i="10"/>
  <c r="BC42" i="10"/>
  <c r="AO50" i="10"/>
  <c r="BC50" i="10"/>
  <c r="BC53" i="10"/>
  <c r="AO53" i="10"/>
  <c r="AO34" i="10"/>
  <c r="BC34" i="10"/>
  <c r="BC38" i="10"/>
  <c r="AO41" i="10"/>
  <c r="AO30" i="10"/>
  <c r="BC30" i="10"/>
  <c r="BC25" i="10"/>
  <c r="BC8" i="10"/>
  <c r="BC33" i="10"/>
  <c r="AO33" i="10"/>
  <c r="BC37" i="10"/>
  <c r="AO49" i="10"/>
  <c r="BC17" i="10"/>
  <c r="AO21" i="10"/>
  <c r="BC21" i="10"/>
  <c r="AO26" i="10"/>
  <c r="BC26" i="10"/>
  <c r="BC44" i="10"/>
  <c r="AO52" i="10"/>
  <c r="BC52" i="10"/>
  <c r="AO56" i="10"/>
  <c r="BC56" i="10"/>
  <c r="BC14" i="10"/>
  <c r="BC18" i="10"/>
  <c r="AO22" i="10"/>
  <c r="BC13" i="10"/>
  <c r="BC29" i="10"/>
  <c r="BC43" i="10"/>
  <c r="BC46" i="10"/>
  <c r="AO12" i="10"/>
  <c r="AO32" i="10"/>
  <c r="BC32" i="10"/>
  <c r="AO51" i="10"/>
  <c r="BC55" i="10"/>
  <c r="BC16" i="10"/>
  <c r="BC36" i="10"/>
  <c r="BC39" i="10"/>
  <c r="BC20" i="10"/>
  <c r="AO24" i="10"/>
  <c r="BC24" i="10"/>
  <c r="AO28" i="10"/>
  <c r="BC28" i="10"/>
  <c r="AO35" i="10"/>
  <c r="BC35" i="10"/>
  <c r="BC40" i="10"/>
  <c r="AO11" i="10"/>
  <c r="AO5" i="10"/>
  <c r="BC6" i="10"/>
  <c r="BC19" i="10"/>
  <c r="BC31" i="10"/>
  <c r="AO45" i="10"/>
  <c r="AO54" i="10"/>
  <c r="BC54" i="10"/>
  <c r="AZ16" i="7"/>
  <c r="AL45" i="7"/>
  <c r="AZ45" i="7"/>
  <c r="AL34" i="7"/>
  <c r="AZ34" i="7"/>
  <c r="AZ26" i="7"/>
  <c r="AL28" i="7"/>
  <c r="AL54" i="7"/>
  <c r="AL20" i="7"/>
  <c r="AZ37" i="7"/>
  <c r="AL21" i="7"/>
  <c r="AZ20" i="7"/>
  <c r="AL32" i="7"/>
  <c r="AZ32" i="7"/>
  <c r="AZ54" i="7"/>
  <c r="AL22" i="7"/>
  <c r="AZ4" i="7"/>
  <c r="AL26" i="7"/>
  <c r="AL15" i="7"/>
  <c r="AZ15" i="7"/>
  <c r="AZ12" i="7"/>
  <c r="AL12" i="7"/>
  <c r="AZ35" i="7"/>
  <c r="AL35" i="7"/>
  <c r="AZ30" i="7"/>
  <c r="AL30" i="7"/>
  <c r="AZ48" i="7"/>
  <c r="AL50" i="7"/>
  <c r="AZ47" i="7"/>
  <c r="AL47" i="7"/>
  <c r="AZ29" i="7"/>
  <c r="AZ17" i="7"/>
  <c r="AL9" i="7"/>
  <c r="AZ9" i="7"/>
  <c r="AZ8" i="7"/>
  <c r="AL8" i="7"/>
  <c r="AZ21" i="7"/>
  <c r="AZ22" i="7"/>
  <c r="AZ18" i="7"/>
  <c r="AZ50" i="7"/>
  <c r="AZ24" i="7"/>
  <c r="AL24" i="7"/>
  <c r="AL52" i="7"/>
  <c r="AZ46" i="7"/>
  <c r="AL46" i="7"/>
  <c r="AL40" i="7"/>
  <c r="AL31" i="7"/>
  <c r="AZ41" i="7"/>
  <c r="AZ40" i="7"/>
  <c r="AL38" i="7"/>
  <c r="AZ53" i="7"/>
  <c r="AL41" i="7"/>
  <c r="AZ33" i="7"/>
  <c r="AZ28" i="7"/>
  <c r="AL48" i="7"/>
  <c r="AZ43" i="7"/>
  <c r="AZ10" i="7"/>
  <c r="AZ52" i="7"/>
  <c r="AZ51" i="7"/>
  <c r="AZ38" i="7"/>
  <c r="AZ23" i="7"/>
  <c r="AL23" i="7"/>
  <c r="AL19" i="7"/>
  <c r="AL44" i="7"/>
  <c r="AL25" i="7"/>
  <c r="AZ25" i="7"/>
  <c r="AZ11" i="7"/>
  <c r="AL37" i="7"/>
  <c r="AZ36" i="7"/>
  <c r="AL36" i="7"/>
  <c r="AL55" i="7"/>
  <c r="AZ31" i="7"/>
  <c r="AL53" i="7"/>
  <c r="AZ44" i="7"/>
  <c r="AL43" i="7"/>
  <c r="AL42" i="7"/>
  <c r="AZ55" i="7"/>
  <c r="AL51" i="7"/>
  <c r="AL16" i="7"/>
  <c r="AZ14" i="7"/>
  <c r="AL14" i="7"/>
  <c r="AZ27" i="7"/>
  <c r="AZ13" i="7"/>
  <c r="AL13" i="7"/>
  <c r="AL11" i="7"/>
  <c r="AL39" i="7"/>
  <c r="AZ19" i="7"/>
  <c r="AZ5" i="7"/>
  <c r="AL49" i="7"/>
  <c r="AZ39" i="7"/>
  <c r="AL33" i="7"/>
  <c r="AZ49" i="7"/>
  <c r="AL6" i="7"/>
  <c r="AZ6" i="7"/>
  <c r="AZ42" i="7"/>
  <c r="AL18" i="7"/>
  <c r="AL29" i="7"/>
  <c r="AL17" i="7"/>
  <c r="AL10" i="7"/>
  <c r="AZ7" i="7"/>
  <c r="AL7" i="7"/>
  <c r="AL27" i="7"/>
  <c r="AL5" i="7"/>
  <c r="AL4" i="7"/>
  <c r="BC10" i="10"/>
  <c r="BC7" i="10"/>
  <c r="BC12" i="10"/>
  <c r="BC15" i="10"/>
  <c r="BC9" i="10"/>
  <c r="BC47" i="10"/>
  <c r="BC5" i="10"/>
  <c r="AO47" i="10"/>
  <c r="AO48" i="10"/>
  <c r="BC49" i="10"/>
  <c r="AO55" i="10"/>
  <c r="AO23" i="10"/>
  <c r="AO25" i="10"/>
  <c r="AO31" i="10"/>
  <c r="AO13" i="10"/>
  <c r="AO27" i="10"/>
  <c r="AO6" i="10"/>
  <c r="AO14" i="10"/>
  <c r="BC51" i="10"/>
  <c r="AO7" i="10"/>
  <c r="AO15" i="10"/>
  <c r="AO46" i="10"/>
  <c r="AO8" i="10"/>
  <c r="AO16" i="10"/>
  <c r="AO44" i="10"/>
  <c r="BC45" i="10"/>
  <c r="AO39" i="10"/>
  <c r="AO40" i="10"/>
  <c r="BC41" i="10"/>
  <c r="AO10" i="10"/>
  <c r="AO38" i="10"/>
  <c r="AO29" i="10"/>
  <c r="AO9" i="10"/>
  <c r="AO17" i="10"/>
  <c r="AO42" i="10"/>
  <c r="AO18" i="10"/>
  <c r="AO19" i="10"/>
  <c r="AO37" i="10"/>
  <c r="AO20" i="10"/>
  <c r="AO36" i="10"/>
  <c r="BC4" i="10"/>
  <c r="AO4" i="10"/>
  <c r="AA56" i="10" l="1"/>
  <c r="AA55" i="10"/>
  <c r="AA54" i="10"/>
  <c r="AA53" i="10"/>
  <c r="AA52" i="10"/>
  <c r="AA51" i="10"/>
  <c r="AA50" i="10"/>
  <c r="AA49" i="10"/>
  <c r="AA48" i="10"/>
  <c r="AA47" i="10"/>
  <c r="AA46" i="10"/>
  <c r="AA45" i="10"/>
  <c r="AA44" i="10"/>
  <c r="AA43" i="10"/>
  <c r="AA42" i="10"/>
  <c r="AA41" i="10"/>
  <c r="AA40" i="10"/>
  <c r="AA39" i="10"/>
  <c r="AA38" i="10"/>
  <c r="AA37" i="10"/>
  <c r="AA36" i="10"/>
  <c r="AA35" i="10"/>
  <c r="AA34" i="10"/>
  <c r="AA33" i="10"/>
  <c r="AA32" i="10"/>
  <c r="AA31" i="10"/>
  <c r="AA30" i="10"/>
  <c r="AA29" i="10"/>
  <c r="AA28" i="10"/>
  <c r="AA27" i="10"/>
  <c r="AA26" i="10"/>
  <c r="X21" i="7"/>
  <c r="BM33" i="10" l="1"/>
  <c r="BD33" i="10"/>
  <c r="BM41" i="10"/>
  <c r="BD41" i="10"/>
  <c r="BM34" i="10"/>
  <c r="BD34" i="10"/>
  <c r="BM27" i="10"/>
  <c r="BD27" i="10"/>
  <c r="BM35" i="10"/>
  <c r="BD35" i="10"/>
  <c r="BM43" i="10"/>
  <c r="BD43" i="10"/>
  <c r="BM51" i="10"/>
  <c r="BD51" i="10"/>
  <c r="BM49" i="10"/>
  <c r="BD49" i="10"/>
  <c r="BM26" i="10"/>
  <c r="BD26" i="10"/>
  <c r="BM42" i="10"/>
  <c r="BD42" i="10"/>
  <c r="BM50" i="10"/>
  <c r="BD50" i="10"/>
  <c r="BM36" i="10"/>
  <c r="BD36" i="10"/>
  <c r="BM52" i="10"/>
  <c r="BD52" i="10"/>
  <c r="BM29" i="10"/>
  <c r="BD29" i="10"/>
  <c r="BM37" i="10"/>
  <c r="BD37" i="10"/>
  <c r="BM45" i="10"/>
  <c r="BD45" i="10"/>
  <c r="BM53" i="10"/>
  <c r="BD53" i="10"/>
  <c r="BM30" i="10"/>
  <c r="BD30" i="10"/>
  <c r="BM38" i="10"/>
  <c r="BD38" i="10"/>
  <c r="BM46" i="10"/>
  <c r="BD46" i="10"/>
  <c r="BM54" i="10"/>
  <c r="BD54" i="10"/>
  <c r="BM28" i="10"/>
  <c r="BD28" i="10"/>
  <c r="BM44" i="10"/>
  <c r="BD44" i="10"/>
  <c r="BM31" i="10"/>
  <c r="BD31" i="10"/>
  <c r="BM39" i="10"/>
  <c r="BD39" i="10"/>
  <c r="BM47" i="10"/>
  <c r="BD47" i="10"/>
  <c r="BM55" i="10"/>
  <c r="BD55" i="10"/>
  <c r="BM32" i="10"/>
  <c r="BD32" i="10"/>
  <c r="BM40" i="10"/>
  <c r="BD40" i="10"/>
  <c r="BM48" i="10"/>
  <c r="BD48" i="10"/>
  <c r="BM56" i="10"/>
  <c r="BD56" i="10"/>
  <c r="BC21" i="7"/>
  <c r="C47" i="12" l="1"/>
  <c r="C48" i="12" s="1"/>
  <c r="BD19" i="7" l="1"/>
  <c r="F21" i="7"/>
  <c r="G21" i="7" s="1"/>
  <c r="H21" i="7"/>
  <c r="I21" i="7" s="1"/>
  <c r="BS21" i="7" l="1"/>
  <c r="BS52" i="7"/>
  <c r="BS51" i="7"/>
  <c r="BS50" i="7"/>
  <c r="BS49" i="7"/>
  <c r="BS48" i="7"/>
  <c r="BS47" i="7"/>
  <c r="BS46" i="7"/>
  <c r="BS45" i="7"/>
  <c r="BS44" i="7"/>
  <c r="BS43" i="7"/>
  <c r="BS42" i="7"/>
  <c r="BS41" i="7"/>
  <c r="BS40" i="7"/>
  <c r="BS39" i="7"/>
  <c r="BS38" i="7"/>
  <c r="BS53" i="7" l="1"/>
  <c r="BD51" i="7"/>
  <c r="BS54" i="7"/>
  <c r="BD52" i="7"/>
  <c r="BS55" i="7"/>
  <c r="BD53" i="7"/>
  <c r="BD37" i="7"/>
  <c r="G39" i="7"/>
  <c r="BD21" i="7"/>
  <c r="BD42" i="7"/>
  <c r="G44" i="7"/>
  <c r="BD50" i="7"/>
  <c r="G52" i="7"/>
  <c r="BD45" i="7"/>
  <c r="G47" i="7"/>
  <c r="G55" i="7"/>
  <c r="BD22" i="7"/>
  <c r="BD39" i="7"/>
  <c r="G41" i="7"/>
  <c r="BD41" i="7"/>
  <c r="G43" i="7"/>
  <c r="BD34" i="7"/>
  <c r="BD43" i="7"/>
  <c r="G45" i="7"/>
  <c r="G53" i="7"/>
  <c r="BD29" i="7"/>
  <c r="BD38" i="7"/>
  <c r="G40" i="7"/>
  <c r="BD46" i="7"/>
  <c r="G48" i="7"/>
  <c r="BD47" i="7"/>
  <c r="G49" i="7"/>
  <c r="BD40" i="7"/>
  <c r="G42" i="7"/>
  <c r="BD48" i="7"/>
  <c r="G50" i="7"/>
  <c r="BD32" i="7"/>
  <c r="BD49" i="7"/>
  <c r="G51" i="7"/>
  <c r="BD36" i="7"/>
  <c r="G38" i="7"/>
  <c r="BD44" i="7"/>
  <c r="G46" i="7"/>
  <c r="G54" i="7"/>
  <c r="BD33" i="7"/>
  <c r="BD31" i="7"/>
  <c r="BD8" i="7"/>
  <c r="BD12" i="7"/>
  <c r="BD24" i="7"/>
  <c r="BD13" i="7"/>
  <c r="BD25" i="7"/>
  <c r="BD17" i="7"/>
  <c r="BD11" i="7"/>
  <c r="BD26" i="7"/>
  <c r="BD27" i="7"/>
  <c r="BD4" i="7"/>
  <c r="BD16" i="7"/>
  <c r="BD28" i="7"/>
  <c r="BD5" i="7"/>
  <c r="BD18" i="7"/>
  <c r="BD9" i="7"/>
  <c r="BD10" i="7"/>
  <c r="BD23" i="7"/>
  <c r="BD14" i="7"/>
  <c r="BD15" i="7"/>
  <c r="BD6" i="7"/>
  <c r="BD20" i="7"/>
  <c r="BD30" i="7"/>
  <c r="BD7" i="7"/>
  <c r="AA25" i="10"/>
  <c r="AA24" i="10"/>
  <c r="AA23" i="10"/>
  <c r="AA22" i="10"/>
  <c r="AA21" i="10"/>
  <c r="AA20" i="10"/>
  <c r="AA19" i="10"/>
  <c r="AA18" i="10"/>
  <c r="AA17" i="10"/>
  <c r="AA16" i="10"/>
  <c r="AA15" i="10"/>
  <c r="AA14" i="10"/>
  <c r="AA13" i="10"/>
  <c r="AA12" i="10"/>
  <c r="AA11" i="10"/>
  <c r="AA10" i="10"/>
  <c r="AA9" i="10"/>
  <c r="AA8" i="10"/>
  <c r="AA7" i="10"/>
  <c r="AA6" i="10"/>
  <c r="AA5" i="10"/>
  <c r="AA4" i="10"/>
  <c r="BM8" i="10" l="1"/>
  <c r="BD8" i="10"/>
  <c r="BM10" i="10"/>
  <c r="BD10" i="10"/>
  <c r="BM18" i="10"/>
  <c r="BD18" i="10"/>
  <c r="BM11" i="10"/>
  <c r="BD11" i="10"/>
  <c r="BM19" i="10"/>
  <c r="BD19" i="10"/>
  <c r="BM7" i="10"/>
  <c r="BD7" i="10"/>
  <c r="BM15" i="10"/>
  <c r="BD15" i="10"/>
  <c r="BM23" i="10"/>
  <c r="BD23" i="10"/>
  <c r="BM24" i="10"/>
  <c r="BD24" i="10"/>
  <c r="BM9" i="10"/>
  <c r="BD9" i="10"/>
  <c r="BM17" i="10"/>
  <c r="BD17" i="10"/>
  <c r="BM25" i="10"/>
  <c r="BD25" i="10"/>
  <c r="BM20" i="10"/>
  <c r="BD20" i="10"/>
  <c r="BM16" i="10"/>
  <c r="BD16" i="10"/>
  <c r="BM4" i="10"/>
  <c r="BD4" i="10"/>
  <c r="BM12" i="10"/>
  <c r="BD12" i="10"/>
  <c r="BM5" i="10"/>
  <c r="BD5" i="10"/>
  <c r="BM13" i="10"/>
  <c r="BD13" i="10"/>
  <c r="BM21" i="10"/>
  <c r="BD21" i="10"/>
  <c r="BM6" i="10"/>
  <c r="BD6" i="10"/>
  <c r="BM14" i="10"/>
  <c r="BD14" i="10"/>
  <c r="BM22" i="10"/>
  <c r="BD22" i="10"/>
  <c r="BD35" i="7"/>
  <c r="BK4" i="10"/>
  <c r="F19" i="7" l="1"/>
  <c r="G19" i="7" l="1"/>
  <c r="BS19" i="7"/>
  <c r="A1" i="8"/>
  <c r="X6" i="7"/>
  <c r="X7" i="7"/>
  <c r="X5" i="7"/>
  <c r="X4" i="7"/>
  <c r="BC4" i="7" l="1"/>
  <c r="BC5" i="7"/>
  <c r="BC7" i="7"/>
  <c r="BC6" i="7"/>
  <c r="F4" i="7"/>
  <c r="X55" i="7"/>
  <c r="H55" i="7"/>
  <c r="F55" i="7"/>
  <c r="X54" i="7"/>
  <c r="H54" i="7"/>
  <c r="F54" i="7"/>
  <c r="X53" i="7"/>
  <c r="H53" i="7"/>
  <c r="F53" i="7"/>
  <c r="X52" i="7"/>
  <c r="H52" i="7"/>
  <c r="F52" i="7"/>
  <c r="X51" i="7"/>
  <c r="H51" i="7"/>
  <c r="F51" i="7"/>
  <c r="X50" i="7"/>
  <c r="H50" i="7"/>
  <c r="F50" i="7"/>
  <c r="X49" i="7"/>
  <c r="H49" i="7"/>
  <c r="F49" i="7"/>
  <c r="X48" i="7"/>
  <c r="H48" i="7"/>
  <c r="F48" i="7"/>
  <c r="X47" i="7"/>
  <c r="H47" i="7"/>
  <c r="F47" i="7"/>
  <c r="X46" i="7"/>
  <c r="H46" i="7"/>
  <c r="F46" i="7"/>
  <c r="X45" i="7"/>
  <c r="H45" i="7"/>
  <c r="F45" i="7"/>
  <c r="X44" i="7"/>
  <c r="H44" i="7"/>
  <c r="F44" i="7"/>
  <c r="X43" i="7"/>
  <c r="H43" i="7"/>
  <c r="F43" i="7"/>
  <c r="X42" i="7"/>
  <c r="H42" i="7"/>
  <c r="F42" i="7"/>
  <c r="X41" i="7"/>
  <c r="H41" i="7"/>
  <c r="F41" i="7"/>
  <c r="X40" i="7"/>
  <c r="H40" i="7"/>
  <c r="F40" i="7"/>
  <c r="X39" i="7"/>
  <c r="H39" i="7"/>
  <c r="F39" i="7"/>
  <c r="X38" i="7"/>
  <c r="H38" i="7"/>
  <c r="F38" i="7"/>
  <c r="X37" i="7"/>
  <c r="H37" i="7"/>
  <c r="F37" i="7"/>
  <c r="X36" i="7"/>
  <c r="H36" i="7"/>
  <c r="F36" i="7"/>
  <c r="X35" i="7"/>
  <c r="H35" i="7"/>
  <c r="I35" i="7" s="1"/>
  <c r="F35" i="7"/>
  <c r="X34" i="7"/>
  <c r="H34" i="7"/>
  <c r="I34" i="7" s="1"/>
  <c r="F34" i="7"/>
  <c r="X33" i="7"/>
  <c r="H33" i="7"/>
  <c r="I33" i="7" s="1"/>
  <c r="F33" i="7"/>
  <c r="X32" i="7"/>
  <c r="H32" i="7"/>
  <c r="I32" i="7" s="1"/>
  <c r="F32" i="7"/>
  <c r="X31" i="7"/>
  <c r="H31" i="7"/>
  <c r="I31" i="7" s="1"/>
  <c r="F31" i="7"/>
  <c r="X30" i="7"/>
  <c r="H30" i="7"/>
  <c r="I30" i="7" s="1"/>
  <c r="F30" i="7"/>
  <c r="X29" i="7"/>
  <c r="H29" i="7"/>
  <c r="I29" i="7" s="1"/>
  <c r="F29" i="7"/>
  <c r="X28" i="7"/>
  <c r="H28" i="7"/>
  <c r="I28" i="7" s="1"/>
  <c r="F28" i="7"/>
  <c r="X27" i="7"/>
  <c r="H27" i="7"/>
  <c r="I27" i="7" s="1"/>
  <c r="F27" i="7"/>
  <c r="X26" i="7"/>
  <c r="H26" i="7"/>
  <c r="I26" i="7" s="1"/>
  <c r="F26" i="7"/>
  <c r="X25" i="7"/>
  <c r="H25" i="7"/>
  <c r="I25" i="7" s="1"/>
  <c r="F25" i="7"/>
  <c r="X24" i="7"/>
  <c r="H24" i="7"/>
  <c r="I24" i="7" s="1"/>
  <c r="F24" i="7"/>
  <c r="X23" i="7"/>
  <c r="H23" i="7"/>
  <c r="I23" i="7" s="1"/>
  <c r="F23" i="7"/>
  <c r="X22" i="7"/>
  <c r="H22" i="7"/>
  <c r="I22" i="7" s="1"/>
  <c r="F22" i="7"/>
  <c r="X20" i="7"/>
  <c r="H20" i="7"/>
  <c r="I20" i="7" s="1"/>
  <c r="F20" i="7"/>
  <c r="X19" i="7"/>
  <c r="H19" i="7"/>
  <c r="I19" i="7" s="1"/>
  <c r="X18" i="7"/>
  <c r="H18" i="7"/>
  <c r="I18" i="7" s="1"/>
  <c r="F18" i="7"/>
  <c r="X17" i="7"/>
  <c r="H17" i="7"/>
  <c r="I17" i="7" s="1"/>
  <c r="F17" i="7"/>
  <c r="X16" i="7"/>
  <c r="H16" i="7"/>
  <c r="I16" i="7" s="1"/>
  <c r="F16" i="7"/>
  <c r="X15" i="7"/>
  <c r="H15" i="7"/>
  <c r="I15" i="7" s="1"/>
  <c r="F15" i="7"/>
  <c r="X14" i="7"/>
  <c r="H14" i="7"/>
  <c r="I14" i="7" s="1"/>
  <c r="F14" i="7"/>
  <c r="X13" i="7"/>
  <c r="H13" i="7"/>
  <c r="I13" i="7" s="1"/>
  <c r="F13" i="7"/>
  <c r="X12" i="7"/>
  <c r="H12" i="7"/>
  <c r="I12" i="7" s="1"/>
  <c r="F12" i="7"/>
  <c r="X11" i="7"/>
  <c r="H11" i="7"/>
  <c r="I11" i="7" s="1"/>
  <c r="F11" i="7"/>
  <c r="X10" i="7"/>
  <c r="X9" i="7"/>
  <c r="X8" i="7"/>
  <c r="H10" i="7"/>
  <c r="I10" i="7" s="1"/>
  <c r="H9" i="7"/>
  <c r="I9" i="7" s="1"/>
  <c r="H8" i="7"/>
  <c r="I8" i="7" s="1"/>
  <c r="H7" i="7"/>
  <c r="I7" i="7" s="1"/>
  <c r="H6" i="7"/>
  <c r="I6" i="7" s="1"/>
  <c r="H5" i="7"/>
  <c r="I5" i="7" s="1"/>
  <c r="H4" i="7"/>
  <c r="I4" i="7" s="1"/>
  <c r="F10" i="7"/>
  <c r="F5" i="7"/>
  <c r="F6" i="7"/>
  <c r="F7" i="7"/>
  <c r="F8" i="7"/>
  <c r="F9" i="7"/>
  <c r="BS37" i="7" l="1"/>
  <c r="G37" i="7"/>
  <c r="BS36" i="7"/>
  <c r="G36" i="7"/>
  <c r="BR16" i="7"/>
  <c r="BT16" i="7"/>
  <c r="G34" i="7"/>
  <c r="BS34" i="7"/>
  <c r="G13" i="7"/>
  <c r="BS13" i="7"/>
  <c r="BT22" i="7"/>
  <c r="BR22" i="7"/>
  <c r="BT34" i="7"/>
  <c r="BR34" i="7"/>
  <c r="I38" i="7"/>
  <c r="BT38" i="7"/>
  <c r="BR38" i="7"/>
  <c r="I42" i="7"/>
  <c r="BT42" i="7"/>
  <c r="BR42" i="7"/>
  <c r="I46" i="7"/>
  <c r="BT46" i="7"/>
  <c r="BR46" i="7"/>
  <c r="I50" i="7"/>
  <c r="BT50" i="7"/>
  <c r="BR50" i="7"/>
  <c r="I54" i="7"/>
  <c r="BT54" i="7"/>
  <c r="BR54" i="7"/>
  <c r="G30" i="7"/>
  <c r="BS30" i="7"/>
  <c r="BT8" i="7"/>
  <c r="BR8" i="7"/>
  <c r="G17" i="7"/>
  <c r="BS17" i="7"/>
  <c r="BR26" i="7"/>
  <c r="BT26" i="7"/>
  <c r="BT30" i="7"/>
  <c r="BR30" i="7"/>
  <c r="BT9" i="7"/>
  <c r="BR9" i="7"/>
  <c r="BT17" i="7"/>
  <c r="BR17" i="7"/>
  <c r="G35" i="7"/>
  <c r="BS35" i="7"/>
  <c r="G22" i="7"/>
  <c r="BS22" i="7"/>
  <c r="BR10" i="7"/>
  <c r="BT10" i="7"/>
  <c r="G18" i="7"/>
  <c r="BS18" i="7"/>
  <c r="I39" i="7"/>
  <c r="BT39" i="7"/>
  <c r="BR39" i="7"/>
  <c r="G28" i="7"/>
  <c r="BS28" i="7"/>
  <c r="BT19" i="7"/>
  <c r="BR19" i="7"/>
  <c r="BR32" i="7"/>
  <c r="BT32" i="7"/>
  <c r="I36" i="7"/>
  <c r="BT36" i="7"/>
  <c r="BR36" i="7"/>
  <c r="I40" i="7"/>
  <c r="BT40" i="7"/>
  <c r="BR40" i="7"/>
  <c r="I44" i="7"/>
  <c r="BT44" i="7"/>
  <c r="BR44" i="7"/>
  <c r="I48" i="7"/>
  <c r="BT48" i="7"/>
  <c r="BR48" i="7"/>
  <c r="I52" i="7"/>
  <c r="BT52" i="7"/>
  <c r="BR52" i="7"/>
  <c r="BT12" i="7"/>
  <c r="BR12" i="7"/>
  <c r="G26" i="7"/>
  <c r="BS26" i="7"/>
  <c r="G9" i="7"/>
  <c r="BS9" i="7"/>
  <c r="G27" i="7"/>
  <c r="BS27" i="7"/>
  <c r="G8" i="7"/>
  <c r="BS8" i="7"/>
  <c r="G14" i="7"/>
  <c r="BS14" i="7"/>
  <c r="BT23" i="7"/>
  <c r="BR23" i="7"/>
  <c r="BT35" i="7"/>
  <c r="BR35" i="7"/>
  <c r="I43" i="7"/>
  <c r="BT43" i="7"/>
  <c r="BR43" i="7"/>
  <c r="I51" i="7"/>
  <c r="BT51" i="7"/>
  <c r="BR51" i="7"/>
  <c r="I55" i="7"/>
  <c r="BT55" i="7"/>
  <c r="BR55" i="7"/>
  <c r="G7" i="7"/>
  <c r="BS7" i="7"/>
  <c r="BT18" i="7"/>
  <c r="BR18" i="7"/>
  <c r="G32" i="7"/>
  <c r="BS32" i="7"/>
  <c r="G5" i="7"/>
  <c r="BS5" i="7"/>
  <c r="G11" i="7"/>
  <c r="BS11" i="7"/>
  <c r="G15" i="7"/>
  <c r="BS15" i="7"/>
  <c r="BT24" i="7"/>
  <c r="BR24" i="7"/>
  <c r="BT28" i="7"/>
  <c r="BR28" i="7"/>
  <c r="G10" i="7"/>
  <c r="BS10" i="7"/>
  <c r="BT11" i="7"/>
  <c r="BR11" i="7"/>
  <c r="BT15" i="7"/>
  <c r="BR15" i="7"/>
  <c r="BT7" i="7"/>
  <c r="BR7" i="7"/>
  <c r="G31" i="7"/>
  <c r="BS31" i="7"/>
  <c r="BT31" i="7"/>
  <c r="BR31" i="7"/>
  <c r="BT14" i="7"/>
  <c r="BR14" i="7"/>
  <c r="G6" i="7"/>
  <c r="BS6" i="7"/>
  <c r="G4" i="7"/>
  <c r="BS4" i="7"/>
  <c r="BT4" i="7"/>
  <c r="BR4" i="7"/>
  <c r="G20" i="7"/>
  <c r="BS20" i="7"/>
  <c r="G25" i="7"/>
  <c r="BS25" i="7"/>
  <c r="G29" i="7"/>
  <c r="BS29" i="7"/>
  <c r="G33" i="7"/>
  <c r="BS33" i="7"/>
  <c r="BT6" i="7"/>
  <c r="BR6" i="7"/>
  <c r="G23" i="7"/>
  <c r="BS23" i="7"/>
  <c r="BT27" i="7"/>
  <c r="BR27" i="7"/>
  <c r="I47" i="7"/>
  <c r="BT47" i="7"/>
  <c r="BR47" i="7"/>
  <c r="G24" i="7"/>
  <c r="BS24" i="7"/>
  <c r="BR5" i="7"/>
  <c r="BT5" i="7"/>
  <c r="G12" i="7"/>
  <c r="BS12" i="7"/>
  <c r="G16" i="7"/>
  <c r="BS16" i="7"/>
  <c r="BT20" i="7"/>
  <c r="BR20" i="7"/>
  <c r="BT25" i="7"/>
  <c r="BR25" i="7"/>
  <c r="BT29" i="7"/>
  <c r="BR29" i="7"/>
  <c r="BT33" i="7"/>
  <c r="BR33" i="7"/>
  <c r="I37" i="7"/>
  <c r="BR37" i="7"/>
  <c r="BT37" i="7"/>
  <c r="I41" i="7"/>
  <c r="BT41" i="7"/>
  <c r="BR41" i="7"/>
  <c r="I45" i="7"/>
  <c r="BT45" i="7"/>
  <c r="BR45" i="7"/>
  <c r="I49" i="7"/>
  <c r="BR49" i="7"/>
  <c r="BT49" i="7"/>
  <c r="I53" i="7"/>
  <c r="BT53" i="7"/>
  <c r="BR53" i="7"/>
  <c r="BC27" i="7"/>
  <c r="BC19" i="7"/>
  <c r="BC26" i="7"/>
  <c r="BC30" i="7"/>
  <c r="BA33" i="7"/>
  <c r="BC33" i="7"/>
  <c r="BA36" i="7"/>
  <c r="BC36" i="7"/>
  <c r="BA40" i="7"/>
  <c r="BC40" i="7"/>
  <c r="BA44" i="7"/>
  <c r="BC44" i="7"/>
  <c r="BA48" i="7"/>
  <c r="BC48" i="7"/>
  <c r="BA52" i="7"/>
  <c r="BC52" i="7"/>
  <c r="BA37" i="7"/>
  <c r="BC37" i="7"/>
  <c r="BC10" i="7"/>
  <c r="BC14" i="7"/>
  <c r="BC18" i="7"/>
  <c r="BA41" i="7"/>
  <c r="BC41" i="7"/>
  <c r="BC11" i="7"/>
  <c r="BC15" i="7"/>
  <c r="BC23" i="7"/>
  <c r="BA45" i="7"/>
  <c r="BC45" i="7"/>
  <c r="BA53" i="7"/>
  <c r="BC53" i="7"/>
  <c r="BC12" i="7"/>
  <c r="BC16" i="7"/>
  <c r="BC22" i="7"/>
  <c r="BC31" i="7"/>
  <c r="BA34" i="7"/>
  <c r="BC34" i="7"/>
  <c r="BA42" i="7"/>
  <c r="BC42" i="7"/>
  <c r="BA54" i="7"/>
  <c r="BC54" i="7"/>
  <c r="BA49" i="7"/>
  <c r="BC49" i="7"/>
  <c r="BC24" i="7"/>
  <c r="BA38" i="7"/>
  <c r="BC38" i="7"/>
  <c r="BA50" i="7"/>
  <c r="BC50" i="7"/>
  <c r="BC13" i="7"/>
  <c r="BC17" i="7"/>
  <c r="BC20" i="7"/>
  <c r="BC28" i="7"/>
  <c r="BA46" i="7"/>
  <c r="BC46" i="7"/>
  <c r="BC8" i="7"/>
  <c r="BC9" i="7"/>
  <c r="BC25" i="7"/>
  <c r="BC29" i="7"/>
  <c r="BC32" i="7"/>
  <c r="BA35" i="7"/>
  <c r="BC35" i="7"/>
  <c r="BA39" i="7"/>
  <c r="BC39" i="7"/>
  <c r="BA43" i="7"/>
  <c r="BC43" i="7"/>
  <c r="BA47" i="7"/>
  <c r="BC47" i="7"/>
  <c r="BA51" i="7"/>
  <c r="BC51" i="7"/>
  <c r="BA55" i="7"/>
  <c r="BC55" i="7"/>
  <c r="BA31" i="7" l="1"/>
  <c r="BA7" i="7" l="1"/>
  <c r="BA28" i="7"/>
  <c r="BA20" i="7"/>
  <c r="BA26" i="7"/>
  <c r="BA19" i="7"/>
  <c r="BA24" i="7"/>
  <c r="BA16" i="7"/>
  <c r="BA11" i="7"/>
  <c r="BA27" i="7"/>
  <c r="BA22" i="7"/>
  <c r="BA12" i="7"/>
  <c r="BA23" i="7"/>
  <c r="BA18" i="7"/>
  <c r="BA21" i="7"/>
  <c r="BA14" i="7"/>
  <c r="BA17" i="7"/>
  <c r="BA10" i="7"/>
  <c r="BA32" i="7"/>
  <c r="BA13" i="7"/>
  <c r="BA6" i="7"/>
  <c r="BA8" i="7"/>
  <c r="BA9" i="7"/>
  <c r="BA4" i="7"/>
  <c r="BA25" i="7"/>
  <c r="BA5" i="7"/>
  <c r="BA15" i="7"/>
  <c r="BA29" i="7" l="1"/>
  <c r="BA30" i="7" l="1"/>
  <c r="D71" i="8" l="1"/>
  <c r="D75" i="8"/>
  <c r="D70" i="8"/>
  <c r="D69" i="8"/>
  <c r="D68" i="8"/>
  <c r="D72" i="8"/>
  <c r="D7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13FC906F-E6AF-443A-ACE4-29013122F3D7}">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<sst xmlns="http://schemas.openxmlformats.org/spreadsheetml/2006/main" count="10142" uniqueCount="1972">
  <si>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</si>
  <si>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</si>
  <si>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</si>
  <si>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</si>
  <si>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</si>
  <si>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</si>
  <si>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</si>
  <si>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</si>
  <si>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</si>
  <si>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</si>
  <si>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</si>
  <si>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</si>
  <si>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</si>
  <si>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</si>
  <si>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</si>
  <si>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</si>
  <si>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</si>
  <si>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</si>
  <si>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</si>
  <si>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</si>
  <si>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</si>
  <si>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</si>
  <si>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</si>
  <si>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</si>
  <si>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</si>
  <si>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</si>
  <si>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</si>
  <si>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</si>
  <si>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</si>
  <si>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</si>
  <si>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</si>
  <si>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</si>
  <si>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</si>
  <si>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</si>
  <si>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</si>
  <si>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</si>
  <si>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</si>
  <si>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</si>
  <si>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</si>
  <si>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</si>
  <si>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</si>
  <si>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</si>
  <si>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</si>
  <si>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</si>
  <si>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</si>
  <si>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</si>
  <si>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</si>
  <si>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</si>
  <si>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</si>
  <si>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</si>
  <si>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</si>
  <si>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</si>
  <si>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</si>
  <si>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</si>
  <si>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</si>
  <si>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</si>
  <si>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</si>
  <si>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</si>
  <si>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</si>
  <si>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</si>
  <si>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</si>
  <si>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</si>
  <si>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</si>
  <si>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</si>
  <si>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</si>
  <si>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</si>
  <si>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</si>
  <si>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</si>
  <si>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</si>
  <si>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</si>
  <si>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</si>
  <si>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</si>
  <si>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</si>
  <si>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</si>
  <si>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</si>
  <si>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</si>
  <si>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</si>
  <si>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</si>
  <si>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</si>
  <si>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</si>
  <si>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</si>
  <si>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</si>
  <si>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</si>
  <si>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</si>
  <si>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</si>
  <si>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</si>
  <si>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</si>
  <si>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</si>
  <si>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</si>
  <si>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</si>
  <si>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</si>
  <si>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</si>
  <si>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</si>
  <si>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</si>
  <si>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</si>
  <si>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</si>
  <si>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</si>
  <si>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</si>
  <si>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</si>
  <si>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</si>
  <si>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</si>
  <si>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</si>
  <si>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</si>
  <si>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</si>
  <si>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</si>
  <si>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</si>
  <si>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</si>
  <si>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</si>
  <si>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</si>
  <si>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</si>
  <si>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</si>
  <si>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</si>
  <si>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</si>
  <si>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</si>
  <si>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</si>
  <si>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</si>
  <si>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</si>
  <si>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</si>
  <si>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</si>
  <si>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</si>
  <si>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</si>
  <si>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</si>
  <si>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</si>
  <si>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</si>
  <si>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</si>
  <si>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</si>
  <si>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</si>
  <si>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</si>
  <si>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</si>
  <si>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</si>
  <si>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</si>
  <si>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</si>
  <si>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</si>
  <si>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</si>
  <si>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</si>
  <si>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</si>
  <si>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</si>
  <si>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</si>
  <si>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</si>
  <si>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</si>
  <si>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</si>
  <si>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</si>
  <si>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</si>
  <si>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</si>
  <si>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</si>
  <si>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</si>
  <si>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</si>
  <si>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</si>
  <si>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</si>
  <si>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</si>
  <si>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</si>
  <si>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</si>
  <si>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</si>
  <si>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</si>
  <si>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</si>
  <si>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</si>
  <si>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</si>
  <si>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</si>
  <si>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</si>
  <si>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</si>
  <si>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</si>
  <si>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</si>
  <si>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</si>
  <si>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</si>
  <si>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</si>
  <si>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</si>
  <si>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</si>
  <si>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</si>
  <si>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</si>
  <si>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</si>
  <si>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</si>
  <si>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</si>
  <si>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</si>
  <si>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</si>
  <si>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</si>
  <si>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</si>
  <si>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</si>
  <si>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</si>
  <si>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</si>
  <si>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</si>
  <si>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</si>
  <si>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</si>
  <si>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</si>
  <si>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</si>
  <si>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</si>
  <si>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</si>
  <si>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</si>
  <si>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</si>
  <si>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</si>
  <si>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</si>
  <si>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</si>
  <si>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</si>
  <si>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</si>
  <si>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</si>
  <si>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</si>
  <si>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</si>
  <si>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</si>
  <si>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</si>
  <si>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</si>
  <si>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</si>
  <si>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</si>
  <si>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</si>
  <si>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</si>
  <si>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</si>
  <si>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</si>
  <si>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</si>
  <si>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</si>
  <si>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</si>
  <si>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</si>
  <si>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</si>
  <si>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</si>
  <si>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</si>
  <si>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</si>
  <si>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</si>
  <si>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</si>
  <si>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</si>
  <si>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</si>
  <si>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</si>
  <si>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</si>
  <si>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</si>
  <si>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</si>
  <si>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</si>
  <si>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</si>
  <si>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</si>
  <si>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</si>
  <si>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</si>
  <si>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</si>
  <si>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</si>
  <si>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</si>
  <si>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</si>
  <si>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</si>
  <si>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</si>
  <si>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</si>
  <si>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</si>
  <si>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</si>
  <si>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</si>
  <si>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</si>
  <si>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</si>
  <si>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</si>
  <si>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</si>
  <si>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</si>
  <si>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Annual Budget</t>
  </si>
  <si>
    <t>:</t>
  </si>
  <si>
    <t>Diisi sesuai dengan Direktorat yang tertera di list.</t>
  </si>
  <si>
    <t>Division / Department</t>
  </si>
  <si>
    <t>Board of Director</t>
  </si>
  <si>
    <t>TO</t>
  </si>
  <si>
    <t>KSO</t>
  </si>
  <si>
    <t>SCM</t>
  </si>
  <si>
    <t>Fixed Asset Management</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</si>
  <si>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</si>
  <si>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</si>
  <si>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</si>
  <si>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</si>
  <si>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</si>
  <si>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</si>
  <si>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</si>
  <si>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</si>
  <si>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</si>
  <si>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</si>
  <si>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</si>
  <si>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</si>
  <si>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</si>
  <si>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</si>
  <si>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</si>
  <si>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</si>
  <si>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</si>
  <si>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</si>
  <si>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</si>
  <si>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</si>
  <si>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</si>
  <si>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</si>
  <si>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</si>
  <si>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</si>
  <si>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</si>
  <si>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</si>
  <si>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</si>
  <si>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</si>
  <si>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</si>
  <si>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</si>
  <si>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</si>
  <si>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</si>
  <si>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</si>
  <si>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</si>
  <si>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</si>
  <si>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</si>
  <si>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</si>
  <si>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</si>
  <si>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</si>
  <si>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</si>
  <si>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</si>
  <si>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</si>
  <si>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</si>
  <si>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</si>
  <si>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</si>
  <si>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</si>
  <si>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</si>
  <si>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</si>
  <si>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</si>
  <si>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</si>
  <si>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</si>
  <si>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</si>
  <si>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</si>
  <si>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</si>
  <si>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</si>
  <si>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</si>
  <si>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</si>
  <si>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</si>
  <si>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</si>
  <si>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</si>
  <si>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</si>
  <si>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</si>
  <si>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</si>
  <si>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</si>
  <si>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</si>
  <si>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</si>
  <si>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</si>
  <si>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</si>
  <si>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</si>
  <si>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</si>
  <si>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</si>
  <si>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</si>
  <si>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</si>
  <si>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</si>
  <si>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IT ERP</t>
  </si>
  <si>
    <t>SECURITY ADMIN</t>
  </si>
  <si>
    <t>LAND MANAGEMENT</t>
  </si>
  <si>
    <t>CSR</t>
  </si>
  <si>
    <t>INDUSTRY ASSOCIATION</t>
  </si>
  <si>
    <t>LICENSES &amp; PERMITS</t>
  </si>
  <si>
    <t>WEBSITE MASTER</t>
  </si>
  <si>
    <t>MEDIA REL/PRESS CONF</t>
  </si>
  <si>
    <t>PROCUREMENT</t>
  </si>
  <si>
    <t>WAREHOUSE</t>
  </si>
  <si>
    <t>10301SC006</t>
  </si>
  <si>
    <t>SCM INVENTORY</t>
  </si>
  <si>
    <t>10301SC007</t>
  </si>
  <si>
    <t>SCM WAREHOUSE FG</t>
  </si>
  <si>
    <t>SALES</t>
  </si>
  <si>
    <t>Profit Center</t>
  </si>
  <si>
    <t>Cost Center Description</t>
  </si>
  <si>
    <t>Department</t>
  </si>
  <si>
    <t>Remarks</t>
  </si>
  <si>
    <t>Ledger Description</t>
  </si>
  <si>
    <t>Basis Calculation
(Price per Unit)</t>
  </si>
  <si>
    <t>Professional Fees</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</si>
  <si>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</si>
  <si>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</si>
  <si>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</si>
  <si>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</si>
  <si>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</si>
  <si>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</si>
  <si>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</si>
  <si>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</si>
  <si>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</si>
  <si>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</si>
  <si>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</si>
  <si>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</si>
  <si>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</si>
  <si>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</si>
  <si>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</si>
  <si>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</si>
  <si>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</si>
  <si>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</si>
  <si>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</si>
  <si>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</si>
  <si>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</si>
  <si>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60600040</t>
  </si>
  <si>
    <t>60600050</t>
  </si>
  <si>
    <t>60700010</t>
  </si>
  <si>
    <t>60800010</t>
  </si>
  <si>
    <t>60800020</t>
  </si>
  <si>
    <t>60800030</t>
  </si>
  <si>
    <t>60800040</t>
  </si>
  <si>
    <t>60800050</t>
  </si>
  <si>
    <t>60800060</t>
  </si>
  <si>
    <t>60800070</t>
  </si>
  <si>
    <t>60800080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</si>
  <si>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</si>
  <si>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</si>
  <si>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</si>
  <si>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</si>
  <si>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</si>
  <si>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</si>
  <si>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</si>
  <si>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</si>
  <si>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</si>
  <si>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</si>
  <si>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</si>
  <si>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</si>
  <si>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</si>
  <si>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</si>
  <si>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</si>
  <si>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</si>
  <si>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</si>
  <si>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</si>
  <si>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</si>
  <si>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</si>
  <si>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</si>
  <si>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</si>
  <si>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</si>
  <si>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</si>
  <si>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</si>
  <si>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</si>
  <si>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</si>
  <si>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</si>
  <si>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</si>
  <si>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</si>
  <si>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</si>
  <si>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</si>
  <si>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</si>
  <si>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</si>
  <si>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</si>
  <si>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</si>
  <si>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</si>
  <si>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</si>
  <si>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</si>
  <si>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</si>
  <si>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</si>
  <si>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</si>
  <si>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</si>
  <si>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</si>
  <si>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</si>
  <si>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</si>
  <si>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</si>
  <si>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</si>
  <si>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62900010</t>
  </si>
  <si>
    <t>62900020</t>
  </si>
  <si>
    <t>63900010</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</si>
  <si>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</si>
  <si>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</si>
  <si>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</si>
  <si>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</si>
  <si>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</si>
  <si>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</si>
  <si>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</si>
  <si>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</si>
  <si>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</si>
  <si>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</si>
  <si>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</si>
  <si>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</si>
  <si>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</si>
  <si>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</si>
  <si>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</si>
  <si>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</si>
  <si>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</si>
  <si>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</si>
  <si>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</si>
  <si>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</si>
  <si>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</si>
  <si>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</si>
  <si>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</si>
  <si>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</si>
  <si>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</si>
  <si>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</si>
  <si>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</si>
  <si>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</si>
  <si>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</si>
  <si>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</si>
  <si>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</si>
  <si>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Material Used</t>
  </si>
  <si>
    <t>Spareparts Consumption</t>
  </si>
  <si>
    <t>Master Activity Code 
(IO Number)</t>
  </si>
  <si>
    <t>Responsible Cost Center</t>
  </si>
  <si>
    <t>G/L Account</t>
  </si>
  <si>
    <t>Master Activity Description</t>
  </si>
  <si>
    <t>Detail Activity (Spesific detail of activity)</t>
  </si>
  <si>
    <t>Existing Master Activity</t>
  </si>
  <si>
    <t>Detail Information</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</si>
  <si>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</si>
  <si>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</si>
  <si>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</si>
  <si>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</si>
  <si>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</si>
  <si>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</si>
  <si>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</si>
  <si>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</si>
  <si>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</si>
  <si>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</si>
  <si>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</si>
  <si>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</si>
  <si>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</si>
  <si>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</si>
  <si>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</si>
  <si>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</si>
  <si>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</si>
  <si>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</si>
  <si>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</si>
  <si>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</si>
  <si>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</si>
  <si>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</si>
  <si>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</si>
  <si>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</si>
  <si>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</si>
  <si>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</si>
  <si>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</si>
  <si>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</si>
  <si>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</si>
  <si>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</si>
  <si>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</si>
  <si>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</si>
  <si>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</si>
  <si>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</si>
  <si>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</si>
  <si>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</si>
  <si>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</si>
  <si>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</si>
  <si>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</si>
  <si>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</si>
  <si>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</si>
  <si>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</si>
  <si>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</si>
  <si>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</si>
  <si>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</si>
  <si>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</si>
  <si>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</si>
  <si>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Utl Factory</t>
  </si>
  <si>
    <t>Factory Equipment</t>
  </si>
  <si>
    <t>Office Equipment</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</si>
  <si>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</si>
  <si>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</si>
  <si>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</si>
  <si>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</si>
  <si>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</si>
  <si>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</si>
  <si>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</si>
  <si>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</si>
  <si>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</si>
  <si>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</si>
  <si>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</si>
  <si>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</si>
  <si>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</si>
  <si>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</si>
  <si>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</si>
  <si>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</si>
  <si>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</si>
  <si>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</si>
  <si>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</si>
  <si>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</si>
  <si>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</si>
  <si>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</si>
  <si>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</si>
  <si>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</si>
  <si>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</si>
  <si>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</si>
  <si>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</si>
  <si>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</si>
  <si>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</si>
  <si>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</si>
  <si>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</si>
  <si>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</si>
  <si>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</si>
  <si>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</si>
  <si>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</si>
  <si>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</si>
  <si>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</si>
  <si>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</si>
  <si>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</si>
  <si>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</si>
  <si>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</si>
  <si>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</si>
  <si>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</si>
  <si>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</si>
  <si>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</si>
  <si>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</si>
  <si>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</si>
  <si>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</si>
  <si>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</si>
  <si>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</si>
  <si>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</si>
  <si>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</si>
  <si>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</si>
  <si>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</si>
  <si>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</si>
  <si>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</si>
  <si>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</si>
  <si>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</si>
  <si>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</si>
  <si>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</si>
  <si>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</si>
  <si>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</si>
  <si>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</si>
  <si>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</si>
  <si>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</si>
  <si>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</si>
  <si>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</si>
  <si>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</si>
  <si>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</si>
  <si>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</si>
  <si>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</si>
  <si>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Finance &amp; Accounting</t>
  </si>
  <si>
    <t>Weighbridge</t>
  </si>
  <si>
    <t>ESG (CSR)</t>
  </si>
  <si>
    <t>Government Relation</t>
  </si>
  <si>
    <t>Project Name / Capex Name</t>
  </si>
  <si>
    <t>Detail Activity / Project Description</t>
  </si>
  <si>
    <t>Priority</t>
  </si>
  <si>
    <t>Basis Calculation</t>
  </si>
  <si>
    <t>Estimation Start Date</t>
  </si>
  <si>
    <t>Estimation Finish Date</t>
  </si>
  <si>
    <t>Additional Remarks</t>
  </si>
  <si>
    <t>Centralized to</t>
  </si>
  <si>
    <t>10131PP001</t>
  </si>
  <si>
    <t>10131PP009</t>
  </si>
  <si>
    <t>10131PP010</t>
  </si>
  <si>
    <t>10131PS001</t>
  </si>
  <si>
    <t>10131PS002</t>
  </si>
  <si>
    <t>10131PS003</t>
  </si>
  <si>
    <t>10131PS004</t>
  </si>
  <si>
    <t>10131PS005</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</si>
  <si>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</si>
  <si>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</si>
  <si>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</si>
  <si>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</si>
  <si>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</si>
  <si>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</si>
  <si>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</si>
  <si>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</si>
  <si>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</si>
  <si>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</si>
  <si>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</si>
  <si>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</si>
  <si>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</si>
  <si>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</si>
  <si>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</si>
  <si>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</si>
  <si>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</si>
  <si>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</si>
  <si>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</si>
  <si>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</si>
  <si>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SMS1 WAREHOUSE DEPARTMENT</t>
  </si>
  <si>
    <t>10101PS006</t>
  </si>
  <si>
    <t>10101PS007</t>
  </si>
  <si>
    <t>10101PS008</t>
  </si>
  <si>
    <t>10103PP001</t>
  </si>
  <si>
    <t>BP1 PRODUCTION DEPT</t>
  </si>
  <si>
    <t>10103PP009</t>
  </si>
  <si>
    <t>BP1 REPAIR</t>
  </si>
  <si>
    <t>10103PP010</t>
  </si>
  <si>
    <t>BP1 ROLLER</t>
  </si>
  <si>
    <t>10103PS001</t>
  </si>
  <si>
    <t>10103PS002</t>
  </si>
  <si>
    <t>10103PS003</t>
  </si>
  <si>
    <t>10103PS004</t>
  </si>
  <si>
    <t>10103PS005</t>
  </si>
  <si>
    <t>BP1 WAREHOUSE DEPARTMENT</t>
  </si>
  <si>
    <t>10103PS006</t>
  </si>
  <si>
    <t>BP1 CRANE DEPARTMENT</t>
  </si>
  <si>
    <t>10201PS005</t>
  </si>
  <si>
    <t>SSC WAREHOUSE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</si>
  <si>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</si>
  <si>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</si>
  <si>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</si>
  <si>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</si>
  <si>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</si>
  <si>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</si>
  <si>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</si>
  <si>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</si>
  <si>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</si>
  <si>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</si>
  <si>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</si>
  <si>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</si>
  <si>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</si>
  <si>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</si>
  <si>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</si>
  <si>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</si>
  <si>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FA - Assets Under Construction - Building</t>
  </si>
  <si>
    <t>FA - Assets Under Construction - Machinery</t>
  </si>
  <si>
    <t>FA - Assets Under Construction - Equipment</t>
  </si>
  <si>
    <t>FA - Assets Under Construction - Heavy Equipment</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</si>
  <si>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</si>
  <si>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</si>
  <si>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</si>
  <si>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</si>
  <si>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</si>
  <si>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</si>
  <si>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</si>
  <si>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</si>
  <si>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</si>
  <si>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</si>
  <si>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</si>
  <si>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</si>
  <si>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</si>
  <si>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</si>
  <si>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</si>
  <si>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LSM</t>
  </si>
  <si>
    <t>SMS1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</si>
  <si>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</si>
  <si>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</si>
  <si>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</si>
  <si>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</si>
  <si>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</si>
  <si>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</si>
  <si>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</si>
  <si>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</si>
  <si>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</si>
  <si>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</si>
  <si>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</si>
  <si>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</si>
  <si>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</si>
  <si>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</si>
  <si>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</si>
  <si>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</si>
  <si>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</si>
  <si>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</si>
  <si>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</si>
  <si>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</si>
  <si>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</si>
  <si>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</si>
  <si>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</si>
  <si>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</si>
  <si>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</si>
  <si>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</si>
  <si>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</si>
  <si>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</si>
  <si>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</si>
  <si>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</si>
  <si>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</si>
  <si>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</si>
  <si>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</si>
  <si>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</si>
  <si>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</si>
  <si>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</si>
  <si>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</si>
  <si>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</si>
  <si>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</si>
  <si>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</si>
  <si>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</si>
  <si>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</si>
  <si>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</si>
  <si>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</si>
  <si>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</si>
  <si>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</si>
  <si>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</si>
  <si>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</si>
  <si>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</si>
  <si>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</si>
  <si>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</si>
  <si>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</si>
  <si>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</si>
  <si>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</si>
  <si>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</si>
  <si>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</si>
  <si>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</si>
  <si>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</si>
  <si>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</si>
  <si>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Original Currency 
(USD/IDR)</t>
  </si>
  <si>
    <t>Original Currency Value</t>
  </si>
  <si>
    <t>QAQC</t>
  </si>
  <si>
    <t>HRGA &amp; HSE</t>
  </si>
  <si>
    <t>SC002-00001</t>
  </si>
  <si>
    <t>Calibration Services - Weighbridge</t>
  </si>
  <si>
    <t>SC002-00002</t>
  </si>
  <si>
    <t>Repair &amp; Maintenance - Radiation Tools</t>
  </si>
  <si>
    <t>SC002-00003</t>
  </si>
  <si>
    <t>Repair &amp; Maintenance - Indicator</t>
  </si>
  <si>
    <t>SC002-00004</t>
  </si>
  <si>
    <t>Repair &amp; Maintenance - Junction Box</t>
  </si>
  <si>
    <t>SC002-00005</t>
  </si>
  <si>
    <t>SC002-00006</t>
  </si>
  <si>
    <t>CCTV - Weighbridge</t>
  </si>
  <si>
    <t>SC002-00007</t>
  </si>
  <si>
    <t>Maintenance &amp; Cleaning</t>
  </si>
  <si>
    <t>SC002-00008</t>
  </si>
  <si>
    <t>SC002-00009</t>
  </si>
  <si>
    <t>INTERCOM - Weighbridge</t>
  </si>
  <si>
    <t>SC002-00010</t>
  </si>
  <si>
    <t>PORTAL - Weighbridge</t>
  </si>
  <si>
    <t>SC002-00011</t>
  </si>
  <si>
    <t>Repair &amp; Maintenance - Load Cell</t>
  </si>
  <si>
    <t>SC002-00012</t>
  </si>
  <si>
    <t>MESIN SELF SERVICE - Weighbridge</t>
  </si>
  <si>
    <t>SC004-00001</t>
  </si>
  <si>
    <t>SC004-00002</t>
  </si>
  <si>
    <t>Repair &amp; Maintenance - Equipment</t>
  </si>
  <si>
    <t>SC004-00004</t>
  </si>
  <si>
    <t>SC004-00008</t>
  </si>
  <si>
    <t>Langsir Handling Consumable</t>
  </si>
  <si>
    <t>SC004-00009</t>
  </si>
  <si>
    <t>Disposal Material Expired</t>
  </si>
  <si>
    <t>SC004-00010</t>
  </si>
  <si>
    <t>SC004-00011</t>
  </si>
  <si>
    <t>SC004-00012</t>
  </si>
  <si>
    <t>SC004-00013</t>
  </si>
  <si>
    <t>Maintenance Crane</t>
  </si>
  <si>
    <t>SC004-00014</t>
  </si>
  <si>
    <t>SC004-00015</t>
  </si>
  <si>
    <t>PF - Inventory Monitoring &amp; Reporting</t>
  </si>
  <si>
    <t>SC006-00001</t>
  </si>
  <si>
    <t>Rental - Laptop</t>
  </si>
  <si>
    <t>SC006-00002</t>
  </si>
  <si>
    <t>Safety Equipment</t>
  </si>
  <si>
    <t>SC006-00004</t>
  </si>
  <si>
    <t>Surveyor Fee</t>
  </si>
  <si>
    <t>SC007-00001</t>
  </si>
  <si>
    <t>Outsourcing - Material Handling &amp; HK</t>
  </si>
  <si>
    <t>SC007-00002</t>
  </si>
  <si>
    <t>Printing - Banner</t>
  </si>
  <si>
    <t>SC007-00003</t>
  </si>
  <si>
    <t>SC007-00009</t>
  </si>
  <si>
    <t>SC007-00010</t>
  </si>
  <si>
    <t>Modem/Kuota</t>
  </si>
  <si>
    <t>SC007-00012</t>
  </si>
  <si>
    <t>Langsir FG BP</t>
  </si>
  <si>
    <t>SC007-00013</t>
  </si>
  <si>
    <t>Langsir FG LSM</t>
  </si>
  <si>
    <t>SC007-00014</t>
  </si>
  <si>
    <t>Mohon kirimkan Lembar kerja anggaran tahunan (master budget template) yang telah disetujui ke Budget&amp;Analysis Departemen paling lambat tanggal 30 Agustus 2024.</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</si>
  <si>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</si>
  <si>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</si>
  <si>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</si>
  <si>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</si>
  <si>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</si>
  <si>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</si>
  <si>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</si>
  <si>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</si>
  <si>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Reason for increase/decrease</t>
  </si>
  <si>
    <t>Control</t>
  </si>
  <si>
    <t>Inventory &amp; Logistics Senior Manager</t>
  </si>
  <si>
    <t>(Indah Rinawati Sitompul)</t>
  </si>
  <si>
    <t/>
  </si>
  <si>
    <t>Office Equipment Warehouse FG</t>
  </si>
  <si>
    <t>SC004-00005</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</si>
  <si>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</si>
  <si>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</si>
  <si>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</si>
  <si>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</si>
  <si>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</si>
  <si>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</si>
  <si>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</si>
  <si>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Board Of Commisioners</t>
  </si>
  <si>
    <t>Board Of Director</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</si>
  <si>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</si>
  <si>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</si>
  <si>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</si>
  <si>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</si>
  <si>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</si>
  <si>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</si>
  <si>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</si>
  <si>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</si>
  <si>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</si>
  <si>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</si>
  <si>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</si>
  <si>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10301BD002</t>
  </si>
  <si>
    <t>HEAD OF PRODUCTION</t>
  </si>
  <si>
    <t>10301FA008</t>
  </si>
  <si>
    <t>HEAD OF FINANCE EXP</t>
  </si>
  <si>
    <t>10301IT004</t>
  </si>
  <si>
    <t>HEAD OF IT EXPENSES</t>
  </si>
  <si>
    <t>10301SC008</t>
  </si>
  <si>
    <t>HEAD OF PROCUREMENT</t>
  </si>
  <si>
    <t>10301SC009</t>
  </si>
  <si>
    <t>HEAD OF SCM</t>
  </si>
  <si>
    <t>10301SM004</t>
  </si>
  <si>
    <t>HEAD OF SALES EXP</t>
  </si>
  <si>
    <t>General Manager Finance &amp; Accounting</t>
  </si>
  <si>
    <t>Financial Planning &amp; Analysis Manager</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</si>
  <si>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</si>
  <si>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</si>
  <si>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</si>
  <si>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</si>
  <si>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</si>
  <si>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</si>
  <si>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</si>
  <si>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</si>
  <si>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</si>
  <si>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</si>
  <si>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</si>
  <si>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</si>
  <si>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</si>
  <si>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</si>
  <si>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</si>
  <si>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</si>
  <si>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</si>
  <si>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</si>
  <si>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</si>
  <si>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</si>
  <si>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</si>
  <si>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</si>
  <si>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</si>
  <si>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</si>
  <si>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</si>
  <si>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</si>
  <si>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</si>
  <si>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</si>
  <si>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</si>
  <si>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</si>
  <si>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Amount
(IDR)</t>
  </si>
  <si>
    <t>Stationery Expenses - Weighbridge</t>
  </si>
  <si>
    <t>Rental Vehicle - Weighbridge</t>
  </si>
  <si>
    <t>Repair &amp; Maintenance - Vehicles</t>
  </si>
  <si>
    <t>Repair &amp; Maintenance - Building</t>
  </si>
  <si>
    <t>RM Exp - Building Services</t>
  </si>
  <si>
    <t>Maintenance Crane FG</t>
  </si>
  <si>
    <t>CONTROL ROOM - Weighbridge</t>
  </si>
  <si>
    <t>SC002-00013</t>
  </si>
  <si>
    <t>SC002-00014</t>
  </si>
  <si>
    <t>SC002-00015</t>
  </si>
  <si>
    <t>SC004-00007</t>
  </si>
  <si>
    <t>Import Freight Cost</t>
  </si>
  <si>
    <t>SC004-00016</t>
  </si>
  <si>
    <t>SC004-00017</t>
  </si>
  <si>
    <t>SC004-00018</t>
  </si>
  <si>
    <t>SC005-00001</t>
  </si>
  <si>
    <t>SC007-00004</t>
  </si>
  <si>
    <t>Maintenance &amp; Sparepart Crane</t>
  </si>
  <si>
    <t>SC007-00005</t>
  </si>
  <si>
    <t>Professional Fee - Stock Survey</t>
  </si>
  <si>
    <t>SC007-00006</t>
  </si>
  <si>
    <t>Langsir NS dari PSC ke GG02</t>
  </si>
  <si>
    <t>SC007-00007</t>
  </si>
  <si>
    <t>Muat/Dispatch FSC</t>
  </si>
  <si>
    <t>SC007-00008</t>
  </si>
  <si>
    <t>Packing Muat Dispatch CRM</t>
  </si>
  <si>
    <t>Mobile phone</t>
  </si>
  <si>
    <t>SC007-00011</t>
  </si>
  <si>
    <t>Muat/Dispatch &amp; Langsir NS PSM</t>
  </si>
  <si>
    <t>SC007-00015</t>
  </si>
  <si>
    <t>SC007-00016</t>
  </si>
  <si>
    <t>SCM LOGISTICS</t>
  </si>
  <si>
    <t>SCM WAREHOUSE SPC</t>
  </si>
  <si>
    <t>SCM GRADER</t>
  </si>
  <si>
    <t>Proposed New Activity 2026</t>
  </si>
  <si>
    <t>Annual Budget 2025</t>
  </si>
  <si>
    <t>Actual
(Jan-Jul 2025)</t>
  </si>
  <si>
    <t>New Activity 2026</t>
  </si>
  <si>
    <t>Amount Budget 2026
(Original Currency)</t>
  </si>
  <si>
    <t>Outstanding PO 2025
(Realised in 2026)
PO Number</t>
  </si>
  <si>
    <t>Amount Budget 2026
(IDR)</t>
  </si>
  <si>
    <t>Outstanding PO 2025
(Realised in 2026)
IDR</t>
  </si>
  <si>
    <t>Proposed Budget 2026 + Outstanding PO 2025
IDR</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</si>
  <si>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</si>
  <si>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</si>
  <si>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</si>
  <si>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</si>
  <si>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</si>
  <si>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</si>
  <si>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</si>
  <si>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</si>
  <si>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</si>
  <si>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</si>
  <si>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</si>
  <si>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</si>
  <si>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Why this budget required?
(Justification)</t>
  </si>
  <si>
    <t>Annual Budget
2026</t>
  </si>
  <si>
    <t xml:space="preserve">Crane Certification </t>
  </si>
  <si>
    <t>Crane Certification WH</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</si>
  <si>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</si>
  <si>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</si>
  <si>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</si>
  <si>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</si>
  <si>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</si>
  <si>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</si>
  <si>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</si>
  <si>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</si>
  <si>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</si>
  <si>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</si>
  <si>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</si>
  <si>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</si>
  <si>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</si>
  <si>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</si>
  <si>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Business Unit (BU)</t>
  </si>
  <si>
    <t>Service Unit (SU)</t>
  </si>
  <si>
    <t>Electrical</t>
  </si>
  <si>
    <t>Mechanical</t>
  </si>
  <si>
    <t xml:space="preserve">HRGA </t>
  </si>
  <si>
    <t>PD Office</t>
  </si>
  <si>
    <t>Business Solution (ERP)</t>
  </si>
  <si>
    <t>IT Infrastructure</t>
  </si>
  <si>
    <t>Data Analytics</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</si>
  <si>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</si>
  <si>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</si>
  <si>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</si>
  <si>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</si>
  <si>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</si>
  <si>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</si>
  <si>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</si>
  <si>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</si>
  <si>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</si>
  <si>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</si>
  <si>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</si>
  <si>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</si>
  <si>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</si>
  <si>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</si>
  <si>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</si>
  <si>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</si>
  <si>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</si>
  <si>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</si>
  <si>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</si>
  <si>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</si>
  <si>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</si>
  <si>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</si>
  <si>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</si>
  <si>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</si>
  <si>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</si>
  <si>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</si>
  <si>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</si>
  <si>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</si>
  <si>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</si>
  <si>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</si>
  <si>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</si>
  <si>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</si>
  <si>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</si>
  <si>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</si>
  <si>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</si>
  <si>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</si>
  <si>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</si>
  <si>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</si>
  <si>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</si>
  <si>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</si>
  <si>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</si>
  <si>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</si>
  <si>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</si>
  <si>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</si>
  <si>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</si>
  <si>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</si>
  <si>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</si>
  <si>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</si>
  <si>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</si>
  <si>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</si>
  <si>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</si>
  <si>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</si>
  <si>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</si>
  <si>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</si>
  <si>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</si>
  <si>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</si>
  <si>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</si>
  <si>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</si>
  <si>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</si>
  <si>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</si>
  <si>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</si>
  <si>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</si>
  <si>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</si>
  <si>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</si>
  <si>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</si>
  <si>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</si>
  <si>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</si>
  <si>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</si>
  <si>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</si>
  <si>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</si>
  <si>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</si>
  <si>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</si>
  <si>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</si>
  <si>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</si>
  <si>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</si>
  <si>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</si>
  <si>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</si>
  <si>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</si>
  <si>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</si>
  <si>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</si>
  <si>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</si>
  <si>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</si>
  <si>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</si>
  <si>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</si>
  <si>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</si>
  <si>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</si>
  <si>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</si>
  <si>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</si>
  <si>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</si>
  <si>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</si>
  <si>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</si>
  <si>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</si>
  <si>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</si>
  <si>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</si>
  <si>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</si>
  <si>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</si>
  <si>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</si>
  <si>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</si>
  <si>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</si>
  <si>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</si>
  <si>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</si>
  <si>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</si>
  <si>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</si>
  <si>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</si>
  <si>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</si>
  <si>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</si>
  <si>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</si>
  <si>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</si>
  <si>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</si>
  <si>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</si>
  <si>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</si>
  <si>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</si>
  <si>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</si>
  <si>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</si>
  <si>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</si>
  <si>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</si>
  <si>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</si>
  <si>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</si>
  <si>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</si>
  <si>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</si>
  <si>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</si>
  <si>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</si>
  <si>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</si>
  <si>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</si>
  <si>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</si>
  <si>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</si>
  <si>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</si>
  <si>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</si>
  <si>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</si>
  <si>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</si>
  <si>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</si>
  <si>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</si>
  <si>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</si>
  <si>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</si>
  <si>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</si>
  <si>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</si>
  <si>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</si>
  <si>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</si>
  <si>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</si>
  <si>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</si>
  <si>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</si>
  <si>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</si>
  <si>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</si>
  <si>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</si>
  <si>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</si>
  <si>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</si>
  <si>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</si>
  <si>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</si>
  <si>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</si>
  <si>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</si>
  <si>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</si>
  <si>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</si>
  <si>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</si>
  <si>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</si>
  <si>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</si>
  <si>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</si>
  <si>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</si>
  <si>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</si>
  <si>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</si>
  <si>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</si>
  <si>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</si>
  <si>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</si>
  <si>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</si>
  <si>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</si>
  <si>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</si>
  <si>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</si>
  <si>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</si>
  <si>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</si>
  <si>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Corporate Planning</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</si>
  <si>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</si>
  <si>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</si>
  <si>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</si>
  <si>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</si>
  <si>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</si>
  <si>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</si>
  <si>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</si>
  <si>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</si>
  <si>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</si>
  <si>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</si>
  <si>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</si>
  <si>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</si>
  <si>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</si>
  <si>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</si>
  <si>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</si>
  <si>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</si>
  <si>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</si>
  <si>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</si>
  <si>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</si>
  <si>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</si>
  <si>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</si>
  <si>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</si>
  <si>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</si>
  <si>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</si>
  <si>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</si>
  <si>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</si>
  <si>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</si>
  <si>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</si>
  <si>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</si>
  <si>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</si>
  <si>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</si>
  <si>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</si>
  <si>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</si>
  <si>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</si>
  <si>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</si>
  <si>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</si>
  <si>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</si>
  <si>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</si>
  <si>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</si>
  <si>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</si>
  <si>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</si>
  <si>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</si>
  <si>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</si>
  <si>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</si>
  <si>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</si>
  <si>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</si>
  <si>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</si>
  <si>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</si>
  <si>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</si>
  <si>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</si>
  <si>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</si>
  <si>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</si>
  <si>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</si>
  <si>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</si>
  <si>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</si>
  <si>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</si>
  <si>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</si>
  <si>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</si>
  <si>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</si>
  <si>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</si>
  <si>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</si>
  <si>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</si>
  <si>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</si>
  <si>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</si>
  <si>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</si>
  <si>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</si>
  <si>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</si>
  <si>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</si>
  <si>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</si>
  <si>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</si>
  <si>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</si>
  <si>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</si>
  <si>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</si>
  <si>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</si>
  <si>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</si>
  <si>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</si>
  <si>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</si>
  <si>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</si>
  <si>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</si>
  <si>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</si>
  <si>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</si>
  <si>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</si>
  <si>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</si>
  <si>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</si>
  <si>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</si>
  <si>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</si>
  <si>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</si>
  <si>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</si>
  <si>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</si>
  <si>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</si>
  <si>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</si>
  <si>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</si>
  <si>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</si>
  <si>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</si>
  <si>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</si>
  <si>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</si>
  <si>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</si>
  <si>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</si>
  <si>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</si>
  <si>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</si>
  <si>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</si>
  <si>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</si>
  <si>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</si>
  <si>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</si>
  <si>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</si>
  <si>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</si>
  <si>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</si>
  <si>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</si>
  <si>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</si>
  <si>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</si>
  <si>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</si>
  <si>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</si>
  <si>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</si>
  <si>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</si>
  <si>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</si>
  <si>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</si>
  <si>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</si>
  <si>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</si>
  <si>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</si>
  <si>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</si>
  <si>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</si>
  <si>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</si>
  <si>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</si>
  <si>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</si>
  <si>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</si>
  <si>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</si>
  <si>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</si>
  <si>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</si>
  <si>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</si>
  <si>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</si>
  <si>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</si>
  <si>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</si>
  <si>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</si>
  <si>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</si>
  <si>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</si>
  <si>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</si>
  <si>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</si>
  <si>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</si>
  <si>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</si>
  <si>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</si>
  <si>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</si>
  <si>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</si>
  <si>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</si>
  <si>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</si>
  <si>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</si>
  <si>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</si>
  <si>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</si>
  <si>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</si>
  <si>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</si>
  <si>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</si>
  <si>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</si>
  <si>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</si>
  <si>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</si>
  <si>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</si>
  <si>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</si>
  <si>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</si>
  <si>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</si>
  <si>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</si>
  <si>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</si>
  <si>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</si>
  <si>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</si>
  <si>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</si>
  <si>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</si>
  <si>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</si>
  <si>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</si>
  <si>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</si>
  <si>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</si>
  <si>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</si>
  <si>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</si>
  <si>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</si>
  <si>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</si>
  <si>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</si>
  <si>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</si>
  <si>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</si>
  <si>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</si>
  <si>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</si>
  <si>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</si>
  <si>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</si>
  <si>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</si>
  <si>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</si>
  <si>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</si>
  <si>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</si>
  <si>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</si>
  <si>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</si>
  <si>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</si>
  <si>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</si>
  <si>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</si>
  <si>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</si>
  <si>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</si>
  <si>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</si>
  <si>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</si>
  <si>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</si>
  <si>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</si>
  <si>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</si>
  <si>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</si>
  <si>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</si>
  <si>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</si>
  <si>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</si>
  <si>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</si>
  <si>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</si>
  <si>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</si>
  <si>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</si>
  <si>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</si>
  <si>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</si>
  <si>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</si>
  <si>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</si>
  <si>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</si>
  <si>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</si>
  <si>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</si>
  <si>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</si>
  <si>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</si>
  <si>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</si>
  <si>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</si>
  <si>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</si>
  <si>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</si>
  <si>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</si>
  <si>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</si>
  <si>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</si>
  <si>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</si>
  <si>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</si>
  <si>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</si>
  <si>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</si>
  <si>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</si>
  <si>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</si>
  <si>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</si>
  <si>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</si>
  <si>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</si>
  <si>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</si>
  <si>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</si>
  <si>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</si>
  <si>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</si>
  <si>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</si>
  <si>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</si>
  <si>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</si>
  <si>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</si>
  <si>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</si>
  <si>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</si>
  <si>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</si>
  <si>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</si>
  <si>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</si>
  <si>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</si>
  <si>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</si>
  <si>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</si>
  <si>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</si>
  <si>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</si>
  <si>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</si>
  <si>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</si>
  <si>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</si>
  <si>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</si>
  <si>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</si>
  <si>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</si>
  <si>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</si>
  <si>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</si>
  <si>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</si>
  <si>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</si>
  <si>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</si>
  <si>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</si>
  <si>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</si>
  <si>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</si>
  <si>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</si>
  <si>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</si>
  <si>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</si>
  <si>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</si>
  <si>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</si>
  <si>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</si>
  <si>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</si>
  <si>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</si>
  <si>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</si>
  <si>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</si>
  <si>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</si>
  <si>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</si>
  <si>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</si>
  <si>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</si>
  <si>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</si>
  <si>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</si>
  <si>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</si>
  <si>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</si>
  <si>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</si>
  <si>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</si>
  <si>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</si>
  <si>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</si>
  <si>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</si>
  <si>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</si>
  <si>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</si>
  <si>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</si>
  <si>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</si>
  <si>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</si>
  <si>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</si>
  <si>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</si>
  <si>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</si>
  <si>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Proposed Delete/close Activity 2026</t>
  </si>
  <si>
    <t>w</t>
  </si>
  <si>
    <t>HRGA</t>
  </si>
  <si>
    <t>Cost centre</t>
  </si>
  <si>
    <t>Cost centre code</t>
  </si>
  <si>
    <t>Cost centre description</t>
  </si>
  <si>
    <t>Project ID - Code</t>
  </si>
  <si>
    <t>IO - Code</t>
  </si>
  <si>
    <t>SMS</t>
  </si>
  <si>
    <t>ELECTRICAL</t>
  </si>
  <si>
    <t>SMS1 ELECTRICAL DEPT</t>
  </si>
  <si>
    <t>MECHANICAL</t>
  </si>
  <si>
    <t>SMS1 MECHANICAL DEPT</t>
  </si>
  <si>
    <t>SMS1 PPIC DEPT</t>
  </si>
  <si>
    <t>SMS1 QA/QC DEPT</t>
  </si>
  <si>
    <t>SMS1 WAREHOUSE DEPT</t>
  </si>
  <si>
    <t>SMS1 CRANE DEPARTMEN</t>
  </si>
  <si>
    <t>SMS1 OFFICE DEPT</t>
  </si>
  <si>
    <t>SMS1 STR.MFACTURING</t>
  </si>
  <si>
    <t>BP1 ELECTRICAL DEPT</t>
  </si>
  <si>
    <t>BP1 MECHANICAL DEPT</t>
  </si>
  <si>
    <t>BP1 PPIC DEPT</t>
  </si>
  <si>
    <t>BP1 QA/QC DEPT</t>
  </si>
  <si>
    <t>LSM PRODUCTION DEPT</t>
  </si>
  <si>
    <t>LSM ROLL SHOP</t>
  </si>
  <si>
    <t>LSM ELECTRICAL DEPT</t>
  </si>
  <si>
    <t>LSM MECHANICAL DEPT</t>
  </si>
  <si>
    <t>LSM PPIC DEPARTMENT</t>
  </si>
  <si>
    <t>LSM QA/QC DEPARTMENT</t>
  </si>
  <si>
    <t>LSM CRANE DEPARTMENT</t>
  </si>
  <si>
    <t>10202SU001</t>
  </si>
  <si>
    <t>TECH SUPPORT PPIC</t>
  </si>
  <si>
    <t>TECH SUPPORTING QA</t>
  </si>
  <si>
    <t>10202SU009</t>
  </si>
  <si>
    <t>ELECTRICAL MT &amp; PROJ</t>
  </si>
  <si>
    <t>MSN</t>
  </si>
  <si>
    <t>10202SU017</t>
  </si>
  <si>
    <t>MACHINE SHOP</t>
  </si>
  <si>
    <t>PD OFFICE</t>
  </si>
  <si>
    <t>Board of Directors</t>
  </si>
  <si>
    <t>PD</t>
  </si>
  <si>
    <t>LEGAL &amp; COMPLIANCE</t>
  </si>
  <si>
    <t>General Counsel</t>
  </si>
  <si>
    <t>CLC</t>
  </si>
  <si>
    <t>Compliance &amp; Governance</t>
  </si>
  <si>
    <t>Permit &amp; Licensing</t>
  </si>
  <si>
    <t>Accounting &amp; Fixed Asset Management</t>
  </si>
  <si>
    <t>REGULATORY &amp; EXT AFFAIRS</t>
  </si>
  <si>
    <t>Government Relation &amp; EA</t>
  </si>
  <si>
    <t>GR</t>
  </si>
  <si>
    <t>10301MS010</t>
  </si>
  <si>
    <t>SCM Logistics</t>
  </si>
  <si>
    <t>SCM Warehouse &amp; Inventory</t>
  </si>
  <si>
    <t>SCM Grader</t>
  </si>
  <si>
    <t>SALES &amp; PROCUREMENT</t>
  </si>
  <si>
    <t>PC</t>
  </si>
  <si>
    <t>SL</t>
  </si>
  <si>
    <t>List General Ledger</t>
  </si>
  <si>
    <t>Table 3.3. List Ledger CAPEX</t>
  </si>
  <si>
    <t>IO &amp; Project ID - Group</t>
  </si>
  <si>
    <t>CAPEX Priority</t>
  </si>
  <si>
    <t>OPEX</t>
  </si>
  <si>
    <t>BU/SU/HO</t>
  </si>
  <si>
    <t>Exchange rate (USD)</t>
  </si>
  <si>
    <t>Ctrl to Master Data</t>
  </si>
  <si>
    <t>Ledger Expense Group / Type</t>
  </si>
  <si>
    <t>Selling / GA</t>
  </si>
  <si>
    <t>A0126</t>
  </si>
  <si>
    <t>A0226</t>
  </si>
  <si>
    <t>A0326</t>
  </si>
  <si>
    <t>A0426</t>
  </si>
  <si>
    <t>A0526</t>
  </si>
  <si>
    <t>A0626</t>
  </si>
  <si>
    <t>A0726</t>
  </si>
  <si>
    <t>A0826</t>
  </si>
  <si>
    <t>A0926</t>
  </si>
  <si>
    <t>A1126</t>
  </si>
  <si>
    <t>LSM REPAIR</t>
  </si>
  <si>
    <t>Estimated budget consumed (based on PO)</t>
  </si>
  <si>
    <t>Estimated expense recorded (based on GRN)</t>
  </si>
  <si>
    <t>IO/Project ID Group</t>
  </si>
  <si>
    <t>IO/Project ID</t>
  </si>
  <si>
    <t>Exchange rate</t>
  </si>
  <si>
    <t>x</t>
  </si>
  <si>
    <t>Legal &amp; Compliance</t>
  </si>
  <si>
    <t>Permits &amp; Licensing</t>
  </si>
  <si>
    <t>Legal Commercial</t>
  </si>
  <si>
    <t>Regulatory &amp; external affair</t>
  </si>
  <si>
    <t>&gt;&gt; New CC</t>
  </si>
  <si>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</si>
  <si>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</si>
  <si>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</si>
  <si>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</si>
  <si>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</si>
  <si>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</si>
  <si>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</si>
  <si>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</si>
  <si>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</si>
  <si>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</si>
  <si>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</si>
  <si>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</si>
  <si>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</si>
  <si>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Consumables</t>
  </si>
  <si>
    <t>Third party services</t>
  </si>
  <si>
    <t>Utilities - Oxigent</t>
  </si>
  <si>
    <t>Utilities - Gas</t>
  </si>
  <si>
    <t>Repair &amp; Maintenance</t>
  </si>
  <si>
    <t>Postage &amp; Telecommunication</t>
  </si>
  <si>
    <t>Professional Fee</t>
  </si>
  <si>
    <t>Stationery &amp; Printing</t>
  </si>
  <si>
    <t>Equipment expenses</t>
  </si>
  <si>
    <t>General Transportation</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</si>
  <si>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</si>
  <si>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</si>
  <si>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</si>
  <si>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</si>
  <si>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</si>
  <si>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</si>
  <si>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</si>
  <si>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</si>
  <si>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</si>
  <si>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</si>
  <si>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</si>
  <si>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</si>
  <si>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</si>
  <si>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</si>
  <si>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</si>
  <si>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</si>
  <si>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</si>
  <si>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</si>
  <si>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</si>
  <si>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</si>
  <si>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</si>
  <si>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</si>
  <si>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</si>
  <si>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</si>
  <si>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</si>
  <si>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</si>
  <si>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</si>
  <si>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</si>
  <si>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</si>
  <si>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</si>
  <si>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</si>
  <si>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</si>
  <si>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</si>
  <si>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</si>
  <si>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</si>
  <si>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</si>
  <si>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</si>
  <si>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</si>
  <si>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</si>
  <si>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</si>
  <si>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</si>
  <si>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Kategori</t>
  </si>
  <si>
    <t>Amount (IDR)</t>
  </si>
  <si>
    <t>Convert Cost Center</t>
  </si>
  <si>
    <t>Convert Cost Center Desc</t>
  </si>
  <si>
    <t>note:</t>
  </si>
  <si>
    <t>filter DL, import, blank, material used</t>
  </si>
  <si>
    <t>2025</t>
  </si>
  <si>
    <t>1</t>
  </si>
  <si>
    <t>GGRP</t>
  </si>
  <si>
    <t>WA</t>
  </si>
  <si>
    <t>U STICKER PENURUNAN PRODUKSI LSM</t>
  </si>
  <si>
    <t>50200010</t>
  </si>
  <si>
    <t>1100001036</t>
  </si>
  <si>
    <t>20250123</t>
  </si>
  <si>
    <t>101131</t>
  </si>
  <si>
    <t>LSM WAREHOUSE DEPARTMENT</t>
  </si>
  <si>
    <t>S</t>
  </si>
  <si>
    <t>LSM Production Division</t>
  </si>
  <si>
    <t>LSM Production Div</t>
  </si>
  <si>
    <t>+</t>
  </si>
  <si>
    <t>CSMC32000000002942</t>
  </si>
  <si>
    <t>STICKER LABEL PRINTER P=11.0 CM L=7.0 CM</t>
  </si>
  <si>
    <t>Repair</t>
  </si>
  <si>
    <t>N</t>
  </si>
  <si>
    <t>1100001040</t>
  </si>
  <si>
    <t>CSMC32000000002920</t>
  </si>
  <si>
    <t>STICKER LABEL PRINTER UK.P=7.0CM L=4.5CM</t>
  </si>
  <si>
    <t>1100000281</t>
  </si>
  <si>
    <t>20250110</t>
  </si>
  <si>
    <t>CSMC3200000002934</t>
  </si>
  <si>
    <t>STICKER TAHAN GEMPA UK.3.5 X 4.5 CM</t>
  </si>
  <si>
    <t>U Penandaan dan cat bantalan wh fg Lsm</t>
  </si>
  <si>
    <t>1100000606</t>
  </si>
  <si>
    <t>20250115</t>
  </si>
  <si>
    <t>KG</t>
  </si>
  <si>
    <t>CSMC32000000002583</t>
  </si>
  <si>
    <t>PAINT MENY - GREEN @5KG</t>
  </si>
  <si>
    <t>1100000626</t>
  </si>
  <si>
    <t>L</t>
  </si>
  <si>
    <t>CSMC32000000002597</t>
  </si>
  <si>
    <t>PAINT THINNER - SYNTHETIC @20LTR</t>
  </si>
  <si>
    <t>CAN</t>
  </si>
  <si>
    <t>CSMC32000000002588</t>
  </si>
  <si>
    <t>PAINT SPRAY - WHITE NO.102 300CC PYLOX</t>
  </si>
  <si>
    <t>U alat kerja scm warehouse membersihkan besi</t>
  </si>
  <si>
    <t>CSMC32000000000621</t>
  </si>
  <si>
    <t>RAG LOCAL</t>
  </si>
  <si>
    <t>U ALAT KERJA WAREHOUSE lsm ,ssc</t>
  </si>
  <si>
    <t>PAC</t>
  </si>
  <si>
    <t>CPKC22000000001873</t>
  </si>
  <si>
    <t>RT-PLASTIK SAMPAH - BESAR 120LTR</t>
  </si>
  <si>
    <t>CSMC32000000000872</t>
  </si>
  <si>
    <t>BRUSH - 4" ETERNA</t>
  </si>
  <si>
    <t>2</t>
  </si>
  <si>
    <t>MO bantalan lsm sto dec</t>
  </si>
  <si>
    <t>50100020</t>
  </si>
  <si>
    <t>1100001505</t>
  </si>
  <si>
    <t>20250201</t>
  </si>
  <si>
    <t>LSBF-2000000002</t>
  </si>
  <si>
    <t>IWF-JIS G 3101 SS 400 150X75X12000</t>
  </si>
  <si>
    <t>7100000903</t>
  </si>
  <si>
    <t>N/A</t>
  </si>
  <si>
    <t>1100001558</t>
  </si>
  <si>
    <t>20250207</t>
  </si>
  <si>
    <t>SS400</t>
  </si>
  <si>
    <t>U KEPERLUAN CAT AREA PENURUNAN PRODUKSI LSM wh</t>
  </si>
  <si>
    <t>1100001563</t>
  </si>
  <si>
    <t>20250208</t>
  </si>
  <si>
    <t>CSMC32000000002594</t>
  </si>
  <si>
    <t>PAINT SYNTHETIC - SUPER BLACK @4KG</t>
  </si>
  <si>
    <t>U KEPERLUAN CAT AREA PENURUNAN PRODUKSI LSM</t>
  </si>
  <si>
    <t>U Cat ulang penempatan area Penyimpanan fg ssc</t>
  </si>
  <si>
    <t>1100001700</t>
  </si>
  <si>
    <t>20250212</t>
  </si>
  <si>
    <t>CSMC32000000002592</t>
  </si>
  <si>
    <t>PAINT SYNTHETIC - LEMON YELLOW @4KG</t>
  </si>
  <si>
    <t>CSMC32000000000871</t>
  </si>
  <si>
    <t>BRUSH 3" ETERNA</t>
  </si>
  <si>
    <t>1100001967</t>
  </si>
  <si>
    <t>20250218</t>
  </si>
  <si>
    <t>CSMC32000000000875</t>
  </si>
  <si>
    <t>BRUSH - ROLL 4" PAKAI GAGANG</t>
  </si>
  <si>
    <t>3</t>
  </si>
  <si>
    <t>1100002842</t>
  </si>
  <si>
    <t>20250307</t>
  </si>
  <si>
    <t>1100003450</t>
  </si>
  <si>
    <t>20250319</t>
  </si>
  <si>
    <t>1100003676</t>
  </si>
  <si>
    <t>20250324</t>
  </si>
  <si>
    <t>6</t>
  </si>
  <si>
    <t>u Sticker Penurunan produksi LSM</t>
  </si>
  <si>
    <t>1100006544</t>
  </si>
  <si>
    <t>20250612</t>
  </si>
  <si>
    <t>Consumable</t>
  </si>
  <si>
    <t>1100006842</t>
  </si>
  <si>
    <t>20250618</t>
  </si>
  <si>
    <t>WE</t>
  </si>
  <si>
    <t>JASA FABRIKASI WALK WAY PLATFORM</t>
  </si>
  <si>
    <t>1200001891</t>
  </si>
  <si>
    <t>20250131</t>
  </si>
  <si>
    <t>BAPP 3/01/2025</t>
  </si>
  <si>
    <t>101030</t>
  </si>
  <si>
    <t>4200002434</t>
  </si>
  <si>
    <t>BP1 Production Division</t>
  </si>
  <si>
    <t>BP1 Production Div</t>
  </si>
  <si>
    <t>LOT</t>
  </si>
  <si>
    <t>1200001655</t>
  </si>
  <si>
    <t>20250128</t>
  </si>
  <si>
    <t>12/01/25</t>
  </si>
  <si>
    <t>4100020723</t>
  </si>
  <si>
    <t>1200001660</t>
  </si>
  <si>
    <t>OUT2501/00615</t>
  </si>
  <si>
    <t>4100020782</t>
  </si>
  <si>
    <t>1200001675</t>
  </si>
  <si>
    <t>240125-02</t>
  </si>
  <si>
    <t>4100020556</t>
  </si>
  <si>
    <t>U CAT HANDRAIL CRANE WH BP1</t>
  </si>
  <si>
    <t>1100000870</t>
  </si>
  <si>
    <t>20250120</t>
  </si>
  <si>
    <t>RIM</t>
  </si>
  <si>
    <t>U Cat stoper dan roll table penurunan prod bp1</t>
  </si>
  <si>
    <t>1100001380</t>
  </si>
  <si>
    <t>20250203</t>
  </si>
  <si>
    <t>CSMC32000000002589</t>
  </si>
  <si>
    <t>PAINT SYNTHETIC - AGE GREEN @4KG</t>
  </si>
  <si>
    <t>1100001385</t>
  </si>
  <si>
    <t>1200001916</t>
  </si>
  <si>
    <t>16/01/25</t>
  </si>
  <si>
    <t>1100001399</t>
  </si>
  <si>
    <t>20250204</t>
  </si>
  <si>
    <t>U cut platefomr walkway bp1</t>
  </si>
  <si>
    <t>1100001479</t>
  </si>
  <si>
    <t>20250205</t>
  </si>
  <si>
    <t>u cat dudukan motoran penurunan prod bp</t>
  </si>
  <si>
    <t>CSMC32000000002591</t>
  </si>
  <si>
    <t>PAINT SYNTHETIC - GREY @4KG</t>
  </si>
  <si>
    <t>U cut plateform walkway bp1</t>
  </si>
  <si>
    <t>Pemasangan walkway BP1</t>
  </si>
  <si>
    <t>1100001497</t>
  </si>
  <si>
    <t>20250206</t>
  </si>
  <si>
    <t>LSBF-2000000021</t>
  </si>
  <si>
    <t>HB-JIS G 3101 SS 400 150X150X12000</t>
  </si>
  <si>
    <t>7100000948</t>
  </si>
  <si>
    <t>UL-RBMF-0000003</t>
  </si>
  <si>
    <t>HB-JIS G 3101 SS 400 150x150x12000-UL</t>
  </si>
  <si>
    <t>1100001498</t>
  </si>
  <si>
    <t>-</t>
  </si>
  <si>
    <t>1100001509</t>
  </si>
  <si>
    <t>1200002394</t>
  </si>
  <si>
    <t>2502038</t>
  </si>
  <si>
    <t>4100020780</t>
  </si>
  <si>
    <t>u ulang dinding roll dan gearbox penurunan prod bp</t>
  </si>
  <si>
    <t>1100001863</t>
  </si>
  <si>
    <t>20250214</t>
  </si>
  <si>
    <t>1200002888</t>
  </si>
  <si>
    <t>20250220</t>
  </si>
  <si>
    <t>0250399</t>
  </si>
  <si>
    <t>4100020781</t>
  </si>
  <si>
    <t>u cat pemasangan walkway di area penurunan prod bp</t>
  </si>
  <si>
    <t>1100002809</t>
  </si>
  <si>
    <t>20250306</t>
  </si>
  <si>
    <t>u membersikan area walkway bp 1</t>
  </si>
  <si>
    <t>CPKC22000000001884</t>
  </si>
  <si>
    <t>RT-SAPU PLASTIK</t>
  </si>
  <si>
    <t>u membersikan area bawah walkway bp 1</t>
  </si>
  <si>
    <t>CPKC22000000001883</t>
  </si>
  <si>
    <t>RT-SAPU LIDI PAKAI GAGANG</t>
  </si>
  <si>
    <t>4</t>
  </si>
  <si>
    <t>u Pemasangan atap fiber di area warehouse bp1 pk2</t>
  </si>
  <si>
    <t>1100003836</t>
  </si>
  <si>
    <t>20250408</t>
  </si>
  <si>
    <t>CSMC32000000000365</t>
  </si>
  <si>
    <t>GRINDING WHEEL 4"(100X2.5X15.88MM) WA60</t>
  </si>
  <si>
    <t>u pemasangan atap fiber wh bp1 pk1 dan pk2</t>
  </si>
  <si>
    <t>1100003917</t>
  </si>
  <si>
    <t>20250411</t>
  </si>
  <si>
    <t>CRANE TADANO</t>
  </si>
  <si>
    <t>1200005926</t>
  </si>
  <si>
    <t>20250425</t>
  </si>
  <si>
    <t>BAPP 16/04/2025</t>
  </si>
  <si>
    <t>4200003068</t>
  </si>
  <si>
    <t>operator</t>
  </si>
  <si>
    <t>solar</t>
  </si>
  <si>
    <t>5</t>
  </si>
  <si>
    <t>u pemasangan atap fiber di area wh pk1. pk2</t>
  </si>
  <si>
    <t>1100004737</t>
  </si>
  <si>
    <t>20250502</t>
  </si>
  <si>
    <t>u perbaikan atap warehouse bp1 area pk1 &amp;pk2 a b</t>
  </si>
  <si>
    <t>1100004764</t>
  </si>
  <si>
    <t>20250503</t>
  </si>
  <si>
    <t>PBNP15000000027118</t>
  </si>
  <si>
    <t>FASTENER/ROOFING-M.5 X 75MM (12X75) (L)</t>
  </si>
  <si>
    <t>u produksi bp1</t>
  </si>
  <si>
    <t>1100005561</t>
  </si>
  <si>
    <t>20250521</t>
  </si>
  <si>
    <t>ROL</t>
  </si>
  <si>
    <t>CSMC32000000003012</t>
  </si>
  <si>
    <t>CARBON FULL RESIN UK.110X300 METER SONY</t>
  </si>
  <si>
    <t>u perbaikan atap seng area bp 1 wh</t>
  </si>
  <si>
    <t>1100005624</t>
  </si>
  <si>
    <t>20250522</t>
  </si>
  <si>
    <t>1200007940</t>
  </si>
  <si>
    <t>20250523</t>
  </si>
  <si>
    <t>SJ-MCM/2505021</t>
  </si>
  <si>
    <t>4100022941</t>
  </si>
  <si>
    <t>1100006151</t>
  </si>
  <si>
    <t>u carbon sticker prod bp1</t>
  </si>
  <si>
    <t>1100006171</t>
  </si>
  <si>
    <t>JV</t>
  </si>
  <si>
    <t>FPA -Reclass missclass sparepart</t>
  </si>
  <si>
    <t>FPA - Reclass Sparepart</t>
  </si>
  <si>
    <t>6200000272</t>
  </si>
  <si>
    <t>20250531</t>
  </si>
  <si>
    <t>FPA - RECLASS</t>
  </si>
  <si>
    <t>u Sticker Penurunan produksi BP1</t>
  </si>
  <si>
    <t>1100006545</t>
  </si>
  <si>
    <t>1100006834</t>
  </si>
  <si>
    <t>1200010548</t>
  </si>
  <si>
    <t>20250626</t>
  </si>
  <si>
    <t>0125</t>
  </si>
  <si>
    <t>4100023431</t>
  </si>
  <si>
    <t>1100000727</t>
  </si>
  <si>
    <t>20250117</t>
  </si>
  <si>
    <t>101010</t>
  </si>
  <si>
    <t>SMS1 Production Division</t>
  </si>
  <si>
    <t>SMS1 Production Div</t>
  </si>
  <si>
    <t>CSMC32000000002596</t>
  </si>
  <si>
    <t>PAINT SYNTHETIC - YELLOW PU @4KG</t>
  </si>
  <si>
    <t>U/ REMARKING GARIS BATAS</t>
  </si>
  <si>
    <t>1100000899</t>
  </si>
  <si>
    <t>20250121</t>
  </si>
  <si>
    <t>1100001266</t>
  </si>
  <si>
    <t>20250130</t>
  </si>
  <si>
    <t>U/FORKLIFT WAREHOUSE SMS1</t>
  </si>
  <si>
    <t>1100001107</t>
  </si>
  <si>
    <t>20250125</t>
  </si>
  <si>
    <t>CCHC12000000000052</t>
  </si>
  <si>
    <t>DIESEL OIL - SOLAR</t>
  </si>
  <si>
    <t>U/ CAT ULANG GARIS DI AREA WAREHOUSE SMS-1</t>
  </si>
  <si>
    <t>1100001075</t>
  </si>
  <si>
    <t>20250124</t>
  </si>
  <si>
    <t>U/ MARKING ULANG GARIS PEMBATAS</t>
  </si>
  <si>
    <t>U/ CAT ULANG GARIS BATAS DAN BETON TIANG</t>
  </si>
  <si>
    <t>1100000998</t>
  </si>
  <si>
    <t>1100000847</t>
  </si>
  <si>
    <t>1100000268</t>
  </si>
  <si>
    <t>CSMC32000000000876</t>
  </si>
  <si>
    <t>BRUSH ROLL 4" TANPA GAGANG</t>
  </si>
  <si>
    <t>1100000164</t>
  </si>
  <si>
    <t>20250108</t>
  </si>
  <si>
    <t>1100000209</t>
  </si>
  <si>
    <t>20250109</t>
  </si>
  <si>
    <t>1100000319</t>
  </si>
  <si>
    <t>20250111</t>
  </si>
  <si>
    <t>CSMC32000000002585</t>
  </si>
  <si>
    <t>PAINT MENY - WHITE @5KG</t>
  </si>
  <si>
    <t>U/ REMARKING GARIS BATAS AREA WAREHOUSE SMS-1</t>
  </si>
  <si>
    <t>U/ KEPERLUAN CLEANING WAREHOUSE SMS-1</t>
  </si>
  <si>
    <t>1100000837</t>
  </si>
  <si>
    <t>CSMC32000000002796</t>
  </si>
  <si>
    <t>DUST MASK -KN 95</t>
  </si>
  <si>
    <t>PAA</t>
  </si>
  <si>
    <t>CSMC32000000000324</t>
  </si>
  <si>
    <t>GLOVE - KOMBINASI LOKAL</t>
  </si>
  <si>
    <t>CSMC32000000000617</t>
  </si>
  <si>
    <t>NYLON ROPES WHITE LOCAL</t>
  </si>
  <si>
    <t>1100000852</t>
  </si>
  <si>
    <t>CSMC32000000000870</t>
  </si>
  <si>
    <t>BRUSH 2" ETERNA</t>
  </si>
  <si>
    <t>1100001465</t>
  </si>
  <si>
    <t>1100001469</t>
  </si>
  <si>
    <t>1100001511</t>
  </si>
  <si>
    <t>U/ MENGECAT AREA OFFICE WAREHOUSE SMS1</t>
  </si>
  <si>
    <t>1100001574</t>
  </si>
  <si>
    <t>Forklift warehouse sms1</t>
  </si>
  <si>
    <t>1100001844</t>
  </si>
  <si>
    <t>1100002063</t>
  </si>
  <si>
    <t>U/ REPAINT WAREHOUSE SMS-1</t>
  </si>
  <si>
    <t>1100002223</t>
  </si>
  <si>
    <t>20250225</t>
  </si>
  <si>
    <t>1100002225</t>
  </si>
  <si>
    <t>REPAINT WAREHOUSE SMS-1</t>
  </si>
  <si>
    <t>1100002432</t>
  </si>
  <si>
    <t>20250228</t>
  </si>
  <si>
    <t>1100002636</t>
  </si>
  <si>
    <t>20250303</t>
  </si>
  <si>
    <t>1100002662</t>
  </si>
  <si>
    <t>20250304</t>
  </si>
  <si>
    <t>1100002748</t>
  </si>
  <si>
    <t>U/FORKLIFT</t>
  </si>
  <si>
    <t>1100002990</t>
  </si>
  <si>
    <t>20250311</t>
  </si>
  <si>
    <t>50800060</t>
  </si>
  <si>
    <t>1200004383</t>
  </si>
  <si>
    <t>20250318</t>
  </si>
  <si>
    <t>084165/03/2025</t>
  </si>
  <si>
    <t>4100021756</t>
  </si>
  <si>
    <t>1100004370</t>
  </si>
  <si>
    <t>20250424</t>
  </si>
  <si>
    <t>CSMC32000000000325</t>
  </si>
  <si>
    <t>GLOVE - KATUN 5 BENANG "KUDA"</t>
  </si>
  <si>
    <t>U/ KEBERSIHAN AREA WAREHOUSE SMS-1</t>
  </si>
  <si>
    <t>U/ FORKLIFT WAREHOUSE SMS-1</t>
  </si>
  <si>
    <t>1100003890</t>
  </si>
  <si>
    <t>20250409</t>
  </si>
  <si>
    <t>U FORKLIFT WAREHOUSE SMS-1</t>
  </si>
  <si>
    <t>1100004213</t>
  </si>
  <si>
    <t>20250422</t>
  </si>
  <si>
    <t>FORKLIFT WAREHOUSE SMS1</t>
  </si>
  <si>
    <t>1100004943</t>
  </si>
  <si>
    <t>20250508</t>
  </si>
  <si>
    <t>WARHOUSE SMS-1</t>
  </si>
  <si>
    <t>1100005425</t>
  </si>
  <si>
    <t>20250517</t>
  </si>
  <si>
    <t>20342</t>
  </si>
  <si>
    <t>CPKC22000000000184</t>
  </si>
  <si>
    <t>RT-KARUNG PLASTIK BEKAS 25 KG</t>
  </si>
  <si>
    <t>U/WAREHOUSE SMS-1</t>
  </si>
  <si>
    <t>1100005606</t>
  </si>
  <si>
    <t>1100005631</t>
  </si>
  <si>
    <t>1200007836</t>
  </si>
  <si>
    <t>08421122/05/2025</t>
  </si>
  <si>
    <t>4100023227</t>
  </si>
  <si>
    <t>50800020</t>
  </si>
  <si>
    <t>1200009699</t>
  </si>
  <si>
    <t>20250616</t>
  </si>
  <si>
    <t>14-06-25</t>
  </si>
  <si>
    <t>4100024183</t>
  </si>
  <si>
    <t>SET</t>
  </si>
  <si>
    <t>1200009703</t>
  </si>
  <si>
    <t>DO/25/06/060</t>
  </si>
  <si>
    <t>4100024184</t>
  </si>
  <si>
    <t>1200001915</t>
  </si>
  <si>
    <t>15/01/25</t>
  </si>
  <si>
    <t>102010</t>
  </si>
  <si>
    <t>4100020728</t>
  </si>
  <si>
    <t>SSC - Production Division</t>
  </si>
  <si>
    <t>SSC - Production Div</t>
  </si>
  <si>
    <t>1200001972</t>
  </si>
  <si>
    <t>01/02/25</t>
  </si>
  <si>
    <t>Variable or fixed cost</t>
  </si>
  <si>
    <t>COGM Mapping</t>
  </si>
  <si>
    <t>Variable</t>
  </si>
  <si>
    <t>Fixed</t>
  </si>
  <si>
    <t>Direct Labor - Fixed</t>
  </si>
  <si>
    <t>Direct Labor - Variable</t>
  </si>
  <si>
    <t>Misc</t>
  </si>
  <si>
    <t>Entertaiment</t>
  </si>
  <si>
    <t>Biaya lain-lain yang tidak termasuk pada kategori biaya tersebut di atas</t>
  </si>
  <si>
    <t>Other expenses not included in the categories mentioned above</t>
  </si>
  <si>
    <t>Periodically calibration for weighbridge</t>
  </si>
  <si>
    <t>Back Up Sirine Alarm 12V High Decibel Active</t>
  </si>
  <si>
    <t>Standby budget if any damaged unit (backup unit)</t>
  </si>
  <si>
    <t>Backup thermal paper printers and backup 2D barcode scanners in case of malfunction</t>
  </si>
  <si>
    <t>Toner Printer Epson Monochrome M1120 &amp; Toner Printer HP LaserJet Pro M12a.</t>
  </si>
  <si>
    <t>The need for trailers for internal verification and cleaning of scales</t>
  </si>
  <si>
    <t>Beautification needs of the weighing building</t>
  </si>
  <si>
    <t>General equipment and safety equipment to support the operation at Warehouse SPC</t>
  </si>
  <si>
    <t>Maintenance of PIUSI Diesl pump</t>
  </si>
  <si>
    <t>Tools and equipment to support the routine activity and handling operation at WH SPC sub SMS1 and GDU</t>
  </si>
  <si>
    <t>Process of loading and unloading consumable materials &amp; spare parts</t>
  </si>
  <si>
    <t>Disposal Material Expired based on stock opname</t>
  </si>
  <si>
    <t>Mini truck for GDU Outbound delivery, Forklift for unloading Consumable material at Sub WH SMS-1</t>
  </si>
  <si>
    <t>ATK</t>
  </si>
  <si>
    <t>Replacement any abnormality or damage or broken part</t>
  </si>
  <si>
    <t>For forklift &amp; bentor</t>
  </si>
  <si>
    <t>For routine services of Bentor motorcycle</t>
  </si>
  <si>
    <t>For internship employee</t>
  </si>
  <si>
    <t>APD</t>
  </si>
  <si>
    <t>signage warehouse banner in BP, LSM and SSC</t>
  </si>
  <si>
    <t>Internal delivery</t>
  </si>
  <si>
    <t>Mohon kirimkan Lembar kerja anggaran tahunan (master budget template) yang telah disetujui ke Budget&amp;Analysis Departemen paling lambat tanggal 05 September 2025.</t>
  </si>
  <si>
    <t>Project Management</t>
  </si>
  <si>
    <t>IT Business Solution</t>
  </si>
  <si>
    <t>IT Analytics</t>
  </si>
  <si>
    <t>- Column 3</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</si>
  <si>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</si>
  <si>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</si>
  <si>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</si>
  <si>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</si>
  <si>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</si>
  <si>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</si>
  <si>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</si>
  <si>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</si>
  <si>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Plant Manager</t>
  </si>
  <si>
    <t>(Surasak Poonkerd)</t>
  </si>
  <si>
    <t>CSR &amp; COMMUNITY DEVELOPMENT</t>
  </si>
  <si>
    <t>GOVERNMENT RELATIONS &amp; EXTERNAL ACTIVITIES</t>
  </si>
  <si>
    <t>GOVERNMENT PROJECT - CONSULTING SERVICES</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</si>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</sst>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s>
  <fonts count="55" x14ac:knownFonts="1">
    <font>
      <sz val="11"/>
      <color theme="1"/>
      <name val="Calibri"/>
      <family val="2"/>
      <scheme val="minor"/>
    </font>
    <font>
      <sz val="11"/>
      <color theme="1"/>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12"/>
      <name val="Aptos Narrow"/>
      <family val="2"/>
    </font>
    <font>
      <b/>
      <sz val="24"/>
      <color theme="1"/>
      <name val="Aptos Narrow"/>
      <family val="2"/>
    </font>
    <font>
      <b/>
      <sz val="11"/>
      <color rgb="FFFF0000"/>
      <name val="Aptos Narrow"/>
      <family val="2"/>
    </font>
    <font>
      <i/>
      <sz val="11"/>
      <color rgb="FF000000"/>
      <name val="Aptos Narrow"/>
      <family val="2"/>
    </font>
    <font>
      <b/>
      <sz val="11"/>
      <color rgb="FF000000"/>
      <name val="Aptos Narrow"/>
      <family val="2"/>
    </font>
    <font>
      <sz val="9"/>
      <color rgb="FFFFFFFF"/>
      <name val="Aptos Narrow"/>
      <family val="2"/>
    </font>
    <font>
      <sz val="11"/>
      <color rgb="FFFF0000"/>
      <name val="Aptos Narrow"/>
      <family val="2"/>
    </font>
    <font>
      <sz val="11"/>
      <color theme="0"/>
      <name val="Aptos Narrow"/>
      <family val="2"/>
    </font>
    <font>
      <b/>
      <i/>
      <u/>
      <sz val="11"/>
      <color rgb="FF339966"/>
      <name val="Aptos Narrow"/>
      <family val="2"/>
    </font>
  </fonts>
  <fills count="26">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0" tint="-0.249977111117893"/>
        <bgColor rgb="FFC00000"/>
      </patternFill>
    </fill>
    <fill>
      <patternFill patternType="solid">
        <fgColor rgb="FF33996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rgb="FF00B050"/>
        <bgColor indexed="64"/>
      </patternFill>
    </fill>
  </fills>
  <borders count="86">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hair">
        <color auto="1"/>
      </left>
      <right/>
      <top/>
      <bottom style="hair">
        <color auto="1"/>
      </bottom>
      <diagonal/>
    </border>
    <border>
      <left style="hair">
        <color auto="1"/>
      </left>
      <right style="hair">
        <color auto="1"/>
      </right>
      <top style="hair">
        <color auto="1"/>
      </top>
      <bottom style="thin">
        <color auto="1"/>
      </bottom>
      <diagonal/>
    </border>
    <border>
      <left/>
      <right style="hair">
        <color indexed="64"/>
      </right>
      <top/>
      <bottom/>
      <diagonal/>
    </border>
    <border>
      <left style="thin">
        <color auto="1"/>
      </left>
      <right style="hair">
        <color auto="1"/>
      </right>
      <top/>
      <bottom style="hair">
        <color auto="1"/>
      </bottom>
      <diagonal/>
    </border>
    <border>
      <left style="hair">
        <color auto="1"/>
      </left>
      <right style="hair">
        <color auto="1"/>
      </right>
      <top/>
      <bottom/>
      <diagonal/>
    </border>
    <border>
      <left style="hair">
        <color auto="1"/>
      </left>
      <right/>
      <top/>
      <bottom/>
      <diagonal/>
    </border>
    <border>
      <left style="hair">
        <color auto="1"/>
      </left>
      <right style="thin">
        <color auto="1"/>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
      <left style="thin">
        <color auto="1"/>
      </left>
      <right/>
      <top style="dotted">
        <color auto="1"/>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2">
    <xf numFmtId="0" fontId="0" fillId="0" borderId="0"/>
    <xf numFmtId="0" fontId="2" fillId="0" borderId="0"/>
    <xf numFmtId="0" fontId="18"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0" fontId="27" fillId="0" borderId="0" applyNumberFormat="0" applyFill="0" applyBorder="0" applyAlignment="0" applyProtection="0"/>
    <xf numFmtId="164" fontId="1" fillId="0" borderId="0" applyFont="0" applyFill="0" applyBorder="0" applyAlignment="0" applyProtection="0"/>
  </cellStyleXfs>
  <cellXfs count="429">
    <xf numFmtId="0" fontId="0" fillId="0" borderId="0" xfId="0"/>
    <xf numFmtId="0" fontId="2" fillId="0" borderId="0" xfId="1"/>
    <xf numFmtId="0" fontId="3" fillId="0" borderId="0" xfId="1" applyFont="1"/>
    <xf numFmtId="0" fontId="4" fillId="0" borderId="0" xfId="1" applyFont="1"/>
    <xf numFmtId="0" fontId="5" fillId="0" borderId="1" xfId="1" applyFont="1" applyBorder="1"/>
    <xf numFmtId="0" fontId="2" fillId="0" borderId="1" xfId="1" applyBorder="1"/>
    <xf numFmtId="0" fontId="6" fillId="0" borderId="1" xfId="1" applyFont="1" applyBorder="1"/>
    <xf numFmtId="0" fontId="7" fillId="0" borderId="0" xfId="1" applyFont="1"/>
    <xf numFmtId="0" fontId="8" fillId="0" borderId="0" xfId="1" applyFont="1"/>
    <xf numFmtId="0" fontId="9" fillId="0" borderId="0" xfId="1" applyFont="1"/>
    <xf numFmtId="0" fontId="2" fillId="0" borderId="0" xfId="1" applyAlignment="1">
      <alignment horizontal="right"/>
    </xf>
    <xf numFmtId="0" fontId="2" fillId="0" borderId="0" xfId="1" quotePrefix="1"/>
    <xf numFmtId="0" fontId="15" fillId="0" borderId="0" xfId="1" applyFont="1"/>
    <xf numFmtId="0" fontId="16" fillId="0" borderId="0" xfId="1" applyFont="1"/>
    <xf numFmtId="0" fontId="17" fillId="2" borderId="0" xfId="1" applyFont="1" applyFill="1" applyAlignment="1">
      <alignment horizontal="left" vertical="center"/>
    </xf>
    <xf numFmtId="0" fontId="19" fillId="2" borderId="0" xfId="2" applyFont="1" applyFill="1" applyAlignment="1">
      <alignment horizontal="center" vertical="center"/>
    </xf>
    <xf numFmtId="0" fontId="16" fillId="2" borderId="0" xfId="1" applyFont="1" applyFill="1"/>
    <xf numFmtId="0" fontId="14" fillId="3" borderId="2" xfId="1" applyFont="1" applyFill="1" applyBorder="1"/>
    <xf numFmtId="0" fontId="2" fillId="3" borderId="2" xfId="1" applyFill="1" applyBorder="1"/>
    <xf numFmtId="0" fontId="14" fillId="3" borderId="2" xfId="1" applyFont="1" applyFill="1" applyBorder="1" applyAlignment="1">
      <alignment vertical="top"/>
    </xf>
    <xf numFmtId="0" fontId="2" fillId="3" borderId="2" xfId="1" applyFill="1" applyBorder="1" applyAlignment="1">
      <alignment vertical="top" wrapText="1"/>
    </xf>
    <xf numFmtId="0" fontId="21" fillId="4" borderId="2" xfId="1" applyFont="1" applyFill="1" applyBorder="1" applyAlignment="1">
      <alignment horizontal="center"/>
    </xf>
    <xf numFmtId="0" fontId="22" fillId="0" borderId="2" xfId="1" applyFont="1" applyBorder="1"/>
    <xf numFmtId="0" fontId="22" fillId="0" borderId="4" xfId="1" applyFont="1" applyBorder="1"/>
    <xf numFmtId="0" fontId="20" fillId="0" borderId="0" xfId="1" applyFont="1"/>
    <xf numFmtId="0" fontId="21" fillId="4" borderId="6" xfId="1" applyFont="1" applyFill="1" applyBorder="1" applyAlignment="1">
      <alignment horizontal="center"/>
    </xf>
    <xf numFmtId="0" fontId="21" fillId="4" borderId="5" xfId="1" applyFont="1" applyFill="1" applyBorder="1" applyAlignment="1">
      <alignment horizontal="center"/>
    </xf>
    <xf numFmtId="0" fontId="23" fillId="0" borderId="8" xfId="1" applyFont="1" applyBorder="1" applyAlignment="1">
      <alignment vertical="center"/>
    </xf>
    <xf numFmtId="0" fontId="23" fillId="0" borderId="9" xfId="1" applyFont="1" applyBorder="1" applyAlignment="1">
      <alignment vertical="center"/>
    </xf>
    <xf numFmtId="0" fontId="23" fillId="0" borderId="11" xfId="1" applyFont="1" applyBorder="1" applyAlignment="1">
      <alignment vertical="center"/>
    </xf>
    <xf numFmtId="0" fontId="23" fillId="0" borderId="12" xfId="1" applyFont="1" applyBorder="1" applyAlignment="1">
      <alignment vertical="center" wrapText="1"/>
    </xf>
    <xf numFmtId="0" fontId="23" fillId="0" borderId="14" xfId="1" applyFont="1" applyBorder="1" applyAlignment="1">
      <alignment vertical="center"/>
    </xf>
    <xf numFmtId="0" fontId="23" fillId="0" borderId="15" xfId="1" applyFont="1" applyBorder="1" applyAlignment="1">
      <alignment vertical="center" wrapText="1"/>
    </xf>
    <xf numFmtId="0" fontId="23" fillId="0" borderId="16" xfId="1" applyFont="1" applyBorder="1" applyAlignment="1">
      <alignment horizontal="center" vertical="center"/>
    </xf>
    <xf numFmtId="0" fontId="23" fillId="0" borderId="17" xfId="1" applyFont="1" applyBorder="1" applyAlignment="1">
      <alignment vertical="center"/>
    </xf>
    <xf numFmtId="0" fontId="23" fillId="0" borderId="18" xfId="1" applyFont="1" applyBorder="1" applyAlignment="1">
      <alignment vertical="center" wrapText="1"/>
    </xf>
    <xf numFmtId="0" fontId="20" fillId="0" borderId="3" xfId="1" applyFont="1" applyBorder="1" applyAlignment="1">
      <alignment horizontal="left" vertical="top" wrapText="1"/>
    </xf>
    <xf numFmtId="0" fontId="11" fillId="0" borderId="2" xfId="3" applyFont="1" applyBorder="1" applyAlignment="1">
      <alignment vertical="top" wrapText="1"/>
    </xf>
    <xf numFmtId="0" fontId="2" fillId="0" borderId="2" xfId="5" applyNumberFormat="1" applyFont="1" applyFill="1" applyBorder="1" applyAlignment="1" applyProtection="1">
      <alignment vertical="top" wrapText="1"/>
      <protection locked="0"/>
    </xf>
    <xf numFmtId="0" fontId="2" fillId="0" borderId="2" xfId="3" applyBorder="1" applyAlignment="1" applyProtection="1">
      <alignment vertical="top" wrapText="1"/>
      <protection locked="0"/>
    </xf>
    <xf numFmtId="0" fontId="11" fillId="0" borderId="2" xfId="5" applyNumberFormat="1" applyFont="1" applyFill="1" applyBorder="1" applyAlignment="1">
      <alignment vertical="top"/>
    </xf>
    <xf numFmtId="0" fontId="2" fillId="0" borderId="0" xfId="1" applyAlignment="1">
      <alignment vertical="top"/>
    </xf>
    <xf numFmtId="0" fontId="11" fillId="9" borderId="2" xfId="5" applyNumberFormat="1" applyFont="1" applyFill="1" applyBorder="1" applyAlignment="1">
      <alignment vertical="top"/>
    </xf>
    <xf numFmtId="0" fontId="2" fillId="9" borderId="2" xfId="3" applyFill="1" applyBorder="1" applyAlignment="1" applyProtection="1">
      <alignment vertical="top" wrapText="1"/>
      <protection locked="0"/>
    </xf>
    <xf numFmtId="0" fontId="0" fillId="0" borderId="2" xfId="0" applyBorder="1" applyAlignment="1">
      <alignment vertical="top"/>
    </xf>
    <xf numFmtId="0" fontId="23" fillId="0" borderId="36" xfId="1" applyFont="1" applyBorder="1" applyAlignment="1">
      <alignment vertical="center"/>
    </xf>
    <xf numFmtId="0" fontId="23" fillId="0" borderId="37" xfId="1" applyFont="1" applyBorder="1" applyAlignment="1">
      <alignment vertical="center" wrapText="1"/>
    </xf>
    <xf numFmtId="0" fontId="23" fillId="0" borderId="11" xfId="1" applyFont="1" applyBorder="1" applyAlignment="1">
      <alignment vertical="center" wrapText="1"/>
    </xf>
    <xf numFmtId="0" fontId="23" fillId="0" borderId="17" xfId="1" applyFont="1" applyBorder="1" applyAlignment="1">
      <alignment horizontal="center" vertical="center"/>
    </xf>
    <xf numFmtId="0" fontId="24" fillId="0" borderId="2" xfId="0" applyFont="1" applyBorder="1" applyAlignment="1">
      <alignment horizontal="left"/>
    </xf>
    <xf numFmtId="0" fontId="22" fillId="0" borderId="2" xfId="1" applyFont="1" applyBorder="1" applyAlignment="1">
      <alignment horizontal="left"/>
    </xf>
    <xf numFmtId="0" fontId="19" fillId="2" borderId="0" xfId="2" applyFont="1" applyFill="1" applyAlignment="1" applyProtection="1">
      <alignment horizontal="center" vertical="center"/>
    </xf>
    <xf numFmtId="0" fontId="11" fillId="0" borderId="2" xfId="3" applyFont="1" applyBorder="1" applyAlignment="1">
      <alignment horizontal="left" vertical="top" wrapText="1"/>
    </xf>
    <xf numFmtId="0" fontId="2" fillId="0" borderId="2" xfId="3" applyBorder="1" applyAlignment="1">
      <alignment horizontal="left" wrapText="1"/>
    </xf>
    <xf numFmtId="0" fontId="2" fillId="0" borderId="2" xfId="3" applyBorder="1" applyAlignment="1">
      <alignment horizontal="left" vertical="top" wrapText="1"/>
    </xf>
    <xf numFmtId="0" fontId="11" fillId="0" borderId="2" xfId="5" applyNumberFormat="1" applyFont="1" applyFill="1" applyBorder="1" applyAlignment="1" applyProtection="1">
      <alignment horizontal="left" vertical="center"/>
    </xf>
    <xf numFmtId="0" fontId="2" fillId="0" borderId="2" xfId="5" applyNumberFormat="1" applyFont="1" applyFill="1" applyBorder="1" applyAlignment="1" applyProtection="1">
      <alignment horizontal="left"/>
    </xf>
    <xf numFmtId="0" fontId="2" fillId="0" borderId="2" xfId="5" applyNumberFormat="1" applyFont="1" applyFill="1" applyBorder="1" applyAlignment="1" applyProtection="1">
      <alignment horizontal="left" vertical="top" wrapText="1"/>
    </xf>
    <xf numFmtId="0" fontId="26" fillId="16" borderId="38" xfId="1" applyFont="1" applyFill="1" applyBorder="1" applyAlignment="1">
      <alignment horizontal="left" vertical="center"/>
    </xf>
    <xf numFmtId="0" fontId="26" fillId="16" borderId="39" xfId="1" applyFont="1" applyFill="1" applyBorder="1" applyAlignment="1">
      <alignment horizontal="left" vertical="center"/>
    </xf>
    <xf numFmtId="0" fontId="23" fillId="0" borderId="7" xfId="1" applyFont="1" applyBorder="1" applyAlignment="1">
      <alignment horizontal="center" vertical="center"/>
    </xf>
    <xf numFmtId="0" fontId="23" fillId="0" borderId="10" xfId="1" applyFont="1" applyBorder="1" applyAlignment="1">
      <alignment horizontal="center" vertical="center"/>
    </xf>
    <xf numFmtId="0" fontId="23" fillId="0" borderId="13" xfId="1" applyFont="1" applyBorder="1" applyAlignment="1">
      <alignment horizontal="center" vertical="center"/>
    </xf>
    <xf numFmtId="0" fontId="23" fillId="0" borderId="15" xfId="1" applyFont="1" applyBorder="1" applyAlignment="1">
      <alignment vertical="center"/>
    </xf>
    <xf numFmtId="0" fontId="26" fillId="16" borderId="6" xfId="1" applyFont="1" applyFill="1" applyBorder="1" applyAlignment="1">
      <alignment horizontal="left" vertical="center"/>
    </xf>
    <xf numFmtId="0" fontId="26" fillId="16" borderId="33" xfId="1" applyFont="1" applyFill="1" applyBorder="1" applyAlignment="1">
      <alignment horizontal="left" vertical="center"/>
    </xf>
    <xf numFmtId="0" fontId="26" fillId="16" borderId="5" xfId="1" applyFont="1" applyFill="1" applyBorder="1" applyAlignment="1">
      <alignment horizontal="left" vertical="center"/>
    </xf>
    <xf numFmtId="0" fontId="23" fillId="0" borderId="0" xfId="1" applyFont="1" applyAlignment="1">
      <alignment horizontal="center" vertical="center"/>
    </xf>
    <xf numFmtId="0" fontId="23" fillId="0" borderId="0" xfId="1" applyFont="1" applyAlignment="1">
      <alignment vertical="center"/>
    </xf>
    <xf numFmtId="0" fontId="23" fillId="0" borderId="0" xfId="1" applyFont="1" applyAlignment="1">
      <alignment vertical="center" wrapText="1"/>
    </xf>
    <xf numFmtId="1" fontId="9" fillId="17" borderId="2" xfId="4" applyNumberFormat="1" applyFont="1" applyFill="1" applyBorder="1" applyAlignment="1" applyProtection="1">
      <alignment horizontal="left" vertical="top" wrapText="1"/>
    </xf>
    <xf numFmtId="0" fontId="2" fillId="7" borderId="2" xfId="3" applyFill="1" applyBorder="1" applyAlignment="1">
      <alignment horizontal="left" wrapText="1"/>
    </xf>
    <xf numFmtId="1" fontId="9" fillId="17" borderId="2" xfId="4" applyNumberFormat="1" applyFont="1" applyFill="1" applyBorder="1" applyAlignment="1" applyProtection="1">
      <alignment vertical="top" wrapText="1"/>
    </xf>
    <xf numFmtId="0" fontId="2" fillId="7" borderId="2" xfId="3" applyFill="1" applyBorder="1" applyAlignment="1" applyProtection="1">
      <alignment vertical="top" wrapText="1"/>
      <protection locked="0"/>
    </xf>
    <xf numFmtId="0" fontId="28" fillId="0" borderId="0" xfId="1" applyFont="1"/>
    <xf numFmtId="0" fontId="29" fillId="0" borderId="0" xfId="1" applyFont="1"/>
    <xf numFmtId="0" fontId="30" fillId="0" borderId="0" xfId="1" applyFont="1"/>
    <xf numFmtId="0" fontId="31" fillId="0" borderId="1" xfId="1" applyFont="1" applyBorder="1"/>
    <xf numFmtId="0" fontId="29" fillId="0" borderId="1" xfId="1" applyFont="1" applyBorder="1"/>
    <xf numFmtId="0" fontId="32" fillId="0" borderId="1" xfId="1" applyFont="1" applyBorder="1"/>
    <xf numFmtId="0" fontId="33" fillId="0" borderId="0" xfId="1" applyFont="1"/>
    <xf numFmtId="0" fontId="34" fillId="0" borderId="0" xfId="1" applyFont="1"/>
    <xf numFmtId="0" fontId="35" fillId="0" borderId="0" xfId="1" applyFont="1"/>
    <xf numFmtId="0" fontId="29" fillId="0" borderId="0" xfId="1" applyFont="1" applyAlignment="1">
      <alignment horizontal="right"/>
    </xf>
    <xf numFmtId="0" fontId="29" fillId="0" borderId="0" xfId="1" quotePrefix="1" applyFont="1"/>
    <xf numFmtId="0" fontId="41" fillId="5" borderId="0" xfId="1" applyFont="1" applyFill="1"/>
    <xf numFmtId="0" fontId="42" fillId="18" borderId="2" xfId="1" applyFont="1" applyFill="1" applyBorder="1"/>
    <xf numFmtId="0" fontId="29" fillId="0" borderId="2" xfId="1" applyFont="1" applyBorder="1"/>
    <xf numFmtId="0" fontId="42" fillId="18" borderId="2" xfId="1" applyFont="1" applyFill="1" applyBorder="1" applyAlignment="1">
      <alignment vertical="top"/>
    </xf>
    <xf numFmtId="0" fontId="29" fillId="0" borderId="2" xfId="1" applyFont="1" applyBorder="1" applyAlignment="1">
      <alignment vertical="top" wrapText="1"/>
    </xf>
    <xf numFmtId="0" fontId="40" fillId="0" borderId="3" xfId="1" applyFont="1" applyBorder="1" applyAlignment="1">
      <alignment horizontal="left" vertical="top" wrapText="1"/>
    </xf>
    <xf numFmtId="0" fontId="42" fillId="18" borderId="2" xfId="1" applyFont="1" applyFill="1" applyBorder="1" applyAlignment="1">
      <alignment horizontal="center"/>
    </xf>
    <xf numFmtId="0" fontId="29" fillId="0" borderId="2" xfId="1" applyFont="1" applyBorder="1" applyAlignment="1">
      <alignment horizontal="left"/>
    </xf>
    <xf numFmtId="0" fontId="29" fillId="0" borderId="4" xfId="1" applyFont="1" applyBorder="1"/>
    <xf numFmtId="0" fontId="43" fillId="0" borderId="0" xfId="1" applyFont="1"/>
    <xf numFmtId="0" fontId="37" fillId="0" borderId="2" xfId="3" applyFont="1" applyBorder="1" applyAlignment="1">
      <alignment horizontal="left" vertical="top" wrapText="1"/>
    </xf>
    <xf numFmtId="0" fontId="29" fillId="0" borderId="2" xfId="3" applyFont="1" applyBorder="1" applyAlignment="1">
      <alignment horizontal="left" vertical="top" wrapText="1"/>
    </xf>
    <xf numFmtId="0" fontId="29" fillId="0" borderId="2" xfId="3" applyFont="1" applyBorder="1" applyAlignment="1">
      <alignment horizontal="left" wrapText="1"/>
    </xf>
    <xf numFmtId="0" fontId="37" fillId="0" borderId="4" xfId="3" applyFont="1" applyBorder="1" applyAlignment="1">
      <alignment horizontal="left" vertical="top" wrapText="1"/>
    </xf>
    <xf numFmtId="0" fontId="29" fillId="0" borderId="4" xfId="3" applyFont="1" applyBorder="1" applyAlignment="1">
      <alignment horizontal="left" wrapText="1"/>
    </xf>
    <xf numFmtId="0" fontId="37" fillId="0" borderId="20" xfId="3" applyFont="1" applyBorder="1" applyAlignment="1">
      <alignment horizontal="left" vertical="top" wrapText="1"/>
    </xf>
    <xf numFmtId="0" fontId="29" fillId="0" borderId="4" xfId="3" applyFont="1" applyBorder="1" applyAlignment="1">
      <alignment horizontal="left" vertical="top" wrapText="1"/>
    </xf>
    <xf numFmtId="0" fontId="37" fillId="0" borderId="16" xfId="3" applyFont="1" applyBorder="1" applyAlignment="1">
      <alignment horizontal="left" vertical="top" wrapText="1"/>
    </xf>
    <xf numFmtId="0" fontId="29" fillId="0" borderId="17" xfId="3" applyFont="1" applyBorder="1" applyAlignment="1">
      <alignment horizontal="left" vertical="top" wrapText="1"/>
    </xf>
    <xf numFmtId="0" fontId="37" fillId="0" borderId="17" xfId="3" applyFont="1" applyBorder="1" applyAlignment="1">
      <alignment horizontal="left" vertical="top" wrapText="1"/>
    </xf>
    <xf numFmtId="0" fontId="29" fillId="0" borderId="17" xfId="3" applyFont="1" applyBorder="1" applyAlignment="1">
      <alignment horizontal="left" wrapText="1"/>
    </xf>
    <xf numFmtId="0" fontId="37" fillId="19" borderId="2" xfId="3" quotePrefix="1" applyFont="1" applyFill="1" applyBorder="1" applyAlignment="1">
      <alignment horizontal="left" vertical="top" wrapText="1" indent="2"/>
    </xf>
    <xf numFmtId="0" fontId="29" fillId="19" borderId="2" xfId="3" applyFont="1" applyFill="1" applyBorder="1" applyAlignment="1">
      <alignment horizontal="left" wrapText="1"/>
    </xf>
    <xf numFmtId="0" fontId="37" fillId="0" borderId="2" xfId="5" applyNumberFormat="1" applyFont="1" applyFill="1" applyBorder="1" applyAlignment="1" applyProtection="1">
      <alignment horizontal="left" vertical="center"/>
    </xf>
    <xf numFmtId="0" fontId="29" fillId="0" borderId="2" xfId="5" applyNumberFormat="1" applyFont="1" applyFill="1" applyBorder="1" applyAlignment="1" applyProtection="1">
      <alignment horizontal="left"/>
    </xf>
    <xf numFmtId="0" fontId="37" fillId="0" borderId="2" xfId="5" applyNumberFormat="1" applyFont="1" applyFill="1" applyBorder="1" applyAlignment="1" applyProtection="1">
      <alignment horizontal="left" vertical="center" wrapText="1"/>
    </xf>
    <xf numFmtId="0" fontId="40" fillId="0" borderId="0" xfId="1" applyFont="1"/>
    <xf numFmtId="0" fontId="42" fillId="18" borderId="6" xfId="1" applyFont="1" applyFill="1" applyBorder="1" applyAlignment="1">
      <alignment horizontal="center"/>
    </xf>
    <xf numFmtId="0" fontId="42" fillId="18" borderId="5" xfId="1" applyFont="1" applyFill="1" applyBorder="1" applyAlignment="1">
      <alignment horizontal="center"/>
    </xf>
    <xf numFmtId="0" fontId="42" fillId="0" borderId="0" xfId="1" applyFont="1" applyAlignment="1">
      <alignment horizontal="center"/>
    </xf>
    <xf numFmtId="0" fontId="45" fillId="20" borderId="38" xfId="1" applyFont="1" applyFill="1" applyBorder="1" applyAlignment="1">
      <alignment horizontal="left" vertical="center"/>
    </xf>
    <xf numFmtId="0" fontId="38" fillId="20" borderId="39" xfId="1" applyFont="1" applyFill="1" applyBorder="1" applyAlignment="1">
      <alignment horizontal="left" vertical="center"/>
    </xf>
    <xf numFmtId="0" fontId="38" fillId="20" borderId="47" xfId="1" applyFont="1" applyFill="1" applyBorder="1" applyAlignment="1">
      <alignment horizontal="left" vertical="center"/>
    </xf>
    <xf numFmtId="0" fontId="38" fillId="0" borderId="0" xfId="1" applyFont="1" applyAlignment="1">
      <alignment horizontal="left" vertical="center"/>
    </xf>
    <xf numFmtId="0" fontId="29" fillId="0" borderId="7" xfId="1" applyFont="1" applyBorder="1" applyAlignment="1">
      <alignment horizontal="center" vertical="center"/>
    </xf>
    <xf numFmtId="0" fontId="29" fillId="0" borderId="8" xfId="1" applyFont="1" applyBorder="1" applyAlignment="1">
      <alignment vertical="center"/>
    </xf>
    <xf numFmtId="0" fontId="29" fillId="0" borderId="9" xfId="1" applyFont="1" applyBorder="1" applyAlignment="1">
      <alignment vertical="center" wrapText="1"/>
    </xf>
    <xf numFmtId="0" fontId="29" fillId="0" borderId="0" xfId="1" applyFont="1" applyAlignment="1">
      <alignment vertical="center"/>
    </xf>
    <xf numFmtId="0" fontId="29" fillId="0" borderId="10" xfId="1" applyFont="1" applyBorder="1" applyAlignment="1">
      <alignment horizontal="center" vertical="center"/>
    </xf>
    <xf numFmtId="0" fontId="29" fillId="0" borderId="11" xfId="1" applyFont="1" applyBorder="1" applyAlignment="1">
      <alignment vertical="center"/>
    </xf>
    <xf numFmtId="0" fontId="29" fillId="0" borderId="12" xfId="1" applyFont="1" applyBorder="1" applyAlignment="1">
      <alignment vertical="center" wrapText="1"/>
    </xf>
    <xf numFmtId="0" fontId="29" fillId="0" borderId="0" xfId="1" applyFont="1" applyAlignment="1">
      <alignment vertical="center" wrapText="1"/>
    </xf>
    <xf numFmtId="0" fontId="29" fillId="0" borderId="13" xfId="1" applyFont="1" applyBorder="1" applyAlignment="1">
      <alignment horizontal="center" vertical="center"/>
    </xf>
    <xf numFmtId="0" fontId="29" fillId="0" borderId="14" xfId="1" applyFont="1" applyBorder="1" applyAlignment="1">
      <alignment vertical="center"/>
    </xf>
    <xf numFmtId="0" fontId="29" fillId="0" borderId="15" xfId="1" applyFont="1" applyBorder="1" applyAlignment="1">
      <alignment vertical="center" wrapText="1"/>
    </xf>
    <xf numFmtId="0" fontId="45" fillId="20" borderId="6" xfId="1" applyFont="1" applyFill="1" applyBorder="1" applyAlignment="1">
      <alignment horizontal="left" vertical="center"/>
    </xf>
    <xf numFmtId="0" fontId="38" fillId="20" borderId="33" xfId="1" applyFont="1" applyFill="1" applyBorder="1" applyAlignment="1">
      <alignment horizontal="left" vertical="center"/>
    </xf>
    <xf numFmtId="0" fontId="38" fillId="20" borderId="5" xfId="1" applyFont="1" applyFill="1" applyBorder="1" applyAlignment="1">
      <alignment horizontal="left" vertical="center"/>
    </xf>
    <xf numFmtId="0" fontId="29" fillId="0" borderId="16" xfId="1" applyFont="1" applyBorder="1" applyAlignment="1">
      <alignment horizontal="center" vertical="center"/>
    </xf>
    <xf numFmtId="0" fontId="29" fillId="0" borderId="17" xfId="1" applyFont="1" applyBorder="1" applyAlignment="1">
      <alignment vertical="center"/>
    </xf>
    <xf numFmtId="0" fontId="29" fillId="0" borderId="18" xfId="1" applyFont="1" applyBorder="1" applyAlignment="1">
      <alignment vertical="center" wrapText="1"/>
    </xf>
    <xf numFmtId="0" fontId="46" fillId="20" borderId="0" xfId="1" applyFont="1" applyFill="1"/>
    <xf numFmtId="0" fontId="42" fillId="18" borderId="2" xfId="3" applyFont="1" applyFill="1" applyBorder="1" applyAlignment="1">
      <alignment vertical="top" wrapText="1"/>
    </xf>
    <xf numFmtId="0" fontId="29" fillId="0" borderId="2" xfId="3" applyFont="1" applyBorder="1" applyAlignment="1" applyProtection="1">
      <alignment vertical="top" wrapText="1"/>
      <protection locked="0"/>
    </xf>
    <xf numFmtId="1" fontId="42" fillId="21" borderId="2" xfId="4" applyNumberFormat="1" applyFont="1" applyFill="1" applyBorder="1" applyAlignment="1" applyProtection="1">
      <alignment vertical="top" wrapText="1"/>
    </xf>
    <xf numFmtId="0" fontId="29" fillId="7" borderId="2" xfId="3" applyFont="1" applyFill="1" applyBorder="1" applyAlignment="1" applyProtection="1">
      <alignment vertical="top" wrapText="1"/>
      <protection locked="0"/>
    </xf>
    <xf numFmtId="0" fontId="42" fillId="18" borderId="2" xfId="5" applyNumberFormat="1" applyFont="1" applyFill="1" applyBorder="1" applyAlignment="1">
      <alignment vertical="top"/>
    </xf>
    <xf numFmtId="0" fontId="29" fillId="0" borderId="2" xfId="5" applyNumberFormat="1" applyFont="1" applyFill="1" applyBorder="1" applyAlignment="1" applyProtection="1">
      <alignment vertical="top" wrapText="1"/>
      <protection locked="0"/>
    </xf>
    <xf numFmtId="0" fontId="46" fillId="8" borderId="0" xfId="1" applyFont="1" applyFill="1"/>
    <xf numFmtId="0" fontId="29" fillId="0" borderId="11" xfId="1" applyFont="1" applyBorder="1" applyAlignment="1">
      <alignment vertical="center" wrapText="1"/>
    </xf>
    <xf numFmtId="0" fontId="29" fillId="0" borderId="36" xfId="1" applyFont="1" applyBorder="1" applyAlignment="1">
      <alignment vertical="center"/>
    </xf>
    <xf numFmtId="0" fontId="29" fillId="0" borderId="37" xfId="1" applyFont="1" applyBorder="1" applyAlignment="1">
      <alignment vertical="center" wrapText="1"/>
    </xf>
    <xf numFmtId="0" fontId="29" fillId="0" borderId="17" xfId="1" applyFont="1" applyBorder="1" applyAlignment="1">
      <alignment horizontal="center" vertical="center"/>
    </xf>
    <xf numFmtId="0" fontId="37" fillId="0" borderId="0" xfId="1" applyFont="1"/>
    <xf numFmtId="0" fontId="42" fillId="18" borderId="33" xfId="1" applyFont="1" applyFill="1" applyBorder="1" applyAlignment="1">
      <alignment horizontal="center"/>
    </xf>
    <xf numFmtId="0" fontId="42" fillId="18" borderId="22" xfId="1" applyFont="1" applyFill="1" applyBorder="1" applyAlignment="1">
      <alignment horizontal="center"/>
    </xf>
    <xf numFmtId="0" fontId="24" fillId="0" borderId="0" xfId="0" applyFont="1" applyAlignment="1">
      <alignment horizontal="center" vertical="center"/>
    </xf>
    <xf numFmtId="0" fontId="29" fillId="0" borderId="61" xfId="1" applyFont="1" applyBorder="1" applyAlignment="1">
      <alignment vertical="center"/>
    </xf>
    <xf numFmtId="0" fontId="29" fillId="0" borderId="22" xfId="1" applyFont="1" applyBorder="1" applyAlignment="1">
      <alignment vertical="center"/>
    </xf>
    <xf numFmtId="0" fontId="29" fillId="0" borderId="62" xfId="1" applyFont="1" applyBorder="1" applyAlignment="1">
      <alignment vertical="center" wrapText="1"/>
    </xf>
    <xf numFmtId="0" fontId="29" fillId="0" borderId="63" xfId="1" applyFont="1" applyBorder="1" applyAlignment="1">
      <alignment vertical="center" wrapText="1"/>
    </xf>
    <xf numFmtId="0" fontId="40" fillId="20" borderId="0" xfId="0" applyFont="1" applyFill="1"/>
    <xf numFmtId="0" fontId="29" fillId="20" borderId="0" xfId="0" applyFont="1" applyFill="1"/>
    <xf numFmtId="0" fontId="29" fillId="20" borderId="0" xfId="0" applyFont="1" applyFill="1" applyAlignment="1">
      <alignment horizontal="center"/>
    </xf>
    <xf numFmtId="0" fontId="42" fillId="18" borderId="2" xfId="0" applyFont="1" applyFill="1" applyBorder="1" applyAlignment="1">
      <alignment horizontal="center"/>
    </xf>
    <xf numFmtId="0" fontId="29" fillId="0" borderId="0" xfId="0" applyFont="1"/>
    <xf numFmtId="0" fontId="29" fillId="0" borderId="0" xfId="0" applyFont="1" applyAlignment="1">
      <alignment horizontal="center"/>
    </xf>
    <xf numFmtId="0" fontId="29" fillId="0" borderId="2" xfId="0" applyFont="1" applyBorder="1"/>
    <xf numFmtId="0" fontId="40" fillId="20" borderId="0" xfId="0" applyFont="1" applyFill="1" applyAlignment="1">
      <alignment horizontal="center"/>
    </xf>
    <xf numFmtId="0" fontId="29" fillId="0" borderId="2" xfId="0" applyFont="1" applyBorder="1" applyAlignment="1">
      <alignment horizontal="center"/>
    </xf>
    <xf numFmtId="0" fontId="29" fillId="0" borderId="0" xfId="1" applyFont="1" applyAlignment="1">
      <alignment horizontal="center"/>
    </xf>
    <xf numFmtId="0" fontId="42" fillId="18" borderId="64" xfId="1" applyFont="1" applyFill="1" applyBorder="1" applyAlignment="1">
      <alignment horizontal="center" vertical="center"/>
    </xf>
    <xf numFmtId="0" fontId="29" fillId="0" borderId="36" xfId="1" applyFont="1" applyBorder="1" applyAlignment="1">
      <alignment vertical="center" wrapText="1"/>
    </xf>
    <xf numFmtId="0" fontId="29" fillId="0" borderId="36" xfId="0" applyFont="1" applyBorder="1" applyAlignment="1">
      <alignment horizontal="center" vertical="center"/>
    </xf>
    <xf numFmtId="0" fontId="29" fillId="0" borderId="65" xfId="1" applyFont="1" applyBorder="1" applyAlignment="1">
      <alignment vertical="center"/>
    </xf>
    <xf numFmtId="0" fontId="29" fillId="0" borderId="65" xfId="1" applyFont="1" applyBorder="1" applyAlignment="1">
      <alignment vertical="center" wrapText="1"/>
    </xf>
    <xf numFmtId="0" fontId="29" fillId="0" borderId="65" xfId="0" applyFont="1" applyBorder="1" applyAlignment="1">
      <alignment horizontal="center" vertical="center"/>
    </xf>
    <xf numFmtId="0" fontId="40" fillId="0" borderId="0" xfId="0" applyFont="1"/>
    <xf numFmtId="0" fontId="47" fillId="0" borderId="0" xfId="1" applyFont="1"/>
    <xf numFmtId="0" fontId="48" fillId="0" borderId="0" xfId="0" applyFont="1"/>
    <xf numFmtId="0" fontId="29" fillId="0" borderId="0" xfId="1" applyFont="1" applyProtection="1">
      <protection locked="0"/>
    </xf>
    <xf numFmtId="0" fontId="29" fillId="0" borderId="0" xfId="1" applyFont="1" applyProtection="1">
      <protection locked="0" hidden="1"/>
    </xf>
    <xf numFmtId="0" fontId="29" fillId="0" borderId="23" xfId="1" applyFont="1" applyBorder="1" applyProtection="1">
      <protection locked="0" hidden="1"/>
    </xf>
    <xf numFmtId="0" fontId="39" fillId="0" borderId="0" xfId="1" applyFont="1" applyAlignment="1" applyProtection="1">
      <alignment vertical="center"/>
      <protection locked="0"/>
    </xf>
    <xf numFmtId="0" fontId="39" fillId="0" borderId="0" xfId="1" applyFont="1" applyAlignment="1" applyProtection="1">
      <alignment vertical="center" wrapText="1"/>
      <protection locked="0"/>
    </xf>
    <xf numFmtId="0" fontId="35" fillId="0" borderId="47" xfId="1" applyFont="1" applyBorder="1" applyAlignment="1" applyProtection="1">
      <alignment horizontal="center" vertical="center" wrapText="1"/>
      <protection locked="0" hidden="1"/>
    </xf>
    <xf numFmtId="0" fontId="29" fillId="0" borderId="49" xfId="1" applyFont="1" applyBorder="1" applyProtection="1">
      <protection locked="0" hidden="1"/>
    </xf>
    <xf numFmtId="0" fontId="29" fillId="0" borderId="50" xfId="1" applyFont="1" applyBorder="1" applyProtection="1">
      <protection locked="0" hidden="1"/>
    </xf>
    <xf numFmtId="0" fontId="29" fillId="0" borderId="51" xfId="1" applyFont="1" applyBorder="1" applyProtection="1">
      <protection locked="0" hidden="1"/>
    </xf>
    <xf numFmtId="0" fontId="29" fillId="0" borderId="52" xfId="1" applyFont="1" applyBorder="1" applyProtection="1">
      <protection locked="0" hidden="1"/>
    </xf>
    <xf numFmtId="0" fontId="29" fillId="0" borderId="53" xfId="1" applyFont="1" applyBorder="1" applyProtection="1">
      <protection locked="0" hidden="1"/>
    </xf>
    <xf numFmtId="0" fontId="29" fillId="0" borderId="24" xfId="1" applyFont="1" applyBorder="1" applyProtection="1">
      <protection locked="0" hidden="1"/>
    </xf>
    <xf numFmtId="0" fontId="29" fillId="0" borderId="22" xfId="1" applyFont="1" applyBorder="1" applyProtection="1">
      <protection locked="0" hidden="1"/>
    </xf>
    <xf numFmtId="0" fontId="29" fillId="0" borderId="25" xfId="1" applyFont="1" applyBorder="1" applyProtection="1">
      <protection locked="0" hidden="1"/>
    </xf>
    <xf numFmtId="0" fontId="49" fillId="0" borderId="56" xfId="1" applyFont="1" applyBorder="1" applyAlignment="1" applyProtection="1">
      <alignment horizontal="center"/>
      <protection locked="0" hidden="1"/>
    </xf>
    <xf numFmtId="0" fontId="29" fillId="0" borderId="0" xfId="0" applyFont="1" applyProtection="1">
      <protection locked="0"/>
    </xf>
    <xf numFmtId="0" fontId="51" fillId="0" borderId="0" xfId="0" applyFont="1" applyAlignment="1">
      <alignment vertical="center"/>
    </xf>
    <xf numFmtId="0" fontId="40" fillId="0" borderId="0" xfId="0" applyFont="1" applyAlignment="1">
      <alignment horizontal="center" wrapText="1"/>
    </xf>
    <xf numFmtId="16" fontId="29" fillId="0" borderId="0" xfId="0" quotePrefix="1" applyNumberFormat="1" applyFont="1"/>
    <xf numFmtId="0" fontId="29" fillId="0" borderId="0" xfId="1" applyFont="1" applyAlignment="1">
      <alignment horizontal="center" wrapText="1"/>
    </xf>
    <xf numFmtId="0" fontId="29" fillId="0" borderId="0" xfId="1" applyFont="1" applyAlignment="1">
      <alignment horizontal="left" wrapText="1"/>
    </xf>
    <xf numFmtId="0" fontId="29" fillId="0" borderId="0" xfId="1" applyFont="1" applyAlignment="1" applyProtection="1">
      <alignment horizontal="left" wrapText="1"/>
      <protection locked="0"/>
    </xf>
    <xf numFmtId="0" fontId="29" fillId="0" borderId="0" xfId="1" applyFont="1" applyAlignment="1">
      <alignment wrapText="1"/>
    </xf>
    <xf numFmtId="167" fontId="29" fillId="0" borderId="0" xfId="4" applyNumberFormat="1" applyFont="1" applyAlignment="1">
      <alignment wrapText="1"/>
    </xf>
    <xf numFmtId="0" fontId="29" fillId="6" borderId="0" xfId="1" applyFont="1" applyFill="1" applyAlignment="1">
      <alignment wrapText="1"/>
    </xf>
    <xf numFmtId="167" fontId="40" fillId="0" borderId="0" xfId="4" applyNumberFormat="1" applyFont="1" applyAlignment="1"/>
    <xf numFmtId="167" fontId="29" fillId="6" borderId="0" xfId="4" applyNumberFormat="1" applyFont="1" applyFill="1" applyAlignment="1">
      <alignment wrapText="1"/>
    </xf>
    <xf numFmtId="0" fontId="29" fillId="0" borderId="0" xfId="1" applyFont="1" applyAlignment="1">
      <alignment horizontal="left" vertical="top" wrapText="1"/>
    </xf>
    <xf numFmtId="0" fontId="29" fillId="0" borderId="0" xfId="1" applyFont="1" applyAlignment="1" applyProtection="1">
      <alignment horizontal="left" vertical="top" wrapText="1"/>
      <protection locked="0"/>
    </xf>
    <xf numFmtId="0" fontId="48" fillId="0" borderId="0" xfId="1" applyFont="1" applyAlignment="1">
      <alignment horizontal="left" vertical="top" wrapText="1"/>
    </xf>
    <xf numFmtId="167" fontId="48" fillId="0" borderId="0" xfId="9" applyNumberFormat="1" applyFont="1" applyAlignment="1">
      <alignment wrapText="1"/>
    </xf>
    <xf numFmtId="0" fontId="29" fillId="5" borderId="27" xfId="3" applyFont="1" applyFill="1" applyBorder="1" applyAlignment="1" applyProtection="1">
      <alignment horizontal="center" vertical="center" wrapText="1"/>
      <protection hidden="1"/>
    </xf>
    <xf numFmtId="0" fontId="29" fillId="5" borderId="27" xfId="3" quotePrefix="1" applyFont="1" applyFill="1" applyBorder="1" applyAlignment="1" applyProtection="1">
      <alignment horizontal="left" vertical="center"/>
      <protection hidden="1"/>
    </xf>
    <xf numFmtId="165" fontId="29" fillId="5" borderId="27" xfId="9" applyFont="1" applyFill="1" applyBorder="1" applyAlignment="1" applyProtection="1">
      <alignment horizontal="left" vertical="center" wrapText="1"/>
      <protection hidden="1"/>
    </xf>
    <xf numFmtId="0" fontId="29" fillId="0" borderId="27" xfId="3" applyFont="1" applyBorder="1" applyAlignment="1" applyProtection="1">
      <alignment horizontal="left" vertical="center" wrapText="1"/>
      <protection locked="0"/>
    </xf>
    <xf numFmtId="0" fontId="29" fillId="0" borderId="27" xfId="3" applyFont="1" applyBorder="1" applyAlignment="1" applyProtection="1">
      <alignment horizontal="center" vertical="center" wrapText="1"/>
      <protection locked="0"/>
    </xf>
    <xf numFmtId="0" fontId="29" fillId="5" borderId="27" xfId="9" applyNumberFormat="1" applyFont="1" applyFill="1" applyBorder="1" applyAlignment="1" applyProtection="1">
      <alignment horizontal="left" vertical="center" wrapText="1"/>
      <protection hidden="1"/>
    </xf>
    <xf numFmtId="0" fontId="29" fillId="0" borderId="27" xfId="3" quotePrefix="1" applyFont="1" applyBorder="1" applyAlignment="1" applyProtection="1">
      <alignment horizontal="center" vertical="center" wrapText="1"/>
      <protection locked="0"/>
    </xf>
    <xf numFmtId="0" fontId="40" fillId="5" borderId="27" xfId="0" quotePrefix="1" applyFont="1" applyFill="1" applyBorder="1" applyAlignment="1">
      <alignment horizontal="center" vertical="center"/>
    </xf>
    <xf numFmtId="167" fontId="29" fillId="0" borderId="27" xfId="4" applyNumberFormat="1" applyFont="1" applyFill="1" applyBorder="1" applyAlignment="1" applyProtection="1">
      <alignment horizontal="left" vertical="center" wrapText="1"/>
      <protection locked="0"/>
    </xf>
    <xf numFmtId="167" fontId="35" fillId="5" borderId="27" xfId="4" applyNumberFormat="1" applyFont="1" applyFill="1" applyBorder="1" applyAlignment="1" applyProtection="1">
      <alignment horizontal="left" vertical="center" wrapText="1"/>
      <protection hidden="1"/>
    </xf>
    <xf numFmtId="167" fontId="35" fillId="6" borderId="27" xfId="4" applyNumberFormat="1" applyFont="1" applyFill="1" applyBorder="1" applyAlignment="1" applyProtection="1">
      <alignment horizontal="left" vertical="center" wrapText="1"/>
      <protection hidden="1"/>
    </xf>
    <xf numFmtId="167" fontId="35" fillId="5" borderId="34" xfId="4" applyNumberFormat="1" applyFont="1" applyFill="1" applyBorder="1" applyAlignment="1" applyProtection="1">
      <alignment horizontal="left" vertical="center" wrapText="1"/>
      <protection hidden="1"/>
    </xf>
    <xf numFmtId="167" fontId="29" fillId="0" borderId="0" xfId="4" applyNumberFormat="1" applyFont="1" applyFill="1" applyAlignment="1">
      <alignment horizontal="left" vertical="center" wrapText="1"/>
    </xf>
    <xf numFmtId="167" fontId="29" fillId="0" borderId="27" xfId="5" quotePrefix="1" applyNumberFormat="1" applyFont="1" applyFill="1" applyBorder="1" applyAlignment="1" applyProtection="1">
      <alignment horizontal="left" vertical="center" wrapText="1"/>
      <protection locked="0"/>
    </xf>
    <xf numFmtId="167" fontId="29" fillId="7" borderId="27" xfId="5" quotePrefix="1" applyNumberFormat="1" applyFont="1" applyFill="1" applyBorder="1" applyAlignment="1" applyProtection="1">
      <alignment horizontal="left" vertical="center" wrapText="1"/>
      <protection hidden="1"/>
    </xf>
    <xf numFmtId="168" fontId="29" fillId="0" borderId="27" xfId="5" quotePrefix="1" applyNumberFormat="1" applyFont="1" applyFill="1" applyBorder="1" applyAlignment="1" applyProtection="1">
      <alignment horizontal="left" vertical="center" wrapText="1"/>
      <protection locked="0"/>
    </xf>
    <xf numFmtId="167" fontId="29" fillId="0" borderId="27" xfId="5" applyNumberFormat="1" applyFont="1" applyFill="1" applyBorder="1" applyAlignment="1" applyProtection="1">
      <alignment horizontal="left" vertical="center" wrapText="1"/>
      <protection locked="0"/>
    </xf>
    <xf numFmtId="0" fontId="29" fillId="0" borderId="0" xfId="1" applyFont="1" applyAlignment="1">
      <alignment horizontal="left" vertical="center" wrapText="1"/>
    </xf>
    <xf numFmtId="167" fontId="29" fillId="0" borderId="27" xfId="4" applyNumberFormat="1" applyFont="1" applyFill="1" applyBorder="1" applyAlignment="1" applyProtection="1">
      <alignment vertical="center" wrapText="1"/>
      <protection locked="0"/>
    </xf>
    <xf numFmtId="0" fontId="29" fillId="0" borderId="27" xfId="3" applyFont="1" applyBorder="1" applyAlignment="1" applyProtection="1">
      <alignment horizontal="left" wrapText="1"/>
      <protection locked="0"/>
    </xf>
    <xf numFmtId="165" fontId="29" fillId="5" borderId="35" xfId="9" applyFont="1" applyFill="1" applyBorder="1" applyAlignment="1" applyProtection="1">
      <alignment horizontal="left" vertical="center" wrapText="1"/>
      <protection hidden="1"/>
    </xf>
    <xf numFmtId="0" fontId="29" fillId="5" borderId="35" xfId="9" applyNumberFormat="1" applyFont="1" applyFill="1" applyBorder="1" applyAlignment="1" applyProtection="1">
      <alignment horizontal="left" vertical="center" wrapText="1"/>
      <protection hidden="1"/>
    </xf>
    <xf numFmtId="0" fontId="29" fillId="0" borderId="35" xfId="3" quotePrefix="1" applyFont="1" applyBorder="1" applyAlignment="1" applyProtection="1">
      <alignment horizontal="center" vertical="center" wrapText="1"/>
      <protection locked="0"/>
    </xf>
    <xf numFmtId="0" fontId="40" fillId="5" borderId="35" xfId="0" quotePrefix="1" applyFont="1" applyFill="1" applyBorder="1" applyAlignment="1">
      <alignment horizontal="center" vertical="center"/>
    </xf>
    <xf numFmtId="0" fontId="29" fillId="0" borderId="0" xfId="9" applyNumberFormat="1" applyFont="1" applyAlignment="1">
      <alignment horizontal="left" wrapText="1"/>
    </xf>
    <xf numFmtId="0" fontId="29" fillId="0" borderId="0" xfId="1" applyFont="1" applyAlignment="1" applyProtection="1">
      <alignment horizontal="center" wrapText="1"/>
      <protection locked="0"/>
    </xf>
    <xf numFmtId="0" fontId="29" fillId="0" borderId="0" xfId="1" applyFont="1" applyAlignment="1" applyProtection="1">
      <alignment wrapText="1"/>
      <protection locked="0"/>
    </xf>
    <xf numFmtId="0" fontId="29" fillId="0" borderId="0" xfId="0" applyFont="1" applyAlignment="1">
      <alignment wrapText="1"/>
    </xf>
    <xf numFmtId="167" fontId="29" fillId="0" borderId="0" xfId="9" applyNumberFormat="1" applyFont="1"/>
    <xf numFmtId="0" fontId="48" fillId="0" borderId="0" xfId="1" applyFont="1" applyAlignment="1">
      <alignment wrapText="1"/>
    </xf>
    <xf numFmtId="0" fontId="29" fillId="0" borderId="0" xfId="0" applyFont="1" applyProtection="1">
      <protection hidden="1"/>
    </xf>
    <xf numFmtId="0" fontId="52" fillId="0" borderId="0" xfId="1" applyFont="1" applyAlignment="1">
      <alignment horizontal="center" vertical="center" wrapText="1"/>
    </xf>
    <xf numFmtId="0" fontId="37" fillId="10" borderId="0" xfId="5" applyNumberFormat="1" applyFont="1" applyFill="1" applyBorder="1" applyAlignment="1">
      <alignment horizontal="center" vertical="center" wrapText="1"/>
    </xf>
    <xf numFmtId="0" fontId="37" fillId="10" borderId="23" xfId="5" applyNumberFormat="1" applyFont="1" applyFill="1" applyBorder="1" applyAlignment="1">
      <alignment horizontal="center" vertical="center" wrapText="1"/>
    </xf>
    <xf numFmtId="0" fontId="40" fillId="0" borderId="0" xfId="1" applyFont="1" applyAlignment="1" applyProtection="1">
      <alignment horizontal="center" vertical="center" wrapText="1"/>
      <protection hidden="1"/>
    </xf>
    <xf numFmtId="0" fontId="29" fillId="5" borderId="26" xfId="3" applyFont="1" applyFill="1" applyBorder="1" applyAlignment="1" applyProtection="1">
      <alignment horizontal="left"/>
      <protection hidden="1"/>
    </xf>
    <xf numFmtId="165" fontId="29" fillId="5" borderId="27" xfId="4" applyFont="1" applyFill="1" applyBorder="1" applyAlignment="1" applyProtection="1">
      <alignment vertical="center"/>
    </xf>
    <xf numFmtId="165" fontId="29" fillId="0" borderId="27" xfId="4" applyFont="1" applyFill="1" applyBorder="1" applyAlignment="1" applyProtection="1">
      <alignment vertical="center"/>
      <protection locked="0"/>
    </xf>
    <xf numFmtId="165" fontId="29" fillId="5" borderId="27" xfId="4" applyFont="1" applyFill="1" applyBorder="1" applyAlignment="1" applyProtection="1">
      <alignment vertical="center"/>
      <protection hidden="1"/>
    </xf>
    <xf numFmtId="165" fontId="29" fillId="5" borderId="27" xfId="4" applyFont="1" applyFill="1" applyBorder="1" applyAlignment="1" applyProtection="1">
      <alignment horizontal="left" vertical="center"/>
      <protection hidden="1"/>
    </xf>
    <xf numFmtId="0" fontId="29" fillId="5" borderId="27" xfId="4" applyNumberFormat="1" applyFont="1" applyFill="1" applyBorder="1" applyAlignment="1" applyProtection="1">
      <alignment horizontal="left" vertical="center"/>
      <protection hidden="1"/>
    </xf>
    <xf numFmtId="164" fontId="29" fillId="5" borderId="27" xfId="7" applyFont="1" applyFill="1" applyBorder="1" applyAlignment="1" applyProtection="1">
      <alignment vertical="center"/>
      <protection hidden="1"/>
    </xf>
    <xf numFmtId="164" fontId="29" fillId="0" borderId="27" xfId="7" applyFont="1" applyFill="1" applyBorder="1" applyAlignment="1" applyProtection="1">
      <alignment vertical="center"/>
      <protection locked="0"/>
    </xf>
    <xf numFmtId="164" fontId="29" fillId="5" borderId="26" xfId="7" applyFont="1" applyFill="1" applyBorder="1" applyAlignment="1" applyProtection="1">
      <protection hidden="1"/>
    </xf>
    <xf numFmtId="167" fontId="29" fillId="6" borderId="27" xfId="5" applyNumberFormat="1" applyFont="1" applyFill="1" applyBorder="1" applyAlignment="1" applyProtection="1">
      <alignment horizontal="left" vertical="center" wrapText="1"/>
      <protection locked="0"/>
    </xf>
    <xf numFmtId="167" fontId="35" fillId="6" borderId="28" xfId="4" applyNumberFormat="1" applyFont="1" applyFill="1" applyBorder="1" applyAlignment="1" applyProtection="1">
      <alignment horizontal="left" vertical="center" wrapText="1"/>
      <protection hidden="1"/>
    </xf>
    <xf numFmtId="164" fontId="29" fillId="7" borderId="60" xfId="7" applyFont="1" applyFill="1" applyBorder="1" applyAlignment="1" applyProtection="1">
      <protection hidden="1"/>
    </xf>
    <xf numFmtId="164" fontId="29" fillId="0" borderId="27" xfId="7" applyFont="1" applyFill="1" applyBorder="1" applyAlignment="1" applyProtection="1">
      <protection hidden="1"/>
    </xf>
    <xf numFmtId="167" fontId="52" fillId="0" borderId="0" xfId="9" applyNumberFormat="1" applyFont="1" applyFill="1" applyAlignment="1">
      <alignment vertical="center"/>
    </xf>
    <xf numFmtId="164" fontId="29" fillId="7" borderId="26" xfId="7" applyFont="1" applyFill="1" applyBorder="1" applyAlignment="1" applyProtection="1">
      <protection hidden="1"/>
    </xf>
    <xf numFmtId="0" fontId="29" fillId="0" borderId="28" xfId="3" applyFont="1" applyBorder="1" applyAlignment="1" applyProtection="1">
      <alignment horizontal="left"/>
      <protection locked="0"/>
    </xf>
    <xf numFmtId="167" fontId="29" fillId="0" borderId="27" xfId="5" applyNumberFormat="1" applyFont="1" applyFill="1" applyBorder="1" applyAlignment="1" applyProtection="1">
      <alignment wrapText="1"/>
      <protection locked="0"/>
    </xf>
    <xf numFmtId="167" fontId="29" fillId="0" borderId="28" xfId="5" quotePrefix="1" applyNumberFormat="1" applyFont="1" applyFill="1" applyBorder="1" applyAlignment="1" applyProtection="1">
      <alignment horizontal="left" vertical="center" wrapText="1"/>
      <protection locked="0"/>
    </xf>
    <xf numFmtId="0" fontId="29" fillId="0" borderId="28" xfId="3" applyFont="1" applyBorder="1" applyAlignment="1" applyProtection="1">
      <alignment horizontal="center"/>
      <protection locked="0"/>
    </xf>
    <xf numFmtId="167" fontId="29" fillId="0" borderId="27" xfId="5" applyNumberFormat="1" applyFont="1" applyFill="1" applyBorder="1" applyAlignment="1" applyProtection="1">
      <protection locked="0"/>
    </xf>
    <xf numFmtId="167" fontId="29" fillId="0" borderId="27" xfId="9" applyNumberFormat="1" applyFont="1" applyFill="1" applyBorder="1" applyAlignment="1" applyProtection="1">
      <protection locked="0"/>
    </xf>
    <xf numFmtId="167" fontId="29" fillId="7" borderId="28" xfId="5" quotePrefix="1" applyNumberFormat="1" applyFont="1" applyFill="1" applyBorder="1" applyAlignment="1" applyProtection="1">
      <alignment horizontal="left" vertical="center" wrapText="1"/>
      <protection hidden="1"/>
    </xf>
    <xf numFmtId="0" fontId="29" fillId="0" borderId="34" xfId="3" applyFont="1" applyBorder="1" applyAlignment="1" applyProtection="1">
      <alignment horizontal="left"/>
      <protection locked="0"/>
    </xf>
    <xf numFmtId="0" fontId="35" fillId="0" borderId="0" xfId="1" applyFont="1" applyAlignment="1" applyProtection="1">
      <alignment vertical="center"/>
      <protection hidden="1"/>
    </xf>
    <xf numFmtId="0" fontId="29" fillId="20" borderId="26" xfId="3" applyFont="1" applyFill="1" applyBorder="1" applyAlignment="1" applyProtection="1">
      <alignment horizontal="left"/>
      <protection hidden="1"/>
    </xf>
    <xf numFmtId="0" fontId="52" fillId="0" borderId="0" xfId="0" applyFont="1"/>
    <xf numFmtId="0" fontId="53" fillId="0" borderId="0" xfId="0" applyFont="1"/>
    <xf numFmtId="0" fontId="53" fillId="0" borderId="0" xfId="0" applyFont="1" applyAlignment="1">
      <alignment horizontal="center"/>
    </xf>
    <xf numFmtId="0" fontId="29" fillId="0" borderId="0" xfId="0" applyFont="1" applyAlignment="1">
      <alignment vertical="center"/>
    </xf>
    <xf numFmtId="0" fontId="40" fillId="11" borderId="6" xfId="0" applyFont="1" applyFill="1" applyBorder="1" applyAlignment="1">
      <alignment horizontal="center" vertical="center"/>
    </xf>
    <xf numFmtId="0" fontId="40" fillId="11" borderId="33" xfId="0" applyFont="1" applyFill="1" applyBorder="1" applyAlignment="1">
      <alignment horizontal="center" vertical="center"/>
    </xf>
    <xf numFmtId="0" fontId="40" fillId="11" borderId="41" xfId="0" applyFont="1" applyFill="1" applyBorder="1" applyAlignment="1">
      <alignment horizontal="center" vertical="center"/>
    </xf>
    <xf numFmtId="0" fontId="45" fillId="0" borderId="0" xfId="0" applyFont="1" applyAlignment="1">
      <alignment vertical="center"/>
    </xf>
    <xf numFmtId="0" fontId="29" fillId="5" borderId="29" xfId="0" applyFont="1" applyFill="1" applyBorder="1" applyAlignment="1">
      <alignment vertical="center"/>
    </xf>
    <xf numFmtId="0" fontId="29" fillId="5" borderId="0" xfId="0" applyFont="1" applyFill="1" applyAlignment="1">
      <alignment vertical="center"/>
    </xf>
    <xf numFmtId="0" fontId="29" fillId="5" borderId="30" xfId="0" applyFont="1" applyFill="1" applyBorder="1" applyAlignment="1">
      <alignment horizontal="left" vertical="center"/>
    </xf>
    <xf numFmtId="0" fontId="29" fillId="5" borderId="30" xfId="0" applyFont="1" applyFill="1" applyBorder="1" applyAlignment="1">
      <alignment horizontal="left" vertical="center" wrapText="1"/>
    </xf>
    <xf numFmtId="0" fontId="29" fillId="5" borderId="29" xfId="0" applyFont="1" applyFill="1" applyBorder="1"/>
    <xf numFmtId="0" fontId="29" fillId="5" borderId="0" xfId="0" applyFont="1" applyFill="1"/>
    <xf numFmtId="0" fontId="29" fillId="5" borderId="0" xfId="0" applyFont="1" applyFill="1" applyAlignment="1">
      <alignment vertical="top"/>
    </xf>
    <xf numFmtId="0" fontId="29" fillId="5" borderId="30" xfId="0" applyFont="1" applyFill="1" applyBorder="1" applyAlignment="1">
      <alignment horizontal="center"/>
    </xf>
    <xf numFmtId="0" fontId="29" fillId="5" borderId="31" xfId="0" applyFont="1" applyFill="1" applyBorder="1"/>
    <xf numFmtId="0" fontId="29" fillId="5" borderId="1" xfId="0" applyFont="1" applyFill="1" applyBorder="1"/>
    <xf numFmtId="0" fontId="29" fillId="5" borderId="32" xfId="0" applyFont="1" applyFill="1" applyBorder="1" applyAlignment="1">
      <alignment horizontal="center"/>
    </xf>
    <xf numFmtId="0" fontId="29" fillId="11" borderId="2" xfId="0" applyFont="1" applyFill="1" applyBorder="1" applyAlignment="1">
      <alignment vertical="top"/>
    </xf>
    <xf numFmtId="0" fontId="29" fillId="18" borderId="0" xfId="0" applyFont="1" applyFill="1"/>
    <xf numFmtId="0" fontId="29" fillId="18" borderId="0" xfId="0" applyFont="1" applyFill="1" applyProtection="1">
      <protection locked="0"/>
    </xf>
    <xf numFmtId="167" fontId="42" fillId="18" borderId="0" xfId="4" applyNumberFormat="1" applyFont="1" applyFill="1" applyAlignment="1">
      <alignment horizontal="centerContinuous"/>
    </xf>
    <xf numFmtId="167" fontId="53" fillId="18" borderId="0" xfId="4" applyNumberFormat="1" applyFont="1" applyFill="1" applyAlignment="1">
      <alignment horizontal="centerContinuous" wrapText="1"/>
    </xf>
    <xf numFmtId="0" fontId="42" fillId="18" borderId="2" xfId="0" applyFont="1" applyFill="1" applyBorder="1" applyAlignment="1">
      <alignment horizontal="center" vertical="center" wrapText="1"/>
    </xf>
    <xf numFmtId="0" fontId="42" fillId="18" borderId="2" xfId="0" applyFont="1" applyFill="1" applyBorder="1" applyAlignment="1" applyProtection="1">
      <alignment horizontal="center" vertical="center" wrapText="1"/>
      <protection locked="0"/>
    </xf>
    <xf numFmtId="167" fontId="42" fillId="15" borderId="72" xfId="4" applyNumberFormat="1" applyFont="1" applyFill="1" applyBorder="1" applyAlignment="1" applyProtection="1">
      <alignment horizontal="center" vertical="center" wrapText="1"/>
    </xf>
    <xf numFmtId="167" fontId="42" fillId="15" borderId="33" xfId="4" applyNumberFormat="1" applyFont="1" applyFill="1" applyBorder="1" applyAlignment="1" applyProtection="1">
      <alignment horizontal="center" vertical="center" wrapText="1"/>
    </xf>
    <xf numFmtId="0" fontId="37" fillId="6" borderId="33" xfId="5" applyNumberFormat="1" applyFont="1" applyFill="1" applyBorder="1" applyAlignment="1" applyProtection="1">
      <alignment horizontal="center" vertical="center" wrapText="1"/>
      <protection locked="0"/>
    </xf>
    <xf numFmtId="0" fontId="42" fillId="6" borderId="2" xfId="0" applyFont="1" applyFill="1" applyBorder="1" applyAlignment="1">
      <alignment horizontal="center" vertical="center" wrapText="1"/>
    </xf>
    <xf numFmtId="0" fontId="37" fillId="10" borderId="59" xfId="5" applyNumberFormat="1" applyFont="1" applyFill="1" applyBorder="1" applyAlignment="1">
      <alignment horizontal="center" vertical="center" wrapText="1"/>
    </xf>
    <xf numFmtId="0" fontId="42" fillId="0" borderId="0" xfId="1" applyFont="1" applyAlignment="1" applyProtection="1">
      <alignment horizontal="center" vertical="center" wrapText="1"/>
      <protection hidden="1"/>
    </xf>
    <xf numFmtId="0" fontId="42" fillId="14" borderId="17" xfId="0" applyFont="1" applyFill="1" applyBorder="1" applyAlignment="1">
      <alignment horizontal="center" vertical="center" wrapText="1"/>
    </xf>
    <xf numFmtId="0" fontId="29" fillId="22" borderId="2" xfId="0" applyFont="1" applyFill="1" applyBorder="1"/>
    <xf numFmtId="0" fontId="29" fillId="18" borderId="68" xfId="1" applyFont="1" applyFill="1" applyBorder="1" applyAlignment="1">
      <alignment horizontal="center" wrapText="1"/>
    </xf>
    <xf numFmtId="0" fontId="29" fillId="18" borderId="70" xfId="1" applyFont="1" applyFill="1" applyBorder="1" applyAlignment="1">
      <alignment horizontal="center" wrapText="1"/>
    </xf>
    <xf numFmtId="0" fontId="29" fillId="18" borderId="70" xfId="1" applyFont="1" applyFill="1" applyBorder="1" applyAlignment="1">
      <alignment horizontal="left" wrapText="1"/>
    </xf>
    <xf numFmtId="0" fontId="29" fillId="18" borderId="71" xfId="1" applyFont="1" applyFill="1" applyBorder="1" applyAlignment="1">
      <alignment horizontal="left" wrapText="1"/>
    </xf>
    <xf numFmtId="0" fontId="29" fillId="18" borderId="68" xfId="1" applyFont="1" applyFill="1" applyBorder="1" applyAlignment="1">
      <alignment horizontal="left" wrapText="1"/>
    </xf>
    <xf numFmtId="0" fontId="29" fillId="18" borderId="70" xfId="1" applyFont="1" applyFill="1" applyBorder="1" applyAlignment="1" applyProtection="1">
      <alignment horizontal="left" wrapText="1"/>
      <protection locked="0"/>
    </xf>
    <xf numFmtId="0" fontId="29" fillId="18" borderId="70" xfId="1" applyFont="1" applyFill="1" applyBorder="1" applyAlignment="1">
      <alignment wrapText="1"/>
    </xf>
    <xf numFmtId="167" fontId="42" fillId="18" borderId="26" xfId="4" applyNumberFormat="1" applyFont="1" applyFill="1" applyBorder="1" applyAlignment="1">
      <alignment horizontal="centerContinuous"/>
    </xf>
    <xf numFmtId="167" fontId="53" fillId="18" borderId="26" xfId="4" applyNumberFormat="1" applyFont="1" applyFill="1" applyBorder="1" applyAlignment="1">
      <alignment horizontal="centerContinuous" wrapText="1"/>
    </xf>
    <xf numFmtId="167" fontId="29" fillId="6" borderId="26" xfId="4" applyNumberFormat="1" applyFont="1" applyFill="1" applyBorder="1" applyAlignment="1">
      <alignment wrapText="1"/>
    </xf>
    <xf numFmtId="167" fontId="53" fillId="18" borderId="66" xfId="4" applyNumberFormat="1" applyFont="1" applyFill="1" applyBorder="1" applyAlignment="1">
      <alignment horizontal="centerContinuous" wrapText="1"/>
    </xf>
    <xf numFmtId="0" fontId="42" fillId="18" borderId="69" xfId="0" applyFont="1" applyFill="1" applyBorder="1" applyAlignment="1">
      <alignment horizontal="center" vertical="center" wrapText="1"/>
    </xf>
    <xf numFmtId="0" fontId="42" fillId="18" borderId="26" xfId="0" applyFont="1" applyFill="1" applyBorder="1" applyAlignment="1">
      <alignment horizontal="center" vertical="center" wrapText="1"/>
    </xf>
    <xf numFmtId="0" fontId="42" fillId="18" borderId="26" xfId="0" applyFont="1" applyFill="1" applyBorder="1" applyAlignment="1" applyProtection="1">
      <alignment horizontal="center" vertical="center" wrapText="1"/>
      <protection locked="0"/>
    </xf>
    <xf numFmtId="0" fontId="42" fillId="18" borderId="27" xfId="0" applyFont="1" applyFill="1" applyBorder="1" applyAlignment="1">
      <alignment horizontal="center" vertical="center" wrapText="1"/>
    </xf>
    <xf numFmtId="167" fontId="29" fillId="6" borderId="27" xfId="4" applyNumberFormat="1" applyFont="1" applyFill="1" applyBorder="1" applyAlignment="1">
      <alignment horizontal="center" vertical="center" wrapText="1"/>
    </xf>
    <xf numFmtId="0" fontId="37" fillId="10" borderId="59" xfId="5" applyNumberFormat="1" applyFont="1" applyFill="1" applyBorder="1" applyAlignment="1" applyProtection="1">
      <alignment horizontal="center" vertical="center" wrapText="1"/>
      <protection locked="0"/>
    </xf>
    <xf numFmtId="0" fontId="29" fillId="0" borderId="0" xfId="1" applyFont="1" applyAlignment="1">
      <alignment horizontal="center" vertical="center" wrapText="1"/>
    </xf>
    <xf numFmtId="0" fontId="37" fillId="6" borderId="27" xfId="5" applyNumberFormat="1" applyFont="1" applyFill="1" applyBorder="1" applyAlignment="1" applyProtection="1">
      <alignment horizontal="center" vertical="center" wrapText="1"/>
      <protection locked="0"/>
    </xf>
    <xf numFmtId="0" fontId="37" fillId="6" borderId="67" xfId="5" applyNumberFormat="1" applyFont="1" applyFill="1" applyBorder="1" applyAlignment="1" applyProtection="1">
      <alignment horizontal="center" vertical="center" wrapText="1"/>
      <protection locked="0"/>
    </xf>
    <xf numFmtId="0" fontId="54" fillId="0" borderId="0" xfId="10" quotePrefix="1" applyFont="1"/>
    <xf numFmtId="0" fontId="54" fillId="8" borderId="0" xfId="10" applyFont="1" applyFill="1" applyAlignment="1">
      <alignment horizontal="center" vertical="center"/>
    </xf>
    <xf numFmtId="0" fontId="40" fillId="5" borderId="0" xfId="1" applyFont="1" applyFill="1" applyAlignment="1">
      <alignment horizontal="left" vertical="center"/>
    </xf>
    <xf numFmtId="0" fontId="54" fillId="5" borderId="0" xfId="2" applyFont="1" applyFill="1" applyAlignment="1">
      <alignment horizontal="center" vertical="center"/>
    </xf>
    <xf numFmtId="0" fontId="29" fillId="5" borderId="0" xfId="1" applyFont="1" applyFill="1"/>
    <xf numFmtId="0" fontId="29" fillId="0" borderId="0" xfId="1" applyFont="1" applyAlignment="1">
      <alignment horizontal="center" vertical="center"/>
    </xf>
    <xf numFmtId="0" fontId="37" fillId="20" borderId="0" xfId="1" applyFont="1" applyFill="1" applyAlignment="1">
      <alignment horizontal="left" vertical="center"/>
    </xf>
    <xf numFmtId="0" fontId="54" fillId="20" borderId="0" xfId="2" applyFont="1" applyFill="1" applyAlignment="1">
      <alignment horizontal="center" vertical="center"/>
    </xf>
    <xf numFmtId="0" fontId="35" fillId="20" borderId="0" xfId="1" applyFont="1" applyFill="1"/>
    <xf numFmtId="0" fontId="37" fillId="8" borderId="0" xfId="1" applyFont="1" applyFill="1" applyAlignment="1">
      <alignment horizontal="left" vertical="center"/>
    </xf>
    <xf numFmtId="0" fontId="35" fillId="8" borderId="0" xfId="1" applyFont="1" applyFill="1"/>
    <xf numFmtId="0" fontId="54" fillId="5" borderId="0" xfId="10" applyFont="1" applyFill="1" applyAlignment="1" applyProtection="1">
      <alignment horizontal="center" vertical="center"/>
    </xf>
    <xf numFmtId="0" fontId="54" fillId="0" borderId="0" xfId="10" applyFont="1"/>
    <xf numFmtId="0" fontId="1" fillId="0" borderId="0" xfId="0" applyFont="1" applyAlignment="1">
      <alignment vertical="center"/>
    </xf>
    <xf numFmtId="167" fontId="52" fillId="0" borderId="0" xfId="4" applyNumberFormat="1" applyFont="1" applyAlignment="1">
      <alignment horizontal="center" vertical="center" wrapText="1"/>
    </xf>
    <xf numFmtId="0" fontId="42" fillId="18" borderId="0" xfId="1" applyFont="1" applyFill="1" applyAlignment="1">
      <alignment horizontal="centerContinuous"/>
    </xf>
    <xf numFmtId="0" fontId="42" fillId="23" borderId="2" xfId="3" applyFont="1" applyFill="1" applyBorder="1" applyAlignment="1">
      <alignment vertical="top" wrapText="1"/>
    </xf>
    <xf numFmtId="0" fontId="29" fillId="23" borderId="2" xfId="3" applyFont="1" applyFill="1" applyBorder="1" applyAlignment="1" applyProtection="1">
      <alignment vertical="top" wrapText="1"/>
      <protection locked="0"/>
    </xf>
    <xf numFmtId="1" fontId="42" fillId="24" borderId="2" xfId="4" applyNumberFormat="1" applyFont="1" applyFill="1" applyBorder="1" applyAlignment="1" applyProtection="1">
      <alignment vertical="top" wrapText="1"/>
    </xf>
    <xf numFmtId="0" fontId="29" fillId="0" borderId="0" xfId="0" applyFont="1" applyAlignment="1">
      <alignment vertical="top"/>
    </xf>
    <xf numFmtId="14" fontId="29" fillId="0" borderId="0" xfId="0" applyNumberFormat="1" applyFont="1"/>
    <xf numFmtId="165" fontId="29" fillId="0" borderId="0" xfId="9" applyFont="1"/>
    <xf numFmtId="14" fontId="29" fillId="0" borderId="0" xfId="0" applyNumberFormat="1" applyFont="1" applyAlignment="1">
      <alignment horizontal="right" vertical="top"/>
    </xf>
    <xf numFmtId="4" fontId="29" fillId="0" borderId="0" xfId="0" applyNumberFormat="1" applyFont="1" applyAlignment="1">
      <alignment horizontal="right" vertical="top"/>
    </xf>
    <xf numFmtId="169" fontId="29" fillId="0" borderId="0" xfId="0" applyNumberFormat="1" applyFont="1" applyAlignment="1">
      <alignment horizontal="right" vertical="top"/>
    </xf>
    <xf numFmtId="0" fontId="29" fillId="0" borderId="0" xfId="0" quotePrefix="1" applyFont="1" applyAlignment="1">
      <alignment vertical="top"/>
    </xf>
    <xf numFmtId="3" fontId="29" fillId="0" borderId="0" xfId="0" applyNumberFormat="1" applyFont="1" applyAlignment="1">
      <alignment horizontal="right" vertical="top"/>
    </xf>
    <xf numFmtId="0" fontId="0" fillId="0" borderId="0" xfId="0" applyAlignment="1">
      <alignment vertical="top"/>
    </xf>
    <xf numFmtId="14" fontId="0" fillId="0" borderId="0" xfId="0" applyNumberFormat="1" applyAlignment="1">
      <alignment horizontal="right" vertical="top"/>
    </xf>
    <xf numFmtId="3" fontId="0" fillId="0" borderId="0" xfId="0" applyNumberFormat="1" applyAlignment="1">
      <alignment horizontal="right" vertical="top"/>
    </xf>
    <xf numFmtId="4" fontId="0" fillId="0" borderId="0" xfId="0" applyNumberFormat="1" applyAlignment="1">
      <alignment horizontal="right" vertical="top"/>
    </xf>
    <xf numFmtId="0" fontId="0" fillId="0" borderId="0" xfId="0" quotePrefix="1" applyAlignment="1">
      <alignment vertical="top"/>
    </xf>
    <xf numFmtId="165" fontId="0" fillId="0" borderId="0" xfId="9" applyFont="1"/>
    <xf numFmtId="169" fontId="0" fillId="0" borderId="0" xfId="0" applyNumberFormat="1" applyAlignment="1">
      <alignment horizontal="right" vertical="top"/>
    </xf>
    <xf numFmtId="170" fontId="0" fillId="0" borderId="0" xfId="0" applyNumberFormat="1" applyAlignment="1">
      <alignment horizontal="right" vertical="top"/>
    </xf>
    <xf numFmtId="14" fontId="29" fillId="0" borderId="0" xfId="0" quotePrefix="1" applyNumberFormat="1" applyFont="1" applyAlignment="1">
      <alignment horizontal="right" vertical="top"/>
    </xf>
    <xf numFmtId="0" fontId="42" fillId="18" borderId="73" xfId="1" applyFont="1" applyFill="1" applyBorder="1" applyAlignment="1">
      <alignment horizontal="center" wrapText="1"/>
    </xf>
    <xf numFmtId="0" fontId="42" fillId="18" borderId="73" xfId="1" applyFont="1" applyFill="1" applyBorder="1" applyAlignment="1">
      <alignment horizontal="center"/>
    </xf>
    <xf numFmtId="0" fontId="29" fillId="0" borderId="74" xfId="1" applyFont="1" applyBorder="1"/>
    <xf numFmtId="0" fontId="29" fillId="0" borderId="74" xfId="1" applyFont="1" applyBorder="1" applyAlignment="1">
      <alignment horizontal="center"/>
    </xf>
    <xf numFmtId="0" fontId="29" fillId="0" borderId="75" xfId="1" applyFont="1" applyBorder="1"/>
    <xf numFmtId="0" fontId="29" fillId="0" borderId="76" xfId="1" applyFont="1" applyBorder="1" applyAlignment="1">
      <alignment horizontal="center"/>
    </xf>
    <xf numFmtId="0" fontId="29" fillId="0" borderId="17" xfId="1" applyFont="1" applyBorder="1" applyAlignment="1">
      <alignment horizontal="right" vertical="center"/>
    </xf>
    <xf numFmtId="0" fontId="40" fillId="11" borderId="29" xfId="0" applyFont="1" applyFill="1" applyBorder="1" applyAlignment="1">
      <alignment horizontal="center" vertical="top"/>
    </xf>
    <xf numFmtId="0" fontId="40" fillId="11" borderId="0" xfId="0" applyFont="1" applyFill="1" applyAlignment="1">
      <alignment horizontal="center" vertical="top"/>
    </xf>
    <xf numFmtId="0" fontId="40" fillId="11" borderId="30" xfId="0" applyFont="1" applyFill="1" applyBorder="1" applyAlignment="1">
      <alignment horizontal="center" vertical="top"/>
    </xf>
    <xf numFmtId="0" fontId="29" fillId="0" borderId="29" xfId="0" applyFont="1" applyBorder="1" applyProtection="1">
      <protection locked="0"/>
    </xf>
    <xf numFmtId="0" fontId="29" fillId="8" borderId="0" xfId="0" applyFont="1" applyFill="1" applyProtection="1">
      <protection locked="0"/>
    </xf>
    <xf numFmtId="0" fontId="29" fillId="8" borderId="0" xfId="0" applyFont="1" applyFill="1" applyAlignment="1" applyProtection="1">
      <alignment horizontal="left"/>
      <protection locked="0"/>
    </xf>
    <xf numFmtId="0" fontId="29" fillId="0" borderId="30" xfId="0" applyFont="1" applyBorder="1" applyAlignment="1">
      <alignment horizontal="center"/>
    </xf>
    <xf numFmtId="0" fontId="29" fillId="0" borderId="29" xfId="0" applyFont="1" applyBorder="1"/>
    <xf numFmtId="0" fontId="29" fillId="0" borderId="31" xfId="0" applyFont="1" applyBorder="1"/>
    <xf numFmtId="0" fontId="29" fillId="0" borderId="1" xfId="0" applyFont="1" applyBorder="1"/>
    <xf numFmtId="0" fontId="29" fillId="8" borderId="1" xfId="0" applyFont="1" applyFill="1" applyBorder="1" applyProtection="1">
      <protection locked="0"/>
    </xf>
    <xf numFmtId="0" fontId="29" fillId="8" borderId="1" xfId="0" applyFont="1" applyFill="1" applyBorder="1" applyAlignment="1" applyProtection="1">
      <alignment horizontal="left"/>
      <protection locked="0"/>
    </xf>
    <xf numFmtId="0" fontId="29" fillId="0" borderId="32" xfId="0" applyFont="1" applyBorder="1" applyAlignment="1">
      <alignment horizontal="center"/>
    </xf>
    <xf numFmtId="0" fontId="29" fillId="0" borderId="31" xfId="0" applyFont="1" applyBorder="1" applyProtection="1">
      <protection locked="0"/>
    </xf>
    <xf numFmtId="0" fontId="29" fillId="0" borderId="1" xfId="0" applyFont="1" applyBorder="1" applyProtection="1">
      <protection locked="0"/>
    </xf>
    <xf numFmtId="0" fontId="29" fillId="8" borderId="30" xfId="0" applyFont="1" applyFill="1" applyBorder="1" applyAlignment="1">
      <alignment horizontal="center"/>
    </xf>
    <xf numFmtId="0" fontId="29" fillId="8" borderId="32" xfId="0" applyFont="1" applyFill="1" applyBorder="1" applyAlignment="1">
      <alignment horizontal="center"/>
    </xf>
    <xf numFmtId="0" fontId="29" fillId="0" borderId="80" xfId="1" applyFont="1" applyBorder="1" applyAlignment="1">
      <alignment vertical="center" wrapText="1"/>
    </xf>
    <xf numFmtId="0" fontId="29" fillId="0" borderId="81" xfId="1" applyFont="1" applyBorder="1" applyAlignment="1">
      <alignment vertical="center" wrapText="1"/>
    </xf>
    <xf numFmtId="0" fontId="29" fillId="0" borderId="82" xfId="1" applyFont="1" applyBorder="1" applyAlignment="1">
      <alignment vertical="center" wrapText="1"/>
    </xf>
    <xf numFmtId="0" fontId="29" fillId="0" borderId="83" xfId="0" applyFont="1" applyBorder="1"/>
    <xf numFmtId="0" fontId="29" fillId="0" borderId="84" xfId="0" applyFont="1" applyBorder="1"/>
    <xf numFmtId="0" fontId="29" fillId="0" borderId="85" xfId="0" applyFont="1" applyBorder="1"/>
    <xf numFmtId="0" fontId="29" fillId="25" borderId="2" xfId="0" applyFont="1" applyFill="1" applyBorder="1" applyAlignment="1">
      <alignment vertical="top"/>
    </xf>
    <xf numFmtId="0" fontId="50" fillId="0" borderId="42" xfId="1" applyFont="1" applyBorder="1" applyAlignment="1" applyProtection="1">
      <alignment horizontal="center" vertical="center" wrapText="1"/>
      <protection locked="0" hidden="1"/>
    </xf>
    <xf numFmtId="0" fontId="50" fillId="0" borderId="43" xfId="1" applyFont="1" applyBorder="1" applyAlignment="1" applyProtection="1">
      <alignment horizontal="center" vertical="center" wrapText="1"/>
      <protection locked="0" hidden="1"/>
    </xf>
    <xf numFmtId="0" fontId="50" fillId="0" borderId="44" xfId="1" applyFont="1" applyBorder="1" applyAlignment="1" applyProtection="1">
      <alignment horizontal="center" vertical="center" wrapText="1"/>
      <protection locked="0" hidden="1"/>
    </xf>
    <xf numFmtId="0" fontId="40" fillId="0" borderId="3" xfId="1" applyFont="1" applyBorder="1" applyAlignment="1" applyProtection="1">
      <alignment horizontal="left"/>
      <protection locked="0"/>
    </xf>
    <xf numFmtId="0" fontId="35" fillId="0" borderId="20" xfId="1" applyFont="1" applyBorder="1" applyAlignment="1" applyProtection="1">
      <alignment horizontal="center" vertical="center" wrapText="1"/>
      <protection locked="0" hidden="1"/>
    </xf>
    <xf numFmtId="0" fontId="35" fillId="0" borderId="21" xfId="1" applyFont="1" applyBorder="1" applyAlignment="1" applyProtection="1">
      <alignment horizontal="center" vertical="center" wrapText="1"/>
      <protection locked="0" hidden="1"/>
    </xf>
    <xf numFmtId="0" fontId="35" fillId="0" borderId="16" xfId="1" applyFont="1" applyBorder="1" applyAlignment="1" applyProtection="1">
      <alignment horizontal="center" vertical="center" wrapText="1"/>
      <protection locked="0" hidden="1"/>
    </xf>
    <xf numFmtId="0" fontId="35" fillId="0" borderId="18" xfId="1" applyFont="1" applyBorder="1" applyAlignment="1" applyProtection="1">
      <alignment horizontal="center" vertical="center" wrapText="1"/>
      <protection locked="0" hidden="1"/>
    </xf>
    <xf numFmtId="0" fontId="29" fillId="0" borderId="20" xfId="1" applyFont="1" applyBorder="1" applyAlignment="1" applyProtection="1">
      <alignment horizontal="center"/>
      <protection locked="0" hidden="1"/>
    </xf>
    <xf numFmtId="0" fontId="29" fillId="0" borderId="22" xfId="1" applyFont="1" applyBorder="1" applyAlignment="1" applyProtection="1">
      <alignment horizontal="center"/>
      <protection locked="0" hidden="1"/>
    </xf>
    <xf numFmtId="0" fontId="29" fillId="0" borderId="21" xfId="1" applyFont="1" applyBorder="1" applyAlignment="1" applyProtection="1">
      <alignment horizontal="center"/>
      <protection locked="0" hidden="1"/>
    </xf>
    <xf numFmtId="0" fontId="29" fillId="0" borderId="23" xfId="1" applyFont="1" applyBorder="1" applyAlignment="1" applyProtection="1">
      <alignment horizontal="center"/>
      <protection locked="0" hidden="1"/>
    </xf>
    <xf numFmtId="0" fontId="38" fillId="0" borderId="16" xfId="1" applyFont="1" applyBorder="1" applyAlignment="1" applyProtection="1">
      <alignment horizontal="center"/>
      <protection locked="0" hidden="1"/>
    </xf>
    <xf numFmtId="0" fontId="38" fillId="0" borderId="18" xfId="1" applyFont="1" applyBorder="1" applyAlignment="1" applyProtection="1">
      <alignment horizontal="center"/>
      <protection locked="0" hidden="1"/>
    </xf>
    <xf numFmtId="0" fontId="40" fillId="0" borderId="6" xfId="1" applyFont="1" applyBorder="1" applyAlignment="1" applyProtection="1">
      <alignment horizontal="center"/>
      <protection locked="0" hidden="1"/>
    </xf>
    <xf numFmtId="0" fontId="40" fillId="0" borderId="33" xfId="1" applyFont="1" applyBorder="1" applyAlignment="1" applyProtection="1">
      <alignment horizontal="center"/>
      <protection locked="0" hidden="1"/>
    </xf>
    <xf numFmtId="0" fontId="40" fillId="0" borderId="5" xfId="1" applyFont="1" applyBorder="1" applyAlignment="1" applyProtection="1">
      <alignment horizontal="center"/>
      <protection locked="0" hidden="1"/>
    </xf>
    <xf numFmtId="0" fontId="49" fillId="0" borderId="55" xfId="1" applyFont="1" applyBorder="1" applyAlignment="1" applyProtection="1">
      <alignment horizontal="center"/>
      <protection locked="0" hidden="1"/>
    </xf>
    <xf numFmtId="0" fontId="49" fillId="0" borderId="58" xfId="1" applyFont="1" applyBorder="1" applyAlignment="1" applyProtection="1">
      <alignment horizontal="center"/>
      <protection locked="0" hidden="1"/>
    </xf>
    <xf numFmtId="0" fontId="35" fillId="0" borderId="45" xfId="1" applyFont="1" applyBorder="1" applyAlignment="1" applyProtection="1">
      <alignment horizontal="center" vertical="center" wrapText="1"/>
      <protection locked="0" hidden="1"/>
    </xf>
    <xf numFmtId="0" fontId="35" fillId="0" borderId="39" xfId="1" applyFont="1" applyBorder="1" applyAlignment="1" applyProtection="1">
      <alignment horizontal="center" vertical="center" wrapText="1"/>
      <protection locked="0" hidden="1"/>
    </xf>
    <xf numFmtId="0" fontId="35" fillId="0" borderId="46" xfId="1" applyFont="1" applyBorder="1" applyAlignment="1" applyProtection="1">
      <alignment horizontal="center" vertical="center" wrapText="1"/>
      <protection locked="0" hidden="1"/>
    </xf>
    <xf numFmtId="0" fontId="35" fillId="0" borderId="38" xfId="1" applyFont="1" applyBorder="1" applyAlignment="1" applyProtection="1">
      <alignment horizontal="center" vertical="center" wrapText="1"/>
      <protection locked="0" hidden="1"/>
    </xf>
    <xf numFmtId="0" fontId="35" fillId="0" borderId="48" xfId="1" applyFont="1" applyBorder="1" applyAlignment="1" applyProtection="1">
      <alignment horizontal="center" vertical="center" wrapText="1"/>
      <protection locked="0" hidden="1"/>
    </xf>
    <xf numFmtId="0" fontId="38" fillId="0" borderId="54" xfId="1" applyFont="1" applyBorder="1" applyAlignment="1" applyProtection="1">
      <alignment horizontal="center"/>
      <protection locked="0" hidden="1"/>
    </xf>
    <xf numFmtId="0" fontId="38" fillId="0" borderId="19" xfId="1" applyFont="1" applyBorder="1" applyAlignment="1" applyProtection="1">
      <alignment horizontal="center"/>
      <protection locked="0" hidden="1"/>
    </xf>
    <xf numFmtId="0" fontId="36" fillId="0" borderId="55" xfId="1" applyFont="1" applyBorder="1" applyAlignment="1" applyProtection="1">
      <alignment horizontal="center"/>
      <protection locked="0" hidden="1"/>
    </xf>
    <xf numFmtId="0" fontId="36" fillId="0" borderId="56" xfId="1" applyFont="1" applyBorder="1" applyAlignment="1" applyProtection="1">
      <alignment horizontal="center"/>
      <protection locked="0" hidden="1"/>
    </xf>
    <xf numFmtId="0" fontId="38" fillId="0" borderId="57" xfId="1" applyFont="1" applyBorder="1" applyAlignment="1" applyProtection="1">
      <alignment horizontal="center"/>
      <protection locked="0" hidden="1"/>
    </xf>
    <xf numFmtId="0" fontId="35" fillId="0" borderId="45" xfId="1" applyFont="1" applyBorder="1" applyAlignment="1" applyProtection="1">
      <alignment horizontal="center" vertical="center"/>
      <protection locked="0" hidden="1"/>
    </xf>
    <xf numFmtId="0" fontId="35" fillId="0" borderId="39" xfId="1" applyFont="1" applyBorder="1" applyAlignment="1" applyProtection="1">
      <alignment horizontal="center" vertical="center"/>
      <protection locked="0" hidden="1"/>
    </xf>
    <xf numFmtId="0" fontId="35" fillId="0" borderId="55" xfId="1" applyFont="1" applyBorder="1" applyAlignment="1" applyProtection="1">
      <alignment horizontal="center"/>
      <protection locked="0" hidden="1"/>
    </xf>
    <xf numFmtId="0" fontId="35" fillId="0" borderId="56" xfId="1" applyFont="1" applyBorder="1" applyAlignment="1" applyProtection="1">
      <alignment horizontal="center"/>
      <protection locked="0" hidden="1"/>
    </xf>
    <xf numFmtId="0" fontId="42" fillId="18" borderId="26" xfId="0" applyFont="1" applyFill="1" applyBorder="1" applyAlignment="1">
      <alignment horizontal="center" vertical="center" wrapText="1"/>
    </xf>
    <xf numFmtId="0" fontId="29" fillId="9" borderId="79" xfId="0" applyFont="1" applyFill="1" applyBorder="1" applyAlignment="1">
      <alignment horizontal="center" vertical="center" wrapText="1"/>
    </xf>
    <xf numFmtId="0" fontId="29" fillId="9" borderId="30" xfId="0" applyFont="1" applyFill="1" applyBorder="1" applyAlignment="1">
      <alignment horizontal="center" vertical="center" wrapText="1"/>
    </xf>
    <xf numFmtId="0" fontId="30" fillId="13" borderId="40" xfId="0" applyFont="1" applyFill="1" applyBorder="1" applyAlignment="1">
      <alignment horizontal="center"/>
    </xf>
    <xf numFmtId="0" fontId="30" fillId="13" borderId="3" xfId="0" applyFont="1" applyFill="1" applyBorder="1" applyAlignment="1">
      <alignment horizontal="center"/>
    </xf>
    <xf numFmtId="0" fontId="30" fillId="12" borderId="77" xfId="0" applyFont="1" applyFill="1" applyBorder="1" applyAlignment="1">
      <alignment horizontal="center"/>
    </xf>
    <xf numFmtId="0" fontId="30" fillId="12" borderId="78" xfId="0" applyFont="1" applyFill="1" applyBorder="1" applyAlignment="1">
      <alignment horizontal="center"/>
    </xf>
    <xf numFmtId="0" fontId="30" fillId="12" borderId="79" xfId="0" applyFont="1" applyFill="1" applyBorder="1" applyAlignment="1">
      <alignment horizontal="center"/>
    </xf>
    <xf numFmtId="0" fontId="29" fillId="0" borderId="0" xfId="0" applyFont="1" applyAlignment="1">
      <alignment horizontal="center" vertical="center" wrapText="1"/>
    </xf>
  </cellXfs>
  <cellStyles count="12">
    <cellStyle name="Comma" xfId="9" builtinId="3"/>
    <cellStyle name="Comma [0]" xfId="7" builtinId="6"/>
    <cellStyle name="Comma [0] 4" xfId="11" xr:uid="{3D052756-07CE-4105-BE23-3D9DA4E33CCA}"/>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57">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6"/>
      <tableStyleElement type="headerRow" dxfId="55"/>
      <tableStyleElement type="totalRow" dxfId="54"/>
      <tableStyleElement type="firstRowStripe" dxfId="53"/>
      <tableStyleElement type="firstColumnStripe" dxfId="52"/>
      <tableStyleElement type="firstSubtotalColumn" dxfId="51"/>
      <tableStyleElement type="firstSubtotalRow" dxfId="50"/>
      <tableStyleElement type="secondSubtotalRow" dxfId="49"/>
      <tableStyleElement type="firstRowSubheading" dxfId="48"/>
      <tableStyleElement type="secondRowSubheading" dxfId="47"/>
      <tableStyleElement type="pageFieldLabels" dxfId="46"/>
      <tableStyleElement type="pageFieldValues" dxfId="45"/>
    </tableStyle>
    <tableStyle name="PivotStyleMedium8 2 2" table="0" count="12" xr9:uid="{00000000-0011-0000-FFFF-FFFF01000000}">
      <tableStyleElement type="wholeTable" dxfId="44"/>
      <tableStyleElement type="headerRow" dxfId="43"/>
      <tableStyleElement type="totalRow" dxfId="42"/>
      <tableStyleElement type="firstRowStripe" dxfId="41"/>
      <tableStyleElement type="firstColumnStripe" dxfId="40"/>
      <tableStyleElement type="firstSubtotalColumn"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PivotStyleMedium8 2 2 2" table="0" count="13" xr9:uid="{00000000-0011-0000-FFFF-FFFF02000000}">
      <tableStyleElement type="wholeTable" dxfId="32"/>
      <tableStyleElement type="headerRow" dxfId="31"/>
      <tableStyleElement type="totalRow" dxfId="30"/>
      <tableStyleElement type="lastColumn" dxfId="29"/>
      <tableStyleElement type="firstRowStripe" dxfId="28"/>
      <tableStyleElement type="firstColumnStripe" dxfId="27"/>
      <tableStyleElement type="firstSubtotalColumn" dxfId="26"/>
      <tableStyleElement type="firstSubtotalRow" dxfId="25"/>
      <tableStyleElement type="secondSubtotalRow" dxfId="24"/>
      <tableStyleElement type="firstRowSubheading" dxfId="23"/>
      <tableStyleElement type="secondRowSubheading" dxfId="22"/>
      <tableStyleElement type="pageFieldLabels" dxfId="21"/>
      <tableStyleElement type="pageFieldValues" dxfId="20"/>
    </tableStyle>
    <tableStyle name="PivotStyleMedium8 2 3" table="0" count="12" xr9:uid="{00000000-0011-0000-FFFF-FFFF03000000}">
      <tableStyleElement type="wholeTable" dxfId="19"/>
      <tableStyleElement type="headerRow" dxfId="18"/>
      <tableStyleElement type="totalRow" dxfId="17"/>
      <tableStyleElement type="firstRowStripe" dxfId="16"/>
      <tableStyleElement type="firstColumnStripe" dxfId="15"/>
      <tableStyleElement type="firstSubtotalColumn" dxfId="14"/>
      <tableStyleElement type="firstSubtotalRow" dxfId="13"/>
      <tableStyleElement type="secondSubtotalRow" dxfId="12"/>
      <tableStyleElement type="firstRowSubheading" dxfId="11"/>
      <tableStyleElement type="secondRowSubheading" dxfId="10"/>
      <tableStyleElement type="pageFieldLabels" dxfId="9"/>
      <tableStyleElement type="pageFieldValues" dxfId="8"/>
    </tableStyle>
    <tableStyle name="Table Style 1" pivot="0" count="2" xr9:uid="{00000000-0011-0000-FFFF-FFFF04000000}">
      <tableStyleElement type="wholeTable" dxfId="7"/>
      <tableStyleElement type="headerRow" dxfId="6"/>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333374</xdr:colOff>
      <xdr:row>72</xdr:row>
      <xdr:rowOff>0</xdr:rowOff>
    </xdr:from>
    <xdr:to>
      <xdr:col>3</xdr:col>
      <xdr:colOff>4000499</xdr:colOff>
      <xdr:row>72</xdr:row>
      <xdr:rowOff>0</xdr:rowOff>
    </xdr:to>
    <xdr:pic>
      <xdr:nvPicPr>
        <xdr:cNvPr id="2" name="Picture 1">
          <a:extLst>
            <a:ext uri="{FF2B5EF4-FFF2-40B4-BE49-F238E27FC236}">
              <a16:creationId xmlns:a16="http://schemas.microsoft.com/office/drawing/2014/main" id="{7027F439-96EC-43C2-98B1-73E1939745A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78</xdr:row>
      <xdr:rowOff>610885</xdr:rowOff>
    </xdr:from>
    <xdr:to>
      <xdr:col>3</xdr:col>
      <xdr:colOff>4527638</xdr:colOff>
      <xdr:row>78</xdr:row>
      <xdr:rowOff>2154176</xdr:rowOff>
    </xdr:to>
    <xdr:pic>
      <xdr:nvPicPr>
        <xdr:cNvPr id="3" name="Picture 2">
          <a:extLst>
            <a:ext uri="{FF2B5EF4-FFF2-40B4-BE49-F238E27FC236}">
              <a16:creationId xmlns:a16="http://schemas.microsoft.com/office/drawing/2014/main" id="{78209460-CCAD-450C-97D7-6397ABB0BB48}"/>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8AD32360-ADC7-4941-BAB9-B101D7D0423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97274" y="158178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EBFFD3EB-1580-4D57-ABCE-57DAFCE511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309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8C8106DA-58DE-45E3-A720-9362C007C097}"/>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C9F9228B-D87A-4C9E-ADD9-FDACEC077F96}"/>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3CAA04B1-7E47-4A85-A7FC-F8C11BCF358A}"/>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565E0FB2-C03C-4923-8300-F058CDCA3251}"/>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8BAB7A45-8C4D-48BE-ADF8-49B27B8182C2}"/>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3A3F8869-7B32-4E0D-BFD0-2591E9B1D5BD}"/>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CCE37400-193E-444C-8F60-4D121C3EF6E5}"/>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FD1EBFAE-BF0C-4979-A66C-826E6C3D9454}"/>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2081F44A-9CFD-4AC5-9EEF-C633C0AD2EB9}"/>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DF2B826D-DD23-44FF-9B41-44DD27DC403E}"/>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5E821B83-0339-4021-8309-0B05F8F81E6B}"/>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0CE76102-A40F-4A74-9194-1048698D773B}"/>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55C0C87C-9D6C-469B-B2EF-2D408AE938EE}"/>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51E1AC50-2F48-4693-898F-57AC48F80FE9}"/>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66768A9D-A8BC-43BA-B13A-7D742E46D83D}"/>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433E4624-7CB2-44B4-85EE-9CECFC9802DF}"/>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316EE131-D17E-475D-B0D2-550E3602075B}"/>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F1615F6B-BE02-4637-B78B-37AF591A7234}"/>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2C1A59F3-8329-465C-9D56-E3B50879E06E}"/>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C1D9C5A3-AACD-4F22-A33B-AE83A529EE51}"/>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F67E8E45-2EF1-4EBA-9999-1094518DF49F}"/>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EDD6532E-4478-488E-9C92-EA797EA16C1D}"/>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B03D3A58-9D2A-49BC-AD2D-714C778FEF78}"/>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CFF695EB-4376-4320-8345-DBFA026A3E2D}"/>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B1C6BB03-1F41-4B46-8B4F-381C59992163}"/>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824EADF6-A3EE-4256-B52D-23737C15E9B6}"/>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519C0B05-FAB0-44C2-BCA5-F7E977EEDF0B}"/>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6372A9CE-973F-4440-B5DA-46CF8ACDD76F}"/>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EDD0ADA5-88E0-4F81-9316-2027959E44BB}"/>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38D1C347-D589-43AA-9D3E-B7EF02F52FE3}"/>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D1A3BCB9-3291-44AD-B3EE-8CB764B8D936}"/>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9730DAA9-A1F9-40FC-A2DC-2ACAD6A86859}"/>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8C7C3AD5-8CCF-40AD-87BC-693B34D88468}"/>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BEA1F6DE-8638-485E-936C-A721EF741CBA}"/>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625EB3E5-5A11-49BE-A42A-42AA2569FB9D}"/>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4B8C4E84-1F67-4ADA-8BEF-062AF3A166E9}"/>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62CA82B8-2277-4C60-9667-C33F5C22CD88}"/>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A3CD27B5-44FA-4792-8B6C-E6114FF22719}"/>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557AD878-DE23-4BDC-9369-ECEBED03C6B6}"/>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F90850DB-A516-4D67-8161-5E6CA4A3B6E0}"/>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736BB2C3-A68C-436B-ABD3-FC51918161AF}"/>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600234C7-0E62-4954-8FD9-FF0CD13F4116}"/>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97EF57F1-148B-4761-A72D-D239ECF7A00B}"/>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95C1EFF2-6306-4CA8-977B-1334A0812A1E}"/>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59F7080B-842E-41CD-B90B-187F3CCC7D5C}"/>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F634ACE2-A075-4035-8D29-B6C7F5E4F4D1}"/>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20DD434B-A842-4FBA-B1DB-A19D33845491}"/>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C7D3A7D2-5737-4FDE-99C4-39E558EB9896}"/>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3A9E4DE8-B07D-4BCE-BBF2-15742FB5C0D7}"/>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E8CDCFEA-8CC3-41FC-8CD2-25F08CB3B764}"/>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98911177-5C6D-4CE4-8FEB-943E030934F1}"/>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AAB9CE3A-6F5F-4C5E-9D37-CE44162B9F74}"/>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5DEF7272-BAF8-412A-A4D0-7A1840ECA950}"/>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2ACE47A5-2EB2-47E0-99FD-8389EF05901E}"/>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EE59C14D-7B49-495F-881E-D782608B0E15}"/>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C57149F5-0017-4C86-8F93-AEC78A961D95}"/>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3B26D698-3557-4F3F-BE6B-0A4B962B7618}"/>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454CF19E-5AE0-467D-8941-6DC7E48B4DBF}"/>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C651B5FE-25CF-4357-BF3F-B70C713DCD96}"/>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6A129582-30BE-44FF-8694-268BD473C544}"/>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0C234F58-0628-47F1-AAA7-7FB5DE2DAD88}"/>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EA20699F-D951-404B-B83E-1059DD51F90A}"/>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D9BD482A-8B17-4F95-BEE6-42EF02A9ABF5}"/>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2F01DE76-DD07-4DD5-8573-8C798B636436}"/>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C57A4232-4D60-465E-A0E8-C03FD006425A}"/>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16B3B7CA-DE19-43FC-8A3D-44354B36EBA7}"/>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F604B546-DF17-4E38-A854-76E1D7A49000}"/>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759A4BC0-6A5F-40A9-913F-EE31AA442053}"/>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E351100E-1B8A-49D2-A105-1F41EA90E405}"/>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2EFFEE59-6816-4613-81A9-118500C5729E}"/>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4A47EC71-3F7B-4B05-BA5B-4AC962F3EC8D}"/>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59027552-8D50-4A5F-9E3A-B95C77554162}"/>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7D7DA29D-794F-4C30-9C30-D957DA450C42}"/>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E015096E-E2DD-46C0-8B13-7C8496D4EEF5}"/>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CAAC7DA8-D2AC-4AC2-8E45-045A474173F1}"/>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56494B3F-04E9-4F23-8A2B-CAAF761EEC15}"/>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4ED768D5-913F-4E0F-994B-85173E2AA087}"/>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39769314-C3D8-428A-BF55-0EA0AA3374D5}"/>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F26AA752-962F-4929-BE88-A9D47322DBFC}"/>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4063CF3F-0688-4EEF-8F73-FCED4F677CC0}"/>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7372389D-5820-42BB-9F54-79C943C109B5}"/>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EB83355A-E062-4361-A892-A3351EE027E8}"/>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1F8D0BFD-174F-49BC-BD07-63BF85C9FDB0}"/>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0604D8EA-6C90-4B29-A557-D101EDC99AD5}"/>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61264E0E-37DA-4AF0-B20C-FFDB11B13528}"/>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2401EECE-C4A8-4D48-877B-DC16DEEBC731}"/>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025BE1C1-A41E-472C-8D05-2F26CA20EFDB}"/>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7C2583C9-0E23-4E00-B0D1-D7ADEE0BA8FD}"/>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C99DCB22-A60F-4B25-B41E-FE04DC6CC066}"/>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68C3CA61-9361-4B52-8228-E93C2D621093}"/>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FCE0C4E3-CB91-42E8-A595-DFF82074CE0D}"/>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A07AD731-BEA2-4523-8425-9FE3B6D3174E}"/>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05E2965D-EBA7-4B6B-A1E9-A692732AB0BF}"/>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17E66A6B-7898-4BBA-BA13-0CFF98E87CC6}"/>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4C450078-D05F-4E1F-98CB-646911E5E27F}"/>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EFD1A8D2-22F1-473E-9B77-51351E036E13}"/>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E0CDF40B-13E5-442B-8415-C1F9716074C0}"/>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3D409EF1-E26C-4450-9800-AEC274348FB6}"/>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5B5F43FB-933F-4D97-8F61-CE29E235E8FB}"/>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FF517D53-2FFB-4430-8FA2-B47BB190E374}"/>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ECBAD948-C29D-4832-8536-8D0C55ABFEAF}"/>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4B1AF5E1-C96A-4EB1-8AC8-5E6B98FA3435}"/>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D92251DD-8D3C-40C8-AFC6-17E0B7E5F244}"/>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390E87FE-6E02-4662-86BB-7516FA0EDEBE}"/>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A3B7B39A-C3C4-4855-A9D1-2C403C717918}"/>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A81451A5-A634-47C9-BB3D-8105A22A778E}"/>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3CFC7C69-4E59-4407-AC31-64BDE984C288}"/>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24B8246E-4DAD-4AE1-92F6-2018165F1FAF}"/>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061645F6-09B9-46F2-B045-0BA5B5C70C7B}"/>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91C76FA2-8D8F-406E-97F6-070C18E66AA7}"/>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76BC9D65-C502-48D6-AE30-B00F0243035C}"/>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0C3D6F05-F0FE-49F7-812D-659A6418BA8F}"/>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D788D484-89F8-477F-B867-A50BA03CE620}"/>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252E98AD-80E9-4263-BC62-092212F792A9}"/>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9315C4B0-49F3-4A4B-8DA7-8EE5971C2DE4}"/>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7B22E456-2BDB-4F95-9896-7890D793203E}"/>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C550951C-E238-4442-9648-20BA1304706C}"/>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B99896E6-F06D-4DE7-A496-C33E67461661}"/>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80E81640-7FA3-4C40-AB23-3A4B5FC923B1}"/>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F3EBD5D6-EE3D-4949-AB27-6963AC37EE0F}"/>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C5D7F05C-4EAD-4C96-91E5-63AC16B30DF6}"/>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50E8DA28-BD69-49E7-87AA-E3B6B07174CA}"/>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B28D84E8-50BB-441E-BD4C-9727E87B2C03}"/>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99EE84A9-419F-4FAB-9164-8651E3932F8A}"/>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E6689DB1-7BB3-43C5-9B88-60C1B892D643}"/>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2AAE224C-9762-484E-ABA5-E29C0DDF95F5}"/>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00A41FF0-8051-46A7-9F04-C1456B4851C0}"/>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610DEAA4-EB51-4816-B18D-C392ED05CE1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46E0CA29-D6EE-4815-90FF-5736B0BAC0BA}"/>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9B15659F-5BB0-46A9-A931-0D11979E8B13}"/>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D6DE6C0C-A8CF-4193-8C92-7827D612BBB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A4E5759E-5D9B-4BF9-B237-2E12CE077EA8}"/>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65EAC12F-0F27-4CD1-B896-97E80DDE320B}"/>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CC504C90-3ABE-413A-96AB-1343CE05BBB6}"/>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5D23E988-47E0-49B2-A99C-DC4E56D1AB5C}"/>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99AA52C2-E7C6-4F34-AE60-E52A0E3D69E2}"/>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AB942B1F-1131-42C1-9B53-596F97224F87}"/>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E9048A03-4FE1-45CA-A55B-7242785D5AF9}"/>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2E8DA0EB-3657-476A-92D8-3938C2CE865A}"/>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3CACCD6B-B5F1-4C13-8000-144A749B3022}"/>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441D7A19-C19F-4B98-8FD9-860AC29AE77F}"/>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4EDE32DA-C563-4B89-B147-16A2D8719746}"/>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1E26E45B-A163-43FE-B555-BE9A84722ECD}"/>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160F691F-AA49-4D79-AA4A-AE79B0B70EEF}"/>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8E1A76CE-027A-4758-9070-946BA3F6BB4C}"/>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151CD49E-3B99-4B0E-B5E9-F2EAC4964DBF}"/>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03F2E835-C7EE-4C13-9ED8-20AFBB73C11C}"/>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C9B9C401-378E-4430-A756-2707859ED1B4}"/>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A8D3591D-510A-4F06-9FFA-B4A3400C30CA}"/>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E6714979-7DA4-48EE-A6AD-0E59E9A2DFAB}"/>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CA85FCF6-7C7F-49F9-BEFD-59A9C90940EE}"/>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3E00C65F-02E6-4F70-9BBB-3A0FEED3A11B}"/>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DD0E1EE0-FE9A-46B9-A7AD-325BDBB57656}"/>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FA64EA6A-2B25-4937-B7B9-24AE6372E681}"/>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EE103103-CB0C-40F7-B01F-FC2B1AB1289D}"/>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2826BA53-0DAC-4F54-8104-799174136956}"/>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D2DDDE51-E8BF-47C0-AFD8-C568E6FF09B6}"/>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C01354B2-958A-4C5F-96B7-BEAC3686179A}"/>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E1244E4B-36EE-46B8-8966-88D20DD7137E}"/>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B2FAFFB2-9595-4914-B540-1E34A09FF0F6}"/>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B926D9E1-E24D-4165-BD31-FEA6A6EB7C5E}"/>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9FE29470-6125-44D3-AF6E-F979C5ABD15A}"/>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D956D15F-A87D-4CEB-B513-26373420EF07}"/>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88892AA7-98E5-4838-A897-222FF2618D70}"/>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84B3F21D-F70E-4F50-B760-C3B38DD7FE67}"/>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9E0189CB-767E-4F94-82E2-0C9770B3E317}"/>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03E762E1-A2CF-4624-9CBB-CB996E6331E8}"/>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4EB194A5-7684-4BD3-8A59-B615C5086BBD}"/>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2EF93E79-40E7-41B3-B01D-950F3FF4A2EE}"/>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825756ED-BA68-4647-99BD-D859DC035220}"/>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2233E688-289C-40B3-8ADA-BC5BE4E694FF}"/>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017F1140-00AA-45EB-8598-16A6EF1ED4F2}"/>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0217C16E-875A-4E07-A6D7-FBC62892431C}"/>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A592E007-41C7-479A-8003-B2CD5BF6AF02}"/>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0F268E44-C4F4-4AC8-A228-4858906FDCCB}"/>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331D387E-C058-49CF-B139-0170BED8D81E}"/>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632CDB4E-8E6C-4CBE-8164-2FBA9147AE69}"/>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36563986-AA34-4C64-A4D4-33F2B8BD19F1}"/>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2F32F2C8-36A5-48FD-B09F-18268067356E}"/>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0D645624-ECE9-44BC-B4E2-6FD57A25626A}"/>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E06B3A39-7823-4C8C-8F11-21C2091D455C}"/>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425F8318-168A-4DFA-B987-ECEFA69BC1D2}"/>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E61A444C-753E-472A-9B75-8A1EFE559432}"/>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690AC0F1-FCC3-4DF9-93CB-6C336ECA73D5}"/>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19C9BF96-A8C6-4277-A779-650AF30A599E}"/>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C5C5E47D-7FE5-4DC4-B09C-D722E7889654}"/>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37246A6E-D7B1-4152-8623-43B5D9DB8CB2}"/>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4DE05D26-CBBD-4AD8-91BA-4167F32841F3}"/>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B0457AEE-32DF-4898-ACD7-2F5EA6CAA863}"/>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6431863F-D92C-4054-9A2E-CC3814C7B60C}"/>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363A0E02-4BB7-45BB-99F0-F86B416572EB}"/>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664C563D-C7A9-4B54-97D1-CCDEC6A77190}"/>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437EE94B-4B0D-4FD6-B156-0648131B732C}"/>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08B644DF-5B2B-4299-9256-A86F7C753CE0}"/>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6F972729-5C43-4EFF-AAC6-7E3EBBD4144D}"/>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FFC5B1A4-4D81-420C-B97C-7BAA58278E09}"/>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6D622540-C772-444B-9D7C-916533BE11C6}"/>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6E1AF0C6-5C97-4085-ADE3-40DCE8BA810F}"/>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69D34625-92E2-4B7A-B315-E5473DA537A8}"/>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36AD94CB-4A72-47B6-98F6-EDE78E8BFB93}"/>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5C89DF6A-99B7-4BCB-B53D-5B3B41C1BEE0}"/>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083381AD-1E2A-4774-ADCF-61D6EE3E3968}"/>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BCAF4DED-8B03-4D6F-A079-ED02B84A09EA}"/>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8593974C-DE7E-4149-8386-8513D016B326}"/>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24115AF3-A656-4410-8D09-2549B183A50B}"/>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880F95FB-38A0-49FD-8157-20F848E5CB53}"/>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DB815E91-4093-443F-87E8-B50C3B79DD1D}"/>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8EF3E121-4440-4B01-A35E-0E1ACB279D84}"/>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2A400A02-DEF6-444F-ABCB-432447DF666A}"/>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E3A36F04-0B17-4ABC-B521-AD2067E236ED}"/>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80607241-04BF-4B60-BC6B-6385298BF0D4}"/>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F6CC27C0-E653-4DA7-8F07-B77CE3604427}"/>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52DD3E09-2DA5-4A32-9F6B-AE8D4C44B519}"/>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C0BE4CF1-8225-42F7-BEF6-716D95B35040}"/>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FABF7C5B-3558-4FF5-9892-2C64D3A03128}"/>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C76791C4-6FAC-49AC-A6D5-8D8516870B36}"/>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7CABC107-6EC3-4DE4-BB48-A672051D7264}"/>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037403FC-DE3D-42BD-B6A3-5CF56EE4AC9E}"/>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01DF481C-87F3-432C-9095-C2244CE689DE}"/>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D97616F1-38E7-4299-BE31-3C4DFBBCDC53}"/>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968FC076-BDA9-4A7A-9A08-CC13E52323FA}"/>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9DF70242-9013-41CE-A2E0-1E4A9EE3A273}"/>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381DD623-F546-484E-BF90-72F7B8F5E882}"/>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8C8498A2-8624-40E8-99A3-51C51B06FCE3}"/>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D75A23C0-12FA-4942-85B5-B2A20A81B103}"/>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B4705978-DBC7-4D62-A435-742EDD30592E}"/>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FD7E9FF8-95FE-46EF-B7A1-0E6CEF026627}"/>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9F770EA4-3D78-480D-903D-60971762DCB2}"/>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53EBF0B4-71C2-408F-B664-3B63DB9B87C9}"/>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3A30E0B1-ECBC-41E6-8FEA-4FF526D5742B}"/>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DF740BDD-2D5C-407A-9B4B-46BD3A06DDCA}"/>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2B94C943-388F-46D1-A9CB-32EA14E2BFE5}"/>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EBAC8B47-8453-4746-9B8B-CC185374E294}"/>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4D9E31D3-FB3E-4CE7-898A-34C2379BB947}"/>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2E691903-F064-46F1-860C-E38EF0F30F9F}"/>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2BDCB8E1-7DA2-4DB2-9FDA-E364EB59C824}"/>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F013ADE5-BD63-4AC8-86FF-4FC05E4F192B}"/>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B52D72D5-783D-4459-8ED7-949743D5EF94}"/>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A8A3AE22-E9C8-4EDF-9C5F-82C39D2FF3AA}"/>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4B86DFB5-3937-422A-8C64-6FF162DB998B}"/>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AAE9F31-B642-4265-A3AE-E4CFDDAFC875}"/>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5A6F501A-48FE-4706-9407-A4DAC06C688B}"/>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77EFC33C-BB33-4E1C-B3D6-81EE192CA527}"/>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F83CA858-0269-47EF-A029-B411372510E5}"/>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A2BC3EBE-B3A2-4FC1-8E90-36CE4022E498}"/>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B4374E7D-5272-439A-BA1E-926DC3BF7810}"/>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C13F4A6A-9666-477E-ABC2-04E310ADB0BA}"/>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591604B5-AAD2-4A0F-9951-3FC9ABF47CF8}"/>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4AE02DD2-F234-4BE2-BEA9-5F3AD7F59E1D}"/>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CA9CED4C-86EE-4830-AFD2-EA7B7CB04979}"/>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E8634B5A-E3E1-4D00-BB1F-D9B7279C1549}"/>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8A4F5003-67E6-4CF4-AEF7-5C8813CE5402}"/>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D1200F5D-353F-499E-A5D3-E6C8F89AAF84}"/>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649C4C91-8AD9-49DC-81DD-C3B07E8B04C4}"/>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CD54609D-241A-4F48-ADE5-6F0B824DD23C}"/>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8EC2BDDD-F537-4DF0-8F1E-EDB4F9114E4C}"/>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61916734-959F-4E1B-A6B8-197B75EB69EB}"/>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4BC1216A-3481-4433-973E-2B6F12E17AE6}"/>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8ED534EF-3385-401C-B699-48546D4B7BD9}"/>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D028C114-8075-4E3D-B279-66074910A309}"/>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EA49B156-9FAB-4991-B888-F95D08C88130}"/>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CE4A46C8-3646-49E9-B647-D53CF4A46893}"/>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054448B9-E318-4EE9-BD35-93618557DD96}"/>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35802446-CB5E-43CC-87B1-B1D2C5EA571F}"/>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186AD15D-FAF6-4986-B763-28B28F557E24}"/>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67BCE7AA-7A1A-486A-B6F1-AD616785B790}"/>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D06CED2A-97EE-45E3-9892-4B13D043E08B}"/>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07F86C4A-5C59-42EC-B065-8EB36BF9729E}"/>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055AFD91-7DAE-45D9-9AFD-A0D9DE086C0E}"/>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5B681BBD-C6BF-4921-8146-BA843C6443F2}"/>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94B1EA38-D00B-459E-AA66-89F56448CC5E}"/>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AC2F4C50-24FE-4E07-B298-FCA57445260C}"/>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93CEE8A7-9C5B-44BC-AC5F-9731C24BE78E}"/>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08E5D2F8-521D-4DC3-8E8B-5E03753F7F13}"/>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331B1083-AB9F-4102-88D0-A4F4D03750EF}"/>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A526FE60-9687-4F72-8A4A-604B0FCCB7FA}"/>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8A9ECD3B-94BA-4339-9B28-C002EF047253}"/>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446BBF3B-D15F-40EF-8942-9B08CC233144}"/>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37E43A1F-DEE7-4D47-BBD5-C816862C042F}"/>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0110549D-773B-4C3D-AD81-4C6CC9D3969B}"/>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6297A924-1A09-4E0D-8B9C-7E401EFB84AA}"/>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840F284A-F142-4305-8A0C-D0F98C877BEF}"/>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69F2B590-F9F2-4CE2-9E53-EC089CC5A5FF}"/>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682935B7-9126-4F0C-9442-7E08BF73F708}"/>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2D30DF10-D865-499F-B047-A3249E9CFC0E}"/>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FB2EDFAC-CF7C-4C69-8845-EC580FAE2ACC}"/>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97567D23-B911-4409-BB19-23D5DDE37DEE}"/>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3AEAEB7C-C54E-43F9-A20E-3882E407387C}"/>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2367E5DA-A44E-40EB-B2FD-190A0570B6BA}"/>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1AEC053A-2C4E-42A8-992F-0480351EA918}"/>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6743C9B3-8041-4E2D-88A7-5321755D48B6}"/>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B6DCBCDD-41F2-4B10-9A00-783A30156A35}"/>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23A4FF5E-989F-41D3-86EF-9ADC3743F12E}"/>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5128914F-5F2E-435A-9885-E8F9C0BDD2B5}"/>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1CA42123-75A7-4A34-BF6F-9A3EDC765C51}"/>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CF9D3F8F-5E67-4C85-B615-E4D8AB062D03}"/>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9CFC2273-0624-44A5-805A-2A471FBA1AE4}"/>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26E7ACC7-4A7E-4461-BEE6-E7D92DC4DF2A}"/>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73507FC-9D06-4381-9DF3-F4BEE3213E35}"/>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756A020E-E392-4CAC-9868-E130EA47A1AE}"/>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AE7B8664-1BA7-4499-9679-8A2FDE94221E}"/>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62A7B04E-ACE8-42C7-B6FC-74D340E489E8}"/>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4F1A0E0F-D077-4152-87C8-F2BB8D92E9E5}"/>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2A4CB30C-3BA0-4580-A9DE-70FA4550C900}"/>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B6EA5ACB-868A-4330-BD46-3693629A4E38}"/>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D3F6FE99-5870-4F35-AE4E-2FC22AAB82D9}"/>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8493E56B-2028-4B2D-A97F-F0CBDAF43E35}"/>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FECAFE3A-F54D-4BA1-B0E7-87371A22FE36}"/>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3FBB0398-41FE-4D62-B0FA-84272C08157D}"/>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57079F60-62C1-4407-BF41-5F54C60592CB}"/>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7222EC3C-2189-418F-A8F0-387CF812CD70}"/>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30ADC0A-7267-4CE9-8483-2743672CAED2}"/>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622DF641-E977-4C41-9BF2-05269E4B3C7B}"/>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42F319ED-8115-4AD7-9877-DC3CB9B9642B}"/>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99241704-1ACD-4364-9CE6-0C02E715272C}"/>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D67CA783-8196-4494-A295-A8077D89E704}"/>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66EC701C-8946-4C24-8928-A6A143E9DB96}"/>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B468F238-13D8-4918-8FB1-C65F5E011A56}"/>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3C15BFC8-1A60-474F-93C3-E37C703E35B9}"/>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3ACB0CF7-B557-4124-A5E0-E39558304682}"/>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C432B54A-0407-45BB-A029-1120B6ED227D}"/>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0D176709-6C9F-4033-A805-5DF24F3AD47F}"/>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EDAE1662-3C44-4D6E-B006-7FB6DC9F6F93}"/>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C4DADE80-2268-4FB2-8F97-7AE115B5D25B}"/>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1D26568E-6FE7-4A1E-B519-32AE8555C00A}"/>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64D73F03-4662-42FB-8FEA-D52F77F5480D}"/>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D7E09310-5DF6-473A-ACB8-87FCF2ED1AB0}"/>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ED240A6D-4B42-47BC-9B4E-F27E4F10C924}"/>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058562AA-8BC3-439A-B9A9-FC98B0471DF6}"/>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8F99F677-01A3-4062-963F-B625227BE0DF}"/>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D5F975D2-EC82-4FA8-B45C-34F5A0FE45F1}"/>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7447A090-A8D1-4C23-A34D-0039AF2AF686}"/>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2428A333-BA33-4F10-A610-0F1418246B31}"/>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A836746F-F6E2-4616-A811-8C61C70BC4B9}"/>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DE47B392-E28D-4CA6-AA0E-FFF5BA4A7B6C}"/>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AE3AED40-B5A1-4D08-934F-0FC349A4B72C}"/>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17F734FE-7C98-4370-A260-FAFFDD65B20B}"/>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9AC95F41-61B2-40DD-95D6-673BDEDFE60B}"/>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B822A126-8957-40A4-AF42-5B9E2A6426E3}"/>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DC2C1F94-DE69-4E66-A5DD-E98487A44DD9}"/>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64FF3B1B-E630-41C2-ACA2-B6D3FAB64303}"/>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213EA94D-BF1F-46ED-A519-E414F7DE9CD6}"/>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5340F966-3125-4AEA-9DC1-412350321A29}"/>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D234810E-D36C-4061-B7DD-806E19463EAE}"/>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5483B3C2-20FF-4D9A-8318-8502ABCCDF48}"/>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8282462C-2DAE-414C-A6D9-82594EBFE76E}"/>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B9A914FA-3C20-4F0B-80FB-E985CED293C1}"/>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01B1B547-F971-44C8-980F-8C998E7A32F3}"/>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21C8647C-8F64-4A4D-BC95-E6798C6050EA}"/>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A5D5AA3C-99EE-4F1F-96CF-ACCF8C4DC5E4}"/>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D4845B70-FB40-45EC-B38C-B539AF1F9E40}"/>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530DA760-02A4-4860-AEC1-336C3F8963AB}"/>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B95EF900-8341-4EFE-867D-45CBAA008D4C}"/>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542F88D0-FFA1-45C2-98AF-3D1FFDE6897B}"/>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ECB4C8EC-136C-4E8F-940D-6C0760892E75}"/>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ED368C15-C087-4E1C-B6CF-1D42D8A59AF0}"/>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0D5504E8-F28F-44CF-B597-81C0A7928B07}"/>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808B5FF9-CA86-4790-919F-FAF2B89891CC}"/>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F707159C-5E59-4218-A75F-2BB2B32FCCA2}"/>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14D84CDF-6942-4A89-95AA-B9F037859145}"/>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28BBBAF0-B26E-4ABA-BE44-3599E078C7FA}"/>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B509F4AD-6E50-455E-A07F-B6EC2F9C5078}"/>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777E8DA4-6661-4B16-B7F0-5FC6EC7F841D}"/>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425FFAB3-36BA-4245-80AE-354B3594F838}"/>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71CF631B-5108-4317-A1F1-9772BF9CF7C7}"/>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313FA0CD-B89D-49DA-85ED-52A194829338}"/>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87BD86CF-9D75-46FB-91F7-F6E1CC9D9B86}"/>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3F63FFDC-5C2F-4357-B18E-09721C4BB51B}"/>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9FAEAF01-A08B-4118-AD09-CB056CC80280}"/>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2784C428-3A63-40AB-A6F3-CDAF5AC44DC1}"/>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C454435C-B9DB-4DB6-A7D9-E2EE7750DB33}"/>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97259968-F849-4812-BC22-7B62BAD132F9}"/>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3AD0530D-DB15-4617-B8F2-A4E25B32BD51}"/>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277F84BD-8332-4275-82C0-579C24649F40}"/>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58FB4B36-A4DC-47D6-8216-EE6518120792}"/>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3524DAAF-9EAB-43EC-BEFF-47C46DB472F9}"/>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AC6F8CD0-FB5C-4469-9314-957D722FD3B2}"/>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EA5E8392-D335-442B-A5C8-CF3892774084}"/>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93EAA7A3-543D-45D8-90E1-98D18053CC7A}"/>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713D1F4E-7167-4464-B343-C1F2F84DA339}"/>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22D215C3-678F-4A8E-9D9F-D91AD5E56634}"/>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74A2686F-F7D7-46AC-8229-A2E9FCA2865B}"/>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A42A92E6-004D-4A26-9C93-FDF8E0E40F1A}"/>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660BBCF1-BCC3-4EEE-81E2-A410FCCC6331}"/>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87512</xdr:colOff>
      <xdr:row>1</xdr:row>
      <xdr:rowOff>67768</xdr:rowOff>
    </xdr:from>
    <xdr:to>
      <xdr:col>1</xdr:col>
      <xdr:colOff>1681949</xdr:colOff>
      <xdr:row>4</xdr:row>
      <xdr:rowOff>148306</xdr:rowOff>
    </xdr:to>
    <xdr:pic>
      <xdr:nvPicPr>
        <xdr:cNvPr id="2" name="Picture 1">
          <a:extLst>
            <a:ext uri="{FF2B5EF4-FFF2-40B4-BE49-F238E27FC236}">
              <a16:creationId xmlns:a16="http://schemas.microsoft.com/office/drawing/2014/main" id="{EA26C422-0F09-4985-A1C3-31EC489A158A}"/>
            </a:ext>
          </a:extLst>
        </xdr:cNvPr>
        <xdr:cNvPicPr>
          <a:picLocks noChangeAspect="1"/>
        </xdr:cNvPicPr>
      </xdr:nvPicPr>
      <xdr:blipFill>
        <a:blip xmlns:r="http://schemas.openxmlformats.org/officeDocument/2006/relationships" r:embed="rId1"/>
        <a:stretch>
          <a:fillRect/>
        </a:stretch>
      </xdr:blipFill>
      <xdr:spPr>
        <a:xfrm>
          <a:off x="354212" y="258268"/>
          <a:ext cx="1594437" cy="8615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82550</xdr:colOff>
      <xdr:row>0</xdr:row>
      <xdr:rowOff>57150</xdr:rowOff>
    </xdr:from>
    <xdr:to>
      <xdr:col>12</xdr:col>
      <xdr:colOff>349250</xdr:colOff>
      <xdr:row>13</xdr:row>
      <xdr:rowOff>107950</xdr:rowOff>
    </xdr:to>
    <xdr:pic>
      <xdr:nvPicPr>
        <xdr:cNvPr id="2" name="image_0">
          <a:extLst>
            <a:ext uri="{FF2B5EF4-FFF2-40B4-BE49-F238E27FC236}">
              <a16:creationId xmlns:a16="http://schemas.microsoft.com/office/drawing/2014/main" id="{49472FCF-0C77-262F-9DA8-53152D34D7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550" y="57150"/>
          <a:ext cx="7581900" cy="252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166FB-8855-436A-91CC-25C17B9473EB}">
  <sheetPr codeName="Sheet7">
    <tabColor rgb="FF8A0000"/>
  </sheetPr>
  <dimension ref="A1:W255"/>
  <sheetViews>
    <sheetView showGridLines="0" zoomScale="70" zoomScaleNormal="70" workbookViewId="0">
      <selection activeCell="E34" sqref="E34"/>
    </sheetView>
  </sheetViews>
  <sheetFormatPr defaultColWidth="10.28515625" defaultRowHeight="14.25" outlineLevelRow="2" x14ac:dyDescent="0.2"/>
  <cols>
    <col min="1" max="1" width="0.7109375" style="1" customWidth="1"/>
    <col min="2" max="2" width="2.5703125" style="1" customWidth="1"/>
    <col min="3" max="3" width="39.7109375" style="1" customWidth="1"/>
    <col min="4" max="4" width="67.71093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570</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823</v>
      </c>
    </row>
    <row r="7" spans="2:16" ht="14.25" customHeight="1" x14ac:dyDescent="0.2">
      <c r="B7" s="1">
        <v>2</v>
      </c>
      <c r="C7" s="9" t="s">
        <v>1</v>
      </c>
    </row>
    <row r="8" spans="2:16" ht="14.25" customHeight="1" x14ac:dyDescent="0.2">
      <c r="B8" s="10" t="s">
        <v>2</v>
      </c>
      <c r="C8" s="9" t="s">
        <v>571</v>
      </c>
    </row>
    <row r="9" spans="2:16" ht="14.25" customHeight="1" x14ac:dyDescent="0.2">
      <c r="B9" s="10" t="s">
        <v>2</v>
      </c>
      <c r="C9" s="9" t="s">
        <v>576</v>
      </c>
    </row>
    <row r="10" spans="2:16" ht="14.25" customHeight="1" x14ac:dyDescent="0.2">
      <c r="B10" s="10" t="s">
        <v>2</v>
      </c>
      <c r="C10" s="9" t="s">
        <v>572</v>
      </c>
    </row>
    <row r="11" spans="2:16" ht="14.25" customHeight="1" x14ac:dyDescent="0.2">
      <c r="B11" s="10" t="s">
        <v>2</v>
      </c>
      <c r="C11" s="9" t="s">
        <v>577</v>
      </c>
    </row>
    <row r="12" spans="2:16" ht="14.25" customHeight="1" x14ac:dyDescent="0.2">
      <c r="B12" s="10" t="s">
        <v>2</v>
      </c>
      <c r="C12" s="9" t="s">
        <v>578</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807</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722</v>
      </c>
    </row>
    <row r="23" spans="1:23" ht="14.25" customHeight="1" x14ac:dyDescent="0.2">
      <c r="C23" s="11" t="s">
        <v>9</v>
      </c>
    </row>
    <row r="24" spans="1:23" ht="14.25" customHeight="1" x14ac:dyDescent="0.2">
      <c r="C24" s="11" t="s">
        <v>723</v>
      </c>
    </row>
    <row r="25" spans="1:23" ht="14.25" customHeight="1" x14ac:dyDescent="0.25">
      <c r="B25" s="1">
        <v>2</v>
      </c>
      <c r="C25" s="1" t="s">
        <v>539</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235</v>
      </c>
    </row>
    <row r="33" spans="3:4" ht="15" outlineLevel="1" x14ac:dyDescent="0.2">
      <c r="C33" s="19" t="s">
        <v>234</v>
      </c>
      <c r="D33" s="20" t="s">
        <v>243</v>
      </c>
    </row>
    <row r="34" spans="3:4" ht="15" outlineLevel="1" x14ac:dyDescent="0.2">
      <c r="C34" s="19" t="s">
        <v>16</v>
      </c>
      <c r="D34" s="20" t="s">
        <v>17</v>
      </c>
    </row>
    <row r="35" spans="3:4" outlineLevel="1" x14ac:dyDescent="0.2"/>
    <row r="36" spans="3:4" ht="25.5" customHeight="1" outlineLevel="1" x14ac:dyDescent="0.2">
      <c r="C36" s="36" t="s">
        <v>824</v>
      </c>
      <c r="D36" s="36" t="s">
        <v>825</v>
      </c>
    </row>
    <row r="37" spans="3:4" outlineLevel="2" x14ac:dyDescent="0.2">
      <c r="C37" s="21" t="s">
        <v>234</v>
      </c>
      <c r="D37" s="21" t="s">
        <v>244</v>
      </c>
    </row>
    <row r="38" spans="3:4" outlineLevel="2" x14ac:dyDescent="0.2">
      <c r="C38" s="50" t="s">
        <v>690</v>
      </c>
      <c r="D38" s="50" t="s">
        <v>689</v>
      </c>
    </row>
    <row r="39" spans="3:4" outlineLevel="2" x14ac:dyDescent="0.2">
      <c r="C39" s="50" t="s">
        <v>690</v>
      </c>
      <c r="D39" s="50" t="s">
        <v>685</v>
      </c>
    </row>
    <row r="40" spans="3:4" outlineLevel="2" x14ac:dyDescent="0.2">
      <c r="C40" s="50" t="s">
        <v>690</v>
      </c>
      <c r="D40" s="50" t="s">
        <v>686</v>
      </c>
    </row>
    <row r="41" spans="3:4" outlineLevel="2" x14ac:dyDescent="0.2">
      <c r="C41" s="50" t="s">
        <v>692</v>
      </c>
      <c r="D41" s="50" t="s">
        <v>650</v>
      </c>
    </row>
    <row r="42" spans="3:4" outlineLevel="2" x14ac:dyDescent="0.2">
      <c r="C42" s="50" t="s">
        <v>692</v>
      </c>
      <c r="D42" s="50" t="s">
        <v>651</v>
      </c>
    </row>
    <row r="43" spans="3:4" outlineLevel="2" x14ac:dyDescent="0.2">
      <c r="C43" s="50" t="s">
        <v>692</v>
      </c>
      <c r="D43" s="50" t="s">
        <v>748</v>
      </c>
    </row>
    <row r="44" spans="3:4" outlineLevel="2" x14ac:dyDescent="0.2">
      <c r="C44" s="50" t="s">
        <v>692</v>
      </c>
      <c r="D44" s="50" t="s">
        <v>691</v>
      </c>
    </row>
    <row r="45" spans="3:4" outlineLevel="2" x14ac:dyDescent="0.2">
      <c r="C45" s="22" t="s">
        <v>749</v>
      </c>
      <c r="D45" s="22" t="s">
        <v>30</v>
      </c>
    </row>
    <row r="46" spans="3:4" outlineLevel="2" x14ac:dyDescent="0.2">
      <c r="C46" s="22" t="s">
        <v>749</v>
      </c>
      <c r="D46" s="22" t="s">
        <v>29</v>
      </c>
    </row>
    <row r="47" spans="3:4" outlineLevel="2" x14ac:dyDescent="0.2">
      <c r="C47" s="22" t="str">
        <f>C46</f>
        <v>HRGA &amp; HSE</v>
      </c>
      <c r="D47" s="22" t="s">
        <v>292</v>
      </c>
    </row>
    <row r="48" spans="3:4" outlineLevel="2" x14ac:dyDescent="0.2">
      <c r="C48" s="22" t="str">
        <f>C47</f>
        <v>HRGA &amp; HSE</v>
      </c>
      <c r="D48" s="22" t="s">
        <v>293</v>
      </c>
    </row>
    <row r="49" spans="3:4" outlineLevel="2" x14ac:dyDescent="0.2">
      <c r="C49" s="22" t="s">
        <v>588</v>
      </c>
      <c r="D49" s="22" t="s">
        <v>236</v>
      </c>
    </row>
    <row r="50" spans="3:4" outlineLevel="2" x14ac:dyDescent="0.2">
      <c r="C50" s="22" t="s">
        <v>588</v>
      </c>
      <c r="D50" s="22" t="s">
        <v>32</v>
      </c>
    </row>
    <row r="51" spans="3:4" outlineLevel="2" x14ac:dyDescent="0.2">
      <c r="C51" s="22" t="s">
        <v>240</v>
      </c>
      <c r="D51" s="22" t="s">
        <v>245</v>
      </c>
    </row>
    <row r="52" spans="3:4" outlineLevel="2" x14ac:dyDescent="0.2">
      <c r="C52" s="22" t="s">
        <v>240</v>
      </c>
      <c r="D52" s="22" t="s">
        <v>24</v>
      </c>
    </row>
    <row r="53" spans="3:4" outlineLevel="2" x14ac:dyDescent="0.2">
      <c r="C53" s="22" t="s">
        <v>240</v>
      </c>
      <c r="D53" s="22" t="s">
        <v>19</v>
      </c>
    </row>
    <row r="54" spans="3:4" outlineLevel="2" x14ac:dyDescent="0.2">
      <c r="C54" s="22" t="s">
        <v>240</v>
      </c>
      <c r="D54" s="22" t="s">
        <v>20</v>
      </c>
    </row>
    <row r="55" spans="3:4" outlineLevel="2" x14ac:dyDescent="0.2">
      <c r="C55" s="22" t="s">
        <v>176</v>
      </c>
      <c r="D55" s="22" t="s">
        <v>21</v>
      </c>
    </row>
    <row r="56" spans="3:4" outlineLevel="2" x14ac:dyDescent="0.2">
      <c r="C56" s="22" t="s">
        <v>176</v>
      </c>
      <c r="D56" s="22" t="s">
        <v>23</v>
      </c>
    </row>
    <row r="57" spans="3:4" outlineLevel="2" x14ac:dyDescent="0.2">
      <c r="C57" s="22" t="s">
        <v>589</v>
      </c>
      <c r="D57" s="22" t="s">
        <v>592</v>
      </c>
    </row>
    <row r="58" spans="3:4" outlineLevel="2" x14ac:dyDescent="0.2">
      <c r="C58" s="22" t="s">
        <v>589</v>
      </c>
      <c r="D58" s="22" t="s">
        <v>593</v>
      </c>
    </row>
    <row r="59" spans="3:4" outlineLevel="2" x14ac:dyDescent="0.2">
      <c r="C59" s="22" t="s">
        <v>237</v>
      </c>
      <c r="D59" s="22" t="s">
        <v>237</v>
      </c>
    </row>
    <row r="60" spans="3:4" outlineLevel="2" x14ac:dyDescent="0.2">
      <c r="C60" s="22" t="s">
        <v>590</v>
      </c>
      <c r="D60" s="22" t="s">
        <v>25</v>
      </c>
    </row>
    <row r="61" spans="3:4" outlineLevel="2" x14ac:dyDescent="0.2">
      <c r="C61" s="22" t="s">
        <v>590</v>
      </c>
      <c r="D61" s="22" t="s">
        <v>26</v>
      </c>
    </row>
    <row r="62" spans="3:4" outlineLevel="2" x14ac:dyDescent="0.2">
      <c r="C62" s="22" t="s">
        <v>590</v>
      </c>
      <c r="D62" s="22" t="s">
        <v>27</v>
      </c>
    </row>
    <row r="63" spans="3:4" outlineLevel="2" x14ac:dyDescent="0.2">
      <c r="C63" s="22" t="s">
        <v>590</v>
      </c>
      <c r="D63" s="22" t="s">
        <v>28</v>
      </c>
    </row>
    <row r="64" spans="3:4" outlineLevel="2" x14ac:dyDescent="0.2">
      <c r="C64" s="22" t="s">
        <v>590</v>
      </c>
      <c r="D64" s="22" t="s">
        <v>249</v>
      </c>
    </row>
    <row r="65" spans="3:23" outlineLevel="2" x14ac:dyDescent="0.2">
      <c r="C65" s="23" t="s">
        <v>239</v>
      </c>
      <c r="D65" s="22" t="s">
        <v>591</v>
      </c>
    </row>
    <row r="66" spans="3:23" outlineLevel="2" x14ac:dyDescent="0.2">
      <c r="C66" s="22" t="s">
        <v>239</v>
      </c>
      <c r="D66" s="22" t="s">
        <v>34</v>
      </c>
    </row>
    <row r="67" spans="3:23" outlineLevel="2" x14ac:dyDescent="0.2">
      <c r="C67" s="22" t="s">
        <v>239</v>
      </c>
      <c r="D67" s="22" t="s">
        <v>35</v>
      </c>
    </row>
    <row r="68" spans="3:23" outlineLevel="1" x14ac:dyDescent="0.2"/>
    <row r="69" spans="3:23" outlineLevel="1" x14ac:dyDescent="0.2">
      <c r="C69" s="1" t="s">
        <v>36</v>
      </c>
    </row>
    <row r="71" spans="3:23" s="13" customFormat="1" ht="24" customHeight="1" x14ac:dyDescent="0.2">
      <c r="C71" s="14" t="s">
        <v>693</v>
      </c>
      <c r="D71" s="51" t="s">
        <v>694</v>
      </c>
      <c r="E71" s="16"/>
      <c r="F71" s="16"/>
      <c r="G71" s="16"/>
      <c r="H71" s="16"/>
      <c r="I71" s="16"/>
      <c r="J71" s="16"/>
      <c r="K71" s="16"/>
      <c r="L71" s="16"/>
      <c r="M71" s="16"/>
      <c r="N71" s="16"/>
      <c r="O71" s="16"/>
      <c r="P71" s="16"/>
      <c r="Q71" s="16"/>
      <c r="R71" s="16"/>
      <c r="S71" s="16"/>
      <c r="T71" s="16"/>
      <c r="U71" s="16"/>
      <c r="V71" s="16"/>
      <c r="W71" s="16"/>
    </row>
    <row r="73" spans="3:23" outlineLevel="1" x14ac:dyDescent="0.2">
      <c r="C73" s="1" t="s">
        <v>695</v>
      </c>
    </row>
    <row r="74" spans="3:23" ht="15" outlineLevel="1" x14ac:dyDescent="0.25">
      <c r="C74" s="1" t="s">
        <v>37</v>
      </c>
    </row>
    <row r="75" spans="3:23" outlineLevel="1" x14ac:dyDescent="0.2"/>
    <row r="76" spans="3:23" ht="42.75" outlineLevel="1" x14ac:dyDescent="0.2">
      <c r="C76" s="52" t="s">
        <v>38</v>
      </c>
      <c r="D76" s="53" t="s">
        <v>696</v>
      </c>
    </row>
    <row r="77" spans="3:23" ht="72.75" customHeight="1" outlineLevel="1" x14ac:dyDescent="0.2">
      <c r="C77" s="52" t="s">
        <v>697</v>
      </c>
      <c r="D77" s="54" t="s">
        <v>698</v>
      </c>
    </row>
    <row r="78" spans="3:23" ht="71.25" outlineLevel="1" x14ac:dyDescent="0.2">
      <c r="C78" s="52" t="s">
        <v>699</v>
      </c>
      <c r="D78" s="53" t="s">
        <v>700</v>
      </c>
    </row>
    <row r="79" spans="3:23" ht="190.15" customHeight="1" outlineLevel="1" x14ac:dyDescent="0.2">
      <c r="C79" s="52" t="s">
        <v>701</v>
      </c>
      <c r="D79" s="54" t="s">
        <v>702</v>
      </c>
    </row>
    <row r="80" spans="3:23" ht="57" outlineLevel="1" x14ac:dyDescent="0.2">
      <c r="C80" s="70" t="s">
        <v>39</v>
      </c>
      <c r="D80" s="71" t="s">
        <v>703</v>
      </c>
    </row>
    <row r="81" spans="3:6" ht="42.75" outlineLevel="1" x14ac:dyDescent="0.2">
      <c r="C81" s="70" t="s">
        <v>704</v>
      </c>
      <c r="D81" s="71" t="s">
        <v>826</v>
      </c>
    </row>
    <row r="82" spans="3:6" ht="85.5" outlineLevel="1" x14ac:dyDescent="0.2">
      <c r="C82" s="52" t="s">
        <v>574</v>
      </c>
      <c r="D82" s="53" t="s">
        <v>808</v>
      </c>
    </row>
    <row r="83" spans="3:6" ht="42.75" outlineLevel="1" x14ac:dyDescent="0.2">
      <c r="C83" s="52" t="s">
        <v>705</v>
      </c>
      <c r="D83" s="53" t="s">
        <v>706</v>
      </c>
    </row>
    <row r="84" spans="3:6" ht="71.25" outlineLevel="1" x14ac:dyDescent="0.2">
      <c r="C84" s="55" t="s">
        <v>596</v>
      </c>
      <c r="D84" s="53" t="s">
        <v>707</v>
      </c>
    </row>
    <row r="85" spans="3:6" ht="15" outlineLevel="1" x14ac:dyDescent="0.2">
      <c r="C85" s="55" t="s">
        <v>597</v>
      </c>
      <c r="D85" s="56" t="s">
        <v>708</v>
      </c>
    </row>
    <row r="86" spans="3:6" ht="15" outlineLevel="1" x14ac:dyDescent="0.2">
      <c r="C86" s="55" t="s">
        <v>598</v>
      </c>
      <c r="D86" s="56" t="s">
        <v>709</v>
      </c>
    </row>
    <row r="87" spans="3:6" ht="15" outlineLevel="1" x14ac:dyDescent="0.2">
      <c r="C87" s="55" t="s">
        <v>599</v>
      </c>
      <c r="D87" s="56" t="s">
        <v>710</v>
      </c>
    </row>
    <row r="88" spans="3:6" ht="15" outlineLevel="1" x14ac:dyDescent="0.2">
      <c r="C88" s="55" t="s">
        <v>600</v>
      </c>
      <c r="D88" s="56" t="s">
        <v>711</v>
      </c>
    </row>
    <row r="89" spans="3:6" ht="71.25" hidden="1" outlineLevel="1" x14ac:dyDescent="0.2">
      <c r="C89" s="55" t="s">
        <v>601</v>
      </c>
      <c r="D89" s="57" t="s">
        <v>712</v>
      </c>
    </row>
    <row r="90" spans="3:6" outlineLevel="1" x14ac:dyDescent="0.2"/>
    <row r="91" spans="3:6" outlineLevel="1" x14ac:dyDescent="0.2"/>
    <row r="92" spans="3:6" outlineLevel="1" x14ac:dyDescent="0.2">
      <c r="C92" s="24" t="s">
        <v>713</v>
      </c>
    </row>
    <row r="93" spans="3:6" outlineLevel="2" x14ac:dyDescent="0.2">
      <c r="C93" s="25" t="s">
        <v>40</v>
      </c>
      <c r="D93" s="21" t="s">
        <v>41</v>
      </c>
      <c r="E93" s="26" t="s">
        <v>42</v>
      </c>
      <c r="F93" s="26" t="s">
        <v>43</v>
      </c>
    </row>
    <row r="94" spans="3:6" ht="14.25" customHeight="1" outlineLevel="2" x14ac:dyDescent="0.2">
      <c r="C94" s="58" t="s">
        <v>682</v>
      </c>
      <c r="D94" s="59"/>
      <c r="E94" s="59"/>
      <c r="F94" s="59"/>
    </row>
    <row r="95" spans="3:6" outlineLevel="2" x14ac:dyDescent="0.2">
      <c r="C95" s="60">
        <v>15000000</v>
      </c>
      <c r="D95" s="27" t="s">
        <v>654</v>
      </c>
      <c r="E95" s="28" t="s">
        <v>671</v>
      </c>
      <c r="F95" s="28" t="s">
        <v>44</v>
      </c>
    </row>
    <row r="96" spans="3:6" ht="38.25" outlineLevel="2" x14ac:dyDescent="0.2">
      <c r="C96" s="61">
        <v>15000010</v>
      </c>
      <c r="D96" s="29" t="s">
        <v>655</v>
      </c>
      <c r="E96" s="30" t="s">
        <v>672</v>
      </c>
      <c r="F96" s="30" t="s">
        <v>44</v>
      </c>
    </row>
    <row r="97" spans="3:6" ht="38.25" outlineLevel="2" x14ac:dyDescent="0.2">
      <c r="C97" s="61">
        <v>15000020</v>
      </c>
      <c r="D97" s="29" t="s">
        <v>656</v>
      </c>
      <c r="E97" s="30" t="s">
        <v>673</v>
      </c>
      <c r="F97" s="30" t="s">
        <v>44</v>
      </c>
    </row>
    <row r="98" spans="3:6" outlineLevel="2" x14ac:dyDescent="0.2">
      <c r="C98" s="61">
        <v>15000030</v>
      </c>
      <c r="D98" s="29" t="s">
        <v>657</v>
      </c>
      <c r="E98" s="30" t="s">
        <v>674</v>
      </c>
      <c r="F98" s="30" t="s">
        <v>44</v>
      </c>
    </row>
    <row r="99" spans="3:6" ht="25.5" outlineLevel="2" x14ac:dyDescent="0.2">
      <c r="C99" s="61">
        <v>15000040</v>
      </c>
      <c r="D99" s="29" t="s">
        <v>658</v>
      </c>
      <c r="E99" s="30" t="s">
        <v>675</v>
      </c>
      <c r="F99" s="30" t="s">
        <v>44</v>
      </c>
    </row>
    <row r="100" spans="3:6" ht="51" outlineLevel="2" x14ac:dyDescent="0.2">
      <c r="C100" s="61">
        <v>15000050</v>
      </c>
      <c r="D100" s="29" t="s">
        <v>659</v>
      </c>
      <c r="E100" s="30" t="s">
        <v>676</v>
      </c>
      <c r="F100" s="30" t="s">
        <v>44</v>
      </c>
    </row>
    <row r="101" spans="3:6" ht="25.5" outlineLevel="2" x14ac:dyDescent="0.2">
      <c r="C101" s="61">
        <v>15000060</v>
      </c>
      <c r="D101" s="29" t="s">
        <v>660</v>
      </c>
      <c r="E101" s="30" t="s">
        <v>677</v>
      </c>
      <c r="F101" s="30" t="s">
        <v>44</v>
      </c>
    </row>
    <row r="102" spans="3:6" ht="25.5" outlineLevel="2" x14ac:dyDescent="0.2">
      <c r="C102" s="62">
        <v>15000070</v>
      </c>
      <c r="D102" s="31" t="s">
        <v>661</v>
      </c>
      <c r="E102" s="32" t="s">
        <v>678</v>
      </c>
      <c r="F102" s="32" t="s">
        <v>44</v>
      </c>
    </row>
    <row r="103" spans="3:6" outlineLevel="2" x14ac:dyDescent="0.2">
      <c r="C103" s="62">
        <v>15000080</v>
      </c>
      <c r="D103" s="31" t="s">
        <v>662</v>
      </c>
      <c r="E103" s="32" t="s">
        <v>679</v>
      </c>
      <c r="F103" s="32" t="s">
        <v>44</v>
      </c>
    </row>
    <row r="104" spans="3:6" outlineLevel="2" x14ac:dyDescent="0.2">
      <c r="C104" s="62">
        <v>15000090</v>
      </c>
      <c r="D104" s="31" t="s">
        <v>663</v>
      </c>
      <c r="E104" s="63" t="s">
        <v>680</v>
      </c>
      <c r="F104" s="63" t="s">
        <v>44</v>
      </c>
    </row>
    <row r="105" spans="3:6" outlineLevel="2" x14ac:dyDescent="0.2">
      <c r="C105" s="62">
        <v>15200000</v>
      </c>
      <c r="D105" s="31" t="s">
        <v>664</v>
      </c>
      <c r="E105" s="63" t="s">
        <v>714</v>
      </c>
      <c r="F105" s="63" t="s">
        <v>44</v>
      </c>
    </row>
    <row r="106" spans="3:6" ht="25.5" outlineLevel="2" x14ac:dyDescent="0.2">
      <c r="C106" s="62">
        <v>15000250</v>
      </c>
      <c r="D106" s="31" t="s">
        <v>665</v>
      </c>
      <c r="E106" s="32" t="s">
        <v>681</v>
      </c>
      <c r="F106" s="63" t="s">
        <v>44</v>
      </c>
    </row>
    <row r="107" spans="3:6" ht="14.25" customHeight="1" outlineLevel="2" x14ac:dyDescent="0.2">
      <c r="C107" s="64" t="s">
        <v>304</v>
      </c>
      <c r="D107" s="65"/>
      <c r="E107" s="65"/>
      <c r="F107" s="66"/>
    </row>
    <row r="108" spans="3:6" ht="34.5" customHeight="1" outlineLevel="2" x14ac:dyDescent="0.2">
      <c r="C108" s="62">
        <v>15020010</v>
      </c>
      <c r="D108" s="31" t="s">
        <v>666</v>
      </c>
      <c r="E108" s="32" t="s">
        <v>715</v>
      </c>
      <c r="F108" s="32" t="s">
        <v>44</v>
      </c>
    </row>
    <row r="109" spans="3:6" ht="34.5" customHeight="1" outlineLevel="2" x14ac:dyDescent="0.2">
      <c r="C109" s="62">
        <v>15020020</v>
      </c>
      <c r="D109" s="31" t="s">
        <v>667</v>
      </c>
      <c r="E109" s="32" t="s">
        <v>716</v>
      </c>
      <c r="F109" s="32" t="s">
        <v>44</v>
      </c>
    </row>
    <row r="110" spans="3:6" ht="34.5" customHeight="1" outlineLevel="2" x14ac:dyDescent="0.2">
      <c r="C110" s="62">
        <v>15020030</v>
      </c>
      <c r="D110" s="31" t="s">
        <v>668</v>
      </c>
      <c r="E110" s="32" t="s">
        <v>717</v>
      </c>
      <c r="F110" s="32" t="s">
        <v>44</v>
      </c>
    </row>
    <row r="111" spans="3:6" ht="34.5" customHeight="1" outlineLevel="2" x14ac:dyDescent="0.2">
      <c r="C111" s="62">
        <v>15020040</v>
      </c>
      <c r="D111" s="31" t="s">
        <v>669</v>
      </c>
      <c r="E111" s="32" t="s">
        <v>718</v>
      </c>
      <c r="F111" s="32" t="s">
        <v>44</v>
      </c>
    </row>
    <row r="112" spans="3:6" ht="34.5" customHeight="1" outlineLevel="2" x14ac:dyDescent="0.2">
      <c r="C112" s="62">
        <v>15020080</v>
      </c>
      <c r="D112" s="31" t="s">
        <v>670</v>
      </c>
      <c r="E112" s="32" t="s">
        <v>719</v>
      </c>
      <c r="F112" s="32" t="s">
        <v>44</v>
      </c>
    </row>
    <row r="113" spans="3:23" ht="34.5" customHeight="1" outlineLevel="2" x14ac:dyDescent="0.2">
      <c r="C113" s="33">
        <v>15020090</v>
      </c>
      <c r="D113" s="34" t="s">
        <v>720</v>
      </c>
      <c r="E113" s="35" t="s">
        <v>721</v>
      </c>
      <c r="F113" s="35" t="s">
        <v>44</v>
      </c>
    </row>
    <row r="114" spans="3:23" ht="34.5" customHeight="1" outlineLevel="2" x14ac:dyDescent="0.2">
      <c r="C114" s="67"/>
      <c r="D114" s="68"/>
      <c r="E114" s="69"/>
      <c r="F114" s="69"/>
    </row>
    <row r="115" spans="3:23" s="13" customFormat="1" ht="24" customHeight="1" x14ac:dyDescent="0.2">
      <c r="C115" s="14" t="s">
        <v>809</v>
      </c>
      <c r="D115" s="15" t="s">
        <v>525</v>
      </c>
      <c r="E115" s="16"/>
      <c r="F115" s="16"/>
      <c r="G115" s="16"/>
      <c r="H115" s="16"/>
      <c r="I115" s="16"/>
      <c r="J115" s="16"/>
      <c r="K115" s="16"/>
      <c r="L115" s="16"/>
      <c r="M115" s="16"/>
      <c r="N115" s="16"/>
      <c r="O115" s="16"/>
      <c r="P115" s="16"/>
      <c r="Q115" s="16"/>
      <c r="R115" s="16"/>
      <c r="S115" s="16"/>
      <c r="T115" s="16"/>
      <c r="U115" s="16"/>
      <c r="V115" s="16"/>
      <c r="W115" s="16"/>
    </row>
    <row r="117" spans="3:23" outlineLevel="1" x14ac:dyDescent="0.2">
      <c r="C117" s="1" t="s">
        <v>45</v>
      </c>
    </row>
    <row r="118" spans="3:23" outlineLevel="1" x14ac:dyDescent="0.2">
      <c r="C118" s="1" t="s">
        <v>573</v>
      </c>
    </row>
    <row r="119" spans="3:23" ht="15" outlineLevel="1" x14ac:dyDescent="0.25">
      <c r="C119" s="1" t="s">
        <v>37</v>
      </c>
    </row>
    <row r="120" spans="3:23" outlineLevel="1" x14ac:dyDescent="0.2"/>
    <row r="121" spans="3:23" ht="99.75" outlineLevel="1" x14ac:dyDescent="0.2">
      <c r="C121" s="37" t="s">
        <v>462</v>
      </c>
      <c r="D121" s="39" t="s">
        <v>579</v>
      </c>
    </row>
    <row r="122" spans="3:23" ht="57" outlineLevel="1" x14ac:dyDescent="0.2">
      <c r="C122" s="37" t="s">
        <v>466</v>
      </c>
      <c r="D122" s="39" t="s">
        <v>810</v>
      </c>
    </row>
    <row r="123" spans="3:23" ht="57" outlineLevel="1" x14ac:dyDescent="0.2">
      <c r="C123" s="72" t="s">
        <v>39</v>
      </c>
      <c r="D123" s="73" t="s">
        <v>584</v>
      </c>
    </row>
    <row r="124" spans="3:23" ht="42.75" outlineLevel="1" x14ac:dyDescent="0.2">
      <c r="C124" s="72" t="s">
        <v>580</v>
      </c>
      <c r="D124" s="73" t="s">
        <v>581</v>
      </c>
    </row>
    <row r="125" spans="3:23" ht="85.5" outlineLevel="1" x14ac:dyDescent="0.2">
      <c r="C125" s="37" t="s">
        <v>574</v>
      </c>
      <c r="D125" s="39" t="s">
        <v>811</v>
      </c>
      <c r="E125" s="41"/>
    </row>
    <row r="126" spans="3:23" ht="28.5" outlineLevel="1" x14ac:dyDescent="0.2">
      <c r="C126" s="37" t="s">
        <v>582</v>
      </c>
      <c r="D126" s="39" t="s">
        <v>812</v>
      </c>
    </row>
    <row r="127" spans="3:23" ht="128.25" hidden="1" outlineLevel="1" x14ac:dyDescent="0.2">
      <c r="C127" s="42" t="s">
        <v>519</v>
      </c>
      <c r="D127" s="43" t="s">
        <v>545</v>
      </c>
    </row>
    <row r="128" spans="3:23" ht="127.5" customHeight="1" outlineLevel="1" x14ac:dyDescent="0.2">
      <c r="C128" s="40" t="s">
        <v>520</v>
      </c>
      <c r="D128" s="38" t="s">
        <v>813</v>
      </c>
    </row>
    <row r="129" spans="3:23" ht="28.5" outlineLevel="1" x14ac:dyDescent="0.2">
      <c r="C129" s="40" t="s">
        <v>521</v>
      </c>
      <c r="D129" s="38" t="s">
        <v>544</v>
      </c>
    </row>
    <row r="130" spans="3:23" ht="57.75" outlineLevel="1" x14ac:dyDescent="0.2">
      <c r="C130" s="40" t="s">
        <v>523</v>
      </c>
      <c r="D130" s="38" t="s">
        <v>542</v>
      </c>
    </row>
    <row r="131" spans="3:23" ht="43.5" outlineLevel="1" x14ac:dyDescent="0.2">
      <c r="C131" s="40" t="s">
        <v>344</v>
      </c>
      <c r="D131" s="38" t="s">
        <v>543</v>
      </c>
    </row>
    <row r="132" spans="3:23" ht="57" outlineLevel="1" x14ac:dyDescent="0.2">
      <c r="C132" s="40" t="s">
        <v>522</v>
      </c>
      <c r="D132" s="38" t="s">
        <v>541</v>
      </c>
    </row>
    <row r="133" spans="3:23" ht="78.75" customHeight="1" outlineLevel="1" x14ac:dyDescent="0.2">
      <c r="C133" s="40" t="s">
        <v>468</v>
      </c>
      <c r="D133" s="38" t="s">
        <v>540</v>
      </c>
    </row>
    <row r="134" spans="3:23" outlineLevel="1" x14ac:dyDescent="0.2"/>
    <row r="136" spans="3:23" s="13" customFormat="1" ht="24" customHeight="1" x14ac:dyDescent="0.2">
      <c r="C136" s="14" t="s">
        <v>724</v>
      </c>
      <c r="D136" s="15" t="s">
        <v>546</v>
      </c>
      <c r="E136" s="16"/>
      <c r="F136" s="16"/>
      <c r="G136" s="16"/>
      <c r="H136" s="16"/>
      <c r="I136" s="16"/>
      <c r="J136" s="16"/>
      <c r="K136" s="16"/>
      <c r="L136" s="16"/>
      <c r="M136" s="16"/>
      <c r="N136" s="16"/>
      <c r="O136" s="16"/>
      <c r="P136" s="16"/>
      <c r="Q136" s="16"/>
      <c r="R136" s="16"/>
      <c r="S136" s="16"/>
      <c r="T136" s="16"/>
      <c r="U136" s="16"/>
      <c r="V136" s="16"/>
      <c r="W136" s="16"/>
    </row>
    <row r="138" spans="3:23" outlineLevel="1" x14ac:dyDescent="0.2">
      <c r="C138" s="1" t="s">
        <v>547</v>
      </c>
    </row>
    <row r="139" spans="3:23" outlineLevel="1" x14ac:dyDescent="0.2"/>
    <row r="140" spans="3:23" outlineLevel="1" x14ac:dyDescent="0.2">
      <c r="C140" s="1" t="s">
        <v>548</v>
      </c>
    </row>
    <row r="141" spans="3:23" outlineLevel="1" x14ac:dyDescent="0.2">
      <c r="C141" s="1" t="s">
        <v>583</v>
      </c>
    </row>
    <row r="142" spans="3:23" outlineLevel="1" x14ac:dyDescent="0.2"/>
    <row r="143" spans="3:23" outlineLevel="1" x14ac:dyDescent="0.2">
      <c r="C143" s="1" t="s">
        <v>575</v>
      </c>
    </row>
    <row r="144" spans="3:23" outlineLevel="1" x14ac:dyDescent="0.2">
      <c r="C144" s="1" t="s">
        <v>549</v>
      </c>
    </row>
    <row r="145" spans="3:6" ht="15" outlineLevel="1" x14ac:dyDescent="0.25">
      <c r="C145" s="1" t="s">
        <v>37</v>
      </c>
    </row>
    <row r="146" spans="3:6" outlineLevel="1" x14ac:dyDescent="0.2"/>
    <row r="147" spans="3:6" ht="159" outlineLevel="1" x14ac:dyDescent="0.2">
      <c r="C147" s="40" t="s">
        <v>552</v>
      </c>
      <c r="D147" s="38" t="s">
        <v>553</v>
      </c>
    </row>
    <row r="148" spans="3:6" ht="15" outlineLevel="1" x14ac:dyDescent="0.2">
      <c r="C148" s="40" t="s">
        <v>465</v>
      </c>
      <c r="D148" s="38" t="s">
        <v>814</v>
      </c>
    </row>
    <row r="149" spans="3:6" ht="28.5" outlineLevel="1" x14ac:dyDescent="0.2">
      <c r="C149" s="40" t="s">
        <v>46</v>
      </c>
      <c r="D149" s="38" t="s">
        <v>551</v>
      </c>
    </row>
    <row r="150" spans="3:6" ht="28.5" outlineLevel="1" x14ac:dyDescent="0.2">
      <c r="C150" s="40" t="s">
        <v>464</v>
      </c>
      <c r="D150" s="38" t="s">
        <v>550</v>
      </c>
    </row>
    <row r="151" spans="3:6" ht="71.25" outlineLevel="1" x14ac:dyDescent="0.2">
      <c r="C151" s="40" t="s">
        <v>342</v>
      </c>
      <c r="D151" s="38" t="s">
        <v>815</v>
      </c>
    </row>
    <row r="152" spans="3:6" outlineLevel="1" x14ac:dyDescent="0.2"/>
    <row r="153" spans="3:6" outlineLevel="1" x14ac:dyDescent="0.2">
      <c r="C153" s="24" t="s">
        <v>47</v>
      </c>
    </row>
    <row r="154" spans="3:6" outlineLevel="2" x14ac:dyDescent="0.2">
      <c r="C154" s="21" t="s">
        <v>40</v>
      </c>
      <c r="D154" s="21" t="s">
        <v>41</v>
      </c>
      <c r="E154" s="26" t="s">
        <v>42</v>
      </c>
      <c r="F154" s="26" t="s">
        <v>43</v>
      </c>
    </row>
    <row r="155" spans="3:6" outlineLevel="2" x14ac:dyDescent="0.2">
      <c r="C155" s="47" t="s">
        <v>526</v>
      </c>
      <c r="D155" s="30" t="s">
        <v>48</v>
      </c>
      <c r="E155" s="30" t="s">
        <v>49</v>
      </c>
      <c r="F155" s="45" t="s">
        <v>50</v>
      </c>
    </row>
    <row r="156" spans="3:6" outlineLevel="2" x14ac:dyDescent="0.2">
      <c r="C156" s="47" t="s">
        <v>527</v>
      </c>
      <c r="D156" s="30" t="s">
        <v>51</v>
      </c>
      <c r="E156" s="30" t="s">
        <v>52</v>
      </c>
      <c r="F156" s="46" t="s">
        <v>50</v>
      </c>
    </row>
    <row r="157" spans="3:6" ht="25.5" outlineLevel="2" x14ac:dyDescent="0.2">
      <c r="C157" s="47" t="s">
        <v>528</v>
      </c>
      <c r="D157" s="30" t="s">
        <v>53</v>
      </c>
      <c r="E157" s="30" t="s">
        <v>54</v>
      </c>
      <c r="F157" s="30" t="s">
        <v>50</v>
      </c>
    </row>
    <row r="158" spans="3:6" outlineLevel="2" x14ac:dyDescent="0.2">
      <c r="C158" s="47" t="s">
        <v>529</v>
      </c>
      <c r="D158" s="30" t="s">
        <v>55</v>
      </c>
      <c r="E158" s="30" t="s">
        <v>56</v>
      </c>
      <c r="F158" s="30" t="s">
        <v>50</v>
      </c>
    </row>
    <row r="159" spans="3:6" outlineLevel="2" x14ac:dyDescent="0.2">
      <c r="C159" s="47" t="s">
        <v>530</v>
      </c>
      <c r="D159" s="30" t="s">
        <v>57</v>
      </c>
      <c r="E159" s="30" t="s">
        <v>58</v>
      </c>
      <c r="F159" s="30" t="s">
        <v>50</v>
      </c>
    </row>
    <row r="160" spans="3:6" outlineLevel="2" x14ac:dyDescent="0.2">
      <c r="C160" s="47" t="s">
        <v>531</v>
      </c>
      <c r="D160" s="30" t="s">
        <v>59</v>
      </c>
      <c r="E160" s="30" t="s">
        <v>60</v>
      </c>
      <c r="F160" s="30" t="s">
        <v>50</v>
      </c>
    </row>
    <row r="161" spans="3:6" outlineLevel="2" x14ac:dyDescent="0.2">
      <c r="C161" s="47" t="s">
        <v>532</v>
      </c>
      <c r="D161" s="30" t="s">
        <v>61</v>
      </c>
      <c r="E161" s="30" t="s">
        <v>62</v>
      </c>
      <c r="F161" s="30" t="s">
        <v>50</v>
      </c>
    </row>
    <row r="162" spans="3:6" outlineLevel="2" x14ac:dyDescent="0.2">
      <c r="C162" s="47" t="s">
        <v>533</v>
      </c>
      <c r="D162" s="30" t="s">
        <v>63</v>
      </c>
      <c r="E162" s="30" t="s">
        <v>64</v>
      </c>
      <c r="F162" s="32" t="s">
        <v>50</v>
      </c>
    </row>
    <row r="163" spans="3:6" outlineLevel="2" x14ac:dyDescent="0.2">
      <c r="C163" s="47" t="s">
        <v>534</v>
      </c>
      <c r="D163" s="30" t="s">
        <v>65</v>
      </c>
      <c r="E163" s="30" t="s">
        <v>66</v>
      </c>
      <c r="F163" s="32" t="s">
        <v>50</v>
      </c>
    </row>
    <row r="164" spans="3:6" outlineLevel="2" x14ac:dyDescent="0.2">
      <c r="C164" s="47" t="s">
        <v>535</v>
      </c>
      <c r="D164" s="30" t="s">
        <v>67</v>
      </c>
      <c r="E164" s="30" t="s">
        <v>68</v>
      </c>
      <c r="F164" s="32" t="s">
        <v>50</v>
      </c>
    </row>
    <row r="165" spans="3:6" outlineLevel="2" x14ac:dyDescent="0.2">
      <c r="C165" s="47" t="s">
        <v>536</v>
      </c>
      <c r="D165" s="30" t="s">
        <v>69</v>
      </c>
      <c r="E165" s="30" t="s">
        <v>70</v>
      </c>
      <c r="F165" s="32" t="s">
        <v>50</v>
      </c>
    </row>
    <row r="166" spans="3:6" outlineLevel="2" x14ac:dyDescent="0.2">
      <c r="C166" s="47" t="s">
        <v>537</v>
      </c>
      <c r="D166" s="30" t="s">
        <v>71</v>
      </c>
      <c r="E166" s="30" t="s">
        <v>72</v>
      </c>
      <c r="F166" s="32" t="s">
        <v>50</v>
      </c>
    </row>
    <row r="167" spans="3:6" outlineLevel="2" x14ac:dyDescent="0.2">
      <c r="C167" s="47" t="s">
        <v>346</v>
      </c>
      <c r="D167" s="30" t="s">
        <v>73</v>
      </c>
      <c r="E167" s="30" t="s">
        <v>74</v>
      </c>
      <c r="F167" s="32" t="s">
        <v>50</v>
      </c>
    </row>
    <row r="168" spans="3:6" outlineLevel="2" x14ac:dyDescent="0.2">
      <c r="C168" s="47" t="s">
        <v>347</v>
      </c>
      <c r="D168" s="30" t="s">
        <v>75</v>
      </c>
      <c r="E168" s="30" t="s">
        <v>76</v>
      </c>
      <c r="F168" s="32" t="s">
        <v>50</v>
      </c>
    </row>
    <row r="169" spans="3:6" ht="25.5" outlineLevel="2" x14ac:dyDescent="0.2">
      <c r="C169" s="47" t="s">
        <v>348</v>
      </c>
      <c r="D169" s="30" t="s">
        <v>77</v>
      </c>
      <c r="E169" s="30" t="s">
        <v>78</v>
      </c>
      <c r="F169" s="32" t="s">
        <v>50</v>
      </c>
    </row>
    <row r="170" spans="3:6" outlineLevel="2" x14ac:dyDescent="0.2">
      <c r="C170" s="47" t="s">
        <v>349</v>
      </c>
      <c r="D170" s="30" t="s">
        <v>79</v>
      </c>
      <c r="E170" s="30" t="s">
        <v>80</v>
      </c>
      <c r="F170" s="32" t="s">
        <v>50</v>
      </c>
    </row>
    <row r="171" spans="3:6" outlineLevel="2" x14ac:dyDescent="0.2">
      <c r="C171" s="47" t="s">
        <v>350</v>
      </c>
      <c r="D171" s="30" t="s">
        <v>81</v>
      </c>
      <c r="E171" s="30" t="s">
        <v>82</v>
      </c>
      <c r="F171" s="32" t="s">
        <v>50</v>
      </c>
    </row>
    <row r="172" spans="3:6" outlineLevel="2" x14ac:dyDescent="0.2">
      <c r="C172" s="47" t="s">
        <v>351</v>
      </c>
      <c r="D172" s="30" t="s">
        <v>83</v>
      </c>
      <c r="E172" s="30" t="s">
        <v>84</v>
      </c>
      <c r="F172" s="32" t="s">
        <v>50</v>
      </c>
    </row>
    <row r="173" spans="3:6" outlineLevel="2" x14ac:dyDescent="0.2">
      <c r="C173" s="47" t="s">
        <v>352</v>
      </c>
      <c r="D173" s="30" t="s">
        <v>85</v>
      </c>
      <c r="E173" s="30" t="s">
        <v>86</v>
      </c>
      <c r="F173" s="32" t="s">
        <v>50</v>
      </c>
    </row>
    <row r="174" spans="3:6" outlineLevel="2" x14ac:dyDescent="0.2">
      <c r="C174" s="47" t="s">
        <v>353</v>
      </c>
      <c r="D174" s="30" t="s">
        <v>87</v>
      </c>
      <c r="E174" s="30" t="s">
        <v>88</v>
      </c>
      <c r="F174" s="32" t="s">
        <v>50</v>
      </c>
    </row>
    <row r="175" spans="3:6" outlineLevel="2" x14ac:dyDescent="0.2">
      <c r="C175" s="47" t="s">
        <v>354</v>
      </c>
      <c r="D175" s="30" t="s">
        <v>89</v>
      </c>
      <c r="E175" s="30" t="s">
        <v>90</v>
      </c>
      <c r="F175" s="32" t="s">
        <v>50</v>
      </c>
    </row>
    <row r="176" spans="3:6" outlineLevel="2" x14ac:dyDescent="0.2">
      <c r="C176" s="47" t="s">
        <v>355</v>
      </c>
      <c r="D176" s="30" t="s">
        <v>91</v>
      </c>
      <c r="E176" s="30" t="s">
        <v>92</v>
      </c>
      <c r="F176" s="32" t="s">
        <v>50</v>
      </c>
    </row>
    <row r="177" spans="3:6" outlineLevel="2" x14ac:dyDescent="0.2">
      <c r="C177" s="47" t="s">
        <v>356</v>
      </c>
      <c r="D177" s="30" t="s">
        <v>93</v>
      </c>
      <c r="E177" s="30" t="s">
        <v>94</v>
      </c>
      <c r="F177" s="32" t="s">
        <v>50</v>
      </c>
    </row>
    <row r="178" spans="3:6" outlineLevel="2" x14ac:dyDescent="0.2">
      <c r="C178" s="47" t="s">
        <v>357</v>
      </c>
      <c r="D178" s="30" t="s">
        <v>95</v>
      </c>
      <c r="E178" s="30" t="s">
        <v>96</v>
      </c>
      <c r="F178" s="32" t="s">
        <v>50</v>
      </c>
    </row>
    <row r="179" spans="3:6" outlineLevel="2" x14ac:dyDescent="0.2">
      <c r="C179" s="47" t="s">
        <v>538</v>
      </c>
      <c r="D179" s="30" t="s">
        <v>97</v>
      </c>
      <c r="E179" s="30" t="s">
        <v>98</v>
      </c>
      <c r="F179" s="32" t="s">
        <v>99</v>
      </c>
    </row>
    <row r="180" spans="3:6" outlineLevel="2" x14ac:dyDescent="0.2">
      <c r="C180" s="47" t="s">
        <v>358</v>
      </c>
      <c r="D180" s="30" t="s">
        <v>97</v>
      </c>
      <c r="E180" s="30" t="s">
        <v>98</v>
      </c>
      <c r="F180" s="32" t="s">
        <v>99</v>
      </c>
    </row>
    <row r="181" spans="3:6" outlineLevel="2" x14ac:dyDescent="0.2">
      <c r="C181" s="47" t="s">
        <v>359</v>
      </c>
      <c r="D181" s="30" t="s">
        <v>100</v>
      </c>
      <c r="E181" s="30" t="s">
        <v>101</v>
      </c>
      <c r="F181" s="32" t="s">
        <v>44</v>
      </c>
    </row>
    <row r="182" spans="3:6" outlineLevel="2" x14ac:dyDescent="0.2">
      <c r="C182" s="47" t="s">
        <v>360</v>
      </c>
      <c r="D182" s="30" t="s">
        <v>102</v>
      </c>
      <c r="E182" s="30" t="s">
        <v>103</v>
      </c>
      <c r="F182" s="32" t="s">
        <v>44</v>
      </c>
    </row>
    <row r="183" spans="3:6" outlineLevel="2" x14ac:dyDescent="0.2">
      <c r="C183" s="47" t="s">
        <v>361</v>
      </c>
      <c r="D183" s="30" t="s">
        <v>104</v>
      </c>
      <c r="E183" s="30" t="s">
        <v>105</v>
      </c>
      <c r="F183" s="32" t="s">
        <v>106</v>
      </c>
    </row>
    <row r="184" spans="3:6" outlineLevel="2" x14ac:dyDescent="0.2">
      <c r="C184" s="47" t="s">
        <v>362</v>
      </c>
      <c r="D184" s="30" t="s">
        <v>107</v>
      </c>
      <c r="E184" s="30" t="s">
        <v>108</v>
      </c>
      <c r="F184" s="32" t="s">
        <v>106</v>
      </c>
    </row>
    <row r="185" spans="3:6" outlineLevel="2" x14ac:dyDescent="0.2">
      <c r="C185" s="47" t="s">
        <v>363</v>
      </c>
      <c r="D185" s="30" t="s">
        <v>109</v>
      </c>
      <c r="E185" s="30" t="s">
        <v>110</v>
      </c>
      <c r="F185" s="32" t="s">
        <v>106</v>
      </c>
    </row>
    <row r="186" spans="3:6" outlineLevel="2" x14ac:dyDescent="0.2">
      <c r="C186" s="47" t="s">
        <v>364</v>
      </c>
      <c r="D186" s="30" t="s">
        <v>111</v>
      </c>
      <c r="E186" s="30" t="s">
        <v>112</v>
      </c>
      <c r="F186" s="32" t="s">
        <v>33</v>
      </c>
    </row>
    <row r="187" spans="3:6" ht="25.5" outlineLevel="2" x14ac:dyDescent="0.2">
      <c r="C187" s="47" t="s">
        <v>368</v>
      </c>
      <c r="D187" s="30" t="s">
        <v>113</v>
      </c>
      <c r="E187" s="30" t="s">
        <v>114</v>
      </c>
      <c r="F187" s="32" t="s">
        <v>106</v>
      </c>
    </row>
    <row r="188" spans="3:6" ht="25.5" outlineLevel="2" x14ac:dyDescent="0.2">
      <c r="C188" s="47" t="s">
        <v>365</v>
      </c>
      <c r="D188" s="30" t="s">
        <v>429</v>
      </c>
      <c r="E188" s="30" t="s">
        <v>554</v>
      </c>
      <c r="F188" s="32" t="s">
        <v>106</v>
      </c>
    </row>
    <row r="189" spans="3:6" ht="25.5" outlineLevel="2" x14ac:dyDescent="0.2">
      <c r="C189" s="47" t="s">
        <v>366</v>
      </c>
      <c r="D189" s="30" t="s">
        <v>430</v>
      </c>
      <c r="E189" s="30" t="s">
        <v>555</v>
      </c>
      <c r="F189" s="32" t="s">
        <v>44</v>
      </c>
    </row>
    <row r="190" spans="3:6" ht="25.5" outlineLevel="2" x14ac:dyDescent="0.2">
      <c r="C190" s="47" t="s">
        <v>367</v>
      </c>
      <c r="D190" s="30" t="s">
        <v>432</v>
      </c>
      <c r="E190" s="30" t="s">
        <v>556</v>
      </c>
      <c r="F190" s="32" t="s">
        <v>44</v>
      </c>
    </row>
    <row r="191" spans="3:6" outlineLevel="2" x14ac:dyDescent="0.2">
      <c r="C191" s="47" t="s">
        <v>369</v>
      </c>
      <c r="D191" s="30" t="s">
        <v>115</v>
      </c>
      <c r="E191" s="30" t="s">
        <v>116</v>
      </c>
      <c r="F191" s="32" t="s">
        <v>106</v>
      </c>
    </row>
    <row r="192" spans="3:6" outlineLevel="2" x14ac:dyDescent="0.2">
      <c r="C192" s="47" t="s">
        <v>370</v>
      </c>
      <c r="D192" s="30" t="s">
        <v>117</v>
      </c>
      <c r="E192" s="30" t="s">
        <v>118</v>
      </c>
      <c r="F192" s="32" t="s">
        <v>106</v>
      </c>
    </row>
    <row r="193" spans="3:6" outlineLevel="2" x14ac:dyDescent="0.2">
      <c r="C193" s="47" t="s">
        <v>371</v>
      </c>
      <c r="D193" s="30" t="s">
        <v>119</v>
      </c>
      <c r="E193" s="30" t="s">
        <v>120</v>
      </c>
      <c r="F193" s="32" t="s">
        <v>121</v>
      </c>
    </row>
    <row r="194" spans="3:6" outlineLevel="2" x14ac:dyDescent="0.2">
      <c r="C194" s="47" t="s">
        <v>372</v>
      </c>
      <c r="D194" s="30" t="s">
        <v>122</v>
      </c>
      <c r="E194" s="30" t="s">
        <v>123</v>
      </c>
      <c r="F194" s="32" t="s">
        <v>121</v>
      </c>
    </row>
    <row r="195" spans="3:6" outlineLevel="2" x14ac:dyDescent="0.2">
      <c r="C195" s="47" t="s">
        <v>373</v>
      </c>
      <c r="D195" s="30" t="s">
        <v>124</v>
      </c>
      <c r="E195" s="30" t="s">
        <v>125</v>
      </c>
      <c r="F195" s="32" t="s">
        <v>106</v>
      </c>
    </row>
    <row r="196" spans="3:6" outlineLevel="2" x14ac:dyDescent="0.2">
      <c r="C196" s="47" t="s">
        <v>374</v>
      </c>
      <c r="D196" s="30" t="s">
        <v>126</v>
      </c>
      <c r="E196" s="30" t="s">
        <v>127</v>
      </c>
      <c r="F196" s="32" t="s">
        <v>106</v>
      </c>
    </row>
    <row r="197" spans="3:6" outlineLevel="2" x14ac:dyDescent="0.2">
      <c r="C197" s="47" t="s">
        <v>375</v>
      </c>
      <c r="D197" s="30" t="s">
        <v>128</v>
      </c>
      <c r="E197" s="30" t="s">
        <v>129</v>
      </c>
      <c r="F197" s="32" t="s">
        <v>130</v>
      </c>
    </row>
    <row r="198" spans="3:6" outlineLevel="2" x14ac:dyDescent="0.2">
      <c r="C198" s="47" t="s">
        <v>376</v>
      </c>
      <c r="D198" s="30" t="s">
        <v>131</v>
      </c>
      <c r="E198" s="30" t="s">
        <v>132</v>
      </c>
      <c r="F198" s="32" t="s">
        <v>106</v>
      </c>
    </row>
    <row r="199" spans="3:6" outlineLevel="2" x14ac:dyDescent="0.2">
      <c r="C199" s="47" t="s">
        <v>377</v>
      </c>
      <c r="D199" s="30" t="s">
        <v>133</v>
      </c>
      <c r="E199" s="30" t="s">
        <v>134</v>
      </c>
      <c r="F199" s="32" t="s">
        <v>106</v>
      </c>
    </row>
    <row r="200" spans="3:6" ht="25.5" outlineLevel="2" x14ac:dyDescent="0.2">
      <c r="C200" s="47" t="s">
        <v>378</v>
      </c>
      <c r="D200" s="30" t="s">
        <v>135</v>
      </c>
      <c r="E200" s="30" t="s">
        <v>136</v>
      </c>
      <c r="F200" s="32" t="s">
        <v>44</v>
      </c>
    </row>
    <row r="201" spans="3:6" outlineLevel="2" x14ac:dyDescent="0.2">
      <c r="C201" s="47" t="s">
        <v>379</v>
      </c>
      <c r="D201" s="30" t="s">
        <v>137</v>
      </c>
      <c r="E201" s="30" t="s">
        <v>138</v>
      </c>
      <c r="F201" s="32" t="s">
        <v>44</v>
      </c>
    </row>
    <row r="202" spans="3:6" outlineLevel="2" x14ac:dyDescent="0.2">
      <c r="C202" s="47" t="s">
        <v>380</v>
      </c>
      <c r="D202" s="30" t="s">
        <v>139</v>
      </c>
      <c r="E202" s="30" t="s">
        <v>140</v>
      </c>
      <c r="F202" s="32" t="s">
        <v>44</v>
      </c>
    </row>
    <row r="203" spans="3:6" ht="25.5" outlineLevel="2" x14ac:dyDescent="0.2">
      <c r="C203" s="47" t="s">
        <v>381</v>
      </c>
      <c r="D203" s="30" t="s">
        <v>141</v>
      </c>
      <c r="E203" s="30" t="s">
        <v>142</v>
      </c>
      <c r="F203" s="32" t="s">
        <v>44</v>
      </c>
    </row>
    <row r="204" spans="3:6" ht="25.5" outlineLevel="2" x14ac:dyDescent="0.2">
      <c r="C204" s="47" t="s">
        <v>382</v>
      </c>
      <c r="D204" s="30" t="s">
        <v>143</v>
      </c>
      <c r="E204" s="30" t="s">
        <v>144</v>
      </c>
      <c r="F204" s="32" t="s">
        <v>44</v>
      </c>
    </row>
    <row r="205" spans="3:6" outlineLevel="2" x14ac:dyDescent="0.2">
      <c r="C205" s="47" t="s">
        <v>383</v>
      </c>
      <c r="D205" s="30" t="s">
        <v>145</v>
      </c>
      <c r="E205" s="30" t="s">
        <v>146</v>
      </c>
      <c r="F205" s="32" t="s">
        <v>44</v>
      </c>
    </row>
    <row r="206" spans="3:6" ht="25.5" outlineLevel="2" x14ac:dyDescent="0.2">
      <c r="C206" s="47" t="s">
        <v>384</v>
      </c>
      <c r="D206" s="30" t="s">
        <v>147</v>
      </c>
      <c r="E206" s="30" t="s">
        <v>557</v>
      </c>
      <c r="F206" s="32" t="s">
        <v>106</v>
      </c>
    </row>
    <row r="207" spans="3:6" ht="25.5" outlineLevel="2" x14ac:dyDescent="0.2">
      <c r="C207" s="47" t="s">
        <v>385</v>
      </c>
      <c r="D207" s="30" t="s">
        <v>148</v>
      </c>
      <c r="E207" s="30" t="s">
        <v>558</v>
      </c>
      <c r="F207" s="32" t="s">
        <v>149</v>
      </c>
    </row>
    <row r="208" spans="3:6" ht="38.25" outlineLevel="2" x14ac:dyDescent="0.2">
      <c r="C208" s="47" t="s">
        <v>386</v>
      </c>
      <c r="D208" s="30" t="s">
        <v>150</v>
      </c>
      <c r="E208" s="30" t="s">
        <v>559</v>
      </c>
      <c r="F208" s="32" t="s">
        <v>106</v>
      </c>
    </row>
    <row r="209" spans="3:6" ht="38.25" outlineLevel="2" x14ac:dyDescent="0.2">
      <c r="C209" s="47" t="s">
        <v>387</v>
      </c>
      <c r="D209" s="30" t="s">
        <v>151</v>
      </c>
      <c r="E209" s="30" t="s">
        <v>560</v>
      </c>
      <c r="F209" s="32" t="s">
        <v>44</v>
      </c>
    </row>
    <row r="210" spans="3:6" ht="38.25" outlineLevel="2" x14ac:dyDescent="0.2">
      <c r="C210" s="47" t="s">
        <v>388</v>
      </c>
      <c r="D210" s="30" t="s">
        <v>454</v>
      </c>
      <c r="E210" s="30" t="s">
        <v>561</v>
      </c>
      <c r="F210" s="32" t="s">
        <v>44</v>
      </c>
    </row>
    <row r="211" spans="3:6" ht="38.25" outlineLevel="2" x14ac:dyDescent="0.2">
      <c r="C211" s="47" t="s">
        <v>389</v>
      </c>
      <c r="D211" s="30" t="s">
        <v>455</v>
      </c>
      <c r="E211" s="30" t="s">
        <v>562</v>
      </c>
      <c r="F211" s="32" t="s">
        <v>44</v>
      </c>
    </row>
    <row r="212" spans="3:6" outlineLevel="2" x14ac:dyDescent="0.2">
      <c r="C212" s="47" t="s">
        <v>390</v>
      </c>
      <c r="D212" s="30" t="s">
        <v>152</v>
      </c>
      <c r="E212" s="30" t="s">
        <v>563</v>
      </c>
      <c r="F212" s="32" t="s">
        <v>44</v>
      </c>
    </row>
    <row r="213" spans="3:6" outlineLevel="2" x14ac:dyDescent="0.2">
      <c r="C213" s="47" t="s">
        <v>391</v>
      </c>
      <c r="D213" s="30" t="s">
        <v>153</v>
      </c>
      <c r="E213" s="30" t="s">
        <v>154</v>
      </c>
      <c r="F213" s="32" t="s">
        <v>121</v>
      </c>
    </row>
    <row r="214" spans="3:6" outlineLevel="2" x14ac:dyDescent="0.2">
      <c r="C214" s="47" t="s">
        <v>392</v>
      </c>
      <c r="D214" s="30" t="s">
        <v>155</v>
      </c>
      <c r="E214" s="30" t="s">
        <v>156</v>
      </c>
      <c r="F214" s="32" t="s">
        <v>106</v>
      </c>
    </row>
    <row r="215" spans="3:6" outlineLevel="2" x14ac:dyDescent="0.2">
      <c r="C215" s="47" t="s">
        <v>393</v>
      </c>
      <c r="D215" s="30" t="s">
        <v>157</v>
      </c>
      <c r="E215" s="30" t="s">
        <v>158</v>
      </c>
      <c r="F215" s="32" t="s">
        <v>106</v>
      </c>
    </row>
    <row r="216" spans="3:6" outlineLevel="2" x14ac:dyDescent="0.2">
      <c r="C216" s="47" t="s">
        <v>394</v>
      </c>
      <c r="D216" s="30" t="s">
        <v>159</v>
      </c>
      <c r="E216" s="30" t="s">
        <v>160</v>
      </c>
      <c r="F216" s="32" t="s">
        <v>106</v>
      </c>
    </row>
    <row r="217" spans="3:6" outlineLevel="2" x14ac:dyDescent="0.2">
      <c r="C217" s="47" t="s">
        <v>395</v>
      </c>
      <c r="D217" s="30" t="s">
        <v>161</v>
      </c>
      <c r="E217" s="30" t="s">
        <v>162</v>
      </c>
      <c r="F217" s="32" t="s">
        <v>149</v>
      </c>
    </row>
    <row r="218" spans="3:6" outlineLevel="2" x14ac:dyDescent="0.2">
      <c r="C218" s="47" t="s">
        <v>396</v>
      </c>
      <c r="D218" s="30" t="s">
        <v>163</v>
      </c>
      <c r="E218" s="30" t="s">
        <v>164</v>
      </c>
      <c r="F218" s="32" t="s">
        <v>149</v>
      </c>
    </row>
    <row r="219" spans="3:6" outlineLevel="2" x14ac:dyDescent="0.2">
      <c r="C219" s="47" t="s">
        <v>397</v>
      </c>
      <c r="D219" s="30" t="s">
        <v>165</v>
      </c>
      <c r="E219" s="30" t="s">
        <v>166</v>
      </c>
      <c r="F219" s="32" t="s">
        <v>167</v>
      </c>
    </row>
    <row r="220" spans="3:6" outlineLevel="2" x14ac:dyDescent="0.2">
      <c r="C220" s="47" t="s">
        <v>398</v>
      </c>
      <c r="D220" s="30" t="s">
        <v>168</v>
      </c>
      <c r="E220" s="30" t="s">
        <v>169</v>
      </c>
      <c r="F220" s="32" t="s">
        <v>44</v>
      </c>
    </row>
    <row r="221" spans="3:6" outlineLevel="2" x14ac:dyDescent="0.2">
      <c r="C221" s="47" t="s">
        <v>399</v>
      </c>
      <c r="D221" s="30" t="s">
        <v>170</v>
      </c>
      <c r="E221" s="30" t="s">
        <v>171</v>
      </c>
      <c r="F221" s="32" t="s">
        <v>44</v>
      </c>
    </row>
    <row r="222" spans="3:6" outlineLevel="2" x14ac:dyDescent="0.2">
      <c r="C222" s="47" t="s">
        <v>400</v>
      </c>
      <c r="D222" s="30" t="s">
        <v>172</v>
      </c>
      <c r="E222" s="30" t="s">
        <v>173</v>
      </c>
      <c r="F222" s="32" t="s">
        <v>44</v>
      </c>
    </row>
    <row r="223" spans="3:6" outlineLevel="2" x14ac:dyDescent="0.2">
      <c r="C223" s="47" t="s">
        <v>401</v>
      </c>
      <c r="D223" s="30" t="s">
        <v>174</v>
      </c>
      <c r="E223" s="30" t="s">
        <v>175</v>
      </c>
      <c r="F223" s="32" t="s">
        <v>176</v>
      </c>
    </row>
    <row r="224" spans="3:6" outlineLevel="2" x14ac:dyDescent="0.2">
      <c r="C224" s="47" t="s">
        <v>402</v>
      </c>
      <c r="D224" s="30" t="s">
        <v>177</v>
      </c>
      <c r="E224" s="30" t="s">
        <v>178</v>
      </c>
      <c r="F224" s="32" t="s">
        <v>179</v>
      </c>
    </row>
    <row r="225" spans="3:6" outlineLevel="2" x14ac:dyDescent="0.2">
      <c r="C225" s="47" t="s">
        <v>403</v>
      </c>
      <c r="D225" s="30" t="s">
        <v>180</v>
      </c>
      <c r="E225" s="30" t="s">
        <v>181</v>
      </c>
      <c r="F225" s="32" t="s">
        <v>99</v>
      </c>
    </row>
    <row r="226" spans="3:6" outlineLevel="2" x14ac:dyDescent="0.2">
      <c r="C226" s="47" t="s">
        <v>404</v>
      </c>
      <c r="D226" s="30" t="s">
        <v>182</v>
      </c>
      <c r="E226" s="30" t="s">
        <v>183</v>
      </c>
      <c r="F226" s="32" t="s">
        <v>44</v>
      </c>
    </row>
    <row r="227" spans="3:6" outlineLevel="2" x14ac:dyDescent="0.2">
      <c r="C227" s="47" t="s">
        <v>585</v>
      </c>
      <c r="D227" s="30" t="s">
        <v>586</v>
      </c>
      <c r="E227" s="30" t="s">
        <v>587</v>
      </c>
      <c r="F227" s="32" t="s">
        <v>44</v>
      </c>
    </row>
    <row r="228" spans="3:6" outlineLevel="2" x14ac:dyDescent="0.2">
      <c r="C228" s="47" t="s">
        <v>405</v>
      </c>
      <c r="D228" s="30" t="s">
        <v>184</v>
      </c>
      <c r="E228" s="30" t="s">
        <v>185</v>
      </c>
      <c r="F228" s="32" t="s">
        <v>44</v>
      </c>
    </row>
    <row r="229" spans="3:6" ht="25.5" outlineLevel="2" x14ac:dyDescent="0.2">
      <c r="C229" s="47" t="s">
        <v>406</v>
      </c>
      <c r="D229" s="30" t="s">
        <v>186</v>
      </c>
      <c r="E229" s="30" t="s">
        <v>187</v>
      </c>
      <c r="F229" s="32" t="s">
        <v>188</v>
      </c>
    </row>
    <row r="230" spans="3:6" outlineLevel="2" x14ac:dyDescent="0.2">
      <c r="C230" s="47" t="s">
        <v>407</v>
      </c>
      <c r="D230" s="30" t="s">
        <v>189</v>
      </c>
      <c r="E230" s="30" t="s">
        <v>190</v>
      </c>
      <c r="F230" s="32" t="s">
        <v>191</v>
      </c>
    </row>
    <row r="231" spans="3:6" outlineLevel="2" x14ac:dyDescent="0.2">
      <c r="C231" s="47" t="s">
        <v>408</v>
      </c>
      <c r="D231" s="30" t="s">
        <v>192</v>
      </c>
      <c r="E231" s="30" t="s">
        <v>193</v>
      </c>
      <c r="F231" s="32" t="s">
        <v>194</v>
      </c>
    </row>
    <row r="232" spans="3:6" outlineLevel="2" x14ac:dyDescent="0.2">
      <c r="C232" s="47" t="s">
        <v>409</v>
      </c>
      <c r="D232" s="30" t="s">
        <v>195</v>
      </c>
      <c r="E232" s="30" t="s">
        <v>196</v>
      </c>
      <c r="F232" s="32" t="s">
        <v>197</v>
      </c>
    </row>
    <row r="233" spans="3:6" outlineLevel="2" x14ac:dyDescent="0.2">
      <c r="C233" s="47" t="s">
        <v>410</v>
      </c>
      <c r="D233" s="30" t="s">
        <v>198</v>
      </c>
      <c r="E233" s="30" t="s">
        <v>199</v>
      </c>
      <c r="F233" s="32" t="s">
        <v>197</v>
      </c>
    </row>
    <row r="234" spans="3:6" outlineLevel="2" x14ac:dyDescent="0.2">
      <c r="C234" s="47" t="s">
        <v>411</v>
      </c>
      <c r="D234" s="30" t="s">
        <v>200</v>
      </c>
      <c r="E234" s="30" t="s">
        <v>201</v>
      </c>
      <c r="F234" s="32" t="s">
        <v>176</v>
      </c>
    </row>
    <row r="235" spans="3:6" outlineLevel="2" x14ac:dyDescent="0.2">
      <c r="C235" s="47" t="s">
        <v>412</v>
      </c>
      <c r="D235" s="30" t="s">
        <v>202</v>
      </c>
      <c r="E235" s="30" t="s">
        <v>203</v>
      </c>
      <c r="F235" s="32" t="s">
        <v>44</v>
      </c>
    </row>
    <row r="236" spans="3:6" outlineLevel="2" x14ac:dyDescent="0.2">
      <c r="C236" s="47" t="s">
        <v>413</v>
      </c>
      <c r="D236" s="30" t="s">
        <v>204</v>
      </c>
      <c r="E236" s="30" t="s">
        <v>205</v>
      </c>
      <c r="F236" s="32" t="s">
        <v>44</v>
      </c>
    </row>
    <row r="237" spans="3:6" ht="25.5" outlineLevel="2" x14ac:dyDescent="0.2">
      <c r="C237" s="47" t="s">
        <v>414</v>
      </c>
      <c r="D237" s="30" t="s">
        <v>206</v>
      </c>
      <c r="E237" s="30" t="s">
        <v>207</v>
      </c>
      <c r="F237" s="32" t="s">
        <v>44</v>
      </c>
    </row>
    <row r="238" spans="3:6" ht="25.5" outlineLevel="2" x14ac:dyDescent="0.2">
      <c r="C238" s="47" t="s">
        <v>415</v>
      </c>
      <c r="D238" s="30" t="s">
        <v>208</v>
      </c>
      <c r="E238" s="30" t="s">
        <v>209</v>
      </c>
      <c r="F238" s="32" t="s">
        <v>44</v>
      </c>
    </row>
    <row r="239" spans="3:6" outlineLevel="2" x14ac:dyDescent="0.2">
      <c r="C239" s="47" t="s">
        <v>416</v>
      </c>
      <c r="D239" s="30" t="s">
        <v>210</v>
      </c>
      <c r="E239" s="30" t="s">
        <v>211</v>
      </c>
      <c r="F239" s="32" t="s">
        <v>44</v>
      </c>
    </row>
    <row r="240" spans="3:6" outlineLevel="2" x14ac:dyDescent="0.2">
      <c r="C240" s="47" t="s">
        <v>417</v>
      </c>
      <c r="D240" s="30" t="s">
        <v>212</v>
      </c>
      <c r="E240" s="30" t="s">
        <v>213</v>
      </c>
      <c r="F240" s="32" t="s">
        <v>44</v>
      </c>
    </row>
    <row r="241" spans="3:6" outlineLevel="2" x14ac:dyDescent="0.2">
      <c r="C241" s="47" t="s">
        <v>418</v>
      </c>
      <c r="D241" s="30" t="s">
        <v>214</v>
      </c>
      <c r="E241" s="30" t="s">
        <v>215</v>
      </c>
      <c r="F241" s="32" t="s">
        <v>44</v>
      </c>
    </row>
    <row r="242" spans="3:6" ht="89.25" outlineLevel="2" x14ac:dyDescent="0.2">
      <c r="C242" s="47" t="s">
        <v>419</v>
      </c>
      <c r="D242" s="30" t="s">
        <v>216</v>
      </c>
      <c r="E242" s="30" t="s">
        <v>217</v>
      </c>
      <c r="F242" s="32" t="s">
        <v>44</v>
      </c>
    </row>
    <row r="243" spans="3:6" outlineLevel="2" x14ac:dyDescent="0.2">
      <c r="C243" s="47" t="s">
        <v>420</v>
      </c>
      <c r="D243" s="30" t="s">
        <v>457</v>
      </c>
      <c r="E243" s="30" t="s">
        <v>564</v>
      </c>
      <c r="F243" s="32" t="s">
        <v>566</v>
      </c>
    </row>
    <row r="244" spans="3:6" outlineLevel="2" x14ac:dyDescent="0.2">
      <c r="C244" s="47" t="s">
        <v>421</v>
      </c>
      <c r="D244" s="30" t="s">
        <v>218</v>
      </c>
      <c r="E244" s="30" t="s">
        <v>219</v>
      </c>
      <c r="F244" s="32" t="s">
        <v>220</v>
      </c>
    </row>
    <row r="245" spans="3:6" ht="63.75" outlineLevel="2" x14ac:dyDescent="0.2">
      <c r="C245" s="47" t="s">
        <v>422</v>
      </c>
      <c r="D245" s="30" t="s">
        <v>221</v>
      </c>
      <c r="E245" s="30" t="s">
        <v>222</v>
      </c>
      <c r="F245" s="32" t="s">
        <v>106</v>
      </c>
    </row>
    <row r="246" spans="3:6" ht="63.75" outlineLevel="2" x14ac:dyDescent="0.2">
      <c r="C246" s="47" t="s">
        <v>423</v>
      </c>
      <c r="D246" s="30" t="s">
        <v>223</v>
      </c>
      <c r="E246" s="30" t="s">
        <v>224</v>
      </c>
      <c r="F246" s="32" t="s">
        <v>225</v>
      </c>
    </row>
    <row r="247" spans="3:6" ht="63.75" outlineLevel="2" x14ac:dyDescent="0.2">
      <c r="C247" s="47" t="s">
        <v>424</v>
      </c>
      <c r="D247" s="30" t="s">
        <v>226</v>
      </c>
      <c r="E247" s="30" t="s">
        <v>227</v>
      </c>
      <c r="F247" s="32" t="s">
        <v>44</v>
      </c>
    </row>
    <row r="248" spans="3:6" outlineLevel="2" x14ac:dyDescent="0.2">
      <c r="C248" s="47" t="s">
        <v>425</v>
      </c>
      <c r="D248" s="30" t="s">
        <v>458</v>
      </c>
      <c r="E248" s="30" t="s">
        <v>565</v>
      </c>
      <c r="F248" s="32" t="s">
        <v>566</v>
      </c>
    </row>
    <row r="249" spans="3:6" outlineLevel="2" x14ac:dyDescent="0.2">
      <c r="C249" s="47" t="s">
        <v>426</v>
      </c>
      <c r="D249" s="30" t="s">
        <v>228</v>
      </c>
      <c r="E249" s="30" t="s">
        <v>229</v>
      </c>
      <c r="F249" s="32" t="s">
        <v>44</v>
      </c>
    </row>
    <row r="250" spans="3:6" outlineLevel="2" x14ac:dyDescent="0.2">
      <c r="C250" s="47" t="s">
        <v>427</v>
      </c>
      <c r="D250" s="30" t="s">
        <v>230</v>
      </c>
      <c r="E250" s="30" t="s">
        <v>231</v>
      </c>
      <c r="F250" s="32" t="s">
        <v>44</v>
      </c>
    </row>
    <row r="251" spans="3:6" outlineLevel="2" x14ac:dyDescent="0.2">
      <c r="C251" s="47" t="s">
        <v>428</v>
      </c>
      <c r="D251" s="30" t="s">
        <v>232</v>
      </c>
      <c r="E251" s="30" t="s">
        <v>233</v>
      </c>
      <c r="F251" s="32" t="s">
        <v>44</v>
      </c>
    </row>
    <row r="252" spans="3:6" outlineLevel="2" collapsed="1" x14ac:dyDescent="0.2">
      <c r="C252" s="48"/>
      <c r="D252" s="34"/>
      <c r="E252" s="35"/>
      <c r="F252" s="35"/>
    </row>
    <row r="253" spans="3:6" outlineLevel="1" x14ac:dyDescent="0.2"/>
    <row r="254" spans="3:6" outlineLevel="1" x14ac:dyDescent="0.2"/>
    <row r="255" spans="3:6" outlineLevel="1" x14ac:dyDescent="0.2"/>
  </sheetData>
  <sheetProtection formatRows="0"/>
  <hyperlinks>
    <hyperlink ref="D27" location="Cover!A1" display="Cover" xr:uid="{A1E9889A-DCA3-42FA-81F6-074695C9D372}"/>
    <hyperlink ref="D115" location="'Budget Opex Detail'!A1" display="Budget Opex Detail" xr:uid="{97C2FB47-EA97-46A6-9B1E-FD85D75987D0}"/>
    <hyperlink ref="D136" location="'Activity Master'!A1" display="Activity Master" xr:uid="{8D1527EE-529F-4C94-AACB-B876A3094DAD}"/>
    <hyperlink ref="D71" location="'Capex &amp; Project Detail'!A1" display="'Capex &amp; Project Detail" xr:uid="{1491E444-7526-4C30-BA93-1FBA60C9DCE0}"/>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1216-678F-4F9A-B136-EB12A80BFB8C}">
  <sheetPr codeName="Sheet12">
    <tabColor rgb="FF339966"/>
  </sheetPr>
  <dimension ref="A2:P349"/>
  <sheetViews>
    <sheetView showGridLines="0" zoomScale="80" zoomScaleNormal="80" workbookViewId="0">
      <selection activeCell="E4" sqref="E4"/>
    </sheetView>
  </sheetViews>
  <sheetFormatPr defaultColWidth="10.28515625" defaultRowHeight="15" outlineLevelRow="4" x14ac:dyDescent="0.25"/>
  <cols>
    <col min="1" max="1" width="0.85546875" style="75" customWidth="1"/>
    <col min="2" max="2" width="3.42578125" style="75" bestFit="1" customWidth="1"/>
    <col min="3" max="3" width="42.42578125" style="75" customWidth="1"/>
    <col min="4" max="4" width="66.85546875" style="75" customWidth="1"/>
    <col min="5" max="5" width="103.5703125" style="75" customWidth="1"/>
    <col min="6" max="6" width="52.28515625" style="75" customWidth="1"/>
    <col min="7" max="7" width="31.7109375" style="75" customWidth="1"/>
    <col min="8" max="10" width="10.28515625" style="75"/>
    <col min="11" max="11" width="10.28515625" style="75" customWidth="1"/>
    <col min="12" max="16384" width="10.28515625" style="75"/>
  </cols>
  <sheetData>
    <row r="2" spans="2:16" ht="24" x14ac:dyDescent="0.4">
      <c r="B2" s="74" t="s">
        <v>857</v>
      </c>
    </row>
    <row r="3" spans="2:16" ht="21" x14ac:dyDescent="0.35">
      <c r="B3" s="76"/>
    </row>
    <row r="4" spans="2:16" ht="19.5" thickBot="1" x14ac:dyDescent="0.35">
      <c r="B4" s="77" t="s">
        <v>0</v>
      </c>
      <c r="C4" s="78"/>
      <c r="D4" s="79"/>
      <c r="E4" s="78"/>
      <c r="F4" s="78"/>
      <c r="G4" s="78"/>
      <c r="H4" s="78"/>
      <c r="I4" s="78"/>
      <c r="J4" s="78"/>
      <c r="K4" s="78"/>
      <c r="L4" s="78"/>
      <c r="M4" s="78"/>
      <c r="N4" s="78"/>
      <c r="O4" s="78"/>
      <c r="P4" s="78"/>
    </row>
    <row r="5" spans="2:16" x14ac:dyDescent="0.25">
      <c r="B5" s="80"/>
      <c r="D5" s="81"/>
    </row>
    <row r="6" spans="2:16" x14ac:dyDescent="0.25">
      <c r="B6" s="75">
        <v>1</v>
      </c>
      <c r="C6" s="82" t="s">
        <v>862</v>
      </c>
    </row>
    <row r="7" spans="2:16" x14ac:dyDescent="0.25">
      <c r="B7" s="75">
        <v>2</v>
      </c>
      <c r="C7" s="82" t="s">
        <v>947</v>
      </c>
    </row>
    <row r="8" spans="2:16" x14ac:dyDescent="0.25">
      <c r="B8" s="83" t="s">
        <v>2</v>
      </c>
      <c r="C8" s="82" t="s">
        <v>858</v>
      </c>
    </row>
    <row r="9" spans="2:16" x14ac:dyDescent="0.25">
      <c r="B9" s="83" t="s">
        <v>2</v>
      </c>
      <c r="C9" s="82" t="s">
        <v>863</v>
      </c>
    </row>
    <row r="10" spans="2:16" x14ac:dyDescent="0.25">
      <c r="B10" s="83" t="s">
        <v>2</v>
      </c>
      <c r="C10" s="82" t="s">
        <v>948</v>
      </c>
    </row>
    <row r="11" spans="2:16" x14ac:dyDescent="0.25">
      <c r="B11" s="83" t="s">
        <v>2</v>
      </c>
      <c r="C11" s="82" t="s">
        <v>864</v>
      </c>
    </row>
    <row r="12" spans="2:16" x14ac:dyDescent="0.25">
      <c r="B12" s="83" t="s">
        <v>2</v>
      </c>
      <c r="C12" s="82" t="s">
        <v>865</v>
      </c>
    </row>
    <row r="13" spans="2:16" x14ac:dyDescent="0.25">
      <c r="B13" s="75">
        <v>3</v>
      </c>
      <c r="C13" s="82" t="s">
        <v>949</v>
      </c>
    </row>
    <row r="14" spans="2:16" x14ac:dyDescent="0.25">
      <c r="B14" s="75">
        <v>4</v>
      </c>
      <c r="C14" s="75" t="s">
        <v>4</v>
      </c>
    </row>
    <row r="15" spans="2:16" x14ac:dyDescent="0.25">
      <c r="B15" s="75">
        <v>5</v>
      </c>
      <c r="C15" s="75" t="s">
        <v>950</v>
      </c>
    </row>
    <row r="16" spans="2:16" x14ac:dyDescent="0.25">
      <c r="B16" s="75">
        <v>6</v>
      </c>
      <c r="C16" s="75" t="s">
        <v>1953</v>
      </c>
    </row>
    <row r="18" spans="1:16" ht="19.5" thickBot="1" x14ac:dyDescent="0.35">
      <c r="B18" s="77" t="s">
        <v>6</v>
      </c>
      <c r="C18" s="78"/>
      <c r="D18" s="79"/>
      <c r="E18" s="78"/>
      <c r="F18" s="78"/>
      <c r="G18" s="78"/>
      <c r="H18" s="78"/>
      <c r="I18" s="78"/>
      <c r="J18" s="78"/>
      <c r="K18" s="78"/>
      <c r="L18" s="78"/>
      <c r="M18" s="78"/>
      <c r="N18" s="78"/>
      <c r="O18" s="78"/>
      <c r="P18" s="78"/>
    </row>
    <row r="20" spans="1:16" x14ac:dyDescent="0.25">
      <c r="B20" s="75">
        <v>1</v>
      </c>
      <c r="C20" s="75" t="s">
        <v>7</v>
      </c>
    </row>
    <row r="21" spans="1:16" x14ac:dyDescent="0.25">
      <c r="C21" s="84" t="s">
        <v>8</v>
      </c>
    </row>
    <row r="22" spans="1:16" x14ac:dyDescent="0.25">
      <c r="C22" s="84" t="s">
        <v>951</v>
      </c>
    </row>
    <row r="23" spans="1:16" x14ac:dyDescent="0.25">
      <c r="C23" s="84" t="s">
        <v>952</v>
      </c>
    </row>
    <row r="24" spans="1:16" x14ac:dyDescent="0.25">
      <c r="C24" s="84" t="s">
        <v>953</v>
      </c>
    </row>
    <row r="25" spans="1:16" x14ac:dyDescent="0.25">
      <c r="B25" s="75">
        <v>2</v>
      </c>
      <c r="C25" s="75" t="s">
        <v>954</v>
      </c>
    </row>
    <row r="26" spans="1:16" x14ac:dyDescent="0.25">
      <c r="B26" s="75">
        <v>3</v>
      </c>
      <c r="C26" s="75" t="s">
        <v>955</v>
      </c>
    </row>
    <row r="28" spans="1:16" s="324" customFormat="1" ht="15.75" x14ac:dyDescent="0.25">
      <c r="A28" s="85"/>
      <c r="B28" s="85"/>
      <c r="C28" s="322" t="s">
        <v>10</v>
      </c>
      <c r="D28" s="323" t="s">
        <v>11</v>
      </c>
    </row>
    <row r="30" spans="1:16" x14ac:dyDescent="0.25">
      <c r="C30" s="75" t="s">
        <v>12</v>
      </c>
    </row>
    <row r="31" spans="1:16" outlineLevel="1" x14ac:dyDescent="0.25"/>
    <row r="32" spans="1:16" outlineLevel="1" x14ac:dyDescent="0.25">
      <c r="C32" s="86" t="s">
        <v>13</v>
      </c>
      <c r="D32" s="87" t="s">
        <v>14</v>
      </c>
    </row>
    <row r="33" spans="3:4" ht="60" outlineLevel="1" x14ac:dyDescent="0.25">
      <c r="C33" s="88" t="s">
        <v>15</v>
      </c>
      <c r="D33" s="89" t="s">
        <v>956</v>
      </c>
    </row>
    <row r="34" spans="3:4" outlineLevel="1" x14ac:dyDescent="0.25">
      <c r="C34" s="88" t="s">
        <v>234</v>
      </c>
      <c r="D34" s="89" t="s">
        <v>243</v>
      </c>
    </row>
    <row r="35" spans="3:4" outlineLevel="1" x14ac:dyDescent="0.25">
      <c r="C35" s="88" t="s">
        <v>341</v>
      </c>
      <c r="D35" s="89" t="s">
        <v>957</v>
      </c>
    </row>
    <row r="36" spans="3:4" outlineLevel="1" x14ac:dyDescent="0.25"/>
    <row r="37" spans="3:4" ht="30" outlineLevel="1" x14ac:dyDescent="0.25">
      <c r="C37" s="90" t="s">
        <v>958</v>
      </c>
      <c r="D37" s="90" t="s">
        <v>959</v>
      </c>
    </row>
    <row r="38" spans="3:4" outlineLevel="2" x14ac:dyDescent="0.25">
      <c r="C38" s="91" t="s">
        <v>960</v>
      </c>
      <c r="D38" s="91" t="s">
        <v>341</v>
      </c>
    </row>
    <row r="39" spans="3:4" outlineLevel="2" x14ac:dyDescent="0.25">
      <c r="C39" s="92" t="s">
        <v>961</v>
      </c>
      <c r="D39" s="92" t="s">
        <v>689</v>
      </c>
    </row>
    <row r="40" spans="3:4" outlineLevel="2" x14ac:dyDescent="0.25">
      <c r="C40" s="92" t="s">
        <v>961</v>
      </c>
      <c r="D40" s="92" t="s">
        <v>685</v>
      </c>
    </row>
    <row r="41" spans="3:4" outlineLevel="2" x14ac:dyDescent="0.25">
      <c r="C41" s="92" t="s">
        <v>961</v>
      </c>
      <c r="D41" s="92" t="s">
        <v>686</v>
      </c>
    </row>
    <row r="42" spans="3:4" outlineLevel="2" x14ac:dyDescent="0.25">
      <c r="C42" s="92" t="s">
        <v>962</v>
      </c>
      <c r="D42" s="92" t="s">
        <v>963</v>
      </c>
    </row>
    <row r="43" spans="3:4" outlineLevel="2" x14ac:dyDescent="0.25">
      <c r="C43" s="92" t="s">
        <v>962</v>
      </c>
      <c r="D43" s="92" t="s">
        <v>964</v>
      </c>
    </row>
    <row r="44" spans="3:4" outlineLevel="2" x14ac:dyDescent="0.25">
      <c r="C44" s="92" t="s">
        <v>962</v>
      </c>
      <c r="D44" s="92" t="s">
        <v>651</v>
      </c>
    </row>
    <row r="45" spans="3:4" outlineLevel="2" x14ac:dyDescent="0.25">
      <c r="C45" s="92" t="s">
        <v>962</v>
      </c>
      <c r="D45" s="92" t="s">
        <v>748</v>
      </c>
    </row>
    <row r="46" spans="3:4" outlineLevel="2" x14ac:dyDescent="0.25">
      <c r="C46" s="92" t="s">
        <v>962</v>
      </c>
      <c r="D46" s="92" t="s">
        <v>691</v>
      </c>
    </row>
    <row r="47" spans="3:4" outlineLevel="2" x14ac:dyDescent="0.25">
      <c r="C47" s="87" t="s">
        <v>965</v>
      </c>
      <c r="D47" s="87" t="s">
        <v>30</v>
      </c>
    </row>
    <row r="48" spans="3:4" outlineLevel="2" x14ac:dyDescent="0.25">
      <c r="C48" s="87" t="s">
        <v>965</v>
      </c>
      <c r="D48" s="87" t="s">
        <v>29</v>
      </c>
    </row>
    <row r="49" spans="3:4" outlineLevel="2" x14ac:dyDescent="0.25">
      <c r="C49" s="87" t="s">
        <v>22</v>
      </c>
      <c r="D49" s="87" t="s">
        <v>292</v>
      </c>
    </row>
    <row r="50" spans="3:4" outlineLevel="2" x14ac:dyDescent="0.25">
      <c r="C50" s="87" t="str">
        <f>C49</f>
        <v>HSE</v>
      </c>
      <c r="D50" s="87" t="s">
        <v>293</v>
      </c>
    </row>
    <row r="51" spans="3:4" outlineLevel="2" x14ac:dyDescent="0.25">
      <c r="C51" s="87" t="s">
        <v>588</v>
      </c>
      <c r="D51" s="87" t="s">
        <v>236</v>
      </c>
    </row>
    <row r="52" spans="3:4" outlineLevel="2" x14ac:dyDescent="0.25">
      <c r="C52" s="87" t="s">
        <v>588</v>
      </c>
      <c r="D52" s="87" t="s">
        <v>32</v>
      </c>
    </row>
    <row r="53" spans="3:4" outlineLevel="2" x14ac:dyDescent="0.25">
      <c r="C53" s="87" t="s">
        <v>966</v>
      </c>
      <c r="D53" s="87" t="s">
        <v>245</v>
      </c>
    </row>
    <row r="54" spans="3:4" outlineLevel="2" x14ac:dyDescent="0.25">
      <c r="C54" s="87" t="s">
        <v>966</v>
      </c>
      <c r="D54" s="87" t="s">
        <v>24</v>
      </c>
    </row>
    <row r="55" spans="3:4" outlineLevel="2" x14ac:dyDescent="0.25">
      <c r="C55" s="87" t="s">
        <v>966</v>
      </c>
      <c r="D55" s="87" t="s">
        <v>19</v>
      </c>
    </row>
    <row r="56" spans="3:4" outlineLevel="2" x14ac:dyDescent="0.25">
      <c r="C56" s="87" t="s">
        <v>966</v>
      </c>
      <c r="D56" s="87" t="s">
        <v>20</v>
      </c>
    </row>
    <row r="57" spans="3:4" outlineLevel="2" x14ac:dyDescent="0.25">
      <c r="C57" s="87" t="s">
        <v>966</v>
      </c>
      <c r="D57" s="87" t="s">
        <v>1521</v>
      </c>
    </row>
    <row r="58" spans="3:4" outlineLevel="2" x14ac:dyDescent="0.25">
      <c r="C58" s="87" t="s">
        <v>966</v>
      </c>
      <c r="D58" s="87" t="s">
        <v>1954</v>
      </c>
    </row>
    <row r="59" spans="3:4" outlineLevel="2" x14ac:dyDescent="0.25">
      <c r="C59" s="87" t="s">
        <v>1513</v>
      </c>
      <c r="D59" s="87" t="s">
        <v>1473</v>
      </c>
    </row>
    <row r="60" spans="3:4" outlineLevel="2" x14ac:dyDescent="0.25">
      <c r="C60" s="87" t="s">
        <v>1513</v>
      </c>
      <c r="D60" s="87" t="s">
        <v>1514</v>
      </c>
    </row>
    <row r="61" spans="3:4" outlineLevel="2" x14ac:dyDescent="0.25">
      <c r="C61" s="87" t="s">
        <v>1513</v>
      </c>
      <c r="D61" s="87" t="s">
        <v>1515</v>
      </c>
    </row>
    <row r="62" spans="3:4" outlineLevel="2" x14ac:dyDescent="0.25">
      <c r="C62" s="87" t="s">
        <v>1516</v>
      </c>
      <c r="D62" s="87" t="s">
        <v>327</v>
      </c>
    </row>
    <row r="63" spans="3:4" outlineLevel="2" x14ac:dyDescent="0.25">
      <c r="C63" s="87" t="s">
        <v>1516</v>
      </c>
      <c r="D63" s="87" t="s">
        <v>593</v>
      </c>
    </row>
    <row r="64" spans="3:4" outlineLevel="2" x14ac:dyDescent="0.25">
      <c r="C64" s="87" t="s">
        <v>237</v>
      </c>
      <c r="D64" s="87" t="s">
        <v>1955</v>
      </c>
    </row>
    <row r="65" spans="1:4" outlineLevel="2" x14ac:dyDescent="0.25">
      <c r="C65" s="87" t="s">
        <v>237</v>
      </c>
      <c r="D65" s="87" t="s">
        <v>968</v>
      </c>
    </row>
    <row r="66" spans="1:4" outlineLevel="2" x14ac:dyDescent="0.25">
      <c r="C66" s="87" t="s">
        <v>237</v>
      </c>
      <c r="D66" s="87" t="s">
        <v>1956</v>
      </c>
    </row>
    <row r="67" spans="1:4" outlineLevel="2" x14ac:dyDescent="0.25">
      <c r="C67" s="87" t="s">
        <v>590</v>
      </c>
      <c r="D67" s="87" t="s">
        <v>1475</v>
      </c>
    </row>
    <row r="68" spans="1:4" outlineLevel="2" x14ac:dyDescent="0.25">
      <c r="C68" s="87" t="s">
        <v>590</v>
      </c>
      <c r="D68" s="87" t="s">
        <v>26</v>
      </c>
    </row>
    <row r="69" spans="1:4" outlineLevel="2" x14ac:dyDescent="0.25">
      <c r="C69" s="87" t="s">
        <v>590</v>
      </c>
      <c r="D69" s="87" t="s">
        <v>27</v>
      </c>
    </row>
    <row r="70" spans="1:4" outlineLevel="2" x14ac:dyDescent="0.25">
      <c r="C70" s="87" t="s">
        <v>590</v>
      </c>
      <c r="D70" s="87" t="s">
        <v>28</v>
      </c>
    </row>
    <row r="71" spans="1:4" outlineLevel="2" x14ac:dyDescent="0.25">
      <c r="C71" s="93" t="s">
        <v>239</v>
      </c>
      <c r="D71" s="87" t="s">
        <v>591</v>
      </c>
    </row>
    <row r="72" spans="1:4" outlineLevel="2" x14ac:dyDescent="0.25">
      <c r="C72" s="87" t="s">
        <v>239</v>
      </c>
      <c r="D72" s="87" t="s">
        <v>34</v>
      </c>
    </row>
    <row r="73" spans="1:4" outlineLevel="2" x14ac:dyDescent="0.25">
      <c r="C73" s="87" t="s">
        <v>239</v>
      </c>
      <c r="D73" s="87" t="s">
        <v>35</v>
      </c>
    </row>
    <row r="74" spans="1:4" outlineLevel="1" x14ac:dyDescent="0.25"/>
    <row r="75" spans="1:4" outlineLevel="1" x14ac:dyDescent="0.25">
      <c r="C75" s="75" t="s">
        <v>36</v>
      </c>
    </row>
    <row r="77" spans="1:4" s="324" customFormat="1" ht="15.75" x14ac:dyDescent="0.25">
      <c r="A77" s="85"/>
      <c r="B77" s="85"/>
      <c r="C77" s="322" t="s">
        <v>832</v>
      </c>
      <c r="D77" s="331" t="s">
        <v>1518</v>
      </c>
    </row>
    <row r="79" spans="1:4" x14ac:dyDescent="0.25">
      <c r="C79" s="75" t="s">
        <v>970</v>
      </c>
    </row>
    <row r="80" spans="1:4" x14ac:dyDescent="0.25">
      <c r="C80" s="320" t="s">
        <v>971</v>
      </c>
      <c r="D80" s="94"/>
    </row>
    <row r="81" spans="3:4" outlineLevel="1" x14ac:dyDescent="0.25">
      <c r="C81" s="75" t="s">
        <v>695</v>
      </c>
    </row>
    <row r="82" spans="3:4" outlineLevel="1" x14ac:dyDescent="0.25">
      <c r="C82" s="75" t="s">
        <v>972</v>
      </c>
    </row>
    <row r="83" spans="3:4" outlineLevel="1" x14ac:dyDescent="0.25"/>
    <row r="84" spans="3:4" outlineLevel="1" x14ac:dyDescent="0.25">
      <c r="C84" s="91" t="s">
        <v>973</v>
      </c>
      <c r="D84" s="91" t="s">
        <v>974</v>
      </c>
    </row>
    <row r="85" spans="3:4" ht="60" outlineLevel="1" x14ac:dyDescent="0.25">
      <c r="C85" s="95" t="s">
        <v>697</v>
      </c>
      <c r="D85" s="96" t="s">
        <v>975</v>
      </c>
    </row>
    <row r="86" spans="3:4" ht="45" outlineLevel="1" x14ac:dyDescent="0.25">
      <c r="C86" s="95" t="s">
        <v>343</v>
      </c>
      <c r="D86" s="97" t="s">
        <v>976</v>
      </c>
    </row>
    <row r="87" spans="3:4" ht="75" outlineLevel="1" x14ac:dyDescent="0.25">
      <c r="C87" s="98" t="s">
        <v>699</v>
      </c>
      <c r="D87" s="99" t="s">
        <v>700</v>
      </c>
    </row>
    <row r="88" spans="3:4" ht="60" outlineLevel="1" x14ac:dyDescent="0.25">
      <c r="C88" s="100" t="s">
        <v>701</v>
      </c>
      <c r="D88" s="101" t="s">
        <v>977</v>
      </c>
    </row>
    <row r="89" spans="3:4" ht="135" customHeight="1" outlineLevel="1" x14ac:dyDescent="0.25">
      <c r="C89" s="102"/>
      <c r="D89" s="103" t="e" vm="1">
        <v>#VALUE!</v>
      </c>
    </row>
    <row r="90" spans="3:4" ht="75" outlineLevel="1" x14ac:dyDescent="0.25">
      <c r="C90" s="104" t="s">
        <v>859</v>
      </c>
      <c r="D90" s="105" t="s">
        <v>871</v>
      </c>
    </row>
    <row r="91" spans="3:4" outlineLevel="1" x14ac:dyDescent="0.25">
      <c r="C91" s="106" t="s">
        <v>978</v>
      </c>
      <c r="D91" s="107" t="s">
        <v>979</v>
      </c>
    </row>
    <row r="92" spans="3:4" outlineLevel="1" x14ac:dyDescent="0.25">
      <c r="C92" s="106" t="s">
        <v>980</v>
      </c>
      <c r="D92" s="107" t="s">
        <v>981</v>
      </c>
    </row>
    <row r="93" spans="3:4" outlineLevel="1" x14ac:dyDescent="0.25">
      <c r="C93" s="106" t="s">
        <v>1957</v>
      </c>
      <c r="D93" s="107" t="s">
        <v>982</v>
      </c>
    </row>
    <row r="94" spans="3:4" ht="90" outlineLevel="1" x14ac:dyDescent="0.25">
      <c r="C94" s="108" t="s">
        <v>596</v>
      </c>
      <c r="D94" s="97" t="s">
        <v>983</v>
      </c>
    </row>
    <row r="95" spans="3:4" outlineLevel="1" x14ac:dyDescent="0.25">
      <c r="C95" s="108" t="s">
        <v>597</v>
      </c>
      <c r="D95" s="109" t="s">
        <v>708</v>
      </c>
    </row>
    <row r="96" spans="3:4" outlineLevel="1" x14ac:dyDescent="0.25">
      <c r="C96" s="108" t="s">
        <v>833</v>
      </c>
      <c r="D96" s="109" t="s">
        <v>984</v>
      </c>
    </row>
    <row r="97" spans="3:6" outlineLevel="1" x14ac:dyDescent="0.25">
      <c r="C97" s="108" t="s">
        <v>747</v>
      </c>
      <c r="D97" s="109" t="s">
        <v>834</v>
      </c>
    </row>
    <row r="98" spans="3:6" outlineLevel="1" x14ac:dyDescent="0.25">
      <c r="C98" s="108" t="s">
        <v>733</v>
      </c>
      <c r="D98" s="109" t="s">
        <v>985</v>
      </c>
    </row>
    <row r="99" spans="3:6" outlineLevel="1" x14ac:dyDescent="0.25">
      <c r="C99" s="108" t="s">
        <v>986</v>
      </c>
      <c r="D99" s="109" t="s">
        <v>709</v>
      </c>
    </row>
    <row r="100" spans="3:6" outlineLevel="1" x14ac:dyDescent="0.25">
      <c r="C100" s="108" t="s">
        <v>987</v>
      </c>
      <c r="D100" s="109" t="s">
        <v>710</v>
      </c>
    </row>
    <row r="101" spans="3:6" outlineLevel="1" x14ac:dyDescent="0.25">
      <c r="C101" s="110" t="s">
        <v>988</v>
      </c>
      <c r="D101" s="109" t="s">
        <v>989</v>
      </c>
    </row>
    <row r="102" spans="3:6" outlineLevel="1" x14ac:dyDescent="0.25">
      <c r="C102" s="108" t="s">
        <v>838</v>
      </c>
      <c r="D102" s="109" t="s">
        <v>839</v>
      </c>
    </row>
    <row r="103" spans="3:6" outlineLevel="1" x14ac:dyDescent="0.25"/>
    <row r="104" spans="3:6" outlineLevel="1" x14ac:dyDescent="0.25">
      <c r="C104" s="111" t="s">
        <v>713</v>
      </c>
    </row>
    <row r="105" spans="3:6" outlineLevel="2" x14ac:dyDescent="0.25">
      <c r="C105" s="112" t="s">
        <v>40</v>
      </c>
      <c r="D105" s="91" t="s">
        <v>41</v>
      </c>
      <c r="E105" s="113" t="s">
        <v>990</v>
      </c>
      <c r="F105" s="114"/>
    </row>
    <row r="106" spans="3:6" outlineLevel="2" x14ac:dyDescent="0.25">
      <c r="C106" s="115" t="s">
        <v>683</v>
      </c>
      <c r="D106" s="116"/>
      <c r="E106" s="117"/>
      <c r="F106" s="118"/>
    </row>
    <row r="107" spans="3:6" outlineLevel="2" x14ac:dyDescent="0.25">
      <c r="C107" s="119">
        <v>15000000</v>
      </c>
      <c r="D107" s="120" t="s">
        <v>654</v>
      </c>
      <c r="E107" s="121" t="s">
        <v>991</v>
      </c>
      <c r="F107" s="122"/>
    </row>
    <row r="108" spans="3:6" ht="30" outlineLevel="2" x14ac:dyDescent="0.25">
      <c r="C108" s="123">
        <v>15000010</v>
      </c>
      <c r="D108" s="124" t="s">
        <v>655</v>
      </c>
      <c r="E108" s="125" t="s">
        <v>992</v>
      </c>
      <c r="F108" s="126"/>
    </row>
    <row r="109" spans="3:6" ht="30" outlineLevel="2" x14ac:dyDescent="0.25">
      <c r="C109" s="123">
        <v>15000020</v>
      </c>
      <c r="D109" s="124" t="s">
        <v>656</v>
      </c>
      <c r="E109" s="125" t="s">
        <v>993</v>
      </c>
      <c r="F109" s="126"/>
    </row>
    <row r="110" spans="3:6" ht="30" outlineLevel="2" x14ac:dyDescent="0.25">
      <c r="C110" s="123">
        <v>15000030</v>
      </c>
      <c r="D110" s="124" t="s">
        <v>657</v>
      </c>
      <c r="E110" s="125" t="s">
        <v>994</v>
      </c>
      <c r="F110" s="126"/>
    </row>
    <row r="111" spans="3:6" ht="30" outlineLevel="2" x14ac:dyDescent="0.25">
      <c r="C111" s="123">
        <v>15000040</v>
      </c>
      <c r="D111" s="124" t="s">
        <v>658</v>
      </c>
      <c r="E111" s="125" t="s">
        <v>995</v>
      </c>
      <c r="F111" s="126"/>
    </row>
    <row r="112" spans="3:6" outlineLevel="2" x14ac:dyDescent="0.25">
      <c r="C112" s="123">
        <v>15000050</v>
      </c>
      <c r="D112" s="124" t="s">
        <v>659</v>
      </c>
      <c r="E112" s="125" t="s">
        <v>996</v>
      </c>
      <c r="F112" s="126"/>
    </row>
    <row r="113" spans="1:6" ht="30" outlineLevel="2" x14ac:dyDescent="0.25">
      <c r="C113" s="123">
        <v>15000060</v>
      </c>
      <c r="D113" s="124" t="s">
        <v>660</v>
      </c>
      <c r="E113" s="125" t="s">
        <v>997</v>
      </c>
      <c r="F113" s="126"/>
    </row>
    <row r="114" spans="1:6" outlineLevel="2" x14ac:dyDescent="0.25">
      <c r="C114" s="127">
        <v>15000070</v>
      </c>
      <c r="D114" s="128" t="s">
        <v>661</v>
      </c>
      <c r="E114" s="129" t="s">
        <v>998</v>
      </c>
      <c r="F114" s="126"/>
    </row>
    <row r="115" spans="1:6" outlineLevel="2" x14ac:dyDescent="0.25">
      <c r="C115" s="127">
        <v>15000080</v>
      </c>
      <c r="D115" s="128" t="s">
        <v>662</v>
      </c>
      <c r="E115" s="129" t="s">
        <v>999</v>
      </c>
      <c r="F115" s="126"/>
    </row>
    <row r="116" spans="1:6" outlineLevel="2" x14ac:dyDescent="0.25">
      <c r="C116" s="127">
        <v>15200000</v>
      </c>
      <c r="D116" s="128" t="s">
        <v>664</v>
      </c>
      <c r="E116" s="129" t="s">
        <v>1000</v>
      </c>
      <c r="F116" s="122"/>
    </row>
    <row r="117" spans="1:6" outlineLevel="2" x14ac:dyDescent="0.25">
      <c r="C117" s="130" t="s">
        <v>1001</v>
      </c>
      <c r="D117" s="131"/>
      <c r="E117" s="132"/>
      <c r="F117" s="118"/>
    </row>
    <row r="118" spans="1:6" ht="30" outlineLevel="2" x14ac:dyDescent="0.25">
      <c r="C118" s="127">
        <v>15020010</v>
      </c>
      <c r="D118" s="128" t="s">
        <v>666</v>
      </c>
      <c r="E118" s="129" t="s">
        <v>1002</v>
      </c>
      <c r="F118" s="126"/>
    </row>
    <row r="119" spans="1:6" ht="30" outlineLevel="2" x14ac:dyDescent="0.25">
      <c r="C119" s="127">
        <v>15020020</v>
      </c>
      <c r="D119" s="128" t="s">
        <v>667</v>
      </c>
      <c r="E119" s="129" t="s">
        <v>1003</v>
      </c>
      <c r="F119" s="126"/>
    </row>
    <row r="120" spans="1:6" ht="30" outlineLevel="2" x14ac:dyDescent="0.25">
      <c r="C120" s="127">
        <v>15020030</v>
      </c>
      <c r="D120" s="128" t="s">
        <v>668</v>
      </c>
      <c r="E120" s="129" t="s">
        <v>1004</v>
      </c>
      <c r="F120" s="126"/>
    </row>
    <row r="121" spans="1:6" outlineLevel="2" x14ac:dyDescent="0.25">
      <c r="C121" s="127">
        <v>15020040</v>
      </c>
      <c r="D121" s="128" t="s">
        <v>669</v>
      </c>
      <c r="E121" s="129" t="s">
        <v>1005</v>
      </c>
      <c r="F121" s="126"/>
    </row>
    <row r="122" spans="1:6" outlineLevel="2" x14ac:dyDescent="0.25">
      <c r="C122" s="127">
        <v>15020080</v>
      </c>
      <c r="D122" s="128" t="s">
        <v>670</v>
      </c>
      <c r="E122" s="129" t="s">
        <v>1006</v>
      </c>
      <c r="F122" s="126"/>
    </row>
    <row r="123" spans="1:6" ht="30" outlineLevel="2" x14ac:dyDescent="0.25">
      <c r="C123" s="133">
        <v>15020090</v>
      </c>
      <c r="D123" s="134" t="s">
        <v>720</v>
      </c>
      <c r="E123" s="135" t="s">
        <v>1007</v>
      </c>
      <c r="F123" s="126"/>
    </row>
    <row r="124" spans="1:6" outlineLevel="2" x14ac:dyDescent="0.25">
      <c r="C124" s="325"/>
      <c r="D124" s="122"/>
      <c r="E124" s="126"/>
      <c r="F124" s="126"/>
    </row>
    <row r="125" spans="1:6" s="328" customFormat="1" ht="15.75" x14ac:dyDescent="0.25">
      <c r="A125" s="136"/>
      <c r="B125" s="136"/>
      <c r="C125" s="326" t="s">
        <v>1524</v>
      </c>
      <c r="D125" s="327" t="s">
        <v>525</v>
      </c>
    </row>
    <row r="127" spans="1:6" outlineLevel="1" x14ac:dyDescent="0.25">
      <c r="C127" s="75" t="s">
        <v>45</v>
      </c>
    </row>
    <row r="128" spans="1:6" outlineLevel="1" x14ac:dyDescent="0.25">
      <c r="C128" s="75" t="s">
        <v>860</v>
      </c>
    </row>
    <row r="129" spans="3:6" outlineLevel="1" x14ac:dyDescent="0.25">
      <c r="C129" s="75" t="s">
        <v>972</v>
      </c>
    </row>
    <row r="130" spans="3:6" outlineLevel="1" x14ac:dyDescent="0.25"/>
    <row r="131" spans="3:6" outlineLevel="1" x14ac:dyDescent="0.25">
      <c r="C131" s="335" t="s">
        <v>1525</v>
      </c>
      <c r="D131" s="335"/>
      <c r="E131" s="335" t="s">
        <v>1526</v>
      </c>
      <c r="F131" s="335"/>
    </row>
    <row r="132" spans="3:6" ht="60" outlineLevel="1" x14ac:dyDescent="0.25">
      <c r="C132" s="137" t="s">
        <v>462</v>
      </c>
      <c r="D132" s="138" t="s">
        <v>1008</v>
      </c>
      <c r="E132" s="137" t="s">
        <v>684</v>
      </c>
      <c r="F132" s="138" t="s">
        <v>1527</v>
      </c>
    </row>
    <row r="133" spans="3:6" ht="45" outlineLevel="1" x14ac:dyDescent="0.25">
      <c r="C133" s="137" t="s">
        <v>466</v>
      </c>
      <c r="D133" s="138" t="s">
        <v>1009</v>
      </c>
      <c r="E133" s="336"/>
      <c r="F133" s="337"/>
    </row>
    <row r="134" spans="3:6" ht="60" outlineLevel="1" x14ac:dyDescent="0.25">
      <c r="C134" s="139" t="s">
        <v>868</v>
      </c>
      <c r="D134" s="140" t="s">
        <v>1010</v>
      </c>
      <c r="E134" s="338"/>
      <c r="F134" s="337"/>
    </row>
    <row r="135" spans="3:6" ht="45" outlineLevel="1" x14ac:dyDescent="0.25">
      <c r="C135" s="139" t="s">
        <v>1011</v>
      </c>
      <c r="D135" s="140" t="s">
        <v>1012</v>
      </c>
      <c r="E135" s="139" t="s">
        <v>1011</v>
      </c>
      <c r="F135" s="140" t="s">
        <v>1012</v>
      </c>
    </row>
    <row r="136" spans="3:6" ht="60" outlineLevel="1" x14ac:dyDescent="0.25">
      <c r="C136" s="137" t="s">
        <v>859</v>
      </c>
      <c r="D136" s="138" t="s">
        <v>1013</v>
      </c>
      <c r="E136" s="137" t="s">
        <v>859</v>
      </c>
      <c r="F136" s="138" t="s">
        <v>1013</v>
      </c>
    </row>
    <row r="137" spans="3:6" ht="30" outlineLevel="1" x14ac:dyDescent="0.25">
      <c r="C137" s="137" t="s">
        <v>869</v>
      </c>
      <c r="D137" s="138" t="s">
        <v>1014</v>
      </c>
      <c r="E137" s="137" t="s">
        <v>869</v>
      </c>
      <c r="F137" s="138" t="s">
        <v>1014</v>
      </c>
    </row>
    <row r="138" spans="3:6" ht="105" outlineLevel="1" x14ac:dyDescent="0.25">
      <c r="C138" s="141" t="s">
        <v>519</v>
      </c>
      <c r="D138" s="138" t="s">
        <v>1015</v>
      </c>
      <c r="E138" s="141" t="s">
        <v>519</v>
      </c>
      <c r="F138" s="138" t="s">
        <v>1015</v>
      </c>
    </row>
    <row r="139" spans="3:6" ht="135" outlineLevel="1" x14ac:dyDescent="0.25">
      <c r="C139" s="141" t="s">
        <v>520</v>
      </c>
      <c r="D139" s="142" t="s">
        <v>1016</v>
      </c>
      <c r="E139" s="141" t="s">
        <v>520</v>
      </c>
      <c r="F139" s="142" t="s">
        <v>1016</v>
      </c>
    </row>
    <row r="140" spans="3:6" outlineLevel="1" x14ac:dyDescent="0.25">
      <c r="C140" s="141" t="s">
        <v>521</v>
      </c>
      <c r="D140" s="142" t="s">
        <v>1017</v>
      </c>
      <c r="E140" s="141" t="s">
        <v>521</v>
      </c>
      <c r="F140" s="142" t="s">
        <v>1017</v>
      </c>
    </row>
    <row r="141" spans="3:6" ht="45" outlineLevel="1" x14ac:dyDescent="0.25">
      <c r="C141" s="141" t="s">
        <v>523</v>
      </c>
      <c r="D141" s="142" t="s">
        <v>1018</v>
      </c>
      <c r="E141" s="141" t="s">
        <v>523</v>
      </c>
      <c r="F141" s="142" t="s">
        <v>1018</v>
      </c>
    </row>
    <row r="142" spans="3:6" ht="30" outlineLevel="1" x14ac:dyDescent="0.25">
      <c r="C142" s="141" t="s">
        <v>344</v>
      </c>
      <c r="D142" s="142" t="s">
        <v>1019</v>
      </c>
      <c r="E142" s="141" t="s">
        <v>344</v>
      </c>
      <c r="F142" s="142" t="s">
        <v>1019</v>
      </c>
    </row>
    <row r="143" spans="3:6" ht="30" outlineLevel="1" x14ac:dyDescent="0.25">
      <c r="C143" s="141" t="s">
        <v>522</v>
      </c>
      <c r="D143" s="142" t="s">
        <v>1020</v>
      </c>
      <c r="E143" s="141" t="s">
        <v>522</v>
      </c>
      <c r="F143" s="142" t="s">
        <v>1020</v>
      </c>
    </row>
    <row r="144" spans="3:6" ht="45" outlineLevel="1" x14ac:dyDescent="0.25">
      <c r="C144" s="141" t="s">
        <v>1021</v>
      </c>
      <c r="D144" s="142" t="s">
        <v>1022</v>
      </c>
      <c r="E144" s="141" t="s">
        <v>1021</v>
      </c>
      <c r="F144" s="142" t="s">
        <v>1022</v>
      </c>
    </row>
    <row r="145" spans="3:7" outlineLevel="1" x14ac:dyDescent="0.25"/>
    <row r="147" spans="3:7" x14ac:dyDescent="0.25">
      <c r="C147" s="111" t="s">
        <v>1033</v>
      </c>
    </row>
    <row r="148" spans="3:7" hidden="1" outlineLevel="2" x14ac:dyDescent="0.25">
      <c r="C148" s="91" t="s">
        <v>1034</v>
      </c>
      <c r="D148" s="91" t="s">
        <v>1035</v>
      </c>
      <c r="E148" s="113" t="s">
        <v>1036</v>
      </c>
      <c r="F148" s="113" t="s">
        <v>1037</v>
      </c>
      <c r="G148" s="113" t="s">
        <v>1038</v>
      </c>
    </row>
    <row r="149" spans="3:7" hidden="1" outlineLevel="4" x14ac:dyDescent="0.25">
      <c r="C149" s="144">
        <v>50200010</v>
      </c>
      <c r="D149" s="125" t="s">
        <v>1039</v>
      </c>
      <c r="E149" s="125" t="s">
        <v>1040</v>
      </c>
      <c r="F149" s="145" t="s">
        <v>469</v>
      </c>
      <c r="G149" s="145" t="s">
        <v>1041</v>
      </c>
    </row>
    <row r="150" spans="3:7" hidden="1" outlineLevel="4" x14ac:dyDescent="0.25">
      <c r="C150" s="144">
        <v>50300010</v>
      </c>
      <c r="D150" s="125" t="s">
        <v>48</v>
      </c>
      <c r="E150" s="125" t="s">
        <v>1042</v>
      </c>
      <c r="F150" s="146" t="s">
        <v>470</v>
      </c>
      <c r="G150" s="146" t="s">
        <v>50</v>
      </c>
    </row>
    <row r="151" spans="3:7" hidden="1" outlineLevel="4" x14ac:dyDescent="0.25">
      <c r="C151" s="144">
        <v>50300020</v>
      </c>
      <c r="D151" s="125" t="s">
        <v>51</v>
      </c>
      <c r="E151" s="125" t="s">
        <v>1043</v>
      </c>
      <c r="F151" s="125" t="s">
        <v>470</v>
      </c>
      <c r="G151" s="146" t="s">
        <v>50</v>
      </c>
    </row>
    <row r="152" spans="3:7" hidden="1" outlineLevel="4" x14ac:dyDescent="0.25">
      <c r="C152" s="144">
        <v>50300030</v>
      </c>
      <c r="D152" s="125" t="s">
        <v>53</v>
      </c>
      <c r="E152" s="125" t="s">
        <v>1044</v>
      </c>
      <c r="F152" s="125" t="s">
        <v>470</v>
      </c>
      <c r="G152" s="146" t="s">
        <v>50</v>
      </c>
    </row>
    <row r="153" spans="3:7" hidden="1" outlineLevel="4" x14ac:dyDescent="0.25">
      <c r="C153" s="144">
        <v>50300040</v>
      </c>
      <c r="D153" s="125" t="s">
        <v>55</v>
      </c>
      <c r="E153" s="125" t="s">
        <v>1045</v>
      </c>
      <c r="F153" s="125" t="s">
        <v>470</v>
      </c>
      <c r="G153" s="146" t="s">
        <v>50</v>
      </c>
    </row>
    <row r="154" spans="3:7" hidden="1" outlineLevel="4" x14ac:dyDescent="0.25">
      <c r="C154" s="144">
        <v>50300050</v>
      </c>
      <c r="D154" s="125" t="s">
        <v>57</v>
      </c>
      <c r="E154" s="125" t="s">
        <v>1046</v>
      </c>
      <c r="F154" s="125" t="s">
        <v>470</v>
      </c>
      <c r="G154" s="146" t="s">
        <v>50</v>
      </c>
    </row>
    <row r="155" spans="3:7" hidden="1" outlineLevel="4" x14ac:dyDescent="0.25">
      <c r="C155" s="144">
        <v>50300060</v>
      </c>
      <c r="D155" s="125" t="s">
        <v>1047</v>
      </c>
      <c r="E155" s="125" t="s">
        <v>1048</v>
      </c>
      <c r="F155" s="125" t="s">
        <v>470</v>
      </c>
      <c r="G155" s="146" t="s">
        <v>50</v>
      </c>
    </row>
    <row r="156" spans="3:7" hidden="1" outlineLevel="4" x14ac:dyDescent="0.25">
      <c r="C156" s="144">
        <v>50300070</v>
      </c>
      <c r="D156" s="125" t="s">
        <v>514</v>
      </c>
      <c r="E156" s="125" t="s">
        <v>1049</v>
      </c>
      <c r="F156" s="129" t="s">
        <v>470</v>
      </c>
      <c r="G156" s="146" t="s">
        <v>50</v>
      </c>
    </row>
    <row r="157" spans="3:7" hidden="1" outlineLevel="4" x14ac:dyDescent="0.25">
      <c r="C157" s="144">
        <v>50300080</v>
      </c>
      <c r="D157" s="125" t="s">
        <v>63</v>
      </c>
      <c r="E157" s="125" t="s">
        <v>1050</v>
      </c>
      <c r="F157" s="129" t="s">
        <v>470</v>
      </c>
      <c r="G157" s="146" t="s">
        <v>50</v>
      </c>
    </row>
    <row r="158" spans="3:7" hidden="1" outlineLevel="4" x14ac:dyDescent="0.25">
      <c r="C158" s="144">
        <v>50300090</v>
      </c>
      <c r="D158" s="125" t="s">
        <v>65</v>
      </c>
      <c r="E158" s="125" t="s">
        <v>1051</v>
      </c>
      <c r="F158" s="129" t="s">
        <v>470</v>
      </c>
      <c r="G158" s="146" t="s">
        <v>50</v>
      </c>
    </row>
    <row r="159" spans="3:7" hidden="1" outlineLevel="4" x14ac:dyDescent="0.25">
      <c r="C159" s="144">
        <v>50300100</v>
      </c>
      <c r="D159" s="125" t="s">
        <v>67</v>
      </c>
      <c r="E159" s="125" t="s">
        <v>1052</v>
      </c>
      <c r="F159" s="129" t="s">
        <v>470</v>
      </c>
      <c r="G159" s="146" t="s">
        <v>50</v>
      </c>
    </row>
    <row r="160" spans="3:7" hidden="1" outlineLevel="4" x14ac:dyDescent="0.25">
      <c r="C160" s="144">
        <v>50300110</v>
      </c>
      <c r="D160" s="125" t="s">
        <v>1053</v>
      </c>
      <c r="E160" s="125" t="s">
        <v>1054</v>
      </c>
      <c r="F160" s="129" t="s">
        <v>470</v>
      </c>
      <c r="G160" s="146" t="s">
        <v>50</v>
      </c>
    </row>
    <row r="161" spans="3:7" hidden="1" outlineLevel="4" x14ac:dyDescent="0.25">
      <c r="C161" s="144">
        <v>50300120</v>
      </c>
      <c r="D161" s="125" t="s">
        <v>1055</v>
      </c>
      <c r="E161" s="125" t="s">
        <v>1056</v>
      </c>
      <c r="F161" s="129" t="s">
        <v>470</v>
      </c>
      <c r="G161" s="146" t="s">
        <v>50</v>
      </c>
    </row>
    <row r="162" spans="3:7" hidden="1" outlineLevel="4" x14ac:dyDescent="0.25">
      <c r="C162" s="144">
        <v>50300990</v>
      </c>
      <c r="D162" s="125" t="s">
        <v>71</v>
      </c>
      <c r="E162" s="125" t="s">
        <v>1057</v>
      </c>
      <c r="F162" s="129" t="s">
        <v>470</v>
      </c>
      <c r="G162" s="146" t="s">
        <v>50</v>
      </c>
    </row>
    <row r="163" spans="3:7" hidden="1" outlineLevel="4" x14ac:dyDescent="0.25">
      <c r="C163" s="144">
        <v>50400010</v>
      </c>
      <c r="D163" s="125" t="s">
        <v>1058</v>
      </c>
      <c r="E163" s="125" t="s">
        <v>1059</v>
      </c>
      <c r="F163" s="129" t="s">
        <v>471</v>
      </c>
      <c r="G163" s="146" t="s">
        <v>50</v>
      </c>
    </row>
    <row r="164" spans="3:7" hidden="1" outlineLevel="4" x14ac:dyDescent="0.25">
      <c r="C164" s="144">
        <v>50500010</v>
      </c>
      <c r="D164" s="125" t="s">
        <v>1060</v>
      </c>
      <c r="E164" s="125" t="s">
        <v>1061</v>
      </c>
      <c r="F164" s="129" t="s">
        <v>472</v>
      </c>
      <c r="G164" s="145" t="s">
        <v>1041</v>
      </c>
    </row>
    <row r="165" spans="3:7" hidden="1" outlineLevel="4" x14ac:dyDescent="0.25">
      <c r="C165" s="144">
        <v>50500020</v>
      </c>
      <c r="D165" s="125" t="s">
        <v>515</v>
      </c>
      <c r="E165" s="125" t="s">
        <v>1062</v>
      </c>
      <c r="F165" s="129" t="s">
        <v>472</v>
      </c>
      <c r="G165" s="145" t="s">
        <v>1041</v>
      </c>
    </row>
    <row r="166" spans="3:7" hidden="1" outlineLevel="4" x14ac:dyDescent="0.25">
      <c r="C166" s="144">
        <v>50500030</v>
      </c>
      <c r="D166" s="125" t="s">
        <v>1063</v>
      </c>
      <c r="E166" s="125" t="s">
        <v>101</v>
      </c>
      <c r="F166" s="129" t="s">
        <v>472</v>
      </c>
      <c r="G166" s="145" t="s">
        <v>1041</v>
      </c>
    </row>
    <row r="167" spans="3:7" hidden="1" outlineLevel="4" x14ac:dyDescent="0.25">
      <c r="C167" s="144">
        <v>50500040</v>
      </c>
      <c r="D167" s="125" t="s">
        <v>111</v>
      </c>
      <c r="E167" s="125" t="s">
        <v>1064</v>
      </c>
      <c r="F167" s="129" t="s">
        <v>472</v>
      </c>
      <c r="G167" s="145" t="s">
        <v>1041</v>
      </c>
    </row>
    <row r="168" spans="3:7" hidden="1" outlineLevel="4" x14ac:dyDescent="0.25">
      <c r="C168" s="144">
        <v>50600010</v>
      </c>
      <c r="D168" s="125" t="s">
        <v>429</v>
      </c>
      <c r="E168" s="125" t="s">
        <v>1065</v>
      </c>
      <c r="F168" s="129" t="s">
        <v>473</v>
      </c>
      <c r="G168" s="145" t="s">
        <v>1041</v>
      </c>
    </row>
    <row r="169" spans="3:7" hidden="1" outlineLevel="4" x14ac:dyDescent="0.25">
      <c r="C169" s="144">
        <v>50600020</v>
      </c>
      <c r="D169" s="125" t="s">
        <v>430</v>
      </c>
      <c r="E169" s="125" t="s">
        <v>1066</v>
      </c>
      <c r="F169" s="129" t="s">
        <v>473</v>
      </c>
      <c r="G169" s="145" t="s">
        <v>1041</v>
      </c>
    </row>
    <row r="170" spans="3:7" hidden="1" outlineLevel="4" x14ac:dyDescent="0.25">
      <c r="C170" s="144">
        <v>50600030</v>
      </c>
      <c r="D170" s="125" t="s">
        <v>1067</v>
      </c>
      <c r="E170" s="125" t="s">
        <v>1068</v>
      </c>
      <c r="F170" s="129" t="s">
        <v>473</v>
      </c>
      <c r="G170" s="145" t="s">
        <v>1041</v>
      </c>
    </row>
    <row r="171" spans="3:7" hidden="1" outlineLevel="4" x14ac:dyDescent="0.25">
      <c r="C171" s="144">
        <v>50600040</v>
      </c>
      <c r="D171" s="125" t="s">
        <v>432</v>
      </c>
      <c r="E171" s="125" t="s">
        <v>1069</v>
      </c>
      <c r="F171" s="129" t="s">
        <v>473</v>
      </c>
      <c r="G171" s="145" t="s">
        <v>1041</v>
      </c>
    </row>
    <row r="172" spans="3:7" hidden="1" outlineLevel="4" x14ac:dyDescent="0.25">
      <c r="C172" s="144">
        <v>50800010</v>
      </c>
      <c r="D172" s="125" t="s">
        <v>1070</v>
      </c>
      <c r="E172" s="125" t="s">
        <v>1071</v>
      </c>
      <c r="F172" s="129" t="s">
        <v>474</v>
      </c>
      <c r="G172" s="145" t="s">
        <v>1041</v>
      </c>
    </row>
    <row r="173" spans="3:7" hidden="1" outlineLevel="4" x14ac:dyDescent="0.25">
      <c r="C173" s="144">
        <v>50800020</v>
      </c>
      <c r="D173" s="125" t="s">
        <v>119</v>
      </c>
      <c r="E173" s="125" t="s">
        <v>1072</v>
      </c>
      <c r="F173" s="129" t="s">
        <v>474</v>
      </c>
      <c r="G173" s="145" t="s">
        <v>1041</v>
      </c>
    </row>
    <row r="174" spans="3:7" hidden="1" outlineLevel="4" x14ac:dyDescent="0.25">
      <c r="C174" s="144">
        <v>50800030</v>
      </c>
      <c r="D174" s="125" t="s">
        <v>122</v>
      </c>
      <c r="E174" s="125" t="s">
        <v>1073</v>
      </c>
      <c r="F174" s="129" t="s">
        <v>474</v>
      </c>
      <c r="G174" s="145" t="s">
        <v>1041</v>
      </c>
    </row>
    <row r="175" spans="3:7" hidden="1" outlineLevel="4" x14ac:dyDescent="0.25">
      <c r="C175" s="144">
        <v>50800040</v>
      </c>
      <c r="D175" s="125" t="s">
        <v>124</v>
      </c>
      <c r="E175" s="125" t="s">
        <v>1074</v>
      </c>
      <c r="F175" s="129" t="s">
        <v>474</v>
      </c>
      <c r="G175" s="145" t="s">
        <v>1041</v>
      </c>
    </row>
    <row r="176" spans="3:7" hidden="1" outlineLevel="4" x14ac:dyDescent="0.25">
      <c r="C176" s="144">
        <v>50800050</v>
      </c>
      <c r="D176" s="125" t="s">
        <v>126</v>
      </c>
      <c r="E176" s="125" t="s">
        <v>1075</v>
      </c>
      <c r="F176" s="129" t="s">
        <v>474</v>
      </c>
      <c r="G176" s="145" t="s">
        <v>1041</v>
      </c>
    </row>
    <row r="177" spans="3:7" hidden="1" outlineLevel="4" x14ac:dyDescent="0.25">
      <c r="C177" s="144">
        <v>50800060</v>
      </c>
      <c r="D177" s="125" t="s">
        <v>128</v>
      </c>
      <c r="E177" s="125" t="s">
        <v>1076</v>
      </c>
      <c r="F177" s="129" t="s">
        <v>474</v>
      </c>
      <c r="G177" s="145" t="s">
        <v>1041</v>
      </c>
    </row>
    <row r="178" spans="3:7" hidden="1" outlineLevel="4" x14ac:dyDescent="0.25">
      <c r="C178" s="144">
        <v>50800070</v>
      </c>
      <c r="D178" s="125" t="s">
        <v>131</v>
      </c>
      <c r="E178" s="125" t="s">
        <v>1077</v>
      </c>
      <c r="F178" s="129" t="s">
        <v>474</v>
      </c>
      <c r="G178" s="145" t="s">
        <v>1041</v>
      </c>
    </row>
    <row r="179" spans="3:7" hidden="1" outlineLevel="4" x14ac:dyDescent="0.25">
      <c r="C179" s="144">
        <v>51100000</v>
      </c>
      <c r="D179" s="125" t="s">
        <v>433</v>
      </c>
      <c r="E179" s="125" t="s">
        <v>1078</v>
      </c>
      <c r="F179" s="129" t="s">
        <v>475</v>
      </c>
      <c r="G179" s="145" t="s">
        <v>1041</v>
      </c>
    </row>
    <row r="180" spans="3:7" hidden="1" outlineLevel="4" x14ac:dyDescent="0.25">
      <c r="C180" s="144">
        <v>51300010</v>
      </c>
      <c r="D180" s="125" t="s">
        <v>443</v>
      </c>
      <c r="E180" s="125" t="s">
        <v>1079</v>
      </c>
      <c r="F180" s="129" t="s">
        <v>477</v>
      </c>
      <c r="G180" s="129" t="s">
        <v>251</v>
      </c>
    </row>
    <row r="181" spans="3:7" hidden="1" outlineLevel="4" x14ac:dyDescent="0.25">
      <c r="C181" s="144">
        <v>51300040</v>
      </c>
      <c r="D181" s="125" t="s">
        <v>446</v>
      </c>
      <c r="E181" s="125" t="s">
        <v>1080</v>
      </c>
      <c r="F181" s="129" t="s">
        <v>477</v>
      </c>
      <c r="G181" s="129" t="s">
        <v>251</v>
      </c>
    </row>
    <row r="182" spans="3:7" hidden="1" outlineLevel="4" x14ac:dyDescent="0.25">
      <c r="C182" s="144">
        <v>51300050</v>
      </c>
      <c r="D182" s="125" t="s">
        <v>447</v>
      </c>
      <c r="E182" s="125" t="s">
        <v>1081</v>
      </c>
      <c r="F182" s="129" t="s">
        <v>477</v>
      </c>
      <c r="G182" s="129" t="s">
        <v>251</v>
      </c>
    </row>
    <row r="183" spans="3:7" hidden="1" outlineLevel="4" x14ac:dyDescent="0.25">
      <c r="C183" s="144">
        <v>51300060</v>
      </c>
      <c r="D183" s="125" t="s">
        <v>448</v>
      </c>
      <c r="E183" s="125" t="s">
        <v>1082</v>
      </c>
      <c r="F183" s="129" t="s">
        <v>477</v>
      </c>
      <c r="G183" s="129" t="s">
        <v>251</v>
      </c>
    </row>
    <row r="184" spans="3:7" hidden="1" outlineLevel="4" x14ac:dyDescent="0.25">
      <c r="C184" s="144">
        <v>51300090</v>
      </c>
      <c r="D184" s="125" t="s">
        <v>451</v>
      </c>
      <c r="E184" s="125" t="s">
        <v>1083</v>
      </c>
      <c r="F184" s="129" t="s">
        <v>477</v>
      </c>
      <c r="G184" s="129" t="s">
        <v>251</v>
      </c>
    </row>
    <row r="185" spans="3:7" hidden="1" outlineLevel="4" x14ac:dyDescent="0.25">
      <c r="C185" s="144">
        <v>51500010</v>
      </c>
      <c r="D185" s="125" t="s">
        <v>1084</v>
      </c>
      <c r="E185" s="125" t="s">
        <v>1085</v>
      </c>
      <c r="F185" s="129" t="s">
        <v>479</v>
      </c>
      <c r="G185" s="145" t="s">
        <v>1041</v>
      </c>
    </row>
    <row r="186" spans="3:7" hidden="1" outlineLevel="4" x14ac:dyDescent="0.25">
      <c r="C186" s="144">
        <v>51600010</v>
      </c>
      <c r="D186" s="125" t="s">
        <v>147</v>
      </c>
      <c r="E186" s="125" t="s">
        <v>1086</v>
      </c>
      <c r="F186" s="129" t="s">
        <v>480</v>
      </c>
      <c r="G186" s="145" t="s">
        <v>1041</v>
      </c>
    </row>
    <row r="187" spans="3:7" hidden="1" outlineLevel="4" x14ac:dyDescent="0.25">
      <c r="C187" s="144">
        <v>51600020</v>
      </c>
      <c r="D187" s="125" t="s">
        <v>148</v>
      </c>
      <c r="E187" s="125" t="s">
        <v>1087</v>
      </c>
      <c r="F187" s="129" t="s">
        <v>480</v>
      </c>
      <c r="G187" s="145" t="s">
        <v>1041</v>
      </c>
    </row>
    <row r="188" spans="3:7" hidden="1" outlineLevel="4" x14ac:dyDescent="0.25">
      <c r="C188" s="144">
        <v>51600030</v>
      </c>
      <c r="D188" s="125" t="s">
        <v>150</v>
      </c>
      <c r="E188" s="125" t="s">
        <v>1088</v>
      </c>
      <c r="F188" s="129" t="s">
        <v>480</v>
      </c>
      <c r="G188" s="145" t="s">
        <v>1041</v>
      </c>
    </row>
    <row r="189" spans="3:7" hidden="1" outlineLevel="4" x14ac:dyDescent="0.25">
      <c r="C189" s="144">
        <v>51600040</v>
      </c>
      <c r="D189" s="125" t="s">
        <v>151</v>
      </c>
      <c r="E189" s="125" t="s">
        <v>1089</v>
      </c>
      <c r="F189" s="129" t="s">
        <v>480</v>
      </c>
      <c r="G189" s="145" t="s">
        <v>1041</v>
      </c>
    </row>
    <row r="190" spans="3:7" hidden="1" outlineLevel="4" x14ac:dyDescent="0.25">
      <c r="C190" s="144">
        <v>51600050</v>
      </c>
      <c r="D190" s="125" t="s">
        <v>454</v>
      </c>
      <c r="E190" s="125" t="s">
        <v>1090</v>
      </c>
      <c r="F190" s="129" t="s">
        <v>480</v>
      </c>
      <c r="G190" s="145" t="s">
        <v>1041</v>
      </c>
    </row>
    <row r="191" spans="3:7" hidden="1" outlineLevel="4" x14ac:dyDescent="0.25">
      <c r="C191" s="144">
        <v>51600070</v>
      </c>
      <c r="D191" s="125" t="s">
        <v>152</v>
      </c>
      <c r="E191" s="125" t="s">
        <v>1091</v>
      </c>
      <c r="F191" s="129" t="s">
        <v>480</v>
      </c>
      <c r="G191" s="145" t="s">
        <v>1041</v>
      </c>
    </row>
    <row r="192" spans="3:7" hidden="1" outlineLevel="4" x14ac:dyDescent="0.25">
      <c r="C192" s="144">
        <v>51700010</v>
      </c>
      <c r="D192" s="125" t="s">
        <v>153</v>
      </c>
      <c r="E192" s="125" t="s">
        <v>1092</v>
      </c>
      <c r="F192" s="129" t="s">
        <v>481</v>
      </c>
      <c r="G192" s="145" t="s">
        <v>1041</v>
      </c>
    </row>
    <row r="193" spans="3:7" hidden="1" outlineLevel="4" x14ac:dyDescent="0.25">
      <c r="C193" s="144">
        <v>51700030</v>
      </c>
      <c r="D193" s="125" t="s">
        <v>155</v>
      </c>
      <c r="E193" s="125" t="s">
        <v>1093</v>
      </c>
      <c r="F193" s="129" t="s">
        <v>481</v>
      </c>
      <c r="G193" s="145" t="s">
        <v>1041</v>
      </c>
    </row>
    <row r="194" spans="3:7" hidden="1" outlineLevel="4" x14ac:dyDescent="0.25">
      <c r="C194" s="144">
        <v>51700040</v>
      </c>
      <c r="D194" s="125" t="s">
        <v>157</v>
      </c>
      <c r="E194" s="125" t="s">
        <v>1094</v>
      </c>
      <c r="F194" s="129" t="s">
        <v>481</v>
      </c>
      <c r="G194" s="145" t="s">
        <v>1041</v>
      </c>
    </row>
    <row r="195" spans="3:7" hidden="1" outlineLevel="4" x14ac:dyDescent="0.25">
      <c r="C195" s="144">
        <v>51700050</v>
      </c>
      <c r="D195" s="125" t="s">
        <v>159</v>
      </c>
      <c r="E195" s="125" t="s">
        <v>1095</v>
      </c>
      <c r="F195" s="129" t="s">
        <v>481</v>
      </c>
      <c r="G195" s="145" t="s">
        <v>1041</v>
      </c>
    </row>
    <row r="196" spans="3:7" hidden="1" outlineLevel="4" x14ac:dyDescent="0.25">
      <c r="C196" s="144">
        <v>51700060</v>
      </c>
      <c r="D196" s="125" t="s">
        <v>161</v>
      </c>
      <c r="E196" s="125" t="s">
        <v>1096</v>
      </c>
      <c r="F196" s="129" t="s">
        <v>481</v>
      </c>
      <c r="G196" s="145" t="s">
        <v>1041</v>
      </c>
    </row>
    <row r="197" spans="3:7" hidden="1" outlineLevel="4" x14ac:dyDescent="0.25">
      <c r="C197" s="144">
        <v>51700070</v>
      </c>
      <c r="D197" s="125" t="s">
        <v>163</v>
      </c>
      <c r="E197" s="125" t="s">
        <v>1097</v>
      </c>
      <c r="F197" s="129" t="s">
        <v>481</v>
      </c>
      <c r="G197" s="145" t="s">
        <v>1041</v>
      </c>
    </row>
    <row r="198" spans="3:7" hidden="1" outlineLevel="4" x14ac:dyDescent="0.25">
      <c r="C198" s="144">
        <v>51800010</v>
      </c>
      <c r="D198" s="125" t="s">
        <v>165</v>
      </c>
      <c r="E198" s="125" t="s">
        <v>1098</v>
      </c>
      <c r="F198" s="129" t="s">
        <v>482</v>
      </c>
      <c r="G198" s="145" t="s">
        <v>1041</v>
      </c>
    </row>
    <row r="199" spans="3:7" hidden="1" outlineLevel="4" x14ac:dyDescent="0.25">
      <c r="C199" s="144">
        <v>51800020</v>
      </c>
      <c r="D199" s="125" t="s">
        <v>168</v>
      </c>
      <c r="E199" s="125" t="s">
        <v>1099</v>
      </c>
      <c r="F199" s="129" t="s">
        <v>482</v>
      </c>
      <c r="G199" s="145" t="s">
        <v>1041</v>
      </c>
    </row>
    <row r="200" spans="3:7" hidden="1" outlineLevel="4" x14ac:dyDescent="0.25">
      <c r="C200" s="144">
        <v>51800030</v>
      </c>
      <c r="D200" s="125" t="s">
        <v>170</v>
      </c>
      <c r="E200" s="125" t="s">
        <v>1100</v>
      </c>
      <c r="F200" s="129" t="s">
        <v>482</v>
      </c>
      <c r="G200" s="145" t="s">
        <v>1041</v>
      </c>
    </row>
    <row r="201" spans="3:7" hidden="1" outlineLevel="4" x14ac:dyDescent="0.25">
      <c r="C201" s="144">
        <v>51800090</v>
      </c>
      <c r="D201" s="125" t="s">
        <v>172</v>
      </c>
      <c r="E201" s="125" t="s">
        <v>1101</v>
      </c>
      <c r="F201" s="129" t="s">
        <v>482</v>
      </c>
      <c r="G201" s="145" t="s">
        <v>1041</v>
      </c>
    </row>
    <row r="202" spans="3:7" hidden="1" outlineLevel="4" x14ac:dyDescent="0.25">
      <c r="C202" s="144">
        <v>51900010</v>
      </c>
      <c r="D202" s="125" t="s">
        <v>174</v>
      </c>
      <c r="E202" s="125" t="s">
        <v>1102</v>
      </c>
      <c r="F202" s="129" t="s">
        <v>345</v>
      </c>
      <c r="G202" s="145" t="s">
        <v>1041</v>
      </c>
    </row>
    <row r="203" spans="3:7" hidden="1" outlineLevel="4" x14ac:dyDescent="0.25">
      <c r="C203" s="144">
        <v>51900020</v>
      </c>
      <c r="D203" s="125" t="s">
        <v>177</v>
      </c>
      <c r="E203" s="125" t="s">
        <v>1103</v>
      </c>
      <c r="F203" s="129" t="s">
        <v>345</v>
      </c>
      <c r="G203" s="145" t="s">
        <v>1041</v>
      </c>
    </row>
    <row r="204" spans="3:7" hidden="1" outlineLevel="4" x14ac:dyDescent="0.25">
      <c r="C204" s="144">
        <v>51900030</v>
      </c>
      <c r="D204" s="125" t="s">
        <v>180</v>
      </c>
      <c r="E204" s="125" t="s">
        <v>1104</v>
      </c>
      <c r="F204" s="129" t="s">
        <v>345</v>
      </c>
      <c r="G204" s="145" t="s">
        <v>1041</v>
      </c>
    </row>
    <row r="205" spans="3:7" hidden="1" outlineLevel="4" x14ac:dyDescent="0.25">
      <c r="C205" s="144">
        <v>51900040</v>
      </c>
      <c r="D205" s="125" t="s">
        <v>182</v>
      </c>
      <c r="E205" s="125" t="s">
        <v>1105</v>
      </c>
      <c r="F205" s="129" t="s">
        <v>345</v>
      </c>
      <c r="G205" s="145" t="s">
        <v>1041</v>
      </c>
    </row>
    <row r="206" spans="3:7" hidden="1" outlineLevel="4" x14ac:dyDescent="0.25">
      <c r="C206" s="144">
        <v>51900090</v>
      </c>
      <c r="D206" s="125" t="s">
        <v>184</v>
      </c>
      <c r="E206" s="125" t="s">
        <v>1106</v>
      </c>
      <c r="F206" s="129" t="s">
        <v>345</v>
      </c>
      <c r="G206" s="145" t="s">
        <v>1041</v>
      </c>
    </row>
    <row r="207" spans="3:7" hidden="1" outlineLevel="4" x14ac:dyDescent="0.25">
      <c r="C207" s="144">
        <v>52100010</v>
      </c>
      <c r="D207" s="125" t="s">
        <v>195</v>
      </c>
      <c r="E207" s="125" t="s">
        <v>196</v>
      </c>
      <c r="F207" s="129" t="s">
        <v>484</v>
      </c>
      <c r="G207" s="145" t="s">
        <v>1041</v>
      </c>
    </row>
    <row r="208" spans="3:7" hidden="1" outlineLevel="4" x14ac:dyDescent="0.25">
      <c r="C208" s="144">
        <v>52100020</v>
      </c>
      <c r="D208" s="125" t="s">
        <v>198</v>
      </c>
      <c r="E208" s="125" t="s">
        <v>1107</v>
      </c>
      <c r="F208" s="129" t="s">
        <v>484</v>
      </c>
      <c r="G208" s="145" t="s">
        <v>1041</v>
      </c>
    </row>
    <row r="209" spans="3:7" hidden="1" outlineLevel="4" x14ac:dyDescent="0.25">
      <c r="C209" s="144">
        <v>52100030</v>
      </c>
      <c r="D209" s="125" t="s">
        <v>200</v>
      </c>
      <c r="E209" s="125" t="s">
        <v>201</v>
      </c>
      <c r="F209" s="129" t="s">
        <v>484</v>
      </c>
      <c r="G209" s="145" t="s">
        <v>1041</v>
      </c>
    </row>
    <row r="210" spans="3:7" hidden="1" outlineLevel="4" x14ac:dyDescent="0.25">
      <c r="C210" s="144">
        <v>52100040</v>
      </c>
      <c r="D210" s="125" t="s">
        <v>202</v>
      </c>
      <c r="E210" s="125" t="s">
        <v>203</v>
      </c>
      <c r="F210" s="129" t="s">
        <v>484</v>
      </c>
      <c r="G210" s="145" t="s">
        <v>1041</v>
      </c>
    </row>
    <row r="211" spans="3:7" hidden="1" outlineLevel="4" x14ac:dyDescent="0.25">
      <c r="C211" s="144">
        <v>52100050</v>
      </c>
      <c r="D211" s="125" t="s">
        <v>204</v>
      </c>
      <c r="E211" s="125" t="s">
        <v>1108</v>
      </c>
      <c r="F211" s="129" t="s">
        <v>484</v>
      </c>
      <c r="G211" s="145" t="s">
        <v>1041</v>
      </c>
    </row>
    <row r="212" spans="3:7" ht="30" hidden="1" outlineLevel="4" x14ac:dyDescent="0.25">
      <c r="C212" s="144">
        <v>52200010</v>
      </c>
      <c r="D212" s="125" t="s">
        <v>206</v>
      </c>
      <c r="E212" s="125" t="s">
        <v>207</v>
      </c>
      <c r="F212" s="129" t="s">
        <v>485</v>
      </c>
      <c r="G212" s="145" t="s">
        <v>1041</v>
      </c>
    </row>
    <row r="213" spans="3:7" ht="30" hidden="1" outlineLevel="4" x14ac:dyDescent="0.25">
      <c r="C213" s="144">
        <v>52200020</v>
      </c>
      <c r="D213" s="125" t="s">
        <v>208</v>
      </c>
      <c r="E213" s="125" t="s">
        <v>209</v>
      </c>
      <c r="F213" s="129" t="s">
        <v>485</v>
      </c>
      <c r="G213" s="145" t="s">
        <v>1041</v>
      </c>
    </row>
    <row r="214" spans="3:7" hidden="1" outlineLevel="4" x14ac:dyDescent="0.25">
      <c r="C214" s="144">
        <v>52300010</v>
      </c>
      <c r="D214" s="125" t="s">
        <v>210</v>
      </c>
      <c r="E214" s="125" t="s">
        <v>1109</v>
      </c>
      <c r="F214" s="129" t="s">
        <v>486</v>
      </c>
      <c r="G214" s="145" t="s">
        <v>1041</v>
      </c>
    </row>
    <row r="215" spans="3:7" ht="30" hidden="1" outlineLevel="4" x14ac:dyDescent="0.25">
      <c r="C215" s="144">
        <v>52300020</v>
      </c>
      <c r="D215" s="125" t="s">
        <v>212</v>
      </c>
      <c r="E215" s="125" t="s">
        <v>1110</v>
      </c>
      <c r="F215" s="129" t="s">
        <v>486</v>
      </c>
      <c r="G215" s="145" t="s">
        <v>1041</v>
      </c>
    </row>
    <row r="216" spans="3:7" hidden="1" outlineLevel="4" x14ac:dyDescent="0.25">
      <c r="C216" s="144">
        <v>52400030</v>
      </c>
      <c r="D216" s="125" t="s">
        <v>214</v>
      </c>
      <c r="E216" s="125" t="s">
        <v>1111</v>
      </c>
      <c r="F216" s="129" t="s">
        <v>487</v>
      </c>
      <c r="G216" s="145" t="s">
        <v>1041</v>
      </c>
    </row>
    <row r="217" spans="3:7" hidden="1" outlineLevel="4" x14ac:dyDescent="0.25">
      <c r="C217" s="144">
        <v>52400040</v>
      </c>
      <c r="D217" s="125" t="s">
        <v>216</v>
      </c>
      <c r="E217" s="125" t="s">
        <v>1112</v>
      </c>
      <c r="F217" s="129" t="s">
        <v>487</v>
      </c>
      <c r="G217" s="145" t="s">
        <v>1041</v>
      </c>
    </row>
    <row r="218" spans="3:7" hidden="1" outlineLevel="4" x14ac:dyDescent="0.25">
      <c r="C218" s="144">
        <v>52400060</v>
      </c>
      <c r="D218" s="125" t="s">
        <v>457</v>
      </c>
      <c r="E218" s="125" t="s">
        <v>1113</v>
      </c>
      <c r="F218" s="129" t="s">
        <v>487</v>
      </c>
      <c r="G218" s="145" t="s">
        <v>1041</v>
      </c>
    </row>
    <row r="219" spans="3:7" hidden="1" outlineLevel="4" x14ac:dyDescent="0.25">
      <c r="C219" s="144">
        <v>52500010</v>
      </c>
      <c r="D219" s="125" t="s">
        <v>218</v>
      </c>
      <c r="E219" s="125" t="s">
        <v>1114</v>
      </c>
      <c r="F219" s="129" t="s">
        <v>218</v>
      </c>
      <c r="G219" s="145" t="s">
        <v>1041</v>
      </c>
    </row>
    <row r="220" spans="3:7" hidden="1" outlineLevel="4" x14ac:dyDescent="0.25">
      <c r="C220" s="144">
        <v>52600020</v>
      </c>
      <c r="D220" s="125" t="s">
        <v>223</v>
      </c>
      <c r="E220" s="125" t="s">
        <v>1115</v>
      </c>
      <c r="F220" s="129" t="s">
        <v>488</v>
      </c>
      <c r="G220" s="145" t="s">
        <v>1041</v>
      </c>
    </row>
    <row r="221" spans="3:7" hidden="1" outlineLevel="4" x14ac:dyDescent="0.25">
      <c r="C221" s="144">
        <v>52600030</v>
      </c>
      <c r="D221" s="125" t="s">
        <v>226</v>
      </c>
      <c r="E221" s="125" t="s">
        <v>1116</v>
      </c>
      <c r="F221" s="129" t="s">
        <v>488</v>
      </c>
      <c r="G221" s="145" t="s">
        <v>1041</v>
      </c>
    </row>
    <row r="222" spans="3:7" hidden="1" outlineLevel="4" x14ac:dyDescent="0.25">
      <c r="C222" s="144">
        <v>52900010</v>
      </c>
      <c r="D222" s="125" t="s">
        <v>228</v>
      </c>
      <c r="E222" s="125" t="s">
        <v>1117</v>
      </c>
      <c r="F222" s="129" t="s">
        <v>489</v>
      </c>
      <c r="G222" s="145" t="s">
        <v>1041</v>
      </c>
    </row>
    <row r="223" spans="3:7" hidden="1" outlineLevel="4" x14ac:dyDescent="0.25">
      <c r="C223" s="144">
        <v>52900020</v>
      </c>
      <c r="D223" s="125" t="s">
        <v>230</v>
      </c>
      <c r="E223" s="125" t="s">
        <v>1118</v>
      </c>
      <c r="F223" s="129" t="s">
        <v>489</v>
      </c>
      <c r="G223" s="145" t="s">
        <v>1041</v>
      </c>
    </row>
    <row r="224" spans="3:7" hidden="1" outlineLevel="4" x14ac:dyDescent="0.25">
      <c r="C224" s="144">
        <v>53100010</v>
      </c>
      <c r="D224" s="125" t="s">
        <v>461</v>
      </c>
      <c r="E224" s="125" t="s">
        <v>1119</v>
      </c>
      <c r="F224" s="129" t="s">
        <v>461</v>
      </c>
      <c r="G224" s="145" t="s">
        <v>1041</v>
      </c>
    </row>
    <row r="225" spans="3:7" hidden="1" outlineLevel="4" x14ac:dyDescent="0.25">
      <c r="C225" s="147"/>
      <c r="D225" s="134"/>
      <c r="E225" s="135"/>
      <c r="F225" s="135"/>
      <c r="G225" s="135"/>
    </row>
    <row r="226" spans="3:7" collapsed="1" x14ac:dyDescent="0.25"/>
    <row r="228" spans="3:7" x14ac:dyDescent="0.25">
      <c r="C228" s="111" t="s">
        <v>1120</v>
      </c>
    </row>
    <row r="229" spans="3:7" x14ac:dyDescent="0.25">
      <c r="C229" s="91" t="s">
        <v>1034</v>
      </c>
      <c r="D229" s="91" t="s">
        <v>1035</v>
      </c>
      <c r="E229" s="113" t="s">
        <v>1036</v>
      </c>
      <c r="F229" s="113" t="s">
        <v>1037</v>
      </c>
      <c r="G229" s="113" t="s">
        <v>1038</v>
      </c>
    </row>
    <row r="230" spans="3:7" x14ac:dyDescent="0.25">
      <c r="C230" s="144">
        <v>60100010</v>
      </c>
      <c r="D230" s="125" t="s">
        <v>73</v>
      </c>
      <c r="E230" s="125" t="s">
        <v>1121</v>
      </c>
      <c r="F230" s="145" t="s">
        <v>491</v>
      </c>
      <c r="G230" s="145" t="s">
        <v>50</v>
      </c>
    </row>
    <row r="231" spans="3:7" x14ac:dyDescent="0.25">
      <c r="C231" s="144">
        <v>60100020</v>
      </c>
      <c r="D231" s="125" t="s">
        <v>75</v>
      </c>
      <c r="E231" s="125" t="s">
        <v>1122</v>
      </c>
      <c r="F231" s="146" t="s">
        <v>491</v>
      </c>
      <c r="G231" s="146" t="s">
        <v>50</v>
      </c>
    </row>
    <row r="232" spans="3:7" x14ac:dyDescent="0.25">
      <c r="C232" s="144">
        <v>60100030</v>
      </c>
      <c r="D232" s="125" t="s">
        <v>77</v>
      </c>
      <c r="E232" s="125" t="s">
        <v>1123</v>
      </c>
      <c r="F232" s="125" t="s">
        <v>491</v>
      </c>
      <c r="G232" s="146" t="s">
        <v>50</v>
      </c>
    </row>
    <row r="233" spans="3:7" x14ac:dyDescent="0.25">
      <c r="C233" s="144">
        <v>60100040</v>
      </c>
      <c r="D233" s="125" t="s">
        <v>79</v>
      </c>
      <c r="E233" s="125" t="s">
        <v>1124</v>
      </c>
      <c r="F233" s="125" t="s">
        <v>491</v>
      </c>
      <c r="G233" s="146" t="s">
        <v>50</v>
      </c>
    </row>
    <row r="234" spans="3:7" x14ac:dyDescent="0.25">
      <c r="C234" s="144">
        <v>60100050</v>
      </c>
      <c r="D234" s="125" t="s">
        <v>81</v>
      </c>
      <c r="E234" s="125" t="s">
        <v>1125</v>
      </c>
      <c r="F234" s="125" t="s">
        <v>491</v>
      </c>
      <c r="G234" s="146" t="s">
        <v>50</v>
      </c>
    </row>
    <row r="235" spans="3:7" x14ac:dyDescent="0.25">
      <c r="C235" s="144">
        <v>60100060</v>
      </c>
      <c r="D235" s="125" t="s">
        <v>83</v>
      </c>
      <c r="E235" s="125" t="s">
        <v>1126</v>
      </c>
      <c r="F235" s="125" t="s">
        <v>491</v>
      </c>
      <c r="G235" s="146" t="s">
        <v>50</v>
      </c>
    </row>
    <row r="236" spans="3:7" x14ac:dyDescent="0.25">
      <c r="C236" s="144">
        <v>60100070</v>
      </c>
      <c r="D236" s="125" t="s">
        <v>85</v>
      </c>
      <c r="E236" s="125" t="s">
        <v>1127</v>
      </c>
      <c r="F236" s="125" t="s">
        <v>491</v>
      </c>
      <c r="G236" s="146" t="s">
        <v>50</v>
      </c>
    </row>
    <row r="237" spans="3:7" x14ac:dyDescent="0.25">
      <c r="C237" s="144">
        <v>60100080</v>
      </c>
      <c r="D237" s="125" t="s">
        <v>87</v>
      </c>
      <c r="E237" s="125" t="s">
        <v>1128</v>
      </c>
      <c r="F237" s="129" t="s">
        <v>491</v>
      </c>
      <c r="G237" s="146" t="s">
        <v>50</v>
      </c>
    </row>
    <row r="238" spans="3:7" x14ac:dyDescent="0.25">
      <c r="C238" s="144">
        <v>60100090</v>
      </c>
      <c r="D238" s="125" t="s">
        <v>89</v>
      </c>
      <c r="E238" s="125" t="s">
        <v>1129</v>
      </c>
      <c r="F238" s="129" t="s">
        <v>491</v>
      </c>
      <c r="G238" s="146" t="s">
        <v>50</v>
      </c>
    </row>
    <row r="239" spans="3:7" x14ac:dyDescent="0.25">
      <c r="C239" s="144">
        <v>60100100</v>
      </c>
      <c r="D239" s="125" t="s">
        <v>91</v>
      </c>
      <c r="E239" s="125" t="s">
        <v>1130</v>
      </c>
      <c r="F239" s="129" t="s">
        <v>491</v>
      </c>
      <c r="G239" s="146" t="s">
        <v>50</v>
      </c>
    </row>
    <row r="240" spans="3:7" x14ac:dyDescent="0.25">
      <c r="C240" s="144">
        <v>60100110</v>
      </c>
      <c r="D240" s="125" t="s">
        <v>93</v>
      </c>
      <c r="E240" s="125" t="s">
        <v>1131</v>
      </c>
      <c r="F240" s="129" t="s">
        <v>491</v>
      </c>
      <c r="G240" s="146" t="s">
        <v>50</v>
      </c>
    </row>
    <row r="241" spans="3:7" x14ac:dyDescent="0.25">
      <c r="C241" s="144">
        <v>60100120</v>
      </c>
      <c r="D241" s="125" t="s">
        <v>1132</v>
      </c>
      <c r="E241" s="125" t="s">
        <v>1124</v>
      </c>
      <c r="F241" s="129" t="s">
        <v>491</v>
      </c>
      <c r="G241" s="146" t="s">
        <v>50</v>
      </c>
    </row>
    <row r="242" spans="3:7" x14ac:dyDescent="0.25">
      <c r="C242" s="144">
        <v>60100990</v>
      </c>
      <c r="D242" s="125" t="s">
        <v>95</v>
      </c>
      <c r="E242" s="125" t="s">
        <v>1133</v>
      </c>
      <c r="F242" s="129" t="s">
        <v>491</v>
      </c>
      <c r="G242" s="146" t="s">
        <v>50</v>
      </c>
    </row>
    <row r="243" spans="3:7" x14ac:dyDescent="0.25">
      <c r="C243" s="144">
        <v>60200010</v>
      </c>
      <c r="D243" s="125" t="s">
        <v>97</v>
      </c>
      <c r="E243" s="125" t="s">
        <v>98</v>
      </c>
      <c r="F243" s="129" t="s">
        <v>471</v>
      </c>
      <c r="G243" s="146" t="s">
        <v>50</v>
      </c>
    </row>
    <row r="244" spans="3:7" x14ac:dyDescent="0.25">
      <c r="C244" s="144">
        <v>60300010</v>
      </c>
      <c r="D244" s="125" t="s">
        <v>100</v>
      </c>
      <c r="E244" s="125" t="s">
        <v>101</v>
      </c>
      <c r="F244" s="129" t="s">
        <v>492</v>
      </c>
      <c r="G244" s="146" t="s">
        <v>50</v>
      </c>
    </row>
    <row r="245" spans="3:7" x14ac:dyDescent="0.25">
      <c r="C245" s="144">
        <v>60600010</v>
      </c>
      <c r="D245" s="125" t="s">
        <v>429</v>
      </c>
      <c r="E245" s="125" t="s">
        <v>1134</v>
      </c>
      <c r="F245" s="129" t="s">
        <v>473</v>
      </c>
      <c r="G245" s="145" t="s">
        <v>106</v>
      </c>
    </row>
    <row r="246" spans="3:7" x14ac:dyDescent="0.25">
      <c r="C246" s="144">
        <v>60600020</v>
      </c>
      <c r="D246" s="125" t="s">
        <v>430</v>
      </c>
      <c r="E246" s="125" t="s">
        <v>1135</v>
      </c>
      <c r="F246" s="129" t="s">
        <v>473</v>
      </c>
      <c r="G246" s="145" t="s">
        <v>106</v>
      </c>
    </row>
    <row r="247" spans="3:7" x14ac:dyDescent="0.25">
      <c r="C247" s="144">
        <v>60600030</v>
      </c>
      <c r="D247" s="125" t="s">
        <v>431</v>
      </c>
      <c r="E247" s="125" t="s">
        <v>1136</v>
      </c>
      <c r="F247" s="129" t="s">
        <v>473</v>
      </c>
      <c r="G247" s="145" t="s">
        <v>106</v>
      </c>
    </row>
    <row r="248" spans="3:7" ht="30" x14ac:dyDescent="0.25">
      <c r="C248" s="144">
        <v>60600050</v>
      </c>
      <c r="D248" s="125" t="s">
        <v>113</v>
      </c>
      <c r="E248" s="125" t="s">
        <v>1958</v>
      </c>
      <c r="F248" s="129" t="s">
        <v>473</v>
      </c>
      <c r="G248" s="145" t="s">
        <v>106</v>
      </c>
    </row>
    <row r="249" spans="3:7" x14ac:dyDescent="0.25">
      <c r="C249" s="144">
        <v>60700010</v>
      </c>
      <c r="D249" s="125" t="s">
        <v>115</v>
      </c>
      <c r="E249" s="125" t="s">
        <v>1959</v>
      </c>
      <c r="F249" s="129" t="s">
        <v>115</v>
      </c>
      <c r="G249" s="145" t="s">
        <v>106</v>
      </c>
    </row>
    <row r="250" spans="3:7" x14ac:dyDescent="0.25">
      <c r="C250" s="144">
        <v>60800010</v>
      </c>
      <c r="D250" s="125" t="s">
        <v>117</v>
      </c>
      <c r="E250" s="125" t="s">
        <v>1071</v>
      </c>
      <c r="F250" s="129" t="s">
        <v>493</v>
      </c>
      <c r="G250" s="145" t="s">
        <v>1041</v>
      </c>
    </row>
    <row r="251" spans="3:7" x14ac:dyDescent="0.25">
      <c r="C251" s="144">
        <v>60800020</v>
      </c>
      <c r="D251" s="125" t="s">
        <v>119</v>
      </c>
      <c r="E251" s="125" t="s">
        <v>1072</v>
      </c>
      <c r="F251" s="129" t="s">
        <v>493</v>
      </c>
      <c r="G251" s="145" t="s">
        <v>1041</v>
      </c>
    </row>
    <row r="252" spans="3:7" x14ac:dyDescent="0.25">
      <c r="C252" s="144">
        <v>60800030</v>
      </c>
      <c r="D252" s="125" t="s">
        <v>122</v>
      </c>
      <c r="E252" s="125" t="s">
        <v>1073</v>
      </c>
      <c r="F252" s="129" t="s">
        <v>493</v>
      </c>
      <c r="G252" s="145" t="s">
        <v>1041</v>
      </c>
    </row>
    <row r="253" spans="3:7" x14ac:dyDescent="0.25">
      <c r="C253" s="144">
        <v>60800040</v>
      </c>
      <c r="D253" s="125" t="s">
        <v>124</v>
      </c>
      <c r="E253" s="125" t="s">
        <v>1074</v>
      </c>
      <c r="F253" s="129" t="s">
        <v>493</v>
      </c>
      <c r="G253" s="145" t="s">
        <v>1041</v>
      </c>
    </row>
    <row r="254" spans="3:7" x14ac:dyDescent="0.25">
      <c r="C254" s="144">
        <v>60800050</v>
      </c>
      <c r="D254" s="125" t="s">
        <v>126</v>
      </c>
      <c r="E254" s="125" t="s">
        <v>1075</v>
      </c>
      <c r="F254" s="129" t="s">
        <v>493</v>
      </c>
      <c r="G254" s="145" t="s">
        <v>1041</v>
      </c>
    </row>
    <row r="255" spans="3:7" x14ac:dyDescent="0.25">
      <c r="C255" s="144">
        <v>60800060</v>
      </c>
      <c r="D255" s="125" t="s">
        <v>128</v>
      </c>
      <c r="E255" s="125" t="s">
        <v>1076</v>
      </c>
      <c r="F255" s="129" t="s">
        <v>493</v>
      </c>
      <c r="G255" s="145" t="s">
        <v>1041</v>
      </c>
    </row>
    <row r="256" spans="3:7" x14ac:dyDescent="0.25">
      <c r="C256" s="144">
        <v>60800070</v>
      </c>
      <c r="D256" s="125" t="s">
        <v>131</v>
      </c>
      <c r="E256" s="125" t="s">
        <v>1077</v>
      </c>
      <c r="F256" s="129" t="s">
        <v>493</v>
      </c>
      <c r="G256" s="145" t="s">
        <v>1041</v>
      </c>
    </row>
    <row r="257" spans="3:7" x14ac:dyDescent="0.25">
      <c r="C257" s="144">
        <v>60800080</v>
      </c>
      <c r="D257" s="125" t="s">
        <v>133</v>
      </c>
      <c r="E257" s="125" t="s">
        <v>1137</v>
      </c>
      <c r="F257" s="129" t="s">
        <v>493</v>
      </c>
      <c r="G257" s="145" t="s">
        <v>1041</v>
      </c>
    </row>
    <row r="258" spans="3:7" x14ac:dyDescent="0.25">
      <c r="C258" s="144">
        <v>61100010</v>
      </c>
      <c r="D258" s="125" t="s">
        <v>433</v>
      </c>
      <c r="E258" s="125" t="s">
        <v>1078</v>
      </c>
      <c r="F258" s="129" t="s">
        <v>475</v>
      </c>
      <c r="G258" s="145" t="s">
        <v>1138</v>
      </c>
    </row>
    <row r="259" spans="3:7" x14ac:dyDescent="0.25">
      <c r="C259" s="144">
        <v>61200010</v>
      </c>
      <c r="D259" s="125" t="s">
        <v>434</v>
      </c>
      <c r="E259" s="125" t="s">
        <v>1139</v>
      </c>
      <c r="F259" s="129" t="s">
        <v>476</v>
      </c>
      <c r="G259" s="145" t="s">
        <v>1140</v>
      </c>
    </row>
    <row r="260" spans="3:7" x14ac:dyDescent="0.25">
      <c r="C260" s="144">
        <v>61200020</v>
      </c>
      <c r="D260" s="125" t="s">
        <v>435</v>
      </c>
      <c r="E260" s="125" t="s">
        <v>1141</v>
      </c>
      <c r="F260" s="129" t="s">
        <v>476</v>
      </c>
      <c r="G260" s="145" t="s">
        <v>1140</v>
      </c>
    </row>
    <row r="261" spans="3:7" x14ac:dyDescent="0.25">
      <c r="C261" s="144">
        <v>61200030</v>
      </c>
      <c r="D261" s="125" t="s">
        <v>436</v>
      </c>
      <c r="E261" s="125" t="s">
        <v>1142</v>
      </c>
      <c r="F261" s="129" t="s">
        <v>476</v>
      </c>
      <c r="G261" s="145" t="s">
        <v>1140</v>
      </c>
    </row>
    <row r="262" spans="3:7" x14ac:dyDescent="0.25">
      <c r="C262" s="144">
        <v>61200040</v>
      </c>
      <c r="D262" s="125" t="s">
        <v>437</v>
      </c>
      <c r="E262" s="125" t="s">
        <v>1143</v>
      </c>
      <c r="F262" s="129" t="s">
        <v>476</v>
      </c>
      <c r="G262" s="145" t="s">
        <v>1140</v>
      </c>
    </row>
    <row r="263" spans="3:7" x14ac:dyDescent="0.25">
      <c r="C263" s="144">
        <v>61200050</v>
      </c>
      <c r="D263" s="125" t="s">
        <v>438</v>
      </c>
      <c r="E263" s="125" t="s">
        <v>1144</v>
      </c>
      <c r="F263" s="129" t="s">
        <v>476</v>
      </c>
      <c r="G263" s="145" t="s">
        <v>1140</v>
      </c>
    </row>
    <row r="264" spans="3:7" x14ac:dyDescent="0.25">
      <c r="C264" s="144">
        <v>61200060</v>
      </c>
      <c r="D264" s="125" t="s">
        <v>439</v>
      </c>
      <c r="E264" s="125" t="s">
        <v>1145</v>
      </c>
      <c r="F264" s="129" t="s">
        <v>476</v>
      </c>
      <c r="G264" s="145" t="s">
        <v>1140</v>
      </c>
    </row>
    <row r="265" spans="3:7" x14ac:dyDescent="0.25">
      <c r="C265" s="144">
        <v>61200070</v>
      </c>
      <c r="D265" s="125" t="s">
        <v>440</v>
      </c>
      <c r="E265" s="125" t="s">
        <v>1146</v>
      </c>
      <c r="F265" s="129" t="s">
        <v>476</v>
      </c>
      <c r="G265" s="145" t="s">
        <v>1140</v>
      </c>
    </row>
    <row r="266" spans="3:7" x14ac:dyDescent="0.25">
      <c r="C266" s="144">
        <v>61200080</v>
      </c>
      <c r="D266" s="125" t="s">
        <v>441</v>
      </c>
      <c r="E266" s="125" t="s">
        <v>1147</v>
      </c>
      <c r="F266" s="129" t="s">
        <v>476</v>
      </c>
      <c r="G266" s="145" t="s">
        <v>1140</v>
      </c>
    </row>
    <row r="267" spans="3:7" x14ac:dyDescent="0.25">
      <c r="C267" s="144">
        <v>61200090</v>
      </c>
      <c r="D267" s="125" t="s">
        <v>442</v>
      </c>
      <c r="E267" s="125" t="s">
        <v>1148</v>
      </c>
      <c r="F267" s="129" t="s">
        <v>476</v>
      </c>
      <c r="G267" s="145" t="s">
        <v>1140</v>
      </c>
    </row>
    <row r="268" spans="3:7" x14ac:dyDescent="0.25">
      <c r="C268" s="144">
        <v>61300010</v>
      </c>
      <c r="D268" s="125" t="s">
        <v>443</v>
      </c>
      <c r="E268" s="125" t="s">
        <v>1149</v>
      </c>
      <c r="F268" s="129" t="s">
        <v>477</v>
      </c>
      <c r="G268" s="145" t="s">
        <v>1140</v>
      </c>
    </row>
    <row r="269" spans="3:7" x14ac:dyDescent="0.25">
      <c r="C269" s="144">
        <v>61300020</v>
      </c>
      <c r="D269" s="125" t="s">
        <v>444</v>
      </c>
      <c r="E269" s="125" t="s">
        <v>1150</v>
      </c>
      <c r="F269" s="129" t="s">
        <v>477</v>
      </c>
      <c r="G269" s="145" t="s">
        <v>1140</v>
      </c>
    </row>
    <row r="270" spans="3:7" x14ac:dyDescent="0.25">
      <c r="C270" s="144">
        <v>61300030</v>
      </c>
      <c r="D270" s="125" t="s">
        <v>445</v>
      </c>
      <c r="E270" s="125" t="s">
        <v>1151</v>
      </c>
      <c r="F270" s="129" t="s">
        <v>477</v>
      </c>
      <c r="G270" s="145" t="s">
        <v>1140</v>
      </c>
    </row>
    <row r="271" spans="3:7" x14ac:dyDescent="0.25">
      <c r="C271" s="144">
        <v>61300040</v>
      </c>
      <c r="D271" s="125" t="s">
        <v>446</v>
      </c>
      <c r="E271" s="125" t="s">
        <v>1152</v>
      </c>
      <c r="F271" s="129" t="s">
        <v>477</v>
      </c>
      <c r="G271" s="145" t="s">
        <v>1140</v>
      </c>
    </row>
    <row r="272" spans="3:7" x14ac:dyDescent="0.25">
      <c r="C272" s="144">
        <v>61300050</v>
      </c>
      <c r="D272" s="125" t="s">
        <v>447</v>
      </c>
      <c r="E272" s="125" t="s">
        <v>1153</v>
      </c>
      <c r="F272" s="129" t="s">
        <v>477</v>
      </c>
      <c r="G272" s="145" t="s">
        <v>1140</v>
      </c>
    </row>
    <row r="273" spans="3:7" x14ac:dyDescent="0.25">
      <c r="C273" s="144">
        <v>61300060</v>
      </c>
      <c r="D273" s="125" t="s">
        <v>448</v>
      </c>
      <c r="E273" s="125" t="s">
        <v>1154</v>
      </c>
      <c r="F273" s="129" t="s">
        <v>477</v>
      </c>
      <c r="G273" s="145" t="s">
        <v>1140</v>
      </c>
    </row>
    <row r="274" spans="3:7" x14ac:dyDescent="0.25">
      <c r="C274" s="144">
        <v>61300070</v>
      </c>
      <c r="D274" s="125" t="s">
        <v>449</v>
      </c>
      <c r="E274" s="125" t="s">
        <v>1155</v>
      </c>
      <c r="F274" s="129" t="s">
        <v>477</v>
      </c>
      <c r="G274" s="145" t="s">
        <v>1140</v>
      </c>
    </row>
    <row r="275" spans="3:7" x14ac:dyDescent="0.25">
      <c r="C275" s="144">
        <v>61300080</v>
      </c>
      <c r="D275" s="125" t="s">
        <v>450</v>
      </c>
      <c r="E275" s="125" t="s">
        <v>1156</v>
      </c>
      <c r="F275" s="129" t="s">
        <v>477</v>
      </c>
      <c r="G275" s="145" t="s">
        <v>1140</v>
      </c>
    </row>
    <row r="276" spans="3:7" x14ac:dyDescent="0.25">
      <c r="C276" s="144">
        <v>61300090</v>
      </c>
      <c r="D276" s="125" t="s">
        <v>451</v>
      </c>
      <c r="E276" s="125" t="s">
        <v>1157</v>
      </c>
      <c r="F276" s="129" t="s">
        <v>477</v>
      </c>
      <c r="G276" s="145" t="s">
        <v>1140</v>
      </c>
    </row>
    <row r="277" spans="3:7" x14ac:dyDescent="0.25">
      <c r="C277" s="144">
        <v>61400010</v>
      </c>
      <c r="D277" s="125" t="s">
        <v>135</v>
      </c>
      <c r="E277" s="125" t="s">
        <v>1158</v>
      </c>
      <c r="F277" s="129" t="s">
        <v>478</v>
      </c>
      <c r="G277" s="145" t="s">
        <v>1159</v>
      </c>
    </row>
    <row r="278" spans="3:7" x14ac:dyDescent="0.25">
      <c r="C278" s="144">
        <v>61400020</v>
      </c>
      <c r="D278" s="125" t="s">
        <v>452</v>
      </c>
      <c r="E278" s="125" t="s">
        <v>1160</v>
      </c>
      <c r="F278" s="129" t="s">
        <v>478</v>
      </c>
      <c r="G278" s="145" t="s">
        <v>1159</v>
      </c>
    </row>
    <row r="279" spans="3:7" x14ac:dyDescent="0.25">
      <c r="C279" s="144">
        <v>61400030</v>
      </c>
      <c r="D279" s="125" t="s">
        <v>453</v>
      </c>
      <c r="E279" s="125" t="s">
        <v>1161</v>
      </c>
      <c r="F279" s="129" t="s">
        <v>478</v>
      </c>
      <c r="G279" s="145" t="s">
        <v>1159</v>
      </c>
    </row>
    <row r="280" spans="3:7" x14ac:dyDescent="0.25">
      <c r="C280" s="144">
        <v>61500010</v>
      </c>
      <c r="D280" s="125" t="s">
        <v>141</v>
      </c>
      <c r="E280" s="125" t="s">
        <v>1085</v>
      </c>
      <c r="F280" s="129" t="s">
        <v>479</v>
      </c>
      <c r="G280" s="145" t="s">
        <v>1041</v>
      </c>
    </row>
    <row r="281" spans="3:7" x14ac:dyDescent="0.25">
      <c r="C281" s="144">
        <v>61500020</v>
      </c>
      <c r="D281" s="125" t="s">
        <v>143</v>
      </c>
      <c r="E281" s="125" t="s">
        <v>1085</v>
      </c>
      <c r="F281" s="129" t="s">
        <v>479</v>
      </c>
      <c r="G281" s="145" t="s">
        <v>50</v>
      </c>
    </row>
    <row r="282" spans="3:7" ht="30" x14ac:dyDescent="0.25">
      <c r="C282" s="144">
        <v>61600010</v>
      </c>
      <c r="D282" s="125" t="s">
        <v>1162</v>
      </c>
      <c r="E282" s="125" t="s">
        <v>1163</v>
      </c>
      <c r="F282" s="129" t="s">
        <v>480</v>
      </c>
      <c r="G282" s="145" t="s">
        <v>106</v>
      </c>
    </row>
    <row r="283" spans="3:7" x14ac:dyDescent="0.25">
      <c r="C283" s="144">
        <v>61600030</v>
      </c>
      <c r="D283" s="125" t="s">
        <v>150</v>
      </c>
      <c r="E283" s="125" t="s">
        <v>1164</v>
      </c>
      <c r="F283" s="129" t="s">
        <v>480</v>
      </c>
      <c r="G283" s="145" t="s">
        <v>106</v>
      </c>
    </row>
    <row r="284" spans="3:7" x14ac:dyDescent="0.25">
      <c r="C284" s="144">
        <v>61600040</v>
      </c>
      <c r="D284" s="125" t="s">
        <v>151</v>
      </c>
      <c r="E284" s="125" t="s">
        <v>1165</v>
      </c>
      <c r="F284" s="129" t="s">
        <v>480</v>
      </c>
      <c r="G284" s="145" t="s">
        <v>176</v>
      </c>
    </row>
    <row r="285" spans="3:7" x14ac:dyDescent="0.25">
      <c r="C285" s="144">
        <v>61600050</v>
      </c>
      <c r="D285" s="125" t="s">
        <v>1166</v>
      </c>
      <c r="E285" s="125" t="s">
        <v>1167</v>
      </c>
      <c r="F285" s="129" t="s">
        <v>480</v>
      </c>
      <c r="G285" s="145" t="s">
        <v>176</v>
      </c>
    </row>
    <row r="286" spans="3:7" x14ac:dyDescent="0.25">
      <c r="C286" s="144">
        <v>61600060</v>
      </c>
      <c r="D286" s="125" t="s">
        <v>1168</v>
      </c>
      <c r="E286" s="125" t="s">
        <v>1169</v>
      </c>
      <c r="F286" s="129" t="s">
        <v>480</v>
      </c>
      <c r="G286" s="145" t="s">
        <v>50</v>
      </c>
    </row>
    <row r="287" spans="3:7" x14ac:dyDescent="0.25">
      <c r="C287" s="144">
        <v>61600070</v>
      </c>
      <c r="D287" s="125" t="s">
        <v>152</v>
      </c>
      <c r="E287" s="125" t="s">
        <v>1960</v>
      </c>
      <c r="F287" s="129" t="s">
        <v>480</v>
      </c>
      <c r="G287" s="145" t="s">
        <v>1041</v>
      </c>
    </row>
    <row r="288" spans="3:7" x14ac:dyDescent="0.25">
      <c r="C288" s="144">
        <v>61700010</v>
      </c>
      <c r="D288" s="125" t="s">
        <v>153</v>
      </c>
      <c r="E288" s="125" t="s">
        <v>1092</v>
      </c>
      <c r="F288" s="129" t="s">
        <v>481</v>
      </c>
      <c r="G288" s="145" t="s">
        <v>1170</v>
      </c>
    </row>
    <row r="289" spans="3:7" x14ac:dyDescent="0.25">
      <c r="C289" s="144">
        <v>61700030</v>
      </c>
      <c r="D289" s="125" t="s">
        <v>155</v>
      </c>
      <c r="E289" s="125" t="s">
        <v>1093</v>
      </c>
      <c r="F289" s="129" t="s">
        <v>481</v>
      </c>
      <c r="G289" s="145" t="s">
        <v>106</v>
      </c>
    </row>
    <row r="290" spans="3:7" x14ac:dyDescent="0.25">
      <c r="C290" s="144">
        <v>61700040</v>
      </c>
      <c r="D290" s="125" t="s">
        <v>157</v>
      </c>
      <c r="E290" s="125" t="s">
        <v>1094</v>
      </c>
      <c r="F290" s="129" t="s">
        <v>481</v>
      </c>
      <c r="G290" s="145" t="s">
        <v>106</v>
      </c>
    </row>
    <row r="291" spans="3:7" x14ac:dyDescent="0.25">
      <c r="C291" s="144">
        <v>61700050</v>
      </c>
      <c r="D291" s="125" t="s">
        <v>159</v>
      </c>
      <c r="E291" s="125" t="s">
        <v>1095</v>
      </c>
      <c r="F291" s="129" t="s">
        <v>481</v>
      </c>
      <c r="G291" s="145" t="s">
        <v>106</v>
      </c>
    </row>
    <row r="292" spans="3:7" x14ac:dyDescent="0.25">
      <c r="C292" s="144">
        <v>61700060</v>
      </c>
      <c r="D292" s="125" t="s">
        <v>1171</v>
      </c>
      <c r="E292" s="125" t="s">
        <v>1096</v>
      </c>
      <c r="F292" s="129" t="s">
        <v>481</v>
      </c>
      <c r="G292" s="145" t="s">
        <v>106</v>
      </c>
    </row>
    <row r="293" spans="3:7" x14ac:dyDescent="0.25">
      <c r="C293" s="144">
        <v>61700070</v>
      </c>
      <c r="D293" s="125" t="s">
        <v>163</v>
      </c>
      <c r="E293" s="125" t="s">
        <v>1097</v>
      </c>
      <c r="F293" s="129" t="s">
        <v>481</v>
      </c>
      <c r="G293" s="145" t="s">
        <v>1041</v>
      </c>
    </row>
    <row r="294" spans="3:7" x14ac:dyDescent="0.25">
      <c r="C294" s="144">
        <v>61800010</v>
      </c>
      <c r="D294" s="125" t="s">
        <v>165</v>
      </c>
      <c r="E294" s="125" t="s">
        <v>1098</v>
      </c>
      <c r="F294" s="129" t="s">
        <v>494</v>
      </c>
      <c r="G294" s="145" t="s">
        <v>1041</v>
      </c>
    </row>
    <row r="295" spans="3:7" x14ac:dyDescent="0.25">
      <c r="C295" s="144">
        <v>61800020</v>
      </c>
      <c r="D295" s="144" t="s">
        <v>168</v>
      </c>
      <c r="E295" s="144" t="s">
        <v>1099</v>
      </c>
      <c r="F295" s="144" t="s">
        <v>494</v>
      </c>
      <c r="G295" s="145" t="s">
        <v>1041</v>
      </c>
    </row>
    <row r="296" spans="3:7" x14ac:dyDescent="0.25">
      <c r="C296" s="144">
        <v>61800030</v>
      </c>
      <c r="D296" s="144" t="s">
        <v>170</v>
      </c>
      <c r="E296" s="144" t="s">
        <v>1100</v>
      </c>
      <c r="F296" s="144" t="s">
        <v>494</v>
      </c>
      <c r="G296" s="145" t="s">
        <v>1041</v>
      </c>
    </row>
    <row r="297" spans="3:7" x14ac:dyDescent="0.25">
      <c r="C297" s="144">
        <v>61800090</v>
      </c>
      <c r="D297" s="144" t="s">
        <v>172</v>
      </c>
      <c r="E297" s="144" t="s">
        <v>1172</v>
      </c>
      <c r="F297" s="144" t="s">
        <v>494</v>
      </c>
      <c r="G297" s="145" t="s">
        <v>1041</v>
      </c>
    </row>
    <row r="298" spans="3:7" x14ac:dyDescent="0.25">
      <c r="C298" s="144">
        <v>61900010</v>
      </c>
      <c r="D298" s="144" t="s">
        <v>174</v>
      </c>
      <c r="E298" s="144" t="s">
        <v>1102</v>
      </c>
      <c r="F298" s="144" t="s">
        <v>345</v>
      </c>
      <c r="G298" s="145" t="s">
        <v>1041</v>
      </c>
    </row>
    <row r="299" spans="3:7" x14ac:dyDescent="0.25">
      <c r="C299" s="144">
        <v>61900020</v>
      </c>
      <c r="D299" s="144" t="s">
        <v>177</v>
      </c>
      <c r="E299" s="144" t="s">
        <v>1173</v>
      </c>
      <c r="F299" s="144" t="s">
        <v>345</v>
      </c>
      <c r="G299" s="145" t="s">
        <v>1041</v>
      </c>
    </row>
    <row r="300" spans="3:7" x14ac:dyDescent="0.25">
      <c r="C300" s="144">
        <v>61900030</v>
      </c>
      <c r="D300" s="144" t="s">
        <v>180</v>
      </c>
      <c r="E300" s="144" t="s">
        <v>1104</v>
      </c>
      <c r="F300" s="144" t="s">
        <v>345</v>
      </c>
      <c r="G300" s="145" t="s">
        <v>1041</v>
      </c>
    </row>
    <row r="301" spans="3:7" x14ac:dyDescent="0.25">
      <c r="C301" s="144">
        <v>61900040</v>
      </c>
      <c r="D301" s="144" t="s">
        <v>182</v>
      </c>
      <c r="E301" s="144" t="s">
        <v>1174</v>
      </c>
      <c r="F301" s="144" t="s">
        <v>345</v>
      </c>
      <c r="G301" s="145" t="s">
        <v>1041</v>
      </c>
    </row>
    <row r="302" spans="3:7" x14ac:dyDescent="0.25">
      <c r="C302" s="144">
        <v>61900090</v>
      </c>
      <c r="D302" s="144" t="s">
        <v>184</v>
      </c>
      <c r="E302" s="144" t="s">
        <v>1175</v>
      </c>
      <c r="F302" s="144" t="s">
        <v>345</v>
      </c>
      <c r="G302" s="145" t="s">
        <v>1041</v>
      </c>
    </row>
    <row r="303" spans="3:7" x14ac:dyDescent="0.25">
      <c r="C303" s="144">
        <v>62000010</v>
      </c>
      <c r="D303" s="144" t="s">
        <v>186</v>
      </c>
      <c r="E303" s="144" t="s">
        <v>1176</v>
      </c>
      <c r="F303" s="144" t="s">
        <v>483</v>
      </c>
      <c r="G303" s="144" t="s">
        <v>236</v>
      </c>
    </row>
    <row r="304" spans="3:7" x14ac:dyDescent="0.25">
      <c r="C304" s="144">
        <v>62000020</v>
      </c>
      <c r="D304" s="144" t="s">
        <v>189</v>
      </c>
      <c r="E304" s="144" t="s">
        <v>1177</v>
      </c>
      <c r="F304" s="144" t="s">
        <v>483</v>
      </c>
      <c r="G304" s="144" t="s">
        <v>327</v>
      </c>
    </row>
    <row r="305" spans="3:7" x14ac:dyDescent="0.25">
      <c r="C305" s="144">
        <v>62000040</v>
      </c>
      <c r="D305" s="144" t="s">
        <v>192</v>
      </c>
      <c r="E305" s="144" t="s">
        <v>1178</v>
      </c>
      <c r="F305" s="144" t="s">
        <v>483</v>
      </c>
      <c r="G305" s="145" t="s">
        <v>1041</v>
      </c>
    </row>
    <row r="306" spans="3:7" x14ac:dyDescent="0.25">
      <c r="C306" s="144">
        <v>62100010</v>
      </c>
      <c r="D306" s="144" t="s">
        <v>195</v>
      </c>
      <c r="E306" s="144" t="s">
        <v>196</v>
      </c>
      <c r="F306" s="144" t="s">
        <v>484</v>
      </c>
      <c r="G306" s="144" t="s">
        <v>176</v>
      </c>
    </row>
    <row r="307" spans="3:7" x14ac:dyDescent="0.25">
      <c r="C307" s="144">
        <v>62100020</v>
      </c>
      <c r="D307" s="144" t="s">
        <v>198</v>
      </c>
      <c r="E307" s="144" t="s">
        <v>1107</v>
      </c>
      <c r="F307" s="144" t="s">
        <v>484</v>
      </c>
      <c r="G307" s="144" t="s">
        <v>176</v>
      </c>
    </row>
    <row r="308" spans="3:7" x14ac:dyDescent="0.25">
      <c r="C308" s="144">
        <v>62100030</v>
      </c>
      <c r="D308" s="144" t="s">
        <v>200</v>
      </c>
      <c r="E308" s="144" t="s">
        <v>201</v>
      </c>
      <c r="F308" s="144" t="s">
        <v>484</v>
      </c>
      <c r="G308" s="144" t="s">
        <v>176</v>
      </c>
    </row>
    <row r="309" spans="3:7" x14ac:dyDescent="0.25">
      <c r="C309" s="144">
        <v>62100040</v>
      </c>
      <c r="D309" s="144" t="s">
        <v>202</v>
      </c>
      <c r="E309" s="144" t="s">
        <v>203</v>
      </c>
      <c r="F309" s="144" t="s">
        <v>484</v>
      </c>
      <c r="G309" s="144" t="s">
        <v>176</v>
      </c>
    </row>
    <row r="310" spans="3:7" x14ac:dyDescent="0.25">
      <c r="C310" s="144">
        <v>62100050</v>
      </c>
      <c r="D310" s="144" t="s">
        <v>456</v>
      </c>
      <c r="E310" s="144" t="s">
        <v>1108</v>
      </c>
      <c r="F310" s="144" t="s">
        <v>484</v>
      </c>
      <c r="G310" s="144" t="s">
        <v>176</v>
      </c>
    </row>
    <row r="311" spans="3:7" ht="30" x14ac:dyDescent="0.25">
      <c r="C311" s="144">
        <v>62200010</v>
      </c>
      <c r="D311" s="144" t="s">
        <v>206</v>
      </c>
      <c r="E311" s="144" t="s">
        <v>207</v>
      </c>
      <c r="F311" s="144" t="s">
        <v>485</v>
      </c>
      <c r="G311" s="145" t="s">
        <v>1041</v>
      </c>
    </row>
    <row r="312" spans="3:7" ht="30" x14ac:dyDescent="0.25">
      <c r="C312" s="144">
        <v>62200020</v>
      </c>
      <c r="D312" s="144" t="s">
        <v>208</v>
      </c>
      <c r="E312" s="144" t="s">
        <v>209</v>
      </c>
      <c r="F312" s="144" t="s">
        <v>485</v>
      </c>
      <c r="G312" s="145" t="s">
        <v>1041</v>
      </c>
    </row>
    <row r="313" spans="3:7" x14ac:dyDescent="0.25">
      <c r="C313" s="144">
        <v>62300010</v>
      </c>
      <c r="D313" s="144" t="s">
        <v>210</v>
      </c>
      <c r="E313" s="144" t="s">
        <v>211</v>
      </c>
      <c r="F313" s="144" t="s">
        <v>486</v>
      </c>
      <c r="G313" s="145" t="s">
        <v>1041</v>
      </c>
    </row>
    <row r="314" spans="3:7" ht="30" x14ac:dyDescent="0.25">
      <c r="C314" s="144">
        <v>62300020</v>
      </c>
      <c r="D314" s="144" t="s">
        <v>212</v>
      </c>
      <c r="E314" s="144" t="s">
        <v>213</v>
      </c>
      <c r="F314" s="144" t="s">
        <v>486</v>
      </c>
      <c r="G314" s="145" t="s">
        <v>1041</v>
      </c>
    </row>
    <row r="315" spans="3:7" ht="30" x14ac:dyDescent="0.25">
      <c r="C315" s="144">
        <v>62400030</v>
      </c>
      <c r="D315" s="144" t="s">
        <v>214</v>
      </c>
      <c r="E315" s="144" t="s">
        <v>215</v>
      </c>
      <c r="F315" s="144" t="s">
        <v>487</v>
      </c>
      <c r="G315" s="145" t="s">
        <v>1041</v>
      </c>
    </row>
    <row r="316" spans="3:7" ht="30" x14ac:dyDescent="0.25">
      <c r="C316" s="144">
        <v>62400040</v>
      </c>
      <c r="D316" s="144" t="s">
        <v>216</v>
      </c>
      <c r="E316" s="144" t="s">
        <v>1179</v>
      </c>
      <c r="F316" s="144" t="s">
        <v>487</v>
      </c>
      <c r="G316" s="145" t="s">
        <v>1041</v>
      </c>
    </row>
    <row r="317" spans="3:7" x14ac:dyDescent="0.25">
      <c r="C317" s="144">
        <v>62400060</v>
      </c>
      <c r="D317" s="144" t="s">
        <v>457</v>
      </c>
      <c r="E317" s="144" t="s">
        <v>564</v>
      </c>
      <c r="F317" s="144" t="s">
        <v>487</v>
      </c>
      <c r="G317" s="144" t="s">
        <v>236</v>
      </c>
    </row>
    <row r="318" spans="3:7" x14ac:dyDescent="0.25">
      <c r="C318" s="144">
        <v>62500010</v>
      </c>
      <c r="D318" s="144" t="s">
        <v>218</v>
      </c>
      <c r="E318" s="144" t="s">
        <v>219</v>
      </c>
      <c r="F318" s="144" t="s">
        <v>218</v>
      </c>
      <c r="G318" s="144" t="s">
        <v>22</v>
      </c>
    </row>
    <row r="319" spans="3:7" ht="30" x14ac:dyDescent="0.25">
      <c r="C319" s="144">
        <v>62600010</v>
      </c>
      <c r="D319" s="144" t="s">
        <v>221</v>
      </c>
      <c r="E319" s="144" t="s">
        <v>1180</v>
      </c>
      <c r="F319" s="144" t="s">
        <v>488</v>
      </c>
      <c r="G319" s="145" t="s">
        <v>1041</v>
      </c>
    </row>
    <row r="320" spans="3:7" x14ac:dyDescent="0.25">
      <c r="C320" s="144">
        <v>62600020</v>
      </c>
      <c r="D320" s="144" t="s">
        <v>223</v>
      </c>
      <c r="E320" s="144" t="s">
        <v>1181</v>
      </c>
      <c r="F320" s="144" t="s">
        <v>488</v>
      </c>
      <c r="G320" s="145" t="s">
        <v>1041</v>
      </c>
    </row>
    <row r="321" spans="1:7" x14ac:dyDescent="0.25">
      <c r="C321" s="144">
        <v>62600030</v>
      </c>
      <c r="D321" s="144" t="s">
        <v>226</v>
      </c>
      <c r="E321" s="144" t="s">
        <v>1182</v>
      </c>
      <c r="F321" s="144" t="s">
        <v>488</v>
      </c>
      <c r="G321" s="145" t="s">
        <v>1041</v>
      </c>
    </row>
    <row r="322" spans="1:7" x14ac:dyDescent="0.25">
      <c r="C322" s="144">
        <v>62700010</v>
      </c>
      <c r="D322" s="144" t="s">
        <v>458</v>
      </c>
      <c r="E322" s="144" t="s">
        <v>1183</v>
      </c>
      <c r="F322" s="144" t="s">
        <v>458</v>
      </c>
      <c r="G322" s="144" t="s">
        <v>236</v>
      </c>
    </row>
    <row r="323" spans="1:7" x14ac:dyDescent="0.25">
      <c r="C323" s="144">
        <v>62800010</v>
      </c>
      <c r="D323" s="144" t="s">
        <v>459</v>
      </c>
      <c r="E323" s="144" t="s">
        <v>1184</v>
      </c>
      <c r="F323" s="144" t="s">
        <v>459</v>
      </c>
      <c r="G323" s="144" t="s">
        <v>238</v>
      </c>
    </row>
    <row r="324" spans="1:7" x14ac:dyDescent="0.25">
      <c r="C324" s="144">
        <v>62900010</v>
      </c>
      <c r="D324" s="144" t="s">
        <v>228</v>
      </c>
      <c r="E324" s="144" t="s">
        <v>229</v>
      </c>
      <c r="F324" s="144" t="s">
        <v>489</v>
      </c>
      <c r="G324" s="145" t="s">
        <v>1041</v>
      </c>
    </row>
    <row r="325" spans="1:7" x14ac:dyDescent="0.25">
      <c r="C325" s="144">
        <v>62900020</v>
      </c>
      <c r="D325" s="144" t="s">
        <v>230</v>
      </c>
      <c r="E325" s="144" t="s">
        <v>231</v>
      </c>
      <c r="F325" s="144" t="s">
        <v>489</v>
      </c>
      <c r="G325" s="145" t="s">
        <v>1041</v>
      </c>
    </row>
    <row r="326" spans="1:7" x14ac:dyDescent="0.25">
      <c r="C326" s="144">
        <v>63300010</v>
      </c>
      <c r="D326" s="144" t="s">
        <v>1185</v>
      </c>
      <c r="E326" s="144" t="s">
        <v>1186</v>
      </c>
      <c r="F326" s="144" t="s">
        <v>345</v>
      </c>
      <c r="G326" s="144"/>
    </row>
    <row r="327" spans="1:7" x14ac:dyDescent="0.25">
      <c r="C327" s="362">
        <v>63900010</v>
      </c>
      <c r="D327" s="134" t="s">
        <v>232</v>
      </c>
      <c r="E327" s="135" t="s">
        <v>1930</v>
      </c>
      <c r="F327" s="135" t="s">
        <v>497</v>
      </c>
      <c r="G327" s="135" t="s">
        <v>1041</v>
      </c>
    </row>
    <row r="330" spans="1:7" s="330" customFormat="1" ht="15.75" x14ac:dyDescent="0.25">
      <c r="A330" s="143"/>
      <c r="B330" s="143"/>
      <c r="C330" s="329" t="s">
        <v>724</v>
      </c>
      <c r="D330" s="321" t="s">
        <v>546</v>
      </c>
    </row>
    <row r="331" spans="1:7" outlineLevel="1" x14ac:dyDescent="0.25"/>
    <row r="332" spans="1:7" outlineLevel="1" x14ac:dyDescent="0.25">
      <c r="C332" s="75" t="s">
        <v>1023</v>
      </c>
    </row>
    <row r="333" spans="1:7" outlineLevel="1" x14ac:dyDescent="0.25"/>
    <row r="334" spans="1:7" outlineLevel="1" x14ac:dyDescent="0.25">
      <c r="B334" s="111" t="s">
        <v>1024</v>
      </c>
      <c r="C334" s="111" t="s">
        <v>548</v>
      </c>
    </row>
    <row r="335" spans="1:7" outlineLevel="1" x14ac:dyDescent="0.25">
      <c r="C335" s="75" t="s">
        <v>870</v>
      </c>
    </row>
    <row r="336" spans="1:7" outlineLevel="1" x14ac:dyDescent="0.25"/>
    <row r="337" spans="2:5" outlineLevel="1" x14ac:dyDescent="0.25">
      <c r="B337" s="111" t="s">
        <v>1025</v>
      </c>
      <c r="C337" s="111" t="s">
        <v>861</v>
      </c>
    </row>
    <row r="338" spans="2:5" outlineLevel="1" x14ac:dyDescent="0.25">
      <c r="C338" s="75" t="s">
        <v>549</v>
      </c>
    </row>
    <row r="339" spans="2:5" outlineLevel="1" x14ac:dyDescent="0.25">
      <c r="C339" s="75" t="s">
        <v>972</v>
      </c>
    </row>
    <row r="340" spans="2:5" outlineLevel="1" x14ac:dyDescent="0.25"/>
    <row r="341" spans="2:5" s="111" customFormat="1" outlineLevel="1" x14ac:dyDescent="0.25">
      <c r="B341" s="111" t="s">
        <v>1026</v>
      </c>
      <c r="C341" s="111" t="s">
        <v>1027</v>
      </c>
    </row>
    <row r="342" spans="2:5" outlineLevel="1" x14ac:dyDescent="0.25">
      <c r="C342" s="75" t="s">
        <v>1028</v>
      </c>
    </row>
    <row r="343" spans="2:5" outlineLevel="1" x14ac:dyDescent="0.25">
      <c r="C343" s="75" t="s">
        <v>972</v>
      </c>
    </row>
    <row r="344" spans="2:5" outlineLevel="1" x14ac:dyDescent="0.25"/>
    <row r="345" spans="2:5" ht="90" outlineLevel="1" x14ac:dyDescent="0.25">
      <c r="C345" s="141" t="s">
        <v>552</v>
      </c>
      <c r="D345" s="142" t="s">
        <v>1029</v>
      </c>
    </row>
    <row r="346" spans="2:5" ht="30" outlineLevel="1" x14ac:dyDescent="0.25">
      <c r="C346" s="141" t="s">
        <v>465</v>
      </c>
      <c r="D346" s="142" t="s">
        <v>1030</v>
      </c>
    </row>
    <row r="347" spans="2:5" ht="30" outlineLevel="1" x14ac:dyDescent="0.25">
      <c r="C347" s="141" t="s">
        <v>46</v>
      </c>
      <c r="D347" s="142" t="s">
        <v>1519</v>
      </c>
      <c r="E347" s="332" t="s">
        <v>1520</v>
      </c>
    </row>
    <row r="348" spans="2:5" ht="60" outlineLevel="1" x14ac:dyDescent="0.25">
      <c r="C348" s="141" t="s">
        <v>464</v>
      </c>
      <c r="D348" s="142" t="s">
        <v>1031</v>
      </c>
    </row>
    <row r="349" spans="2:5" ht="45" outlineLevel="1" x14ac:dyDescent="0.25">
      <c r="C349" s="141" t="s">
        <v>342</v>
      </c>
      <c r="D349" s="142" t="s">
        <v>1032</v>
      </c>
    </row>
  </sheetData>
  <sheetProtection formatRows="0"/>
  <hyperlinks>
    <hyperlink ref="D28" location="Cover!A1" display="Cover" xr:uid="{1F43892A-6F73-4BDA-9CC0-319D11DCF0CD}"/>
    <hyperlink ref="D125" location="'Budget Opex Detail'!A1" display="Budget Opex Detail" xr:uid="{68B445E3-6703-49AE-9EDB-F49B3D8F4FD3}"/>
    <hyperlink ref="D330" location="'Activity Master Opex'!A1" display="Activity Master" xr:uid="{B874CEBA-5338-4528-83E6-6C41B8F1C3AA}"/>
    <hyperlink ref="C80" location="'Asset determination'!A1" display="'Asset determination" xr:uid="{76CB0664-8225-43B1-8ABA-AE92885E7268}"/>
    <hyperlink ref="E347" location="'Master Data'!A1" display="Master Data" xr:uid="{10ED0A9C-F089-4C01-B74C-2C58A64A932E}"/>
    <hyperlink ref="D77" location="'Budget Capex Detail'!A1" display="Budget Capex Detail" xr:uid="{8507F52B-EAAD-4636-AC40-67EC582508C8}"/>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9E7C3-75F0-44B6-B4A1-39410FB6B638}">
  <sheetPr codeName="Sheet13">
    <tabColor rgb="FF339966"/>
  </sheetPr>
  <dimension ref="A2:P349"/>
  <sheetViews>
    <sheetView showGridLines="0" zoomScale="80" zoomScaleNormal="80" workbookViewId="0">
      <selection activeCell="C4" sqref="C4"/>
    </sheetView>
  </sheetViews>
  <sheetFormatPr defaultColWidth="10.28515625" defaultRowHeight="15" outlineLevelRow="4" x14ac:dyDescent="0.25"/>
  <cols>
    <col min="1" max="1" width="0.85546875" style="75" customWidth="1"/>
    <col min="2" max="2" width="3.42578125" style="75" bestFit="1" customWidth="1"/>
    <col min="3" max="3" width="45" style="75" bestFit="1" customWidth="1"/>
    <col min="4" max="4" width="70.7109375" style="75" bestFit="1" customWidth="1"/>
    <col min="5" max="5" width="68.7109375" style="75" customWidth="1"/>
    <col min="6" max="6" width="33" style="75" customWidth="1"/>
    <col min="7" max="7" width="31.7109375" style="75" customWidth="1"/>
    <col min="8" max="10" width="10.28515625" style="75"/>
    <col min="11" max="11" width="10.28515625" style="75" customWidth="1"/>
    <col min="12" max="16384" width="10.28515625" style="75"/>
  </cols>
  <sheetData>
    <row r="2" spans="2:16" ht="24" x14ac:dyDescent="0.4">
      <c r="B2" s="74" t="s">
        <v>872</v>
      </c>
    </row>
    <row r="3" spans="2:16" ht="21" x14ac:dyDescent="0.35">
      <c r="B3" s="76"/>
    </row>
    <row r="4" spans="2:16" ht="19.5" thickBot="1" x14ac:dyDescent="0.35">
      <c r="B4" s="77" t="s">
        <v>835</v>
      </c>
      <c r="C4" s="78"/>
      <c r="D4" s="79"/>
      <c r="E4" s="78"/>
      <c r="F4" s="78"/>
      <c r="G4" s="78"/>
      <c r="H4" s="78"/>
      <c r="I4" s="78"/>
      <c r="J4" s="78"/>
      <c r="K4" s="78"/>
      <c r="L4" s="78"/>
      <c r="M4" s="78"/>
      <c r="N4" s="78"/>
      <c r="O4" s="78"/>
      <c r="P4" s="78"/>
    </row>
    <row r="5" spans="2:16" x14ac:dyDescent="0.25">
      <c r="B5" s="80"/>
      <c r="D5" s="81"/>
    </row>
    <row r="6" spans="2:16" x14ac:dyDescent="0.25">
      <c r="B6" s="75">
        <v>1</v>
      </c>
      <c r="C6" s="82" t="s">
        <v>1187</v>
      </c>
    </row>
    <row r="7" spans="2:16" x14ac:dyDescent="0.25">
      <c r="B7" s="75">
        <v>2</v>
      </c>
      <c r="C7" s="82" t="s">
        <v>1188</v>
      </c>
    </row>
    <row r="8" spans="2:16" x14ac:dyDescent="0.25">
      <c r="B8" s="83" t="s">
        <v>2</v>
      </c>
      <c r="C8" s="82" t="s">
        <v>1189</v>
      </c>
    </row>
    <row r="9" spans="2:16" x14ac:dyDescent="0.25">
      <c r="B9" s="83" t="s">
        <v>2</v>
      </c>
      <c r="C9" s="82" t="s">
        <v>1190</v>
      </c>
    </row>
    <row r="10" spans="2:16" x14ac:dyDescent="0.25">
      <c r="B10" s="83" t="s">
        <v>2</v>
      </c>
      <c r="C10" s="82" t="s">
        <v>1191</v>
      </c>
    </row>
    <row r="11" spans="2:16" x14ac:dyDescent="0.25">
      <c r="B11" s="83" t="s">
        <v>2</v>
      </c>
      <c r="C11" s="82" t="s">
        <v>1192</v>
      </c>
    </row>
    <row r="12" spans="2:16" x14ac:dyDescent="0.25">
      <c r="B12" s="83" t="s">
        <v>2</v>
      </c>
      <c r="C12" s="82" t="s">
        <v>1193</v>
      </c>
    </row>
    <row r="13" spans="2:16" x14ac:dyDescent="0.25">
      <c r="B13" s="75">
        <v>3</v>
      </c>
      <c r="C13" s="148" t="s">
        <v>1194</v>
      </c>
    </row>
    <row r="14" spans="2:16" x14ac:dyDescent="0.25">
      <c r="B14" s="75">
        <v>4</v>
      </c>
      <c r="C14" s="75" t="s">
        <v>1195</v>
      </c>
    </row>
    <row r="15" spans="2:16" x14ac:dyDescent="0.25">
      <c r="B15" s="75">
        <v>5</v>
      </c>
      <c r="C15" s="75" t="s">
        <v>1196</v>
      </c>
    </row>
    <row r="16" spans="2:16" x14ac:dyDescent="0.25">
      <c r="B16" s="75">
        <v>6</v>
      </c>
      <c r="C16" s="75" t="s">
        <v>1961</v>
      </c>
    </row>
    <row r="18" spans="1:16" ht="19.5" thickBot="1" x14ac:dyDescent="0.35">
      <c r="B18" s="77" t="s">
        <v>1197</v>
      </c>
      <c r="C18" s="78"/>
      <c r="D18" s="79"/>
      <c r="E18" s="78"/>
      <c r="F18" s="78"/>
      <c r="G18" s="78"/>
      <c r="H18" s="78"/>
      <c r="I18" s="78"/>
      <c r="J18" s="78"/>
      <c r="K18" s="78"/>
      <c r="L18" s="78"/>
      <c r="M18" s="78"/>
      <c r="N18" s="78"/>
      <c r="O18" s="78"/>
      <c r="P18" s="78"/>
    </row>
    <row r="20" spans="1:16" x14ac:dyDescent="0.25">
      <c r="B20" s="75">
        <v>1</v>
      </c>
      <c r="C20" s="75" t="s">
        <v>1198</v>
      </c>
    </row>
    <row r="21" spans="1:16" x14ac:dyDescent="0.25">
      <c r="C21" s="84" t="s">
        <v>8</v>
      </c>
    </row>
    <row r="22" spans="1:16" x14ac:dyDescent="0.25">
      <c r="C22" s="84" t="s">
        <v>1199</v>
      </c>
    </row>
    <row r="23" spans="1:16" x14ac:dyDescent="0.25">
      <c r="C23" s="84" t="s">
        <v>1200</v>
      </c>
    </row>
    <row r="24" spans="1:16" x14ac:dyDescent="0.25">
      <c r="C24" s="84" t="s">
        <v>1201</v>
      </c>
    </row>
    <row r="25" spans="1:16" x14ac:dyDescent="0.25">
      <c r="B25" s="75">
        <v>2</v>
      </c>
      <c r="C25" s="75" t="s">
        <v>1202</v>
      </c>
    </row>
    <row r="26" spans="1:16" x14ac:dyDescent="0.25">
      <c r="B26" s="75">
        <v>3</v>
      </c>
      <c r="C26" s="75" t="s">
        <v>1203</v>
      </c>
    </row>
    <row r="28" spans="1:16" s="324" customFormat="1" ht="15.75" x14ac:dyDescent="0.25">
      <c r="A28" s="85"/>
      <c r="B28" s="85"/>
      <c r="C28" s="322" t="s">
        <v>10</v>
      </c>
      <c r="D28" s="323" t="s">
        <v>11</v>
      </c>
    </row>
    <row r="30" spans="1:16" x14ac:dyDescent="0.25">
      <c r="C30" s="75" t="s">
        <v>1204</v>
      </c>
    </row>
    <row r="31" spans="1:16" outlineLevel="1" x14ac:dyDescent="0.25"/>
    <row r="32" spans="1:16" outlineLevel="1" x14ac:dyDescent="0.25">
      <c r="C32" s="86" t="s">
        <v>13</v>
      </c>
      <c r="D32" s="87" t="s">
        <v>1205</v>
      </c>
    </row>
    <row r="33" spans="3:4" ht="60" outlineLevel="1" x14ac:dyDescent="0.25">
      <c r="C33" s="88" t="s">
        <v>15</v>
      </c>
      <c r="D33" s="89" t="s">
        <v>1206</v>
      </c>
    </row>
    <row r="34" spans="3:4" outlineLevel="1" x14ac:dyDescent="0.25">
      <c r="C34" s="88" t="s">
        <v>234</v>
      </c>
      <c r="D34" s="89" t="s">
        <v>1207</v>
      </c>
    </row>
    <row r="35" spans="3:4" outlineLevel="1" x14ac:dyDescent="0.25">
      <c r="C35" s="88" t="s">
        <v>341</v>
      </c>
      <c r="D35" s="89" t="s">
        <v>1208</v>
      </c>
    </row>
    <row r="36" spans="3:4" outlineLevel="1" x14ac:dyDescent="0.25"/>
    <row r="37" spans="3:4" ht="33" customHeight="1" outlineLevel="1" x14ac:dyDescent="0.25">
      <c r="C37" s="90" t="s">
        <v>866</v>
      </c>
      <c r="D37" s="90" t="s">
        <v>867</v>
      </c>
    </row>
    <row r="38" spans="3:4" outlineLevel="2" x14ac:dyDescent="0.25">
      <c r="C38" s="91" t="s">
        <v>960</v>
      </c>
      <c r="D38" s="91" t="s">
        <v>341</v>
      </c>
    </row>
    <row r="39" spans="3:4" outlineLevel="2" x14ac:dyDescent="0.25">
      <c r="C39" s="92" t="s">
        <v>961</v>
      </c>
      <c r="D39" s="92" t="s">
        <v>689</v>
      </c>
    </row>
    <row r="40" spans="3:4" outlineLevel="2" x14ac:dyDescent="0.25">
      <c r="C40" s="92" t="s">
        <v>961</v>
      </c>
      <c r="D40" s="92" t="s">
        <v>685</v>
      </c>
    </row>
    <row r="41" spans="3:4" outlineLevel="2" x14ac:dyDescent="0.25">
      <c r="C41" s="92" t="s">
        <v>961</v>
      </c>
      <c r="D41" s="92" t="s">
        <v>686</v>
      </c>
    </row>
    <row r="42" spans="3:4" outlineLevel="2" x14ac:dyDescent="0.25">
      <c r="C42" s="92" t="s">
        <v>962</v>
      </c>
      <c r="D42" s="92" t="s">
        <v>963</v>
      </c>
    </row>
    <row r="43" spans="3:4" outlineLevel="2" x14ac:dyDescent="0.25">
      <c r="C43" s="92" t="s">
        <v>962</v>
      </c>
      <c r="D43" s="92" t="s">
        <v>964</v>
      </c>
    </row>
    <row r="44" spans="3:4" outlineLevel="2" x14ac:dyDescent="0.25">
      <c r="C44" s="92" t="s">
        <v>962</v>
      </c>
      <c r="D44" s="92" t="s">
        <v>651</v>
      </c>
    </row>
    <row r="45" spans="3:4" outlineLevel="2" x14ac:dyDescent="0.25">
      <c r="C45" s="92" t="s">
        <v>962</v>
      </c>
      <c r="D45" s="92" t="s">
        <v>748</v>
      </c>
    </row>
    <row r="46" spans="3:4" outlineLevel="2" x14ac:dyDescent="0.25">
      <c r="C46" s="92" t="s">
        <v>962</v>
      </c>
      <c r="D46" s="92" t="s">
        <v>691</v>
      </c>
    </row>
    <row r="47" spans="3:4" outlineLevel="2" x14ac:dyDescent="0.25">
      <c r="C47" s="87" t="s">
        <v>965</v>
      </c>
      <c r="D47" s="87" t="s">
        <v>30</v>
      </c>
    </row>
    <row r="48" spans="3:4" outlineLevel="2" x14ac:dyDescent="0.25">
      <c r="C48" s="87" t="s">
        <v>965</v>
      </c>
      <c r="D48" s="87" t="s">
        <v>29</v>
      </c>
    </row>
    <row r="49" spans="3:4" outlineLevel="2" x14ac:dyDescent="0.25">
      <c r="C49" s="87" t="s">
        <v>22</v>
      </c>
      <c r="D49" s="87" t="s">
        <v>292</v>
      </c>
    </row>
    <row r="50" spans="3:4" outlineLevel="2" x14ac:dyDescent="0.25">
      <c r="C50" s="87" t="str">
        <f>C49</f>
        <v>HSE</v>
      </c>
      <c r="D50" s="87" t="s">
        <v>293</v>
      </c>
    </row>
    <row r="51" spans="3:4" outlineLevel="2" x14ac:dyDescent="0.25">
      <c r="C51" s="87" t="s">
        <v>588</v>
      </c>
      <c r="D51" s="87" t="s">
        <v>236</v>
      </c>
    </row>
    <row r="52" spans="3:4" outlineLevel="2" x14ac:dyDescent="0.25">
      <c r="C52" s="87" t="s">
        <v>588</v>
      </c>
      <c r="D52" s="87" t="s">
        <v>32</v>
      </c>
    </row>
    <row r="53" spans="3:4" outlineLevel="2" x14ac:dyDescent="0.25">
      <c r="C53" s="87" t="s">
        <v>966</v>
      </c>
      <c r="D53" s="87" t="s">
        <v>245</v>
      </c>
    </row>
    <row r="54" spans="3:4" outlineLevel="2" x14ac:dyDescent="0.25">
      <c r="C54" s="87" t="s">
        <v>966</v>
      </c>
      <c r="D54" s="87" t="s">
        <v>24</v>
      </c>
    </row>
    <row r="55" spans="3:4" outlineLevel="2" x14ac:dyDescent="0.25">
      <c r="C55" s="87" t="s">
        <v>966</v>
      </c>
      <c r="D55" s="87" t="s">
        <v>19</v>
      </c>
    </row>
    <row r="56" spans="3:4" outlineLevel="2" x14ac:dyDescent="0.25">
      <c r="C56" s="87" t="s">
        <v>966</v>
      </c>
      <c r="D56" s="87" t="s">
        <v>20</v>
      </c>
    </row>
    <row r="57" spans="3:4" outlineLevel="2" x14ac:dyDescent="0.25">
      <c r="C57" s="87" t="s">
        <v>966</v>
      </c>
      <c r="D57" s="87" t="s">
        <v>1521</v>
      </c>
    </row>
    <row r="58" spans="3:4" outlineLevel="2" x14ac:dyDescent="0.25">
      <c r="C58" s="87" t="s">
        <v>966</v>
      </c>
      <c r="D58" s="87" t="s">
        <v>1954</v>
      </c>
    </row>
    <row r="59" spans="3:4" outlineLevel="2" x14ac:dyDescent="0.25">
      <c r="C59" s="87" t="s">
        <v>1513</v>
      </c>
      <c r="D59" s="87" t="s">
        <v>1473</v>
      </c>
    </row>
    <row r="60" spans="3:4" outlineLevel="2" x14ac:dyDescent="0.25">
      <c r="C60" s="87" t="s">
        <v>1513</v>
      </c>
      <c r="D60" s="87" t="s">
        <v>1514</v>
      </c>
    </row>
    <row r="61" spans="3:4" outlineLevel="2" x14ac:dyDescent="0.25">
      <c r="C61" s="87" t="s">
        <v>1513</v>
      </c>
      <c r="D61" s="87" t="s">
        <v>1515</v>
      </c>
    </row>
    <row r="62" spans="3:4" outlineLevel="2" x14ac:dyDescent="0.25">
      <c r="C62" s="87" t="s">
        <v>1516</v>
      </c>
      <c r="D62" s="87" t="s">
        <v>327</v>
      </c>
    </row>
    <row r="63" spans="3:4" outlineLevel="2" x14ac:dyDescent="0.25">
      <c r="C63" s="87" t="s">
        <v>1516</v>
      </c>
      <c r="D63" s="87" t="s">
        <v>593</v>
      </c>
    </row>
    <row r="64" spans="3:4" outlineLevel="2" x14ac:dyDescent="0.25">
      <c r="C64" s="87" t="s">
        <v>237</v>
      </c>
      <c r="D64" s="87" t="s">
        <v>1955</v>
      </c>
    </row>
    <row r="65" spans="1:4" outlineLevel="2" x14ac:dyDescent="0.25">
      <c r="C65" s="87" t="s">
        <v>237</v>
      </c>
      <c r="D65" s="87" t="s">
        <v>968</v>
      </c>
    </row>
    <row r="66" spans="1:4" outlineLevel="2" x14ac:dyDescent="0.25">
      <c r="C66" s="87" t="s">
        <v>237</v>
      </c>
      <c r="D66" s="87" t="s">
        <v>1956</v>
      </c>
    </row>
    <row r="67" spans="1:4" outlineLevel="2" x14ac:dyDescent="0.25">
      <c r="C67" s="87" t="s">
        <v>590</v>
      </c>
      <c r="D67" s="87" t="s">
        <v>1475</v>
      </c>
    </row>
    <row r="68" spans="1:4" outlineLevel="2" x14ac:dyDescent="0.25">
      <c r="C68" s="87" t="s">
        <v>590</v>
      </c>
      <c r="D68" s="87" t="s">
        <v>26</v>
      </c>
    </row>
    <row r="69" spans="1:4" outlineLevel="2" x14ac:dyDescent="0.25">
      <c r="C69" s="87" t="s">
        <v>590</v>
      </c>
      <c r="D69" s="87" t="s">
        <v>27</v>
      </c>
    </row>
    <row r="70" spans="1:4" outlineLevel="2" x14ac:dyDescent="0.25">
      <c r="C70" s="87" t="s">
        <v>590</v>
      </c>
      <c r="D70" s="87" t="s">
        <v>28</v>
      </c>
    </row>
    <row r="71" spans="1:4" outlineLevel="2" x14ac:dyDescent="0.25">
      <c r="C71" s="93" t="s">
        <v>239</v>
      </c>
      <c r="D71" s="87" t="s">
        <v>591</v>
      </c>
    </row>
    <row r="72" spans="1:4" outlineLevel="2" x14ac:dyDescent="0.25">
      <c r="C72" s="87" t="s">
        <v>239</v>
      </c>
      <c r="D72" s="87" t="s">
        <v>34</v>
      </c>
    </row>
    <row r="73" spans="1:4" outlineLevel="2" x14ac:dyDescent="0.25">
      <c r="C73" s="87" t="s">
        <v>239</v>
      </c>
      <c r="D73" s="87" t="s">
        <v>35</v>
      </c>
    </row>
    <row r="74" spans="1:4" outlineLevel="1" x14ac:dyDescent="0.25"/>
    <row r="75" spans="1:4" outlineLevel="1" x14ac:dyDescent="0.25">
      <c r="C75" s="75" t="s">
        <v>1209</v>
      </c>
    </row>
    <row r="77" spans="1:4" s="324" customFormat="1" ht="15.75" x14ac:dyDescent="0.25">
      <c r="A77" s="85"/>
      <c r="B77" s="85"/>
      <c r="C77" s="322" t="s">
        <v>832</v>
      </c>
      <c r="D77" s="331" t="s">
        <v>1518</v>
      </c>
    </row>
    <row r="79" spans="1:4" x14ac:dyDescent="0.25">
      <c r="C79" s="75" t="s">
        <v>1210</v>
      </c>
    </row>
    <row r="80" spans="1:4" x14ac:dyDescent="0.25">
      <c r="C80" s="320" t="s">
        <v>971</v>
      </c>
      <c r="D80" s="94"/>
    </row>
    <row r="81" spans="3:4" outlineLevel="1" x14ac:dyDescent="0.25">
      <c r="C81" s="75" t="s">
        <v>1211</v>
      </c>
    </row>
    <row r="82" spans="3:4" outlineLevel="1" x14ac:dyDescent="0.25">
      <c r="C82" s="75" t="s">
        <v>1212</v>
      </c>
    </row>
    <row r="83" spans="3:4" outlineLevel="1" x14ac:dyDescent="0.25"/>
    <row r="84" spans="3:4" outlineLevel="1" x14ac:dyDescent="0.25">
      <c r="C84" s="91" t="s">
        <v>973</v>
      </c>
      <c r="D84" s="91" t="s">
        <v>974</v>
      </c>
    </row>
    <row r="85" spans="3:4" ht="66.75" customHeight="1" outlineLevel="1" x14ac:dyDescent="0.25">
      <c r="C85" s="95" t="s">
        <v>697</v>
      </c>
      <c r="D85" s="96" t="s">
        <v>1213</v>
      </c>
    </row>
    <row r="86" spans="3:4" ht="45" outlineLevel="1" x14ac:dyDescent="0.25">
      <c r="C86" s="95" t="s">
        <v>343</v>
      </c>
      <c r="D86" s="97" t="s">
        <v>1214</v>
      </c>
    </row>
    <row r="87" spans="3:4" ht="75" outlineLevel="1" x14ac:dyDescent="0.25">
      <c r="C87" s="98" t="s">
        <v>699</v>
      </c>
      <c r="D87" s="99" t="s">
        <v>1215</v>
      </c>
    </row>
    <row r="88" spans="3:4" ht="33" customHeight="1" outlineLevel="1" x14ac:dyDescent="0.25">
      <c r="C88" s="100" t="s">
        <v>701</v>
      </c>
      <c r="D88" s="101" t="s">
        <v>1216</v>
      </c>
    </row>
    <row r="89" spans="3:4" ht="153.75" customHeight="1" outlineLevel="1" x14ac:dyDescent="0.25">
      <c r="C89" s="102"/>
      <c r="D89" s="103" t="e" vm="1">
        <v>#VALUE!</v>
      </c>
    </row>
    <row r="90" spans="3:4" ht="60" outlineLevel="1" x14ac:dyDescent="0.25">
      <c r="C90" s="104" t="s">
        <v>859</v>
      </c>
      <c r="D90" s="105" t="s">
        <v>1217</v>
      </c>
    </row>
    <row r="91" spans="3:4" outlineLevel="1" x14ac:dyDescent="0.25">
      <c r="C91" s="106" t="s">
        <v>978</v>
      </c>
      <c r="D91" s="107" t="s">
        <v>1218</v>
      </c>
    </row>
    <row r="92" spans="3:4" outlineLevel="1" x14ac:dyDescent="0.25">
      <c r="C92" s="106" t="s">
        <v>980</v>
      </c>
      <c r="D92" s="107" t="s">
        <v>1219</v>
      </c>
    </row>
    <row r="93" spans="3:4" outlineLevel="1" x14ac:dyDescent="0.25">
      <c r="C93" s="106" t="s">
        <v>1957</v>
      </c>
      <c r="D93" s="107" t="s">
        <v>1220</v>
      </c>
    </row>
    <row r="94" spans="3:4" ht="75" outlineLevel="1" x14ac:dyDescent="0.25">
      <c r="C94" s="108" t="s">
        <v>596</v>
      </c>
      <c r="D94" s="97" t="s">
        <v>1221</v>
      </c>
    </row>
    <row r="95" spans="3:4" outlineLevel="1" x14ac:dyDescent="0.25">
      <c r="C95" s="108" t="s">
        <v>597</v>
      </c>
      <c r="D95" s="109" t="s">
        <v>1222</v>
      </c>
    </row>
    <row r="96" spans="3:4" outlineLevel="1" x14ac:dyDescent="0.25">
      <c r="C96" s="108" t="s">
        <v>833</v>
      </c>
      <c r="D96" s="109" t="s">
        <v>1223</v>
      </c>
    </row>
    <row r="97" spans="3:6" outlineLevel="1" x14ac:dyDescent="0.25">
      <c r="C97" s="108" t="s">
        <v>747</v>
      </c>
      <c r="D97" s="109" t="s">
        <v>1224</v>
      </c>
    </row>
    <row r="98" spans="3:6" outlineLevel="1" x14ac:dyDescent="0.25">
      <c r="C98" s="108" t="s">
        <v>733</v>
      </c>
      <c r="D98" s="109" t="s">
        <v>1225</v>
      </c>
    </row>
    <row r="99" spans="3:6" outlineLevel="1" x14ac:dyDescent="0.25">
      <c r="C99" s="108" t="s">
        <v>1226</v>
      </c>
      <c r="D99" s="109" t="s">
        <v>836</v>
      </c>
    </row>
    <row r="100" spans="3:6" outlineLevel="1" x14ac:dyDescent="0.25">
      <c r="C100" s="108" t="s">
        <v>1227</v>
      </c>
      <c r="D100" s="109" t="s">
        <v>837</v>
      </c>
    </row>
    <row r="101" spans="3:6" outlineLevel="1" x14ac:dyDescent="0.25">
      <c r="C101" s="110" t="s">
        <v>988</v>
      </c>
      <c r="D101" s="109" t="s">
        <v>1228</v>
      </c>
    </row>
    <row r="102" spans="3:6" outlineLevel="1" x14ac:dyDescent="0.25">
      <c r="C102" s="108" t="s">
        <v>838</v>
      </c>
      <c r="D102" s="109" t="s">
        <v>1229</v>
      </c>
    </row>
    <row r="103" spans="3:6" outlineLevel="1" x14ac:dyDescent="0.25"/>
    <row r="104" spans="3:6" outlineLevel="1" x14ac:dyDescent="0.25">
      <c r="C104" s="111" t="s">
        <v>1230</v>
      </c>
    </row>
    <row r="105" spans="3:6" outlineLevel="2" x14ac:dyDescent="0.25">
      <c r="C105" s="112" t="s">
        <v>40</v>
      </c>
      <c r="D105" s="91" t="s">
        <v>41</v>
      </c>
      <c r="E105" s="113" t="s">
        <v>1231</v>
      </c>
      <c r="F105" s="114"/>
    </row>
    <row r="106" spans="3:6" outlineLevel="2" x14ac:dyDescent="0.25">
      <c r="C106" s="115" t="s">
        <v>683</v>
      </c>
      <c r="D106" s="116"/>
      <c r="E106" s="117"/>
      <c r="F106" s="118"/>
    </row>
    <row r="107" spans="3:6" outlineLevel="2" x14ac:dyDescent="0.25">
      <c r="C107" s="119">
        <v>15000000</v>
      </c>
      <c r="D107" s="120" t="s">
        <v>654</v>
      </c>
      <c r="E107" s="121" t="s">
        <v>1232</v>
      </c>
      <c r="F107" s="122"/>
    </row>
    <row r="108" spans="3:6" ht="45" outlineLevel="2" x14ac:dyDescent="0.25">
      <c r="C108" s="123">
        <v>15000010</v>
      </c>
      <c r="D108" s="124" t="s">
        <v>655</v>
      </c>
      <c r="E108" s="125" t="s">
        <v>1233</v>
      </c>
      <c r="F108" s="126"/>
    </row>
    <row r="109" spans="3:6" ht="30" outlineLevel="2" x14ac:dyDescent="0.25">
      <c r="C109" s="123">
        <v>15000020</v>
      </c>
      <c r="D109" s="124" t="s">
        <v>656</v>
      </c>
      <c r="E109" s="125" t="s">
        <v>1234</v>
      </c>
      <c r="F109" s="126"/>
    </row>
    <row r="110" spans="3:6" ht="30" outlineLevel="2" x14ac:dyDescent="0.25">
      <c r="C110" s="123">
        <v>15000030</v>
      </c>
      <c r="D110" s="124" t="s">
        <v>657</v>
      </c>
      <c r="E110" s="125" t="s">
        <v>1235</v>
      </c>
      <c r="F110" s="126"/>
    </row>
    <row r="111" spans="3:6" ht="30" outlineLevel="2" x14ac:dyDescent="0.25">
      <c r="C111" s="123">
        <v>15000040</v>
      </c>
      <c r="D111" s="124" t="s">
        <v>658</v>
      </c>
      <c r="E111" s="125" t="s">
        <v>1236</v>
      </c>
      <c r="F111" s="126"/>
    </row>
    <row r="112" spans="3:6" ht="30" outlineLevel="2" x14ac:dyDescent="0.25">
      <c r="C112" s="123">
        <v>15000050</v>
      </c>
      <c r="D112" s="124" t="s">
        <v>659</v>
      </c>
      <c r="E112" s="125" t="s">
        <v>1237</v>
      </c>
      <c r="F112" s="126"/>
    </row>
    <row r="113" spans="1:6" ht="30" outlineLevel="2" x14ac:dyDescent="0.25">
      <c r="C113" s="123">
        <v>15000060</v>
      </c>
      <c r="D113" s="124" t="s">
        <v>660</v>
      </c>
      <c r="E113" s="125" t="s">
        <v>1238</v>
      </c>
      <c r="F113" s="126"/>
    </row>
    <row r="114" spans="1:6" ht="30" outlineLevel="2" x14ac:dyDescent="0.25">
      <c r="C114" s="127">
        <v>15000070</v>
      </c>
      <c r="D114" s="128" t="s">
        <v>661</v>
      </c>
      <c r="E114" s="129" t="s">
        <v>1239</v>
      </c>
      <c r="F114" s="126"/>
    </row>
    <row r="115" spans="1:6" ht="16.5" customHeight="1" outlineLevel="2" x14ac:dyDescent="0.25">
      <c r="C115" s="127">
        <v>15000080</v>
      </c>
      <c r="D115" s="128" t="s">
        <v>662</v>
      </c>
      <c r="E115" s="129" t="s">
        <v>1240</v>
      </c>
      <c r="F115" s="126"/>
    </row>
    <row r="116" spans="1:6" ht="30" outlineLevel="2" x14ac:dyDescent="0.25">
      <c r="C116" s="127">
        <v>15200000</v>
      </c>
      <c r="D116" s="128" t="s">
        <v>664</v>
      </c>
      <c r="E116" s="129" t="s">
        <v>1241</v>
      </c>
      <c r="F116" s="122"/>
    </row>
    <row r="117" spans="1:6" outlineLevel="2" x14ac:dyDescent="0.25">
      <c r="C117" s="130" t="s">
        <v>1242</v>
      </c>
      <c r="D117" s="131"/>
      <c r="E117" s="132"/>
      <c r="F117" s="118"/>
    </row>
    <row r="118" spans="1:6" ht="60" outlineLevel="2" x14ac:dyDescent="0.25">
      <c r="C118" s="127">
        <v>15020010</v>
      </c>
      <c r="D118" s="128" t="s">
        <v>666</v>
      </c>
      <c r="E118" s="129" t="s">
        <v>1243</v>
      </c>
      <c r="F118" s="126"/>
    </row>
    <row r="119" spans="1:6" ht="45" outlineLevel="2" x14ac:dyDescent="0.25">
      <c r="C119" s="127">
        <v>15020020</v>
      </c>
      <c r="D119" s="128" t="s">
        <v>667</v>
      </c>
      <c r="E119" s="129" t="s">
        <v>1244</v>
      </c>
      <c r="F119" s="126"/>
    </row>
    <row r="120" spans="1:6" ht="30" outlineLevel="2" x14ac:dyDescent="0.25">
      <c r="C120" s="127">
        <v>15020030</v>
      </c>
      <c r="D120" s="128" t="s">
        <v>668</v>
      </c>
      <c r="E120" s="129" t="s">
        <v>1245</v>
      </c>
      <c r="F120" s="126"/>
    </row>
    <row r="121" spans="1:6" ht="30" outlineLevel="2" x14ac:dyDescent="0.25">
      <c r="C121" s="127">
        <v>15020040</v>
      </c>
      <c r="D121" s="128" t="s">
        <v>669</v>
      </c>
      <c r="E121" s="129" t="s">
        <v>1246</v>
      </c>
      <c r="F121" s="126"/>
    </row>
    <row r="122" spans="1:6" outlineLevel="2" x14ac:dyDescent="0.25">
      <c r="C122" s="127">
        <v>15020080</v>
      </c>
      <c r="D122" s="128" t="s">
        <v>670</v>
      </c>
      <c r="E122" s="129" t="s">
        <v>1247</v>
      </c>
      <c r="F122" s="126"/>
    </row>
    <row r="123" spans="1:6" ht="45" outlineLevel="2" x14ac:dyDescent="0.25">
      <c r="C123" s="133">
        <v>15020090</v>
      </c>
      <c r="D123" s="134" t="s">
        <v>720</v>
      </c>
      <c r="E123" s="135" t="s">
        <v>1248</v>
      </c>
      <c r="F123" s="126"/>
    </row>
    <row r="124" spans="1:6" outlineLevel="2" x14ac:dyDescent="0.25">
      <c r="C124" s="325"/>
      <c r="D124" s="122"/>
      <c r="E124" s="126"/>
      <c r="F124" s="126"/>
    </row>
    <row r="125" spans="1:6" s="328" customFormat="1" ht="15.75" x14ac:dyDescent="0.25">
      <c r="A125" s="136"/>
      <c r="B125" s="136"/>
      <c r="C125" s="326" t="s">
        <v>1524</v>
      </c>
      <c r="D125" s="327" t="s">
        <v>525</v>
      </c>
    </row>
    <row r="127" spans="1:6" outlineLevel="1" x14ac:dyDescent="0.25">
      <c r="C127" s="75" t="s">
        <v>1249</v>
      </c>
    </row>
    <row r="128" spans="1:6" outlineLevel="1" x14ac:dyDescent="0.25">
      <c r="C128" s="75" t="s">
        <v>1250</v>
      </c>
    </row>
    <row r="129" spans="3:6" outlineLevel="1" x14ac:dyDescent="0.25">
      <c r="C129" s="75" t="s">
        <v>1251</v>
      </c>
    </row>
    <row r="130" spans="3:6" outlineLevel="1" x14ac:dyDescent="0.25"/>
    <row r="131" spans="3:6" outlineLevel="1" x14ac:dyDescent="0.25">
      <c r="C131" s="335" t="s">
        <v>1528</v>
      </c>
      <c r="D131" s="335"/>
      <c r="E131" s="335" t="s">
        <v>1529</v>
      </c>
      <c r="F131" s="335"/>
    </row>
    <row r="132" spans="3:6" ht="75" outlineLevel="1" x14ac:dyDescent="0.25">
      <c r="C132" s="137" t="s">
        <v>462</v>
      </c>
      <c r="D132" s="138" t="s">
        <v>1252</v>
      </c>
      <c r="E132" s="137" t="s">
        <v>684</v>
      </c>
      <c r="F132" s="138" t="s">
        <v>1530</v>
      </c>
    </row>
    <row r="133" spans="3:6" ht="49.5" customHeight="1" outlineLevel="1" x14ac:dyDescent="0.25">
      <c r="C133" s="137" t="s">
        <v>466</v>
      </c>
      <c r="D133" s="138" t="s">
        <v>1253</v>
      </c>
      <c r="E133" s="336"/>
      <c r="F133" s="337"/>
    </row>
    <row r="134" spans="3:6" ht="45" outlineLevel="1" x14ac:dyDescent="0.25">
      <c r="C134" s="139" t="s">
        <v>868</v>
      </c>
      <c r="D134" s="140" t="s">
        <v>1254</v>
      </c>
      <c r="E134" s="338"/>
      <c r="F134" s="337"/>
    </row>
    <row r="135" spans="3:6" ht="60" outlineLevel="1" x14ac:dyDescent="0.25">
      <c r="C135" s="139" t="s">
        <v>1011</v>
      </c>
      <c r="D135" s="140" t="s">
        <v>1255</v>
      </c>
      <c r="E135" s="139" t="s">
        <v>1011</v>
      </c>
      <c r="F135" s="140" t="s">
        <v>1255</v>
      </c>
    </row>
    <row r="136" spans="3:6" ht="60" outlineLevel="1" x14ac:dyDescent="0.25">
      <c r="C136" s="137" t="s">
        <v>859</v>
      </c>
      <c r="D136" s="138" t="s">
        <v>1256</v>
      </c>
      <c r="E136" s="137" t="s">
        <v>859</v>
      </c>
      <c r="F136" s="138" t="s">
        <v>1256</v>
      </c>
    </row>
    <row r="137" spans="3:6" ht="15" customHeight="1" outlineLevel="1" x14ac:dyDescent="0.25">
      <c r="C137" s="137" t="s">
        <v>869</v>
      </c>
      <c r="D137" s="138" t="s">
        <v>1257</v>
      </c>
      <c r="E137" s="137" t="s">
        <v>869</v>
      </c>
      <c r="F137" s="138" t="s">
        <v>1257</v>
      </c>
    </row>
    <row r="138" spans="3:6" ht="150" outlineLevel="1" x14ac:dyDescent="0.25">
      <c r="C138" s="141" t="s">
        <v>519</v>
      </c>
      <c r="D138" s="138" t="s">
        <v>1258</v>
      </c>
      <c r="E138" s="141" t="s">
        <v>519</v>
      </c>
      <c r="F138" s="138" t="s">
        <v>1258</v>
      </c>
    </row>
    <row r="139" spans="3:6" ht="135" outlineLevel="1" x14ac:dyDescent="0.25">
      <c r="C139" s="141" t="s">
        <v>520</v>
      </c>
      <c r="D139" s="142" t="s">
        <v>1259</v>
      </c>
      <c r="E139" s="141" t="s">
        <v>520</v>
      </c>
      <c r="F139" s="142" t="s">
        <v>1259</v>
      </c>
    </row>
    <row r="140" spans="3:6" ht="30" outlineLevel="1" x14ac:dyDescent="0.25">
      <c r="C140" s="141" t="s">
        <v>521</v>
      </c>
      <c r="D140" s="142" t="s">
        <v>1260</v>
      </c>
      <c r="E140" s="141" t="s">
        <v>521</v>
      </c>
      <c r="F140" s="142" t="s">
        <v>1260</v>
      </c>
    </row>
    <row r="141" spans="3:6" ht="60" outlineLevel="1" x14ac:dyDescent="0.25">
      <c r="C141" s="141" t="s">
        <v>523</v>
      </c>
      <c r="D141" s="142" t="s">
        <v>1261</v>
      </c>
      <c r="E141" s="141" t="s">
        <v>523</v>
      </c>
      <c r="F141" s="142" t="s">
        <v>1261</v>
      </c>
    </row>
    <row r="142" spans="3:6" ht="45" outlineLevel="1" x14ac:dyDescent="0.25">
      <c r="C142" s="141" t="s">
        <v>344</v>
      </c>
      <c r="D142" s="142" t="s">
        <v>1262</v>
      </c>
      <c r="E142" s="141" t="s">
        <v>344</v>
      </c>
      <c r="F142" s="142" t="s">
        <v>1262</v>
      </c>
    </row>
    <row r="143" spans="3:6" ht="60" outlineLevel="1" x14ac:dyDescent="0.25">
      <c r="C143" s="141" t="s">
        <v>522</v>
      </c>
      <c r="D143" s="142" t="s">
        <v>1263</v>
      </c>
      <c r="E143" s="141" t="s">
        <v>522</v>
      </c>
      <c r="F143" s="142" t="s">
        <v>1263</v>
      </c>
    </row>
    <row r="144" spans="3:6" ht="75" outlineLevel="1" x14ac:dyDescent="0.25">
      <c r="C144" s="141" t="s">
        <v>1021</v>
      </c>
      <c r="D144" s="142" t="s">
        <v>1264</v>
      </c>
      <c r="E144" s="141" t="s">
        <v>1021</v>
      </c>
      <c r="F144" s="142" t="s">
        <v>1264</v>
      </c>
    </row>
    <row r="145" spans="3:14" outlineLevel="1" x14ac:dyDescent="0.25"/>
    <row r="147" spans="3:14" x14ac:dyDescent="0.25">
      <c r="C147" s="111" t="s">
        <v>1033</v>
      </c>
    </row>
    <row r="148" spans="3:14" outlineLevel="2" x14ac:dyDescent="0.25">
      <c r="C148" s="91" t="s">
        <v>1034</v>
      </c>
      <c r="D148" s="91" t="s">
        <v>1035</v>
      </c>
      <c r="E148" s="113" t="s">
        <v>1036</v>
      </c>
      <c r="F148" s="113" t="s">
        <v>1037</v>
      </c>
      <c r="G148" s="149" t="s">
        <v>1038</v>
      </c>
      <c r="H148" s="150"/>
      <c r="L148" s="151"/>
      <c r="M148" s="151"/>
      <c r="N148" s="151"/>
    </row>
    <row r="149" spans="3:14" outlineLevel="4" x14ac:dyDescent="0.25">
      <c r="C149" s="144">
        <v>50200010</v>
      </c>
      <c r="D149" s="125" t="s">
        <v>1039</v>
      </c>
      <c r="E149" s="125" t="s">
        <v>1275</v>
      </c>
      <c r="F149" s="145" t="s">
        <v>469</v>
      </c>
      <c r="G149" s="152" t="s">
        <v>1041</v>
      </c>
      <c r="H149" s="153"/>
      <c r="L149" s="333"/>
      <c r="M149" s="333"/>
      <c r="N149" s="333"/>
    </row>
    <row r="150" spans="3:14" outlineLevel="4" x14ac:dyDescent="0.25">
      <c r="C150" s="144">
        <v>50300010</v>
      </c>
      <c r="D150" s="125" t="s">
        <v>48</v>
      </c>
      <c r="E150" s="125" t="s">
        <v>1276</v>
      </c>
      <c r="F150" s="146" t="s">
        <v>470</v>
      </c>
      <c r="G150" s="154" t="s">
        <v>50</v>
      </c>
      <c r="H150" s="153"/>
      <c r="L150" s="333"/>
      <c r="M150" s="333"/>
      <c r="N150" s="333"/>
    </row>
    <row r="151" spans="3:14" outlineLevel="4" x14ac:dyDescent="0.25">
      <c r="C151" s="144">
        <v>50300020</v>
      </c>
      <c r="D151" s="125" t="s">
        <v>51</v>
      </c>
      <c r="E151" s="125" t="s">
        <v>1277</v>
      </c>
      <c r="F151" s="125" t="s">
        <v>470</v>
      </c>
      <c r="G151" s="154" t="s">
        <v>50</v>
      </c>
      <c r="H151" s="153"/>
      <c r="L151" s="333"/>
      <c r="M151" s="333"/>
      <c r="N151" s="333"/>
    </row>
    <row r="152" spans="3:14" outlineLevel="4" x14ac:dyDescent="0.25">
      <c r="C152" s="144">
        <v>50300030</v>
      </c>
      <c r="D152" s="125" t="s">
        <v>53</v>
      </c>
      <c r="E152" s="125" t="s">
        <v>1278</v>
      </c>
      <c r="F152" s="125" t="s">
        <v>470</v>
      </c>
      <c r="G152" s="154" t="s">
        <v>50</v>
      </c>
      <c r="H152" s="153"/>
      <c r="L152" s="333"/>
      <c r="M152" s="333"/>
      <c r="N152" s="333"/>
    </row>
    <row r="153" spans="3:14" outlineLevel="4" x14ac:dyDescent="0.25">
      <c r="C153" s="144">
        <v>50300040</v>
      </c>
      <c r="D153" s="125" t="s">
        <v>55</v>
      </c>
      <c r="E153" s="125" t="s">
        <v>1279</v>
      </c>
      <c r="F153" s="125" t="s">
        <v>470</v>
      </c>
      <c r="G153" s="154" t="s">
        <v>50</v>
      </c>
      <c r="H153" s="153"/>
      <c r="L153" s="333"/>
      <c r="M153" s="333"/>
      <c r="N153" s="333"/>
    </row>
    <row r="154" spans="3:14" outlineLevel="4" x14ac:dyDescent="0.25">
      <c r="C154" s="144">
        <v>50300050</v>
      </c>
      <c r="D154" s="125" t="s">
        <v>57</v>
      </c>
      <c r="E154" s="125" t="s">
        <v>1280</v>
      </c>
      <c r="F154" s="125" t="s">
        <v>470</v>
      </c>
      <c r="G154" s="154" t="s">
        <v>50</v>
      </c>
      <c r="H154" s="153"/>
      <c r="L154" s="333"/>
      <c r="M154" s="333"/>
      <c r="N154" s="333"/>
    </row>
    <row r="155" spans="3:14" outlineLevel="4" x14ac:dyDescent="0.25">
      <c r="C155" s="144">
        <v>50300060</v>
      </c>
      <c r="D155" s="125" t="s">
        <v>1047</v>
      </c>
      <c r="E155" s="125" t="s">
        <v>1281</v>
      </c>
      <c r="F155" s="125" t="s">
        <v>470</v>
      </c>
      <c r="G155" s="154" t="s">
        <v>50</v>
      </c>
      <c r="H155" s="153"/>
      <c r="L155" s="333"/>
      <c r="M155" s="333"/>
      <c r="N155" s="333"/>
    </row>
    <row r="156" spans="3:14" outlineLevel="4" x14ac:dyDescent="0.25">
      <c r="C156" s="144">
        <v>50300070</v>
      </c>
      <c r="D156" s="125" t="s">
        <v>514</v>
      </c>
      <c r="E156" s="125" t="s">
        <v>1282</v>
      </c>
      <c r="F156" s="129" t="s">
        <v>470</v>
      </c>
      <c r="G156" s="154" t="s">
        <v>50</v>
      </c>
      <c r="H156" s="153"/>
      <c r="L156" s="333"/>
      <c r="M156" s="333"/>
      <c r="N156" s="333"/>
    </row>
    <row r="157" spans="3:14" outlineLevel="4" x14ac:dyDescent="0.25">
      <c r="C157" s="144">
        <v>50300080</v>
      </c>
      <c r="D157" s="125" t="s">
        <v>63</v>
      </c>
      <c r="E157" s="125" t="s">
        <v>1283</v>
      </c>
      <c r="F157" s="129" t="s">
        <v>470</v>
      </c>
      <c r="G157" s="154" t="s">
        <v>50</v>
      </c>
      <c r="H157" s="153"/>
      <c r="L157" s="333"/>
      <c r="M157" s="333"/>
      <c r="N157" s="333"/>
    </row>
    <row r="158" spans="3:14" outlineLevel="4" x14ac:dyDescent="0.25">
      <c r="C158" s="144">
        <v>50300090</v>
      </c>
      <c r="D158" s="125" t="s">
        <v>65</v>
      </c>
      <c r="E158" s="125" t="s">
        <v>1284</v>
      </c>
      <c r="F158" s="129" t="s">
        <v>470</v>
      </c>
      <c r="G158" s="154" t="s">
        <v>50</v>
      </c>
      <c r="H158" s="153"/>
      <c r="L158" s="333"/>
      <c r="M158" s="333"/>
      <c r="N158" s="333"/>
    </row>
    <row r="159" spans="3:14" outlineLevel="4" x14ac:dyDescent="0.25">
      <c r="C159" s="144">
        <v>50300100</v>
      </c>
      <c r="D159" s="125" t="s">
        <v>67</v>
      </c>
      <c r="E159" s="125" t="s">
        <v>1285</v>
      </c>
      <c r="F159" s="129" t="s">
        <v>470</v>
      </c>
      <c r="G159" s="154" t="s">
        <v>50</v>
      </c>
      <c r="H159" s="153"/>
      <c r="L159" s="333"/>
      <c r="M159" s="333"/>
      <c r="N159" s="333"/>
    </row>
    <row r="160" spans="3:14" outlineLevel="4" x14ac:dyDescent="0.25">
      <c r="C160" s="144">
        <v>50300110</v>
      </c>
      <c r="D160" s="125" t="s">
        <v>1053</v>
      </c>
      <c r="E160" s="125" t="s">
        <v>1286</v>
      </c>
      <c r="F160" s="129" t="s">
        <v>470</v>
      </c>
      <c r="G160" s="154" t="s">
        <v>50</v>
      </c>
      <c r="H160" s="153"/>
      <c r="L160" s="333"/>
      <c r="M160" s="333"/>
      <c r="N160" s="333"/>
    </row>
    <row r="161" spans="3:14" outlineLevel="4" x14ac:dyDescent="0.25">
      <c r="C161" s="144">
        <v>50300120</v>
      </c>
      <c r="D161" s="125" t="s">
        <v>1055</v>
      </c>
      <c r="E161" s="125" t="s">
        <v>1287</v>
      </c>
      <c r="F161" s="129" t="s">
        <v>470</v>
      </c>
      <c r="G161" s="154" t="s">
        <v>50</v>
      </c>
      <c r="H161" s="153"/>
      <c r="L161" s="333"/>
      <c r="M161" s="333"/>
      <c r="N161" s="333"/>
    </row>
    <row r="162" spans="3:14" outlineLevel="4" x14ac:dyDescent="0.25">
      <c r="C162" s="144">
        <v>50300990</v>
      </c>
      <c r="D162" s="125" t="s">
        <v>71</v>
      </c>
      <c r="E162" s="125" t="s">
        <v>1288</v>
      </c>
      <c r="F162" s="129" t="s">
        <v>470</v>
      </c>
      <c r="G162" s="154" t="s">
        <v>50</v>
      </c>
      <c r="H162" s="153"/>
      <c r="L162" s="333"/>
      <c r="M162" s="333"/>
      <c r="N162" s="333"/>
    </row>
    <row r="163" spans="3:14" outlineLevel="4" x14ac:dyDescent="0.25">
      <c r="C163" s="144">
        <v>50400010</v>
      </c>
      <c r="D163" s="125" t="s">
        <v>1058</v>
      </c>
      <c r="E163" s="125" t="s">
        <v>1289</v>
      </c>
      <c r="F163" s="129" t="s">
        <v>471</v>
      </c>
      <c r="G163" s="154" t="s">
        <v>50</v>
      </c>
      <c r="H163" s="153"/>
      <c r="L163" s="333"/>
      <c r="M163" s="333"/>
      <c r="N163" s="333"/>
    </row>
    <row r="164" spans="3:14" outlineLevel="4" x14ac:dyDescent="0.25">
      <c r="C164" s="144">
        <v>50500010</v>
      </c>
      <c r="D164" s="125" t="s">
        <v>1060</v>
      </c>
      <c r="E164" s="125" t="s">
        <v>1290</v>
      </c>
      <c r="F164" s="129" t="s">
        <v>472</v>
      </c>
      <c r="G164" s="152" t="s">
        <v>1041</v>
      </c>
      <c r="H164" s="153"/>
      <c r="L164" s="333"/>
      <c r="M164" s="333"/>
      <c r="N164" s="333"/>
    </row>
    <row r="165" spans="3:14" outlineLevel="4" x14ac:dyDescent="0.25">
      <c r="C165" s="144">
        <v>50500020</v>
      </c>
      <c r="D165" s="125" t="s">
        <v>515</v>
      </c>
      <c r="E165" s="125" t="s">
        <v>1291</v>
      </c>
      <c r="F165" s="129" t="s">
        <v>472</v>
      </c>
      <c r="G165" s="152" t="s">
        <v>1041</v>
      </c>
      <c r="H165" s="153"/>
      <c r="L165" s="333"/>
      <c r="M165" s="333"/>
      <c r="N165" s="333"/>
    </row>
    <row r="166" spans="3:14" outlineLevel="4" x14ac:dyDescent="0.25">
      <c r="C166" s="144">
        <v>50500030</v>
      </c>
      <c r="D166" s="125" t="s">
        <v>1063</v>
      </c>
      <c r="E166" s="125" t="s">
        <v>1292</v>
      </c>
      <c r="F166" s="129" t="s">
        <v>472</v>
      </c>
      <c r="G166" s="152" t="s">
        <v>1041</v>
      </c>
      <c r="H166" s="153"/>
      <c r="L166" s="333"/>
      <c r="M166" s="333"/>
      <c r="N166" s="333"/>
    </row>
    <row r="167" spans="3:14" outlineLevel="4" x14ac:dyDescent="0.25">
      <c r="C167" s="144">
        <v>50500040</v>
      </c>
      <c r="D167" s="125" t="s">
        <v>111</v>
      </c>
      <c r="E167" s="125" t="s">
        <v>1293</v>
      </c>
      <c r="F167" s="129" t="s">
        <v>472</v>
      </c>
      <c r="G167" s="152" t="s">
        <v>1041</v>
      </c>
      <c r="H167" s="153"/>
      <c r="L167" s="333"/>
      <c r="M167" s="333"/>
      <c r="N167" s="333"/>
    </row>
    <row r="168" spans="3:14" outlineLevel="4" x14ac:dyDescent="0.25">
      <c r="C168" s="144">
        <v>50600010</v>
      </c>
      <c r="D168" s="125" t="s">
        <v>429</v>
      </c>
      <c r="E168" s="125" t="s">
        <v>1294</v>
      </c>
      <c r="F168" s="129" t="s">
        <v>473</v>
      </c>
      <c r="G168" s="152" t="s">
        <v>1041</v>
      </c>
      <c r="H168" s="153"/>
      <c r="L168" s="333"/>
      <c r="M168" s="333"/>
      <c r="N168" s="333"/>
    </row>
    <row r="169" spans="3:14" outlineLevel="4" x14ac:dyDescent="0.25">
      <c r="C169" s="144">
        <v>50600020</v>
      </c>
      <c r="D169" s="125" t="s">
        <v>430</v>
      </c>
      <c r="E169" s="125" t="s">
        <v>1295</v>
      </c>
      <c r="F169" s="129" t="s">
        <v>473</v>
      </c>
      <c r="G169" s="152" t="s">
        <v>1041</v>
      </c>
      <c r="H169" s="153"/>
      <c r="L169" s="333"/>
      <c r="M169" s="333"/>
      <c r="N169" s="333"/>
    </row>
    <row r="170" spans="3:14" outlineLevel="4" x14ac:dyDescent="0.25">
      <c r="C170" s="144">
        <v>50600030</v>
      </c>
      <c r="D170" s="125" t="s">
        <v>1067</v>
      </c>
      <c r="E170" s="125" t="s">
        <v>1296</v>
      </c>
      <c r="F170" s="129" t="s">
        <v>473</v>
      </c>
      <c r="G170" s="152" t="s">
        <v>1041</v>
      </c>
      <c r="H170" s="153"/>
      <c r="L170" s="333"/>
      <c r="M170" s="333"/>
      <c r="N170" s="333"/>
    </row>
    <row r="171" spans="3:14" outlineLevel="4" x14ac:dyDescent="0.25">
      <c r="C171" s="144">
        <v>50600040</v>
      </c>
      <c r="D171" s="125" t="s">
        <v>432</v>
      </c>
      <c r="E171" s="125" t="s">
        <v>1297</v>
      </c>
      <c r="F171" s="129" t="s">
        <v>473</v>
      </c>
      <c r="G171" s="152" t="s">
        <v>1041</v>
      </c>
      <c r="H171" s="153"/>
      <c r="L171" s="333"/>
      <c r="M171" s="333"/>
      <c r="N171" s="333"/>
    </row>
    <row r="172" spans="3:14" outlineLevel="4" x14ac:dyDescent="0.25">
      <c r="C172" s="144">
        <v>50800010</v>
      </c>
      <c r="D172" s="125" t="s">
        <v>1070</v>
      </c>
      <c r="E172" s="125" t="s">
        <v>1298</v>
      </c>
      <c r="F172" s="129" t="s">
        <v>474</v>
      </c>
      <c r="G172" s="152" t="s">
        <v>1041</v>
      </c>
      <c r="H172" s="153"/>
      <c r="L172" s="333"/>
      <c r="M172" s="333"/>
      <c r="N172" s="333"/>
    </row>
    <row r="173" spans="3:14" outlineLevel="4" x14ac:dyDescent="0.25">
      <c r="C173" s="144">
        <v>50800020</v>
      </c>
      <c r="D173" s="125" t="s">
        <v>119</v>
      </c>
      <c r="E173" s="125" t="s">
        <v>1299</v>
      </c>
      <c r="F173" s="129" t="s">
        <v>474</v>
      </c>
      <c r="G173" s="152" t="s">
        <v>1041</v>
      </c>
      <c r="H173" s="153"/>
      <c r="L173" s="333"/>
      <c r="M173" s="333"/>
      <c r="N173" s="333"/>
    </row>
    <row r="174" spans="3:14" outlineLevel="4" x14ac:dyDescent="0.25">
      <c r="C174" s="144">
        <v>50800030</v>
      </c>
      <c r="D174" s="125" t="s">
        <v>122</v>
      </c>
      <c r="E174" s="125" t="s">
        <v>1300</v>
      </c>
      <c r="F174" s="129" t="s">
        <v>474</v>
      </c>
      <c r="G174" s="152" t="s">
        <v>1041</v>
      </c>
      <c r="H174" s="153"/>
      <c r="L174" s="333"/>
      <c r="M174" s="333"/>
      <c r="N174" s="333"/>
    </row>
    <row r="175" spans="3:14" outlineLevel="4" x14ac:dyDescent="0.25">
      <c r="C175" s="144">
        <v>50800040</v>
      </c>
      <c r="D175" s="125" t="s">
        <v>124</v>
      </c>
      <c r="E175" s="125" t="s">
        <v>1301</v>
      </c>
      <c r="F175" s="129" t="s">
        <v>474</v>
      </c>
      <c r="G175" s="152" t="s">
        <v>1041</v>
      </c>
      <c r="H175" s="153"/>
      <c r="L175" s="333"/>
      <c r="M175" s="333"/>
      <c r="N175" s="333"/>
    </row>
    <row r="176" spans="3:14" outlineLevel="4" x14ac:dyDescent="0.25">
      <c r="C176" s="144">
        <v>50800050</v>
      </c>
      <c r="D176" s="125" t="s">
        <v>126</v>
      </c>
      <c r="E176" s="125" t="s">
        <v>1302</v>
      </c>
      <c r="F176" s="129" t="s">
        <v>474</v>
      </c>
      <c r="G176" s="152" t="s">
        <v>1041</v>
      </c>
      <c r="H176" s="153"/>
      <c r="L176" s="333"/>
      <c r="M176" s="333"/>
      <c r="N176" s="333"/>
    </row>
    <row r="177" spans="3:14" outlineLevel="4" x14ac:dyDescent="0.25">
      <c r="C177" s="144">
        <v>50800060</v>
      </c>
      <c r="D177" s="125" t="s">
        <v>128</v>
      </c>
      <c r="E177" s="125" t="s">
        <v>1303</v>
      </c>
      <c r="F177" s="129" t="s">
        <v>474</v>
      </c>
      <c r="G177" s="152" t="s">
        <v>1041</v>
      </c>
      <c r="H177" s="153"/>
      <c r="L177" s="333"/>
      <c r="M177" s="333"/>
      <c r="N177" s="333"/>
    </row>
    <row r="178" spans="3:14" outlineLevel="4" x14ac:dyDescent="0.25">
      <c r="C178" s="144">
        <v>50800070</v>
      </c>
      <c r="D178" s="125" t="s">
        <v>131</v>
      </c>
      <c r="E178" s="125" t="s">
        <v>1304</v>
      </c>
      <c r="F178" s="129" t="s">
        <v>474</v>
      </c>
      <c r="G178" s="152" t="s">
        <v>1041</v>
      </c>
      <c r="H178" s="153"/>
      <c r="L178" s="333"/>
      <c r="M178" s="333"/>
      <c r="N178" s="333"/>
    </row>
    <row r="179" spans="3:14" outlineLevel="4" x14ac:dyDescent="0.25">
      <c r="C179" s="144">
        <v>51100000</v>
      </c>
      <c r="D179" s="125" t="s">
        <v>433</v>
      </c>
      <c r="E179" s="125" t="s">
        <v>1305</v>
      </c>
      <c r="F179" s="129" t="s">
        <v>475</v>
      </c>
      <c r="G179" s="152" t="s">
        <v>1041</v>
      </c>
      <c r="H179" s="153"/>
      <c r="L179" s="333"/>
      <c r="M179" s="333"/>
      <c r="N179" s="333"/>
    </row>
    <row r="180" spans="3:14" outlineLevel="4" x14ac:dyDescent="0.25">
      <c r="C180" s="144">
        <v>51300010</v>
      </c>
      <c r="D180" s="125" t="s">
        <v>443</v>
      </c>
      <c r="E180" s="125" t="s">
        <v>1306</v>
      </c>
      <c r="F180" s="129" t="s">
        <v>477</v>
      </c>
      <c r="G180" s="155" t="s">
        <v>251</v>
      </c>
      <c r="H180" s="153"/>
      <c r="L180" s="333"/>
      <c r="M180" s="333"/>
      <c r="N180" s="333"/>
    </row>
    <row r="181" spans="3:14" outlineLevel="4" x14ac:dyDescent="0.25">
      <c r="C181" s="144">
        <v>51300040</v>
      </c>
      <c r="D181" s="125" t="s">
        <v>446</v>
      </c>
      <c r="E181" s="125" t="s">
        <v>1307</v>
      </c>
      <c r="F181" s="129" t="s">
        <v>477</v>
      </c>
      <c r="G181" s="155" t="s">
        <v>251</v>
      </c>
      <c r="H181" s="153"/>
      <c r="L181" s="333"/>
      <c r="M181" s="333"/>
      <c r="N181" s="333"/>
    </row>
    <row r="182" spans="3:14" outlineLevel="4" x14ac:dyDescent="0.25">
      <c r="C182" s="144">
        <v>51300050</v>
      </c>
      <c r="D182" s="125" t="s">
        <v>447</v>
      </c>
      <c r="E182" s="125" t="s">
        <v>1308</v>
      </c>
      <c r="F182" s="129" t="s">
        <v>477</v>
      </c>
      <c r="G182" s="155" t="s">
        <v>251</v>
      </c>
      <c r="H182" s="153"/>
      <c r="L182" s="333"/>
      <c r="M182" s="333"/>
      <c r="N182" s="333"/>
    </row>
    <row r="183" spans="3:14" outlineLevel="4" x14ac:dyDescent="0.25">
      <c r="C183" s="144">
        <v>51300060</v>
      </c>
      <c r="D183" s="125" t="s">
        <v>448</v>
      </c>
      <c r="E183" s="125" t="s">
        <v>1309</v>
      </c>
      <c r="F183" s="129" t="s">
        <v>477</v>
      </c>
      <c r="G183" s="155" t="s">
        <v>251</v>
      </c>
      <c r="H183" s="153"/>
      <c r="L183" s="333"/>
      <c r="M183" s="333"/>
      <c r="N183" s="333"/>
    </row>
    <row r="184" spans="3:14" outlineLevel="4" x14ac:dyDescent="0.25">
      <c r="C184" s="144">
        <v>51300090</v>
      </c>
      <c r="D184" s="125" t="s">
        <v>451</v>
      </c>
      <c r="E184" s="125" t="s">
        <v>1310</v>
      </c>
      <c r="F184" s="129" t="s">
        <v>477</v>
      </c>
      <c r="G184" s="155" t="s">
        <v>251</v>
      </c>
      <c r="H184" s="153"/>
      <c r="L184" s="333"/>
      <c r="M184" s="333"/>
      <c r="N184" s="333"/>
    </row>
    <row r="185" spans="3:14" outlineLevel="4" x14ac:dyDescent="0.25">
      <c r="C185" s="144">
        <v>51500010</v>
      </c>
      <c r="D185" s="125" t="s">
        <v>1084</v>
      </c>
      <c r="E185" s="125" t="s">
        <v>1311</v>
      </c>
      <c r="F185" s="129" t="s">
        <v>479</v>
      </c>
      <c r="G185" s="152" t="s">
        <v>1041</v>
      </c>
      <c r="H185" s="153"/>
      <c r="L185" s="333"/>
      <c r="M185" s="333"/>
      <c r="N185" s="333"/>
    </row>
    <row r="186" spans="3:14" outlineLevel="4" x14ac:dyDescent="0.25">
      <c r="C186" s="144">
        <v>51600010</v>
      </c>
      <c r="D186" s="125" t="s">
        <v>147</v>
      </c>
      <c r="E186" s="125" t="s">
        <v>1312</v>
      </c>
      <c r="F186" s="129" t="s">
        <v>480</v>
      </c>
      <c r="G186" s="152" t="s">
        <v>1041</v>
      </c>
      <c r="H186" s="153"/>
      <c r="L186" s="333"/>
      <c r="M186" s="333"/>
      <c r="N186" s="333"/>
    </row>
    <row r="187" spans="3:14" outlineLevel="4" x14ac:dyDescent="0.25">
      <c r="C187" s="144">
        <v>51600020</v>
      </c>
      <c r="D187" s="125" t="s">
        <v>148</v>
      </c>
      <c r="E187" s="125" t="s">
        <v>1313</v>
      </c>
      <c r="F187" s="129" t="s">
        <v>480</v>
      </c>
      <c r="G187" s="152" t="s">
        <v>1041</v>
      </c>
      <c r="H187" s="153"/>
      <c r="L187" s="333"/>
      <c r="M187" s="333"/>
      <c r="N187" s="333"/>
    </row>
    <row r="188" spans="3:14" outlineLevel="4" x14ac:dyDescent="0.25">
      <c r="C188" s="144">
        <v>51600030</v>
      </c>
      <c r="D188" s="125" t="s">
        <v>150</v>
      </c>
      <c r="E188" s="125" t="s">
        <v>1314</v>
      </c>
      <c r="F188" s="129" t="s">
        <v>480</v>
      </c>
      <c r="G188" s="152" t="s">
        <v>1041</v>
      </c>
      <c r="H188" s="153"/>
      <c r="L188" s="333"/>
      <c r="M188" s="333"/>
      <c r="N188" s="333"/>
    </row>
    <row r="189" spans="3:14" outlineLevel="4" x14ac:dyDescent="0.25">
      <c r="C189" s="144">
        <v>51600040</v>
      </c>
      <c r="D189" s="125" t="s">
        <v>151</v>
      </c>
      <c r="E189" s="125" t="s">
        <v>1315</v>
      </c>
      <c r="F189" s="129" t="s">
        <v>480</v>
      </c>
      <c r="G189" s="152" t="s">
        <v>1041</v>
      </c>
      <c r="H189" s="153"/>
      <c r="L189" s="333"/>
      <c r="M189" s="333"/>
      <c r="N189" s="333"/>
    </row>
    <row r="190" spans="3:14" outlineLevel="4" x14ac:dyDescent="0.25">
      <c r="C190" s="144">
        <v>51600050</v>
      </c>
      <c r="D190" s="125" t="s">
        <v>454</v>
      </c>
      <c r="E190" s="125" t="s">
        <v>1316</v>
      </c>
      <c r="F190" s="129" t="s">
        <v>480</v>
      </c>
      <c r="G190" s="152" t="s">
        <v>1041</v>
      </c>
      <c r="H190" s="153"/>
      <c r="L190" s="333"/>
      <c r="M190" s="333"/>
      <c r="N190" s="333"/>
    </row>
    <row r="191" spans="3:14" outlineLevel="4" x14ac:dyDescent="0.25">
      <c r="C191" s="144">
        <v>51600070</v>
      </c>
      <c r="D191" s="125" t="s">
        <v>152</v>
      </c>
      <c r="E191" s="125" t="s">
        <v>1317</v>
      </c>
      <c r="F191" s="129" t="s">
        <v>480</v>
      </c>
      <c r="G191" s="152" t="s">
        <v>1041</v>
      </c>
      <c r="H191" s="153"/>
      <c r="L191" s="333"/>
      <c r="M191" s="333"/>
      <c r="N191" s="333"/>
    </row>
    <row r="192" spans="3:14" outlineLevel="4" x14ac:dyDescent="0.25">
      <c r="C192" s="144">
        <v>51700010</v>
      </c>
      <c r="D192" s="125" t="s">
        <v>153</v>
      </c>
      <c r="E192" s="125" t="s">
        <v>1318</v>
      </c>
      <c r="F192" s="129" t="s">
        <v>481</v>
      </c>
      <c r="G192" s="152" t="s">
        <v>1041</v>
      </c>
      <c r="H192" s="153"/>
      <c r="L192" s="333"/>
      <c r="M192" s="333"/>
      <c r="N192" s="333"/>
    </row>
    <row r="193" spans="3:14" outlineLevel="4" x14ac:dyDescent="0.25">
      <c r="C193" s="144">
        <v>51700030</v>
      </c>
      <c r="D193" s="125" t="s">
        <v>155</v>
      </c>
      <c r="E193" s="125" t="s">
        <v>1319</v>
      </c>
      <c r="F193" s="129" t="s">
        <v>481</v>
      </c>
      <c r="G193" s="152" t="s">
        <v>1041</v>
      </c>
      <c r="H193" s="153"/>
      <c r="L193" s="333"/>
      <c r="M193" s="333"/>
      <c r="N193" s="333"/>
    </row>
    <row r="194" spans="3:14" outlineLevel="4" x14ac:dyDescent="0.25">
      <c r="C194" s="144">
        <v>51700040</v>
      </c>
      <c r="D194" s="125" t="s">
        <v>157</v>
      </c>
      <c r="E194" s="125" t="s">
        <v>1320</v>
      </c>
      <c r="F194" s="129" t="s">
        <v>481</v>
      </c>
      <c r="G194" s="152" t="s">
        <v>1041</v>
      </c>
      <c r="H194" s="153"/>
      <c r="L194" s="333"/>
      <c r="M194" s="333"/>
      <c r="N194" s="333"/>
    </row>
    <row r="195" spans="3:14" outlineLevel="4" x14ac:dyDescent="0.25">
      <c r="C195" s="144">
        <v>51700050</v>
      </c>
      <c r="D195" s="125" t="s">
        <v>159</v>
      </c>
      <c r="E195" s="125" t="s">
        <v>1321</v>
      </c>
      <c r="F195" s="129" t="s">
        <v>481</v>
      </c>
      <c r="G195" s="152" t="s">
        <v>1041</v>
      </c>
      <c r="H195" s="153"/>
      <c r="L195" s="333"/>
      <c r="M195" s="333"/>
      <c r="N195" s="333"/>
    </row>
    <row r="196" spans="3:14" outlineLevel="4" x14ac:dyDescent="0.25">
      <c r="C196" s="144">
        <v>51700060</v>
      </c>
      <c r="D196" s="125" t="s">
        <v>161</v>
      </c>
      <c r="E196" s="125" t="s">
        <v>1322</v>
      </c>
      <c r="F196" s="129" t="s">
        <v>481</v>
      </c>
      <c r="G196" s="152" t="s">
        <v>1041</v>
      </c>
      <c r="H196" s="153"/>
      <c r="L196" s="333"/>
      <c r="M196" s="333"/>
      <c r="N196" s="333"/>
    </row>
    <row r="197" spans="3:14" outlineLevel="4" x14ac:dyDescent="0.25">
      <c r="C197" s="144">
        <v>51700070</v>
      </c>
      <c r="D197" s="125" t="s">
        <v>163</v>
      </c>
      <c r="E197" s="125" t="s">
        <v>1323</v>
      </c>
      <c r="F197" s="129" t="s">
        <v>481</v>
      </c>
      <c r="G197" s="152" t="s">
        <v>1041</v>
      </c>
      <c r="H197" s="153"/>
      <c r="L197" s="333"/>
      <c r="M197" s="333"/>
      <c r="N197" s="333"/>
    </row>
    <row r="198" spans="3:14" outlineLevel="4" x14ac:dyDescent="0.25">
      <c r="C198" s="144">
        <v>51800010</v>
      </c>
      <c r="D198" s="125" t="s">
        <v>165</v>
      </c>
      <c r="E198" s="125" t="s">
        <v>1324</v>
      </c>
      <c r="F198" s="129" t="s">
        <v>482</v>
      </c>
      <c r="G198" s="152" t="s">
        <v>1041</v>
      </c>
      <c r="H198" s="153"/>
    </row>
    <row r="199" spans="3:14" outlineLevel="4" x14ac:dyDescent="0.25">
      <c r="C199" s="144">
        <v>51800020</v>
      </c>
      <c r="D199" s="125" t="s">
        <v>168</v>
      </c>
      <c r="E199" s="125" t="s">
        <v>1325</v>
      </c>
      <c r="F199" s="129" t="s">
        <v>482</v>
      </c>
      <c r="G199" s="152" t="s">
        <v>1041</v>
      </c>
      <c r="H199" s="153"/>
    </row>
    <row r="200" spans="3:14" outlineLevel="4" x14ac:dyDescent="0.25">
      <c r="C200" s="144">
        <v>51800030</v>
      </c>
      <c r="D200" s="125" t="s">
        <v>170</v>
      </c>
      <c r="E200" s="125" t="s">
        <v>1326</v>
      </c>
      <c r="F200" s="129" t="s">
        <v>482</v>
      </c>
      <c r="G200" s="152" t="s">
        <v>1041</v>
      </c>
      <c r="H200" s="153"/>
    </row>
    <row r="201" spans="3:14" outlineLevel="4" x14ac:dyDescent="0.25">
      <c r="C201" s="144">
        <v>51800090</v>
      </c>
      <c r="D201" s="125" t="s">
        <v>172</v>
      </c>
      <c r="E201" s="125" t="s">
        <v>1327</v>
      </c>
      <c r="F201" s="129" t="s">
        <v>482</v>
      </c>
      <c r="G201" s="152" t="s">
        <v>1041</v>
      </c>
      <c r="H201" s="153"/>
    </row>
    <row r="202" spans="3:14" outlineLevel="4" x14ac:dyDescent="0.25">
      <c r="C202" s="144">
        <v>51900010</v>
      </c>
      <c r="D202" s="125" t="s">
        <v>174</v>
      </c>
      <c r="E202" s="125" t="s">
        <v>1328</v>
      </c>
      <c r="F202" s="129" t="s">
        <v>345</v>
      </c>
      <c r="G202" s="152" t="s">
        <v>1041</v>
      </c>
      <c r="H202" s="153"/>
    </row>
    <row r="203" spans="3:14" outlineLevel="4" x14ac:dyDescent="0.25">
      <c r="C203" s="144">
        <v>51900020</v>
      </c>
      <c r="D203" s="125" t="s">
        <v>177</v>
      </c>
      <c r="E203" s="125" t="s">
        <v>1329</v>
      </c>
      <c r="F203" s="129" t="s">
        <v>345</v>
      </c>
      <c r="G203" s="152" t="s">
        <v>1041</v>
      </c>
      <c r="H203" s="153"/>
    </row>
    <row r="204" spans="3:14" outlineLevel="4" x14ac:dyDescent="0.25">
      <c r="C204" s="144">
        <v>51900030</v>
      </c>
      <c r="D204" s="125" t="s">
        <v>180</v>
      </c>
      <c r="E204" s="125" t="s">
        <v>1330</v>
      </c>
      <c r="F204" s="129" t="s">
        <v>345</v>
      </c>
      <c r="G204" s="152" t="s">
        <v>1041</v>
      </c>
      <c r="H204" s="153"/>
    </row>
    <row r="205" spans="3:14" outlineLevel="4" x14ac:dyDescent="0.25">
      <c r="C205" s="144">
        <v>51900040</v>
      </c>
      <c r="D205" s="125" t="s">
        <v>182</v>
      </c>
      <c r="E205" s="125" t="s">
        <v>1331</v>
      </c>
      <c r="F205" s="129" t="s">
        <v>345</v>
      </c>
      <c r="G205" s="152" t="s">
        <v>1041</v>
      </c>
      <c r="H205" s="153"/>
    </row>
    <row r="206" spans="3:14" outlineLevel="4" x14ac:dyDescent="0.25">
      <c r="C206" s="144">
        <v>51900090</v>
      </c>
      <c r="D206" s="125" t="s">
        <v>184</v>
      </c>
      <c r="E206" s="125" t="s">
        <v>1332</v>
      </c>
      <c r="F206" s="129" t="s">
        <v>345</v>
      </c>
      <c r="G206" s="152" t="s">
        <v>1041</v>
      </c>
      <c r="H206" s="153"/>
    </row>
    <row r="207" spans="3:14" outlineLevel="4" x14ac:dyDescent="0.25">
      <c r="C207" s="144">
        <v>52100010</v>
      </c>
      <c r="D207" s="125" t="s">
        <v>195</v>
      </c>
      <c r="E207" s="125" t="s">
        <v>1333</v>
      </c>
      <c r="F207" s="129" t="s">
        <v>484</v>
      </c>
      <c r="G207" s="152" t="s">
        <v>1041</v>
      </c>
      <c r="H207" s="153"/>
    </row>
    <row r="208" spans="3:14" outlineLevel="4" x14ac:dyDescent="0.25">
      <c r="C208" s="144">
        <v>52100020</v>
      </c>
      <c r="D208" s="125" t="s">
        <v>198</v>
      </c>
      <c r="E208" s="125" t="s">
        <v>1334</v>
      </c>
      <c r="F208" s="129" t="s">
        <v>484</v>
      </c>
      <c r="G208" s="152" t="s">
        <v>1041</v>
      </c>
      <c r="H208" s="153"/>
    </row>
    <row r="209" spans="3:8" outlineLevel="4" x14ac:dyDescent="0.25">
      <c r="C209" s="144">
        <v>52100030</v>
      </c>
      <c r="D209" s="125" t="s">
        <v>200</v>
      </c>
      <c r="E209" s="125" t="s">
        <v>1335</v>
      </c>
      <c r="F209" s="129" t="s">
        <v>484</v>
      </c>
      <c r="G209" s="152" t="s">
        <v>1041</v>
      </c>
      <c r="H209" s="153"/>
    </row>
    <row r="210" spans="3:8" outlineLevel="4" x14ac:dyDescent="0.25">
      <c r="C210" s="144">
        <v>52100040</v>
      </c>
      <c r="D210" s="125" t="s">
        <v>202</v>
      </c>
      <c r="E210" s="125" t="s">
        <v>1336</v>
      </c>
      <c r="F210" s="129" t="s">
        <v>484</v>
      </c>
      <c r="G210" s="152" t="s">
        <v>1041</v>
      </c>
      <c r="H210" s="153"/>
    </row>
    <row r="211" spans="3:8" outlineLevel="4" x14ac:dyDescent="0.25">
      <c r="C211" s="144">
        <v>52100050</v>
      </c>
      <c r="D211" s="125" t="s">
        <v>204</v>
      </c>
      <c r="E211" s="125" t="s">
        <v>1337</v>
      </c>
      <c r="F211" s="129" t="s">
        <v>484</v>
      </c>
      <c r="G211" s="152" t="s">
        <v>1041</v>
      </c>
      <c r="H211" s="153"/>
    </row>
    <row r="212" spans="3:8" ht="30" outlineLevel="4" x14ac:dyDescent="0.25">
      <c r="C212" s="144">
        <v>52200010</v>
      </c>
      <c r="D212" s="125" t="s">
        <v>206</v>
      </c>
      <c r="E212" s="125" t="s">
        <v>1338</v>
      </c>
      <c r="F212" s="129" t="s">
        <v>485</v>
      </c>
      <c r="G212" s="152" t="s">
        <v>1041</v>
      </c>
      <c r="H212" s="153"/>
    </row>
    <row r="213" spans="3:8" ht="30" outlineLevel="4" x14ac:dyDescent="0.25">
      <c r="C213" s="144">
        <v>52200020</v>
      </c>
      <c r="D213" s="125" t="s">
        <v>208</v>
      </c>
      <c r="E213" s="125" t="s">
        <v>1339</v>
      </c>
      <c r="F213" s="129" t="s">
        <v>485</v>
      </c>
      <c r="G213" s="152" t="s">
        <v>1041</v>
      </c>
      <c r="H213" s="153"/>
    </row>
    <row r="214" spans="3:8" ht="30" outlineLevel="4" x14ac:dyDescent="0.25">
      <c r="C214" s="144">
        <v>52300010</v>
      </c>
      <c r="D214" s="125" t="s">
        <v>210</v>
      </c>
      <c r="E214" s="125" t="s">
        <v>1340</v>
      </c>
      <c r="F214" s="129" t="s">
        <v>486</v>
      </c>
      <c r="G214" s="152" t="s">
        <v>1041</v>
      </c>
      <c r="H214" s="153"/>
    </row>
    <row r="215" spans="3:8" ht="30" outlineLevel="4" x14ac:dyDescent="0.25">
      <c r="C215" s="144">
        <v>52300020</v>
      </c>
      <c r="D215" s="125" t="s">
        <v>212</v>
      </c>
      <c r="E215" s="125" t="s">
        <v>1341</v>
      </c>
      <c r="F215" s="129" t="s">
        <v>486</v>
      </c>
      <c r="G215" s="152" t="s">
        <v>1041</v>
      </c>
      <c r="H215" s="153"/>
    </row>
    <row r="216" spans="3:8" ht="30" outlineLevel="4" x14ac:dyDescent="0.25">
      <c r="C216" s="144">
        <v>52400030</v>
      </c>
      <c r="D216" s="125" t="s">
        <v>214</v>
      </c>
      <c r="E216" s="125" t="s">
        <v>1342</v>
      </c>
      <c r="F216" s="129" t="s">
        <v>487</v>
      </c>
      <c r="G216" s="152" t="s">
        <v>1041</v>
      </c>
      <c r="H216" s="153"/>
    </row>
    <row r="217" spans="3:8" outlineLevel="4" x14ac:dyDescent="0.25">
      <c r="C217" s="144">
        <v>52400040</v>
      </c>
      <c r="D217" s="125" t="s">
        <v>216</v>
      </c>
      <c r="E217" s="125" t="s">
        <v>1343</v>
      </c>
      <c r="F217" s="129" t="s">
        <v>487</v>
      </c>
      <c r="G217" s="152" t="s">
        <v>1041</v>
      </c>
      <c r="H217" s="153"/>
    </row>
    <row r="218" spans="3:8" outlineLevel="4" x14ac:dyDescent="0.25">
      <c r="C218" s="144">
        <v>52400060</v>
      </c>
      <c r="D218" s="125" t="s">
        <v>457</v>
      </c>
      <c r="E218" s="125" t="s">
        <v>1344</v>
      </c>
      <c r="F218" s="129" t="s">
        <v>487</v>
      </c>
      <c r="G218" s="152" t="s">
        <v>1041</v>
      </c>
      <c r="H218" s="153"/>
    </row>
    <row r="219" spans="3:8" outlineLevel="4" x14ac:dyDescent="0.25">
      <c r="C219" s="144">
        <v>52500010</v>
      </c>
      <c r="D219" s="125" t="s">
        <v>218</v>
      </c>
      <c r="E219" s="125" t="s">
        <v>1345</v>
      </c>
      <c r="F219" s="129" t="s">
        <v>218</v>
      </c>
      <c r="G219" s="152" t="s">
        <v>1041</v>
      </c>
      <c r="H219" s="153"/>
    </row>
    <row r="220" spans="3:8" outlineLevel="4" x14ac:dyDescent="0.25">
      <c r="C220" s="144">
        <v>52600020</v>
      </c>
      <c r="D220" s="125" t="s">
        <v>223</v>
      </c>
      <c r="E220" s="125" t="s">
        <v>1346</v>
      </c>
      <c r="F220" s="129" t="s">
        <v>488</v>
      </c>
      <c r="G220" s="152" t="s">
        <v>1041</v>
      </c>
      <c r="H220" s="153"/>
    </row>
    <row r="221" spans="3:8" outlineLevel="4" x14ac:dyDescent="0.25">
      <c r="C221" s="144">
        <v>52600030</v>
      </c>
      <c r="D221" s="125" t="s">
        <v>226</v>
      </c>
      <c r="E221" s="125" t="s">
        <v>1347</v>
      </c>
      <c r="F221" s="129" t="s">
        <v>488</v>
      </c>
      <c r="G221" s="152" t="s">
        <v>1041</v>
      </c>
      <c r="H221" s="153"/>
    </row>
    <row r="222" spans="3:8" outlineLevel="4" x14ac:dyDescent="0.25">
      <c r="C222" s="144">
        <v>52900010</v>
      </c>
      <c r="D222" s="125" t="s">
        <v>228</v>
      </c>
      <c r="E222" s="125" t="s">
        <v>1348</v>
      </c>
      <c r="F222" s="129" t="s">
        <v>489</v>
      </c>
      <c r="G222" s="152" t="s">
        <v>1041</v>
      </c>
      <c r="H222" s="153"/>
    </row>
    <row r="223" spans="3:8" outlineLevel="4" x14ac:dyDescent="0.25">
      <c r="C223" s="144">
        <v>52900020</v>
      </c>
      <c r="D223" s="125" t="s">
        <v>230</v>
      </c>
      <c r="E223" s="125" t="s">
        <v>1349</v>
      </c>
      <c r="F223" s="129" t="s">
        <v>489</v>
      </c>
      <c r="G223" s="152" t="s">
        <v>1041</v>
      </c>
      <c r="H223" s="153"/>
    </row>
    <row r="224" spans="3:8" ht="30" outlineLevel="4" x14ac:dyDescent="0.25">
      <c r="C224" s="144">
        <v>53100010</v>
      </c>
      <c r="D224" s="125" t="s">
        <v>461</v>
      </c>
      <c r="E224" s="125" t="s">
        <v>1350</v>
      </c>
      <c r="F224" s="129" t="s">
        <v>461</v>
      </c>
      <c r="G224" s="152" t="s">
        <v>1041</v>
      </c>
      <c r="H224" s="153"/>
    </row>
    <row r="225" spans="3:7" outlineLevel="4" x14ac:dyDescent="0.25">
      <c r="C225" s="147"/>
      <c r="D225" s="134"/>
      <c r="E225" s="135"/>
      <c r="F225" s="135"/>
      <c r="G225" s="135"/>
    </row>
    <row r="228" spans="3:7" x14ac:dyDescent="0.25">
      <c r="C228" s="111" t="s">
        <v>1120</v>
      </c>
    </row>
    <row r="229" spans="3:7" x14ac:dyDescent="0.25">
      <c r="C229" s="91" t="s">
        <v>1034</v>
      </c>
      <c r="D229" s="91" t="s">
        <v>1035</v>
      </c>
      <c r="E229" s="113" t="s">
        <v>1036</v>
      </c>
      <c r="F229" s="113" t="s">
        <v>1037</v>
      </c>
      <c r="G229" s="113" t="s">
        <v>1038</v>
      </c>
    </row>
    <row r="230" spans="3:7" x14ac:dyDescent="0.25">
      <c r="C230" s="144">
        <v>60100010</v>
      </c>
      <c r="D230" s="125" t="s">
        <v>73</v>
      </c>
      <c r="E230" s="125" t="s">
        <v>1351</v>
      </c>
      <c r="F230" s="145" t="s">
        <v>491</v>
      </c>
      <c r="G230" s="145" t="s">
        <v>50</v>
      </c>
    </row>
    <row r="231" spans="3:7" x14ac:dyDescent="0.25">
      <c r="C231" s="144">
        <v>60100020</v>
      </c>
      <c r="D231" s="125" t="s">
        <v>75</v>
      </c>
      <c r="E231" s="125" t="s">
        <v>1352</v>
      </c>
      <c r="F231" s="146" t="s">
        <v>491</v>
      </c>
      <c r="G231" s="146" t="s">
        <v>50</v>
      </c>
    </row>
    <row r="232" spans="3:7" x14ac:dyDescent="0.25">
      <c r="C232" s="144">
        <v>60100030</v>
      </c>
      <c r="D232" s="125" t="s">
        <v>77</v>
      </c>
      <c r="E232" s="125" t="s">
        <v>1123</v>
      </c>
      <c r="F232" s="125" t="s">
        <v>491</v>
      </c>
      <c r="G232" s="146" t="s">
        <v>50</v>
      </c>
    </row>
    <row r="233" spans="3:7" x14ac:dyDescent="0.25">
      <c r="C233" s="144">
        <v>60100040</v>
      </c>
      <c r="D233" s="125" t="s">
        <v>79</v>
      </c>
      <c r="E233" s="125" t="s">
        <v>1353</v>
      </c>
      <c r="F233" s="125" t="s">
        <v>491</v>
      </c>
      <c r="G233" s="146" t="s">
        <v>50</v>
      </c>
    </row>
    <row r="234" spans="3:7" x14ac:dyDescent="0.25">
      <c r="C234" s="144">
        <v>60100050</v>
      </c>
      <c r="D234" s="125" t="s">
        <v>81</v>
      </c>
      <c r="E234" s="125" t="s">
        <v>1354</v>
      </c>
      <c r="F234" s="125" t="s">
        <v>491</v>
      </c>
      <c r="G234" s="146" t="s">
        <v>50</v>
      </c>
    </row>
    <row r="235" spans="3:7" x14ac:dyDescent="0.25">
      <c r="C235" s="144">
        <v>60100060</v>
      </c>
      <c r="D235" s="125" t="s">
        <v>83</v>
      </c>
      <c r="E235" s="125" t="s">
        <v>1355</v>
      </c>
      <c r="F235" s="125" t="s">
        <v>491</v>
      </c>
      <c r="G235" s="146" t="s">
        <v>50</v>
      </c>
    </row>
    <row r="236" spans="3:7" x14ac:dyDescent="0.25">
      <c r="C236" s="144">
        <v>60100070</v>
      </c>
      <c r="D236" s="125" t="s">
        <v>85</v>
      </c>
      <c r="E236" s="125" t="s">
        <v>1356</v>
      </c>
      <c r="F236" s="125" t="s">
        <v>491</v>
      </c>
      <c r="G236" s="146" t="s">
        <v>50</v>
      </c>
    </row>
    <row r="237" spans="3:7" x14ac:dyDescent="0.25">
      <c r="C237" s="144">
        <v>60100080</v>
      </c>
      <c r="D237" s="125" t="s">
        <v>87</v>
      </c>
      <c r="E237" s="125" t="s">
        <v>1357</v>
      </c>
      <c r="F237" s="129" t="s">
        <v>491</v>
      </c>
      <c r="G237" s="146" t="s">
        <v>50</v>
      </c>
    </row>
    <row r="238" spans="3:7" x14ac:dyDescent="0.25">
      <c r="C238" s="144">
        <v>60100090</v>
      </c>
      <c r="D238" s="125" t="s">
        <v>89</v>
      </c>
      <c r="E238" s="125" t="s">
        <v>1358</v>
      </c>
      <c r="F238" s="129" t="s">
        <v>491</v>
      </c>
      <c r="G238" s="146" t="s">
        <v>50</v>
      </c>
    </row>
    <row r="239" spans="3:7" x14ac:dyDescent="0.25">
      <c r="C239" s="144">
        <v>60100100</v>
      </c>
      <c r="D239" s="125" t="s">
        <v>91</v>
      </c>
      <c r="E239" s="125" t="s">
        <v>1359</v>
      </c>
      <c r="F239" s="129" t="s">
        <v>491</v>
      </c>
      <c r="G239" s="146" t="s">
        <v>50</v>
      </c>
    </row>
    <row r="240" spans="3:7" x14ac:dyDescent="0.25">
      <c r="C240" s="144">
        <v>60100110</v>
      </c>
      <c r="D240" s="125" t="s">
        <v>93</v>
      </c>
      <c r="E240" s="125" t="s">
        <v>1360</v>
      </c>
      <c r="F240" s="129" t="s">
        <v>491</v>
      </c>
      <c r="G240" s="146" t="s">
        <v>50</v>
      </c>
    </row>
    <row r="241" spans="1:7" x14ac:dyDescent="0.25">
      <c r="C241" s="144">
        <v>60100120</v>
      </c>
      <c r="D241" s="125" t="s">
        <v>1132</v>
      </c>
      <c r="E241" s="125" t="s">
        <v>1353</v>
      </c>
      <c r="F241" s="129" t="s">
        <v>491</v>
      </c>
      <c r="G241" s="146" t="s">
        <v>50</v>
      </c>
    </row>
    <row r="242" spans="1:7" x14ac:dyDescent="0.25">
      <c r="C242" s="144">
        <v>60100990</v>
      </c>
      <c r="D242" s="125" t="s">
        <v>95</v>
      </c>
      <c r="E242" s="125" t="s">
        <v>1361</v>
      </c>
      <c r="F242" s="129" t="s">
        <v>491</v>
      </c>
      <c r="G242" s="146" t="s">
        <v>50</v>
      </c>
    </row>
    <row r="243" spans="1:7" x14ac:dyDescent="0.25">
      <c r="C243" s="144">
        <v>60200010</v>
      </c>
      <c r="D243" s="125" t="s">
        <v>97</v>
      </c>
      <c r="E243" s="125" t="s">
        <v>1362</v>
      </c>
      <c r="F243" s="129" t="s">
        <v>471</v>
      </c>
      <c r="G243" s="146" t="s">
        <v>50</v>
      </c>
    </row>
    <row r="244" spans="1:7" x14ac:dyDescent="0.25">
      <c r="C244" s="144">
        <v>60300010</v>
      </c>
      <c r="D244" s="125" t="s">
        <v>100</v>
      </c>
      <c r="E244" s="125" t="s">
        <v>1363</v>
      </c>
      <c r="F244" s="129" t="s">
        <v>492</v>
      </c>
      <c r="G244" s="146" t="s">
        <v>50</v>
      </c>
    </row>
    <row r="245" spans="1:7" x14ac:dyDescent="0.25">
      <c r="C245" s="144">
        <v>60600010</v>
      </c>
      <c r="D245" s="125" t="s">
        <v>429</v>
      </c>
      <c r="E245" s="125" t="s">
        <v>1364</v>
      </c>
      <c r="F245" s="129" t="s">
        <v>473</v>
      </c>
      <c r="G245" s="145" t="s">
        <v>106</v>
      </c>
    </row>
    <row r="246" spans="1:7" x14ac:dyDescent="0.25">
      <c r="C246" s="144">
        <v>60600020</v>
      </c>
      <c r="D246" s="125" t="s">
        <v>430</v>
      </c>
      <c r="E246" s="125" t="s">
        <v>1365</v>
      </c>
      <c r="F246" s="129" t="s">
        <v>473</v>
      </c>
      <c r="G246" s="145" t="s">
        <v>106</v>
      </c>
    </row>
    <row r="247" spans="1:7" ht="14.25" customHeight="1" x14ac:dyDescent="0.25">
      <c r="C247" s="144">
        <v>60600030</v>
      </c>
      <c r="D247" s="125" t="s">
        <v>431</v>
      </c>
      <c r="E247" s="125" t="s">
        <v>1366</v>
      </c>
      <c r="F247" s="129" t="s">
        <v>473</v>
      </c>
      <c r="G247" s="145" t="s">
        <v>106</v>
      </c>
    </row>
    <row r="248" spans="1:7" ht="14.25" customHeight="1" x14ac:dyDescent="0.25">
      <c r="C248" s="144">
        <v>60600050</v>
      </c>
      <c r="D248" s="125" t="s">
        <v>113</v>
      </c>
      <c r="E248" s="125" t="s">
        <v>1962</v>
      </c>
      <c r="F248" s="129" t="s">
        <v>473</v>
      </c>
      <c r="G248" s="145" t="s">
        <v>106</v>
      </c>
    </row>
    <row r="249" spans="1:7" ht="14.25" customHeight="1" x14ac:dyDescent="0.25">
      <c r="A249" s="125"/>
      <c r="B249" s="125"/>
      <c r="C249" s="144">
        <v>60700010</v>
      </c>
      <c r="D249" s="125" t="s">
        <v>115</v>
      </c>
      <c r="E249" s="125" t="s">
        <v>1963</v>
      </c>
      <c r="F249" s="129" t="s">
        <v>115</v>
      </c>
      <c r="G249" s="145" t="s">
        <v>106</v>
      </c>
    </row>
    <row r="250" spans="1:7" x14ac:dyDescent="0.25">
      <c r="C250" s="144">
        <v>60800010</v>
      </c>
      <c r="D250" s="125" t="s">
        <v>117</v>
      </c>
      <c r="E250" s="125" t="s">
        <v>1367</v>
      </c>
      <c r="F250" s="129" t="s">
        <v>493</v>
      </c>
      <c r="G250" s="145" t="s">
        <v>1041</v>
      </c>
    </row>
    <row r="251" spans="1:7" x14ac:dyDescent="0.25">
      <c r="C251" s="144">
        <v>60800020</v>
      </c>
      <c r="D251" s="125" t="s">
        <v>119</v>
      </c>
      <c r="E251" s="125" t="s">
        <v>1368</v>
      </c>
      <c r="F251" s="129" t="s">
        <v>493</v>
      </c>
      <c r="G251" s="145" t="s">
        <v>1041</v>
      </c>
    </row>
    <row r="252" spans="1:7" x14ac:dyDescent="0.25">
      <c r="C252" s="144">
        <v>60800030</v>
      </c>
      <c r="D252" s="125" t="s">
        <v>122</v>
      </c>
      <c r="E252" s="125" t="s">
        <v>1369</v>
      </c>
      <c r="F252" s="129" t="s">
        <v>493</v>
      </c>
      <c r="G252" s="145" t="s">
        <v>1041</v>
      </c>
    </row>
    <row r="253" spans="1:7" x14ac:dyDescent="0.25">
      <c r="C253" s="144">
        <v>60800040</v>
      </c>
      <c r="D253" s="125" t="s">
        <v>124</v>
      </c>
      <c r="E253" s="125" t="s">
        <v>1370</v>
      </c>
      <c r="F253" s="129" t="s">
        <v>493</v>
      </c>
      <c r="G253" s="145" t="s">
        <v>1041</v>
      </c>
    </row>
    <row r="254" spans="1:7" x14ac:dyDescent="0.25">
      <c r="C254" s="144">
        <v>60800050</v>
      </c>
      <c r="D254" s="125" t="s">
        <v>126</v>
      </c>
      <c r="E254" s="125" t="s">
        <v>1371</v>
      </c>
      <c r="F254" s="129" t="s">
        <v>493</v>
      </c>
      <c r="G254" s="145" t="s">
        <v>1041</v>
      </c>
    </row>
    <row r="255" spans="1:7" x14ac:dyDescent="0.25">
      <c r="C255" s="144">
        <v>60800060</v>
      </c>
      <c r="D255" s="125" t="s">
        <v>128</v>
      </c>
      <c r="E255" s="125" t="s">
        <v>1303</v>
      </c>
      <c r="F255" s="129" t="s">
        <v>493</v>
      </c>
      <c r="G255" s="145" t="s">
        <v>1041</v>
      </c>
    </row>
    <row r="256" spans="1:7" x14ac:dyDescent="0.25">
      <c r="C256" s="144">
        <v>60800070</v>
      </c>
      <c r="D256" s="125" t="s">
        <v>131</v>
      </c>
      <c r="E256" s="125" t="s">
        <v>1304</v>
      </c>
      <c r="F256" s="129" t="s">
        <v>493</v>
      </c>
      <c r="G256" s="145" t="s">
        <v>1041</v>
      </c>
    </row>
    <row r="257" spans="3:7" x14ac:dyDescent="0.25">
      <c r="C257" s="144">
        <v>60800080</v>
      </c>
      <c r="D257" s="125" t="s">
        <v>133</v>
      </c>
      <c r="E257" s="125" t="s">
        <v>1372</v>
      </c>
      <c r="F257" s="129" t="s">
        <v>493</v>
      </c>
      <c r="G257" s="145" t="s">
        <v>1041</v>
      </c>
    </row>
    <row r="258" spans="3:7" x14ac:dyDescent="0.25">
      <c r="C258" s="144">
        <v>61100010</v>
      </c>
      <c r="D258" s="125" t="s">
        <v>433</v>
      </c>
      <c r="E258" s="125" t="s">
        <v>1305</v>
      </c>
      <c r="F258" s="129" t="s">
        <v>475</v>
      </c>
      <c r="G258" s="145" t="s">
        <v>1138</v>
      </c>
    </row>
    <row r="259" spans="3:7" x14ac:dyDescent="0.25">
      <c r="C259" s="144">
        <v>61200010</v>
      </c>
      <c r="D259" s="125" t="s">
        <v>434</v>
      </c>
      <c r="E259" s="125" t="s">
        <v>1373</v>
      </c>
      <c r="F259" s="129" t="s">
        <v>476</v>
      </c>
      <c r="G259" s="145" t="s">
        <v>1140</v>
      </c>
    </row>
    <row r="260" spans="3:7" x14ac:dyDescent="0.25">
      <c r="C260" s="144">
        <v>61200020</v>
      </c>
      <c r="D260" s="125" t="s">
        <v>435</v>
      </c>
      <c r="E260" s="125" t="s">
        <v>1374</v>
      </c>
      <c r="F260" s="129" t="s">
        <v>476</v>
      </c>
      <c r="G260" s="145" t="s">
        <v>1140</v>
      </c>
    </row>
    <row r="261" spans="3:7" x14ac:dyDescent="0.25">
      <c r="C261" s="144">
        <v>61200030</v>
      </c>
      <c r="D261" s="125" t="s">
        <v>436</v>
      </c>
      <c r="E261" s="125" t="s">
        <v>1375</v>
      </c>
      <c r="F261" s="129" t="s">
        <v>476</v>
      </c>
      <c r="G261" s="145" t="s">
        <v>1140</v>
      </c>
    </row>
    <row r="262" spans="3:7" x14ac:dyDescent="0.25">
      <c r="C262" s="144">
        <v>61200040</v>
      </c>
      <c r="D262" s="125" t="s">
        <v>437</v>
      </c>
      <c r="E262" s="125" t="s">
        <v>1376</v>
      </c>
      <c r="F262" s="129" t="s">
        <v>476</v>
      </c>
      <c r="G262" s="145" t="s">
        <v>1140</v>
      </c>
    </row>
    <row r="263" spans="3:7" x14ac:dyDescent="0.25">
      <c r="C263" s="144">
        <v>61200050</v>
      </c>
      <c r="D263" s="125" t="s">
        <v>438</v>
      </c>
      <c r="E263" s="125" t="s">
        <v>1377</v>
      </c>
      <c r="F263" s="129" t="s">
        <v>476</v>
      </c>
      <c r="G263" s="145" t="s">
        <v>1140</v>
      </c>
    </row>
    <row r="264" spans="3:7" x14ac:dyDescent="0.25">
      <c r="C264" s="144">
        <v>61200060</v>
      </c>
      <c r="D264" s="125" t="s">
        <v>439</v>
      </c>
      <c r="E264" s="125" t="s">
        <v>1378</v>
      </c>
      <c r="F264" s="129" t="s">
        <v>476</v>
      </c>
      <c r="G264" s="145" t="s">
        <v>1140</v>
      </c>
    </row>
    <row r="265" spans="3:7" x14ac:dyDescent="0.25">
      <c r="C265" s="144">
        <v>61200070</v>
      </c>
      <c r="D265" s="125" t="s">
        <v>440</v>
      </c>
      <c r="E265" s="125" t="s">
        <v>1379</v>
      </c>
      <c r="F265" s="129" t="s">
        <v>476</v>
      </c>
      <c r="G265" s="145" t="s">
        <v>1140</v>
      </c>
    </row>
    <row r="266" spans="3:7" x14ac:dyDescent="0.25">
      <c r="C266" s="144">
        <v>61200080</v>
      </c>
      <c r="D266" s="125" t="s">
        <v>441</v>
      </c>
      <c r="E266" s="125" t="s">
        <v>1380</v>
      </c>
      <c r="F266" s="129" t="s">
        <v>476</v>
      </c>
      <c r="G266" s="145" t="s">
        <v>1140</v>
      </c>
    </row>
    <row r="267" spans="3:7" x14ac:dyDescent="0.25">
      <c r="C267" s="144">
        <v>61200090</v>
      </c>
      <c r="D267" s="125" t="s">
        <v>442</v>
      </c>
      <c r="E267" s="125" t="s">
        <v>1381</v>
      </c>
      <c r="F267" s="129" t="s">
        <v>476</v>
      </c>
      <c r="G267" s="145" t="s">
        <v>1140</v>
      </c>
    </row>
    <row r="268" spans="3:7" x14ac:dyDescent="0.25">
      <c r="C268" s="144">
        <v>61300010</v>
      </c>
      <c r="D268" s="125" t="s">
        <v>443</v>
      </c>
      <c r="E268" s="125" t="s">
        <v>1382</v>
      </c>
      <c r="F268" s="129" t="s">
        <v>477</v>
      </c>
      <c r="G268" s="145" t="s">
        <v>1140</v>
      </c>
    </row>
    <row r="269" spans="3:7" x14ac:dyDescent="0.25">
      <c r="C269" s="144">
        <v>61300020</v>
      </c>
      <c r="D269" s="125" t="s">
        <v>444</v>
      </c>
      <c r="E269" s="125" t="s">
        <v>1383</v>
      </c>
      <c r="F269" s="129" t="s">
        <v>477</v>
      </c>
      <c r="G269" s="145" t="s">
        <v>1140</v>
      </c>
    </row>
    <row r="270" spans="3:7" x14ac:dyDescent="0.25">
      <c r="C270" s="144">
        <v>61300030</v>
      </c>
      <c r="D270" s="125" t="s">
        <v>445</v>
      </c>
      <c r="E270" s="125" t="s">
        <v>1384</v>
      </c>
      <c r="F270" s="129" t="s">
        <v>477</v>
      </c>
      <c r="G270" s="145" t="s">
        <v>1140</v>
      </c>
    </row>
    <row r="271" spans="3:7" x14ac:dyDescent="0.25">
      <c r="C271" s="144">
        <v>61300040</v>
      </c>
      <c r="D271" s="125" t="s">
        <v>446</v>
      </c>
      <c r="E271" s="125" t="s">
        <v>1385</v>
      </c>
      <c r="F271" s="129" t="s">
        <v>477</v>
      </c>
      <c r="G271" s="145" t="s">
        <v>1140</v>
      </c>
    </row>
    <row r="272" spans="3:7" x14ac:dyDescent="0.25">
      <c r="C272" s="144">
        <v>61300050</v>
      </c>
      <c r="D272" s="125" t="s">
        <v>447</v>
      </c>
      <c r="E272" s="125" t="s">
        <v>1386</v>
      </c>
      <c r="F272" s="129" t="s">
        <v>477</v>
      </c>
      <c r="G272" s="145" t="s">
        <v>1140</v>
      </c>
    </row>
    <row r="273" spans="3:7" x14ac:dyDescent="0.25">
      <c r="C273" s="144">
        <v>61300060</v>
      </c>
      <c r="D273" s="125" t="s">
        <v>448</v>
      </c>
      <c r="E273" s="125" t="s">
        <v>1387</v>
      </c>
      <c r="F273" s="129" t="s">
        <v>477</v>
      </c>
      <c r="G273" s="145" t="s">
        <v>1140</v>
      </c>
    </row>
    <row r="274" spans="3:7" x14ac:dyDescent="0.25">
      <c r="C274" s="144">
        <v>61300070</v>
      </c>
      <c r="D274" s="125" t="s">
        <v>449</v>
      </c>
      <c r="E274" s="125" t="s">
        <v>1388</v>
      </c>
      <c r="F274" s="129" t="s">
        <v>477</v>
      </c>
      <c r="G274" s="145" t="s">
        <v>1140</v>
      </c>
    </row>
    <row r="275" spans="3:7" x14ac:dyDescent="0.25">
      <c r="C275" s="144">
        <v>61300080</v>
      </c>
      <c r="D275" s="125" t="s">
        <v>450</v>
      </c>
      <c r="E275" s="125" t="s">
        <v>1389</v>
      </c>
      <c r="F275" s="129" t="s">
        <v>477</v>
      </c>
      <c r="G275" s="145" t="s">
        <v>1140</v>
      </c>
    </row>
    <row r="276" spans="3:7" ht="30" x14ac:dyDescent="0.25">
      <c r="C276" s="144">
        <v>61300090</v>
      </c>
      <c r="D276" s="125" t="s">
        <v>451</v>
      </c>
      <c r="E276" s="125" t="s">
        <v>1390</v>
      </c>
      <c r="F276" s="129" t="s">
        <v>477</v>
      </c>
      <c r="G276" s="145" t="s">
        <v>1140</v>
      </c>
    </row>
    <row r="277" spans="3:7" x14ac:dyDescent="0.25">
      <c r="C277" s="144">
        <v>61400010</v>
      </c>
      <c r="D277" s="125" t="s">
        <v>135</v>
      </c>
      <c r="E277" s="125" t="s">
        <v>1391</v>
      </c>
      <c r="F277" s="129" t="s">
        <v>478</v>
      </c>
      <c r="G277" s="145" t="s">
        <v>1159</v>
      </c>
    </row>
    <row r="278" spans="3:7" x14ac:dyDescent="0.25">
      <c r="C278" s="144">
        <v>61400020</v>
      </c>
      <c r="D278" s="125" t="s">
        <v>452</v>
      </c>
      <c r="E278" s="125" t="s">
        <v>1392</v>
      </c>
      <c r="F278" s="129" t="s">
        <v>478</v>
      </c>
      <c r="G278" s="145" t="s">
        <v>1159</v>
      </c>
    </row>
    <row r="279" spans="3:7" x14ac:dyDescent="0.25">
      <c r="C279" s="144">
        <v>61400030</v>
      </c>
      <c r="D279" s="125" t="s">
        <v>453</v>
      </c>
      <c r="E279" s="125" t="s">
        <v>1393</v>
      </c>
      <c r="F279" s="129" t="s">
        <v>478</v>
      </c>
      <c r="G279" s="145" t="s">
        <v>1159</v>
      </c>
    </row>
    <row r="280" spans="3:7" x14ac:dyDescent="0.25">
      <c r="C280" s="144">
        <v>61500010</v>
      </c>
      <c r="D280" s="125" t="s">
        <v>141</v>
      </c>
      <c r="E280" s="125" t="s">
        <v>1311</v>
      </c>
      <c r="F280" s="129" t="s">
        <v>479</v>
      </c>
      <c r="G280" s="145" t="s">
        <v>1041</v>
      </c>
    </row>
    <row r="281" spans="3:7" x14ac:dyDescent="0.25">
      <c r="C281" s="144">
        <v>61500020</v>
      </c>
      <c r="D281" s="125" t="s">
        <v>143</v>
      </c>
      <c r="E281" s="125" t="s">
        <v>1311</v>
      </c>
      <c r="F281" s="129" t="s">
        <v>479</v>
      </c>
      <c r="G281" s="145" t="s">
        <v>50</v>
      </c>
    </row>
    <row r="282" spans="3:7" ht="30" x14ac:dyDescent="0.25">
      <c r="C282" s="144">
        <v>61600010</v>
      </c>
      <c r="D282" s="125" t="s">
        <v>1162</v>
      </c>
      <c r="E282" s="125" t="s">
        <v>1394</v>
      </c>
      <c r="F282" s="129" t="s">
        <v>480</v>
      </c>
      <c r="G282" s="145" t="s">
        <v>106</v>
      </c>
    </row>
    <row r="283" spans="3:7" x14ac:dyDescent="0.25">
      <c r="C283" s="144">
        <v>61600030</v>
      </c>
      <c r="D283" s="125" t="s">
        <v>150</v>
      </c>
      <c r="E283" s="125" t="s">
        <v>1395</v>
      </c>
      <c r="F283" s="129" t="s">
        <v>480</v>
      </c>
      <c r="G283" s="145" t="s">
        <v>106</v>
      </c>
    </row>
    <row r="284" spans="3:7" ht="45" x14ac:dyDescent="0.25">
      <c r="C284" s="144">
        <v>61600040</v>
      </c>
      <c r="D284" s="125" t="s">
        <v>151</v>
      </c>
      <c r="E284" s="125" t="s">
        <v>1396</v>
      </c>
      <c r="F284" s="129" t="s">
        <v>480</v>
      </c>
      <c r="G284" s="145" t="s">
        <v>176</v>
      </c>
    </row>
    <row r="285" spans="3:7" ht="31.5" customHeight="1" x14ac:dyDescent="0.25">
      <c r="C285" s="144">
        <v>61600050</v>
      </c>
      <c r="D285" s="125" t="s">
        <v>1166</v>
      </c>
      <c r="E285" s="125" t="s">
        <v>1397</v>
      </c>
      <c r="F285" s="129" t="s">
        <v>480</v>
      </c>
      <c r="G285" s="145" t="s">
        <v>176</v>
      </c>
    </row>
    <row r="286" spans="3:7" ht="30" x14ac:dyDescent="0.25">
      <c r="C286" s="144">
        <v>61600060</v>
      </c>
      <c r="D286" s="125" t="s">
        <v>1168</v>
      </c>
      <c r="E286" s="125" t="s">
        <v>1398</v>
      </c>
      <c r="F286" s="129" t="s">
        <v>480</v>
      </c>
      <c r="G286" s="145" t="s">
        <v>50</v>
      </c>
    </row>
    <row r="287" spans="3:7" ht="30" x14ac:dyDescent="0.25">
      <c r="C287" s="144">
        <v>61600070</v>
      </c>
      <c r="D287" s="125" t="s">
        <v>152</v>
      </c>
      <c r="E287" s="125" t="s">
        <v>1964</v>
      </c>
      <c r="F287" s="129" t="s">
        <v>480</v>
      </c>
      <c r="G287" s="145" t="s">
        <v>1041</v>
      </c>
    </row>
    <row r="288" spans="3:7" x14ac:dyDescent="0.25">
      <c r="C288" s="144">
        <v>61700010</v>
      </c>
      <c r="D288" s="125" t="s">
        <v>153</v>
      </c>
      <c r="E288" s="125" t="s">
        <v>1318</v>
      </c>
      <c r="F288" s="129" t="s">
        <v>481</v>
      </c>
      <c r="G288" s="145" t="s">
        <v>1170</v>
      </c>
    </row>
    <row r="289" spans="3:7" x14ac:dyDescent="0.25">
      <c r="C289" s="144">
        <v>61700030</v>
      </c>
      <c r="D289" s="125" t="s">
        <v>155</v>
      </c>
      <c r="E289" s="125" t="s">
        <v>1319</v>
      </c>
      <c r="F289" s="129" t="s">
        <v>481</v>
      </c>
      <c r="G289" s="145" t="s">
        <v>106</v>
      </c>
    </row>
    <row r="290" spans="3:7" x14ac:dyDescent="0.25">
      <c r="C290" s="144">
        <v>61700040</v>
      </c>
      <c r="D290" s="125" t="s">
        <v>157</v>
      </c>
      <c r="E290" s="125" t="s">
        <v>1320</v>
      </c>
      <c r="F290" s="129" t="s">
        <v>481</v>
      </c>
      <c r="G290" s="145" t="s">
        <v>106</v>
      </c>
    </row>
    <row r="291" spans="3:7" x14ac:dyDescent="0.25">
      <c r="C291" s="144">
        <v>61700050</v>
      </c>
      <c r="D291" s="125" t="s">
        <v>159</v>
      </c>
      <c r="E291" s="125" t="s">
        <v>1321</v>
      </c>
      <c r="F291" s="129" t="s">
        <v>481</v>
      </c>
      <c r="G291" s="145" t="s">
        <v>106</v>
      </c>
    </row>
    <row r="292" spans="3:7" x14ac:dyDescent="0.25">
      <c r="C292" s="144">
        <v>61700060</v>
      </c>
      <c r="D292" s="125" t="s">
        <v>1171</v>
      </c>
      <c r="E292" s="125" t="s">
        <v>1322</v>
      </c>
      <c r="F292" s="129" t="s">
        <v>481</v>
      </c>
      <c r="G292" s="145" t="s">
        <v>106</v>
      </c>
    </row>
    <row r="293" spans="3:7" x14ac:dyDescent="0.25">
      <c r="C293" s="144">
        <v>61700070</v>
      </c>
      <c r="D293" s="125" t="s">
        <v>163</v>
      </c>
      <c r="E293" s="125" t="s">
        <v>1323</v>
      </c>
      <c r="F293" s="129" t="s">
        <v>481</v>
      </c>
      <c r="G293" s="145" t="s">
        <v>1041</v>
      </c>
    </row>
    <row r="294" spans="3:7" x14ac:dyDescent="0.25">
      <c r="C294" s="144">
        <v>61800010</v>
      </c>
      <c r="D294" s="125" t="s">
        <v>165</v>
      </c>
      <c r="E294" s="125" t="s">
        <v>1324</v>
      </c>
      <c r="F294" s="129" t="s">
        <v>494</v>
      </c>
      <c r="G294" s="145" t="s">
        <v>1041</v>
      </c>
    </row>
    <row r="295" spans="3:7" x14ac:dyDescent="0.25">
      <c r="C295" s="144">
        <v>61800020</v>
      </c>
      <c r="D295" s="144" t="s">
        <v>168</v>
      </c>
      <c r="E295" s="144" t="s">
        <v>1399</v>
      </c>
      <c r="F295" s="144" t="s">
        <v>494</v>
      </c>
      <c r="G295" s="145" t="s">
        <v>1041</v>
      </c>
    </row>
    <row r="296" spans="3:7" x14ac:dyDescent="0.25">
      <c r="C296" s="144">
        <v>61800030</v>
      </c>
      <c r="D296" s="144" t="s">
        <v>170</v>
      </c>
      <c r="E296" s="144" t="s">
        <v>1326</v>
      </c>
      <c r="F296" s="144" t="s">
        <v>494</v>
      </c>
      <c r="G296" s="145" t="s">
        <v>1041</v>
      </c>
    </row>
    <row r="297" spans="3:7" x14ac:dyDescent="0.25">
      <c r="C297" s="144">
        <v>61800090</v>
      </c>
      <c r="D297" s="144" t="s">
        <v>172</v>
      </c>
      <c r="E297" s="144" t="s">
        <v>1400</v>
      </c>
      <c r="F297" s="144" t="s">
        <v>494</v>
      </c>
      <c r="G297" s="145" t="s">
        <v>1041</v>
      </c>
    </row>
    <row r="298" spans="3:7" x14ac:dyDescent="0.25">
      <c r="C298" s="144">
        <v>61900010</v>
      </c>
      <c r="D298" s="144" t="s">
        <v>174</v>
      </c>
      <c r="E298" s="144" t="s">
        <v>1401</v>
      </c>
      <c r="F298" s="144" t="s">
        <v>345</v>
      </c>
      <c r="G298" s="145" t="s">
        <v>1041</v>
      </c>
    </row>
    <row r="299" spans="3:7" x14ac:dyDescent="0.25">
      <c r="C299" s="144">
        <v>61900020</v>
      </c>
      <c r="D299" s="144" t="s">
        <v>177</v>
      </c>
      <c r="E299" s="144" t="s">
        <v>1402</v>
      </c>
      <c r="F299" s="144" t="s">
        <v>345</v>
      </c>
      <c r="G299" s="145" t="s">
        <v>1041</v>
      </c>
    </row>
    <row r="300" spans="3:7" x14ac:dyDescent="0.25">
      <c r="C300" s="144">
        <v>61900030</v>
      </c>
      <c r="D300" s="144" t="s">
        <v>180</v>
      </c>
      <c r="E300" s="144" t="s">
        <v>1403</v>
      </c>
      <c r="F300" s="144" t="s">
        <v>345</v>
      </c>
      <c r="G300" s="145" t="s">
        <v>1041</v>
      </c>
    </row>
    <row r="301" spans="3:7" x14ac:dyDescent="0.25">
      <c r="C301" s="144">
        <v>61900040</v>
      </c>
      <c r="D301" s="144" t="s">
        <v>182</v>
      </c>
      <c r="E301" s="144" t="s">
        <v>1404</v>
      </c>
      <c r="F301" s="144" t="s">
        <v>345</v>
      </c>
      <c r="G301" s="145" t="s">
        <v>1041</v>
      </c>
    </row>
    <row r="302" spans="3:7" x14ac:dyDescent="0.25">
      <c r="C302" s="144">
        <v>61900090</v>
      </c>
      <c r="D302" s="144" t="s">
        <v>184</v>
      </c>
      <c r="E302" s="144" t="s">
        <v>1405</v>
      </c>
      <c r="F302" s="144" t="s">
        <v>345</v>
      </c>
      <c r="G302" s="145" t="s">
        <v>1041</v>
      </c>
    </row>
    <row r="303" spans="3:7" x14ac:dyDescent="0.25">
      <c r="C303" s="144">
        <v>62000010</v>
      </c>
      <c r="D303" s="144" t="s">
        <v>186</v>
      </c>
      <c r="E303" s="144" t="s">
        <v>1406</v>
      </c>
      <c r="F303" s="144" t="s">
        <v>483</v>
      </c>
      <c r="G303" s="144" t="s">
        <v>236</v>
      </c>
    </row>
    <row r="304" spans="3:7" x14ac:dyDescent="0.25">
      <c r="C304" s="144">
        <v>62000020</v>
      </c>
      <c r="D304" s="144" t="s">
        <v>189</v>
      </c>
      <c r="E304" s="144" t="s">
        <v>1407</v>
      </c>
      <c r="F304" s="144" t="s">
        <v>483</v>
      </c>
      <c r="G304" s="144" t="s">
        <v>327</v>
      </c>
    </row>
    <row r="305" spans="3:7" x14ac:dyDescent="0.25">
      <c r="C305" s="144">
        <v>62000040</v>
      </c>
      <c r="D305" s="144" t="s">
        <v>192</v>
      </c>
      <c r="E305" s="144" t="s">
        <v>1408</v>
      </c>
      <c r="F305" s="144" t="s">
        <v>483</v>
      </c>
      <c r="G305" s="145" t="s">
        <v>1041</v>
      </c>
    </row>
    <row r="306" spans="3:7" x14ac:dyDescent="0.25">
      <c r="C306" s="144">
        <v>62100010</v>
      </c>
      <c r="D306" s="144" t="s">
        <v>195</v>
      </c>
      <c r="E306" s="144" t="s">
        <v>1409</v>
      </c>
      <c r="F306" s="144" t="s">
        <v>484</v>
      </c>
      <c r="G306" s="144" t="s">
        <v>176</v>
      </c>
    </row>
    <row r="307" spans="3:7" x14ac:dyDescent="0.25">
      <c r="C307" s="144">
        <v>62100020</v>
      </c>
      <c r="D307" s="144" t="s">
        <v>198</v>
      </c>
      <c r="E307" s="144" t="s">
        <v>1410</v>
      </c>
      <c r="F307" s="144" t="s">
        <v>484</v>
      </c>
      <c r="G307" s="144" t="s">
        <v>176</v>
      </c>
    </row>
    <row r="308" spans="3:7" x14ac:dyDescent="0.25">
      <c r="C308" s="144">
        <v>62100030</v>
      </c>
      <c r="D308" s="144" t="s">
        <v>200</v>
      </c>
      <c r="E308" s="144" t="s">
        <v>1411</v>
      </c>
      <c r="F308" s="144" t="s">
        <v>484</v>
      </c>
      <c r="G308" s="144" t="s">
        <v>176</v>
      </c>
    </row>
    <row r="309" spans="3:7" x14ac:dyDescent="0.25">
      <c r="C309" s="144">
        <v>62100040</v>
      </c>
      <c r="D309" s="144" t="s">
        <v>202</v>
      </c>
      <c r="E309" s="144" t="s">
        <v>1412</v>
      </c>
      <c r="F309" s="144" t="s">
        <v>484</v>
      </c>
      <c r="G309" s="144" t="s">
        <v>176</v>
      </c>
    </row>
    <row r="310" spans="3:7" x14ac:dyDescent="0.25">
      <c r="C310" s="144">
        <v>62100050</v>
      </c>
      <c r="D310" s="144" t="s">
        <v>456</v>
      </c>
      <c r="E310" s="144" t="s">
        <v>1413</v>
      </c>
      <c r="F310" s="144" t="s">
        <v>484</v>
      </c>
      <c r="G310" s="144" t="s">
        <v>176</v>
      </c>
    </row>
    <row r="311" spans="3:7" x14ac:dyDescent="0.25">
      <c r="C311" s="144">
        <v>62200010</v>
      </c>
      <c r="D311" s="144" t="s">
        <v>206</v>
      </c>
      <c r="E311" s="144" t="s">
        <v>1414</v>
      </c>
      <c r="F311" s="144" t="s">
        <v>485</v>
      </c>
      <c r="G311" s="145" t="s">
        <v>1041</v>
      </c>
    </row>
    <row r="312" spans="3:7" ht="30" x14ac:dyDescent="0.25">
      <c r="C312" s="144">
        <v>62200020</v>
      </c>
      <c r="D312" s="144" t="s">
        <v>208</v>
      </c>
      <c r="E312" s="144" t="s">
        <v>1415</v>
      </c>
      <c r="F312" s="144" t="s">
        <v>485</v>
      </c>
      <c r="G312" s="145" t="s">
        <v>1041</v>
      </c>
    </row>
    <row r="313" spans="3:7" x14ac:dyDescent="0.25">
      <c r="C313" s="144">
        <v>62300010</v>
      </c>
      <c r="D313" s="144" t="s">
        <v>210</v>
      </c>
      <c r="E313" s="144" t="s">
        <v>1416</v>
      </c>
      <c r="F313" s="144" t="s">
        <v>486</v>
      </c>
      <c r="G313" s="145" t="s">
        <v>1041</v>
      </c>
    </row>
    <row r="314" spans="3:7" ht="30" x14ac:dyDescent="0.25">
      <c r="C314" s="144">
        <v>62300020</v>
      </c>
      <c r="D314" s="144" t="s">
        <v>212</v>
      </c>
      <c r="E314" s="144" t="s">
        <v>1417</v>
      </c>
      <c r="F314" s="144" t="s">
        <v>486</v>
      </c>
      <c r="G314" s="145" t="s">
        <v>1041</v>
      </c>
    </row>
    <row r="315" spans="3:7" ht="30" x14ac:dyDescent="0.25">
      <c r="C315" s="144">
        <v>62400030</v>
      </c>
      <c r="D315" s="144" t="s">
        <v>214</v>
      </c>
      <c r="E315" s="144" t="s">
        <v>1418</v>
      </c>
      <c r="F315" s="144" t="s">
        <v>487</v>
      </c>
      <c r="G315" s="145" t="s">
        <v>1041</v>
      </c>
    </row>
    <row r="316" spans="3:7" ht="30" x14ac:dyDescent="0.25">
      <c r="C316" s="144">
        <v>62400040</v>
      </c>
      <c r="D316" s="144" t="s">
        <v>216</v>
      </c>
      <c r="E316" s="144" t="s">
        <v>1419</v>
      </c>
      <c r="F316" s="144" t="s">
        <v>487</v>
      </c>
      <c r="G316" s="145" t="s">
        <v>1041</v>
      </c>
    </row>
    <row r="317" spans="3:7" x14ac:dyDescent="0.25">
      <c r="C317" s="144">
        <v>62400060</v>
      </c>
      <c r="D317" s="144" t="s">
        <v>457</v>
      </c>
      <c r="E317" s="144" t="s">
        <v>1420</v>
      </c>
      <c r="F317" s="144" t="s">
        <v>487</v>
      </c>
      <c r="G317" s="144" t="s">
        <v>236</v>
      </c>
    </row>
    <row r="318" spans="3:7" x14ac:dyDescent="0.25">
      <c r="C318" s="144">
        <v>62500010</v>
      </c>
      <c r="D318" s="144" t="s">
        <v>218</v>
      </c>
      <c r="E318" s="144" t="s">
        <v>1421</v>
      </c>
      <c r="F318" s="144" t="s">
        <v>218</v>
      </c>
      <c r="G318" s="144" t="s">
        <v>22</v>
      </c>
    </row>
    <row r="319" spans="3:7" ht="30" x14ac:dyDescent="0.25">
      <c r="C319" s="144">
        <v>62600010</v>
      </c>
      <c r="D319" s="144" t="s">
        <v>221</v>
      </c>
      <c r="E319" s="144" t="s">
        <v>1422</v>
      </c>
      <c r="F319" s="144" t="s">
        <v>488</v>
      </c>
      <c r="G319" s="145" t="s">
        <v>1041</v>
      </c>
    </row>
    <row r="320" spans="3:7" x14ac:dyDescent="0.25">
      <c r="C320" s="144">
        <v>62600020</v>
      </c>
      <c r="D320" s="144" t="s">
        <v>223</v>
      </c>
      <c r="E320" s="144" t="s">
        <v>1423</v>
      </c>
      <c r="F320" s="144" t="s">
        <v>488</v>
      </c>
      <c r="G320" s="145" t="s">
        <v>1041</v>
      </c>
    </row>
    <row r="321" spans="1:7" ht="30" x14ac:dyDescent="0.25">
      <c r="C321" s="144">
        <v>62600030</v>
      </c>
      <c r="D321" s="144" t="s">
        <v>226</v>
      </c>
      <c r="E321" s="144" t="s">
        <v>1424</v>
      </c>
      <c r="F321" s="144" t="s">
        <v>488</v>
      </c>
      <c r="G321" s="145" t="s">
        <v>1041</v>
      </c>
    </row>
    <row r="322" spans="1:7" x14ac:dyDescent="0.25">
      <c r="C322" s="144">
        <v>62700010</v>
      </c>
      <c r="D322" s="144" t="s">
        <v>458</v>
      </c>
      <c r="E322" s="144" t="s">
        <v>1425</v>
      </c>
      <c r="F322" s="144" t="s">
        <v>458</v>
      </c>
      <c r="G322" s="144" t="s">
        <v>236</v>
      </c>
    </row>
    <row r="323" spans="1:7" x14ac:dyDescent="0.25">
      <c r="C323" s="144">
        <v>62800010</v>
      </c>
      <c r="D323" s="144" t="s">
        <v>459</v>
      </c>
      <c r="E323" s="144" t="s">
        <v>1426</v>
      </c>
      <c r="F323" s="144" t="s">
        <v>459</v>
      </c>
      <c r="G323" s="144" t="s">
        <v>238</v>
      </c>
    </row>
    <row r="324" spans="1:7" x14ac:dyDescent="0.25">
      <c r="C324" s="144">
        <v>62900010</v>
      </c>
      <c r="D324" s="144" t="s">
        <v>228</v>
      </c>
      <c r="E324" s="144" t="s">
        <v>841</v>
      </c>
      <c r="F324" s="144" t="s">
        <v>489</v>
      </c>
      <c r="G324" s="145" t="s">
        <v>1041</v>
      </c>
    </row>
    <row r="325" spans="1:7" x14ac:dyDescent="0.25">
      <c r="C325" s="144">
        <v>62900020</v>
      </c>
      <c r="D325" s="144" t="s">
        <v>230</v>
      </c>
      <c r="E325" s="144" t="s">
        <v>1427</v>
      </c>
      <c r="F325" s="144" t="s">
        <v>489</v>
      </c>
      <c r="G325" s="145" t="s">
        <v>1041</v>
      </c>
    </row>
    <row r="326" spans="1:7" x14ac:dyDescent="0.25">
      <c r="C326" s="144">
        <v>63300010</v>
      </c>
      <c r="D326" s="144" t="s">
        <v>1185</v>
      </c>
      <c r="E326" s="144" t="s">
        <v>1428</v>
      </c>
      <c r="F326" s="144" t="s">
        <v>345</v>
      </c>
      <c r="G326" s="144"/>
    </row>
    <row r="327" spans="1:7" x14ac:dyDescent="0.25">
      <c r="C327" s="362">
        <v>63900010</v>
      </c>
      <c r="D327" s="134" t="s">
        <v>232</v>
      </c>
      <c r="E327" s="135" t="s">
        <v>1931</v>
      </c>
      <c r="F327" s="135" t="s">
        <v>497</v>
      </c>
      <c r="G327" s="135" t="s">
        <v>1041</v>
      </c>
    </row>
    <row r="330" spans="1:7" s="330" customFormat="1" ht="15.75" x14ac:dyDescent="0.25">
      <c r="A330" s="143"/>
      <c r="B330" s="143"/>
      <c r="C330" s="329" t="s">
        <v>724</v>
      </c>
      <c r="D330" s="321" t="s">
        <v>546</v>
      </c>
    </row>
    <row r="331" spans="1:7" outlineLevel="1" x14ac:dyDescent="0.25"/>
    <row r="332" spans="1:7" outlineLevel="1" x14ac:dyDescent="0.25">
      <c r="C332" s="75" t="s">
        <v>1265</v>
      </c>
    </row>
    <row r="333" spans="1:7" outlineLevel="1" x14ac:dyDescent="0.25"/>
    <row r="334" spans="1:7" outlineLevel="1" x14ac:dyDescent="0.25">
      <c r="B334" s="111" t="s">
        <v>1024</v>
      </c>
      <c r="C334" s="111" t="s">
        <v>840</v>
      </c>
    </row>
    <row r="335" spans="1:7" outlineLevel="1" x14ac:dyDescent="0.25">
      <c r="C335" s="75" t="s">
        <v>1266</v>
      </c>
    </row>
    <row r="336" spans="1:7" outlineLevel="1" x14ac:dyDescent="0.25"/>
    <row r="337" spans="2:5" outlineLevel="1" x14ac:dyDescent="0.25">
      <c r="B337" s="111" t="s">
        <v>1025</v>
      </c>
      <c r="C337" s="111" t="s">
        <v>873</v>
      </c>
    </row>
    <row r="338" spans="2:5" outlineLevel="1" x14ac:dyDescent="0.25">
      <c r="C338" s="75" t="s">
        <v>1267</v>
      </c>
    </row>
    <row r="339" spans="2:5" outlineLevel="1" x14ac:dyDescent="0.25">
      <c r="C339" s="75" t="s">
        <v>1268</v>
      </c>
    </row>
    <row r="340" spans="2:5" outlineLevel="1" x14ac:dyDescent="0.25"/>
    <row r="341" spans="2:5" s="111" customFormat="1" outlineLevel="1" x14ac:dyDescent="0.25">
      <c r="B341" s="111" t="s">
        <v>1026</v>
      </c>
      <c r="C341" s="111" t="s">
        <v>1269</v>
      </c>
    </row>
    <row r="342" spans="2:5" outlineLevel="1" x14ac:dyDescent="0.25">
      <c r="C342" s="75" t="s">
        <v>1270</v>
      </c>
    </row>
    <row r="343" spans="2:5" outlineLevel="1" x14ac:dyDescent="0.25">
      <c r="C343" s="75" t="s">
        <v>1268</v>
      </c>
    </row>
    <row r="344" spans="2:5" outlineLevel="1" x14ac:dyDescent="0.25"/>
    <row r="345" spans="2:5" ht="105" outlineLevel="1" x14ac:dyDescent="0.25">
      <c r="C345" s="141" t="s">
        <v>552</v>
      </c>
      <c r="D345" s="142" t="s">
        <v>1271</v>
      </c>
    </row>
    <row r="346" spans="2:5" ht="15.75" customHeight="1" outlineLevel="1" x14ac:dyDescent="0.25">
      <c r="C346" s="141" t="s">
        <v>465</v>
      </c>
      <c r="D346" s="142" t="s">
        <v>1272</v>
      </c>
    </row>
    <row r="347" spans="2:5" ht="30" outlineLevel="1" x14ac:dyDescent="0.25">
      <c r="C347" s="141" t="s">
        <v>46</v>
      </c>
      <c r="D347" s="142" t="s">
        <v>1965</v>
      </c>
      <c r="E347" s="332" t="s">
        <v>1520</v>
      </c>
    </row>
    <row r="348" spans="2:5" ht="45.75" customHeight="1" outlineLevel="1" x14ac:dyDescent="0.25">
      <c r="C348" s="141" t="s">
        <v>464</v>
      </c>
      <c r="D348" s="142" t="s">
        <v>1273</v>
      </c>
    </row>
    <row r="349" spans="2:5" ht="45" outlineLevel="1" x14ac:dyDescent="0.25">
      <c r="C349" s="141" t="s">
        <v>342</v>
      </c>
      <c r="D349" s="142" t="s">
        <v>1274</v>
      </c>
    </row>
  </sheetData>
  <sheetProtection formatRows="0"/>
  <hyperlinks>
    <hyperlink ref="D28" location="Cover!A1" display="Cover" xr:uid="{2BCC142E-2ADB-4E12-A94E-96FD2B5C67DA}"/>
    <hyperlink ref="D125" location="'Budget Opex Detail'!A1" display="Budget Opex Detail" xr:uid="{F9D01B70-F748-4BE2-98BE-F1155DB4640A}"/>
    <hyperlink ref="D330" location="'Activity Master Opex'!A1" display="Activity Master" xr:uid="{24AA52F4-A20E-461C-9BB6-7CAE13ACD87F}"/>
    <hyperlink ref="D77" location="'Budget Capex Detail'!A1" display="Budget Capex Detail" xr:uid="{D1A71E90-C510-4D64-9CA3-D67DB6C1FF63}"/>
    <hyperlink ref="C80" location="'Asset determination'!A1" display="'Asset determination" xr:uid="{DDD07CE3-0FB5-42EE-92D5-7487F4094AB9}"/>
    <hyperlink ref="E347" location="'Master Data'!A1" display="Master Data" xr:uid="{4CA3EC45-2BDA-4453-A05C-D0E0A9A31FA9}"/>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12563-404B-4A37-B2C8-2849FDAD9599}">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8.7109375" defaultRowHeight="15" outlineLevelRow="1" x14ac:dyDescent="0.25"/>
  <cols>
    <col min="1" max="1" width="5.28515625" style="160" customWidth="1"/>
    <col min="2" max="2" width="14.85546875" style="160" customWidth="1"/>
    <col min="3" max="3" width="10.7109375" style="160" bestFit="1" customWidth="1"/>
    <col min="4" max="16" width="8.7109375" style="160"/>
    <col min="17" max="17" width="29.42578125" style="160" bestFit="1" customWidth="1"/>
    <col min="18" max="18" width="40.5703125" style="160" bestFit="1" customWidth="1"/>
    <col min="19" max="19" width="10.7109375" style="160" bestFit="1" customWidth="1"/>
    <col min="20" max="16384" width="8.7109375" style="160"/>
  </cols>
  <sheetData>
    <row r="1" spans="2:4" outlineLevel="1" x14ac:dyDescent="0.25"/>
    <row r="2" spans="2:4" outlineLevel="1" x14ac:dyDescent="0.25">
      <c r="B2" s="172"/>
      <c r="C2" s="192"/>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193"/>
    </row>
    <row r="15" spans="2:4" x14ac:dyDescent="0.25">
      <c r="D15" s="160" t="s">
        <v>1430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77881-88B9-4A77-9692-3F0CD713ADCC}">
  <sheetPr codeName="Sheet6">
    <tabColor theme="5" tint="0.39997558519241921"/>
    <pageSetUpPr fitToPage="1"/>
  </sheetPr>
  <dimension ref="A1:O73"/>
  <sheetViews>
    <sheetView showGridLines="0" tabSelected="1" zoomScale="90" zoomScaleNormal="90" workbookViewId="0">
      <selection activeCell="F2" sqref="F2"/>
    </sheetView>
  </sheetViews>
  <sheetFormatPr defaultColWidth="8.7109375" defaultRowHeight="15" x14ac:dyDescent="0.25"/>
  <cols>
    <col min="1" max="1" width="4" style="160" customWidth="1"/>
    <col min="2" max="2" width="26.140625" style="160" customWidth="1"/>
    <col min="3" max="3" width="4.28515625" style="160" customWidth="1"/>
    <col min="4" max="4" width="13.7109375" style="160" customWidth="1"/>
    <col min="5" max="5" width="17.140625" style="160" customWidth="1"/>
    <col min="6" max="6" width="27.85546875" style="160" customWidth="1"/>
    <col min="7" max="7" width="3.28515625" style="160" customWidth="1"/>
    <col min="8" max="8" width="4.28515625" style="160" hidden="1" customWidth="1"/>
    <col min="9" max="9" width="11.7109375" style="160" customWidth="1"/>
    <col min="10" max="10" width="20.85546875" style="160" customWidth="1"/>
    <col min="11" max="11" width="24.42578125" style="160" customWidth="1"/>
    <col min="12" max="12" width="17.42578125" style="160" customWidth="1"/>
    <col min="13" max="15" width="18.5703125" style="160" customWidth="1"/>
    <col min="16" max="16384" width="8.7109375" style="160"/>
  </cols>
  <sheetData>
    <row r="1" spans="1:12" x14ac:dyDescent="0.25">
      <c r="A1" s="75"/>
      <c r="B1" s="75"/>
      <c r="C1" s="75"/>
      <c r="D1" s="75"/>
      <c r="E1" s="75"/>
      <c r="F1" s="75"/>
      <c r="G1" s="75"/>
      <c r="H1" s="75"/>
    </row>
    <row r="2" spans="1:12" ht="31.5" x14ac:dyDescent="0.5">
      <c r="A2" s="75"/>
      <c r="B2" s="75"/>
      <c r="C2" s="173" t="s">
        <v>241</v>
      </c>
      <c r="D2" s="76"/>
      <c r="E2" s="75"/>
      <c r="F2" s="75"/>
      <c r="G2" s="75"/>
      <c r="H2" s="75"/>
    </row>
    <row r="3" spans="1:12" x14ac:dyDescent="0.25">
      <c r="A3" s="75"/>
      <c r="B3" s="75"/>
      <c r="C3" s="75"/>
      <c r="D3" s="75"/>
      <c r="E3" s="75"/>
      <c r="F3" s="75"/>
      <c r="G3" s="75"/>
      <c r="H3" s="75"/>
    </row>
    <row r="4" spans="1:12" x14ac:dyDescent="0.25">
      <c r="A4" s="75"/>
      <c r="B4" s="75"/>
      <c r="C4" s="75"/>
      <c r="D4" s="75"/>
      <c r="E4" s="75"/>
      <c r="F4" s="75"/>
      <c r="G4" s="75"/>
      <c r="H4" s="75"/>
    </row>
    <row r="5" spans="1:12" x14ac:dyDescent="0.25">
      <c r="A5" s="75"/>
      <c r="B5" s="75"/>
      <c r="C5" s="75"/>
      <c r="D5" s="75"/>
      <c r="E5" s="75"/>
      <c r="F5" s="75"/>
      <c r="G5" s="75"/>
      <c r="H5" s="75"/>
    </row>
    <row r="6" spans="1:12" x14ac:dyDescent="0.25">
      <c r="A6" s="75"/>
      <c r="B6" s="111" t="s">
        <v>13</v>
      </c>
      <c r="C6" s="111" t="s">
        <v>242</v>
      </c>
      <c r="D6" s="390">
        <v>2026</v>
      </c>
      <c r="E6" s="390"/>
      <c r="F6" s="75"/>
      <c r="G6" s="75"/>
      <c r="H6" s="75"/>
    </row>
    <row r="7" spans="1:12" x14ac:dyDescent="0.25">
      <c r="A7" s="75"/>
      <c r="B7" s="111" t="s">
        <v>1491</v>
      </c>
      <c r="C7" s="111" t="s">
        <v>242</v>
      </c>
      <c r="D7" s="390" t="s">
        <v>18</v>
      </c>
      <c r="E7" s="390"/>
      <c r="F7" s="75"/>
      <c r="G7" s="75"/>
      <c r="H7" s="75"/>
    </row>
    <row r="8" spans="1:12" x14ac:dyDescent="0.25">
      <c r="A8" s="75"/>
      <c r="B8" s="111" t="s">
        <v>234</v>
      </c>
      <c r="C8" s="111" t="s">
        <v>242</v>
      </c>
      <c r="D8" s="390" t="s">
        <v>239</v>
      </c>
      <c r="E8" s="390"/>
      <c r="F8" s="75"/>
      <c r="G8" s="75"/>
      <c r="H8" s="75"/>
    </row>
    <row r="9" spans="1:12" x14ac:dyDescent="0.25">
      <c r="A9" s="174"/>
      <c r="B9" s="111" t="s">
        <v>16</v>
      </c>
      <c r="C9" s="111" t="s">
        <v>242</v>
      </c>
      <c r="D9" s="390" t="s">
        <v>239</v>
      </c>
      <c r="E9" s="390"/>
      <c r="F9" s="75"/>
      <c r="G9" s="75"/>
      <c r="H9" s="75"/>
    </row>
    <row r="10" spans="1:12" x14ac:dyDescent="0.25">
      <c r="A10" s="175"/>
      <c r="B10" s="175"/>
      <c r="C10" s="175"/>
      <c r="D10" s="175"/>
      <c r="E10" s="175"/>
      <c r="F10" s="175"/>
      <c r="G10" s="175"/>
      <c r="H10" s="175"/>
    </row>
    <row r="11" spans="1:12" x14ac:dyDescent="0.25">
      <c r="A11" s="175"/>
      <c r="B11" s="175"/>
      <c r="C11" s="175"/>
      <c r="D11" s="175"/>
      <c r="E11" s="175"/>
      <c r="F11" s="175"/>
      <c r="G11" s="175"/>
      <c r="H11" s="175"/>
    </row>
    <row r="12" spans="1:12" s="175" customFormat="1" ht="14.25" customHeight="1" x14ac:dyDescent="0.25">
      <c r="B12" s="176"/>
      <c r="C12" s="176"/>
      <c r="D12" s="176"/>
      <c r="E12" s="176"/>
      <c r="F12" s="176"/>
      <c r="G12" s="176"/>
      <c r="H12" s="176"/>
    </row>
    <row r="13" spans="1:12" s="175" customFormat="1" ht="14.25" customHeight="1" x14ac:dyDescent="0.25">
      <c r="B13" s="401" t="s">
        <v>744</v>
      </c>
      <c r="C13" s="402"/>
      <c r="D13" s="402"/>
      <c r="E13" s="403"/>
    </row>
    <row r="14" spans="1:12" s="175" customFormat="1" ht="14.25" customHeight="1" x14ac:dyDescent="0.25">
      <c r="B14" s="391" t="s">
        <v>818</v>
      </c>
      <c r="C14" s="392"/>
      <c r="D14" s="391" t="s">
        <v>1966</v>
      </c>
      <c r="E14" s="392"/>
      <c r="K14" s="176"/>
      <c r="L14" s="176"/>
    </row>
    <row r="15" spans="1:12" s="175" customFormat="1" ht="14.25" customHeight="1" x14ac:dyDescent="0.25">
      <c r="B15" s="393"/>
      <c r="C15" s="394"/>
      <c r="D15" s="393"/>
      <c r="E15" s="394"/>
      <c r="K15" s="176"/>
      <c r="L15" s="176"/>
    </row>
    <row r="16" spans="1:12" s="175" customFormat="1" ht="14.25" customHeight="1" x14ac:dyDescent="0.25">
      <c r="B16" s="395"/>
      <c r="C16" s="397"/>
      <c r="D16" s="395"/>
      <c r="E16" s="397"/>
      <c r="K16" s="176"/>
      <c r="L16" s="176"/>
    </row>
    <row r="17" spans="2:15" s="175" customFormat="1" ht="14.25" customHeight="1" x14ac:dyDescent="0.25">
      <c r="B17" s="396"/>
      <c r="C17" s="398"/>
      <c r="D17" s="396"/>
      <c r="E17" s="398"/>
      <c r="K17" s="176"/>
      <c r="L17" s="176"/>
    </row>
    <row r="18" spans="2:15" s="175" customFormat="1" ht="14.25" customHeight="1" x14ac:dyDescent="0.25">
      <c r="B18" s="396"/>
      <c r="C18" s="398"/>
      <c r="D18" s="396"/>
      <c r="E18" s="398"/>
      <c r="K18" s="176"/>
      <c r="L18" s="176"/>
    </row>
    <row r="19" spans="2:15" s="175" customFormat="1" ht="14.25" customHeight="1" x14ac:dyDescent="0.25">
      <c r="B19" s="399" t="s">
        <v>819</v>
      </c>
      <c r="C19" s="400"/>
      <c r="D19" s="399" t="s">
        <v>1967</v>
      </c>
      <c r="E19" s="400"/>
      <c r="K19" s="176"/>
      <c r="L19" s="176"/>
    </row>
    <row r="20" spans="2:15" s="175" customFormat="1" ht="14.25" customHeight="1" x14ac:dyDescent="0.25">
      <c r="G20" s="176"/>
      <c r="H20" s="176"/>
      <c r="I20" s="176"/>
      <c r="J20" s="176"/>
    </row>
    <row r="21" spans="2:15" s="175" customFormat="1" ht="14.25" customHeight="1" x14ac:dyDescent="0.25">
      <c r="G21" s="176"/>
      <c r="H21" s="176"/>
      <c r="I21" s="176"/>
      <c r="J21" s="176"/>
    </row>
    <row r="22" spans="2:15" s="175" customFormat="1" ht="14.25" customHeight="1" x14ac:dyDescent="0.25">
      <c r="H22" s="178"/>
      <c r="I22" s="179"/>
    </row>
    <row r="23" spans="2:15" s="175" customFormat="1" ht="15" customHeight="1" x14ac:dyDescent="0.25">
      <c r="H23" s="178"/>
      <c r="I23" s="179"/>
    </row>
    <row r="24" spans="2:15" s="175" customFormat="1" ht="15" customHeight="1" x14ac:dyDescent="0.25">
      <c r="B24" s="387" t="s">
        <v>568</v>
      </c>
      <c r="C24" s="388"/>
      <c r="D24" s="388"/>
      <c r="E24" s="388"/>
      <c r="F24" s="388"/>
      <c r="G24" s="388"/>
      <c r="H24" s="388"/>
      <c r="I24" s="388"/>
      <c r="J24" s="388"/>
      <c r="K24" s="388"/>
      <c r="L24" s="389"/>
      <c r="M24" s="178"/>
      <c r="N24" s="178"/>
      <c r="O24" s="178"/>
    </row>
    <row r="25" spans="2:15" s="175" customFormat="1" ht="29.25" customHeight="1" x14ac:dyDescent="0.25">
      <c r="B25" s="406" t="s">
        <v>856</v>
      </c>
      <c r="C25" s="407"/>
      <c r="D25" s="408" t="s">
        <v>855</v>
      </c>
      <c r="E25" s="408"/>
      <c r="F25" s="408" t="s">
        <v>827</v>
      </c>
      <c r="G25" s="408"/>
      <c r="H25" s="180"/>
      <c r="I25" s="409" t="s">
        <v>828</v>
      </c>
      <c r="J25" s="410"/>
      <c r="K25" s="409" t="s">
        <v>829</v>
      </c>
      <c r="L25" s="410"/>
      <c r="M25" s="178"/>
      <c r="N25" s="178"/>
      <c r="O25" s="178"/>
    </row>
    <row r="26" spans="2:15" s="175" customFormat="1" ht="15" customHeight="1" x14ac:dyDescent="0.25">
      <c r="B26" s="181"/>
      <c r="C26" s="182"/>
      <c r="D26" s="183"/>
      <c r="E26" s="184"/>
      <c r="F26" s="183"/>
      <c r="G26" s="184"/>
      <c r="H26" s="184"/>
      <c r="I26" s="182"/>
      <c r="J26" s="185"/>
      <c r="K26" s="182"/>
      <c r="L26" s="185"/>
      <c r="M26" s="178"/>
      <c r="N26" s="178"/>
      <c r="O26" s="179"/>
    </row>
    <row r="27" spans="2:15" s="175" customFormat="1" ht="15" customHeight="1" x14ac:dyDescent="0.25">
      <c r="B27" s="186"/>
      <c r="C27" s="176"/>
      <c r="D27" s="187"/>
      <c r="E27" s="177"/>
      <c r="F27" s="187"/>
      <c r="G27" s="177"/>
      <c r="H27" s="177"/>
      <c r="I27" s="176"/>
      <c r="J27" s="188"/>
      <c r="K27" s="176"/>
      <c r="L27" s="188"/>
      <c r="M27" s="178"/>
      <c r="N27" s="178"/>
      <c r="O27" s="179"/>
    </row>
    <row r="28" spans="2:15" s="175" customFormat="1" ht="15" customHeight="1" x14ac:dyDescent="0.25">
      <c r="B28" s="186"/>
      <c r="C28" s="176"/>
      <c r="D28" s="187"/>
      <c r="E28" s="177"/>
      <c r="F28" s="187"/>
      <c r="G28" s="177"/>
      <c r="H28" s="177"/>
      <c r="I28" s="176"/>
      <c r="J28" s="188"/>
      <c r="K28" s="176"/>
      <c r="L28" s="188"/>
      <c r="M28" s="178"/>
      <c r="N28" s="178"/>
      <c r="O28" s="179"/>
    </row>
    <row r="29" spans="2:15" s="175" customFormat="1" ht="15" customHeight="1" x14ac:dyDescent="0.25">
      <c r="B29" s="411" t="s">
        <v>738</v>
      </c>
      <c r="C29" s="412"/>
      <c r="D29" s="413" t="s">
        <v>739</v>
      </c>
      <c r="E29" s="414"/>
      <c r="F29" s="415" t="s">
        <v>569</v>
      </c>
      <c r="G29" s="415"/>
      <c r="H29" s="189"/>
      <c r="I29" s="404" t="s">
        <v>740</v>
      </c>
      <c r="J29" s="405"/>
      <c r="K29" s="404" t="s">
        <v>741</v>
      </c>
      <c r="L29" s="405"/>
      <c r="M29" s="178"/>
      <c r="N29" s="178"/>
      <c r="O29" s="178"/>
    </row>
    <row r="30" spans="2:15" s="175" customFormat="1" ht="15" customHeight="1" x14ac:dyDescent="0.25"/>
    <row r="31" spans="2:15" s="190" customFormat="1" x14ac:dyDescent="0.25"/>
    <row r="32" spans="2:15" s="190" customFormat="1" x14ac:dyDescent="0.25"/>
    <row r="33" spans="2:5" s="190" customFormat="1" x14ac:dyDescent="0.25">
      <c r="E33" s="191" t="s">
        <v>742</v>
      </c>
    </row>
    <row r="34" spans="2:5" s="190" customFormat="1" hidden="1" x14ac:dyDescent="0.25">
      <c r="B34" s="401" t="s">
        <v>743</v>
      </c>
      <c r="C34" s="402"/>
      <c r="D34" s="402"/>
      <c r="E34" s="403"/>
    </row>
    <row r="35" spans="2:5" s="190" customFormat="1" hidden="1" x14ac:dyDescent="0.25">
      <c r="B35" s="416" t="s">
        <v>831</v>
      </c>
      <c r="C35" s="417"/>
      <c r="D35" s="408" t="s">
        <v>830</v>
      </c>
      <c r="E35" s="408"/>
    </row>
    <row r="36" spans="2:5" s="190" customFormat="1" hidden="1" x14ac:dyDescent="0.25">
      <c r="B36" s="181"/>
      <c r="C36" s="182"/>
      <c r="D36" s="183"/>
      <c r="E36" s="184"/>
    </row>
    <row r="37" spans="2:5" s="190" customFormat="1" hidden="1" x14ac:dyDescent="0.25">
      <c r="B37" s="186"/>
      <c r="C37" s="176"/>
      <c r="D37" s="187"/>
      <c r="E37" s="177"/>
    </row>
    <row r="38" spans="2:5" s="190" customFormat="1" hidden="1" x14ac:dyDescent="0.25">
      <c r="B38" s="186"/>
      <c r="C38" s="176"/>
      <c r="D38" s="187"/>
      <c r="E38" s="177"/>
    </row>
    <row r="39" spans="2:5" s="190" customFormat="1" hidden="1" x14ac:dyDescent="0.25">
      <c r="B39" s="411"/>
      <c r="C39" s="412"/>
      <c r="D39" s="418"/>
      <c r="E39" s="419"/>
    </row>
    <row r="40" spans="2:5" s="190" customFormat="1" x14ac:dyDescent="0.25"/>
    <row r="41" spans="2:5" s="190" customFormat="1" x14ac:dyDescent="0.25"/>
    <row r="42" spans="2:5" s="190" customFormat="1" x14ac:dyDescent="0.25"/>
    <row r="43" spans="2:5" s="190" customFormat="1" x14ac:dyDescent="0.25"/>
    <row r="44" spans="2:5" s="190" customFormat="1" x14ac:dyDescent="0.25"/>
    <row r="45" spans="2:5" s="190" customFormat="1" x14ac:dyDescent="0.25"/>
    <row r="46" spans="2:5" s="190" customFormat="1" x14ac:dyDescent="0.25"/>
    <row r="47" spans="2:5" s="190" customFormat="1" x14ac:dyDescent="0.25"/>
    <row r="48" spans="2:5" s="190" customFormat="1" x14ac:dyDescent="0.25"/>
    <row r="49" s="190" customFormat="1" x14ac:dyDescent="0.25"/>
    <row r="50" s="190" customFormat="1" x14ac:dyDescent="0.25"/>
    <row r="51" s="190" customFormat="1" x14ac:dyDescent="0.25"/>
    <row r="52" s="190" customFormat="1" x14ac:dyDescent="0.25"/>
    <row r="53" s="190" customFormat="1" x14ac:dyDescent="0.25"/>
    <row r="54" s="190" customFormat="1" x14ac:dyDescent="0.25"/>
    <row r="55" s="190" customFormat="1" x14ac:dyDescent="0.25"/>
    <row r="56" s="190" customFormat="1" x14ac:dyDescent="0.25"/>
    <row r="57" s="190" customFormat="1" x14ac:dyDescent="0.25"/>
    <row r="58" s="190" customFormat="1" x14ac:dyDescent="0.25"/>
    <row r="59" s="190" customFormat="1" x14ac:dyDescent="0.25"/>
    <row r="60" s="190" customFormat="1" x14ac:dyDescent="0.25"/>
    <row r="61" s="190" customFormat="1" x14ac:dyDescent="0.25"/>
    <row r="62" s="190" customFormat="1" x14ac:dyDescent="0.25"/>
    <row r="63" s="190" customFormat="1" x14ac:dyDescent="0.25"/>
    <row r="64" s="190" customFormat="1" x14ac:dyDescent="0.25"/>
    <row r="65" s="190" customFormat="1" x14ac:dyDescent="0.25"/>
    <row r="66" s="190" customFormat="1" x14ac:dyDescent="0.25"/>
    <row r="67" s="190" customFormat="1" x14ac:dyDescent="0.25"/>
    <row r="68" s="190" customFormat="1" x14ac:dyDescent="0.25"/>
    <row r="69" s="190" customFormat="1" x14ac:dyDescent="0.25"/>
    <row r="70" s="190" customFormat="1" x14ac:dyDescent="0.25"/>
    <row r="71" s="190" customFormat="1" x14ac:dyDescent="0.25"/>
    <row r="72" s="190" customFormat="1" x14ac:dyDescent="0.25"/>
    <row r="73" s="190" customFormat="1" x14ac:dyDescent="0.25"/>
  </sheetData>
  <mergeCells count="29">
    <mergeCell ref="B34:E34"/>
    <mergeCell ref="B35:C35"/>
    <mergeCell ref="D35:E35"/>
    <mergeCell ref="B39:C39"/>
    <mergeCell ref="D39:E39"/>
    <mergeCell ref="K29:L29"/>
    <mergeCell ref="B25:C25"/>
    <mergeCell ref="D25:E25"/>
    <mergeCell ref="F25:G25"/>
    <mergeCell ref="I25:J25"/>
    <mergeCell ref="K25:L25"/>
    <mergeCell ref="B29:C29"/>
    <mergeCell ref="D29:E29"/>
    <mergeCell ref="F29:G29"/>
    <mergeCell ref="I29:J29"/>
    <mergeCell ref="B24:L24"/>
    <mergeCell ref="D6:E6"/>
    <mergeCell ref="D7:E7"/>
    <mergeCell ref="D8:E8"/>
    <mergeCell ref="D9:E9"/>
    <mergeCell ref="B14:C15"/>
    <mergeCell ref="B16:B18"/>
    <mergeCell ref="C16:C18"/>
    <mergeCell ref="B19:C19"/>
    <mergeCell ref="D14:E15"/>
    <mergeCell ref="D16:D18"/>
    <mergeCell ref="E16:E18"/>
    <mergeCell ref="D19:E19"/>
    <mergeCell ref="B13:E13"/>
  </mergeCells>
  <dataValidations count="3">
    <dataValidation showInputMessage="1" showErrorMessage="1" error="Check BU/HO" sqref="D9:E9" xr:uid="{220527A3-FB36-4F61-86F0-E0DBD72E7875}"/>
    <dataValidation type="whole" allowBlank="1" showInputMessage="1" showErrorMessage="1" sqref="D6" xr:uid="{676C3B92-24EC-431A-8C85-1540D36E543A}">
      <formula1>2022</formula1>
      <formula2>2050</formula2>
    </dataValidation>
    <dataValidation showInputMessage="1" showErrorMessage="1" sqref="D7:E7" xr:uid="{7E1A91E9-28C5-4E20-BD6E-DB18C28626E6}"/>
  </dataValidations>
  <pageMargins left="0.11811023622047245" right="0.11811023622047245" top="0.74803149606299213" bottom="0.74803149606299213" header="0.31496062992125984" footer="0.31496062992125984"/>
  <pageSetup paperSize="5" scale="81"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050B43D-8237-4765-A1E6-7C1DCD5E267C}">
          <x14:formula1>
            <xm:f>'Master Data'!$B$7:$B$15</xm:f>
          </x14:formula1>
          <xm:sqref>D8:E8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zoomScale="80" zoomScaleNormal="80" workbookViewId="0">
      <pane xSplit="3" ySplit="3" topLeftCell="D4" activePane="bottomRight" state="frozen"/>
      <selection activeCell="F218" sqref="F218"/>
      <selection pane="topRight" activeCell="F218" sqref="F218"/>
      <selection pane="bottomLeft" activeCell="F218" sqref="F218"/>
      <selection pane="bottomRight" activeCell="F9" sqref="F9"/>
    </sheetView>
  </sheetViews>
  <sheetFormatPr defaultColWidth="13.7109375" defaultRowHeight="15" customHeight="1" outlineLevelCol="1" x14ac:dyDescent="0.25"/>
  <cols>
    <col min="1" max="1" width="15.42578125" style="194" customWidth="1"/>
    <col min="2" max="2" width="11.42578125" style="194" customWidth="1"/>
    <col min="3" max="3" width="29.28515625" style="195" customWidth="1"/>
    <col min="4" max="4" width="13.42578125" style="195" customWidth="1"/>
    <col min="5" max="5" width="9.28515625" style="195" customWidth="1"/>
    <col min="6" max="6" width="26.5703125" style="196" customWidth="1"/>
    <col min="7" max="7" width="20.42578125" style="195" customWidth="1"/>
    <col min="8" max="8" width="13.42578125" style="230" customWidth="1"/>
    <col min="9" max="9" width="13.5703125" style="195" customWidth="1"/>
    <col min="10" max="10" width="20.7109375" style="195" customWidth="1"/>
    <col min="11" max="11" width="12.7109375" style="231" customWidth="1"/>
    <col min="12" max="12" width="20.42578125" style="195" customWidth="1"/>
    <col min="13" max="14" width="42.7109375" style="197" customWidth="1"/>
    <col min="15" max="15" width="11.42578125" style="198" customWidth="1" outlineLevel="1"/>
    <col min="16" max="16" width="10.28515625" style="198" customWidth="1" outlineLevel="1"/>
    <col min="17" max="26" width="10.42578125" style="198" customWidth="1" outlineLevel="1"/>
    <col min="27" max="27" width="10.5703125" style="198" bestFit="1" customWidth="1"/>
    <col min="28" max="28" width="2.5703125" style="198" customWidth="1"/>
    <col min="29" max="29" width="14.42578125" style="197" customWidth="1" outlineLevel="1"/>
    <col min="30" max="30" width="11.5703125" style="197" customWidth="1" outlineLevel="1"/>
    <col min="31" max="31" width="10.85546875" style="197" customWidth="1" outlineLevel="1"/>
    <col min="32" max="32" width="9.7109375" style="197" customWidth="1" outlineLevel="1"/>
    <col min="33" max="33" width="10.42578125" style="197" customWidth="1" outlineLevel="1"/>
    <col min="34" max="34" width="7.85546875" style="197" customWidth="1" outlineLevel="1"/>
    <col min="35" max="35" width="11.5703125" style="232" customWidth="1" outlineLevel="1"/>
    <col min="36" max="36" width="10.140625" style="232" customWidth="1" outlineLevel="1"/>
    <col min="37" max="37" width="12.85546875" style="232" customWidth="1" outlineLevel="1"/>
    <col min="38" max="38" width="10.85546875" style="197" customWidth="1" outlineLevel="1"/>
    <col min="39" max="39" width="10" style="197" customWidth="1" outlineLevel="1"/>
    <col min="40" max="40" width="9.5703125" style="197" customWidth="1" outlineLevel="1"/>
    <col min="41" max="41" width="10" style="197" customWidth="1"/>
    <col min="42" max="42" width="3.5703125" style="197" customWidth="1"/>
    <col min="43" max="54" width="13.7109375" style="197" outlineLevel="1"/>
    <col min="55" max="55" width="13.7109375" style="197"/>
    <col min="56" max="56" width="14" style="197" customWidth="1"/>
    <col min="57" max="57" width="13.7109375" style="197"/>
    <col min="58" max="58" width="22.5703125" style="197" bestFit="1" customWidth="1"/>
    <col min="59" max="59" width="20.140625" style="197" customWidth="1"/>
    <col min="60" max="60" width="18" style="197" customWidth="1"/>
    <col min="61" max="61" width="21.28515625" style="197" customWidth="1"/>
    <col min="62" max="64" width="13.7109375" style="197"/>
    <col min="65" max="65" width="28.140625" style="197" customWidth="1"/>
    <col min="66" max="16384" width="13.7109375" style="197"/>
  </cols>
  <sheetData>
    <row r="1" spans="1:66" ht="15" customHeight="1" x14ac:dyDescent="0.25">
      <c r="H1" s="195"/>
      <c r="K1" s="196"/>
      <c r="AB1" s="199"/>
      <c r="AC1" s="200"/>
      <c r="AD1" s="200"/>
      <c r="AE1" s="198"/>
      <c r="AF1" s="198"/>
      <c r="AG1" s="198"/>
      <c r="AH1" s="198"/>
      <c r="AI1" s="198"/>
      <c r="AJ1" s="198"/>
      <c r="AK1" s="198"/>
      <c r="AL1" s="198"/>
      <c r="AM1" s="198"/>
      <c r="AN1" s="198"/>
      <c r="AO1" s="198"/>
      <c r="AP1" s="201"/>
      <c r="AQ1" s="200"/>
      <c r="AR1" s="200"/>
      <c r="AS1" s="198"/>
      <c r="AT1" s="198"/>
      <c r="AU1" s="198"/>
      <c r="AV1" s="198"/>
      <c r="AW1" s="198"/>
      <c r="AX1" s="198"/>
      <c r="AY1" s="198"/>
      <c r="AZ1" s="198"/>
      <c r="BA1" s="198"/>
      <c r="BB1" s="198"/>
      <c r="BC1" s="198"/>
      <c r="BD1" s="198"/>
      <c r="BE1" s="202"/>
      <c r="BK1" s="203"/>
      <c r="BL1" s="203"/>
      <c r="BM1" s="203"/>
    </row>
    <row r="2" spans="1:66" ht="15" customHeight="1" x14ac:dyDescent="0.25">
      <c r="A2" s="300"/>
      <c r="B2" s="301"/>
      <c r="C2" s="302"/>
      <c r="D2" s="303"/>
      <c r="E2" s="304"/>
      <c r="F2" s="305"/>
      <c r="G2" s="302"/>
      <c r="H2" s="302"/>
      <c r="I2" s="302"/>
      <c r="J2" s="302"/>
      <c r="K2" s="305"/>
      <c r="L2" s="302"/>
      <c r="M2" s="306"/>
      <c r="N2" s="306"/>
      <c r="O2" s="307" t="s">
        <v>1507</v>
      </c>
      <c r="P2" s="308"/>
      <c r="Q2" s="308"/>
      <c r="R2" s="308"/>
      <c r="S2" s="307"/>
      <c r="T2" s="308"/>
      <c r="U2" s="308"/>
      <c r="V2" s="308"/>
      <c r="W2" s="308"/>
      <c r="X2" s="308"/>
      <c r="Y2" s="308"/>
      <c r="Z2" s="308"/>
      <c r="AA2" s="308"/>
      <c r="AB2" s="309"/>
      <c r="AC2" s="307" t="s">
        <v>1508</v>
      </c>
      <c r="AD2" s="308"/>
      <c r="AE2" s="308"/>
      <c r="AF2" s="308"/>
      <c r="AG2" s="307"/>
      <c r="AH2" s="308"/>
      <c r="AI2" s="308"/>
      <c r="AJ2" s="308"/>
      <c r="AK2" s="308"/>
      <c r="AL2" s="308"/>
      <c r="AM2" s="308"/>
      <c r="AN2" s="308"/>
      <c r="AO2" s="308"/>
      <c r="AP2" s="309"/>
      <c r="AQ2" s="307" t="s">
        <v>1523</v>
      </c>
      <c r="AR2" s="308"/>
      <c r="AS2" s="308"/>
      <c r="AT2" s="308"/>
      <c r="AU2" s="307"/>
      <c r="AV2" s="308"/>
      <c r="AW2" s="308"/>
      <c r="AX2" s="308"/>
      <c r="AY2" s="308"/>
      <c r="AZ2" s="308"/>
      <c r="BA2" s="308"/>
      <c r="BB2" s="308"/>
      <c r="BC2" s="310"/>
      <c r="BD2" s="198"/>
      <c r="BE2" s="202"/>
      <c r="BG2" s="204" t="s">
        <v>1492</v>
      </c>
      <c r="BH2" s="205">
        <v>16500</v>
      </c>
      <c r="BK2" s="203"/>
      <c r="BL2" s="203"/>
      <c r="BM2" s="203"/>
    </row>
    <row r="3" spans="1:66" s="317" customFormat="1" ht="41.25" customHeight="1" x14ac:dyDescent="0.25">
      <c r="A3" s="311" t="s">
        <v>234</v>
      </c>
      <c r="B3" s="312" t="s">
        <v>15</v>
      </c>
      <c r="C3" s="312" t="s">
        <v>16</v>
      </c>
      <c r="D3" s="420" t="s">
        <v>46</v>
      </c>
      <c r="E3" s="420"/>
      <c r="F3" s="313" t="s">
        <v>340</v>
      </c>
      <c r="G3" s="312" t="s">
        <v>343</v>
      </c>
      <c r="H3" s="312" t="s">
        <v>725</v>
      </c>
      <c r="I3" s="312" t="s">
        <v>688</v>
      </c>
      <c r="J3" s="312" t="s">
        <v>1509</v>
      </c>
      <c r="K3" s="313" t="s">
        <v>687</v>
      </c>
      <c r="L3" s="312" t="s">
        <v>1510</v>
      </c>
      <c r="M3" s="312" t="s">
        <v>594</v>
      </c>
      <c r="N3" s="312" t="s">
        <v>595</v>
      </c>
      <c r="O3" s="314" t="s">
        <v>875</v>
      </c>
      <c r="P3" s="314" t="s">
        <v>876</v>
      </c>
      <c r="Q3" s="314" t="s">
        <v>877</v>
      </c>
      <c r="R3" s="314" t="s">
        <v>878</v>
      </c>
      <c r="S3" s="314" t="s">
        <v>879</v>
      </c>
      <c r="T3" s="314" t="s">
        <v>880</v>
      </c>
      <c r="U3" s="314" t="s">
        <v>881</v>
      </c>
      <c r="V3" s="314" t="s">
        <v>882</v>
      </c>
      <c r="W3" s="314" t="s">
        <v>883</v>
      </c>
      <c r="X3" s="314" t="s">
        <v>884</v>
      </c>
      <c r="Y3" s="314" t="s">
        <v>885</v>
      </c>
      <c r="Z3" s="314" t="s">
        <v>886</v>
      </c>
      <c r="AA3" s="314" t="s">
        <v>874</v>
      </c>
      <c r="AB3" s="315"/>
      <c r="AC3" s="314" t="s">
        <v>875</v>
      </c>
      <c r="AD3" s="314" t="s">
        <v>876</v>
      </c>
      <c r="AE3" s="314" t="s">
        <v>877</v>
      </c>
      <c r="AF3" s="314" t="s">
        <v>878</v>
      </c>
      <c r="AG3" s="314" t="s">
        <v>879</v>
      </c>
      <c r="AH3" s="314" t="s">
        <v>880</v>
      </c>
      <c r="AI3" s="314" t="s">
        <v>881</v>
      </c>
      <c r="AJ3" s="314" t="s">
        <v>882</v>
      </c>
      <c r="AK3" s="314" t="s">
        <v>883</v>
      </c>
      <c r="AL3" s="314" t="s">
        <v>884</v>
      </c>
      <c r="AM3" s="314" t="s">
        <v>885</v>
      </c>
      <c r="AN3" s="314" t="s">
        <v>886</v>
      </c>
      <c r="AO3" s="314" t="s">
        <v>874</v>
      </c>
      <c r="AP3" s="315"/>
      <c r="AQ3" s="314" t="s">
        <v>875</v>
      </c>
      <c r="AR3" s="314" t="s">
        <v>876</v>
      </c>
      <c r="AS3" s="314" t="s">
        <v>877</v>
      </c>
      <c r="AT3" s="314" t="s">
        <v>878</v>
      </c>
      <c r="AU3" s="314" t="s">
        <v>879</v>
      </c>
      <c r="AV3" s="314" t="s">
        <v>880</v>
      </c>
      <c r="AW3" s="314" t="s">
        <v>881</v>
      </c>
      <c r="AX3" s="314" t="s">
        <v>882</v>
      </c>
      <c r="AY3" s="314" t="s">
        <v>883</v>
      </c>
      <c r="AZ3" s="314" t="s">
        <v>884</v>
      </c>
      <c r="BA3" s="314" t="s">
        <v>885</v>
      </c>
      <c r="BB3" s="314" t="s">
        <v>886</v>
      </c>
      <c r="BC3" s="314" t="s">
        <v>874</v>
      </c>
      <c r="BD3" s="334" t="s">
        <v>817</v>
      </c>
      <c r="BE3" s="296" t="s">
        <v>596</v>
      </c>
      <c r="BF3" s="238" t="s">
        <v>523</v>
      </c>
      <c r="BG3" s="238" t="s">
        <v>746</v>
      </c>
      <c r="BH3" s="238" t="s">
        <v>747</v>
      </c>
      <c r="BI3" s="238" t="s">
        <v>887</v>
      </c>
      <c r="BJ3" s="296" t="s">
        <v>733</v>
      </c>
      <c r="BK3" s="316" t="s">
        <v>598</v>
      </c>
      <c r="BL3" s="316" t="s">
        <v>599</v>
      </c>
      <c r="BM3" s="316" t="s">
        <v>943</v>
      </c>
      <c r="BN3" s="316" t="s">
        <v>838</v>
      </c>
    </row>
    <row r="4" spans="1:66" s="223" customFormat="1" x14ac:dyDescent="0.25">
      <c r="A4" s="206" t="str">
        <f>IF(D4="","",Cover!$D$8)</f>
        <v/>
      </c>
      <c r="B4" s="206" t="str">
        <f>IF(D4="","",Cover!$D$7)</f>
        <v/>
      </c>
      <c r="C4" s="207" t="str">
        <f>IF(F4="","",IFERROR(VLOOKUP(F4,'Master Data'!$E$59:$J$146,6,FALSE),0))</f>
        <v/>
      </c>
      <c r="D4" s="208" t="str">
        <f>IF(F4="","",IFERROR(VLOOKUP(F4,'Master Data'!$E$59:$L$148,8,FALSE),0))</f>
        <v/>
      </c>
      <c r="E4" s="207" t="str">
        <f>IF(D4="","",IFERROR(VLOOKUP(D4,'Master Data'!$D$59:$I$148,6,FALSE),0))</f>
        <v/>
      </c>
      <c r="F4" s="209"/>
      <c r="G4" s="210"/>
      <c r="H4" s="211">
        <f>IFERROR(VLOOKUP(G4,'Master Data'!$C$336:$I$353,7,FALSE),0)</f>
        <v>0</v>
      </c>
      <c r="I4" s="208">
        <f>IFERROR(VLOOKUP(H4,'Master Data'!$B$336:$D$351,3,FALSE),0)</f>
        <v>0</v>
      </c>
      <c r="J4" s="211">
        <f>IFERROR(VLOOKUP(H4,'Master Data'!$B$336:$H$353,7,FALSE),0)</f>
        <v>0</v>
      </c>
      <c r="K4" s="212"/>
      <c r="L4" s="213" t="str">
        <f>IFERROR(IF(I4="FIXED ASSET",J4&amp;E4&amp;K4,VLOOKUP(F4,'Master Data'!$E$59:$H$146,4,FALSE)&amp;"-"&amp;J4&amp;"-"&amp;K4),"-")</f>
        <v>-</v>
      </c>
      <c r="M4" s="209"/>
      <c r="N4" s="209"/>
      <c r="O4" s="214"/>
      <c r="P4" s="214"/>
      <c r="Q4" s="214"/>
      <c r="R4" s="214"/>
      <c r="S4" s="214"/>
      <c r="T4" s="214"/>
      <c r="U4" s="214"/>
      <c r="V4" s="214"/>
      <c r="W4" s="214"/>
      <c r="X4" s="214"/>
      <c r="Y4" s="214"/>
      <c r="Z4" s="214"/>
      <c r="AA4" s="215">
        <f>SUM(O4:Z4)</f>
        <v>0</v>
      </c>
      <c r="AB4" s="318"/>
      <c r="AC4" s="214"/>
      <c r="AD4" s="214"/>
      <c r="AE4" s="214"/>
      <c r="AF4" s="214"/>
      <c r="AG4" s="214"/>
      <c r="AH4" s="214"/>
      <c r="AI4" s="214"/>
      <c r="AJ4" s="214"/>
      <c r="AK4" s="214"/>
      <c r="AL4" s="214"/>
      <c r="AM4" s="214"/>
      <c r="AN4" s="214"/>
      <c r="AO4" s="215">
        <f>SUM(AC4:AN4)</f>
        <v>0</v>
      </c>
      <c r="AP4" s="216"/>
      <c r="AQ4" s="214"/>
      <c r="AR4" s="214"/>
      <c r="AS4" s="214"/>
      <c r="AT4" s="214"/>
      <c r="AU4" s="214"/>
      <c r="AV4" s="214"/>
      <c r="AW4" s="214"/>
      <c r="AX4" s="214"/>
      <c r="AY4" s="214"/>
      <c r="AZ4" s="214"/>
      <c r="BA4" s="214"/>
      <c r="BB4" s="214"/>
      <c r="BC4" s="217">
        <f>SUM(AQ4:BB4)</f>
        <v>0</v>
      </c>
      <c r="BD4" s="218">
        <f>+AA4-BI4</f>
        <v>0</v>
      </c>
      <c r="BE4" s="210"/>
      <c r="BF4" s="219"/>
      <c r="BG4" s="219"/>
      <c r="BH4" s="219"/>
      <c r="BI4" s="220">
        <f>IF(BG4="USD",BH4*$BH$2,IF(BG4="IDR",BH4,0))</f>
        <v>0</v>
      </c>
      <c r="BJ4" s="219"/>
      <c r="BK4" s="221" t="str">
        <f t="shared" ref="BK4:BK19" si="0">IF($I4="PROJECT","Please Fill Start Date","")</f>
        <v/>
      </c>
      <c r="BL4" s="221" t="str">
        <f>IF($I4="PROJECT","Please Fill Finish Date","")</f>
        <v/>
      </c>
      <c r="BM4" s="221" t="str">
        <f>IF(AA4&gt;0,"Please Fill Remarks","")</f>
        <v/>
      </c>
      <c r="BN4" s="222"/>
    </row>
    <row r="5" spans="1:66" s="223" customFormat="1" x14ac:dyDescent="0.25">
      <c r="A5" s="206" t="str">
        <f>IF(D5="","",Cover!$D$8)</f>
        <v/>
      </c>
      <c r="B5" s="206" t="str">
        <f>IF(D5="","",Cover!$D$7)</f>
        <v/>
      </c>
      <c r="C5" s="207" t="str">
        <f>IF(F5="","",IFERROR(VLOOKUP(F5,'Master Data'!$E$59:$J$146,6,FALSE),0))</f>
        <v/>
      </c>
      <c r="D5" s="208" t="str">
        <f>IF(F5="","",IFERROR(VLOOKUP(F5,'Master Data'!$E$59:$L$148,8,FALSE),0))</f>
        <v/>
      </c>
      <c r="E5" s="207" t="str">
        <f>IF(D5="","",IFERROR(VLOOKUP(D5,'Master Data'!$D$59:$I$148,6,FALSE),0))</f>
        <v/>
      </c>
      <c r="F5" s="209"/>
      <c r="G5" s="210"/>
      <c r="H5" s="211">
        <f>IFERROR(VLOOKUP(G5,'Master Data'!$C$336:$I$353,7,FALSE),0)</f>
        <v>0</v>
      </c>
      <c r="I5" s="208">
        <f>IFERROR(VLOOKUP(H5,'Master Data'!$B$336:$D$351,3,FALSE),0)</f>
        <v>0</v>
      </c>
      <c r="J5" s="211">
        <f>IFERROR(VLOOKUP(H5,'Master Data'!$B$336:$H$353,7,FALSE),0)</f>
        <v>0</v>
      </c>
      <c r="K5" s="212"/>
      <c r="L5" s="213" t="str">
        <f>IFERROR(IF(I5="FIXED ASSET",J5&amp;E5&amp;K5,VLOOKUP(F5,'Master Data'!$E$59:$H$146,4,FALSE)&amp;"-"&amp;J5&amp;"-"&amp;K5),"-")</f>
        <v>-</v>
      </c>
      <c r="M5" s="209"/>
      <c r="N5" s="209"/>
      <c r="O5" s="214"/>
      <c r="P5" s="214"/>
      <c r="Q5" s="214"/>
      <c r="R5" s="214"/>
      <c r="S5" s="214"/>
      <c r="T5" s="214"/>
      <c r="U5" s="214"/>
      <c r="V5" s="214"/>
      <c r="W5" s="214"/>
      <c r="X5" s="214"/>
      <c r="Y5" s="214"/>
      <c r="Z5" s="214"/>
      <c r="AA5" s="215">
        <f t="shared" ref="AA5:AA25" si="1">SUM(O5:Z5)</f>
        <v>0</v>
      </c>
      <c r="AB5" s="318"/>
      <c r="AC5" s="214"/>
      <c r="AD5" s="214"/>
      <c r="AE5" s="214"/>
      <c r="AF5" s="214"/>
      <c r="AG5" s="214"/>
      <c r="AH5" s="214"/>
      <c r="AI5" s="214"/>
      <c r="AJ5" s="214"/>
      <c r="AK5" s="214"/>
      <c r="AL5" s="214"/>
      <c r="AM5" s="214"/>
      <c r="AN5" s="214"/>
      <c r="AO5" s="215">
        <f t="shared" ref="AO5:AO56" si="2">SUM(AC5:AN5)</f>
        <v>0</v>
      </c>
      <c r="AP5" s="216"/>
      <c r="AQ5" s="214"/>
      <c r="AR5" s="214"/>
      <c r="AS5" s="214"/>
      <c r="AT5" s="214"/>
      <c r="AU5" s="214"/>
      <c r="AV5" s="214"/>
      <c r="AW5" s="214"/>
      <c r="AX5" s="214"/>
      <c r="AY5" s="214"/>
      <c r="AZ5" s="214"/>
      <c r="BA5" s="214"/>
      <c r="BB5" s="214"/>
      <c r="BC5" s="217">
        <f t="shared" ref="BC5:BC56" si="3">SUM(AQ5:BB5)</f>
        <v>0</v>
      </c>
      <c r="BD5" s="218">
        <f t="shared" ref="BD5:BD56" si="4">+AA5-BI5</f>
        <v>0</v>
      </c>
      <c r="BE5" s="210"/>
      <c r="BF5" s="219"/>
      <c r="BG5" s="219"/>
      <c r="BH5" s="219"/>
      <c r="BI5" s="220">
        <f t="shared" ref="BI5:BI35" si="5">IF(BG5="USD",BH5*$BH$2,IF(BG5="IDR",BH5,0))</f>
        <v>0</v>
      </c>
      <c r="BJ5" s="219"/>
      <c r="BK5" s="221" t="str">
        <f t="shared" si="0"/>
        <v/>
      </c>
      <c r="BL5" s="221" t="str">
        <f t="shared" ref="BL5:BL56" si="6">IF($I5="PROJECT","Please Fill Finish Date","")</f>
        <v/>
      </c>
      <c r="BM5" s="221" t="str">
        <f t="shared" ref="BM5:BM56" si="7">IF(AA5&gt;0,"Please Fill Remarks","")</f>
        <v/>
      </c>
      <c r="BN5" s="222"/>
    </row>
    <row r="6" spans="1:66" s="223" customFormat="1" x14ac:dyDescent="0.25">
      <c r="A6" s="206" t="str">
        <f>IF(D6="","",Cover!$D$8)</f>
        <v/>
      </c>
      <c r="B6" s="206" t="str">
        <f>IF(D6="","",Cover!$D$7)</f>
        <v/>
      </c>
      <c r="C6" s="207" t="str">
        <f>IF(F6="","",IFERROR(VLOOKUP(F6,'Master Data'!$E$59:$J$146,6,FALSE),0))</f>
        <v/>
      </c>
      <c r="D6" s="208" t="str">
        <f>IF(F6="","",IFERROR(VLOOKUP(F6,'Master Data'!$E$59:$L$148,8,FALSE),0))</f>
        <v/>
      </c>
      <c r="E6" s="207" t="str">
        <f>IF(D6="","",IFERROR(VLOOKUP(D6,'Master Data'!$D$59:$I$148,6,FALSE),0))</f>
        <v/>
      </c>
      <c r="F6" s="209"/>
      <c r="G6" s="210"/>
      <c r="H6" s="211">
        <f>IFERROR(VLOOKUP(G6,'Master Data'!$C$336:$I$353,7,FALSE),0)</f>
        <v>0</v>
      </c>
      <c r="I6" s="208">
        <f>IFERROR(VLOOKUP(H6,'Master Data'!$B$336:$D$351,3,FALSE),0)</f>
        <v>0</v>
      </c>
      <c r="J6" s="211">
        <f>IFERROR(VLOOKUP(H6,'Master Data'!$B$336:$H$353,7,FALSE),0)</f>
        <v>0</v>
      </c>
      <c r="K6" s="212"/>
      <c r="L6" s="213" t="str">
        <f>IFERROR(IF(I6="FIXED ASSET",J6&amp;E6&amp;K6,VLOOKUP(F6,'Master Data'!$E$59:$H$146,4,FALSE)&amp;"-"&amp;J6&amp;"-"&amp;K6),"-")</f>
        <v>-</v>
      </c>
      <c r="M6" s="209"/>
      <c r="N6" s="209"/>
      <c r="O6" s="214"/>
      <c r="P6" s="214"/>
      <c r="Q6" s="214"/>
      <c r="R6" s="214"/>
      <c r="S6" s="214"/>
      <c r="T6" s="214"/>
      <c r="U6" s="214"/>
      <c r="V6" s="214"/>
      <c r="W6" s="214"/>
      <c r="X6" s="214"/>
      <c r="Y6" s="214"/>
      <c r="Z6" s="214"/>
      <c r="AA6" s="215">
        <f t="shared" si="1"/>
        <v>0</v>
      </c>
      <c r="AB6" s="318"/>
      <c r="AC6" s="214"/>
      <c r="AD6" s="214"/>
      <c r="AE6" s="214"/>
      <c r="AF6" s="214"/>
      <c r="AG6" s="214"/>
      <c r="AH6" s="214"/>
      <c r="AI6" s="214"/>
      <c r="AJ6" s="214"/>
      <c r="AK6" s="214"/>
      <c r="AL6" s="214"/>
      <c r="AM6" s="214"/>
      <c r="AN6" s="214"/>
      <c r="AO6" s="215">
        <f t="shared" si="2"/>
        <v>0</v>
      </c>
      <c r="AP6" s="216"/>
      <c r="AQ6" s="214"/>
      <c r="AR6" s="214"/>
      <c r="AS6" s="214"/>
      <c r="AT6" s="214"/>
      <c r="AU6" s="214"/>
      <c r="AV6" s="214"/>
      <c r="AW6" s="214"/>
      <c r="AX6" s="214"/>
      <c r="AY6" s="214"/>
      <c r="AZ6" s="214"/>
      <c r="BA6" s="214"/>
      <c r="BB6" s="214"/>
      <c r="BC6" s="217">
        <f t="shared" si="3"/>
        <v>0</v>
      </c>
      <c r="BD6" s="218">
        <f t="shared" si="4"/>
        <v>0</v>
      </c>
      <c r="BE6" s="210"/>
      <c r="BF6" s="219"/>
      <c r="BG6" s="219"/>
      <c r="BH6" s="219"/>
      <c r="BI6" s="220">
        <f t="shared" si="5"/>
        <v>0</v>
      </c>
      <c r="BJ6" s="219"/>
      <c r="BK6" s="221" t="str">
        <f t="shared" si="0"/>
        <v/>
      </c>
      <c r="BL6" s="221" t="str">
        <f t="shared" si="6"/>
        <v/>
      </c>
      <c r="BM6" s="221" t="str">
        <f t="shared" si="7"/>
        <v/>
      </c>
      <c r="BN6" s="222"/>
    </row>
    <row r="7" spans="1:66" s="126" customFormat="1" ht="28.15" customHeight="1" x14ac:dyDescent="0.25">
      <c r="A7" s="206" t="str">
        <f>IF(D7="","",Cover!$D$8)</f>
        <v/>
      </c>
      <c r="B7" s="206" t="str">
        <f>IF(D7="","",Cover!$D$7)</f>
        <v/>
      </c>
      <c r="C7" s="207" t="str">
        <f>IF(F7="","",IFERROR(VLOOKUP(F7,'Master Data'!$E$59:$J$146,6,FALSE),0))</f>
        <v/>
      </c>
      <c r="D7" s="208" t="str">
        <f>IF(F7="","",IFERROR(VLOOKUP(F7,'Master Data'!$E$59:$L$148,8,FALSE),0))</f>
        <v/>
      </c>
      <c r="E7" s="207" t="str">
        <f>IF(D7="","",IFERROR(VLOOKUP(D7,'Master Data'!$D$59:$I$148,6,FALSE),0))</f>
        <v/>
      </c>
      <c r="F7" s="209"/>
      <c r="G7" s="210"/>
      <c r="H7" s="211">
        <f>IFERROR(VLOOKUP(G7,'Master Data'!$C$336:$I$353,7,FALSE),0)</f>
        <v>0</v>
      </c>
      <c r="I7" s="208">
        <f>IFERROR(VLOOKUP(H7,'Master Data'!$B$336:$D$351,3,FALSE),0)</f>
        <v>0</v>
      </c>
      <c r="J7" s="211">
        <f>IFERROR(VLOOKUP(H7,'Master Data'!$B$336:$H$353,7,FALSE),0)</f>
        <v>0</v>
      </c>
      <c r="K7" s="212"/>
      <c r="L7" s="213" t="str">
        <f>IFERROR(IF(I7="FIXED ASSET",J7&amp;E7&amp;K7,VLOOKUP(F7,'Master Data'!$E$59:$H$146,4,FALSE)&amp;"-"&amp;J7&amp;"-"&amp;K7),"-")</f>
        <v>-</v>
      </c>
      <c r="M7" s="209"/>
      <c r="N7" s="209"/>
      <c r="O7" s="224"/>
      <c r="P7" s="224"/>
      <c r="Q7" s="224"/>
      <c r="R7" s="224"/>
      <c r="S7" s="224"/>
      <c r="T7" s="224"/>
      <c r="U7" s="224"/>
      <c r="V7" s="224"/>
      <c r="W7" s="224"/>
      <c r="X7" s="224"/>
      <c r="Y7" s="224"/>
      <c r="Z7" s="224"/>
      <c r="AA7" s="215">
        <f t="shared" si="1"/>
        <v>0</v>
      </c>
      <c r="AB7" s="318"/>
      <c r="AC7" s="214"/>
      <c r="AD7" s="214"/>
      <c r="AE7" s="214"/>
      <c r="AF7" s="214"/>
      <c r="AG7" s="214"/>
      <c r="AH7" s="214"/>
      <c r="AI7" s="214"/>
      <c r="AJ7" s="214"/>
      <c r="AK7" s="214"/>
      <c r="AL7" s="214"/>
      <c r="AM7" s="214"/>
      <c r="AN7" s="214"/>
      <c r="AO7" s="215">
        <f t="shared" si="2"/>
        <v>0</v>
      </c>
      <c r="AP7" s="216"/>
      <c r="AQ7" s="214"/>
      <c r="AR7" s="214"/>
      <c r="AS7" s="214"/>
      <c r="AT7" s="214"/>
      <c r="AU7" s="214"/>
      <c r="AV7" s="214"/>
      <c r="AW7" s="214"/>
      <c r="AX7" s="214"/>
      <c r="AY7" s="214"/>
      <c r="AZ7" s="214"/>
      <c r="BA7" s="214"/>
      <c r="BB7" s="214"/>
      <c r="BC7" s="217">
        <f t="shared" si="3"/>
        <v>0</v>
      </c>
      <c r="BD7" s="218">
        <f t="shared" si="4"/>
        <v>0</v>
      </c>
      <c r="BE7" s="210"/>
      <c r="BF7" s="219"/>
      <c r="BG7" s="219"/>
      <c r="BH7" s="219"/>
      <c r="BI7" s="220">
        <f t="shared" si="5"/>
        <v>0</v>
      </c>
      <c r="BJ7" s="219"/>
      <c r="BK7" s="221" t="str">
        <f t="shared" si="0"/>
        <v/>
      </c>
      <c r="BL7" s="221" t="str">
        <f t="shared" si="6"/>
        <v/>
      </c>
      <c r="BM7" s="221" t="str">
        <f t="shared" si="7"/>
        <v/>
      </c>
      <c r="BN7" s="222"/>
    </row>
    <row r="8" spans="1:66" s="126" customFormat="1" ht="28.15" customHeight="1" x14ac:dyDescent="0.25">
      <c r="A8" s="206" t="str">
        <f>IF(D8="","",Cover!$D$8)</f>
        <v/>
      </c>
      <c r="B8" s="206" t="str">
        <f>IF(D8="","",Cover!$D$7)</f>
        <v/>
      </c>
      <c r="C8" s="207" t="str">
        <f>IF(F8="","",IFERROR(VLOOKUP(F8,'Master Data'!$E$59:$J$146,6,FALSE),0))</f>
        <v/>
      </c>
      <c r="D8" s="208" t="str">
        <f>IF(F8="","",IFERROR(VLOOKUP(F8,'Master Data'!$E$59:$L$148,8,FALSE),0))</f>
        <v/>
      </c>
      <c r="E8" s="207" t="str">
        <f>IF(D8="","",IFERROR(VLOOKUP(D8,'Master Data'!$D$59:$I$148,6,FALSE),0))</f>
        <v/>
      </c>
      <c r="F8" s="209"/>
      <c r="G8" s="210"/>
      <c r="H8" s="211">
        <f>IFERROR(VLOOKUP(G8,'Master Data'!$C$336:$I$353,7,FALSE),0)</f>
        <v>0</v>
      </c>
      <c r="I8" s="208">
        <f>IFERROR(VLOOKUP(H8,'Master Data'!$B$336:$D$351,3,FALSE),0)</f>
        <v>0</v>
      </c>
      <c r="J8" s="211">
        <f>IFERROR(VLOOKUP(H8,'Master Data'!$B$336:$H$353,7,FALSE),0)</f>
        <v>0</v>
      </c>
      <c r="K8" s="212"/>
      <c r="L8" s="213" t="str">
        <f>IFERROR(IF(I8="FIXED ASSET",J8&amp;E8&amp;K8,VLOOKUP(F8,'Master Data'!$E$59:$H$146,4,FALSE)&amp;"-"&amp;J8&amp;"-"&amp;K8),"-")</f>
        <v>-</v>
      </c>
      <c r="M8" s="209"/>
      <c r="N8" s="209"/>
      <c r="O8" s="224"/>
      <c r="P8" s="224"/>
      <c r="Q8" s="224"/>
      <c r="R8" s="224"/>
      <c r="S8" s="224"/>
      <c r="T8" s="224"/>
      <c r="U8" s="224"/>
      <c r="V8" s="224"/>
      <c r="W8" s="224"/>
      <c r="X8" s="224"/>
      <c r="Y8" s="224"/>
      <c r="Z8" s="224"/>
      <c r="AA8" s="215">
        <f t="shared" si="1"/>
        <v>0</v>
      </c>
      <c r="AB8" s="318"/>
      <c r="AC8" s="214"/>
      <c r="AD8" s="214"/>
      <c r="AE8" s="214"/>
      <c r="AF8" s="214"/>
      <c r="AG8" s="214"/>
      <c r="AH8" s="214"/>
      <c r="AI8" s="214"/>
      <c r="AJ8" s="214"/>
      <c r="AK8" s="214"/>
      <c r="AL8" s="214"/>
      <c r="AM8" s="214"/>
      <c r="AN8" s="214"/>
      <c r="AO8" s="215">
        <f t="shared" si="2"/>
        <v>0</v>
      </c>
      <c r="AP8" s="216"/>
      <c r="AQ8" s="214"/>
      <c r="AR8" s="214"/>
      <c r="AS8" s="214"/>
      <c r="AT8" s="214"/>
      <c r="AU8" s="214"/>
      <c r="AV8" s="214"/>
      <c r="AW8" s="214"/>
      <c r="AX8" s="214"/>
      <c r="AY8" s="214"/>
      <c r="AZ8" s="214"/>
      <c r="BA8" s="214"/>
      <c r="BB8" s="214"/>
      <c r="BC8" s="217">
        <f t="shared" si="3"/>
        <v>0</v>
      </c>
      <c r="BD8" s="218">
        <f t="shared" si="4"/>
        <v>0</v>
      </c>
      <c r="BE8" s="210"/>
      <c r="BF8" s="219"/>
      <c r="BG8" s="219"/>
      <c r="BH8" s="219"/>
      <c r="BI8" s="220">
        <f t="shared" si="5"/>
        <v>0</v>
      </c>
      <c r="BJ8" s="219"/>
      <c r="BK8" s="221" t="str">
        <f t="shared" si="0"/>
        <v/>
      </c>
      <c r="BL8" s="221" t="str">
        <f t="shared" si="6"/>
        <v/>
      </c>
      <c r="BM8" s="221" t="str">
        <f t="shared" si="7"/>
        <v/>
      </c>
      <c r="BN8" s="222"/>
    </row>
    <row r="9" spans="1:66" s="126" customFormat="1" ht="28.15" customHeight="1" x14ac:dyDescent="0.25">
      <c r="A9" s="206" t="str">
        <f>IF(D9="","",Cover!$D$8)</f>
        <v/>
      </c>
      <c r="B9" s="206" t="str">
        <f>IF(D9="","",Cover!$D$7)</f>
        <v/>
      </c>
      <c r="C9" s="207" t="str">
        <f>IF(F9="","",IFERROR(VLOOKUP(F9,'Master Data'!$E$59:$J$146,6,FALSE),0))</f>
        <v/>
      </c>
      <c r="D9" s="208" t="str">
        <f>IF(F9="","",IFERROR(VLOOKUP(F9,'Master Data'!$E$59:$L$148,8,FALSE),0))</f>
        <v/>
      </c>
      <c r="E9" s="207" t="str">
        <f>IF(D9="","",IFERROR(VLOOKUP(D9,'Master Data'!$D$59:$I$148,6,FALSE),0))</f>
        <v/>
      </c>
      <c r="F9" s="209"/>
      <c r="G9" s="210"/>
      <c r="H9" s="211">
        <f>IFERROR(VLOOKUP(G9,'Master Data'!$C$336:$I$353,7,FALSE),0)</f>
        <v>0</v>
      </c>
      <c r="I9" s="208">
        <f>IFERROR(VLOOKUP(H9,'Master Data'!$B$336:$D$351,3,FALSE),0)</f>
        <v>0</v>
      </c>
      <c r="J9" s="211">
        <f>IFERROR(VLOOKUP(H9,'Master Data'!$B$336:$H$353,7,FALSE),0)</f>
        <v>0</v>
      </c>
      <c r="K9" s="212"/>
      <c r="L9" s="213" t="str">
        <f>IFERROR(IF(I9="FIXED ASSET",J9&amp;E9&amp;K9,VLOOKUP(F9,'Master Data'!$E$59:$H$146,4,FALSE)&amp;"-"&amp;J9&amp;"-"&amp;K9),"-")</f>
        <v>-</v>
      </c>
      <c r="M9" s="209"/>
      <c r="N9" s="209"/>
      <c r="O9" s="224"/>
      <c r="P9" s="224"/>
      <c r="Q9" s="224"/>
      <c r="R9" s="224"/>
      <c r="S9" s="224"/>
      <c r="T9" s="224"/>
      <c r="U9" s="224"/>
      <c r="V9" s="224"/>
      <c r="W9" s="224"/>
      <c r="X9" s="224"/>
      <c r="Y9" s="224"/>
      <c r="Z9" s="224"/>
      <c r="AA9" s="215">
        <f t="shared" si="1"/>
        <v>0</v>
      </c>
      <c r="AB9" s="318"/>
      <c r="AC9" s="214"/>
      <c r="AD9" s="214"/>
      <c r="AE9" s="214"/>
      <c r="AF9" s="214"/>
      <c r="AG9" s="214"/>
      <c r="AH9" s="214"/>
      <c r="AI9" s="214"/>
      <c r="AJ9" s="214"/>
      <c r="AK9" s="214"/>
      <c r="AL9" s="214"/>
      <c r="AM9" s="214"/>
      <c r="AN9" s="214"/>
      <c r="AO9" s="215">
        <f t="shared" si="2"/>
        <v>0</v>
      </c>
      <c r="AP9" s="216"/>
      <c r="AQ9" s="214"/>
      <c r="AR9" s="214"/>
      <c r="AS9" s="214"/>
      <c r="AT9" s="214"/>
      <c r="AU9" s="214"/>
      <c r="AV9" s="214"/>
      <c r="AW9" s="214"/>
      <c r="AX9" s="214"/>
      <c r="AY9" s="214"/>
      <c r="AZ9" s="214"/>
      <c r="BA9" s="214"/>
      <c r="BB9" s="214"/>
      <c r="BC9" s="217">
        <f t="shared" si="3"/>
        <v>0</v>
      </c>
      <c r="BD9" s="218">
        <f t="shared" si="4"/>
        <v>0</v>
      </c>
      <c r="BE9" s="210"/>
      <c r="BF9" s="219"/>
      <c r="BG9" s="219"/>
      <c r="BH9" s="219"/>
      <c r="BI9" s="220">
        <f t="shared" si="5"/>
        <v>0</v>
      </c>
      <c r="BJ9" s="219"/>
      <c r="BK9" s="221" t="str">
        <f t="shared" si="0"/>
        <v/>
      </c>
      <c r="BL9" s="221" t="str">
        <f t="shared" si="6"/>
        <v/>
      </c>
      <c r="BM9" s="221" t="str">
        <f t="shared" si="7"/>
        <v/>
      </c>
      <c r="BN9" s="222"/>
    </row>
    <row r="10" spans="1:66" s="126" customFormat="1" ht="28.15" customHeight="1" x14ac:dyDescent="0.25">
      <c r="A10" s="206" t="str">
        <f>IF(D10="","",Cover!$D$8)</f>
        <v/>
      </c>
      <c r="B10" s="206" t="str">
        <f>IF(D10="","",Cover!$D$7)</f>
        <v/>
      </c>
      <c r="C10" s="207" t="str">
        <f>IF(F10="","",IFERROR(VLOOKUP(F10,'Master Data'!$E$59:$J$146,6,FALSE),0))</f>
        <v/>
      </c>
      <c r="D10" s="208" t="str">
        <f>IF(F10="","",IFERROR(VLOOKUP(F10,'Master Data'!$E$59:$L$148,8,FALSE),0))</f>
        <v/>
      </c>
      <c r="E10" s="207" t="str">
        <f>IF(D10="","",IFERROR(VLOOKUP(D10,'Master Data'!$D$59:$I$148,6,FALSE),0))</f>
        <v/>
      </c>
      <c r="F10" s="209"/>
      <c r="G10" s="210"/>
      <c r="H10" s="211">
        <f>IFERROR(VLOOKUP(G10,'Master Data'!$C$336:$I$353,7,FALSE),0)</f>
        <v>0</v>
      </c>
      <c r="I10" s="208">
        <f>IFERROR(VLOOKUP(H10,'Master Data'!$B$336:$D$351,3,FALSE),0)</f>
        <v>0</v>
      </c>
      <c r="J10" s="211">
        <f>IFERROR(VLOOKUP(H10,'Master Data'!$B$336:$H$353,7,FALSE),0)</f>
        <v>0</v>
      </c>
      <c r="K10" s="212"/>
      <c r="L10" s="213" t="str">
        <f>IFERROR(IF(I10="FIXED ASSET",J10&amp;E10&amp;K10,VLOOKUP(F10,'Master Data'!$E$59:$H$146,4,FALSE)&amp;"-"&amp;J10&amp;"-"&amp;K10),"-")</f>
        <v>-</v>
      </c>
      <c r="M10" s="209"/>
      <c r="N10" s="209"/>
      <c r="O10" s="224"/>
      <c r="P10" s="224"/>
      <c r="Q10" s="224"/>
      <c r="R10" s="224"/>
      <c r="S10" s="224"/>
      <c r="T10" s="224"/>
      <c r="U10" s="224"/>
      <c r="V10" s="224"/>
      <c r="W10" s="224"/>
      <c r="X10" s="224"/>
      <c r="Y10" s="224"/>
      <c r="Z10" s="224"/>
      <c r="AA10" s="215">
        <f t="shared" si="1"/>
        <v>0</v>
      </c>
      <c r="AB10" s="318"/>
      <c r="AC10" s="214"/>
      <c r="AD10" s="214"/>
      <c r="AE10" s="214"/>
      <c r="AF10" s="214"/>
      <c r="AG10" s="214"/>
      <c r="AH10" s="214"/>
      <c r="AI10" s="214"/>
      <c r="AJ10" s="214"/>
      <c r="AK10" s="214"/>
      <c r="AL10" s="214"/>
      <c r="AM10" s="214"/>
      <c r="AN10" s="214"/>
      <c r="AO10" s="215">
        <f t="shared" si="2"/>
        <v>0</v>
      </c>
      <c r="AP10" s="216"/>
      <c r="AQ10" s="214"/>
      <c r="AR10" s="214"/>
      <c r="AS10" s="214"/>
      <c r="AT10" s="214"/>
      <c r="AU10" s="214"/>
      <c r="AV10" s="214"/>
      <c r="AW10" s="214"/>
      <c r="AX10" s="214"/>
      <c r="AY10" s="214"/>
      <c r="AZ10" s="214"/>
      <c r="BA10" s="214"/>
      <c r="BB10" s="214"/>
      <c r="BC10" s="217">
        <f t="shared" si="3"/>
        <v>0</v>
      </c>
      <c r="BD10" s="218">
        <f t="shared" si="4"/>
        <v>0</v>
      </c>
      <c r="BE10" s="210"/>
      <c r="BF10" s="219"/>
      <c r="BG10" s="219"/>
      <c r="BH10" s="219"/>
      <c r="BI10" s="220">
        <f t="shared" si="5"/>
        <v>0</v>
      </c>
      <c r="BJ10" s="219"/>
      <c r="BK10" s="221" t="str">
        <f t="shared" si="0"/>
        <v/>
      </c>
      <c r="BL10" s="221" t="str">
        <f t="shared" si="6"/>
        <v/>
      </c>
      <c r="BM10" s="221" t="str">
        <f t="shared" si="7"/>
        <v/>
      </c>
      <c r="BN10" s="222"/>
    </row>
    <row r="11" spans="1:66" s="126" customFormat="1" ht="28.15" customHeight="1" x14ac:dyDescent="0.25">
      <c r="A11" s="206" t="str">
        <f>IF(D11="","",Cover!$D$8)</f>
        <v/>
      </c>
      <c r="B11" s="206" t="str">
        <f>IF(D11="","",Cover!$D$7)</f>
        <v/>
      </c>
      <c r="C11" s="207" t="str">
        <f>IF(F11="","",IFERROR(VLOOKUP(F11,'Master Data'!$E$59:$J$146,6,FALSE),0))</f>
        <v/>
      </c>
      <c r="D11" s="208" t="str">
        <f>IF(F11="","",IFERROR(VLOOKUP(F11,'Master Data'!$E$59:$L$148,8,FALSE),0))</f>
        <v/>
      </c>
      <c r="E11" s="207" t="str">
        <f>IF(D11="","",IFERROR(VLOOKUP(D11,'Master Data'!$D$59:$I$148,6,FALSE),0))</f>
        <v/>
      </c>
      <c r="F11" s="209"/>
      <c r="G11" s="210"/>
      <c r="H11" s="211">
        <f>IFERROR(VLOOKUP(G11,'Master Data'!$C$336:$I$353,7,FALSE),0)</f>
        <v>0</v>
      </c>
      <c r="I11" s="208">
        <f>IFERROR(VLOOKUP(H11,'Master Data'!$B$336:$D$351,3,FALSE),0)</f>
        <v>0</v>
      </c>
      <c r="J11" s="211">
        <f>IFERROR(VLOOKUP(H11,'Master Data'!$B$336:$H$353,7,FALSE),0)</f>
        <v>0</v>
      </c>
      <c r="K11" s="212"/>
      <c r="L11" s="213" t="str">
        <f>IFERROR(IF(I11="FIXED ASSET",J11&amp;E11&amp;K11,VLOOKUP(F11,'Master Data'!$E$59:$H$146,4,FALSE)&amp;"-"&amp;J11&amp;"-"&amp;K11),"-")</f>
        <v>-</v>
      </c>
      <c r="M11" s="209"/>
      <c r="N11" s="209"/>
      <c r="O11" s="224"/>
      <c r="P11" s="224"/>
      <c r="Q11" s="224"/>
      <c r="R11" s="224"/>
      <c r="S11" s="224"/>
      <c r="T11" s="224"/>
      <c r="U11" s="224"/>
      <c r="V11" s="224"/>
      <c r="W11" s="224"/>
      <c r="X11" s="224"/>
      <c r="Y11" s="224"/>
      <c r="Z11" s="224"/>
      <c r="AA11" s="215">
        <f t="shared" si="1"/>
        <v>0</v>
      </c>
      <c r="AB11" s="318"/>
      <c r="AC11" s="214"/>
      <c r="AD11" s="214"/>
      <c r="AE11" s="214"/>
      <c r="AF11" s="214"/>
      <c r="AG11" s="214"/>
      <c r="AH11" s="214"/>
      <c r="AI11" s="214"/>
      <c r="AJ11" s="214"/>
      <c r="AK11" s="214"/>
      <c r="AL11" s="214"/>
      <c r="AM11" s="214"/>
      <c r="AN11" s="214"/>
      <c r="AO11" s="215">
        <f t="shared" si="2"/>
        <v>0</v>
      </c>
      <c r="AP11" s="216"/>
      <c r="AQ11" s="214"/>
      <c r="AR11" s="214"/>
      <c r="AS11" s="214"/>
      <c r="AT11" s="214"/>
      <c r="AU11" s="214"/>
      <c r="AV11" s="214"/>
      <c r="AW11" s="214"/>
      <c r="AX11" s="214"/>
      <c r="AY11" s="214"/>
      <c r="AZ11" s="214"/>
      <c r="BA11" s="214"/>
      <c r="BB11" s="214"/>
      <c r="BC11" s="217">
        <f t="shared" si="3"/>
        <v>0</v>
      </c>
      <c r="BD11" s="218">
        <f t="shared" si="4"/>
        <v>0</v>
      </c>
      <c r="BE11" s="210"/>
      <c r="BF11" s="219"/>
      <c r="BG11" s="219"/>
      <c r="BH11" s="219"/>
      <c r="BI11" s="220">
        <f t="shared" si="5"/>
        <v>0</v>
      </c>
      <c r="BJ11" s="219"/>
      <c r="BK11" s="221" t="str">
        <f t="shared" si="0"/>
        <v/>
      </c>
      <c r="BL11" s="221" t="str">
        <f t="shared" si="6"/>
        <v/>
      </c>
      <c r="BM11" s="221" t="str">
        <f t="shared" si="7"/>
        <v/>
      </c>
      <c r="BN11" s="222"/>
    </row>
    <row r="12" spans="1:66" s="126" customFormat="1" ht="28.15" customHeight="1" x14ac:dyDescent="0.25">
      <c r="A12" s="206" t="str">
        <f>IF(D12="","",Cover!$D$8)</f>
        <v/>
      </c>
      <c r="B12" s="206" t="str">
        <f>IF(D12="","",Cover!$D$7)</f>
        <v/>
      </c>
      <c r="C12" s="207" t="str">
        <f>IF(F12="","",IFERROR(VLOOKUP(F12,'Master Data'!$E$59:$J$146,6,FALSE),0))</f>
        <v/>
      </c>
      <c r="D12" s="208" t="str">
        <f>IF(F12="","",IFERROR(VLOOKUP(F12,'Master Data'!$E$59:$L$148,8,FALSE),0))</f>
        <v/>
      </c>
      <c r="E12" s="207" t="str">
        <f>IF(D12="","",IFERROR(VLOOKUP(D12,'Master Data'!$D$59:$I$148,6,FALSE),0))</f>
        <v/>
      </c>
      <c r="F12" s="209"/>
      <c r="G12" s="210"/>
      <c r="H12" s="211">
        <f>IFERROR(VLOOKUP(G12,'Master Data'!$C$336:$I$353,7,FALSE),0)</f>
        <v>0</v>
      </c>
      <c r="I12" s="208">
        <f>IFERROR(VLOOKUP(H12,'Master Data'!$B$336:$D$351,3,FALSE),0)</f>
        <v>0</v>
      </c>
      <c r="J12" s="211">
        <f>IFERROR(VLOOKUP(H12,'Master Data'!$B$336:$H$353,7,FALSE),0)</f>
        <v>0</v>
      </c>
      <c r="K12" s="212"/>
      <c r="L12" s="213" t="str">
        <f>IFERROR(IF(I12="FIXED ASSET",J12&amp;E12&amp;K12,VLOOKUP(F12,'Master Data'!$E$59:$H$146,4,FALSE)&amp;"-"&amp;J12&amp;"-"&amp;K12),"-")</f>
        <v>-</v>
      </c>
      <c r="M12" s="209"/>
      <c r="N12" s="209"/>
      <c r="O12" s="224"/>
      <c r="P12" s="224"/>
      <c r="Q12" s="224"/>
      <c r="R12" s="224"/>
      <c r="S12" s="224"/>
      <c r="T12" s="224"/>
      <c r="U12" s="224"/>
      <c r="V12" s="224"/>
      <c r="W12" s="224"/>
      <c r="X12" s="224"/>
      <c r="Y12" s="224"/>
      <c r="Z12" s="224"/>
      <c r="AA12" s="215">
        <f t="shared" si="1"/>
        <v>0</v>
      </c>
      <c r="AB12" s="318"/>
      <c r="AC12" s="214"/>
      <c r="AD12" s="214"/>
      <c r="AE12" s="214"/>
      <c r="AF12" s="214"/>
      <c r="AG12" s="214"/>
      <c r="AH12" s="214"/>
      <c r="AI12" s="214"/>
      <c r="AJ12" s="214"/>
      <c r="AK12" s="214"/>
      <c r="AL12" s="214"/>
      <c r="AM12" s="214"/>
      <c r="AN12" s="214"/>
      <c r="AO12" s="215">
        <f t="shared" si="2"/>
        <v>0</v>
      </c>
      <c r="AP12" s="216"/>
      <c r="AQ12" s="214"/>
      <c r="AR12" s="214"/>
      <c r="AS12" s="214"/>
      <c r="AT12" s="214"/>
      <c r="AU12" s="214"/>
      <c r="AV12" s="214"/>
      <c r="AW12" s="214"/>
      <c r="AX12" s="214"/>
      <c r="AY12" s="214"/>
      <c r="AZ12" s="214"/>
      <c r="BA12" s="214"/>
      <c r="BB12" s="214"/>
      <c r="BC12" s="217">
        <f t="shared" si="3"/>
        <v>0</v>
      </c>
      <c r="BD12" s="218">
        <f t="shared" si="4"/>
        <v>0</v>
      </c>
      <c r="BE12" s="210"/>
      <c r="BF12" s="219"/>
      <c r="BG12" s="219"/>
      <c r="BH12" s="219"/>
      <c r="BI12" s="220">
        <f t="shared" si="5"/>
        <v>0</v>
      </c>
      <c r="BJ12" s="219"/>
      <c r="BK12" s="221" t="str">
        <f t="shared" si="0"/>
        <v/>
      </c>
      <c r="BL12" s="221" t="str">
        <f t="shared" si="6"/>
        <v/>
      </c>
      <c r="BM12" s="221" t="str">
        <f t="shared" si="7"/>
        <v/>
      </c>
      <c r="BN12" s="222"/>
    </row>
    <row r="13" spans="1:66" s="126" customFormat="1" ht="28.15" customHeight="1" x14ac:dyDescent="0.25">
      <c r="A13" s="206" t="str">
        <f>IF(D13="","",Cover!$D$8)</f>
        <v/>
      </c>
      <c r="B13" s="206" t="str">
        <f>IF(D13="","",Cover!$D$7)</f>
        <v/>
      </c>
      <c r="C13" s="207" t="str">
        <f>IF(F13="","",IFERROR(VLOOKUP(F13,'Master Data'!$E$59:$J$146,6,FALSE),0))</f>
        <v/>
      </c>
      <c r="D13" s="208" t="str">
        <f>IF(F13="","",IFERROR(VLOOKUP(F13,'Master Data'!$E$59:$L$148,8,FALSE),0))</f>
        <v/>
      </c>
      <c r="E13" s="207" t="str">
        <f>IF(D13="","",IFERROR(VLOOKUP(D13,'Master Data'!$D$59:$I$148,6,FALSE),0))</f>
        <v/>
      </c>
      <c r="F13" s="209"/>
      <c r="G13" s="210"/>
      <c r="H13" s="211">
        <f>IFERROR(VLOOKUP(G13,'Master Data'!$C$336:$I$353,7,FALSE),0)</f>
        <v>0</v>
      </c>
      <c r="I13" s="208">
        <f>IFERROR(VLOOKUP(H13,'Master Data'!$B$336:$D$351,3,FALSE),0)</f>
        <v>0</v>
      </c>
      <c r="J13" s="211">
        <f>IFERROR(VLOOKUP(H13,'Master Data'!$B$336:$H$353,7,FALSE),0)</f>
        <v>0</v>
      </c>
      <c r="K13" s="212"/>
      <c r="L13" s="213" t="str">
        <f>IFERROR(IF(I13="FIXED ASSET",J13&amp;E13&amp;K13,VLOOKUP(F13,'Master Data'!$E$59:$H$146,4,FALSE)&amp;"-"&amp;J13&amp;"-"&amp;K13),"-")</f>
        <v>-</v>
      </c>
      <c r="M13" s="209"/>
      <c r="N13" s="209"/>
      <c r="O13" s="224"/>
      <c r="P13" s="224"/>
      <c r="Q13" s="224"/>
      <c r="R13" s="224"/>
      <c r="S13" s="224"/>
      <c r="T13" s="224"/>
      <c r="U13" s="224"/>
      <c r="V13" s="224"/>
      <c r="W13" s="224"/>
      <c r="X13" s="224"/>
      <c r="Y13" s="224"/>
      <c r="Z13" s="224"/>
      <c r="AA13" s="215">
        <f t="shared" si="1"/>
        <v>0</v>
      </c>
      <c r="AB13" s="318"/>
      <c r="AC13" s="214"/>
      <c r="AD13" s="214"/>
      <c r="AE13" s="214"/>
      <c r="AF13" s="214"/>
      <c r="AG13" s="214"/>
      <c r="AH13" s="214"/>
      <c r="AI13" s="214"/>
      <c r="AJ13" s="214"/>
      <c r="AK13" s="214"/>
      <c r="AL13" s="214"/>
      <c r="AM13" s="214"/>
      <c r="AN13" s="214"/>
      <c r="AO13" s="215">
        <f t="shared" si="2"/>
        <v>0</v>
      </c>
      <c r="AP13" s="216"/>
      <c r="AQ13" s="214"/>
      <c r="AR13" s="214"/>
      <c r="AS13" s="214"/>
      <c r="AT13" s="214"/>
      <c r="AU13" s="214"/>
      <c r="AV13" s="214"/>
      <c r="AW13" s="214"/>
      <c r="AX13" s="214"/>
      <c r="AY13" s="214"/>
      <c r="AZ13" s="214"/>
      <c r="BA13" s="214"/>
      <c r="BB13" s="214"/>
      <c r="BC13" s="217">
        <f t="shared" si="3"/>
        <v>0</v>
      </c>
      <c r="BD13" s="218">
        <f t="shared" si="4"/>
        <v>0</v>
      </c>
      <c r="BE13" s="210"/>
      <c r="BF13" s="219"/>
      <c r="BG13" s="219"/>
      <c r="BH13" s="219"/>
      <c r="BI13" s="220">
        <f t="shared" si="5"/>
        <v>0</v>
      </c>
      <c r="BJ13" s="219"/>
      <c r="BK13" s="221" t="str">
        <f t="shared" si="0"/>
        <v/>
      </c>
      <c r="BL13" s="221" t="str">
        <f t="shared" si="6"/>
        <v/>
      </c>
      <c r="BM13" s="221" t="str">
        <f t="shared" si="7"/>
        <v/>
      </c>
      <c r="BN13" s="222"/>
    </row>
    <row r="14" spans="1:66" s="126" customFormat="1" ht="28.15" customHeight="1" x14ac:dyDescent="0.25">
      <c r="A14" s="206" t="str">
        <f>IF(D14="","",Cover!$D$8)</f>
        <v/>
      </c>
      <c r="B14" s="206" t="str">
        <f>IF(D14="","",Cover!$D$7)</f>
        <v/>
      </c>
      <c r="C14" s="207" t="str">
        <f>IF(F14="","",IFERROR(VLOOKUP(F14,'Master Data'!$E$59:$J$146,6,FALSE),0))</f>
        <v/>
      </c>
      <c r="D14" s="208" t="str">
        <f>IF(F14="","",IFERROR(VLOOKUP(F14,'Master Data'!$E$59:$L$148,8,FALSE),0))</f>
        <v/>
      </c>
      <c r="E14" s="207" t="str">
        <f>IF(D14="","",IFERROR(VLOOKUP(D14,'Master Data'!$D$59:$I$148,6,FALSE),0))</f>
        <v/>
      </c>
      <c r="F14" s="209"/>
      <c r="G14" s="210"/>
      <c r="H14" s="211">
        <f>IFERROR(VLOOKUP(G14,'Master Data'!$C$336:$I$353,7,FALSE),0)</f>
        <v>0</v>
      </c>
      <c r="I14" s="208">
        <f>IFERROR(VLOOKUP(H14,'Master Data'!$B$336:$D$351,3,FALSE),0)</f>
        <v>0</v>
      </c>
      <c r="J14" s="211">
        <f>IFERROR(VLOOKUP(H14,'Master Data'!$B$336:$H$353,7,FALSE),0)</f>
        <v>0</v>
      </c>
      <c r="K14" s="212"/>
      <c r="L14" s="213" t="str">
        <f>IFERROR(IF(I14="FIXED ASSET",J14&amp;E14&amp;K14,VLOOKUP(F14,'Master Data'!$E$59:$H$146,4,FALSE)&amp;"-"&amp;J14&amp;"-"&amp;K14),"-")</f>
        <v>-</v>
      </c>
      <c r="M14" s="209"/>
      <c r="N14" s="209"/>
      <c r="O14" s="224"/>
      <c r="P14" s="224"/>
      <c r="Q14" s="224"/>
      <c r="R14" s="224"/>
      <c r="S14" s="224"/>
      <c r="T14" s="224"/>
      <c r="U14" s="224"/>
      <c r="V14" s="224"/>
      <c r="W14" s="224"/>
      <c r="X14" s="224"/>
      <c r="Y14" s="224"/>
      <c r="Z14" s="224"/>
      <c r="AA14" s="215">
        <f t="shared" si="1"/>
        <v>0</v>
      </c>
      <c r="AB14" s="318"/>
      <c r="AC14" s="214"/>
      <c r="AD14" s="214"/>
      <c r="AE14" s="214"/>
      <c r="AF14" s="214"/>
      <c r="AG14" s="214"/>
      <c r="AH14" s="214"/>
      <c r="AI14" s="214"/>
      <c r="AJ14" s="214"/>
      <c r="AK14" s="214"/>
      <c r="AL14" s="214"/>
      <c r="AM14" s="214"/>
      <c r="AN14" s="214"/>
      <c r="AO14" s="215">
        <f t="shared" si="2"/>
        <v>0</v>
      </c>
      <c r="AP14" s="216"/>
      <c r="AQ14" s="214"/>
      <c r="AR14" s="214"/>
      <c r="AS14" s="214"/>
      <c r="AT14" s="214"/>
      <c r="AU14" s="214"/>
      <c r="AV14" s="214"/>
      <c r="AW14" s="214"/>
      <c r="AX14" s="214"/>
      <c r="AY14" s="214"/>
      <c r="AZ14" s="214"/>
      <c r="BA14" s="214"/>
      <c r="BB14" s="214"/>
      <c r="BC14" s="217">
        <f t="shared" si="3"/>
        <v>0</v>
      </c>
      <c r="BD14" s="218">
        <f t="shared" si="4"/>
        <v>0</v>
      </c>
      <c r="BE14" s="210"/>
      <c r="BF14" s="219"/>
      <c r="BG14" s="219"/>
      <c r="BH14" s="219"/>
      <c r="BI14" s="220">
        <f t="shared" si="5"/>
        <v>0</v>
      </c>
      <c r="BJ14" s="219"/>
      <c r="BK14" s="221" t="str">
        <f t="shared" si="0"/>
        <v/>
      </c>
      <c r="BL14" s="221" t="str">
        <f t="shared" si="6"/>
        <v/>
      </c>
      <c r="BM14" s="221" t="str">
        <f t="shared" si="7"/>
        <v/>
      </c>
      <c r="BN14" s="222"/>
    </row>
    <row r="15" spans="1:66" s="126" customFormat="1" ht="28.15" customHeight="1" x14ac:dyDescent="0.25">
      <c r="A15" s="206" t="str">
        <f>IF(D15="","",Cover!$D$8)</f>
        <v/>
      </c>
      <c r="B15" s="206" t="str">
        <f>IF(D15="","",Cover!$D$7)</f>
        <v/>
      </c>
      <c r="C15" s="207" t="str">
        <f>IF(F15="","",IFERROR(VLOOKUP(F15,'Master Data'!$E$59:$J$146,6,FALSE),0))</f>
        <v/>
      </c>
      <c r="D15" s="208" t="str">
        <f>IF(F15="","",IFERROR(VLOOKUP(F15,'Master Data'!$E$59:$L$148,8,FALSE),0))</f>
        <v/>
      </c>
      <c r="E15" s="207" t="str">
        <f>IF(D15="","",IFERROR(VLOOKUP(D15,'Master Data'!$D$59:$I$148,6,FALSE),0))</f>
        <v/>
      </c>
      <c r="F15" s="209"/>
      <c r="G15" s="210"/>
      <c r="H15" s="211">
        <f>IFERROR(VLOOKUP(G15,'Master Data'!$C$336:$I$353,7,FALSE),0)</f>
        <v>0</v>
      </c>
      <c r="I15" s="208">
        <f>IFERROR(VLOOKUP(H15,'Master Data'!$B$336:$D$351,3,FALSE),0)</f>
        <v>0</v>
      </c>
      <c r="J15" s="211">
        <f>IFERROR(VLOOKUP(H15,'Master Data'!$B$336:$H$353,7,FALSE),0)</f>
        <v>0</v>
      </c>
      <c r="K15" s="212"/>
      <c r="L15" s="213" t="str">
        <f>IFERROR(IF(I15="FIXED ASSET",J15&amp;E15&amp;K15,VLOOKUP(F15,'Master Data'!$E$59:$H$146,4,FALSE)&amp;"-"&amp;J15&amp;"-"&amp;K15),"-")</f>
        <v>-</v>
      </c>
      <c r="M15" s="209"/>
      <c r="N15" s="209"/>
      <c r="O15" s="224"/>
      <c r="P15" s="224"/>
      <c r="Q15" s="224"/>
      <c r="R15" s="224"/>
      <c r="S15" s="224"/>
      <c r="T15" s="224"/>
      <c r="U15" s="224"/>
      <c r="V15" s="224"/>
      <c r="W15" s="224"/>
      <c r="X15" s="224"/>
      <c r="Y15" s="224"/>
      <c r="Z15" s="224"/>
      <c r="AA15" s="215">
        <f t="shared" si="1"/>
        <v>0</v>
      </c>
      <c r="AB15" s="318"/>
      <c r="AC15" s="214"/>
      <c r="AD15" s="214"/>
      <c r="AE15" s="214"/>
      <c r="AF15" s="214"/>
      <c r="AG15" s="214"/>
      <c r="AH15" s="214"/>
      <c r="AI15" s="214"/>
      <c r="AJ15" s="214"/>
      <c r="AK15" s="214"/>
      <c r="AL15" s="214"/>
      <c r="AM15" s="214"/>
      <c r="AN15" s="214"/>
      <c r="AO15" s="215">
        <f t="shared" si="2"/>
        <v>0</v>
      </c>
      <c r="AP15" s="216"/>
      <c r="AQ15" s="214"/>
      <c r="AR15" s="214"/>
      <c r="AS15" s="214"/>
      <c r="AT15" s="214"/>
      <c r="AU15" s="214"/>
      <c r="AV15" s="214"/>
      <c r="AW15" s="214"/>
      <c r="AX15" s="214"/>
      <c r="AY15" s="214"/>
      <c r="AZ15" s="214"/>
      <c r="BA15" s="214"/>
      <c r="BB15" s="214"/>
      <c r="BC15" s="217">
        <f t="shared" si="3"/>
        <v>0</v>
      </c>
      <c r="BD15" s="218">
        <f t="shared" si="4"/>
        <v>0</v>
      </c>
      <c r="BE15" s="210"/>
      <c r="BF15" s="219"/>
      <c r="BG15" s="219"/>
      <c r="BH15" s="219"/>
      <c r="BI15" s="220">
        <f t="shared" si="5"/>
        <v>0</v>
      </c>
      <c r="BJ15" s="219"/>
      <c r="BK15" s="221" t="str">
        <f t="shared" si="0"/>
        <v/>
      </c>
      <c r="BL15" s="221" t="str">
        <f t="shared" si="6"/>
        <v/>
      </c>
      <c r="BM15" s="221" t="str">
        <f t="shared" si="7"/>
        <v/>
      </c>
      <c r="BN15" s="222"/>
    </row>
    <row r="16" spans="1:66" s="126" customFormat="1" ht="28.15" customHeight="1" x14ac:dyDescent="0.25">
      <c r="A16" s="206" t="str">
        <f>IF(D16="","",Cover!$D$8)</f>
        <v/>
      </c>
      <c r="B16" s="206" t="str">
        <f>IF(D16="","",Cover!$D$7)</f>
        <v/>
      </c>
      <c r="C16" s="207" t="str">
        <f>IF(F16="","",IFERROR(VLOOKUP(F16,'Master Data'!$E$59:$J$146,6,FALSE),0))</f>
        <v/>
      </c>
      <c r="D16" s="208" t="str">
        <f>IF(F16="","",IFERROR(VLOOKUP(F16,'Master Data'!$E$59:$L$148,8,FALSE),0))</f>
        <v/>
      </c>
      <c r="E16" s="207" t="str">
        <f>IF(D16="","",IFERROR(VLOOKUP(D16,'Master Data'!$D$59:$I$148,6,FALSE),0))</f>
        <v/>
      </c>
      <c r="F16" s="209"/>
      <c r="G16" s="210"/>
      <c r="H16" s="211">
        <f>IFERROR(VLOOKUP(G16,'Master Data'!$C$336:$I$353,7,FALSE),0)</f>
        <v>0</v>
      </c>
      <c r="I16" s="208">
        <f>IFERROR(VLOOKUP(H16,'Master Data'!$B$336:$D$351,3,FALSE),0)</f>
        <v>0</v>
      </c>
      <c r="J16" s="211">
        <f>IFERROR(VLOOKUP(H16,'Master Data'!$B$336:$H$353,7,FALSE),0)</f>
        <v>0</v>
      </c>
      <c r="K16" s="212"/>
      <c r="L16" s="213" t="str">
        <f>IFERROR(IF(I16="FIXED ASSET",J16&amp;E16&amp;K16,VLOOKUP(F16,'Master Data'!$E$59:$H$146,4,FALSE)&amp;"-"&amp;J16&amp;"-"&amp;K16),"-")</f>
        <v>-</v>
      </c>
      <c r="M16" s="209"/>
      <c r="N16" s="209"/>
      <c r="O16" s="224"/>
      <c r="P16" s="224"/>
      <c r="Q16" s="224"/>
      <c r="R16" s="224"/>
      <c r="S16" s="224"/>
      <c r="T16" s="224"/>
      <c r="U16" s="224"/>
      <c r="V16" s="224"/>
      <c r="W16" s="224"/>
      <c r="X16" s="224"/>
      <c r="Y16" s="224"/>
      <c r="Z16" s="224"/>
      <c r="AA16" s="215">
        <f t="shared" si="1"/>
        <v>0</v>
      </c>
      <c r="AB16" s="318"/>
      <c r="AC16" s="214"/>
      <c r="AD16" s="214"/>
      <c r="AE16" s="214"/>
      <c r="AF16" s="214"/>
      <c r="AG16" s="214"/>
      <c r="AH16" s="214"/>
      <c r="AI16" s="214"/>
      <c r="AJ16" s="214"/>
      <c r="AK16" s="214"/>
      <c r="AL16" s="214"/>
      <c r="AM16" s="214"/>
      <c r="AN16" s="214"/>
      <c r="AO16" s="215">
        <f t="shared" si="2"/>
        <v>0</v>
      </c>
      <c r="AP16" s="216"/>
      <c r="AQ16" s="214"/>
      <c r="AR16" s="214"/>
      <c r="AS16" s="214"/>
      <c r="AT16" s="214"/>
      <c r="AU16" s="214"/>
      <c r="AV16" s="214"/>
      <c r="AW16" s="214"/>
      <c r="AX16" s="214"/>
      <c r="AY16" s="214"/>
      <c r="AZ16" s="214"/>
      <c r="BA16" s="214"/>
      <c r="BB16" s="214"/>
      <c r="BC16" s="217">
        <f t="shared" si="3"/>
        <v>0</v>
      </c>
      <c r="BD16" s="218">
        <f t="shared" si="4"/>
        <v>0</v>
      </c>
      <c r="BE16" s="210"/>
      <c r="BF16" s="219"/>
      <c r="BG16" s="219"/>
      <c r="BH16" s="219"/>
      <c r="BI16" s="220">
        <f t="shared" si="5"/>
        <v>0</v>
      </c>
      <c r="BJ16" s="219"/>
      <c r="BK16" s="221" t="str">
        <f t="shared" si="0"/>
        <v/>
      </c>
      <c r="BL16" s="221" t="str">
        <f t="shared" si="6"/>
        <v/>
      </c>
      <c r="BM16" s="221" t="str">
        <f t="shared" si="7"/>
        <v/>
      </c>
      <c r="BN16" s="222"/>
    </row>
    <row r="17" spans="1:66" s="126" customFormat="1" ht="28.15" customHeight="1" x14ac:dyDescent="0.25">
      <c r="A17" s="206" t="str">
        <f>IF(D17="","",Cover!$D$8)</f>
        <v/>
      </c>
      <c r="B17" s="206" t="str">
        <f>IF(D17="","",Cover!$D$7)</f>
        <v/>
      </c>
      <c r="C17" s="207" t="str">
        <f>IF(F17="","",IFERROR(VLOOKUP(F17,'Master Data'!$E$59:$J$146,6,FALSE),0))</f>
        <v/>
      </c>
      <c r="D17" s="208" t="str">
        <f>IF(F17="","",IFERROR(VLOOKUP(F17,'Master Data'!$E$59:$L$148,8,FALSE),0))</f>
        <v/>
      </c>
      <c r="E17" s="207" t="str">
        <f>IF(D17="","",IFERROR(VLOOKUP(D17,'Master Data'!$D$59:$I$148,6,FALSE),0))</f>
        <v/>
      </c>
      <c r="F17" s="209"/>
      <c r="G17" s="210"/>
      <c r="H17" s="211">
        <f>IFERROR(VLOOKUP(G17,'Master Data'!$C$336:$I$353,7,FALSE),0)</f>
        <v>0</v>
      </c>
      <c r="I17" s="208">
        <f>IFERROR(VLOOKUP(H17,'Master Data'!$B$336:$D$351,3,FALSE),0)</f>
        <v>0</v>
      </c>
      <c r="J17" s="211">
        <f>IFERROR(VLOOKUP(H17,'Master Data'!$B$336:$H$353,7,FALSE),0)</f>
        <v>0</v>
      </c>
      <c r="K17" s="212"/>
      <c r="L17" s="213" t="str">
        <f>IFERROR(IF(I17="FIXED ASSET",J17&amp;E17&amp;K17,VLOOKUP(F17,'Master Data'!$E$59:$H$146,4,FALSE)&amp;"-"&amp;J17&amp;"-"&amp;K17),"-")</f>
        <v>-</v>
      </c>
      <c r="M17" s="209"/>
      <c r="N17" s="209"/>
      <c r="O17" s="224"/>
      <c r="P17" s="224"/>
      <c r="Q17" s="224"/>
      <c r="R17" s="224"/>
      <c r="S17" s="224"/>
      <c r="T17" s="224"/>
      <c r="U17" s="224"/>
      <c r="V17" s="224"/>
      <c r="W17" s="224"/>
      <c r="X17" s="224"/>
      <c r="Y17" s="224"/>
      <c r="Z17" s="224"/>
      <c r="AA17" s="215">
        <f t="shared" si="1"/>
        <v>0</v>
      </c>
      <c r="AB17" s="318"/>
      <c r="AC17" s="214"/>
      <c r="AD17" s="214"/>
      <c r="AE17" s="214"/>
      <c r="AF17" s="214"/>
      <c r="AG17" s="214"/>
      <c r="AH17" s="214"/>
      <c r="AI17" s="214"/>
      <c r="AJ17" s="214"/>
      <c r="AK17" s="214"/>
      <c r="AL17" s="214"/>
      <c r="AM17" s="214"/>
      <c r="AN17" s="214"/>
      <c r="AO17" s="215">
        <f t="shared" si="2"/>
        <v>0</v>
      </c>
      <c r="AP17" s="216"/>
      <c r="AQ17" s="214"/>
      <c r="AR17" s="214"/>
      <c r="AS17" s="214"/>
      <c r="AT17" s="214"/>
      <c r="AU17" s="214"/>
      <c r="AV17" s="214"/>
      <c r="AW17" s="214"/>
      <c r="AX17" s="214"/>
      <c r="AY17" s="214"/>
      <c r="AZ17" s="214"/>
      <c r="BA17" s="214"/>
      <c r="BB17" s="214"/>
      <c r="BC17" s="217">
        <f t="shared" si="3"/>
        <v>0</v>
      </c>
      <c r="BD17" s="218">
        <f t="shared" si="4"/>
        <v>0</v>
      </c>
      <c r="BE17" s="210"/>
      <c r="BF17" s="219"/>
      <c r="BG17" s="219"/>
      <c r="BH17" s="219"/>
      <c r="BI17" s="220">
        <f t="shared" si="5"/>
        <v>0</v>
      </c>
      <c r="BJ17" s="219"/>
      <c r="BK17" s="221" t="str">
        <f t="shared" si="0"/>
        <v/>
      </c>
      <c r="BL17" s="221" t="str">
        <f t="shared" si="6"/>
        <v/>
      </c>
      <c r="BM17" s="221" t="str">
        <f t="shared" si="7"/>
        <v/>
      </c>
      <c r="BN17" s="222"/>
    </row>
    <row r="18" spans="1:66" s="126" customFormat="1" ht="28.15" customHeight="1" x14ac:dyDescent="0.25">
      <c r="A18" s="206" t="str">
        <f>IF(D18="","",Cover!$D$8)</f>
        <v/>
      </c>
      <c r="B18" s="206" t="str">
        <f>IF(D18="","",Cover!$D$7)</f>
        <v/>
      </c>
      <c r="C18" s="207" t="str">
        <f>IF(F18="","",IFERROR(VLOOKUP(F18,'Master Data'!$E$59:$J$146,6,FALSE),0))</f>
        <v/>
      </c>
      <c r="D18" s="208" t="str">
        <f>IF(F18="","",IFERROR(VLOOKUP(F18,'Master Data'!$E$59:$L$148,8,FALSE),0))</f>
        <v/>
      </c>
      <c r="E18" s="207" t="str">
        <f>IF(D18="","",IFERROR(VLOOKUP(D18,'Master Data'!$D$59:$I$148,6,FALSE),0))</f>
        <v/>
      </c>
      <c r="F18" s="209"/>
      <c r="G18" s="210"/>
      <c r="H18" s="211">
        <f>IFERROR(VLOOKUP(G18,'Master Data'!$C$336:$I$353,7,FALSE),0)</f>
        <v>0</v>
      </c>
      <c r="I18" s="208">
        <f>IFERROR(VLOOKUP(H18,'Master Data'!$B$336:$D$351,3,FALSE),0)</f>
        <v>0</v>
      </c>
      <c r="J18" s="211">
        <f>IFERROR(VLOOKUP(H18,'Master Data'!$B$336:$H$353,7,FALSE),0)</f>
        <v>0</v>
      </c>
      <c r="K18" s="212"/>
      <c r="L18" s="213" t="str">
        <f>IFERROR(IF(I18="FIXED ASSET",J18&amp;E18&amp;K18,VLOOKUP(F18,'Master Data'!$E$59:$H$146,4,FALSE)&amp;"-"&amp;J18&amp;"-"&amp;K18),"-")</f>
        <v>-</v>
      </c>
      <c r="M18" s="209"/>
      <c r="N18" s="209"/>
      <c r="O18" s="224"/>
      <c r="P18" s="224"/>
      <c r="Q18" s="224"/>
      <c r="R18" s="224"/>
      <c r="S18" s="224"/>
      <c r="T18" s="224"/>
      <c r="U18" s="224"/>
      <c r="V18" s="224"/>
      <c r="W18" s="224"/>
      <c r="X18" s="224"/>
      <c r="Y18" s="224"/>
      <c r="Z18" s="224"/>
      <c r="AA18" s="215">
        <f t="shared" si="1"/>
        <v>0</v>
      </c>
      <c r="AB18" s="318"/>
      <c r="AC18" s="214"/>
      <c r="AD18" s="214"/>
      <c r="AE18" s="214"/>
      <c r="AF18" s="214"/>
      <c r="AG18" s="214"/>
      <c r="AH18" s="214"/>
      <c r="AI18" s="214"/>
      <c r="AJ18" s="214"/>
      <c r="AK18" s="214"/>
      <c r="AL18" s="214"/>
      <c r="AM18" s="214"/>
      <c r="AN18" s="214"/>
      <c r="AO18" s="215">
        <f t="shared" si="2"/>
        <v>0</v>
      </c>
      <c r="AP18" s="216"/>
      <c r="AQ18" s="214"/>
      <c r="AR18" s="214"/>
      <c r="AS18" s="214"/>
      <c r="AT18" s="214"/>
      <c r="AU18" s="214"/>
      <c r="AV18" s="214"/>
      <c r="AW18" s="214"/>
      <c r="AX18" s="214"/>
      <c r="AY18" s="214"/>
      <c r="AZ18" s="214"/>
      <c r="BA18" s="214"/>
      <c r="BB18" s="214"/>
      <c r="BC18" s="217">
        <f t="shared" si="3"/>
        <v>0</v>
      </c>
      <c r="BD18" s="218">
        <f t="shared" si="4"/>
        <v>0</v>
      </c>
      <c r="BE18" s="210"/>
      <c r="BF18" s="219"/>
      <c r="BG18" s="219"/>
      <c r="BH18" s="219"/>
      <c r="BI18" s="220">
        <f t="shared" si="5"/>
        <v>0</v>
      </c>
      <c r="BJ18" s="219"/>
      <c r="BK18" s="221" t="str">
        <f t="shared" si="0"/>
        <v/>
      </c>
      <c r="BL18" s="221" t="str">
        <f t="shared" si="6"/>
        <v/>
      </c>
      <c r="BM18" s="221" t="str">
        <f t="shared" si="7"/>
        <v/>
      </c>
      <c r="BN18" s="222"/>
    </row>
    <row r="19" spans="1:66" s="126" customFormat="1" ht="28.15" customHeight="1" x14ac:dyDescent="0.25">
      <c r="A19" s="206" t="str">
        <f>IF(D19="","",Cover!$D$8)</f>
        <v/>
      </c>
      <c r="B19" s="206" t="str">
        <f>IF(D19="","",Cover!$D$7)</f>
        <v/>
      </c>
      <c r="C19" s="207" t="str">
        <f>IF(F19="","",IFERROR(VLOOKUP(F19,'Master Data'!$E$59:$J$146,6,FALSE),0))</f>
        <v/>
      </c>
      <c r="D19" s="208" t="str">
        <f>IF(F19="","",IFERROR(VLOOKUP(F19,'Master Data'!$E$59:$L$148,8,FALSE),0))</f>
        <v/>
      </c>
      <c r="E19" s="207" t="str">
        <f>IF(D19="","",IFERROR(VLOOKUP(D19,'Master Data'!$D$59:$I$148,6,FALSE),0))</f>
        <v/>
      </c>
      <c r="F19" s="209"/>
      <c r="G19" s="210"/>
      <c r="H19" s="211">
        <f>IFERROR(VLOOKUP(G19,'Master Data'!$C$336:$I$353,7,FALSE),0)</f>
        <v>0</v>
      </c>
      <c r="I19" s="208">
        <f>IFERROR(VLOOKUP(H19,'Master Data'!$B$336:$D$351,3,FALSE),0)</f>
        <v>0</v>
      </c>
      <c r="J19" s="211">
        <f>IFERROR(VLOOKUP(H19,'Master Data'!$B$336:$H$353,7,FALSE),0)</f>
        <v>0</v>
      </c>
      <c r="K19" s="212"/>
      <c r="L19" s="213" t="str">
        <f>IFERROR(IF(I19="FIXED ASSET",J19&amp;E19&amp;K19,VLOOKUP(F19,'Master Data'!$E$59:$H$146,4,FALSE)&amp;"-"&amp;J19&amp;"-"&amp;K19),"-")</f>
        <v>-</v>
      </c>
      <c r="M19" s="209"/>
      <c r="N19" s="209"/>
      <c r="O19" s="224"/>
      <c r="P19" s="224"/>
      <c r="Q19" s="224"/>
      <c r="R19" s="224"/>
      <c r="S19" s="224"/>
      <c r="T19" s="224"/>
      <c r="U19" s="224"/>
      <c r="V19" s="224"/>
      <c r="W19" s="224"/>
      <c r="X19" s="224"/>
      <c r="Y19" s="224"/>
      <c r="Z19" s="224"/>
      <c r="AA19" s="215">
        <f t="shared" si="1"/>
        <v>0</v>
      </c>
      <c r="AB19" s="318"/>
      <c r="AC19" s="214"/>
      <c r="AD19" s="214"/>
      <c r="AE19" s="214"/>
      <c r="AF19" s="214"/>
      <c r="AG19" s="214"/>
      <c r="AH19" s="214"/>
      <c r="AI19" s="214"/>
      <c r="AJ19" s="214"/>
      <c r="AK19" s="214"/>
      <c r="AL19" s="214"/>
      <c r="AM19" s="214"/>
      <c r="AN19" s="214"/>
      <c r="AO19" s="215">
        <f t="shared" si="2"/>
        <v>0</v>
      </c>
      <c r="AP19" s="216"/>
      <c r="AQ19" s="214"/>
      <c r="AR19" s="214"/>
      <c r="AS19" s="214"/>
      <c r="AT19" s="214"/>
      <c r="AU19" s="214"/>
      <c r="AV19" s="214"/>
      <c r="AW19" s="214"/>
      <c r="AX19" s="214"/>
      <c r="AY19" s="214"/>
      <c r="AZ19" s="214"/>
      <c r="BA19" s="214"/>
      <c r="BB19" s="214"/>
      <c r="BC19" s="217">
        <f t="shared" si="3"/>
        <v>0</v>
      </c>
      <c r="BD19" s="218">
        <f t="shared" si="4"/>
        <v>0</v>
      </c>
      <c r="BE19" s="210"/>
      <c r="BF19" s="219"/>
      <c r="BG19" s="219"/>
      <c r="BH19" s="219"/>
      <c r="BI19" s="220">
        <f t="shared" si="5"/>
        <v>0</v>
      </c>
      <c r="BJ19" s="219"/>
      <c r="BK19" s="221" t="str">
        <f t="shared" si="0"/>
        <v/>
      </c>
      <c r="BL19" s="221" t="str">
        <f t="shared" si="6"/>
        <v/>
      </c>
      <c r="BM19" s="221" t="str">
        <f t="shared" si="7"/>
        <v/>
      </c>
      <c r="BN19" s="222"/>
    </row>
    <row r="20" spans="1:66" s="126" customFormat="1" ht="28.15" customHeight="1" x14ac:dyDescent="0.25">
      <c r="A20" s="206" t="str">
        <f>IF(D20="","",Cover!$D$8)</f>
        <v/>
      </c>
      <c r="B20" s="206" t="str">
        <f>IF(D20="","",Cover!$D$7)</f>
        <v/>
      </c>
      <c r="C20" s="207" t="str">
        <f>IF(F20="","",IFERROR(VLOOKUP(F20,'Master Data'!$E$59:$J$146,6,FALSE),0))</f>
        <v/>
      </c>
      <c r="D20" s="208" t="str">
        <f>IF(F20="","",IFERROR(VLOOKUP(F20,'Master Data'!$E$59:$L$148,8,FALSE),0))</f>
        <v/>
      </c>
      <c r="E20" s="207" t="str">
        <f>IF(D20="","",IFERROR(VLOOKUP(D20,'Master Data'!$D$59:$I$148,6,FALSE),0))</f>
        <v/>
      </c>
      <c r="F20" s="209"/>
      <c r="G20" s="210"/>
      <c r="H20" s="211">
        <f>IFERROR(VLOOKUP(G20,'Master Data'!$C$336:$I$353,7,FALSE),0)</f>
        <v>0</v>
      </c>
      <c r="I20" s="208">
        <f>IFERROR(VLOOKUP(H20,'Master Data'!$B$336:$D$351,3,FALSE),0)</f>
        <v>0</v>
      </c>
      <c r="J20" s="211">
        <f>IFERROR(VLOOKUP(H20,'Master Data'!$B$336:$H$353,7,FALSE),0)</f>
        <v>0</v>
      </c>
      <c r="K20" s="212"/>
      <c r="L20" s="213" t="str">
        <f>IFERROR(IF(I20="FIXED ASSET",J20&amp;E20&amp;K20,VLOOKUP(F20,'Master Data'!$E$59:$H$146,4,FALSE)&amp;"-"&amp;J20&amp;"-"&amp;K20),"-")</f>
        <v>-</v>
      </c>
      <c r="M20" s="209"/>
      <c r="N20" s="209"/>
      <c r="O20" s="224"/>
      <c r="P20" s="224"/>
      <c r="Q20" s="224"/>
      <c r="R20" s="224"/>
      <c r="S20" s="224"/>
      <c r="T20" s="224"/>
      <c r="U20" s="224"/>
      <c r="V20" s="224"/>
      <c r="W20" s="224"/>
      <c r="X20" s="224"/>
      <c r="Y20" s="224"/>
      <c r="Z20" s="224"/>
      <c r="AA20" s="215">
        <f t="shared" si="1"/>
        <v>0</v>
      </c>
      <c r="AB20" s="318"/>
      <c r="AC20" s="214"/>
      <c r="AD20" s="214"/>
      <c r="AE20" s="214"/>
      <c r="AF20" s="214"/>
      <c r="AG20" s="214"/>
      <c r="AH20" s="214"/>
      <c r="AI20" s="214"/>
      <c r="AJ20" s="214"/>
      <c r="AK20" s="214"/>
      <c r="AL20" s="214"/>
      <c r="AM20" s="214"/>
      <c r="AN20" s="214"/>
      <c r="AO20" s="215">
        <f t="shared" si="2"/>
        <v>0</v>
      </c>
      <c r="AP20" s="216"/>
      <c r="AQ20" s="214"/>
      <c r="AR20" s="214"/>
      <c r="AS20" s="214"/>
      <c r="AT20" s="214"/>
      <c r="AU20" s="214"/>
      <c r="AV20" s="214"/>
      <c r="AW20" s="214"/>
      <c r="AX20" s="214"/>
      <c r="AY20" s="214"/>
      <c r="AZ20" s="214"/>
      <c r="BA20" s="214"/>
      <c r="BB20" s="214"/>
      <c r="BC20" s="217">
        <f t="shared" si="3"/>
        <v>0</v>
      </c>
      <c r="BD20" s="218">
        <f t="shared" si="4"/>
        <v>0</v>
      </c>
      <c r="BE20" s="210"/>
      <c r="BF20" s="219"/>
      <c r="BG20" s="219"/>
      <c r="BH20" s="219"/>
      <c r="BI20" s="220">
        <f t="shared" si="5"/>
        <v>0</v>
      </c>
      <c r="BJ20" s="219"/>
      <c r="BK20" s="221" t="str">
        <f t="shared" ref="BK20:BK56" si="8">IF($I20="PROJECT","Please Fill Start Date","")</f>
        <v/>
      </c>
      <c r="BL20" s="221" t="str">
        <f t="shared" si="6"/>
        <v/>
      </c>
      <c r="BM20" s="221" t="str">
        <f t="shared" si="7"/>
        <v/>
      </c>
      <c r="BN20" s="222"/>
    </row>
    <row r="21" spans="1:66" s="126" customFormat="1" ht="28.15" customHeight="1" x14ac:dyDescent="0.25">
      <c r="A21" s="206" t="str">
        <f>IF(D21="","",Cover!$D$8)</f>
        <v/>
      </c>
      <c r="B21" s="206" t="str">
        <f>IF(D21="","",Cover!$D$7)</f>
        <v/>
      </c>
      <c r="C21" s="207" t="str">
        <f>IF(F21="","",IFERROR(VLOOKUP(F21,'Master Data'!$E$59:$J$146,6,FALSE),0))</f>
        <v/>
      </c>
      <c r="D21" s="208" t="str">
        <f>IF(F21="","",IFERROR(VLOOKUP(F21,'Master Data'!$E$59:$L$148,8,FALSE),0))</f>
        <v/>
      </c>
      <c r="E21" s="207" t="str">
        <f>IF(D21="","",IFERROR(VLOOKUP(D21,'Master Data'!$D$59:$I$148,6,FALSE),0))</f>
        <v/>
      </c>
      <c r="F21" s="209"/>
      <c r="G21" s="210"/>
      <c r="H21" s="211">
        <f>IFERROR(VLOOKUP(G21,'Master Data'!$C$336:$I$353,7,FALSE),0)</f>
        <v>0</v>
      </c>
      <c r="I21" s="208">
        <f>IFERROR(VLOOKUP(H21,'Master Data'!$B$336:$D$351,3,FALSE),0)</f>
        <v>0</v>
      </c>
      <c r="J21" s="211">
        <f>IFERROR(VLOOKUP(H21,'Master Data'!$B$336:$H$353,7,FALSE),0)</f>
        <v>0</v>
      </c>
      <c r="K21" s="212"/>
      <c r="L21" s="213" t="str">
        <f>IFERROR(IF(I21="FIXED ASSET",J21&amp;E21&amp;K21,VLOOKUP(F21,'Master Data'!$E$59:$H$146,4,FALSE)&amp;"-"&amp;J21&amp;"-"&amp;K21),"-")</f>
        <v>-</v>
      </c>
      <c r="M21" s="209"/>
      <c r="N21" s="209"/>
      <c r="O21" s="224"/>
      <c r="P21" s="224"/>
      <c r="Q21" s="224"/>
      <c r="R21" s="224"/>
      <c r="S21" s="224"/>
      <c r="T21" s="224"/>
      <c r="U21" s="224"/>
      <c r="V21" s="224"/>
      <c r="W21" s="224"/>
      <c r="X21" s="224"/>
      <c r="Y21" s="224"/>
      <c r="Z21" s="224"/>
      <c r="AA21" s="215">
        <f t="shared" si="1"/>
        <v>0</v>
      </c>
      <c r="AB21" s="318"/>
      <c r="AC21" s="214"/>
      <c r="AD21" s="214"/>
      <c r="AE21" s="214"/>
      <c r="AF21" s="214"/>
      <c r="AG21" s="214"/>
      <c r="AH21" s="214"/>
      <c r="AI21" s="214"/>
      <c r="AJ21" s="214"/>
      <c r="AK21" s="214"/>
      <c r="AL21" s="214"/>
      <c r="AM21" s="214"/>
      <c r="AN21" s="214"/>
      <c r="AO21" s="215">
        <f t="shared" si="2"/>
        <v>0</v>
      </c>
      <c r="AP21" s="216"/>
      <c r="AQ21" s="214"/>
      <c r="AR21" s="214"/>
      <c r="AS21" s="214"/>
      <c r="AT21" s="214"/>
      <c r="AU21" s="214"/>
      <c r="AV21" s="214"/>
      <c r="AW21" s="214"/>
      <c r="AX21" s="214"/>
      <c r="AY21" s="214"/>
      <c r="AZ21" s="214"/>
      <c r="BA21" s="214"/>
      <c r="BB21" s="214"/>
      <c r="BC21" s="217">
        <f t="shared" si="3"/>
        <v>0</v>
      </c>
      <c r="BD21" s="218">
        <f t="shared" si="4"/>
        <v>0</v>
      </c>
      <c r="BE21" s="210"/>
      <c r="BF21" s="219"/>
      <c r="BG21" s="219"/>
      <c r="BH21" s="219"/>
      <c r="BI21" s="220">
        <f t="shared" si="5"/>
        <v>0</v>
      </c>
      <c r="BJ21" s="219"/>
      <c r="BK21" s="221" t="str">
        <f t="shared" si="8"/>
        <v/>
      </c>
      <c r="BL21" s="221" t="str">
        <f t="shared" si="6"/>
        <v/>
      </c>
      <c r="BM21" s="221" t="str">
        <f t="shared" si="7"/>
        <v/>
      </c>
      <c r="BN21" s="222"/>
    </row>
    <row r="22" spans="1:66" s="126" customFormat="1" ht="28.15" customHeight="1" x14ac:dyDescent="0.25">
      <c r="A22" s="206" t="str">
        <f>IF(D22="","",Cover!$D$8)</f>
        <v/>
      </c>
      <c r="B22" s="206" t="str">
        <f>IF(D22="","",Cover!$D$7)</f>
        <v/>
      </c>
      <c r="C22" s="207" t="str">
        <f>IF(F22="","",IFERROR(VLOOKUP(F22,'Master Data'!$E$59:$J$146,6,FALSE),0))</f>
        <v/>
      </c>
      <c r="D22" s="208" t="str">
        <f>IF(F22="","",IFERROR(VLOOKUP(F22,'Master Data'!$E$59:$L$148,8,FALSE),0))</f>
        <v/>
      </c>
      <c r="E22" s="207" t="str">
        <f>IF(D22="","",IFERROR(VLOOKUP(D22,'Master Data'!$D$59:$I$148,6,FALSE),0))</f>
        <v/>
      </c>
      <c r="F22" s="209"/>
      <c r="G22" s="210"/>
      <c r="H22" s="211">
        <f>IFERROR(VLOOKUP(G22,'Master Data'!$C$336:$I$353,7,FALSE),0)</f>
        <v>0</v>
      </c>
      <c r="I22" s="208">
        <f>IFERROR(VLOOKUP(H22,'Master Data'!$B$336:$D$351,3,FALSE),0)</f>
        <v>0</v>
      </c>
      <c r="J22" s="211">
        <f>IFERROR(VLOOKUP(H22,'Master Data'!$B$336:$H$353,7,FALSE),0)</f>
        <v>0</v>
      </c>
      <c r="K22" s="212"/>
      <c r="L22" s="213" t="str">
        <f>IFERROR(IF(I22="FIXED ASSET",J22&amp;E22&amp;K22,VLOOKUP(F22,'Master Data'!$E$59:$H$146,4,FALSE)&amp;"-"&amp;J22&amp;"-"&amp;K22),"-")</f>
        <v>-</v>
      </c>
      <c r="M22" s="209"/>
      <c r="N22" s="209"/>
      <c r="O22" s="224"/>
      <c r="P22" s="224"/>
      <c r="Q22" s="224"/>
      <c r="R22" s="224"/>
      <c r="S22" s="224"/>
      <c r="T22" s="224"/>
      <c r="U22" s="224"/>
      <c r="V22" s="224"/>
      <c r="W22" s="224"/>
      <c r="X22" s="224"/>
      <c r="Y22" s="224"/>
      <c r="Z22" s="224"/>
      <c r="AA22" s="215">
        <f t="shared" si="1"/>
        <v>0</v>
      </c>
      <c r="AB22" s="318"/>
      <c r="AC22" s="214"/>
      <c r="AD22" s="214"/>
      <c r="AE22" s="214"/>
      <c r="AF22" s="214"/>
      <c r="AG22" s="214"/>
      <c r="AH22" s="214"/>
      <c r="AI22" s="214"/>
      <c r="AJ22" s="214"/>
      <c r="AK22" s="214"/>
      <c r="AL22" s="214"/>
      <c r="AM22" s="214"/>
      <c r="AN22" s="214"/>
      <c r="AO22" s="215">
        <f t="shared" si="2"/>
        <v>0</v>
      </c>
      <c r="AP22" s="216"/>
      <c r="AQ22" s="214"/>
      <c r="AR22" s="214"/>
      <c r="AS22" s="214"/>
      <c r="AT22" s="214"/>
      <c r="AU22" s="214"/>
      <c r="AV22" s="214"/>
      <c r="AW22" s="214"/>
      <c r="AX22" s="214"/>
      <c r="AY22" s="214"/>
      <c r="AZ22" s="214"/>
      <c r="BA22" s="214"/>
      <c r="BB22" s="214"/>
      <c r="BC22" s="217">
        <f t="shared" si="3"/>
        <v>0</v>
      </c>
      <c r="BD22" s="218">
        <f t="shared" si="4"/>
        <v>0</v>
      </c>
      <c r="BE22" s="210"/>
      <c r="BF22" s="219"/>
      <c r="BG22" s="219"/>
      <c r="BH22" s="219"/>
      <c r="BI22" s="220">
        <f t="shared" si="5"/>
        <v>0</v>
      </c>
      <c r="BJ22" s="219"/>
      <c r="BK22" s="221" t="str">
        <f t="shared" si="8"/>
        <v/>
      </c>
      <c r="BL22" s="221" t="str">
        <f t="shared" si="6"/>
        <v/>
      </c>
      <c r="BM22" s="221" t="str">
        <f t="shared" si="7"/>
        <v/>
      </c>
      <c r="BN22" s="222"/>
    </row>
    <row r="23" spans="1:66" s="126" customFormat="1" ht="28.15" customHeight="1" x14ac:dyDescent="0.25">
      <c r="A23" s="206" t="str">
        <f>IF(D23="","",Cover!$D$8)</f>
        <v/>
      </c>
      <c r="B23" s="206" t="str">
        <f>IF(D23="","",Cover!$D$7)</f>
        <v/>
      </c>
      <c r="C23" s="207" t="str">
        <f>IF(F23="","",IFERROR(VLOOKUP(F23,'Master Data'!$E$59:$J$146,6,FALSE),0))</f>
        <v/>
      </c>
      <c r="D23" s="208" t="str">
        <f>IF(F23="","",IFERROR(VLOOKUP(F23,'Master Data'!$E$59:$L$148,8,FALSE),0))</f>
        <v/>
      </c>
      <c r="E23" s="207" t="str">
        <f>IF(D23="","",IFERROR(VLOOKUP(D23,'Master Data'!$D$59:$I$148,6,FALSE),0))</f>
        <v/>
      </c>
      <c r="F23" s="209"/>
      <c r="G23" s="210"/>
      <c r="H23" s="211">
        <f>IFERROR(VLOOKUP(G23,'Master Data'!$C$336:$I$353,7,FALSE),0)</f>
        <v>0</v>
      </c>
      <c r="I23" s="208">
        <f>IFERROR(VLOOKUP(H23,'Master Data'!$B$336:$D$351,3,FALSE),0)</f>
        <v>0</v>
      </c>
      <c r="J23" s="211">
        <f>IFERROR(VLOOKUP(H23,'Master Data'!$B$336:$H$353,7,FALSE),0)</f>
        <v>0</v>
      </c>
      <c r="K23" s="212"/>
      <c r="L23" s="213" t="str">
        <f>IFERROR(IF(I23="FIXED ASSET",J23&amp;E23&amp;K23,VLOOKUP(F23,'Master Data'!$E$59:$H$146,4,FALSE)&amp;"-"&amp;J23&amp;"-"&amp;K23),"-")</f>
        <v>-</v>
      </c>
      <c r="M23" s="209"/>
      <c r="N23" s="209"/>
      <c r="O23" s="224"/>
      <c r="P23" s="224"/>
      <c r="Q23" s="224"/>
      <c r="R23" s="224"/>
      <c r="S23" s="224"/>
      <c r="T23" s="224"/>
      <c r="U23" s="224"/>
      <c r="V23" s="224"/>
      <c r="W23" s="224"/>
      <c r="X23" s="224"/>
      <c r="Y23" s="224"/>
      <c r="Z23" s="224"/>
      <c r="AA23" s="215">
        <f t="shared" si="1"/>
        <v>0</v>
      </c>
      <c r="AB23" s="318"/>
      <c r="AC23" s="214"/>
      <c r="AD23" s="214"/>
      <c r="AE23" s="214"/>
      <c r="AF23" s="214"/>
      <c r="AG23" s="214"/>
      <c r="AH23" s="214"/>
      <c r="AI23" s="214"/>
      <c r="AJ23" s="214"/>
      <c r="AK23" s="214"/>
      <c r="AL23" s="214"/>
      <c r="AM23" s="214"/>
      <c r="AN23" s="214"/>
      <c r="AO23" s="215">
        <f t="shared" si="2"/>
        <v>0</v>
      </c>
      <c r="AP23" s="216"/>
      <c r="AQ23" s="214"/>
      <c r="AR23" s="214"/>
      <c r="AS23" s="214"/>
      <c r="AT23" s="214"/>
      <c r="AU23" s="214"/>
      <c r="AV23" s="214"/>
      <c r="AW23" s="214"/>
      <c r="AX23" s="214"/>
      <c r="AY23" s="214"/>
      <c r="AZ23" s="214"/>
      <c r="BA23" s="214"/>
      <c r="BB23" s="214"/>
      <c r="BC23" s="217">
        <f t="shared" si="3"/>
        <v>0</v>
      </c>
      <c r="BD23" s="218">
        <f t="shared" si="4"/>
        <v>0</v>
      </c>
      <c r="BE23" s="210"/>
      <c r="BF23" s="219"/>
      <c r="BG23" s="219"/>
      <c r="BH23" s="219"/>
      <c r="BI23" s="220">
        <f t="shared" si="5"/>
        <v>0</v>
      </c>
      <c r="BJ23" s="219"/>
      <c r="BK23" s="221" t="str">
        <f t="shared" si="8"/>
        <v/>
      </c>
      <c r="BL23" s="221" t="str">
        <f t="shared" si="6"/>
        <v/>
      </c>
      <c r="BM23" s="221" t="str">
        <f t="shared" si="7"/>
        <v/>
      </c>
      <c r="BN23" s="222"/>
    </row>
    <row r="24" spans="1:66" s="126" customFormat="1" ht="28.15" customHeight="1" x14ac:dyDescent="0.25">
      <c r="A24" s="206" t="str">
        <f>IF(D24="","",Cover!$D$8)</f>
        <v/>
      </c>
      <c r="B24" s="206" t="str">
        <f>IF(D24="","",Cover!$D$7)</f>
        <v/>
      </c>
      <c r="C24" s="207" t="str">
        <f>IF(F24="","",IFERROR(VLOOKUP(F24,'Master Data'!$E$59:$J$146,6,FALSE),0))</f>
        <v/>
      </c>
      <c r="D24" s="208" t="str">
        <f>IF(F24="","",IFERROR(VLOOKUP(F24,'Master Data'!$E$59:$L$148,8,FALSE),0))</f>
        <v/>
      </c>
      <c r="E24" s="207" t="str">
        <f>IF(D24="","",IFERROR(VLOOKUP(D24,'Master Data'!$D$59:$I$148,6,FALSE),0))</f>
        <v/>
      </c>
      <c r="F24" s="209"/>
      <c r="G24" s="210"/>
      <c r="H24" s="211">
        <f>IFERROR(VLOOKUP(G24,'Master Data'!$C$336:$I$353,7,FALSE),0)</f>
        <v>0</v>
      </c>
      <c r="I24" s="208">
        <f>IFERROR(VLOOKUP(H24,'Master Data'!$B$336:$D$351,3,FALSE),0)</f>
        <v>0</v>
      </c>
      <c r="J24" s="211">
        <f>IFERROR(VLOOKUP(H24,'Master Data'!$B$336:$H$353,7,FALSE),0)</f>
        <v>0</v>
      </c>
      <c r="K24" s="212"/>
      <c r="L24" s="213" t="str">
        <f>IFERROR(IF(I24="FIXED ASSET",J24&amp;E24&amp;K24,VLOOKUP(F24,'Master Data'!$E$59:$H$146,4,FALSE)&amp;"-"&amp;J24&amp;"-"&amp;K24),"-")</f>
        <v>-</v>
      </c>
      <c r="M24" s="209"/>
      <c r="N24" s="209"/>
      <c r="O24" s="224"/>
      <c r="P24" s="224"/>
      <c r="Q24" s="224"/>
      <c r="R24" s="224"/>
      <c r="S24" s="224"/>
      <c r="T24" s="224"/>
      <c r="U24" s="224"/>
      <c r="V24" s="224"/>
      <c r="W24" s="224"/>
      <c r="X24" s="224"/>
      <c r="Y24" s="224"/>
      <c r="Z24" s="224"/>
      <c r="AA24" s="215">
        <f t="shared" si="1"/>
        <v>0</v>
      </c>
      <c r="AB24" s="318"/>
      <c r="AC24" s="214"/>
      <c r="AD24" s="214"/>
      <c r="AE24" s="214"/>
      <c r="AF24" s="214"/>
      <c r="AG24" s="214"/>
      <c r="AH24" s="214"/>
      <c r="AI24" s="214"/>
      <c r="AJ24" s="214"/>
      <c r="AK24" s="214"/>
      <c r="AL24" s="214"/>
      <c r="AM24" s="214"/>
      <c r="AN24" s="214"/>
      <c r="AO24" s="215">
        <f t="shared" si="2"/>
        <v>0</v>
      </c>
      <c r="AP24" s="216"/>
      <c r="AQ24" s="214"/>
      <c r="AR24" s="214"/>
      <c r="AS24" s="214"/>
      <c r="AT24" s="214"/>
      <c r="AU24" s="214"/>
      <c r="AV24" s="214"/>
      <c r="AW24" s="214"/>
      <c r="AX24" s="214"/>
      <c r="AY24" s="214"/>
      <c r="AZ24" s="214"/>
      <c r="BA24" s="214"/>
      <c r="BB24" s="214"/>
      <c r="BC24" s="217">
        <f t="shared" si="3"/>
        <v>0</v>
      </c>
      <c r="BD24" s="218">
        <f t="shared" si="4"/>
        <v>0</v>
      </c>
      <c r="BE24" s="210"/>
      <c r="BF24" s="219"/>
      <c r="BG24" s="219"/>
      <c r="BH24" s="219"/>
      <c r="BI24" s="220">
        <f t="shared" si="5"/>
        <v>0</v>
      </c>
      <c r="BJ24" s="219"/>
      <c r="BK24" s="221" t="str">
        <f t="shared" si="8"/>
        <v/>
      </c>
      <c r="BL24" s="221" t="str">
        <f t="shared" si="6"/>
        <v/>
      </c>
      <c r="BM24" s="221" t="str">
        <f t="shared" si="7"/>
        <v/>
      </c>
      <c r="BN24" s="222"/>
    </row>
    <row r="25" spans="1:66" ht="28.15" customHeight="1" x14ac:dyDescent="0.25">
      <c r="A25" s="206" t="str">
        <f>IF(D25="","",Cover!$D$8)</f>
        <v/>
      </c>
      <c r="B25" s="206" t="str">
        <f>IF(D25="","",Cover!$D$7)</f>
        <v/>
      </c>
      <c r="C25" s="207" t="str">
        <f>IF(F25="","",IFERROR(VLOOKUP(F25,'Master Data'!$E$59:$J$146,6,FALSE),0))</f>
        <v/>
      </c>
      <c r="D25" s="208" t="str">
        <f>IF(F25="","",IFERROR(VLOOKUP(F25,'Master Data'!$E$59:$L$148,8,FALSE),0))</f>
        <v/>
      </c>
      <c r="E25" s="207" t="str">
        <f>IF(D25="","",IFERROR(VLOOKUP(D25,'Master Data'!$D$59:$I$148,6,FALSE),0))</f>
        <v/>
      </c>
      <c r="F25" s="209"/>
      <c r="G25" s="210"/>
      <c r="H25" s="211">
        <f>IFERROR(VLOOKUP(G25,'Master Data'!$C$336:$I$353,7,FALSE),0)</f>
        <v>0</v>
      </c>
      <c r="I25" s="208">
        <f>IFERROR(VLOOKUP(H25,'Master Data'!$B$336:$D$351,3,FALSE),0)</f>
        <v>0</v>
      </c>
      <c r="J25" s="211">
        <f>IFERROR(VLOOKUP(H25,'Master Data'!$B$336:$H$353,7,FALSE),0)</f>
        <v>0</v>
      </c>
      <c r="K25" s="212"/>
      <c r="L25" s="213" t="str">
        <f>IFERROR(IF(I25="FIXED ASSET",J25&amp;E25&amp;K25,VLOOKUP(F25,'Master Data'!$E$59:$H$146,4,FALSE)&amp;"-"&amp;J25&amp;"-"&amp;K25),"-")</f>
        <v>-</v>
      </c>
      <c r="M25" s="225"/>
      <c r="N25" s="225"/>
      <c r="O25" s="224"/>
      <c r="P25" s="224"/>
      <c r="Q25" s="224"/>
      <c r="R25" s="224"/>
      <c r="S25" s="224"/>
      <c r="T25" s="224"/>
      <c r="U25" s="224"/>
      <c r="V25" s="224"/>
      <c r="W25" s="224"/>
      <c r="X25" s="224"/>
      <c r="Y25" s="224"/>
      <c r="Z25" s="224"/>
      <c r="AA25" s="215">
        <f t="shared" si="1"/>
        <v>0</v>
      </c>
      <c r="AB25" s="318"/>
      <c r="AC25" s="214"/>
      <c r="AD25" s="214"/>
      <c r="AE25" s="214"/>
      <c r="AF25" s="214"/>
      <c r="AG25" s="214"/>
      <c r="AH25" s="214"/>
      <c r="AI25" s="214"/>
      <c r="AJ25" s="214"/>
      <c r="AK25" s="214"/>
      <c r="AL25" s="214"/>
      <c r="AM25" s="214"/>
      <c r="AN25" s="214"/>
      <c r="AO25" s="215">
        <f t="shared" si="2"/>
        <v>0</v>
      </c>
      <c r="AP25" s="216"/>
      <c r="AQ25" s="214"/>
      <c r="AR25" s="214"/>
      <c r="AS25" s="214"/>
      <c r="AT25" s="214"/>
      <c r="AU25" s="214"/>
      <c r="AV25" s="214"/>
      <c r="AW25" s="214"/>
      <c r="AX25" s="214"/>
      <c r="AY25" s="214"/>
      <c r="AZ25" s="214"/>
      <c r="BA25" s="214"/>
      <c r="BB25" s="214"/>
      <c r="BC25" s="217">
        <f t="shared" si="3"/>
        <v>0</v>
      </c>
      <c r="BD25" s="218">
        <f t="shared" si="4"/>
        <v>0</v>
      </c>
      <c r="BE25" s="210"/>
      <c r="BF25" s="219"/>
      <c r="BG25" s="219"/>
      <c r="BH25" s="219"/>
      <c r="BI25" s="220">
        <f t="shared" si="5"/>
        <v>0</v>
      </c>
      <c r="BJ25" s="219"/>
      <c r="BK25" s="221" t="str">
        <f t="shared" si="8"/>
        <v/>
      </c>
      <c r="BL25" s="221" t="str">
        <f t="shared" si="6"/>
        <v/>
      </c>
      <c r="BM25" s="221" t="str">
        <f t="shared" si="7"/>
        <v/>
      </c>
      <c r="BN25" s="222"/>
    </row>
    <row r="26" spans="1:66" ht="28.15" customHeight="1" x14ac:dyDescent="0.25">
      <c r="A26" s="206" t="str">
        <f>IF(D26="","",Cover!$D$8)</f>
        <v/>
      </c>
      <c r="B26" s="206" t="str">
        <f>IF(D26="","",Cover!$D$7)</f>
        <v/>
      </c>
      <c r="C26" s="207" t="str">
        <f>IF(F26="","",IFERROR(VLOOKUP(F26,'Master Data'!$E$59:$J$146,6,FALSE),0))</f>
        <v/>
      </c>
      <c r="D26" s="208" t="str">
        <f>IF(F26="","",IFERROR(VLOOKUP(F26,'Master Data'!$E$59:$L$148,8,FALSE),0))</f>
        <v/>
      </c>
      <c r="E26" s="207" t="str">
        <f>IF(D26="","",IFERROR(VLOOKUP(D26,'Master Data'!$D$59:$I$148,6,FALSE),0))</f>
        <v/>
      </c>
      <c r="F26" s="209"/>
      <c r="G26" s="210"/>
      <c r="H26" s="211">
        <f>IFERROR(VLOOKUP(G26,'Master Data'!$C$336:$I$353,7,FALSE),0)</f>
        <v>0</v>
      </c>
      <c r="I26" s="208">
        <f>IFERROR(VLOOKUP(H26,'Master Data'!$B$336:$D$351,3,FALSE),0)</f>
        <v>0</v>
      </c>
      <c r="J26" s="211">
        <f>IFERROR(VLOOKUP(H26,'Master Data'!$B$336:$H$353,7,FALSE),0)</f>
        <v>0</v>
      </c>
      <c r="K26" s="212"/>
      <c r="L26" s="213" t="str">
        <f>IFERROR(IF(I26="FIXED ASSET",J26&amp;E26&amp;K26,VLOOKUP(F26,'Master Data'!$E$59:$H$146,4,FALSE)&amp;"-"&amp;J26&amp;"-"&amp;K26),"-")</f>
        <v>-</v>
      </c>
      <c r="M26" s="225"/>
      <c r="N26" s="225"/>
      <c r="O26" s="224"/>
      <c r="P26" s="224"/>
      <c r="Q26" s="224"/>
      <c r="R26" s="224"/>
      <c r="S26" s="224"/>
      <c r="T26" s="224"/>
      <c r="U26" s="224"/>
      <c r="V26" s="224"/>
      <c r="W26" s="224"/>
      <c r="X26" s="224"/>
      <c r="Y26" s="224"/>
      <c r="Z26" s="224"/>
      <c r="AA26" s="215">
        <f t="shared" ref="AA26:AA56" si="9">SUM(O26:Z26)</f>
        <v>0</v>
      </c>
      <c r="AB26" s="318"/>
      <c r="AC26" s="214"/>
      <c r="AD26" s="214"/>
      <c r="AE26" s="214"/>
      <c r="AF26" s="214"/>
      <c r="AG26" s="214"/>
      <c r="AH26" s="214"/>
      <c r="AI26" s="214"/>
      <c r="AJ26" s="214"/>
      <c r="AK26" s="214"/>
      <c r="AL26" s="214"/>
      <c r="AM26" s="214"/>
      <c r="AN26" s="214"/>
      <c r="AO26" s="215">
        <f t="shared" si="2"/>
        <v>0</v>
      </c>
      <c r="AP26" s="216"/>
      <c r="AQ26" s="214"/>
      <c r="AR26" s="214"/>
      <c r="AS26" s="214"/>
      <c r="AT26" s="214"/>
      <c r="AU26" s="214"/>
      <c r="AV26" s="214"/>
      <c r="AW26" s="214"/>
      <c r="AX26" s="214"/>
      <c r="AY26" s="214"/>
      <c r="AZ26" s="214"/>
      <c r="BA26" s="214"/>
      <c r="BB26" s="214"/>
      <c r="BC26" s="217">
        <f t="shared" si="3"/>
        <v>0</v>
      </c>
      <c r="BD26" s="218">
        <f t="shared" si="4"/>
        <v>0</v>
      </c>
      <c r="BE26" s="210"/>
      <c r="BF26" s="219"/>
      <c r="BG26" s="219"/>
      <c r="BH26" s="219"/>
      <c r="BI26" s="220">
        <f t="shared" si="5"/>
        <v>0</v>
      </c>
      <c r="BJ26" s="219"/>
      <c r="BK26" s="221" t="str">
        <f t="shared" si="8"/>
        <v/>
      </c>
      <c r="BL26" s="221" t="str">
        <f t="shared" si="6"/>
        <v/>
      </c>
      <c r="BM26" s="221" t="str">
        <f t="shared" si="7"/>
        <v/>
      </c>
      <c r="BN26" s="222"/>
    </row>
    <row r="27" spans="1:66" ht="28.15" customHeight="1" x14ac:dyDescent="0.25">
      <c r="A27" s="206" t="str">
        <f>IF(D27="","",Cover!$D$8)</f>
        <v/>
      </c>
      <c r="B27" s="206" t="str">
        <f>IF(D27="","",Cover!$D$7)</f>
        <v/>
      </c>
      <c r="C27" s="207" t="str">
        <f>IF(F27="","",IFERROR(VLOOKUP(F27,'Master Data'!$E$59:$J$146,6,FALSE),0))</f>
        <v/>
      </c>
      <c r="D27" s="208" t="str">
        <f>IF(F27="","",IFERROR(VLOOKUP(F27,'Master Data'!$E$59:$L$148,8,FALSE),0))</f>
        <v/>
      </c>
      <c r="E27" s="207" t="str">
        <f>IF(D27="","",IFERROR(VLOOKUP(D27,'Master Data'!$D$59:$I$148,6,FALSE),0))</f>
        <v/>
      </c>
      <c r="F27" s="209"/>
      <c r="G27" s="210"/>
      <c r="H27" s="211">
        <f>IFERROR(VLOOKUP(G27,'Master Data'!$C$336:$I$353,7,FALSE),0)</f>
        <v>0</v>
      </c>
      <c r="I27" s="208">
        <f>IFERROR(VLOOKUP(H27,'Master Data'!$B$336:$D$351,3,FALSE),0)</f>
        <v>0</v>
      </c>
      <c r="J27" s="211">
        <f>IFERROR(VLOOKUP(H27,'Master Data'!$B$336:$H$353,7,FALSE),0)</f>
        <v>0</v>
      </c>
      <c r="K27" s="212"/>
      <c r="L27" s="213" t="str">
        <f>IFERROR(IF(I27="FIXED ASSET",J27&amp;E27&amp;K27,VLOOKUP(F27,'Master Data'!$E$59:$H$146,4,FALSE)&amp;"-"&amp;J27&amp;"-"&amp;K27),"-")</f>
        <v>-</v>
      </c>
      <c r="M27" s="225"/>
      <c r="N27" s="225"/>
      <c r="O27" s="224"/>
      <c r="P27" s="224"/>
      <c r="Q27" s="224"/>
      <c r="R27" s="224"/>
      <c r="S27" s="224"/>
      <c r="T27" s="224"/>
      <c r="U27" s="224"/>
      <c r="V27" s="224"/>
      <c r="W27" s="224"/>
      <c r="X27" s="224"/>
      <c r="Y27" s="224"/>
      <c r="Z27" s="224"/>
      <c r="AA27" s="215">
        <f t="shared" si="9"/>
        <v>0</v>
      </c>
      <c r="AB27" s="318"/>
      <c r="AC27" s="214"/>
      <c r="AD27" s="214"/>
      <c r="AE27" s="214"/>
      <c r="AF27" s="214"/>
      <c r="AG27" s="214"/>
      <c r="AH27" s="214"/>
      <c r="AI27" s="214"/>
      <c r="AJ27" s="214"/>
      <c r="AK27" s="214"/>
      <c r="AL27" s="214"/>
      <c r="AM27" s="214"/>
      <c r="AN27" s="214"/>
      <c r="AO27" s="215">
        <f t="shared" si="2"/>
        <v>0</v>
      </c>
      <c r="AP27" s="216"/>
      <c r="AQ27" s="214"/>
      <c r="AR27" s="214"/>
      <c r="AS27" s="214"/>
      <c r="AT27" s="214"/>
      <c r="AU27" s="214"/>
      <c r="AV27" s="214"/>
      <c r="AW27" s="214"/>
      <c r="AX27" s="214"/>
      <c r="AY27" s="214"/>
      <c r="AZ27" s="214"/>
      <c r="BA27" s="214"/>
      <c r="BB27" s="214"/>
      <c r="BC27" s="217">
        <f t="shared" si="3"/>
        <v>0</v>
      </c>
      <c r="BD27" s="218">
        <f t="shared" si="4"/>
        <v>0</v>
      </c>
      <c r="BE27" s="210"/>
      <c r="BF27" s="219"/>
      <c r="BG27" s="219"/>
      <c r="BH27" s="219"/>
      <c r="BI27" s="220">
        <f t="shared" si="5"/>
        <v>0</v>
      </c>
      <c r="BJ27" s="219"/>
      <c r="BK27" s="221" t="str">
        <f t="shared" si="8"/>
        <v/>
      </c>
      <c r="BL27" s="221" t="str">
        <f t="shared" si="6"/>
        <v/>
      </c>
      <c r="BM27" s="221" t="str">
        <f t="shared" si="7"/>
        <v/>
      </c>
      <c r="BN27" s="222"/>
    </row>
    <row r="28" spans="1:66" ht="28.15" customHeight="1" x14ac:dyDescent="0.25">
      <c r="A28" s="206" t="str">
        <f>IF(D28="","",Cover!$D$8)</f>
        <v/>
      </c>
      <c r="B28" s="206" t="str">
        <f>IF(D28="","",Cover!$D$7)</f>
        <v/>
      </c>
      <c r="C28" s="207" t="str">
        <f>IF(F28="","",IFERROR(VLOOKUP(F28,'Master Data'!$E$59:$J$146,6,FALSE),0))</f>
        <v/>
      </c>
      <c r="D28" s="208" t="str">
        <f>IF(F28="","",IFERROR(VLOOKUP(F28,'Master Data'!$E$59:$L$148,8,FALSE),0))</f>
        <v/>
      </c>
      <c r="E28" s="207" t="str">
        <f>IF(D28="","",IFERROR(VLOOKUP(D28,'Master Data'!$D$59:$I$148,6,FALSE),0))</f>
        <v/>
      </c>
      <c r="F28" s="209"/>
      <c r="G28" s="210"/>
      <c r="H28" s="211">
        <f>IFERROR(VLOOKUP(G28,'Master Data'!$C$336:$I$353,7,FALSE),0)</f>
        <v>0</v>
      </c>
      <c r="I28" s="208">
        <f>IFERROR(VLOOKUP(H28,'Master Data'!$B$336:$D$351,3,FALSE),0)</f>
        <v>0</v>
      </c>
      <c r="J28" s="211">
        <f>IFERROR(VLOOKUP(H28,'Master Data'!$B$336:$H$353,7,FALSE),0)</f>
        <v>0</v>
      </c>
      <c r="K28" s="212"/>
      <c r="L28" s="213" t="str">
        <f>IFERROR(IF(I28="FIXED ASSET",J28&amp;E28&amp;K28,VLOOKUP(F28,'Master Data'!$E$59:$H$146,4,FALSE)&amp;"-"&amp;J28&amp;"-"&amp;K28),"-")</f>
        <v>-</v>
      </c>
      <c r="M28" s="225"/>
      <c r="N28" s="225"/>
      <c r="O28" s="224"/>
      <c r="P28" s="224"/>
      <c r="Q28" s="224"/>
      <c r="R28" s="224"/>
      <c r="S28" s="224"/>
      <c r="T28" s="224"/>
      <c r="U28" s="224"/>
      <c r="V28" s="224"/>
      <c r="W28" s="224"/>
      <c r="X28" s="224"/>
      <c r="Y28" s="224"/>
      <c r="Z28" s="224"/>
      <c r="AA28" s="215">
        <f t="shared" si="9"/>
        <v>0</v>
      </c>
      <c r="AB28" s="318"/>
      <c r="AC28" s="214"/>
      <c r="AD28" s="214"/>
      <c r="AE28" s="214"/>
      <c r="AF28" s="214"/>
      <c r="AG28" s="214"/>
      <c r="AH28" s="214"/>
      <c r="AI28" s="214"/>
      <c r="AJ28" s="214"/>
      <c r="AK28" s="214"/>
      <c r="AL28" s="214"/>
      <c r="AM28" s="214"/>
      <c r="AN28" s="214"/>
      <c r="AO28" s="215">
        <f t="shared" si="2"/>
        <v>0</v>
      </c>
      <c r="AP28" s="216"/>
      <c r="AQ28" s="214"/>
      <c r="AR28" s="214"/>
      <c r="AS28" s="214"/>
      <c r="AT28" s="214"/>
      <c r="AU28" s="214"/>
      <c r="AV28" s="214"/>
      <c r="AW28" s="214"/>
      <c r="AX28" s="214"/>
      <c r="AY28" s="214"/>
      <c r="AZ28" s="214"/>
      <c r="BA28" s="214"/>
      <c r="BB28" s="214"/>
      <c r="BC28" s="217">
        <f t="shared" si="3"/>
        <v>0</v>
      </c>
      <c r="BD28" s="218">
        <f t="shared" si="4"/>
        <v>0</v>
      </c>
      <c r="BE28" s="210"/>
      <c r="BF28" s="219"/>
      <c r="BG28" s="219"/>
      <c r="BH28" s="219"/>
      <c r="BI28" s="220">
        <f t="shared" si="5"/>
        <v>0</v>
      </c>
      <c r="BJ28" s="219"/>
      <c r="BK28" s="221" t="str">
        <f t="shared" si="8"/>
        <v/>
      </c>
      <c r="BL28" s="221" t="str">
        <f t="shared" si="6"/>
        <v/>
      </c>
      <c r="BM28" s="221" t="str">
        <f t="shared" si="7"/>
        <v/>
      </c>
      <c r="BN28" s="222"/>
    </row>
    <row r="29" spans="1:66" ht="28.15" customHeight="1" x14ac:dyDescent="0.25">
      <c r="A29" s="206" t="str">
        <f>IF(D29="","",Cover!$D$8)</f>
        <v/>
      </c>
      <c r="B29" s="206" t="str">
        <f>IF(D29="","",Cover!$D$7)</f>
        <v/>
      </c>
      <c r="C29" s="207" t="str">
        <f>IF(F29="","",IFERROR(VLOOKUP(F29,'Master Data'!$E$59:$J$146,6,FALSE),0))</f>
        <v/>
      </c>
      <c r="D29" s="208" t="str">
        <f>IF(F29="","",IFERROR(VLOOKUP(F29,'Master Data'!$E$59:$L$148,8,FALSE),0))</f>
        <v/>
      </c>
      <c r="E29" s="207" t="str">
        <f>IF(D29="","",IFERROR(VLOOKUP(D29,'Master Data'!$D$59:$I$148,6,FALSE),0))</f>
        <v/>
      </c>
      <c r="F29" s="209"/>
      <c r="G29" s="210"/>
      <c r="H29" s="211">
        <f>IFERROR(VLOOKUP(G29,'Master Data'!$C$336:$I$353,7,FALSE),0)</f>
        <v>0</v>
      </c>
      <c r="I29" s="208">
        <f>IFERROR(VLOOKUP(H29,'Master Data'!$B$336:$D$351,3,FALSE),0)</f>
        <v>0</v>
      </c>
      <c r="J29" s="211">
        <f>IFERROR(VLOOKUP(H29,'Master Data'!$B$336:$H$353,7,FALSE),0)</f>
        <v>0</v>
      </c>
      <c r="K29" s="212"/>
      <c r="L29" s="213" t="str">
        <f>IFERROR(IF(I29="FIXED ASSET",J29&amp;E29&amp;K29,VLOOKUP(F29,'Master Data'!$E$59:$H$146,4,FALSE)&amp;"-"&amp;J29&amp;"-"&amp;K29),"-")</f>
        <v>-</v>
      </c>
      <c r="M29" s="225"/>
      <c r="N29" s="225"/>
      <c r="O29" s="224"/>
      <c r="P29" s="224"/>
      <c r="Q29" s="224"/>
      <c r="R29" s="224"/>
      <c r="S29" s="224"/>
      <c r="T29" s="224"/>
      <c r="U29" s="224"/>
      <c r="V29" s="224"/>
      <c r="W29" s="224"/>
      <c r="X29" s="224"/>
      <c r="Y29" s="224"/>
      <c r="Z29" s="224"/>
      <c r="AA29" s="215">
        <f t="shared" si="9"/>
        <v>0</v>
      </c>
      <c r="AB29" s="318"/>
      <c r="AC29" s="214"/>
      <c r="AD29" s="214"/>
      <c r="AE29" s="214"/>
      <c r="AF29" s="214"/>
      <c r="AG29" s="214"/>
      <c r="AH29" s="214"/>
      <c r="AI29" s="214"/>
      <c r="AJ29" s="214"/>
      <c r="AK29" s="214"/>
      <c r="AL29" s="214"/>
      <c r="AM29" s="214"/>
      <c r="AN29" s="214"/>
      <c r="AO29" s="215">
        <f t="shared" si="2"/>
        <v>0</v>
      </c>
      <c r="AP29" s="216"/>
      <c r="AQ29" s="214"/>
      <c r="AR29" s="214"/>
      <c r="AS29" s="214"/>
      <c r="AT29" s="214"/>
      <c r="AU29" s="214"/>
      <c r="AV29" s="214"/>
      <c r="AW29" s="214"/>
      <c r="AX29" s="214"/>
      <c r="AY29" s="214"/>
      <c r="AZ29" s="214"/>
      <c r="BA29" s="214"/>
      <c r="BB29" s="214"/>
      <c r="BC29" s="217">
        <f t="shared" si="3"/>
        <v>0</v>
      </c>
      <c r="BD29" s="218">
        <f t="shared" si="4"/>
        <v>0</v>
      </c>
      <c r="BE29" s="210"/>
      <c r="BF29" s="219"/>
      <c r="BG29" s="219"/>
      <c r="BH29" s="219"/>
      <c r="BI29" s="220">
        <f t="shared" si="5"/>
        <v>0</v>
      </c>
      <c r="BJ29" s="219"/>
      <c r="BK29" s="221" t="str">
        <f t="shared" si="8"/>
        <v/>
      </c>
      <c r="BL29" s="221" t="str">
        <f t="shared" si="6"/>
        <v/>
      </c>
      <c r="BM29" s="221" t="str">
        <f t="shared" si="7"/>
        <v/>
      </c>
      <c r="BN29" s="222"/>
    </row>
    <row r="30" spans="1:66" ht="28.15" customHeight="1" x14ac:dyDescent="0.25">
      <c r="A30" s="206" t="str">
        <f>IF(D30="","",Cover!$D$8)</f>
        <v/>
      </c>
      <c r="B30" s="206" t="str">
        <f>IF(D30="","",Cover!$D$7)</f>
        <v/>
      </c>
      <c r="C30" s="207" t="str">
        <f>IF(F30="","",IFERROR(VLOOKUP(F30,'Master Data'!$E$59:$J$146,6,FALSE),0))</f>
        <v/>
      </c>
      <c r="D30" s="208" t="str">
        <f>IF(F30="","",IFERROR(VLOOKUP(F30,'Master Data'!$E$59:$L$148,8,FALSE),0))</f>
        <v/>
      </c>
      <c r="E30" s="207" t="str">
        <f>IF(D30="","",IFERROR(VLOOKUP(D30,'Master Data'!$D$59:$I$148,6,FALSE),0))</f>
        <v/>
      </c>
      <c r="F30" s="209"/>
      <c r="G30" s="210"/>
      <c r="H30" s="211">
        <f>IFERROR(VLOOKUP(G30,'Master Data'!$C$336:$I$353,7,FALSE),0)</f>
        <v>0</v>
      </c>
      <c r="I30" s="208">
        <f>IFERROR(VLOOKUP(H30,'Master Data'!$B$336:$D$351,3,FALSE),0)</f>
        <v>0</v>
      </c>
      <c r="J30" s="211">
        <f>IFERROR(VLOOKUP(H30,'Master Data'!$B$336:$H$353,7,FALSE),0)</f>
        <v>0</v>
      </c>
      <c r="K30" s="212"/>
      <c r="L30" s="213" t="str">
        <f>IFERROR(IF(I30="FIXED ASSET",J30&amp;E30&amp;K30,VLOOKUP(F30,'Master Data'!$E$59:$H$146,4,FALSE)&amp;"-"&amp;J30&amp;"-"&amp;K30),"-")</f>
        <v>-</v>
      </c>
      <c r="M30" s="225"/>
      <c r="N30" s="225"/>
      <c r="O30" s="224"/>
      <c r="P30" s="224"/>
      <c r="Q30" s="224"/>
      <c r="R30" s="224"/>
      <c r="S30" s="224"/>
      <c r="T30" s="224"/>
      <c r="U30" s="224"/>
      <c r="V30" s="224"/>
      <c r="W30" s="224"/>
      <c r="X30" s="224"/>
      <c r="Y30" s="224"/>
      <c r="Z30" s="224"/>
      <c r="AA30" s="215">
        <f t="shared" si="9"/>
        <v>0</v>
      </c>
      <c r="AB30" s="318"/>
      <c r="AC30" s="214"/>
      <c r="AD30" s="214"/>
      <c r="AE30" s="214"/>
      <c r="AF30" s="214"/>
      <c r="AG30" s="214"/>
      <c r="AH30" s="214"/>
      <c r="AI30" s="214"/>
      <c r="AJ30" s="214"/>
      <c r="AK30" s="214"/>
      <c r="AL30" s="214"/>
      <c r="AM30" s="214"/>
      <c r="AN30" s="214"/>
      <c r="AO30" s="215">
        <f t="shared" si="2"/>
        <v>0</v>
      </c>
      <c r="AP30" s="216"/>
      <c r="AQ30" s="214"/>
      <c r="AR30" s="214"/>
      <c r="AS30" s="214"/>
      <c r="AT30" s="214"/>
      <c r="AU30" s="214"/>
      <c r="AV30" s="214"/>
      <c r="AW30" s="214"/>
      <c r="AX30" s="214"/>
      <c r="AY30" s="214"/>
      <c r="AZ30" s="214"/>
      <c r="BA30" s="214"/>
      <c r="BB30" s="214"/>
      <c r="BC30" s="217">
        <f t="shared" si="3"/>
        <v>0</v>
      </c>
      <c r="BD30" s="218">
        <f t="shared" si="4"/>
        <v>0</v>
      </c>
      <c r="BE30" s="210"/>
      <c r="BF30" s="219"/>
      <c r="BG30" s="219"/>
      <c r="BH30" s="219"/>
      <c r="BI30" s="220">
        <f t="shared" si="5"/>
        <v>0</v>
      </c>
      <c r="BJ30" s="219"/>
      <c r="BK30" s="221" t="str">
        <f t="shared" si="8"/>
        <v/>
      </c>
      <c r="BL30" s="221" t="str">
        <f t="shared" si="6"/>
        <v/>
      </c>
      <c r="BM30" s="221" t="str">
        <f t="shared" si="7"/>
        <v/>
      </c>
      <c r="BN30" s="222"/>
    </row>
    <row r="31" spans="1:66" ht="28.15" customHeight="1" x14ac:dyDescent="0.25">
      <c r="A31" s="206" t="str">
        <f>IF(D31="","",Cover!$D$8)</f>
        <v/>
      </c>
      <c r="B31" s="206" t="str">
        <f>IF(D31="","",Cover!$D$7)</f>
        <v/>
      </c>
      <c r="C31" s="207" t="str">
        <f>IF(F31="","",IFERROR(VLOOKUP(F31,'Master Data'!$E$59:$J$146,6,FALSE),0))</f>
        <v/>
      </c>
      <c r="D31" s="208" t="str">
        <f>IF(F31="","",IFERROR(VLOOKUP(F31,'Master Data'!$E$59:$L$148,8,FALSE),0))</f>
        <v/>
      </c>
      <c r="E31" s="207" t="str">
        <f>IF(D31="","",IFERROR(VLOOKUP(D31,'Master Data'!$D$59:$I$148,6,FALSE),0))</f>
        <v/>
      </c>
      <c r="F31" s="209"/>
      <c r="G31" s="210"/>
      <c r="H31" s="211">
        <f>IFERROR(VLOOKUP(G31,'Master Data'!$C$336:$I$353,7,FALSE),0)</f>
        <v>0</v>
      </c>
      <c r="I31" s="208">
        <f>IFERROR(VLOOKUP(H31,'Master Data'!$B$336:$D$351,3,FALSE),0)</f>
        <v>0</v>
      </c>
      <c r="J31" s="211">
        <f>IFERROR(VLOOKUP(H31,'Master Data'!$B$336:$H$353,7,FALSE),0)</f>
        <v>0</v>
      </c>
      <c r="K31" s="212"/>
      <c r="L31" s="213" t="str">
        <f>IFERROR(IF(I31="FIXED ASSET",J31&amp;E31&amp;K31,VLOOKUP(F31,'Master Data'!$E$59:$H$146,4,FALSE)&amp;"-"&amp;J31&amp;"-"&amp;K31),"-")</f>
        <v>-</v>
      </c>
      <c r="M31" s="225"/>
      <c r="N31" s="225"/>
      <c r="O31" s="224"/>
      <c r="P31" s="224"/>
      <c r="Q31" s="224"/>
      <c r="R31" s="224"/>
      <c r="S31" s="224"/>
      <c r="T31" s="224"/>
      <c r="U31" s="224"/>
      <c r="V31" s="224"/>
      <c r="W31" s="224"/>
      <c r="X31" s="224"/>
      <c r="Y31" s="224"/>
      <c r="Z31" s="224"/>
      <c r="AA31" s="215">
        <f t="shared" si="9"/>
        <v>0</v>
      </c>
      <c r="AB31" s="318"/>
      <c r="AC31" s="214"/>
      <c r="AD31" s="214"/>
      <c r="AE31" s="214"/>
      <c r="AF31" s="214"/>
      <c r="AG31" s="214"/>
      <c r="AH31" s="214"/>
      <c r="AI31" s="214"/>
      <c r="AJ31" s="214"/>
      <c r="AK31" s="214"/>
      <c r="AL31" s="214"/>
      <c r="AM31" s="214"/>
      <c r="AN31" s="214"/>
      <c r="AO31" s="215">
        <f t="shared" si="2"/>
        <v>0</v>
      </c>
      <c r="AP31" s="216"/>
      <c r="AQ31" s="214"/>
      <c r="AR31" s="214"/>
      <c r="AS31" s="214"/>
      <c r="AT31" s="214"/>
      <c r="AU31" s="214"/>
      <c r="AV31" s="214"/>
      <c r="AW31" s="214"/>
      <c r="AX31" s="214"/>
      <c r="AY31" s="214"/>
      <c r="AZ31" s="214"/>
      <c r="BA31" s="214"/>
      <c r="BB31" s="214"/>
      <c r="BC31" s="217">
        <f t="shared" si="3"/>
        <v>0</v>
      </c>
      <c r="BD31" s="218">
        <f t="shared" si="4"/>
        <v>0</v>
      </c>
      <c r="BE31" s="210"/>
      <c r="BF31" s="219"/>
      <c r="BG31" s="219"/>
      <c r="BH31" s="219"/>
      <c r="BI31" s="220">
        <f t="shared" si="5"/>
        <v>0</v>
      </c>
      <c r="BJ31" s="219"/>
      <c r="BK31" s="221" t="str">
        <f t="shared" si="8"/>
        <v/>
      </c>
      <c r="BL31" s="221" t="str">
        <f t="shared" si="6"/>
        <v/>
      </c>
      <c r="BM31" s="221" t="str">
        <f t="shared" si="7"/>
        <v/>
      </c>
      <c r="BN31" s="222"/>
    </row>
    <row r="32" spans="1:66" ht="28.15" customHeight="1" x14ac:dyDescent="0.25">
      <c r="A32" s="206" t="str">
        <f>IF(D32="","",Cover!$D$8)</f>
        <v/>
      </c>
      <c r="B32" s="206" t="str">
        <f>IF(D32="","",Cover!$D$7)</f>
        <v/>
      </c>
      <c r="C32" s="207" t="str">
        <f>IF(F32="","",IFERROR(VLOOKUP(F32,'Master Data'!$E$59:$J$146,6,FALSE),0))</f>
        <v/>
      </c>
      <c r="D32" s="208" t="str">
        <f>IF(F32="","",IFERROR(VLOOKUP(F32,'Master Data'!$E$59:$L$148,8,FALSE),0))</f>
        <v/>
      </c>
      <c r="E32" s="207" t="str">
        <f>IF(D32="","",IFERROR(VLOOKUP(D32,'Master Data'!$D$59:$I$148,6,FALSE),0))</f>
        <v/>
      </c>
      <c r="F32" s="209"/>
      <c r="G32" s="210"/>
      <c r="H32" s="211">
        <f>IFERROR(VLOOKUP(G32,'Master Data'!$C$336:$I$353,7,FALSE),0)</f>
        <v>0</v>
      </c>
      <c r="I32" s="208">
        <f>IFERROR(VLOOKUP(H32,'Master Data'!$B$336:$D$351,3,FALSE),0)</f>
        <v>0</v>
      </c>
      <c r="J32" s="211">
        <f>IFERROR(VLOOKUP(H32,'Master Data'!$B$336:$H$353,7,FALSE),0)</f>
        <v>0</v>
      </c>
      <c r="K32" s="212"/>
      <c r="L32" s="213" t="str">
        <f>IFERROR(IF(I32="FIXED ASSET",J32&amp;E32&amp;K32,VLOOKUP(F32,'Master Data'!$E$59:$H$146,4,FALSE)&amp;"-"&amp;J32&amp;"-"&amp;K32),"-")</f>
        <v>-</v>
      </c>
      <c r="M32" s="225"/>
      <c r="N32" s="225"/>
      <c r="O32" s="224"/>
      <c r="P32" s="224"/>
      <c r="Q32" s="224"/>
      <c r="R32" s="224"/>
      <c r="S32" s="224"/>
      <c r="T32" s="224"/>
      <c r="U32" s="224"/>
      <c r="V32" s="224"/>
      <c r="W32" s="224"/>
      <c r="X32" s="224"/>
      <c r="Y32" s="224"/>
      <c r="Z32" s="224"/>
      <c r="AA32" s="215">
        <f t="shared" si="9"/>
        <v>0</v>
      </c>
      <c r="AB32" s="318"/>
      <c r="AC32" s="214"/>
      <c r="AD32" s="214"/>
      <c r="AE32" s="214"/>
      <c r="AF32" s="214"/>
      <c r="AG32" s="214"/>
      <c r="AH32" s="214"/>
      <c r="AI32" s="214"/>
      <c r="AJ32" s="214"/>
      <c r="AK32" s="214"/>
      <c r="AL32" s="214"/>
      <c r="AM32" s="214"/>
      <c r="AN32" s="214"/>
      <c r="AO32" s="215">
        <f t="shared" si="2"/>
        <v>0</v>
      </c>
      <c r="AP32" s="216"/>
      <c r="AQ32" s="214"/>
      <c r="AR32" s="214"/>
      <c r="AS32" s="214"/>
      <c r="AT32" s="214"/>
      <c r="AU32" s="214"/>
      <c r="AV32" s="214"/>
      <c r="AW32" s="214"/>
      <c r="AX32" s="214"/>
      <c r="AY32" s="214"/>
      <c r="AZ32" s="214"/>
      <c r="BA32" s="214"/>
      <c r="BB32" s="214"/>
      <c r="BC32" s="217">
        <f t="shared" si="3"/>
        <v>0</v>
      </c>
      <c r="BD32" s="218">
        <f t="shared" si="4"/>
        <v>0</v>
      </c>
      <c r="BE32" s="210"/>
      <c r="BF32" s="219"/>
      <c r="BG32" s="219"/>
      <c r="BH32" s="219"/>
      <c r="BI32" s="220">
        <f t="shared" si="5"/>
        <v>0</v>
      </c>
      <c r="BJ32" s="219"/>
      <c r="BK32" s="221" t="str">
        <f t="shared" si="8"/>
        <v/>
      </c>
      <c r="BL32" s="221" t="str">
        <f t="shared" si="6"/>
        <v/>
      </c>
      <c r="BM32" s="221" t="str">
        <f t="shared" si="7"/>
        <v/>
      </c>
      <c r="BN32" s="222"/>
    </row>
    <row r="33" spans="1:66" ht="28.15" customHeight="1" x14ac:dyDescent="0.25">
      <c r="A33" s="206" t="str">
        <f>IF(D33="","",Cover!$D$8)</f>
        <v/>
      </c>
      <c r="B33" s="206" t="str">
        <f>IF(D33="","",Cover!$D$7)</f>
        <v/>
      </c>
      <c r="C33" s="207" t="str">
        <f>IF(F33="","",IFERROR(VLOOKUP(F33,'Master Data'!$E$59:$J$146,6,FALSE),0))</f>
        <v/>
      </c>
      <c r="D33" s="208" t="str">
        <f>IF(F33="","",IFERROR(VLOOKUP(F33,'Master Data'!$E$59:$L$148,8,FALSE),0))</f>
        <v/>
      </c>
      <c r="E33" s="207" t="str">
        <f>IF(D33="","",IFERROR(VLOOKUP(D33,'Master Data'!$D$59:$I$148,6,FALSE),0))</f>
        <v/>
      </c>
      <c r="F33" s="209"/>
      <c r="G33" s="210"/>
      <c r="H33" s="211">
        <f>IFERROR(VLOOKUP(G33,'Master Data'!$C$336:$I$353,7,FALSE),0)</f>
        <v>0</v>
      </c>
      <c r="I33" s="208">
        <f>IFERROR(VLOOKUP(H33,'Master Data'!$B$336:$D$351,3,FALSE),0)</f>
        <v>0</v>
      </c>
      <c r="J33" s="211">
        <f>IFERROR(VLOOKUP(H33,'Master Data'!$B$336:$H$353,7,FALSE),0)</f>
        <v>0</v>
      </c>
      <c r="K33" s="212"/>
      <c r="L33" s="213" t="str">
        <f>IFERROR(IF(I33="FIXED ASSET",J33&amp;E33&amp;K33,VLOOKUP(F33,'Master Data'!$E$59:$H$146,4,FALSE)&amp;"-"&amp;J33&amp;"-"&amp;K33),"-")</f>
        <v>-</v>
      </c>
      <c r="M33" s="225"/>
      <c r="N33" s="225"/>
      <c r="O33" s="224"/>
      <c r="P33" s="224"/>
      <c r="Q33" s="224"/>
      <c r="R33" s="224"/>
      <c r="S33" s="224"/>
      <c r="T33" s="224"/>
      <c r="U33" s="224"/>
      <c r="V33" s="224"/>
      <c r="W33" s="224"/>
      <c r="X33" s="224"/>
      <c r="Y33" s="224"/>
      <c r="Z33" s="224"/>
      <c r="AA33" s="215">
        <f t="shared" si="9"/>
        <v>0</v>
      </c>
      <c r="AB33" s="318"/>
      <c r="AC33" s="214"/>
      <c r="AD33" s="214"/>
      <c r="AE33" s="214"/>
      <c r="AF33" s="214"/>
      <c r="AG33" s="214"/>
      <c r="AH33" s="214"/>
      <c r="AI33" s="214"/>
      <c r="AJ33" s="214"/>
      <c r="AK33" s="214"/>
      <c r="AL33" s="214"/>
      <c r="AM33" s="214"/>
      <c r="AN33" s="214"/>
      <c r="AO33" s="215">
        <f t="shared" si="2"/>
        <v>0</v>
      </c>
      <c r="AP33" s="216"/>
      <c r="AQ33" s="214"/>
      <c r="AR33" s="214"/>
      <c r="AS33" s="214"/>
      <c r="AT33" s="214"/>
      <c r="AU33" s="214"/>
      <c r="AV33" s="214"/>
      <c r="AW33" s="214"/>
      <c r="AX33" s="214"/>
      <c r="AY33" s="214"/>
      <c r="AZ33" s="214"/>
      <c r="BA33" s="214"/>
      <c r="BB33" s="214"/>
      <c r="BC33" s="217">
        <f t="shared" si="3"/>
        <v>0</v>
      </c>
      <c r="BD33" s="218">
        <f t="shared" si="4"/>
        <v>0</v>
      </c>
      <c r="BE33" s="210"/>
      <c r="BF33" s="219"/>
      <c r="BG33" s="219"/>
      <c r="BH33" s="219"/>
      <c r="BI33" s="220">
        <f t="shared" si="5"/>
        <v>0</v>
      </c>
      <c r="BJ33" s="219"/>
      <c r="BK33" s="221" t="str">
        <f t="shared" si="8"/>
        <v/>
      </c>
      <c r="BL33" s="221" t="str">
        <f t="shared" si="6"/>
        <v/>
      </c>
      <c r="BM33" s="221" t="str">
        <f t="shared" si="7"/>
        <v/>
      </c>
      <c r="BN33" s="222"/>
    </row>
    <row r="34" spans="1:66" ht="28.15" customHeight="1" x14ac:dyDescent="0.25">
      <c r="A34" s="206" t="str">
        <f>IF(D34="","",Cover!$D$8)</f>
        <v/>
      </c>
      <c r="B34" s="206" t="str">
        <f>IF(D34="","",Cover!$D$7)</f>
        <v/>
      </c>
      <c r="C34" s="207" t="str">
        <f>IF(F34="","",IFERROR(VLOOKUP(F34,'Master Data'!$E$59:$J$146,6,FALSE),0))</f>
        <v/>
      </c>
      <c r="D34" s="208" t="str">
        <f>IF(F34="","",IFERROR(VLOOKUP(F34,'Master Data'!$E$59:$L$148,8,FALSE),0))</f>
        <v/>
      </c>
      <c r="E34" s="207" t="str">
        <f>IF(D34="","",IFERROR(VLOOKUP(D34,'Master Data'!$D$59:$I$148,6,FALSE),0))</f>
        <v/>
      </c>
      <c r="F34" s="209"/>
      <c r="G34" s="210"/>
      <c r="H34" s="211">
        <f>IFERROR(VLOOKUP(G34,'Master Data'!$C$336:$I$353,7,FALSE),0)</f>
        <v>0</v>
      </c>
      <c r="I34" s="208">
        <f>IFERROR(VLOOKUP(H34,'Master Data'!$B$336:$D$351,3,FALSE),0)</f>
        <v>0</v>
      </c>
      <c r="J34" s="211">
        <f>IFERROR(VLOOKUP(H34,'Master Data'!$B$336:$H$353,7,FALSE),0)</f>
        <v>0</v>
      </c>
      <c r="K34" s="212"/>
      <c r="L34" s="213" t="str">
        <f>IFERROR(IF(I34="FIXED ASSET",J34&amp;E34&amp;K34,VLOOKUP(F34,'Master Data'!$E$59:$H$146,4,FALSE)&amp;"-"&amp;J34&amp;"-"&amp;K34),"-")</f>
        <v>-</v>
      </c>
      <c r="M34" s="225"/>
      <c r="N34" s="225"/>
      <c r="O34" s="224"/>
      <c r="P34" s="224"/>
      <c r="Q34" s="224"/>
      <c r="R34" s="224"/>
      <c r="S34" s="224"/>
      <c r="T34" s="224"/>
      <c r="U34" s="224"/>
      <c r="V34" s="224"/>
      <c r="W34" s="224"/>
      <c r="X34" s="224"/>
      <c r="Y34" s="224"/>
      <c r="Z34" s="224"/>
      <c r="AA34" s="215">
        <f t="shared" si="9"/>
        <v>0</v>
      </c>
      <c r="AB34" s="318"/>
      <c r="AC34" s="214"/>
      <c r="AD34" s="214"/>
      <c r="AE34" s="214"/>
      <c r="AF34" s="214"/>
      <c r="AG34" s="214"/>
      <c r="AH34" s="214"/>
      <c r="AI34" s="214"/>
      <c r="AJ34" s="214"/>
      <c r="AK34" s="214"/>
      <c r="AL34" s="214"/>
      <c r="AM34" s="214"/>
      <c r="AN34" s="214"/>
      <c r="AO34" s="215">
        <f t="shared" si="2"/>
        <v>0</v>
      </c>
      <c r="AP34" s="216"/>
      <c r="AQ34" s="214"/>
      <c r="AR34" s="214"/>
      <c r="AS34" s="214"/>
      <c r="AT34" s="214"/>
      <c r="AU34" s="214"/>
      <c r="AV34" s="214"/>
      <c r="AW34" s="214"/>
      <c r="AX34" s="214"/>
      <c r="AY34" s="214"/>
      <c r="AZ34" s="214"/>
      <c r="BA34" s="214"/>
      <c r="BB34" s="214"/>
      <c r="BC34" s="217">
        <f t="shared" si="3"/>
        <v>0</v>
      </c>
      <c r="BD34" s="218">
        <f t="shared" si="4"/>
        <v>0</v>
      </c>
      <c r="BE34" s="210"/>
      <c r="BF34" s="219"/>
      <c r="BG34" s="219"/>
      <c r="BH34" s="219"/>
      <c r="BI34" s="220">
        <f t="shared" si="5"/>
        <v>0</v>
      </c>
      <c r="BJ34" s="219"/>
      <c r="BK34" s="221" t="str">
        <f t="shared" si="8"/>
        <v/>
      </c>
      <c r="BL34" s="221" t="str">
        <f t="shared" si="6"/>
        <v/>
      </c>
      <c r="BM34" s="221" t="str">
        <f t="shared" si="7"/>
        <v/>
      </c>
      <c r="BN34" s="222"/>
    </row>
    <row r="35" spans="1:66" ht="28.15" customHeight="1" x14ac:dyDescent="0.25">
      <c r="A35" s="206" t="str">
        <f>IF(D35="","",Cover!$D$8)</f>
        <v/>
      </c>
      <c r="B35" s="206" t="str">
        <f>IF(D35="","",Cover!$D$7)</f>
        <v/>
      </c>
      <c r="C35" s="207" t="str">
        <f>IF(F35="","",IFERROR(VLOOKUP(F35,'Master Data'!$E$59:$J$146,6,FALSE),0))</f>
        <v/>
      </c>
      <c r="D35" s="208" t="str">
        <f>IF(F35="","",IFERROR(VLOOKUP(F35,'Master Data'!$E$59:$L$148,8,FALSE),0))</f>
        <v/>
      </c>
      <c r="E35" s="207" t="str">
        <f>IF(D35="","",IFERROR(VLOOKUP(D35,'Master Data'!$D$59:$I$148,6,FALSE),0))</f>
        <v/>
      </c>
      <c r="F35" s="209"/>
      <c r="G35" s="210"/>
      <c r="H35" s="211">
        <f>IFERROR(VLOOKUP(G35,'Master Data'!$C$336:$I$353,7,FALSE),0)</f>
        <v>0</v>
      </c>
      <c r="I35" s="208">
        <f>IFERROR(VLOOKUP(H35,'Master Data'!$B$336:$D$351,3,FALSE),0)</f>
        <v>0</v>
      </c>
      <c r="J35" s="211">
        <f>IFERROR(VLOOKUP(H35,'Master Data'!$B$336:$H$353,7,FALSE),0)</f>
        <v>0</v>
      </c>
      <c r="K35" s="212"/>
      <c r="L35" s="213" t="str">
        <f>IFERROR(IF(I35="FIXED ASSET",J35&amp;E35&amp;K35,VLOOKUP(F35,'Master Data'!$E$59:$H$146,4,FALSE)&amp;"-"&amp;J35&amp;"-"&amp;K35),"-")</f>
        <v>-</v>
      </c>
      <c r="M35" s="225"/>
      <c r="N35" s="225"/>
      <c r="O35" s="224"/>
      <c r="P35" s="224"/>
      <c r="Q35" s="224"/>
      <c r="R35" s="224"/>
      <c r="S35" s="224"/>
      <c r="T35" s="224"/>
      <c r="U35" s="224"/>
      <c r="V35" s="224"/>
      <c r="W35" s="224"/>
      <c r="X35" s="224"/>
      <c r="Y35" s="224"/>
      <c r="Z35" s="224"/>
      <c r="AA35" s="215">
        <f t="shared" si="9"/>
        <v>0</v>
      </c>
      <c r="AB35" s="318"/>
      <c r="AC35" s="214"/>
      <c r="AD35" s="214"/>
      <c r="AE35" s="214"/>
      <c r="AF35" s="214"/>
      <c r="AG35" s="214"/>
      <c r="AH35" s="214"/>
      <c r="AI35" s="214"/>
      <c r="AJ35" s="214"/>
      <c r="AK35" s="214"/>
      <c r="AL35" s="214"/>
      <c r="AM35" s="214"/>
      <c r="AN35" s="214"/>
      <c r="AO35" s="215">
        <f t="shared" si="2"/>
        <v>0</v>
      </c>
      <c r="AP35" s="216"/>
      <c r="AQ35" s="214"/>
      <c r="AR35" s="214"/>
      <c r="AS35" s="214"/>
      <c r="AT35" s="214"/>
      <c r="AU35" s="214"/>
      <c r="AV35" s="214"/>
      <c r="AW35" s="214"/>
      <c r="AX35" s="214"/>
      <c r="AY35" s="214"/>
      <c r="AZ35" s="214"/>
      <c r="BA35" s="214"/>
      <c r="BB35" s="214"/>
      <c r="BC35" s="217">
        <f t="shared" si="3"/>
        <v>0</v>
      </c>
      <c r="BD35" s="218">
        <f t="shared" si="4"/>
        <v>0</v>
      </c>
      <c r="BE35" s="210"/>
      <c r="BF35" s="219"/>
      <c r="BG35" s="219"/>
      <c r="BH35" s="219"/>
      <c r="BI35" s="220">
        <f t="shared" si="5"/>
        <v>0</v>
      </c>
      <c r="BJ35" s="219"/>
      <c r="BK35" s="221" t="str">
        <f t="shared" si="8"/>
        <v/>
      </c>
      <c r="BL35" s="221" t="str">
        <f t="shared" si="6"/>
        <v/>
      </c>
      <c r="BM35" s="221" t="str">
        <f t="shared" si="7"/>
        <v/>
      </c>
      <c r="BN35" s="222"/>
    </row>
    <row r="36" spans="1:66" ht="28.15" customHeight="1" x14ac:dyDescent="0.25">
      <c r="A36" s="206" t="str">
        <f>IF(D36="","",Cover!$D$8)</f>
        <v/>
      </c>
      <c r="B36" s="206" t="str">
        <f>IF(D36="","",Cover!$D$7)</f>
        <v/>
      </c>
      <c r="C36" s="207" t="str">
        <f>IF(F36="","",IFERROR(VLOOKUP(F36,'Master Data'!$E$59:$J$146,6,FALSE),0))</f>
        <v/>
      </c>
      <c r="D36" s="208" t="str">
        <f>IF(F36="","",IFERROR(VLOOKUP(F36,'Master Data'!$E$59:$L$148,8,FALSE),0))</f>
        <v/>
      </c>
      <c r="E36" s="207" t="str">
        <f>IF(D36="","",IFERROR(VLOOKUP(D36,'Master Data'!$D$59:$I$148,6,FALSE),0))</f>
        <v/>
      </c>
      <c r="F36" s="209"/>
      <c r="G36" s="210"/>
      <c r="H36" s="211">
        <f>IFERROR(VLOOKUP(G36,'Master Data'!$C$336:$I$353,7,FALSE),0)</f>
        <v>0</v>
      </c>
      <c r="I36" s="208">
        <f>IFERROR(VLOOKUP(H36,'Master Data'!$B$336:$D$351,3,FALSE),0)</f>
        <v>0</v>
      </c>
      <c r="J36" s="211">
        <f>IFERROR(VLOOKUP(H36,'Master Data'!$B$336:$H$353,7,FALSE),0)</f>
        <v>0</v>
      </c>
      <c r="K36" s="212"/>
      <c r="L36" s="213" t="str">
        <f>IFERROR(IF(I36="FIXED ASSET",J36&amp;E36&amp;K36,VLOOKUP(F36,'Master Data'!$E$59:$H$146,4,FALSE)&amp;"-"&amp;J36&amp;"-"&amp;K36),"-")</f>
        <v>-</v>
      </c>
      <c r="M36" s="225"/>
      <c r="N36" s="225"/>
      <c r="O36" s="224"/>
      <c r="P36" s="224"/>
      <c r="Q36" s="224"/>
      <c r="R36" s="224"/>
      <c r="S36" s="224"/>
      <c r="T36" s="224"/>
      <c r="U36" s="224"/>
      <c r="V36" s="224"/>
      <c r="W36" s="224"/>
      <c r="X36" s="224"/>
      <c r="Y36" s="224"/>
      <c r="Z36" s="224"/>
      <c r="AA36" s="215">
        <f t="shared" si="9"/>
        <v>0</v>
      </c>
      <c r="AB36" s="318"/>
      <c r="AC36" s="214"/>
      <c r="AD36" s="214"/>
      <c r="AE36" s="214"/>
      <c r="AF36" s="214"/>
      <c r="AG36" s="214"/>
      <c r="AH36" s="214"/>
      <c r="AI36" s="214"/>
      <c r="AJ36" s="214"/>
      <c r="AK36" s="214"/>
      <c r="AL36" s="214"/>
      <c r="AM36" s="214"/>
      <c r="AN36" s="214"/>
      <c r="AO36" s="215">
        <f t="shared" si="2"/>
        <v>0</v>
      </c>
      <c r="AP36" s="216"/>
      <c r="AQ36" s="214"/>
      <c r="AR36" s="214"/>
      <c r="AS36" s="214"/>
      <c r="AT36" s="214"/>
      <c r="AU36" s="214"/>
      <c r="AV36" s="214"/>
      <c r="AW36" s="214"/>
      <c r="AX36" s="214"/>
      <c r="AY36" s="214"/>
      <c r="AZ36" s="214"/>
      <c r="BA36" s="214"/>
      <c r="BB36" s="214"/>
      <c r="BC36" s="217">
        <f t="shared" si="3"/>
        <v>0</v>
      </c>
      <c r="BD36" s="218">
        <f t="shared" si="4"/>
        <v>0</v>
      </c>
      <c r="BE36" s="210"/>
      <c r="BF36" s="219"/>
      <c r="BG36" s="219"/>
      <c r="BH36" s="219"/>
      <c r="BI36" s="220">
        <f t="shared" ref="BI36:BI56" si="10">IF(BG36="USD",BH36*$BH$2,IF(BG36="IDR",BH36,0))</f>
        <v>0</v>
      </c>
      <c r="BJ36" s="219"/>
      <c r="BK36" s="221" t="str">
        <f t="shared" si="8"/>
        <v/>
      </c>
      <c r="BL36" s="221" t="str">
        <f t="shared" si="6"/>
        <v/>
      </c>
      <c r="BM36" s="221" t="str">
        <f t="shared" si="7"/>
        <v/>
      </c>
      <c r="BN36" s="222"/>
    </row>
    <row r="37" spans="1:66" ht="28.15" customHeight="1" x14ac:dyDescent="0.25">
      <c r="A37" s="206" t="str">
        <f>IF(D37="","",Cover!$D$8)</f>
        <v/>
      </c>
      <c r="B37" s="206" t="str">
        <f>IF(D37="","",Cover!$D$7)</f>
        <v/>
      </c>
      <c r="C37" s="207" t="str">
        <f>IF(F37="","",IFERROR(VLOOKUP(F37,'Master Data'!$E$59:$J$146,6,FALSE),0))</f>
        <v/>
      </c>
      <c r="D37" s="208" t="str">
        <f>IF(F37="","",IFERROR(VLOOKUP(F37,'Master Data'!$E$59:$L$148,8,FALSE),0))</f>
        <v/>
      </c>
      <c r="E37" s="207" t="str">
        <f>IF(D37="","",IFERROR(VLOOKUP(D37,'Master Data'!$D$59:$I$148,6,FALSE),0))</f>
        <v/>
      </c>
      <c r="F37" s="209"/>
      <c r="G37" s="210"/>
      <c r="H37" s="211">
        <f>IFERROR(VLOOKUP(G37,'Master Data'!$C$336:$I$353,7,FALSE),0)</f>
        <v>0</v>
      </c>
      <c r="I37" s="208">
        <f>IFERROR(VLOOKUP(H37,'Master Data'!$B$336:$D$351,3,FALSE),0)</f>
        <v>0</v>
      </c>
      <c r="J37" s="211">
        <f>IFERROR(VLOOKUP(H37,'Master Data'!$B$336:$H$353,7,FALSE),0)</f>
        <v>0</v>
      </c>
      <c r="K37" s="212"/>
      <c r="L37" s="213" t="str">
        <f>IFERROR(IF(I37="FIXED ASSET",J37&amp;E37&amp;K37,VLOOKUP(F37,'Master Data'!$E$59:$H$146,4,FALSE)&amp;"-"&amp;J37&amp;"-"&amp;K37),"-")</f>
        <v>-</v>
      </c>
      <c r="M37" s="225"/>
      <c r="N37" s="225"/>
      <c r="O37" s="224"/>
      <c r="P37" s="224"/>
      <c r="Q37" s="224"/>
      <c r="R37" s="224"/>
      <c r="S37" s="224"/>
      <c r="T37" s="224"/>
      <c r="U37" s="224"/>
      <c r="V37" s="224"/>
      <c r="W37" s="224"/>
      <c r="X37" s="224"/>
      <c r="Y37" s="224"/>
      <c r="Z37" s="224"/>
      <c r="AA37" s="215">
        <f t="shared" si="9"/>
        <v>0</v>
      </c>
      <c r="AB37" s="318"/>
      <c r="AC37" s="214"/>
      <c r="AD37" s="214"/>
      <c r="AE37" s="214"/>
      <c r="AF37" s="214"/>
      <c r="AG37" s="214"/>
      <c r="AH37" s="214"/>
      <c r="AI37" s="214"/>
      <c r="AJ37" s="214"/>
      <c r="AK37" s="214"/>
      <c r="AL37" s="214"/>
      <c r="AM37" s="214"/>
      <c r="AN37" s="214"/>
      <c r="AO37" s="215">
        <f t="shared" si="2"/>
        <v>0</v>
      </c>
      <c r="AP37" s="216"/>
      <c r="AQ37" s="214"/>
      <c r="AR37" s="214"/>
      <c r="AS37" s="214"/>
      <c r="AT37" s="214"/>
      <c r="AU37" s="214"/>
      <c r="AV37" s="214"/>
      <c r="AW37" s="214"/>
      <c r="AX37" s="214"/>
      <c r="AY37" s="214"/>
      <c r="AZ37" s="214"/>
      <c r="BA37" s="214"/>
      <c r="BB37" s="214"/>
      <c r="BC37" s="217">
        <f t="shared" si="3"/>
        <v>0</v>
      </c>
      <c r="BD37" s="218">
        <f t="shared" si="4"/>
        <v>0</v>
      </c>
      <c r="BE37" s="210"/>
      <c r="BF37" s="219"/>
      <c r="BG37" s="219"/>
      <c r="BH37" s="219"/>
      <c r="BI37" s="220">
        <f t="shared" si="10"/>
        <v>0</v>
      </c>
      <c r="BJ37" s="219"/>
      <c r="BK37" s="221" t="str">
        <f t="shared" si="8"/>
        <v/>
      </c>
      <c r="BL37" s="221" t="str">
        <f t="shared" si="6"/>
        <v/>
      </c>
      <c r="BM37" s="221" t="str">
        <f t="shared" si="7"/>
        <v/>
      </c>
      <c r="BN37" s="222"/>
    </row>
    <row r="38" spans="1:66" ht="28.15" customHeight="1" x14ac:dyDescent="0.25">
      <c r="A38" s="206" t="str">
        <f>IF(D38="","",Cover!$D$8)</f>
        <v/>
      </c>
      <c r="B38" s="206" t="str">
        <f>IF(D38="","",Cover!$D$7)</f>
        <v/>
      </c>
      <c r="C38" s="207" t="str">
        <f>IF(F38="","",IFERROR(VLOOKUP(F38,'Master Data'!$E$59:$J$146,6,FALSE),0))</f>
        <v/>
      </c>
      <c r="D38" s="208" t="str">
        <f>IF(F38="","",IFERROR(VLOOKUP(F38,'Master Data'!$E$59:$L$148,8,FALSE),0))</f>
        <v/>
      </c>
      <c r="E38" s="207" t="str">
        <f>IF(D38="","",IFERROR(VLOOKUP(D38,'Master Data'!$D$59:$I$148,6,FALSE),0))</f>
        <v/>
      </c>
      <c r="F38" s="209"/>
      <c r="G38" s="210"/>
      <c r="H38" s="211">
        <f>IFERROR(VLOOKUP(G38,'Master Data'!$C$336:$I$353,7,FALSE),0)</f>
        <v>0</v>
      </c>
      <c r="I38" s="208">
        <f>IFERROR(VLOOKUP(H38,'Master Data'!$B$336:$D$351,3,FALSE),0)</f>
        <v>0</v>
      </c>
      <c r="J38" s="211">
        <f>IFERROR(VLOOKUP(H38,'Master Data'!$B$336:$H$353,7,FALSE),0)</f>
        <v>0</v>
      </c>
      <c r="K38" s="212"/>
      <c r="L38" s="213" t="str">
        <f>IFERROR(IF(I38="FIXED ASSET",J38&amp;E38&amp;K38,VLOOKUP(F38,'Master Data'!$E$59:$H$146,4,FALSE)&amp;"-"&amp;J38&amp;"-"&amp;K38),"-")</f>
        <v>-</v>
      </c>
      <c r="M38" s="225"/>
      <c r="N38" s="225"/>
      <c r="O38" s="224"/>
      <c r="P38" s="224"/>
      <c r="Q38" s="224"/>
      <c r="R38" s="224"/>
      <c r="S38" s="224"/>
      <c r="T38" s="224"/>
      <c r="U38" s="224"/>
      <c r="V38" s="224"/>
      <c r="W38" s="224"/>
      <c r="X38" s="224"/>
      <c r="Y38" s="224"/>
      <c r="Z38" s="224"/>
      <c r="AA38" s="215">
        <f t="shared" si="9"/>
        <v>0</v>
      </c>
      <c r="AB38" s="318"/>
      <c r="AC38" s="214"/>
      <c r="AD38" s="214"/>
      <c r="AE38" s="214"/>
      <c r="AF38" s="214"/>
      <c r="AG38" s="214"/>
      <c r="AH38" s="214"/>
      <c r="AI38" s="214"/>
      <c r="AJ38" s="214"/>
      <c r="AK38" s="214"/>
      <c r="AL38" s="214"/>
      <c r="AM38" s="214"/>
      <c r="AN38" s="214"/>
      <c r="AO38" s="215">
        <f t="shared" si="2"/>
        <v>0</v>
      </c>
      <c r="AP38" s="216"/>
      <c r="AQ38" s="214"/>
      <c r="AR38" s="214"/>
      <c r="AS38" s="214"/>
      <c r="AT38" s="214"/>
      <c r="AU38" s="214"/>
      <c r="AV38" s="214"/>
      <c r="AW38" s="214"/>
      <c r="AX38" s="214"/>
      <c r="AY38" s="214"/>
      <c r="AZ38" s="214"/>
      <c r="BA38" s="214"/>
      <c r="BB38" s="214"/>
      <c r="BC38" s="217">
        <f t="shared" si="3"/>
        <v>0</v>
      </c>
      <c r="BD38" s="218">
        <f t="shared" si="4"/>
        <v>0</v>
      </c>
      <c r="BE38" s="210"/>
      <c r="BF38" s="219"/>
      <c r="BG38" s="219"/>
      <c r="BH38" s="219"/>
      <c r="BI38" s="220">
        <f t="shared" si="10"/>
        <v>0</v>
      </c>
      <c r="BJ38" s="219"/>
      <c r="BK38" s="221" t="str">
        <f t="shared" si="8"/>
        <v/>
      </c>
      <c r="BL38" s="221" t="str">
        <f t="shared" si="6"/>
        <v/>
      </c>
      <c r="BM38" s="221" t="str">
        <f t="shared" si="7"/>
        <v/>
      </c>
      <c r="BN38" s="222"/>
    </row>
    <row r="39" spans="1:66" ht="28.15" customHeight="1" x14ac:dyDescent="0.25">
      <c r="A39" s="206" t="str">
        <f>IF(D39="","",Cover!$D$8)</f>
        <v/>
      </c>
      <c r="B39" s="206" t="str">
        <f>IF(D39="","",Cover!$D$7)</f>
        <v/>
      </c>
      <c r="C39" s="207" t="str">
        <f>IF(F39="","",IFERROR(VLOOKUP(F39,'Master Data'!$E$59:$J$146,6,FALSE),0))</f>
        <v/>
      </c>
      <c r="D39" s="208" t="str">
        <f>IF(F39="","",IFERROR(VLOOKUP(F39,'Master Data'!$E$59:$L$148,8,FALSE),0))</f>
        <v/>
      </c>
      <c r="E39" s="207" t="str">
        <f>IF(D39="","",IFERROR(VLOOKUP(D39,'Master Data'!$D$59:$I$148,6,FALSE),0))</f>
        <v/>
      </c>
      <c r="F39" s="209"/>
      <c r="G39" s="210"/>
      <c r="H39" s="211">
        <f>IFERROR(VLOOKUP(G39,'Master Data'!$C$336:$I$353,7,FALSE),0)</f>
        <v>0</v>
      </c>
      <c r="I39" s="208">
        <f>IFERROR(VLOOKUP(H39,'Master Data'!$B$336:$D$351,3,FALSE),0)</f>
        <v>0</v>
      </c>
      <c r="J39" s="211">
        <f>IFERROR(VLOOKUP(H39,'Master Data'!$B$336:$H$353,7,FALSE),0)</f>
        <v>0</v>
      </c>
      <c r="K39" s="212"/>
      <c r="L39" s="213" t="str">
        <f>IFERROR(IF(I39="FIXED ASSET",J39&amp;E39&amp;K39,VLOOKUP(F39,'Master Data'!$E$59:$H$146,4,FALSE)&amp;"-"&amp;J39&amp;"-"&amp;K39),"-")</f>
        <v>-</v>
      </c>
      <c r="M39" s="225"/>
      <c r="N39" s="225"/>
      <c r="O39" s="224"/>
      <c r="P39" s="224"/>
      <c r="Q39" s="224"/>
      <c r="R39" s="224"/>
      <c r="S39" s="224"/>
      <c r="T39" s="224"/>
      <c r="U39" s="224"/>
      <c r="V39" s="224"/>
      <c r="W39" s="224"/>
      <c r="X39" s="224"/>
      <c r="Y39" s="224"/>
      <c r="Z39" s="224"/>
      <c r="AA39" s="215">
        <f t="shared" si="9"/>
        <v>0</v>
      </c>
      <c r="AB39" s="318"/>
      <c r="AC39" s="214"/>
      <c r="AD39" s="214"/>
      <c r="AE39" s="214"/>
      <c r="AF39" s="214"/>
      <c r="AG39" s="214"/>
      <c r="AH39" s="214"/>
      <c r="AI39" s="214"/>
      <c r="AJ39" s="214"/>
      <c r="AK39" s="214"/>
      <c r="AL39" s="214"/>
      <c r="AM39" s="214"/>
      <c r="AN39" s="214"/>
      <c r="AO39" s="215">
        <f t="shared" si="2"/>
        <v>0</v>
      </c>
      <c r="AP39" s="216"/>
      <c r="AQ39" s="214"/>
      <c r="AR39" s="214"/>
      <c r="AS39" s="214"/>
      <c r="AT39" s="214"/>
      <c r="AU39" s="214"/>
      <c r="AV39" s="214"/>
      <c r="AW39" s="214"/>
      <c r="AX39" s="214"/>
      <c r="AY39" s="214"/>
      <c r="AZ39" s="214"/>
      <c r="BA39" s="214"/>
      <c r="BB39" s="214"/>
      <c r="BC39" s="217">
        <f t="shared" si="3"/>
        <v>0</v>
      </c>
      <c r="BD39" s="218">
        <f t="shared" si="4"/>
        <v>0</v>
      </c>
      <c r="BE39" s="210"/>
      <c r="BF39" s="219"/>
      <c r="BG39" s="219"/>
      <c r="BH39" s="219"/>
      <c r="BI39" s="220">
        <f t="shared" si="10"/>
        <v>0</v>
      </c>
      <c r="BJ39" s="219"/>
      <c r="BK39" s="221" t="str">
        <f t="shared" si="8"/>
        <v/>
      </c>
      <c r="BL39" s="221" t="str">
        <f t="shared" si="6"/>
        <v/>
      </c>
      <c r="BM39" s="221" t="str">
        <f t="shared" si="7"/>
        <v/>
      </c>
      <c r="BN39" s="222"/>
    </row>
    <row r="40" spans="1:66" ht="28.15" customHeight="1" x14ac:dyDescent="0.25">
      <c r="A40" s="206" t="str">
        <f>IF(D40="","",Cover!$D$8)</f>
        <v/>
      </c>
      <c r="B40" s="206" t="str">
        <f>IF(D40="","",Cover!$D$7)</f>
        <v/>
      </c>
      <c r="C40" s="207" t="str">
        <f>IF(F40="","",IFERROR(VLOOKUP(F40,'Master Data'!$E$59:$J$146,6,FALSE),0))</f>
        <v/>
      </c>
      <c r="D40" s="208" t="str">
        <f>IF(F40="","",IFERROR(VLOOKUP(F40,'Master Data'!$E$59:$L$148,8,FALSE),0))</f>
        <v/>
      </c>
      <c r="E40" s="207" t="str">
        <f>IF(D40="","",IFERROR(VLOOKUP(D40,'Master Data'!$D$59:$I$148,6,FALSE),0))</f>
        <v/>
      </c>
      <c r="F40" s="209"/>
      <c r="G40" s="210"/>
      <c r="H40" s="211">
        <f>IFERROR(VLOOKUP(G40,'Master Data'!$C$336:$I$353,7,FALSE),0)</f>
        <v>0</v>
      </c>
      <c r="I40" s="208">
        <f>IFERROR(VLOOKUP(H40,'Master Data'!$B$336:$D$351,3,FALSE),0)</f>
        <v>0</v>
      </c>
      <c r="J40" s="211">
        <f>IFERROR(VLOOKUP(H40,'Master Data'!$B$336:$H$353,7,FALSE),0)</f>
        <v>0</v>
      </c>
      <c r="K40" s="212"/>
      <c r="L40" s="213" t="str">
        <f>IFERROR(IF(I40="FIXED ASSET",J40&amp;E40&amp;K40,VLOOKUP(F40,'Master Data'!$E$59:$H$146,4,FALSE)&amp;"-"&amp;J40&amp;"-"&amp;K40),"-")</f>
        <v>-</v>
      </c>
      <c r="M40" s="225"/>
      <c r="N40" s="225"/>
      <c r="O40" s="224"/>
      <c r="P40" s="224"/>
      <c r="Q40" s="224"/>
      <c r="R40" s="224"/>
      <c r="S40" s="224"/>
      <c r="T40" s="224"/>
      <c r="U40" s="224"/>
      <c r="V40" s="224"/>
      <c r="W40" s="224"/>
      <c r="X40" s="224"/>
      <c r="Y40" s="224"/>
      <c r="Z40" s="224"/>
      <c r="AA40" s="215">
        <f t="shared" si="9"/>
        <v>0</v>
      </c>
      <c r="AB40" s="318"/>
      <c r="AC40" s="214"/>
      <c r="AD40" s="214"/>
      <c r="AE40" s="214"/>
      <c r="AF40" s="214"/>
      <c r="AG40" s="214"/>
      <c r="AH40" s="214"/>
      <c r="AI40" s="214"/>
      <c r="AJ40" s="214"/>
      <c r="AK40" s="214"/>
      <c r="AL40" s="214"/>
      <c r="AM40" s="214"/>
      <c r="AN40" s="214"/>
      <c r="AO40" s="215">
        <f t="shared" si="2"/>
        <v>0</v>
      </c>
      <c r="AP40" s="216"/>
      <c r="AQ40" s="214"/>
      <c r="AR40" s="214"/>
      <c r="AS40" s="214"/>
      <c r="AT40" s="214"/>
      <c r="AU40" s="214"/>
      <c r="AV40" s="214"/>
      <c r="AW40" s="214"/>
      <c r="AX40" s="214"/>
      <c r="AY40" s="214"/>
      <c r="AZ40" s="214"/>
      <c r="BA40" s="214"/>
      <c r="BB40" s="214"/>
      <c r="BC40" s="217">
        <f t="shared" si="3"/>
        <v>0</v>
      </c>
      <c r="BD40" s="218">
        <f t="shared" si="4"/>
        <v>0</v>
      </c>
      <c r="BE40" s="210"/>
      <c r="BF40" s="219"/>
      <c r="BG40" s="219"/>
      <c r="BH40" s="219"/>
      <c r="BI40" s="220">
        <f t="shared" si="10"/>
        <v>0</v>
      </c>
      <c r="BJ40" s="219"/>
      <c r="BK40" s="221" t="str">
        <f t="shared" si="8"/>
        <v/>
      </c>
      <c r="BL40" s="221" t="str">
        <f t="shared" si="6"/>
        <v/>
      </c>
      <c r="BM40" s="221" t="str">
        <f t="shared" si="7"/>
        <v/>
      </c>
      <c r="BN40" s="222"/>
    </row>
    <row r="41" spans="1:66" ht="28.15" customHeight="1" x14ac:dyDescent="0.25">
      <c r="A41" s="206" t="str">
        <f>IF(D41="","",Cover!$D$8)</f>
        <v/>
      </c>
      <c r="B41" s="206" t="str">
        <f>IF(D41="","",Cover!$D$7)</f>
        <v/>
      </c>
      <c r="C41" s="207" t="str">
        <f>IF(F41="","",IFERROR(VLOOKUP(F41,'Master Data'!$E$59:$J$146,6,FALSE),0))</f>
        <v/>
      </c>
      <c r="D41" s="208" t="str">
        <f>IF(F41="","",IFERROR(VLOOKUP(F41,'Master Data'!$E$59:$L$148,8,FALSE),0))</f>
        <v/>
      </c>
      <c r="E41" s="207" t="str">
        <f>IF(D41="","",IFERROR(VLOOKUP(D41,'Master Data'!$D$59:$I$148,6,FALSE),0))</f>
        <v/>
      </c>
      <c r="F41" s="209"/>
      <c r="G41" s="210"/>
      <c r="H41" s="211">
        <f>IFERROR(VLOOKUP(G41,'Master Data'!$C$336:$I$353,7,FALSE),0)</f>
        <v>0</v>
      </c>
      <c r="I41" s="208">
        <f>IFERROR(VLOOKUP(H41,'Master Data'!$B$336:$D$351,3,FALSE),0)</f>
        <v>0</v>
      </c>
      <c r="J41" s="211">
        <f>IFERROR(VLOOKUP(H41,'Master Data'!$B$336:$H$353,7,FALSE),0)</f>
        <v>0</v>
      </c>
      <c r="K41" s="212"/>
      <c r="L41" s="213" t="str">
        <f>IFERROR(IF(I41="FIXED ASSET",J41&amp;E41&amp;K41,VLOOKUP(F41,'Master Data'!$E$59:$H$146,4,FALSE)&amp;"-"&amp;J41&amp;"-"&amp;K41),"-")</f>
        <v>-</v>
      </c>
      <c r="M41" s="225"/>
      <c r="N41" s="225"/>
      <c r="O41" s="224"/>
      <c r="P41" s="224"/>
      <c r="Q41" s="224"/>
      <c r="R41" s="224"/>
      <c r="S41" s="224"/>
      <c r="T41" s="224"/>
      <c r="U41" s="224"/>
      <c r="V41" s="224"/>
      <c r="W41" s="224"/>
      <c r="X41" s="224"/>
      <c r="Y41" s="224"/>
      <c r="Z41" s="224"/>
      <c r="AA41" s="215">
        <f t="shared" si="9"/>
        <v>0</v>
      </c>
      <c r="AB41" s="318"/>
      <c r="AC41" s="214"/>
      <c r="AD41" s="214"/>
      <c r="AE41" s="214"/>
      <c r="AF41" s="214"/>
      <c r="AG41" s="214"/>
      <c r="AH41" s="214"/>
      <c r="AI41" s="214"/>
      <c r="AJ41" s="214"/>
      <c r="AK41" s="214"/>
      <c r="AL41" s="214"/>
      <c r="AM41" s="214"/>
      <c r="AN41" s="214"/>
      <c r="AO41" s="215">
        <f t="shared" si="2"/>
        <v>0</v>
      </c>
      <c r="AP41" s="216"/>
      <c r="AQ41" s="214"/>
      <c r="AR41" s="214"/>
      <c r="AS41" s="214"/>
      <c r="AT41" s="214"/>
      <c r="AU41" s="214"/>
      <c r="AV41" s="214"/>
      <c r="AW41" s="214"/>
      <c r="AX41" s="214"/>
      <c r="AY41" s="214"/>
      <c r="AZ41" s="214"/>
      <c r="BA41" s="214"/>
      <c r="BB41" s="214"/>
      <c r="BC41" s="217">
        <f t="shared" si="3"/>
        <v>0</v>
      </c>
      <c r="BD41" s="218">
        <f t="shared" si="4"/>
        <v>0</v>
      </c>
      <c r="BE41" s="210"/>
      <c r="BF41" s="219"/>
      <c r="BG41" s="219"/>
      <c r="BH41" s="219"/>
      <c r="BI41" s="220">
        <f t="shared" si="10"/>
        <v>0</v>
      </c>
      <c r="BJ41" s="219"/>
      <c r="BK41" s="221" t="str">
        <f t="shared" si="8"/>
        <v/>
      </c>
      <c r="BL41" s="221" t="str">
        <f t="shared" si="6"/>
        <v/>
      </c>
      <c r="BM41" s="221" t="str">
        <f t="shared" si="7"/>
        <v/>
      </c>
      <c r="BN41" s="222"/>
    </row>
    <row r="42" spans="1:66" ht="28.15" customHeight="1" x14ac:dyDescent="0.25">
      <c r="A42" s="206" t="str">
        <f>IF(D42="","",Cover!$D$8)</f>
        <v/>
      </c>
      <c r="B42" s="206" t="str">
        <f>IF(D42="","",Cover!$D$7)</f>
        <v/>
      </c>
      <c r="C42" s="207" t="str">
        <f>IF(F42="","",IFERROR(VLOOKUP(F42,'Master Data'!$E$59:$J$146,6,FALSE),0))</f>
        <v/>
      </c>
      <c r="D42" s="208" t="str">
        <f>IF(F42="","",IFERROR(VLOOKUP(F42,'Master Data'!$E$59:$L$148,8,FALSE),0))</f>
        <v/>
      </c>
      <c r="E42" s="207" t="str">
        <f>IF(D42="","",IFERROR(VLOOKUP(D42,'Master Data'!$D$59:$I$148,6,FALSE),0))</f>
        <v/>
      </c>
      <c r="F42" s="209"/>
      <c r="G42" s="210"/>
      <c r="H42" s="211">
        <f>IFERROR(VLOOKUP(G42,'Master Data'!$C$336:$I$353,7,FALSE),0)</f>
        <v>0</v>
      </c>
      <c r="I42" s="208">
        <f>IFERROR(VLOOKUP(H42,'Master Data'!$B$336:$D$351,3,FALSE),0)</f>
        <v>0</v>
      </c>
      <c r="J42" s="211">
        <f>IFERROR(VLOOKUP(H42,'Master Data'!$B$336:$H$353,7,FALSE),0)</f>
        <v>0</v>
      </c>
      <c r="K42" s="212"/>
      <c r="L42" s="213" t="str">
        <f>IFERROR(IF(I42="FIXED ASSET",J42&amp;E42&amp;K42,VLOOKUP(F42,'Master Data'!$E$59:$H$146,4,FALSE)&amp;"-"&amp;J42&amp;"-"&amp;K42),"-")</f>
        <v>-</v>
      </c>
      <c r="M42" s="225"/>
      <c r="N42" s="225"/>
      <c r="O42" s="224"/>
      <c r="P42" s="224"/>
      <c r="Q42" s="224"/>
      <c r="R42" s="224"/>
      <c r="S42" s="224"/>
      <c r="T42" s="224"/>
      <c r="U42" s="224"/>
      <c r="V42" s="224"/>
      <c r="W42" s="224"/>
      <c r="X42" s="224"/>
      <c r="Y42" s="224"/>
      <c r="Z42" s="224"/>
      <c r="AA42" s="215">
        <f t="shared" si="9"/>
        <v>0</v>
      </c>
      <c r="AB42" s="318"/>
      <c r="AC42" s="214"/>
      <c r="AD42" s="214"/>
      <c r="AE42" s="214"/>
      <c r="AF42" s="214"/>
      <c r="AG42" s="214"/>
      <c r="AH42" s="214"/>
      <c r="AI42" s="214"/>
      <c r="AJ42" s="214"/>
      <c r="AK42" s="214"/>
      <c r="AL42" s="214"/>
      <c r="AM42" s="214"/>
      <c r="AN42" s="214"/>
      <c r="AO42" s="215">
        <f t="shared" si="2"/>
        <v>0</v>
      </c>
      <c r="AP42" s="216"/>
      <c r="AQ42" s="214"/>
      <c r="AR42" s="214"/>
      <c r="AS42" s="214"/>
      <c r="AT42" s="214"/>
      <c r="AU42" s="214"/>
      <c r="AV42" s="214"/>
      <c r="AW42" s="214"/>
      <c r="AX42" s="214"/>
      <c r="AY42" s="214"/>
      <c r="AZ42" s="214"/>
      <c r="BA42" s="214"/>
      <c r="BB42" s="214"/>
      <c r="BC42" s="217">
        <f t="shared" si="3"/>
        <v>0</v>
      </c>
      <c r="BD42" s="218">
        <f t="shared" si="4"/>
        <v>0</v>
      </c>
      <c r="BE42" s="210"/>
      <c r="BF42" s="219"/>
      <c r="BG42" s="219"/>
      <c r="BH42" s="219"/>
      <c r="BI42" s="220">
        <f t="shared" si="10"/>
        <v>0</v>
      </c>
      <c r="BJ42" s="219"/>
      <c r="BK42" s="221" t="str">
        <f t="shared" si="8"/>
        <v/>
      </c>
      <c r="BL42" s="221" t="str">
        <f t="shared" si="6"/>
        <v/>
      </c>
      <c r="BM42" s="221" t="str">
        <f t="shared" si="7"/>
        <v/>
      </c>
      <c r="BN42" s="222"/>
    </row>
    <row r="43" spans="1:66" ht="28.15" customHeight="1" x14ac:dyDescent="0.25">
      <c r="A43" s="206" t="str">
        <f>IF(D43="","",Cover!$D$8)</f>
        <v/>
      </c>
      <c r="B43" s="206" t="str">
        <f>IF(D43="","",Cover!$D$7)</f>
        <v/>
      </c>
      <c r="C43" s="207" t="str">
        <f>IF(F43="","",IFERROR(VLOOKUP(F43,'Master Data'!$E$59:$J$146,6,FALSE),0))</f>
        <v/>
      </c>
      <c r="D43" s="208" t="str">
        <f>IF(F43="","",IFERROR(VLOOKUP(F43,'Master Data'!$E$59:$L$148,8,FALSE),0))</f>
        <v/>
      </c>
      <c r="E43" s="207" t="str">
        <f>IF(D43="","",IFERROR(VLOOKUP(D43,'Master Data'!$D$59:$I$148,6,FALSE),0))</f>
        <v/>
      </c>
      <c r="F43" s="209"/>
      <c r="G43" s="210"/>
      <c r="H43" s="211">
        <f>IFERROR(VLOOKUP(G43,'Master Data'!$C$336:$I$353,7,FALSE),0)</f>
        <v>0</v>
      </c>
      <c r="I43" s="208">
        <f>IFERROR(VLOOKUP(H43,'Master Data'!$B$336:$D$351,3,FALSE),0)</f>
        <v>0</v>
      </c>
      <c r="J43" s="211">
        <f>IFERROR(VLOOKUP(H43,'Master Data'!$B$336:$H$353,7,FALSE),0)</f>
        <v>0</v>
      </c>
      <c r="K43" s="212"/>
      <c r="L43" s="213" t="str">
        <f>IFERROR(IF(I43="FIXED ASSET",J43&amp;E43&amp;K43,VLOOKUP(F43,'Master Data'!$E$59:$H$146,4,FALSE)&amp;"-"&amp;J43&amp;"-"&amp;K43),"-")</f>
        <v>-</v>
      </c>
      <c r="M43" s="225"/>
      <c r="N43" s="225"/>
      <c r="O43" s="224"/>
      <c r="P43" s="224"/>
      <c r="Q43" s="224"/>
      <c r="R43" s="224"/>
      <c r="S43" s="224"/>
      <c r="T43" s="224"/>
      <c r="U43" s="224"/>
      <c r="V43" s="224"/>
      <c r="W43" s="224"/>
      <c r="X43" s="224"/>
      <c r="Y43" s="224"/>
      <c r="Z43" s="224"/>
      <c r="AA43" s="215">
        <f t="shared" si="9"/>
        <v>0</v>
      </c>
      <c r="AB43" s="318"/>
      <c r="AC43" s="214"/>
      <c r="AD43" s="214"/>
      <c r="AE43" s="214"/>
      <c r="AF43" s="214"/>
      <c r="AG43" s="214"/>
      <c r="AH43" s="214"/>
      <c r="AI43" s="214"/>
      <c r="AJ43" s="214"/>
      <c r="AK43" s="214"/>
      <c r="AL43" s="214"/>
      <c r="AM43" s="214"/>
      <c r="AN43" s="214"/>
      <c r="AO43" s="215">
        <f t="shared" si="2"/>
        <v>0</v>
      </c>
      <c r="AP43" s="216"/>
      <c r="AQ43" s="214"/>
      <c r="AR43" s="214"/>
      <c r="AS43" s="214"/>
      <c r="AT43" s="214"/>
      <c r="AU43" s="214"/>
      <c r="AV43" s="214"/>
      <c r="AW43" s="214"/>
      <c r="AX43" s="214"/>
      <c r="AY43" s="214"/>
      <c r="AZ43" s="214"/>
      <c r="BA43" s="214"/>
      <c r="BB43" s="214"/>
      <c r="BC43" s="217">
        <f t="shared" si="3"/>
        <v>0</v>
      </c>
      <c r="BD43" s="218">
        <f t="shared" si="4"/>
        <v>0</v>
      </c>
      <c r="BE43" s="210"/>
      <c r="BF43" s="219"/>
      <c r="BG43" s="219"/>
      <c r="BH43" s="219"/>
      <c r="BI43" s="220">
        <f t="shared" si="10"/>
        <v>0</v>
      </c>
      <c r="BJ43" s="219"/>
      <c r="BK43" s="221" t="str">
        <f t="shared" si="8"/>
        <v/>
      </c>
      <c r="BL43" s="221" t="str">
        <f t="shared" si="6"/>
        <v/>
      </c>
      <c r="BM43" s="221" t="str">
        <f t="shared" si="7"/>
        <v/>
      </c>
      <c r="BN43" s="222"/>
    </row>
    <row r="44" spans="1:66" ht="28.15" customHeight="1" x14ac:dyDescent="0.25">
      <c r="A44" s="206" t="str">
        <f>IF(D44="","",Cover!$D$8)</f>
        <v/>
      </c>
      <c r="B44" s="206" t="str">
        <f>IF(D44="","",Cover!$D$7)</f>
        <v/>
      </c>
      <c r="C44" s="207" t="str">
        <f>IF(F44="","",IFERROR(VLOOKUP(F44,'Master Data'!$E$59:$J$146,6,FALSE),0))</f>
        <v/>
      </c>
      <c r="D44" s="208" t="str">
        <f>IF(F44="","",IFERROR(VLOOKUP(F44,'Master Data'!$E$59:$L$148,8,FALSE),0))</f>
        <v/>
      </c>
      <c r="E44" s="207" t="str">
        <f>IF(D44="","",IFERROR(VLOOKUP(D44,'Master Data'!$D$59:$I$148,6,FALSE),0))</f>
        <v/>
      </c>
      <c r="F44" s="209"/>
      <c r="G44" s="210"/>
      <c r="H44" s="211">
        <f>IFERROR(VLOOKUP(G44,'Master Data'!$C$336:$I$353,7,FALSE),0)</f>
        <v>0</v>
      </c>
      <c r="I44" s="208">
        <f>IFERROR(VLOOKUP(H44,'Master Data'!$B$336:$D$351,3,FALSE),0)</f>
        <v>0</v>
      </c>
      <c r="J44" s="211">
        <f>IFERROR(VLOOKUP(H44,'Master Data'!$B$336:$H$353,7,FALSE),0)</f>
        <v>0</v>
      </c>
      <c r="K44" s="212"/>
      <c r="L44" s="213" t="str">
        <f>IFERROR(IF(I44="FIXED ASSET",J44&amp;E44&amp;K44,VLOOKUP(F44,'Master Data'!$E$59:$H$146,4,FALSE)&amp;"-"&amp;J44&amp;"-"&amp;K44),"-")</f>
        <v>-</v>
      </c>
      <c r="M44" s="225"/>
      <c r="N44" s="225"/>
      <c r="O44" s="224"/>
      <c r="P44" s="224"/>
      <c r="Q44" s="224"/>
      <c r="R44" s="224"/>
      <c r="S44" s="224"/>
      <c r="T44" s="224"/>
      <c r="U44" s="224"/>
      <c r="V44" s="224"/>
      <c r="W44" s="224"/>
      <c r="X44" s="224"/>
      <c r="Y44" s="224"/>
      <c r="Z44" s="224"/>
      <c r="AA44" s="215">
        <f t="shared" si="9"/>
        <v>0</v>
      </c>
      <c r="AB44" s="318"/>
      <c r="AC44" s="214"/>
      <c r="AD44" s="214"/>
      <c r="AE44" s="214"/>
      <c r="AF44" s="214"/>
      <c r="AG44" s="214"/>
      <c r="AH44" s="214"/>
      <c r="AI44" s="214"/>
      <c r="AJ44" s="214"/>
      <c r="AK44" s="214"/>
      <c r="AL44" s="214"/>
      <c r="AM44" s="214"/>
      <c r="AN44" s="214"/>
      <c r="AO44" s="215">
        <f t="shared" si="2"/>
        <v>0</v>
      </c>
      <c r="AP44" s="216"/>
      <c r="AQ44" s="214"/>
      <c r="AR44" s="214"/>
      <c r="AS44" s="214"/>
      <c r="AT44" s="214"/>
      <c r="AU44" s="214"/>
      <c r="AV44" s="214"/>
      <c r="AW44" s="214"/>
      <c r="AX44" s="214"/>
      <c r="AY44" s="214"/>
      <c r="AZ44" s="214"/>
      <c r="BA44" s="214"/>
      <c r="BB44" s="214"/>
      <c r="BC44" s="217">
        <f t="shared" si="3"/>
        <v>0</v>
      </c>
      <c r="BD44" s="218">
        <f t="shared" si="4"/>
        <v>0</v>
      </c>
      <c r="BE44" s="210"/>
      <c r="BF44" s="219"/>
      <c r="BG44" s="219"/>
      <c r="BH44" s="219"/>
      <c r="BI44" s="220">
        <f t="shared" si="10"/>
        <v>0</v>
      </c>
      <c r="BJ44" s="219"/>
      <c r="BK44" s="221" t="str">
        <f t="shared" si="8"/>
        <v/>
      </c>
      <c r="BL44" s="221" t="str">
        <f t="shared" si="6"/>
        <v/>
      </c>
      <c r="BM44" s="221" t="str">
        <f t="shared" si="7"/>
        <v/>
      </c>
      <c r="BN44" s="222"/>
    </row>
    <row r="45" spans="1:66" ht="28.15" customHeight="1" x14ac:dyDescent="0.25">
      <c r="A45" s="206" t="str">
        <f>IF(D45="","",Cover!$D$8)</f>
        <v/>
      </c>
      <c r="B45" s="206" t="str">
        <f>IF(D45="","",Cover!$D$7)</f>
        <v/>
      </c>
      <c r="C45" s="207" t="str">
        <f>IF(F45="","",IFERROR(VLOOKUP(F45,'Master Data'!$E$59:$J$146,6,FALSE),0))</f>
        <v/>
      </c>
      <c r="D45" s="208" t="str">
        <f>IF(F45="","",IFERROR(VLOOKUP(F45,'Master Data'!$E$59:$L$148,8,FALSE),0))</f>
        <v/>
      </c>
      <c r="E45" s="207" t="str">
        <f>IF(D45="","",IFERROR(VLOOKUP(D45,'Master Data'!$D$59:$I$148,6,FALSE),0))</f>
        <v/>
      </c>
      <c r="F45" s="209"/>
      <c r="G45" s="210"/>
      <c r="H45" s="211">
        <f>IFERROR(VLOOKUP(G45,'Master Data'!$C$336:$I$353,7,FALSE),0)</f>
        <v>0</v>
      </c>
      <c r="I45" s="208">
        <f>IFERROR(VLOOKUP(H45,'Master Data'!$B$336:$D$351,3,FALSE),0)</f>
        <v>0</v>
      </c>
      <c r="J45" s="211">
        <f>IFERROR(VLOOKUP(H45,'Master Data'!$B$336:$H$353,7,FALSE),0)</f>
        <v>0</v>
      </c>
      <c r="K45" s="212"/>
      <c r="L45" s="213" t="str">
        <f>IFERROR(IF(I45="FIXED ASSET",J45&amp;E45&amp;K45,VLOOKUP(F45,'Master Data'!$E$59:$H$146,4,FALSE)&amp;"-"&amp;J45&amp;"-"&amp;K45),"-")</f>
        <v>-</v>
      </c>
      <c r="M45" s="225"/>
      <c r="N45" s="225"/>
      <c r="O45" s="224"/>
      <c r="P45" s="224"/>
      <c r="Q45" s="224"/>
      <c r="R45" s="224"/>
      <c r="S45" s="224"/>
      <c r="T45" s="224"/>
      <c r="U45" s="224"/>
      <c r="V45" s="224"/>
      <c r="W45" s="224"/>
      <c r="X45" s="224"/>
      <c r="Y45" s="224"/>
      <c r="Z45" s="224"/>
      <c r="AA45" s="215">
        <f t="shared" si="9"/>
        <v>0</v>
      </c>
      <c r="AB45" s="318"/>
      <c r="AC45" s="214"/>
      <c r="AD45" s="214"/>
      <c r="AE45" s="214"/>
      <c r="AF45" s="214"/>
      <c r="AG45" s="214"/>
      <c r="AH45" s="214"/>
      <c r="AI45" s="214"/>
      <c r="AJ45" s="214"/>
      <c r="AK45" s="214"/>
      <c r="AL45" s="214"/>
      <c r="AM45" s="214"/>
      <c r="AN45" s="214"/>
      <c r="AO45" s="215">
        <f t="shared" si="2"/>
        <v>0</v>
      </c>
      <c r="AP45" s="216"/>
      <c r="AQ45" s="214"/>
      <c r="AR45" s="214"/>
      <c r="AS45" s="214"/>
      <c r="AT45" s="214"/>
      <c r="AU45" s="214"/>
      <c r="AV45" s="214"/>
      <c r="AW45" s="214"/>
      <c r="AX45" s="214"/>
      <c r="AY45" s="214"/>
      <c r="AZ45" s="214"/>
      <c r="BA45" s="214"/>
      <c r="BB45" s="214"/>
      <c r="BC45" s="217">
        <f t="shared" si="3"/>
        <v>0</v>
      </c>
      <c r="BD45" s="218">
        <f t="shared" si="4"/>
        <v>0</v>
      </c>
      <c r="BE45" s="210"/>
      <c r="BF45" s="219"/>
      <c r="BG45" s="219"/>
      <c r="BH45" s="219"/>
      <c r="BI45" s="220">
        <f t="shared" si="10"/>
        <v>0</v>
      </c>
      <c r="BJ45" s="219"/>
      <c r="BK45" s="221" t="str">
        <f t="shared" si="8"/>
        <v/>
      </c>
      <c r="BL45" s="221" t="str">
        <f t="shared" si="6"/>
        <v/>
      </c>
      <c r="BM45" s="221" t="str">
        <f t="shared" si="7"/>
        <v/>
      </c>
      <c r="BN45" s="222"/>
    </row>
    <row r="46" spans="1:66" ht="28.15" customHeight="1" x14ac:dyDescent="0.25">
      <c r="A46" s="206" t="str">
        <f>IF(D46="","",Cover!$D$8)</f>
        <v/>
      </c>
      <c r="B46" s="206" t="str">
        <f>IF(D46="","",Cover!$D$7)</f>
        <v/>
      </c>
      <c r="C46" s="207" t="str">
        <f>IF(F46="","",IFERROR(VLOOKUP(F46,'Master Data'!$E$59:$J$146,6,FALSE),0))</f>
        <v/>
      </c>
      <c r="D46" s="208" t="str">
        <f>IF(F46="","",IFERROR(VLOOKUP(F46,'Master Data'!$E$59:$L$148,8,FALSE),0))</f>
        <v/>
      </c>
      <c r="E46" s="207" t="str">
        <f>IF(D46="","",IFERROR(VLOOKUP(D46,'Master Data'!$D$59:$I$148,6,FALSE),0))</f>
        <v/>
      </c>
      <c r="F46" s="209"/>
      <c r="G46" s="210"/>
      <c r="H46" s="211">
        <f>IFERROR(VLOOKUP(G46,'Master Data'!$C$336:$I$353,7,FALSE),0)</f>
        <v>0</v>
      </c>
      <c r="I46" s="208">
        <f>IFERROR(VLOOKUP(H46,'Master Data'!$B$336:$D$351,3,FALSE),0)</f>
        <v>0</v>
      </c>
      <c r="J46" s="211">
        <f>IFERROR(VLOOKUP(H46,'Master Data'!$B$336:$H$353,7,FALSE),0)</f>
        <v>0</v>
      </c>
      <c r="K46" s="212"/>
      <c r="L46" s="213" t="str">
        <f>IFERROR(IF(I46="FIXED ASSET",J46&amp;E46&amp;K46,VLOOKUP(F46,'Master Data'!$E$59:$H$146,4,FALSE)&amp;"-"&amp;J46&amp;"-"&amp;K46),"-")</f>
        <v>-</v>
      </c>
      <c r="M46" s="225"/>
      <c r="N46" s="225"/>
      <c r="O46" s="224"/>
      <c r="P46" s="224"/>
      <c r="Q46" s="224"/>
      <c r="R46" s="224"/>
      <c r="S46" s="224"/>
      <c r="T46" s="224"/>
      <c r="U46" s="224"/>
      <c r="V46" s="224"/>
      <c r="W46" s="224"/>
      <c r="X46" s="224"/>
      <c r="Y46" s="224"/>
      <c r="Z46" s="224"/>
      <c r="AA46" s="215">
        <f t="shared" si="9"/>
        <v>0</v>
      </c>
      <c r="AB46" s="318"/>
      <c r="AC46" s="214"/>
      <c r="AD46" s="214"/>
      <c r="AE46" s="214"/>
      <c r="AF46" s="214"/>
      <c r="AG46" s="214"/>
      <c r="AH46" s="214"/>
      <c r="AI46" s="214"/>
      <c r="AJ46" s="214"/>
      <c r="AK46" s="214"/>
      <c r="AL46" s="214"/>
      <c r="AM46" s="214"/>
      <c r="AN46" s="214"/>
      <c r="AO46" s="215">
        <f t="shared" si="2"/>
        <v>0</v>
      </c>
      <c r="AP46" s="216"/>
      <c r="AQ46" s="214"/>
      <c r="AR46" s="214"/>
      <c r="AS46" s="214"/>
      <c r="AT46" s="214"/>
      <c r="AU46" s="214"/>
      <c r="AV46" s="214"/>
      <c r="AW46" s="214"/>
      <c r="AX46" s="214"/>
      <c r="AY46" s="214"/>
      <c r="AZ46" s="214"/>
      <c r="BA46" s="214"/>
      <c r="BB46" s="214"/>
      <c r="BC46" s="217">
        <f t="shared" si="3"/>
        <v>0</v>
      </c>
      <c r="BD46" s="218">
        <f t="shared" si="4"/>
        <v>0</v>
      </c>
      <c r="BE46" s="210"/>
      <c r="BF46" s="219"/>
      <c r="BG46" s="219"/>
      <c r="BH46" s="219"/>
      <c r="BI46" s="220">
        <f t="shared" si="10"/>
        <v>0</v>
      </c>
      <c r="BJ46" s="219"/>
      <c r="BK46" s="221" t="str">
        <f t="shared" si="8"/>
        <v/>
      </c>
      <c r="BL46" s="221" t="str">
        <f t="shared" si="6"/>
        <v/>
      </c>
      <c r="BM46" s="221" t="str">
        <f t="shared" si="7"/>
        <v/>
      </c>
      <c r="BN46" s="222"/>
    </row>
    <row r="47" spans="1:66" ht="28.15" customHeight="1" x14ac:dyDescent="0.25">
      <c r="A47" s="206" t="str">
        <f>IF(D47="","",Cover!$D$8)</f>
        <v/>
      </c>
      <c r="B47" s="206" t="str">
        <f>IF(D47="","",Cover!$D$7)</f>
        <v/>
      </c>
      <c r="C47" s="207" t="str">
        <f>IF(F47="","",IFERROR(VLOOKUP(F47,'Master Data'!$E$59:$J$146,6,FALSE),0))</f>
        <v/>
      </c>
      <c r="D47" s="208" t="str">
        <f>IF(F47="","",IFERROR(VLOOKUP(F47,'Master Data'!$E$59:$L$148,8,FALSE),0))</f>
        <v/>
      </c>
      <c r="E47" s="207" t="str">
        <f>IF(D47="","",IFERROR(VLOOKUP(D47,'Master Data'!$D$59:$I$148,6,FALSE),0))</f>
        <v/>
      </c>
      <c r="F47" s="209"/>
      <c r="G47" s="210"/>
      <c r="H47" s="211">
        <f>IFERROR(VLOOKUP(G47,'Master Data'!$C$336:$I$353,7,FALSE),0)</f>
        <v>0</v>
      </c>
      <c r="I47" s="208">
        <f>IFERROR(VLOOKUP(H47,'Master Data'!$B$336:$D$351,3,FALSE),0)</f>
        <v>0</v>
      </c>
      <c r="J47" s="211">
        <f>IFERROR(VLOOKUP(H47,'Master Data'!$B$336:$H$353,7,FALSE),0)</f>
        <v>0</v>
      </c>
      <c r="K47" s="212"/>
      <c r="L47" s="213" t="str">
        <f>IFERROR(IF(I47="FIXED ASSET",J47&amp;E47&amp;K47,VLOOKUP(F47,'Master Data'!$E$59:$H$146,4,FALSE)&amp;"-"&amp;J47&amp;"-"&amp;K47),"-")</f>
        <v>-</v>
      </c>
      <c r="M47" s="225"/>
      <c r="N47" s="225"/>
      <c r="O47" s="224"/>
      <c r="P47" s="224"/>
      <c r="Q47" s="224"/>
      <c r="R47" s="224"/>
      <c r="S47" s="224"/>
      <c r="T47" s="224"/>
      <c r="U47" s="224"/>
      <c r="V47" s="224"/>
      <c r="W47" s="224"/>
      <c r="X47" s="224"/>
      <c r="Y47" s="224"/>
      <c r="Z47" s="224"/>
      <c r="AA47" s="215">
        <f t="shared" si="9"/>
        <v>0</v>
      </c>
      <c r="AB47" s="318"/>
      <c r="AC47" s="214"/>
      <c r="AD47" s="214"/>
      <c r="AE47" s="214"/>
      <c r="AF47" s="214"/>
      <c r="AG47" s="214"/>
      <c r="AH47" s="214"/>
      <c r="AI47" s="214"/>
      <c r="AJ47" s="214"/>
      <c r="AK47" s="214"/>
      <c r="AL47" s="214"/>
      <c r="AM47" s="214"/>
      <c r="AN47" s="214"/>
      <c r="AO47" s="215">
        <f t="shared" si="2"/>
        <v>0</v>
      </c>
      <c r="AP47" s="216"/>
      <c r="AQ47" s="214"/>
      <c r="AR47" s="214"/>
      <c r="AS47" s="214"/>
      <c r="AT47" s="214"/>
      <c r="AU47" s="214"/>
      <c r="AV47" s="214"/>
      <c r="AW47" s="214"/>
      <c r="AX47" s="214"/>
      <c r="AY47" s="214"/>
      <c r="AZ47" s="214"/>
      <c r="BA47" s="214"/>
      <c r="BB47" s="214"/>
      <c r="BC47" s="217">
        <f t="shared" si="3"/>
        <v>0</v>
      </c>
      <c r="BD47" s="218">
        <f t="shared" si="4"/>
        <v>0</v>
      </c>
      <c r="BE47" s="210"/>
      <c r="BF47" s="219"/>
      <c r="BG47" s="219"/>
      <c r="BH47" s="219"/>
      <c r="BI47" s="220">
        <f t="shared" si="10"/>
        <v>0</v>
      </c>
      <c r="BJ47" s="219"/>
      <c r="BK47" s="221" t="str">
        <f t="shared" si="8"/>
        <v/>
      </c>
      <c r="BL47" s="221" t="str">
        <f t="shared" si="6"/>
        <v/>
      </c>
      <c r="BM47" s="221" t="str">
        <f t="shared" si="7"/>
        <v/>
      </c>
      <c r="BN47" s="222"/>
    </row>
    <row r="48" spans="1:66" ht="28.15" customHeight="1" x14ac:dyDescent="0.25">
      <c r="A48" s="206" t="str">
        <f>IF(D48="","",Cover!$D$8)</f>
        <v/>
      </c>
      <c r="B48" s="206" t="str">
        <f>IF(D48="","",Cover!$D$7)</f>
        <v/>
      </c>
      <c r="C48" s="207" t="str">
        <f>IF(F48="","",IFERROR(VLOOKUP(F48,'Master Data'!$E$59:$J$146,6,FALSE),0))</f>
        <v/>
      </c>
      <c r="D48" s="208" t="str">
        <f>IF(F48="","",IFERROR(VLOOKUP(F48,'Master Data'!$E$59:$L$148,8,FALSE),0))</f>
        <v/>
      </c>
      <c r="E48" s="207" t="str">
        <f>IF(D48="","",IFERROR(VLOOKUP(D48,'Master Data'!$D$59:$I$148,6,FALSE),0))</f>
        <v/>
      </c>
      <c r="F48" s="209"/>
      <c r="G48" s="210"/>
      <c r="H48" s="211">
        <f>IFERROR(VLOOKUP(G48,'Master Data'!$C$336:$I$353,7,FALSE),0)</f>
        <v>0</v>
      </c>
      <c r="I48" s="208">
        <f>IFERROR(VLOOKUP(H48,'Master Data'!$B$336:$D$351,3,FALSE),0)</f>
        <v>0</v>
      </c>
      <c r="J48" s="211">
        <f>IFERROR(VLOOKUP(H48,'Master Data'!$B$336:$H$353,7,FALSE),0)</f>
        <v>0</v>
      </c>
      <c r="K48" s="212"/>
      <c r="L48" s="213" t="str">
        <f>IFERROR(IF(I48="FIXED ASSET",J48&amp;E48&amp;K48,VLOOKUP(F48,'Master Data'!$E$59:$H$146,4,FALSE)&amp;"-"&amp;J48&amp;"-"&amp;K48),"-")</f>
        <v>-</v>
      </c>
      <c r="M48" s="225"/>
      <c r="N48" s="225"/>
      <c r="O48" s="224"/>
      <c r="P48" s="224"/>
      <c r="Q48" s="224"/>
      <c r="R48" s="224"/>
      <c r="S48" s="224"/>
      <c r="T48" s="224"/>
      <c r="U48" s="224"/>
      <c r="V48" s="224"/>
      <c r="W48" s="224"/>
      <c r="X48" s="224"/>
      <c r="Y48" s="224"/>
      <c r="Z48" s="224"/>
      <c r="AA48" s="215">
        <f t="shared" si="9"/>
        <v>0</v>
      </c>
      <c r="AB48" s="318"/>
      <c r="AC48" s="214"/>
      <c r="AD48" s="214"/>
      <c r="AE48" s="214"/>
      <c r="AF48" s="214"/>
      <c r="AG48" s="214"/>
      <c r="AH48" s="214"/>
      <c r="AI48" s="214"/>
      <c r="AJ48" s="214"/>
      <c r="AK48" s="214"/>
      <c r="AL48" s="214"/>
      <c r="AM48" s="214"/>
      <c r="AN48" s="214"/>
      <c r="AO48" s="215">
        <f t="shared" si="2"/>
        <v>0</v>
      </c>
      <c r="AP48" s="216"/>
      <c r="AQ48" s="214"/>
      <c r="AR48" s="214"/>
      <c r="AS48" s="214"/>
      <c r="AT48" s="214"/>
      <c r="AU48" s="214"/>
      <c r="AV48" s="214"/>
      <c r="AW48" s="214"/>
      <c r="AX48" s="214"/>
      <c r="AY48" s="214"/>
      <c r="AZ48" s="214"/>
      <c r="BA48" s="214"/>
      <c r="BB48" s="214"/>
      <c r="BC48" s="217">
        <f t="shared" si="3"/>
        <v>0</v>
      </c>
      <c r="BD48" s="218">
        <f t="shared" si="4"/>
        <v>0</v>
      </c>
      <c r="BE48" s="210"/>
      <c r="BF48" s="219"/>
      <c r="BG48" s="219"/>
      <c r="BH48" s="219"/>
      <c r="BI48" s="220">
        <f t="shared" si="10"/>
        <v>0</v>
      </c>
      <c r="BJ48" s="219"/>
      <c r="BK48" s="221" t="str">
        <f t="shared" si="8"/>
        <v/>
      </c>
      <c r="BL48" s="221" t="str">
        <f t="shared" si="6"/>
        <v/>
      </c>
      <c r="BM48" s="221" t="str">
        <f t="shared" si="7"/>
        <v/>
      </c>
      <c r="BN48" s="222"/>
    </row>
    <row r="49" spans="1:66" ht="28.15" customHeight="1" x14ac:dyDescent="0.25">
      <c r="A49" s="206" t="str">
        <f>IF(D49="","",Cover!$D$8)</f>
        <v/>
      </c>
      <c r="B49" s="206" t="str">
        <f>IF(D49="","",Cover!$D$7)</f>
        <v/>
      </c>
      <c r="C49" s="207" t="str">
        <f>IF(F49="","",IFERROR(VLOOKUP(F49,'Master Data'!$E$59:$J$146,6,FALSE),0))</f>
        <v/>
      </c>
      <c r="D49" s="208" t="str">
        <f>IF(F49="","",IFERROR(VLOOKUP(F49,'Master Data'!$E$59:$L$148,8,FALSE),0))</f>
        <v/>
      </c>
      <c r="E49" s="207" t="str">
        <f>IF(D49="","",IFERROR(VLOOKUP(D49,'Master Data'!$D$59:$I$148,6,FALSE),0))</f>
        <v/>
      </c>
      <c r="F49" s="209"/>
      <c r="G49" s="210"/>
      <c r="H49" s="211">
        <f>IFERROR(VLOOKUP(G49,'Master Data'!$C$336:$I$353,7,FALSE),0)</f>
        <v>0</v>
      </c>
      <c r="I49" s="208">
        <f>IFERROR(VLOOKUP(H49,'Master Data'!$B$336:$D$351,3,FALSE),0)</f>
        <v>0</v>
      </c>
      <c r="J49" s="211">
        <f>IFERROR(VLOOKUP(H49,'Master Data'!$B$336:$H$353,7,FALSE),0)</f>
        <v>0</v>
      </c>
      <c r="K49" s="212"/>
      <c r="L49" s="213" t="str">
        <f>IFERROR(IF(I49="FIXED ASSET",J49&amp;E49&amp;K49,VLOOKUP(F49,'Master Data'!$E$59:$H$146,4,FALSE)&amp;"-"&amp;J49&amp;"-"&amp;K49),"-")</f>
        <v>-</v>
      </c>
      <c r="M49" s="225"/>
      <c r="N49" s="225"/>
      <c r="O49" s="224"/>
      <c r="P49" s="224"/>
      <c r="Q49" s="224"/>
      <c r="R49" s="224"/>
      <c r="S49" s="224"/>
      <c r="T49" s="224"/>
      <c r="U49" s="224"/>
      <c r="V49" s="224"/>
      <c r="W49" s="224"/>
      <c r="X49" s="224"/>
      <c r="Y49" s="224"/>
      <c r="Z49" s="224"/>
      <c r="AA49" s="215">
        <f t="shared" si="9"/>
        <v>0</v>
      </c>
      <c r="AB49" s="318"/>
      <c r="AC49" s="214"/>
      <c r="AD49" s="214"/>
      <c r="AE49" s="214"/>
      <c r="AF49" s="214"/>
      <c r="AG49" s="214"/>
      <c r="AH49" s="214"/>
      <c r="AI49" s="214"/>
      <c r="AJ49" s="214"/>
      <c r="AK49" s="214"/>
      <c r="AL49" s="214"/>
      <c r="AM49" s="214"/>
      <c r="AN49" s="214"/>
      <c r="AO49" s="215">
        <f t="shared" si="2"/>
        <v>0</v>
      </c>
      <c r="AP49" s="216"/>
      <c r="AQ49" s="214"/>
      <c r="AR49" s="214"/>
      <c r="AS49" s="214"/>
      <c r="AT49" s="214"/>
      <c r="AU49" s="214"/>
      <c r="AV49" s="214"/>
      <c r="AW49" s="214"/>
      <c r="AX49" s="214"/>
      <c r="AY49" s="214"/>
      <c r="AZ49" s="214"/>
      <c r="BA49" s="214"/>
      <c r="BB49" s="214"/>
      <c r="BC49" s="217">
        <f t="shared" si="3"/>
        <v>0</v>
      </c>
      <c r="BD49" s="218">
        <f t="shared" si="4"/>
        <v>0</v>
      </c>
      <c r="BE49" s="210"/>
      <c r="BF49" s="219"/>
      <c r="BG49" s="219"/>
      <c r="BH49" s="219"/>
      <c r="BI49" s="220">
        <f t="shared" si="10"/>
        <v>0</v>
      </c>
      <c r="BJ49" s="219"/>
      <c r="BK49" s="221" t="str">
        <f t="shared" si="8"/>
        <v/>
      </c>
      <c r="BL49" s="221" t="str">
        <f t="shared" si="6"/>
        <v/>
      </c>
      <c r="BM49" s="221" t="str">
        <f t="shared" si="7"/>
        <v/>
      </c>
      <c r="BN49" s="222"/>
    </row>
    <row r="50" spans="1:66" ht="28.15" customHeight="1" x14ac:dyDescent="0.25">
      <c r="A50" s="206" t="str">
        <f>IF(D50="","",Cover!$D$8)</f>
        <v/>
      </c>
      <c r="B50" s="206" t="str">
        <f>IF(D50="","",Cover!$D$7)</f>
        <v/>
      </c>
      <c r="C50" s="207" t="str">
        <f>IF(F50="","",IFERROR(VLOOKUP(F50,'Master Data'!$E$59:$J$146,6,FALSE),0))</f>
        <v/>
      </c>
      <c r="D50" s="208" t="str">
        <f>IF(F50="","",IFERROR(VLOOKUP(F50,'Master Data'!$E$59:$L$148,8,FALSE),0))</f>
        <v/>
      </c>
      <c r="E50" s="207" t="str">
        <f>IF(D50="","",IFERROR(VLOOKUP(D50,'Master Data'!$D$59:$I$148,6,FALSE),0))</f>
        <v/>
      </c>
      <c r="F50" s="209"/>
      <c r="G50" s="210"/>
      <c r="H50" s="211">
        <f>IFERROR(VLOOKUP(G50,'Master Data'!$C$336:$I$353,7,FALSE),0)</f>
        <v>0</v>
      </c>
      <c r="I50" s="208">
        <f>IFERROR(VLOOKUP(H50,'Master Data'!$B$336:$D$351,3,FALSE),0)</f>
        <v>0</v>
      </c>
      <c r="J50" s="211">
        <f>IFERROR(VLOOKUP(H50,'Master Data'!$B$336:$H$353,7,FALSE),0)</f>
        <v>0</v>
      </c>
      <c r="K50" s="212"/>
      <c r="L50" s="213" t="str">
        <f>IFERROR(IF(I50="FIXED ASSET",J50&amp;E50&amp;K50,VLOOKUP(F50,'Master Data'!$E$59:$H$146,4,FALSE)&amp;"-"&amp;J50&amp;"-"&amp;K50),"-")</f>
        <v>-</v>
      </c>
      <c r="M50" s="225"/>
      <c r="N50" s="225"/>
      <c r="O50" s="224"/>
      <c r="P50" s="224"/>
      <c r="Q50" s="224"/>
      <c r="R50" s="224"/>
      <c r="S50" s="224"/>
      <c r="T50" s="224"/>
      <c r="U50" s="224"/>
      <c r="V50" s="224"/>
      <c r="W50" s="224"/>
      <c r="X50" s="224"/>
      <c r="Y50" s="224"/>
      <c r="Z50" s="224"/>
      <c r="AA50" s="215">
        <f t="shared" si="9"/>
        <v>0</v>
      </c>
      <c r="AB50" s="318"/>
      <c r="AC50" s="214"/>
      <c r="AD50" s="214"/>
      <c r="AE50" s="214"/>
      <c r="AF50" s="214"/>
      <c r="AG50" s="214"/>
      <c r="AH50" s="214"/>
      <c r="AI50" s="214"/>
      <c r="AJ50" s="214"/>
      <c r="AK50" s="214"/>
      <c r="AL50" s="214"/>
      <c r="AM50" s="214"/>
      <c r="AN50" s="214"/>
      <c r="AO50" s="215">
        <f t="shared" si="2"/>
        <v>0</v>
      </c>
      <c r="AP50" s="216"/>
      <c r="AQ50" s="214"/>
      <c r="AR50" s="214"/>
      <c r="AS50" s="214"/>
      <c r="AT50" s="214"/>
      <c r="AU50" s="214"/>
      <c r="AV50" s="214"/>
      <c r="AW50" s="214"/>
      <c r="AX50" s="214"/>
      <c r="AY50" s="214"/>
      <c r="AZ50" s="214"/>
      <c r="BA50" s="214"/>
      <c r="BB50" s="214"/>
      <c r="BC50" s="217">
        <f t="shared" si="3"/>
        <v>0</v>
      </c>
      <c r="BD50" s="218">
        <f t="shared" si="4"/>
        <v>0</v>
      </c>
      <c r="BE50" s="210"/>
      <c r="BF50" s="219"/>
      <c r="BG50" s="219"/>
      <c r="BH50" s="219"/>
      <c r="BI50" s="220">
        <f t="shared" si="10"/>
        <v>0</v>
      </c>
      <c r="BJ50" s="219"/>
      <c r="BK50" s="221" t="str">
        <f t="shared" si="8"/>
        <v/>
      </c>
      <c r="BL50" s="221" t="str">
        <f t="shared" si="6"/>
        <v/>
      </c>
      <c r="BM50" s="221" t="str">
        <f t="shared" si="7"/>
        <v/>
      </c>
      <c r="BN50" s="222"/>
    </row>
    <row r="51" spans="1:66" ht="28.15" customHeight="1" x14ac:dyDescent="0.25">
      <c r="A51" s="206" t="str">
        <f>IF(D51="","",Cover!$D$8)</f>
        <v/>
      </c>
      <c r="B51" s="206" t="str">
        <f>IF(D51="","",Cover!$D$7)</f>
        <v/>
      </c>
      <c r="C51" s="207" t="str">
        <f>IF(F51="","",IFERROR(VLOOKUP(F51,'Master Data'!$E$59:$J$146,6,FALSE),0))</f>
        <v/>
      </c>
      <c r="D51" s="208" t="str">
        <f>IF(F51="","",IFERROR(VLOOKUP(F51,'Master Data'!$E$59:$L$148,8,FALSE),0))</f>
        <v/>
      </c>
      <c r="E51" s="207" t="str">
        <f>IF(D51="","",IFERROR(VLOOKUP(D51,'Master Data'!$D$59:$I$148,6,FALSE),0))</f>
        <v/>
      </c>
      <c r="F51" s="209"/>
      <c r="G51" s="210"/>
      <c r="H51" s="211">
        <f>IFERROR(VLOOKUP(G51,'Master Data'!$C$336:$I$353,7,FALSE),0)</f>
        <v>0</v>
      </c>
      <c r="I51" s="208">
        <f>IFERROR(VLOOKUP(H51,'Master Data'!$B$336:$D$351,3,FALSE),0)</f>
        <v>0</v>
      </c>
      <c r="J51" s="211">
        <f>IFERROR(VLOOKUP(H51,'Master Data'!$B$336:$H$353,7,FALSE),0)</f>
        <v>0</v>
      </c>
      <c r="K51" s="212"/>
      <c r="L51" s="213" t="str">
        <f>IFERROR(IF(I51="FIXED ASSET",J51&amp;E51&amp;K51,VLOOKUP(F51,'Master Data'!$E$59:$H$146,4,FALSE)&amp;"-"&amp;J51&amp;"-"&amp;K51),"-")</f>
        <v>-</v>
      </c>
      <c r="M51" s="225"/>
      <c r="N51" s="225"/>
      <c r="O51" s="224"/>
      <c r="P51" s="224"/>
      <c r="Q51" s="224"/>
      <c r="R51" s="224"/>
      <c r="S51" s="224"/>
      <c r="T51" s="224"/>
      <c r="U51" s="224"/>
      <c r="V51" s="224"/>
      <c r="W51" s="224"/>
      <c r="X51" s="224"/>
      <c r="Y51" s="224"/>
      <c r="Z51" s="224"/>
      <c r="AA51" s="215">
        <f t="shared" si="9"/>
        <v>0</v>
      </c>
      <c r="AB51" s="318"/>
      <c r="AC51" s="214"/>
      <c r="AD51" s="214"/>
      <c r="AE51" s="214"/>
      <c r="AF51" s="214"/>
      <c r="AG51" s="214"/>
      <c r="AH51" s="214"/>
      <c r="AI51" s="214"/>
      <c r="AJ51" s="214"/>
      <c r="AK51" s="214"/>
      <c r="AL51" s="214"/>
      <c r="AM51" s="214"/>
      <c r="AN51" s="214"/>
      <c r="AO51" s="215">
        <f t="shared" si="2"/>
        <v>0</v>
      </c>
      <c r="AP51" s="216"/>
      <c r="AQ51" s="214"/>
      <c r="AR51" s="214"/>
      <c r="AS51" s="214"/>
      <c r="AT51" s="214"/>
      <c r="AU51" s="214"/>
      <c r="AV51" s="214"/>
      <c r="AW51" s="214"/>
      <c r="AX51" s="214"/>
      <c r="AY51" s="214"/>
      <c r="AZ51" s="214"/>
      <c r="BA51" s="214"/>
      <c r="BB51" s="214"/>
      <c r="BC51" s="217">
        <f t="shared" si="3"/>
        <v>0</v>
      </c>
      <c r="BD51" s="218">
        <f t="shared" si="4"/>
        <v>0</v>
      </c>
      <c r="BE51" s="210"/>
      <c r="BF51" s="219"/>
      <c r="BG51" s="219"/>
      <c r="BH51" s="219"/>
      <c r="BI51" s="220">
        <f t="shared" si="10"/>
        <v>0</v>
      </c>
      <c r="BJ51" s="219"/>
      <c r="BK51" s="221" t="str">
        <f t="shared" si="8"/>
        <v/>
      </c>
      <c r="BL51" s="221" t="str">
        <f t="shared" si="6"/>
        <v/>
      </c>
      <c r="BM51" s="221" t="str">
        <f t="shared" si="7"/>
        <v/>
      </c>
      <c r="BN51" s="222"/>
    </row>
    <row r="52" spans="1:66" ht="28.15" customHeight="1" x14ac:dyDescent="0.25">
      <c r="A52" s="206" t="str">
        <f>IF(D52="","",Cover!$D$8)</f>
        <v/>
      </c>
      <c r="B52" s="206" t="str">
        <f>IF(D52="","",Cover!$D$7)</f>
        <v/>
      </c>
      <c r="C52" s="207" t="str">
        <f>IF(F52="","",IFERROR(VLOOKUP(F52,'Master Data'!$E$59:$J$146,6,FALSE),0))</f>
        <v/>
      </c>
      <c r="D52" s="208" t="str">
        <f>IF(F52="","",IFERROR(VLOOKUP(F52,'Master Data'!$E$59:$L$148,8,FALSE),0))</f>
        <v/>
      </c>
      <c r="E52" s="207" t="str">
        <f>IF(D52="","",IFERROR(VLOOKUP(D52,'Master Data'!$D$59:$I$148,6,FALSE),0))</f>
        <v/>
      </c>
      <c r="F52" s="209"/>
      <c r="G52" s="210"/>
      <c r="H52" s="211">
        <f>IFERROR(VLOOKUP(G52,'Master Data'!$C$336:$I$353,7,FALSE),0)</f>
        <v>0</v>
      </c>
      <c r="I52" s="208">
        <f>IFERROR(VLOOKUP(H52,'Master Data'!$B$336:$D$351,3,FALSE),0)</f>
        <v>0</v>
      </c>
      <c r="J52" s="211">
        <f>IFERROR(VLOOKUP(H52,'Master Data'!$B$336:$H$353,7,FALSE),0)</f>
        <v>0</v>
      </c>
      <c r="K52" s="212"/>
      <c r="L52" s="213" t="str">
        <f>IFERROR(IF(I52="FIXED ASSET",J52&amp;E52&amp;K52,VLOOKUP(F52,'Master Data'!$E$59:$H$146,4,FALSE)&amp;"-"&amp;J52&amp;"-"&amp;K52),"-")</f>
        <v>-</v>
      </c>
      <c r="M52" s="225"/>
      <c r="N52" s="225"/>
      <c r="O52" s="224"/>
      <c r="P52" s="224"/>
      <c r="Q52" s="224"/>
      <c r="R52" s="224"/>
      <c r="S52" s="224"/>
      <c r="T52" s="224"/>
      <c r="U52" s="224"/>
      <c r="V52" s="224"/>
      <c r="W52" s="224"/>
      <c r="X52" s="224"/>
      <c r="Y52" s="224"/>
      <c r="Z52" s="224"/>
      <c r="AA52" s="215">
        <f t="shared" si="9"/>
        <v>0</v>
      </c>
      <c r="AB52" s="318"/>
      <c r="AC52" s="214"/>
      <c r="AD52" s="214"/>
      <c r="AE52" s="214"/>
      <c r="AF52" s="214"/>
      <c r="AG52" s="214"/>
      <c r="AH52" s="214"/>
      <c r="AI52" s="214"/>
      <c r="AJ52" s="214"/>
      <c r="AK52" s="214"/>
      <c r="AL52" s="214"/>
      <c r="AM52" s="214"/>
      <c r="AN52" s="214"/>
      <c r="AO52" s="215">
        <f t="shared" si="2"/>
        <v>0</v>
      </c>
      <c r="AP52" s="216"/>
      <c r="AQ52" s="214"/>
      <c r="AR52" s="214"/>
      <c r="AS52" s="214"/>
      <c r="AT52" s="214"/>
      <c r="AU52" s="214"/>
      <c r="AV52" s="214"/>
      <c r="AW52" s="214"/>
      <c r="AX52" s="214"/>
      <c r="AY52" s="214"/>
      <c r="AZ52" s="214"/>
      <c r="BA52" s="214"/>
      <c r="BB52" s="214"/>
      <c r="BC52" s="217">
        <f t="shared" si="3"/>
        <v>0</v>
      </c>
      <c r="BD52" s="218">
        <f t="shared" si="4"/>
        <v>0</v>
      </c>
      <c r="BE52" s="210"/>
      <c r="BF52" s="219"/>
      <c r="BG52" s="219"/>
      <c r="BH52" s="219"/>
      <c r="BI52" s="220">
        <f t="shared" si="10"/>
        <v>0</v>
      </c>
      <c r="BJ52" s="219"/>
      <c r="BK52" s="221" t="str">
        <f t="shared" si="8"/>
        <v/>
      </c>
      <c r="BL52" s="221" t="str">
        <f t="shared" si="6"/>
        <v/>
      </c>
      <c r="BM52" s="221" t="str">
        <f t="shared" si="7"/>
        <v/>
      </c>
      <c r="BN52" s="222"/>
    </row>
    <row r="53" spans="1:66" ht="28.15" customHeight="1" x14ac:dyDescent="0.25">
      <c r="A53" s="206" t="str">
        <f>IF(D53="","",Cover!$D$8)</f>
        <v/>
      </c>
      <c r="B53" s="206" t="str">
        <f>IF(D53="","",Cover!$D$7)</f>
        <v/>
      </c>
      <c r="C53" s="207" t="str">
        <f>IF(F53="","",IFERROR(VLOOKUP(F53,'Master Data'!$E$59:$J$146,6,FALSE),0))</f>
        <v/>
      </c>
      <c r="D53" s="208" t="str">
        <f>IF(F53="","",IFERROR(VLOOKUP(F53,'Master Data'!$E$59:$L$148,8,FALSE),0))</f>
        <v/>
      </c>
      <c r="E53" s="207" t="str">
        <f>IF(D53="","",IFERROR(VLOOKUP(D53,'Master Data'!$D$59:$I$148,6,FALSE),0))</f>
        <v/>
      </c>
      <c r="F53" s="209"/>
      <c r="G53" s="210"/>
      <c r="H53" s="211">
        <f>IFERROR(VLOOKUP(G53,'Master Data'!$C$336:$I$353,7,FALSE),0)</f>
        <v>0</v>
      </c>
      <c r="I53" s="208">
        <f>IFERROR(VLOOKUP(H53,'Master Data'!$B$336:$D$351,3,FALSE),0)</f>
        <v>0</v>
      </c>
      <c r="J53" s="211">
        <f>IFERROR(VLOOKUP(H53,'Master Data'!$B$336:$H$353,7,FALSE),0)</f>
        <v>0</v>
      </c>
      <c r="K53" s="212"/>
      <c r="L53" s="213" t="str">
        <f>IFERROR(IF(I53="FIXED ASSET",J53&amp;E53&amp;K53,VLOOKUP(F53,'Master Data'!$E$59:$H$146,4,FALSE)&amp;"-"&amp;J53&amp;"-"&amp;K53),"-")</f>
        <v>-</v>
      </c>
      <c r="M53" s="225"/>
      <c r="N53" s="225"/>
      <c r="O53" s="224"/>
      <c r="P53" s="224"/>
      <c r="Q53" s="224"/>
      <c r="R53" s="224"/>
      <c r="S53" s="224"/>
      <c r="T53" s="224"/>
      <c r="U53" s="224"/>
      <c r="V53" s="224"/>
      <c r="W53" s="224"/>
      <c r="X53" s="224"/>
      <c r="Y53" s="224"/>
      <c r="Z53" s="224"/>
      <c r="AA53" s="215">
        <f t="shared" si="9"/>
        <v>0</v>
      </c>
      <c r="AB53" s="318"/>
      <c r="AC53" s="214"/>
      <c r="AD53" s="214"/>
      <c r="AE53" s="214"/>
      <c r="AF53" s="214"/>
      <c r="AG53" s="214"/>
      <c r="AH53" s="214"/>
      <c r="AI53" s="214"/>
      <c r="AJ53" s="214"/>
      <c r="AK53" s="214"/>
      <c r="AL53" s="214"/>
      <c r="AM53" s="214"/>
      <c r="AN53" s="214"/>
      <c r="AO53" s="215">
        <f t="shared" si="2"/>
        <v>0</v>
      </c>
      <c r="AP53" s="216"/>
      <c r="AQ53" s="214"/>
      <c r="AR53" s="214"/>
      <c r="AS53" s="214"/>
      <c r="AT53" s="214"/>
      <c r="AU53" s="214"/>
      <c r="AV53" s="214"/>
      <c r="AW53" s="214"/>
      <c r="AX53" s="214"/>
      <c r="AY53" s="214"/>
      <c r="AZ53" s="214"/>
      <c r="BA53" s="214"/>
      <c r="BB53" s="214"/>
      <c r="BC53" s="217">
        <f t="shared" si="3"/>
        <v>0</v>
      </c>
      <c r="BD53" s="218">
        <f t="shared" si="4"/>
        <v>0</v>
      </c>
      <c r="BE53" s="210"/>
      <c r="BF53" s="219"/>
      <c r="BG53" s="219"/>
      <c r="BH53" s="219"/>
      <c r="BI53" s="220">
        <f t="shared" si="10"/>
        <v>0</v>
      </c>
      <c r="BJ53" s="219"/>
      <c r="BK53" s="221" t="str">
        <f t="shared" si="8"/>
        <v/>
      </c>
      <c r="BL53" s="221" t="str">
        <f t="shared" si="6"/>
        <v/>
      </c>
      <c r="BM53" s="221" t="str">
        <f t="shared" si="7"/>
        <v/>
      </c>
      <c r="BN53" s="222"/>
    </row>
    <row r="54" spans="1:66" ht="28.15" customHeight="1" x14ac:dyDescent="0.25">
      <c r="A54" s="206" t="str">
        <f>IF(D54="","",Cover!$D$8)</f>
        <v/>
      </c>
      <c r="B54" s="206" t="str">
        <f>IF(D54="","",Cover!$D$7)</f>
        <v/>
      </c>
      <c r="C54" s="207" t="str">
        <f>IF(F54="","",IFERROR(VLOOKUP(F54,'Master Data'!$E$59:$J$146,6,FALSE),0))</f>
        <v/>
      </c>
      <c r="D54" s="208" t="str">
        <f>IF(F54="","",IFERROR(VLOOKUP(F54,'Master Data'!$E$59:$L$148,8,FALSE),0))</f>
        <v/>
      </c>
      <c r="E54" s="207" t="str">
        <f>IF(D54="","",IFERROR(VLOOKUP(D54,'Master Data'!$D$59:$I$148,6,FALSE),0))</f>
        <v/>
      </c>
      <c r="F54" s="209"/>
      <c r="G54" s="210"/>
      <c r="H54" s="211">
        <f>IFERROR(VLOOKUP(G54,'Master Data'!$C$336:$I$353,7,FALSE),0)</f>
        <v>0</v>
      </c>
      <c r="I54" s="208">
        <f>IFERROR(VLOOKUP(H54,'Master Data'!$B$336:$D$351,3,FALSE),0)</f>
        <v>0</v>
      </c>
      <c r="J54" s="211">
        <f>IFERROR(VLOOKUP(H54,'Master Data'!$B$336:$H$353,7,FALSE),0)</f>
        <v>0</v>
      </c>
      <c r="K54" s="212"/>
      <c r="L54" s="213" t="str">
        <f>IFERROR(IF(I54="FIXED ASSET",J54&amp;E54&amp;K54,VLOOKUP(F54,'Master Data'!$E$59:$H$146,4,FALSE)&amp;"-"&amp;J54&amp;"-"&amp;K54),"-")</f>
        <v>-</v>
      </c>
      <c r="M54" s="225"/>
      <c r="N54" s="225"/>
      <c r="O54" s="224"/>
      <c r="P54" s="224"/>
      <c r="Q54" s="224"/>
      <c r="R54" s="224"/>
      <c r="S54" s="224"/>
      <c r="T54" s="224"/>
      <c r="U54" s="224"/>
      <c r="V54" s="224"/>
      <c r="W54" s="224"/>
      <c r="X54" s="224"/>
      <c r="Y54" s="224"/>
      <c r="Z54" s="224"/>
      <c r="AA54" s="215">
        <f t="shared" si="9"/>
        <v>0</v>
      </c>
      <c r="AB54" s="318"/>
      <c r="AC54" s="214"/>
      <c r="AD54" s="214"/>
      <c r="AE54" s="214"/>
      <c r="AF54" s="214"/>
      <c r="AG54" s="214"/>
      <c r="AH54" s="214"/>
      <c r="AI54" s="214"/>
      <c r="AJ54" s="214"/>
      <c r="AK54" s="214"/>
      <c r="AL54" s="214"/>
      <c r="AM54" s="214"/>
      <c r="AN54" s="214"/>
      <c r="AO54" s="215">
        <f t="shared" si="2"/>
        <v>0</v>
      </c>
      <c r="AP54" s="216"/>
      <c r="AQ54" s="214"/>
      <c r="AR54" s="214"/>
      <c r="AS54" s="214"/>
      <c r="AT54" s="214"/>
      <c r="AU54" s="214"/>
      <c r="AV54" s="214"/>
      <c r="AW54" s="214"/>
      <c r="AX54" s="214"/>
      <c r="AY54" s="214"/>
      <c r="AZ54" s="214"/>
      <c r="BA54" s="214"/>
      <c r="BB54" s="214"/>
      <c r="BC54" s="217">
        <f t="shared" si="3"/>
        <v>0</v>
      </c>
      <c r="BD54" s="218">
        <f t="shared" si="4"/>
        <v>0</v>
      </c>
      <c r="BE54" s="210"/>
      <c r="BF54" s="219"/>
      <c r="BG54" s="219"/>
      <c r="BH54" s="219"/>
      <c r="BI54" s="220">
        <f t="shared" si="10"/>
        <v>0</v>
      </c>
      <c r="BJ54" s="219"/>
      <c r="BK54" s="221" t="str">
        <f t="shared" si="8"/>
        <v/>
      </c>
      <c r="BL54" s="221" t="str">
        <f t="shared" si="6"/>
        <v/>
      </c>
      <c r="BM54" s="221" t="str">
        <f t="shared" si="7"/>
        <v/>
      </c>
      <c r="BN54" s="222"/>
    </row>
    <row r="55" spans="1:66" ht="28.15" customHeight="1" x14ac:dyDescent="0.25">
      <c r="A55" s="206" t="str">
        <f>IF(D55="","",Cover!$D$8)</f>
        <v/>
      </c>
      <c r="B55" s="206" t="str">
        <f>IF(D55="","",Cover!$D$7)</f>
        <v/>
      </c>
      <c r="C55" s="207" t="str">
        <f>IF(F55="","",IFERROR(VLOOKUP(F55,'Master Data'!$E$59:$J$146,6,FALSE),0))</f>
        <v/>
      </c>
      <c r="D55" s="208" t="str">
        <f>IF(F55="","",IFERROR(VLOOKUP(F55,'Master Data'!$E$59:$L$148,8,FALSE),0))</f>
        <v/>
      </c>
      <c r="E55" s="207" t="str">
        <f>IF(D55="","",IFERROR(VLOOKUP(D55,'Master Data'!$D$59:$I$148,6,FALSE),0))</f>
        <v/>
      </c>
      <c r="F55" s="209"/>
      <c r="G55" s="210"/>
      <c r="H55" s="211">
        <f>IFERROR(VLOOKUP(G55,'Master Data'!$C$336:$I$353,7,FALSE),0)</f>
        <v>0</v>
      </c>
      <c r="I55" s="208">
        <f>IFERROR(VLOOKUP(H55,'Master Data'!$B$336:$D$351,3,FALSE),0)</f>
        <v>0</v>
      </c>
      <c r="J55" s="211">
        <f>IFERROR(VLOOKUP(H55,'Master Data'!$B$336:$H$353,7,FALSE),0)</f>
        <v>0</v>
      </c>
      <c r="K55" s="212"/>
      <c r="L55" s="213" t="str">
        <f>IFERROR(IF(I55="FIXED ASSET",J55&amp;E55&amp;K55,VLOOKUP(F55,'Master Data'!$E$59:$H$146,4,FALSE)&amp;"-"&amp;J55&amp;"-"&amp;K55),"-")</f>
        <v>-</v>
      </c>
      <c r="M55" s="225"/>
      <c r="N55" s="225"/>
      <c r="O55" s="224"/>
      <c r="P55" s="224"/>
      <c r="Q55" s="224"/>
      <c r="R55" s="224"/>
      <c r="S55" s="224"/>
      <c r="T55" s="224"/>
      <c r="U55" s="224"/>
      <c r="V55" s="224"/>
      <c r="W55" s="224"/>
      <c r="X55" s="224"/>
      <c r="Y55" s="224"/>
      <c r="Z55" s="224"/>
      <c r="AA55" s="215">
        <f t="shared" si="9"/>
        <v>0</v>
      </c>
      <c r="AB55" s="318"/>
      <c r="AC55" s="214"/>
      <c r="AD55" s="214"/>
      <c r="AE55" s="214"/>
      <c r="AF55" s="214"/>
      <c r="AG55" s="214"/>
      <c r="AH55" s="214"/>
      <c r="AI55" s="214"/>
      <c r="AJ55" s="214"/>
      <c r="AK55" s="214"/>
      <c r="AL55" s="214"/>
      <c r="AM55" s="214"/>
      <c r="AN55" s="214"/>
      <c r="AO55" s="215">
        <f t="shared" si="2"/>
        <v>0</v>
      </c>
      <c r="AP55" s="216"/>
      <c r="AQ55" s="214"/>
      <c r="AR55" s="214"/>
      <c r="AS55" s="214"/>
      <c r="AT55" s="214"/>
      <c r="AU55" s="214"/>
      <c r="AV55" s="214"/>
      <c r="AW55" s="214"/>
      <c r="AX55" s="214"/>
      <c r="AY55" s="214"/>
      <c r="AZ55" s="214"/>
      <c r="BA55" s="214"/>
      <c r="BB55" s="214"/>
      <c r="BC55" s="217">
        <f t="shared" si="3"/>
        <v>0</v>
      </c>
      <c r="BD55" s="218">
        <f t="shared" si="4"/>
        <v>0</v>
      </c>
      <c r="BE55" s="210"/>
      <c r="BF55" s="219"/>
      <c r="BG55" s="219"/>
      <c r="BH55" s="219"/>
      <c r="BI55" s="220">
        <f t="shared" si="10"/>
        <v>0</v>
      </c>
      <c r="BJ55" s="219"/>
      <c r="BK55" s="221" t="str">
        <f t="shared" si="8"/>
        <v/>
      </c>
      <c r="BL55" s="221" t="str">
        <f t="shared" si="6"/>
        <v/>
      </c>
      <c r="BM55" s="221" t="str">
        <f t="shared" si="7"/>
        <v/>
      </c>
      <c r="BN55" s="222"/>
    </row>
    <row r="56" spans="1:66" ht="28.15" customHeight="1" x14ac:dyDescent="0.25">
      <c r="A56" s="206" t="str">
        <f>IF(D56="","",Cover!$D$8)</f>
        <v/>
      </c>
      <c r="B56" s="206" t="str">
        <f>IF(D56="","",Cover!$D$7)</f>
        <v/>
      </c>
      <c r="C56" s="207" t="str">
        <f>IF(F56="","",IFERROR(VLOOKUP(F56,'Master Data'!$E$59:$J$146,6,FALSE),0))</f>
        <v/>
      </c>
      <c r="D56" s="208" t="str">
        <f>IF(F56="","",IFERROR(VLOOKUP(F56,'Master Data'!$E$59:$L$148,8,FALSE),0))</f>
        <v/>
      </c>
      <c r="E56" s="207" t="str">
        <f>IF(D56="","",IFERROR(VLOOKUP(D56,'Master Data'!$D$59:$I$148,6,FALSE),0))</f>
        <v/>
      </c>
      <c r="F56" s="209"/>
      <c r="G56" s="210"/>
      <c r="H56" s="211">
        <f>IFERROR(VLOOKUP(G56,'Master Data'!$C$336:$I$353,7,FALSE),0)</f>
        <v>0</v>
      </c>
      <c r="I56" s="226">
        <f>IFERROR(VLOOKUP(H56,'Master Data'!$B$336:$D$351,3,FALSE),0)</f>
        <v>0</v>
      </c>
      <c r="J56" s="227">
        <f>IFERROR(VLOOKUP(H56,'Master Data'!$B$336:$H$353,7,FALSE),0)</f>
        <v>0</v>
      </c>
      <c r="K56" s="228"/>
      <c r="L56" s="229" t="str">
        <f>IFERROR(IF(I56="FIXED ASSET",J56&amp;E56&amp;K56,VLOOKUP(F56,'Master Data'!$E$59:$H$146,4,FALSE)&amp;"-"&amp;J56&amp;"-"&amp;K56),"-")</f>
        <v>-</v>
      </c>
      <c r="M56" s="225"/>
      <c r="N56" s="225"/>
      <c r="O56" s="224"/>
      <c r="P56" s="224"/>
      <c r="Q56" s="224"/>
      <c r="R56" s="224"/>
      <c r="S56" s="224"/>
      <c r="T56" s="224"/>
      <c r="U56" s="224"/>
      <c r="V56" s="224"/>
      <c r="W56" s="224"/>
      <c r="X56" s="224"/>
      <c r="Y56" s="224"/>
      <c r="Z56" s="224"/>
      <c r="AA56" s="215">
        <f t="shared" si="9"/>
        <v>0</v>
      </c>
      <c r="AB56" s="319"/>
      <c r="AC56" s="214"/>
      <c r="AD56" s="214"/>
      <c r="AE56" s="214"/>
      <c r="AF56" s="214"/>
      <c r="AG56" s="214"/>
      <c r="AH56" s="214"/>
      <c r="AI56" s="214"/>
      <c r="AJ56" s="214"/>
      <c r="AK56" s="214"/>
      <c r="AL56" s="214"/>
      <c r="AM56" s="214"/>
      <c r="AN56" s="214"/>
      <c r="AO56" s="215">
        <f t="shared" si="2"/>
        <v>0</v>
      </c>
      <c r="AP56" s="216"/>
      <c r="AQ56" s="214"/>
      <c r="AR56" s="214"/>
      <c r="AS56" s="214"/>
      <c r="AT56" s="214"/>
      <c r="AU56" s="214"/>
      <c r="AV56" s="214"/>
      <c r="AW56" s="214"/>
      <c r="AX56" s="214"/>
      <c r="AY56" s="214"/>
      <c r="AZ56" s="214"/>
      <c r="BA56" s="214"/>
      <c r="BB56" s="214"/>
      <c r="BC56" s="217">
        <f t="shared" si="3"/>
        <v>0</v>
      </c>
      <c r="BD56" s="218">
        <f t="shared" si="4"/>
        <v>0</v>
      </c>
      <c r="BE56" s="210"/>
      <c r="BF56" s="219"/>
      <c r="BG56" s="219"/>
      <c r="BH56" s="219"/>
      <c r="BI56" s="220">
        <f t="shared" si="10"/>
        <v>0</v>
      </c>
      <c r="BJ56" s="219"/>
      <c r="BK56" s="221" t="str">
        <f t="shared" si="8"/>
        <v/>
      </c>
      <c r="BL56" s="221" t="str">
        <f t="shared" si="6"/>
        <v/>
      </c>
      <c r="BM56" s="221" t="str">
        <f t="shared" si="7"/>
        <v/>
      </c>
      <c r="BN56" s="222"/>
    </row>
  </sheetData>
  <sheetProtection formatColumns="0" formatRows="0" autoFilter="0"/>
  <autoFilter ref="A3:AK25" xr:uid="{00000000-0009-0000-0000-000003000000}"/>
  <dataConsolidate/>
  <mergeCells count="1">
    <mergeCell ref="D3:E3"/>
  </mergeCells>
  <conditionalFormatting sqref="BK4:BK56">
    <cfRule type="containsText" dxfId="5" priority="5" operator="containsText" text="Please Fill Start Date">
      <formula>NOT(ISERROR(SEARCH("Please Fill Start Date",BK4)))</formula>
    </cfRule>
  </conditionalFormatting>
  <conditionalFormatting sqref="BL4:BL56">
    <cfRule type="containsText" dxfId="4" priority="4" operator="containsText" text="Please Fill Start Date">
      <formula>NOT(ISERROR(SEARCH("Please Fill Start Date",BL4)))</formula>
    </cfRule>
  </conditionalFormatting>
  <conditionalFormatting sqref="BM4:BM56">
    <cfRule type="containsText" dxfId="3" priority="2" operator="containsText" text="Please Fill Remarks">
      <formula>NOT(ISERROR(SEARCH("Please Fill Remarks",BM4)))</formula>
    </cfRule>
    <cfRule type="containsText" dxfId="2" priority="3" operator="containsText" text="Please Fill Start Date">
      <formula>NOT(ISERROR(SEARCH("Please Fill Start Date",BM4)))</formula>
    </cfRule>
  </conditionalFormatting>
  <conditionalFormatting sqref="K4:K56">
    <cfRule type="containsText" dxfId="1"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56" xr:uid="{D9601B00-C2AC-4715-B511-30FF4AA18573}"/>
    <dataValidation type="custom" showInputMessage="1" showErrorMessage="1" error="Pastikan Ledger Number dan Cost Center sudah terisi" sqref="O4:Z56 AC4:AN56 AQ4:BB56"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6" xr:uid="{52D2DA77-BA44-4AA1-955E-178F5AECF66F}"/>
  </dataValidations>
  <pageMargins left="0.27" right="0.28000000000000003" top="0.44" bottom="0.75" header="0" footer="0"/>
  <pageSetup paperSize="9" scale="85" orientation="landscape" r:id="rId1"/>
  <ignoredErrors>
    <ignoredError sqref="BO26:XFD56 M26:AA56 BK4:BM56"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BB152A56-0E1F-40D9-BEAA-3132A6D16F76}">
          <x14:formula1>
            <xm:f>'Master Data'!$E$137:$E$142</xm:f>
          </x14:formula1>
          <xm:sqref>F4:F56</xm:sqref>
        </x14:dataValidation>
        <x14:dataValidation type="list" allowBlank="1" showInputMessage="1" showErrorMessage="1" xr:uid="{54CB3C4D-B2D5-4027-8B44-861B2C62B9DE}">
          <x14:formula1>
            <xm:f>'Master Data'!$C$336:$C$353</xm:f>
          </x14:formula1>
          <xm:sqref>G4:G56</xm:sqref>
        </x14:dataValidation>
        <x14:dataValidation type="list" allowBlank="1" showInputMessage="1" showErrorMessage="1" xr:uid="{3CCA8B5E-7A9E-4A90-BED4-2158208A85B7}">
          <x14:formula1>
            <xm:f>'Master Data'!$B$357:$B$359</xm:f>
          </x14:formula1>
          <xm:sqref>BE4:BE56</xm:sqref>
        </x14:dataValidation>
        <x14:dataValidation type="list" allowBlank="1" showInputMessage="1" showErrorMessage="1" xr:uid="{1CB67ECF-1B54-431C-9E09-10B72A7A70AB}">
          <x14:formula1>
            <xm:f>'Master Data'!$B$372:$B$373</xm:f>
          </x14:formula1>
          <xm:sqref>BG4:BG56</xm:sqref>
        </x14:dataValidation>
        <x14:dataValidation type="list" allowBlank="1" showInputMessage="1" showErrorMessage="1" xr:uid="{220D6540-3D71-4E7A-8F51-9C4FAC9FF3CA}">
          <x14:formula1>
            <xm:f>'Master Data'!$B$365:$B$368</xm:f>
          </x14:formula1>
          <xm:sqref>BJ4:BJ56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5"/>
  <sheetViews>
    <sheetView showGridLines="0" zoomScale="80" zoomScaleNormal="80" workbookViewId="0">
      <pane xSplit="5" ySplit="3" topLeftCell="F4" activePane="bottomRight" state="frozen"/>
      <selection activeCell="F218" sqref="F218"/>
      <selection pane="topRight" activeCell="F218" sqref="F218"/>
      <selection pane="bottomLeft" activeCell="F218" sqref="F218"/>
      <selection pane="bottomRight" activeCell="D3" sqref="D3"/>
    </sheetView>
  </sheetViews>
  <sheetFormatPr defaultColWidth="9.28515625" defaultRowHeight="15" outlineLevelCol="1" x14ac:dyDescent="0.25"/>
  <cols>
    <col min="1" max="1" width="24.28515625" style="160" customWidth="1"/>
    <col min="2" max="2" width="24.5703125" style="160" customWidth="1"/>
    <col min="3" max="3" width="16.42578125" style="160" customWidth="1"/>
    <col min="4" max="4" width="36.7109375" style="190" customWidth="1"/>
    <col min="5" max="5" width="19" style="160" customWidth="1"/>
    <col min="6" max="6" width="15.28515625" style="160" customWidth="1" outlineLevel="1"/>
    <col min="7" max="7" width="27.28515625" style="160" customWidth="1" outlineLevel="1"/>
    <col min="8" max="8" width="12.7109375" style="160" customWidth="1" outlineLevel="1"/>
    <col min="9" max="9" width="39.5703125" style="160" customWidth="1" outlineLevel="1"/>
    <col min="10" max="11" width="17.7109375" style="160" customWidth="1"/>
    <col min="12" max="23" width="7.7109375" style="160" customWidth="1" outlineLevel="1"/>
    <col min="24" max="24" width="7.7109375" style="160" customWidth="1"/>
    <col min="25" max="25" width="3" style="160" customWidth="1"/>
    <col min="26" max="26" width="7.7109375" style="160" customWidth="1" outlineLevel="1"/>
    <col min="27" max="27" width="7.7109375" style="266" customWidth="1" outlineLevel="1"/>
    <col min="28" max="29" width="7.7109375" style="160" customWidth="1" outlineLevel="1"/>
    <col min="30" max="30" width="7.7109375" style="233" customWidth="1" outlineLevel="1"/>
    <col min="31" max="31" width="7.7109375" style="234" customWidth="1" outlineLevel="1"/>
    <col min="32" max="34" width="7.7109375" style="160" customWidth="1" outlineLevel="1"/>
    <col min="35" max="36" width="7.7109375" style="234" customWidth="1" outlineLevel="1"/>
    <col min="37" max="37" width="7.7109375" style="160" customWidth="1" outlineLevel="1"/>
    <col min="38" max="38" width="7.7109375" style="160" customWidth="1"/>
    <col min="39" max="39" width="2.28515625" style="234" customWidth="1"/>
    <col min="40" max="40" width="7.7109375" style="160" customWidth="1" outlineLevel="1"/>
    <col min="41" max="51" width="7.7109375" style="236" customWidth="1" outlineLevel="1"/>
    <col min="52" max="52" width="7.7109375" style="236" customWidth="1"/>
    <col min="53" max="53" width="21.7109375" style="236" customWidth="1"/>
    <col min="54" max="54" width="28.7109375" style="236" customWidth="1"/>
    <col min="55" max="55" width="9.28515625" style="236"/>
    <col min="56" max="56" width="14" style="236" customWidth="1"/>
    <col min="57" max="57" width="13.140625" style="236" customWidth="1"/>
    <col min="58" max="58" width="15.5703125" style="236" customWidth="1"/>
    <col min="59" max="59" width="17.85546875" style="236" customWidth="1"/>
    <col min="60" max="60" width="18.85546875" style="236" customWidth="1"/>
    <col min="61" max="61" width="20.7109375" style="236" customWidth="1"/>
    <col min="62" max="62" width="21.7109375" style="236" customWidth="1"/>
    <col min="63" max="63" width="24" style="236" customWidth="1"/>
    <col min="64" max="64" width="19" style="236" customWidth="1"/>
    <col min="65" max="65" width="26.5703125" style="236" customWidth="1"/>
    <col min="66" max="66" width="28.28515625" style="236" customWidth="1"/>
    <col min="67" max="67" width="28.42578125" style="236" customWidth="1"/>
    <col min="68" max="68" width="57.28515625" style="236" customWidth="1"/>
    <col min="69" max="69" width="9.28515625" style="236"/>
    <col min="70" max="70" width="26.85546875" style="236" customWidth="1"/>
    <col min="71" max="71" width="21" style="236" customWidth="1"/>
    <col min="72" max="72" width="24.140625" style="236" bestFit="1" customWidth="1"/>
    <col min="73" max="16384" width="9.28515625" style="236"/>
  </cols>
  <sheetData>
    <row r="1" spans="1:72" x14ac:dyDescent="0.25">
      <c r="Y1" s="199"/>
      <c r="Z1" s="200"/>
      <c r="AA1" s="200"/>
      <c r="AB1" s="198"/>
      <c r="AC1" s="198"/>
      <c r="AD1" s="198"/>
      <c r="AE1" s="198"/>
      <c r="AF1" s="198"/>
      <c r="AG1" s="198"/>
      <c r="AH1" s="198"/>
      <c r="AI1" s="198"/>
      <c r="AJ1" s="198"/>
      <c r="AK1" s="198"/>
      <c r="AL1" s="198"/>
      <c r="AM1" s="201"/>
      <c r="AN1" s="200"/>
      <c r="AO1" s="200"/>
      <c r="AP1" s="198"/>
      <c r="AQ1" s="198"/>
      <c r="AR1" s="198"/>
      <c r="AS1" s="198"/>
      <c r="AT1" s="198"/>
      <c r="AU1" s="198"/>
      <c r="AV1" s="198"/>
      <c r="AW1" s="198"/>
      <c r="AX1" s="198"/>
      <c r="AY1" s="198"/>
      <c r="AZ1" s="198"/>
      <c r="BA1" s="160"/>
      <c r="BB1" s="160"/>
      <c r="BC1" s="160"/>
      <c r="BD1" s="160"/>
      <c r="BE1" s="160"/>
      <c r="BF1" s="233"/>
      <c r="BG1" s="234"/>
      <c r="BH1" s="160"/>
      <c r="BI1" s="160"/>
      <c r="BL1" s="234"/>
      <c r="BM1" s="172"/>
      <c r="BN1" s="160"/>
      <c r="BO1" s="234"/>
      <c r="BP1" s="160"/>
    </row>
    <row r="2" spans="1:72" x14ac:dyDescent="0.25">
      <c r="A2" s="286"/>
      <c r="B2" s="286"/>
      <c r="C2" s="286"/>
      <c r="D2" s="287"/>
      <c r="E2" s="286"/>
      <c r="F2" s="286"/>
      <c r="G2" s="286"/>
      <c r="H2" s="286"/>
      <c r="I2" s="286"/>
      <c r="J2" s="286"/>
      <c r="K2" s="286"/>
      <c r="L2" s="288" t="s">
        <v>1507</v>
      </c>
      <c r="M2" s="289"/>
      <c r="N2" s="289"/>
      <c r="O2" s="289"/>
      <c r="P2" s="288"/>
      <c r="Q2" s="289"/>
      <c r="R2" s="289"/>
      <c r="S2" s="289"/>
      <c r="T2" s="289"/>
      <c r="U2" s="289"/>
      <c r="V2" s="289"/>
      <c r="W2" s="289"/>
      <c r="X2" s="289"/>
      <c r="Y2" s="201"/>
      <c r="Z2" s="288" t="s">
        <v>1508</v>
      </c>
      <c r="AA2" s="289"/>
      <c r="AB2" s="289"/>
      <c r="AC2" s="289"/>
      <c r="AD2" s="288"/>
      <c r="AE2" s="289"/>
      <c r="AF2" s="289"/>
      <c r="AG2" s="289"/>
      <c r="AH2" s="289"/>
      <c r="AI2" s="289"/>
      <c r="AJ2" s="289"/>
      <c r="AK2" s="289"/>
      <c r="AL2" s="289"/>
      <c r="AM2" s="201"/>
      <c r="AN2" s="288" t="s">
        <v>1523</v>
      </c>
      <c r="AO2" s="289"/>
      <c r="AP2" s="289"/>
      <c r="AQ2" s="289"/>
      <c r="AR2" s="288"/>
      <c r="AS2" s="289"/>
      <c r="AT2" s="289"/>
      <c r="AU2" s="289"/>
      <c r="AV2" s="289"/>
      <c r="AW2" s="289"/>
      <c r="AX2" s="289"/>
      <c r="AY2" s="289"/>
      <c r="AZ2" s="289"/>
      <c r="BA2" s="286"/>
      <c r="BB2" s="286"/>
      <c r="BC2" s="160"/>
      <c r="BD2" s="160"/>
      <c r="BE2" s="160"/>
      <c r="BF2" s="233"/>
      <c r="BG2" s="234"/>
      <c r="BH2" s="160"/>
      <c r="BI2" s="160"/>
      <c r="BJ2" s="235" t="s">
        <v>1511</v>
      </c>
      <c r="BK2" s="205">
        <v>16500</v>
      </c>
      <c r="BL2" s="234"/>
      <c r="BM2" s="172"/>
      <c r="BN2" s="160"/>
      <c r="BO2" s="234"/>
      <c r="BP2" s="160"/>
    </row>
    <row r="3" spans="1:72" s="240" customFormat="1" ht="54.75" customHeight="1" x14ac:dyDescent="0.25">
      <c r="A3" s="290" t="s">
        <v>234</v>
      </c>
      <c r="B3" s="290" t="s">
        <v>16</v>
      </c>
      <c r="C3" s="290" t="s">
        <v>462</v>
      </c>
      <c r="D3" s="291" t="s">
        <v>465</v>
      </c>
      <c r="E3" s="290" t="s">
        <v>466</v>
      </c>
      <c r="F3" s="290" t="s">
        <v>46</v>
      </c>
      <c r="G3" s="290" t="s">
        <v>340</v>
      </c>
      <c r="H3" s="290" t="s">
        <v>38</v>
      </c>
      <c r="I3" s="290" t="s">
        <v>343</v>
      </c>
      <c r="J3" s="292" t="s">
        <v>923</v>
      </c>
      <c r="K3" s="293" t="s">
        <v>924</v>
      </c>
      <c r="L3" s="290" t="s">
        <v>931</v>
      </c>
      <c r="M3" s="290" t="s">
        <v>932</v>
      </c>
      <c r="N3" s="290" t="s">
        <v>933</v>
      </c>
      <c r="O3" s="290" t="s">
        <v>934</v>
      </c>
      <c r="P3" s="290" t="s">
        <v>935</v>
      </c>
      <c r="Q3" s="290" t="s">
        <v>936</v>
      </c>
      <c r="R3" s="290" t="s">
        <v>937</v>
      </c>
      <c r="S3" s="290" t="s">
        <v>938</v>
      </c>
      <c r="T3" s="290" t="s">
        <v>939</v>
      </c>
      <c r="U3" s="290" t="s">
        <v>940</v>
      </c>
      <c r="V3" s="290" t="s">
        <v>941</v>
      </c>
      <c r="W3" s="290" t="s">
        <v>942</v>
      </c>
      <c r="X3" s="290" t="s">
        <v>944</v>
      </c>
      <c r="Y3" s="294"/>
      <c r="Z3" s="290" t="s">
        <v>931</v>
      </c>
      <c r="AA3" s="290" t="s">
        <v>932</v>
      </c>
      <c r="AB3" s="290" t="s">
        <v>933</v>
      </c>
      <c r="AC3" s="290" t="s">
        <v>934</v>
      </c>
      <c r="AD3" s="290" t="s">
        <v>935</v>
      </c>
      <c r="AE3" s="290" t="s">
        <v>936</v>
      </c>
      <c r="AF3" s="290" t="s">
        <v>937</v>
      </c>
      <c r="AG3" s="290" t="s">
        <v>938</v>
      </c>
      <c r="AH3" s="290" t="s">
        <v>939</v>
      </c>
      <c r="AI3" s="290" t="s">
        <v>940</v>
      </c>
      <c r="AJ3" s="290" t="s">
        <v>941</v>
      </c>
      <c r="AK3" s="290" t="s">
        <v>942</v>
      </c>
      <c r="AL3" s="290" t="s">
        <v>874</v>
      </c>
      <c r="AM3" s="295"/>
      <c r="AN3" s="290" t="s">
        <v>931</v>
      </c>
      <c r="AO3" s="290" t="s">
        <v>932</v>
      </c>
      <c r="AP3" s="290" t="s">
        <v>933</v>
      </c>
      <c r="AQ3" s="290" t="s">
        <v>934</v>
      </c>
      <c r="AR3" s="290" t="s">
        <v>935</v>
      </c>
      <c r="AS3" s="290" t="s">
        <v>936</v>
      </c>
      <c r="AT3" s="290" t="s">
        <v>937</v>
      </c>
      <c r="AU3" s="290" t="s">
        <v>938</v>
      </c>
      <c r="AV3" s="290" t="s">
        <v>939</v>
      </c>
      <c r="AW3" s="290" t="s">
        <v>940</v>
      </c>
      <c r="AX3" s="290" t="s">
        <v>941</v>
      </c>
      <c r="AY3" s="290" t="s">
        <v>942</v>
      </c>
      <c r="AZ3" s="290" t="s">
        <v>874</v>
      </c>
      <c r="BA3" s="290" t="s">
        <v>490</v>
      </c>
      <c r="BB3" s="290" t="s">
        <v>816</v>
      </c>
      <c r="BC3" s="237" t="s">
        <v>817</v>
      </c>
      <c r="BD3" s="238" t="s">
        <v>925</v>
      </c>
      <c r="BE3" s="238" t="s">
        <v>520</v>
      </c>
      <c r="BF3" s="238" t="s">
        <v>521</v>
      </c>
      <c r="BG3" s="296" t="s">
        <v>733</v>
      </c>
      <c r="BH3" s="238" t="s">
        <v>519</v>
      </c>
      <c r="BI3" s="238" t="s">
        <v>523</v>
      </c>
      <c r="BJ3" s="238" t="s">
        <v>746</v>
      </c>
      <c r="BK3" s="238" t="s">
        <v>926</v>
      </c>
      <c r="BL3" s="238" t="s">
        <v>928</v>
      </c>
      <c r="BM3" s="238" t="s">
        <v>927</v>
      </c>
      <c r="BN3" s="238" t="s">
        <v>929</v>
      </c>
      <c r="BO3" s="238" t="s">
        <v>930</v>
      </c>
      <c r="BP3" s="239" t="s">
        <v>1021</v>
      </c>
      <c r="BQ3" s="297" t="s">
        <v>1512</v>
      </c>
      <c r="BR3" s="298" t="s">
        <v>1494</v>
      </c>
      <c r="BS3" s="298" t="s">
        <v>1495</v>
      </c>
      <c r="BT3" s="298" t="s">
        <v>495</v>
      </c>
    </row>
    <row r="4" spans="1:72" s="264" customFormat="1" ht="14.1" customHeight="1" x14ac:dyDescent="0.25">
      <c r="A4" s="241" t="str">
        <f>IF(D4="","",Cover!$D$8)</f>
        <v>Supply Chain Management</v>
      </c>
      <c r="B4" s="241" t="str">
        <f>IF(D4="","",Cover!$D$9)</f>
        <v>Supply Chain Management</v>
      </c>
      <c r="C4" s="242" t="str">
        <f>IF(D4="","",_xlfn.XLOOKUP(D4,'Activity Master Opex'!C:C,'Activity Master Opex'!B:B,0,0,1))</f>
        <v>SC002-00001</v>
      </c>
      <c r="D4" s="243" t="s">
        <v>751</v>
      </c>
      <c r="E4" s="244" t="str">
        <f>IF(D4="","",IFERROR(VLOOKUP(D4,'Activity Master Opex'!$C:$L,6,FALSE),0))</f>
        <v>Periodically calibration for weighbridge</v>
      </c>
      <c r="F4" s="245" t="str">
        <f>IF($C4="","",VLOOKUP($C4,'Activity Master Opex'!$B:$I,3,0))</f>
        <v>10301SC002</v>
      </c>
      <c r="G4" s="244" t="str">
        <f>IF($C4="","",VLOOKUP($F4,'Master Data'!$D$59:$E$146,2,FALSE))</f>
        <v>SCM LOGISTICS</v>
      </c>
      <c r="H4" s="246">
        <f>IF($C4="","",VLOOKUP($C4,'Activity Master Opex'!$B:$I,5,0))</f>
        <v>60800060</v>
      </c>
      <c r="I4" s="241" t="str">
        <f>IFERROR(VLOOKUP(H4,'Activity Master Opex'!F:G,2,FALSE),"")</f>
        <v>RM Exp - Office and Other Equipment</v>
      </c>
      <c r="J4" s="247">
        <f>1402.25806451613*15500</f>
        <v>21735000.000000015</v>
      </c>
      <c r="K4" s="247">
        <v>3500000</v>
      </c>
      <c r="L4" s="248"/>
      <c r="M4" s="248"/>
      <c r="N4" s="248"/>
      <c r="O4" s="248"/>
      <c r="P4" s="248"/>
      <c r="Q4" s="248"/>
      <c r="R4" s="248"/>
      <c r="S4" s="248"/>
      <c r="T4" s="248"/>
      <c r="U4" s="248"/>
      <c r="V4" s="248"/>
      <c r="W4" s="248"/>
      <c r="X4" s="249">
        <f>SUM(L4:W4)</f>
        <v>0</v>
      </c>
      <c r="Y4" s="250"/>
      <c r="Z4" s="214"/>
      <c r="AA4" s="214"/>
      <c r="AB4" s="214"/>
      <c r="AC4" s="214"/>
      <c r="AD4" s="214"/>
      <c r="AE4" s="214"/>
      <c r="AF4" s="214"/>
      <c r="AG4" s="214"/>
      <c r="AH4" s="214"/>
      <c r="AI4" s="214"/>
      <c r="AJ4" s="214"/>
      <c r="AK4" s="214"/>
      <c r="AL4" s="217">
        <f t="shared" ref="AL4:AL55" si="0">SUM(Z4:AK4)</f>
        <v>0</v>
      </c>
      <c r="AM4" s="251"/>
      <c r="AN4" s="214"/>
      <c r="AO4" s="214"/>
      <c r="AP4" s="214"/>
      <c r="AQ4" s="214"/>
      <c r="AR4" s="214"/>
      <c r="AS4" s="214"/>
      <c r="AT4" s="214"/>
      <c r="AU4" s="214"/>
      <c r="AV4" s="214"/>
      <c r="AW4" s="214"/>
      <c r="AX4" s="214"/>
      <c r="AY4" s="214"/>
      <c r="AZ4" s="217">
        <f t="shared" ref="AZ4:AZ55" si="1">SUM(AN4:AY4)</f>
        <v>0</v>
      </c>
      <c r="BA4" s="252">
        <f t="shared" ref="BA4:BA55" si="2">X4-J4</f>
        <v>-21735000.000000015</v>
      </c>
      <c r="BB4" s="253"/>
      <c r="BC4" s="254">
        <f t="shared" ref="BC4:BC55" si="3">X4-BO4</f>
        <v>0</v>
      </c>
      <c r="BD4" s="255" t="str">
        <f>IF('Budget Opex Detail'!C6="","",IF(COUNTIFS('Activity Master Opex'!$B$4:$B$88,'Budget Opex Detail'!$C6)&gt;0,"","New Activity"))</f>
        <v/>
      </c>
      <c r="BE4" s="256"/>
      <c r="BF4" s="257"/>
      <c r="BG4" s="258"/>
      <c r="BH4" s="259"/>
      <c r="BI4" s="260"/>
      <c r="BJ4" s="260"/>
      <c r="BK4" s="261"/>
      <c r="BL4" s="220">
        <f>IF(BJ4="USD",BK4*$BK$2,IF(BJ4="IDR",BK4,0))</f>
        <v>0</v>
      </c>
      <c r="BM4" s="259"/>
      <c r="BN4" s="259"/>
      <c r="BO4" s="262">
        <f t="shared" ref="BO4:BO55" si="4">BL4+BN4</f>
        <v>0</v>
      </c>
      <c r="BP4" s="263"/>
      <c r="BR4" s="265" t="str">
        <f>IF($H4="","",VLOOKUP($H4,'Master Data'!$B:$D,3,FALSE))</f>
        <v>Repairs &amp; Maintenance Expe</v>
      </c>
      <c r="BS4" s="265" t="str">
        <f t="shared" ref="BS4" si="5">IF(C4="","",IF($A4&lt;&gt;"human resources",IF(LEFT(F4,6)="10301S","Selling","General Administrative"),IFERROR(IF(FIND("Selling",D4)&gt;0,"Selling","General Administrative"),"General Administrative")))</f>
        <v>Selling</v>
      </c>
      <c r="BT4" s="265" t="str">
        <f>IF($H4="","",VLOOKUP(VALUE($H4),'Master Data'!B:I,8,FALSE))</f>
        <v>Repairs and maintenance</v>
      </c>
    </row>
    <row r="5" spans="1:72" s="264" customFormat="1" x14ac:dyDescent="0.25">
      <c r="A5" s="241" t="str">
        <f>IF(D5="","",Cover!$D$8)</f>
        <v>Supply Chain Management</v>
      </c>
      <c r="B5" s="241" t="str">
        <f>IF(D5="","",Cover!$D$9)</f>
        <v>Supply Chain Management</v>
      </c>
      <c r="C5" s="242" t="str">
        <f>IF(D5="","",_xlfn.XLOOKUP(D5,'Activity Master Opex'!C:C,'Activity Master Opex'!B:B,0,0,1))</f>
        <v>SC002-00002</v>
      </c>
      <c r="D5" s="243" t="s">
        <v>753</v>
      </c>
      <c r="E5" s="244" t="str">
        <f>IF(D5="","",IFERROR(VLOOKUP(D5,'Activity Master Opex'!$C:$L,6,FALSE),0))</f>
        <v>Standby budget if any damaged unit (backup unit)</v>
      </c>
      <c r="F5" s="245" t="str">
        <f>IF($C5="","",VLOOKUP($C5,'Activity Master Opex'!$B:$I,3,0))</f>
        <v>10301SC002</v>
      </c>
      <c r="G5" s="244" t="str">
        <f>IF($C5="","",VLOOKUP($F5,'Master Data'!$D$59:$E$146,2,FALSE))</f>
        <v>SCM LOGISTICS</v>
      </c>
      <c r="H5" s="246">
        <f>IF($C5="","",VLOOKUP($C5,'Activity Master Opex'!$B:$I,5,0))</f>
        <v>60800060</v>
      </c>
      <c r="I5" s="241" t="str">
        <f>IFERROR(VLOOKUP(H5,'Activity Master Opex'!F:G,2,FALSE),"")</f>
        <v>RM Exp - Office and Other Equipment</v>
      </c>
      <c r="J5" s="247">
        <f>600.967741935484*15500</f>
        <v>9315000.0000000019</v>
      </c>
      <c r="K5" s="247">
        <v>0</v>
      </c>
      <c r="L5" s="248"/>
      <c r="M5" s="248"/>
      <c r="N5" s="248"/>
      <c r="O5" s="248"/>
      <c r="P5" s="248"/>
      <c r="Q5" s="248"/>
      <c r="R5" s="248"/>
      <c r="S5" s="248"/>
      <c r="T5" s="248"/>
      <c r="U5" s="248"/>
      <c r="V5" s="248"/>
      <c r="W5" s="248"/>
      <c r="X5" s="249">
        <f>SUM(L5:W5)</f>
        <v>0</v>
      </c>
      <c r="Y5" s="250"/>
      <c r="Z5" s="214"/>
      <c r="AA5" s="214"/>
      <c r="AB5" s="214"/>
      <c r="AC5" s="214"/>
      <c r="AD5" s="214"/>
      <c r="AE5" s="214"/>
      <c r="AF5" s="214"/>
      <c r="AG5" s="214"/>
      <c r="AH5" s="214"/>
      <c r="AI5" s="214"/>
      <c r="AJ5" s="214"/>
      <c r="AK5" s="214"/>
      <c r="AL5" s="217">
        <f t="shared" si="0"/>
        <v>0</v>
      </c>
      <c r="AM5" s="251"/>
      <c r="AN5" s="214"/>
      <c r="AO5" s="214"/>
      <c r="AP5" s="214"/>
      <c r="AQ5" s="214"/>
      <c r="AR5" s="214"/>
      <c r="AS5" s="214"/>
      <c r="AT5" s="214"/>
      <c r="AU5" s="214"/>
      <c r="AV5" s="214"/>
      <c r="AW5" s="214"/>
      <c r="AX5" s="214"/>
      <c r="AY5" s="214"/>
      <c r="AZ5" s="217">
        <f t="shared" si="1"/>
        <v>0</v>
      </c>
      <c r="BA5" s="252">
        <f t="shared" si="2"/>
        <v>-9315000.0000000019</v>
      </c>
      <c r="BB5" s="253"/>
      <c r="BC5" s="254">
        <f t="shared" si="3"/>
        <v>0</v>
      </c>
      <c r="BD5" s="255" t="str">
        <f>IF('Budget Opex Detail'!C7="","",IF(COUNTIFS('Activity Master Opex'!$B$4:$B$88,'Budget Opex Detail'!$C7)&gt;0,"","New Activity"))</f>
        <v/>
      </c>
      <c r="BE5" s="256"/>
      <c r="BF5" s="257"/>
      <c r="BG5" s="258"/>
      <c r="BH5" s="259"/>
      <c r="BI5" s="260"/>
      <c r="BJ5" s="260"/>
      <c r="BK5" s="261"/>
      <c r="BL5" s="220">
        <f t="shared" ref="BL5:BL55" si="6">IF(BJ5="USD",BK5*$BK$2,IF(BJ5="IDR",BK5,0))</f>
        <v>0</v>
      </c>
      <c r="BM5" s="259"/>
      <c r="BN5" s="259"/>
      <c r="BO5" s="262">
        <f t="shared" si="4"/>
        <v>0</v>
      </c>
      <c r="BP5" s="263"/>
      <c r="BR5" s="265" t="str">
        <f>IF($H5="","",VLOOKUP($H5,'Master Data'!$B:$D,3,FALSE))</f>
        <v>Repairs &amp; Maintenance Expe</v>
      </c>
      <c r="BS5" s="265" t="str">
        <f t="shared" ref="BS5:BS55" si="7">IF(C5="","",IF($A5&lt;&gt;"human resources",IF(LEFT(F5,6)="10301S","Selling","General Administrative"),IFERROR(IF(FIND("Selling",D5)&gt;0,"Selling","General Administrative"),"General Administrative")))</f>
        <v>Selling</v>
      </c>
      <c r="BT5" s="265" t="str">
        <f>IF($H5="","",VLOOKUP(VALUE($H5),'Master Data'!B:I,8,FALSE))</f>
        <v>Repairs and maintenance</v>
      </c>
    </row>
    <row r="6" spans="1:72" s="264" customFormat="1" x14ac:dyDescent="0.25">
      <c r="A6" s="241" t="str">
        <f>IF(D6="","",Cover!$D$8)</f>
        <v>Supply Chain Management</v>
      </c>
      <c r="B6" s="241" t="str">
        <f>IF(D6="","",Cover!$D$9)</f>
        <v>Supply Chain Management</v>
      </c>
      <c r="C6" s="242" t="str">
        <f>IF(D6="","",_xlfn.XLOOKUP(D6,'Activity Master Opex'!C:C,'Activity Master Opex'!B:B,0,0,1))</f>
        <v>SC002-00004</v>
      </c>
      <c r="D6" s="243" t="s">
        <v>757</v>
      </c>
      <c r="E6" s="244" t="str">
        <f>IF(D6="","",IFERROR(VLOOKUP(D6,'Activity Master Opex'!$C:$L,6,FALSE),0))</f>
        <v>Standby budget if any damaged unit (backup unit)</v>
      </c>
      <c r="F6" s="245" t="str">
        <f>IF($C6="","",VLOOKUP($C6,'Activity Master Opex'!$B:$I,3,0))</f>
        <v>10301SC002</v>
      </c>
      <c r="G6" s="244" t="str">
        <f>IF($C6="","",VLOOKUP($F6,'Master Data'!$D$59:$E$146,2,FALSE))</f>
        <v>SCM LOGISTICS</v>
      </c>
      <c r="H6" s="246">
        <f>IF($C6="","",VLOOKUP($C6,'Activity Master Opex'!$B:$I,5,0))</f>
        <v>60800060</v>
      </c>
      <c r="I6" s="241" t="str">
        <f>IFERROR(VLOOKUP(H6,'Activity Master Opex'!F:G,2,FALSE),"")</f>
        <v>RM Exp - Office and Other Equipment</v>
      </c>
      <c r="J6" s="247">
        <f>213.009677419355*15500</f>
        <v>3301650.0000000023</v>
      </c>
      <c r="K6" s="247">
        <v>0</v>
      </c>
      <c r="L6" s="248"/>
      <c r="M6" s="248"/>
      <c r="N6" s="248"/>
      <c r="O6" s="248"/>
      <c r="P6" s="248"/>
      <c r="Q6" s="248"/>
      <c r="R6" s="248"/>
      <c r="S6" s="248"/>
      <c r="T6" s="248"/>
      <c r="U6" s="248"/>
      <c r="V6" s="248"/>
      <c r="W6" s="248"/>
      <c r="X6" s="249">
        <f>SUM(L6:W6)</f>
        <v>0</v>
      </c>
      <c r="Y6" s="250"/>
      <c r="Z6" s="214"/>
      <c r="AA6" s="214"/>
      <c r="AB6" s="214"/>
      <c r="AC6" s="214"/>
      <c r="AD6" s="214"/>
      <c r="AE6" s="214"/>
      <c r="AF6" s="214"/>
      <c r="AG6" s="214"/>
      <c r="AH6" s="214"/>
      <c r="AI6" s="214"/>
      <c r="AJ6" s="214"/>
      <c r="AK6" s="214"/>
      <c r="AL6" s="217">
        <f t="shared" si="0"/>
        <v>0</v>
      </c>
      <c r="AM6" s="251"/>
      <c r="AN6" s="214"/>
      <c r="AO6" s="214"/>
      <c r="AP6" s="214"/>
      <c r="AQ6" s="214"/>
      <c r="AR6" s="214"/>
      <c r="AS6" s="214"/>
      <c r="AT6" s="214"/>
      <c r="AU6" s="214"/>
      <c r="AV6" s="214"/>
      <c r="AW6" s="214"/>
      <c r="AX6" s="214"/>
      <c r="AY6" s="214"/>
      <c r="AZ6" s="217">
        <f t="shared" si="1"/>
        <v>0</v>
      </c>
      <c r="BA6" s="252">
        <f t="shared" si="2"/>
        <v>-3301650.0000000023</v>
      </c>
      <c r="BB6" s="253"/>
      <c r="BC6" s="254">
        <f t="shared" si="3"/>
        <v>0</v>
      </c>
      <c r="BD6" s="255" t="str">
        <f>IF('Budget Opex Detail'!C8="","",IF(COUNTIFS('Activity Master Opex'!$B$4:$B$88,'Budget Opex Detail'!$C8)&gt;0,"","New Activity"))</f>
        <v/>
      </c>
      <c r="BE6" s="256"/>
      <c r="BF6" s="257"/>
      <c r="BG6" s="258"/>
      <c r="BH6" s="259"/>
      <c r="BI6" s="260"/>
      <c r="BJ6" s="260"/>
      <c r="BK6" s="261"/>
      <c r="BL6" s="220">
        <f t="shared" si="6"/>
        <v>0</v>
      </c>
      <c r="BM6" s="259"/>
      <c r="BN6" s="259"/>
      <c r="BO6" s="262">
        <f t="shared" si="4"/>
        <v>0</v>
      </c>
      <c r="BP6" s="263"/>
      <c r="BR6" s="265" t="str">
        <f>IF($H6="","",VLOOKUP($H6,'Master Data'!$B:$D,3,FALSE))</f>
        <v>Repairs &amp; Maintenance Expe</v>
      </c>
      <c r="BS6" s="265" t="str">
        <f t="shared" si="7"/>
        <v>Selling</v>
      </c>
      <c r="BT6" s="265" t="str">
        <f>IF($H6="","",VLOOKUP(VALUE($H6),'Master Data'!B:I,8,FALSE))</f>
        <v>Repairs and maintenance</v>
      </c>
    </row>
    <row r="7" spans="1:72" s="264" customFormat="1" x14ac:dyDescent="0.25">
      <c r="A7" s="241" t="str">
        <f>IF(D7="","",Cover!$D$8)</f>
        <v>Supply Chain Management</v>
      </c>
      <c r="B7" s="241" t="str">
        <f>IF(D7="","",Cover!$D$9)</f>
        <v>Supply Chain Management</v>
      </c>
      <c r="C7" s="242" t="str">
        <f>IF(D7="","",_xlfn.XLOOKUP(D7,'Activity Master Opex'!C:C,'Activity Master Opex'!B:B,0,0,1))</f>
        <v>SC002-00010</v>
      </c>
      <c r="D7" s="243" t="s">
        <v>767</v>
      </c>
      <c r="E7" s="244" t="str">
        <f>IF(D7="","",IFERROR(VLOOKUP(D7,'Activity Master Opex'!$C:$L,6,FALSE),0))</f>
        <v>Back Up Sirine Alarm 12V High Decibel Active</v>
      </c>
      <c r="F7" s="245" t="str">
        <f>IF($C7="","",VLOOKUP($C7,'Activity Master Opex'!$B:$I,3,0))</f>
        <v>10301SC002</v>
      </c>
      <c r="G7" s="244" t="str">
        <f>IF($C7="","",VLOOKUP($F7,'Master Data'!$D$59:$E$146,2,FALSE))</f>
        <v>SCM LOGISTICS</v>
      </c>
      <c r="H7" s="246">
        <f>IF($C7="","",VLOOKUP($C7,'Activity Master Opex'!$B:$I,5,0))</f>
        <v>60800060</v>
      </c>
      <c r="I7" s="241" t="str">
        <f>IFERROR(VLOOKUP(H7,'Activity Master Opex'!F:G,2,FALSE),"")</f>
        <v>RM Exp - Office and Other Equipment</v>
      </c>
      <c r="J7" s="247">
        <f>13.1012658227848*15500</f>
        <v>203069.62025316441</v>
      </c>
      <c r="K7" s="247">
        <v>0</v>
      </c>
      <c r="L7" s="248"/>
      <c r="M7" s="248"/>
      <c r="N7" s="248"/>
      <c r="O7" s="248"/>
      <c r="P7" s="248"/>
      <c r="Q7" s="248"/>
      <c r="R7" s="248"/>
      <c r="S7" s="248"/>
      <c r="T7" s="248"/>
      <c r="U7" s="248"/>
      <c r="V7" s="248"/>
      <c r="W7" s="248"/>
      <c r="X7" s="249">
        <f>SUM(L7:W7)</f>
        <v>0</v>
      </c>
      <c r="Y7" s="250"/>
      <c r="Z7" s="214"/>
      <c r="AA7" s="214"/>
      <c r="AB7" s="214"/>
      <c r="AC7" s="214"/>
      <c r="AD7" s="214"/>
      <c r="AE7" s="214"/>
      <c r="AF7" s="214"/>
      <c r="AG7" s="214"/>
      <c r="AH7" s="214"/>
      <c r="AI7" s="214"/>
      <c r="AJ7" s="214"/>
      <c r="AK7" s="214"/>
      <c r="AL7" s="217">
        <f t="shared" si="0"/>
        <v>0</v>
      </c>
      <c r="AM7" s="251"/>
      <c r="AN7" s="214"/>
      <c r="AO7" s="214"/>
      <c r="AP7" s="214"/>
      <c r="AQ7" s="214"/>
      <c r="AR7" s="214"/>
      <c r="AS7" s="214"/>
      <c r="AT7" s="214"/>
      <c r="AU7" s="214"/>
      <c r="AV7" s="214"/>
      <c r="AW7" s="214"/>
      <c r="AX7" s="214"/>
      <c r="AY7" s="214"/>
      <c r="AZ7" s="217">
        <f t="shared" si="1"/>
        <v>0</v>
      </c>
      <c r="BA7" s="252">
        <f t="shared" si="2"/>
        <v>-203069.62025316441</v>
      </c>
      <c r="BB7" s="253"/>
      <c r="BC7" s="254">
        <f t="shared" si="3"/>
        <v>0</v>
      </c>
      <c r="BD7" s="255" t="str">
        <f>IF('Budget Opex Detail'!C9="","",IF(COUNTIFS('Activity Master Opex'!$B$4:$B$88,'Budget Opex Detail'!$C9)&gt;0,"","New Activity"))</f>
        <v/>
      </c>
      <c r="BE7" s="256"/>
      <c r="BF7" s="257"/>
      <c r="BG7" s="258"/>
      <c r="BH7" s="259"/>
      <c r="BI7" s="260"/>
      <c r="BJ7" s="260"/>
      <c r="BK7" s="261"/>
      <c r="BL7" s="220">
        <f t="shared" si="6"/>
        <v>0</v>
      </c>
      <c r="BM7" s="259"/>
      <c r="BN7" s="259"/>
      <c r="BO7" s="262">
        <f t="shared" si="4"/>
        <v>0</v>
      </c>
      <c r="BP7" s="263"/>
      <c r="BR7" s="265" t="str">
        <f>IF($H7="","",VLOOKUP($H7,'Master Data'!$B:$D,3,FALSE))</f>
        <v>Repairs &amp; Maintenance Expe</v>
      </c>
      <c r="BS7" s="265" t="str">
        <f t="shared" si="7"/>
        <v>Selling</v>
      </c>
      <c r="BT7" s="265" t="str">
        <f>IF($H7="","",VLOOKUP(VALUE($H7),'Master Data'!B:I,8,FALSE))</f>
        <v>Repairs and maintenance</v>
      </c>
    </row>
    <row r="8" spans="1:72" s="264" customFormat="1" x14ac:dyDescent="0.25">
      <c r="A8" s="241" t="str">
        <f>IF(D8="","",Cover!$D$8)</f>
        <v>Supply Chain Management</v>
      </c>
      <c r="B8" s="241" t="str">
        <f>IF(D8="","",Cover!$D$9)</f>
        <v>Supply Chain Management</v>
      </c>
      <c r="C8" s="242" t="str">
        <f>IF(D8="","",_xlfn.XLOOKUP(D8,'Activity Master Opex'!C:C,'Activity Master Opex'!B:B,0,0,1))</f>
        <v>SC002-00011</v>
      </c>
      <c r="D8" s="243" t="s">
        <v>769</v>
      </c>
      <c r="E8" s="244" t="str">
        <f>IF(D8="","",IFERROR(VLOOKUP(D8,'Activity Master Opex'!$C:$L,6,FALSE),0))</f>
        <v>Standby budget if any damaged unit (backup unit)</v>
      </c>
      <c r="F8" s="245" t="str">
        <f>IF($C8="","",VLOOKUP($C8,'Activity Master Opex'!$B:$I,3,0))</f>
        <v>10301SC002</v>
      </c>
      <c r="G8" s="244" t="str">
        <f>IF($C8="","",VLOOKUP($F8,'Master Data'!$D$59:$E$146,2,FALSE))</f>
        <v>SCM LOGISTICS</v>
      </c>
      <c r="H8" s="246">
        <f>IF($C8="","",VLOOKUP($C8,'Activity Master Opex'!$B:$I,5,0))</f>
        <v>60800060</v>
      </c>
      <c r="I8" s="241" t="str">
        <f>IFERROR(VLOOKUP(H8,'Activity Master Opex'!F:G,2,FALSE),"")</f>
        <v>RM Exp - Office and Other Equipment</v>
      </c>
      <c r="J8" s="247">
        <f>667.741935483871*15500</f>
        <v>10350000</v>
      </c>
      <c r="K8" s="247">
        <v>0</v>
      </c>
      <c r="L8" s="248"/>
      <c r="M8" s="248"/>
      <c r="N8" s="248"/>
      <c r="O8" s="248"/>
      <c r="P8" s="248"/>
      <c r="Q8" s="248"/>
      <c r="R8" s="248"/>
      <c r="S8" s="248"/>
      <c r="T8" s="248"/>
      <c r="U8" s="248"/>
      <c r="V8" s="248"/>
      <c r="W8" s="248"/>
      <c r="X8" s="249">
        <f t="shared" ref="X8:X10" si="8">SUM(L8:W8)</f>
        <v>0</v>
      </c>
      <c r="Y8" s="250"/>
      <c r="Z8" s="214"/>
      <c r="AA8" s="214"/>
      <c r="AB8" s="214"/>
      <c r="AC8" s="214"/>
      <c r="AD8" s="214"/>
      <c r="AE8" s="214"/>
      <c r="AF8" s="214"/>
      <c r="AG8" s="214"/>
      <c r="AH8" s="214"/>
      <c r="AI8" s="214"/>
      <c r="AJ8" s="214"/>
      <c r="AK8" s="214"/>
      <c r="AL8" s="217">
        <f t="shared" si="0"/>
        <v>0</v>
      </c>
      <c r="AM8" s="251"/>
      <c r="AN8" s="214"/>
      <c r="AO8" s="214"/>
      <c r="AP8" s="214"/>
      <c r="AQ8" s="214"/>
      <c r="AR8" s="214"/>
      <c r="AS8" s="214"/>
      <c r="AT8" s="214"/>
      <c r="AU8" s="214"/>
      <c r="AV8" s="214"/>
      <c r="AW8" s="214"/>
      <c r="AX8" s="214"/>
      <c r="AY8" s="214"/>
      <c r="AZ8" s="217">
        <f t="shared" si="1"/>
        <v>0</v>
      </c>
      <c r="BA8" s="252">
        <f t="shared" si="2"/>
        <v>-10350000</v>
      </c>
      <c r="BB8" s="253"/>
      <c r="BC8" s="254">
        <f t="shared" si="3"/>
        <v>0</v>
      </c>
      <c r="BD8" s="255" t="str">
        <f>IF('Budget Opex Detail'!C10="","",IF(COUNTIFS('Activity Master Opex'!$B$4:$B$88,'Budget Opex Detail'!$C10)&gt;0,"","New Activity"))</f>
        <v/>
      </c>
      <c r="BE8" s="256"/>
      <c r="BF8" s="257"/>
      <c r="BG8" s="258"/>
      <c r="BH8" s="259"/>
      <c r="BI8" s="260"/>
      <c r="BJ8" s="260"/>
      <c r="BK8" s="261"/>
      <c r="BL8" s="220">
        <f t="shared" si="6"/>
        <v>0</v>
      </c>
      <c r="BM8" s="259"/>
      <c r="BN8" s="259"/>
      <c r="BO8" s="262">
        <f t="shared" si="4"/>
        <v>0</v>
      </c>
      <c r="BP8" s="263"/>
      <c r="BR8" s="265" t="str">
        <f>IF($H8="","",VLOOKUP($H8,'Master Data'!$B:$D,3,FALSE))</f>
        <v>Repairs &amp; Maintenance Expe</v>
      </c>
      <c r="BS8" s="265" t="str">
        <f t="shared" si="7"/>
        <v>Selling</v>
      </c>
      <c r="BT8" s="265" t="str">
        <f>IF($H8="","",VLOOKUP(VALUE($H8),'Master Data'!B:I,8,FALSE))</f>
        <v>Repairs and maintenance</v>
      </c>
    </row>
    <row r="9" spans="1:72" s="264" customFormat="1" x14ac:dyDescent="0.25">
      <c r="A9" s="241" t="str">
        <f>IF(D9="","",Cover!$D$8)</f>
        <v>Supply Chain Management</v>
      </c>
      <c r="B9" s="241" t="str">
        <f>IF(D9="","",Cover!$D$9)</f>
        <v>Supply Chain Management</v>
      </c>
      <c r="C9" s="242" t="str">
        <f>IF(D9="","",_xlfn.XLOOKUP(D9,'Activity Master Opex'!C:C,'Activity Master Opex'!B:B,0,0,1))</f>
        <v>SC002-00012</v>
      </c>
      <c r="D9" s="243" t="s">
        <v>771</v>
      </c>
      <c r="E9" s="244" t="str">
        <f>IF(D9="","",IFERROR(VLOOKUP(D9,'Activity Master Opex'!$C:$L,6,FALSE),0))</f>
        <v>Backup thermal paper printers and backup 2D barcode scanners in case of malfunction</v>
      </c>
      <c r="F9" s="245" t="str">
        <f>IF($C9="","",VLOOKUP($C9,'Activity Master Opex'!$B:$I,3,0))</f>
        <v>10301SC002</v>
      </c>
      <c r="G9" s="244" t="str">
        <f>IF($C9="","",VLOOKUP($F9,'Master Data'!$D$59:$E$146,2,FALSE))</f>
        <v>SCM LOGISTICS</v>
      </c>
      <c r="H9" s="246">
        <f>IF($C9="","",VLOOKUP($C9,'Activity Master Opex'!$B:$I,5,0))</f>
        <v>60800060</v>
      </c>
      <c r="I9" s="241" t="str">
        <f>IFERROR(VLOOKUP(H9,'Activity Master Opex'!F:G,2,FALSE),"")</f>
        <v>RM Exp - Office and Other Equipment</v>
      </c>
      <c r="J9" s="247">
        <f>141.213396774194*15500</f>
        <v>2188807.6500000069</v>
      </c>
      <c r="K9" s="247">
        <v>1735000</v>
      </c>
      <c r="L9" s="248"/>
      <c r="M9" s="248"/>
      <c r="N9" s="248"/>
      <c r="O9" s="248"/>
      <c r="P9" s="248"/>
      <c r="Q9" s="248"/>
      <c r="R9" s="248"/>
      <c r="S9" s="248"/>
      <c r="T9" s="248"/>
      <c r="U9" s="248"/>
      <c r="V9" s="248"/>
      <c r="W9" s="248"/>
      <c r="X9" s="249">
        <f t="shared" si="8"/>
        <v>0</v>
      </c>
      <c r="Y9" s="250"/>
      <c r="Z9" s="214"/>
      <c r="AA9" s="214"/>
      <c r="AB9" s="214"/>
      <c r="AC9" s="214"/>
      <c r="AD9" s="214"/>
      <c r="AE9" s="214"/>
      <c r="AF9" s="214"/>
      <c r="AG9" s="214"/>
      <c r="AH9" s="214"/>
      <c r="AI9" s="214"/>
      <c r="AJ9" s="214"/>
      <c r="AK9" s="214"/>
      <c r="AL9" s="217">
        <f t="shared" si="0"/>
        <v>0</v>
      </c>
      <c r="AM9" s="251"/>
      <c r="AN9" s="214"/>
      <c r="AO9" s="214"/>
      <c r="AP9" s="214"/>
      <c r="AQ9" s="214"/>
      <c r="AR9" s="214"/>
      <c r="AS9" s="214"/>
      <c r="AT9" s="214"/>
      <c r="AU9" s="214"/>
      <c r="AV9" s="214"/>
      <c r="AW9" s="214"/>
      <c r="AX9" s="214"/>
      <c r="AY9" s="214"/>
      <c r="AZ9" s="217">
        <f t="shared" si="1"/>
        <v>0</v>
      </c>
      <c r="BA9" s="252">
        <f t="shared" si="2"/>
        <v>-2188807.6500000069</v>
      </c>
      <c r="BB9" s="253"/>
      <c r="BC9" s="254">
        <f t="shared" si="3"/>
        <v>0</v>
      </c>
      <c r="BD9" s="255" t="str">
        <f>IF('Budget Opex Detail'!C11="","",IF(COUNTIFS('Activity Master Opex'!$B$4:$B$88,'Budget Opex Detail'!$C11)&gt;0,"","New Activity"))</f>
        <v/>
      </c>
      <c r="BE9" s="256"/>
      <c r="BF9" s="257"/>
      <c r="BG9" s="258"/>
      <c r="BH9" s="259"/>
      <c r="BI9" s="260"/>
      <c r="BJ9" s="260"/>
      <c r="BK9" s="261"/>
      <c r="BL9" s="220">
        <f t="shared" si="6"/>
        <v>0</v>
      </c>
      <c r="BM9" s="259"/>
      <c r="BN9" s="259"/>
      <c r="BO9" s="262">
        <f t="shared" si="4"/>
        <v>0</v>
      </c>
      <c r="BP9" s="263"/>
      <c r="BR9" s="265" t="str">
        <f>IF($H9="","",VLOOKUP($H9,'Master Data'!$B:$D,3,FALSE))</f>
        <v>Repairs &amp; Maintenance Expe</v>
      </c>
      <c r="BS9" s="265" t="str">
        <f t="shared" si="7"/>
        <v>Selling</v>
      </c>
      <c r="BT9" s="265" t="str">
        <f>IF($H9="","",VLOOKUP(VALUE($H9),'Master Data'!B:I,8,FALSE))</f>
        <v>Repairs and maintenance</v>
      </c>
    </row>
    <row r="10" spans="1:72" s="264" customFormat="1" x14ac:dyDescent="0.25">
      <c r="A10" s="241" t="str">
        <f>IF(D10="","",Cover!$D$8)</f>
        <v>Supply Chain Management</v>
      </c>
      <c r="B10" s="241" t="str">
        <f>IF(D10="","",Cover!$D$9)</f>
        <v>Supply Chain Management</v>
      </c>
      <c r="C10" s="242" t="str">
        <f>IF(D10="","",_xlfn.XLOOKUP(D10,'Activity Master Opex'!C:C,'Activity Master Opex'!B:B,0,0,1))</f>
        <v>SC002-00013</v>
      </c>
      <c r="D10" s="243" t="s">
        <v>888</v>
      </c>
      <c r="E10" s="244" t="str">
        <f>IF(D10="","",IFERROR(VLOOKUP(D10,'Activity Master Opex'!$C:$L,6,FALSE),0))</f>
        <v>Toner Printer Epson Monochrome M1120 &amp; Toner Printer HP LaserJet Pro M12a.</v>
      </c>
      <c r="F10" s="245" t="str">
        <f>IF($C10="","",VLOOKUP($C10,'Activity Master Opex'!$B:$I,3,0))</f>
        <v>10301SC002</v>
      </c>
      <c r="G10" s="244" t="str">
        <f>IF($C10="","",VLOOKUP($F10,'Master Data'!$D$59:$E$146,2,FALSE))</f>
        <v>SCM LOGISTICS</v>
      </c>
      <c r="H10" s="246">
        <f>IF($C10="","",VLOOKUP($C10,'Activity Master Opex'!$B:$I,5,0))</f>
        <v>62200010</v>
      </c>
      <c r="I10" s="241" t="str">
        <f>IFERROR(VLOOKUP(H10,'Activity Master Opex'!F:G,2,FALSE),"")</f>
        <v>Stationery Expenses</v>
      </c>
      <c r="J10" s="247">
        <f>607.244516129032*15500</f>
        <v>9412289.9999999963</v>
      </c>
      <c r="K10" s="247">
        <v>580000</v>
      </c>
      <c r="L10" s="248"/>
      <c r="M10" s="248"/>
      <c r="N10" s="248"/>
      <c r="O10" s="248"/>
      <c r="P10" s="248"/>
      <c r="Q10" s="248"/>
      <c r="R10" s="248"/>
      <c r="S10" s="248"/>
      <c r="T10" s="248"/>
      <c r="U10" s="248"/>
      <c r="V10" s="248"/>
      <c r="W10" s="248"/>
      <c r="X10" s="249">
        <f t="shared" si="8"/>
        <v>0</v>
      </c>
      <c r="Y10" s="250"/>
      <c r="Z10" s="214"/>
      <c r="AA10" s="214"/>
      <c r="AB10" s="214"/>
      <c r="AC10" s="214"/>
      <c r="AD10" s="214"/>
      <c r="AE10" s="214"/>
      <c r="AF10" s="214"/>
      <c r="AG10" s="214"/>
      <c r="AH10" s="214"/>
      <c r="AI10" s="214"/>
      <c r="AJ10" s="214"/>
      <c r="AK10" s="214"/>
      <c r="AL10" s="217">
        <f t="shared" si="0"/>
        <v>0</v>
      </c>
      <c r="AM10" s="251"/>
      <c r="AN10" s="214"/>
      <c r="AO10" s="214"/>
      <c r="AP10" s="214"/>
      <c r="AQ10" s="214"/>
      <c r="AR10" s="214"/>
      <c r="AS10" s="214"/>
      <c r="AT10" s="214"/>
      <c r="AU10" s="214"/>
      <c r="AV10" s="214"/>
      <c r="AW10" s="214"/>
      <c r="AX10" s="214"/>
      <c r="AY10" s="214"/>
      <c r="AZ10" s="217">
        <f t="shared" si="1"/>
        <v>0</v>
      </c>
      <c r="BA10" s="252">
        <f t="shared" si="2"/>
        <v>-9412289.9999999963</v>
      </c>
      <c r="BB10" s="253"/>
      <c r="BC10" s="254">
        <f t="shared" si="3"/>
        <v>0</v>
      </c>
      <c r="BD10" s="255" t="str">
        <f>IF('Budget Opex Detail'!C12="","",IF(COUNTIFS('Activity Master Opex'!$B$4:$B$88,'Budget Opex Detail'!$C12)&gt;0,"","New Activity"))</f>
        <v/>
      </c>
      <c r="BE10" s="256"/>
      <c r="BF10" s="257"/>
      <c r="BG10" s="258"/>
      <c r="BH10" s="259"/>
      <c r="BI10" s="260"/>
      <c r="BJ10" s="260"/>
      <c r="BK10" s="261"/>
      <c r="BL10" s="220">
        <f t="shared" si="6"/>
        <v>0</v>
      </c>
      <c r="BM10" s="259"/>
      <c r="BN10" s="259"/>
      <c r="BO10" s="262">
        <f t="shared" si="4"/>
        <v>0</v>
      </c>
      <c r="BP10" s="263"/>
      <c r="BR10" s="265" t="str">
        <f>IF($H10="","",VLOOKUP($H10,'Master Data'!$B:$D,3,FALSE))</f>
        <v>Stationery &amp; Supplies Expe</v>
      </c>
      <c r="BS10" s="265" t="str">
        <f t="shared" si="7"/>
        <v>Selling</v>
      </c>
      <c r="BT10" s="265" t="str">
        <f>IF($H10="","",VLOOKUP(VALUE($H10),'Master Data'!B:I,8,FALSE))</f>
        <v>Stationery and supplies</v>
      </c>
    </row>
    <row r="11" spans="1:72" s="264" customFormat="1" x14ac:dyDescent="0.25">
      <c r="A11" s="241" t="str">
        <f>IF(D11="","",Cover!$D$8)</f>
        <v>Supply Chain Management</v>
      </c>
      <c r="B11" s="241" t="str">
        <f>IF(D11="","",Cover!$D$9)</f>
        <v>Supply Chain Management</v>
      </c>
      <c r="C11" s="242" t="str">
        <f>IF(D11="","",_xlfn.XLOOKUP(D11,'Activity Master Opex'!C:C,'Activity Master Opex'!B:B,0,0,1))</f>
        <v>SC002-00014</v>
      </c>
      <c r="D11" s="243" t="s">
        <v>889</v>
      </c>
      <c r="E11" s="244" t="str">
        <f>IF(D11="","",IFERROR(VLOOKUP(D11,'Activity Master Opex'!$C:$L,6,FALSE),0))</f>
        <v>The need for trailers for internal verification and cleaning of scales</v>
      </c>
      <c r="F11" s="245" t="str">
        <f>IF($C11="","",VLOOKUP($C11,'Activity Master Opex'!$B:$I,3,0))</f>
        <v>10301SC002</v>
      </c>
      <c r="G11" s="244" t="str">
        <f>IF($C11="","",VLOOKUP($F11,'Master Data'!$D$59:$E$146,2,FALSE))</f>
        <v>SCM LOGISTICS</v>
      </c>
      <c r="H11" s="246">
        <f>IF($C11="","",VLOOKUP($C11,'Activity Master Opex'!$B:$I,5,0))</f>
        <v>61700030</v>
      </c>
      <c r="I11" s="241" t="str">
        <f>IFERROR(VLOOKUP(H11,'Activity Master Opex'!F:G,2,FALSE),"")</f>
        <v>RE - Rental Vehicle</v>
      </c>
      <c r="J11" s="247">
        <f>1909.74193548387*15500</f>
        <v>29600999.999999985</v>
      </c>
      <c r="K11" s="247">
        <v>6275000</v>
      </c>
      <c r="L11" s="248"/>
      <c r="M11" s="248"/>
      <c r="N11" s="248"/>
      <c r="O11" s="248"/>
      <c r="P11" s="248"/>
      <c r="Q11" s="248"/>
      <c r="R11" s="248"/>
      <c r="S11" s="248"/>
      <c r="T11" s="248"/>
      <c r="U11" s="248"/>
      <c r="V11" s="248"/>
      <c r="W11" s="248"/>
      <c r="X11" s="249">
        <f t="shared" ref="X11:X55" si="9">SUM(L11:W11)</f>
        <v>0</v>
      </c>
      <c r="Y11" s="250"/>
      <c r="Z11" s="214"/>
      <c r="AA11" s="214"/>
      <c r="AB11" s="214"/>
      <c r="AC11" s="214"/>
      <c r="AD11" s="214"/>
      <c r="AE11" s="214"/>
      <c r="AF11" s="214"/>
      <c r="AG11" s="214"/>
      <c r="AH11" s="214"/>
      <c r="AI11" s="214"/>
      <c r="AJ11" s="214"/>
      <c r="AK11" s="214"/>
      <c r="AL11" s="217">
        <f t="shared" si="0"/>
        <v>0</v>
      </c>
      <c r="AM11" s="251"/>
      <c r="AN11" s="214"/>
      <c r="AO11" s="214"/>
      <c r="AP11" s="214"/>
      <c r="AQ11" s="214"/>
      <c r="AR11" s="214"/>
      <c r="AS11" s="214"/>
      <c r="AT11" s="214"/>
      <c r="AU11" s="214"/>
      <c r="AV11" s="214"/>
      <c r="AW11" s="214"/>
      <c r="AX11" s="214"/>
      <c r="AY11" s="214"/>
      <c r="AZ11" s="217">
        <f t="shared" si="1"/>
        <v>0</v>
      </c>
      <c r="BA11" s="252">
        <f t="shared" si="2"/>
        <v>-29600999.999999985</v>
      </c>
      <c r="BB11" s="253"/>
      <c r="BC11" s="254">
        <f t="shared" si="3"/>
        <v>0</v>
      </c>
      <c r="BD11" s="255" t="str">
        <f>IF('Budget Opex Detail'!C13="","",IF(COUNTIFS('Activity Master Opex'!$B$4:$B$88,'Budget Opex Detail'!$C13)&gt;0,"","New Activity"))</f>
        <v/>
      </c>
      <c r="BE11" s="256"/>
      <c r="BF11" s="257"/>
      <c r="BG11" s="258"/>
      <c r="BH11" s="259"/>
      <c r="BI11" s="260"/>
      <c r="BJ11" s="260"/>
      <c r="BK11" s="261"/>
      <c r="BL11" s="220">
        <f t="shared" si="6"/>
        <v>0</v>
      </c>
      <c r="BM11" s="259"/>
      <c r="BN11" s="259"/>
      <c r="BO11" s="262">
        <f t="shared" si="4"/>
        <v>0</v>
      </c>
      <c r="BP11" s="263"/>
      <c r="BR11" s="265" t="str">
        <f>IF($H11="","",VLOOKUP($H11,'Master Data'!$B:$D,3,FALSE))</f>
        <v>Rental Expenses</v>
      </c>
      <c r="BS11" s="265" t="str">
        <f t="shared" si="7"/>
        <v>Selling</v>
      </c>
      <c r="BT11" s="265" t="str">
        <f>IF($H11="","",VLOOKUP(VALUE($H11),'Master Data'!B:I,8,FALSE))</f>
        <v>Rental</v>
      </c>
    </row>
    <row r="12" spans="1:72" s="264" customFormat="1" x14ac:dyDescent="0.25">
      <c r="A12" s="241" t="str">
        <f>IF(D12="","",Cover!$D$8)</f>
        <v>Supply Chain Management</v>
      </c>
      <c r="B12" s="241" t="str">
        <f>IF(D12="","",Cover!$D$9)</f>
        <v>Supply Chain Management</v>
      </c>
      <c r="C12" s="242" t="str">
        <f>IF(D12="","",_xlfn.XLOOKUP(D12,'Activity Master Opex'!C:C,'Activity Master Opex'!B:B,0,0,1))</f>
        <v>SC002-00015</v>
      </c>
      <c r="D12" s="243" t="s">
        <v>117</v>
      </c>
      <c r="E12" s="244" t="str">
        <f>IF(D12="","",IFERROR(VLOOKUP(D12,'Activity Master Opex'!$C:$L,6,FALSE),0))</f>
        <v>Beautification needs of the weighing building</v>
      </c>
      <c r="F12" s="245" t="str">
        <f>IF($C12="","",VLOOKUP($C12,'Activity Master Opex'!$B:$I,3,0))</f>
        <v>10301SC002</v>
      </c>
      <c r="G12" s="244" t="str">
        <f>IF($C12="","",VLOOKUP($F12,'Master Data'!$D$59:$E$146,2,FALSE))</f>
        <v>SCM LOGISTICS</v>
      </c>
      <c r="H12" s="246">
        <f>IF($C12="","",VLOOKUP($C12,'Activity Master Opex'!$B:$I,5,0))</f>
        <v>60800010</v>
      </c>
      <c r="I12" s="241" t="str">
        <f>IFERROR(VLOOKUP(H12,'Activity Master Opex'!F:G,2,FALSE),"")</f>
        <v>RM Exp - Buidings Services</v>
      </c>
      <c r="J12" s="247">
        <f>1397.58887903226*15500</f>
        <v>21662627.62500003</v>
      </c>
      <c r="K12" s="247">
        <v>4931650</v>
      </c>
      <c r="L12" s="248"/>
      <c r="M12" s="248"/>
      <c r="N12" s="248"/>
      <c r="O12" s="248"/>
      <c r="P12" s="248"/>
      <c r="Q12" s="248"/>
      <c r="R12" s="248"/>
      <c r="S12" s="248"/>
      <c r="T12" s="248"/>
      <c r="U12" s="248"/>
      <c r="V12" s="248"/>
      <c r="W12" s="248"/>
      <c r="X12" s="249">
        <f t="shared" si="9"/>
        <v>0</v>
      </c>
      <c r="Y12" s="250"/>
      <c r="Z12" s="214"/>
      <c r="AA12" s="214"/>
      <c r="AB12" s="214"/>
      <c r="AC12" s="214"/>
      <c r="AD12" s="214"/>
      <c r="AE12" s="214"/>
      <c r="AF12" s="214"/>
      <c r="AG12" s="214"/>
      <c r="AH12" s="214"/>
      <c r="AI12" s="214"/>
      <c r="AJ12" s="214"/>
      <c r="AK12" s="214"/>
      <c r="AL12" s="217">
        <f t="shared" si="0"/>
        <v>0</v>
      </c>
      <c r="AM12" s="251"/>
      <c r="AN12" s="214"/>
      <c r="AO12" s="214"/>
      <c r="AP12" s="214"/>
      <c r="AQ12" s="214"/>
      <c r="AR12" s="214"/>
      <c r="AS12" s="214"/>
      <c r="AT12" s="214"/>
      <c r="AU12" s="214"/>
      <c r="AV12" s="214"/>
      <c r="AW12" s="214"/>
      <c r="AX12" s="214"/>
      <c r="AY12" s="214"/>
      <c r="AZ12" s="217">
        <f t="shared" si="1"/>
        <v>0</v>
      </c>
      <c r="BA12" s="252">
        <f t="shared" si="2"/>
        <v>-21662627.62500003</v>
      </c>
      <c r="BB12" s="253"/>
      <c r="BC12" s="254">
        <f t="shared" si="3"/>
        <v>0</v>
      </c>
      <c r="BD12" s="255" t="str">
        <f>IF('Budget Opex Detail'!C14="","",IF(COUNTIFS('Activity Master Opex'!$B$4:$B$88,'Budget Opex Detail'!$C14)&gt;0,"","New Activity"))</f>
        <v/>
      </c>
      <c r="BE12" s="256"/>
      <c r="BF12" s="257"/>
      <c r="BG12" s="258"/>
      <c r="BH12" s="259"/>
      <c r="BI12" s="260"/>
      <c r="BJ12" s="260"/>
      <c r="BK12" s="261"/>
      <c r="BL12" s="220">
        <f t="shared" si="6"/>
        <v>0</v>
      </c>
      <c r="BM12" s="259"/>
      <c r="BN12" s="259"/>
      <c r="BO12" s="262">
        <f t="shared" si="4"/>
        <v>0</v>
      </c>
      <c r="BP12" s="263"/>
      <c r="BR12" s="265" t="str">
        <f>IF($H12="","",VLOOKUP($H12,'Master Data'!$B:$D,3,FALSE))</f>
        <v>Repairs &amp; Maintenance Expe</v>
      </c>
      <c r="BS12" s="265" t="str">
        <f t="shared" si="7"/>
        <v>Selling</v>
      </c>
      <c r="BT12" s="265" t="str">
        <f>IF($H12="","",VLOOKUP(VALUE($H12),'Master Data'!B:I,8,FALSE))</f>
        <v>Repairs and maintenance</v>
      </c>
    </row>
    <row r="13" spans="1:72" s="264" customFormat="1" x14ac:dyDescent="0.25">
      <c r="A13" s="241" t="str">
        <f>IF(D13="","",Cover!$D$8)</f>
        <v>Supply Chain Management</v>
      </c>
      <c r="B13" s="241" t="str">
        <f>IF(D13="","",Cover!$D$9)</f>
        <v>Supply Chain Management</v>
      </c>
      <c r="C13" s="242" t="str">
        <f>IF(D13="","",_xlfn.XLOOKUP(D13,'Activity Master Opex'!C:C,'Activity Master Opex'!B:B,0,0,1))</f>
        <v>SC004-00001</v>
      </c>
      <c r="D13" s="243" t="s">
        <v>113</v>
      </c>
      <c r="E13" s="244" t="str">
        <f>IF(D13="","",IFERROR(VLOOKUP(D13,'Activity Master Opex'!$C:$L,6,FALSE),0))</f>
        <v>General equipment and safety equipment to support the operation at Warehouse SPC</v>
      </c>
      <c r="F13" s="245" t="str">
        <f>IF($C13="","",VLOOKUP($C13,'Activity Master Opex'!$B:$I,3,0))</f>
        <v>10301SC004</v>
      </c>
      <c r="G13" s="244" t="str">
        <f>IF($C13="","",VLOOKUP($F13,'Master Data'!$D$59:$E$146,2,FALSE))</f>
        <v>SCM WAREHOUSE SPC</v>
      </c>
      <c r="H13" s="246">
        <f>IF($C13="","",VLOOKUP($C13,'Activity Master Opex'!$B:$I,5,0))</f>
        <v>60600050</v>
      </c>
      <c r="I13" s="241" t="str">
        <f>IFERROR(VLOOKUP(H13,'Activity Master Opex'!F:G,2,FALSE),"")</f>
        <v>Utilities - Factory Sundries</v>
      </c>
      <c r="J13" s="247">
        <f>1610.94*15500</f>
        <v>24969570</v>
      </c>
      <c r="K13" s="247">
        <v>8714410</v>
      </c>
      <c r="L13" s="248"/>
      <c r="M13" s="248"/>
      <c r="N13" s="248"/>
      <c r="O13" s="248"/>
      <c r="P13" s="248"/>
      <c r="Q13" s="248"/>
      <c r="R13" s="248"/>
      <c r="S13" s="248"/>
      <c r="T13" s="248"/>
      <c r="U13" s="248"/>
      <c r="V13" s="248"/>
      <c r="W13" s="248"/>
      <c r="X13" s="249">
        <f t="shared" si="9"/>
        <v>0</v>
      </c>
      <c r="Y13" s="250"/>
      <c r="Z13" s="214"/>
      <c r="AA13" s="214"/>
      <c r="AB13" s="214"/>
      <c r="AC13" s="214"/>
      <c r="AD13" s="214"/>
      <c r="AE13" s="214"/>
      <c r="AF13" s="214"/>
      <c r="AG13" s="214"/>
      <c r="AH13" s="214"/>
      <c r="AI13" s="214"/>
      <c r="AJ13" s="214"/>
      <c r="AK13" s="214"/>
      <c r="AL13" s="217">
        <f t="shared" si="0"/>
        <v>0</v>
      </c>
      <c r="AM13" s="251"/>
      <c r="AN13" s="214"/>
      <c r="AO13" s="214"/>
      <c r="AP13" s="214"/>
      <c r="AQ13" s="214"/>
      <c r="AR13" s="214"/>
      <c r="AS13" s="214"/>
      <c r="AT13" s="214"/>
      <c r="AU13" s="214"/>
      <c r="AV13" s="214"/>
      <c r="AW13" s="214"/>
      <c r="AX13" s="214"/>
      <c r="AY13" s="214"/>
      <c r="AZ13" s="217">
        <f t="shared" si="1"/>
        <v>0</v>
      </c>
      <c r="BA13" s="252">
        <f t="shared" si="2"/>
        <v>-24969570</v>
      </c>
      <c r="BB13" s="253"/>
      <c r="BC13" s="254">
        <f t="shared" si="3"/>
        <v>0</v>
      </c>
      <c r="BD13" s="255" t="str">
        <f>IF('Budget Opex Detail'!C15="","",IF(COUNTIFS('Activity Master Opex'!$B$4:$B$88,'Budget Opex Detail'!$C15)&gt;0,"","New Activity"))</f>
        <v/>
      </c>
      <c r="BE13" s="256"/>
      <c r="BF13" s="257"/>
      <c r="BG13" s="258"/>
      <c r="BH13" s="259"/>
      <c r="BI13" s="260"/>
      <c r="BJ13" s="260"/>
      <c r="BK13" s="261"/>
      <c r="BL13" s="220">
        <f t="shared" si="6"/>
        <v>0</v>
      </c>
      <c r="BM13" s="259"/>
      <c r="BN13" s="259"/>
      <c r="BO13" s="262">
        <f t="shared" si="4"/>
        <v>0</v>
      </c>
      <c r="BP13" s="263"/>
      <c r="BR13" s="265" t="s">
        <v>473</v>
      </c>
      <c r="BS13" s="265" t="str">
        <f t="shared" si="7"/>
        <v>Selling</v>
      </c>
      <c r="BT13" s="265" t="s">
        <v>473</v>
      </c>
    </row>
    <row r="14" spans="1:72" s="264" customFormat="1" x14ac:dyDescent="0.25">
      <c r="A14" s="241" t="str">
        <f>IF(D14="","",Cover!$D$8)</f>
        <v>Supply Chain Management</v>
      </c>
      <c r="B14" s="241" t="str">
        <f>IF(D14="","",Cover!$D$9)</f>
        <v>Supply Chain Management</v>
      </c>
      <c r="C14" s="242" t="str">
        <f>IF(D14="","",_xlfn.XLOOKUP(D14,'Activity Master Opex'!C:C,'Activity Master Opex'!B:B,0,0,1))</f>
        <v>SC004-00002</v>
      </c>
      <c r="D14" s="243" t="s">
        <v>774</v>
      </c>
      <c r="E14" s="244" t="str">
        <f>IF(D14="","",IFERROR(VLOOKUP(D14,'Activity Master Opex'!$C:$L,6,FALSE),0))</f>
        <v>Maintenance of PIUSI Diesl pump</v>
      </c>
      <c r="F14" s="245" t="str">
        <f>IF($C14="","",VLOOKUP($C14,'Activity Master Opex'!$B:$I,3,0))</f>
        <v>10301SC004</v>
      </c>
      <c r="G14" s="244" t="str">
        <f>IF($C14="","",VLOOKUP($F14,'Master Data'!$D$59:$E$146,2,FALSE))</f>
        <v>SCM WAREHOUSE SPC</v>
      </c>
      <c r="H14" s="246">
        <f>IF($C14="","",VLOOKUP($C14,'Activity Master Opex'!$B:$I,5,0))</f>
        <v>60800020</v>
      </c>
      <c r="I14" s="241" t="str">
        <f>IFERROR(VLOOKUP(H14,'Activity Master Opex'!F:G,2,FALSE),"")</f>
        <v>RM Exp - Machinery and Equipment</v>
      </c>
      <c r="J14" s="247">
        <f>434.03*15500</f>
        <v>6727465</v>
      </c>
      <c r="K14" s="247">
        <v>0</v>
      </c>
      <c r="L14" s="248"/>
      <c r="M14" s="248"/>
      <c r="N14" s="248"/>
      <c r="O14" s="248"/>
      <c r="P14" s="248"/>
      <c r="Q14" s="248"/>
      <c r="R14" s="248"/>
      <c r="S14" s="248"/>
      <c r="T14" s="248"/>
      <c r="U14" s="248"/>
      <c r="V14" s="248"/>
      <c r="W14" s="248"/>
      <c r="X14" s="249">
        <f t="shared" si="9"/>
        <v>0</v>
      </c>
      <c r="Y14" s="250"/>
      <c r="Z14" s="214"/>
      <c r="AA14" s="214"/>
      <c r="AB14" s="214"/>
      <c r="AC14" s="214"/>
      <c r="AD14" s="214"/>
      <c r="AE14" s="214"/>
      <c r="AF14" s="214"/>
      <c r="AG14" s="214"/>
      <c r="AH14" s="214"/>
      <c r="AI14" s="214"/>
      <c r="AJ14" s="214"/>
      <c r="AK14" s="214"/>
      <c r="AL14" s="217">
        <f t="shared" si="0"/>
        <v>0</v>
      </c>
      <c r="AM14" s="251"/>
      <c r="AN14" s="214"/>
      <c r="AO14" s="214"/>
      <c r="AP14" s="214"/>
      <c r="AQ14" s="214"/>
      <c r="AR14" s="214"/>
      <c r="AS14" s="214"/>
      <c r="AT14" s="214"/>
      <c r="AU14" s="214"/>
      <c r="AV14" s="214"/>
      <c r="AW14" s="214"/>
      <c r="AX14" s="214"/>
      <c r="AY14" s="214"/>
      <c r="AZ14" s="217">
        <f t="shared" si="1"/>
        <v>0</v>
      </c>
      <c r="BA14" s="252">
        <f t="shared" si="2"/>
        <v>-6727465</v>
      </c>
      <c r="BB14" s="253"/>
      <c r="BC14" s="254">
        <f t="shared" si="3"/>
        <v>0</v>
      </c>
      <c r="BD14" s="255" t="str">
        <f>IF('Budget Opex Detail'!C16="","",IF(COUNTIFS('Activity Master Opex'!$B$4:$B$88,'Budget Opex Detail'!$C16)&gt;0,"","New Activity"))</f>
        <v/>
      </c>
      <c r="BE14" s="256"/>
      <c r="BF14" s="257"/>
      <c r="BG14" s="258"/>
      <c r="BH14" s="259"/>
      <c r="BI14" s="260"/>
      <c r="BJ14" s="260"/>
      <c r="BK14" s="261"/>
      <c r="BL14" s="220">
        <f t="shared" si="6"/>
        <v>0</v>
      </c>
      <c r="BM14" s="259"/>
      <c r="BN14" s="259"/>
      <c r="BO14" s="262">
        <f t="shared" si="4"/>
        <v>0</v>
      </c>
      <c r="BP14" s="263"/>
      <c r="BR14" s="265" t="str">
        <f>IF($H14="","",VLOOKUP($H14,'Master Data'!$B:$D,3,FALSE))</f>
        <v>Repairs &amp; Maintenance Expe</v>
      </c>
      <c r="BS14" s="265" t="str">
        <f t="shared" si="7"/>
        <v>Selling</v>
      </c>
      <c r="BT14" s="265" t="str">
        <f>IF($H14="","",VLOOKUP(VALUE($H14),'Master Data'!B:I,8,FALSE))</f>
        <v>Repairs and maintenance</v>
      </c>
    </row>
    <row r="15" spans="1:72" s="264" customFormat="1" x14ac:dyDescent="0.25">
      <c r="A15" s="241" t="str">
        <f>IF(D15="","",Cover!$D$8)</f>
        <v>Supply Chain Management</v>
      </c>
      <c r="B15" s="241" t="str">
        <f>IF(D15="","",Cover!$D$9)</f>
        <v>Supply Chain Management</v>
      </c>
      <c r="C15" s="242" t="str">
        <f>IF(D15="","",_xlfn.XLOOKUP(D15,'Activity Master Opex'!C:C,'Activity Master Opex'!B:B,0,0,1))</f>
        <v>SC004-00004</v>
      </c>
      <c r="D15" s="243" t="s">
        <v>517</v>
      </c>
      <c r="E15" s="244" t="str">
        <f>IF(D15="","",IFERROR(VLOOKUP(D15,'Activity Master Opex'!$C:$L,6,FALSE),0))</f>
        <v>Tools and equipment to support the routine activity and handling operation at WH SPC sub SMS1 and GDU</v>
      </c>
      <c r="F15" s="245" t="str">
        <f>IF($C15="","",VLOOKUP($C15,'Activity Master Opex'!$B:$I,3,0))</f>
        <v>10301SC004</v>
      </c>
      <c r="G15" s="244" t="str">
        <f>IF($C15="","",VLOOKUP($F15,'Master Data'!$D$59:$E$146,2,FALSE))</f>
        <v>SCM WAREHOUSE SPC</v>
      </c>
      <c r="H15" s="246">
        <f>IF($C15="","",VLOOKUP($C15,'Activity Master Opex'!$B:$I,5,0))</f>
        <v>62600020</v>
      </c>
      <c r="I15" s="241" t="str">
        <f>IFERROR(VLOOKUP(H15,'Activity Master Opex'!F:G,2,FALSE),"")</f>
        <v>Factory Equipment</v>
      </c>
      <c r="J15" s="247">
        <f>1808.38*15500</f>
        <v>28029890</v>
      </c>
      <c r="K15" s="247">
        <v>13170120</v>
      </c>
      <c r="L15" s="248"/>
      <c r="M15" s="248"/>
      <c r="N15" s="248"/>
      <c r="O15" s="248"/>
      <c r="P15" s="248"/>
      <c r="Q15" s="248"/>
      <c r="R15" s="248"/>
      <c r="S15" s="248"/>
      <c r="T15" s="248"/>
      <c r="U15" s="248"/>
      <c r="V15" s="248"/>
      <c r="W15" s="248"/>
      <c r="X15" s="249">
        <f t="shared" si="9"/>
        <v>0</v>
      </c>
      <c r="Y15" s="250"/>
      <c r="Z15" s="214"/>
      <c r="AA15" s="214"/>
      <c r="AB15" s="214"/>
      <c r="AC15" s="214"/>
      <c r="AD15" s="214"/>
      <c r="AE15" s="214"/>
      <c r="AF15" s="214"/>
      <c r="AG15" s="214"/>
      <c r="AH15" s="214"/>
      <c r="AI15" s="214"/>
      <c r="AJ15" s="214"/>
      <c r="AK15" s="214"/>
      <c r="AL15" s="217">
        <f t="shared" si="0"/>
        <v>0</v>
      </c>
      <c r="AM15" s="251"/>
      <c r="AN15" s="214"/>
      <c r="AO15" s="214"/>
      <c r="AP15" s="214"/>
      <c r="AQ15" s="214"/>
      <c r="AR15" s="214"/>
      <c r="AS15" s="214"/>
      <c r="AT15" s="214"/>
      <c r="AU15" s="214"/>
      <c r="AV15" s="214"/>
      <c r="AW15" s="214"/>
      <c r="AX15" s="214"/>
      <c r="AY15" s="214"/>
      <c r="AZ15" s="217">
        <f t="shared" si="1"/>
        <v>0</v>
      </c>
      <c r="BA15" s="252">
        <f t="shared" si="2"/>
        <v>-28029890</v>
      </c>
      <c r="BB15" s="253"/>
      <c r="BC15" s="254">
        <f t="shared" si="3"/>
        <v>0</v>
      </c>
      <c r="BD15" s="255" t="str">
        <f>IF('Budget Opex Detail'!C17="","",IF(COUNTIFS('Activity Master Opex'!$B$4:$B$88,'Budget Opex Detail'!$C17)&gt;0,"","New Activity"))</f>
        <v/>
      </c>
      <c r="BE15" s="256"/>
      <c r="BF15" s="257"/>
      <c r="BG15" s="258"/>
      <c r="BH15" s="259"/>
      <c r="BI15" s="260"/>
      <c r="BJ15" s="260"/>
      <c r="BK15" s="261"/>
      <c r="BL15" s="220">
        <f t="shared" si="6"/>
        <v>0</v>
      </c>
      <c r="BM15" s="259"/>
      <c r="BN15" s="259"/>
      <c r="BO15" s="262">
        <f t="shared" si="4"/>
        <v>0</v>
      </c>
      <c r="BP15" s="263"/>
      <c r="BR15" s="265" t="str">
        <f>IF($H15="","",VLOOKUP($H15,'Master Data'!$B:$D,3,FALSE))</f>
        <v>Equipment Expenses</v>
      </c>
      <c r="BS15" s="265" t="str">
        <f t="shared" si="7"/>
        <v>Selling</v>
      </c>
      <c r="BT15" s="265" t="str">
        <f>IF($H15="","",VLOOKUP(VALUE($H15),'Master Data'!B:I,8,FALSE))</f>
        <v>Equipment Expenses</v>
      </c>
    </row>
    <row r="16" spans="1:72" s="264" customFormat="1" x14ac:dyDescent="0.25">
      <c r="A16" s="241" t="str">
        <f>IF(D16="","",Cover!$D$8)</f>
        <v>Supply Chain Management</v>
      </c>
      <c r="B16" s="241" t="str">
        <f>IF(D16="","",Cover!$D$9)</f>
        <v>Supply Chain Management</v>
      </c>
      <c r="C16" s="242" t="str">
        <f>IF(D16="","",_xlfn.XLOOKUP(D16,'Activity Master Opex'!C:C,'Activity Master Opex'!B:B,0,0,1))</f>
        <v>SC004-00008</v>
      </c>
      <c r="D16" s="243" t="s">
        <v>777</v>
      </c>
      <c r="E16" s="244" t="str">
        <f>IF(D16="","",IFERROR(VLOOKUP(D16,'Activity Master Opex'!$C:$L,6,FALSE),0))</f>
        <v>Process of loading and unloading consumable materials &amp; spare parts</v>
      </c>
      <c r="F16" s="245" t="str">
        <f>IF($C16="","",VLOOKUP($C16,'Activity Master Opex'!$B:$I,3,0))</f>
        <v>10301SC004</v>
      </c>
      <c r="G16" s="244" t="str">
        <f>IF($C16="","",VLOOKUP($F16,'Master Data'!$D$59:$E$146,2,FALSE))</f>
        <v>SCM WAREHOUSE SPC</v>
      </c>
      <c r="H16" s="246">
        <f>IF($C16="","",VLOOKUP($C16,'Activity Master Opex'!$B:$I,5,0))</f>
        <v>60300010</v>
      </c>
      <c r="I16" s="241" t="str">
        <f>IFERROR(VLOOKUP(H16,'Activity Master Opex'!F:G,2,FALSE),"")</f>
        <v>Outsourcing Services</v>
      </c>
      <c r="J16" s="247">
        <f>17232.53*15500</f>
        <v>267104214.99999997</v>
      </c>
      <c r="K16" s="247">
        <v>54293266</v>
      </c>
      <c r="L16" s="248"/>
      <c r="M16" s="248"/>
      <c r="N16" s="248"/>
      <c r="O16" s="248"/>
      <c r="P16" s="248"/>
      <c r="Q16" s="248"/>
      <c r="R16" s="248"/>
      <c r="S16" s="248"/>
      <c r="T16" s="248"/>
      <c r="U16" s="248"/>
      <c r="V16" s="248"/>
      <c r="W16" s="248"/>
      <c r="X16" s="249">
        <f t="shared" si="9"/>
        <v>0</v>
      </c>
      <c r="Y16" s="250"/>
      <c r="Z16" s="214"/>
      <c r="AA16" s="214"/>
      <c r="AB16" s="214"/>
      <c r="AC16" s="214"/>
      <c r="AD16" s="214"/>
      <c r="AE16" s="214"/>
      <c r="AF16" s="214"/>
      <c r="AG16" s="214"/>
      <c r="AH16" s="214"/>
      <c r="AI16" s="214"/>
      <c r="AJ16" s="214"/>
      <c r="AK16" s="214"/>
      <c r="AL16" s="217">
        <f t="shared" si="0"/>
        <v>0</v>
      </c>
      <c r="AM16" s="251"/>
      <c r="AN16" s="214"/>
      <c r="AO16" s="214"/>
      <c r="AP16" s="214"/>
      <c r="AQ16" s="214"/>
      <c r="AR16" s="214"/>
      <c r="AS16" s="214"/>
      <c r="AT16" s="214"/>
      <c r="AU16" s="214"/>
      <c r="AV16" s="214"/>
      <c r="AW16" s="214"/>
      <c r="AX16" s="214"/>
      <c r="AY16" s="214"/>
      <c r="AZ16" s="217">
        <f t="shared" si="1"/>
        <v>0</v>
      </c>
      <c r="BA16" s="252">
        <f t="shared" si="2"/>
        <v>-267104214.99999997</v>
      </c>
      <c r="BB16" s="253"/>
      <c r="BC16" s="254">
        <f t="shared" si="3"/>
        <v>0</v>
      </c>
      <c r="BD16" s="255" t="str">
        <f>IF('Budget Opex Detail'!C18="","",IF(COUNTIFS('Activity Master Opex'!$B$4:$B$88,'Budget Opex Detail'!$C18)&gt;0,"","New Activity"))</f>
        <v/>
      </c>
      <c r="BE16" s="256"/>
      <c r="BF16" s="257"/>
      <c r="BG16" s="258"/>
      <c r="BH16" s="259"/>
      <c r="BI16" s="260"/>
      <c r="BJ16" s="260"/>
      <c r="BK16" s="261"/>
      <c r="BL16" s="220">
        <f t="shared" si="6"/>
        <v>0</v>
      </c>
      <c r="BM16" s="259"/>
      <c r="BN16" s="259"/>
      <c r="BO16" s="262">
        <f t="shared" si="4"/>
        <v>0</v>
      </c>
      <c r="BP16" s="263"/>
      <c r="BR16" s="265" t="str">
        <f>IF($H16="","",VLOOKUP($H16,'Master Data'!$B:$D,3,FALSE))</f>
        <v>Services Expense</v>
      </c>
      <c r="BS16" s="265" t="str">
        <f t="shared" si="7"/>
        <v>Selling</v>
      </c>
      <c r="BT16" s="265" t="str">
        <f>IF($H16="","",VLOOKUP(VALUE($H16),'Master Data'!B:I,8,FALSE))</f>
        <v>Third Parties Services</v>
      </c>
    </row>
    <row r="17" spans="1:72" s="264" customFormat="1" x14ac:dyDescent="0.25">
      <c r="A17" s="241" t="str">
        <f>IF(D17="","",Cover!$D$8)</f>
        <v>Supply Chain Management</v>
      </c>
      <c r="B17" s="241" t="str">
        <f>IF(D17="","",Cover!$D$9)</f>
        <v>Supply Chain Management</v>
      </c>
      <c r="C17" s="242" t="str">
        <f>IF(D17="","",_xlfn.XLOOKUP(D17,'Activity Master Opex'!C:C,'Activity Master Opex'!B:B,0,0,1))</f>
        <v>SC004-00009</v>
      </c>
      <c r="D17" s="243" t="s">
        <v>779</v>
      </c>
      <c r="E17" s="244" t="str">
        <f>IF(D17="","",IFERROR(VLOOKUP(D17,'Activity Master Opex'!$C:$L,6,FALSE),0))</f>
        <v>Disposal Material Expired based on stock opname</v>
      </c>
      <c r="F17" s="245" t="str">
        <f>IF($C17="","",VLOOKUP($C17,'Activity Master Opex'!$B:$I,3,0))</f>
        <v>10301SC004</v>
      </c>
      <c r="G17" s="244" t="str">
        <f>IF($C17="","",VLOOKUP($F17,'Master Data'!$D$59:$E$146,2,FALSE))</f>
        <v>SCM WAREHOUSE SPC</v>
      </c>
      <c r="H17" s="246">
        <f>IF($C17="","",VLOOKUP($C17,'Activity Master Opex'!$B:$I,5,0))</f>
        <v>62400040</v>
      </c>
      <c r="I17" s="241" t="str">
        <f>IFERROR(VLOOKUP(H17,'Activity Master Opex'!F:G,2,FALSE),"")</f>
        <v>Gen. Transp. Others</v>
      </c>
      <c r="J17" s="247">
        <f>947.39*15500</f>
        <v>14684545</v>
      </c>
      <c r="K17" s="247">
        <v>0</v>
      </c>
      <c r="L17" s="248"/>
      <c r="M17" s="248"/>
      <c r="N17" s="248"/>
      <c r="O17" s="248"/>
      <c r="P17" s="248"/>
      <c r="Q17" s="248"/>
      <c r="R17" s="248"/>
      <c r="S17" s="248"/>
      <c r="T17" s="248"/>
      <c r="U17" s="248"/>
      <c r="V17" s="248"/>
      <c r="W17" s="248"/>
      <c r="X17" s="249">
        <f t="shared" si="9"/>
        <v>0</v>
      </c>
      <c r="Y17" s="250"/>
      <c r="Z17" s="214"/>
      <c r="AA17" s="214"/>
      <c r="AB17" s="214"/>
      <c r="AC17" s="214"/>
      <c r="AD17" s="214"/>
      <c r="AE17" s="214"/>
      <c r="AF17" s="214"/>
      <c r="AG17" s="214"/>
      <c r="AH17" s="214"/>
      <c r="AI17" s="214"/>
      <c r="AJ17" s="214"/>
      <c r="AK17" s="214"/>
      <c r="AL17" s="217">
        <f t="shared" si="0"/>
        <v>0</v>
      </c>
      <c r="AM17" s="251"/>
      <c r="AN17" s="214"/>
      <c r="AO17" s="214"/>
      <c r="AP17" s="214"/>
      <c r="AQ17" s="214"/>
      <c r="AR17" s="214"/>
      <c r="AS17" s="214"/>
      <c r="AT17" s="214"/>
      <c r="AU17" s="214"/>
      <c r="AV17" s="214"/>
      <c r="AW17" s="214"/>
      <c r="AX17" s="214"/>
      <c r="AY17" s="214"/>
      <c r="AZ17" s="217">
        <f t="shared" si="1"/>
        <v>0</v>
      </c>
      <c r="BA17" s="252">
        <f t="shared" si="2"/>
        <v>-14684545</v>
      </c>
      <c r="BB17" s="253"/>
      <c r="BC17" s="254">
        <f t="shared" si="3"/>
        <v>0</v>
      </c>
      <c r="BD17" s="255" t="str">
        <f>IF('Budget Opex Detail'!C19="","",IF(COUNTIFS('Activity Master Opex'!$B$4:$B$88,'Budget Opex Detail'!$C19)&gt;0,"","New Activity"))</f>
        <v/>
      </c>
      <c r="BE17" s="256"/>
      <c r="BF17" s="257"/>
      <c r="BG17" s="258"/>
      <c r="BH17" s="259"/>
      <c r="BI17" s="260"/>
      <c r="BJ17" s="260"/>
      <c r="BK17" s="261"/>
      <c r="BL17" s="220">
        <f t="shared" si="6"/>
        <v>0</v>
      </c>
      <c r="BM17" s="259"/>
      <c r="BN17" s="259"/>
      <c r="BO17" s="262">
        <f t="shared" si="4"/>
        <v>0</v>
      </c>
      <c r="BP17" s="263"/>
      <c r="BR17" s="265" t="str">
        <f>IF($H17="","",VLOOKUP($H17,'Master Data'!$B:$D,3,FALSE))</f>
        <v>General Transportation Exp</v>
      </c>
      <c r="BS17" s="265" t="str">
        <f t="shared" si="7"/>
        <v>Selling</v>
      </c>
      <c r="BT17" s="265" t="str">
        <f>IF($H17="","",VLOOKUP(VALUE($H17),'Master Data'!B:I,8,FALSE))</f>
        <v>General transportation</v>
      </c>
    </row>
    <row r="18" spans="1:72" s="264" customFormat="1" x14ac:dyDescent="0.25">
      <c r="A18" s="241" t="str">
        <f>IF(D18="","",Cover!$D$8)</f>
        <v>Supply Chain Management</v>
      </c>
      <c r="B18" s="241" t="str">
        <f>IF(D18="","",Cover!$D$9)</f>
        <v>Supply Chain Management</v>
      </c>
      <c r="C18" s="242" t="str">
        <f>IF(D18="","",_xlfn.XLOOKUP(D18,'Activity Master Opex'!C:C,'Activity Master Opex'!B:B,0,0,1))</f>
        <v>SC004-00010</v>
      </c>
      <c r="D18" s="243" t="s">
        <v>155</v>
      </c>
      <c r="E18" s="244" t="str">
        <f>IF(D18="","",IFERROR(VLOOKUP(D18,'Activity Master Opex'!$C:$L,6,FALSE),0))</f>
        <v>Mini truck for GDU Outbound delivery, Forklift for unloading Consumable material at Sub WH SMS-1</v>
      </c>
      <c r="F18" s="245" t="str">
        <f>IF($C18="","",VLOOKUP($C18,'Activity Master Opex'!$B:$I,3,0))</f>
        <v>10301SC004</v>
      </c>
      <c r="G18" s="244" t="str">
        <f>IF($C18="","",VLOOKUP($F18,'Master Data'!$D$59:$E$146,2,FALSE))</f>
        <v>SCM WAREHOUSE SPC</v>
      </c>
      <c r="H18" s="246">
        <f>IF($C18="","",VLOOKUP($C18,'Activity Master Opex'!$B:$I,5,0))</f>
        <v>61700030</v>
      </c>
      <c r="I18" s="241" t="str">
        <f>IFERROR(VLOOKUP(H18,'Activity Master Opex'!F:G,2,FALSE),"")</f>
        <v>RE - Rental Vehicle</v>
      </c>
      <c r="J18" s="247">
        <f>9895.94*15500</f>
        <v>153387070</v>
      </c>
      <c r="K18" s="247">
        <v>82450000</v>
      </c>
      <c r="L18" s="248"/>
      <c r="M18" s="248"/>
      <c r="N18" s="248"/>
      <c r="O18" s="248"/>
      <c r="P18" s="248"/>
      <c r="Q18" s="248"/>
      <c r="R18" s="248"/>
      <c r="S18" s="248"/>
      <c r="T18" s="248"/>
      <c r="U18" s="248"/>
      <c r="V18" s="248"/>
      <c r="W18" s="248"/>
      <c r="X18" s="249">
        <f t="shared" si="9"/>
        <v>0</v>
      </c>
      <c r="Y18" s="250"/>
      <c r="Z18" s="214"/>
      <c r="AA18" s="214"/>
      <c r="AB18" s="214"/>
      <c r="AC18" s="214"/>
      <c r="AD18" s="214"/>
      <c r="AE18" s="214"/>
      <c r="AF18" s="214"/>
      <c r="AG18" s="214"/>
      <c r="AH18" s="214"/>
      <c r="AI18" s="214"/>
      <c r="AJ18" s="214"/>
      <c r="AK18" s="214"/>
      <c r="AL18" s="217">
        <f t="shared" si="0"/>
        <v>0</v>
      </c>
      <c r="AM18" s="251"/>
      <c r="AN18" s="214"/>
      <c r="AO18" s="214"/>
      <c r="AP18" s="214"/>
      <c r="AQ18" s="214"/>
      <c r="AR18" s="214"/>
      <c r="AS18" s="214"/>
      <c r="AT18" s="214"/>
      <c r="AU18" s="214"/>
      <c r="AV18" s="214"/>
      <c r="AW18" s="214"/>
      <c r="AX18" s="214"/>
      <c r="AY18" s="214"/>
      <c r="AZ18" s="217">
        <f t="shared" si="1"/>
        <v>0</v>
      </c>
      <c r="BA18" s="252">
        <f t="shared" si="2"/>
        <v>-153387070</v>
      </c>
      <c r="BB18" s="253"/>
      <c r="BC18" s="254">
        <f t="shared" si="3"/>
        <v>0</v>
      </c>
      <c r="BD18" s="255" t="str">
        <f>IF('Budget Opex Detail'!C20="","",IF(COUNTIFS('Activity Master Opex'!$B$4:$B$88,'Budget Opex Detail'!$C20)&gt;0,"","New Activity"))</f>
        <v/>
      </c>
      <c r="BE18" s="256"/>
      <c r="BF18" s="257"/>
      <c r="BG18" s="258"/>
      <c r="BH18" s="259"/>
      <c r="BI18" s="260"/>
      <c r="BJ18" s="260"/>
      <c r="BK18" s="261"/>
      <c r="BL18" s="220">
        <f t="shared" si="6"/>
        <v>0</v>
      </c>
      <c r="BM18" s="259"/>
      <c r="BN18" s="259"/>
      <c r="BO18" s="262">
        <f t="shared" si="4"/>
        <v>0</v>
      </c>
      <c r="BP18" s="263"/>
      <c r="BR18" s="265" t="str">
        <f>IF($H18="","",VLOOKUP($H18,'Master Data'!$B:$D,3,FALSE))</f>
        <v>Rental Expenses</v>
      </c>
      <c r="BS18" s="265" t="str">
        <f t="shared" si="7"/>
        <v>Selling</v>
      </c>
      <c r="BT18" s="265" t="str">
        <f>IF($H18="","",VLOOKUP(VALUE($H18),'Master Data'!B:I,8,FALSE))</f>
        <v>Rental</v>
      </c>
    </row>
    <row r="19" spans="1:72" s="264" customFormat="1" x14ac:dyDescent="0.25">
      <c r="A19" s="241" t="str">
        <f>IF(D19="","",Cover!$D$8)</f>
        <v>Supply Chain Management</v>
      </c>
      <c r="B19" s="241" t="str">
        <f>IF(D19="","",Cover!$D$9)</f>
        <v>Supply Chain Management</v>
      </c>
      <c r="C19" s="242" t="str">
        <f>IF(D19="","",_xlfn.XLOOKUP(D19,'Activity Master Opex'!C:C,'Activity Master Opex'!B:B,0,0,1))</f>
        <v>SC004-00012</v>
      </c>
      <c r="D19" s="243" t="s">
        <v>208</v>
      </c>
      <c r="E19" s="244" t="str">
        <f>IF(D19="","",IFERROR(VLOOKUP(D19,'Activity Master Opex'!$C:$L,6,FALSE),0))</f>
        <v>ATK</v>
      </c>
      <c r="F19" s="245" t="str">
        <f>IF($C19="","",VLOOKUP($C19,'Activity Master Opex'!$B:$I,3,0))</f>
        <v>10301SC004</v>
      </c>
      <c r="G19" s="244" t="str">
        <f>IF($C19="","",VLOOKUP($F19,'Master Data'!$D$59:$E$146,2,FALSE))</f>
        <v>SCM WAREHOUSE SPC</v>
      </c>
      <c r="H19" s="246">
        <f>IF($C19="","",VLOOKUP($C19,'Activity Master Opex'!$B:$I,5,0))</f>
        <v>62200020</v>
      </c>
      <c r="I19" s="241" t="str">
        <f>IFERROR(VLOOKUP(H19,'Activity Master Opex'!F:G,2,FALSE),"")</f>
        <v>Printing and Supplies Expenses</v>
      </c>
      <c r="J19" s="247">
        <f>117.52*15500</f>
        <v>1821560</v>
      </c>
      <c r="K19" s="247">
        <v>1466000</v>
      </c>
      <c r="L19" s="248"/>
      <c r="M19" s="248"/>
      <c r="N19" s="248"/>
      <c r="O19" s="248"/>
      <c r="P19" s="248"/>
      <c r="Q19" s="248"/>
      <c r="R19" s="248"/>
      <c r="S19" s="248"/>
      <c r="T19" s="248"/>
      <c r="U19" s="248"/>
      <c r="V19" s="248"/>
      <c r="W19" s="248"/>
      <c r="X19" s="249">
        <f t="shared" si="9"/>
        <v>0</v>
      </c>
      <c r="Y19" s="250"/>
      <c r="Z19" s="214"/>
      <c r="AA19" s="214"/>
      <c r="AB19" s="214"/>
      <c r="AC19" s="214"/>
      <c r="AD19" s="214"/>
      <c r="AE19" s="214"/>
      <c r="AF19" s="214"/>
      <c r="AG19" s="214"/>
      <c r="AH19" s="214"/>
      <c r="AI19" s="214"/>
      <c r="AJ19" s="214"/>
      <c r="AK19" s="214"/>
      <c r="AL19" s="217">
        <f t="shared" si="0"/>
        <v>0</v>
      </c>
      <c r="AM19" s="251"/>
      <c r="AN19" s="214"/>
      <c r="AO19" s="214"/>
      <c r="AP19" s="214"/>
      <c r="AQ19" s="214"/>
      <c r="AR19" s="214"/>
      <c r="AS19" s="214"/>
      <c r="AT19" s="214"/>
      <c r="AU19" s="214"/>
      <c r="AV19" s="214"/>
      <c r="AW19" s="214"/>
      <c r="AX19" s="214"/>
      <c r="AY19" s="214"/>
      <c r="AZ19" s="217">
        <f t="shared" si="1"/>
        <v>0</v>
      </c>
      <c r="BA19" s="252">
        <f t="shared" si="2"/>
        <v>-1821560</v>
      </c>
      <c r="BB19" s="253"/>
      <c r="BC19" s="254">
        <f t="shared" si="3"/>
        <v>0</v>
      </c>
      <c r="BD19" s="255" t="str">
        <f>IF('Budget Opex Detail'!C21="","",IF(COUNTIFS('Activity Master Opex'!$B$4:$B$88,'Budget Opex Detail'!$C21)&gt;0,"","New Activity"))</f>
        <v/>
      </c>
      <c r="BE19" s="256"/>
      <c r="BF19" s="257"/>
      <c r="BG19" s="258"/>
      <c r="BH19" s="259"/>
      <c r="BI19" s="260"/>
      <c r="BJ19" s="260"/>
      <c r="BK19" s="261"/>
      <c r="BL19" s="220">
        <f t="shared" si="6"/>
        <v>0</v>
      </c>
      <c r="BM19" s="259"/>
      <c r="BN19" s="259"/>
      <c r="BO19" s="262">
        <f t="shared" si="4"/>
        <v>0</v>
      </c>
      <c r="BP19" s="263"/>
      <c r="BR19" s="265" t="str">
        <f>IF($H19="","",VLOOKUP($H19,'Master Data'!$B:$D,3,FALSE))</f>
        <v>Stationery &amp; Supplies Expe</v>
      </c>
      <c r="BS19" s="265" t="str">
        <f t="shared" si="7"/>
        <v>Selling</v>
      </c>
      <c r="BT19" s="265" t="str">
        <f>IF($H19="","",VLOOKUP(VALUE($H19),'Master Data'!B:I,8,FALSE))</f>
        <v>Stationery and supplies</v>
      </c>
    </row>
    <row r="20" spans="1:72" s="264" customFormat="1" x14ac:dyDescent="0.25">
      <c r="A20" s="241" t="str">
        <f>IF(D20="","",Cover!$D$8)</f>
        <v>Supply Chain Management</v>
      </c>
      <c r="B20" s="241" t="str">
        <f>IF(D20="","",Cover!$D$9)</f>
        <v>Supply Chain Management</v>
      </c>
      <c r="C20" s="242" t="str">
        <f>IF(D20="","",_xlfn.XLOOKUP(D20,'Activity Master Opex'!C:C,'Activity Master Opex'!B:B,0,0,1))</f>
        <v>SC004-00013</v>
      </c>
      <c r="D20" s="243" t="s">
        <v>784</v>
      </c>
      <c r="E20" s="244" t="str">
        <f>IF(D20="","",IFERROR(VLOOKUP(D20,'Activity Master Opex'!$C:$L,6,FALSE),0))</f>
        <v>Replacement any abnormality or damage or broken part</v>
      </c>
      <c r="F20" s="245" t="str">
        <f>IF($C20="","",VLOOKUP($C20,'Activity Master Opex'!$B:$I,3,0))</f>
        <v>10301SC004</v>
      </c>
      <c r="G20" s="244" t="str">
        <f>IF($C20="","",VLOOKUP($F20,'Master Data'!$D$59:$E$146,2,FALSE))</f>
        <v>SCM WAREHOUSE SPC</v>
      </c>
      <c r="H20" s="246">
        <f>IF($C20="","",VLOOKUP($C20,'Activity Master Opex'!$B:$I,5,0))</f>
        <v>60800020</v>
      </c>
      <c r="I20" s="241" t="str">
        <f>IFERROR(VLOOKUP(H20,'Activity Master Opex'!F:G,2,FALSE),"")</f>
        <v>RM Exp - Machinery and Equipment</v>
      </c>
      <c r="J20" s="247">
        <f>7119.74*15500</f>
        <v>110355970</v>
      </c>
      <c r="K20" s="247">
        <v>11906495</v>
      </c>
      <c r="L20" s="248"/>
      <c r="M20" s="248"/>
      <c r="N20" s="248"/>
      <c r="O20" s="248"/>
      <c r="P20" s="248"/>
      <c r="Q20" s="248"/>
      <c r="R20" s="248"/>
      <c r="S20" s="248"/>
      <c r="T20" s="248"/>
      <c r="U20" s="248"/>
      <c r="V20" s="248"/>
      <c r="W20" s="248"/>
      <c r="X20" s="249">
        <f t="shared" si="9"/>
        <v>0</v>
      </c>
      <c r="Y20" s="250"/>
      <c r="Z20" s="214"/>
      <c r="AA20" s="214"/>
      <c r="AB20" s="214"/>
      <c r="AC20" s="214"/>
      <c r="AD20" s="214"/>
      <c r="AE20" s="214"/>
      <c r="AF20" s="214"/>
      <c r="AG20" s="214"/>
      <c r="AH20" s="214"/>
      <c r="AI20" s="214"/>
      <c r="AJ20" s="214"/>
      <c r="AK20" s="214"/>
      <c r="AL20" s="217">
        <f t="shared" si="0"/>
        <v>0</v>
      </c>
      <c r="AM20" s="251"/>
      <c r="AN20" s="214"/>
      <c r="AO20" s="214"/>
      <c r="AP20" s="214"/>
      <c r="AQ20" s="214"/>
      <c r="AR20" s="214"/>
      <c r="AS20" s="214"/>
      <c r="AT20" s="214"/>
      <c r="AU20" s="214"/>
      <c r="AV20" s="214"/>
      <c r="AW20" s="214"/>
      <c r="AX20" s="214"/>
      <c r="AY20" s="214"/>
      <c r="AZ20" s="217">
        <f t="shared" si="1"/>
        <v>0</v>
      </c>
      <c r="BA20" s="252">
        <f t="shared" si="2"/>
        <v>-110355970</v>
      </c>
      <c r="BB20" s="253"/>
      <c r="BC20" s="254">
        <f t="shared" si="3"/>
        <v>0</v>
      </c>
      <c r="BD20" s="255" t="str">
        <f>IF('Budget Opex Detail'!C22="","",IF(COUNTIFS('Activity Master Opex'!$B$4:$B$88,'Budget Opex Detail'!$C22)&gt;0,"","New Activity"))</f>
        <v/>
      </c>
      <c r="BE20" s="256"/>
      <c r="BF20" s="257"/>
      <c r="BG20" s="258"/>
      <c r="BH20" s="259"/>
      <c r="BI20" s="260"/>
      <c r="BJ20" s="260"/>
      <c r="BK20" s="261"/>
      <c r="BL20" s="220">
        <f t="shared" si="6"/>
        <v>0</v>
      </c>
      <c r="BM20" s="259"/>
      <c r="BN20" s="259"/>
      <c r="BO20" s="262">
        <f t="shared" si="4"/>
        <v>0</v>
      </c>
      <c r="BP20" s="263"/>
      <c r="BR20" s="265" t="str">
        <f>IF($H20="","",VLOOKUP($H20,'Master Data'!$B:$D,3,FALSE))</f>
        <v>Repairs &amp; Maintenance Expe</v>
      </c>
      <c r="BS20" s="265" t="str">
        <f t="shared" si="7"/>
        <v>Selling</v>
      </c>
      <c r="BT20" s="265" t="str">
        <f>IF($H20="","",VLOOKUP(VALUE($H20),'Master Data'!B:I,8,FALSE))</f>
        <v>Repairs and maintenance</v>
      </c>
    </row>
    <row r="21" spans="1:72" s="264" customFormat="1" x14ac:dyDescent="0.25">
      <c r="A21" s="241" t="str">
        <f>IF(D21="","",Cover!$D$8)</f>
        <v>Supply Chain Management</v>
      </c>
      <c r="B21" s="241" t="str">
        <f>IF(D21="","",Cover!$D$9)</f>
        <v>Supply Chain Management</v>
      </c>
      <c r="C21" s="242" t="str">
        <f>IF(D21="","",_xlfn.XLOOKUP(D21,'Activity Master Opex'!C:C,'Activity Master Opex'!B:B,0,0,1))</f>
        <v>SC004-00014</v>
      </c>
      <c r="D21" s="243" t="s">
        <v>115</v>
      </c>
      <c r="E21" s="244" t="str">
        <f>IF(D21="","",IFERROR(VLOOKUP(D21,'Activity Master Opex'!$C:$L,6,FALSE),0))</f>
        <v>For forklift &amp; bentor</v>
      </c>
      <c r="F21" s="245" t="str">
        <f>IF($C21="","",VLOOKUP($C21,'Activity Master Opex'!$B:$I,3,0))</f>
        <v>10301SC004</v>
      </c>
      <c r="G21" s="244" t="str">
        <f>IF($C21="","",VLOOKUP($F21,'Master Data'!$D$59:$E$146,2,FALSE))</f>
        <v>SCM WAREHOUSE SPC</v>
      </c>
      <c r="H21" s="246">
        <f>IF($C21="","",VLOOKUP($C21,'Activity Master Opex'!$B:$I,5,0))</f>
        <v>60700010</v>
      </c>
      <c r="I21" s="241" t="str">
        <f>IFERROR(VLOOKUP(H21,'Activity Master Opex'!F:G,2,FALSE),"")</f>
        <v>Fuel</v>
      </c>
      <c r="J21" s="247">
        <f>1091.62*15500</f>
        <v>16920110</v>
      </c>
      <c r="K21" s="247">
        <v>0</v>
      </c>
      <c r="L21" s="248"/>
      <c r="M21" s="248"/>
      <c r="N21" s="248"/>
      <c r="O21" s="248"/>
      <c r="P21" s="248"/>
      <c r="Q21" s="248"/>
      <c r="R21" s="248"/>
      <c r="S21" s="248"/>
      <c r="T21" s="248"/>
      <c r="U21" s="248"/>
      <c r="V21" s="248"/>
      <c r="W21" s="248"/>
      <c r="X21" s="249">
        <f t="shared" ref="X21" si="10">SUM(L21:W21)</f>
        <v>0</v>
      </c>
      <c r="Y21" s="250"/>
      <c r="Z21" s="214"/>
      <c r="AA21" s="214"/>
      <c r="AB21" s="214"/>
      <c r="AC21" s="214"/>
      <c r="AD21" s="214"/>
      <c r="AE21" s="214"/>
      <c r="AF21" s="214"/>
      <c r="AG21" s="214"/>
      <c r="AH21" s="214"/>
      <c r="AI21" s="214"/>
      <c r="AJ21" s="214"/>
      <c r="AK21" s="214"/>
      <c r="AL21" s="217">
        <f t="shared" si="0"/>
        <v>0</v>
      </c>
      <c r="AM21" s="251"/>
      <c r="AN21" s="214"/>
      <c r="AO21" s="214"/>
      <c r="AP21" s="214"/>
      <c r="AQ21" s="214"/>
      <c r="AR21" s="214"/>
      <c r="AS21" s="214"/>
      <c r="AT21" s="214"/>
      <c r="AU21" s="214"/>
      <c r="AV21" s="214"/>
      <c r="AW21" s="214"/>
      <c r="AX21" s="214"/>
      <c r="AY21" s="214"/>
      <c r="AZ21" s="217">
        <f t="shared" si="1"/>
        <v>0</v>
      </c>
      <c r="BA21" s="252">
        <f t="shared" si="2"/>
        <v>-16920110</v>
      </c>
      <c r="BB21" s="253"/>
      <c r="BC21" s="254">
        <f t="shared" si="3"/>
        <v>0</v>
      </c>
      <c r="BD21" s="255" t="str">
        <f>IF('Budget Opex Detail'!C23="","",IF(COUNTIFS('Activity Master Opex'!$B$4:$B$88,'Budget Opex Detail'!$C23)&gt;0,"","New Activity"))</f>
        <v/>
      </c>
      <c r="BE21" s="256"/>
      <c r="BF21" s="257"/>
      <c r="BG21" s="258"/>
      <c r="BH21" s="259"/>
      <c r="BI21" s="260"/>
      <c r="BJ21" s="260"/>
      <c r="BK21" s="261"/>
      <c r="BL21" s="220">
        <f t="shared" si="6"/>
        <v>0</v>
      </c>
      <c r="BM21" s="259"/>
      <c r="BN21" s="259"/>
      <c r="BO21" s="262">
        <f t="shared" si="4"/>
        <v>0</v>
      </c>
      <c r="BP21" s="263"/>
      <c r="BR21" s="265" t="s">
        <v>115</v>
      </c>
      <c r="BS21" s="265" t="str">
        <f t="shared" si="7"/>
        <v>Selling</v>
      </c>
      <c r="BT21" s="265" t="s">
        <v>115</v>
      </c>
    </row>
    <row r="22" spans="1:72" s="264" customFormat="1" x14ac:dyDescent="0.25">
      <c r="A22" s="241" t="str">
        <f>IF(D22="","",Cover!$D$8)</f>
        <v>Supply Chain Management</v>
      </c>
      <c r="B22" s="241" t="str">
        <f>IF(D22="","",Cover!$D$9)</f>
        <v>Supply Chain Management</v>
      </c>
      <c r="C22" s="242" t="str">
        <f>IF(D22="","",_xlfn.XLOOKUP(D22,'Activity Master Opex'!C:C,'Activity Master Opex'!B:B,0,0,1))</f>
        <v>SC004-00016</v>
      </c>
      <c r="D22" s="243" t="s">
        <v>946</v>
      </c>
      <c r="E22" s="244" t="str">
        <f>IF(D22="","",IFERROR(VLOOKUP(D22,'Activity Master Opex'!$C:$L,6,FALSE),0))</f>
        <v xml:space="preserve">Crane Certification </v>
      </c>
      <c r="F22" s="245" t="str">
        <f>IF($C22="","",VLOOKUP($C22,'Activity Master Opex'!$B:$I,3,0))</f>
        <v>10301SC004</v>
      </c>
      <c r="G22" s="244" t="str">
        <f>IF($C22="","",VLOOKUP($F22,'Master Data'!$D$59:$E$146,2,FALSE))</f>
        <v>SCM WAREHOUSE SPC</v>
      </c>
      <c r="H22" s="246">
        <f>IF($C22="","",VLOOKUP($C22,'Activity Master Opex'!$B:$I,5,0))</f>
        <v>62100050</v>
      </c>
      <c r="I22" s="241" t="str">
        <f>IFERROR(VLOOKUP(H22,'Activity Master Opex'!F:G,2,FALSE),"")</f>
        <v>TL - Others Tax and License</v>
      </c>
      <c r="J22" s="247">
        <f>584.27*15500</f>
        <v>9056185</v>
      </c>
      <c r="K22" s="247">
        <v>0</v>
      </c>
      <c r="L22" s="248"/>
      <c r="M22" s="248"/>
      <c r="N22" s="248"/>
      <c r="O22" s="248"/>
      <c r="P22" s="248"/>
      <c r="Q22" s="248"/>
      <c r="R22" s="248"/>
      <c r="S22" s="248"/>
      <c r="T22" s="248"/>
      <c r="U22" s="248"/>
      <c r="V22" s="248"/>
      <c r="W22" s="248"/>
      <c r="X22" s="249">
        <f t="shared" si="9"/>
        <v>0</v>
      </c>
      <c r="Y22" s="250"/>
      <c r="Z22" s="214"/>
      <c r="AA22" s="214"/>
      <c r="AB22" s="214"/>
      <c r="AC22" s="214"/>
      <c r="AD22" s="214"/>
      <c r="AE22" s="214"/>
      <c r="AF22" s="214"/>
      <c r="AG22" s="214"/>
      <c r="AH22" s="214"/>
      <c r="AI22" s="214"/>
      <c r="AJ22" s="214"/>
      <c r="AK22" s="214"/>
      <c r="AL22" s="217">
        <f t="shared" si="0"/>
        <v>0</v>
      </c>
      <c r="AM22" s="251"/>
      <c r="AN22" s="214"/>
      <c r="AO22" s="214"/>
      <c r="AP22" s="214"/>
      <c r="AQ22" s="214"/>
      <c r="AR22" s="214"/>
      <c r="AS22" s="214"/>
      <c r="AT22" s="214"/>
      <c r="AU22" s="214"/>
      <c r="AV22" s="214"/>
      <c r="AW22" s="214"/>
      <c r="AX22" s="214"/>
      <c r="AY22" s="214"/>
      <c r="AZ22" s="217">
        <f t="shared" si="1"/>
        <v>0</v>
      </c>
      <c r="BA22" s="252">
        <f t="shared" si="2"/>
        <v>-9056185</v>
      </c>
      <c r="BB22" s="253"/>
      <c r="BC22" s="254">
        <f t="shared" si="3"/>
        <v>0</v>
      </c>
      <c r="BD22" s="255" t="str">
        <f>IF('Budget Opex Detail'!C24="","",IF(COUNTIFS('Activity Master Opex'!$B$4:$B$88,'Budget Opex Detail'!$C24)&gt;0,"","New Activity"))</f>
        <v/>
      </c>
      <c r="BE22" s="256"/>
      <c r="BF22" s="257"/>
      <c r="BG22" s="258"/>
      <c r="BH22" s="259"/>
      <c r="BI22" s="260"/>
      <c r="BJ22" s="260"/>
      <c r="BK22" s="261"/>
      <c r="BL22" s="220">
        <f t="shared" si="6"/>
        <v>0</v>
      </c>
      <c r="BM22" s="259"/>
      <c r="BN22" s="259"/>
      <c r="BO22" s="262">
        <f t="shared" si="4"/>
        <v>0</v>
      </c>
      <c r="BP22" s="263"/>
      <c r="BR22" s="265" t="str">
        <f>IF($H22="","",VLOOKUP($H22,'Master Data'!$B:$D,3,FALSE))</f>
        <v>Tax and Licenses Expenses</v>
      </c>
      <c r="BS22" s="265" t="str">
        <f t="shared" si="7"/>
        <v>Selling</v>
      </c>
      <c r="BT22" s="265" t="str">
        <f>IF($H22="","",VLOOKUP(VALUE($H22),'Master Data'!B:I,8,FALSE))</f>
        <v>Tax and license</v>
      </c>
    </row>
    <row r="23" spans="1:72" s="264" customFormat="1" x14ac:dyDescent="0.25">
      <c r="A23" s="241" t="str">
        <f>IF(D23="","",Cover!$D$8)</f>
        <v>Supply Chain Management</v>
      </c>
      <c r="B23" s="241" t="str">
        <f>IF(D23="","",Cover!$D$9)</f>
        <v>Supply Chain Management</v>
      </c>
      <c r="C23" s="242" t="str">
        <f>IF(D23="","",_xlfn.XLOOKUP(D23,'Activity Master Opex'!C:C,'Activity Master Opex'!B:B,0,0,1))</f>
        <v>SC004-00017</v>
      </c>
      <c r="D23" s="243" t="s">
        <v>890</v>
      </c>
      <c r="E23" s="244" t="str">
        <f>IF(D23="","",IFERROR(VLOOKUP(D23,'Activity Master Opex'!$C:$L,6,FALSE),0))</f>
        <v>For routine services of Bentor motorcycle</v>
      </c>
      <c r="F23" s="245" t="str">
        <f>IF($C23="","",VLOOKUP($C23,'Activity Master Opex'!$B:$I,3,0))</f>
        <v>10301SC004</v>
      </c>
      <c r="G23" s="244" t="str">
        <f>IF($C23="","",VLOOKUP($F23,'Master Data'!$D$59:$E$146,2,FALSE))</f>
        <v>SCM WAREHOUSE SPC</v>
      </c>
      <c r="H23" s="246">
        <f>IF($C23="","",VLOOKUP($C23,'Activity Master Opex'!$B:$I,5,0))</f>
        <v>60800040</v>
      </c>
      <c r="I23" s="241" t="str">
        <f>IFERROR(VLOOKUP(H23,'Activity Master Opex'!F:G,2,FALSE),"")</f>
        <v>RM Exp - Vehicles</v>
      </c>
      <c r="J23" s="247">
        <f>133.03*15500</f>
        <v>2061965</v>
      </c>
      <c r="K23" s="247">
        <v>0</v>
      </c>
      <c r="L23" s="248"/>
      <c r="M23" s="248"/>
      <c r="N23" s="248"/>
      <c r="O23" s="248"/>
      <c r="P23" s="248"/>
      <c r="Q23" s="248"/>
      <c r="R23" s="248"/>
      <c r="S23" s="248"/>
      <c r="T23" s="248"/>
      <c r="U23" s="248"/>
      <c r="V23" s="248"/>
      <c r="W23" s="248"/>
      <c r="X23" s="249">
        <f t="shared" si="9"/>
        <v>0</v>
      </c>
      <c r="Y23" s="250"/>
      <c r="Z23" s="214"/>
      <c r="AA23" s="214"/>
      <c r="AB23" s="214"/>
      <c r="AC23" s="214"/>
      <c r="AD23" s="214"/>
      <c r="AE23" s="214"/>
      <c r="AF23" s="214"/>
      <c r="AG23" s="214"/>
      <c r="AH23" s="214"/>
      <c r="AI23" s="214"/>
      <c r="AJ23" s="214"/>
      <c r="AK23" s="214"/>
      <c r="AL23" s="217">
        <f t="shared" si="0"/>
        <v>0</v>
      </c>
      <c r="AM23" s="251"/>
      <c r="AN23" s="214"/>
      <c r="AO23" s="214"/>
      <c r="AP23" s="214"/>
      <c r="AQ23" s="214"/>
      <c r="AR23" s="214"/>
      <c r="AS23" s="214"/>
      <c r="AT23" s="214"/>
      <c r="AU23" s="214"/>
      <c r="AV23" s="214"/>
      <c r="AW23" s="214"/>
      <c r="AX23" s="214"/>
      <c r="AY23" s="214"/>
      <c r="AZ23" s="217">
        <f t="shared" si="1"/>
        <v>0</v>
      </c>
      <c r="BA23" s="252">
        <f t="shared" si="2"/>
        <v>-2061965</v>
      </c>
      <c r="BB23" s="253"/>
      <c r="BC23" s="254">
        <f t="shared" si="3"/>
        <v>0</v>
      </c>
      <c r="BD23" s="255" t="str">
        <f>IF('Budget Opex Detail'!C25="","",IF(COUNTIFS('Activity Master Opex'!$B$4:$B$88,'Budget Opex Detail'!$C25)&gt;0,"","New Activity"))</f>
        <v/>
      </c>
      <c r="BE23" s="256"/>
      <c r="BF23" s="257"/>
      <c r="BG23" s="258"/>
      <c r="BH23" s="259"/>
      <c r="BI23" s="260"/>
      <c r="BJ23" s="260"/>
      <c r="BK23" s="261"/>
      <c r="BL23" s="220">
        <f t="shared" si="6"/>
        <v>0</v>
      </c>
      <c r="BM23" s="259"/>
      <c r="BN23" s="259"/>
      <c r="BO23" s="262">
        <f t="shared" si="4"/>
        <v>0</v>
      </c>
      <c r="BP23" s="263"/>
      <c r="BR23" s="265" t="str">
        <f>IF($H23="","",VLOOKUP($H23,'Master Data'!$B:$D,3,FALSE))</f>
        <v>Repairs &amp; Maintenance Expe</v>
      </c>
      <c r="BS23" s="265" t="str">
        <f t="shared" si="7"/>
        <v>Selling</v>
      </c>
      <c r="BT23" s="265" t="str">
        <f>IF($H23="","",VLOOKUP(VALUE($H23),'Master Data'!B:I,8,FALSE))</f>
        <v>Repairs and maintenance</v>
      </c>
    </row>
    <row r="24" spans="1:72" s="264" customFormat="1" x14ac:dyDescent="0.25">
      <c r="A24" s="241" t="str">
        <f>IF(D24="","",Cover!$D$8)</f>
        <v>Supply Chain Management</v>
      </c>
      <c r="B24" s="241" t="str">
        <f>IF(D24="","",Cover!$D$9)</f>
        <v>Supply Chain Management</v>
      </c>
      <c r="C24" s="242" t="str">
        <f>IF(D24="","",_xlfn.XLOOKUP(D24,'Activity Master Opex'!C:C,'Activity Master Opex'!B:B,0,0,1))</f>
        <v>SC004-00018</v>
      </c>
      <c r="D24" s="243" t="s">
        <v>891</v>
      </c>
      <c r="E24" s="244">
        <f>IF(D24="","",IFERROR(VLOOKUP(D24,'Activity Master Opex'!$C:$L,6,FALSE),0))</f>
        <v>0</v>
      </c>
      <c r="F24" s="245" t="str">
        <f>IF($C24="","",VLOOKUP($C24,'Activity Master Opex'!$B:$I,3,0))</f>
        <v>10301SC004</v>
      </c>
      <c r="G24" s="244" t="str">
        <f>IF($C24="","",VLOOKUP($F24,'Master Data'!$D$59:$E$146,2,FALSE))</f>
        <v>SCM WAREHOUSE SPC</v>
      </c>
      <c r="H24" s="246">
        <f>IF($C24="","",VLOOKUP($C24,'Activity Master Opex'!$B:$I,5,0))</f>
        <v>60800010</v>
      </c>
      <c r="I24" s="241" t="str">
        <f>IFERROR(VLOOKUP(H24,'Activity Master Opex'!F:G,2,FALSE),"")</f>
        <v>RM Exp - Buidings Services</v>
      </c>
      <c r="J24" s="247">
        <f>313.96*15500</f>
        <v>4866380</v>
      </c>
      <c r="K24" s="247">
        <v>2486220</v>
      </c>
      <c r="L24" s="248"/>
      <c r="M24" s="248"/>
      <c r="N24" s="248"/>
      <c r="O24" s="248"/>
      <c r="P24" s="248"/>
      <c r="Q24" s="248"/>
      <c r="R24" s="248"/>
      <c r="S24" s="248"/>
      <c r="T24" s="248"/>
      <c r="U24" s="248"/>
      <c r="V24" s="248"/>
      <c r="W24" s="248"/>
      <c r="X24" s="249">
        <f t="shared" si="9"/>
        <v>0</v>
      </c>
      <c r="Y24" s="250"/>
      <c r="Z24" s="214"/>
      <c r="AA24" s="214"/>
      <c r="AB24" s="214"/>
      <c r="AC24" s="214"/>
      <c r="AD24" s="214"/>
      <c r="AE24" s="214"/>
      <c r="AF24" s="214"/>
      <c r="AG24" s="214"/>
      <c r="AH24" s="214"/>
      <c r="AI24" s="214"/>
      <c r="AJ24" s="214"/>
      <c r="AK24" s="214"/>
      <c r="AL24" s="217">
        <f t="shared" si="0"/>
        <v>0</v>
      </c>
      <c r="AM24" s="251"/>
      <c r="AN24" s="214"/>
      <c r="AO24" s="214"/>
      <c r="AP24" s="214"/>
      <c r="AQ24" s="214"/>
      <c r="AR24" s="214"/>
      <c r="AS24" s="214"/>
      <c r="AT24" s="214"/>
      <c r="AU24" s="214"/>
      <c r="AV24" s="214"/>
      <c r="AW24" s="214"/>
      <c r="AX24" s="214"/>
      <c r="AY24" s="214"/>
      <c r="AZ24" s="217">
        <f t="shared" si="1"/>
        <v>0</v>
      </c>
      <c r="BA24" s="252">
        <f t="shared" si="2"/>
        <v>-4866380</v>
      </c>
      <c r="BB24" s="253"/>
      <c r="BC24" s="254">
        <f t="shared" si="3"/>
        <v>0</v>
      </c>
      <c r="BD24" s="255" t="str">
        <f>IF('Budget Opex Detail'!C26="","",IF(COUNTIFS('Activity Master Opex'!$B$4:$B$88,'Budget Opex Detail'!$C26)&gt;0,"","New Activity"))</f>
        <v/>
      </c>
      <c r="BE24" s="256"/>
      <c r="BF24" s="257"/>
      <c r="BG24" s="258"/>
      <c r="BH24" s="259"/>
      <c r="BI24" s="260"/>
      <c r="BJ24" s="260"/>
      <c r="BK24" s="261"/>
      <c r="BL24" s="220">
        <f t="shared" si="6"/>
        <v>0</v>
      </c>
      <c r="BM24" s="259"/>
      <c r="BN24" s="259"/>
      <c r="BO24" s="262">
        <f t="shared" si="4"/>
        <v>0</v>
      </c>
      <c r="BP24" s="263"/>
      <c r="BR24" s="265" t="str">
        <f>IF($H24="","",VLOOKUP($H24,'Master Data'!$B:$D,3,FALSE))</f>
        <v>Repairs &amp; Maintenance Expe</v>
      </c>
      <c r="BS24" s="265" t="str">
        <f t="shared" si="7"/>
        <v>Selling</v>
      </c>
      <c r="BT24" s="265" t="str">
        <f>IF($H24="","",VLOOKUP(VALUE($H24),'Master Data'!B:I,8,FALSE))</f>
        <v>Repairs and maintenance</v>
      </c>
    </row>
    <row r="25" spans="1:72" s="264" customFormat="1" x14ac:dyDescent="0.25">
      <c r="A25" s="241" t="str">
        <f>IF(D25="","",Cover!$D$8)</f>
        <v>Supply Chain Management</v>
      </c>
      <c r="B25" s="241" t="str">
        <f>IF(D25="","",Cover!$D$9)</f>
        <v>Supply Chain Management</v>
      </c>
      <c r="C25" s="242" t="str">
        <f>IF(D25="","",_xlfn.XLOOKUP(D25,'Activity Master Opex'!C:C,'Activity Master Opex'!B:B,0,0,1))</f>
        <v>SC006-00001</v>
      </c>
      <c r="D25" s="243" t="s">
        <v>789</v>
      </c>
      <c r="E25" s="244" t="str">
        <f>IF(D25="","",IFERROR(VLOOKUP(D25,'Activity Master Opex'!$C:$L,6,FALSE),0))</f>
        <v>For internship employee</v>
      </c>
      <c r="F25" s="245" t="str">
        <f>IF($C25="","",VLOOKUP($C25,'Activity Master Opex'!$B:$I,3,0))</f>
        <v>10301SC006</v>
      </c>
      <c r="G25" s="244" t="str">
        <f>IF($C25="","",VLOOKUP($F25,'Master Data'!$D$59:$E$146,2,FALSE))</f>
        <v>SCM INVENTORY</v>
      </c>
      <c r="H25" s="246">
        <f>IF($C25="","",VLOOKUP($C25,'Activity Master Opex'!$B:$I,5,0))</f>
        <v>61700070</v>
      </c>
      <c r="I25" s="241" t="str">
        <f>IFERROR(VLOOKUP(H25,'Activity Master Opex'!F:G,2,FALSE),"")</f>
        <v>RE - Rental Other</v>
      </c>
      <c r="J25" s="247">
        <f>1282.06451612903*15500</f>
        <v>19871999.999999963</v>
      </c>
      <c r="K25" s="247">
        <v>1600000</v>
      </c>
      <c r="L25" s="248"/>
      <c r="M25" s="248"/>
      <c r="N25" s="248"/>
      <c r="O25" s="248"/>
      <c r="P25" s="248"/>
      <c r="Q25" s="248"/>
      <c r="R25" s="248"/>
      <c r="S25" s="248"/>
      <c r="T25" s="248"/>
      <c r="U25" s="248"/>
      <c r="V25" s="248"/>
      <c r="W25" s="248"/>
      <c r="X25" s="249">
        <f t="shared" si="9"/>
        <v>0</v>
      </c>
      <c r="Y25" s="250"/>
      <c r="Z25" s="214"/>
      <c r="AA25" s="214"/>
      <c r="AB25" s="214"/>
      <c r="AC25" s="214"/>
      <c r="AD25" s="214"/>
      <c r="AE25" s="214"/>
      <c r="AF25" s="214"/>
      <c r="AG25" s="214"/>
      <c r="AH25" s="214"/>
      <c r="AI25" s="214"/>
      <c r="AJ25" s="214"/>
      <c r="AK25" s="214"/>
      <c r="AL25" s="217">
        <f t="shared" si="0"/>
        <v>0</v>
      </c>
      <c r="AM25" s="251"/>
      <c r="AN25" s="214"/>
      <c r="AO25" s="214"/>
      <c r="AP25" s="214"/>
      <c r="AQ25" s="214"/>
      <c r="AR25" s="214"/>
      <c r="AS25" s="214"/>
      <c r="AT25" s="214"/>
      <c r="AU25" s="214"/>
      <c r="AV25" s="214"/>
      <c r="AW25" s="214"/>
      <c r="AX25" s="214"/>
      <c r="AY25" s="214"/>
      <c r="AZ25" s="217">
        <f t="shared" si="1"/>
        <v>0</v>
      </c>
      <c r="BA25" s="252">
        <f t="shared" si="2"/>
        <v>-19871999.999999963</v>
      </c>
      <c r="BB25" s="253"/>
      <c r="BC25" s="254">
        <f t="shared" si="3"/>
        <v>0</v>
      </c>
      <c r="BD25" s="255" t="str">
        <f>IF('Budget Opex Detail'!C27="","",IF(COUNTIFS('Activity Master Opex'!$B$4:$B$88,'Budget Opex Detail'!$C27)&gt;0,"","New Activity"))</f>
        <v/>
      </c>
      <c r="BE25" s="256"/>
      <c r="BF25" s="257"/>
      <c r="BG25" s="258"/>
      <c r="BH25" s="259"/>
      <c r="BI25" s="260"/>
      <c r="BJ25" s="260"/>
      <c r="BK25" s="261"/>
      <c r="BL25" s="220">
        <f t="shared" si="6"/>
        <v>0</v>
      </c>
      <c r="BM25" s="259"/>
      <c r="BN25" s="259"/>
      <c r="BO25" s="262">
        <f t="shared" si="4"/>
        <v>0</v>
      </c>
      <c r="BP25" s="263"/>
      <c r="BR25" s="265" t="str">
        <f>IF($H25="","",VLOOKUP($H25,'Master Data'!$B:$D,3,FALSE))</f>
        <v>Rental Expenses</v>
      </c>
      <c r="BS25" s="265" t="str">
        <f t="shared" si="7"/>
        <v>Selling</v>
      </c>
      <c r="BT25" s="265" t="str">
        <f>IF($H25="","",VLOOKUP(VALUE($H25),'Master Data'!B:I,8,FALSE))</f>
        <v>Rental</v>
      </c>
    </row>
    <row r="26" spans="1:72" s="264" customFormat="1" x14ac:dyDescent="0.25">
      <c r="A26" s="241" t="str">
        <f>IF(D26="","",Cover!$D$8)</f>
        <v>Supply Chain Management</v>
      </c>
      <c r="B26" s="241" t="str">
        <f>IF(D26="","",Cover!$D$9)</f>
        <v>Supply Chain Management</v>
      </c>
      <c r="C26" s="242" t="str">
        <f>IF(D26="","",_xlfn.XLOOKUP(D26,'Activity Master Opex'!C:C,'Activity Master Opex'!B:B,0,0,1))</f>
        <v>SC006-00002</v>
      </c>
      <c r="D26" s="243" t="s">
        <v>791</v>
      </c>
      <c r="E26" s="244" t="str">
        <f>IF(D26="","",IFERROR(VLOOKUP(D26,'Activity Master Opex'!$C:$L,6,FALSE),0))</f>
        <v>APD</v>
      </c>
      <c r="F26" s="245" t="str">
        <f>IF($C26="","",VLOOKUP($C26,'Activity Master Opex'!$B:$I,3,0))</f>
        <v>10301SC006</v>
      </c>
      <c r="G26" s="244" t="str">
        <f>IF($C26="","",VLOOKUP($F26,'Master Data'!$D$59:$E$146,2,FALSE))</f>
        <v>SCM INVENTORY</v>
      </c>
      <c r="H26" s="246">
        <f>IF($C26="","",VLOOKUP($C26,'Activity Master Opex'!$B:$I,5,0))</f>
        <v>62600030</v>
      </c>
      <c r="I26" s="241" t="str">
        <f>IFERROR(VLOOKUP(H26,'Activity Master Opex'!F:G,2,FALSE),"")</f>
        <v>Office Equipment Expenses</v>
      </c>
      <c r="J26" s="247">
        <f>137.220967741935*15500</f>
        <v>2126924.9999999925</v>
      </c>
      <c r="K26" s="247">
        <v>844730</v>
      </c>
      <c r="L26" s="248"/>
      <c r="M26" s="248"/>
      <c r="N26" s="248"/>
      <c r="O26" s="248"/>
      <c r="P26" s="248"/>
      <c r="Q26" s="248"/>
      <c r="R26" s="248"/>
      <c r="S26" s="248"/>
      <c r="T26" s="248"/>
      <c r="U26" s="248"/>
      <c r="V26" s="248"/>
      <c r="W26" s="248"/>
      <c r="X26" s="249">
        <f t="shared" si="9"/>
        <v>0</v>
      </c>
      <c r="Y26" s="250"/>
      <c r="Z26" s="214"/>
      <c r="AA26" s="214"/>
      <c r="AB26" s="214"/>
      <c r="AC26" s="214"/>
      <c r="AD26" s="214"/>
      <c r="AE26" s="214"/>
      <c r="AF26" s="214"/>
      <c r="AG26" s="214"/>
      <c r="AH26" s="214"/>
      <c r="AI26" s="214"/>
      <c r="AJ26" s="214"/>
      <c r="AK26" s="214"/>
      <c r="AL26" s="217">
        <f t="shared" si="0"/>
        <v>0</v>
      </c>
      <c r="AM26" s="251"/>
      <c r="AN26" s="214"/>
      <c r="AO26" s="214"/>
      <c r="AP26" s="214"/>
      <c r="AQ26" s="214"/>
      <c r="AR26" s="214"/>
      <c r="AS26" s="214"/>
      <c r="AT26" s="214"/>
      <c r="AU26" s="214"/>
      <c r="AV26" s="214"/>
      <c r="AW26" s="214"/>
      <c r="AX26" s="214"/>
      <c r="AY26" s="214"/>
      <c r="AZ26" s="217">
        <f t="shared" si="1"/>
        <v>0</v>
      </c>
      <c r="BA26" s="252">
        <f t="shared" si="2"/>
        <v>-2126924.9999999925</v>
      </c>
      <c r="BB26" s="253"/>
      <c r="BC26" s="254">
        <f t="shared" si="3"/>
        <v>0</v>
      </c>
      <c r="BD26" s="255" t="str">
        <f>IF('Budget Opex Detail'!C28="","",IF(COUNTIFS('Activity Master Opex'!$B$4:$B$88,'Budget Opex Detail'!$C28)&gt;0,"","New Activity"))</f>
        <v/>
      </c>
      <c r="BE26" s="256"/>
      <c r="BF26" s="257"/>
      <c r="BG26" s="258"/>
      <c r="BH26" s="259"/>
      <c r="BI26" s="260"/>
      <c r="BJ26" s="260"/>
      <c r="BK26" s="261"/>
      <c r="BL26" s="220">
        <f t="shared" si="6"/>
        <v>0</v>
      </c>
      <c r="BM26" s="259"/>
      <c r="BN26" s="259"/>
      <c r="BO26" s="262">
        <f t="shared" si="4"/>
        <v>0</v>
      </c>
      <c r="BP26" s="263"/>
      <c r="BR26" s="265" t="str">
        <f>IF($H26="","",VLOOKUP($H26,'Master Data'!$B:$D,3,FALSE))</f>
        <v>Equipment Expenses</v>
      </c>
      <c r="BS26" s="265" t="str">
        <f t="shared" si="7"/>
        <v>Selling</v>
      </c>
      <c r="BT26" s="265" t="str">
        <f>IF($H26="","",VLOOKUP(VALUE($H26),'Master Data'!B:I,8,FALSE))</f>
        <v>Equipment Expenses</v>
      </c>
    </row>
    <row r="27" spans="1:72" s="264" customFormat="1" x14ac:dyDescent="0.25">
      <c r="A27" s="241" t="str">
        <f>IF(D27="","",Cover!$D$8)</f>
        <v>Supply Chain Management</v>
      </c>
      <c r="B27" s="241" t="str">
        <f>IF(D27="","",Cover!$D$9)</f>
        <v>Supply Chain Management</v>
      </c>
      <c r="C27" s="242" t="str">
        <f>IF(D27="","",_xlfn.XLOOKUP(D27,'Activity Master Opex'!C:C,'Activity Master Opex'!B:B,0,0,1))</f>
        <v>SC006-00004</v>
      </c>
      <c r="D27" s="243" t="s">
        <v>793</v>
      </c>
      <c r="E27" s="244" t="str">
        <f>IF(D27="","",IFERROR(VLOOKUP(D27,'Activity Master Opex'!$C:$L,6,FALSE),0))</f>
        <v>Surveyor Fee</v>
      </c>
      <c r="F27" s="245" t="str">
        <f>IF($C27="","",VLOOKUP($C27,'Activity Master Opex'!$B:$I,3,0))</f>
        <v>10301SC006</v>
      </c>
      <c r="G27" s="244" t="str">
        <f>IF($C27="","",VLOOKUP($F27,'Master Data'!$D$59:$E$146,2,FALSE))</f>
        <v>SCM INVENTORY</v>
      </c>
      <c r="H27" s="246">
        <f>IF($C27="","",VLOOKUP($C27,'Activity Master Opex'!$B:$I,5,0))</f>
        <v>61900040</v>
      </c>
      <c r="I27" s="241" t="str">
        <f>IFERROR(VLOOKUP(H27,'Activity Master Opex'!F:G,2,FALSE),"")</f>
        <v>PF - Surveyor Fee</v>
      </c>
      <c r="J27" s="247">
        <f>37715.3870967742*15500</f>
        <v>584588500</v>
      </c>
      <c r="K27" s="247">
        <v>204667400</v>
      </c>
      <c r="L27" s="248"/>
      <c r="M27" s="248"/>
      <c r="N27" s="248"/>
      <c r="O27" s="248"/>
      <c r="P27" s="248"/>
      <c r="Q27" s="248"/>
      <c r="R27" s="248"/>
      <c r="S27" s="248"/>
      <c r="T27" s="248"/>
      <c r="U27" s="248"/>
      <c r="V27" s="248"/>
      <c r="W27" s="248"/>
      <c r="X27" s="249">
        <f t="shared" si="9"/>
        <v>0</v>
      </c>
      <c r="Y27" s="250"/>
      <c r="Z27" s="214"/>
      <c r="AA27" s="214"/>
      <c r="AB27" s="214"/>
      <c r="AC27" s="214"/>
      <c r="AD27" s="214"/>
      <c r="AE27" s="214"/>
      <c r="AF27" s="214"/>
      <c r="AG27" s="214"/>
      <c r="AH27" s="214"/>
      <c r="AI27" s="214"/>
      <c r="AJ27" s="214"/>
      <c r="AK27" s="214"/>
      <c r="AL27" s="217">
        <f t="shared" si="0"/>
        <v>0</v>
      </c>
      <c r="AM27" s="251"/>
      <c r="AN27" s="214"/>
      <c r="AO27" s="214"/>
      <c r="AP27" s="214"/>
      <c r="AQ27" s="214"/>
      <c r="AR27" s="214"/>
      <c r="AS27" s="214"/>
      <c r="AT27" s="214"/>
      <c r="AU27" s="214"/>
      <c r="AV27" s="214"/>
      <c r="AW27" s="214"/>
      <c r="AX27" s="214"/>
      <c r="AY27" s="214"/>
      <c r="AZ27" s="217">
        <f t="shared" si="1"/>
        <v>0</v>
      </c>
      <c r="BA27" s="252">
        <f t="shared" si="2"/>
        <v>-584588500</v>
      </c>
      <c r="BB27" s="253"/>
      <c r="BC27" s="254">
        <f t="shared" si="3"/>
        <v>0</v>
      </c>
      <c r="BD27" s="255" t="str">
        <f>IF('Budget Opex Detail'!C29="","",IF(COUNTIFS('Activity Master Opex'!$B$4:$B$88,'Budget Opex Detail'!$C29)&gt;0,"","New Activity"))</f>
        <v/>
      </c>
      <c r="BE27" s="256"/>
      <c r="BF27" s="257"/>
      <c r="BG27" s="258"/>
      <c r="BH27" s="259"/>
      <c r="BI27" s="260"/>
      <c r="BJ27" s="260"/>
      <c r="BK27" s="261"/>
      <c r="BL27" s="220">
        <f t="shared" si="6"/>
        <v>0</v>
      </c>
      <c r="BM27" s="259"/>
      <c r="BN27" s="259"/>
      <c r="BO27" s="262">
        <f t="shared" si="4"/>
        <v>0</v>
      </c>
      <c r="BP27" s="263"/>
      <c r="BR27" s="265" t="str">
        <f>IF($H27="","",VLOOKUP($H27,'Master Data'!$B:$D,3,FALSE))</f>
        <v>Professional Fees</v>
      </c>
      <c r="BS27" s="265" t="str">
        <f t="shared" si="7"/>
        <v>Selling</v>
      </c>
      <c r="BT27" s="265" t="str">
        <f>IF($H27="","",VLOOKUP(VALUE($H27),'Master Data'!B:I,8,FALSE))</f>
        <v>Professional fees</v>
      </c>
    </row>
    <row r="28" spans="1:72" s="264" customFormat="1" x14ac:dyDescent="0.25">
      <c r="A28" s="241" t="str">
        <f>IF(D28="","",Cover!$D$8)</f>
        <v>Supply Chain Management</v>
      </c>
      <c r="B28" s="241" t="str">
        <f>IF(D28="","",Cover!$D$9)</f>
        <v>Supply Chain Management</v>
      </c>
      <c r="C28" s="242" t="str">
        <f>IF(D28="","",_xlfn.XLOOKUP(D28,'Activity Master Opex'!C:C,'Activity Master Opex'!B:B,0,0,1))</f>
        <v>SC007-00001</v>
      </c>
      <c r="D28" s="243" t="s">
        <v>795</v>
      </c>
      <c r="E28" s="244">
        <f>IF(D28="","",IFERROR(VLOOKUP(D28,'Activity Master Opex'!$C:$L,6,FALSE),0))</f>
        <v>0</v>
      </c>
      <c r="F28" s="245" t="str">
        <f>IF($C28="","",VLOOKUP($C28,'Activity Master Opex'!$B:$I,3,0))</f>
        <v>10301SC007</v>
      </c>
      <c r="G28" s="244" t="str">
        <f>IF($C28="","",VLOOKUP($F28,'Master Data'!$D$59:$E$146,2,FALSE))</f>
        <v>SCM WAREHOUSE FG</v>
      </c>
      <c r="H28" s="246">
        <f>IF($C28="","",VLOOKUP($C28,'Activity Master Opex'!$B:$I,5,0))</f>
        <v>60300010</v>
      </c>
      <c r="I28" s="241" t="str">
        <f>IFERROR(VLOOKUP(H28,'Activity Master Opex'!F:G,2,FALSE),"")</f>
        <v>Outsourcing Services</v>
      </c>
      <c r="J28" s="247">
        <f>8502.64470967742*15500</f>
        <v>131790993.00000003</v>
      </c>
      <c r="K28" s="247">
        <v>4320000</v>
      </c>
      <c r="L28" s="248"/>
      <c r="M28" s="248"/>
      <c r="N28" s="248"/>
      <c r="O28" s="248"/>
      <c r="P28" s="248"/>
      <c r="Q28" s="248"/>
      <c r="R28" s="248"/>
      <c r="S28" s="248"/>
      <c r="T28" s="248"/>
      <c r="U28" s="248"/>
      <c r="V28" s="248"/>
      <c r="W28" s="248"/>
      <c r="X28" s="249">
        <f t="shared" si="9"/>
        <v>0</v>
      </c>
      <c r="Y28" s="250"/>
      <c r="Z28" s="214"/>
      <c r="AA28" s="214"/>
      <c r="AB28" s="214"/>
      <c r="AC28" s="214"/>
      <c r="AD28" s="214"/>
      <c r="AE28" s="214"/>
      <c r="AF28" s="214"/>
      <c r="AG28" s="214"/>
      <c r="AH28" s="214"/>
      <c r="AI28" s="214"/>
      <c r="AJ28" s="214"/>
      <c r="AK28" s="214"/>
      <c r="AL28" s="217">
        <f t="shared" si="0"/>
        <v>0</v>
      </c>
      <c r="AM28" s="251"/>
      <c r="AN28" s="214"/>
      <c r="AO28" s="214"/>
      <c r="AP28" s="214"/>
      <c r="AQ28" s="214"/>
      <c r="AR28" s="214"/>
      <c r="AS28" s="214"/>
      <c r="AT28" s="214"/>
      <c r="AU28" s="214"/>
      <c r="AV28" s="214"/>
      <c r="AW28" s="214"/>
      <c r="AX28" s="214"/>
      <c r="AY28" s="214"/>
      <c r="AZ28" s="217">
        <f t="shared" si="1"/>
        <v>0</v>
      </c>
      <c r="BA28" s="252">
        <f t="shared" si="2"/>
        <v>-131790993.00000003</v>
      </c>
      <c r="BB28" s="253"/>
      <c r="BC28" s="254">
        <f t="shared" si="3"/>
        <v>0</v>
      </c>
      <c r="BD28" s="255" t="str">
        <f>IF('Budget Opex Detail'!C30="","",IF(COUNTIFS('Activity Master Opex'!$B$4:$B$88,'Budget Opex Detail'!$C30)&gt;0,"","New Activity"))</f>
        <v/>
      </c>
      <c r="BE28" s="256"/>
      <c r="BF28" s="257"/>
      <c r="BG28" s="258"/>
      <c r="BH28" s="259"/>
      <c r="BI28" s="260"/>
      <c r="BJ28" s="260"/>
      <c r="BK28" s="261"/>
      <c r="BL28" s="220">
        <f t="shared" si="6"/>
        <v>0</v>
      </c>
      <c r="BM28" s="259"/>
      <c r="BN28" s="259"/>
      <c r="BO28" s="262">
        <f t="shared" si="4"/>
        <v>0</v>
      </c>
      <c r="BP28" s="263"/>
      <c r="BR28" s="265" t="str">
        <f>IF($H28="","",VLOOKUP($H28,'Master Data'!$B:$D,3,FALSE))</f>
        <v>Services Expense</v>
      </c>
      <c r="BS28" s="265" t="str">
        <f t="shared" si="7"/>
        <v>Selling</v>
      </c>
      <c r="BT28" s="265" t="str">
        <f>IF($H28="","",VLOOKUP(VALUE($H28),'Master Data'!B:I,8,FALSE))</f>
        <v>Third Parties Services</v>
      </c>
    </row>
    <row r="29" spans="1:72" s="264" customFormat="1" x14ac:dyDescent="0.25">
      <c r="A29" s="241" t="str">
        <f>IF(D29="","",Cover!$D$8)</f>
        <v>Supply Chain Management</v>
      </c>
      <c r="B29" s="241" t="str">
        <f>IF(D29="","",Cover!$D$9)</f>
        <v>Supply Chain Management</v>
      </c>
      <c r="C29" s="242" t="str">
        <f>IF(D29="","",_xlfn.XLOOKUP(D29,'Activity Master Opex'!C:C,'Activity Master Opex'!B:B,0,0,1))</f>
        <v>SC007-00002</v>
      </c>
      <c r="D29" s="243" t="s">
        <v>797</v>
      </c>
      <c r="E29" s="244" t="str">
        <f>IF(D29="","",IFERROR(VLOOKUP(D29,'Activity Master Opex'!$C:$L,6,FALSE),0))</f>
        <v>signage warehouse banner in BP, LSM and SSC</v>
      </c>
      <c r="F29" s="245" t="str">
        <f>IF($C29="","",VLOOKUP($C29,'Activity Master Opex'!$B:$I,3,0))</f>
        <v>10301SC007</v>
      </c>
      <c r="G29" s="244" t="str">
        <f>IF($C29="","",VLOOKUP($F29,'Master Data'!$D$59:$E$146,2,FALSE))</f>
        <v>SCM WAREHOUSE FG</v>
      </c>
      <c r="H29" s="246">
        <f>IF($C29="","",VLOOKUP($C29,'Activity Master Opex'!$B:$I,5,0))</f>
        <v>62200020</v>
      </c>
      <c r="I29" s="241" t="str">
        <f>IFERROR(VLOOKUP(H29,'Activity Master Opex'!F:G,2,FALSE),"")</f>
        <v>Printing and Supplies Expenses</v>
      </c>
      <c r="J29" s="247">
        <f>23.5822784810127*15500</f>
        <v>365525.31645569688</v>
      </c>
      <c r="K29" s="247">
        <v>0</v>
      </c>
      <c r="L29" s="248"/>
      <c r="M29" s="248"/>
      <c r="N29" s="248"/>
      <c r="O29" s="248"/>
      <c r="P29" s="248"/>
      <c r="Q29" s="248"/>
      <c r="R29" s="248"/>
      <c r="S29" s="248"/>
      <c r="T29" s="248"/>
      <c r="U29" s="248"/>
      <c r="V29" s="248"/>
      <c r="W29" s="248"/>
      <c r="X29" s="249">
        <f t="shared" si="9"/>
        <v>0</v>
      </c>
      <c r="Y29" s="250"/>
      <c r="Z29" s="214"/>
      <c r="AA29" s="214"/>
      <c r="AB29" s="214"/>
      <c r="AC29" s="214"/>
      <c r="AD29" s="214"/>
      <c r="AE29" s="214"/>
      <c r="AF29" s="214"/>
      <c r="AG29" s="214"/>
      <c r="AH29" s="214"/>
      <c r="AI29" s="214"/>
      <c r="AJ29" s="214"/>
      <c r="AK29" s="214"/>
      <c r="AL29" s="217">
        <f t="shared" si="0"/>
        <v>0</v>
      </c>
      <c r="AM29" s="251"/>
      <c r="AN29" s="214"/>
      <c r="AO29" s="214"/>
      <c r="AP29" s="214"/>
      <c r="AQ29" s="214"/>
      <c r="AR29" s="214"/>
      <c r="AS29" s="214"/>
      <c r="AT29" s="214"/>
      <c r="AU29" s="214"/>
      <c r="AV29" s="214"/>
      <c r="AW29" s="214"/>
      <c r="AX29" s="214"/>
      <c r="AY29" s="214"/>
      <c r="AZ29" s="217">
        <f t="shared" si="1"/>
        <v>0</v>
      </c>
      <c r="BA29" s="252">
        <f t="shared" si="2"/>
        <v>-365525.31645569688</v>
      </c>
      <c r="BB29" s="253"/>
      <c r="BC29" s="254">
        <f t="shared" si="3"/>
        <v>0</v>
      </c>
      <c r="BD29" s="255" t="str">
        <f>IF('Budget Opex Detail'!C31="","",IF(COUNTIFS('Activity Master Opex'!$B$4:$B$88,'Budget Opex Detail'!$C31)&gt;0,"","New Activity"))</f>
        <v/>
      </c>
      <c r="BE29" s="256"/>
      <c r="BF29" s="257"/>
      <c r="BG29" s="258"/>
      <c r="BH29" s="259"/>
      <c r="BI29" s="260"/>
      <c r="BJ29" s="260"/>
      <c r="BK29" s="261"/>
      <c r="BL29" s="220">
        <f t="shared" si="6"/>
        <v>0</v>
      </c>
      <c r="BM29" s="259"/>
      <c r="BN29" s="259"/>
      <c r="BO29" s="262">
        <f t="shared" si="4"/>
        <v>0</v>
      </c>
      <c r="BP29" s="263"/>
      <c r="BR29" s="265" t="str">
        <f>IF($H29="","",VLOOKUP($H29,'Master Data'!$B:$D,3,FALSE))</f>
        <v>Stationery &amp; Supplies Expe</v>
      </c>
      <c r="BS29" s="265" t="str">
        <f t="shared" si="7"/>
        <v>Selling</v>
      </c>
      <c r="BT29" s="265" t="str">
        <f>IF($H29="","",VLOOKUP(VALUE($H29),'Master Data'!B:I,8,FALSE))</f>
        <v>Stationery and supplies</v>
      </c>
    </row>
    <row r="30" spans="1:72" s="264" customFormat="1" x14ac:dyDescent="0.25">
      <c r="A30" s="241" t="str">
        <f>IF(D30="","",Cover!$D$8)</f>
        <v>Supply Chain Management</v>
      </c>
      <c r="B30" s="241" t="str">
        <f>IF(D30="","",Cover!$D$9)</f>
        <v>Supply Chain Management</v>
      </c>
      <c r="C30" s="242" t="str">
        <f>IF(D30="","",_xlfn.XLOOKUP(D30,'Activity Master Opex'!C:C,'Activity Master Opex'!B:B,0,0,1))</f>
        <v>SC007-00003</v>
      </c>
      <c r="D30" s="243" t="s">
        <v>821</v>
      </c>
      <c r="E30" s="244" t="str">
        <f>IF(D30="","",IFERROR(VLOOKUP(D30,'Activity Master Opex'!$C:$L,6,FALSE),0))</f>
        <v>Office Equipment Warehouse FG</v>
      </c>
      <c r="F30" s="245" t="str">
        <f>IF($C30="","",VLOOKUP($C30,'Activity Master Opex'!$B:$I,3,0))</f>
        <v>10301SC007</v>
      </c>
      <c r="G30" s="244" t="str">
        <f>IF($C30="","",VLOOKUP($F30,'Master Data'!$D$59:$E$146,2,FALSE))</f>
        <v>SCM WAREHOUSE FG</v>
      </c>
      <c r="H30" s="246">
        <f>IF($C30="","",VLOOKUP($C30,'Activity Master Opex'!$B:$I,5,0))</f>
        <v>62600030</v>
      </c>
      <c r="I30" s="241" t="str">
        <f>IFERROR(VLOOKUP(H30,'Activity Master Opex'!F:G,2,FALSE),"")</f>
        <v>Office Equipment Expenses</v>
      </c>
      <c r="J30" s="247">
        <f>4959.11424677419*15500</f>
        <v>76866270.824999943</v>
      </c>
      <c r="K30" s="247">
        <v>30515955</v>
      </c>
      <c r="L30" s="248"/>
      <c r="M30" s="248"/>
      <c r="N30" s="248"/>
      <c r="O30" s="248"/>
      <c r="P30" s="248"/>
      <c r="Q30" s="248"/>
      <c r="R30" s="248"/>
      <c r="S30" s="248"/>
      <c r="T30" s="248"/>
      <c r="U30" s="248"/>
      <c r="V30" s="248"/>
      <c r="W30" s="248"/>
      <c r="X30" s="249">
        <f t="shared" si="9"/>
        <v>0</v>
      </c>
      <c r="Y30" s="250"/>
      <c r="Z30" s="214"/>
      <c r="AA30" s="214"/>
      <c r="AB30" s="214"/>
      <c r="AC30" s="214"/>
      <c r="AD30" s="214"/>
      <c r="AE30" s="214"/>
      <c r="AF30" s="214"/>
      <c r="AG30" s="214"/>
      <c r="AH30" s="214"/>
      <c r="AI30" s="214"/>
      <c r="AJ30" s="214"/>
      <c r="AK30" s="214"/>
      <c r="AL30" s="217">
        <f t="shared" si="0"/>
        <v>0</v>
      </c>
      <c r="AM30" s="251"/>
      <c r="AN30" s="214"/>
      <c r="AO30" s="214"/>
      <c r="AP30" s="214"/>
      <c r="AQ30" s="214"/>
      <c r="AR30" s="214"/>
      <c r="AS30" s="214"/>
      <c r="AT30" s="214"/>
      <c r="AU30" s="214"/>
      <c r="AV30" s="214"/>
      <c r="AW30" s="214"/>
      <c r="AX30" s="214"/>
      <c r="AY30" s="214"/>
      <c r="AZ30" s="217">
        <f t="shared" si="1"/>
        <v>0</v>
      </c>
      <c r="BA30" s="252">
        <f t="shared" si="2"/>
        <v>-76866270.824999943</v>
      </c>
      <c r="BB30" s="253"/>
      <c r="BC30" s="254">
        <f t="shared" si="3"/>
        <v>0</v>
      </c>
      <c r="BD30" s="255" t="str">
        <f>IF('Budget Opex Detail'!C31="","",IF(COUNTIFS('Activity Master Opex'!$B$4:$B$88,'Budget Opex Detail'!$C31)&gt;0,"","New Activity"))</f>
        <v/>
      </c>
      <c r="BE30" s="256"/>
      <c r="BF30" s="257"/>
      <c r="BG30" s="258"/>
      <c r="BH30" s="259"/>
      <c r="BI30" s="260"/>
      <c r="BJ30" s="260"/>
      <c r="BK30" s="261"/>
      <c r="BL30" s="220">
        <f t="shared" si="6"/>
        <v>0</v>
      </c>
      <c r="BM30" s="259"/>
      <c r="BN30" s="259"/>
      <c r="BO30" s="262">
        <f t="shared" si="4"/>
        <v>0</v>
      </c>
      <c r="BP30" s="263"/>
      <c r="BR30" s="265" t="str">
        <f>IF($H30="","",VLOOKUP($H30,'Master Data'!$B:$D,3,FALSE))</f>
        <v>Equipment Expenses</v>
      </c>
      <c r="BS30" s="265" t="str">
        <f t="shared" si="7"/>
        <v>Selling</v>
      </c>
      <c r="BT30" s="265" t="str">
        <f>IF($H30="","",VLOOKUP(VALUE($H30),'Master Data'!B:I,8,FALSE))</f>
        <v>Equipment Expenses</v>
      </c>
    </row>
    <row r="31" spans="1:72" s="264" customFormat="1" x14ac:dyDescent="0.25">
      <c r="A31" s="241" t="str">
        <f>IF(D31="","",Cover!$D$8)</f>
        <v>Supply Chain Management</v>
      </c>
      <c r="B31" s="241" t="str">
        <f>IF(D31="","",Cover!$D$9)</f>
        <v>Supply Chain Management</v>
      </c>
      <c r="C31" s="242" t="str">
        <f>IF(D31="","",_xlfn.XLOOKUP(D31,'Activity Master Opex'!C:C,'Activity Master Opex'!B:B,0,0,1))</f>
        <v>SC007-00012</v>
      </c>
      <c r="D31" s="243" t="s">
        <v>803</v>
      </c>
      <c r="E31" s="244" t="str">
        <f>IF(D31="","",IFERROR(VLOOKUP(D31,'Activity Master Opex'!$C:$L,6,FALSE),0))</f>
        <v>Internal delivery</v>
      </c>
      <c r="F31" s="245" t="str">
        <f>IF($C31="","",VLOOKUP($C31,'Activity Master Opex'!$B:$I,3,0))</f>
        <v>10301SC007</v>
      </c>
      <c r="G31" s="244" t="str">
        <f>IF($C31="","",VLOOKUP($F31,'Master Data'!$D$59:$E$146,2,FALSE))</f>
        <v>SCM WAREHOUSE FG</v>
      </c>
      <c r="H31" s="246">
        <f>IF($C31="","",VLOOKUP($C31,'Activity Master Opex'!$B:$I,5,0))</f>
        <v>60300010</v>
      </c>
      <c r="I31" s="241" t="str">
        <f>IFERROR(VLOOKUP(H31,'Activity Master Opex'!F:G,2,FALSE),"")</f>
        <v>Outsourcing Services</v>
      </c>
      <c r="J31" s="247">
        <f>73456.0294437794*15500</f>
        <v>1138568456.3785806</v>
      </c>
      <c r="K31" s="247">
        <v>157777544</v>
      </c>
      <c r="L31" s="248"/>
      <c r="M31" s="248"/>
      <c r="N31" s="248"/>
      <c r="O31" s="248"/>
      <c r="P31" s="248"/>
      <c r="Q31" s="248"/>
      <c r="R31" s="248"/>
      <c r="S31" s="248"/>
      <c r="T31" s="248"/>
      <c r="U31" s="248"/>
      <c r="V31" s="248"/>
      <c r="W31" s="248"/>
      <c r="X31" s="249">
        <f t="shared" si="9"/>
        <v>0</v>
      </c>
      <c r="Y31" s="250"/>
      <c r="Z31" s="214"/>
      <c r="AA31" s="214"/>
      <c r="AB31" s="214"/>
      <c r="AC31" s="214"/>
      <c r="AD31" s="214"/>
      <c r="AE31" s="214"/>
      <c r="AF31" s="214"/>
      <c r="AG31" s="214"/>
      <c r="AH31" s="214"/>
      <c r="AI31" s="214"/>
      <c r="AJ31" s="214"/>
      <c r="AK31" s="214"/>
      <c r="AL31" s="217">
        <f t="shared" si="0"/>
        <v>0</v>
      </c>
      <c r="AM31" s="251"/>
      <c r="AN31" s="214"/>
      <c r="AO31" s="214"/>
      <c r="AP31" s="214"/>
      <c r="AQ31" s="214"/>
      <c r="AR31" s="214"/>
      <c r="AS31" s="214"/>
      <c r="AT31" s="214"/>
      <c r="AU31" s="214"/>
      <c r="AV31" s="214"/>
      <c r="AW31" s="214"/>
      <c r="AX31" s="214"/>
      <c r="AY31" s="214"/>
      <c r="AZ31" s="217">
        <f t="shared" si="1"/>
        <v>0</v>
      </c>
      <c r="BA31" s="252">
        <f t="shared" si="2"/>
        <v>-1138568456.3785806</v>
      </c>
      <c r="BB31" s="253"/>
      <c r="BC31" s="254">
        <f t="shared" si="3"/>
        <v>0</v>
      </c>
      <c r="BD31" s="255" t="str">
        <f>IF('Budget Opex Detail'!C33="","",IF(COUNTIFS('Activity Master Opex'!$B$4:$B$88,'Budget Opex Detail'!$C33)&gt;0,"","New Activity"))</f>
        <v/>
      </c>
      <c r="BE31" s="256"/>
      <c r="BF31" s="257"/>
      <c r="BG31" s="258"/>
      <c r="BH31" s="259"/>
      <c r="BI31" s="260"/>
      <c r="BJ31" s="260"/>
      <c r="BK31" s="261"/>
      <c r="BL31" s="220">
        <f t="shared" si="6"/>
        <v>0</v>
      </c>
      <c r="BM31" s="259"/>
      <c r="BN31" s="259"/>
      <c r="BO31" s="262">
        <f t="shared" si="4"/>
        <v>0</v>
      </c>
      <c r="BP31" s="263"/>
      <c r="BR31" s="265" t="str">
        <f>IF($H31="","",VLOOKUP($H31,'Master Data'!$B:$D,3,FALSE))</f>
        <v>Services Expense</v>
      </c>
      <c r="BS31" s="265" t="str">
        <f t="shared" si="7"/>
        <v>Selling</v>
      </c>
      <c r="BT31" s="265" t="str">
        <f>IF($H31="","",VLOOKUP(VALUE($H31),'Master Data'!B:I,8,FALSE))</f>
        <v>Third Parties Services</v>
      </c>
    </row>
    <row r="32" spans="1:72" s="264" customFormat="1" x14ac:dyDescent="0.25">
      <c r="A32" s="241" t="str">
        <f>IF(D32="","",Cover!$D$8)</f>
        <v>Supply Chain Management</v>
      </c>
      <c r="B32" s="241" t="str">
        <f>IF(D32="","",Cover!$D$9)</f>
        <v>Supply Chain Management</v>
      </c>
      <c r="C32" s="242" t="str">
        <f>IF(D32="","",_xlfn.XLOOKUP(D32,'Activity Master Opex'!C:C,'Activity Master Opex'!B:B,0,0,1))</f>
        <v>SC007-00013</v>
      </c>
      <c r="D32" s="243" t="s">
        <v>805</v>
      </c>
      <c r="E32" s="244" t="str">
        <f>IF(D32="","",IFERROR(VLOOKUP(D32,'Activity Master Opex'!$C:$L,6,FALSE),0))</f>
        <v>Internal delivery</v>
      </c>
      <c r="F32" s="245" t="str">
        <f>IF($C32="","",VLOOKUP($C32,'Activity Master Opex'!$B:$I,3,0))</f>
        <v>10301SC007</v>
      </c>
      <c r="G32" s="244" t="str">
        <f>IF($C32="","",VLOOKUP($F32,'Master Data'!$D$59:$E$146,2,FALSE))</f>
        <v>SCM WAREHOUSE FG</v>
      </c>
      <c r="H32" s="246">
        <f>IF($C32="","",VLOOKUP($C32,'Activity Master Opex'!$B:$I,5,0))</f>
        <v>60300010</v>
      </c>
      <c r="I32" s="241" t="str">
        <f>IFERROR(VLOOKUP(H32,'Activity Master Opex'!F:G,2,FALSE),"")</f>
        <v>Outsourcing Services</v>
      </c>
      <c r="J32" s="247">
        <f>60641.9769237224*15500</f>
        <v>939950642.31769729</v>
      </c>
      <c r="K32" s="247">
        <v>69701519</v>
      </c>
      <c r="L32" s="248"/>
      <c r="M32" s="248"/>
      <c r="N32" s="248"/>
      <c r="O32" s="248"/>
      <c r="P32" s="248"/>
      <c r="Q32" s="248"/>
      <c r="R32" s="248"/>
      <c r="S32" s="248"/>
      <c r="T32" s="248"/>
      <c r="U32" s="248"/>
      <c r="V32" s="248"/>
      <c r="W32" s="248"/>
      <c r="X32" s="249">
        <f t="shared" si="9"/>
        <v>0</v>
      </c>
      <c r="Y32" s="250"/>
      <c r="Z32" s="214"/>
      <c r="AA32" s="214"/>
      <c r="AB32" s="214"/>
      <c r="AC32" s="214"/>
      <c r="AD32" s="214"/>
      <c r="AE32" s="214"/>
      <c r="AF32" s="214"/>
      <c r="AG32" s="214"/>
      <c r="AH32" s="214"/>
      <c r="AI32" s="214"/>
      <c r="AJ32" s="214"/>
      <c r="AK32" s="214"/>
      <c r="AL32" s="217">
        <f t="shared" si="0"/>
        <v>0</v>
      </c>
      <c r="AM32" s="251"/>
      <c r="AN32" s="214"/>
      <c r="AO32" s="214"/>
      <c r="AP32" s="214"/>
      <c r="AQ32" s="214"/>
      <c r="AR32" s="214"/>
      <c r="AS32" s="214"/>
      <c r="AT32" s="214"/>
      <c r="AU32" s="214"/>
      <c r="AV32" s="214"/>
      <c r="AW32" s="214"/>
      <c r="AX32" s="214"/>
      <c r="AY32" s="214"/>
      <c r="AZ32" s="217">
        <f t="shared" si="1"/>
        <v>0</v>
      </c>
      <c r="BA32" s="252">
        <f t="shared" si="2"/>
        <v>-939950642.31769729</v>
      </c>
      <c r="BB32" s="253"/>
      <c r="BC32" s="254">
        <f t="shared" si="3"/>
        <v>0</v>
      </c>
      <c r="BD32" s="255" t="str">
        <f>IF('Budget Opex Detail'!C34="","",IF(COUNTIFS('Activity Master Opex'!$B$4:$B$88,'Budget Opex Detail'!$C34)&gt;0,"","New Activity"))</f>
        <v/>
      </c>
      <c r="BE32" s="256"/>
      <c r="BF32" s="257"/>
      <c r="BG32" s="258"/>
      <c r="BH32" s="259"/>
      <c r="BI32" s="260"/>
      <c r="BJ32" s="260"/>
      <c r="BK32" s="261"/>
      <c r="BL32" s="220">
        <f t="shared" si="6"/>
        <v>0</v>
      </c>
      <c r="BM32" s="259"/>
      <c r="BN32" s="259"/>
      <c r="BO32" s="262">
        <f t="shared" si="4"/>
        <v>0</v>
      </c>
      <c r="BP32" s="263"/>
      <c r="BR32" s="265" t="str">
        <f>IF($H32="","",VLOOKUP($H32,'Master Data'!$B:$D,3,FALSE))</f>
        <v>Services Expense</v>
      </c>
      <c r="BS32" s="265" t="str">
        <f t="shared" si="7"/>
        <v>Selling</v>
      </c>
      <c r="BT32" s="265" t="str">
        <f>IF($H32="","",VLOOKUP(VALUE($H32),'Master Data'!B:I,8,FALSE))</f>
        <v>Third Parties Services</v>
      </c>
    </row>
    <row r="33" spans="1:72" s="264" customFormat="1" x14ac:dyDescent="0.25">
      <c r="A33" s="241" t="str">
        <f>IF(D33="","",Cover!$D$8)</f>
        <v>Supply Chain Management</v>
      </c>
      <c r="B33" s="241" t="str">
        <f>IF(D33="","",Cover!$D$9)</f>
        <v>Supply Chain Management</v>
      </c>
      <c r="C33" s="242" t="str">
        <f>IF(D33="","",_xlfn.XLOOKUP(D33,'Activity Master Opex'!C:C,'Activity Master Opex'!B:B,0,0,1))</f>
        <v>SC007-00014</v>
      </c>
      <c r="D33" s="243" t="s">
        <v>945</v>
      </c>
      <c r="E33" s="244" t="str">
        <f>IF(D33="","",IFERROR(VLOOKUP(D33,'Activity Master Opex'!$C:$L,6,FALSE),0))</f>
        <v xml:space="preserve">Crane Certification </v>
      </c>
      <c r="F33" s="245" t="str">
        <f>IF($C33="","",VLOOKUP($C33,'Activity Master Opex'!$B:$I,3,0))</f>
        <v>10301SC007</v>
      </c>
      <c r="G33" s="244" t="str">
        <f>IF($C33="","",VLOOKUP($F33,'Master Data'!$D$59:$E$146,2,FALSE))</f>
        <v>SCM WAREHOUSE FG</v>
      </c>
      <c r="H33" s="246">
        <f>IF($C33="","",VLOOKUP($C33,'Activity Master Opex'!$B:$I,5,0))</f>
        <v>62100050</v>
      </c>
      <c r="I33" s="241" t="str">
        <f>IFERROR(VLOOKUP(H33,'Activity Master Opex'!F:G,2,FALSE),"")</f>
        <v>TL - Others Tax and License</v>
      </c>
      <c r="J33" s="247">
        <f>1001.61290322581*15500</f>
        <v>15525000.000000054</v>
      </c>
      <c r="K33" s="247">
        <v>0</v>
      </c>
      <c r="L33" s="248"/>
      <c r="M33" s="248"/>
      <c r="N33" s="248"/>
      <c r="O33" s="248"/>
      <c r="P33" s="248"/>
      <c r="Q33" s="248"/>
      <c r="R33" s="248"/>
      <c r="S33" s="248"/>
      <c r="T33" s="248"/>
      <c r="U33" s="248"/>
      <c r="V33" s="248"/>
      <c r="W33" s="248"/>
      <c r="X33" s="249">
        <f t="shared" si="9"/>
        <v>0</v>
      </c>
      <c r="Y33" s="250"/>
      <c r="Z33" s="214"/>
      <c r="AA33" s="214"/>
      <c r="AB33" s="214"/>
      <c r="AC33" s="214"/>
      <c r="AD33" s="214"/>
      <c r="AE33" s="214"/>
      <c r="AF33" s="214"/>
      <c r="AG33" s="214"/>
      <c r="AH33" s="214"/>
      <c r="AI33" s="214"/>
      <c r="AJ33" s="214"/>
      <c r="AK33" s="214"/>
      <c r="AL33" s="217">
        <f t="shared" si="0"/>
        <v>0</v>
      </c>
      <c r="AM33" s="251"/>
      <c r="AN33" s="214"/>
      <c r="AO33" s="214"/>
      <c r="AP33" s="214"/>
      <c r="AQ33" s="214"/>
      <c r="AR33" s="214"/>
      <c r="AS33" s="214"/>
      <c r="AT33" s="214"/>
      <c r="AU33" s="214"/>
      <c r="AV33" s="214"/>
      <c r="AW33" s="214"/>
      <c r="AX33" s="214"/>
      <c r="AY33" s="214"/>
      <c r="AZ33" s="217">
        <f t="shared" si="1"/>
        <v>0</v>
      </c>
      <c r="BA33" s="252">
        <f t="shared" si="2"/>
        <v>-15525000.000000054</v>
      </c>
      <c r="BB33" s="253"/>
      <c r="BC33" s="254">
        <f t="shared" si="3"/>
        <v>0</v>
      </c>
      <c r="BD33" s="255" t="str">
        <f>IF('Budget Opex Detail'!C34="","",IF(COUNTIFS('Activity Master Opex'!$B$4:$B$88,'Budget Opex Detail'!$C34)&gt;0,"","New Activity"))</f>
        <v/>
      </c>
      <c r="BE33" s="256"/>
      <c r="BF33" s="257"/>
      <c r="BG33" s="258"/>
      <c r="BH33" s="259"/>
      <c r="BI33" s="260"/>
      <c r="BJ33" s="260"/>
      <c r="BK33" s="261"/>
      <c r="BL33" s="220">
        <f t="shared" si="6"/>
        <v>0</v>
      </c>
      <c r="BM33" s="259"/>
      <c r="BN33" s="259"/>
      <c r="BO33" s="262">
        <f t="shared" si="4"/>
        <v>0</v>
      </c>
      <c r="BP33" s="263"/>
      <c r="BR33" s="265" t="str">
        <f>IF($H33="","",VLOOKUP($H33,'Master Data'!$B:$D,3,FALSE))</f>
        <v>Tax and Licenses Expenses</v>
      </c>
      <c r="BS33" s="265" t="str">
        <f t="shared" si="7"/>
        <v>Selling</v>
      </c>
      <c r="BT33" s="265" t="str">
        <f>IF($H33="","",VLOOKUP(VALUE($H33),'Master Data'!B:I,8,FALSE))</f>
        <v>Tax and license</v>
      </c>
    </row>
    <row r="34" spans="1:72" s="264" customFormat="1" x14ac:dyDescent="0.25">
      <c r="A34" s="241" t="str">
        <f>IF(D34="","",Cover!$D$8)</f>
        <v>Supply Chain Management</v>
      </c>
      <c r="B34" s="241" t="str">
        <f>IF(D34="","",Cover!$D$9)</f>
        <v>Supply Chain Management</v>
      </c>
      <c r="C34" s="242" t="str">
        <f>IF(D34="","",_xlfn.XLOOKUP(D34,'Activity Master Opex'!C:C,'Activity Master Opex'!B:B,0,0,1))</f>
        <v>SC007-00015</v>
      </c>
      <c r="D34" s="243" t="s">
        <v>892</v>
      </c>
      <c r="E34" s="244">
        <f>IF(D34="","",IFERROR(VLOOKUP(D34,'Activity Master Opex'!$C:$L,6,FALSE),0))</f>
        <v>0</v>
      </c>
      <c r="F34" s="245" t="str">
        <f>IF($C34="","",VLOOKUP($C34,'Activity Master Opex'!$B:$I,3,0))</f>
        <v>10301SC007</v>
      </c>
      <c r="G34" s="244" t="str">
        <f>IF($C34="","",VLOOKUP($F34,'Master Data'!$D$59:$E$146,2,FALSE))</f>
        <v>SCM WAREHOUSE FG</v>
      </c>
      <c r="H34" s="246">
        <f>IF($C34="","",VLOOKUP($C34,'Activity Master Opex'!$B:$I,5,0))</f>
        <v>60800010</v>
      </c>
      <c r="I34" s="241" t="str">
        <f>IFERROR(VLOOKUP(H34,'Activity Master Opex'!F:G,2,FALSE),"")</f>
        <v>RM Exp - Buidings Services</v>
      </c>
      <c r="J34" s="247">
        <f>5359.39*15500</f>
        <v>83070545</v>
      </c>
      <c r="K34" s="247">
        <v>87476000</v>
      </c>
      <c r="L34" s="248"/>
      <c r="M34" s="248"/>
      <c r="N34" s="248"/>
      <c r="O34" s="248"/>
      <c r="P34" s="248"/>
      <c r="Q34" s="248"/>
      <c r="R34" s="248"/>
      <c r="S34" s="248"/>
      <c r="T34" s="248"/>
      <c r="U34" s="248"/>
      <c r="V34" s="248"/>
      <c r="W34" s="248"/>
      <c r="X34" s="249">
        <f t="shared" si="9"/>
        <v>0</v>
      </c>
      <c r="Y34" s="250"/>
      <c r="Z34" s="214"/>
      <c r="AA34" s="214"/>
      <c r="AB34" s="214"/>
      <c r="AC34" s="214"/>
      <c r="AD34" s="214"/>
      <c r="AE34" s="214"/>
      <c r="AF34" s="214"/>
      <c r="AG34" s="214"/>
      <c r="AH34" s="214"/>
      <c r="AI34" s="214"/>
      <c r="AJ34" s="214"/>
      <c r="AK34" s="214"/>
      <c r="AL34" s="217">
        <f t="shared" si="0"/>
        <v>0</v>
      </c>
      <c r="AM34" s="251"/>
      <c r="AN34" s="214"/>
      <c r="AO34" s="214"/>
      <c r="AP34" s="214"/>
      <c r="AQ34" s="214"/>
      <c r="AR34" s="214"/>
      <c r="AS34" s="214"/>
      <c r="AT34" s="214"/>
      <c r="AU34" s="214"/>
      <c r="AV34" s="214"/>
      <c r="AW34" s="214"/>
      <c r="AX34" s="214"/>
      <c r="AY34" s="214"/>
      <c r="AZ34" s="217">
        <f t="shared" si="1"/>
        <v>0</v>
      </c>
      <c r="BA34" s="252">
        <f t="shared" si="2"/>
        <v>-83070545</v>
      </c>
      <c r="BB34" s="253"/>
      <c r="BC34" s="254">
        <f t="shared" si="3"/>
        <v>0</v>
      </c>
      <c r="BD34" s="255" t="str">
        <f>IF('Budget Opex Detail'!C36="","",IF(COUNTIFS('Activity Master Opex'!$B$4:$B$88,'Budget Opex Detail'!$C36)&gt;0,"","New Activity"))</f>
        <v/>
      </c>
      <c r="BE34" s="256"/>
      <c r="BF34" s="257"/>
      <c r="BG34" s="258"/>
      <c r="BH34" s="259"/>
      <c r="BI34" s="260"/>
      <c r="BJ34" s="260"/>
      <c r="BK34" s="261"/>
      <c r="BL34" s="220">
        <f t="shared" si="6"/>
        <v>0</v>
      </c>
      <c r="BM34" s="259"/>
      <c r="BN34" s="259"/>
      <c r="BO34" s="262">
        <f t="shared" si="4"/>
        <v>0</v>
      </c>
      <c r="BP34" s="263"/>
      <c r="BR34" s="265" t="str">
        <f>IF($H34="","",VLOOKUP($H34,'Master Data'!$B:$D,3,FALSE))</f>
        <v>Repairs &amp; Maintenance Expe</v>
      </c>
      <c r="BS34" s="265" t="str">
        <f t="shared" si="7"/>
        <v>Selling</v>
      </c>
      <c r="BT34" s="265" t="str">
        <f>IF($H34="","",VLOOKUP(VALUE($H34),'Master Data'!B:I,8,FALSE))</f>
        <v>Repairs and maintenance</v>
      </c>
    </row>
    <row r="35" spans="1:72" s="264" customFormat="1" x14ac:dyDescent="0.25">
      <c r="A35" s="241" t="str">
        <f>IF(D35="","",Cover!$D$8)</f>
        <v>Supply Chain Management</v>
      </c>
      <c r="B35" s="241" t="str">
        <f>IF(D35="","",Cover!$D$9)</f>
        <v>Supply Chain Management</v>
      </c>
      <c r="C35" s="242" t="str">
        <f>IF(D35="","",_xlfn.XLOOKUP(D35,'Activity Master Opex'!C:C,'Activity Master Opex'!B:B,0,0,1))</f>
        <v>SC007-00016</v>
      </c>
      <c r="D35" s="243" t="s">
        <v>893</v>
      </c>
      <c r="E35" s="244">
        <f>IF(D35="","",IFERROR(VLOOKUP(D35,'Activity Master Opex'!$C:$L,6,FALSE),0))</f>
        <v>0</v>
      </c>
      <c r="F35" s="245" t="str">
        <f>IF($C35="","",VLOOKUP($C35,'Activity Master Opex'!$B:$I,3,0))</f>
        <v>10301SC007</v>
      </c>
      <c r="G35" s="244" t="str">
        <f>IF($C35="","",VLOOKUP($F35,'Master Data'!$D$59:$E$146,2,FALSE))</f>
        <v>SCM WAREHOUSE FG</v>
      </c>
      <c r="H35" s="246">
        <f>IF($C35="","",VLOOKUP($C35,'Activity Master Opex'!$B:$I,5,0))</f>
        <v>60800020</v>
      </c>
      <c r="I35" s="241" t="str">
        <f>IFERROR(VLOOKUP(H35,'Activity Master Opex'!F:G,2,FALSE),"")</f>
        <v>RM Exp - Machinery and Equipment</v>
      </c>
      <c r="J35" s="247">
        <f>25311.6414870968*15500</f>
        <v>392330443.05000043</v>
      </c>
      <c r="K35" s="247">
        <v>22490310</v>
      </c>
      <c r="L35" s="248"/>
      <c r="M35" s="248"/>
      <c r="N35" s="248"/>
      <c r="O35" s="248"/>
      <c r="P35" s="248"/>
      <c r="Q35" s="248"/>
      <c r="R35" s="248"/>
      <c r="S35" s="248"/>
      <c r="T35" s="248"/>
      <c r="U35" s="248"/>
      <c r="V35" s="248"/>
      <c r="W35" s="248"/>
      <c r="X35" s="249">
        <f t="shared" si="9"/>
        <v>0</v>
      </c>
      <c r="Y35" s="250"/>
      <c r="Z35" s="214"/>
      <c r="AA35" s="214"/>
      <c r="AB35" s="214"/>
      <c r="AC35" s="214"/>
      <c r="AD35" s="214"/>
      <c r="AE35" s="214"/>
      <c r="AF35" s="214"/>
      <c r="AG35" s="214"/>
      <c r="AH35" s="214"/>
      <c r="AI35" s="214"/>
      <c r="AJ35" s="214"/>
      <c r="AK35" s="214"/>
      <c r="AL35" s="217">
        <f t="shared" si="0"/>
        <v>0</v>
      </c>
      <c r="AM35" s="251"/>
      <c r="AN35" s="214"/>
      <c r="AO35" s="214"/>
      <c r="AP35" s="214"/>
      <c r="AQ35" s="214"/>
      <c r="AR35" s="214"/>
      <c r="AS35" s="214"/>
      <c r="AT35" s="214"/>
      <c r="AU35" s="214"/>
      <c r="AV35" s="214"/>
      <c r="AW35" s="214"/>
      <c r="AX35" s="214"/>
      <c r="AY35" s="214"/>
      <c r="AZ35" s="217">
        <f t="shared" si="1"/>
        <v>0</v>
      </c>
      <c r="BA35" s="252">
        <f t="shared" si="2"/>
        <v>-392330443.05000043</v>
      </c>
      <c r="BB35" s="253"/>
      <c r="BC35" s="254">
        <f t="shared" si="3"/>
        <v>0</v>
      </c>
      <c r="BD35" s="255" t="str">
        <f>IF('Budget Opex Detail'!C37="","",IF(COUNTIFS('Activity Master Opex'!$B$4:$B$88,'Budget Opex Detail'!$C37)&gt;0,"","New Activity"))</f>
        <v/>
      </c>
      <c r="BE35" s="256"/>
      <c r="BF35" s="257"/>
      <c r="BG35" s="258"/>
      <c r="BH35" s="259"/>
      <c r="BI35" s="260"/>
      <c r="BJ35" s="260"/>
      <c r="BK35" s="261"/>
      <c r="BL35" s="220">
        <f t="shared" si="6"/>
        <v>0</v>
      </c>
      <c r="BM35" s="259"/>
      <c r="BN35" s="259"/>
      <c r="BO35" s="262">
        <f t="shared" si="4"/>
        <v>0</v>
      </c>
      <c r="BP35" s="263"/>
      <c r="BR35" s="265" t="str">
        <f>IF($H35="","",VLOOKUP($H35,'Master Data'!$B:$D,3,FALSE))</f>
        <v>Repairs &amp; Maintenance Expe</v>
      </c>
      <c r="BS35" s="265" t="str">
        <f t="shared" si="7"/>
        <v>Selling</v>
      </c>
      <c r="BT35" s="265" t="str">
        <f>IF($H35="","",VLOOKUP(VALUE($H35),'Master Data'!B:I,8,FALSE))</f>
        <v>Repairs and maintenance</v>
      </c>
    </row>
    <row r="36" spans="1:72" s="264" customFormat="1" x14ac:dyDescent="0.25">
      <c r="A36" s="241" t="str">
        <f>IF(D36="","",Cover!$D$8)</f>
        <v/>
      </c>
      <c r="B36" s="241" t="str">
        <f>IF(D36="","",Cover!$D$9)</f>
        <v/>
      </c>
      <c r="C36" s="242" t="str">
        <f>IF(D36="","",_xlfn.XLOOKUP(D36,'Activity Master Opex'!C:C,'Activity Master Opex'!B:B,0,0,1))</f>
        <v/>
      </c>
      <c r="D36" s="243"/>
      <c r="E36" s="244" t="str">
        <f>IF(D36="","",IFERROR(VLOOKUP(D36,'Activity Master Opex'!$C:$L,6,FALSE),0))</f>
        <v/>
      </c>
      <c r="F36" s="245" t="str">
        <f>IF($C36="","",VLOOKUP($C36,'Activity Master Opex'!$B:$I,3,0))</f>
        <v/>
      </c>
      <c r="G36" s="244" t="str">
        <f>IF($C36="","",VLOOKUP($F36,'Master Data'!$D$59:$E$146,2,FALSE))</f>
        <v/>
      </c>
      <c r="H36" s="246" t="str">
        <f>IF($C36="","",VLOOKUP($C36,'Activity Master Opex'!$B:$I,5,0))</f>
        <v/>
      </c>
      <c r="I36" s="241" t="str">
        <f>IFERROR(VLOOKUP(H36,'Master Data'!B:C,2,FALSE),"")</f>
        <v/>
      </c>
      <c r="J36" s="247"/>
      <c r="K36" s="247"/>
      <c r="L36" s="248"/>
      <c r="M36" s="248"/>
      <c r="N36" s="248"/>
      <c r="O36" s="248"/>
      <c r="P36" s="248"/>
      <c r="Q36" s="248"/>
      <c r="R36" s="248"/>
      <c r="S36" s="248"/>
      <c r="T36" s="248"/>
      <c r="U36" s="248"/>
      <c r="V36" s="248"/>
      <c r="W36" s="248"/>
      <c r="X36" s="249">
        <f t="shared" si="9"/>
        <v>0</v>
      </c>
      <c r="Y36" s="250"/>
      <c r="Z36" s="214"/>
      <c r="AA36" s="214"/>
      <c r="AB36" s="214"/>
      <c r="AC36" s="214"/>
      <c r="AD36" s="214"/>
      <c r="AE36" s="214"/>
      <c r="AF36" s="214"/>
      <c r="AG36" s="214"/>
      <c r="AH36" s="214"/>
      <c r="AI36" s="214"/>
      <c r="AJ36" s="214"/>
      <c r="AK36" s="214"/>
      <c r="AL36" s="217">
        <f t="shared" si="0"/>
        <v>0</v>
      </c>
      <c r="AM36" s="251"/>
      <c r="AN36" s="214"/>
      <c r="AO36" s="214"/>
      <c r="AP36" s="214"/>
      <c r="AQ36" s="214"/>
      <c r="AR36" s="214"/>
      <c r="AS36" s="214"/>
      <c r="AT36" s="214"/>
      <c r="AU36" s="214"/>
      <c r="AV36" s="214"/>
      <c r="AW36" s="214"/>
      <c r="AX36" s="214"/>
      <c r="AY36" s="214"/>
      <c r="AZ36" s="217">
        <f t="shared" si="1"/>
        <v>0</v>
      </c>
      <c r="BA36" s="252">
        <f t="shared" si="2"/>
        <v>0</v>
      </c>
      <c r="BB36" s="253"/>
      <c r="BC36" s="254">
        <f t="shared" si="3"/>
        <v>0</v>
      </c>
      <c r="BD36" s="255" t="str">
        <f>IF('Budget Opex Detail'!C38="","",IF(COUNTIFS('Activity Master Opex'!$B$4:$B$88,'Budget Opex Detail'!$C38)&gt;0,"","New Activity"))</f>
        <v/>
      </c>
      <c r="BE36" s="256"/>
      <c r="BF36" s="257"/>
      <c r="BG36" s="258"/>
      <c r="BH36" s="259"/>
      <c r="BI36" s="260"/>
      <c r="BJ36" s="260"/>
      <c r="BK36" s="261"/>
      <c r="BL36" s="220">
        <f t="shared" si="6"/>
        <v>0</v>
      </c>
      <c r="BM36" s="259"/>
      <c r="BN36" s="259"/>
      <c r="BO36" s="262">
        <f t="shared" si="4"/>
        <v>0</v>
      </c>
      <c r="BP36" s="263"/>
      <c r="BR36" s="265" t="str">
        <f>IF($H36="","",VLOOKUP($H36,'Master Data'!$B:$D,3,FALSE))</f>
        <v/>
      </c>
      <c r="BS36" s="265" t="str">
        <f t="shared" si="7"/>
        <v/>
      </c>
      <c r="BT36" s="265" t="str">
        <f>IF($H36="","",VLOOKUP(VALUE($H36),'Master Data'!B:I,8,FALSE))</f>
        <v/>
      </c>
    </row>
    <row r="37" spans="1:72" s="264" customFormat="1" x14ac:dyDescent="0.25">
      <c r="A37" s="241" t="str">
        <f>IF(D37="","",Cover!$D$8)</f>
        <v/>
      </c>
      <c r="B37" s="241" t="str">
        <f>IF(D37="","",Cover!$D$9)</f>
        <v/>
      </c>
      <c r="C37" s="242" t="str">
        <f>IF(D37="","",_xlfn.XLOOKUP(D37,'Activity Master Opex'!C:C,'Activity Master Opex'!B:B,0,0,1))</f>
        <v/>
      </c>
      <c r="D37" s="243"/>
      <c r="E37" s="244" t="str">
        <f>IF(D37="","",IFERROR(VLOOKUP(D37,'Activity Master Opex'!$C:$L,6,FALSE),0))</f>
        <v/>
      </c>
      <c r="F37" s="245" t="str">
        <f>IF($C37="","",VLOOKUP($C37,'Activity Master Opex'!$B:$I,3,0))</f>
        <v/>
      </c>
      <c r="G37" s="244" t="str">
        <f>IF($C37="","",VLOOKUP($F37,'Master Data'!$D$59:$E$146,2,FALSE))</f>
        <v/>
      </c>
      <c r="H37" s="246" t="str">
        <f>IF($C37="","",VLOOKUP($C37,'Activity Master Opex'!$B:$I,5,0))</f>
        <v/>
      </c>
      <c r="I37" s="241" t="str">
        <f>IFERROR(VLOOKUP(H37,'Master Data'!B:C,2,FALSE),"")</f>
        <v/>
      </c>
      <c r="J37" s="247"/>
      <c r="K37" s="247"/>
      <c r="L37" s="248"/>
      <c r="M37" s="248"/>
      <c r="N37" s="248"/>
      <c r="O37" s="248"/>
      <c r="P37" s="248"/>
      <c r="Q37" s="248"/>
      <c r="R37" s="248"/>
      <c r="S37" s="248"/>
      <c r="T37" s="248"/>
      <c r="U37" s="248"/>
      <c r="V37" s="248"/>
      <c r="W37" s="248"/>
      <c r="X37" s="249">
        <f t="shared" si="9"/>
        <v>0</v>
      </c>
      <c r="Y37" s="250"/>
      <c r="Z37" s="214"/>
      <c r="AA37" s="214"/>
      <c r="AB37" s="214"/>
      <c r="AC37" s="214"/>
      <c r="AD37" s="214"/>
      <c r="AE37" s="214"/>
      <c r="AF37" s="214"/>
      <c r="AG37" s="214"/>
      <c r="AH37" s="214"/>
      <c r="AI37" s="214"/>
      <c r="AJ37" s="214"/>
      <c r="AK37" s="214"/>
      <c r="AL37" s="217">
        <f t="shared" si="0"/>
        <v>0</v>
      </c>
      <c r="AM37" s="251"/>
      <c r="AN37" s="214"/>
      <c r="AO37" s="214"/>
      <c r="AP37" s="214"/>
      <c r="AQ37" s="214"/>
      <c r="AR37" s="214"/>
      <c r="AS37" s="214"/>
      <c r="AT37" s="214"/>
      <c r="AU37" s="214"/>
      <c r="AV37" s="214"/>
      <c r="AW37" s="214"/>
      <c r="AX37" s="214"/>
      <c r="AY37" s="214"/>
      <c r="AZ37" s="217">
        <f t="shared" si="1"/>
        <v>0</v>
      </c>
      <c r="BA37" s="252">
        <f t="shared" si="2"/>
        <v>0</v>
      </c>
      <c r="BB37" s="253"/>
      <c r="BC37" s="254">
        <f t="shared" si="3"/>
        <v>0</v>
      </c>
      <c r="BD37" s="255" t="str">
        <f>IF('Budget Opex Detail'!C39="","",IF(COUNTIFS('Activity Master Opex'!$B$4:$B$88,'Budget Opex Detail'!$C39)&gt;0,"","New Activity"))</f>
        <v/>
      </c>
      <c r="BE37" s="256"/>
      <c r="BF37" s="257"/>
      <c r="BG37" s="258"/>
      <c r="BH37" s="259"/>
      <c r="BI37" s="260"/>
      <c r="BJ37" s="260"/>
      <c r="BK37" s="261"/>
      <c r="BL37" s="220">
        <f t="shared" si="6"/>
        <v>0</v>
      </c>
      <c r="BM37" s="259"/>
      <c r="BN37" s="259"/>
      <c r="BO37" s="262">
        <f t="shared" si="4"/>
        <v>0</v>
      </c>
      <c r="BP37" s="263"/>
      <c r="BR37" s="265" t="str">
        <f>IF($H37="","",VLOOKUP($H37,'Master Data'!$B:$D,3,FALSE))</f>
        <v/>
      </c>
      <c r="BS37" s="265" t="str">
        <f t="shared" si="7"/>
        <v/>
      </c>
      <c r="BT37" s="265" t="str">
        <f>IF($H37="","",VLOOKUP(VALUE($H37),'Master Data'!B:I,8,FALSE))</f>
        <v/>
      </c>
    </row>
    <row r="38" spans="1:72" s="264" customFormat="1" x14ac:dyDescent="0.25">
      <c r="A38" s="241" t="str">
        <f>IF(D38="","",Cover!$D$8)</f>
        <v/>
      </c>
      <c r="B38" s="241" t="str">
        <f>IF(D38="","",Cover!$D$9)</f>
        <v/>
      </c>
      <c r="C38" s="242" t="str">
        <f>IF(D38="","",_xlfn.XLOOKUP(D38,'Activity Master Opex'!C:C,'Activity Master Opex'!B:B,0,0,1))</f>
        <v/>
      </c>
      <c r="D38" s="243"/>
      <c r="E38" s="244" t="str">
        <f>IF(D38="","",IFERROR(VLOOKUP(D38,'Activity Master Opex'!$C:$L,6,FALSE),0))</f>
        <v/>
      </c>
      <c r="F38" s="245" t="str">
        <f>IF($C38="","",VLOOKUP($C38,'Activity Master Opex'!$B:$I,3,0))</f>
        <v/>
      </c>
      <c r="G38" s="244" t="str">
        <f>IF($C38="","",VLOOKUP($F38,'Master Data'!$D$59:$E$146,2,FALSE))</f>
        <v/>
      </c>
      <c r="H38" s="246" t="str">
        <f>IF($C38="","",VLOOKUP($C38,'Activity Master Opex'!$B:$I,5,0))</f>
        <v/>
      </c>
      <c r="I38" s="241" t="str">
        <f>IFERROR(VLOOKUP(H38,'Master Data'!B:C,2,FALSE),"")</f>
        <v/>
      </c>
      <c r="J38" s="247"/>
      <c r="K38" s="247"/>
      <c r="L38" s="248"/>
      <c r="M38" s="248"/>
      <c r="N38" s="248"/>
      <c r="O38" s="248"/>
      <c r="P38" s="248"/>
      <c r="Q38" s="248"/>
      <c r="R38" s="248"/>
      <c r="S38" s="248"/>
      <c r="T38" s="248"/>
      <c r="U38" s="248"/>
      <c r="V38" s="248"/>
      <c r="W38" s="248"/>
      <c r="X38" s="249">
        <f t="shared" si="9"/>
        <v>0</v>
      </c>
      <c r="Y38" s="250"/>
      <c r="Z38" s="214"/>
      <c r="AA38" s="214"/>
      <c r="AB38" s="214"/>
      <c r="AC38" s="214"/>
      <c r="AD38" s="214"/>
      <c r="AE38" s="214"/>
      <c r="AF38" s="214"/>
      <c r="AG38" s="214"/>
      <c r="AH38" s="214"/>
      <c r="AI38" s="214"/>
      <c r="AJ38" s="214"/>
      <c r="AK38" s="214"/>
      <c r="AL38" s="217">
        <f t="shared" si="0"/>
        <v>0</v>
      </c>
      <c r="AM38" s="251"/>
      <c r="AN38" s="214"/>
      <c r="AO38" s="214"/>
      <c r="AP38" s="214"/>
      <c r="AQ38" s="214"/>
      <c r="AR38" s="214"/>
      <c r="AS38" s="214"/>
      <c r="AT38" s="214"/>
      <c r="AU38" s="214"/>
      <c r="AV38" s="214"/>
      <c r="AW38" s="214"/>
      <c r="AX38" s="214"/>
      <c r="AY38" s="214"/>
      <c r="AZ38" s="217">
        <f t="shared" si="1"/>
        <v>0</v>
      </c>
      <c r="BA38" s="252">
        <f t="shared" si="2"/>
        <v>0</v>
      </c>
      <c r="BB38" s="253"/>
      <c r="BC38" s="254">
        <f t="shared" si="3"/>
        <v>0</v>
      </c>
      <c r="BD38" s="255" t="str">
        <f>IF('Budget Opex Detail'!C40="","",IF(COUNTIFS('Activity Master Opex'!$B$4:$B$88,'Budget Opex Detail'!$C40)&gt;0,"","New Activity"))</f>
        <v/>
      </c>
      <c r="BE38" s="256"/>
      <c r="BF38" s="257"/>
      <c r="BG38" s="258"/>
      <c r="BH38" s="259"/>
      <c r="BI38" s="260"/>
      <c r="BJ38" s="260"/>
      <c r="BK38" s="261"/>
      <c r="BL38" s="220">
        <f t="shared" si="6"/>
        <v>0</v>
      </c>
      <c r="BM38" s="259"/>
      <c r="BN38" s="259"/>
      <c r="BO38" s="262">
        <f t="shared" si="4"/>
        <v>0</v>
      </c>
      <c r="BP38" s="263"/>
      <c r="BR38" s="265" t="str">
        <f>IF($H38="","",VLOOKUP($H38,'Master Data'!$B:$D,3,FALSE))</f>
        <v/>
      </c>
      <c r="BS38" s="265" t="str">
        <f t="shared" si="7"/>
        <v/>
      </c>
      <c r="BT38" s="265" t="str">
        <f>IF($H38="","",VLOOKUP(VALUE($H38),'Master Data'!B:I,8,FALSE))</f>
        <v/>
      </c>
    </row>
    <row r="39" spans="1:72" s="264" customFormat="1" x14ac:dyDescent="0.25">
      <c r="A39" s="241" t="str">
        <f>IF(D39="","",Cover!$D$8)</f>
        <v/>
      </c>
      <c r="B39" s="241" t="str">
        <f>IF(D39="","",Cover!$D$9)</f>
        <v/>
      </c>
      <c r="C39" s="242" t="str">
        <f>IF(D39="","",_xlfn.XLOOKUP(D39,'Activity Master Opex'!C:C,'Activity Master Opex'!B:B,0,0,1))</f>
        <v/>
      </c>
      <c r="D39" s="243"/>
      <c r="E39" s="244" t="str">
        <f>IF(D39="","",IFERROR(VLOOKUP(D39,'Activity Master Opex'!$C:$L,6,FALSE),0))</f>
        <v/>
      </c>
      <c r="F39" s="245" t="str">
        <f>IF($C39="","",VLOOKUP($C39,'Activity Master Opex'!$B:$I,3,0))</f>
        <v/>
      </c>
      <c r="G39" s="244" t="str">
        <f>IF($C39="","",VLOOKUP($F39,'Master Data'!$D$59:$E$146,2,FALSE))</f>
        <v/>
      </c>
      <c r="H39" s="246" t="str">
        <f>IF($C39="","",VLOOKUP($C39,'Activity Master Opex'!$B:$I,5,0))</f>
        <v/>
      </c>
      <c r="I39" s="241" t="str">
        <f>IFERROR(VLOOKUP(H39,'Master Data'!B:C,2,FALSE),"")</f>
        <v/>
      </c>
      <c r="J39" s="247"/>
      <c r="K39" s="247"/>
      <c r="L39" s="248"/>
      <c r="M39" s="248"/>
      <c r="N39" s="248"/>
      <c r="O39" s="248"/>
      <c r="P39" s="248"/>
      <c r="Q39" s="248"/>
      <c r="R39" s="248"/>
      <c r="S39" s="248"/>
      <c r="T39" s="248"/>
      <c r="U39" s="248"/>
      <c r="V39" s="248"/>
      <c r="W39" s="248"/>
      <c r="X39" s="249">
        <f t="shared" si="9"/>
        <v>0</v>
      </c>
      <c r="Y39" s="250"/>
      <c r="Z39" s="214"/>
      <c r="AA39" s="214"/>
      <c r="AB39" s="214"/>
      <c r="AC39" s="214"/>
      <c r="AD39" s="214"/>
      <c r="AE39" s="214"/>
      <c r="AF39" s="214"/>
      <c r="AG39" s="214"/>
      <c r="AH39" s="214"/>
      <c r="AI39" s="214"/>
      <c r="AJ39" s="214"/>
      <c r="AK39" s="214"/>
      <c r="AL39" s="217">
        <f t="shared" si="0"/>
        <v>0</v>
      </c>
      <c r="AM39" s="251"/>
      <c r="AN39" s="214"/>
      <c r="AO39" s="214"/>
      <c r="AP39" s="214"/>
      <c r="AQ39" s="214"/>
      <c r="AR39" s="214"/>
      <c r="AS39" s="214"/>
      <c r="AT39" s="214"/>
      <c r="AU39" s="214"/>
      <c r="AV39" s="214"/>
      <c r="AW39" s="214"/>
      <c r="AX39" s="214"/>
      <c r="AY39" s="214"/>
      <c r="AZ39" s="217">
        <f t="shared" si="1"/>
        <v>0</v>
      </c>
      <c r="BA39" s="252">
        <f t="shared" si="2"/>
        <v>0</v>
      </c>
      <c r="BB39" s="253"/>
      <c r="BC39" s="254">
        <f t="shared" si="3"/>
        <v>0</v>
      </c>
      <c r="BD39" s="255" t="str">
        <f>IF('Budget Opex Detail'!C41="","",IF(COUNTIFS('Activity Master Opex'!$B$4:$B$88,'Budget Opex Detail'!$C41)&gt;0,"","New Activity"))</f>
        <v/>
      </c>
      <c r="BE39" s="256"/>
      <c r="BF39" s="257"/>
      <c r="BG39" s="258"/>
      <c r="BH39" s="259"/>
      <c r="BI39" s="260"/>
      <c r="BJ39" s="260"/>
      <c r="BK39" s="261"/>
      <c r="BL39" s="220">
        <f t="shared" si="6"/>
        <v>0</v>
      </c>
      <c r="BM39" s="259"/>
      <c r="BN39" s="259"/>
      <c r="BO39" s="262">
        <f t="shared" si="4"/>
        <v>0</v>
      </c>
      <c r="BP39" s="263"/>
      <c r="BR39" s="265" t="str">
        <f>IF($H39="","",VLOOKUP($H39,'Master Data'!$B:$D,3,FALSE))</f>
        <v/>
      </c>
      <c r="BS39" s="265" t="str">
        <f t="shared" si="7"/>
        <v/>
      </c>
      <c r="BT39" s="265" t="str">
        <f>IF($H39="","",VLOOKUP(VALUE($H39),'Master Data'!B:I,8,FALSE))</f>
        <v/>
      </c>
    </row>
    <row r="40" spans="1:72" s="264" customFormat="1" x14ac:dyDescent="0.25">
      <c r="A40" s="241" t="str">
        <f>IF(D40="","",Cover!$D$8)</f>
        <v/>
      </c>
      <c r="B40" s="241" t="str">
        <f>IF(D40="","",Cover!$D$9)</f>
        <v/>
      </c>
      <c r="C40" s="242" t="str">
        <f>IF(D40="","",_xlfn.XLOOKUP(D40,'Activity Master Opex'!C:C,'Activity Master Opex'!B:B,0,0,1))</f>
        <v/>
      </c>
      <c r="D40" s="243"/>
      <c r="E40" s="244" t="str">
        <f>IF(D40="","",IFERROR(VLOOKUP(D40,'Activity Master Opex'!$C:$L,6,FALSE),0))</f>
        <v/>
      </c>
      <c r="F40" s="245" t="str">
        <f>IF($C40="","",VLOOKUP($C40,'Activity Master Opex'!$B:$I,3,0))</f>
        <v/>
      </c>
      <c r="G40" s="244" t="str">
        <f>IF($C40="","",VLOOKUP($F40,'Master Data'!$D$59:$E$146,2,FALSE))</f>
        <v/>
      </c>
      <c r="H40" s="246" t="str">
        <f>IF($C40="","",VLOOKUP($C40,'Activity Master Opex'!$B:$I,5,0))</f>
        <v/>
      </c>
      <c r="I40" s="241" t="str">
        <f>IFERROR(VLOOKUP(H40,'Master Data'!B:C,2,FALSE),"")</f>
        <v/>
      </c>
      <c r="J40" s="247"/>
      <c r="K40" s="247"/>
      <c r="L40" s="248"/>
      <c r="M40" s="248"/>
      <c r="N40" s="248"/>
      <c r="O40" s="248"/>
      <c r="P40" s="248"/>
      <c r="Q40" s="248"/>
      <c r="R40" s="248"/>
      <c r="S40" s="248"/>
      <c r="T40" s="248"/>
      <c r="U40" s="248"/>
      <c r="V40" s="248"/>
      <c r="W40" s="248"/>
      <c r="X40" s="249">
        <f t="shared" si="9"/>
        <v>0</v>
      </c>
      <c r="Y40" s="250"/>
      <c r="Z40" s="214"/>
      <c r="AA40" s="214"/>
      <c r="AB40" s="214"/>
      <c r="AC40" s="214"/>
      <c r="AD40" s="214"/>
      <c r="AE40" s="214"/>
      <c r="AF40" s="214"/>
      <c r="AG40" s="214"/>
      <c r="AH40" s="214"/>
      <c r="AI40" s="214"/>
      <c r="AJ40" s="214"/>
      <c r="AK40" s="214"/>
      <c r="AL40" s="217">
        <f t="shared" si="0"/>
        <v>0</v>
      </c>
      <c r="AM40" s="251"/>
      <c r="AN40" s="214"/>
      <c r="AO40" s="214"/>
      <c r="AP40" s="214"/>
      <c r="AQ40" s="214"/>
      <c r="AR40" s="214"/>
      <c r="AS40" s="214"/>
      <c r="AT40" s="214"/>
      <c r="AU40" s="214"/>
      <c r="AV40" s="214"/>
      <c r="AW40" s="214"/>
      <c r="AX40" s="214"/>
      <c r="AY40" s="214"/>
      <c r="AZ40" s="217">
        <f t="shared" si="1"/>
        <v>0</v>
      </c>
      <c r="BA40" s="252">
        <f t="shared" si="2"/>
        <v>0</v>
      </c>
      <c r="BB40" s="253"/>
      <c r="BC40" s="254">
        <f t="shared" si="3"/>
        <v>0</v>
      </c>
      <c r="BD40" s="255" t="str">
        <f>IF('Budget Opex Detail'!C42="","",IF(COUNTIFS('Activity Master Opex'!$B$4:$B$88,'Budget Opex Detail'!$C42)&gt;0,"","New Activity"))</f>
        <v/>
      </c>
      <c r="BE40" s="256"/>
      <c r="BF40" s="257"/>
      <c r="BG40" s="258"/>
      <c r="BH40" s="259"/>
      <c r="BI40" s="260"/>
      <c r="BJ40" s="260"/>
      <c r="BK40" s="261"/>
      <c r="BL40" s="220">
        <f t="shared" si="6"/>
        <v>0</v>
      </c>
      <c r="BM40" s="259"/>
      <c r="BN40" s="259"/>
      <c r="BO40" s="262">
        <f t="shared" si="4"/>
        <v>0</v>
      </c>
      <c r="BP40" s="263"/>
      <c r="BR40" s="265" t="str">
        <f>IF($H40="","",VLOOKUP($H40,'Master Data'!$B:$D,3,FALSE))</f>
        <v/>
      </c>
      <c r="BS40" s="265" t="str">
        <f t="shared" si="7"/>
        <v/>
      </c>
      <c r="BT40" s="265" t="str">
        <f>IF($H40="","",VLOOKUP(VALUE($H40),'Master Data'!B:I,8,FALSE))</f>
        <v/>
      </c>
    </row>
    <row r="41" spans="1:72" s="264" customFormat="1" x14ac:dyDescent="0.25">
      <c r="A41" s="241" t="str">
        <f>IF(D41="","",Cover!$D$8)</f>
        <v/>
      </c>
      <c r="B41" s="241" t="str">
        <f>IF(D41="","",Cover!$D$9)</f>
        <v/>
      </c>
      <c r="C41" s="242" t="str">
        <f>IF(D41="","",_xlfn.XLOOKUP(D41,'Activity Master Opex'!C:C,'Activity Master Opex'!B:B,0,0,1))</f>
        <v/>
      </c>
      <c r="D41" s="243"/>
      <c r="E41" s="244" t="str">
        <f>IF(D41="","",IFERROR(VLOOKUP(D41,'Activity Master Opex'!$C:$L,6,FALSE),0))</f>
        <v/>
      </c>
      <c r="F41" s="245" t="str">
        <f>IF($C41="","",VLOOKUP($C41,'Activity Master Opex'!$B:$I,3,0))</f>
        <v/>
      </c>
      <c r="G41" s="244" t="str">
        <f>IF($C41="","",VLOOKUP($F41,'Master Data'!$D$59:$E$146,2,FALSE))</f>
        <v/>
      </c>
      <c r="H41" s="246" t="str">
        <f>IF($C41="","",VLOOKUP($C41,'Activity Master Opex'!$B:$I,5,0))</f>
        <v/>
      </c>
      <c r="I41" s="241" t="str">
        <f>IFERROR(VLOOKUP(H41,'Master Data'!B:C,2,FALSE),"")</f>
        <v/>
      </c>
      <c r="J41" s="247"/>
      <c r="K41" s="247"/>
      <c r="L41" s="248"/>
      <c r="M41" s="248"/>
      <c r="N41" s="248"/>
      <c r="O41" s="248"/>
      <c r="P41" s="248"/>
      <c r="Q41" s="248"/>
      <c r="R41" s="248"/>
      <c r="S41" s="248"/>
      <c r="T41" s="248"/>
      <c r="U41" s="248"/>
      <c r="V41" s="248"/>
      <c r="W41" s="248"/>
      <c r="X41" s="249">
        <f t="shared" si="9"/>
        <v>0</v>
      </c>
      <c r="Y41" s="250"/>
      <c r="Z41" s="214"/>
      <c r="AA41" s="214"/>
      <c r="AB41" s="214"/>
      <c r="AC41" s="214"/>
      <c r="AD41" s="214"/>
      <c r="AE41" s="214"/>
      <c r="AF41" s="214"/>
      <c r="AG41" s="214"/>
      <c r="AH41" s="214"/>
      <c r="AI41" s="214"/>
      <c r="AJ41" s="214"/>
      <c r="AK41" s="214"/>
      <c r="AL41" s="217">
        <f t="shared" si="0"/>
        <v>0</v>
      </c>
      <c r="AM41" s="251"/>
      <c r="AN41" s="214"/>
      <c r="AO41" s="214"/>
      <c r="AP41" s="214"/>
      <c r="AQ41" s="214"/>
      <c r="AR41" s="214"/>
      <c r="AS41" s="214"/>
      <c r="AT41" s="214"/>
      <c r="AU41" s="214"/>
      <c r="AV41" s="214"/>
      <c r="AW41" s="214"/>
      <c r="AX41" s="214"/>
      <c r="AY41" s="214"/>
      <c r="AZ41" s="217">
        <f t="shared" si="1"/>
        <v>0</v>
      </c>
      <c r="BA41" s="252">
        <f t="shared" si="2"/>
        <v>0</v>
      </c>
      <c r="BB41" s="253"/>
      <c r="BC41" s="254">
        <f t="shared" si="3"/>
        <v>0</v>
      </c>
      <c r="BD41" s="255" t="str">
        <f>IF('Budget Opex Detail'!C43="","",IF(COUNTIFS('Activity Master Opex'!$B$4:$B$88,'Budget Opex Detail'!$C43)&gt;0,"","New Activity"))</f>
        <v/>
      </c>
      <c r="BE41" s="256"/>
      <c r="BF41" s="257"/>
      <c r="BG41" s="258"/>
      <c r="BH41" s="259"/>
      <c r="BI41" s="260"/>
      <c r="BJ41" s="260"/>
      <c r="BK41" s="261"/>
      <c r="BL41" s="220">
        <f t="shared" si="6"/>
        <v>0</v>
      </c>
      <c r="BM41" s="259"/>
      <c r="BN41" s="259"/>
      <c r="BO41" s="262">
        <f t="shared" si="4"/>
        <v>0</v>
      </c>
      <c r="BP41" s="263"/>
      <c r="BR41" s="265" t="str">
        <f>IF($H41="","",VLOOKUP($H41,'Master Data'!$B:$D,3,FALSE))</f>
        <v/>
      </c>
      <c r="BS41" s="265" t="str">
        <f t="shared" si="7"/>
        <v/>
      </c>
      <c r="BT41" s="265" t="str">
        <f>IF($H41="","",VLOOKUP(VALUE($H41),'Master Data'!B:I,8,FALSE))</f>
        <v/>
      </c>
    </row>
    <row r="42" spans="1:72" s="264" customFormat="1" x14ac:dyDescent="0.25">
      <c r="A42" s="241" t="str">
        <f>IF(D42="","",Cover!$D$8)</f>
        <v/>
      </c>
      <c r="B42" s="241" t="str">
        <f>IF(D42="","",Cover!$D$9)</f>
        <v/>
      </c>
      <c r="C42" s="242" t="str">
        <f>IF(D42="","",_xlfn.XLOOKUP(D42,'Activity Master Opex'!C:C,'Activity Master Opex'!B:B,0,0,1))</f>
        <v/>
      </c>
      <c r="D42" s="243"/>
      <c r="E42" s="244" t="str">
        <f>IF(D42="","",IFERROR(VLOOKUP(D42,'Activity Master Opex'!$C:$L,6,FALSE),0))</f>
        <v/>
      </c>
      <c r="F42" s="245" t="str">
        <f>IF($C42="","",VLOOKUP($C42,'Activity Master Opex'!$B:$I,3,0))</f>
        <v/>
      </c>
      <c r="G42" s="244" t="str">
        <f>IF($C42="","",VLOOKUP($F42,'Master Data'!$D$59:$E$146,2,FALSE))</f>
        <v/>
      </c>
      <c r="H42" s="246" t="str">
        <f>IF($C42="","",VLOOKUP($C42,'Activity Master Opex'!$B:$I,5,0))</f>
        <v/>
      </c>
      <c r="I42" s="241" t="str">
        <f>IFERROR(VLOOKUP(H42,'Master Data'!B:C,2,FALSE),"")</f>
        <v/>
      </c>
      <c r="J42" s="247"/>
      <c r="K42" s="247"/>
      <c r="L42" s="248"/>
      <c r="M42" s="248"/>
      <c r="N42" s="248"/>
      <c r="O42" s="248"/>
      <c r="P42" s="248"/>
      <c r="Q42" s="248"/>
      <c r="R42" s="248"/>
      <c r="S42" s="248"/>
      <c r="T42" s="248"/>
      <c r="U42" s="248"/>
      <c r="V42" s="248"/>
      <c r="W42" s="248"/>
      <c r="X42" s="249">
        <f t="shared" si="9"/>
        <v>0</v>
      </c>
      <c r="Y42" s="250"/>
      <c r="Z42" s="214"/>
      <c r="AA42" s="214"/>
      <c r="AB42" s="214"/>
      <c r="AC42" s="214"/>
      <c r="AD42" s="214"/>
      <c r="AE42" s="214"/>
      <c r="AF42" s="214"/>
      <c r="AG42" s="214"/>
      <c r="AH42" s="214"/>
      <c r="AI42" s="214"/>
      <c r="AJ42" s="214"/>
      <c r="AK42" s="214"/>
      <c r="AL42" s="217">
        <f t="shared" si="0"/>
        <v>0</v>
      </c>
      <c r="AM42" s="251"/>
      <c r="AN42" s="214"/>
      <c r="AO42" s="214"/>
      <c r="AP42" s="214"/>
      <c r="AQ42" s="214"/>
      <c r="AR42" s="214"/>
      <c r="AS42" s="214"/>
      <c r="AT42" s="214"/>
      <c r="AU42" s="214"/>
      <c r="AV42" s="214"/>
      <c r="AW42" s="214"/>
      <c r="AX42" s="214"/>
      <c r="AY42" s="214"/>
      <c r="AZ42" s="217">
        <f t="shared" si="1"/>
        <v>0</v>
      </c>
      <c r="BA42" s="252">
        <f t="shared" si="2"/>
        <v>0</v>
      </c>
      <c r="BB42" s="253"/>
      <c r="BC42" s="254">
        <f t="shared" si="3"/>
        <v>0</v>
      </c>
      <c r="BD42" s="255" t="str">
        <f>IF('Budget Opex Detail'!C44="","",IF(COUNTIFS('Activity Master Opex'!$B$4:$B$88,'Budget Opex Detail'!$C44)&gt;0,"","New Activity"))</f>
        <v/>
      </c>
      <c r="BE42" s="256"/>
      <c r="BF42" s="257"/>
      <c r="BG42" s="258"/>
      <c r="BH42" s="259"/>
      <c r="BI42" s="260"/>
      <c r="BJ42" s="260"/>
      <c r="BK42" s="261"/>
      <c r="BL42" s="220">
        <f t="shared" si="6"/>
        <v>0</v>
      </c>
      <c r="BM42" s="259"/>
      <c r="BN42" s="259"/>
      <c r="BO42" s="262">
        <f t="shared" si="4"/>
        <v>0</v>
      </c>
      <c r="BP42" s="263"/>
      <c r="BR42" s="265" t="str">
        <f>IF($H42="","",VLOOKUP($H42,'Master Data'!$B:$D,3,FALSE))</f>
        <v/>
      </c>
      <c r="BS42" s="265" t="str">
        <f t="shared" si="7"/>
        <v/>
      </c>
      <c r="BT42" s="265" t="str">
        <f>IF($H42="","",VLOOKUP(VALUE($H42),'Master Data'!B:I,8,FALSE))</f>
        <v/>
      </c>
    </row>
    <row r="43" spans="1:72" s="264" customFormat="1" x14ac:dyDescent="0.25">
      <c r="A43" s="241" t="str">
        <f>IF(D43="","",Cover!$D$8)</f>
        <v/>
      </c>
      <c r="B43" s="241" t="str">
        <f>IF(D43="","",Cover!$D$9)</f>
        <v/>
      </c>
      <c r="C43" s="242" t="str">
        <f>IF(D43="","",_xlfn.XLOOKUP(D43,'Activity Master Opex'!C:C,'Activity Master Opex'!B:B,0,0,1))</f>
        <v/>
      </c>
      <c r="D43" s="243"/>
      <c r="E43" s="244" t="str">
        <f>IF(D43="","",IFERROR(VLOOKUP(D43,'Activity Master Opex'!$C:$L,6,FALSE),0))</f>
        <v/>
      </c>
      <c r="F43" s="245" t="str">
        <f>IF($C43="","",VLOOKUP($C43,'Activity Master Opex'!$B:$I,3,0))</f>
        <v/>
      </c>
      <c r="G43" s="244" t="str">
        <f>IF($C43="","",VLOOKUP($F43,'Master Data'!$D$59:$E$146,2,FALSE))</f>
        <v/>
      </c>
      <c r="H43" s="246" t="str">
        <f>IF($C43="","",VLOOKUP($C43,'Activity Master Opex'!$B:$I,5,0))</f>
        <v/>
      </c>
      <c r="I43" s="241" t="str">
        <f>IFERROR(VLOOKUP(H43,'Master Data'!B:C,2,FALSE),"")</f>
        <v/>
      </c>
      <c r="J43" s="247"/>
      <c r="K43" s="247"/>
      <c r="L43" s="248"/>
      <c r="M43" s="248"/>
      <c r="N43" s="248"/>
      <c r="O43" s="248"/>
      <c r="P43" s="248"/>
      <c r="Q43" s="248"/>
      <c r="R43" s="248"/>
      <c r="S43" s="248"/>
      <c r="T43" s="248"/>
      <c r="U43" s="248"/>
      <c r="V43" s="248"/>
      <c r="W43" s="248"/>
      <c r="X43" s="249">
        <f t="shared" si="9"/>
        <v>0</v>
      </c>
      <c r="Y43" s="250"/>
      <c r="Z43" s="214"/>
      <c r="AA43" s="214"/>
      <c r="AB43" s="214"/>
      <c r="AC43" s="214"/>
      <c r="AD43" s="214"/>
      <c r="AE43" s="214"/>
      <c r="AF43" s="214"/>
      <c r="AG43" s="214"/>
      <c r="AH43" s="214"/>
      <c r="AI43" s="214"/>
      <c r="AJ43" s="214"/>
      <c r="AK43" s="214"/>
      <c r="AL43" s="217">
        <f t="shared" si="0"/>
        <v>0</v>
      </c>
      <c r="AM43" s="251"/>
      <c r="AN43" s="214"/>
      <c r="AO43" s="214"/>
      <c r="AP43" s="214"/>
      <c r="AQ43" s="214"/>
      <c r="AR43" s="214"/>
      <c r="AS43" s="214"/>
      <c r="AT43" s="214"/>
      <c r="AU43" s="214"/>
      <c r="AV43" s="214"/>
      <c r="AW43" s="214"/>
      <c r="AX43" s="214"/>
      <c r="AY43" s="214"/>
      <c r="AZ43" s="217">
        <f t="shared" si="1"/>
        <v>0</v>
      </c>
      <c r="BA43" s="252">
        <f t="shared" si="2"/>
        <v>0</v>
      </c>
      <c r="BB43" s="253"/>
      <c r="BC43" s="254">
        <f t="shared" si="3"/>
        <v>0</v>
      </c>
      <c r="BD43" s="255" t="str">
        <f>IF('Budget Opex Detail'!C45="","",IF(COUNTIFS('Activity Master Opex'!$B$4:$B$88,'Budget Opex Detail'!$C45)&gt;0,"","New Activity"))</f>
        <v/>
      </c>
      <c r="BE43" s="256"/>
      <c r="BF43" s="257"/>
      <c r="BG43" s="258"/>
      <c r="BH43" s="259"/>
      <c r="BI43" s="260"/>
      <c r="BJ43" s="260"/>
      <c r="BK43" s="261"/>
      <c r="BL43" s="220">
        <f t="shared" si="6"/>
        <v>0</v>
      </c>
      <c r="BM43" s="259"/>
      <c r="BN43" s="259"/>
      <c r="BO43" s="262">
        <f t="shared" si="4"/>
        <v>0</v>
      </c>
      <c r="BP43" s="263"/>
      <c r="BR43" s="265" t="str">
        <f>IF($H43="","",VLOOKUP($H43,'Master Data'!$B:$D,3,FALSE))</f>
        <v/>
      </c>
      <c r="BS43" s="265" t="str">
        <f t="shared" si="7"/>
        <v/>
      </c>
      <c r="BT43" s="265" t="str">
        <f>IF($H43="","",VLOOKUP(VALUE($H43),'Master Data'!B:I,8,FALSE))</f>
        <v/>
      </c>
    </row>
    <row r="44" spans="1:72" s="264" customFormat="1" x14ac:dyDescent="0.25">
      <c r="A44" s="241" t="str">
        <f>IF(D44="","",Cover!$D$8)</f>
        <v/>
      </c>
      <c r="B44" s="241" t="str">
        <f>IF(D44="","",Cover!$D$9)</f>
        <v/>
      </c>
      <c r="C44" s="242" t="str">
        <f>IF(D44="","",_xlfn.XLOOKUP(D44,'Activity Master Opex'!C:C,'Activity Master Opex'!B:B,0,0,1))</f>
        <v/>
      </c>
      <c r="D44" s="243"/>
      <c r="E44" s="244" t="str">
        <f>IF(D44="","",IFERROR(VLOOKUP(D44,'Activity Master Opex'!$C:$L,6,FALSE),0))</f>
        <v/>
      </c>
      <c r="F44" s="245" t="str">
        <f>IF($C44="","",VLOOKUP($C44,'Activity Master Opex'!$B:$I,3,0))</f>
        <v/>
      </c>
      <c r="G44" s="244" t="str">
        <f>IF($C44="","",VLOOKUP($F44,'Master Data'!$D$59:$E$146,2,FALSE))</f>
        <v/>
      </c>
      <c r="H44" s="246" t="str">
        <f>IF($C44="","",VLOOKUP($C44,'Activity Master Opex'!$B:$I,5,0))</f>
        <v/>
      </c>
      <c r="I44" s="241" t="str">
        <f>IFERROR(VLOOKUP(H44,'Master Data'!B:C,2,FALSE),"")</f>
        <v/>
      </c>
      <c r="J44" s="247"/>
      <c r="K44" s="247"/>
      <c r="L44" s="248"/>
      <c r="M44" s="248"/>
      <c r="N44" s="248"/>
      <c r="O44" s="248"/>
      <c r="P44" s="248"/>
      <c r="Q44" s="248"/>
      <c r="R44" s="248"/>
      <c r="S44" s="248"/>
      <c r="T44" s="248"/>
      <c r="U44" s="248"/>
      <c r="V44" s="248"/>
      <c r="W44" s="248"/>
      <c r="X44" s="249">
        <f t="shared" si="9"/>
        <v>0</v>
      </c>
      <c r="Y44" s="250"/>
      <c r="Z44" s="214"/>
      <c r="AA44" s="214"/>
      <c r="AB44" s="214"/>
      <c r="AC44" s="214"/>
      <c r="AD44" s="214"/>
      <c r="AE44" s="214"/>
      <c r="AF44" s="214"/>
      <c r="AG44" s="214"/>
      <c r="AH44" s="214"/>
      <c r="AI44" s="214"/>
      <c r="AJ44" s="214"/>
      <c r="AK44" s="214"/>
      <c r="AL44" s="217">
        <f t="shared" si="0"/>
        <v>0</v>
      </c>
      <c r="AM44" s="251"/>
      <c r="AN44" s="214"/>
      <c r="AO44" s="214"/>
      <c r="AP44" s="214"/>
      <c r="AQ44" s="214"/>
      <c r="AR44" s="214"/>
      <c r="AS44" s="214"/>
      <c r="AT44" s="214"/>
      <c r="AU44" s="214"/>
      <c r="AV44" s="214"/>
      <c r="AW44" s="214"/>
      <c r="AX44" s="214"/>
      <c r="AY44" s="214"/>
      <c r="AZ44" s="217">
        <f t="shared" si="1"/>
        <v>0</v>
      </c>
      <c r="BA44" s="252">
        <f t="shared" si="2"/>
        <v>0</v>
      </c>
      <c r="BB44" s="253"/>
      <c r="BC44" s="254">
        <f t="shared" si="3"/>
        <v>0</v>
      </c>
      <c r="BD44" s="255" t="str">
        <f>IF('Budget Opex Detail'!C46="","",IF(COUNTIFS('Activity Master Opex'!$B$4:$B$88,'Budget Opex Detail'!$C46)&gt;0,"","New Activity"))</f>
        <v/>
      </c>
      <c r="BE44" s="256"/>
      <c r="BF44" s="257"/>
      <c r="BG44" s="258"/>
      <c r="BH44" s="259"/>
      <c r="BI44" s="260"/>
      <c r="BJ44" s="260"/>
      <c r="BK44" s="261"/>
      <c r="BL44" s="220">
        <f t="shared" si="6"/>
        <v>0</v>
      </c>
      <c r="BM44" s="259"/>
      <c r="BN44" s="259"/>
      <c r="BO44" s="262">
        <f t="shared" si="4"/>
        <v>0</v>
      </c>
      <c r="BP44" s="263"/>
      <c r="BR44" s="265" t="str">
        <f>IF($H44="","",VLOOKUP($H44,'Master Data'!$B:$D,3,FALSE))</f>
        <v/>
      </c>
      <c r="BS44" s="265" t="str">
        <f t="shared" si="7"/>
        <v/>
      </c>
      <c r="BT44" s="265" t="str">
        <f>IF($H44="","",VLOOKUP(VALUE($H44),'Master Data'!B:I,8,FALSE))</f>
        <v/>
      </c>
    </row>
    <row r="45" spans="1:72" s="264" customFormat="1" x14ac:dyDescent="0.25">
      <c r="A45" s="241" t="str">
        <f>IF(D45="","",Cover!$D$8)</f>
        <v/>
      </c>
      <c r="B45" s="241" t="str">
        <f>IF(D45="","",Cover!$D$9)</f>
        <v/>
      </c>
      <c r="C45" s="242" t="str">
        <f>IF(D45="","",_xlfn.XLOOKUP(D45,'Activity Master Opex'!C:C,'Activity Master Opex'!B:B,0,0,1))</f>
        <v/>
      </c>
      <c r="D45" s="243"/>
      <c r="E45" s="244" t="str">
        <f>IF(D45="","",IFERROR(VLOOKUP(D45,'Activity Master Opex'!$C:$L,6,FALSE),0))</f>
        <v/>
      </c>
      <c r="F45" s="245" t="str">
        <f>IF($C45="","",VLOOKUP($C45,'Activity Master Opex'!$B:$I,3,0))</f>
        <v/>
      </c>
      <c r="G45" s="244" t="str">
        <f>IF($C45="","",VLOOKUP($F45,'Master Data'!$D$59:$E$146,2,FALSE))</f>
        <v/>
      </c>
      <c r="H45" s="246" t="str">
        <f>IF($C45="","",VLOOKUP($C45,'Activity Master Opex'!$B:$I,5,0))</f>
        <v/>
      </c>
      <c r="I45" s="241" t="str">
        <f>IFERROR(VLOOKUP(H45,'Master Data'!B:C,2,FALSE),"")</f>
        <v/>
      </c>
      <c r="J45" s="247"/>
      <c r="K45" s="247"/>
      <c r="L45" s="248"/>
      <c r="M45" s="248"/>
      <c r="N45" s="248"/>
      <c r="O45" s="248"/>
      <c r="P45" s="248"/>
      <c r="Q45" s="248"/>
      <c r="R45" s="248"/>
      <c r="S45" s="248"/>
      <c r="T45" s="248"/>
      <c r="U45" s="248"/>
      <c r="V45" s="248"/>
      <c r="W45" s="248"/>
      <c r="X45" s="249">
        <f t="shared" si="9"/>
        <v>0</v>
      </c>
      <c r="Y45" s="250"/>
      <c r="Z45" s="214"/>
      <c r="AA45" s="214"/>
      <c r="AB45" s="214"/>
      <c r="AC45" s="214"/>
      <c r="AD45" s="214"/>
      <c r="AE45" s="214"/>
      <c r="AF45" s="214"/>
      <c r="AG45" s="214"/>
      <c r="AH45" s="214"/>
      <c r="AI45" s="214"/>
      <c r="AJ45" s="214"/>
      <c r="AK45" s="214"/>
      <c r="AL45" s="217">
        <f t="shared" si="0"/>
        <v>0</v>
      </c>
      <c r="AM45" s="251"/>
      <c r="AN45" s="214"/>
      <c r="AO45" s="214"/>
      <c r="AP45" s="214"/>
      <c r="AQ45" s="214"/>
      <c r="AR45" s="214"/>
      <c r="AS45" s="214"/>
      <c r="AT45" s="214"/>
      <c r="AU45" s="214"/>
      <c r="AV45" s="214"/>
      <c r="AW45" s="214"/>
      <c r="AX45" s="214"/>
      <c r="AY45" s="214"/>
      <c r="AZ45" s="217">
        <f t="shared" si="1"/>
        <v>0</v>
      </c>
      <c r="BA45" s="252">
        <f t="shared" si="2"/>
        <v>0</v>
      </c>
      <c r="BB45" s="253"/>
      <c r="BC45" s="254">
        <f t="shared" si="3"/>
        <v>0</v>
      </c>
      <c r="BD45" s="255" t="str">
        <f>IF('Budget Opex Detail'!C47="","",IF(COUNTIFS('Activity Master Opex'!$B$4:$B$88,'Budget Opex Detail'!$C47)&gt;0,"","New Activity"))</f>
        <v/>
      </c>
      <c r="BE45" s="256"/>
      <c r="BF45" s="257"/>
      <c r="BG45" s="258"/>
      <c r="BH45" s="259"/>
      <c r="BI45" s="260"/>
      <c r="BJ45" s="260"/>
      <c r="BK45" s="261"/>
      <c r="BL45" s="220">
        <f t="shared" si="6"/>
        <v>0</v>
      </c>
      <c r="BM45" s="259"/>
      <c r="BN45" s="259"/>
      <c r="BO45" s="262">
        <f t="shared" si="4"/>
        <v>0</v>
      </c>
      <c r="BP45" s="263"/>
      <c r="BR45" s="265" t="str">
        <f>IF($H45="","",VLOOKUP($H45,'Master Data'!$B:$D,3,FALSE))</f>
        <v/>
      </c>
      <c r="BS45" s="265" t="str">
        <f t="shared" si="7"/>
        <v/>
      </c>
      <c r="BT45" s="265" t="str">
        <f>IF($H45="","",VLOOKUP(VALUE($H45),'Master Data'!B:I,8,FALSE))</f>
        <v/>
      </c>
    </row>
    <row r="46" spans="1:72" s="264" customFormat="1" x14ac:dyDescent="0.25">
      <c r="A46" s="241" t="str">
        <f>IF(D46="","",Cover!$D$8)</f>
        <v/>
      </c>
      <c r="B46" s="241" t="str">
        <f>IF(D46="","",Cover!$D$9)</f>
        <v/>
      </c>
      <c r="C46" s="242" t="str">
        <f>IF(D46="","",_xlfn.XLOOKUP(D46,'Activity Master Opex'!C:C,'Activity Master Opex'!B:B,0,0,1))</f>
        <v/>
      </c>
      <c r="D46" s="243"/>
      <c r="E46" s="244" t="str">
        <f>IF(D46="","",IFERROR(VLOOKUP(D46,'Activity Master Opex'!$C:$L,6,FALSE),0))</f>
        <v/>
      </c>
      <c r="F46" s="245" t="str">
        <f>IF($C46="","",VLOOKUP($C46,'Activity Master Opex'!$B:$I,3,0))</f>
        <v/>
      </c>
      <c r="G46" s="244" t="str">
        <f>IF($C46="","",VLOOKUP($F46,'Master Data'!$D$59:$E$146,2,FALSE))</f>
        <v/>
      </c>
      <c r="H46" s="246" t="str">
        <f>IF($C46="","",VLOOKUP($C46,'Activity Master Opex'!$B:$I,5,0))</f>
        <v/>
      </c>
      <c r="I46" s="241" t="str">
        <f>IFERROR(VLOOKUP(H46,'Master Data'!B:C,2,FALSE),"")</f>
        <v/>
      </c>
      <c r="J46" s="247"/>
      <c r="K46" s="247"/>
      <c r="L46" s="248"/>
      <c r="M46" s="248"/>
      <c r="N46" s="248"/>
      <c r="O46" s="248"/>
      <c r="P46" s="248"/>
      <c r="Q46" s="248"/>
      <c r="R46" s="248"/>
      <c r="S46" s="248"/>
      <c r="T46" s="248"/>
      <c r="U46" s="248"/>
      <c r="V46" s="248"/>
      <c r="W46" s="248"/>
      <c r="X46" s="249">
        <f t="shared" si="9"/>
        <v>0</v>
      </c>
      <c r="Y46" s="250"/>
      <c r="Z46" s="214"/>
      <c r="AA46" s="214"/>
      <c r="AB46" s="214"/>
      <c r="AC46" s="214"/>
      <c r="AD46" s="214"/>
      <c r="AE46" s="214"/>
      <c r="AF46" s="214"/>
      <c r="AG46" s="214"/>
      <c r="AH46" s="214"/>
      <c r="AI46" s="214"/>
      <c r="AJ46" s="214"/>
      <c r="AK46" s="214"/>
      <c r="AL46" s="217">
        <f t="shared" si="0"/>
        <v>0</v>
      </c>
      <c r="AM46" s="251"/>
      <c r="AN46" s="214"/>
      <c r="AO46" s="214"/>
      <c r="AP46" s="214"/>
      <c r="AQ46" s="214"/>
      <c r="AR46" s="214"/>
      <c r="AS46" s="214"/>
      <c r="AT46" s="214"/>
      <c r="AU46" s="214"/>
      <c r="AV46" s="214"/>
      <c r="AW46" s="214"/>
      <c r="AX46" s="214"/>
      <c r="AY46" s="214"/>
      <c r="AZ46" s="217">
        <f t="shared" si="1"/>
        <v>0</v>
      </c>
      <c r="BA46" s="252">
        <f t="shared" si="2"/>
        <v>0</v>
      </c>
      <c r="BB46" s="253"/>
      <c r="BC46" s="254">
        <f t="shared" si="3"/>
        <v>0</v>
      </c>
      <c r="BD46" s="255" t="str">
        <f>IF('Budget Opex Detail'!C48="","",IF(COUNTIFS('Activity Master Opex'!$B$4:$B$88,'Budget Opex Detail'!$C48)&gt;0,"","New Activity"))</f>
        <v/>
      </c>
      <c r="BE46" s="256"/>
      <c r="BF46" s="257"/>
      <c r="BG46" s="258"/>
      <c r="BH46" s="259"/>
      <c r="BI46" s="260"/>
      <c r="BJ46" s="260"/>
      <c r="BK46" s="261"/>
      <c r="BL46" s="220">
        <f t="shared" si="6"/>
        <v>0</v>
      </c>
      <c r="BM46" s="259"/>
      <c r="BN46" s="259"/>
      <c r="BO46" s="262">
        <f t="shared" si="4"/>
        <v>0</v>
      </c>
      <c r="BP46" s="263"/>
      <c r="BR46" s="265" t="str">
        <f>IF($H46="","",VLOOKUP($H46,'Master Data'!$B:$D,3,FALSE))</f>
        <v/>
      </c>
      <c r="BS46" s="265" t="str">
        <f t="shared" si="7"/>
        <v/>
      </c>
      <c r="BT46" s="265" t="str">
        <f>IF($H46="","",VLOOKUP(VALUE($H46),'Master Data'!B:I,8,FALSE))</f>
        <v/>
      </c>
    </row>
    <row r="47" spans="1:72" s="264" customFormat="1" x14ac:dyDescent="0.25">
      <c r="A47" s="241" t="str">
        <f>IF(D47="","",Cover!$D$8)</f>
        <v/>
      </c>
      <c r="B47" s="241" t="str">
        <f>IF(D47="","",Cover!$D$9)</f>
        <v/>
      </c>
      <c r="C47" s="242" t="str">
        <f>IF(D47="","",_xlfn.XLOOKUP(D47,'Activity Master Opex'!C:C,'Activity Master Opex'!B:B,0,0,1))</f>
        <v/>
      </c>
      <c r="D47" s="243"/>
      <c r="E47" s="244" t="str">
        <f>IF(D47="","",IFERROR(VLOOKUP(D47,'Activity Master Opex'!$C:$L,6,FALSE),0))</f>
        <v/>
      </c>
      <c r="F47" s="245" t="str">
        <f>IF($C47="","",VLOOKUP($C47,'Activity Master Opex'!$B:$I,3,0))</f>
        <v/>
      </c>
      <c r="G47" s="244" t="str">
        <f>IF($C47="","",VLOOKUP($F47,'Master Data'!$D$59:$E$146,2,FALSE))</f>
        <v/>
      </c>
      <c r="H47" s="246" t="str">
        <f>IF($C47="","",VLOOKUP($C47,'Activity Master Opex'!$B:$I,5,0))</f>
        <v/>
      </c>
      <c r="I47" s="241" t="str">
        <f>IFERROR(VLOOKUP(H47,'Master Data'!B:C,2,FALSE),"")</f>
        <v/>
      </c>
      <c r="J47" s="247"/>
      <c r="K47" s="247"/>
      <c r="L47" s="248"/>
      <c r="M47" s="248"/>
      <c r="N47" s="248"/>
      <c r="O47" s="248"/>
      <c r="P47" s="248"/>
      <c r="Q47" s="248"/>
      <c r="R47" s="248"/>
      <c r="S47" s="248"/>
      <c r="T47" s="248"/>
      <c r="U47" s="248"/>
      <c r="V47" s="248"/>
      <c r="W47" s="248"/>
      <c r="X47" s="249">
        <f t="shared" si="9"/>
        <v>0</v>
      </c>
      <c r="Y47" s="250"/>
      <c r="Z47" s="214"/>
      <c r="AA47" s="214"/>
      <c r="AB47" s="214"/>
      <c r="AC47" s="214"/>
      <c r="AD47" s="214"/>
      <c r="AE47" s="214"/>
      <c r="AF47" s="214"/>
      <c r="AG47" s="214"/>
      <c r="AH47" s="214"/>
      <c r="AI47" s="214"/>
      <c r="AJ47" s="214"/>
      <c r="AK47" s="214"/>
      <c r="AL47" s="217">
        <f t="shared" si="0"/>
        <v>0</v>
      </c>
      <c r="AM47" s="251"/>
      <c r="AN47" s="214"/>
      <c r="AO47" s="214"/>
      <c r="AP47" s="214"/>
      <c r="AQ47" s="214"/>
      <c r="AR47" s="214"/>
      <c r="AS47" s="214"/>
      <c r="AT47" s="214"/>
      <c r="AU47" s="214"/>
      <c r="AV47" s="214"/>
      <c r="AW47" s="214"/>
      <c r="AX47" s="214"/>
      <c r="AY47" s="214"/>
      <c r="AZ47" s="217">
        <f t="shared" si="1"/>
        <v>0</v>
      </c>
      <c r="BA47" s="252">
        <f t="shared" si="2"/>
        <v>0</v>
      </c>
      <c r="BB47" s="253"/>
      <c r="BC47" s="254">
        <f t="shared" si="3"/>
        <v>0</v>
      </c>
      <c r="BD47" s="255" t="str">
        <f>IF('Budget Opex Detail'!C49="","",IF(COUNTIFS('Activity Master Opex'!$B$4:$B$88,'Budget Opex Detail'!$C49)&gt;0,"","New Activity"))</f>
        <v/>
      </c>
      <c r="BE47" s="256"/>
      <c r="BF47" s="257"/>
      <c r="BG47" s="258"/>
      <c r="BH47" s="259"/>
      <c r="BI47" s="260"/>
      <c r="BJ47" s="260"/>
      <c r="BK47" s="261"/>
      <c r="BL47" s="220">
        <f t="shared" si="6"/>
        <v>0</v>
      </c>
      <c r="BM47" s="259"/>
      <c r="BN47" s="259"/>
      <c r="BO47" s="262">
        <f t="shared" si="4"/>
        <v>0</v>
      </c>
      <c r="BP47" s="263"/>
      <c r="BR47" s="265" t="str">
        <f>IF($H47="","",VLOOKUP($H47,'Master Data'!$B:$D,3,FALSE))</f>
        <v/>
      </c>
      <c r="BS47" s="265" t="str">
        <f t="shared" si="7"/>
        <v/>
      </c>
      <c r="BT47" s="265" t="str">
        <f>IF($H47="","",VLOOKUP(VALUE($H47),'Master Data'!B:I,8,FALSE))</f>
        <v/>
      </c>
    </row>
    <row r="48" spans="1:72" s="264" customFormat="1" x14ac:dyDescent="0.25">
      <c r="A48" s="241" t="str">
        <f>IF(D48="","",Cover!$D$8)</f>
        <v/>
      </c>
      <c r="B48" s="241" t="str">
        <f>IF(D48="","",Cover!$D$9)</f>
        <v/>
      </c>
      <c r="C48" s="242" t="str">
        <f>IF(D48="","",_xlfn.XLOOKUP(D48,'Activity Master Opex'!C:C,'Activity Master Opex'!B:B,0,0,1))</f>
        <v/>
      </c>
      <c r="D48" s="243"/>
      <c r="E48" s="244" t="str">
        <f>IF(D48="","",IFERROR(VLOOKUP(D48,'Activity Master Opex'!$C:$L,6,FALSE),0))</f>
        <v/>
      </c>
      <c r="F48" s="245" t="str">
        <f>IF($C48="","",VLOOKUP($C48,'Activity Master Opex'!$B:$I,3,0))</f>
        <v/>
      </c>
      <c r="G48" s="244" t="str">
        <f>IF($C48="","",VLOOKUP($F48,'Master Data'!$D$59:$E$146,2,FALSE))</f>
        <v/>
      </c>
      <c r="H48" s="246" t="str">
        <f>IF($C48="","",VLOOKUP($C48,'Activity Master Opex'!$B:$I,5,0))</f>
        <v/>
      </c>
      <c r="I48" s="241" t="str">
        <f>IFERROR(VLOOKUP(H48,'Master Data'!B:C,2,FALSE),"")</f>
        <v/>
      </c>
      <c r="J48" s="247"/>
      <c r="K48" s="247"/>
      <c r="L48" s="248"/>
      <c r="M48" s="248"/>
      <c r="N48" s="248"/>
      <c r="O48" s="248"/>
      <c r="P48" s="248"/>
      <c r="Q48" s="248"/>
      <c r="R48" s="248"/>
      <c r="S48" s="248"/>
      <c r="T48" s="248"/>
      <c r="U48" s="248"/>
      <c r="V48" s="248"/>
      <c r="W48" s="248"/>
      <c r="X48" s="249">
        <f t="shared" si="9"/>
        <v>0</v>
      </c>
      <c r="Y48" s="250"/>
      <c r="Z48" s="214"/>
      <c r="AA48" s="214"/>
      <c r="AB48" s="214"/>
      <c r="AC48" s="214"/>
      <c r="AD48" s="214"/>
      <c r="AE48" s="214"/>
      <c r="AF48" s="214"/>
      <c r="AG48" s="214"/>
      <c r="AH48" s="214"/>
      <c r="AI48" s="214"/>
      <c r="AJ48" s="214"/>
      <c r="AK48" s="214"/>
      <c r="AL48" s="217">
        <f t="shared" si="0"/>
        <v>0</v>
      </c>
      <c r="AM48" s="251"/>
      <c r="AN48" s="214"/>
      <c r="AO48" s="214"/>
      <c r="AP48" s="214"/>
      <c r="AQ48" s="214"/>
      <c r="AR48" s="214"/>
      <c r="AS48" s="214"/>
      <c r="AT48" s="214"/>
      <c r="AU48" s="214"/>
      <c r="AV48" s="214"/>
      <c r="AW48" s="214"/>
      <c r="AX48" s="214"/>
      <c r="AY48" s="214"/>
      <c r="AZ48" s="217">
        <f t="shared" si="1"/>
        <v>0</v>
      </c>
      <c r="BA48" s="252">
        <f t="shared" si="2"/>
        <v>0</v>
      </c>
      <c r="BB48" s="253"/>
      <c r="BC48" s="254">
        <f t="shared" si="3"/>
        <v>0</v>
      </c>
      <c r="BD48" s="255" t="str">
        <f>IF('Budget Opex Detail'!C50="","",IF(COUNTIFS('Activity Master Opex'!$B$4:$B$88,'Budget Opex Detail'!$C50)&gt;0,"","New Activity"))</f>
        <v/>
      </c>
      <c r="BE48" s="256"/>
      <c r="BF48" s="257"/>
      <c r="BG48" s="258"/>
      <c r="BH48" s="259"/>
      <c r="BI48" s="260"/>
      <c r="BJ48" s="260"/>
      <c r="BK48" s="261"/>
      <c r="BL48" s="220">
        <f t="shared" si="6"/>
        <v>0</v>
      </c>
      <c r="BM48" s="259"/>
      <c r="BN48" s="259"/>
      <c r="BO48" s="262">
        <f t="shared" si="4"/>
        <v>0</v>
      </c>
      <c r="BP48" s="263"/>
      <c r="BR48" s="265" t="str">
        <f>IF($H48="","",VLOOKUP($H48,'Master Data'!$B:$D,3,FALSE))</f>
        <v/>
      </c>
      <c r="BS48" s="265" t="str">
        <f t="shared" si="7"/>
        <v/>
      </c>
      <c r="BT48" s="265" t="str">
        <f>IF($H48="","",VLOOKUP(VALUE($H48),'Master Data'!B:I,8,FALSE))</f>
        <v/>
      </c>
    </row>
    <row r="49" spans="1:72" s="264" customFormat="1" x14ac:dyDescent="0.25">
      <c r="A49" s="241" t="str">
        <f>IF(D49="","",Cover!$D$8)</f>
        <v/>
      </c>
      <c r="B49" s="241" t="str">
        <f>IF(D49="","",Cover!$D$9)</f>
        <v/>
      </c>
      <c r="C49" s="242" t="str">
        <f>IF(D49="","",_xlfn.XLOOKUP(D49,'Activity Master Opex'!C:C,'Activity Master Opex'!B:B,0,0,1))</f>
        <v/>
      </c>
      <c r="D49" s="243"/>
      <c r="E49" s="244" t="str">
        <f>IF(D49="","",IFERROR(VLOOKUP(D49,'Activity Master Opex'!$C:$L,6,FALSE),0))</f>
        <v/>
      </c>
      <c r="F49" s="245" t="str">
        <f>IF($C49="","",VLOOKUP($C49,'Activity Master Opex'!$B:$I,3,0))</f>
        <v/>
      </c>
      <c r="G49" s="244" t="str">
        <f>IF($C49="","",VLOOKUP($F49,'Master Data'!$D$59:$E$146,2,FALSE))</f>
        <v/>
      </c>
      <c r="H49" s="246" t="str">
        <f>IF($C49="","",VLOOKUP($C49,'Activity Master Opex'!$B:$I,5,0))</f>
        <v/>
      </c>
      <c r="I49" s="241" t="str">
        <f>IFERROR(VLOOKUP(H49,'Master Data'!B:C,2,FALSE),"")</f>
        <v/>
      </c>
      <c r="J49" s="247"/>
      <c r="K49" s="247"/>
      <c r="L49" s="248"/>
      <c r="M49" s="248"/>
      <c r="N49" s="248"/>
      <c r="O49" s="248"/>
      <c r="P49" s="248"/>
      <c r="Q49" s="248"/>
      <c r="R49" s="248"/>
      <c r="S49" s="248"/>
      <c r="T49" s="248"/>
      <c r="U49" s="248"/>
      <c r="V49" s="248"/>
      <c r="W49" s="248"/>
      <c r="X49" s="249">
        <f t="shared" si="9"/>
        <v>0</v>
      </c>
      <c r="Y49" s="250"/>
      <c r="Z49" s="214"/>
      <c r="AA49" s="214"/>
      <c r="AB49" s="214"/>
      <c r="AC49" s="214"/>
      <c r="AD49" s="214"/>
      <c r="AE49" s="214"/>
      <c r="AF49" s="214"/>
      <c r="AG49" s="214"/>
      <c r="AH49" s="214"/>
      <c r="AI49" s="214"/>
      <c r="AJ49" s="214"/>
      <c r="AK49" s="214"/>
      <c r="AL49" s="217">
        <f t="shared" si="0"/>
        <v>0</v>
      </c>
      <c r="AM49" s="251"/>
      <c r="AN49" s="214"/>
      <c r="AO49" s="214"/>
      <c r="AP49" s="214"/>
      <c r="AQ49" s="214"/>
      <c r="AR49" s="214"/>
      <c r="AS49" s="214"/>
      <c r="AT49" s="214"/>
      <c r="AU49" s="214"/>
      <c r="AV49" s="214"/>
      <c r="AW49" s="214"/>
      <c r="AX49" s="214"/>
      <c r="AY49" s="214"/>
      <c r="AZ49" s="217">
        <f t="shared" si="1"/>
        <v>0</v>
      </c>
      <c r="BA49" s="252">
        <f t="shared" si="2"/>
        <v>0</v>
      </c>
      <c r="BB49" s="253"/>
      <c r="BC49" s="254">
        <f t="shared" si="3"/>
        <v>0</v>
      </c>
      <c r="BD49" s="255" t="str">
        <f>IF('Budget Opex Detail'!C51="","",IF(COUNTIFS('Activity Master Opex'!$B$4:$B$88,'Budget Opex Detail'!$C51)&gt;0,"","New Activity"))</f>
        <v/>
      </c>
      <c r="BE49" s="256"/>
      <c r="BF49" s="257"/>
      <c r="BG49" s="258"/>
      <c r="BH49" s="259"/>
      <c r="BI49" s="260"/>
      <c r="BJ49" s="260"/>
      <c r="BK49" s="261"/>
      <c r="BL49" s="220">
        <f t="shared" si="6"/>
        <v>0</v>
      </c>
      <c r="BM49" s="259"/>
      <c r="BN49" s="259"/>
      <c r="BO49" s="262">
        <f t="shared" si="4"/>
        <v>0</v>
      </c>
      <c r="BP49" s="263"/>
      <c r="BR49" s="265" t="str">
        <f>IF($H49="","",VLOOKUP($H49,'Master Data'!$B:$D,3,FALSE))</f>
        <v/>
      </c>
      <c r="BS49" s="265" t="str">
        <f t="shared" si="7"/>
        <v/>
      </c>
      <c r="BT49" s="265" t="str">
        <f>IF($H49="","",VLOOKUP(VALUE($H49),'Master Data'!B:I,8,FALSE))</f>
        <v/>
      </c>
    </row>
    <row r="50" spans="1:72" s="264" customFormat="1" x14ac:dyDescent="0.25">
      <c r="A50" s="241" t="str">
        <f>IF(D50="","",Cover!$D$8)</f>
        <v/>
      </c>
      <c r="B50" s="241" t="str">
        <f>IF(D50="","",Cover!$D$9)</f>
        <v/>
      </c>
      <c r="C50" s="242" t="str">
        <f>IF(D50="","",_xlfn.XLOOKUP(D50,'Activity Master Opex'!C:C,'Activity Master Opex'!B:B,0,0,1))</f>
        <v/>
      </c>
      <c r="D50" s="243"/>
      <c r="E50" s="244" t="str">
        <f>IF(D50="","",IFERROR(VLOOKUP(D50,'Activity Master Opex'!$C:$L,6,FALSE),0))</f>
        <v/>
      </c>
      <c r="F50" s="245" t="str">
        <f>IF($C50="","",VLOOKUP($C50,'Activity Master Opex'!$B:$I,3,0))</f>
        <v/>
      </c>
      <c r="G50" s="244" t="str">
        <f>IF($C50="","",VLOOKUP($F50,'Master Data'!$D$59:$E$146,2,FALSE))</f>
        <v/>
      </c>
      <c r="H50" s="246" t="str">
        <f>IF($C50="","",VLOOKUP($C50,'Activity Master Opex'!$B:$I,5,0))</f>
        <v/>
      </c>
      <c r="I50" s="241" t="str">
        <f>IFERROR(VLOOKUP(H50,'Master Data'!B:C,2,FALSE),"")</f>
        <v/>
      </c>
      <c r="J50" s="247"/>
      <c r="K50" s="247"/>
      <c r="L50" s="248"/>
      <c r="M50" s="248"/>
      <c r="N50" s="248"/>
      <c r="O50" s="248"/>
      <c r="P50" s="248"/>
      <c r="Q50" s="248"/>
      <c r="R50" s="248"/>
      <c r="S50" s="248"/>
      <c r="T50" s="248"/>
      <c r="U50" s="248"/>
      <c r="V50" s="248"/>
      <c r="W50" s="248"/>
      <c r="X50" s="249">
        <f t="shared" si="9"/>
        <v>0</v>
      </c>
      <c r="Y50" s="250"/>
      <c r="Z50" s="214"/>
      <c r="AA50" s="214"/>
      <c r="AB50" s="214"/>
      <c r="AC50" s="214"/>
      <c r="AD50" s="214"/>
      <c r="AE50" s="214"/>
      <c r="AF50" s="214"/>
      <c r="AG50" s="214"/>
      <c r="AH50" s="214"/>
      <c r="AI50" s="214"/>
      <c r="AJ50" s="214"/>
      <c r="AK50" s="214"/>
      <c r="AL50" s="217">
        <f t="shared" si="0"/>
        <v>0</v>
      </c>
      <c r="AM50" s="251"/>
      <c r="AN50" s="214"/>
      <c r="AO50" s="214"/>
      <c r="AP50" s="214"/>
      <c r="AQ50" s="214"/>
      <c r="AR50" s="214"/>
      <c r="AS50" s="214"/>
      <c r="AT50" s="214"/>
      <c r="AU50" s="214"/>
      <c r="AV50" s="214"/>
      <c r="AW50" s="214"/>
      <c r="AX50" s="214"/>
      <c r="AY50" s="214"/>
      <c r="AZ50" s="217">
        <f t="shared" si="1"/>
        <v>0</v>
      </c>
      <c r="BA50" s="252">
        <f t="shared" si="2"/>
        <v>0</v>
      </c>
      <c r="BB50" s="253"/>
      <c r="BC50" s="254">
        <f t="shared" si="3"/>
        <v>0</v>
      </c>
      <c r="BD50" s="255" t="str">
        <f>IF('Budget Opex Detail'!C52="","",IF(COUNTIFS('Activity Master Opex'!$B$4:$B$88,'Budget Opex Detail'!$C52)&gt;0,"","New Activity"))</f>
        <v/>
      </c>
      <c r="BE50" s="256"/>
      <c r="BF50" s="257"/>
      <c r="BG50" s="258"/>
      <c r="BH50" s="259"/>
      <c r="BI50" s="260"/>
      <c r="BJ50" s="260"/>
      <c r="BK50" s="261"/>
      <c r="BL50" s="220">
        <f t="shared" si="6"/>
        <v>0</v>
      </c>
      <c r="BM50" s="259"/>
      <c r="BN50" s="259"/>
      <c r="BO50" s="262">
        <f t="shared" si="4"/>
        <v>0</v>
      </c>
      <c r="BP50" s="263"/>
      <c r="BR50" s="265" t="str">
        <f>IF($H50="","",VLOOKUP($H50,'Master Data'!$B:$D,3,FALSE))</f>
        <v/>
      </c>
      <c r="BS50" s="265" t="str">
        <f t="shared" si="7"/>
        <v/>
      </c>
      <c r="BT50" s="265" t="str">
        <f>IF($H50="","",VLOOKUP(VALUE($H50),'Master Data'!B:I,8,FALSE))</f>
        <v/>
      </c>
    </row>
    <row r="51" spans="1:72" s="264" customFormat="1" x14ac:dyDescent="0.25">
      <c r="A51" s="241" t="str">
        <f>IF(D51="","",Cover!$D$8)</f>
        <v/>
      </c>
      <c r="B51" s="241" t="str">
        <f>IF(D51="","",Cover!$D$9)</f>
        <v/>
      </c>
      <c r="C51" s="242" t="str">
        <f>IF(D51="","",_xlfn.XLOOKUP(D51,'Activity Master Opex'!C:C,'Activity Master Opex'!B:B,0,0,1))</f>
        <v/>
      </c>
      <c r="D51" s="243"/>
      <c r="E51" s="244" t="str">
        <f>IF(D51="","",IFERROR(VLOOKUP(D51,'Activity Master Opex'!$C:$L,6,FALSE),0))</f>
        <v/>
      </c>
      <c r="F51" s="245" t="str">
        <f>IF($C51="","",VLOOKUP($C51,'Activity Master Opex'!$B:$I,3,0))</f>
        <v/>
      </c>
      <c r="G51" s="244" t="str">
        <f>IF($C51="","",VLOOKUP($F51,'Master Data'!$D$59:$E$146,2,FALSE))</f>
        <v/>
      </c>
      <c r="H51" s="246" t="str">
        <f>IF($C51="","",VLOOKUP($C51,'Activity Master Opex'!$B:$I,5,0))</f>
        <v/>
      </c>
      <c r="I51" s="241" t="str">
        <f>IFERROR(VLOOKUP(H51,'Master Data'!B:C,2,FALSE),"")</f>
        <v/>
      </c>
      <c r="J51" s="247"/>
      <c r="K51" s="247"/>
      <c r="L51" s="248"/>
      <c r="M51" s="248"/>
      <c r="N51" s="248"/>
      <c r="O51" s="248"/>
      <c r="P51" s="248"/>
      <c r="Q51" s="248"/>
      <c r="R51" s="248"/>
      <c r="S51" s="248"/>
      <c r="T51" s="248"/>
      <c r="U51" s="248"/>
      <c r="V51" s="248"/>
      <c r="W51" s="248"/>
      <c r="X51" s="249">
        <f t="shared" si="9"/>
        <v>0</v>
      </c>
      <c r="Y51" s="250"/>
      <c r="Z51" s="214"/>
      <c r="AA51" s="214"/>
      <c r="AB51" s="214"/>
      <c r="AC51" s="214"/>
      <c r="AD51" s="214"/>
      <c r="AE51" s="214"/>
      <c r="AF51" s="214"/>
      <c r="AG51" s="214"/>
      <c r="AH51" s="214"/>
      <c r="AI51" s="214"/>
      <c r="AJ51" s="214"/>
      <c r="AK51" s="214"/>
      <c r="AL51" s="217">
        <f t="shared" si="0"/>
        <v>0</v>
      </c>
      <c r="AM51" s="251"/>
      <c r="AN51" s="214"/>
      <c r="AO51" s="214"/>
      <c r="AP51" s="214"/>
      <c r="AQ51" s="214"/>
      <c r="AR51" s="214"/>
      <c r="AS51" s="214"/>
      <c r="AT51" s="214"/>
      <c r="AU51" s="214"/>
      <c r="AV51" s="214"/>
      <c r="AW51" s="214"/>
      <c r="AX51" s="214"/>
      <c r="AY51" s="214"/>
      <c r="AZ51" s="217">
        <f t="shared" si="1"/>
        <v>0</v>
      </c>
      <c r="BA51" s="252">
        <f t="shared" si="2"/>
        <v>0</v>
      </c>
      <c r="BB51" s="253"/>
      <c r="BC51" s="254">
        <f t="shared" si="3"/>
        <v>0</v>
      </c>
      <c r="BD51" s="255" t="str">
        <f>IF('Budget Opex Detail'!C53="","",IF(COUNTIFS('Activity Master Opex'!$B$4:$B$88,'Budget Opex Detail'!$C53)&gt;0,"","New Activity"))</f>
        <v/>
      </c>
      <c r="BE51" s="256"/>
      <c r="BF51" s="257"/>
      <c r="BG51" s="258"/>
      <c r="BH51" s="259"/>
      <c r="BI51" s="260"/>
      <c r="BJ51" s="260"/>
      <c r="BK51" s="261"/>
      <c r="BL51" s="220">
        <f t="shared" si="6"/>
        <v>0</v>
      </c>
      <c r="BM51" s="259"/>
      <c r="BN51" s="259"/>
      <c r="BO51" s="262">
        <f t="shared" si="4"/>
        <v>0</v>
      </c>
      <c r="BP51" s="263"/>
      <c r="BR51" s="265" t="str">
        <f>IF($H51="","",VLOOKUP($H51,'Master Data'!$B:$D,3,FALSE))</f>
        <v/>
      </c>
      <c r="BS51" s="265" t="str">
        <f t="shared" si="7"/>
        <v/>
      </c>
      <c r="BT51" s="265" t="str">
        <f>IF($H51="","",VLOOKUP(VALUE($H51),'Master Data'!B:I,8,FALSE))</f>
        <v/>
      </c>
    </row>
    <row r="52" spans="1:72" s="264" customFormat="1" x14ac:dyDescent="0.25">
      <c r="A52" s="241" t="str">
        <f>IF(D52="","",Cover!$D$8)</f>
        <v/>
      </c>
      <c r="B52" s="241" t="str">
        <f>IF(D52="","",Cover!$D$9)</f>
        <v/>
      </c>
      <c r="C52" s="242" t="str">
        <f>IF(D52="","",_xlfn.XLOOKUP(D52,'Activity Master Opex'!C:C,'Activity Master Opex'!B:B,0,0,1))</f>
        <v/>
      </c>
      <c r="D52" s="243"/>
      <c r="E52" s="244" t="str">
        <f>IF(D52="","",IFERROR(VLOOKUP(D52,'Activity Master Opex'!$C:$L,6,FALSE),0))</f>
        <v/>
      </c>
      <c r="F52" s="245" t="str">
        <f>IF($C52="","",VLOOKUP($C52,'Activity Master Opex'!$B:$I,3,0))</f>
        <v/>
      </c>
      <c r="G52" s="244" t="str">
        <f>IF($C52="","",VLOOKUP($F52,'Master Data'!$D$59:$E$146,2,FALSE))</f>
        <v/>
      </c>
      <c r="H52" s="246" t="str">
        <f>IF($C52="","",VLOOKUP($C52,'Activity Master Opex'!$B:$I,5,0))</f>
        <v/>
      </c>
      <c r="I52" s="241" t="str">
        <f>IFERROR(VLOOKUP(H52,'Master Data'!B:C,2,FALSE),"")</f>
        <v/>
      </c>
      <c r="J52" s="247"/>
      <c r="K52" s="247"/>
      <c r="L52" s="248"/>
      <c r="M52" s="248"/>
      <c r="N52" s="248"/>
      <c r="O52" s="248"/>
      <c r="P52" s="248"/>
      <c r="Q52" s="248"/>
      <c r="R52" s="248"/>
      <c r="S52" s="248"/>
      <c r="T52" s="248"/>
      <c r="U52" s="248"/>
      <c r="V52" s="248"/>
      <c r="W52" s="248"/>
      <c r="X52" s="249">
        <f t="shared" si="9"/>
        <v>0</v>
      </c>
      <c r="Y52" s="250"/>
      <c r="Z52" s="214"/>
      <c r="AA52" s="214"/>
      <c r="AB52" s="214"/>
      <c r="AC52" s="214"/>
      <c r="AD52" s="214"/>
      <c r="AE52" s="214"/>
      <c r="AF52" s="214"/>
      <c r="AG52" s="214"/>
      <c r="AH52" s="214"/>
      <c r="AI52" s="214"/>
      <c r="AJ52" s="214"/>
      <c r="AK52" s="214"/>
      <c r="AL52" s="217">
        <f t="shared" si="0"/>
        <v>0</v>
      </c>
      <c r="AM52" s="251"/>
      <c r="AN52" s="214"/>
      <c r="AO52" s="214"/>
      <c r="AP52" s="214"/>
      <c r="AQ52" s="214"/>
      <c r="AR52" s="214"/>
      <c r="AS52" s="214"/>
      <c r="AT52" s="214"/>
      <c r="AU52" s="214"/>
      <c r="AV52" s="214"/>
      <c r="AW52" s="214"/>
      <c r="AX52" s="214"/>
      <c r="AY52" s="214"/>
      <c r="AZ52" s="217">
        <f t="shared" si="1"/>
        <v>0</v>
      </c>
      <c r="BA52" s="252">
        <f t="shared" si="2"/>
        <v>0</v>
      </c>
      <c r="BB52" s="253"/>
      <c r="BC52" s="254">
        <f t="shared" si="3"/>
        <v>0</v>
      </c>
      <c r="BD52" s="255" t="str">
        <f>IF('Budget Opex Detail'!C54="","",IF(COUNTIFS('Activity Master Opex'!$B$4:$B$88,'Budget Opex Detail'!$C54)&gt;0,"","New Activity"))</f>
        <v/>
      </c>
      <c r="BE52" s="256"/>
      <c r="BF52" s="257"/>
      <c r="BG52" s="258"/>
      <c r="BH52" s="259"/>
      <c r="BI52" s="260"/>
      <c r="BJ52" s="260"/>
      <c r="BK52" s="261"/>
      <c r="BL52" s="220">
        <f t="shared" si="6"/>
        <v>0</v>
      </c>
      <c r="BM52" s="259"/>
      <c r="BN52" s="259"/>
      <c r="BO52" s="262">
        <f t="shared" si="4"/>
        <v>0</v>
      </c>
      <c r="BP52" s="263"/>
      <c r="BR52" s="265" t="str">
        <f>IF($H52="","",VLOOKUP($H52,'Master Data'!$B:$D,3,FALSE))</f>
        <v/>
      </c>
      <c r="BS52" s="265" t="str">
        <f t="shared" si="7"/>
        <v/>
      </c>
      <c r="BT52" s="265" t="str">
        <f>IF($H52="","",VLOOKUP(VALUE($H52),'Master Data'!B:I,8,FALSE))</f>
        <v/>
      </c>
    </row>
    <row r="53" spans="1:72" s="264" customFormat="1" x14ac:dyDescent="0.25">
      <c r="A53" s="241" t="str">
        <f>IF(D53="","",Cover!$D$8)</f>
        <v/>
      </c>
      <c r="B53" s="241" t="str">
        <f>IF(D53="","",Cover!$D$9)</f>
        <v/>
      </c>
      <c r="C53" s="242" t="str">
        <f>IF(D53="","",_xlfn.XLOOKUP(D53,'Activity Master Opex'!C:C,'Activity Master Opex'!B:B,0,0,1))</f>
        <v/>
      </c>
      <c r="D53" s="243"/>
      <c r="E53" s="244" t="str">
        <f>IF(D53="","",IFERROR(VLOOKUP(D53,'Activity Master Opex'!$C:$L,6,FALSE),0))</f>
        <v/>
      </c>
      <c r="F53" s="245" t="str">
        <f>IF($C53="","",VLOOKUP($C53,'Activity Master Opex'!$B:$I,3,0))</f>
        <v/>
      </c>
      <c r="G53" s="244" t="str">
        <f>IF($C53="","",VLOOKUP($F53,'Master Data'!$D$59:$E$146,2,FALSE))</f>
        <v/>
      </c>
      <c r="H53" s="246" t="str">
        <f>IF($C53="","",VLOOKUP($C53,'Activity Master Opex'!$B:$I,5,0))</f>
        <v/>
      </c>
      <c r="I53" s="241" t="str">
        <f>IFERROR(VLOOKUP(H53,'Master Data'!B:C,2,FALSE),"")</f>
        <v/>
      </c>
      <c r="J53" s="247"/>
      <c r="K53" s="247"/>
      <c r="L53" s="248"/>
      <c r="M53" s="248"/>
      <c r="N53" s="248"/>
      <c r="O53" s="248"/>
      <c r="P53" s="248"/>
      <c r="Q53" s="248"/>
      <c r="R53" s="248"/>
      <c r="S53" s="248"/>
      <c r="T53" s="248"/>
      <c r="U53" s="248"/>
      <c r="V53" s="248"/>
      <c r="W53" s="248"/>
      <c r="X53" s="249">
        <f t="shared" si="9"/>
        <v>0</v>
      </c>
      <c r="Y53" s="250"/>
      <c r="Z53" s="214"/>
      <c r="AA53" s="214"/>
      <c r="AB53" s="214"/>
      <c r="AC53" s="214"/>
      <c r="AD53" s="214"/>
      <c r="AE53" s="214"/>
      <c r="AF53" s="214"/>
      <c r="AG53" s="214"/>
      <c r="AH53" s="214"/>
      <c r="AI53" s="214"/>
      <c r="AJ53" s="214"/>
      <c r="AK53" s="214"/>
      <c r="AL53" s="217">
        <f t="shared" si="0"/>
        <v>0</v>
      </c>
      <c r="AM53" s="251"/>
      <c r="AN53" s="214"/>
      <c r="AO53" s="214"/>
      <c r="AP53" s="214"/>
      <c r="AQ53" s="214"/>
      <c r="AR53" s="214"/>
      <c r="AS53" s="214"/>
      <c r="AT53" s="214"/>
      <c r="AU53" s="214"/>
      <c r="AV53" s="214"/>
      <c r="AW53" s="214"/>
      <c r="AX53" s="214"/>
      <c r="AY53" s="214"/>
      <c r="AZ53" s="217">
        <f t="shared" si="1"/>
        <v>0</v>
      </c>
      <c r="BA53" s="252">
        <f t="shared" si="2"/>
        <v>0</v>
      </c>
      <c r="BB53" s="253"/>
      <c r="BC53" s="254">
        <f t="shared" si="3"/>
        <v>0</v>
      </c>
      <c r="BD53" s="255" t="str">
        <f>IF('Budget Opex Detail'!C55="","",IF(COUNTIFS('Activity Master Opex'!$B$4:$B$88,'Budget Opex Detail'!$C55)&gt;0,"","New Activity"))</f>
        <v/>
      </c>
      <c r="BE53" s="256"/>
      <c r="BF53" s="257"/>
      <c r="BG53" s="258"/>
      <c r="BH53" s="259"/>
      <c r="BI53" s="260"/>
      <c r="BJ53" s="260"/>
      <c r="BK53" s="261"/>
      <c r="BL53" s="220">
        <f t="shared" si="6"/>
        <v>0</v>
      </c>
      <c r="BM53" s="259"/>
      <c r="BN53" s="259"/>
      <c r="BO53" s="262">
        <f t="shared" si="4"/>
        <v>0</v>
      </c>
      <c r="BP53" s="263"/>
      <c r="BR53" s="265" t="str">
        <f>IF($H53="","",VLOOKUP($H53,'Master Data'!$B:$D,3,FALSE))</f>
        <v/>
      </c>
      <c r="BS53" s="265" t="str">
        <f t="shared" si="7"/>
        <v/>
      </c>
      <c r="BT53" s="265" t="str">
        <f>IF($H53="","",VLOOKUP(VALUE($H53),'Master Data'!B:I,8,FALSE))</f>
        <v/>
      </c>
    </row>
    <row r="54" spans="1:72" s="264" customFormat="1" x14ac:dyDescent="0.25">
      <c r="A54" s="241" t="str">
        <f>IF(D54="","",Cover!$D$8)</f>
        <v/>
      </c>
      <c r="B54" s="241" t="str">
        <f>IF(D54="","",Cover!$D$9)</f>
        <v/>
      </c>
      <c r="C54" s="242" t="str">
        <f>IF(D54="","",_xlfn.XLOOKUP(D54,'Activity Master Opex'!C:C,'Activity Master Opex'!B:B,0,0,1))</f>
        <v/>
      </c>
      <c r="D54" s="243"/>
      <c r="E54" s="244" t="str">
        <f>IF(D54="","",IFERROR(VLOOKUP(D54,'Activity Master Opex'!$C:$L,6,FALSE),0))</f>
        <v/>
      </c>
      <c r="F54" s="245" t="str">
        <f>IF($C54="","",VLOOKUP($C54,'Activity Master Opex'!$B:$I,3,0))</f>
        <v/>
      </c>
      <c r="G54" s="244" t="str">
        <f>IF($C54="","",VLOOKUP($F54,'Master Data'!$D$59:$E$146,2,FALSE))</f>
        <v/>
      </c>
      <c r="H54" s="246" t="str">
        <f>IF($C54="","",VLOOKUP($C54,'Activity Master Opex'!$B:$I,5,0))</f>
        <v/>
      </c>
      <c r="I54" s="241" t="str">
        <f>IFERROR(VLOOKUP(H54,'Master Data'!B:C,2,FALSE),"")</f>
        <v/>
      </c>
      <c r="J54" s="247"/>
      <c r="K54" s="247"/>
      <c r="L54" s="248"/>
      <c r="M54" s="248"/>
      <c r="N54" s="248"/>
      <c r="O54" s="248"/>
      <c r="P54" s="248"/>
      <c r="Q54" s="248"/>
      <c r="R54" s="248"/>
      <c r="S54" s="248"/>
      <c r="T54" s="248"/>
      <c r="U54" s="248"/>
      <c r="V54" s="248"/>
      <c r="W54" s="248"/>
      <c r="X54" s="249">
        <f t="shared" si="9"/>
        <v>0</v>
      </c>
      <c r="Y54" s="250"/>
      <c r="Z54" s="214"/>
      <c r="AA54" s="214"/>
      <c r="AB54" s="214"/>
      <c r="AC54" s="214"/>
      <c r="AD54" s="214"/>
      <c r="AE54" s="214"/>
      <c r="AF54" s="214"/>
      <c r="AG54" s="214"/>
      <c r="AH54" s="214"/>
      <c r="AI54" s="214"/>
      <c r="AJ54" s="214"/>
      <c r="AK54" s="214"/>
      <c r="AL54" s="217">
        <f t="shared" si="0"/>
        <v>0</v>
      </c>
      <c r="AM54" s="251"/>
      <c r="AN54" s="214"/>
      <c r="AO54" s="214"/>
      <c r="AP54" s="214"/>
      <c r="AQ54" s="214"/>
      <c r="AR54" s="214"/>
      <c r="AS54" s="214"/>
      <c r="AT54" s="214"/>
      <c r="AU54" s="214"/>
      <c r="AV54" s="214"/>
      <c r="AW54" s="214"/>
      <c r="AX54" s="214"/>
      <c r="AY54" s="214"/>
      <c r="AZ54" s="217">
        <f t="shared" si="1"/>
        <v>0</v>
      </c>
      <c r="BA54" s="252">
        <f t="shared" si="2"/>
        <v>0</v>
      </c>
      <c r="BB54" s="253"/>
      <c r="BC54" s="254">
        <f t="shared" si="3"/>
        <v>0</v>
      </c>
      <c r="BD54" s="255" t="str">
        <f>IF('Budget Opex Detail'!C56="","",IF(COUNTIFS('Activity Master Opex'!$B$4:$B$88,'Budget Opex Detail'!$C56)&gt;0,"","New Activity"))</f>
        <v/>
      </c>
      <c r="BE54" s="256"/>
      <c r="BF54" s="257"/>
      <c r="BG54" s="258"/>
      <c r="BH54" s="259"/>
      <c r="BI54" s="260"/>
      <c r="BJ54" s="260"/>
      <c r="BK54" s="261"/>
      <c r="BL54" s="220">
        <f t="shared" si="6"/>
        <v>0</v>
      </c>
      <c r="BM54" s="259"/>
      <c r="BN54" s="259"/>
      <c r="BO54" s="262">
        <f t="shared" si="4"/>
        <v>0</v>
      </c>
      <c r="BP54" s="263"/>
      <c r="BR54" s="265" t="str">
        <f>IF($H54="","",VLOOKUP($H54,'Master Data'!$B:$D,3,FALSE))</f>
        <v/>
      </c>
      <c r="BS54" s="265" t="str">
        <f t="shared" si="7"/>
        <v/>
      </c>
      <c r="BT54" s="265" t="str">
        <f>IF($H54="","",VLOOKUP(VALUE($H54),'Master Data'!B:I,8,FALSE))</f>
        <v/>
      </c>
    </row>
    <row r="55" spans="1:72" s="264" customFormat="1" x14ac:dyDescent="0.25">
      <c r="A55" s="241" t="str">
        <f>IF(D55="","",Cover!$D$8)</f>
        <v/>
      </c>
      <c r="B55" s="241" t="str">
        <f>IF(D55="","",Cover!$D$9)</f>
        <v/>
      </c>
      <c r="C55" s="242" t="str">
        <f>IF(D55="","",_xlfn.XLOOKUP(D55,'Activity Master Opex'!C:C,'Activity Master Opex'!B:B,0,0,1))</f>
        <v/>
      </c>
      <c r="D55" s="243"/>
      <c r="E55" s="244" t="str">
        <f>IF(D55="","",IFERROR(VLOOKUP(D55,'Activity Master Opex'!$C:$L,6,FALSE),0))</f>
        <v/>
      </c>
      <c r="F55" s="245" t="str">
        <f>IF($C55="","",VLOOKUP($C55,'Activity Master Opex'!$B:$I,3,0))</f>
        <v/>
      </c>
      <c r="G55" s="244" t="str">
        <f>IF($C55="","",VLOOKUP($F55,'Master Data'!$D$59:$E$146,2,FALSE))</f>
        <v/>
      </c>
      <c r="H55" s="246" t="str">
        <f>IF($C55="","",VLOOKUP($C55,'Activity Master Opex'!$B:$I,5,0))</f>
        <v/>
      </c>
      <c r="I55" s="241" t="str">
        <f>IFERROR(VLOOKUP(H55,'Master Data'!B:C,2,FALSE),"")</f>
        <v/>
      </c>
      <c r="J55" s="247"/>
      <c r="K55" s="247"/>
      <c r="L55" s="248"/>
      <c r="M55" s="248"/>
      <c r="N55" s="248"/>
      <c r="O55" s="248"/>
      <c r="P55" s="248"/>
      <c r="Q55" s="248"/>
      <c r="R55" s="248"/>
      <c r="S55" s="248"/>
      <c r="T55" s="248"/>
      <c r="U55" s="248"/>
      <c r="V55" s="248"/>
      <c r="W55" s="248"/>
      <c r="X55" s="249">
        <f t="shared" si="9"/>
        <v>0</v>
      </c>
      <c r="Y55" s="250"/>
      <c r="Z55" s="214"/>
      <c r="AA55" s="214"/>
      <c r="AB55" s="214"/>
      <c r="AC55" s="214"/>
      <c r="AD55" s="214"/>
      <c r="AE55" s="214"/>
      <c r="AF55" s="214"/>
      <c r="AG55" s="214"/>
      <c r="AH55" s="214"/>
      <c r="AI55" s="214"/>
      <c r="AJ55" s="214"/>
      <c r="AK55" s="214"/>
      <c r="AL55" s="217">
        <f t="shared" si="0"/>
        <v>0</v>
      </c>
      <c r="AM55" s="251"/>
      <c r="AN55" s="214"/>
      <c r="AO55" s="214"/>
      <c r="AP55" s="214"/>
      <c r="AQ55" s="214"/>
      <c r="AR55" s="214"/>
      <c r="AS55" s="214"/>
      <c r="AT55" s="214"/>
      <c r="AU55" s="214"/>
      <c r="AV55" s="214"/>
      <c r="AW55" s="214"/>
      <c r="AX55" s="214"/>
      <c r="AY55" s="214"/>
      <c r="AZ55" s="217">
        <f t="shared" si="1"/>
        <v>0</v>
      </c>
      <c r="BA55" s="252">
        <f t="shared" si="2"/>
        <v>0</v>
      </c>
      <c r="BB55" s="253"/>
      <c r="BC55" s="254">
        <f t="shared" si="3"/>
        <v>0</v>
      </c>
      <c r="BD55" s="255" t="str">
        <f>IF('Budget Opex Detail'!C57="","",IF(COUNTIFS('Activity Master Opex'!$B$4:$B$88,'Budget Opex Detail'!$C57)&gt;0,"","New Activity"))</f>
        <v/>
      </c>
      <c r="BE55" s="256"/>
      <c r="BF55" s="257"/>
      <c r="BG55" s="258"/>
      <c r="BH55" s="259"/>
      <c r="BI55" s="260"/>
      <c r="BJ55" s="260"/>
      <c r="BK55" s="261"/>
      <c r="BL55" s="220">
        <f t="shared" si="6"/>
        <v>0</v>
      </c>
      <c r="BM55" s="259"/>
      <c r="BN55" s="259"/>
      <c r="BO55" s="262">
        <f t="shared" si="4"/>
        <v>0</v>
      </c>
      <c r="BP55" s="263"/>
      <c r="BR55" s="265" t="str">
        <f>IF($H55="","",VLOOKUP($H55,'Master Data'!$B:$D,3,FALSE))</f>
        <v/>
      </c>
      <c r="BS55" s="265" t="str">
        <f t="shared" si="7"/>
        <v/>
      </c>
      <c r="BT55" s="265" t="str">
        <f>IF($H55="","",VLOOKUP(VALUE($H55),'Master Data'!B:I,8,FALSE))</f>
        <v/>
      </c>
    </row>
  </sheetData>
  <sheetProtection formatColumns="0" formatRows="0" sort="0" autoFilter="0" pivotTables="0"/>
  <autoFilter ref="A3:AR55" xr:uid="{00000000-0009-0000-0000-000003000000}"/>
  <dataValidations count="4">
    <dataValidation type="list" allowBlank="1" showInputMessage="1" showErrorMessage="1" sqref="BH4:BH55" xr:uid="{00000000-0002-0000-0300-000000000000}">
      <formula1>"Essentials, Moderate, Not Essentials"</formula1>
    </dataValidation>
    <dataValidation type="list" allowBlank="1" showInputMessage="1" showErrorMessage="1" sqref="BE4:BE55"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L4:W55" xr:uid="{00000000-0002-0000-0300-000003000000}">
      <formula1>AND(ISNUMBER(L4),$C4&lt;&gt;"")</formula1>
    </dataValidation>
    <dataValidation type="custom" showInputMessage="1" showErrorMessage="1" error="Pastikan Ledger Number dan Cost Center sudah terisi" sqref="Z4:AK55 AN4:AY55" xr:uid="{9E1080DE-61D3-4F6D-846B-ECA0E0B4FF9D}">
      <formula1>AND($A4&lt;&gt;"",$J4&lt;&gt;"")</formula1>
    </dataValidation>
  </dataValidations>
  <pageMargins left="0.7" right="0.7" top="0.75" bottom="0.75" header="0.3" footer="0.3"/>
  <pageSetup orientation="portrait" r:id="rId1"/>
  <ignoredErrors>
    <ignoredError sqref="X4:X55"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6" id="{07E3475C-50CB-4D70-B4BC-FB60798C5F0F}">
            <x14:iconSet iconSet="3Triangles">
              <x14:cfvo type="percent">
                <xm:f>0</xm:f>
              </x14:cfvo>
              <x14:cfvo type="num">
                <xm:f>0</xm:f>
              </x14:cfvo>
              <x14:cfvo type="num" gte="0">
                <xm:f>0</xm:f>
              </x14:cfvo>
            </x14:iconSet>
          </x14:cfRule>
          <xm:sqref>BA4:BA55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E20C2255-AE60-4297-B0B1-1A56A9F33207}">
          <x14:formula1>
            <xm:f>#REF!</xm:f>
          </x14:formula1>
          <xm:sqref>BJ4:BJ55</xm:sqref>
        </x14:dataValidation>
        <x14:dataValidation type="list" allowBlank="1" showInputMessage="1" showErrorMessage="1" xr:uid="{D392F65B-049E-40FE-A6E4-DA81E9BAC79F}">
          <x14:formula1>
            <xm:f>'Master Data'!$C$365:$C$367</xm:f>
          </x14:formula1>
          <xm:sqref>BG4:BG55</xm:sqref>
        </x14:dataValidation>
        <x14:dataValidation type="list" allowBlank="1" showInputMessage="1" showErrorMessage="1" xr:uid="{2CD11C85-3AF4-4073-AE08-150143AB5965}">
          <x14:formula1>
            <xm:f>'Activity Master Opex'!$C:$C</xm:f>
          </x14:formula1>
          <xm:sqref>D4:D55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I90"/>
  <sheetViews>
    <sheetView showGridLines="0" zoomScale="80" zoomScaleNormal="80" workbookViewId="0">
      <selection activeCell="B11" sqref="B11"/>
    </sheetView>
  </sheetViews>
  <sheetFormatPr defaultColWidth="8.7109375" defaultRowHeight="15" x14ac:dyDescent="0.25"/>
  <cols>
    <col min="1" max="1" width="4.5703125" style="160" customWidth="1"/>
    <col min="2" max="2" width="30.28515625" style="160" bestFit="1" customWidth="1"/>
    <col min="3" max="3" width="38.28515625" style="160" bestFit="1" customWidth="1"/>
    <col min="4" max="4" width="11.28515625" style="160" bestFit="1" customWidth="1"/>
    <col min="5" max="5" width="31.7109375" style="160" bestFit="1" customWidth="1"/>
    <col min="6" max="6" width="14.7109375" style="160" customWidth="1"/>
    <col min="7" max="7" width="56.28515625" style="160" customWidth="1"/>
    <col min="8" max="8" width="79.7109375" style="161" customWidth="1"/>
    <col min="9" max="9" width="17.42578125" style="160" bestFit="1" customWidth="1"/>
    <col min="10" max="16384" width="8.7109375" style="160"/>
  </cols>
  <sheetData>
    <row r="1" spans="1:9" x14ac:dyDescent="0.25">
      <c r="A1" s="267" t="e">
        <f>VLOOKUP(#REF!,#REF!,2,0)</f>
        <v>#REF!</v>
      </c>
      <c r="F1" s="268" t="s">
        <v>524</v>
      </c>
    </row>
    <row r="2" spans="1:9" ht="21" x14ac:dyDescent="0.35">
      <c r="B2" s="423" t="s">
        <v>467</v>
      </c>
      <c r="C2" s="424"/>
      <c r="D2" s="424"/>
      <c r="E2" s="424"/>
      <c r="F2" s="424"/>
      <c r="G2" s="424"/>
      <c r="H2" s="424"/>
    </row>
    <row r="3" spans="1:9" s="269" customFormat="1" x14ac:dyDescent="0.25">
      <c r="B3" s="270" t="s">
        <v>552</v>
      </c>
      <c r="C3" s="271" t="s">
        <v>465</v>
      </c>
      <c r="D3" s="271" t="s">
        <v>46</v>
      </c>
      <c r="E3" s="271" t="s">
        <v>463</v>
      </c>
      <c r="F3" s="271" t="s">
        <v>464</v>
      </c>
      <c r="G3" s="271" t="s">
        <v>464</v>
      </c>
      <c r="H3" s="272" t="s">
        <v>342</v>
      </c>
      <c r="I3" s="273" t="s">
        <v>1493</v>
      </c>
    </row>
    <row r="4" spans="1:9" s="269" customFormat="1" x14ac:dyDescent="0.25">
      <c r="B4" s="274" t="s">
        <v>750</v>
      </c>
      <c r="C4" s="275" t="s">
        <v>751</v>
      </c>
      <c r="D4" s="275" t="s">
        <v>280</v>
      </c>
      <c r="E4" s="275" t="str">
        <f>IFERROR(VLOOKUP(D4,'Master Data'!D:E,2,FALSE),0)</f>
        <v>SCM LOGISTICS</v>
      </c>
      <c r="F4" s="275">
        <v>60800060</v>
      </c>
      <c r="G4" s="275" t="s">
        <v>128</v>
      </c>
      <c r="H4" s="276" t="s">
        <v>1932</v>
      </c>
      <c r="I4" s="269">
        <f>IFERROR(VLOOKUP(F4,'Master Data'!B:B,1,FALSE),0)</f>
        <v>60800060</v>
      </c>
    </row>
    <row r="5" spans="1:9" s="269" customFormat="1" x14ac:dyDescent="0.25">
      <c r="B5" s="274" t="s">
        <v>752</v>
      </c>
      <c r="C5" s="275" t="s">
        <v>753</v>
      </c>
      <c r="D5" s="275" t="s">
        <v>280</v>
      </c>
      <c r="E5" s="275" t="str">
        <f>IFERROR(VLOOKUP(D5,'Master Data'!D:E,2,FALSE),0)</f>
        <v>SCM LOGISTICS</v>
      </c>
      <c r="F5" s="275">
        <v>60800060</v>
      </c>
      <c r="G5" s="275" t="s">
        <v>128</v>
      </c>
      <c r="H5" s="276" t="s">
        <v>1934</v>
      </c>
      <c r="I5" s="269">
        <f>IFERROR(VLOOKUP(F5,'Master Data'!B:B,1,FALSE),0)</f>
        <v>60800060</v>
      </c>
    </row>
    <row r="6" spans="1:9" s="269" customFormat="1" x14ac:dyDescent="0.25">
      <c r="B6" s="274" t="s">
        <v>754</v>
      </c>
      <c r="C6" s="275" t="s">
        <v>755</v>
      </c>
      <c r="D6" s="275" t="s">
        <v>280</v>
      </c>
      <c r="E6" s="275" t="str">
        <f>IFERROR(VLOOKUP(D6,'Master Data'!D:E,2,FALSE),0)</f>
        <v>SCM LOGISTICS</v>
      </c>
      <c r="F6" s="275">
        <v>60800060</v>
      </c>
      <c r="G6" s="275" t="s">
        <v>128</v>
      </c>
      <c r="H6" s="276" t="s">
        <v>1934</v>
      </c>
      <c r="I6" s="269">
        <f>IFERROR(VLOOKUP(F6,'Master Data'!B:B,1,FALSE),0)</f>
        <v>60800060</v>
      </c>
    </row>
    <row r="7" spans="1:9" s="269" customFormat="1" x14ac:dyDescent="0.25">
      <c r="B7" s="274" t="s">
        <v>756</v>
      </c>
      <c r="C7" s="275" t="s">
        <v>757</v>
      </c>
      <c r="D7" s="275" t="s">
        <v>280</v>
      </c>
      <c r="E7" s="275" t="str">
        <f>IFERROR(VLOOKUP(D7,'Master Data'!D:E,2,FALSE),0)</f>
        <v>SCM LOGISTICS</v>
      </c>
      <c r="F7" s="275">
        <v>60800060</v>
      </c>
      <c r="G7" s="275" t="s">
        <v>128</v>
      </c>
      <c r="H7" s="276" t="s">
        <v>1934</v>
      </c>
      <c r="I7" s="269">
        <f>IFERROR(VLOOKUP(F7,'Master Data'!B:B,1,FALSE),0)</f>
        <v>60800060</v>
      </c>
    </row>
    <row r="8" spans="1:9" s="269" customFormat="1" x14ac:dyDescent="0.25">
      <c r="B8" s="274" t="s">
        <v>758</v>
      </c>
      <c r="C8" s="275" t="s">
        <v>518</v>
      </c>
      <c r="D8" s="275" t="s">
        <v>280</v>
      </c>
      <c r="E8" s="275" t="str">
        <f>IFERROR(VLOOKUP(D8,'Master Data'!D:E,2,FALSE),0)</f>
        <v>SCM LOGISTICS</v>
      </c>
      <c r="F8" s="275">
        <v>62600030</v>
      </c>
      <c r="G8" s="275" t="s">
        <v>226</v>
      </c>
      <c r="H8" s="276"/>
      <c r="I8" s="269">
        <f>IFERROR(VLOOKUP(F8,'Master Data'!B:B,1,FALSE),0)</f>
        <v>62600030</v>
      </c>
    </row>
    <row r="9" spans="1:9" s="269" customFormat="1" x14ac:dyDescent="0.25">
      <c r="B9" s="274" t="s">
        <v>759</v>
      </c>
      <c r="C9" s="275" t="s">
        <v>760</v>
      </c>
      <c r="D9" s="275" t="s">
        <v>280</v>
      </c>
      <c r="E9" s="275" t="str">
        <f>IFERROR(VLOOKUP(D9,'Master Data'!D:E,2,FALSE),0)</f>
        <v>SCM LOGISTICS</v>
      </c>
      <c r="F9" s="275">
        <v>60800060</v>
      </c>
      <c r="G9" s="275" t="s">
        <v>128</v>
      </c>
      <c r="H9" s="276"/>
      <c r="I9" s="269">
        <f>IFERROR(VLOOKUP(F9,'Master Data'!B:B,1,FALSE),0)</f>
        <v>60800060</v>
      </c>
    </row>
    <row r="10" spans="1:9" s="269" customFormat="1" x14ac:dyDescent="0.25">
      <c r="B10" s="274" t="s">
        <v>761</v>
      </c>
      <c r="C10" s="275" t="s">
        <v>762</v>
      </c>
      <c r="D10" s="275" t="s">
        <v>280</v>
      </c>
      <c r="E10" s="275" t="str">
        <f>IFERROR(VLOOKUP(D10,'Master Data'!D:E,2,FALSE),0)</f>
        <v>SCM LOGISTICS</v>
      </c>
      <c r="F10" s="275">
        <v>60800060</v>
      </c>
      <c r="G10" s="275" t="s">
        <v>128</v>
      </c>
      <c r="H10" s="276"/>
      <c r="I10" s="269">
        <f>IFERROR(VLOOKUP(F10,'Master Data'!B:B,1,FALSE),0)</f>
        <v>60800060</v>
      </c>
    </row>
    <row r="11" spans="1:9" s="269" customFormat="1" x14ac:dyDescent="0.25">
      <c r="B11" s="274" t="s">
        <v>763</v>
      </c>
      <c r="C11" s="275" t="s">
        <v>894</v>
      </c>
      <c r="D11" s="275" t="s">
        <v>280</v>
      </c>
      <c r="E11" s="275" t="str">
        <f>IFERROR(VLOOKUP(D11,'Master Data'!D:E,2,FALSE),0)</f>
        <v>SCM LOGISTICS</v>
      </c>
      <c r="F11" s="275">
        <v>60800060</v>
      </c>
      <c r="G11" s="275" t="s">
        <v>128</v>
      </c>
      <c r="H11" s="276"/>
      <c r="I11" s="269">
        <f>IFERROR(VLOOKUP(F11,'Master Data'!B:B,1,FALSE),0)</f>
        <v>60800060</v>
      </c>
    </row>
    <row r="12" spans="1:9" s="269" customFormat="1" x14ac:dyDescent="0.25">
      <c r="B12" s="274" t="s">
        <v>764</v>
      </c>
      <c r="C12" s="275" t="s">
        <v>765</v>
      </c>
      <c r="D12" s="275" t="s">
        <v>280</v>
      </c>
      <c r="E12" s="275" t="str">
        <f>IFERROR(VLOOKUP(D12,'Master Data'!D:E,2,FALSE),0)</f>
        <v>SCM LOGISTICS</v>
      </c>
      <c r="F12" s="275">
        <v>60800060</v>
      </c>
      <c r="G12" s="275" t="s">
        <v>128</v>
      </c>
      <c r="H12" s="276"/>
      <c r="I12" s="269">
        <f>IFERROR(VLOOKUP(F12,'Master Data'!B:B,1,FALSE),0)</f>
        <v>60800060</v>
      </c>
    </row>
    <row r="13" spans="1:9" s="269" customFormat="1" x14ac:dyDescent="0.25">
      <c r="B13" s="274" t="s">
        <v>766</v>
      </c>
      <c r="C13" s="275" t="s">
        <v>767</v>
      </c>
      <c r="D13" s="275" t="s">
        <v>280</v>
      </c>
      <c r="E13" s="275" t="str">
        <f>IFERROR(VLOOKUP(D13,'Master Data'!D:E,2,FALSE),0)</f>
        <v>SCM LOGISTICS</v>
      </c>
      <c r="F13" s="275">
        <v>60800060</v>
      </c>
      <c r="G13" s="275" t="s">
        <v>128</v>
      </c>
      <c r="H13" s="276" t="s">
        <v>1933</v>
      </c>
      <c r="I13" s="269">
        <f>IFERROR(VLOOKUP(F13,'Master Data'!B:B,1,FALSE),0)</f>
        <v>60800060</v>
      </c>
    </row>
    <row r="14" spans="1:9" s="269" customFormat="1" x14ac:dyDescent="0.25">
      <c r="B14" s="274" t="s">
        <v>768</v>
      </c>
      <c r="C14" s="275" t="s">
        <v>769</v>
      </c>
      <c r="D14" s="275" t="s">
        <v>280</v>
      </c>
      <c r="E14" s="275" t="str">
        <f>IFERROR(VLOOKUP(D14,'Master Data'!D:E,2,FALSE),0)</f>
        <v>SCM LOGISTICS</v>
      </c>
      <c r="F14" s="275">
        <v>60800060</v>
      </c>
      <c r="G14" s="275" t="s">
        <v>128</v>
      </c>
      <c r="H14" s="276" t="s">
        <v>1934</v>
      </c>
      <c r="I14" s="269">
        <f>IFERROR(VLOOKUP(F14,'Master Data'!B:B,1,FALSE),0)</f>
        <v>60800060</v>
      </c>
    </row>
    <row r="15" spans="1:9" s="269" customFormat="1" x14ac:dyDescent="0.25">
      <c r="B15" s="274" t="s">
        <v>770</v>
      </c>
      <c r="C15" s="275" t="s">
        <v>771</v>
      </c>
      <c r="D15" s="275" t="s">
        <v>280</v>
      </c>
      <c r="E15" s="275" t="str">
        <f>IFERROR(VLOOKUP(D15,'Master Data'!D:E,2,FALSE),0)</f>
        <v>SCM LOGISTICS</v>
      </c>
      <c r="F15" s="275">
        <v>60800060</v>
      </c>
      <c r="G15" s="275" t="s">
        <v>128</v>
      </c>
      <c r="H15" s="276" t="s">
        <v>1935</v>
      </c>
      <c r="I15" s="269">
        <f>IFERROR(VLOOKUP(F15,'Master Data'!B:B,1,FALSE),0)</f>
        <v>60800060</v>
      </c>
    </row>
    <row r="16" spans="1:9" s="269" customFormat="1" x14ac:dyDescent="0.25">
      <c r="B16" s="274" t="s">
        <v>895</v>
      </c>
      <c r="C16" s="275" t="s">
        <v>888</v>
      </c>
      <c r="D16" s="275" t="s">
        <v>280</v>
      </c>
      <c r="E16" s="275" t="str">
        <f>IFERROR(VLOOKUP(D16,'Master Data'!D:E,2,FALSE),0)</f>
        <v>SCM LOGISTICS</v>
      </c>
      <c r="F16" s="275">
        <v>62200010</v>
      </c>
      <c r="G16" s="275" t="s">
        <v>206</v>
      </c>
      <c r="H16" s="276" t="s">
        <v>1936</v>
      </c>
      <c r="I16" s="269">
        <f>IFERROR(VLOOKUP(F16,'Master Data'!B:B,1,FALSE),0)</f>
        <v>62200010</v>
      </c>
    </row>
    <row r="17" spans="2:9" s="269" customFormat="1" x14ac:dyDescent="0.25">
      <c r="B17" s="274" t="s">
        <v>896</v>
      </c>
      <c r="C17" s="275" t="s">
        <v>889</v>
      </c>
      <c r="D17" s="275" t="s">
        <v>280</v>
      </c>
      <c r="E17" s="275" t="str">
        <f>IFERROR(VLOOKUP(D17,'Master Data'!D:E,2,FALSE),0)</f>
        <v>SCM LOGISTICS</v>
      </c>
      <c r="F17" s="275">
        <v>61700030</v>
      </c>
      <c r="G17" s="275" t="s">
        <v>155</v>
      </c>
      <c r="H17" s="276" t="s">
        <v>1937</v>
      </c>
      <c r="I17" s="269">
        <f>IFERROR(VLOOKUP(F17,'Master Data'!B:B,1,FALSE),0)</f>
        <v>61700030</v>
      </c>
    </row>
    <row r="18" spans="2:9" s="269" customFormat="1" x14ac:dyDescent="0.25">
      <c r="B18" s="274" t="s">
        <v>897</v>
      </c>
      <c r="C18" s="275" t="s">
        <v>117</v>
      </c>
      <c r="D18" s="275" t="s">
        <v>280</v>
      </c>
      <c r="E18" s="275" t="str">
        <f>IFERROR(VLOOKUP(D18,'Master Data'!D:E,2,FALSE),0)</f>
        <v>SCM LOGISTICS</v>
      </c>
      <c r="F18" s="275">
        <v>60800010</v>
      </c>
      <c r="G18" s="275" t="s">
        <v>117</v>
      </c>
      <c r="H18" s="276" t="s">
        <v>1938</v>
      </c>
      <c r="I18" s="269">
        <f>IFERROR(VLOOKUP(F18,'Master Data'!B:B,1,FALSE),0)</f>
        <v>60800010</v>
      </c>
    </row>
    <row r="19" spans="2:9" s="269" customFormat="1" x14ac:dyDescent="0.25">
      <c r="B19" s="274" t="s">
        <v>772</v>
      </c>
      <c r="C19" s="275" t="s">
        <v>113</v>
      </c>
      <c r="D19" s="275" t="s">
        <v>254</v>
      </c>
      <c r="E19" s="275" t="str">
        <f>IFERROR(VLOOKUP(D19,'Master Data'!D:E,2,FALSE),0)</f>
        <v>SCM WAREHOUSE SPC</v>
      </c>
      <c r="F19" s="275">
        <v>60600050</v>
      </c>
      <c r="G19" s="275" t="s">
        <v>113</v>
      </c>
      <c r="H19" s="276" t="s">
        <v>1939</v>
      </c>
      <c r="I19" s="269">
        <f>IFERROR(VLOOKUP(F19,'Master Data'!B:B,1,FALSE),0)</f>
        <v>60600050</v>
      </c>
    </row>
    <row r="20" spans="2:9" s="269" customFormat="1" x14ac:dyDescent="0.25">
      <c r="B20" s="274" t="s">
        <v>773</v>
      </c>
      <c r="C20" s="275" t="s">
        <v>774</v>
      </c>
      <c r="D20" s="275" t="s">
        <v>254</v>
      </c>
      <c r="E20" s="275" t="str">
        <f>IFERROR(VLOOKUP(D20,'Master Data'!D:E,2,FALSE),0)</f>
        <v>SCM WAREHOUSE SPC</v>
      </c>
      <c r="F20" s="275">
        <v>60800020</v>
      </c>
      <c r="G20" s="275" t="s">
        <v>119</v>
      </c>
      <c r="H20" s="276" t="s">
        <v>1940</v>
      </c>
      <c r="I20" s="269">
        <f>IFERROR(VLOOKUP(F20,'Master Data'!B:B,1,FALSE),0)</f>
        <v>60800020</v>
      </c>
    </row>
    <row r="21" spans="2:9" s="269" customFormat="1" x14ac:dyDescent="0.25">
      <c r="B21" s="274" t="s">
        <v>775</v>
      </c>
      <c r="C21" s="275" t="s">
        <v>517</v>
      </c>
      <c r="D21" s="275" t="s">
        <v>254</v>
      </c>
      <c r="E21" s="275" t="str">
        <f>IFERROR(VLOOKUP(D21,'Master Data'!D:E,2,FALSE),0)</f>
        <v>SCM WAREHOUSE SPC</v>
      </c>
      <c r="F21" s="275">
        <v>62600020</v>
      </c>
      <c r="G21" s="275" t="s">
        <v>517</v>
      </c>
      <c r="H21" s="276" t="s">
        <v>1941</v>
      </c>
      <c r="I21" s="269">
        <f>IFERROR(VLOOKUP(F21,'Master Data'!B:B,1,FALSE),0)</f>
        <v>62600020</v>
      </c>
    </row>
    <row r="22" spans="2:9" s="269" customFormat="1" x14ac:dyDescent="0.25">
      <c r="B22" s="274" t="s">
        <v>822</v>
      </c>
      <c r="C22" s="275" t="s">
        <v>518</v>
      </c>
      <c r="D22" s="275" t="s">
        <v>254</v>
      </c>
      <c r="E22" s="275" t="str">
        <f>IFERROR(VLOOKUP(D22,'Master Data'!D:E,2,FALSE),0)</f>
        <v>SCM WAREHOUSE SPC</v>
      </c>
      <c r="F22" s="275">
        <v>62600030</v>
      </c>
      <c r="G22" s="275" t="s">
        <v>226</v>
      </c>
      <c r="H22" s="276"/>
      <c r="I22" s="269">
        <f>IFERROR(VLOOKUP(F22,'Master Data'!B:B,1,FALSE),0)</f>
        <v>62600030</v>
      </c>
    </row>
    <row r="23" spans="2:9" s="269" customFormat="1" x14ac:dyDescent="0.25">
      <c r="B23" s="274" t="s">
        <v>898</v>
      </c>
      <c r="C23" s="275" t="s">
        <v>899</v>
      </c>
      <c r="D23" s="275" t="s">
        <v>254</v>
      </c>
      <c r="E23" s="275" t="str">
        <f>IFERROR(VLOOKUP(D23,'Master Data'!D:E,2,FALSE),0)</f>
        <v>SCM WAREHOUSE SPC</v>
      </c>
      <c r="F23" s="275">
        <v>61300010</v>
      </c>
      <c r="G23" s="275" t="s">
        <v>443</v>
      </c>
      <c r="H23" s="276"/>
      <c r="I23" s="269">
        <f>IFERROR(VLOOKUP(F23,'Master Data'!B:B,1,FALSE),0)</f>
        <v>61300010</v>
      </c>
    </row>
    <row r="24" spans="2:9" s="269" customFormat="1" x14ac:dyDescent="0.25">
      <c r="B24" s="274" t="s">
        <v>776</v>
      </c>
      <c r="C24" s="275" t="s">
        <v>777</v>
      </c>
      <c r="D24" s="275" t="s">
        <v>254</v>
      </c>
      <c r="E24" s="275" t="str">
        <f>IFERROR(VLOOKUP(D24,'Master Data'!D:E,2,FALSE),0)</f>
        <v>SCM WAREHOUSE SPC</v>
      </c>
      <c r="F24" s="275">
        <v>60300010</v>
      </c>
      <c r="G24" s="275" t="s">
        <v>100</v>
      </c>
      <c r="H24" s="276" t="s">
        <v>1942</v>
      </c>
      <c r="I24" s="269">
        <f>IFERROR(VLOOKUP(F24,'Master Data'!B:B,1,FALSE),0)</f>
        <v>60300010</v>
      </c>
    </row>
    <row r="25" spans="2:9" s="269" customFormat="1" x14ac:dyDescent="0.25">
      <c r="B25" s="274" t="s">
        <v>778</v>
      </c>
      <c r="C25" s="275" t="s">
        <v>779</v>
      </c>
      <c r="D25" s="275" t="s">
        <v>254</v>
      </c>
      <c r="E25" s="275" t="str">
        <f>IFERROR(VLOOKUP(D25,'Master Data'!D:E,2,FALSE),0)</f>
        <v>SCM WAREHOUSE SPC</v>
      </c>
      <c r="F25" s="275">
        <v>62400040</v>
      </c>
      <c r="G25" s="275" t="s">
        <v>216</v>
      </c>
      <c r="H25" s="276" t="s">
        <v>1943</v>
      </c>
      <c r="I25" s="269">
        <f>IFERROR(VLOOKUP(F25,'Master Data'!B:B,1,FALSE),0)</f>
        <v>62400040</v>
      </c>
    </row>
    <row r="26" spans="2:9" s="269" customFormat="1" x14ac:dyDescent="0.25">
      <c r="B26" s="274" t="s">
        <v>780</v>
      </c>
      <c r="C26" s="275" t="s">
        <v>155</v>
      </c>
      <c r="D26" s="275" t="s">
        <v>254</v>
      </c>
      <c r="E26" s="275" t="str">
        <f>IFERROR(VLOOKUP(D26,'Master Data'!D:E,2,FALSE),0)</f>
        <v>SCM WAREHOUSE SPC</v>
      </c>
      <c r="F26" s="275">
        <v>61700030</v>
      </c>
      <c r="G26" s="275" t="s">
        <v>155</v>
      </c>
      <c r="H26" s="276" t="s">
        <v>1944</v>
      </c>
      <c r="I26" s="269">
        <f>IFERROR(VLOOKUP(F26,'Master Data'!B:B,1,FALSE),0)</f>
        <v>61700030</v>
      </c>
    </row>
    <row r="27" spans="2:9" s="269" customFormat="1" x14ac:dyDescent="0.25">
      <c r="B27" s="274" t="s">
        <v>781</v>
      </c>
      <c r="C27" s="275" t="s">
        <v>163</v>
      </c>
      <c r="D27" s="275" t="s">
        <v>254</v>
      </c>
      <c r="E27" s="275" t="str">
        <f>IFERROR(VLOOKUP(D27,'Master Data'!D:E,2,FALSE),0)</f>
        <v>SCM WAREHOUSE SPC</v>
      </c>
      <c r="F27" s="275">
        <v>61700070</v>
      </c>
      <c r="G27" s="275" t="s">
        <v>163</v>
      </c>
      <c r="H27" s="276"/>
      <c r="I27" s="269">
        <f>IFERROR(VLOOKUP(F27,'Master Data'!B:B,1,FALSE),0)</f>
        <v>61700070</v>
      </c>
    </row>
    <row r="28" spans="2:9" s="269" customFormat="1" x14ac:dyDescent="0.25">
      <c r="B28" s="274" t="s">
        <v>782</v>
      </c>
      <c r="C28" s="275" t="s">
        <v>208</v>
      </c>
      <c r="D28" s="275" t="s">
        <v>254</v>
      </c>
      <c r="E28" s="275" t="str">
        <f>IFERROR(VLOOKUP(D28,'Master Data'!D:E,2,FALSE),0)</f>
        <v>SCM WAREHOUSE SPC</v>
      </c>
      <c r="F28" s="275">
        <v>62200020</v>
      </c>
      <c r="G28" s="275" t="s">
        <v>208</v>
      </c>
      <c r="H28" s="276" t="s">
        <v>1945</v>
      </c>
      <c r="I28" s="269">
        <f>IFERROR(VLOOKUP(F28,'Master Data'!B:B,1,FALSE),0)</f>
        <v>62200020</v>
      </c>
    </row>
    <row r="29" spans="2:9" s="269" customFormat="1" x14ac:dyDescent="0.25">
      <c r="B29" s="274" t="s">
        <v>783</v>
      </c>
      <c r="C29" s="275" t="s">
        <v>784</v>
      </c>
      <c r="D29" s="275" t="s">
        <v>254</v>
      </c>
      <c r="E29" s="275" t="str">
        <f>IFERROR(VLOOKUP(D29,'Master Data'!D:E,2,FALSE),0)</f>
        <v>SCM WAREHOUSE SPC</v>
      </c>
      <c r="F29" s="275">
        <v>60800020</v>
      </c>
      <c r="G29" s="275" t="s">
        <v>119</v>
      </c>
      <c r="H29" s="276" t="s">
        <v>1946</v>
      </c>
      <c r="I29" s="269">
        <f>IFERROR(VLOOKUP(F29,'Master Data'!B:B,1,FALSE),0)</f>
        <v>60800020</v>
      </c>
    </row>
    <row r="30" spans="2:9" s="269" customFormat="1" x14ac:dyDescent="0.25">
      <c r="B30" s="274" t="s">
        <v>785</v>
      </c>
      <c r="C30" s="275" t="s">
        <v>115</v>
      </c>
      <c r="D30" s="275" t="s">
        <v>254</v>
      </c>
      <c r="E30" s="275" t="str">
        <f>IFERROR(VLOOKUP(D30,'Master Data'!D:E,2,FALSE),0)</f>
        <v>SCM WAREHOUSE SPC</v>
      </c>
      <c r="F30" s="275">
        <v>60700010</v>
      </c>
      <c r="G30" s="275" t="s">
        <v>115</v>
      </c>
      <c r="H30" s="276" t="s">
        <v>1947</v>
      </c>
      <c r="I30" s="269">
        <f>IFERROR(VLOOKUP(F30,'Master Data'!B:B,1,FALSE),0)</f>
        <v>60700010</v>
      </c>
    </row>
    <row r="31" spans="2:9" s="269" customFormat="1" x14ac:dyDescent="0.25">
      <c r="B31" s="274" t="s">
        <v>786</v>
      </c>
      <c r="C31" s="275" t="s">
        <v>787</v>
      </c>
      <c r="D31" s="275" t="s">
        <v>254</v>
      </c>
      <c r="E31" s="275" t="str">
        <f>IFERROR(VLOOKUP(D31,'Master Data'!D:E,2,FALSE),0)</f>
        <v>SCM WAREHOUSE SPC</v>
      </c>
      <c r="F31" s="275">
        <v>61900090</v>
      </c>
      <c r="G31" s="275" t="s">
        <v>184</v>
      </c>
      <c r="H31" s="276"/>
      <c r="I31" s="269">
        <f>IFERROR(VLOOKUP(F31,'Master Data'!B:B,1,FALSE),0)</f>
        <v>61900090</v>
      </c>
    </row>
    <row r="32" spans="2:9" s="269" customFormat="1" x14ac:dyDescent="0.25">
      <c r="B32" s="274" t="s">
        <v>901</v>
      </c>
      <c r="C32" s="275" t="s">
        <v>890</v>
      </c>
      <c r="D32" s="275" t="s">
        <v>254</v>
      </c>
      <c r="E32" s="275" t="str">
        <f>IFERROR(VLOOKUP(D32,'Master Data'!D:E,2,FALSE),0)</f>
        <v>SCM WAREHOUSE SPC</v>
      </c>
      <c r="F32" s="275">
        <v>60800040</v>
      </c>
      <c r="G32" s="275" t="s">
        <v>124</v>
      </c>
      <c r="H32" s="277" t="s">
        <v>1948</v>
      </c>
      <c r="I32" s="269">
        <f>IFERROR(VLOOKUP(F32,'Master Data'!B:B,1,FALSE),0)</f>
        <v>60800040</v>
      </c>
    </row>
    <row r="33" spans="2:9" s="269" customFormat="1" x14ac:dyDescent="0.25">
      <c r="B33" s="274" t="s">
        <v>902</v>
      </c>
      <c r="C33" s="275" t="s">
        <v>891</v>
      </c>
      <c r="D33" s="275" t="s">
        <v>254</v>
      </c>
      <c r="E33" s="275" t="str">
        <f>IFERROR(VLOOKUP(D33,'Master Data'!D:E,2,FALSE),0)</f>
        <v>SCM WAREHOUSE SPC</v>
      </c>
      <c r="F33" s="275">
        <v>60800010</v>
      </c>
      <c r="G33" s="275" t="s">
        <v>117</v>
      </c>
      <c r="H33" s="277"/>
      <c r="I33" s="269">
        <f>IFERROR(VLOOKUP(F33,'Master Data'!B:B,1,FALSE),0)</f>
        <v>60800010</v>
      </c>
    </row>
    <row r="34" spans="2:9" s="269" customFormat="1" x14ac:dyDescent="0.25">
      <c r="B34" s="274" t="s">
        <v>903</v>
      </c>
      <c r="C34" s="275" t="s">
        <v>517</v>
      </c>
      <c r="D34" s="275" t="s">
        <v>275</v>
      </c>
      <c r="E34" s="275" t="str">
        <f>IFERROR(VLOOKUP(D34,'Master Data'!D:E,2,FALSE),0)</f>
        <v>SCM GRADER</v>
      </c>
      <c r="F34" s="275">
        <v>62600020</v>
      </c>
      <c r="G34" s="275" t="s">
        <v>517</v>
      </c>
      <c r="H34" s="277"/>
      <c r="I34" s="269">
        <f>IFERROR(VLOOKUP(F34,'Master Data'!B:B,1,FALSE),0)</f>
        <v>62600020</v>
      </c>
    </row>
    <row r="35" spans="2:9" s="269" customFormat="1" x14ac:dyDescent="0.25">
      <c r="B35" s="274" t="s">
        <v>788</v>
      </c>
      <c r="C35" s="275" t="s">
        <v>789</v>
      </c>
      <c r="D35" s="275" t="s">
        <v>334</v>
      </c>
      <c r="E35" s="275" t="str">
        <f>IFERROR(VLOOKUP(D35,'Master Data'!D:E,2,FALSE),0)</f>
        <v>SCM INVENTORY</v>
      </c>
      <c r="F35" s="275">
        <v>61700070</v>
      </c>
      <c r="G35" s="275" t="s">
        <v>163</v>
      </c>
      <c r="H35" s="277" t="s">
        <v>1949</v>
      </c>
      <c r="I35" s="269">
        <f>IFERROR(VLOOKUP(F35,'Master Data'!B:B,1,FALSE),0)</f>
        <v>61700070</v>
      </c>
    </row>
    <row r="36" spans="2:9" s="269" customFormat="1" x14ac:dyDescent="0.25">
      <c r="B36" s="274" t="s">
        <v>790</v>
      </c>
      <c r="C36" s="275" t="s">
        <v>791</v>
      </c>
      <c r="D36" s="275" t="s">
        <v>334</v>
      </c>
      <c r="E36" s="275" t="str">
        <f>IFERROR(VLOOKUP(D36,'Master Data'!D:E,2,FALSE),0)</f>
        <v>SCM INVENTORY</v>
      </c>
      <c r="F36" s="275">
        <v>62600030</v>
      </c>
      <c r="G36" s="275" t="s">
        <v>226</v>
      </c>
      <c r="H36" s="277" t="s">
        <v>1950</v>
      </c>
      <c r="I36" s="269">
        <f>IFERROR(VLOOKUP(F36,'Master Data'!B:B,1,FALSE),0)</f>
        <v>62600030</v>
      </c>
    </row>
    <row r="37" spans="2:9" s="269" customFormat="1" x14ac:dyDescent="0.25">
      <c r="B37" s="274" t="s">
        <v>792</v>
      </c>
      <c r="C37" s="275" t="s">
        <v>793</v>
      </c>
      <c r="D37" s="275" t="s">
        <v>334</v>
      </c>
      <c r="E37" s="275" t="str">
        <f>IFERROR(VLOOKUP(D37,'Master Data'!D:E,2,FALSE),0)</f>
        <v>SCM INVENTORY</v>
      </c>
      <c r="F37" s="275">
        <v>61900040</v>
      </c>
      <c r="G37" s="275" t="s">
        <v>182</v>
      </c>
      <c r="H37" s="277" t="s">
        <v>793</v>
      </c>
      <c r="I37" s="269">
        <f>IFERROR(VLOOKUP(F37,'Master Data'!B:B,1,FALSE),0)</f>
        <v>61900040</v>
      </c>
    </row>
    <row r="38" spans="2:9" s="269" customFormat="1" x14ac:dyDescent="0.25">
      <c r="B38" s="274" t="s">
        <v>794</v>
      </c>
      <c r="C38" s="275" t="s">
        <v>795</v>
      </c>
      <c r="D38" s="275" t="s">
        <v>336</v>
      </c>
      <c r="E38" s="275" t="str">
        <f>IFERROR(VLOOKUP(D38,'Master Data'!D:E,2,FALSE),0)</f>
        <v>SCM WAREHOUSE FG</v>
      </c>
      <c r="F38" s="275">
        <v>60300010</v>
      </c>
      <c r="G38" s="275" t="s">
        <v>100</v>
      </c>
      <c r="H38" s="277"/>
      <c r="I38" s="269">
        <f>IFERROR(VLOOKUP(F38,'Master Data'!B:B,1,FALSE),0)</f>
        <v>60300010</v>
      </c>
    </row>
    <row r="39" spans="2:9" s="269" customFormat="1" x14ac:dyDescent="0.25">
      <c r="B39" s="274" t="s">
        <v>796</v>
      </c>
      <c r="C39" s="275" t="s">
        <v>797</v>
      </c>
      <c r="D39" s="275" t="s">
        <v>336</v>
      </c>
      <c r="E39" s="275" t="str">
        <f>IFERROR(VLOOKUP(D39,'Master Data'!D:E,2,FALSE),0)</f>
        <v>SCM WAREHOUSE FG</v>
      </c>
      <c r="F39" s="275">
        <v>62200020</v>
      </c>
      <c r="G39" s="275" t="s">
        <v>208</v>
      </c>
      <c r="H39" s="277" t="s">
        <v>1951</v>
      </c>
      <c r="I39" s="269">
        <f>IFERROR(VLOOKUP(F39,'Master Data'!B:B,1,FALSE),0)</f>
        <v>62200020</v>
      </c>
    </row>
    <row r="40" spans="2:9" s="269" customFormat="1" x14ac:dyDescent="0.25">
      <c r="B40" s="274" t="s">
        <v>798</v>
      </c>
      <c r="C40" s="275" t="s">
        <v>821</v>
      </c>
      <c r="D40" s="275" t="s">
        <v>336</v>
      </c>
      <c r="E40" s="275" t="str">
        <f>IFERROR(VLOOKUP(D40,'Master Data'!D:E,2,FALSE),0)</f>
        <v>SCM WAREHOUSE FG</v>
      </c>
      <c r="F40" s="275">
        <v>62600030</v>
      </c>
      <c r="G40" s="275" t="s">
        <v>226</v>
      </c>
      <c r="H40" s="277" t="s">
        <v>821</v>
      </c>
      <c r="I40" s="269">
        <f>IFERROR(VLOOKUP(F40,'Master Data'!B:B,1,FALSE),0)</f>
        <v>62600030</v>
      </c>
    </row>
    <row r="41" spans="2:9" s="269" customFormat="1" x14ac:dyDescent="0.25">
      <c r="B41" s="274" t="s">
        <v>904</v>
      </c>
      <c r="C41" s="275" t="s">
        <v>905</v>
      </c>
      <c r="D41" s="275" t="s">
        <v>336</v>
      </c>
      <c r="E41" s="275" t="str">
        <f>IFERROR(VLOOKUP(D41,'Master Data'!D:E,2,FALSE),0)</f>
        <v>SCM WAREHOUSE FG</v>
      </c>
      <c r="F41" s="275">
        <v>60800020</v>
      </c>
      <c r="G41" s="275" t="s">
        <v>119</v>
      </c>
      <c r="H41" s="276" t="s">
        <v>1946</v>
      </c>
      <c r="I41" s="269">
        <f>IFERROR(VLOOKUP(F41,'Master Data'!B:B,1,FALSE),0)</f>
        <v>60800020</v>
      </c>
    </row>
    <row r="42" spans="2:9" s="269" customFormat="1" x14ac:dyDescent="0.25">
      <c r="B42" s="274" t="s">
        <v>906</v>
      </c>
      <c r="C42" s="275" t="s">
        <v>907</v>
      </c>
      <c r="D42" s="275" t="s">
        <v>336</v>
      </c>
      <c r="E42" s="275" t="str">
        <f>IFERROR(VLOOKUP(D42,'Master Data'!D:E,2,FALSE),0)</f>
        <v>SCM WAREHOUSE FG</v>
      </c>
      <c r="F42" s="275">
        <v>61900040</v>
      </c>
      <c r="G42" s="275" t="s">
        <v>182</v>
      </c>
      <c r="H42" s="277" t="s">
        <v>793</v>
      </c>
      <c r="I42" s="269">
        <f>IFERROR(VLOOKUP(F42,'Master Data'!B:B,1,FALSE),0)</f>
        <v>61900040</v>
      </c>
    </row>
    <row r="43" spans="2:9" s="269" customFormat="1" x14ac:dyDescent="0.25">
      <c r="B43" s="274" t="s">
        <v>908</v>
      </c>
      <c r="C43" s="275" t="s">
        <v>909</v>
      </c>
      <c r="D43" s="275" t="s">
        <v>336</v>
      </c>
      <c r="E43" s="275" t="str">
        <f>IFERROR(VLOOKUP(D43,'Master Data'!D:E,2,FALSE),0)</f>
        <v>SCM WAREHOUSE FG</v>
      </c>
      <c r="F43" s="275">
        <v>60300010</v>
      </c>
      <c r="G43" s="275" t="s">
        <v>100</v>
      </c>
      <c r="H43" s="277"/>
      <c r="I43" s="269">
        <f>IFERROR(VLOOKUP(F43,'Master Data'!B:B,1,FALSE),0)</f>
        <v>60300010</v>
      </c>
    </row>
    <row r="44" spans="2:9" s="269" customFormat="1" x14ac:dyDescent="0.25">
      <c r="B44" s="274" t="s">
        <v>910</v>
      </c>
      <c r="C44" s="275" t="s">
        <v>911</v>
      </c>
      <c r="D44" s="275" t="s">
        <v>336</v>
      </c>
      <c r="E44" s="275" t="str">
        <f>IFERROR(VLOOKUP(D44,'Master Data'!D:E,2,FALSE),0)</f>
        <v>SCM WAREHOUSE FG</v>
      </c>
      <c r="F44" s="275">
        <v>60300010</v>
      </c>
      <c r="G44" s="275" t="s">
        <v>100</v>
      </c>
      <c r="H44" s="277"/>
      <c r="I44" s="269">
        <f>IFERROR(VLOOKUP(F44,'Master Data'!B:B,1,FALSE),0)</f>
        <v>60300010</v>
      </c>
    </row>
    <row r="45" spans="2:9" s="269" customFormat="1" x14ac:dyDescent="0.25">
      <c r="B45" s="274" t="s">
        <v>912</v>
      </c>
      <c r="C45" s="275" t="s">
        <v>913</v>
      </c>
      <c r="D45" s="275" t="s">
        <v>336</v>
      </c>
      <c r="E45" s="275" t="str">
        <f>IFERROR(VLOOKUP(D45,'Master Data'!D:E,2,FALSE),0)</f>
        <v>SCM WAREHOUSE FG</v>
      </c>
      <c r="F45" s="275">
        <v>60300010</v>
      </c>
      <c r="G45" s="275" t="s">
        <v>100</v>
      </c>
      <c r="H45" s="277"/>
      <c r="I45" s="269">
        <f>IFERROR(VLOOKUP(F45,'Master Data'!B:B,1,FALSE),0)</f>
        <v>60300010</v>
      </c>
    </row>
    <row r="46" spans="2:9" s="269" customFormat="1" x14ac:dyDescent="0.25">
      <c r="B46" s="274" t="s">
        <v>799</v>
      </c>
      <c r="C46" s="275" t="s">
        <v>914</v>
      </c>
      <c r="D46" s="275" t="s">
        <v>336</v>
      </c>
      <c r="E46" s="275" t="str">
        <f>IFERROR(VLOOKUP(D46,'Master Data'!D:E,2,FALSE),0)</f>
        <v>SCM WAREHOUSE FG</v>
      </c>
      <c r="F46" s="275">
        <v>62600030</v>
      </c>
      <c r="G46" s="275" t="s">
        <v>226</v>
      </c>
      <c r="H46" s="277"/>
      <c r="I46" s="269">
        <f>IFERROR(VLOOKUP(F46,'Master Data'!B:B,1,FALSE),0)</f>
        <v>62600030</v>
      </c>
    </row>
    <row r="47" spans="2:9" s="269" customFormat="1" x14ac:dyDescent="0.25">
      <c r="B47" s="274" t="s">
        <v>800</v>
      </c>
      <c r="C47" s="275" t="s">
        <v>801</v>
      </c>
      <c r="D47" s="275" t="s">
        <v>336</v>
      </c>
      <c r="E47" s="275" t="str">
        <f>IFERROR(VLOOKUP(D47,'Master Data'!D:E,2,FALSE),0)</f>
        <v>SCM WAREHOUSE FG</v>
      </c>
      <c r="F47" s="275">
        <v>61800010</v>
      </c>
      <c r="G47" s="275" t="s">
        <v>165</v>
      </c>
      <c r="H47" s="277"/>
      <c r="I47" s="269">
        <f>IFERROR(VLOOKUP(F47,'Master Data'!B:B,1,FALSE),0)</f>
        <v>61800010</v>
      </c>
    </row>
    <row r="48" spans="2:9" s="269" customFormat="1" x14ac:dyDescent="0.25">
      <c r="B48" s="274" t="s">
        <v>915</v>
      </c>
      <c r="C48" s="275" t="s">
        <v>916</v>
      </c>
      <c r="D48" s="275" t="s">
        <v>336</v>
      </c>
      <c r="E48" s="275" t="str">
        <f>IFERROR(VLOOKUP(D48,'Master Data'!D:E,2,FALSE),0)</f>
        <v>SCM WAREHOUSE FG</v>
      </c>
      <c r="F48" s="275">
        <v>60300010</v>
      </c>
      <c r="G48" s="275" t="s">
        <v>100</v>
      </c>
      <c r="H48" s="277"/>
      <c r="I48" s="269">
        <f>IFERROR(VLOOKUP(F48,'Master Data'!B:B,1,FALSE),0)</f>
        <v>60300010</v>
      </c>
    </row>
    <row r="49" spans="2:9" s="269" customFormat="1" x14ac:dyDescent="0.25">
      <c r="B49" s="274" t="s">
        <v>802</v>
      </c>
      <c r="C49" s="275" t="s">
        <v>803</v>
      </c>
      <c r="D49" s="275" t="s">
        <v>336</v>
      </c>
      <c r="E49" s="275" t="str">
        <f>IFERROR(VLOOKUP(D49,'Master Data'!D:E,2,FALSE),0)</f>
        <v>SCM WAREHOUSE FG</v>
      </c>
      <c r="F49" s="275">
        <v>60300010</v>
      </c>
      <c r="G49" s="275" t="s">
        <v>100</v>
      </c>
      <c r="H49" s="277" t="s">
        <v>1952</v>
      </c>
      <c r="I49" s="269">
        <f>IFERROR(VLOOKUP(F49,'Master Data'!B:B,1,FALSE),0)</f>
        <v>60300010</v>
      </c>
    </row>
    <row r="50" spans="2:9" s="269" customFormat="1" x14ac:dyDescent="0.25">
      <c r="B50" s="274" t="s">
        <v>804</v>
      </c>
      <c r="C50" s="275" t="s">
        <v>805</v>
      </c>
      <c r="D50" s="275" t="s">
        <v>336</v>
      </c>
      <c r="E50" s="275" t="str">
        <f>IFERROR(VLOOKUP(D50,'Master Data'!D:E,2,FALSE),0)</f>
        <v>SCM WAREHOUSE FG</v>
      </c>
      <c r="F50" s="275">
        <v>60300010</v>
      </c>
      <c r="G50" s="275" t="s">
        <v>100</v>
      </c>
      <c r="H50" s="277" t="s">
        <v>1952</v>
      </c>
      <c r="I50" s="269">
        <f>IFERROR(VLOOKUP(F50,'Master Data'!B:B,1,FALSE),0)</f>
        <v>60300010</v>
      </c>
    </row>
    <row r="51" spans="2:9" s="269" customFormat="1" x14ac:dyDescent="0.25">
      <c r="B51" s="274" t="s">
        <v>806</v>
      </c>
      <c r="C51" s="275" t="s">
        <v>945</v>
      </c>
      <c r="D51" s="275" t="s">
        <v>336</v>
      </c>
      <c r="E51" s="275" t="str">
        <f>IFERROR(VLOOKUP(D51,'Master Data'!D:E,2,FALSE),0)</f>
        <v>SCM WAREHOUSE FG</v>
      </c>
      <c r="F51" s="275">
        <v>62100050</v>
      </c>
      <c r="G51" s="275" t="s">
        <v>456</v>
      </c>
      <c r="H51" s="277" t="s">
        <v>945</v>
      </c>
      <c r="I51" s="269">
        <f>IFERROR(VLOOKUP(F51,'Master Data'!B:B,1,FALSE),0)</f>
        <v>62100050</v>
      </c>
    </row>
    <row r="52" spans="2:9" s="269" customFormat="1" x14ac:dyDescent="0.25">
      <c r="B52" s="274" t="s">
        <v>900</v>
      </c>
      <c r="C52" s="275" t="s">
        <v>946</v>
      </c>
      <c r="D52" s="275" t="s">
        <v>254</v>
      </c>
      <c r="E52" s="275" t="str">
        <f>IFERROR(VLOOKUP(D52,'Master Data'!D:E,2,FALSE),0)</f>
        <v>SCM WAREHOUSE SPC</v>
      </c>
      <c r="F52" s="275">
        <v>62100050</v>
      </c>
      <c r="G52" s="275" t="s">
        <v>456</v>
      </c>
      <c r="H52" s="277" t="s">
        <v>945</v>
      </c>
      <c r="I52" s="269">
        <f>IFERROR(VLOOKUP(F52,'Master Data'!B:B,1,FALSE),0)</f>
        <v>62100050</v>
      </c>
    </row>
    <row r="53" spans="2:9" s="269" customFormat="1" x14ac:dyDescent="0.25">
      <c r="B53" s="274" t="s">
        <v>917</v>
      </c>
      <c r="C53" s="275" t="s">
        <v>892</v>
      </c>
      <c r="D53" s="275" t="s">
        <v>336</v>
      </c>
      <c r="E53" s="275" t="str">
        <f>IFERROR(VLOOKUP(D53,'Master Data'!D:E,2,FALSE),0)</f>
        <v>SCM WAREHOUSE FG</v>
      </c>
      <c r="F53" s="275">
        <v>60800010</v>
      </c>
      <c r="G53" s="275" t="s">
        <v>117</v>
      </c>
      <c r="H53" s="277"/>
      <c r="I53" s="269">
        <f>IFERROR(VLOOKUP(F53,'Master Data'!B:B,1,FALSE),0)</f>
        <v>60800010</v>
      </c>
    </row>
    <row r="54" spans="2:9" s="269" customFormat="1" x14ac:dyDescent="0.25">
      <c r="B54" s="274" t="s">
        <v>918</v>
      </c>
      <c r="C54" s="275" t="s">
        <v>893</v>
      </c>
      <c r="D54" s="275" t="s">
        <v>336</v>
      </c>
      <c r="E54" s="275" t="str">
        <f>IFERROR(VLOOKUP(D54,'Master Data'!D:E,2,FALSE),0)</f>
        <v>SCM WAREHOUSE FG</v>
      </c>
      <c r="F54" s="275">
        <v>60800020</v>
      </c>
      <c r="G54" s="275" t="s">
        <v>119</v>
      </c>
      <c r="H54" s="277"/>
      <c r="I54" s="269">
        <f>IFERROR(VLOOKUP(F54,'Master Data'!B:B,1,FALSE),0)</f>
        <v>60800020</v>
      </c>
    </row>
    <row r="55" spans="2:9" s="269" customFormat="1" x14ac:dyDescent="0.25">
      <c r="B55" s="274"/>
      <c r="C55" s="275"/>
      <c r="D55" s="275"/>
      <c r="E55" s="275"/>
      <c r="F55" s="275"/>
      <c r="G55" s="275"/>
      <c r="H55" s="277"/>
    </row>
    <row r="56" spans="2:9" s="269" customFormat="1" x14ac:dyDescent="0.25">
      <c r="B56" s="274"/>
      <c r="C56" s="275"/>
      <c r="D56" s="275"/>
      <c r="E56" s="275"/>
      <c r="F56" s="275"/>
      <c r="G56" s="275"/>
      <c r="H56" s="277"/>
    </row>
    <row r="57" spans="2:9" s="269" customFormat="1" x14ac:dyDescent="0.25">
      <c r="B57" s="274"/>
      <c r="C57" s="275"/>
      <c r="D57" s="275"/>
      <c r="E57" s="275"/>
      <c r="F57" s="275"/>
      <c r="G57" s="275"/>
      <c r="H57" s="277"/>
    </row>
    <row r="58" spans="2:9" s="269" customFormat="1" x14ac:dyDescent="0.25">
      <c r="B58" s="274"/>
      <c r="C58" s="275"/>
      <c r="D58" s="275"/>
      <c r="E58" s="275"/>
      <c r="F58" s="275"/>
      <c r="G58" s="275"/>
      <c r="H58" s="277"/>
    </row>
    <row r="59" spans="2:9" s="269" customFormat="1" x14ac:dyDescent="0.25">
      <c r="B59" s="274"/>
      <c r="C59" s="275"/>
      <c r="D59" s="275"/>
      <c r="E59" s="275"/>
      <c r="F59" s="275"/>
      <c r="G59" s="275"/>
      <c r="H59" s="277"/>
    </row>
    <row r="60" spans="2:9" s="269" customFormat="1" x14ac:dyDescent="0.25">
      <c r="B60" s="274"/>
      <c r="C60" s="275"/>
      <c r="D60" s="275"/>
      <c r="E60" s="275"/>
      <c r="F60" s="275"/>
      <c r="G60" s="275"/>
      <c r="H60" s="276"/>
    </row>
    <row r="61" spans="2:9" s="269" customFormat="1" x14ac:dyDescent="0.25">
      <c r="B61" s="274"/>
      <c r="C61" s="275"/>
      <c r="D61" s="275"/>
      <c r="E61" s="275"/>
      <c r="F61" s="275"/>
      <c r="G61" s="275"/>
      <c r="H61" s="276"/>
    </row>
    <row r="62" spans="2:9" x14ac:dyDescent="0.25">
      <c r="B62" s="278"/>
      <c r="C62" s="279"/>
      <c r="D62" s="280"/>
      <c r="E62" s="280"/>
      <c r="F62" s="279"/>
      <c r="G62" s="280" t="s">
        <v>820</v>
      </c>
      <c r="H62" s="281"/>
    </row>
    <row r="63" spans="2:9" ht="15.75" thickBot="1" x14ac:dyDescent="0.3">
      <c r="B63" s="282"/>
      <c r="C63" s="283"/>
      <c r="D63" s="283"/>
      <c r="E63" s="283"/>
      <c r="F63" s="283"/>
      <c r="G63" s="283"/>
      <c r="H63" s="284"/>
    </row>
    <row r="64" spans="2:9" ht="15.75" thickBot="1" x14ac:dyDescent="0.3"/>
    <row r="65" spans="2:9" ht="21" customHeight="1" x14ac:dyDescent="0.35">
      <c r="B65" s="425" t="s">
        <v>922</v>
      </c>
      <c r="C65" s="426"/>
      <c r="D65" s="426"/>
      <c r="E65" s="426"/>
      <c r="F65" s="426"/>
      <c r="G65" s="426"/>
      <c r="H65" s="427"/>
      <c r="I65" s="421" t="s">
        <v>567</v>
      </c>
    </row>
    <row r="66" spans="2:9" x14ac:dyDescent="0.25">
      <c r="B66" s="363" t="s">
        <v>552</v>
      </c>
      <c r="C66" s="364" t="s">
        <v>465</v>
      </c>
      <c r="D66" s="364" t="s">
        <v>46</v>
      </c>
      <c r="E66" s="364" t="s">
        <v>463</v>
      </c>
      <c r="F66" s="364" t="s">
        <v>464</v>
      </c>
      <c r="G66" s="364" t="s">
        <v>464</v>
      </c>
      <c r="H66" s="365" t="s">
        <v>342</v>
      </c>
      <c r="I66" s="422"/>
    </row>
    <row r="67" spans="2:9" x14ac:dyDescent="0.25">
      <c r="B67" s="366"/>
      <c r="C67" s="190"/>
      <c r="D67" s="367">
        <f>IFERROR(VLOOKUP(E67,'Master Data'!$E$59:$L$146,8,FALSE),0)</f>
        <v>0</v>
      </c>
      <c r="F67" s="368">
        <f>IFERROR(VLOOKUP(G67,'Master Data'!$C$233:$H$331,6,FALSE),0)</f>
        <v>0</v>
      </c>
      <c r="H67" s="369"/>
      <c r="I67" s="378" t="str">
        <f t="shared" ref="I67:I72" si="0">IF(B67="","",IF(AND(RIGHT(D67,5)=LEFT(B67,5),MID(B67,6,1)="-",COUNTIFS(B:B,"*"&amp;RIGHT(B67,5))=1),"Benar","Salah"))</f>
        <v/>
      </c>
    </row>
    <row r="68" spans="2:9" x14ac:dyDescent="0.25">
      <c r="B68" s="366"/>
      <c r="C68" s="190"/>
      <c r="D68" s="367">
        <f>IFERROR(VLOOKUP(E68,'Master Data'!$E$59:$L$146,8,FALSE),0)</f>
        <v>0</v>
      </c>
      <c r="F68" s="368">
        <f>IFERROR(VLOOKUP(G68,'Master Data'!$C$233:$H$331,6,FALSE),0)</f>
        <v>0</v>
      </c>
      <c r="H68" s="369"/>
      <c r="I68" s="378" t="str">
        <f t="shared" si="0"/>
        <v/>
      </c>
    </row>
    <row r="69" spans="2:9" x14ac:dyDescent="0.25">
      <c r="B69" s="366"/>
      <c r="C69" s="190"/>
      <c r="D69" s="367">
        <f>IFERROR(VLOOKUP(E69,'Master Data'!$E$59:$L$146,8,FALSE),0)</f>
        <v>0</v>
      </c>
      <c r="F69" s="368">
        <f>IFERROR(VLOOKUP(G69,'Master Data'!$C$233:$H$331,6,FALSE),0)</f>
        <v>0</v>
      </c>
      <c r="H69" s="369"/>
      <c r="I69" s="378" t="str">
        <f t="shared" si="0"/>
        <v/>
      </c>
    </row>
    <row r="70" spans="2:9" x14ac:dyDescent="0.25">
      <c r="B70" s="366"/>
      <c r="C70" s="190"/>
      <c r="D70" s="367">
        <f>IFERROR(VLOOKUP(E70,'Master Data'!$E$59:$L$146,8,FALSE),0)</f>
        <v>0</v>
      </c>
      <c r="F70" s="368">
        <f>IFERROR(VLOOKUP(G70,'Master Data'!$C$233:$H$331,6,FALSE),0)</f>
        <v>0</v>
      </c>
      <c r="H70" s="369"/>
      <c r="I70" s="378" t="str">
        <f t="shared" si="0"/>
        <v/>
      </c>
    </row>
    <row r="71" spans="2:9" x14ac:dyDescent="0.25">
      <c r="B71" s="366"/>
      <c r="C71" s="190"/>
      <c r="D71" s="367">
        <f>IFERROR(VLOOKUP(E71,'Master Data'!$E$59:$L$146,8,FALSE),0)</f>
        <v>0</v>
      </c>
      <c r="F71" s="368">
        <f>IFERROR(VLOOKUP(G71,'Master Data'!$C$233:$H$331,6,FALSE),0)</f>
        <v>0</v>
      </c>
      <c r="H71" s="369"/>
      <c r="I71" s="378" t="str">
        <f t="shared" si="0"/>
        <v/>
      </c>
    </row>
    <row r="72" spans="2:9" x14ac:dyDescent="0.25">
      <c r="B72" s="366"/>
      <c r="C72" s="190"/>
      <c r="D72" s="367">
        <f>IFERROR(VLOOKUP(E72,'Master Data'!$E$59:$L$146,8,FALSE),0)</f>
        <v>0</v>
      </c>
      <c r="F72" s="368">
        <f>IFERROR(VLOOKUP(G72,'Master Data'!$C$233:$H$331,6,FALSE),0)</f>
        <v>0</v>
      </c>
      <c r="H72" s="369"/>
      <c r="I72" s="378" t="str">
        <f t="shared" si="0"/>
        <v/>
      </c>
    </row>
    <row r="73" spans="2:9" x14ac:dyDescent="0.25">
      <c r="B73" s="366"/>
      <c r="C73" s="190"/>
      <c r="D73" s="367">
        <f>IFERROR(VLOOKUP(E73,'Master Data'!$E$59:$L$146,8,FALSE),0)</f>
        <v>0</v>
      </c>
      <c r="F73" s="368">
        <f>IFERROR(VLOOKUP(G73,'Master Data'!$C$233:$H$331,6,FALSE),0)</f>
        <v>0</v>
      </c>
      <c r="H73" s="369"/>
      <c r="I73" s="378"/>
    </row>
    <row r="74" spans="2:9" x14ac:dyDescent="0.25">
      <c r="B74" s="366"/>
      <c r="C74" s="190"/>
      <c r="D74" s="367">
        <f>IFERROR(VLOOKUP(E74,'Master Data'!$E$59:$L$146,8,FALSE),0)</f>
        <v>0</v>
      </c>
      <c r="F74" s="368">
        <f>IFERROR(VLOOKUP(G74,'Master Data'!$C$233:$H$331,6,FALSE),0)</f>
        <v>0</v>
      </c>
      <c r="H74" s="369"/>
      <c r="I74" s="378"/>
    </row>
    <row r="75" spans="2:9" x14ac:dyDescent="0.25">
      <c r="B75" s="366"/>
      <c r="C75" s="190"/>
      <c r="D75" s="367">
        <f>IFERROR(VLOOKUP(E75,'Master Data'!$E$59:$L$146,8,FALSE),0)</f>
        <v>0</v>
      </c>
      <c r="F75" s="368">
        <f>IFERROR(VLOOKUP(G75,'Master Data'!$C$233:$H$331,6,FALSE),0)</f>
        <v>0</v>
      </c>
      <c r="H75" s="369"/>
      <c r="I75" s="378" t="str">
        <f>IF(B75="","",IF(AND(RIGHT(D75,5)=LEFT(B75,5),MID(B75,6,1)="-",COUNTIFS(B:B,"*"&amp;RIGHT(B75,5))=1),"Benar","Salah"))</f>
        <v/>
      </c>
    </row>
    <row r="76" spans="2:9" ht="15.75" thickBot="1" x14ac:dyDescent="0.3">
      <c r="B76" s="376"/>
      <c r="C76" s="377"/>
      <c r="D76" s="373">
        <f>IFERROR(VLOOKUP(E76,'Master Data'!$E$59:$L$146,8,FALSE),0)</f>
        <v>0</v>
      </c>
      <c r="E76" s="372"/>
      <c r="F76" s="374">
        <f>IFERROR(VLOOKUP(G76,'Master Data'!$C$233:$H$331,6,FALSE),0)</f>
        <v>0</v>
      </c>
      <c r="G76" s="372"/>
      <c r="H76" s="375"/>
      <c r="I76" s="379" t="str">
        <f>IF(B76="","",IF(AND(RIGHT(D76,5)=LEFT(B76,5),MID(B76,6,1)="-",COUNTIFS(B:B,"*"&amp;RIGHT(B76,5))=1),"Benar","Salah"))</f>
        <v/>
      </c>
    </row>
    <row r="78" spans="2:9" ht="15.75" thickBot="1" x14ac:dyDescent="0.3"/>
    <row r="79" spans="2:9" ht="21" x14ac:dyDescent="0.35">
      <c r="B79" s="425" t="s">
        <v>1429</v>
      </c>
      <c r="C79" s="426"/>
      <c r="D79" s="426"/>
      <c r="E79" s="426"/>
      <c r="F79" s="426"/>
      <c r="G79" s="426"/>
      <c r="H79" s="427"/>
      <c r="I79" s="428"/>
    </row>
    <row r="80" spans="2:9" x14ac:dyDescent="0.25">
      <c r="B80" s="363" t="s">
        <v>552</v>
      </c>
      <c r="C80" s="364" t="s">
        <v>465</v>
      </c>
      <c r="D80" s="364" t="s">
        <v>46</v>
      </c>
      <c r="E80" s="364" t="s">
        <v>463</v>
      </c>
      <c r="F80" s="364" t="s">
        <v>464</v>
      </c>
      <c r="G80" s="364" t="s">
        <v>464</v>
      </c>
      <c r="H80" s="365" t="s">
        <v>342</v>
      </c>
      <c r="I80" s="428"/>
    </row>
    <row r="81" spans="2:9" x14ac:dyDescent="0.25">
      <c r="B81" s="366"/>
      <c r="C81" s="190"/>
      <c r="D81" s="367">
        <f>IFERROR(VLOOKUP(E81,'Master Data'!$E$59:$L$146,8,FALSE),0)</f>
        <v>0</v>
      </c>
      <c r="F81" s="368">
        <f>IFERROR(VLOOKUP(G81,'Master Data'!$C$233:$H$331,6,FALSE),0)</f>
        <v>0</v>
      </c>
      <c r="H81" s="369"/>
      <c r="I81" s="161"/>
    </row>
    <row r="82" spans="2:9" x14ac:dyDescent="0.25">
      <c r="B82" s="366"/>
      <c r="C82" s="190"/>
      <c r="D82" s="367">
        <f>IFERROR(VLOOKUP(E82,'Master Data'!$E$59:$L$146,8,FALSE),0)</f>
        <v>0</v>
      </c>
      <c r="F82" s="368">
        <f>IFERROR(VLOOKUP(G82,'Master Data'!$C$233:$H$331,6,FALSE),0)</f>
        <v>0</v>
      </c>
      <c r="H82" s="369"/>
      <c r="I82" s="161"/>
    </row>
    <row r="83" spans="2:9" x14ac:dyDescent="0.25">
      <c r="B83" s="366"/>
      <c r="C83" s="190"/>
      <c r="D83" s="367">
        <f>IFERROR(VLOOKUP(E83,'Master Data'!$E$59:$L$146,8,FALSE),0)</f>
        <v>0</v>
      </c>
      <c r="F83" s="368">
        <f>IFERROR(VLOOKUP(G83,'Master Data'!$C$233:$H$331,6,FALSE),0)</f>
        <v>0</v>
      </c>
      <c r="H83" s="369"/>
      <c r="I83" s="161"/>
    </row>
    <row r="84" spans="2:9" x14ac:dyDescent="0.25">
      <c r="B84" s="366"/>
      <c r="C84" s="190"/>
      <c r="D84" s="367">
        <f>IFERROR(VLOOKUP(E84,'Master Data'!$E$59:$L$146,8,FALSE),0)</f>
        <v>0</v>
      </c>
      <c r="F84" s="368">
        <f>IFERROR(VLOOKUP(G84,'Master Data'!$C$233:$H$331,6,FALSE),0)</f>
        <v>0</v>
      </c>
      <c r="H84" s="369"/>
      <c r="I84" s="161"/>
    </row>
    <row r="85" spans="2:9" x14ac:dyDescent="0.25">
      <c r="B85" s="366"/>
      <c r="C85" s="190"/>
      <c r="D85" s="367">
        <f>IFERROR(VLOOKUP(E85,'Master Data'!$E$59:$L$146,8,FALSE),0)</f>
        <v>0</v>
      </c>
      <c r="F85" s="368">
        <f>IFERROR(VLOOKUP(G85,'Master Data'!$C$233:$H$331,6,FALSE),0)</f>
        <v>0</v>
      </c>
      <c r="H85" s="369"/>
      <c r="I85" s="161"/>
    </row>
    <row r="86" spans="2:9" x14ac:dyDescent="0.25">
      <c r="B86" s="366"/>
      <c r="C86" s="190"/>
      <c r="D86" s="367">
        <f>IFERROR(VLOOKUP(E86,'Master Data'!$E$59:$L$146,8,FALSE),0)</f>
        <v>0</v>
      </c>
      <c r="F86" s="368">
        <f>IFERROR(VLOOKUP(G86,'Master Data'!$C$233:$H$331,6,FALSE),0)</f>
        <v>0</v>
      </c>
      <c r="H86" s="369"/>
      <c r="I86" s="161"/>
    </row>
    <row r="87" spans="2:9" x14ac:dyDescent="0.25">
      <c r="B87" s="366"/>
      <c r="C87" s="190"/>
      <c r="D87" s="367">
        <f>IFERROR(VLOOKUP(E87,'Master Data'!$E$59:$L$146,8,FALSE),0)</f>
        <v>0</v>
      </c>
      <c r="F87" s="368">
        <f>IFERROR(VLOOKUP(G87,'Master Data'!$C$233:$H$331,6,FALSE),0)</f>
        <v>0</v>
      </c>
      <c r="H87" s="369"/>
      <c r="I87" s="161"/>
    </row>
    <row r="88" spans="2:9" x14ac:dyDescent="0.25">
      <c r="B88" s="366"/>
      <c r="C88" s="190"/>
      <c r="D88" s="367">
        <f>IFERROR(VLOOKUP(E88,'Master Data'!$E$59:$L$146,8,FALSE),0)</f>
        <v>0</v>
      </c>
      <c r="F88" s="368">
        <f>IFERROR(VLOOKUP(G88,'Master Data'!$C$233:$H$331,6,FALSE),0)</f>
        <v>0</v>
      </c>
      <c r="H88" s="369"/>
      <c r="I88" s="161"/>
    </row>
    <row r="89" spans="2:9" x14ac:dyDescent="0.25">
      <c r="B89" s="370"/>
      <c r="D89" s="367">
        <f>IFERROR(VLOOKUP(E89,'Master Data'!$E$59:$L$146,8,FALSE),0)</f>
        <v>0</v>
      </c>
      <c r="F89" s="368">
        <f>IFERROR(VLOOKUP(G89,'Master Data'!$C$233:$H$331,6,FALSE),0)</f>
        <v>0</v>
      </c>
      <c r="H89" s="369"/>
    </row>
    <row r="90" spans="2:9" ht="15.75" thickBot="1" x14ac:dyDescent="0.3">
      <c r="B90" s="371"/>
      <c r="C90" s="372"/>
      <c r="D90" s="373">
        <f>IFERROR(VLOOKUP(E90,'Master Data'!$E$59:$L$146,8,FALSE),0)</f>
        <v>0</v>
      </c>
      <c r="E90" s="372"/>
      <c r="F90" s="374">
        <f>IFERROR(VLOOKUP(G90,'Master Data'!$C$233:$H$331,6,FALSE),0)</f>
        <v>0</v>
      </c>
      <c r="G90" s="372"/>
      <c r="H90" s="375"/>
    </row>
  </sheetData>
  <sheetProtection autoFilter="0"/>
  <autoFilter ref="B3:G88" xr:uid="{00000000-0009-0000-0000-000004000000}"/>
  <mergeCells count="5">
    <mergeCell ref="I65:I66"/>
    <mergeCell ref="B2:H2"/>
    <mergeCell ref="B65:H65"/>
    <mergeCell ref="B79:H79"/>
    <mergeCell ref="I79:I80"/>
  </mergeCells>
  <pageMargins left="0.7" right="0.7" top="0.75" bottom="0.75" header="0.3" footer="0.3"/>
  <pageSetup orientation="portrait" r:id="rId1"/>
  <ignoredErrors>
    <ignoredError sqref="D67 D75:D76 D68:D72 D81:E84 D89:E90 D85:D87 D88:E88 D73:D74 F81:F90 E73:E74 E67:F67 E75:H76 F73:H74 E69:H72 E68:F68 H68 H67"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96FC1D1E-E415-4763-BBAD-3941BA00E156}">
          <x14:formula1>
            <xm:f>'Master Data'!$E$137:$E$142</xm:f>
          </x14:formula1>
          <xm:sqref>E67:E76 E81:E90</xm:sqref>
        </x14:dataValidation>
        <x14:dataValidation type="list" allowBlank="1" showInputMessage="1" showErrorMessage="1" xr:uid="{0EBD60C6-F529-4163-B6F5-439E41C067D9}">
          <x14:formula1>
            <xm:f>'Master Data'!$C$233:$C$331</xm:f>
          </x14:formula1>
          <xm:sqref>G67:G76 G81:G90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568B-AC81-4282-B122-0D09CFD22ACD}">
  <dimension ref="B2:L373"/>
  <sheetViews>
    <sheetView zoomScale="80" zoomScaleNormal="80" workbookViewId="0">
      <selection activeCell="A350" sqref="A350"/>
    </sheetView>
  </sheetViews>
  <sheetFormatPr defaultColWidth="9.140625" defaultRowHeight="15" outlineLevelRow="1" x14ac:dyDescent="0.25"/>
  <cols>
    <col min="1" max="1" width="4.140625" style="160" customWidth="1"/>
    <col min="2" max="2" width="26.5703125" style="160" bestFit="1" customWidth="1"/>
    <col min="3" max="3" width="30.85546875" style="160" bestFit="1" customWidth="1"/>
    <col min="4" max="4" width="39.5703125" style="160" customWidth="1"/>
    <col min="5" max="5" width="24.42578125" style="160" bestFit="1" customWidth="1"/>
    <col min="6" max="6" width="30.28515625" style="160" bestFit="1" customWidth="1"/>
    <col min="7" max="7" width="3.42578125" style="160" customWidth="1"/>
    <col min="8" max="8" width="20.42578125" style="161" customWidth="1"/>
    <col min="9" max="9" width="27.5703125" style="161" customWidth="1"/>
    <col min="10" max="10" width="32.85546875" style="160" bestFit="1" customWidth="1"/>
    <col min="11" max="11" width="9.140625" style="160"/>
    <col min="12" max="12" width="16.5703125" style="160" customWidth="1"/>
    <col min="13" max="14" width="9.140625" style="160"/>
    <col min="15" max="15" width="30.85546875" style="160" bestFit="1" customWidth="1"/>
    <col min="16" max="16" width="25.85546875" style="160" bestFit="1" customWidth="1"/>
    <col min="17" max="16384" width="9.140625" style="160"/>
  </cols>
  <sheetData>
    <row r="2" spans="2:9" s="157" customFormat="1" x14ac:dyDescent="0.25">
      <c r="B2" s="156" t="s">
        <v>234</v>
      </c>
      <c r="H2" s="158"/>
      <c r="I2" s="158"/>
    </row>
    <row r="4" spans="2:9" outlineLevel="1" x14ac:dyDescent="0.25">
      <c r="B4" s="159" t="s">
        <v>234</v>
      </c>
      <c r="C4" s="159" t="s">
        <v>250</v>
      </c>
    </row>
    <row r="5" spans="2:9" outlineLevel="1" x14ac:dyDescent="0.25">
      <c r="B5" s="162" t="s">
        <v>961</v>
      </c>
      <c r="C5" s="162" t="s">
        <v>690</v>
      </c>
    </row>
    <row r="6" spans="2:9" outlineLevel="1" x14ac:dyDescent="0.25">
      <c r="B6" s="162" t="s">
        <v>962</v>
      </c>
      <c r="C6" s="162" t="s">
        <v>692</v>
      </c>
    </row>
    <row r="7" spans="2:9" outlineLevel="1" x14ac:dyDescent="0.25">
      <c r="B7" s="162" t="s">
        <v>965</v>
      </c>
      <c r="C7" s="162" t="s">
        <v>1431</v>
      </c>
    </row>
    <row r="8" spans="2:9" outlineLevel="1" x14ac:dyDescent="0.25">
      <c r="B8" s="162" t="s">
        <v>22</v>
      </c>
      <c r="C8" s="162" t="s">
        <v>22</v>
      </c>
    </row>
    <row r="9" spans="2:9" outlineLevel="1" x14ac:dyDescent="0.25">
      <c r="B9" s="162" t="s">
        <v>588</v>
      </c>
      <c r="C9" s="162" t="s">
        <v>588</v>
      </c>
    </row>
    <row r="10" spans="2:9" outlineLevel="1" x14ac:dyDescent="0.25">
      <c r="B10" s="162" t="s">
        <v>966</v>
      </c>
      <c r="C10" s="162" t="s">
        <v>966</v>
      </c>
    </row>
    <row r="11" spans="2:9" outlineLevel="1" x14ac:dyDescent="0.25">
      <c r="B11" s="162" t="s">
        <v>1513</v>
      </c>
      <c r="C11" s="162" t="s">
        <v>1513</v>
      </c>
    </row>
    <row r="12" spans="2:9" outlineLevel="1" x14ac:dyDescent="0.25">
      <c r="B12" s="162" t="s">
        <v>1516</v>
      </c>
      <c r="C12" s="162" t="s">
        <v>1516</v>
      </c>
    </row>
    <row r="13" spans="2:9" outlineLevel="1" x14ac:dyDescent="0.25">
      <c r="B13" s="162" t="s">
        <v>237</v>
      </c>
      <c r="C13" s="162" t="s">
        <v>31</v>
      </c>
    </row>
    <row r="14" spans="2:9" outlineLevel="1" x14ac:dyDescent="0.25">
      <c r="B14" s="162" t="s">
        <v>590</v>
      </c>
      <c r="C14" s="162" t="s">
        <v>300</v>
      </c>
    </row>
    <row r="15" spans="2:9" outlineLevel="1" x14ac:dyDescent="0.25">
      <c r="B15" s="162" t="s">
        <v>239</v>
      </c>
      <c r="C15" s="162" t="s">
        <v>248</v>
      </c>
    </row>
    <row r="16" spans="2:9" outlineLevel="1" x14ac:dyDescent="0.25">
      <c r="B16"/>
    </row>
    <row r="17" spans="2:9" s="157" customFormat="1" x14ac:dyDescent="0.25">
      <c r="B17" s="156" t="s">
        <v>341</v>
      </c>
      <c r="H17" s="158"/>
      <c r="I17" s="158"/>
    </row>
    <row r="18" spans="2:9" x14ac:dyDescent="0.25">
      <c r="B18"/>
    </row>
    <row r="19" spans="2:9" outlineLevel="1" x14ac:dyDescent="0.25">
      <c r="B19" s="91" t="s">
        <v>960</v>
      </c>
      <c r="C19" s="91" t="s">
        <v>341</v>
      </c>
    </row>
    <row r="20" spans="2:9" outlineLevel="1" x14ac:dyDescent="0.25">
      <c r="B20" s="92" t="s">
        <v>961</v>
      </c>
      <c r="C20" s="92" t="s">
        <v>689</v>
      </c>
    </row>
    <row r="21" spans="2:9" outlineLevel="1" x14ac:dyDescent="0.25">
      <c r="B21" s="92" t="s">
        <v>961</v>
      </c>
      <c r="C21" s="92" t="s">
        <v>685</v>
      </c>
    </row>
    <row r="22" spans="2:9" outlineLevel="1" x14ac:dyDescent="0.25">
      <c r="B22" s="92" t="s">
        <v>961</v>
      </c>
      <c r="C22" s="92" t="s">
        <v>686</v>
      </c>
    </row>
    <row r="23" spans="2:9" outlineLevel="1" x14ac:dyDescent="0.25">
      <c r="B23" s="92" t="s">
        <v>962</v>
      </c>
      <c r="C23" s="92" t="s">
        <v>963</v>
      </c>
    </row>
    <row r="24" spans="2:9" outlineLevel="1" x14ac:dyDescent="0.25">
      <c r="B24" s="92" t="s">
        <v>962</v>
      </c>
      <c r="C24" s="92" t="s">
        <v>964</v>
      </c>
    </row>
    <row r="25" spans="2:9" outlineLevel="1" x14ac:dyDescent="0.25">
      <c r="B25" s="92" t="s">
        <v>962</v>
      </c>
      <c r="C25" s="92" t="s">
        <v>651</v>
      </c>
    </row>
    <row r="26" spans="2:9" outlineLevel="1" x14ac:dyDescent="0.25">
      <c r="B26" s="92" t="s">
        <v>962</v>
      </c>
      <c r="C26" s="92" t="s">
        <v>748</v>
      </c>
    </row>
    <row r="27" spans="2:9" outlineLevel="1" x14ac:dyDescent="0.25">
      <c r="B27" s="92" t="s">
        <v>962</v>
      </c>
      <c r="C27" s="92" t="s">
        <v>691</v>
      </c>
    </row>
    <row r="28" spans="2:9" outlineLevel="1" x14ac:dyDescent="0.25">
      <c r="B28" s="87" t="s">
        <v>965</v>
      </c>
      <c r="C28" s="87" t="s">
        <v>30</v>
      </c>
    </row>
    <row r="29" spans="2:9" outlineLevel="1" x14ac:dyDescent="0.25">
      <c r="B29" s="87" t="s">
        <v>965</v>
      </c>
      <c r="C29" s="87" t="s">
        <v>29</v>
      </c>
    </row>
    <row r="30" spans="2:9" outlineLevel="1" x14ac:dyDescent="0.25">
      <c r="B30" s="87" t="s">
        <v>22</v>
      </c>
      <c r="C30" s="87" t="s">
        <v>292</v>
      </c>
    </row>
    <row r="31" spans="2:9" outlineLevel="1" x14ac:dyDescent="0.25">
      <c r="B31" s="87" t="str">
        <f>B30</f>
        <v>HSE</v>
      </c>
      <c r="C31" s="87" t="s">
        <v>293</v>
      </c>
    </row>
    <row r="32" spans="2:9" outlineLevel="1" x14ac:dyDescent="0.25">
      <c r="B32" s="87" t="s">
        <v>588</v>
      </c>
      <c r="C32" s="87" t="s">
        <v>236</v>
      </c>
    </row>
    <row r="33" spans="2:3" outlineLevel="1" x14ac:dyDescent="0.25">
      <c r="B33" s="87" t="s">
        <v>588</v>
      </c>
      <c r="C33" s="87" t="s">
        <v>32</v>
      </c>
    </row>
    <row r="34" spans="2:3" outlineLevel="1" x14ac:dyDescent="0.25">
      <c r="B34" s="87" t="s">
        <v>966</v>
      </c>
      <c r="C34" s="87" t="s">
        <v>245</v>
      </c>
    </row>
    <row r="35" spans="2:3" outlineLevel="1" x14ac:dyDescent="0.25">
      <c r="B35" s="87" t="s">
        <v>966</v>
      </c>
      <c r="C35" s="87" t="s">
        <v>24</v>
      </c>
    </row>
    <row r="36" spans="2:3" outlineLevel="1" x14ac:dyDescent="0.25">
      <c r="B36" s="87" t="s">
        <v>966</v>
      </c>
      <c r="C36" s="87" t="s">
        <v>19</v>
      </c>
    </row>
    <row r="37" spans="2:3" outlineLevel="1" x14ac:dyDescent="0.25">
      <c r="B37" s="87" t="s">
        <v>966</v>
      </c>
      <c r="C37" s="87" t="s">
        <v>20</v>
      </c>
    </row>
    <row r="38" spans="2:3" outlineLevel="1" x14ac:dyDescent="0.25">
      <c r="B38" s="87" t="s">
        <v>966</v>
      </c>
      <c r="C38" s="87" t="s">
        <v>1521</v>
      </c>
    </row>
    <row r="39" spans="2:3" outlineLevel="1" x14ac:dyDescent="0.25">
      <c r="B39" s="87" t="s">
        <v>966</v>
      </c>
      <c r="C39" s="87" t="s">
        <v>1954</v>
      </c>
    </row>
    <row r="40" spans="2:3" outlineLevel="1" x14ac:dyDescent="0.25">
      <c r="B40" s="87" t="s">
        <v>1513</v>
      </c>
      <c r="C40" s="87" t="s">
        <v>1473</v>
      </c>
    </row>
    <row r="41" spans="2:3" outlineLevel="1" x14ac:dyDescent="0.25">
      <c r="B41" s="87" t="s">
        <v>1513</v>
      </c>
      <c r="C41" s="87" t="s">
        <v>1514</v>
      </c>
    </row>
    <row r="42" spans="2:3" outlineLevel="1" x14ac:dyDescent="0.25">
      <c r="B42" s="87" t="s">
        <v>1513</v>
      </c>
      <c r="C42" s="87" t="s">
        <v>1515</v>
      </c>
    </row>
    <row r="43" spans="2:3" outlineLevel="1" x14ac:dyDescent="0.25">
      <c r="B43" s="87" t="s">
        <v>1516</v>
      </c>
      <c r="C43" s="87" t="s">
        <v>327</v>
      </c>
    </row>
    <row r="44" spans="2:3" outlineLevel="1" x14ac:dyDescent="0.25">
      <c r="B44" s="87" t="s">
        <v>1516</v>
      </c>
      <c r="C44" s="87" t="s">
        <v>593</v>
      </c>
    </row>
    <row r="45" spans="2:3" outlineLevel="1" x14ac:dyDescent="0.25">
      <c r="B45" s="87" t="s">
        <v>237</v>
      </c>
      <c r="C45" s="87" t="s">
        <v>967</v>
      </c>
    </row>
    <row r="46" spans="2:3" outlineLevel="1" x14ac:dyDescent="0.25">
      <c r="B46" s="87" t="s">
        <v>237</v>
      </c>
      <c r="C46" s="87" t="s">
        <v>968</v>
      </c>
    </row>
    <row r="47" spans="2:3" outlineLevel="1" x14ac:dyDescent="0.25">
      <c r="B47" s="87" t="s">
        <v>237</v>
      </c>
      <c r="C47" s="87" t="s">
        <v>969</v>
      </c>
    </row>
    <row r="48" spans="2:3" outlineLevel="1" x14ac:dyDescent="0.25">
      <c r="B48" s="87" t="s">
        <v>590</v>
      </c>
      <c r="C48" s="87" t="s">
        <v>1475</v>
      </c>
    </row>
    <row r="49" spans="2:12" outlineLevel="1" x14ac:dyDescent="0.25">
      <c r="B49" s="87" t="s">
        <v>590</v>
      </c>
      <c r="C49" s="87" t="s">
        <v>26</v>
      </c>
    </row>
    <row r="50" spans="2:12" outlineLevel="1" x14ac:dyDescent="0.25">
      <c r="B50" s="87" t="s">
        <v>590</v>
      </c>
      <c r="C50" s="87" t="s">
        <v>27</v>
      </c>
    </row>
    <row r="51" spans="2:12" outlineLevel="1" x14ac:dyDescent="0.25">
      <c r="B51" s="87" t="s">
        <v>590</v>
      </c>
      <c r="C51" s="87" t="s">
        <v>28</v>
      </c>
    </row>
    <row r="52" spans="2:12" outlineLevel="1" x14ac:dyDescent="0.25">
      <c r="B52" s="93" t="s">
        <v>239</v>
      </c>
      <c r="C52" s="87" t="s">
        <v>591</v>
      </c>
    </row>
    <row r="53" spans="2:12" outlineLevel="1" x14ac:dyDescent="0.25">
      <c r="B53" s="87" t="s">
        <v>239</v>
      </c>
      <c r="C53" s="87" t="s">
        <v>34</v>
      </c>
    </row>
    <row r="54" spans="2:12" outlineLevel="1" x14ac:dyDescent="0.25">
      <c r="B54" s="87" t="s">
        <v>239</v>
      </c>
      <c r="C54" s="87" t="s">
        <v>35</v>
      </c>
    </row>
    <row r="55" spans="2:12" outlineLevel="1" x14ac:dyDescent="0.25"/>
    <row r="56" spans="2:12" s="157" customFormat="1" x14ac:dyDescent="0.25">
      <c r="B56" s="156" t="s">
        <v>1432</v>
      </c>
      <c r="H56" s="163"/>
      <c r="I56" s="163"/>
    </row>
    <row r="58" spans="2:12" outlineLevel="1" x14ac:dyDescent="0.25">
      <c r="B58" s="159" t="s">
        <v>234</v>
      </c>
      <c r="C58" s="159" t="s">
        <v>341</v>
      </c>
      <c r="D58" s="159" t="s">
        <v>1433</v>
      </c>
      <c r="E58" s="159" t="s">
        <v>1434</v>
      </c>
      <c r="H58" s="159" t="s">
        <v>1435</v>
      </c>
      <c r="I58" s="159" t="s">
        <v>1436</v>
      </c>
      <c r="J58" s="159" t="s">
        <v>341</v>
      </c>
      <c r="L58" s="159" t="s">
        <v>1433</v>
      </c>
    </row>
    <row r="59" spans="2:12" outlineLevel="1" x14ac:dyDescent="0.25">
      <c r="B59" s="162" t="s">
        <v>1437</v>
      </c>
      <c r="C59" s="162" t="s">
        <v>1437</v>
      </c>
      <c r="D59" s="162" t="s">
        <v>611</v>
      </c>
      <c r="E59" s="162" t="s">
        <v>612</v>
      </c>
      <c r="H59" s="164" t="s">
        <v>1437</v>
      </c>
      <c r="I59" s="164" t="str">
        <f>IF(MID(D59,6,2)="PP",_xlfn.CONCAT(H59,RIGHT(D59,2)),IF(MID(D59,6,2)="SU",RIGHT(D59,5),_xlfn.CONCAT(H59,"01",RIGHT(D59,1))))</f>
        <v>SMS01</v>
      </c>
      <c r="J59" s="162" t="str">
        <f>C59</f>
        <v>SMS</v>
      </c>
      <c r="L59" s="162" t="str">
        <f>D59</f>
        <v>10101PP001</v>
      </c>
    </row>
    <row r="60" spans="2:12" outlineLevel="1" x14ac:dyDescent="0.25">
      <c r="B60" s="162" t="s">
        <v>1437</v>
      </c>
      <c r="C60" s="162" t="s">
        <v>1437</v>
      </c>
      <c r="D60" s="162" t="s">
        <v>613</v>
      </c>
      <c r="E60" s="162" t="s">
        <v>614</v>
      </c>
      <c r="H60" s="164" t="s">
        <v>1437</v>
      </c>
      <c r="I60" s="164" t="str">
        <f t="shared" ref="I60:I84" si="0">IF(MID(D60,6,2)="PP",_xlfn.CONCAT(H60,RIGHT(D60,2)),IF(MID(D60,6,2)="SU",RIGHT(D60,5),_xlfn.CONCAT(H60,"01",RIGHT(D60,1))))</f>
        <v>SMS02</v>
      </c>
      <c r="J60" s="162" t="str">
        <f t="shared" ref="J60:J125" si="1">C60</f>
        <v>SMS</v>
      </c>
      <c r="L60" s="162" t="str">
        <f t="shared" ref="L60:L125" si="2">D60</f>
        <v>10101PP002</v>
      </c>
    </row>
    <row r="61" spans="2:12" outlineLevel="1" x14ac:dyDescent="0.25">
      <c r="B61" s="162" t="s">
        <v>1437</v>
      </c>
      <c r="C61" s="162" t="s">
        <v>1437</v>
      </c>
      <c r="D61" s="162" t="s">
        <v>615</v>
      </c>
      <c r="E61" s="162" t="s">
        <v>616</v>
      </c>
      <c r="H61" s="164" t="s">
        <v>1437</v>
      </c>
      <c r="I61" s="164" t="str">
        <f t="shared" si="0"/>
        <v>SMS03</v>
      </c>
      <c r="J61" s="162" t="str">
        <f t="shared" si="1"/>
        <v>SMS</v>
      </c>
      <c r="L61" s="162" t="str">
        <f t="shared" si="2"/>
        <v>10101PP003</v>
      </c>
    </row>
    <row r="62" spans="2:12" outlineLevel="1" x14ac:dyDescent="0.25">
      <c r="B62" s="162" t="s">
        <v>1437</v>
      </c>
      <c r="C62" s="162" t="s">
        <v>1437</v>
      </c>
      <c r="D62" s="162" t="s">
        <v>617</v>
      </c>
      <c r="E62" s="162" t="s">
        <v>618</v>
      </c>
      <c r="H62" s="164" t="s">
        <v>1437</v>
      </c>
      <c r="I62" s="164" t="str">
        <f t="shared" si="0"/>
        <v>SMS04</v>
      </c>
      <c r="J62" s="162" t="str">
        <f t="shared" si="1"/>
        <v>SMS</v>
      </c>
      <c r="L62" s="162" t="str">
        <f t="shared" si="2"/>
        <v>10101PP004</v>
      </c>
    </row>
    <row r="63" spans="2:12" outlineLevel="1" x14ac:dyDescent="0.25">
      <c r="B63" s="162" t="s">
        <v>1437</v>
      </c>
      <c r="C63" s="162" t="s">
        <v>1437</v>
      </c>
      <c r="D63" s="162" t="s">
        <v>619</v>
      </c>
      <c r="E63" s="162" t="s">
        <v>620</v>
      </c>
      <c r="H63" s="164" t="s">
        <v>1437</v>
      </c>
      <c r="I63" s="164" t="str">
        <f t="shared" si="0"/>
        <v>SMS05</v>
      </c>
      <c r="J63" s="162" t="str">
        <f t="shared" si="1"/>
        <v>SMS</v>
      </c>
      <c r="L63" s="162" t="str">
        <f t="shared" si="2"/>
        <v>10101PP005</v>
      </c>
    </row>
    <row r="64" spans="2:12" outlineLevel="1" x14ac:dyDescent="0.25">
      <c r="B64" s="162" t="s">
        <v>1437</v>
      </c>
      <c r="C64" s="162" t="s">
        <v>1437</v>
      </c>
      <c r="D64" s="162" t="s">
        <v>621</v>
      </c>
      <c r="E64" s="162" t="s">
        <v>622</v>
      </c>
      <c r="H64" s="164" t="s">
        <v>1437</v>
      </c>
      <c r="I64" s="164" t="str">
        <f t="shared" si="0"/>
        <v>SMS06</v>
      </c>
      <c r="J64" s="162" t="str">
        <f t="shared" si="1"/>
        <v>SMS</v>
      </c>
      <c r="L64" s="162" t="str">
        <f t="shared" si="2"/>
        <v>10101PP006</v>
      </c>
    </row>
    <row r="65" spans="2:12" outlineLevel="1" x14ac:dyDescent="0.25">
      <c r="B65" s="162" t="s">
        <v>1437</v>
      </c>
      <c r="C65" s="162" t="s">
        <v>1437</v>
      </c>
      <c r="D65" s="162" t="s">
        <v>623</v>
      </c>
      <c r="E65" s="162" t="s">
        <v>624</v>
      </c>
      <c r="H65" s="164" t="s">
        <v>1437</v>
      </c>
      <c r="I65" s="164" t="str">
        <f t="shared" si="0"/>
        <v>SMS07</v>
      </c>
      <c r="J65" s="162" t="str">
        <f t="shared" si="1"/>
        <v>SMS</v>
      </c>
      <c r="L65" s="162" t="str">
        <f t="shared" si="2"/>
        <v>10101PP007</v>
      </c>
    </row>
    <row r="66" spans="2:12" outlineLevel="1" x14ac:dyDescent="0.25">
      <c r="B66" s="162" t="s">
        <v>1438</v>
      </c>
      <c r="C66" s="162" t="s">
        <v>1438</v>
      </c>
      <c r="D66" s="162" t="s">
        <v>625</v>
      </c>
      <c r="E66" s="162" t="s">
        <v>1439</v>
      </c>
      <c r="H66" s="164" t="s">
        <v>1437</v>
      </c>
      <c r="I66" s="164" t="str">
        <f>IF(MID(D66,6,2)="PP",_xlfn.CONCAT(H66,RIGHT(D66,2)),IF(MID(D66,6,2)="SU",RIGHT(D66,5),_xlfn.CONCAT(H66,"1",RIGHT(D66,1))))</f>
        <v>SMS11</v>
      </c>
      <c r="J66" s="162" t="str">
        <f t="shared" si="1"/>
        <v>ELECTRICAL</v>
      </c>
      <c r="L66" s="162" t="str">
        <f t="shared" si="2"/>
        <v>10101PS001</v>
      </c>
    </row>
    <row r="67" spans="2:12" outlineLevel="1" x14ac:dyDescent="0.25">
      <c r="B67" s="162" t="s">
        <v>1440</v>
      </c>
      <c r="C67" s="162" t="s">
        <v>1440</v>
      </c>
      <c r="D67" s="162" t="s">
        <v>626</v>
      </c>
      <c r="E67" s="162" t="s">
        <v>1441</v>
      </c>
      <c r="H67" s="164" t="s">
        <v>1437</v>
      </c>
      <c r="I67" s="164" t="str">
        <f t="shared" ref="I67:I73" si="3">IF(MID(D67,6,2)="PP",_xlfn.CONCAT(H67,RIGHT(D67,2)),IF(MID(D67,6,2)="SU",RIGHT(D67,5),_xlfn.CONCAT(H67,"1",RIGHT(D67,1))))</f>
        <v>SMS12</v>
      </c>
      <c r="J67" s="162" t="str">
        <f t="shared" si="1"/>
        <v>MECHANICAL</v>
      </c>
      <c r="L67" s="162" t="str">
        <f t="shared" si="2"/>
        <v>10101PS002</v>
      </c>
    </row>
    <row r="68" spans="2:12" outlineLevel="1" x14ac:dyDescent="0.25">
      <c r="B68" s="162" t="s">
        <v>651</v>
      </c>
      <c r="C68" s="162" t="s">
        <v>651</v>
      </c>
      <c r="D68" s="162" t="s">
        <v>627</v>
      </c>
      <c r="E68" s="162" t="s">
        <v>1442</v>
      </c>
      <c r="H68" s="164" t="s">
        <v>1437</v>
      </c>
      <c r="I68" s="164" t="str">
        <f t="shared" si="3"/>
        <v>SMS13</v>
      </c>
      <c r="J68" s="162" t="str">
        <f t="shared" si="1"/>
        <v>PPIC</v>
      </c>
      <c r="L68" s="162" t="str">
        <f t="shared" si="2"/>
        <v>10101PS003</v>
      </c>
    </row>
    <row r="69" spans="2:12" outlineLevel="1" x14ac:dyDescent="0.25">
      <c r="B69" s="162" t="s">
        <v>748</v>
      </c>
      <c r="C69" s="162" t="s">
        <v>748</v>
      </c>
      <c r="D69" s="162" t="s">
        <v>628</v>
      </c>
      <c r="E69" s="162" t="s">
        <v>1443</v>
      </c>
      <c r="H69" s="164" t="s">
        <v>1437</v>
      </c>
      <c r="I69" s="164" t="str">
        <f t="shared" si="3"/>
        <v>SMS14</v>
      </c>
      <c r="J69" s="162" t="str">
        <f t="shared" si="1"/>
        <v>QAQC</v>
      </c>
      <c r="L69" s="162" t="str">
        <f t="shared" si="2"/>
        <v>10101PS004</v>
      </c>
    </row>
    <row r="70" spans="2:12" outlineLevel="1" x14ac:dyDescent="0.25">
      <c r="B70" s="162" t="s">
        <v>1437</v>
      </c>
      <c r="C70" s="162" t="s">
        <v>1437</v>
      </c>
      <c r="D70" s="162" t="s">
        <v>629</v>
      </c>
      <c r="E70" s="162" t="s">
        <v>1444</v>
      </c>
      <c r="H70" s="164" t="s">
        <v>1437</v>
      </c>
      <c r="I70" s="164" t="str">
        <f t="shared" si="3"/>
        <v>SMS15</v>
      </c>
      <c r="J70" s="162" t="str">
        <f t="shared" si="1"/>
        <v>SMS</v>
      </c>
      <c r="L70" s="162" t="str">
        <f t="shared" si="2"/>
        <v>10101PS005</v>
      </c>
    </row>
    <row r="71" spans="2:12" outlineLevel="1" x14ac:dyDescent="0.25">
      <c r="B71" s="162" t="s">
        <v>1437</v>
      </c>
      <c r="C71" s="162" t="s">
        <v>1437</v>
      </c>
      <c r="D71" s="162" t="s">
        <v>631</v>
      </c>
      <c r="E71" s="162" t="s">
        <v>1445</v>
      </c>
      <c r="H71" s="164" t="s">
        <v>1437</v>
      </c>
      <c r="I71" s="164" t="str">
        <f t="shared" si="3"/>
        <v>SMS16</v>
      </c>
      <c r="J71" s="162" t="str">
        <f t="shared" si="1"/>
        <v>SMS</v>
      </c>
      <c r="L71" s="162" t="str">
        <f t="shared" si="2"/>
        <v>10101PS006</v>
      </c>
    </row>
    <row r="72" spans="2:12" outlineLevel="1" x14ac:dyDescent="0.25">
      <c r="B72" s="162" t="s">
        <v>1437</v>
      </c>
      <c r="C72" s="162" t="s">
        <v>1437</v>
      </c>
      <c r="D72" s="162" t="s">
        <v>632</v>
      </c>
      <c r="E72" s="162" t="s">
        <v>1446</v>
      </c>
      <c r="H72" s="164" t="s">
        <v>1437</v>
      </c>
      <c r="I72" s="164" t="str">
        <f t="shared" si="3"/>
        <v>SMS17</v>
      </c>
      <c r="J72" s="162" t="str">
        <f t="shared" si="1"/>
        <v>SMS</v>
      </c>
      <c r="L72" s="162" t="str">
        <f t="shared" si="2"/>
        <v>10101PS007</v>
      </c>
    </row>
    <row r="73" spans="2:12" outlineLevel="1" x14ac:dyDescent="0.25">
      <c r="B73" s="162" t="s">
        <v>1437</v>
      </c>
      <c r="C73" s="162" t="s">
        <v>1437</v>
      </c>
      <c r="D73" s="162" t="s">
        <v>633</v>
      </c>
      <c r="E73" s="162" t="s">
        <v>1447</v>
      </c>
      <c r="H73" s="164" t="s">
        <v>1437</v>
      </c>
      <c r="I73" s="164" t="str">
        <f t="shared" si="3"/>
        <v>SMS18</v>
      </c>
      <c r="J73" s="162" t="str">
        <f t="shared" si="1"/>
        <v>SMS</v>
      </c>
      <c r="L73" s="162" t="str">
        <f t="shared" si="2"/>
        <v>10101PS008</v>
      </c>
    </row>
    <row r="74" spans="2:12" outlineLevel="1" x14ac:dyDescent="0.25">
      <c r="B74" s="162" t="s">
        <v>689</v>
      </c>
      <c r="C74" s="162" t="s">
        <v>689</v>
      </c>
      <c r="D74" s="162" t="s">
        <v>634</v>
      </c>
      <c r="E74" s="162" t="s">
        <v>635</v>
      </c>
      <c r="H74" s="164" t="s">
        <v>689</v>
      </c>
      <c r="I74" s="164" t="str">
        <f>IF(MID(D74,6,2)="PP",_xlfn.CONCAT(H74,RIGHT(D74,3)),IF(MID(D74,6,2)="SU",RIGHT(D74,5),_xlfn.CONCAT(H74,"01",RIGHT(D74,1))))</f>
        <v>BP001</v>
      </c>
      <c r="J74" s="162" t="str">
        <f t="shared" si="1"/>
        <v>BP</v>
      </c>
      <c r="L74" s="162" t="str">
        <f t="shared" si="2"/>
        <v>10103PP001</v>
      </c>
    </row>
    <row r="75" spans="2:12" outlineLevel="1" x14ac:dyDescent="0.25">
      <c r="B75" s="162" t="s">
        <v>689</v>
      </c>
      <c r="C75" s="162" t="s">
        <v>689</v>
      </c>
      <c r="D75" s="162" t="s">
        <v>636</v>
      </c>
      <c r="E75" s="162" t="s">
        <v>637</v>
      </c>
      <c r="H75" s="164" t="s">
        <v>689</v>
      </c>
      <c r="I75" s="164" t="str">
        <f t="shared" ref="I75:I76" si="4">IF(MID(D75,6,2)="PP",_xlfn.CONCAT(H75,RIGHT(D75,3)),IF(MID(D75,6,2)="SU",RIGHT(D75,5),_xlfn.CONCAT(H75,"01",RIGHT(D75,1))))</f>
        <v>BP009</v>
      </c>
      <c r="J75" s="162" t="str">
        <f t="shared" si="1"/>
        <v>BP</v>
      </c>
      <c r="L75" s="162" t="str">
        <f t="shared" si="2"/>
        <v>10103PP009</v>
      </c>
    </row>
    <row r="76" spans="2:12" outlineLevel="1" x14ac:dyDescent="0.25">
      <c r="B76" s="162" t="s">
        <v>689</v>
      </c>
      <c r="C76" s="162" t="s">
        <v>689</v>
      </c>
      <c r="D76" s="162" t="s">
        <v>638</v>
      </c>
      <c r="E76" s="162" t="s">
        <v>639</v>
      </c>
      <c r="H76" s="164" t="s">
        <v>689</v>
      </c>
      <c r="I76" s="164" t="str">
        <f t="shared" si="4"/>
        <v>BP010</v>
      </c>
      <c r="J76" s="162" t="str">
        <f t="shared" si="1"/>
        <v>BP</v>
      </c>
      <c r="L76" s="162" t="str">
        <f t="shared" si="2"/>
        <v>10103PP010</v>
      </c>
    </row>
    <row r="77" spans="2:12" outlineLevel="1" x14ac:dyDescent="0.25">
      <c r="B77" s="162" t="s">
        <v>1438</v>
      </c>
      <c r="C77" s="162" t="s">
        <v>1438</v>
      </c>
      <c r="D77" s="162" t="s">
        <v>640</v>
      </c>
      <c r="E77" s="162" t="s">
        <v>1448</v>
      </c>
      <c r="H77" s="164" t="s">
        <v>689</v>
      </c>
      <c r="I77" s="164" t="str">
        <f>IF(MID(D77,6,2)="PP",_xlfn.CONCAT(H77,RIGHT(D77,2)),IF(MID(D77,6,2)="SU",RIGHT(D77,5),_xlfn.CONCAT(H77,"01",RIGHT(D77,1))))</f>
        <v>BP011</v>
      </c>
      <c r="J77" s="162" t="str">
        <f t="shared" si="1"/>
        <v>ELECTRICAL</v>
      </c>
      <c r="L77" s="162" t="str">
        <f t="shared" si="2"/>
        <v>10103PS001</v>
      </c>
    </row>
    <row r="78" spans="2:12" outlineLevel="1" x14ac:dyDescent="0.25">
      <c r="B78" s="162" t="s">
        <v>1440</v>
      </c>
      <c r="C78" s="162" t="s">
        <v>1440</v>
      </c>
      <c r="D78" s="162" t="s">
        <v>641</v>
      </c>
      <c r="E78" s="162" t="s">
        <v>1449</v>
      </c>
      <c r="H78" s="164" t="s">
        <v>689</v>
      </c>
      <c r="I78" s="164" t="str">
        <f t="shared" si="0"/>
        <v>BP012</v>
      </c>
      <c r="J78" s="162" t="str">
        <f t="shared" si="1"/>
        <v>MECHANICAL</v>
      </c>
      <c r="L78" s="162" t="str">
        <f t="shared" si="2"/>
        <v>10103PS002</v>
      </c>
    </row>
    <row r="79" spans="2:12" outlineLevel="1" x14ac:dyDescent="0.25">
      <c r="B79" s="162" t="s">
        <v>651</v>
      </c>
      <c r="C79" s="162" t="s">
        <v>651</v>
      </c>
      <c r="D79" s="162" t="s">
        <v>642</v>
      </c>
      <c r="E79" s="162" t="s">
        <v>1450</v>
      </c>
      <c r="H79" s="164" t="s">
        <v>689</v>
      </c>
      <c r="I79" s="164" t="str">
        <f t="shared" si="0"/>
        <v>BP013</v>
      </c>
      <c r="J79" s="162" t="str">
        <f t="shared" si="1"/>
        <v>PPIC</v>
      </c>
      <c r="L79" s="162" t="str">
        <f t="shared" si="2"/>
        <v>10103PS003</v>
      </c>
    </row>
    <row r="80" spans="2:12" outlineLevel="1" x14ac:dyDescent="0.25">
      <c r="B80" s="162" t="s">
        <v>748</v>
      </c>
      <c r="C80" s="162" t="s">
        <v>748</v>
      </c>
      <c r="D80" s="162" t="s">
        <v>643</v>
      </c>
      <c r="E80" s="162" t="s">
        <v>1451</v>
      </c>
      <c r="H80" s="164" t="s">
        <v>689</v>
      </c>
      <c r="I80" s="164" t="str">
        <f t="shared" si="0"/>
        <v>BP014</v>
      </c>
      <c r="J80" s="162" t="str">
        <f t="shared" si="1"/>
        <v>QAQC</v>
      </c>
      <c r="L80" s="162" t="str">
        <f t="shared" si="2"/>
        <v>10103PS004</v>
      </c>
    </row>
    <row r="81" spans="2:12" outlineLevel="1" x14ac:dyDescent="0.25">
      <c r="B81" s="162" t="s">
        <v>689</v>
      </c>
      <c r="C81" s="162" t="s">
        <v>689</v>
      </c>
      <c r="D81" s="162" t="s">
        <v>646</v>
      </c>
      <c r="E81" s="162" t="s">
        <v>647</v>
      </c>
      <c r="H81" s="164" t="s">
        <v>689</v>
      </c>
      <c r="I81" s="164" t="str">
        <f t="shared" si="0"/>
        <v>BP016</v>
      </c>
      <c r="J81" s="162" t="str">
        <f t="shared" si="1"/>
        <v>BP</v>
      </c>
      <c r="L81" s="162" t="str">
        <f t="shared" si="2"/>
        <v>10103PS006</v>
      </c>
    </row>
    <row r="82" spans="2:12" outlineLevel="1" x14ac:dyDescent="0.25">
      <c r="B82" s="162" t="s">
        <v>247</v>
      </c>
      <c r="C82" s="162" t="s">
        <v>685</v>
      </c>
      <c r="D82" s="162" t="s">
        <v>602</v>
      </c>
      <c r="E82" s="162" t="s">
        <v>1452</v>
      </c>
      <c r="H82" s="164" t="s">
        <v>685</v>
      </c>
      <c r="I82" s="164" t="str">
        <f t="shared" si="0"/>
        <v>LSM01</v>
      </c>
      <c r="J82" s="162" t="str">
        <f t="shared" si="1"/>
        <v>LSM</v>
      </c>
      <c r="L82" s="162" t="str">
        <f t="shared" si="2"/>
        <v>10131PP001</v>
      </c>
    </row>
    <row r="83" spans="2:12" outlineLevel="1" x14ac:dyDescent="0.25">
      <c r="B83" s="162" t="s">
        <v>685</v>
      </c>
      <c r="C83" s="162" t="s">
        <v>685</v>
      </c>
      <c r="D83" s="162" t="s">
        <v>603</v>
      </c>
      <c r="E83" s="162" t="s">
        <v>1453</v>
      </c>
      <c r="H83" s="164" t="s">
        <v>685</v>
      </c>
      <c r="I83" s="164" t="str">
        <f t="shared" si="0"/>
        <v>LSM09</v>
      </c>
      <c r="J83" s="162" t="str">
        <f t="shared" si="1"/>
        <v>LSM</v>
      </c>
      <c r="L83" s="162" t="str">
        <f t="shared" si="2"/>
        <v>10131PP009</v>
      </c>
    </row>
    <row r="84" spans="2:12" outlineLevel="1" x14ac:dyDescent="0.25">
      <c r="B84" s="299" t="s">
        <v>685</v>
      </c>
      <c r="C84" s="299" t="s">
        <v>685</v>
      </c>
      <c r="D84" s="299" t="s">
        <v>604</v>
      </c>
      <c r="E84" s="299" t="s">
        <v>1506</v>
      </c>
      <c r="F84" s="160" t="s">
        <v>1517</v>
      </c>
      <c r="H84" s="164" t="s">
        <v>685</v>
      </c>
      <c r="I84" s="164" t="str">
        <f t="shared" si="0"/>
        <v>LSM10</v>
      </c>
      <c r="J84" s="162" t="str">
        <f t="shared" si="1"/>
        <v>LSM</v>
      </c>
      <c r="L84" s="162" t="str">
        <f t="shared" si="2"/>
        <v>10131PP010</v>
      </c>
    </row>
    <row r="85" spans="2:12" outlineLevel="1" x14ac:dyDescent="0.25">
      <c r="B85" s="162" t="s">
        <v>1438</v>
      </c>
      <c r="C85" s="162" t="s">
        <v>1438</v>
      </c>
      <c r="D85" s="162" t="s">
        <v>605</v>
      </c>
      <c r="E85" s="162" t="s">
        <v>1454</v>
      </c>
      <c r="H85" s="164" t="s">
        <v>685</v>
      </c>
      <c r="I85" s="164" t="str">
        <f>IF(MID(D85,6,2)="PP",_xlfn.CONCAT(H85,RIGHT(D85,2)),IF(MID(D85,6,2)="SU",RIGHT(D85,5),_xlfn.CONCAT(H85,"1",RIGHT(D85,1))))</f>
        <v>LSM11</v>
      </c>
      <c r="J85" s="162" t="str">
        <f t="shared" si="1"/>
        <v>ELECTRICAL</v>
      </c>
      <c r="L85" s="162" t="str">
        <f t="shared" si="2"/>
        <v>10131PS001</v>
      </c>
    </row>
    <row r="86" spans="2:12" outlineLevel="1" x14ac:dyDescent="0.25">
      <c r="B86" s="162" t="s">
        <v>1440</v>
      </c>
      <c r="C86" s="162" t="s">
        <v>1440</v>
      </c>
      <c r="D86" s="162" t="s">
        <v>606</v>
      </c>
      <c r="E86" s="162" t="s">
        <v>1455</v>
      </c>
      <c r="H86" s="164" t="s">
        <v>685</v>
      </c>
      <c r="I86" s="164" t="str">
        <f>IF(MID(D86,6,2)="PP",_xlfn.CONCAT(H86,RIGHT(D86,2)),IF(MID(D86,6,2)="SU",RIGHT(D86,5),_xlfn.CONCAT(H86,"1",RIGHT(D86,1))))</f>
        <v>LSM12</v>
      </c>
      <c r="J86" s="162" t="str">
        <f t="shared" si="1"/>
        <v>MECHANICAL</v>
      </c>
      <c r="L86" s="162" t="str">
        <f t="shared" si="2"/>
        <v>10131PS002</v>
      </c>
    </row>
    <row r="87" spans="2:12" outlineLevel="1" x14ac:dyDescent="0.25">
      <c r="B87" s="162" t="s">
        <v>651</v>
      </c>
      <c r="C87" s="162" t="s">
        <v>651</v>
      </c>
      <c r="D87" s="162" t="s">
        <v>607</v>
      </c>
      <c r="E87" s="162" t="s">
        <v>1456</v>
      </c>
      <c r="H87" s="164" t="s">
        <v>685</v>
      </c>
      <c r="I87" s="164" t="str">
        <f>IF(MID(D87,6,2)="PP",_xlfn.CONCAT(H87,RIGHT(D87,2)),IF(MID(D87,6,2)="SU",RIGHT(D87,5),_xlfn.CONCAT(H87,"1",RIGHT(D87,1))))</f>
        <v>LSM13</v>
      </c>
      <c r="J87" s="162" t="str">
        <f t="shared" si="1"/>
        <v>PPIC</v>
      </c>
      <c r="L87" s="162" t="str">
        <f t="shared" si="2"/>
        <v>10131PS003</v>
      </c>
    </row>
    <row r="88" spans="2:12" outlineLevel="1" x14ac:dyDescent="0.25">
      <c r="B88" s="162" t="s">
        <v>748</v>
      </c>
      <c r="C88" s="162" t="s">
        <v>748</v>
      </c>
      <c r="D88" s="162" t="s">
        <v>608</v>
      </c>
      <c r="E88" s="162" t="s">
        <v>1457</v>
      </c>
      <c r="H88" s="164" t="s">
        <v>685</v>
      </c>
      <c r="I88" s="164" t="str">
        <f>IF(MID(D88,6,2)="PP",_xlfn.CONCAT(H88,RIGHT(D88,2)),IF(MID(D88,6,2)="SU",RIGHT(D88,5),_xlfn.CONCAT(H88,"1",RIGHT(D88,1))))</f>
        <v>LSM14</v>
      </c>
      <c r="J88" s="162" t="str">
        <f t="shared" si="1"/>
        <v>QAQC</v>
      </c>
      <c r="L88" s="162" t="str">
        <f t="shared" si="2"/>
        <v>10131PS004</v>
      </c>
    </row>
    <row r="89" spans="2:12" outlineLevel="1" x14ac:dyDescent="0.25">
      <c r="B89" s="162" t="s">
        <v>685</v>
      </c>
      <c r="C89" s="162" t="s">
        <v>685</v>
      </c>
      <c r="D89" s="162" t="s">
        <v>610</v>
      </c>
      <c r="E89" s="162" t="s">
        <v>1458</v>
      </c>
      <c r="H89" s="164" t="s">
        <v>685</v>
      </c>
      <c r="I89" s="164" t="str">
        <f>IF(MID(D89,6,2)="PP",_xlfn.CONCAT(H89,RIGHT(D89,2)),IF(MID(D89,6,2)="SU",RIGHT(D89,5),_xlfn.CONCAT(H89,"1",RIGHT(D89,1))))</f>
        <v>LSM16</v>
      </c>
      <c r="J89" s="162" t="str">
        <f t="shared" si="1"/>
        <v>LSM</v>
      </c>
      <c r="L89" s="162" t="str">
        <f t="shared" si="2"/>
        <v>10131PS006</v>
      </c>
    </row>
    <row r="90" spans="2:12" outlineLevel="1" x14ac:dyDescent="0.25">
      <c r="B90" s="162" t="s">
        <v>691</v>
      </c>
      <c r="C90" s="162" t="s">
        <v>691</v>
      </c>
      <c r="D90" s="162" t="s">
        <v>1459</v>
      </c>
      <c r="E90" s="162" t="s">
        <v>691</v>
      </c>
      <c r="H90" s="164" t="s">
        <v>691</v>
      </c>
      <c r="I90" s="164" t="str">
        <f>IF(MID(D90,6,2)="PP",_xlfn.CONCAT(H90,RIGHT(D90,2)),IF(MID(D90,6,2)="SU",RIGHT(D90,5),_xlfn.CONCAT(H90,"01",RIGHT(D90,1))))</f>
        <v>SU001</v>
      </c>
      <c r="J90" s="162" t="str">
        <f t="shared" si="1"/>
        <v>SSC</v>
      </c>
      <c r="L90" s="162" t="str">
        <f t="shared" si="2"/>
        <v>10202SU001</v>
      </c>
    </row>
    <row r="91" spans="2:12" outlineLevel="1" x14ac:dyDescent="0.25">
      <c r="B91" s="162" t="s">
        <v>651</v>
      </c>
      <c r="C91" s="162" t="s">
        <v>651</v>
      </c>
      <c r="D91" s="162" t="s">
        <v>652</v>
      </c>
      <c r="E91" s="162" t="s">
        <v>1460</v>
      </c>
      <c r="H91" s="164" t="s">
        <v>651</v>
      </c>
      <c r="I91" s="164" t="str">
        <f>IF(MID(D91,6,2)="PP",_xlfn.CONCAT(H91,RIGHT(D91,2)),IF(MID(D91,6,2)="SU",RIGHT(D91,5),_xlfn.CONCAT(H91,"01",RIGHT(D91,1))))</f>
        <v>SU006</v>
      </c>
      <c r="J91" s="162" t="str">
        <f t="shared" si="1"/>
        <v>PPIC</v>
      </c>
      <c r="L91" s="162" t="str">
        <f t="shared" si="2"/>
        <v>10202SU006</v>
      </c>
    </row>
    <row r="92" spans="2:12" outlineLevel="1" x14ac:dyDescent="0.25">
      <c r="B92" s="162" t="s">
        <v>748</v>
      </c>
      <c r="C92" s="162" t="s">
        <v>748</v>
      </c>
      <c r="D92" s="162" t="s">
        <v>653</v>
      </c>
      <c r="E92" s="162" t="s">
        <v>1461</v>
      </c>
      <c r="H92" s="164" t="s">
        <v>748</v>
      </c>
      <c r="I92" s="164" t="str">
        <f>IF(MID(D92,6,2)="PP",_xlfn.CONCAT(H92,RIGHT(D92,2)),IF(MID(D92,6,2)="SU",RIGHT(D92,5),_xlfn.CONCAT(H92,"01",RIGHT(D92,1))))</f>
        <v>SU007</v>
      </c>
      <c r="J92" s="162" t="str">
        <f t="shared" si="1"/>
        <v>QAQC</v>
      </c>
      <c r="L92" s="162" t="str">
        <f t="shared" si="2"/>
        <v>10202SU007</v>
      </c>
    </row>
    <row r="93" spans="2:12" outlineLevel="1" x14ac:dyDescent="0.25">
      <c r="B93" s="162" t="s">
        <v>1438</v>
      </c>
      <c r="C93" s="162" t="s">
        <v>1438</v>
      </c>
      <c r="D93" s="162" t="s">
        <v>1462</v>
      </c>
      <c r="E93" s="162" t="s">
        <v>1463</v>
      </c>
      <c r="H93" s="164" t="s">
        <v>650</v>
      </c>
      <c r="I93" s="164" t="str">
        <f>IF(MID(D93,6,2)="PP",_xlfn.CONCAT(H93,RIGHT(D93,2)),IF(MID(D93,6,2)="SU",RIGHT(D93,5),_xlfn.CONCAT(H93,"01",RIGHT(D93,1))))</f>
        <v>SU009</v>
      </c>
      <c r="J93" s="162" t="str">
        <f t="shared" si="1"/>
        <v>ELECTRICAL</v>
      </c>
      <c r="L93" s="162" t="str">
        <f t="shared" si="2"/>
        <v>10202SU009</v>
      </c>
    </row>
    <row r="94" spans="2:12" outlineLevel="1" x14ac:dyDescent="0.25">
      <c r="B94" s="162" t="s">
        <v>1464</v>
      </c>
      <c r="C94" s="162" t="s">
        <v>1464</v>
      </c>
      <c r="D94" s="162" t="s">
        <v>1465</v>
      </c>
      <c r="E94" s="162" t="s">
        <v>1466</v>
      </c>
      <c r="H94" s="164" t="s">
        <v>1464</v>
      </c>
      <c r="I94" s="164" t="str">
        <f>IF(MID(D94,6,2)="PP",_xlfn.CONCAT(H94,RIGHT(D94,2)),IF(MID(D94,6,2)="SU",RIGHT(D94,5),_xlfn.CONCAT(H94,"01",RIGHT(D94,1))))</f>
        <v>SU017</v>
      </c>
      <c r="J94" s="162" t="str">
        <f t="shared" si="1"/>
        <v>MSN</v>
      </c>
      <c r="L94" s="162" t="str">
        <f t="shared" si="2"/>
        <v>10202SU017</v>
      </c>
    </row>
    <row r="95" spans="2:12" outlineLevel="1" x14ac:dyDescent="0.25">
      <c r="B95" s="162" t="s">
        <v>1467</v>
      </c>
      <c r="C95" s="162" t="s">
        <v>1468</v>
      </c>
      <c r="D95" s="162" t="s">
        <v>256</v>
      </c>
      <c r="E95" s="162" t="s">
        <v>295</v>
      </c>
      <c r="H95" s="164" t="s">
        <v>1469</v>
      </c>
      <c r="I95" s="164" t="str">
        <f>RIGHT(D95,5)</f>
        <v>BD001</v>
      </c>
      <c r="J95" s="162" t="str">
        <f t="shared" si="1"/>
        <v>Board of Directors</v>
      </c>
      <c r="L95" s="162" t="str">
        <f t="shared" si="2"/>
        <v>10301BD001</v>
      </c>
    </row>
    <row r="96" spans="2:12" outlineLevel="1" x14ac:dyDescent="0.25">
      <c r="B96" s="162" t="s">
        <v>1467</v>
      </c>
      <c r="C96" s="162" t="s">
        <v>1468</v>
      </c>
      <c r="D96" s="162" t="s">
        <v>843</v>
      </c>
      <c r="E96" s="162" t="s">
        <v>844</v>
      </c>
      <c r="H96" s="164" t="s">
        <v>1469</v>
      </c>
      <c r="I96" s="164" t="str">
        <f t="shared" ref="I96:I146" si="5">RIGHT(D96,5)</f>
        <v>BD002</v>
      </c>
      <c r="J96" s="162" t="str">
        <f t="shared" si="1"/>
        <v>Board of Directors</v>
      </c>
      <c r="L96" s="162" t="str">
        <f t="shared" si="2"/>
        <v>10301BD002</v>
      </c>
    </row>
    <row r="97" spans="2:12" outlineLevel="1" x14ac:dyDescent="0.25">
      <c r="B97" s="162" t="s">
        <v>1467</v>
      </c>
      <c r="C97" s="162" t="s">
        <v>19</v>
      </c>
      <c r="D97" s="162" t="s">
        <v>257</v>
      </c>
      <c r="E97" s="162" t="s">
        <v>297</v>
      </c>
      <c r="H97" s="164" t="s">
        <v>1469</v>
      </c>
      <c r="I97" s="164" t="str">
        <f t="shared" si="5"/>
        <v>CP001</v>
      </c>
      <c r="J97" s="162" t="str">
        <f t="shared" si="1"/>
        <v>Corp. Planning &amp; Sustainability</v>
      </c>
      <c r="L97" s="162" t="str">
        <f t="shared" si="2"/>
        <v>10301CP001</v>
      </c>
    </row>
    <row r="98" spans="2:12" outlineLevel="1" x14ac:dyDescent="0.25">
      <c r="B98" s="162" t="s">
        <v>1467</v>
      </c>
      <c r="C98" s="162" t="s">
        <v>20</v>
      </c>
      <c r="D98" s="162" t="s">
        <v>262</v>
      </c>
      <c r="E98" s="162" t="s">
        <v>321</v>
      </c>
      <c r="H98" s="164" t="s">
        <v>1469</v>
      </c>
      <c r="I98" s="164" t="str">
        <f t="shared" si="5"/>
        <v>IA001</v>
      </c>
      <c r="J98" s="162" t="str">
        <f t="shared" si="1"/>
        <v>Internal Audit</v>
      </c>
      <c r="L98" s="162" t="str">
        <f t="shared" si="2"/>
        <v>10301IA001</v>
      </c>
    </row>
    <row r="99" spans="2:12" outlineLevel="1" x14ac:dyDescent="0.25">
      <c r="B99" s="299" t="s">
        <v>1467</v>
      </c>
      <c r="C99" s="299" t="s">
        <v>1521</v>
      </c>
      <c r="D99" s="299"/>
      <c r="E99" s="299" t="s">
        <v>1522</v>
      </c>
      <c r="F99" s="160" t="s">
        <v>1517</v>
      </c>
      <c r="H99" s="164" t="s">
        <v>1469</v>
      </c>
      <c r="I99" s="164" t="str">
        <f t="shared" ref="I99:I100" si="6">RIGHT(D99,5)</f>
        <v/>
      </c>
      <c r="J99" s="162" t="str">
        <f t="shared" ref="J99:J100" si="7">C99</f>
        <v>Sustainability</v>
      </c>
      <c r="L99" s="162">
        <f t="shared" ref="L99:L100" si="8">D99</f>
        <v>0</v>
      </c>
    </row>
    <row r="100" spans="2:12" outlineLevel="1" x14ac:dyDescent="0.25">
      <c r="B100" s="299" t="s">
        <v>1467</v>
      </c>
      <c r="C100" s="299" t="s">
        <v>1954</v>
      </c>
      <c r="D100" s="299"/>
      <c r="E100" s="299" t="s">
        <v>1971</v>
      </c>
      <c r="F100" s="160" t="s">
        <v>1517</v>
      </c>
      <c r="H100" s="164" t="s">
        <v>1469</v>
      </c>
      <c r="I100" s="164" t="str">
        <f t="shared" si="6"/>
        <v/>
      </c>
      <c r="J100" s="162" t="str">
        <f t="shared" si="7"/>
        <v>Project Management</v>
      </c>
      <c r="L100" s="162">
        <f t="shared" si="8"/>
        <v>0</v>
      </c>
    </row>
    <row r="101" spans="2:12" outlineLevel="1" x14ac:dyDescent="0.25">
      <c r="B101" s="162" t="s">
        <v>1470</v>
      </c>
      <c r="C101" s="162" t="s">
        <v>1471</v>
      </c>
      <c r="D101" s="162" t="s">
        <v>264</v>
      </c>
      <c r="E101" s="162" t="s">
        <v>296</v>
      </c>
      <c r="H101" s="164" t="s">
        <v>1472</v>
      </c>
      <c r="I101" s="164" t="str">
        <f t="shared" si="5"/>
        <v>CL001</v>
      </c>
      <c r="J101" s="162" t="str">
        <f t="shared" si="1"/>
        <v>General Counsel</v>
      </c>
      <c r="L101" s="162" t="str">
        <f t="shared" si="2"/>
        <v>10301CL001</v>
      </c>
    </row>
    <row r="102" spans="2:12" outlineLevel="1" x14ac:dyDescent="0.25">
      <c r="B102" s="162" t="s">
        <v>1470</v>
      </c>
      <c r="C102" s="162" t="s">
        <v>1473</v>
      </c>
      <c r="D102" s="162" t="s">
        <v>272</v>
      </c>
      <c r="E102" s="162" t="s">
        <v>298</v>
      </c>
      <c r="H102" s="164" t="s">
        <v>1472</v>
      </c>
      <c r="I102" s="164" t="str">
        <f t="shared" si="5"/>
        <v>CS001</v>
      </c>
      <c r="J102" s="162" t="str">
        <f t="shared" si="1"/>
        <v>Compliance &amp; Governance</v>
      </c>
      <c r="L102" s="162" t="str">
        <f t="shared" si="2"/>
        <v>10301CS001</v>
      </c>
    </row>
    <row r="103" spans="2:12" outlineLevel="1" x14ac:dyDescent="0.25">
      <c r="B103" s="162" t="s">
        <v>1470</v>
      </c>
      <c r="C103" s="162" t="s">
        <v>1474</v>
      </c>
      <c r="D103" s="162" t="s">
        <v>278</v>
      </c>
      <c r="E103" s="162" t="s">
        <v>326</v>
      </c>
      <c r="H103" s="164" t="s">
        <v>1472</v>
      </c>
      <c r="I103" s="164" t="str">
        <f t="shared" si="5"/>
        <v>MS005</v>
      </c>
      <c r="J103" s="162" t="str">
        <f t="shared" si="1"/>
        <v>Permit &amp; Licensing</v>
      </c>
      <c r="L103" s="162" t="str">
        <f t="shared" si="2"/>
        <v>10301MS005</v>
      </c>
    </row>
    <row r="104" spans="2:12" outlineLevel="1" x14ac:dyDescent="0.25">
      <c r="B104" s="162" t="s">
        <v>1470</v>
      </c>
      <c r="C104" s="162" t="s">
        <v>1474</v>
      </c>
      <c r="D104" s="162" t="s">
        <v>265</v>
      </c>
      <c r="E104" s="162" t="s">
        <v>329</v>
      </c>
      <c r="H104" s="164" t="s">
        <v>1472</v>
      </c>
      <c r="I104" s="164" t="str">
        <f t="shared" si="5"/>
        <v>MS008</v>
      </c>
      <c r="J104" s="162" t="str">
        <f t="shared" si="1"/>
        <v>Permit &amp; Licensing</v>
      </c>
      <c r="L104" s="162" t="str">
        <f t="shared" si="2"/>
        <v>10301MS008</v>
      </c>
    </row>
    <row r="105" spans="2:12" outlineLevel="1" x14ac:dyDescent="0.25">
      <c r="B105" s="162" t="s">
        <v>300</v>
      </c>
      <c r="C105" s="162" t="s">
        <v>28</v>
      </c>
      <c r="D105" s="162" t="s">
        <v>267</v>
      </c>
      <c r="E105" s="162" t="s">
        <v>299</v>
      </c>
      <c r="H105" s="164" t="s">
        <v>300</v>
      </c>
      <c r="I105" s="164" t="str">
        <f t="shared" si="5"/>
        <v>FA001</v>
      </c>
      <c r="J105" s="162" t="str">
        <f t="shared" si="1"/>
        <v>Treasury &amp; Finance</v>
      </c>
      <c r="L105" s="162" t="str">
        <f t="shared" si="2"/>
        <v>10301FA001</v>
      </c>
    </row>
    <row r="106" spans="2:12" outlineLevel="1" x14ac:dyDescent="0.25">
      <c r="B106" s="162" t="s">
        <v>300</v>
      </c>
      <c r="C106" s="162" t="s">
        <v>1475</v>
      </c>
      <c r="D106" s="162" t="s">
        <v>255</v>
      </c>
      <c r="E106" s="162" t="s">
        <v>301</v>
      </c>
      <c r="H106" s="164" t="s">
        <v>300</v>
      </c>
      <c r="I106" s="164" t="str">
        <f t="shared" si="5"/>
        <v>FA002</v>
      </c>
      <c r="J106" s="162" t="str">
        <f t="shared" si="1"/>
        <v>Accounting &amp; Fixed Asset Management</v>
      </c>
      <c r="L106" s="162" t="str">
        <f t="shared" si="2"/>
        <v>10301FA002</v>
      </c>
    </row>
    <row r="107" spans="2:12" outlineLevel="1" x14ac:dyDescent="0.25">
      <c r="B107" s="162" t="s">
        <v>300</v>
      </c>
      <c r="C107" s="162" t="s">
        <v>27</v>
      </c>
      <c r="D107" s="162" t="s">
        <v>266</v>
      </c>
      <c r="E107" s="162" t="s">
        <v>302</v>
      </c>
      <c r="H107" s="164" t="s">
        <v>300</v>
      </c>
      <c r="I107" s="164" t="str">
        <f t="shared" si="5"/>
        <v>FA003</v>
      </c>
      <c r="J107" s="162" t="str">
        <f t="shared" si="1"/>
        <v>Taxation</v>
      </c>
      <c r="L107" s="162" t="str">
        <f t="shared" si="2"/>
        <v>10301FA003</v>
      </c>
    </row>
    <row r="108" spans="2:12" outlineLevel="1" x14ac:dyDescent="0.25">
      <c r="B108" s="162" t="s">
        <v>300</v>
      </c>
      <c r="C108" s="162" t="s">
        <v>26</v>
      </c>
      <c r="D108" s="162" t="s">
        <v>258</v>
      </c>
      <c r="E108" s="162" t="s">
        <v>303</v>
      </c>
      <c r="H108" s="164" t="s">
        <v>300</v>
      </c>
      <c r="I108" s="164" t="str">
        <f t="shared" si="5"/>
        <v>FA004</v>
      </c>
      <c r="J108" s="162" t="str">
        <f t="shared" si="1"/>
        <v>Financial Planning &amp; Analysis</v>
      </c>
      <c r="L108" s="162" t="str">
        <f t="shared" si="2"/>
        <v>10301FA004</v>
      </c>
    </row>
    <row r="109" spans="2:12" outlineLevel="1" x14ac:dyDescent="0.25">
      <c r="B109" s="162" t="s">
        <v>300</v>
      </c>
      <c r="C109" s="162" t="s">
        <v>28</v>
      </c>
      <c r="D109" s="162" t="s">
        <v>274</v>
      </c>
      <c r="E109" s="162" t="s">
        <v>305</v>
      </c>
      <c r="H109" s="164" t="s">
        <v>300</v>
      </c>
      <c r="I109" s="164" t="str">
        <f t="shared" si="5"/>
        <v>FA006</v>
      </c>
      <c r="J109" s="162" t="str">
        <f t="shared" si="1"/>
        <v>Treasury &amp; Finance</v>
      </c>
      <c r="L109" s="162" t="str">
        <f t="shared" si="2"/>
        <v>10301FA006</v>
      </c>
    </row>
    <row r="110" spans="2:12" outlineLevel="1" x14ac:dyDescent="0.25">
      <c r="B110" s="162" t="s">
        <v>300</v>
      </c>
      <c r="C110" s="162" t="s">
        <v>1475</v>
      </c>
      <c r="D110" s="162" t="s">
        <v>268</v>
      </c>
      <c r="E110" s="162" t="s">
        <v>306</v>
      </c>
      <c r="H110" s="164" t="s">
        <v>300</v>
      </c>
      <c r="I110" s="164" t="str">
        <f t="shared" si="5"/>
        <v>FA007</v>
      </c>
      <c r="J110" s="162" t="str">
        <f t="shared" si="1"/>
        <v>Accounting &amp; Fixed Asset Management</v>
      </c>
      <c r="L110" s="162" t="str">
        <f t="shared" si="2"/>
        <v>10301FA007</v>
      </c>
    </row>
    <row r="111" spans="2:12" outlineLevel="1" x14ac:dyDescent="0.25">
      <c r="B111" s="162" t="s">
        <v>300</v>
      </c>
      <c r="C111" s="162" t="s">
        <v>1475</v>
      </c>
      <c r="D111" s="162" t="s">
        <v>845</v>
      </c>
      <c r="E111" s="162" t="s">
        <v>846</v>
      </c>
      <c r="H111" s="164" t="s">
        <v>300</v>
      </c>
      <c r="I111" s="164" t="str">
        <f t="shared" si="5"/>
        <v>FA008</v>
      </c>
      <c r="J111" s="162" t="str">
        <f t="shared" si="1"/>
        <v>Accounting &amp; Fixed Asset Management</v>
      </c>
      <c r="L111" s="162" t="str">
        <f t="shared" si="2"/>
        <v>10301FA008</v>
      </c>
    </row>
    <row r="112" spans="2:12" outlineLevel="1" x14ac:dyDescent="0.25">
      <c r="B112" s="162" t="s">
        <v>1431</v>
      </c>
      <c r="C112" s="162" t="s">
        <v>29</v>
      </c>
      <c r="D112" s="162" t="s">
        <v>259</v>
      </c>
      <c r="E112" s="162" t="s">
        <v>307</v>
      </c>
      <c r="H112" s="164" t="s">
        <v>106</v>
      </c>
      <c r="I112" s="164" t="str">
        <f t="shared" si="5"/>
        <v>GA001</v>
      </c>
      <c r="J112" s="162" t="str">
        <f t="shared" si="1"/>
        <v>General Affairs</v>
      </c>
      <c r="L112" s="162" t="str">
        <f t="shared" si="2"/>
        <v>10301GA001</v>
      </c>
    </row>
    <row r="113" spans="2:12" outlineLevel="1" x14ac:dyDescent="0.25">
      <c r="B113" s="162" t="s">
        <v>1431</v>
      </c>
      <c r="C113" s="162" t="s">
        <v>29</v>
      </c>
      <c r="D113" s="162" t="s">
        <v>269</v>
      </c>
      <c r="E113" s="162" t="s">
        <v>308</v>
      </c>
      <c r="H113" s="164" t="s">
        <v>106</v>
      </c>
      <c r="I113" s="164" t="str">
        <f t="shared" si="5"/>
        <v>GA002</v>
      </c>
      <c r="J113" s="162" t="str">
        <f t="shared" si="1"/>
        <v>General Affairs</v>
      </c>
      <c r="L113" s="162" t="str">
        <f t="shared" si="2"/>
        <v>10301GA002</v>
      </c>
    </row>
    <row r="114" spans="2:12" outlineLevel="1" x14ac:dyDescent="0.25">
      <c r="B114" s="162" t="s">
        <v>1431</v>
      </c>
      <c r="C114" s="162" t="s">
        <v>29</v>
      </c>
      <c r="D114" s="162" t="s">
        <v>276</v>
      </c>
      <c r="E114" s="162" t="s">
        <v>309</v>
      </c>
      <c r="H114" s="164" t="s">
        <v>106</v>
      </c>
      <c r="I114" s="164" t="str">
        <f t="shared" si="5"/>
        <v>GA003</v>
      </c>
      <c r="J114" s="162" t="str">
        <f t="shared" si="1"/>
        <v>General Affairs</v>
      </c>
      <c r="L114" s="162" t="str">
        <f t="shared" si="2"/>
        <v>10301GA003</v>
      </c>
    </row>
    <row r="115" spans="2:12" outlineLevel="1" x14ac:dyDescent="0.25">
      <c r="B115" s="162" t="s">
        <v>1431</v>
      </c>
      <c r="C115" s="162" t="s">
        <v>29</v>
      </c>
      <c r="D115" s="162" t="s">
        <v>281</v>
      </c>
      <c r="E115" s="162" t="s">
        <v>310</v>
      </c>
      <c r="H115" s="164" t="s">
        <v>106</v>
      </c>
      <c r="I115" s="164" t="str">
        <f t="shared" si="5"/>
        <v>GA004</v>
      </c>
      <c r="J115" s="162" t="str">
        <f t="shared" si="1"/>
        <v>General Affairs</v>
      </c>
      <c r="L115" s="162" t="str">
        <f t="shared" si="2"/>
        <v>10301GA004</v>
      </c>
    </row>
    <row r="116" spans="2:12" outlineLevel="1" x14ac:dyDescent="0.25">
      <c r="B116" s="162" t="s">
        <v>1431</v>
      </c>
      <c r="C116" s="162" t="s">
        <v>29</v>
      </c>
      <c r="D116" s="162" t="s">
        <v>284</v>
      </c>
      <c r="E116" s="162" t="s">
        <v>311</v>
      </c>
      <c r="H116" s="164" t="s">
        <v>106</v>
      </c>
      <c r="I116" s="164" t="str">
        <f t="shared" si="5"/>
        <v>GA005</v>
      </c>
      <c r="J116" s="162" t="str">
        <f t="shared" si="1"/>
        <v>General Affairs</v>
      </c>
      <c r="L116" s="162" t="str">
        <f t="shared" si="2"/>
        <v>10301GA005</v>
      </c>
    </row>
    <row r="117" spans="2:12" outlineLevel="1" x14ac:dyDescent="0.25">
      <c r="B117" s="162" t="s">
        <v>1431</v>
      </c>
      <c r="C117" s="162" t="s">
        <v>29</v>
      </c>
      <c r="D117" s="162" t="s">
        <v>287</v>
      </c>
      <c r="E117" s="162" t="s">
        <v>312</v>
      </c>
      <c r="H117" s="164" t="s">
        <v>106</v>
      </c>
      <c r="I117" s="164" t="str">
        <f t="shared" si="5"/>
        <v>GA008</v>
      </c>
      <c r="J117" s="162" t="str">
        <f t="shared" si="1"/>
        <v>General Affairs</v>
      </c>
      <c r="L117" s="162" t="str">
        <f t="shared" si="2"/>
        <v>10301GA008</v>
      </c>
    </row>
    <row r="118" spans="2:12" outlineLevel="1" x14ac:dyDescent="0.25">
      <c r="B118" s="162" t="s">
        <v>1431</v>
      </c>
      <c r="C118" s="162" t="s">
        <v>30</v>
      </c>
      <c r="D118" s="162" t="s">
        <v>261</v>
      </c>
      <c r="E118" s="162" t="s">
        <v>313</v>
      </c>
      <c r="H118" s="164" t="s">
        <v>50</v>
      </c>
      <c r="I118" s="164" t="str">
        <f t="shared" si="5"/>
        <v>HR001</v>
      </c>
      <c r="J118" s="162" t="str">
        <f t="shared" si="1"/>
        <v>Human Resources</v>
      </c>
      <c r="L118" s="162" t="str">
        <f t="shared" si="2"/>
        <v>10301HR001</v>
      </c>
    </row>
    <row r="119" spans="2:12" outlineLevel="1" x14ac:dyDescent="0.25">
      <c r="B119" s="162" t="s">
        <v>1431</v>
      </c>
      <c r="C119" s="162" t="s">
        <v>30</v>
      </c>
      <c r="D119" s="162" t="s">
        <v>270</v>
      </c>
      <c r="E119" s="162" t="s">
        <v>314</v>
      </c>
      <c r="H119" s="164" t="s">
        <v>50</v>
      </c>
      <c r="I119" s="164" t="str">
        <f t="shared" si="5"/>
        <v>HR002</v>
      </c>
      <c r="J119" s="162" t="str">
        <f t="shared" si="1"/>
        <v>Human Resources</v>
      </c>
      <c r="L119" s="162" t="str">
        <f t="shared" si="2"/>
        <v>10301HR002</v>
      </c>
    </row>
    <row r="120" spans="2:12" outlineLevel="1" x14ac:dyDescent="0.25">
      <c r="B120" s="162" t="s">
        <v>1431</v>
      </c>
      <c r="C120" s="162" t="s">
        <v>30</v>
      </c>
      <c r="D120" s="162" t="s">
        <v>277</v>
      </c>
      <c r="E120" s="162" t="s">
        <v>315</v>
      </c>
      <c r="H120" s="164" t="s">
        <v>50</v>
      </c>
      <c r="I120" s="164" t="str">
        <f t="shared" si="5"/>
        <v>HR003</v>
      </c>
      <c r="J120" s="162" t="str">
        <f t="shared" si="1"/>
        <v>Human Resources</v>
      </c>
      <c r="L120" s="162" t="str">
        <f t="shared" si="2"/>
        <v>10301HR003</v>
      </c>
    </row>
    <row r="121" spans="2:12" outlineLevel="1" x14ac:dyDescent="0.25">
      <c r="B121" s="162" t="s">
        <v>1431</v>
      </c>
      <c r="C121" s="162" t="s">
        <v>30</v>
      </c>
      <c r="D121" s="162" t="s">
        <v>282</v>
      </c>
      <c r="E121" s="162" t="s">
        <v>316</v>
      </c>
      <c r="H121" s="164" t="s">
        <v>50</v>
      </c>
      <c r="I121" s="164" t="str">
        <f t="shared" si="5"/>
        <v>HR004</v>
      </c>
      <c r="J121" s="162" t="str">
        <f t="shared" si="1"/>
        <v>Human Resources</v>
      </c>
      <c r="L121" s="162" t="str">
        <f t="shared" si="2"/>
        <v>10301HR004</v>
      </c>
    </row>
    <row r="122" spans="2:12" outlineLevel="1" x14ac:dyDescent="0.25">
      <c r="B122" s="162" t="s">
        <v>1431</v>
      </c>
      <c r="C122" s="162" t="s">
        <v>30</v>
      </c>
      <c r="D122" s="162" t="s">
        <v>285</v>
      </c>
      <c r="E122" s="162" t="s">
        <v>317</v>
      </c>
      <c r="H122" s="164" t="s">
        <v>50</v>
      </c>
      <c r="I122" s="164" t="str">
        <f t="shared" si="5"/>
        <v>HR005</v>
      </c>
      <c r="J122" s="162" t="str">
        <f t="shared" si="1"/>
        <v>Human Resources</v>
      </c>
      <c r="L122" s="162" t="str">
        <f t="shared" si="2"/>
        <v>10301HR005</v>
      </c>
    </row>
    <row r="123" spans="2:12" outlineLevel="1" x14ac:dyDescent="0.25">
      <c r="B123" s="162" t="s">
        <v>1431</v>
      </c>
      <c r="C123" s="162" t="s">
        <v>30</v>
      </c>
      <c r="D123" s="162" t="s">
        <v>288</v>
      </c>
      <c r="E123" s="162" t="s">
        <v>318</v>
      </c>
      <c r="H123" s="164" t="s">
        <v>50</v>
      </c>
      <c r="I123" s="164" t="str">
        <f t="shared" si="5"/>
        <v>HR007</v>
      </c>
      <c r="J123" s="162" t="str">
        <f t="shared" si="1"/>
        <v>Human Resources</v>
      </c>
      <c r="L123" s="162" t="str">
        <f t="shared" si="2"/>
        <v>10301HR007</v>
      </c>
    </row>
    <row r="124" spans="2:12" outlineLevel="1" x14ac:dyDescent="0.25">
      <c r="B124" s="162" t="s">
        <v>1431</v>
      </c>
      <c r="C124" s="162" t="s">
        <v>29</v>
      </c>
      <c r="D124" s="162" t="s">
        <v>290</v>
      </c>
      <c r="E124" s="162" t="s">
        <v>325</v>
      </c>
      <c r="H124" s="164" t="s">
        <v>106</v>
      </c>
      <c r="I124" s="164" t="str">
        <f t="shared" si="5"/>
        <v>MS001</v>
      </c>
      <c r="J124" s="162" t="str">
        <f t="shared" si="1"/>
        <v>General Affairs</v>
      </c>
      <c r="L124" s="162" t="str">
        <f t="shared" si="2"/>
        <v>10301MS001</v>
      </c>
    </row>
    <row r="125" spans="2:12" outlineLevel="1" x14ac:dyDescent="0.25">
      <c r="B125" s="162" t="s">
        <v>22</v>
      </c>
      <c r="C125" s="162" t="s">
        <v>292</v>
      </c>
      <c r="D125" s="162" t="s">
        <v>260</v>
      </c>
      <c r="E125" s="162" t="s">
        <v>319</v>
      </c>
      <c r="H125" s="164" t="s">
        <v>22</v>
      </c>
      <c r="I125" s="164" t="str">
        <f t="shared" si="5"/>
        <v>HS001</v>
      </c>
      <c r="J125" s="162" t="str">
        <f t="shared" si="1"/>
        <v>Health &amp; Safety</v>
      </c>
      <c r="L125" s="162" t="str">
        <f t="shared" si="2"/>
        <v>10301HS001</v>
      </c>
    </row>
    <row r="126" spans="2:12" outlineLevel="1" x14ac:dyDescent="0.25">
      <c r="B126" s="162" t="s">
        <v>22</v>
      </c>
      <c r="C126" s="162" t="s">
        <v>293</v>
      </c>
      <c r="D126" s="162" t="s">
        <v>286</v>
      </c>
      <c r="E126" s="162" t="s">
        <v>320</v>
      </c>
      <c r="H126" s="164" t="s">
        <v>22</v>
      </c>
      <c r="I126" s="164" t="str">
        <f t="shared" si="5"/>
        <v>HS002</v>
      </c>
      <c r="J126" s="162" t="str">
        <f t="shared" ref="J126:J146" si="9">C126</f>
        <v>Environment</v>
      </c>
      <c r="L126" s="162" t="str">
        <f t="shared" ref="L126:L146" si="10">D126</f>
        <v>10301HS002</v>
      </c>
    </row>
    <row r="127" spans="2:12" outlineLevel="1" x14ac:dyDescent="0.25">
      <c r="B127" s="162" t="s">
        <v>31</v>
      </c>
      <c r="C127" s="162" t="s">
        <v>237</v>
      </c>
      <c r="D127" s="162" t="s">
        <v>263</v>
      </c>
      <c r="E127" s="162" t="s">
        <v>322</v>
      </c>
      <c r="H127" s="164" t="s">
        <v>31</v>
      </c>
      <c r="I127" s="164" t="str">
        <f t="shared" si="5"/>
        <v>IT001</v>
      </c>
      <c r="J127" s="162" t="str">
        <f t="shared" si="9"/>
        <v>Information Technology</v>
      </c>
      <c r="L127" s="162" t="str">
        <f t="shared" si="10"/>
        <v>10301IT001</v>
      </c>
    </row>
    <row r="128" spans="2:12" outlineLevel="1" x14ac:dyDescent="0.25">
      <c r="B128" s="162" t="s">
        <v>31</v>
      </c>
      <c r="C128" s="162" t="s">
        <v>237</v>
      </c>
      <c r="D128" s="162" t="s">
        <v>323</v>
      </c>
      <c r="E128" s="162" t="s">
        <v>842</v>
      </c>
      <c r="H128" s="164" t="s">
        <v>31</v>
      </c>
      <c r="I128" s="164" t="str">
        <f t="shared" si="5"/>
        <v>IT002</v>
      </c>
      <c r="J128" s="162" t="str">
        <f t="shared" si="9"/>
        <v>Information Technology</v>
      </c>
      <c r="L128" s="162" t="str">
        <f t="shared" si="10"/>
        <v>10301IT002</v>
      </c>
    </row>
    <row r="129" spans="2:12" outlineLevel="1" x14ac:dyDescent="0.25">
      <c r="B129" s="162" t="s">
        <v>31</v>
      </c>
      <c r="C129" s="162" t="s">
        <v>237</v>
      </c>
      <c r="D129" s="162" t="s">
        <v>271</v>
      </c>
      <c r="E129" s="162" t="s">
        <v>324</v>
      </c>
      <c r="H129" s="164" t="s">
        <v>31</v>
      </c>
      <c r="I129" s="164" t="str">
        <f t="shared" si="5"/>
        <v>IT003</v>
      </c>
      <c r="J129" s="162" t="str">
        <f t="shared" si="9"/>
        <v>Information Technology</v>
      </c>
      <c r="L129" s="162" t="str">
        <f t="shared" si="10"/>
        <v>10301IT003</v>
      </c>
    </row>
    <row r="130" spans="2:12" outlineLevel="1" x14ac:dyDescent="0.25">
      <c r="B130" s="162" t="s">
        <v>31</v>
      </c>
      <c r="C130" s="162" t="s">
        <v>237</v>
      </c>
      <c r="D130" s="162" t="s">
        <v>847</v>
      </c>
      <c r="E130" s="162" t="s">
        <v>848</v>
      </c>
      <c r="H130" s="164" t="s">
        <v>31</v>
      </c>
      <c r="I130" s="164" t="str">
        <f t="shared" si="5"/>
        <v>IT004</v>
      </c>
      <c r="J130" s="162" t="str">
        <f t="shared" si="9"/>
        <v>Information Technology</v>
      </c>
      <c r="L130" s="162" t="str">
        <f t="shared" si="10"/>
        <v>10301IT004</v>
      </c>
    </row>
    <row r="131" spans="2:12" outlineLevel="1" x14ac:dyDescent="0.25">
      <c r="B131" s="162" t="s">
        <v>1476</v>
      </c>
      <c r="C131" s="162" t="s">
        <v>1477</v>
      </c>
      <c r="D131" s="162" t="s">
        <v>273</v>
      </c>
      <c r="E131" s="162" t="s">
        <v>1968</v>
      </c>
      <c r="H131" s="164" t="s">
        <v>1478</v>
      </c>
      <c r="I131" s="164" t="str">
        <f t="shared" si="5"/>
        <v>MS002</v>
      </c>
      <c r="J131" s="162" t="str">
        <f t="shared" si="9"/>
        <v>Government Relation &amp; EA</v>
      </c>
      <c r="L131" s="162" t="str">
        <f t="shared" si="10"/>
        <v>10301MS002</v>
      </c>
    </row>
    <row r="132" spans="2:12" outlineLevel="1" x14ac:dyDescent="0.25">
      <c r="B132" s="162" t="s">
        <v>1476</v>
      </c>
      <c r="C132" s="162" t="s">
        <v>1477</v>
      </c>
      <c r="D132" s="162" t="s">
        <v>279</v>
      </c>
      <c r="E132" s="162" t="s">
        <v>1969</v>
      </c>
      <c r="H132" s="164" t="s">
        <v>1478</v>
      </c>
      <c r="I132" s="164" t="str">
        <f t="shared" si="5"/>
        <v>MS006</v>
      </c>
      <c r="J132" s="162" t="str">
        <f t="shared" si="9"/>
        <v>Government Relation &amp; EA</v>
      </c>
      <c r="L132" s="162" t="str">
        <f t="shared" si="10"/>
        <v>10301MS006</v>
      </c>
    </row>
    <row r="133" spans="2:12" outlineLevel="1" x14ac:dyDescent="0.25">
      <c r="B133" s="162" t="s">
        <v>1476</v>
      </c>
      <c r="C133" s="162" t="s">
        <v>1477</v>
      </c>
      <c r="D133" s="162" t="s">
        <v>283</v>
      </c>
      <c r="E133" s="162" t="s">
        <v>328</v>
      </c>
      <c r="H133" s="164" t="s">
        <v>1478</v>
      </c>
      <c r="I133" s="164" t="str">
        <f t="shared" si="5"/>
        <v>MS007</v>
      </c>
      <c r="J133" s="162" t="str">
        <f t="shared" si="9"/>
        <v>Government Relation &amp; EA</v>
      </c>
      <c r="L133" s="162" t="str">
        <f t="shared" si="10"/>
        <v>10301MS007</v>
      </c>
    </row>
    <row r="134" spans="2:12" outlineLevel="1" x14ac:dyDescent="0.25">
      <c r="B134" s="162" t="s">
        <v>1476</v>
      </c>
      <c r="C134" s="162" t="s">
        <v>1477</v>
      </c>
      <c r="D134" s="162" t="s">
        <v>1479</v>
      </c>
      <c r="E134" s="162" t="s">
        <v>1970</v>
      </c>
      <c r="H134" s="164" t="s">
        <v>1478</v>
      </c>
      <c r="I134" s="164" t="str">
        <f t="shared" si="5"/>
        <v>MS010</v>
      </c>
      <c r="J134" s="162" t="str">
        <f t="shared" si="9"/>
        <v>Government Relation &amp; EA</v>
      </c>
      <c r="L134" s="162" t="str">
        <f t="shared" si="10"/>
        <v>10301MS010</v>
      </c>
    </row>
    <row r="135" spans="2:12" outlineLevel="1" x14ac:dyDescent="0.25">
      <c r="B135" s="162" t="s">
        <v>1467</v>
      </c>
      <c r="C135" s="162" t="s">
        <v>24</v>
      </c>
      <c r="D135" s="162" t="s">
        <v>289</v>
      </c>
      <c r="E135" s="162" t="s">
        <v>330</v>
      </c>
      <c r="H135" s="164" t="s">
        <v>1469</v>
      </c>
      <c r="I135" s="164" t="str">
        <f t="shared" si="5"/>
        <v>PR001</v>
      </c>
      <c r="J135" s="162" t="str">
        <f t="shared" si="9"/>
        <v>Corporate Communication</v>
      </c>
      <c r="L135" s="162" t="str">
        <f t="shared" si="10"/>
        <v>10301PR001</v>
      </c>
    </row>
    <row r="136" spans="2:12" outlineLevel="1" x14ac:dyDescent="0.25">
      <c r="B136" s="162" t="s">
        <v>1467</v>
      </c>
      <c r="C136" s="162" t="s">
        <v>24</v>
      </c>
      <c r="D136" s="162" t="s">
        <v>291</v>
      </c>
      <c r="E136" s="162" t="s">
        <v>331</v>
      </c>
      <c r="H136" s="164" t="s">
        <v>1469</v>
      </c>
      <c r="I136" s="164" t="str">
        <f t="shared" si="5"/>
        <v>PR002</v>
      </c>
      <c r="J136" s="162" t="str">
        <f t="shared" si="9"/>
        <v>Corporate Communication</v>
      </c>
      <c r="L136" s="162" t="str">
        <f t="shared" si="10"/>
        <v>10301PR002</v>
      </c>
    </row>
    <row r="137" spans="2:12" outlineLevel="1" x14ac:dyDescent="0.25">
      <c r="B137" s="162" t="s">
        <v>248</v>
      </c>
      <c r="C137" s="162" t="s">
        <v>1480</v>
      </c>
      <c r="D137" s="162" t="s">
        <v>280</v>
      </c>
      <c r="E137" s="162" t="s">
        <v>919</v>
      </c>
      <c r="H137" s="164" t="s">
        <v>248</v>
      </c>
      <c r="I137" s="164" t="str">
        <f t="shared" si="5"/>
        <v>SC002</v>
      </c>
      <c r="J137" s="162" t="str">
        <f t="shared" si="9"/>
        <v>SCM Logistics</v>
      </c>
      <c r="L137" s="162" t="str">
        <f t="shared" si="10"/>
        <v>10301SC002</v>
      </c>
    </row>
    <row r="138" spans="2:12" outlineLevel="1" x14ac:dyDescent="0.25">
      <c r="B138" s="162" t="s">
        <v>248</v>
      </c>
      <c r="C138" s="162" t="s">
        <v>1481</v>
      </c>
      <c r="D138" s="162" t="s">
        <v>254</v>
      </c>
      <c r="E138" s="162" t="s">
        <v>920</v>
      </c>
      <c r="H138" s="164" t="s">
        <v>248</v>
      </c>
      <c r="I138" s="164" t="str">
        <f t="shared" si="5"/>
        <v>SC004</v>
      </c>
      <c r="J138" s="162" t="str">
        <f t="shared" si="9"/>
        <v>SCM Warehouse &amp; Inventory</v>
      </c>
      <c r="L138" s="162" t="str">
        <f t="shared" si="10"/>
        <v>10301SC004</v>
      </c>
    </row>
    <row r="139" spans="2:12" outlineLevel="1" x14ac:dyDescent="0.25">
      <c r="B139" s="162" t="s">
        <v>248</v>
      </c>
      <c r="C139" s="162" t="s">
        <v>1482</v>
      </c>
      <c r="D139" s="162" t="s">
        <v>275</v>
      </c>
      <c r="E139" s="162" t="s">
        <v>921</v>
      </c>
      <c r="H139" s="164" t="s">
        <v>248</v>
      </c>
      <c r="I139" s="164" t="str">
        <f t="shared" si="5"/>
        <v>SC005</v>
      </c>
      <c r="J139" s="162" t="str">
        <f t="shared" si="9"/>
        <v>SCM Grader</v>
      </c>
      <c r="L139" s="162" t="str">
        <f t="shared" si="10"/>
        <v>10301SC005</v>
      </c>
    </row>
    <row r="140" spans="2:12" outlineLevel="1" x14ac:dyDescent="0.25">
      <c r="B140" s="162" t="s">
        <v>248</v>
      </c>
      <c r="C140" s="162" t="s">
        <v>1481</v>
      </c>
      <c r="D140" s="162" t="s">
        <v>334</v>
      </c>
      <c r="E140" s="162" t="s">
        <v>335</v>
      </c>
      <c r="H140" s="164" t="s">
        <v>248</v>
      </c>
      <c r="I140" s="164" t="str">
        <f t="shared" si="5"/>
        <v>SC006</v>
      </c>
      <c r="J140" s="162" t="str">
        <f t="shared" si="9"/>
        <v>SCM Warehouse &amp; Inventory</v>
      </c>
      <c r="L140" s="162" t="str">
        <f t="shared" si="10"/>
        <v>10301SC006</v>
      </c>
    </row>
    <row r="141" spans="2:12" outlineLevel="1" x14ac:dyDescent="0.25">
      <c r="B141" s="162" t="s">
        <v>248</v>
      </c>
      <c r="C141" s="162" t="s">
        <v>1481</v>
      </c>
      <c r="D141" s="162" t="s">
        <v>336</v>
      </c>
      <c r="E141" s="162" t="s">
        <v>337</v>
      </c>
      <c r="H141" s="164" t="s">
        <v>248</v>
      </c>
      <c r="I141" s="164" t="str">
        <f t="shared" si="5"/>
        <v>SC007</v>
      </c>
      <c r="J141" s="162" t="str">
        <f t="shared" si="9"/>
        <v>SCM Warehouse &amp; Inventory</v>
      </c>
      <c r="L141" s="162" t="str">
        <f t="shared" si="10"/>
        <v>10301SC007</v>
      </c>
    </row>
    <row r="142" spans="2:12" outlineLevel="1" x14ac:dyDescent="0.25">
      <c r="B142" s="162" t="s">
        <v>248</v>
      </c>
      <c r="C142" s="162" t="s">
        <v>1481</v>
      </c>
      <c r="D142" s="162" t="s">
        <v>851</v>
      </c>
      <c r="E142" s="162" t="s">
        <v>852</v>
      </c>
      <c r="H142" s="164" t="s">
        <v>248</v>
      </c>
      <c r="I142" s="164" t="str">
        <f t="shared" si="5"/>
        <v>SC009</v>
      </c>
      <c r="J142" s="162" t="str">
        <f t="shared" si="9"/>
        <v>SCM Warehouse &amp; Inventory</v>
      </c>
      <c r="L142" s="162" t="str">
        <f t="shared" si="10"/>
        <v>10301SC009</v>
      </c>
    </row>
    <row r="143" spans="2:12" outlineLevel="1" x14ac:dyDescent="0.25">
      <c r="B143" s="162" t="s">
        <v>1483</v>
      </c>
      <c r="C143" s="162" t="s">
        <v>32</v>
      </c>
      <c r="D143" s="162" t="s">
        <v>253</v>
      </c>
      <c r="E143" s="162" t="s">
        <v>332</v>
      </c>
      <c r="H143" s="164" t="s">
        <v>1484</v>
      </c>
      <c r="I143" s="164" t="str">
        <f t="shared" si="5"/>
        <v>SC001</v>
      </c>
      <c r="J143" s="162" t="str">
        <f t="shared" si="9"/>
        <v>Strategic Sourcing &amp; Procurement</v>
      </c>
      <c r="L143" s="162" t="str">
        <f t="shared" si="10"/>
        <v>10301SC001</v>
      </c>
    </row>
    <row r="144" spans="2:12" outlineLevel="1" x14ac:dyDescent="0.25">
      <c r="B144" s="162" t="s">
        <v>1483</v>
      </c>
      <c r="C144" s="162" t="s">
        <v>32</v>
      </c>
      <c r="D144" s="162" t="s">
        <v>849</v>
      </c>
      <c r="E144" s="162" t="s">
        <v>850</v>
      </c>
      <c r="H144" s="164" t="s">
        <v>1484</v>
      </c>
      <c r="I144" s="164" t="str">
        <f t="shared" si="5"/>
        <v>SC008</v>
      </c>
      <c r="J144" s="162" t="str">
        <f t="shared" si="9"/>
        <v>Strategic Sourcing &amp; Procurement</v>
      </c>
      <c r="L144" s="162" t="str">
        <f t="shared" si="10"/>
        <v>10301SC008</v>
      </c>
    </row>
    <row r="145" spans="2:12" outlineLevel="1" x14ac:dyDescent="0.25">
      <c r="B145" s="162" t="s">
        <v>1483</v>
      </c>
      <c r="C145" s="162" t="s">
        <v>236</v>
      </c>
      <c r="D145" s="162" t="s">
        <v>252</v>
      </c>
      <c r="E145" s="162" t="s">
        <v>338</v>
      </c>
      <c r="H145" s="164" t="s">
        <v>1485</v>
      </c>
      <c r="I145" s="164" t="str">
        <f t="shared" si="5"/>
        <v>SM001</v>
      </c>
      <c r="J145" s="162" t="str">
        <f t="shared" si="9"/>
        <v>Sales</v>
      </c>
      <c r="L145" s="162" t="str">
        <f t="shared" si="10"/>
        <v>10301SM001</v>
      </c>
    </row>
    <row r="146" spans="2:12" outlineLevel="1" x14ac:dyDescent="0.25">
      <c r="B146" s="162" t="s">
        <v>1483</v>
      </c>
      <c r="C146" s="162" t="s">
        <v>236</v>
      </c>
      <c r="D146" s="162" t="s">
        <v>853</v>
      </c>
      <c r="E146" s="162" t="s">
        <v>854</v>
      </c>
      <c r="H146" s="164" t="s">
        <v>1485</v>
      </c>
      <c r="I146" s="164" t="str">
        <f t="shared" si="5"/>
        <v>SM004</v>
      </c>
      <c r="J146" s="162" t="str">
        <f t="shared" si="9"/>
        <v>Sales</v>
      </c>
      <c r="L146" s="162" t="str">
        <f t="shared" si="10"/>
        <v>10301SM004</v>
      </c>
    </row>
    <row r="147" spans="2:12" outlineLevel="1" x14ac:dyDescent="0.25"/>
    <row r="148" spans="2:12" s="157" customFormat="1" x14ac:dyDescent="0.25">
      <c r="B148" s="156" t="s">
        <v>1486</v>
      </c>
      <c r="H148" s="158"/>
      <c r="I148" s="158"/>
    </row>
    <row r="150" spans="2:12" s="75" customFormat="1" x14ac:dyDescent="0.25">
      <c r="B150" s="111" t="s">
        <v>1033</v>
      </c>
      <c r="H150" s="165"/>
      <c r="I150" s="165"/>
    </row>
    <row r="151" spans="2:12" s="75" customFormat="1" outlineLevel="1" x14ac:dyDescent="0.25">
      <c r="B151" s="91" t="s">
        <v>1034</v>
      </c>
      <c r="C151" s="91" t="s">
        <v>1035</v>
      </c>
      <c r="D151" s="113" t="s">
        <v>1037</v>
      </c>
      <c r="E151" s="113" t="s">
        <v>1038</v>
      </c>
      <c r="F151" s="356" t="s">
        <v>1922</v>
      </c>
      <c r="H151" s="357" t="s">
        <v>1034</v>
      </c>
      <c r="I151" s="357" t="s">
        <v>1923</v>
      </c>
    </row>
    <row r="152" spans="2:12" s="75" customFormat="1" outlineLevel="1" x14ac:dyDescent="0.25">
      <c r="B152" s="144">
        <v>50200010</v>
      </c>
      <c r="C152" s="125" t="s">
        <v>1039</v>
      </c>
      <c r="D152" s="145" t="s">
        <v>469</v>
      </c>
      <c r="E152" s="145" t="s">
        <v>1041</v>
      </c>
      <c r="F152" s="358" t="s">
        <v>1924</v>
      </c>
      <c r="H152" s="359">
        <f t="shared" ref="H152:H215" si="11">B152</f>
        <v>50200010</v>
      </c>
      <c r="I152" s="358" t="s">
        <v>1531</v>
      </c>
    </row>
    <row r="153" spans="2:12" s="75" customFormat="1" outlineLevel="1" x14ac:dyDescent="0.25">
      <c r="B153" s="144">
        <v>50300010</v>
      </c>
      <c r="C153" s="125" t="s">
        <v>48</v>
      </c>
      <c r="D153" s="146" t="s">
        <v>470</v>
      </c>
      <c r="E153" s="146" t="s">
        <v>50</v>
      </c>
      <c r="F153" s="358" t="s">
        <v>1925</v>
      </c>
      <c r="H153" s="359">
        <f t="shared" si="11"/>
        <v>50300010</v>
      </c>
      <c r="I153" s="358" t="s">
        <v>1926</v>
      </c>
    </row>
    <row r="154" spans="2:12" s="75" customFormat="1" outlineLevel="1" x14ac:dyDescent="0.25">
      <c r="B154" s="144">
        <v>50300020</v>
      </c>
      <c r="C154" s="125" t="s">
        <v>51</v>
      </c>
      <c r="D154" s="125" t="s">
        <v>470</v>
      </c>
      <c r="E154" s="146" t="s">
        <v>50</v>
      </c>
      <c r="F154" s="358" t="s">
        <v>1924</v>
      </c>
      <c r="H154" s="359">
        <f t="shared" si="11"/>
        <v>50300020</v>
      </c>
      <c r="I154" s="358" t="s">
        <v>1927</v>
      </c>
    </row>
    <row r="155" spans="2:12" s="75" customFormat="1" outlineLevel="1" x14ac:dyDescent="0.25">
      <c r="B155" s="144">
        <v>50300030</v>
      </c>
      <c r="C155" s="125" t="s">
        <v>53</v>
      </c>
      <c r="D155" s="125" t="s">
        <v>470</v>
      </c>
      <c r="E155" s="146" t="s">
        <v>50</v>
      </c>
      <c r="F155" s="358" t="s">
        <v>1925</v>
      </c>
      <c r="H155" s="359">
        <f t="shared" si="11"/>
        <v>50300030</v>
      </c>
      <c r="I155" s="358" t="s">
        <v>1926</v>
      </c>
    </row>
    <row r="156" spans="2:12" s="75" customFormat="1" outlineLevel="1" x14ac:dyDescent="0.25">
      <c r="B156" s="144">
        <v>50300040</v>
      </c>
      <c r="C156" s="125" t="s">
        <v>55</v>
      </c>
      <c r="D156" s="125" t="s">
        <v>470</v>
      </c>
      <c r="E156" s="146" t="s">
        <v>50</v>
      </c>
      <c r="F156" s="358" t="s">
        <v>1925</v>
      </c>
      <c r="H156" s="359">
        <f t="shared" si="11"/>
        <v>50300040</v>
      </c>
      <c r="I156" s="358" t="s">
        <v>1926</v>
      </c>
    </row>
    <row r="157" spans="2:12" s="75" customFormat="1" outlineLevel="1" x14ac:dyDescent="0.25">
      <c r="B157" s="144">
        <v>50300050</v>
      </c>
      <c r="C157" s="125" t="s">
        <v>57</v>
      </c>
      <c r="D157" s="125" t="s">
        <v>470</v>
      </c>
      <c r="E157" s="146" t="s">
        <v>50</v>
      </c>
      <c r="F157" s="358" t="s">
        <v>1925</v>
      </c>
      <c r="H157" s="359">
        <f t="shared" si="11"/>
        <v>50300050</v>
      </c>
      <c r="I157" s="358" t="s">
        <v>1926</v>
      </c>
    </row>
    <row r="158" spans="2:12" s="75" customFormat="1" outlineLevel="1" x14ac:dyDescent="0.25">
      <c r="B158" s="144">
        <v>50300060</v>
      </c>
      <c r="C158" s="125" t="s">
        <v>1047</v>
      </c>
      <c r="D158" s="125" t="s">
        <v>470</v>
      </c>
      <c r="E158" s="146" t="s">
        <v>50</v>
      </c>
      <c r="F158" s="358" t="s">
        <v>1925</v>
      </c>
      <c r="H158" s="359">
        <f t="shared" si="11"/>
        <v>50300060</v>
      </c>
      <c r="I158" s="358" t="s">
        <v>1926</v>
      </c>
    </row>
    <row r="159" spans="2:12" s="75" customFormat="1" outlineLevel="1" x14ac:dyDescent="0.25">
      <c r="B159" s="144">
        <v>50300070</v>
      </c>
      <c r="C159" s="125" t="s">
        <v>514</v>
      </c>
      <c r="D159" s="129" t="s">
        <v>470</v>
      </c>
      <c r="E159" s="146" t="s">
        <v>50</v>
      </c>
      <c r="F159" s="358" t="s">
        <v>1924</v>
      </c>
      <c r="H159" s="359">
        <f t="shared" si="11"/>
        <v>50300070</v>
      </c>
      <c r="I159" s="358" t="s">
        <v>1927</v>
      </c>
    </row>
    <row r="160" spans="2:12" s="75" customFormat="1" outlineLevel="1" x14ac:dyDescent="0.25">
      <c r="B160" s="144">
        <v>50300080</v>
      </c>
      <c r="C160" s="125" t="s">
        <v>63</v>
      </c>
      <c r="D160" s="129" t="s">
        <v>470</v>
      </c>
      <c r="E160" s="146" t="s">
        <v>50</v>
      </c>
      <c r="F160" s="358" t="s">
        <v>1925</v>
      </c>
      <c r="H160" s="359">
        <f t="shared" si="11"/>
        <v>50300080</v>
      </c>
      <c r="I160" s="358" t="s">
        <v>1926</v>
      </c>
    </row>
    <row r="161" spans="2:9" s="75" customFormat="1" outlineLevel="1" x14ac:dyDescent="0.25">
      <c r="B161" s="144">
        <v>50300090</v>
      </c>
      <c r="C161" s="125" t="s">
        <v>65</v>
      </c>
      <c r="D161" s="129" t="s">
        <v>470</v>
      </c>
      <c r="E161" s="146" t="s">
        <v>50</v>
      </c>
      <c r="F161" s="358" t="s">
        <v>1925</v>
      </c>
      <c r="H161" s="359">
        <f t="shared" si="11"/>
        <v>50300090</v>
      </c>
      <c r="I161" s="358" t="s">
        <v>1926</v>
      </c>
    </row>
    <row r="162" spans="2:9" s="75" customFormat="1" outlineLevel="1" x14ac:dyDescent="0.25">
      <c r="B162" s="144">
        <v>50300100</v>
      </c>
      <c r="C162" s="125" t="s">
        <v>67</v>
      </c>
      <c r="D162" s="129" t="s">
        <v>470</v>
      </c>
      <c r="E162" s="146" t="s">
        <v>50</v>
      </c>
      <c r="F162" s="358" t="s">
        <v>1925</v>
      </c>
      <c r="H162" s="359">
        <f t="shared" si="11"/>
        <v>50300100</v>
      </c>
      <c r="I162" s="358" t="s">
        <v>1926</v>
      </c>
    </row>
    <row r="163" spans="2:9" s="75" customFormat="1" outlineLevel="1" x14ac:dyDescent="0.25">
      <c r="B163" s="144">
        <v>50300110</v>
      </c>
      <c r="C163" s="125" t="s">
        <v>1053</v>
      </c>
      <c r="D163" s="129" t="s">
        <v>470</v>
      </c>
      <c r="E163" s="146" t="s">
        <v>50</v>
      </c>
      <c r="F163" s="358" t="s">
        <v>1925</v>
      </c>
      <c r="H163" s="359">
        <f t="shared" si="11"/>
        <v>50300110</v>
      </c>
      <c r="I163" s="358" t="s">
        <v>1926</v>
      </c>
    </row>
    <row r="164" spans="2:9" s="75" customFormat="1" outlineLevel="1" x14ac:dyDescent="0.25">
      <c r="B164" s="144">
        <v>50300120</v>
      </c>
      <c r="C164" s="125" t="s">
        <v>1055</v>
      </c>
      <c r="D164" s="129" t="s">
        <v>470</v>
      </c>
      <c r="E164" s="146" t="s">
        <v>50</v>
      </c>
      <c r="F164" s="358" t="s">
        <v>1924</v>
      </c>
      <c r="H164" s="359">
        <f t="shared" si="11"/>
        <v>50300120</v>
      </c>
      <c r="I164" s="358" t="s">
        <v>1927</v>
      </c>
    </row>
    <row r="165" spans="2:9" s="75" customFormat="1" outlineLevel="1" x14ac:dyDescent="0.25">
      <c r="B165" s="144">
        <v>50300990</v>
      </c>
      <c r="C165" s="125" t="s">
        <v>71</v>
      </c>
      <c r="D165" s="129" t="s">
        <v>470</v>
      </c>
      <c r="E165" s="146" t="s">
        <v>50</v>
      </c>
      <c r="F165" s="358" t="s">
        <v>1925</v>
      </c>
      <c r="H165" s="359">
        <f t="shared" si="11"/>
        <v>50300990</v>
      </c>
      <c r="I165" s="358" t="s">
        <v>1926</v>
      </c>
    </row>
    <row r="166" spans="2:9" s="75" customFormat="1" ht="30" outlineLevel="1" x14ac:dyDescent="0.25">
      <c r="B166" s="144">
        <v>50400010</v>
      </c>
      <c r="C166" s="125" t="s">
        <v>1058</v>
      </c>
      <c r="D166" s="129" t="s">
        <v>471</v>
      </c>
      <c r="E166" s="146" t="s">
        <v>50</v>
      </c>
      <c r="F166" s="358" t="s">
        <v>1925</v>
      </c>
      <c r="H166" s="359">
        <f t="shared" si="11"/>
        <v>50400010</v>
      </c>
      <c r="I166" s="358" t="s">
        <v>1926</v>
      </c>
    </row>
    <row r="167" spans="2:9" s="75" customFormat="1" outlineLevel="1" x14ac:dyDescent="0.25">
      <c r="B167" s="144">
        <v>50500010</v>
      </c>
      <c r="C167" s="125" t="s">
        <v>1060</v>
      </c>
      <c r="D167" s="129" t="s">
        <v>472</v>
      </c>
      <c r="E167" s="145" t="s">
        <v>1041</v>
      </c>
      <c r="F167" s="358" t="s">
        <v>1924</v>
      </c>
      <c r="H167" s="359">
        <f t="shared" si="11"/>
        <v>50500010</v>
      </c>
      <c r="I167" s="358" t="s">
        <v>1532</v>
      </c>
    </row>
    <row r="168" spans="2:9" s="75" customFormat="1" outlineLevel="1" x14ac:dyDescent="0.25">
      <c r="B168" s="144">
        <v>50500020</v>
      </c>
      <c r="C168" s="125" t="s">
        <v>515</v>
      </c>
      <c r="D168" s="129" t="s">
        <v>472</v>
      </c>
      <c r="E168" s="145" t="s">
        <v>1041</v>
      </c>
      <c r="F168" s="358" t="s">
        <v>1924</v>
      </c>
      <c r="H168" s="359">
        <f t="shared" si="11"/>
        <v>50500020</v>
      </c>
      <c r="I168" s="358" t="s">
        <v>1532</v>
      </c>
    </row>
    <row r="169" spans="2:9" s="75" customFormat="1" outlineLevel="1" x14ac:dyDescent="0.25">
      <c r="B169" s="144">
        <v>50500030</v>
      </c>
      <c r="C169" s="125" t="s">
        <v>1063</v>
      </c>
      <c r="D169" s="129" t="s">
        <v>472</v>
      </c>
      <c r="E169" s="145" t="s">
        <v>1041</v>
      </c>
      <c r="F169" s="358" t="s">
        <v>1924</v>
      </c>
      <c r="H169" s="359">
        <f t="shared" si="11"/>
        <v>50500030</v>
      </c>
      <c r="I169" s="358" t="s">
        <v>1532</v>
      </c>
    </row>
    <row r="170" spans="2:9" s="75" customFormat="1" outlineLevel="1" x14ac:dyDescent="0.25">
      <c r="B170" s="144">
        <v>50500040</v>
      </c>
      <c r="C170" s="125" t="s">
        <v>111</v>
      </c>
      <c r="D170" s="129" t="s">
        <v>472</v>
      </c>
      <c r="E170" s="145" t="s">
        <v>1041</v>
      </c>
      <c r="F170" s="358" t="s">
        <v>1924</v>
      </c>
      <c r="H170" s="359">
        <f t="shared" si="11"/>
        <v>50500040</v>
      </c>
      <c r="I170" s="358" t="s">
        <v>1532</v>
      </c>
    </row>
    <row r="171" spans="2:9" s="75" customFormat="1" outlineLevel="1" x14ac:dyDescent="0.25">
      <c r="B171" s="144">
        <v>50600010</v>
      </c>
      <c r="C171" s="125" t="s">
        <v>429</v>
      </c>
      <c r="D171" s="129" t="s">
        <v>473</v>
      </c>
      <c r="E171" s="145" t="s">
        <v>1041</v>
      </c>
      <c r="F171" s="358" t="s">
        <v>1924</v>
      </c>
      <c r="H171" s="359">
        <f t="shared" si="11"/>
        <v>50600010</v>
      </c>
      <c r="I171" s="358" t="s">
        <v>429</v>
      </c>
    </row>
    <row r="172" spans="2:9" s="75" customFormat="1" outlineLevel="1" x14ac:dyDescent="0.25">
      <c r="B172" s="144">
        <v>50600020</v>
      </c>
      <c r="C172" s="125" t="s">
        <v>430</v>
      </c>
      <c r="D172" s="129" t="s">
        <v>473</v>
      </c>
      <c r="E172" s="145" t="s">
        <v>1041</v>
      </c>
      <c r="F172" s="358" t="s">
        <v>1924</v>
      </c>
      <c r="H172" s="359">
        <f t="shared" si="11"/>
        <v>50600020</v>
      </c>
      <c r="I172" s="358" t="s">
        <v>430</v>
      </c>
    </row>
    <row r="173" spans="2:9" s="75" customFormat="1" outlineLevel="1" x14ac:dyDescent="0.25">
      <c r="B173" s="144">
        <v>50600030</v>
      </c>
      <c r="C173" s="125" t="s">
        <v>1067</v>
      </c>
      <c r="D173" s="129" t="s">
        <v>473</v>
      </c>
      <c r="E173" s="145" t="s">
        <v>1041</v>
      </c>
      <c r="F173" s="358" t="s">
        <v>1924</v>
      </c>
      <c r="H173" s="359">
        <f t="shared" si="11"/>
        <v>50600030</v>
      </c>
      <c r="I173" s="358" t="s">
        <v>1533</v>
      </c>
    </row>
    <row r="174" spans="2:9" s="75" customFormat="1" ht="30" outlineLevel="1" x14ac:dyDescent="0.25">
      <c r="B174" s="144">
        <v>50600040</v>
      </c>
      <c r="C174" s="125" t="s">
        <v>432</v>
      </c>
      <c r="D174" s="129" t="s">
        <v>473</v>
      </c>
      <c r="E174" s="145" t="s">
        <v>1041</v>
      </c>
      <c r="F174" s="358" t="s">
        <v>1924</v>
      </c>
      <c r="H174" s="359">
        <f t="shared" si="11"/>
        <v>50600040</v>
      </c>
      <c r="I174" s="358" t="s">
        <v>1534</v>
      </c>
    </row>
    <row r="175" spans="2:9" s="75" customFormat="1" outlineLevel="1" x14ac:dyDescent="0.25">
      <c r="B175" s="144">
        <v>50800010</v>
      </c>
      <c r="C175" s="125" t="s">
        <v>1070</v>
      </c>
      <c r="D175" s="129" t="s">
        <v>474</v>
      </c>
      <c r="E175" s="145" t="s">
        <v>1041</v>
      </c>
      <c r="F175" s="358" t="s">
        <v>1924</v>
      </c>
      <c r="H175" s="359">
        <f t="shared" si="11"/>
        <v>50800010</v>
      </c>
      <c r="I175" s="358" t="s">
        <v>1535</v>
      </c>
    </row>
    <row r="176" spans="2:9" s="75" customFormat="1" ht="30" outlineLevel="1" x14ac:dyDescent="0.25">
      <c r="B176" s="144">
        <v>50800020</v>
      </c>
      <c r="C176" s="125" t="s">
        <v>119</v>
      </c>
      <c r="D176" s="129" t="s">
        <v>474</v>
      </c>
      <c r="E176" s="145" t="s">
        <v>1041</v>
      </c>
      <c r="F176" s="358" t="s">
        <v>1924</v>
      </c>
      <c r="H176" s="359">
        <f t="shared" si="11"/>
        <v>50800020</v>
      </c>
      <c r="I176" s="358" t="s">
        <v>1535</v>
      </c>
    </row>
    <row r="177" spans="2:9" s="75" customFormat="1" outlineLevel="1" x14ac:dyDescent="0.25">
      <c r="B177" s="144">
        <v>50800030</v>
      </c>
      <c r="C177" s="125" t="s">
        <v>122</v>
      </c>
      <c r="D177" s="129" t="s">
        <v>474</v>
      </c>
      <c r="E177" s="145" t="s">
        <v>1041</v>
      </c>
      <c r="F177" s="358" t="s">
        <v>1924</v>
      </c>
      <c r="H177" s="359">
        <f t="shared" si="11"/>
        <v>50800030</v>
      </c>
      <c r="I177" s="358" t="s">
        <v>1535</v>
      </c>
    </row>
    <row r="178" spans="2:9" s="75" customFormat="1" outlineLevel="1" x14ac:dyDescent="0.25">
      <c r="B178" s="144">
        <v>50800040</v>
      </c>
      <c r="C178" s="125" t="s">
        <v>124</v>
      </c>
      <c r="D178" s="129" t="s">
        <v>474</v>
      </c>
      <c r="E178" s="145" t="s">
        <v>1041</v>
      </c>
      <c r="F178" s="358" t="s">
        <v>1924</v>
      </c>
      <c r="H178" s="359">
        <f t="shared" si="11"/>
        <v>50800040</v>
      </c>
      <c r="I178" s="358" t="s">
        <v>1535</v>
      </c>
    </row>
    <row r="179" spans="2:9" s="75" customFormat="1" outlineLevel="1" x14ac:dyDescent="0.25">
      <c r="B179" s="144">
        <v>50800050</v>
      </c>
      <c r="C179" s="125" t="s">
        <v>126</v>
      </c>
      <c r="D179" s="129" t="s">
        <v>474</v>
      </c>
      <c r="E179" s="145" t="s">
        <v>1041</v>
      </c>
      <c r="F179" s="358" t="s">
        <v>1924</v>
      </c>
      <c r="H179" s="359">
        <f t="shared" si="11"/>
        <v>50800050</v>
      </c>
      <c r="I179" s="358" t="s">
        <v>1535</v>
      </c>
    </row>
    <row r="180" spans="2:9" s="75" customFormat="1" ht="30" outlineLevel="1" x14ac:dyDescent="0.25">
      <c r="B180" s="144">
        <v>50800060</v>
      </c>
      <c r="C180" s="125" t="s">
        <v>128</v>
      </c>
      <c r="D180" s="129" t="s">
        <v>474</v>
      </c>
      <c r="E180" s="145" t="s">
        <v>1041</v>
      </c>
      <c r="F180" s="358" t="s">
        <v>1924</v>
      </c>
      <c r="H180" s="359">
        <f t="shared" si="11"/>
        <v>50800060</v>
      </c>
      <c r="I180" s="358" t="s">
        <v>1535</v>
      </c>
    </row>
    <row r="181" spans="2:9" s="75" customFormat="1" outlineLevel="1" x14ac:dyDescent="0.25">
      <c r="B181" s="144">
        <v>50800070</v>
      </c>
      <c r="C181" s="125" t="s">
        <v>131</v>
      </c>
      <c r="D181" s="129" t="s">
        <v>474</v>
      </c>
      <c r="E181" s="145" t="s">
        <v>1041</v>
      </c>
      <c r="F181" s="358" t="s">
        <v>1924</v>
      </c>
      <c r="H181" s="359">
        <f t="shared" si="11"/>
        <v>50800070</v>
      </c>
      <c r="I181" s="358" t="s">
        <v>1535</v>
      </c>
    </row>
    <row r="182" spans="2:9" s="75" customFormat="1" outlineLevel="1" x14ac:dyDescent="0.25">
      <c r="B182" s="144">
        <v>51100000</v>
      </c>
      <c r="C182" s="125" t="s">
        <v>433</v>
      </c>
      <c r="D182" s="129" t="s">
        <v>475</v>
      </c>
      <c r="E182" s="145" t="s">
        <v>1041</v>
      </c>
      <c r="F182" s="358" t="s">
        <v>1924</v>
      </c>
      <c r="H182" s="359">
        <f t="shared" si="11"/>
        <v>51100000</v>
      </c>
      <c r="I182" s="358" t="s">
        <v>1928</v>
      </c>
    </row>
    <row r="183" spans="2:9" s="75" customFormat="1" outlineLevel="1" x14ac:dyDescent="0.25">
      <c r="B183" s="144">
        <v>51300010</v>
      </c>
      <c r="C183" s="125" t="s">
        <v>443</v>
      </c>
      <c r="D183" s="129" t="s">
        <v>477</v>
      </c>
      <c r="E183" s="129" t="s">
        <v>251</v>
      </c>
      <c r="F183" s="358" t="s">
        <v>1924</v>
      </c>
      <c r="H183" s="359">
        <f t="shared" si="11"/>
        <v>51300010</v>
      </c>
      <c r="I183" s="358" t="s">
        <v>501</v>
      </c>
    </row>
    <row r="184" spans="2:9" s="75" customFormat="1" outlineLevel="1" x14ac:dyDescent="0.25">
      <c r="B184" s="144">
        <v>51300040</v>
      </c>
      <c r="C184" s="125" t="s">
        <v>446</v>
      </c>
      <c r="D184" s="129" t="s">
        <v>477</v>
      </c>
      <c r="E184" s="129" t="s">
        <v>251</v>
      </c>
      <c r="F184" s="358" t="s">
        <v>1924</v>
      </c>
      <c r="H184" s="359">
        <f t="shared" si="11"/>
        <v>51300040</v>
      </c>
      <c r="I184" s="358" t="s">
        <v>501</v>
      </c>
    </row>
    <row r="185" spans="2:9" s="75" customFormat="1" outlineLevel="1" x14ac:dyDescent="0.25">
      <c r="B185" s="144">
        <v>51300050</v>
      </c>
      <c r="C185" s="125" t="s">
        <v>447</v>
      </c>
      <c r="D185" s="129" t="s">
        <v>477</v>
      </c>
      <c r="E185" s="129" t="s">
        <v>251</v>
      </c>
      <c r="F185" s="358" t="s">
        <v>1924</v>
      </c>
      <c r="H185" s="359">
        <f t="shared" si="11"/>
        <v>51300050</v>
      </c>
      <c r="I185" s="358" t="s">
        <v>501</v>
      </c>
    </row>
    <row r="186" spans="2:9" s="75" customFormat="1" outlineLevel="1" x14ac:dyDescent="0.25">
      <c r="B186" s="144">
        <v>51300060</v>
      </c>
      <c r="C186" s="125" t="s">
        <v>448</v>
      </c>
      <c r="D186" s="129" t="s">
        <v>477</v>
      </c>
      <c r="E186" s="129" t="s">
        <v>251</v>
      </c>
      <c r="F186" s="358" t="s">
        <v>1924</v>
      </c>
      <c r="H186" s="359">
        <f t="shared" si="11"/>
        <v>51300060</v>
      </c>
      <c r="I186" s="358" t="s">
        <v>501</v>
      </c>
    </row>
    <row r="187" spans="2:9" s="75" customFormat="1" outlineLevel="1" x14ac:dyDescent="0.25">
      <c r="B187" s="144">
        <v>51300090</v>
      </c>
      <c r="C187" s="125" t="s">
        <v>451</v>
      </c>
      <c r="D187" s="129" t="s">
        <v>477</v>
      </c>
      <c r="E187" s="129" t="s">
        <v>251</v>
      </c>
      <c r="F187" s="358" t="s">
        <v>1924</v>
      </c>
      <c r="H187" s="359">
        <f t="shared" si="11"/>
        <v>51300090</v>
      </c>
      <c r="I187" s="358" t="s">
        <v>501</v>
      </c>
    </row>
    <row r="188" spans="2:9" s="75" customFormat="1" outlineLevel="1" x14ac:dyDescent="0.25">
      <c r="B188" s="144">
        <v>51500010</v>
      </c>
      <c r="C188" s="125" t="s">
        <v>1084</v>
      </c>
      <c r="D188" s="129" t="s">
        <v>479</v>
      </c>
      <c r="E188" s="145" t="s">
        <v>1041</v>
      </c>
      <c r="F188" s="358" t="s">
        <v>1925</v>
      </c>
      <c r="H188" s="359">
        <f t="shared" si="11"/>
        <v>51500010</v>
      </c>
      <c r="I188" s="358" t="s">
        <v>1537</v>
      </c>
    </row>
    <row r="189" spans="2:9" s="75" customFormat="1" outlineLevel="1" x14ac:dyDescent="0.25">
      <c r="B189" s="144">
        <v>51600010</v>
      </c>
      <c r="C189" s="125" t="s">
        <v>147</v>
      </c>
      <c r="D189" s="129" t="s">
        <v>480</v>
      </c>
      <c r="E189" s="145" t="s">
        <v>1041</v>
      </c>
      <c r="F189" s="358" t="s">
        <v>1925</v>
      </c>
      <c r="H189" s="359">
        <f t="shared" si="11"/>
        <v>51600010</v>
      </c>
      <c r="I189" s="358" t="s">
        <v>504</v>
      </c>
    </row>
    <row r="190" spans="2:9" s="75" customFormat="1" ht="30" outlineLevel="1" x14ac:dyDescent="0.25">
      <c r="B190" s="144">
        <v>51600020</v>
      </c>
      <c r="C190" s="125" t="s">
        <v>148</v>
      </c>
      <c r="D190" s="129" t="s">
        <v>480</v>
      </c>
      <c r="E190" s="145" t="s">
        <v>1041</v>
      </c>
      <c r="F190" s="358" t="s">
        <v>1925</v>
      </c>
      <c r="H190" s="359">
        <f t="shared" si="11"/>
        <v>51600020</v>
      </c>
      <c r="I190" s="358" t="s">
        <v>504</v>
      </c>
    </row>
    <row r="191" spans="2:9" s="75" customFormat="1" outlineLevel="1" x14ac:dyDescent="0.25">
      <c r="B191" s="144">
        <v>51600030</v>
      </c>
      <c r="C191" s="125" t="s">
        <v>150</v>
      </c>
      <c r="D191" s="129" t="s">
        <v>480</v>
      </c>
      <c r="E191" s="145" t="s">
        <v>1041</v>
      </c>
      <c r="F191" s="358" t="s">
        <v>1925</v>
      </c>
      <c r="H191" s="359">
        <f t="shared" si="11"/>
        <v>51600030</v>
      </c>
      <c r="I191" s="358" t="s">
        <v>504</v>
      </c>
    </row>
    <row r="192" spans="2:9" s="75" customFormat="1" ht="30" outlineLevel="1" x14ac:dyDescent="0.25">
      <c r="B192" s="144">
        <v>51600040</v>
      </c>
      <c r="C192" s="125" t="s">
        <v>151</v>
      </c>
      <c r="D192" s="129" t="s">
        <v>480</v>
      </c>
      <c r="E192" s="145" t="s">
        <v>1041</v>
      </c>
      <c r="F192" s="358" t="s">
        <v>1925</v>
      </c>
      <c r="H192" s="359">
        <f t="shared" si="11"/>
        <v>51600040</v>
      </c>
      <c r="I192" s="358" t="s">
        <v>504</v>
      </c>
    </row>
    <row r="193" spans="2:9" s="75" customFormat="1" ht="30" outlineLevel="1" x14ac:dyDescent="0.25">
      <c r="B193" s="144">
        <v>51600050</v>
      </c>
      <c r="C193" s="125" t="s">
        <v>454</v>
      </c>
      <c r="D193" s="129" t="s">
        <v>480</v>
      </c>
      <c r="E193" s="145" t="s">
        <v>1041</v>
      </c>
      <c r="F193" s="358" t="s">
        <v>1925</v>
      </c>
      <c r="H193" s="359">
        <f t="shared" si="11"/>
        <v>51600050</v>
      </c>
      <c r="I193" s="358" t="s">
        <v>504</v>
      </c>
    </row>
    <row r="194" spans="2:9" s="75" customFormat="1" outlineLevel="1" x14ac:dyDescent="0.25">
      <c r="B194" s="144">
        <v>51600070</v>
      </c>
      <c r="C194" s="125" t="s">
        <v>152</v>
      </c>
      <c r="D194" s="129" t="s">
        <v>480</v>
      </c>
      <c r="E194" s="145" t="s">
        <v>1041</v>
      </c>
      <c r="F194" s="358" t="s">
        <v>1925</v>
      </c>
      <c r="H194" s="359">
        <f t="shared" si="11"/>
        <v>51600070</v>
      </c>
      <c r="I194" s="358" t="s">
        <v>504</v>
      </c>
    </row>
    <row r="195" spans="2:9" s="75" customFormat="1" outlineLevel="1" x14ac:dyDescent="0.25">
      <c r="B195" s="144">
        <v>51700010</v>
      </c>
      <c r="C195" s="125" t="s">
        <v>153</v>
      </c>
      <c r="D195" s="129" t="s">
        <v>481</v>
      </c>
      <c r="E195" s="145" t="s">
        <v>1041</v>
      </c>
      <c r="F195" s="358" t="s">
        <v>1925</v>
      </c>
      <c r="H195" s="359">
        <f t="shared" si="11"/>
        <v>51700010</v>
      </c>
      <c r="I195" s="358" t="s">
        <v>505</v>
      </c>
    </row>
    <row r="196" spans="2:9" s="75" customFormat="1" outlineLevel="1" x14ac:dyDescent="0.25">
      <c r="B196" s="144">
        <v>51700030</v>
      </c>
      <c r="C196" s="125" t="s">
        <v>155</v>
      </c>
      <c r="D196" s="129" t="s">
        <v>481</v>
      </c>
      <c r="E196" s="145" t="s">
        <v>1041</v>
      </c>
      <c r="F196" s="358" t="s">
        <v>1925</v>
      </c>
      <c r="H196" s="359">
        <f t="shared" si="11"/>
        <v>51700030</v>
      </c>
      <c r="I196" s="358" t="s">
        <v>505</v>
      </c>
    </row>
    <row r="197" spans="2:9" s="75" customFormat="1" outlineLevel="1" x14ac:dyDescent="0.25">
      <c r="B197" s="144">
        <v>51700040</v>
      </c>
      <c r="C197" s="125" t="s">
        <v>157</v>
      </c>
      <c r="D197" s="129" t="s">
        <v>481</v>
      </c>
      <c r="E197" s="145" t="s">
        <v>1041</v>
      </c>
      <c r="F197" s="358" t="s">
        <v>1925</v>
      </c>
      <c r="H197" s="359">
        <f t="shared" si="11"/>
        <v>51700040</v>
      </c>
      <c r="I197" s="358" t="s">
        <v>505</v>
      </c>
    </row>
    <row r="198" spans="2:9" s="75" customFormat="1" outlineLevel="1" x14ac:dyDescent="0.25">
      <c r="B198" s="144">
        <v>51700050</v>
      </c>
      <c r="C198" s="125" t="s">
        <v>159</v>
      </c>
      <c r="D198" s="129" t="s">
        <v>481</v>
      </c>
      <c r="E198" s="145" t="s">
        <v>1041</v>
      </c>
      <c r="F198" s="358" t="s">
        <v>1925</v>
      </c>
      <c r="H198" s="359">
        <f t="shared" si="11"/>
        <v>51700050</v>
      </c>
      <c r="I198" s="358" t="s">
        <v>505</v>
      </c>
    </row>
    <row r="199" spans="2:9" s="75" customFormat="1" outlineLevel="1" x14ac:dyDescent="0.25">
      <c r="B199" s="144">
        <v>51700060</v>
      </c>
      <c r="C199" s="125" t="s">
        <v>161</v>
      </c>
      <c r="D199" s="129" t="s">
        <v>481</v>
      </c>
      <c r="E199" s="145" t="s">
        <v>1041</v>
      </c>
      <c r="F199" s="358" t="s">
        <v>1925</v>
      </c>
      <c r="H199" s="359">
        <f t="shared" si="11"/>
        <v>51700060</v>
      </c>
      <c r="I199" s="358" t="s">
        <v>505</v>
      </c>
    </row>
    <row r="200" spans="2:9" s="75" customFormat="1" outlineLevel="1" x14ac:dyDescent="0.25">
      <c r="B200" s="144">
        <v>51700070</v>
      </c>
      <c r="C200" s="125" t="s">
        <v>163</v>
      </c>
      <c r="D200" s="129" t="s">
        <v>481</v>
      </c>
      <c r="E200" s="145" t="s">
        <v>1041</v>
      </c>
      <c r="F200" s="358" t="s">
        <v>1925</v>
      </c>
      <c r="H200" s="359">
        <f t="shared" si="11"/>
        <v>51700070</v>
      </c>
      <c r="I200" s="358" t="s">
        <v>505</v>
      </c>
    </row>
    <row r="201" spans="2:9" s="75" customFormat="1" ht="30" outlineLevel="1" x14ac:dyDescent="0.25">
      <c r="B201" s="144">
        <v>51800010</v>
      </c>
      <c r="C201" s="125" t="s">
        <v>165</v>
      </c>
      <c r="D201" s="129" t="s">
        <v>482</v>
      </c>
      <c r="E201" s="145" t="s">
        <v>1041</v>
      </c>
      <c r="F201" s="358" t="s">
        <v>1925</v>
      </c>
      <c r="H201" s="359">
        <f t="shared" si="11"/>
        <v>51800010</v>
      </c>
      <c r="I201" s="358" t="s">
        <v>1536</v>
      </c>
    </row>
    <row r="202" spans="2:9" s="75" customFormat="1" outlineLevel="1" x14ac:dyDescent="0.25">
      <c r="B202" s="144">
        <v>51800020</v>
      </c>
      <c r="C202" s="125" t="s">
        <v>168</v>
      </c>
      <c r="D202" s="129" t="s">
        <v>482</v>
      </c>
      <c r="E202" s="145" t="s">
        <v>1041</v>
      </c>
      <c r="F202" s="358" t="s">
        <v>1925</v>
      </c>
      <c r="H202" s="359">
        <f t="shared" si="11"/>
        <v>51800020</v>
      </c>
      <c r="I202" s="358" t="s">
        <v>1536</v>
      </c>
    </row>
    <row r="203" spans="2:9" s="75" customFormat="1" outlineLevel="1" x14ac:dyDescent="0.25">
      <c r="B203" s="144">
        <v>51800030</v>
      </c>
      <c r="C203" s="125" t="s">
        <v>170</v>
      </c>
      <c r="D203" s="129" t="s">
        <v>482</v>
      </c>
      <c r="E203" s="145" t="s">
        <v>1041</v>
      </c>
      <c r="F203" s="358" t="s">
        <v>1925</v>
      </c>
      <c r="H203" s="359">
        <f t="shared" si="11"/>
        <v>51800030</v>
      </c>
      <c r="I203" s="358" t="s">
        <v>1536</v>
      </c>
    </row>
    <row r="204" spans="2:9" s="75" customFormat="1" outlineLevel="1" x14ac:dyDescent="0.25">
      <c r="B204" s="144">
        <v>51800090</v>
      </c>
      <c r="C204" s="125" t="s">
        <v>172</v>
      </c>
      <c r="D204" s="129" t="s">
        <v>482</v>
      </c>
      <c r="E204" s="145" t="s">
        <v>1041</v>
      </c>
      <c r="F204" s="358" t="s">
        <v>1925</v>
      </c>
      <c r="H204" s="359">
        <f t="shared" si="11"/>
        <v>51800090</v>
      </c>
      <c r="I204" s="358" t="s">
        <v>1536</v>
      </c>
    </row>
    <row r="205" spans="2:9" s="75" customFormat="1" outlineLevel="1" x14ac:dyDescent="0.25">
      <c r="B205" s="144">
        <v>51900010</v>
      </c>
      <c r="C205" s="125" t="s">
        <v>174</v>
      </c>
      <c r="D205" s="129" t="s">
        <v>345</v>
      </c>
      <c r="E205" s="145" t="s">
        <v>1041</v>
      </c>
      <c r="F205" s="358" t="s">
        <v>1925</v>
      </c>
      <c r="H205" s="359">
        <f t="shared" si="11"/>
        <v>51900010</v>
      </c>
      <c r="I205" s="358" t="s">
        <v>1537</v>
      </c>
    </row>
    <row r="206" spans="2:9" s="75" customFormat="1" outlineLevel="1" x14ac:dyDescent="0.25">
      <c r="B206" s="144">
        <v>51900020</v>
      </c>
      <c r="C206" s="125" t="s">
        <v>177</v>
      </c>
      <c r="D206" s="129" t="s">
        <v>345</v>
      </c>
      <c r="E206" s="145" t="s">
        <v>1041</v>
      </c>
      <c r="F206" s="358" t="s">
        <v>1925</v>
      </c>
      <c r="H206" s="359">
        <f t="shared" si="11"/>
        <v>51900020</v>
      </c>
      <c r="I206" s="358" t="s">
        <v>1537</v>
      </c>
    </row>
    <row r="207" spans="2:9" s="75" customFormat="1" outlineLevel="1" x14ac:dyDescent="0.25">
      <c r="B207" s="144">
        <v>51900030</v>
      </c>
      <c r="C207" s="125" t="s">
        <v>180</v>
      </c>
      <c r="D207" s="129" t="s">
        <v>345</v>
      </c>
      <c r="E207" s="145" t="s">
        <v>1041</v>
      </c>
      <c r="F207" s="358" t="s">
        <v>1925</v>
      </c>
      <c r="H207" s="359">
        <f t="shared" si="11"/>
        <v>51900030</v>
      </c>
      <c r="I207" s="358" t="s">
        <v>1537</v>
      </c>
    </row>
    <row r="208" spans="2:9" s="75" customFormat="1" outlineLevel="1" x14ac:dyDescent="0.25">
      <c r="B208" s="144">
        <v>51900040</v>
      </c>
      <c r="C208" s="125" t="s">
        <v>182</v>
      </c>
      <c r="D208" s="129" t="s">
        <v>345</v>
      </c>
      <c r="E208" s="145" t="s">
        <v>1041</v>
      </c>
      <c r="F208" s="358" t="s">
        <v>1925</v>
      </c>
      <c r="H208" s="359">
        <f t="shared" si="11"/>
        <v>51900040</v>
      </c>
      <c r="I208" s="358" t="s">
        <v>1537</v>
      </c>
    </row>
    <row r="209" spans="2:9" s="75" customFormat="1" outlineLevel="1" x14ac:dyDescent="0.25">
      <c r="B209" s="144">
        <v>51900090</v>
      </c>
      <c r="C209" s="125" t="s">
        <v>184</v>
      </c>
      <c r="D209" s="129" t="s">
        <v>345</v>
      </c>
      <c r="E209" s="145" t="s">
        <v>1041</v>
      </c>
      <c r="F209" s="358" t="s">
        <v>1925</v>
      </c>
      <c r="H209" s="359">
        <f t="shared" si="11"/>
        <v>51900090</v>
      </c>
      <c r="I209" s="358" t="s">
        <v>1537</v>
      </c>
    </row>
    <row r="210" spans="2:9" s="75" customFormat="1" outlineLevel="1" x14ac:dyDescent="0.25">
      <c r="B210" s="144">
        <v>52100010</v>
      </c>
      <c r="C210" s="125" t="s">
        <v>195</v>
      </c>
      <c r="D210" s="129" t="s">
        <v>484</v>
      </c>
      <c r="E210" s="145" t="s">
        <v>1041</v>
      </c>
      <c r="F210" s="358" t="s">
        <v>1925</v>
      </c>
      <c r="H210" s="359">
        <f t="shared" si="11"/>
        <v>52100010</v>
      </c>
      <c r="I210" s="358" t="s">
        <v>509</v>
      </c>
    </row>
    <row r="211" spans="2:9" s="75" customFormat="1" outlineLevel="1" x14ac:dyDescent="0.25">
      <c r="B211" s="144">
        <v>52100020</v>
      </c>
      <c r="C211" s="125" t="s">
        <v>198</v>
      </c>
      <c r="D211" s="129" t="s">
        <v>484</v>
      </c>
      <c r="E211" s="145" t="s">
        <v>1041</v>
      </c>
      <c r="F211" s="358" t="s">
        <v>1925</v>
      </c>
      <c r="H211" s="359">
        <f t="shared" si="11"/>
        <v>52100020</v>
      </c>
      <c r="I211" s="358" t="s">
        <v>509</v>
      </c>
    </row>
    <row r="212" spans="2:9" s="75" customFormat="1" outlineLevel="1" x14ac:dyDescent="0.25">
      <c r="B212" s="144">
        <v>52100030</v>
      </c>
      <c r="C212" s="125" t="s">
        <v>200</v>
      </c>
      <c r="D212" s="129" t="s">
        <v>484</v>
      </c>
      <c r="E212" s="145" t="s">
        <v>1041</v>
      </c>
      <c r="F212" s="358" t="s">
        <v>1925</v>
      </c>
      <c r="H212" s="359">
        <f t="shared" si="11"/>
        <v>52100030</v>
      </c>
      <c r="I212" s="358" t="s">
        <v>509</v>
      </c>
    </row>
    <row r="213" spans="2:9" s="75" customFormat="1" outlineLevel="1" x14ac:dyDescent="0.25">
      <c r="B213" s="144">
        <v>52100040</v>
      </c>
      <c r="C213" s="125" t="s">
        <v>202</v>
      </c>
      <c r="D213" s="129" t="s">
        <v>484</v>
      </c>
      <c r="E213" s="145" t="s">
        <v>1041</v>
      </c>
      <c r="F213" s="358" t="s">
        <v>1925</v>
      </c>
      <c r="H213" s="359">
        <f t="shared" si="11"/>
        <v>52100040</v>
      </c>
      <c r="I213" s="358" t="s">
        <v>509</v>
      </c>
    </row>
    <row r="214" spans="2:9" s="75" customFormat="1" outlineLevel="1" x14ac:dyDescent="0.25">
      <c r="B214" s="144">
        <v>52100050</v>
      </c>
      <c r="C214" s="125" t="s">
        <v>204</v>
      </c>
      <c r="D214" s="129" t="s">
        <v>484</v>
      </c>
      <c r="E214" s="145" t="s">
        <v>1041</v>
      </c>
      <c r="F214" s="358" t="s">
        <v>1925</v>
      </c>
      <c r="H214" s="359">
        <f t="shared" si="11"/>
        <v>52100050</v>
      </c>
      <c r="I214" s="358" t="s">
        <v>509</v>
      </c>
    </row>
    <row r="215" spans="2:9" s="75" customFormat="1" outlineLevel="1" x14ac:dyDescent="0.25">
      <c r="B215" s="144">
        <v>52200010</v>
      </c>
      <c r="C215" s="125" t="s">
        <v>206</v>
      </c>
      <c r="D215" s="129" t="s">
        <v>485</v>
      </c>
      <c r="E215" s="145" t="s">
        <v>1041</v>
      </c>
      <c r="F215" s="358" t="s">
        <v>1925</v>
      </c>
      <c r="H215" s="359">
        <f t="shared" si="11"/>
        <v>52200010</v>
      </c>
      <c r="I215" s="358" t="s">
        <v>1538</v>
      </c>
    </row>
    <row r="216" spans="2:9" s="75" customFormat="1" outlineLevel="1" x14ac:dyDescent="0.25">
      <c r="B216" s="144">
        <v>52200020</v>
      </c>
      <c r="C216" s="125" t="s">
        <v>208</v>
      </c>
      <c r="D216" s="129" t="s">
        <v>485</v>
      </c>
      <c r="E216" s="145" t="s">
        <v>1041</v>
      </c>
      <c r="F216" s="358" t="s">
        <v>1925</v>
      </c>
      <c r="H216" s="359">
        <f t="shared" ref="H216:H228" si="12">B216</f>
        <v>52200020</v>
      </c>
      <c r="I216" s="358" t="s">
        <v>1538</v>
      </c>
    </row>
    <row r="217" spans="2:9" s="75" customFormat="1" outlineLevel="1" x14ac:dyDescent="0.25">
      <c r="B217" s="144">
        <v>52300010</v>
      </c>
      <c r="C217" s="125" t="s">
        <v>210</v>
      </c>
      <c r="D217" s="129" t="s">
        <v>486</v>
      </c>
      <c r="E217" s="145" t="s">
        <v>1041</v>
      </c>
      <c r="F217" s="358" t="s">
        <v>1925</v>
      </c>
      <c r="H217" s="359">
        <f t="shared" si="12"/>
        <v>52300010</v>
      </c>
      <c r="I217" s="358" t="s">
        <v>1928</v>
      </c>
    </row>
    <row r="218" spans="2:9" s="75" customFormat="1" outlineLevel="1" x14ac:dyDescent="0.25">
      <c r="B218" s="144">
        <v>52300020</v>
      </c>
      <c r="C218" s="125" t="s">
        <v>212</v>
      </c>
      <c r="D218" s="129" t="s">
        <v>486</v>
      </c>
      <c r="E218" s="145" t="s">
        <v>1041</v>
      </c>
      <c r="F218" s="358" t="s">
        <v>1925</v>
      </c>
      <c r="H218" s="359">
        <f t="shared" si="12"/>
        <v>52300020</v>
      </c>
      <c r="I218" s="358" t="s">
        <v>1929</v>
      </c>
    </row>
    <row r="219" spans="2:9" s="75" customFormat="1" outlineLevel="1" x14ac:dyDescent="0.25">
      <c r="B219" s="144">
        <v>52400030</v>
      </c>
      <c r="C219" s="125" t="s">
        <v>214</v>
      </c>
      <c r="D219" s="129" t="s">
        <v>487</v>
      </c>
      <c r="E219" s="145" t="s">
        <v>1041</v>
      </c>
      <c r="F219" s="358" t="s">
        <v>1925</v>
      </c>
      <c r="H219" s="359">
        <f t="shared" si="12"/>
        <v>52400030</v>
      </c>
      <c r="I219" s="358" t="s">
        <v>512</v>
      </c>
    </row>
    <row r="220" spans="2:9" s="75" customFormat="1" outlineLevel="1" x14ac:dyDescent="0.25">
      <c r="B220" s="144">
        <v>52400040</v>
      </c>
      <c r="C220" s="125" t="s">
        <v>216</v>
      </c>
      <c r="D220" s="129" t="s">
        <v>487</v>
      </c>
      <c r="E220" s="145" t="s">
        <v>1041</v>
      </c>
      <c r="F220" s="358" t="s">
        <v>1925</v>
      </c>
      <c r="H220" s="359">
        <f t="shared" si="12"/>
        <v>52400040</v>
      </c>
      <c r="I220" s="358" t="s">
        <v>1540</v>
      </c>
    </row>
    <row r="221" spans="2:9" s="75" customFormat="1" outlineLevel="1" x14ac:dyDescent="0.25">
      <c r="B221" s="144">
        <v>52400060</v>
      </c>
      <c r="C221" s="125" t="s">
        <v>457</v>
      </c>
      <c r="D221" s="129" t="s">
        <v>487</v>
      </c>
      <c r="E221" s="145" t="s">
        <v>1041</v>
      </c>
      <c r="F221" s="358" t="s">
        <v>1925</v>
      </c>
      <c r="H221" s="359">
        <f t="shared" si="12"/>
        <v>52400060</v>
      </c>
      <c r="I221" s="358" t="s">
        <v>512</v>
      </c>
    </row>
    <row r="222" spans="2:9" s="75" customFormat="1" outlineLevel="1" x14ac:dyDescent="0.25">
      <c r="B222" s="144">
        <v>52500010</v>
      </c>
      <c r="C222" s="125" t="s">
        <v>218</v>
      </c>
      <c r="D222" s="129" t="s">
        <v>218</v>
      </c>
      <c r="E222" s="145" t="s">
        <v>1041</v>
      </c>
      <c r="F222" s="358" t="s">
        <v>1925</v>
      </c>
      <c r="H222" s="359">
        <f t="shared" si="12"/>
        <v>52500010</v>
      </c>
      <c r="I222" s="358" t="s">
        <v>1928</v>
      </c>
    </row>
    <row r="223" spans="2:9" s="75" customFormat="1" outlineLevel="1" x14ac:dyDescent="0.25">
      <c r="B223" s="144">
        <v>52600020</v>
      </c>
      <c r="C223" s="125" t="s">
        <v>223</v>
      </c>
      <c r="D223" s="129" t="s">
        <v>488</v>
      </c>
      <c r="E223" s="145" t="s">
        <v>1041</v>
      </c>
      <c r="F223" s="358" t="s">
        <v>1925</v>
      </c>
      <c r="H223" s="359">
        <f t="shared" si="12"/>
        <v>52600020</v>
      </c>
      <c r="I223" s="358" t="s">
        <v>1539</v>
      </c>
    </row>
    <row r="224" spans="2:9" s="75" customFormat="1" outlineLevel="1" x14ac:dyDescent="0.25">
      <c r="B224" s="144">
        <v>52600030</v>
      </c>
      <c r="C224" s="125" t="s">
        <v>226</v>
      </c>
      <c r="D224" s="129" t="s">
        <v>488</v>
      </c>
      <c r="E224" s="145" t="s">
        <v>1041</v>
      </c>
      <c r="F224" s="358" t="s">
        <v>1925</v>
      </c>
      <c r="H224" s="359">
        <f t="shared" si="12"/>
        <v>52600030</v>
      </c>
      <c r="I224" s="358" t="s">
        <v>1539</v>
      </c>
    </row>
    <row r="225" spans="2:9" s="75" customFormat="1" outlineLevel="1" x14ac:dyDescent="0.25">
      <c r="B225" s="144">
        <v>52900010</v>
      </c>
      <c r="C225" s="125" t="s">
        <v>228</v>
      </c>
      <c r="D225" s="129" t="s">
        <v>489</v>
      </c>
      <c r="E225" s="145" t="s">
        <v>1041</v>
      </c>
      <c r="F225" s="358" t="s">
        <v>1925</v>
      </c>
      <c r="H225" s="359">
        <f t="shared" si="12"/>
        <v>52900010</v>
      </c>
      <c r="I225" s="358" t="s">
        <v>1537</v>
      </c>
    </row>
    <row r="226" spans="2:9" s="75" customFormat="1" outlineLevel="1" x14ac:dyDescent="0.25">
      <c r="B226" s="144">
        <v>52900020</v>
      </c>
      <c r="C226" s="125" t="s">
        <v>230</v>
      </c>
      <c r="D226" s="129" t="s">
        <v>489</v>
      </c>
      <c r="E226" s="145" t="s">
        <v>1041</v>
      </c>
      <c r="F226" s="358" t="s">
        <v>1925</v>
      </c>
      <c r="H226" s="359">
        <f t="shared" si="12"/>
        <v>52900020</v>
      </c>
      <c r="I226" s="358" t="s">
        <v>509</v>
      </c>
    </row>
    <row r="227" spans="2:9" s="75" customFormat="1" outlineLevel="1" x14ac:dyDescent="0.25">
      <c r="B227" s="144">
        <v>53100010</v>
      </c>
      <c r="C227" s="125" t="s">
        <v>461</v>
      </c>
      <c r="D227" s="129" t="s">
        <v>461</v>
      </c>
      <c r="E227" s="145" t="s">
        <v>1041</v>
      </c>
      <c r="F227" s="358" t="s">
        <v>1924</v>
      </c>
      <c r="H227" s="359">
        <f t="shared" si="12"/>
        <v>53100010</v>
      </c>
      <c r="I227" s="358" t="s">
        <v>1535</v>
      </c>
    </row>
    <row r="228" spans="2:9" s="75" customFormat="1" outlineLevel="1" x14ac:dyDescent="0.25">
      <c r="B228" s="362">
        <v>50600050</v>
      </c>
      <c r="C228" s="134" t="s">
        <v>516</v>
      </c>
      <c r="D228" s="135"/>
      <c r="E228" s="135"/>
      <c r="F228" s="360" t="s">
        <v>1924</v>
      </c>
      <c r="H228" s="361">
        <f t="shared" si="12"/>
        <v>50600050</v>
      </c>
      <c r="I228" s="360" t="s">
        <v>113</v>
      </c>
    </row>
    <row r="229" spans="2:9" s="75" customFormat="1" outlineLevel="1" x14ac:dyDescent="0.25">
      <c r="H229" s="165"/>
      <c r="I229" s="165"/>
    </row>
    <row r="230" spans="2:9" s="75" customFormat="1" outlineLevel="1" x14ac:dyDescent="0.25">
      <c r="H230" s="165"/>
      <c r="I230" s="165"/>
    </row>
    <row r="231" spans="2:9" s="75" customFormat="1" x14ac:dyDescent="0.25">
      <c r="B231" s="111" t="s">
        <v>1120</v>
      </c>
      <c r="H231" s="165"/>
      <c r="I231" s="165"/>
    </row>
    <row r="232" spans="2:9" s="75" customFormat="1" outlineLevel="1" x14ac:dyDescent="0.25">
      <c r="B232" s="91" t="s">
        <v>1034</v>
      </c>
      <c r="C232" s="91" t="s">
        <v>1035</v>
      </c>
      <c r="D232" s="113" t="s">
        <v>1037</v>
      </c>
      <c r="E232" s="113" t="s">
        <v>1038</v>
      </c>
      <c r="H232" s="91" t="s">
        <v>1034</v>
      </c>
      <c r="I232" s="91" t="s">
        <v>495</v>
      </c>
    </row>
    <row r="233" spans="2:9" s="75" customFormat="1" outlineLevel="1" x14ac:dyDescent="0.25">
      <c r="B233" s="144">
        <v>60100010</v>
      </c>
      <c r="C233" s="125" t="s">
        <v>73</v>
      </c>
      <c r="D233" s="145" t="s">
        <v>491</v>
      </c>
      <c r="E233" s="145" t="s">
        <v>50</v>
      </c>
      <c r="H233" s="165">
        <f t="shared" ref="H233:H266" si="13">B233</f>
        <v>60100010</v>
      </c>
      <c r="I233" s="75" t="s">
        <v>496</v>
      </c>
    </row>
    <row r="234" spans="2:9" s="75" customFormat="1" outlineLevel="1" x14ac:dyDescent="0.25">
      <c r="B234" s="144">
        <v>60100020</v>
      </c>
      <c r="C234" s="125" t="s">
        <v>75</v>
      </c>
      <c r="D234" s="146" t="s">
        <v>491</v>
      </c>
      <c r="E234" s="146" t="s">
        <v>50</v>
      </c>
      <c r="H234" s="165">
        <f t="shared" si="13"/>
        <v>60100020</v>
      </c>
      <c r="I234" s="75" t="s">
        <v>496</v>
      </c>
    </row>
    <row r="235" spans="2:9" s="75" customFormat="1" outlineLevel="1" x14ac:dyDescent="0.25">
      <c r="B235" s="144">
        <v>60100030</v>
      </c>
      <c r="C235" s="125" t="s">
        <v>77</v>
      </c>
      <c r="D235" s="125" t="s">
        <v>491</v>
      </c>
      <c r="E235" s="146" t="s">
        <v>50</v>
      </c>
      <c r="H235" s="165">
        <f t="shared" si="13"/>
        <v>60100030</v>
      </c>
      <c r="I235" s="75" t="s">
        <v>496</v>
      </c>
    </row>
    <row r="236" spans="2:9" s="75" customFormat="1" outlineLevel="1" x14ac:dyDescent="0.25">
      <c r="B236" s="144">
        <v>60100040</v>
      </c>
      <c r="C236" s="125" t="s">
        <v>79</v>
      </c>
      <c r="D236" s="125" t="s">
        <v>491</v>
      </c>
      <c r="E236" s="146" t="s">
        <v>50</v>
      </c>
      <c r="H236" s="165">
        <f t="shared" si="13"/>
        <v>60100040</v>
      </c>
      <c r="I236" s="75" t="s">
        <v>496</v>
      </c>
    </row>
    <row r="237" spans="2:9" s="75" customFormat="1" outlineLevel="1" x14ac:dyDescent="0.25">
      <c r="B237" s="144">
        <v>60100050</v>
      </c>
      <c r="C237" s="125" t="s">
        <v>81</v>
      </c>
      <c r="D237" s="125" t="s">
        <v>491</v>
      </c>
      <c r="E237" s="146" t="s">
        <v>50</v>
      </c>
      <c r="H237" s="165">
        <f t="shared" si="13"/>
        <v>60100050</v>
      </c>
      <c r="I237" s="75" t="s">
        <v>496</v>
      </c>
    </row>
    <row r="238" spans="2:9" s="75" customFormat="1" outlineLevel="1" x14ac:dyDescent="0.25">
      <c r="B238" s="144">
        <v>60100060</v>
      </c>
      <c r="C238" s="125" t="s">
        <v>83</v>
      </c>
      <c r="D238" s="125" t="s">
        <v>491</v>
      </c>
      <c r="E238" s="146" t="s">
        <v>50</v>
      </c>
      <c r="H238" s="165">
        <f t="shared" si="13"/>
        <v>60100060</v>
      </c>
      <c r="I238" s="75" t="s">
        <v>496</v>
      </c>
    </row>
    <row r="239" spans="2:9" s="75" customFormat="1" outlineLevel="1" x14ac:dyDescent="0.25">
      <c r="B239" s="144">
        <v>60100070</v>
      </c>
      <c r="C239" s="125" t="s">
        <v>85</v>
      </c>
      <c r="D239" s="125" t="s">
        <v>491</v>
      </c>
      <c r="E239" s="146" t="s">
        <v>50</v>
      </c>
      <c r="H239" s="165">
        <f t="shared" si="13"/>
        <v>60100070</v>
      </c>
      <c r="I239" s="75" t="s">
        <v>496</v>
      </c>
    </row>
    <row r="240" spans="2:9" s="75" customFormat="1" outlineLevel="1" x14ac:dyDescent="0.25">
      <c r="B240" s="144">
        <v>60100080</v>
      </c>
      <c r="C240" s="125" t="s">
        <v>87</v>
      </c>
      <c r="D240" s="129" t="s">
        <v>491</v>
      </c>
      <c r="E240" s="146" t="s">
        <v>50</v>
      </c>
      <c r="H240" s="165">
        <f t="shared" si="13"/>
        <v>60100080</v>
      </c>
      <c r="I240" s="75" t="s">
        <v>496</v>
      </c>
    </row>
    <row r="241" spans="2:9" s="75" customFormat="1" outlineLevel="1" x14ac:dyDescent="0.25">
      <c r="B241" s="144">
        <v>60100090</v>
      </c>
      <c r="C241" s="125" t="s">
        <v>89</v>
      </c>
      <c r="D241" s="129" t="s">
        <v>491</v>
      </c>
      <c r="E241" s="146" t="s">
        <v>50</v>
      </c>
      <c r="H241" s="165">
        <f t="shared" si="13"/>
        <v>60100090</v>
      </c>
      <c r="I241" s="75" t="s">
        <v>496</v>
      </c>
    </row>
    <row r="242" spans="2:9" s="75" customFormat="1" outlineLevel="1" x14ac:dyDescent="0.25">
      <c r="B242" s="144">
        <v>60100100</v>
      </c>
      <c r="C242" s="125" t="s">
        <v>91</v>
      </c>
      <c r="D242" s="129" t="s">
        <v>491</v>
      </c>
      <c r="E242" s="146" t="s">
        <v>50</v>
      </c>
      <c r="H242" s="165">
        <f t="shared" si="13"/>
        <v>60100100</v>
      </c>
      <c r="I242" s="75" t="s">
        <v>496</v>
      </c>
    </row>
    <row r="243" spans="2:9" s="75" customFormat="1" outlineLevel="1" x14ac:dyDescent="0.25">
      <c r="B243" s="144">
        <v>60100110</v>
      </c>
      <c r="C243" s="125" t="s">
        <v>93</v>
      </c>
      <c r="D243" s="129" t="s">
        <v>491</v>
      </c>
      <c r="E243" s="146" t="s">
        <v>50</v>
      </c>
      <c r="H243" s="165">
        <f t="shared" si="13"/>
        <v>60100110</v>
      </c>
      <c r="I243" s="75" t="s">
        <v>496</v>
      </c>
    </row>
    <row r="244" spans="2:9" s="75" customFormat="1" outlineLevel="1" x14ac:dyDescent="0.25">
      <c r="B244" s="144">
        <v>60100120</v>
      </c>
      <c r="C244" s="125" t="s">
        <v>1132</v>
      </c>
      <c r="D244" s="129" t="s">
        <v>491</v>
      </c>
      <c r="E244" s="146" t="s">
        <v>50</v>
      </c>
      <c r="H244" s="165">
        <f t="shared" si="13"/>
        <v>60100120</v>
      </c>
      <c r="I244" s="75" t="s">
        <v>496</v>
      </c>
    </row>
    <row r="245" spans="2:9" s="75" customFormat="1" outlineLevel="1" x14ac:dyDescent="0.25">
      <c r="B245" s="144">
        <v>60100990</v>
      </c>
      <c r="C245" s="125" t="s">
        <v>95</v>
      </c>
      <c r="D245" s="129" t="s">
        <v>491</v>
      </c>
      <c r="E245" s="146" t="s">
        <v>50</v>
      </c>
      <c r="H245" s="165">
        <f t="shared" si="13"/>
        <v>60100990</v>
      </c>
      <c r="I245" s="75" t="s">
        <v>496</v>
      </c>
    </row>
    <row r="246" spans="2:9" s="75" customFormat="1" outlineLevel="1" x14ac:dyDescent="0.25">
      <c r="B246" s="144">
        <v>60200010</v>
      </c>
      <c r="C246" s="125" t="s">
        <v>97</v>
      </c>
      <c r="D246" s="129" t="s">
        <v>471</v>
      </c>
      <c r="E246" s="146" t="s">
        <v>50</v>
      </c>
      <c r="H246" s="165">
        <f t="shared" si="13"/>
        <v>60200010</v>
      </c>
      <c r="I246" s="75" t="s">
        <v>498</v>
      </c>
    </row>
    <row r="247" spans="2:9" s="75" customFormat="1" outlineLevel="1" x14ac:dyDescent="0.25">
      <c r="B247" s="144">
        <v>60300010</v>
      </c>
      <c r="C247" s="125" t="s">
        <v>100</v>
      </c>
      <c r="D247" s="129" t="s">
        <v>492</v>
      </c>
      <c r="E247" s="146" t="s">
        <v>50</v>
      </c>
      <c r="H247" s="165">
        <f t="shared" si="13"/>
        <v>60300010</v>
      </c>
      <c r="I247" s="75" t="s">
        <v>472</v>
      </c>
    </row>
    <row r="248" spans="2:9" s="75" customFormat="1" outlineLevel="1" x14ac:dyDescent="0.25">
      <c r="B248" s="144">
        <v>60600010</v>
      </c>
      <c r="C248" s="125" t="s">
        <v>429</v>
      </c>
      <c r="D248" s="129" t="s">
        <v>473</v>
      </c>
      <c r="E248" s="145" t="s">
        <v>106</v>
      </c>
      <c r="H248" s="165">
        <f t="shared" si="13"/>
        <v>60600010</v>
      </c>
      <c r="I248" s="75" t="s">
        <v>473</v>
      </c>
    </row>
    <row r="249" spans="2:9" s="75" customFormat="1" outlineLevel="1" x14ac:dyDescent="0.25">
      <c r="B249" s="144">
        <v>60600020</v>
      </c>
      <c r="C249" s="125" t="s">
        <v>430</v>
      </c>
      <c r="D249" s="129" t="s">
        <v>473</v>
      </c>
      <c r="E249" s="145" t="s">
        <v>106</v>
      </c>
      <c r="H249" s="165">
        <f t="shared" si="13"/>
        <v>60600020</v>
      </c>
      <c r="I249" s="75" t="s">
        <v>473</v>
      </c>
    </row>
    <row r="250" spans="2:9" s="75" customFormat="1" ht="30" outlineLevel="1" x14ac:dyDescent="0.25">
      <c r="B250" s="144">
        <v>60600030</v>
      </c>
      <c r="C250" s="125" t="s">
        <v>431</v>
      </c>
      <c r="D250" s="129" t="s">
        <v>473</v>
      </c>
      <c r="E250" s="145" t="s">
        <v>106</v>
      </c>
      <c r="H250" s="165">
        <f t="shared" si="13"/>
        <v>60600030</v>
      </c>
      <c r="I250" s="75" t="s">
        <v>473</v>
      </c>
    </row>
    <row r="251" spans="2:9" s="75" customFormat="1" outlineLevel="1" x14ac:dyDescent="0.25">
      <c r="B251" s="144">
        <v>60600050</v>
      </c>
      <c r="C251" s="125" t="s">
        <v>113</v>
      </c>
      <c r="D251" s="129" t="s">
        <v>473</v>
      </c>
      <c r="E251" s="145" t="s">
        <v>1041</v>
      </c>
      <c r="H251" s="165">
        <f t="shared" si="13"/>
        <v>60600050</v>
      </c>
      <c r="I251" s="75" t="s">
        <v>473</v>
      </c>
    </row>
    <row r="252" spans="2:9" s="75" customFormat="1" outlineLevel="1" x14ac:dyDescent="0.25">
      <c r="B252" s="144">
        <v>60700010</v>
      </c>
      <c r="C252" s="125" t="s">
        <v>115</v>
      </c>
      <c r="D252" s="129" t="s">
        <v>115</v>
      </c>
      <c r="E252" s="145" t="s">
        <v>106</v>
      </c>
      <c r="H252" s="165">
        <f t="shared" si="13"/>
        <v>60700010</v>
      </c>
      <c r="I252" s="75" t="s">
        <v>115</v>
      </c>
    </row>
    <row r="253" spans="2:9" s="75" customFormat="1" outlineLevel="1" x14ac:dyDescent="0.25">
      <c r="B253" s="144">
        <v>60800010</v>
      </c>
      <c r="C253" s="125" t="s">
        <v>117</v>
      </c>
      <c r="D253" s="129" t="s">
        <v>493</v>
      </c>
      <c r="E253" s="145" t="s">
        <v>1041</v>
      </c>
      <c r="H253" s="165">
        <f t="shared" si="13"/>
        <v>60800010</v>
      </c>
      <c r="I253" s="75" t="s">
        <v>499</v>
      </c>
    </row>
    <row r="254" spans="2:9" s="75" customFormat="1" ht="30" outlineLevel="1" x14ac:dyDescent="0.25">
      <c r="B254" s="144">
        <v>60800020</v>
      </c>
      <c r="C254" s="125" t="s">
        <v>119</v>
      </c>
      <c r="D254" s="129" t="s">
        <v>493</v>
      </c>
      <c r="E254" s="145" t="s">
        <v>1041</v>
      </c>
      <c r="H254" s="165">
        <f t="shared" si="13"/>
        <v>60800020</v>
      </c>
      <c r="I254" s="75" t="s">
        <v>499</v>
      </c>
    </row>
    <row r="255" spans="2:9" s="75" customFormat="1" outlineLevel="1" x14ac:dyDescent="0.25">
      <c r="B255" s="144">
        <v>60800030</v>
      </c>
      <c r="C255" s="125" t="s">
        <v>122</v>
      </c>
      <c r="D255" s="129" t="s">
        <v>493</v>
      </c>
      <c r="E255" s="145" t="s">
        <v>1041</v>
      </c>
      <c r="H255" s="165">
        <f t="shared" si="13"/>
        <v>60800030</v>
      </c>
      <c r="I255" s="75" t="s">
        <v>499</v>
      </c>
    </row>
    <row r="256" spans="2:9" s="75" customFormat="1" outlineLevel="1" x14ac:dyDescent="0.25">
      <c r="B256" s="144">
        <v>60800040</v>
      </c>
      <c r="C256" s="125" t="s">
        <v>124</v>
      </c>
      <c r="D256" s="129" t="s">
        <v>493</v>
      </c>
      <c r="E256" s="145" t="s">
        <v>1041</v>
      </c>
      <c r="H256" s="165">
        <f t="shared" si="13"/>
        <v>60800040</v>
      </c>
      <c r="I256" s="75" t="s">
        <v>499</v>
      </c>
    </row>
    <row r="257" spans="2:9" s="75" customFormat="1" outlineLevel="1" x14ac:dyDescent="0.25">
      <c r="B257" s="144">
        <v>60800050</v>
      </c>
      <c r="C257" s="125" t="s">
        <v>126</v>
      </c>
      <c r="D257" s="129" t="s">
        <v>493</v>
      </c>
      <c r="E257" s="145" t="s">
        <v>1041</v>
      </c>
      <c r="H257" s="165">
        <f t="shared" si="13"/>
        <v>60800050</v>
      </c>
      <c r="I257" s="75" t="s">
        <v>499</v>
      </c>
    </row>
    <row r="258" spans="2:9" s="75" customFormat="1" ht="30" outlineLevel="1" x14ac:dyDescent="0.25">
      <c r="B258" s="144">
        <v>60800060</v>
      </c>
      <c r="C258" s="125" t="s">
        <v>128</v>
      </c>
      <c r="D258" s="129" t="s">
        <v>493</v>
      </c>
      <c r="E258" s="145" t="s">
        <v>1041</v>
      </c>
      <c r="H258" s="165">
        <f t="shared" si="13"/>
        <v>60800060</v>
      </c>
      <c r="I258" s="75" t="s">
        <v>499</v>
      </c>
    </row>
    <row r="259" spans="2:9" s="75" customFormat="1" outlineLevel="1" x14ac:dyDescent="0.25">
      <c r="B259" s="144">
        <v>60800070</v>
      </c>
      <c r="C259" s="125" t="s">
        <v>131</v>
      </c>
      <c r="D259" s="129" t="s">
        <v>493</v>
      </c>
      <c r="E259" s="145" t="s">
        <v>1041</v>
      </c>
      <c r="H259" s="165">
        <f t="shared" si="13"/>
        <v>60800070</v>
      </c>
      <c r="I259" s="75" t="s">
        <v>499</v>
      </c>
    </row>
    <row r="260" spans="2:9" s="75" customFormat="1" outlineLevel="1" x14ac:dyDescent="0.25">
      <c r="B260" s="144">
        <v>60800080</v>
      </c>
      <c r="C260" s="125" t="s">
        <v>133</v>
      </c>
      <c r="D260" s="129" t="s">
        <v>493</v>
      </c>
      <c r="E260" s="145" t="s">
        <v>1041</v>
      </c>
      <c r="H260" s="165">
        <f t="shared" si="13"/>
        <v>60800080</v>
      </c>
      <c r="I260" s="75" t="s">
        <v>499</v>
      </c>
    </row>
    <row r="261" spans="2:9" s="75" customFormat="1" outlineLevel="1" x14ac:dyDescent="0.25">
      <c r="B261" s="144">
        <v>61100010</v>
      </c>
      <c r="C261" s="125" t="s">
        <v>433</v>
      </c>
      <c r="D261" s="129" t="s">
        <v>475</v>
      </c>
      <c r="E261" s="145" t="s">
        <v>1138</v>
      </c>
      <c r="H261" s="165">
        <f t="shared" si="13"/>
        <v>61100010</v>
      </c>
      <c r="I261" s="75" t="s">
        <v>475</v>
      </c>
    </row>
    <row r="262" spans="2:9" s="75" customFormat="1" outlineLevel="1" x14ac:dyDescent="0.25">
      <c r="B262" s="144">
        <v>61200010</v>
      </c>
      <c r="C262" s="125" t="s">
        <v>434</v>
      </c>
      <c r="D262" s="129" t="s">
        <v>476</v>
      </c>
      <c r="E262" s="145" t="s">
        <v>1140</v>
      </c>
      <c r="H262" s="165">
        <f t="shared" si="13"/>
        <v>61200010</v>
      </c>
      <c r="I262" s="75" t="s">
        <v>500</v>
      </c>
    </row>
    <row r="263" spans="2:9" s="75" customFormat="1" outlineLevel="1" x14ac:dyDescent="0.25">
      <c r="B263" s="144">
        <v>61200020</v>
      </c>
      <c r="C263" s="125" t="s">
        <v>435</v>
      </c>
      <c r="D263" s="129" t="s">
        <v>476</v>
      </c>
      <c r="E263" s="145" t="s">
        <v>1140</v>
      </c>
      <c r="H263" s="165">
        <f t="shared" si="13"/>
        <v>61200020</v>
      </c>
      <c r="I263" s="75" t="s">
        <v>500</v>
      </c>
    </row>
    <row r="264" spans="2:9" s="75" customFormat="1" outlineLevel="1" x14ac:dyDescent="0.25">
      <c r="B264" s="144">
        <v>61200030</v>
      </c>
      <c r="C264" s="125" t="s">
        <v>436</v>
      </c>
      <c r="D264" s="129" t="s">
        <v>476</v>
      </c>
      <c r="E264" s="145" t="s">
        <v>1140</v>
      </c>
      <c r="H264" s="165">
        <f t="shared" si="13"/>
        <v>61200030</v>
      </c>
      <c r="I264" s="75" t="s">
        <v>500</v>
      </c>
    </row>
    <row r="265" spans="2:9" s="75" customFormat="1" outlineLevel="1" x14ac:dyDescent="0.25">
      <c r="B265" s="144">
        <v>61200040</v>
      </c>
      <c r="C265" s="125" t="s">
        <v>437</v>
      </c>
      <c r="D265" s="129" t="s">
        <v>476</v>
      </c>
      <c r="E265" s="145" t="s">
        <v>1140</v>
      </c>
      <c r="H265" s="165">
        <f t="shared" si="13"/>
        <v>61200040</v>
      </c>
      <c r="I265" s="75" t="s">
        <v>500</v>
      </c>
    </row>
    <row r="266" spans="2:9" s="75" customFormat="1" outlineLevel="1" x14ac:dyDescent="0.25">
      <c r="B266" s="144">
        <v>61200050</v>
      </c>
      <c r="C266" s="125" t="s">
        <v>438</v>
      </c>
      <c r="D266" s="129" t="s">
        <v>476</v>
      </c>
      <c r="E266" s="145" t="s">
        <v>1140</v>
      </c>
      <c r="H266" s="165">
        <f t="shared" si="13"/>
        <v>61200050</v>
      </c>
      <c r="I266" s="75" t="s">
        <v>500</v>
      </c>
    </row>
    <row r="267" spans="2:9" s="75" customFormat="1" outlineLevel="1" x14ac:dyDescent="0.25">
      <c r="B267" s="144">
        <v>61200060</v>
      </c>
      <c r="C267" s="125" t="s">
        <v>439</v>
      </c>
      <c r="D267" s="129" t="s">
        <v>476</v>
      </c>
      <c r="E267" s="145" t="s">
        <v>1140</v>
      </c>
      <c r="H267" s="165">
        <f t="shared" ref="H267:H299" si="14">B267</f>
        <v>61200060</v>
      </c>
      <c r="I267" s="75" t="s">
        <v>500</v>
      </c>
    </row>
    <row r="268" spans="2:9" s="75" customFormat="1" outlineLevel="1" x14ac:dyDescent="0.25">
      <c r="B268" s="144">
        <v>61200070</v>
      </c>
      <c r="C268" s="125" t="s">
        <v>440</v>
      </c>
      <c r="D268" s="129" t="s">
        <v>476</v>
      </c>
      <c r="E268" s="145" t="s">
        <v>1140</v>
      </c>
      <c r="H268" s="165">
        <f t="shared" si="14"/>
        <v>61200070</v>
      </c>
      <c r="I268" s="75" t="s">
        <v>500</v>
      </c>
    </row>
    <row r="269" spans="2:9" s="75" customFormat="1" outlineLevel="1" x14ac:dyDescent="0.25">
      <c r="B269" s="144">
        <v>61200080</v>
      </c>
      <c r="C269" s="125" t="s">
        <v>441</v>
      </c>
      <c r="D269" s="129" t="s">
        <v>476</v>
      </c>
      <c r="E269" s="145" t="s">
        <v>1140</v>
      </c>
      <c r="H269" s="165">
        <f t="shared" si="14"/>
        <v>61200080</v>
      </c>
      <c r="I269" s="75" t="s">
        <v>500</v>
      </c>
    </row>
    <row r="270" spans="2:9" s="75" customFormat="1" outlineLevel="1" x14ac:dyDescent="0.25">
      <c r="B270" s="144">
        <v>61200090</v>
      </c>
      <c r="C270" s="125" t="s">
        <v>442</v>
      </c>
      <c r="D270" s="129" t="s">
        <v>476</v>
      </c>
      <c r="E270" s="145" t="s">
        <v>1140</v>
      </c>
      <c r="H270" s="165">
        <f t="shared" si="14"/>
        <v>61200090</v>
      </c>
      <c r="I270" s="75" t="s">
        <v>500</v>
      </c>
    </row>
    <row r="271" spans="2:9" s="75" customFormat="1" outlineLevel="1" x14ac:dyDescent="0.25">
      <c r="B271" s="144">
        <v>61300010</v>
      </c>
      <c r="C271" s="125" t="s">
        <v>443</v>
      </c>
      <c r="D271" s="129" t="s">
        <v>477</v>
      </c>
      <c r="E271" s="145" t="s">
        <v>1140</v>
      </c>
      <c r="H271" s="165">
        <f t="shared" si="14"/>
        <v>61300010</v>
      </c>
      <c r="I271" s="75" t="s">
        <v>501</v>
      </c>
    </row>
    <row r="272" spans="2:9" s="75" customFormat="1" outlineLevel="1" x14ac:dyDescent="0.25">
      <c r="B272" s="144">
        <v>61300020</v>
      </c>
      <c r="C272" s="125" t="s">
        <v>444</v>
      </c>
      <c r="D272" s="129" t="s">
        <v>477</v>
      </c>
      <c r="E272" s="145" t="s">
        <v>1140</v>
      </c>
      <c r="H272" s="165">
        <f t="shared" si="14"/>
        <v>61300020</v>
      </c>
      <c r="I272" s="75" t="s">
        <v>501</v>
      </c>
    </row>
    <row r="273" spans="2:9" s="75" customFormat="1" outlineLevel="1" x14ac:dyDescent="0.25">
      <c r="B273" s="144">
        <v>61300030</v>
      </c>
      <c r="C273" s="125" t="s">
        <v>445</v>
      </c>
      <c r="D273" s="129" t="s">
        <v>477</v>
      </c>
      <c r="E273" s="145" t="s">
        <v>1140</v>
      </c>
      <c r="H273" s="165">
        <f t="shared" si="14"/>
        <v>61300030</v>
      </c>
      <c r="I273" s="75" t="s">
        <v>501</v>
      </c>
    </row>
    <row r="274" spans="2:9" s="75" customFormat="1" outlineLevel="1" x14ac:dyDescent="0.25">
      <c r="B274" s="144">
        <v>61300040</v>
      </c>
      <c r="C274" s="125" t="s">
        <v>446</v>
      </c>
      <c r="D274" s="129" t="s">
        <v>477</v>
      </c>
      <c r="E274" s="145" t="s">
        <v>1140</v>
      </c>
      <c r="H274" s="165">
        <f t="shared" si="14"/>
        <v>61300040</v>
      </c>
      <c r="I274" s="75" t="s">
        <v>501</v>
      </c>
    </row>
    <row r="275" spans="2:9" s="75" customFormat="1" outlineLevel="1" x14ac:dyDescent="0.25">
      <c r="B275" s="144">
        <v>61300050</v>
      </c>
      <c r="C275" s="125" t="s">
        <v>447</v>
      </c>
      <c r="D275" s="129" t="s">
        <v>477</v>
      </c>
      <c r="E275" s="145" t="s">
        <v>1140</v>
      </c>
      <c r="H275" s="165">
        <f t="shared" si="14"/>
        <v>61300050</v>
      </c>
      <c r="I275" s="75" t="s">
        <v>501</v>
      </c>
    </row>
    <row r="276" spans="2:9" s="75" customFormat="1" outlineLevel="1" x14ac:dyDescent="0.25">
      <c r="B276" s="144">
        <v>61300060</v>
      </c>
      <c r="C276" s="125" t="s">
        <v>448</v>
      </c>
      <c r="D276" s="129" t="s">
        <v>477</v>
      </c>
      <c r="E276" s="145" t="s">
        <v>1140</v>
      </c>
      <c r="H276" s="165">
        <f t="shared" si="14"/>
        <v>61300060</v>
      </c>
      <c r="I276" s="75" t="s">
        <v>501</v>
      </c>
    </row>
    <row r="277" spans="2:9" s="75" customFormat="1" outlineLevel="1" x14ac:dyDescent="0.25">
      <c r="B277" s="144">
        <v>61300070</v>
      </c>
      <c r="C277" s="125" t="s">
        <v>449</v>
      </c>
      <c r="D277" s="129" t="s">
        <v>477</v>
      </c>
      <c r="E277" s="145" t="s">
        <v>1140</v>
      </c>
      <c r="H277" s="165">
        <f t="shared" si="14"/>
        <v>61300070</v>
      </c>
      <c r="I277" s="75" t="s">
        <v>501</v>
      </c>
    </row>
    <row r="278" spans="2:9" s="75" customFormat="1" outlineLevel="1" x14ac:dyDescent="0.25">
      <c r="B278" s="144">
        <v>61300080</v>
      </c>
      <c r="C278" s="125" t="s">
        <v>450</v>
      </c>
      <c r="D278" s="129" t="s">
        <v>477</v>
      </c>
      <c r="E278" s="145" t="s">
        <v>1140</v>
      </c>
      <c r="H278" s="165">
        <f t="shared" si="14"/>
        <v>61300080</v>
      </c>
      <c r="I278" s="75" t="s">
        <v>501</v>
      </c>
    </row>
    <row r="279" spans="2:9" s="75" customFormat="1" outlineLevel="1" x14ac:dyDescent="0.25">
      <c r="B279" s="144">
        <v>61300090</v>
      </c>
      <c r="C279" s="125" t="s">
        <v>451</v>
      </c>
      <c r="D279" s="129" t="s">
        <v>477</v>
      </c>
      <c r="E279" s="145" t="s">
        <v>1140</v>
      </c>
      <c r="H279" s="165">
        <f t="shared" si="14"/>
        <v>61300090</v>
      </c>
      <c r="I279" s="75" t="s">
        <v>501</v>
      </c>
    </row>
    <row r="280" spans="2:9" s="75" customFormat="1" ht="30" outlineLevel="1" x14ac:dyDescent="0.25">
      <c r="B280" s="144">
        <v>61400010</v>
      </c>
      <c r="C280" s="125" t="s">
        <v>135</v>
      </c>
      <c r="D280" s="129" t="s">
        <v>478</v>
      </c>
      <c r="E280" s="145" t="s">
        <v>1159</v>
      </c>
      <c r="H280" s="165">
        <f t="shared" si="14"/>
        <v>61400010</v>
      </c>
      <c r="I280" s="75" t="s">
        <v>502</v>
      </c>
    </row>
    <row r="281" spans="2:9" s="75" customFormat="1" outlineLevel="1" x14ac:dyDescent="0.25">
      <c r="B281" s="144">
        <v>61400020</v>
      </c>
      <c r="C281" s="125" t="s">
        <v>452</v>
      </c>
      <c r="D281" s="129" t="s">
        <v>478</v>
      </c>
      <c r="E281" s="145" t="s">
        <v>1159</v>
      </c>
      <c r="H281" s="165">
        <f t="shared" si="14"/>
        <v>61400020</v>
      </c>
      <c r="I281" s="75" t="s">
        <v>502</v>
      </c>
    </row>
    <row r="282" spans="2:9" s="75" customFormat="1" outlineLevel="1" x14ac:dyDescent="0.25">
      <c r="B282" s="144">
        <v>61400030</v>
      </c>
      <c r="C282" s="125" t="s">
        <v>453</v>
      </c>
      <c r="D282" s="129" t="s">
        <v>478</v>
      </c>
      <c r="E282" s="145" t="s">
        <v>1159</v>
      </c>
      <c r="H282" s="165">
        <f t="shared" si="14"/>
        <v>61400030</v>
      </c>
      <c r="I282" s="75" t="s">
        <v>502</v>
      </c>
    </row>
    <row r="283" spans="2:9" s="75" customFormat="1" outlineLevel="1" x14ac:dyDescent="0.25">
      <c r="B283" s="144">
        <v>61500010</v>
      </c>
      <c r="C283" s="125" t="s">
        <v>141</v>
      </c>
      <c r="D283" s="129" t="s">
        <v>479</v>
      </c>
      <c r="E283" s="145" t="s">
        <v>1041</v>
      </c>
      <c r="H283" s="165">
        <f t="shared" si="14"/>
        <v>61500010</v>
      </c>
      <c r="I283" s="75" t="s">
        <v>503</v>
      </c>
    </row>
    <row r="284" spans="2:9" s="75" customFormat="1" outlineLevel="1" x14ac:dyDescent="0.25">
      <c r="B284" s="144">
        <v>61500020</v>
      </c>
      <c r="C284" s="125" t="s">
        <v>143</v>
      </c>
      <c r="D284" s="129" t="s">
        <v>479</v>
      </c>
      <c r="E284" s="145" t="s">
        <v>50</v>
      </c>
      <c r="H284" s="165">
        <f t="shared" si="14"/>
        <v>61500020</v>
      </c>
      <c r="I284" s="75" t="s">
        <v>503</v>
      </c>
    </row>
    <row r="285" spans="2:9" s="75" customFormat="1" ht="30" outlineLevel="1" x14ac:dyDescent="0.25">
      <c r="B285" s="144">
        <v>61600010</v>
      </c>
      <c r="C285" s="125" t="s">
        <v>1162</v>
      </c>
      <c r="D285" s="129" t="s">
        <v>480</v>
      </c>
      <c r="E285" s="145" t="s">
        <v>106</v>
      </c>
      <c r="H285" s="165">
        <f t="shared" si="14"/>
        <v>61600010</v>
      </c>
      <c r="I285" s="75" t="s">
        <v>504</v>
      </c>
    </row>
    <row r="286" spans="2:9" s="75" customFormat="1" outlineLevel="1" x14ac:dyDescent="0.25">
      <c r="B286" s="144">
        <v>61600030</v>
      </c>
      <c r="C286" s="125" t="s">
        <v>150</v>
      </c>
      <c r="D286" s="129" t="s">
        <v>480</v>
      </c>
      <c r="E286" s="145" t="s">
        <v>106</v>
      </c>
      <c r="H286" s="165">
        <f t="shared" si="14"/>
        <v>61600030</v>
      </c>
      <c r="I286" s="75" t="s">
        <v>504</v>
      </c>
    </row>
    <row r="287" spans="2:9" s="75" customFormat="1" ht="30" outlineLevel="1" x14ac:dyDescent="0.25">
      <c r="B287" s="144">
        <v>61600040</v>
      </c>
      <c r="C287" s="125" t="s">
        <v>151</v>
      </c>
      <c r="D287" s="129" t="s">
        <v>480</v>
      </c>
      <c r="E287" s="145" t="s">
        <v>176</v>
      </c>
      <c r="H287" s="165">
        <f t="shared" si="14"/>
        <v>61600040</v>
      </c>
      <c r="I287" s="75" t="s">
        <v>504</v>
      </c>
    </row>
    <row r="288" spans="2:9" s="75" customFormat="1" ht="30" outlineLevel="1" x14ac:dyDescent="0.25">
      <c r="B288" s="144">
        <v>61600050</v>
      </c>
      <c r="C288" s="125" t="s">
        <v>1166</v>
      </c>
      <c r="D288" s="129" t="s">
        <v>480</v>
      </c>
      <c r="E288" s="145" t="s">
        <v>176</v>
      </c>
      <c r="H288" s="165">
        <f t="shared" si="14"/>
        <v>61600050</v>
      </c>
      <c r="I288" s="75" t="s">
        <v>504</v>
      </c>
    </row>
    <row r="289" spans="2:9" s="75" customFormat="1" outlineLevel="1" x14ac:dyDescent="0.25">
      <c r="B289" s="144">
        <v>61600060</v>
      </c>
      <c r="C289" s="125" t="s">
        <v>1168</v>
      </c>
      <c r="D289" s="129" t="s">
        <v>480</v>
      </c>
      <c r="E289" s="145" t="s">
        <v>50</v>
      </c>
      <c r="H289" s="165">
        <f t="shared" si="14"/>
        <v>61600060</v>
      </c>
      <c r="I289" s="75" t="s">
        <v>504</v>
      </c>
    </row>
    <row r="290" spans="2:9" s="75" customFormat="1" outlineLevel="1" x14ac:dyDescent="0.25">
      <c r="B290" s="144">
        <v>61600070</v>
      </c>
      <c r="C290" s="125" t="s">
        <v>152</v>
      </c>
      <c r="D290" s="129" t="s">
        <v>480</v>
      </c>
      <c r="E290" s="145" t="s">
        <v>106</v>
      </c>
      <c r="H290" s="165">
        <f t="shared" si="14"/>
        <v>61600070</v>
      </c>
      <c r="I290" s="75" t="s">
        <v>504</v>
      </c>
    </row>
    <row r="291" spans="2:9" s="75" customFormat="1" outlineLevel="1" x14ac:dyDescent="0.25">
      <c r="B291" s="144">
        <v>61700010</v>
      </c>
      <c r="C291" s="125" t="s">
        <v>153</v>
      </c>
      <c r="D291" s="129" t="s">
        <v>481</v>
      </c>
      <c r="E291" s="145" t="s">
        <v>1170</v>
      </c>
      <c r="H291" s="165">
        <f t="shared" si="14"/>
        <v>61700010</v>
      </c>
      <c r="I291" s="75" t="s">
        <v>505</v>
      </c>
    </row>
    <row r="292" spans="2:9" s="75" customFormat="1" outlineLevel="1" x14ac:dyDescent="0.25">
      <c r="B292" s="144">
        <v>61700030</v>
      </c>
      <c r="C292" s="125" t="s">
        <v>155</v>
      </c>
      <c r="D292" s="129" t="s">
        <v>481</v>
      </c>
      <c r="E292" s="145" t="s">
        <v>106</v>
      </c>
      <c r="H292" s="165">
        <f t="shared" si="14"/>
        <v>61700030</v>
      </c>
      <c r="I292" s="75" t="s">
        <v>505</v>
      </c>
    </row>
    <row r="293" spans="2:9" s="75" customFormat="1" outlineLevel="1" x14ac:dyDescent="0.25">
      <c r="B293" s="144">
        <v>61700040</v>
      </c>
      <c r="C293" s="125" t="s">
        <v>157</v>
      </c>
      <c r="D293" s="129" t="s">
        <v>481</v>
      </c>
      <c r="E293" s="145" t="s">
        <v>106</v>
      </c>
      <c r="H293" s="165">
        <f t="shared" si="14"/>
        <v>61700040</v>
      </c>
      <c r="I293" s="75" t="s">
        <v>505</v>
      </c>
    </row>
    <row r="294" spans="2:9" s="75" customFormat="1" outlineLevel="1" x14ac:dyDescent="0.25">
      <c r="B294" s="144">
        <v>61700050</v>
      </c>
      <c r="C294" s="125" t="s">
        <v>159</v>
      </c>
      <c r="D294" s="129" t="s">
        <v>481</v>
      </c>
      <c r="E294" s="145" t="s">
        <v>106</v>
      </c>
      <c r="H294" s="165">
        <f t="shared" si="14"/>
        <v>61700050</v>
      </c>
      <c r="I294" s="75" t="s">
        <v>505</v>
      </c>
    </row>
    <row r="295" spans="2:9" s="75" customFormat="1" outlineLevel="1" x14ac:dyDescent="0.25">
      <c r="B295" s="144">
        <v>61700060</v>
      </c>
      <c r="C295" s="125" t="s">
        <v>1171</v>
      </c>
      <c r="D295" s="129" t="s">
        <v>481</v>
      </c>
      <c r="E295" s="145" t="s">
        <v>106</v>
      </c>
      <c r="H295" s="165">
        <f t="shared" si="14"/>
        <v>61700060</v>
      </c>
      <c r="I295" s="75" t="s">
        <v>505</v>
      </c>
    </row>
    <row r="296" spans="2:9" s="75" customFormat="1" outlineLevel="1" x14ac:dyDescent="0.25">
      <c r="B296" s="144">
        <v>61700070</v>
      </c>
      <c r="C296" s="125" t="s">
        <v>163</v>
      </c>
      <c r="D296" s="129" t="s">
        <v>481</v>
      </c>
      <c r="E296" s="145" t="s">
        <v>1041</v>
      </c>
      <c r="H296" s="165">
        <f t="shared" si="14"/>
        <v>61700070</v>
      </c>
      <c r="I296" s="75" t="s">
        <v>505</v>
      </c>
    </row>
    <row r="297" spans="2:9" s="75" customFormat="1" ht="30" outlineLevel="1" x14ac:dyDescent="0.25">
      <c r="B297" s="144">
        <v>61800010</v>
      </c>
      <c r="C297" s="125" t="s">
        <v>165</v>
      </c>
      <c r="D297" s="129" t="s">
        <v>494</v>
      </c>
      <c r="E297" s="145" t="s">
        <v>1041</v>
      </c>
      <c r="H297" s="165">
        <f t="shared" si="14"/>
        <v>61800010</v>
      </c>
      <c r="I297" s="75" t="s">
        <v>506</v>
      </c>
    </row>
    <row r="298" spans="2:9" s="75" customFormat="1" outlineLevel="1" x14ac:dyDescent="0.25">
      <c r="B298" s="144">
        <v>61800020</v>
      </c>
      <c r="C298" s="144" t="s">
        <v>168</v>
      </c>
      <c r="D298" s="144" t="s">
        <v>494</v>
      </c>
      <c r="E298" s="145" t="s">
        <v>1041</v>
      </c>
      <c r="H298" s="165">
        <f t="shared" si="14"/>
        <v>61800020</v>
      </c>
      <c r="I298" s="75" t="s">
        <v>506</v>
      </c>
    </row>
    <row r="299" spans="2:9" s="75" customFormat="1" outlineLevel="1" x14ac:dyDescent="0.25">
      <c r="B299" s="144">
        <v>61800030</v>
      </c>
      <c r="C299" s="144" t="s">
        <v>170</v>
      </c>
      <c r="D299" s="144" t="s">
        <v>494</v>
      </c>
      <c r="E299" s="145" t="s">
        <v>1041</v>
      </c>
      <c r="H299" s="165">
        <f t="shared" si="14"/>
        <v>61800030</v>
      </c>
      <c r="I299" s="75" t="s">
        <v>506</v>
      </c>
    </row>
    <row r="300" spans="2:9" s="75" customFormat="1" outlineLevel="1" x14ac:dyDescent="0.25">
      <c r="B300" s="144">
        <v>61800090</v>
      </c>
      <c r="C300" s="144" t="s">
        <v>172</v>
      </c>
      <c r="D300" s="144" t="s">
        <v>494</v>
      </c>
      <c r="E300" s="145" t="s">
        <v>1041</v>
      </c>
      <c r="H300" s="165">
        <f t="shared" ref="H300:H330" si="15">B300</f>
        <v>61800090</v>
      </c>
      <c r="I300" s="75" t="s">
        <v>506</v>
      </c>
    </row>
    <row r="301" spans="2:9" s="75" customFormat="1" outlineLevel="1" x14ac:dyDescent="0.25">
      <c r="B301" s="144">
        <v>61900010</v>
      </c>
      <c r="C301" s="144" t="s">
        <v>174</v>
      </c>
      <c r="D301" s="144" t="s">
        <v>345</v>
      </c>
      <c r="E301" s="145" t="s">
        <v>1041</v>
      </c>
      <c r="H301" s="165">
        <f t="shared" si="15"/>
        <v>61900010</v>
      </c>
      <c r="I301" s="75" t="s">
        <v>507</v>
      </c>
    </row>
    <row r="302" spans="2:9" s="75" customFormat="1" outlineLevel="1" x14ac:dyDescent="0.25">
      <c r="B302" s="144">
        <v>61900020</v>
      </c>
      <c r="C302" s="144" t="s">
        <v>177</v>
      </c>
      <c r="D302" s="144" t="s">
        <v>345</v>
      </c>
      <c r="E302" s="145" t="s">
        <v>1041</v>
      </c>
      <c r="H302" s="165">
        <f t="shared" si="15"/>
        <v>61900020</v>
      </c>
      <c r="I302" s="75" t="s">
        <v>507</v>
      </c>
    </row>
    <row r="303" spans="2:9" s="75" customFormat="1" outlineLevel="1" x14ac:dyDescent="0.25">
      <c r="B303" s="144">
        <v>61900030</v>
      </c>
      <c r="C303" s="144" t="s">
        <v>180</v>
      </c>
      <c r="D303" s="144" t="s">
        <v>345</v>
      </c>
      <c r="E303" s="145" t="s">
        <v>1041</v>
      </c>
      <c r="H303" s="165">
        <f t="shared" si="15"/>
        <v>61900030</v>
      </c>
      <c r="I303" s="75" t="s">
        <v>507</v>
      </c>
    </row>
    <row r="304" spans="2:9" s="75" customFormat="1" outlineLevel="1" x14ac:dyDescent="0.25">
      <c r="B304" s="144">
        <v>61900040</v>
      </c>
      <c r="C304" s="144" t="s">
        <v>182</v>
      </c>
      <c r="D304" s="144" t="s">
        <v>345</v>
      </c>
      <c r="E304" s="145" t="s">
        <v>1041</v>
      </c>
      <c r="H304" s="165">
        <f t="shared" si="15"/>
        <v>61900040</v>
      </c>
      <c r="I304" s="75" t="s">
        <v>507</v>
      </c>
    </row>
    <row r="305" spans="2:9" s="75" customFormat="1" outlineLevel="1" x14ac:dyDescent="0.25">
      <c r="B305" s="144">
        <v>61900050</v>
      </c>
      <c r="C305" s="144" t="s">
        <v>586</v>
      </c>
      <c r="D305" s="144" t="s">
        <v>345</v>
      </c>
      <c r="E305" s="145" t="s">
        <v>1041</v>
      </c>
      <c r="H305" s="165">
        <f t="shared" si="15"/>
        <v>61900050</v>
      </c>
      <c r="I305" s="75" t="s">
        <v>507</v>
      </c>
    </row>
    <row r="306" spans="2:9" s="75" customFormat="1" outlineLevel="1" x14ac:dyDescent="0.25">
      <c r="B306" s="144">
        <v>61900090</v>
      </c>
      <c r="C306" s="144" t="s">
        <v>184</v>
      </c>
      <c r="D306" s="144" t="s">
        <v>345</v>
      </c>
      <c r="E306" s="145" t="s">
        <v>1041</v>
      </c>
      <c r="H306" s="165">
        <f t="shared" si="15"/>
        <v>61900090</v>
      </c>
      <c r="I306" s="75" t="s">
        <v>507</v>
      </c>
    </row>
    <row r="307" spans="2:9" s="75" customFormat="1" outlineLevel="1" x14ac:dyDescent="0.25">
      <c r="B307" s="144">
        <v>62000010</v>
      </c>
      <c r="C307" s="144" t="s">
        <v>186</v>
      </c>
      <c r="D307" s="144" t="s">
        <v>483</v>
      </c>
      <c r="E307" s="144" t="s">
        <v>236</v>
      </c>
      <c r="H307" s="165">
        <f t="shared" si="15"/>
        <v>62000010</v>
      </c>
      <c r="I307" s="75" t="s">
        <v>508</v>
      </c>
    </row>
    <row r="308" spans="2:9" s="75" customFormat="1" ht="30" outlineLevel="1" x14ac:dyDescent="0.25">
      <c r="B308" s="144">
        <v>62000020</v>
      </c>
      <c r="C308" s="144" t="s">
        <v>189</v>
      </c>
      <c r="D308" s="144" t="s">
        <v>483</v>
      </c>
      <c r="E308" s="144" t="s">
        <v>327</v>
      </c>
      <c r="H308" s="165">
        <f t="shared" si="15"/>
        <v>62000020</v>
      </c>
      <c r="I308" s="75" t="s">
        <v>508</v>
      </c>
    </row>
    <row r="309" spans="2:9" s="75" customFormat="1" outlineLevel="1" x14ac:dyDescent="0.25">
      <c r="B309" s="144">
        <v>62000040</v>
      </c>
      <c r="C309" s="144" t="s">
        <v>192</v>
      </c>
      <c r="D309" s="144" t="s">
        <v>483</v>
      </c>
      <c r="E309" s="145" t="s">
        <v>1041</v>
      </c>
      <c r="H309" s="165">
        <f t="shared" si="15"/>
        <v>62000040</v>
      </c>
      <c r="I309" s="75" t="s">
        <v>508</v>
      </c>
    </row>
    <row r="310" spans="2:9" s="75" customFormat="1" outlineLevel="1" x14ac:dyDescent="0.25">
      <c r="B310" s="144">
        <v>62100010</v>
      </c>
      <c r="C310" s="144" t="s">
        <v>195</v>
      </c>
      <c r="D310" s="144" t="s">
        <v>484</v>
      </c>
      <c r="E310" s="144" t="s">
        <v>176</v>
      </c>
      <c r="H310" s="165">
        <f t="shared" si="15"/>
        <v>62100010</v>
      </c>
      <c r="I310" s="75" t="s">
        <v>509</v>
      </c>
    </row>
    <row r="311" spans="2:9" s="75" customFormat="1" outlineLevel="1" x14ac:dyDescent="0.25">
      <c r="B311" s="144">
        <v>62100020</v>
      </c>
      <c r="C311" s="144" t="s">
        <v>198</v>
      </c>
      <c r="D311" s="144" t="s">
        <v>484</v>
      </c>
      <c r="E311" s="144" t="s">
        <v>176</v>
      </c>
      <c r="H311" s="165">
        <f t="shared" si="15"/>
        <v>62100020</v>
      </c>
      <c r="I311" s="75" t="s">
        <v>509</v>
      </c>
    </row>
    <row r="312" spans="2:9" s="75" customFormat="1" outlineLevel="1" x14ac:dyDescent="0.25">
      <c r="B312" s="144">
        <v>62100030</v>
      </c>
      <c r="C312" s="144" t="s">
        <v>200</v>
      </c>
      <c r="D312" s="144" t="s">
        <v>484</v>
      </c>
      <c r="E312" s="144" t="s">
        <v>176</v>
      </c>
      <c r="H312" s="165">
        <f t="shared" si="15"/>
        <v>62100030</v>
      </c>
      <c r="I312" s="75" t="s">
        <v>509</v>
      </c>
    </row>
    <row r="313" spans="2:9" s="75" customFormat="1" outlineLevel="1" x14ac:dyDescent="0.25">
      <c r="B313" s="144">
        <v>62100040</v>
      </c>
      <c r="C313" s="144" t="s">
        <v>202</v>
      </c>
      <c r="D313" s="144" t="s">
        <v>484</v>
      </c>
      <c r="E313" s="144" t="s">
        <v>176</v>
      </c>
      <c r="H313" s="165">
        <f t="shared" si="15"/>
        <v>62100040</v>
      </c>
      <c r="I313" s="75" t="s">
        <v>509</v>
      </c>
    </row>
    <row r="314" spans="2:9" s="75" customFormat="1" outlineLevel="1" x14ac:dyDescent="0.25">
      <c r="B314" s="144">
        <v>62100050</v>
      </c>
      <c r="C314" s="144" t="s">
        <v>456</v>
      </c>
      <c r="D314" s="144" t="s">
        <v>484</v>
      </c>
      <c r="E314" s="144" t="s">
        <v>176</v>
      </c>
      <c r="H314" s="165">
        <f t="shared" si="15"/>
        <v>62100050</v>
      </c>
      <c r="I314" s="75" t="s">
        <v>509</v>
      </c>
    </row>
    <row r="315" spans="2:9" s="75" customFormat="1" outlineLevel="1" x14ac:dyDescent="0.25">
      <c r="B315" s="144">
        <v>62200010</v>
      </c>
      <c r="C315" s="144" t="s">
        <v>206</v>
      </c>
      <c r="D315" s="144" t="s">
        <v>485</v>
      </c>
      <c r="E315" s="145" t="s">
        <v>1041</v>
      </c>
      <c r="H315" s="165">
        <f t="shared" si="15"/>
        <v>62200010</v>
      </c>
      <c r="I315" s="75" t="s">
        <v>510</v>
      </c>
    </row>
    <row r="316" spans="2:9" s="75" customFormat="1" outlineLevel="1" x14ac:dyDescent="0.25">
      <c r="B316" s="144">
        <v>62200020</v>
      </c>
      <c r="C316" s="144" t="s">
        <v>208</v>
      </c>
      <c r="D316" s="144" t="s">
        <v>485</v>
      </c>
      <c r="E316" s="145" t="s">
        <v>1041</v>
      </c>
      <c r="H316" s="165">
        <f t="shared" si="15"/>
        <v>62200020</v>
      </c>
      <c r="I316" s="75" t="s">
        <v>510</v>
      </c>
    </row>
    <row r="317" spans="2:9" s="75" customFormat="1" outlineLevel="1" x14ac:dyDescent="0.25">
      <c r="B317" s="144">
        <v>62300010</v>
      </c>
      <c r="C317" s="144" t="s">
        <v>210</v>
      </c>
      <c r="D317" s="144" t="s">
        <v>486</v>
      </c>
      <c r="E317" s="145" t="s">
        <v>1041</v>
      </c>
      <c r="H317" s="165">
        <f t="shared" si="15"/>
        <v>62300010</v>
      </c>
      <c r="I317" s="75" t="s">
        <v>511</v>
      </c>
    </row>
    <row r="318" spans="2:9" s="75" customFormat="1" outlineLevel="1" x14ac:dyDescent="0.25">
      <c r="B318" s="144">
        <v>62300020</v>
      </c>
      <c r="C318" s="144" t="s">
        <v>212</v>
      </c>
      <c r="D318" s="144" t="s">
        <v>486</v>
      </c>
      <c r="E318" s="145" t="s">
        <v>1041</v>
      </c>
      <c r="H318" s="165">
        <f t="shared" si="15"/>
        <v>62300020</v>
      </c>
      <c r="I318" s="75" t="s">
        <v>511</v>
      </c>
    </row>
    <row r="319" spans="2:9" s="75" customFormat="1" outlineLevel="1" x14ac:dyDescent="0.25">
      <c r="B319" s="144">
        <v>62400030</v>
      </c>
      <c r="C319" s="144" t="s">
        <v>214</v>
      </c>
      <c r="D319" s="144" t="s">
        <v>487</v>
      </c>
      <c r="E319" s="145" t="s">
        <v>1041</v>
      </c>
      <c r="H319" s="165">
        <f t="shared" si="15"/>
        <v>62400030</v>
      </c>
      <c r="I319" s="75" t="s">
        <v>512</v>
      </c>
    </row>
    <row r="320" spans="2:9" s="75" customFormat="1" outlineLevel="1" x14ac:dyDescent="0.25">
      <c r="B320" s="144">
        <v>62400040</v>
      </c>
      <c r="C320" s="144" t="s">
        <v>216</v>
      </c>
      <c r="D320" s="144" t="s">
        <v>487</v>
      </c>
      <c r="E320" s="145" t="s">
        <v>1041</v>
      </c>
      <c r="H320" s="165">
        <f t="shared" si="15"/>
        <v>62400040</v>
      </c>
      <c r="I320" s="75" t="s">
        <v>512</v>
      </c>
    </row>
    <row r="321" spans="2:9" s="75" customFormat="1" outlineLevel="1" x14ac:dyDescent="0.25">
      <c r="B321" s="144">
        <v>62400060</v>
      </c>
      <c r="C321" s="144" t="s">
        <v>457</v>
      </c>
      <c r="D321" s="144" t="s">
        <v>487</v>
      </c>
      <c r="E321" s="144" t="s">
        <v>236</v>
      </c>
      <c r="H321" s="165">
        <f t="shared" si="15"/>
        <v>62400060</v>
      </c>
      <c r="I321" s="75" t="s">
        <v>512</v>
      </c>
    </row>
    <row r="322" spans="2:9" s="75" customFormat="1" outlineLevel="1" x14ac:dyDescent="0.25">
      <c r="B322" s="144">
        <v>62500010</v>
      </c>
      <c r="C322" s="144" t="s">
        <v>218</v>
      </c>
      <c r="D322" s="144" t="s">
        <v>218</v>
      </c>
      <c r="E322" s="144" t="s">
        <v>22</v>
      </c>
      <c r="H322" s="165">
        <f t="shared" si="15"/>
        <v>62500010</v>
      </c>
      <c r="I322" s="75" t="s">
        <v>488</v>
      </c>
    </row>
    <row r="323" spans="2:9" s="75" customFormat="1" outlineLevel="1" x14ac:dyDescent="0.25">
      <c r="B323" s="144">
        <v>62600010</v>
      </c>
      <c r="C323" s="144" t="s">
        <v>221</v>
      </c>
      <c r="D323" s="144" t="s">
        <v>488</v>
      </c>
      <c r="E323" s="145" t="s">
        <v>1041</v>
      </c>
      <c r="H323" s="165">
        <f t="shared" si="15"/>
        <v>62600010</v>
      </c>
      <c r="I323" s="75" t="s">
        <v>488</v>
      </c>
    </row>
    <row r="324" spans="2:9" s="75" customFormat="1" outlineLevel="1" x14ac:dyDescent="0.25">
      <c r="B324" s="144">
        <v>62600020</v>
      </c>
      <c r="C324" s="144" t="s">
        <v>223</v>
      </c>
      <c r="D324" s="144" t="s">
        <v>488</v>
      </c>
      <c r="E324" s="145" t="s">
        <v>1041</v>
      </c>
      <c r="H324" s="165">
        <f t="shared" si="15"/>
        <v>62600020</v>
      </c>
      <c r="I324" s="75" t="s">
        <v>488</v>
      </c>
    </row>
    <row r="325" spans="2:9" s="75" customFormat="1" outlineLevel="1" x14ac:dyDescent="0.25">
      <c r="B325" s="144">
        <v>62600030</v>
      </c>
      <c r="C325" s="144" t="s">
        <v>226</v>
      </c>
      <c r="D325" s="144" t="s">
        <v>488</v>
      </c>
      <c r="E325" s="145" t="s">
        <v>1041</v>
      </c>
      <c r="H325" s="165">
        <f t="shared" si="15"/>
        <v>62600030</v>
      </c>
      <c r="I325" s="75" t="s">
        <v>488</v>
      </c>
    </row>
    <row r="326" spans="2:9" s="75" customFormat="1" outlineLevel="1" x14ac:dyDescent="0.25">
      <c r="B326" s="144">
        <v>62700010</v>
      </c>
      <c r="C326" s="144" t="s">
        <v>458</v>
      </c>
      <c r="D326" s="144" t="s">
        <v>458</v>
      </c>
      <c r="E326" s="144" t="s">
        <v>236</v>
      </c>
      <c r="H326" s="165">
        <f t="shared" si="15"/>
        <v>62700010</v>
      </c>
      <c r="I326" s="75" t="s">
        <v>513</v>
      </c>
    </row>
    <row r="327" spans="2:9" s="75" customFormat="1" outlineLevel="1" x14ac:dyDescent="0.25">
      <c r="B327" s="144">
        <v>62800010</v>
      </c>
      <c r="C327" s="144" t="s">
        <v>459</v>
      </c>
      <c r="D327" s="144" t="s">
        <v>459</v>
      </c>
      <c r="E327" s="144" t="s">
        <v>238</v>
      </c>
      <c r="H327" s="165">
        <f t="shared" si="15"/>
        <v>62800010</v>
      </c>
      <c r="I327" s="75" t="s">
        <v>459</v>
      </c>
    </row>
    <row r="328" spans="2:9" s="75" customFormat="1" outlineLevel="1" x14ac:dyDescent="0.25">
      <c r="B328" s="144">
        <v>62900010</v>
      </c>
      <c r="C328" s="144" t="s">
        <v>228</v>
      </c>
      <c r="D328" s="144" t="s">
        <v>489</v>
      </c>
      <c r="E328" s="145" t="s">
        <v>1041</v>
      </c>
      <c r="H328" s="165">
        <f t="shared" si="15"/>
        <v>62900010</v>
      </c>
      <c r="I328" s="75" t="s">
        <v>228</v>
      </c>
    </row>
    <row r="329" spans="2:9" s="75" customFormat="1" outlineLevel="1" x14ac:dyDescent="0.25">
      <c r="B329" s="144">
        <v>62900020</v>
      </c>
      <c r="C329" s="144" t="s">
        <v>230</v>
      </c>
      <c r="D329" s="144" t="s">
        <v>489</v>
      </c>
      <c r="E329" s="145" t="s">
        <v>1041</v>
      </c>
      <c r="H329" s="165">
        <f t="shared" si="15"/>
        <v>62900020</v>
      </c>
      <c r="I329" s="75" t="s">
        <v>230</v>
      </c>
    </row>
    <row r="330" spans="2:9" s="75" customFormat="1" outlineLevel="1" x14ac:dyDescent="0.25">
      <c r="B330" s="144">
        <v>63300010</v>
      </c>
      <c r="C330" s="144" t="s">
        <v>1185</v>
      </c>
      <c r="D330" s="144" t="s">
        <v>345</v>
      </c>
      <c r="E330" s="144"/>
      <c r="H330" s="165">
        <f t="shared" si="15"/>
        <v>63300010</v>
      </c>
      <c r="I330" s="75" t="s">
        <v>507</v>
      </c>
    </row>
    <row r="331" spans="2:9" s="75" customFormat="1" outlineLevel="1" x14ac:dyDescent="0.25">
      <c r="B331" s="380">
        <v>63900010</v>
      </c>
      <c r="C331" s="381" t="s">
        <v>232</v>
      </c>
      <c r="D331" s="381" t="s">
        <v>497</v>
      </c>
      <c r="E331" s="382" t="s">
        <v>1041</v>
      </c>
      <c r="H331" s="165">
        <f>B331</f>
        <v>63900010</v>
      </c>
      <c r="I331" s="75" t="s">
        <v>497</v>
      </c>
    </row>
    <row r="332" spans="2:9" outlineLevel="1" x14ac:dyDescent="0.25">
      <c r="B332" s="383"/>
      <c r="C332" s="384"/>
      <c r="D332" s="384"/>
      <c r="E332" s="385"/>
    </row>
    <row r="333" spans="2:9" outlineLevel="1" x14ac:dyDescent="0.25"/>
    <row r="334" spans="2:9" outlineLevel="1" x14ac:dyDescent="0.25">
      <c r="B334" s="111" t="s">
        <v>1487</v>
      </c>
      <c r="C334" s="75"/>
      <c r="D334" s="75"/>
      <c r="E334" s="75"/>
      <c r="F334" s="75"/>
    </row>
    <row r="335" spans="2:9" x14ac:dyDescent="0.25">
      <c r="B335" s="166" t="s">
        <v>1034</v>
      </c>
      <c r="C335" s="166" t="s">
        <v>1035</v>
      </c>
      <c r="D335" s="166" t="s">
        <v>1037</v>
      </c>
      <c r="E335" s="166" t="s">
        <v>1038</v>
      </c>
      <c r="H335" s="166" t="s">
        <v>1488</v>
      </c>
      <c r="I335" s="166" t="s">
        <v>1034</v>
      </c>
    </row>
    <row r="336" spans="2:9" x14ac:dyDescent="0.25">
      <c r="B336" s="145">
        <v>15000000</v>
      </c>
      <c r="C336" s="167" t="s">
        <v>654</v>
      </c>
      <c r="D336" s="145" t="s">
        <v>683</v>
      </c>
      <c r="E336" s="145" t="s">
        <v>44</v>
      </c>
      <c r="H336" s="168" t="s">
        <v>1496</v>
      </c>
      <c r="I336" s="145">
        <v>15000000</v>
      </c>
    </row>
    <row r="337" spans="2:9" x14ac:dyDescent="0.25">
      <c r="B337" s="145">
        <v>15000010</v>
      </c>
      <c r="C337" s="167" t="s">
        <v>655</v>
      </c>
      <c r="D337" s="145" t="s">
        <v>683</v>
      </c>
      <c r="E337" s="145" t="s">
        <v>44</v>
      </c>
      <c r="H337" s="168" t="s">
        <v>1497</v>
      </c>
      <c r="I337" s="145">
        <v>15000010</v>
      </c>
    </row>
    <row r="338" spans="2:9" x14ac:dyDescent="0.25">
      <c r="B338" s="145">
        <v>15000020</v>
      </c>
      <c r="C338" s="167" t="s">
        <v>656</v>
      </c>
      <c r="D338" s="145" t="s">
        <v>683</v>
      </c>
      <c r="E338" s="145" t="s">
        <v>44</v>
      </c>
      <c r="H338" s="168" t="s">
        <v>1498</v>
      </c>
      <c r="I338" s="145">
        <v>15000020</v>
      </c>
    </row>
    <row r="339" spans="2:9" x14ac:dyDescent="0.25">
      <c r="B339" s="145">
        <v>15000030</v>
      </c>
      <c r="C339" s="167" t="s">
        <v>657</v>
      </c>
      <c r="D339" s="145" t="s">
        <v>683</v>
      </c>
      <c r="E339" s="145" t="s">
        <v>44</v>
      </c>
      <c r="H339" s="168" t="s">
        <v>1499</v>
      </c>
      <c r="I339" s="145">
        <v>15000030</v>
      </c>
    </row>
    <row r="340" spans="2:9" x14ac:dyDescent="0.25">
      <c r="B340" s="145">
        <v>15000040</v>
      </c>
      <c r="C340" s="167" t="s">
        <v>658</v>
      </c>
      <c r="D340" s="145" t="s">
        <v>683</v>
      </c>
      <c r="E340" s="145" t="s">
        <v>44</v>
      </c>
      <c r="H340" s="168" t="s">
        <v>1500</v>
      </c>
      <c r="I340" s="145">
        <v>15000040</v>
      </c>
    </row>
    <row r="341" spans="2:9" x14ac:dyDescent="0.25">
      <c r="B341" s="145">
        <v>15000050</v>
      </c>
      <c r="C341" s="167" t="s">
        <v>659</v>
      </c>
      <c r="D341" s="145" t="s">
        <v>683</v>
      </c>
      <c r="E341" s="145" t="s">
        <v>44</v>
      </c>
      <c r="H341" s="168" t="s">
        <v>1501</v>
      </c>
      <c r="I341" s="145">
        <v>15000050</v>
      </c>
    </row>
    <row r="342" spans="2:9" x14ac:dyDescent="0.25">
      <c r="B342" s="145">
        <v>15000060</v>
      </c>
      <c r="C342" s="167" t="s">
        <v>660</v>
      </c>
      <c r="D342" s="145" t="s">
        <v>683</v>
      </c>
      <c r="E342" s="145" t="s">
        <v>44</v>
      </c>
      <c r="H342" s="168" t="s">
        <v>1502</v>
      </c>
      <c r="I342" s="145">
        <v>15000060</v>
      </c>
    </row>
    <row r="343" spans="2:9" x14ac:dyDescent="0.25">
      <c r="B343" s="145">
        <v>15000070</v>
      </c>
      <c r="C343" s="167" t="s">
        <v>661</v>
      </c>
      <c r="D343" s="145" t="s">
        <v>683</v>
      </c>
      <c r="E343" s="145" t="s">
        <v>44</v>
      </c>
      <c r="H343" s="168" t="s">
        <v>1503</v>
      </c>
      <c r="I343" s="145">
        <v>15000070</v>
      </c>
    </row>
    <row r="344" spans="2:9" x14ac:dyDescent="0.25">
      <c r="B344" s="145">
        <v>15000080</v>
      </c>
      <c r="C344" s="167" t="s">
        <v>662</v>
      </c>
      <c r="D344" s="145" t="s">
        <v>683</v>
      </c>
      <c r="E344" s="145" t="s">
        <v>44</v>
      </c>
      <c r="H344" s="168" t="s">
        <v>1504</v>
      </c>
      <c r="I344" s="145">
        <v>15000080</v>
      </c>
    </row>
    <row r="345" spans="2:9" x14ac:dyDescent="0.25">
      <c r="B345" s="145">
        <v>15200000</v>
      </c>
      <c r="C345" s="167" t="s">
        <v>664</v>
      </c>
      <c r="D345" s="145" t="s">
        <v>683</v>
      </c>
      <c r="E345" s="145" t="s">
        <v>44</v>
      </c>
      <c r="H345" s="168" t="s">
        <v>1505</v>
      </c>
      <c r="I345" s="145">
        <v>15200000</v>
      </c>
    </row>
    <row r="346" spans="2:9" ht="30" x14ac:dyDescent="0.25">
      <c r="B346" s="145">
        <v>15020010</v>
      </c>
      <c r="C346" s="167" t="s">
        <v>666</v>
      </c>
      <c r="D346" s="145" t="s">
        <v>304</v>
      </c>
      <c r="E346" s="145" t="s">
        <v>44</v>
      </c>
      <c r="H346" s="168">
        <v>6026</v>
      </c>
      <c r="I346" s="145">
        <v>15020010</v>
      </c>
    </row>
    <row r="347" spans="2:9" ht="30" x14ac:dyDescent="0.25">
      <c r="B347" s="145">
        <v>15020020</v>
      </c>
      <c r="C347" s="167" t="s">
        <v>667</v>
      </c>
      <c r="D347" s="145" t="s">
        <v>304</v>
      </c>
      <c r="E347" s="145" t="s">
        <v>44</v>
      </c>
      <c r="H347" s="168">
        <v>6126</v>
      </c>
      <c r="I347" s="145">
        <v>15020020</v>
      </c>
    </row>
    <row r="348" spans="2:9" ht="30" x14ac:dyDescent="0.25">
      <c r="B348" s="145">
        <v>15020030</v>
      </c>
      <c r="C348" s="167" t="s">
        <v>668</v>
      </c>
      <c r="D348" s="145" t="s">
        <v>304</v>
      </c>
      <c r="E348" s="145" t="s">
        <v>44</v>
      </c>
      <c r="H348" s="168">
        <v>6226</v>
      </c>
      <c r="I348" s="145">
        <v>15020030</v>
      </c>
    </row>
    <row r="349" spans="2:9" ht="30" x14ac:dyDescent="0.25">
      <c r="B349" s="145">
        <v>15020040</v>
      </c>
      <c r="C349" s="167" t="s">
        <v>669</v>
      </c>
      <c r="D349" s="145" t="s">
        <v>304</v>
      </c>
      <c r="E349" s="145" t="s">
        <v>44</v>
      </c>
      <c r="H349" s="168">
        <v>6326</v>
      </c>
      <c r="I349" s="145">
        <v>15020040</v>
      </c>
    </row>
    <row r="350" spans="2:9" ht="30" x14ac:dyDescent="0.25">
      <c r="B350" s="145">
        <v>15020080</v>
      </c>
      <c r="C350" s="167" t="s">
        <v>670</v>
      </c>
      <c r="D350" s="145" t="s">
        <v>304</v>
      </c>
      <c r="E350" s="145" t="s">
        <v>44</v>
      </c>
      <c r="H350" s="168">
        <v>6426</v>
      </c>
      <c r="I350" s="145">
        <v>15020080</v>
      </c>
    </row>
    <row r="351" spans="2:9" ht="30" x14ac:dyDescent="0.25">
      <c r="B351" s="169">
        <v>15020090</v>
      </c>
      <c r="C351" s="170" t="s">
        <v>720</v>
      </c>
      <c r="D351" s="145" t="s">
        <v>304</v>
      </c>
      <c r="E351" s="169" t="s">
        <v>44</v>
      </c>
      <c r="H351" s="171">
        <v>6526</v>
      </c>
      <c r="I351" s="169">
        <v>15020090</v>
      </c>
    </row>
    <row r="354" spans="2:9" s="157" customFormat="1" x14ac:dyDescent="0.25">
      <c r="B354" s="156" t="s">
        <v>1489</v>
      </c>
      <c r="H354" s="158"/>
      <c r="I354" s="158"/>
    </row>
    <row r="356" spans="2:9" x14ac:dyDescent="0.25">
      <c r="B356" s="49" t="s">
        <v>596</v>
      </c>
      <c r="C356" s="49" t="s">
        <v>726</v>
      </c>
    </row>
    <row r="357" spans="2:9" x14ac:dyDescent="0.25">
      <c r="B357" s="44" t="s">
        <v>727</v>
      </c>
      <c r="C357" s="44" t="s">
        <v>730</v>
      </c>
    </row>
    <row r="358" spans="2:9" x14ac:dyDescent="0.25">
      <c r="B358" s="44" t="s">
        <v>728</v>
      </c>
      <c r="C358" s="44" t="s">
        <v>731</v>
      </c>
    </row>
    <row r="359" spans="2:9" x14ac:dyDescent="0.25">
      <c r="B359" s="44" t="s">
        <v>729</v>
      </c>
      <c r="C359" s="44" t="s">
        <v>732</v>
      </c>
    </row>
    <row r="362" spans="2:9" s="157" customFormat="1" x14ac:dyDescent="0.25">
      <c r="B362" s="156" t="s">
        <v>733</v>
      </c>
      <c r="H362" s="158"/>
      <c r="I362" s="158"/>
    </row>
    <row r="364" spans="2:9" x14ac:dyDescent="0.25">
      <c r="B364" s="172" t="s">
        <v>682</v>
      </c>
      <c r="C364" s="172" t="s">
        <v>1490</v>
      </c>
    </row>
    <row r="365" spans="2:9" x14ac:dyDescent="0.25">
      <c r="B365" t="s">
        <v>737</v>
      </c>
      <c r="C365" t="s">
        <v>737</v>
      </c>
    </row>
    <row r="366" spans="2:9" x14ac:dyDescent="0.25">
      <c r="B366" t="s">
        <v>736</v>
      </c>
      <c r="C366" t="s">
        <v>734</v>
      </c>
    </row>
    <row r="367" spans="2:9" x14ac:dyDescent="0.25">
      <c r="B367" t="s">
        <v>734</v>
      </c>
      <c r="C367" t="s">
        <v>735</v>
      </c>
    </row>
    <row r="368" spans="2:9" x14ac:dyDescent="0.25">
      <c r="B368" t="s">
        <v>735</v>
      </c>
    </row>
    <row r="371" spans="2:9" s="157" customFormat="1" x14ac:dyDescent="0.25">
      <c r="B371" s="156" t="s">
        <v>833</v>
      </c>
      <c r="H371" s="158"/>
      <c r="I371" s="158"/>
    </row>
    <row r="372" spans="2:9" x14ac:dyDescent="0.25">
      <c r="B372" s="160" t="s">
        <v>294</v>
      </c>
    </row>
    <row r="373" spans="2:9" x14ac:dyDescent="0.25">
      <c r="B373" s="160" t="s">
        <v>745</v>
      </c>
    </row>
  </sheetData>
  <conditionalFormatting sqref="I59:I146">
    <cfRule type="duplicateValues" dxfId="0" priority="17"/>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53790-24A6-42E5-822C-6A12BF316F63}">
  <dimension ref="A1"/>
  <sheetViews>
    <sheetView workbookViewId="0">
      <selection activeCell="I19" sqref="I19"/>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EF61-89E7-4E28-8B42-2E9AB63F6F5A}">
  <dimension ref="A1:BE151"/>
  <sheetViews>
    <sheetView zoomScale="90" zoomScaleNormal="90" workbookViewId="0">
      <pane xSplit="1" ySplit="1" topLeftCell="B134" activePane="bottomRight" state="frozen"/>
      <selection pane="topRight" activeCell="B1" sqref="B1"/>
      <selection pane="bottomLeft" activeCell="A2" sqref="A2"/>
      <selection pane="bottomRight" activeCell="I138" sqref="I138"/>
    </sheetView>
  </sheetViews>
  <sheetFormatPr defaultRowHeight="15" x14ac:dyDescent="0.25"/>
  <cols>
    <col min="5" max="5" width="11.140625" bestFit="1" customWidth="1"/>
    <col min="6" max="6" width="48.42578125" bestFit="1" customWidth="1"/>
    <col min="12" max="12" width="13.5703125" bestFit="1" customWidth="1"/>
    <col min="20" max="20" width="29.140625" bestFit="1" customWidth="1"/>
    <col min="22" max="22" width="18.140625" customWidth="1"/>
    <col min="40" max="40" width="12.42578125" customWidth="1"/>
    <col min="47" max="47" width="17.140625" bestFit="1" customWidth="1"/>
    <col min="48" max="48" width="10.85546875" bestFit="1" customWidth="1"/>
    <col min="49" max="49" width="27.140625" bestFit="1" customWidth="1"/>
  </cols>
  <sheetData>
    <row r="1" spans="1:57" ht="30" x14ac:dyDescent="0.25">
      <c r="A1" s="285" t="s">
        <v>1541</v>
      </c>
      <c r="B1" s="285" t="s">
        <v>1542</v>
      </c>
      <c r="C1" s="285" t="s">
        <v>1543</v>
      </c>
      <c r="D1" s="285" t="s">
        <v>1544</v>
      </c>
      <c r="E1" s="285" t="s">
        <v>1545</v>
      </c>
      <c r="F1" s="285" t="s">
        <v>1546</v>
      </c>
      <c r="G1" s="285" t="s">
        <v>1547</v>
      </c>
      <c r="H1" s="285" t="s">
        <v>464</v>
      </c>
      <c r="I1" s="285" t="s">
        <v>1548</v>
      </c>
      <c r="J1" s="285" t="s">
        <v>1549</v>
      </c>
      <c r="K1" s="386" t="s">
        <v>1550</v>
      </c>
      <c r="L1" s="285" t="s">
        <v>1551</v>
      </c>
      <c r="M1" s="285" t="s">
        <v>1552</v>
      </c>
      <c r="N1" s="285" t="s">
        <v>1553</v>
      </c>
      <c r="O1" s="285" t="s">
        <v>1554</v>
      </c>
      <c r="P1" s="285" t="s">
        <v>339</v>
      </c>
      <c r="Q1" s="285" t="s">
        <v>1555</v>
      </c>
      <c r="R1" s="285" t="s">
        <v>1556</v>
      </c>
      <c r="S1" s="285" t="s">
        <v>1557</v>
      </c>
      <c r="T1" s="386" t="s">
        <v>1558</v>
      </c>
      <c r="U1" s="285" t="s">
        <v>46</v>
      </c>
      <c r="V1" s="285" t="s">
        <v>1559</v>
      </c>
      <c r="W1" s="285" t="s">
        <v>1560</v>
      </c>
      <c r="X1" s="285" t="s">
        <v>1561</v>
      </c>
      <c r="Y1" s="285" t="s">
        <v>1562</v>
      </c>
      <c r="Z1" s="285" t="s">
        <v>1563</v>
      </c>
      <c r="AA1" s="285" t="s">
        <v>1564</v>
      </c>
      <c r="AB1" s="285" t="s">
        <v>1565</v>
      </c>
      <c r="AC1" s="285" t="s">
        <v>1566</v>
      </c>
      <c r="AD1" s="285" t="s">
        <v>1567</v>
      </c>
      <c r="AE1" s="285" t="s">
        <v>1568</v>
      </c>
      <c r="AF1" s="285" t="s">
        <v>1569</v>
      </c>
      <c r="AG1" s="285" t="s">
        <v>1570</v>
      </c>
      <c r="AH1" s="285" t="s">
        <v>1571</v>
      </c>
      <c r="AI1" s="285" t="s">
        <v>1572</v>
      </c>
      <c r="AJ1" s="285" t="s">
        <v>1573</v>
      </c>
      <c r="AK1" s="285" t="s">
        <v>1574</v>
      </c>
      <c r="AL1" s="285" t="s">
        <v>1575</v>
      </c>
      <c r="AM1" s="285" t="s">
        <v>1576</v>
      </c>
      <c r="AN1" s="386" t="s">
        <v>1577</v>
      </c>
      <c r="AO1" s="285" t="s">
        <v>1578</v>
      </c>
      <c r="AP1" s="386" t="s">
        <v>1579</v>
      </c>
      <c r="AQ1" s="285" t="s">
        <v>1580</v>
      </c>
      <c r="AR1" s="285" t="s">
        <v>1581</v>
      </c>
      <c r="AS1" s="285" t="s">
        <v>688</v>
      </c>
      <c r="AT1" s="285" t="s">
        <v>1582</v>
      </c>
      <c r="AU1" s="386" t="s">
        <v>1583</v>
      </c>
      <c r="AV1" s="233" t="s">
        <v>1584</v>
      </c>
      <c r="AW1" s="233" t="s">
        <v>1585</v>
      </c>
      <c r="AX1" s="233"/>
      <c r="AY1" s="339" t="s">
        <v>1586</v>
      </c>
      <c r="AZ1" s="339" t="s">
        <v>1587</v>
      </c>
      <c r="BA1" s="160"/>
      <c r="BB1" s="160"/>
      <c r="BC1" s="160"/>
      <c r="BD1" s="160"/>
      <c r="BE1" s="160"/>
    </row>
    <row r="2" spans="1:57" x14ac:dyDescent="0.25">
      <c r="A2" s="160" t="s">
        <v>1588</v>
      </c>
      <c r="B2" s="160" t="s">
        <v>1589</v>
      </c>
      <c r="C2" s="160" t="s">
        <v>1590</v>
      </c>
      <c r="D2" s="160" t="s">
        <v>1591</v>
      </c>
      <c r="E2" s="340">
        <v>45680</v>
      </c>
      <c r="F2" s="160" t="s">
        <v>1592</v>
      </c>
      <c r="G2" s="160" t="s">
        <v>820</v>
      </c>
      <c r="H2" s="160" t="s">
        <v>1593</v>
      </c>
      <c r="I2" s="160" t="s">
        <v>1594</v>
      </c>
      <c r="J2" s="160" t="s">
        <v>820</v>
      </c>
      <c r="K2" s="160" t="s">
        <v>1039</v>
      </c>
      <c r="L2" s="340">
        <v>45680</v>
      </c>
      <c r="M2" s="160" t="s">
        <v>1595</v>
      </c>
      <c r="N2" s="160" t="s">
        <v>820</v>
      </c>
      <c r="O2" s="160"/>
      <c r="P2" s="160" t="s">
        <v>1596</v>
      </c>
      <c r="Q2" s="160" t="s">
        <v>294</v>
      </c>
      <c r="R2" s="341">
        <v>2022.35</v>
      </c>
      <c r="S2" s="160" t="s">
        <v>294</v>
      </c>
      <c r="T2" s="341">
        <v>2022.35</v>
      </c>
      <c r="U2" s="160" t="s">
        <v>609</v>
      </c>
      <c r="V2" s="160" t="s">
        <v>1597</v>
      </c>
      <c r="W2" s="160" t="s">
        <v>820</v>
      </c>
      <c r="X2" s="160" t="s">
        <v>820</v>
      </c>
      <c r="Y2" s="160" t="s">
        <v>820</v>
      </c>
      <c r="Z2" s="160" t="s">
        <v>820</v>
      </c>
      <c r="AA2" s="160" t="s">
        <v>1598</v>
      </c>
      <c r="AB2" s="160" t="s">
        <v>820</v>
      </c>
      <c r="AC2" s="340">
        <v>45680</v>
      </c>
      <c r="AD2" s="160"/>
      <c r="AE2" s="160"/>
      <c r="AF2" s="160" t="s">
        <v>820</v>
      </c>
      <c r="AG2" s="160" t="s">
        <v>820</v>
      </c>
      <c r="AH2" s="160" t="s">
        <v>1599</v>
      </c>
      <c r="AI2" s="160" t="s">
        <v>1600</v>
      </c>
      <c r="AJ2" s="160">
        <v>105000</v>
      </c>
      <c r="AK2" s="160" t="s">
        <v>1484</v>
      </c>
      <c r="AL2" s="160" t="s">
        <v>1601</v>
      </c>
      <c r="AM2" s="160" t="s">
        <v>1602</v>
      </c>
      <c r="AN2" s="160" t="s">
        <v>1603</v>
      </c>
      <c r="AO2" s="160" t="s">
        <v>820</v>
      </c>
      <c r="AP2" s="160" t="s">
        <v>1604</v>
      </c>
      <c r="AQ2" s="160" t="s">
        <v>820</v>
      </c>
      <c r="AR2" s="160" t="s">
        <v>1605</v>
      </c>
      <c r="AS2" s="160" t="s">
        <v>1531</v>
      </c>
      <c r="AT2" s="160" t="s">
        <v>333</v>
      </c>
      <c r="AU2" s="341">
        <v>33368775</v>
      </c>
      <c r="AV2" s="160" t="s">
        <v>609</v>
      </c>
      <c r="AW2" s="160" t="s">
        <v>1597</v>
      </c>
      <c r="AX2" s="160"/>
      <c r="AY2" s="160"/>
      <c r="AZ2" s="160"/>
      <c r="BA2" s="160"/>
      <c r="BB2" s="160"/>
      <c r="BC2" s="160"/>
      <c r="BD2" s="160"/>
      <c r="BE2" s="160"/>
    </row>
    <row r="3" spans="1:57" x14ac:dyDescent="0.25">
      <c r="A3" s="160" t="s">
        <v>1588</v>
      </c>
      <c r="B3" s="160" t="s">
        <v>1589</v>
      </c>
      <c r="C3" s="160" t="s">
        <v>1590</v>
      </c>
      <c r="D3" s="160" t="s">
        <v>1591</v>
      </c>
      <c r="E3" s="340">
        <v>45680</v>
      </c>
      <c r="F3" s="160" t="s">
        <v>1592</v>
      </c>
      <c r="G3" s="160" t="s">
        <v>820</v>
      </c>
      <c r="H3" s="160" t="s">
        <v>1593</v>
      </c>
      <c r="I3" s="160" t="s">
        <v>1606</v>
      </c>
      <c r="J3" s="160" t="s">
        <v>820</v>
      </c>
      <c r="K3" s="160" t="s">
        <v>1039</v>
      </c>
      <c r="L3" s="340">
        <v>45680</v>
      </c>
      <c r="M3" s="160" t="s">
        <v>1595</v>
      </c>
      <c r="N3" s="160" t="s">
        <v>820</v>
      </c>
      <c r="O3" s="160"/>
      <c r="P3" s="160" t="s">
        <v>1596</v>
      </c>
      <c r="Q3" s="160" t="s">
        <v>294</v>
      </c>
      <c r="R3" s="341">
        <v>971.1</v>
      </c>
      <c r="S3" s="160" t="s">
        <v>294</v>
      </c>
      <c r="T3" s="341">
        <v>971.1</v>
      </c>
      <c r="U3" s="160" t="s">
        <v>609</v>
      </c>
      <c r="V3" s="160" t="s">
        <v>1597</v>
      </c>
      <c r="W3" s="160" t="s">
        <v>820</v>
      </c>
      <c r="X3" s="160" t="s">
        <v>820</v>
      </c>
      <c r="Y3" s="160" t="s">
        <v>820</v>
      </c>
      <c r="Z3" s="160" t="s">
        <v>820</v>
      </c>
      <c r="AA3" s="160" t="s">
        <v>1598</v>
      </c>
      <c r="AB3" s="160" t="s">
        <v>820</v>
      </c>
      <c r="AC3" s="340">
        <v>45680</v>
      </c>
      <c r="AD3" s="160"/>
      <c r="AE3" s="160"/>
      <c r="AF3" s="160" t="s">
        <v>820</v>
      </c>
      <c r="AG3" s="160" t="s">
        <v>820</v>
      </c>
      <c r="AH3" s="160" t="s">
        <v>1599</v>
      </c>
      <c r="AI3" s="160" t="s">
        <v>1600</v>
      </c>
      <c r="AJ3" s="160">
        <v>96000</v>
      </c>
      <c r="AK3" s="160" t="s">
        <v>1484</v>
      </c>
      <c r="AL3" s="160" t="s">
        <v>1601</v>
      </c>
      <c r="AM3" s="160" t="s">
        <v>1607</v>
      </c>
      <c r="AN3" s="160" t="s">
        <v>1608</v>
      </c>
      <c r="AO3" s="160" t="s">
        <v>820</v>
      </c>
      <c r="AP3" s="160" t="s">
        <v>1604</v>
      </c>
      <c r="AQ3" s="160" t="s">
        <v>820</v>
      </c>
      <c r="AR3" s="160" t="s">
        <v>1605</v>
      </c>
      <c r="AS3" s="160" t="s">
        <v>1531</v>
      </c>
      <c r="AT3" s="160" t="s">
        <v>333</v>
      </c>
      <c r="AU3" s="341">
        <v>16023150</v>
      </c>
      <c r="AV3" s="160" t="s">
        <v>609</v>
      </c>
      <c r="AW3" s="160" t="s">
        <v>1597</v>
      </c>
      <c r="AX3" s="160"/>
      <c r="AY3" s="160"/>
      <c r="AZ3" s="160"/>
      <c r="BA3" s="160"/>
      <c r="BB3" s="160"/>
      <c r="BC3" s="160"/>
      <c r="BD3" s="160"/>
      <c r="BE3" s="160"/>
    </row>
    <row r="4" spans="1:57" x14ac:dyDescent="0.25">
      <c r="A4" s="160" t="s">
        <v>1588</v>
      </c>
      <c r="B4" s="160" t="s">
        <v>1589</v>
      </c>
      <c r="C4" s="160" t="s">
        <v>1590</v>
      </c>
      <c r="D4" s="160" t="s">
        <v>1591</v>
      </c>
      <c r="E4" s="340">
        <v>45667</v>
      </c>
      <c r="F4" s="160" t="s">
        <v>1592</v>
      </c>
      <c r="G4" s="160" t="s">
        <v>820</v>
      </c>
      <c r="H4" s="160" t="s">
        <v>1593</v>
      </c>
      <c r="I4" s="160" t="s">
        <v>1609</v>
      </c>
      <c r="J4" s="160" t="s">
        <v>820</v>
      </c>
      <c r="K4" s="160" t="s">
        <v>1039</v>
      </c>
      <c r="L4" s="340">
        <v>45667</v>
      </c>
      <c r="M4" s="160" t="s">
        <v>1610</v>
      </c>
      <c r="N4" s="160" t="s">
        <v>820</v>
      </c>
      <c r="O4" s="160"/>
      <c r="P4" s="160" t="s">
        <v>1596</v>
      </c>
      <c r="Q4" s="160" t="s">
        <v>294</v>
      </c>
      <c r="R4" s="341">
        <v>298.64999999999998</v>
      </c>
      <c r="S4" s="160" t="s">
        <v>294</v>
      </c>
      <c r="T4" s="341">
        <v>298.64999999999998</v>
      </c>
      <c r="U4" s="160" t="s">
        <v>609</v>
      </c>
      <c r="V4" s="160" t="s">
        <v>1597</v>
      </c>
      <c r="W4" s="160" t="s">
        <v>820</v>
      </c>
      <c r="X4" s="160" t="s">
        <v>820</v>
      </c>
      <c r="Y4" s="160" t="s">
        <v>820</v>
      </c>
      <c r="Z4" s="160" t="s">
        <v>820</v>
      </c>
      <c r="AA4" s="160" t="s">
        <v>1598</v>
      </c>
      <c r="AB4" s="160" t="s">
        <v>820</v>
      </c>
      <c r="AC4" s="340">
        <v>45667</v>
      </c>
      <c r="AD4" s="160"/>
      <c r="AE4" s="160"/>
      <c r="AF4" s="160" t="s">
        <v>820</v>
      </c>
      <c r="AG4" s="160" t="s">
        <v>820</v>
      </c>
      <c r="AH4" s="160" t="s">
        <v>1599</v>
      </c>
      <c r="AI4" s="160" t="s">
        <v>1600</v>
      </c>
      <c r="AJ4" s="160">
        <v>15500</v>
      </c>
      <c r="AK4" s="160" t="s">
        <v>1484</v>
      </c>
      <c r="AL4" s="160" t="s">
        <v>1601</v>
      </c>
      <c r="AM4" s="160" t="s">
        <v>1602</v>
      </c>
      <c r="AN4" s="160" t="s">
        <v>1603</v>
      </c>
      <c r="AO4" s="160" t="s">
        <v>820</v>
      </c>
      <c r="AP4" s="160" t="s">
        <v>1604</v>
      </c>
      <c r="AQ4" s="160" t="s">
        <v>820</v>
      </c>
      <c r="AR4" s="160" t="s">
        <v>1605</v>
      </c>
      <c r="AS4" s="160" t="s">
        <v>1531</v>
      </c>
      <c r="AT4" s="160" t="s">
        <v>333</v>
      </c>
      <c r="AU4" s="341">
        <v>4927725</v>
      </c>
      <c r="AV4" s="160" t="s">
        <v>609</v>
      </c>
      <c r="AW4" s="160" t="s">
        <v>1597</v>
      </c>
      <c r="AX4" s="160"/>
      <c r="AY4" s="160"/>
      <c r="AZ4" s="160"/>
      <c r="BA4" s="160"/>
      <c r="BB4" s="160"/>
      <c r="BC4" s="160"/>
      <c r="BD4" s="160"/>
      <c r="BE4" s="160"/>
    </row>
    <row r="5" spans="1:57" x14ac:dyDescent="0.25">
      <c r="A5" s="160" t="s">
        <v>1588</v>
      </c>
      <c r="B5" s="160" t="s">
        <v>1589</v>
      </c>
      <c r="C5" s="160" t="s">
        <v>1590</v>
      </c>
      <c r="D5" s="160" t="s">
        <v>1591</v>
      </c>
      <c r="E5" s="340">
        <v>45667</v>
      </c>
      <c r="F5" s="160" t="s">
        <v>1592</v>
      </c>
      <c r="G5" s="160" t="s">
        <v>820</v>
      </c>
      <c r="H5" s="160" t="s">
        <v>1593</v>
      </c>
      <c r="I5" s="160" t="s">
        <v>1609</v>
      </c>
      <c r="J5" s="160" t="s">
        <v>820</v>
      </c>
      <c r="K5" s="160" t="s">
        <v>1039</v>
      </c>
      <c r="L5" s="340">
        <v>45667</v>
      </c>
      <c r="M5" s="160" t="s">
        <v>1610</v>
      </c>
      <c r="N5" s="160" t="s">
        <v>820</v>
      </c>
      <c r="O5" s="160"/>
      <c r="P5" s="160" t="s">
        <v>1596</v>
      </c>
      <c r="Q5" s="160" t="s">
        <v>294</v>
      </c>
      <c r="R5" s="341">
        <v>180.63</v>
      </c>
      <c r="S5" s="160" t="s">
        <v>294</v>
      </c>
      <c r="T5" s="341">
        <v>180.63</v>
      </c>
      <c r="U5" s="160" t="s">
        <v>609</v>
      </c>
      <c r="V5" s="160" t="s">
        <v>1597</v>
      </c>
      <c r="W5" s="160" t="s">
        <v>820</v>
      </c>
      <c r="X5" s="160" t="s">
        <v>820</v>
      </c>
      <c r="Y5" s="160" t="s">
        <v>820</v>
      </c>
      <c r="Z5" s="160" t="s">
        <v>820</v>
      </c>
      <c r="AA5" s="160" t="s">
        <v>1598</v>
      </c>
      <c r="AB5" s="160" t="s">
        <v>820</v>
      </c>
      <c r="AC5" s="340">
        <v>45667</v>
      </c>
      <c r="AD5" s="160"/>
      <c r="AE5" s="160"/>
      <c r="AF5" s="160" t="s">
        <v>820</v>
      </c>
      <c r="AG5" s="160" t="s">
        <v>820</v>
      </c>
      <c r="AH5" s="160" t="s">
        <v>1599</v>
      </c>
      <c r="AI5" s="160" t="s">
        <v>1600</v>
      </c>
      <c r="AJ5" s="160">
        <v>39000</v>
      </c>
      <c r="AK5" s="160" t="s">
        <v>1484</v>
      </c>
      <c r="AL5" s="160" t="s">
        <v>1601</v>
      </c>
      <c r="AM5" s="160" t="s">
        <v>1611</v>
      </c>
      <c r="AN5" s="160" t="s">
        <v>1612</v>
      </c>
      <c r="AO5" s="160" t="s">
        <v>820</v>
      </c>
      <c r="AP5" s="160" t="s">
        <v>1604</v>
      </c>
      <c r="AQ5" s="160" t="s">
        <v>820</v>
      </c>
      <c r="AR5" s="160" t="s">
        <v>1605</v>
      </c>
      <c r="AS5" s="160" t="s">
        <v>1531</v>
      </c>
      <c r="AT5" s="160" t="s">
        <v>333</v>
      </c>
      <c r="AU5" s="341">
        <v>2980395</v>
      </c>
      <c r="AV5" s="160" t="s">
        <v>609</v>
      </c>
      <c r="AW5" s="160" t="s">
        <v>1597</v>
      </c>
      <c r="AX5" s="160"/>
      <c r="AY5" s="160"/>
      <c r="AZ5" s="160"/>
      <c r="BA5" s="160"/>
      <c r="BB5" s="160"/>
      <c r="BC5" s="160"/>
      <c r="BD5" s="160"/>
      <c r="BE5" s="160"/>
    </row>
    <row r="6" spans="1:57" x14ac:dyDescent="0.25">
      <c r="A6" s="160" t="s">
        <v>1588</v>
      </c>
      <c r="B6" s="160" t="s">
        <v>1589</v>
      </c>
      <c r="C6" s="160" t="s">
        <v>1590</v>
      </c>
      <c r="D6" s="160" t="s">
        <v>1591</v>
      </c>
      <c r="E6" s="340">
        <v>45680</v>
      </c>
      <c r="F6" s="160" t="s">
        <v>1592</v>
      </c>
      <c r="G6" s="160" t="s">
        <v>820</v>
      </c>
      <c r="H6" s="160" t="s">
        <v>1593</v>
      </c>
      <c r="I6" s="160" t="s">
        <v>1594</v>
      </c>
      <c r="J6" s="160" t="s">
        <v>820</v>
      </c>
      <c r="K6" s="160" t="s">
        <v>1039</v>
      </c>
      <c r="L6" s="340">
        <v>45680</v>
      </c>
      <c r="M6" s="160" t="s">
        <v>1595</v>
      </c>
      <c r="N6" s="160" t="s">
        <v>820</v>
      </c>
      <c r="O6" s="160"/>
      <c r="P6" s="160" t="s">
        <v>1596</v>
      </c>
      <c r="Q6" s="160" t="s">
        <v>294</v>
      </c>
      <c r="R6" s="341">
        <v>91.04</v>
      </c>
      <c r="S6" s="160" t="s">
        <v>294</v>
      </c>
      <c r="T6" s="341">
        <v>91.04</v>
      </c>
      <c r="U6" s="160" t="s">
        <v>609</v>
      </c>
      <c r="V6" s="160" t="s">
        <v>1597</v>
      </c>
      <c r="W6" s="160" t="s">
        <v>820</v>
      </c>
      <c r="X6" s="160" t="s">
        <v>820</v>
      </c>
      <c r="Y6" s="160" t="s">
        <v>820</v>
      </c>
      <c r="Z6" s="160" t="s">
        <v>820</v>
      </c>
      <c r="AA6" s="160" t="s">
        <v>1598</v>
      </c>
      <c r="AB6" s="160" t="s">
        <v>820</v>
      </c>
      <c r="AC6" s="340">
        <v>45680</v>
      </c>
      <c r="AD6" s="160"/>
      <c r="AE6" s="160"/>
      <c r="AF6" s="160" t="s">
        <v>820</v>
      </c>
      <c r="AG6" s="160" t="s">
        <v>820</v>
      </c>
      <c r="AH6" s="160" t="s">
        <v>1599</v>
      </c>
      <c r="AI6" s="160" t="s">
        <v>1600</v>
      </c>
      <c r="AJ6" s="160">
        <v>9000</v>
      </c>
      <c r="AK6" s="160" t="s">
        <v>1484</v>
      </c>
      <c r="AL6" s="160" t="s">
        <v>1601</v>
      </c>
      <c r="AM6" s="160" t="s">
        <v>1607</v>
      </c>
      <c r="AN6" s="160" t="s">
        <v>1608</v>
      </c>
      <c r="AO6" s="160" t="s">
        <v>820</v>
      </c>
      <c r="AP6" s="160" t="s">
        <v>1604</v>
      </c>
      <c r="AQ6" s="160" t="s">
        <v>820</v>
      </c>
      <c r="AR6" s="160" t="s">
        <v>1605</v>
      </c>
      <c r="AS6" s="160" t="s">
        <v>1531</v>
      </c>
      <c r="AT6" s="160" t="s">
        <v>333</v>
      </c>
      <c r="AU6" s="341">
        <v>1502160</v>
      </c>
      <c r="AV6" s="160" t="s">
        <v>609</v>
      </c>
      <c r="AW6" s="160" t="s">
        <v>1597</v>
      </c>
      <c r="AX6" s="160"/>
      <c r="AY6" s="160"/>
      <c r="AZ6" s="160"/>
      <c r="BA6" s="160"/>
      <c r="BB6" s="160"/>
      <c r="BC6" s="160"/>
      <c r="BD6" s="160"/>
      <c r="BE6" s="160"/>
    </row>
    <row r="7" spans="1:57" x14ac:dyDescent="0.25">
      <c r="A7" s="160" t="s">
        <v>1588</v>
      </c>
      <c r="B7" s="160" t="s">
        <v>1589</v>
      </c>
      <c r="C7" s="160" t="s">
        <v>1590</v>
      </c>
      <c r="D7" s="160" t="s">
        <v>1591</v>
      </c>
      <c r="E7" s="340">
        <v>45680</v>
      </c>
      <c r="F7" s="160" t="s">
        <v>1592</v>
      </c>
      <c r="G7" s="160" t="s">
        <v>820</v>
      </c>
      <c r="H7" s="160" t="s">
        <v>1593</v>
      </c>
      <c r="I7" s="160" t="s">
        <v>1594</v>
      </c>
      <c r="J7" s="160" t="s">
        <v>820</v>
      </c>
      <c r="K7" s="160" t="s">
        <v>1039</v>
      </c>
      <c r="L7" s="340">
        <v>45680</v>
      </c>
      <c r="M7" s="160" t="s">
        <v>1595</v>
      </c>
      <c r="N7" s="160" t="s">
        <v>820</v>
      </c>
      <c r="O7" s="160"/>
      <c r="P7" s="160" t="s">
        <v>1596</v>
      </c>
      <c r="Q7" s="160" t="s">
        <v>294</v>
      </c>
      <c r="R7" s="341">
        <v>27.78</v>
      </c>
      <c r="S7" s="160" t="s">
        <v>294</v>
      </c>
      <c r="T7" s="341">
        <v>27.78</v>
      </c>
      <c r="U7" s="160" t="s">
        <v>609</v>
      </c>
      <c r="V7" s="160" t="s">
        <v>1597</v>
      </c>
      <c r="W7" s="160" t="s">
        <v>820</v>
      </c>
      <c r="X7" s="160" t="s">
        <v>820</v>
      </c>
      <c r="Y7" s="160" t="s">
        <v>820</v>
      </c>
      <c r="Z7" s="160" t="s">
        <v>820</v>
      </c>
      <c r="AA7" s="160" t="s">
        <v>1598</v>
      </c>
      <c r="AB7" s="160" t="s">
        <v>820</v>
      </c>
      <c r="AC7" s="340">
        <v>45680</v>
      </c>
      <c r="AD7" s="160"/>
      <c r="AE7" s="160"/>
      <c r="AF7" s="160" t="s">
        <v>820</v>
      </c>
      <c r="AG7" s="160" t="s">
        <v>820</v>
      </c>
      <c r="AH7" s="160" t="s">
        <v>1599</v>
      </c>
      <c r="AI7" s="160" t="s">
        <v>1600</v>
      </c>
      <c r="AJ7" s="160">
        <v>6000</v>
      </c>
      <c r="AK7" s="160" t="s">
        <v>1484</v>
      </c>
      <c r="AL7" s="160" t="s">
        <v>1601</v>
      </c>
      <c r="AM7" s="160" t="s">
        <v>1611</v>
      </c>
      <c r="AN7" s="160" t="s">
        <v>1612</v>
      </c>
      <c r="AO7" s="160" t="s">
        <v>820</v>
      </c>
      <c r="AP7" s="160" t="s">
        <v>1604</v>
      </c>
      <c r="AQ7" s="160" t="s">
        <v>820</v>
      </c>
      <c r="AR7" s="160" t="s">
        <v>1605</v>
      </c>
      <c r="AS7" s="160" t="s">
        <v>1531</v>
      </c>
      <c r="AT7" s="160" t="s">
        <v>333</v>
      </c>
      <c r="AU7" s="341">
        <v>458370</v>
      </c>
      <c r="AV7" s="160" t="s">
        <v>609</v>
      </c>
      <c r="AW7" s="160" t="s">
        <v>1597</v>
      </c>
      <c r="AX7" s="160"/>
      <c r="AY7" s="160"/>
      <c r="AZ7" s="160"/>
      <c r="BA7" s="160"/>
      <c r="BB7" s="160"/>
      <c r="BC7" s="160"/>
      <c r="BD7" s="160"/>
      <c r="BE7" s="160"/>
    </row>
    <row r="8" spans="1:57" x14ac:dyDescent="0.25">
      <c r="A8" s="160" t="s">
        <v>1588</v>
      </c>
      <c r="B8" s="160" t="s">
        <v>1589</v>
      </c>
      <c r="C8" s="160" t="s">
        <v>1590</v>
      </c>
      <c r="D8" s="160" t="s">
        <v>1591</v>
      </c>
      <c r="E8" s="340">
        <v>45672</v>
      </c>
      <c r="F8" s="160" t="s">
        <v>1613</v>
      </c>
      <c r="G8" s="160" t="s">
        <v>820</v>
      </c>
      <c r="H8" s="160" t="s">
        <v>1593</v>
      </c>
      <c r="I8" s="160" t="s">
        <v>1614</v>
      </c>
      <c r="J8" s="160" t="s">
        <v>820</v>
      </c>
      <c r="K8" s="160" t="s">
        <v>1039</v>
      </c>
      <c r="L8" s="340">
        <v>45672</v>
      </c>
      <c r="M8" s="160" t="s">
        <v>1615</v>
      </c>
      <c r="N8" s="160" t="s">
        <v>820</v>
      </c>
      <c r="O8" s="160"/>
      <c r="P8" s="160" t="s">
        <v>1596</v>
      </c>
      <c r="Q8" s="160" t="s">
        <v>294</v>
      </c>
      <c r="R8" s="341">
        <v>12.32</v>
      </c>
      <c r="S8" s="160" t="s">
        <v>294</v>
      </c>
      <c r="T8" s="341">
        <v>12.32</v>
      </c>
      <c r="U8" s="160" t="s">
        <v>609</v>
      </c>
      <c r="V8" s="160" t="s">
        <v>1597</v>
      </c>
      <c r="W8" s="160" t="s">
        <v>820</v>
      </c>
      <c r="X8" s="160" t="s">
        <v>820</v>
      </c>
      <c r="Y8" s="160" t="s">
        <v>820</v>
      </c>
      <c r="Z8" s="160" t="s">
        <v>820</v>
      </c>
      <c r="AA8" s="160" t="s">
        <v>1598</v>
      </c>
      <c r="AB8" s="160" t="s">
        <v>820</v>
      </c>
      <c r="AC8" s="340">
        <v>45672</v>
      </c>
      <c r="AD8" s="160"/>
      <c r="AE8" s="160"/>
      <c r="AF8" s="160" t="s">
        <v>820</v>
      </c>
      <c r="AG8" s="160" t="s">
        <v>820</v>
      </c>
      <c r="AH8" s="160" t="s">
        <v>1599</v>
      </c>
      <c r="AI8" s="160" t="s">
        <v>1600</v>
      </c>
      <c r="AJ8" s="160">
        <v>10</v>
      </c>
      <c r="AK8" s="160" t="s">
        <v>1616</v>
      </c>
      <c r="AL8" s="160" t="s">
        <v>1601</v>
      </c>
      <c r="AM8" s="160" t="s">
        <v>1617</v>
      </c>
      <c r="AN8" s="160" t="s">
        <v>1618</v>
      </c>
      <c r="AO8" s="160" t="s">
        <v>820</v>
      </c>
      <c r="AP8" s="160" t="s">
        <v>1604</v>
      </c>
      <c r="AQ8" s="160" t="s">
        <v>820</v>
      </c>
      <c r="AR8" s="160" t="s">
        <v>1605</v>
      </c>
      <c r="AS8" s="160" t="s">
        <v>1531</v>
      </c>
      <c r="AT8" s="160" t="s">
        <v>333</v>
      </c>
      <c r="AU8" s="341">
        <v>203280</v>
      </c>
      <c r="AV8" s="160" t="s">
        <v>609</v>
      </c>
      <c r="AW8" s="160" t="s">
        <v>1597</v>
      </c>
      <c r="AX8" s="160"/>
      <c r="AY8" s="160"/>
      <c r="AZ8" s="160"/>
      <c r="BA8" s="160"/>
      <c r="BB8" s="160"/>
      <c r="BC8" s="160"/>
      <c r="BD8" s="160"/>
      <c r="BE8" s="160"/>
    </row>
    <row r="9" spans="1:57" x14ac:dyDescent="0.25">
      <c r="A9" s="160" t="s">
        <v>1588</v>
      </c>
      <c r="B9" s="160" t="s">
        <v>1589</v>
      </c>
      <c r="C9" s="160" t="s">
        <v>1590</v>
      </c>
      <c r="D9" s="160" t="s">
        <v>1591</v>
      </c>
      <c r="E9" s="340">
        <v>45672</v>
      </c>
      <c r="F9" s="160" t="s">
        <v>1613</v>
      </c>
      <c r="G9" s="160" t="s">
        <v>820</v>
      </c>
      <c r="H9" s="160" t="s">
        <v>1593</v>
      </c>
      <c r="I9" s="160" t="s">
        <v>1619</v>
      </c>
      <c r="J9" s="160" t="s">
        <v>820</v>
      </c>
      <c r="K9" s="160" t="s">
        <v>1039</v>
      </c>
      <c r="L9" s="340">
        <v>45672</v>
      </c>
      <c r="M9" s="160" t="s">
        <v>1615</v>
      </c>
      <c r="N9" s="160" t="s">
        <v>820</v>
      </c>
      <c r="O9" s="160"/>
      <c r="P9" s="160" t="s">
        <v>1596</v>
      </c>
      <c r="Q9" s="160" t="s">
        <v>294</v>
      </c>
      <c r="R9" s="341">
        <v>6.24</v>
      </c>
      <c r="S9" s="160" t="s">
        <v>294</v>
      </c>
      <c r="T9" s="341">
        <v>6.24</v>
      </c>
      <c r="U9" s="160" t="s">
        <v>609</v>
      </c>
      <c r="V9" s="160" t="s">
        <v>1597</v>
      </c>
      <c r="W9" s="160" t="s">
        <v>820</v>
      </c>
      <c r="X9" s="160" t="s">
        <v>820</v>
      </c>
      <c r="Y9" s="160" t="s">
        <v>820</v>
      </c>
      <c r="Z9" s="160" t="s">
        <v>820</v>
      </c>
      <c r="AA9" s="160" t="s">
        <v>1598</v>
      </c>
      <c r="AB9" s="160" t="s">
        <v>820</v>
      </c>
      <c r="AC9" s="340">
        <v>45672</v>
      </c>
      <c r="AD9" s="160"/>
      <c r="AE9" s="160"/>
      <c r="AF9" s="160" t="s">
        <v>820</v>
      </c>
      <c r="AG9" s="160" t="s">
        <v>820</v>
      </c>
      <c r="AH9" s="160" t="s">
        <v>1599</v>
      </c>
      <c r="AI9" s="160" t="s">
        <v>1600</v>
      </c>
      <c r="AJ9" s="160">
        <v>6</v>
      </c>
      <c r="AK9" s="160" t="s">
        <v>1620</v>
      </c>
      <c r="AL9" s="160" t="s">
        <v>1601</v>
      </c>
      <c r="AM9" s="160" t="s">
        <v>1621</v>
      </c>
      <c r="AN9" s="160" t="s">
        <v>1622</v>
      </c>
      <c r="AO9" s="160" t="s">
        <v>820</v>
      </c>
      <c r="AP9" s="160" t="s">
        <v>1604</v>
      </c>
      <c r="AQ9" s="160" t="s">
        <v>820</v>
      </c>
      <c r="AR9" s="160" t="s">
        <v>1605</v>
      </c>
      <c r="AS9" s="160" t="s">
        <v>1531</v>
      </c>
      <c r="AT9" s="160" t="s">
        <v>333</v>
      </c>
      <c r="AU9" s="341">
        <v>102960</v>
      </c>
      <c r="AV9" s="160" t="s">
        <v>609</v>
      </c>
      <c r="AW9" s="160" t="s">
        <v>1597</v>
      </c>
      <c r="AX9" s="160"/>
      <c r="AY9" s="160"/>
      <c r="AZ9" s="160"/>
      <c r="BA9" s="160"/>
      <c r="BB9" s="160"/>
      <c r="BC9" s="160"/>
      <c r="BD9" s="160"/>
      <c r="BE9" s="160"/>
    </row>
    <row r="10" spans="1:57" x14ac:dyDescent="0.25">
      <c r="A10" s="160" t="s">
        <v>1588</v>
      </c>
      <c r="B10" s="160" t="s">
        <v>1589</v>
      </c>
      <c r="C10" s="160" t="s">
        <v>1590</v>
      </c>
      <c r="D10" s="160" t="s">
        <v>1591</v>
      </c>
      <c r="E10" s="340">
        <v>45672</v>
      </c>
      <c r="F10" s="160" t="s">
        <v>1613</v>
      </c>
      <c r="G10" s="160" t="s">
        <v>820</v>
      </c>
      <c r="H10" s="160" t="s">
        <v>1593</v>
      </c>
      <c r="I10" s="160" t="s">
        <v>1614</v>
      </c>
      <c r="J10" s="160" t="s">
        <v>820</v>
      </c>
      <c r="K10" s="160" t="s">
        <v>1039</v>
      </c>
      <c r="L10" s="340">
        <v>45672</v>
      </c>
      <c r="M10" s="160" t="s">
        <v>1615</v>
      </c>
      <c r="N10" s="160" t="s">
        <v>820</v>
      </c>
      <c r="O10" s="160"/>
      <c r="P10" s="160" t="s">
        <v>1596</v>
      </c>
      <c r="Q10" s="160" t="s">
        <v>294</v>
      </c>
      <c r="R10" s="341">
        <v>3.96</v>
      </c>
      <c r="S10" s="160" t="s">
        <v>294</v>
      </c>
      <c r="T10" s="341">
        <v>3.96</v>
      </c>
      <c r="U10" s="160" t="s">
        <v>609</v>
      </c>
      <c r="V10" s="160" t="s">
        <v>1597</v>
      </c>
      <c r="W10" s="160" t="s">
        <v>820</v>
      </c>
      <c r="X10" s="160" t="s">
        <v>820</v>
      </c>
      <c r="Y10" s="160" t="s">
        <v>820</v>
      </c>
      <c r="Z10" s="160" t="s">
        <v>820</v>
      </c>
      <c r="AA10" s="160" t="s">
        <v>1598</v>
      </c>
      <c r="AB10" s="160" t="s">
        <v>820</v>
      </c>
      <c r="AC10" s="340">
        <v>45672</v>
      </c>
      <c r="AD10" s="160"/>
      <c r="AE10" s="160"/>
      <c r="AF10" s="160" t="s">
        <v>820</v>
      </c>
      <c r="AG10" s="160" t="s">
        <v>820</v>
      </c>
      <c r="AH10" s="160" t="s">
        <v>1599</v>
      </c>
      <c r="AI10" s="160" t="s">
        <v>1600</v>
      </c>
      <c r="AJ10" s="160">
        <v>2</v>
      </c>
      <c r="AK10" s="160" t="s">
        <v>1623</v>
      </c>
      <c r="AL10" s="160" t="s">
        <v>1601</v>
      </c>
      <c r="AM10" s="160" t="s">
        <v>1624</v>
      </c>
      <c r="AN10" s="160" t="s">
        <v>1625</v>
      </c>
      <c r="AO10" s="160" t="s">
        <v>820</v>
      </c>
      <c r="AP10" s="160" t="s">
        <v>1604</v>
      </c>
      <c r="AQ10" s="160" t="s">
        <v>820</v>
      </c>
      <c r="AR10" s="160" t="s">
        <v>1605</v>
      </c>
      <c r="AS10" s="160" t="s">
        <v>1531</v>
      </c>
      <c r="AT10" s="160" t="s">
        <v>333</v>
      </c>
      <c r="AU10" s="341">
        <v>65340</v>
      </c>
      <c r="AV10" s="160" t="s">
        <v>609</v>
      </c>
      <c r="AW10" s="160" t="s">
        <v>1597</v>
      </c>
      <c r="AX10" s="160"/>
      <c r="AY10" s="160"/>
      <c r="AZ10" s="160"/>
      <c r="BA10" s="160"/>
      <c r="BB10" s="160"/>
      <c r="BC10" s="160"/>
      <c r="BD10" s="160"/>
      <c r="BE10" s="160"/>
    </row>
    <row r="11" spans="1:57" x14ac:dyDescent="0.25">
      <c r="A11" s="160" t="s">
        <v>1588</v>
      </c>
      <c r="B11" s="160" t="s">
        <v>1589</v>
      </c>
      <c r="C11" s="160" t="s">
        <v>1590</v>
      </c>
      <c r="D11" s="160" t="s">
        <v>1591</v>
      </c>
      <c r="E11" s="340">
        <v>45672</v>
      </c>
      <c r="F11" s="160" t="s">
        <v>1626</v>
      </c>
      <c r="G11" s="160" t="s">
        <v>820</v>
      </c>
      <c r="H11" s="160" t="s">
        <v>1593</v>
      </c>
      <c r="I11" s="160" t="s">
        <v>1614</v>
      </c>
      <c r="J11" s="160" t="s">
        <v>820</v>
      </c>
      <c r="K11" s="160" t="s">
        <v>1039</v>
      </c>
      <c r="L11" s="340">
        <v>45672</v>
      </c>
      <c r="M11" s="160" t="s">
        <v>1615</v>
      </c>
      <c r="N11" s="160" t="s">
        <v>820</v>
      </c>
      <c r="O11" s="160"/>
      <c r="P11" s="160" t="s">
        <v>1596</v>
      </c>
      <c r="Q11" s="160" t="s">
        <v>294</v>
      </c>
      <c r="R11" s="341">
        <v>3.46</v>
      </c>
      <c r="S11" s="160" t="s">
        <v>294</v>
      </c>
      <c r="T11" s="341">
        <v>3.46</v>
      </c>
      <c r="U11" s="160" t="s">
        <v>609</v>
      </c>
      <c r="V11" s="160" t="s">
        <v>1597</v>
      </c>
      <c r="W11" s="160" t="s">
        <v>820</v>
      </c>
      <c r="X11" s="160" t="s">
        <v>820</v>
      </c>
      <c r="Y11" s="160" t="s">
        <v>820</v>
      </c>
      <c r="Z11" s="160" t="s">
        <v>820</v>
      </c>
      <c r="AA11" s="160" t="s">
        <v>1598</v>
      </c>
      <c r="AB11" s="160" t="s">
        <v>820</v>
      </c>
      <c r="AC11" s="340">
        <v>45672</v>
      </c>
      <c r="AD11" s="160"/>
      <c r="AE11" s="160"/>
      <c r="AF11" s="160" t="s">
        <v>820</v>
      </c>
      <c r="AG11" s="160" t="s">
        <v>820</v>
      </c>
      <c r="AH11" s="160" t="s">
        <v>1599</v>
      </c>
      <c r="AI11" s="160" t="s">
        <v>1600</v>
      </c>
      <c r="AJ11" s="160">
        <v>10</v>
      </c>
      <c r="AK11" s="160" t="s">
        <v>1616</v>
      </c>
      <c r="AL11" s="160" t="s">
        <v>1601</v>
      </c>
      <c r="AM11" s="160" t="s">
        <v>1627</v>
      </c>
      <c r="AN11" s="160" t="s">
        <v>1628</v>
      </c>
      <c r="AO11" s="160" t="s">
        <v>820</v>
      </c>
      <c r="AP11" s="160" t="s">
        <v>1604</v>
      </c>
      <c r="AQ11" s="160" t="s">
        <v>820</v>
      </c>
      <c r="AR11" s="160" t="s">
        <v>1605</v>
      </c>
      <c r="AS11" s="160" t="s">
        <v>1531</v>
      </c>
      <c r="AT11" s="160" t="s">
        <v>333</v>
      </c>
      <c r="AU11" s="341">
        <v>57090</v>
      </c>
      <c r="AV11" s="160" t="s">
        <v>609</v>
      </c>
      <c r="AW11" s="160" t="s">
        <v>1597</v>
      </c>
      <c r="AX11" s="160"/>
      <c r="AY11" s="160"/>
      <c r="AZ11" s="160"/>
      <c r="BA11" s="160"/>
      <c r="BB11" s="160"/>
      <c r="BC11" s="160"/>
      <c r="BD11" s="160"/>
      <c r="BE11" s="160"/>
    </row>
    <row r="12" spans="1:57" x14ac:dyDescent="0.25">
      <c r="A12" s="160" t="s">
        <v>1588</v>
      </c>
      <c r="B12" s="160" t="s">
        <v>1589</v>
      </c>
      <c r="C12" s="160" t="s">
        <v>1590</v>
      </c>
      <c r="D12" s="160" t="s">
        <v>1591</v>
      </c>
      <c r="E12" s="340">
        <v>45672</v>
      </c>
      <c r="F12" s="160" t="s">
        <v>1629</v>
      </c>
      <c r="G12" s="160" t="s">
        <v>820</v>
      </c>
      <c r="H12" s="160" t="s">
        <v>1593</v>
      </c>
      <c r="I12" s="160" t="s">
        <v>1614</v>
      </c>
      <c r="J12" s="160" t="s">
        <v>820</v>
      </c>
      <c r="K12" s="160" t="s">
        <v>1039</v>
      </c>
      <c r="L12" s="340">
        <v>45672</v>
      </c>
      <c r="M12" s="160" t="s">
        <v>1615</v>
      </c>
      <c r="N12" s="160" t="s">
        <v>820</v>
      </c>
      <c r="O12" s="160"/>
      <c r="P12" s="160" t="s">
        <v>1596</v>
      </c>
      <c r="Q12" s="160" t="s">
        <v>294</v>
      </c>
      <c r="R12" s="341">
        <v>1.7</v>
      </c>
      <c r="S12" s="160" t="s">
        <v>294</v>
      </c>
      <c r="T12" s="341">
        <v>1.7</v>
      </c>
      <c r="U12" s="160" t="s">
        <v>609</v>
      </c>
      <c r="V12" s="160" t="s">
        <v>1597</v>
      </c>
      <c r="W12" s="160" t="s">
        <v>820</v>
      </c>
      <c r="X12" s="160" t="s">
        <v>820</v>
      </c>
      <c r="Y12" s="160" t="s">
        <v>820</v>
      </c>
      <c r="Z12" s="160" t="s">
        <v>820</v>
      </c>
      <c r="AA12" s="160" t="s">
        <v>1598</v>
      </c>
      <c r="AB12" s="160" t="s">
        <v>820</v>
      </c>
      <c r="AC12" s="340">
        <v>45672</v>
      </c>
      <c r="AD12" s="160"/>
      <c r="AE12" s="160"/>
      <c r="AF12" s="160" t="s">
        <v>820</v>
      </c>
      <c r="AG12" s="160" t="s">
        <v>820</v>
      </c>
      <c r="AH12" s="160" t="s">
        <v>1599</v>
      </c>
      <c r="AI12" s="160" t="s">
        <v>1600</v>
      </c>
      <c r="AJ12" s="160">
        <v>2</v>
      </c>
      <c r="AK12" s="160" t="s">
        <v>1630</v>
      </c>
      <c r="AL12" s="160" t="s">
        <v>1601</v>
      </c>
      <c r="AM12" s="160" t="s">
        <v>1631</v>
      </c>
      <c r="AN12" s="160" t="s">
        <v>1632</v>
      </c>
      <c r="AO12" s="160" t="s">
        <v>820</v>
      </c>
      <c r="AP12" s="160" t="s">
        <v>1604</v>
      </c>
      <c r="AQ12" s="160" t="s">
        <v>820</v>
      </c>
      <c r="AR12" s="160" t="s">
        <v>1605</v>
      </c>
      <c r="AS12" s="160" t="s">
        <v>1531</v>
      </c>
      <c r="AT12" s="160" t="s">
        <v>333</v>
      </c>
      <c r="AU12" s="341">
        <v>28050</v>
      </c>
      <c r="AV12" s="160" t="s">
        <v>609</v>
      </c>
      <c r="AW12" s="160" t="s">
        <v>1597</v>
      </c>
      <c r="AX12" s="160"/>
      <c r="AY12" s="160"/>
      <c r="AZ12" s="160"/>
      <c r="BA12" s="160"/>
      <c r="BB12" s="160"/>
      <c r="BC12" s="160"/>
      <c r="BD12" s="160"/>
      <c r="BE12" s="160"/>
    </row>
    <row r="13" spans="1:57" x14ac:dyDescent="0.25">
      <c r="A13" s="160" t="s">
        <v>1588</v>
      </c>
      <c r="B13" s="160" t="s">
        <v>1589</v>
      </c>
      <c r="C13" s="160" t="s">
        <v>1590</v>
      </c>
      <c r="D13" s="160" t="s">
        <v>1591</v>
      </c>
      <c r="E13" s="340">
        <v>45672</v>
      </c>
      <c r="F13" s="160" t="s">
        <v>1613</v>
      </c>
      <c r="G13" s="160" t="s">
        <v>820</v>
      </c>
      <c r="H13" s="160" t="s">
        <v>1593</v>
      </c>
      <c r="I13" s="160" t="s">
        <v>1614</v>
      </c>
      <c r="J13" s="160" t="s">
        <v>820</v>
      </c>
      <c r="K13" s="160" t="s">
        <v>1039</v>
      </c>
      <c r="L13" s="340">
        <v>45672</v>
      </c>
      <c r="M13" s="160" t="s">
        <v>1615</v>
      </c>
      <c r="N13" s="160" t="s">
        <v>820</v>
      </c>
      <c r="O13" s="160"/>
      <c r="P13" s="160" t="s">
        <v>1596</v>
      </c>
      <c r="Q13" s="160" t="s">
        <v>294</v>
      </c>
      <c r="R13" s="341">
        <v>1.1100000000000001</v>
      </c>
      <c r="S13" s="160" t="s">
        <v>294</v>
      </c>
      <c r="T13" s="341">
        <v>1.1100000000000001</v>
      </c>
      <c r="U13" s="160" t="s">
        <v>609</v>
      </c>
      <c r="V13" s="160" t="s">
        <v>1597</v>
      </c>
      <c r="W13" s="160" t="s">
        <v>820</v>
      </c>
      <c r="X13" s="160" t="s">
        <v>820</v>
      </c>
      <c r="Y13" s="160" t="s">
        <v>820</v>
      </c>
      <c r="Z13" s="160" t="s">
        <v>820</v>
      </c>
      <c r="AA13" s="160" t="s">
        <v>1598</v>
      </c>
      <c r="AB13" s="160" t="s">
        <v>820</v>
      </c>
      <c r="AC13" s="340">
        <v>45672</v>
      </c>
      <c r="AD13" s="160"/>
      <c r="AE13" s="160"/>
      <c r="AF13" s="160" t="s">
        <v>820</v>
      </c>
      <c r="AG13" s="160" t="s">
        <v>820</v>
      </c>
      <c r="AH13" s="160" t="s">
        <v>1599</v>
      </c>
      <c r="AI13" s="160" t="s">
        <v>1600</v>
      </c>
      <c r="AJ13" s="160">
        <v>2</v>
      </c>
      <c r="AK13" s="160" t="s">
        <v>1484</v>
      </c>
      <c r="AL13" s="160" t="s">
        <v>1601</v>
      </c>
      <c r="AM13" s="160" t="s">
        <v>1633</v>
      </c>
      <c r="AN13" s="160" t="s">
        <v>1634</v>
      </c>
      <c r="AO13" s="160" t="s">
        <v>820</v>
      </c>
      <c r="AP13" s="160" t="s">
        <v>1604</v>
      </c>
      <c r="AQ13" s="160" t="s">
        <v>820</v>
      </c>
      <c r="AR13" s="160" t="s">
        <v>1605</v>
      </c>
      <c r="AS13" s="160" t="s">
        <v>1531</v>
      </c>
      <c r="AT13" s="160" t="s">
        <v>333</v>
      </c>
      <c r="AU13" s="341">
        <v>18315</v>
      </c>
      <c r="AV13" s="160" t="s">
        <v>609</v>
      </c>
      <c r="AW13" s="160" t="s">
        <v>1597</v>
      </c>
      <c r="AX13" s="160"/>
      <c r="AY13" s="160"/>
      <c r="AZ13" s="160"/>
      <c r="BA13" s="160"/>
      <c r="BB13" s="160"/>
      <c r="BC13" s="160"/>
      <c r="BD13" s="160"/>
      <c r="BE13" s="160"/>
    </row>
    <row r="14" spans="1:57" x14ac:dyDescent="0.25">
      <c r="A14" s="339" t="s">
        <v>1588</v>
      </c>
      <c r="B14" s="339" t="s">
        <v>1635</v>
      </c>
      <c r="C14" s="339" t="s">
        <v>1590</v>
      </c>
      <c r="D14" s="339" t="s">
        <v>1591</v>
      </c>
      <c r="E14" s="342">
        <v>45689</v>
      </c>
      <c r="F14" s="339" t="s">
        <v>1636</v>
      </c>
      <c r="G14" s="339" t="s">
        <v>1636</v>
      </c>
      <c r="H14" s="339" t="s">
        <v>1637</v>
      </c>
      <c r="I14" s="339" t="s">
        <v>1638</v>
      </c>
      <c r="J14" s="339" t="s">
        <v>820</v>
      </c>
      <c r="K14" s="339" t="s">
        <v>460</v>
      </c>
      <c r="L14" s="342">
        <v>45689</v>
      </c>
      <c r="M14" s="339" t="s">
        <v>1639</v>
      </c>
      <c r="N14" s="339" t="s">
        <v>820</v>
      </c>
      <c r="O14" s="342"/>
      <c r="P14" s="339" t="s">
        <v>1596</v>
      </c>
      <c r="Q14" s="339" t="s">
        <v>294</v>
      </c>
      <c r="R14" s="343">
        <v>7473.84</v>
      </c>
      <c r="S14" s="339" t="s">
        <v>294</v>
      </c>
      <c r="T14" s="343">
        <v>7473.84</v>
      </c>
      <c r="U14" s="339" t="s">
        <v>609</v>
      </c>
      <c r="V14" s="339" t="s">
        <v>1597</v>
      </c>
      <c r="W14" s="339" t="s">
        <v>820</v>
      </c>
      <c r="X14" s="339" t="s">
        <v>820</v>
      </c>
      <c r="Y14" s="339" t="s">
        <v>820</v>
      </c>
      <c r="Z14" s="339" t="s">
        <v>820</v>
      </c>
      <c r="AA14" s="339" t="s">
        <v>1598</v>
      </c>
      <c r="AB14" s="339" t="s">
        <v>820</v>
      </c>
      <c r="AC14" s="342">
        <v>45694</v>
      </c>
      <c r="AD14" s="339"/>
      <c r="AE14" s="339"/>
      <c r="AF14" s="339" t="s">
        <v>820</v>
      </c>
      <c r="AG14" s="339" t="s">
        <v>820</v>
      </c>
      <c r="AH14" s="339" t="s">
        <v>1599</v>
      </c>
      <c r="AI14" s="339" t="s">
        <v>1600</v>
      </c>
      <c r="AJ14" s="344">
        <v>12.6</v>
      </c>
      <c r="AK14" s="339" t="s">
        <v>246</v>
      </c>
      <c r="AL14" s="345" t="s">
        <v>1601</v>
      </c>
      <c r="AM14" s="339" t="s">
        <v>1640</v>
      </c>
      <c r="AN14" s="339" t="s">
        <v>1641</v>
      </c>
      <c r="AO14" s="339" t="s">
        <v>1642</v>
      </c>
      <c r="AP14" s="160" t="s">
        <v>1604</v>
      </c>
      <c r="AQ14" s="160" t="s">
        <v>1604</v>
      </c>
      <c r="AR14" s="160"/>
      <c r="AS14" s="160" t="s">
        <v>1643</v>
      </c>
      <c r="AT14" s="160" t="s">
        <v>333</v>
      </c>
      <c r="AU14" s="341">
        <v>123318360</v>
      </c>
      <c r="AV14" s="160" t="s">
        <v>609</v>
      </c>
      <c r="AW14" s="160" t="s">
        <v>1597</v>
      </c>
      <c r="AX14" s="160"/>
      <c r="AY14" s="160"/>
      <c r="AZ14" s="160"/>
      <c r="BA14" s="160"/>
      <c r="BB14" s="160"/>
      <c r="BC14" s="160"/>
      <c r="BD14" s="160"/>
      <c r="BE14" s="160"/>
    </row>
    <row r="15" spans="1:57" x14ac:dyDescent="0.25">
      <c r="A15" s="339" t="s">
        <v>1588</v>
      </c>
      <c r="B15" s="339" t="s">
        <v>1635</v>
      </c>
      <c r="C15" s="339" t="s">
        <v>1590</v>
      </c>
      <c r="D15" s="339" t="s">
        <v>1591</v>
      </c>
      <c r="E15" s="342">
        <v>45695</v>
      </c>
      <c r="F15" s="339" t="s">
        <v>1592</v>
      </c>
      <c r="G15" s="339" t="s">
        <v>820</v>
      </c>
      <c r="H15" s="339" t="s">
        <v>1593</v>
      </c>
      <c r="I15" s="339" t="s">
        <v>1644</v>
      </c>
      <c r="J15" s="339" t="s">
        <v>820</v>
      </c>
      <c r="K15" s="339" t="s">
        <v>1039</v>
      </c>
      <c r="L15" s="342">
        <v>45695</v>
      </c>
      <c r="M15" s="339" t="s">
        <v>1645</v>
      </c>
      <c r="N15" s="339" t="s">
        <v>820</v>
      </c>
      <c r="O15" s="342"/>
      <c r="P15" s="339" t="s">
        <v>1596</v>
      </c>
      <c r="Q15" s="339" t="s">
        <v>294</v>
      </c>
      <c r="R15" s="343">
        <v>455.91</v>
      </c>
      <c r="S15" s="339" t="s">
        <v>294</v>
      </c>
      <c r="T15" s="343">
        <v>455.91</v>
      </c>
      <c r="U15" s="339" t="s">
        <v>609</v>
      </c>
      <c r="V15" s="339" t="s">
        <v>1597</v>
      </c>
      <c r="W15" s="339" t="s">
        <v>820</v>
      </c>
      <c r="X15" s="339" t="s">
        <v>820</v>
      </c>
      <c r="Y15" s="339" t="s">
        <v>820</v>
      </c>
      <c r="Z15" s="339" t="s">
        <v>820</v>
      </c>
      <c r="AA15" s="339" t="s">
        <v>1598</v>
      </c>
      <c r="AB15" s="339" t="s">
        <v>820</v>
      </c>
      <c r="AC15" s="342">
        <v>45695</v>
      </c>
      <c r="AD15" s="339"/>
      <c r="AE15" s="339"/>
      <c r="AF15" s="339" t="s">
        <v>820</v>
      </c>
      <c r="AG15" s="339" t="s">
        <v>820</v>
      </c>
      <c r="AH15" s="339" t="s">
        <v>1599</v>
      </c>
      <c r="AI15" s="339" t="s">
        <v>1600</v>
      </c>
      <c r="AJ15" s="346">
        <v>99000</v>
      </c>
      <c r="AK15" s="339" t="s">
        <v>1484</v>
      </c>
      <c r="AL15" s="345" t="s">
        <v>1601</v>
      </c>
      <c r="AM15" s="339" t="s">
        <v>1611</v>
      </c>
      <c r="AN15" s="339" t="s">
        <v>1612</v>
      </c>
      <c r="AO15" s="339" t="s">
        <v>820</v>
      </c>
      <c r="AP15" s="160" t="s">
        <v>1604</v>
      </c>
      <c r="AQ15" s="160" t="s">
        <v>1646</v>
      </c>
      <c r="AR15" s="160"/>
      <c r="AS15" s="160" t="s">
        <v>1531</v>
      </c>
      <c r="AT15" s="160" t="s">
        <v>333</v>
      </c>
      <c r="AU15" s="341">
        <v>7522515</v>
      </c>
      <c r="AV15" s="160" t="s">
        <v>609</v>
      </c>
      <c r="AW15" s="160" t="s">
        <v>1597</v>
      </c>
      <c r="AX15" s="160"/>
      <c r="AY15" s="160"/>
      <c r="AZ15" s="160"/>
      <c r="BA15" s="160"/>
      <c r="BB15" s="160"/>
      <c r="BC15" s="160"/>
      <c r="BD15" s="160"/>
      <c r="BE15" s="160"/>
    </row>
    <row r="16" spans="1:57" x14ac:dyDescent="0.25">
      <c r="A16" s="339" t="s">
        <v>1588</v>
      </c>
      <c r="B16" s="339" t="s">
        <v>1635</v>
      </c>
      <c r="C16" s="339" t="s">
        <v>1590</v>
      </c>
      <c r="D16" s="339" t="s">
        <v>1591</v>
      </c>
      <c r="E16" s="342">
        <v>45696</v>
      </c>
      <c r="F16" s="339" t="s">
        <v>1647</v>
      </c>
      <c r="G16" s="339" t="s">
        <v>820</v>
      </c>
      <c r="H16" s="339" t="s">
        <v>1593</v>
      </c>
      <c r="I16" s="339" t="s">
        <v>1648</v>
      </c>
      <c r="J16" s="339" t="s">
        <v>820</v>
      </c>
      <c r="K16" s="339" t="s">
        <v>1039</v>
      </c>
      <c r="L16" s="342">
        <v>45696</v>
      </c>
      <c r="M16" s="339" t="s">
        <v>1649</v>
      </c>
      <c r="N16" s="339" t="s">
        <v>820</v>
      </c>
      <c r="O16" s="342"/>
      <c r="P16" s="339" t="s">
        <v>1596</v>
      </c>
      <c r="Q16" s="339" t="s">
        <v>294</v>
      </c>
      <c r="R16" s="343">
        <v>32.590000000000003</v>
      </c>
      <c r="S16" s="339" t="s">
        <v>294</v>
      </c>
      <c r="T16" s="343">
        <v>32.590000000000003</v>
      </c>
      <c r="U16" s="339" t="s">
        <v>609</v>
      </c>
      <c r="V16" s="339" t="s">
        <v>1597</v>
      </c>
      <c r="W16" s="339" t="s">
        <v>820</v>
      </c>
      <c r="X16" s="339" t="s">
        <v>820</v>
      </c>
      <c r="Y16" s="339" t="s">
        <v>820</v>
      </c>
      <c r="Z16" s="339" t="s">
        <v>820</v>
      </c>
      <c r="AA16" s="339" t="s">
        <v>1598</v>
      </c>
      <c r="AB16" s="339" t="s">
        <v>820</v>
      </c>
      <c r="AC16" s="342">
        <v>45696</v>
      </c>
      <c r="AD16" s="339"/>
      <c r="AE16" s="339"/>
      <c r="AF16" s="339" t="s">
        <v>820</v>
      </c>
      <c r="AG16" s="339" t="s">
        <v>820</v>
      </c>
      <c r="AH16" s="339" t="s">
        <v>1599</v>
      </c>
      <c r="AI16" s="339" t="s">
        <v>1600</v>
      </c>
      <c r="AJ16" s="346">
        <v>20</v>
      </c>
      <c r="AK16" s="339" t="s">
        <v>1616</v>
      </c>
      <c r="AL16" s="345" t="s">
        <v>1601</v>
      </c>
      <c r="AM16" s="339" t="s">
        <v>1650</v>
      </c>
      <c r="AN16" s="339" t="s">
        <v>1651</v>
      </c>
      <c r="AO16" s="339" t="s">
        <v>820</v>
      </c>
      <c r="AP16" s="160" t="s">
        <v>1604</v>
      </c>
      <c r="AQ16" s="160" t="s">
        <v>1646</v>
      </c>
      <c r="AR16" s="160"/>
      <c r="AS16" s="160" t="s">
        <v>1531</v>
      </c>
      <c r="AT16" s="160" t="s">
        <v>333</v>
      </c>
      <c r="AU16" s="341">
        <v>537735</v>
      </c>
      <c r="AV16" s="160" t="s">
        <v>609</v>
      </c>
      <c r="AW16" s="160" t="s">
        <v>1597</v>
      </c>
      <c r="AX16" s="160"/>
      <c r="AY16" s="160"/>
      <c r="AZ16" s="160"/>
      <c r="BA16" s="160"/>
      <c r="BB16" s="160"/>
      <c r="BC16" s="160"/>
      <c r="BD16" s="160"/>
      <c r="BE16" s="160"/>
    </row>
    <row r="17" spans="1:57" x14ac:dyDescent="0.25">
      <c r="A17" s="339" t="s">
        <v>1588</v>
      </c>
      <c r="B17" s="339" t="s">
        <v>1635</v>
      </c>
      <c r="C17" s="339" t="s">
        <v>1590</v>
      </c>
      <c r="D17" s="339" t="s">
        <v>1591</v>
      </c>
      <c r="E17" s="342">
        <v>45696</v>
      </c>
      <c r="F17" s="339" t="s">
        <v>1652</v>
      </c>
      <c r="G17" s="339" t="s">
        <v>820</v>
      </c>
      <c r="H17" s="339" t="s">
        <v>1593</v>
      </c>
      <c r="I17" s="339" t="s">
        <v>1648</v>
      </c>
      <c r="J17" s="339" t="s">
        <v>820</v>
      </c>
      <c r="K17" s="339" t="s">
        <v>1039</v>
      </c>
      <c r="L17" s="342">
        <v>45696</v>
      </c>
      <c r="M17" s="339" t="s">
        <v>1649</v>
      </c>
      <c r="N17" s="339" t="s">
        <v>820</v>
      </c>
      <c r="O17" s="342"/>
      <c r="P17" s="339" t="s">
        <v>1596</v>
      </c>
      <c r="Q17" s="339" t="s">
        <v>294</v>
      </c>
      <c r="R17" s="343">
        <v>4.45</v>
      </c>
      <c r="S17" s="339" t="s">
        <v>294</v>
      </c>
      <c r="T17" s="343">
        <v>4.45</v>
      </c>
      <c r="U17" s="339" t="s">
        <v>609</v>
      </c>
      <c r="V17" s="339" t="s">
        <v>1597</v>
      </c>
      <c r="W17" s="339" t="s">
        <v>820</v>
      </c>
      <c r="X17" s="339" t="s">
        <v>820</v>
      </c>
      <c r="Y17" s="339" t="s">
        <v>820</v>
      </c>
      <c r="Z17" s="339" t="s">
        <v>820</v>
      </c>
      <c r="AA17" s="339" t="s">
        <v>1598</v>
      </c>
      <c r="AB17" s="339" t="s">
        <v>820</v>
      </c>
      <c r="AC17" s="342">
        <v>45696</v>
      </c>
      <c r="AD17" s="339"/>
      <c r="AE17" s="339"/>
      <c r="AF17" s="339" t="s">
        <v>820</v>
      </c>
      <c r="AG17" s="339" t="s">
        <v>820</v>
      </c>
      <c r="AH17" s="339" t="s">
        <v>1599</v>
      </c>
      <c r="AI17" s="339" t="s">
        <v>1600</v>
      </c>
      <c r="AJ17" s="346">
        <v>5</v>
      </c>
      <c r="AK17" s="339" t="s">
        <v>1620</v>
      </c>
      <c r="AL17" s="345" t="s">
        <v>1601</v>
      </c>
      <c r="AM17" s="339" t="s">
        <v>1621</v>
      </c>
      <c r="AN17" s="339" t="s">
        <v>1622</v>
      </c>
      <c r="AO17" s="339" t="s">
        <v>820</v>
      </c>
      <c r="AP17" s="160" t="s">
        <v>1604</v>
      </c>
      <c r="AQ17" s="160" t="s">
        <v>1646</v>
      </c>
      <c r="AR17" s="160"/>
      <c r="AS17" s="160" t="s">
        <v>1531</v>
      </c>
      <c r="AT17" s="160" t="s">
        <v>333</v>
      </c>
      <c r="AU17" s="341">
        <v>73425</v>
      </c>
      <c r="AV17" s="160" t="s">
        <v>609</v>
      </c>
      <c r="AW17" s="160" t="s">
        <v>1597</v>
      </c>
      <c r="AX17" s="160"/>
      <c r="AY17" s="160"/>
      <c r="AZ17" s="160"/>
      <c r="BA17" s="160"/>
      <c r="BB17" s="160"/>
      <c r="BC17" s="160"/>
      <c r="BD17" s="160"/>
      <c r="BE17" s="160"/>
    </row>
    <row r="18" spans="1:57" x14ac:dyDescent="0.25">
      <c r="A18" s="339" t="s">
        <v>1588</v>
      </c>
      <c r="B18" s="339" t="s">
        <v>1635</v>
      </c>
      <c r="C18" s="339" t="s">
        <v>1590</v>
      </c>
      <c r="D18" s="339" t="s">
        <v>1591</v>
      </c>
      <c r="E18" s="342">
        <v>45700</v>
      </c>
      <c r="F18" s="339" t="s">
        <v>1653</v>
      </c>
      <c r="G18" s="339" t="s">
        <v>820</v>
      </c>
      <c r="H18" s="339" t="s">
        <v>1593</v>
      </c>
      <c r="I18" s="339" t="s">
        <v>1654</v>
      </c>
      <c r="J18" s="339" t="s">
        <v>820</v>
      </c>
      <c r="K18" s="339" t="s">
        <v>1039</v>
      </c>
      <c r="L18" s="342">
        <v>45700</v>
      </c>
      <c r="M18" s="339" t="s">
        <v>1655</v>
      </c>
      <c r="N18" s="339" t="s">
        <v>820</v>
      </c>
      <c r="O18" s="342"/>
      <c r="P18" s="339" t="s">
        <v>1596</v>
      </c>
      <c r="Q18" s="339" t="s">
        <v>294</v>
      </c>
      <c r="R18" s="343">
        <v>29.49</v>
      </c>
      <c r="S18" s="339" t="s">
        <v>294</v>
      </c>
      <c r="T18" s="343">
        <v>29.49</v>
      </c>
      <c r="U18" s="339" t="s">
        <v>609</v>
      </c>
      <c r="V18" s="339" t="s">
        <v>1597</v>
      </c>
      <c r="W18" s="339" t="s">
        <v>820</v>
      </c>
      <c r="X18" s="339" t="s">
        <v>820</v>
      </c>
      <c r="Y18" s="339" t="s">
        <v>820</v>
      </c>
      <c r="Z18" s="339" t="s">
        <v>820</v>
      </c>
      <c r="AA18" s="339" t="s">
        <v>1598</v>
      </c>
      <c r="AB18" s="339" t="s">
        <v>820</v>
      </c>
      <c r="AC18" s="342">
        <v>45700</v>
      </c>
      <c r="AD18" s="339"/>
      <c r="AE18" s="339"/>
      <c r="AF18" s="339" t="s">
        <v>820</v>
      </c>
      <c r="AG18" s="339" t="s">
        <v>820</v>
      </c>
      <c r="AH18" s="339" t="s">
        <v>1599</v>
      </c>
      <c r="AI18" s="339" t="s">
        <v>1600</v>
      </c>
      <c r="AJ18" s="346">
        <v>20</v>
      </c>
      <c r="AK18" s="339" t="s">
        <v>1616</v>
      </c>
      <c r="AL18" s="345" t="s">
        <v>1601</v>
      </c>
      <c r="AM18" s="339" t="s">
        <v>1656</v>
      </c>
      <c r="AN18" s="339" t="s">
        <v>1657</v>
      </c>
      <c r="AO18" s="339" t="s">
        <v>820</v>
      </c>
      <c r="AP18" s="160" t="s">
        <v>1604</v>
      </c>
      <c r="AQ18" s="160" t="s">
        <v>1646</v>
      </c>
      <c r="AR18" s="160"/>
      <c r="AS18" s="160" t="s">
        <v>1531</v>
      </c>
      <c r="AT18" s="160" t="s">
        <v>333</v>
      </c>
      <c r="AU18" s="341">
        <v>486585</v>
      </c>
      <c r="AV18" s="160" t="s">
        <v>609</v>
      </c>
      <c r="AW18" s="160" t="s">
        <v>1597</v>
      </c>
      <c r="AX18" s="160"/>
      <c r="AY18" s="160"/>
      <c r="AZ18" s="160"/>
      <c r="BA18" s="160"/>
      <c r="BB18" s="160"/>
      <c r="BC18" s="160"/>
      <c r="BD18" s="160"/>
      <c r="BE18" s="160"/>
    </row>
    <row r="19" spans="1:57" x14ac:dyDescent="0.25">
      <c r="A19" s="339" t="s">
        <v>1588</v>
      </c>
      <c r="B19" s="339" t="s">
        <v>1635</v>
      </c>
      <c r="C19" s="339" t="s">
        <v>1590</v>
      </c>
      <c r="D19" s="339" t="s">
        <v>1591</v>
      </c>
      <c r="E19" s="342">
        <v>45700</v>
      </c>
      <c r="F19" s="339" t="s">
        <v>1653</v>
      </c>
      <c r="G19" s="339" t="s">
        <v>820</v>
      </c>
      <c r="H19" s="339" t="s">
        <v>1593</v>
      </c>
      <c r="I19" s="339" t="s">
        <v>1654</v>
      </c>
      <c r="J19" s="339" t="s">
        <v>820</v>
      </c>
      <c r="K19" s="339" t="s">
        <v>1039</v>
      </c>
      <c r="L19" s="342">
        <v>45700</v>
      </c>
      <c r="M19" s="339" t="s">
        <v>1655</v>
      </c>
      <c r="N19" s="339" t="s">
        <v>820</v>
      </c>
      <c r="O19" s="342"/>
      <c r="P19" s="339" t="s">
        <v>1596</v>
      </c>
      <c r="Q19" s="339" t="s">
        <v>294</v>
      </c>
      <c r="R19" s="343">
        <v>1.1100000000000001</v>
      </c>
      <c r="S19" s="339" t="s">
        <v>294</v>
      </c>
      <c r="T19" s="343">
        <v>1.1100000000000001</v>
      </c>
      <c r="U19" s="339" t="s">
        <v>609</v>
      </c>
      <c r="V19" s="339" t="s">
        <v>1597</v>
      </c>
      <c r="W19" s="339" t="s">
        <v>820</v>
      </c>
      <c r="X19" s="339" t="s">
        <v>820</v>
      </c>
      <c r="Y19" s="339" t="s">
        <v>820</v>
      </c>
      <c r="Z19" s="339" t="s">
        <v>820</v>
      </c>
      <c r="AA19" s="339" t="s">
        <v>1598</v>
      </c>
      <c r="AB19" s="339" t="s">
        <v>820</v>
      </c>
      <c r="AC19" s="342">
        <v>45700</v>
      </c>
      <c r="AD19" s="339"/>
      <c r="AE19" s="339"/>
      <c r="AF19" s="339" t="s">
        <v>820</v>
      </c>
      <c r="AG19" s="339" t="s">
        <v>820</v>
      </c>
      <c r="AH19" s="339" t="s">
        <v>1599</v>
      </c>
      <c r="AI19" s="339" t="s">
        <v>1600</v>
      </c>
      <c r="AJ19" s="346">
        <v>2</v>
      </c>
      <c r="AK19" s="339" t="s">
        <v>1484</v>
      </c>
      <c r="AL19" s="345" t="s">
        <v>1601</v>
      </c>
      <c r="AM19" s="339" t="s">
        <v>1633</v>
      </c>
      <c r="AN19" s="339" t="s">
        <v>1634</v>
      </c>
      <c r="AO19" s="339" t="s">
        <v>820</v>
      </c>
      <c r="AP19" s="160" t="s">
        <v>1604</v>
      </c>
      <c r="AQ19" s="160" t="s">
        <v>1646</v>
      </c>
      <c r="AR19" s="160"/>
      <c r="AS19" s="160" t="s">
        <v>1531</v>
      </c>
      <c r="AT19" s="160" t="s">
        <v>333</v>
      </c>
      <c r="AU19" s="341">
        <v>18315</v>
      </c>
      <c r="AV19" s="160" t="s">
        <v>609</v>
      </c>
      <c r="AW19" s="160" t="s">
        <v>1597</v>
      </c>
      <c r="AX19" s="160"/>
      <c r="AY19" s="160"/>
      <c r="AZ19" s="160"/>
      <c r="BA19" s="160"/>
      <c r="BB19" s="160"/>
      <c r="BC19" s="160"/>
      <c r="BD19" s="160"/>
      <c r="BE19" s="160"/>
    </row>
    <row r="20" spans="1:57" x14ac:dyDescent="0.25">
      <c r="A20" s="339" t="s">
        <v>1588</v>
      </c>
      <c r="B20" s="339" t="s">
        <v>1635</v>
      </c>
      <c r="C20" s="339" t="s">
        <v>1590</v>
      </c>
      <c r="D20" s="339" t="s">
        <v>1591</v>
      </c>
      <c r="E20" s="342">
        <v>45700</v>
      </c>
      <c r="F20" s="339" t="s">
        <v>1653</v>
      </c>
      <c r="G20" s="339" t="s">
        <v>820</v>
      </c>
      <c r="H20" s="339" t="s">
        <v>1593</v>
      </c>
      <c r="I20" s="339" t="s">
        <v>1654</v>
      </c>
      <c r="J20" s="339" t="s">
        <v>820</v>
      </c>
      <c r="K20" s="339" t="s">
        <v>1039</v>
      </c>
      <c r="L20" s="342">
        <v>45700</v>
      </c>
      <c r="M20" s="339" t="s">
        <v>1655</v>
      </c>
      <c r="N20" s="339" t="s">
        <v>820</v>
      </c>
      <c r="O20" s="342"/>
      <c r="P20" s="339" t="s">
        <v>1596</v>
      </c>
      <c r="Q20" s="339" t="s">
        <v>294</v>
      </c>
      <c r="R20" s="343">
        <v>0.59</v>
      </c>
      <c r="S20" s="339" t="s">
        <v>294</v>
      </c>
      <c r="T20" s="343">
        <v>0.59</v>
      </c>
      <c r="U20" s="339" t="s">
        <v>609</v>
      </c>
      <c r="V20" s="339" t="s">
        <v>1597</v>
      </c>
      <c r="W20" s="339" t="s">
        <v>820</v>
      </c>
      <c r="X20" s="339" t="s">
        <v>820</v>
      </c>
      <c r="Y20" s="339" t="s">
        <v>820</v>
      </c>
      <c r="Z20" s="339" t="s">
        <v>820</v>
      </c>
      <c r="AA20" s="339" t="s">
        <v>1598</v>
      </c>
      <c r="AB20" s="339" t="s">
        <v>820</v>
      </c>
      <c r="AC20" s="342">
        <v>45700</v>
      </c>
      <c r="AD20" s="339"/>
      <c r="AE20" s="339"/>
      <c r="AF20" s="339" t="s">
        <v>820</v>
      </c>
      <c r="AG20" s="339" t="s">
        <v>820</v>
      </c>
      <c r="AH20" s="339" t="s">
        <v>1599</v>
      </c>
      <c r="AI20" s="339" t="s">
        <v>1600</v>
      </c>
      <c r="AJ20" s="346">
        <v>2</v>
      </c>
      <c r="AK20" s="339" t="s">
        <v>1484</v>
      </c>
      <c r="AL20" s="345" t="s">
        <v>1601</v>
      </c>
      <c r="AM20" s="339" t="s">
        <v>1658</v>
      </c>
      <c r="AN20" s="339" t="s">
        <v>1659</v>
      </c>
      <c r="AO20" s="339" t="s">
        <v>820</v>
      </c>
      <c r="AP20" s="160" t="s">
        <v>1604</v>
      </c>
      <c r="AQ20" s="160" t="s">
        <v>1646</v>
      </c>
      <c r="AR20" s="160"/>
      <c r="AS20" s="160" t="s">
        <v>1531</v>
      </c>
      <c r="AT20" s="160" t="s">
        <v>333</v>
      </c>
      <c r="AU20" s="341">
        <v>9735</v>
      </c>
      <c r="AV20" s="160" t="s">
        <v>609</v>
      </c>
      <c r="AW20" s="160" t="s">
        <v>1597</v>
      </c>
      <c r="AX20" s="160"/>
      <c r="AY20" s="160"/>
      <c r="AZ20" s="160"/>
      <c r="BA20" s="160"/>
      <c r="BB20" s="160"/>
      <c r="BC20" s="160"/>
      <c r="BD20" s="160"/>
      <c r="BE20" s="160"/>
    </row>
    <row r="21" spans="1:57" x14ac:dyDescent="0.25">
      <c r="A21" s="339" t="s">
        <v>1588</v>
      </c>
      <c r="B21" s="339" t="s">
        <v>1635</v>
      </c>
      <c r="C21" s="339" t="s">
        <v>1590</v>
      </c>
      <c r="D21" s="339" t="s">
        <v>1591</v>
      </c>
      <c r="E21" s="342">
        <v>45706</v>
      </c>
      <c r="F21" s="339" t="s">
        <v>1652</v>
      </c>
      <c r="G21" s="339" t="s">
        <v>820</v>
      </c>
      <c r="H21" s="339" t="s">
        <v>1593</v>
      </c>
      <c r="I21" s="339" t="s">
        <v>1660</v>
      </c>
      <c r="J21" s="339" t="s">
        <v>820</v>
      </c>
      <c r="K21" s="339" t="s">
        <v>1039</v>
      </c>
      <c r="L21" s="342">
        <v>45706</v>
      </c>
      <c r="M21" s="339" t="s">
        <v>1661</v>
      </c>
      <c r="N21" s="339" t="s">
        <v>820</v>
      </c>
      <c r="O21" s="342"/>
      <c r="P21" s="339" t="s">
        <v>1596</v>
      </c>
      <c r="Q21" s="339" t="s">
        <v>294</v>
      </c>
      <c r="R21" s="343">
        <v>17.690000000000001</v>
      </c>
      <c r="S21" s="339" t="s">
        <v>294</v>
      </c>
      <c r="T21" s="343">
        <v>17.690000000000001</v>
      </c>
      <c r="U21" s="339" t="s">
        <v>609</v>
      </c>
      <c r="V21" s="339" t="s">
        <v>1597</v>
      </c>
      <c r="W21" s="339" t="s">
        <v>820</v>
      </c>
      <c r="X21" s="339" t="s">
        <v>820</v>
      </c>
      <c r="Y21" s="339" t="s">
        <v>820</v>
      </c>
      <c r="Z21" s="339" t="s">
        <v>820</v>
      </c>
      <c r="AA21" s="339" t="s">
        <v>1598</v>
      </c>
      <c r="AB21" s="339" t="s">
        <v>820</v>
      </c>
      <c r="AC21" s="342">
        <v>45706</v>
      </c>
      <c r="AD21" s="339"/>
      <c r="AE21" s="339"/>
      <c r="AF21" s="339" t="s">
        <v>820</v>
      </c>
      <c r="AG21" s="339" t="s">
        <v>820</v>
      </c>
      <c r="AH21" s="339" t="s">
        <v>1599</v>
      </c>
      <c r="AI21" s="339" t="s">
        <v>1600</v>
      </c>
      <c r="AJ21" s="346">
        <v>12</v>
      </c>
      <c r="AK21" s="339" t="s">
        <v>1616</v>
      </c>
      <c r="AL21" s="345" t="s">
        <v>1601</v>
      </c>
      <c r="AM21" s="339" t="s">
        <v>1656</v>
      </c>
      <c r="AN21" s="339" t="s">
        <v>1657</v>
      </c>
      <c r="AO21" s="339" t="s">
        <v>820</v>
      </c>
      <c r="AP21" s="160" t="s">
        <v>1604</v>
      </c>
      <c r="AQ21" s="160" t="s">
        <v>1646</v>
      </c>
      <c r="AR21" s="160"/>
      <c r="AS21" s="160" t="s">
        <v>1531</v>
      </c>
      <c r="AT21" s="160" t="s">
        <v>333</v>
      </c>
      <c r="AU21" s="341">
        <v>291885</v>
      </c>
      <c r="AV21" s="160" t="s">
        <v>609</v>
      </c>
      <c r="AW21" s="160" t="s">
        <v>1597</v>
      </c>
      <c r="AX21" s="160"/>
      <c r="AY21" s="160"/>
      <c r="AZ21" s="160"/>
      <c r="BA21" s="160"/>
      <c r="BB21" s="160"/>
      <c r="BC21" s="160"/>
      <c r="BD21" s="160"/>
      <c r="BE21" s="160"/>
    </row>
    <row r="22" spans="1:57" x14ac:dyDescent="0.25">
      <c r="A22" s="339" t="s">
        <v>1588</v>
      </c>
      <c r="B22" s="339" t="s">
        <v>1635</v>
      </c>
      <c r="C22" s="339" t="s">
        <v>1590</v>
      </c>
      <c r="D22" s="339" t="s">
        <v>1591</v>
      </c>
      <c r="E22" s="342">
        <v>45706</v>
      </c>
      <c r="F22" s="339" t="s">
        <v>1652</v>
      </c>
      <c r="G22" s="339" t="s">
        <v>820</v>
      </c>
      <c r="H22" s="339" t="s">
        <v>1593</v>
      </c>
      <c r="I22" s="339" t="s">
        <v>1660</v>
      </c>
      <c r="J22" s="339" t="s">
        <v>820</v>
      </c>
      <c r="K22" s="339" t="s">
        <v>1039</v>
      </c>
      <c r="L22" s="342">
        <v>45706</v>
      </c>
      <c r="M22" s="339" t="s">
        <v>1661</v>
      </c>
      <c r="N22" s="339" t="s">
        <v>820</v>
      </c>
      <c r="O22" s="342"/>
      <c r="P22" s="339" t="s">
        <v>1596</v>
      </c>
      <c r="Q22" s="339" t="s">
        <v>294</v>
      </c>
      <c r="R22" s="343">
        <v>1.26</v>
      </c>
      <c r="S22" s="339" t="s">
        <v>294</v>
      </c>
      <c r="T22" s="343">
        <v>1.26</v>
      </c>
      <c r="U22" s="339" t="s">
        <v>609</v>
      </c>
      <c r="V22" s="339" t="s">
        <v>1597</v>
      </c>
      <c r="W22" s="339" t="s">
        <v>820</v>
      </c>
      <c r="X22" s="339" t="s">
        <v>820</v>
      </c>
      <c r="Y22" s="339" t="s">
        <v>820</v>
      </c>
      <c r="Z22" s="339" t="s">
        <v>820</v>
      </c>
      <c r="AA22" s="339" t="s">
        <v>1598</v>
      </c>
      <c r="AB22" s="339" t="s">
        <v>820</v>
      </c>
      <c r="AC22" s="342">
        <v>45706</v>
      </c>
      <c r="AD22" s="339"/>
      <c r="AE22" s="339"/>
      <c r="AF22" s="339" t="s">
        <v>820</v>
      </c>
      <c r="AG22" s="339" t="s">
        <v>820</v>
      </c>
      <c r="AH22" s="339" t="s">
        <v>1599</v>
      </c>
      <c r="AI22" s="339" t="s">
        <v>1600</v>
      </c>
      <c r="AJ22" s="346">
        <v>2</v>
      </c>
      <c r="AK22" s="339" t="s">
        <v>1484</v>
      </c>
      <c r="AL22" s="345" t="s">
        <v>1601</v>
      </c>
      <c r="AM22" s="339" t="s">
        <v>1662</v>
      </c>
      <c r="AN22" s="339" t="s">
        <v>1663</v>
      </c>
      <c r="AO22" s="339" t="s">
        <v>820</v>
      </c>
      <c r="AP22" s="160" t="s">
        <v>1604</v>
      </c>
      <c r="AQ22" s="160" t="s">
        <v>1646</v>
      </c>
      <c r="AR22" s="160"/>
      <c r="AS22" s="160" t="s">
        <v>1531</v>
      </c>
      <c r="AT22" s="160" t="s">
        <v>333</v>
      </c>
      <c r="AU22" s="341">
        <v>20790</v>
      </c>
      <c r="AV22" s="160" t="s">
        <v>609</v>
      </c>
      <c r="AW22" s="160" t="s">
        <v>1597</v>
      </c>
      <c r="AX22" s="160"/>
      <c r="AY22" s="160"/>
      <c r="AZ22" s="160"/>
      <c r="BA22" s="160"/>
      <c r="BB22" s="160"/>
      <c r="BC22" s="160"/>
      <c r="BD22" s="160"/>
      <c r="BE22" s="160"/>
    </row>
    <row r="23" spans="1:57" x14ac:dyDescent="0.25">
      <c r="A23" s="339" t="s">
        <v>1588</v>
      </c>
      <c r="B23" s="339" t="s">
        <v>1664</v>
      </c>
      <c r="C23" s="339" t="s">
        <v>1590</v>
      </c>
      <c r="D23" s="339" t="s">
        <v>1591</v>
      </c>
      <c r="E23" s="342">
        <v>45723</v>
      </c>
      <c r="F23" s="339" t="s">
        <v>1592</v>
      </c>
      <c r="G23" s="339" t="s">
        <v>820</v>
      </c>
      <c r="H23" s="339" t="s">
        <v>1593</v>
      </c>
      <c r="I23" s="339" t="s">
        <v>1665</v>
      </c>
      <c r="J23" s="339" t="s">
        <v>820</v>
      </c>
      <c r="K23" s="339" t="s">
        <v>1039</v>
      </c>
      <c r="L23" s="342">
        <v>45723</v>
      </c>
      <c r="M23" s="339" t="s">
        <v>1666</v>
      </c>
      <c r="N23" s="339" t="s">
        <v>820</v>
      </c>
      <c r="O23" s="342"/>
      <c r="P23" s="339" t="s">
        <v>1596</v>
      </c>
      <c r="Q23" s="339" t="s">
        <v>294</v>
      </c>
      <c r="R23" s="343">
        <v>394.91</v>
      </c>
      <c r="S23" s="339" t="s">
        <v>294</v>
      </c>
      <c r="T23" s="343">
        <v>394.91</v>
      </c>
      <c r="U23" s="339" t="s">
        <v>609</v>
      </c>
      <c r="V23" s="339" t="s">
        <v>1597</v>
      </c>
      <c r="W23" s="339" t="s">
        <v>820</v>
      </c>
      <c r="X23" s="339" t="s">
        <v>820</v>
      </c>
      <c r="Y23" s="339" t="s">
        <v>820</v>
      </c>
      <c r="Z23" s="339" t="s">
        <v>820</v>
      </c>
      <c r="AA23" s="339" t="s">
        <v>1598</v>
      </c>
      <c r="AB23" s="339" t="s">
        <v>820</v>
      </c>
      <c r="AC23" s="342">
        <v>45723</v>
      </c>
      <c r="AD23" s="339"/>
      <c r="AE23" s="339"/>
      <c r="AF23" s="339" t="s">
        <v>820</v>
      </c>
      <c r="AG23" s="339" t="s">
        <v>820</v>
      </c>
      <c r="AH23" s="339" t="s">
        <v>1599</v>
      </c>
      <c r="AI23" s="339" t="s">
        <v>1600</v>
      </c>
      <c r="AJ23" s="346">
        <v>37000</v>
      </c>
      <c r="AK23" s="339" t="s">
        <v>1484</v>
      </c>
      <c r="AL23" s="345" t="s">
        <v>1601</v>
      </c>
      <c r="AM23" s="339" t="s">
        <v>1611</v>
      </c>
      <c r="AN23" s="339" t="s">
        <v>1612</v>
      </c>
      <c r="AO23" s="339" t="s">
        <v>820</v>
      </c>
      <c r="AP23" s="160" t="s">
        <v>1604</v>
      </c>
      <c r="AQ23" s="160" t="s">
        <v>1646</v>
      </c>
      <c r="AR23" s="160"/>
      <c r="AS23" s="160" t="s">
        <v>1531</v>
      </c>
      <c r="AT23" s="160" t="s">
        <v>333</v>
      </c>
      <c r="AU23" s="341">
        <v>6516015</v>
      </c>
      <c r="AV23" s="160" t="s">
        <v>609</v>
      </c>
      <c r="AW23" s="160" t="s">
        <v>1597</v>
      </c>
      <c r="AX23" s="160"/>
      <c r="AY23" s="160"/>
      <c r="AZ23" s="160"/>
      <c r="BA23" s="160"/>
      <c r="BB23" s="160"/>
      <c r="BC23" s="160"/>
      <c r="BD23" s="160"/>
      <c r="BE23" s="160"/>
    </row>
    <row r="24" spans="1:57" x14ac:dyDescent="0.25">
      <c r="A24" s="339" t="s">
        <v>1588</v>
      </c>
      <c r="B24" s="339" t="s">
        <v>1664</v>
      </c>
      <c r="C24" s="339" t="s">
        <v>1590</v>
      </c>
      <c r="D24" s="339" t="s">
        <v>1591</v>
      </c>
      <c r="E24" s="342">
        <v>45723</v>
      </c>
      <c r="F24" s="339" t="s">
        <v>1592</v>
      </c>
      <c r="G24" s="339" t="s">
        <v>820</v>
      </c>
      <c r="H24" s="339" t="s">
        <v>1593</v>
      </c>
      <c r="I24" s="339" t="s">
        <v>1665</v>
      </c>
      <c r="J24" s="339" t="s">
        <v>820</v>
      </c>
      <c r="K24" s="339" t="s">
        <v>1039</v>
      </c>
      <c r="L24" s="342">
        <v>45723</v>
      </c>
      <c r="M24" s="339" t="s">
        <v>1666</v>
      </c>
      <c r="N24" s="339" t="s">
        <v>820</v>
      </c>
      <c r="O24" s="342"/>
      <c r="P24" s="339" t="s">
        <v>1596</v>
      </c>
      <c r="Q24" s="339" t="s">
        <v>294</v>
      </c>
      <c r="R24" s="343">
        <v>878.19</v>
      </c>
      <c r="S24" s="339" t="s">
        <v>294</v>
      </c>
      <c r="T24" s="343">
        <v>878.19</v>
      </c>
      <c r="U24" s="339" t="s">
        <v>609</v>
      </c>
      <c r="V24" s="339" t="s">
        <v>1597</v>
      </c>
      <c r="W24" s="339" t="s">
        <v>820</v>
      </c>
      <c r="X24" s="339" t="s">
        <v>820</v>
      </c>
      <c r="Y24" s="339" t="s">
        <v>820</v>
      </c>
      <c r="Z24" s="339" t="s">
        <v>820</v>
      </c>
      <c r="AA24" s="339" t="s">
        <v>1598</v>
      </c>
      <c r="AB24" s="339" t="s">
        <v>820</v>
      </c>
      <c r="AC24" s="342">
        <v>45723</v>
      </c>
      <c r="AD24" s="339"/>
      <c r="AE24" s="339"/>
      <c r="AF24" s="339" t="s">
        <v>820</v>
      </c>
      <c r="AG24" s="339" t="s">
        <v>820</v>
      </c>
      <c r="AH24" s="339" t="s">
        <v>1599</v>
      </c>
      <c r="AI24" s="339" t="s">
        <v>1600</v>
      </c>
      <c r="AJ24" s="346">
        <v>43000</v>
      </c>
      <c r="AK24" s="339" t="s">
        <v>1484</v>
      </c>
      <c r="AL24" s="345" t="s">
        <v>1601</v>
      </c>
      <c r="AM24" s="339" t="s">
        <v>1607</v>
      </c>
      <c r="AN24" s="339" t="s">
        <v>1608</v>
      </c>
      <c r="AO24" s="339" t="s">
        <v>820</v>
      </c>
      <c r="AP24" s="160" t="s">
        <v>1604</v>
      </c>
      <c r="AQ24" s="160" t="s">
        <v>1646</v>
      </c>
      <c r="AR24" s="160"/>
      <c r="AS24" s="160" t="s">
        <v>1531</v>
      </c>
      <c r="AT24" s="160" t="s">
        <v>333</v>
      </c>
      <c r="AU24" s="341">
        <v>14490135</v>
      </c>
      <c r="AV24" s="160" t="s">
        <v>609</v>
      </c>
      <c r="AW24" s="160" t="s">
        <v>1597</v>
      </c>
      <c r="AX24" s="160"/>
      <c r="AY24" s="160"/>
      <c r="AZ24" s="160"/>
      <c r="BA24" s="160"/>
      <c r="BB24" s="160"/>
      <c r="BC24" s="160"/>
      <c r="BD24" s="160"/>
      <c r="BE24" s="160"/>
    </row>
    <row r="25" spans="1:57" x14ac:dyDescent="0.25">
      <c r="A25" s="339" t="s">
        <v>1588</v>
      </c>
      <c r="B25" s="339" t="s">
        <v>1664</v>
      </c>
      <c r="C25" s="339" t="s">
        <v>1590</v>
      </c>
      <c r="D25" s="339" t="s">
        <v>1591</v>
      </c>
      <c r="E25" s="342">
        <v>45735</v>
      </c>
      <c r="F25" s="339" t="s">
        <v>1592</v>
      </c>
      <c r="G25" s="339" t="s">
        <v>820</v>
      </c>
      <c r="H25" s="339" t="s">
        <v>1593</v>
      </c>
      <c r="I25" s="339" t="s">
        <v>1667</v>
      </c>
      <c r="J25" s="339" t="s">
        <v>820</v>
      </c>
      <c r="K25" s="339" t="s">
        <v>1039</v>
      </c>
      <c r="L25" s="342">
        <v>45735</v>
      </c>
      <c r="M25" s="339" t="s">
        <v>1668</v>
      </c>
      <c r="N25" s="339" t="s">
        <v>820</v>
      </c>
      <c r="O25" s="342"/>
      <c r="P25" s="339" t="s">
        <v>1596</v>
      </c>
      <c r="Q25" s="339" t="s">
        <v>294</v>
      </c>
      <c r="R25" s="343">
        <v>650.14</v>
      </c>
      <c r="S25" s="339" t="s">
        <v>294</v>
      </c>
      <c r="T25" s="343">
        <v>650.14</v>
      </c>
      <c r="U25" s="339" t="s">
        <v>609</v>
      </c>
      <c r="V25" s="339" t="s">
        <v>1597</v>
      </c>
      <c r="W25" s="339" t="s">
        <v>820</v>
      </c>
      <c r="X25" s="339" t="s">
        <v>820</v>
      </c>
      <c r="Y25" s="339" t="s">
        <v>820</v>
      </c>
      <c r="Z25" s="339" t="s">
        <v>820</v>
      </c>
      <c r="AA25" s="339" t="s">
        <v>1598</v>
      </c>
      <c r="AB25" s="339" t="s">
        <v>820</v>
      </c>
      <c r="AC25" s="342">
        <v>45735</v>
      </c>
      <c r="AD25" s="339"/>
      <c r="AE25" s="339"/>
      <c r="AF25" s="339" t="s">
        <v>820</v>
      </c>
      <c r="AG25" s="339" t="s">
        <v>820</v>
      </c>
      <c r="AH25" s="339" t="s">
        <v>1599</v>
      </c>
      <c r="AI25" s="339" t="s">
        <v>1600</v>
      </c>
      <c r="AJ25" s="346">
        <v>17000</v>
      </c>
      <c r="AK25" s="339" t="s">
        <v>1484</v>
      </c>
      <c r="AL25" s="345" t="s">
        <v>1601</v>
      </c>
      <c r="AM25" s="339" t="s">
        <v>1602</v>
      </c>
      <c r="AN25" s="339" t="s">
        <v>1603</v>
      </c>
      <c r="AO25" s="339" t="s">
        <v>820</v>
      </c>
      <c r="AP25" s="160" t="s">
        <v>1604</v>
      </c>
      <c r="AQ25" s="160" t="s">
        <v>1646</v>
      </c>
      <c r="AR25" s="160"/>
      <c r="AS25" s="160" t="s">
        <v>1531</v>
      </c>
      <c r="AT25" s="160" t="s">
        <v>333</v>
      </c>
      <c r="AU25" s="341">
        <v>10727310</v>
      </c>
      <c r="AV25" s="160" t="s">
        <v>609</v>
      </c>
      <c r="AW25" s="160" t="s">
        <v>1597</v>
      </c>
      <c r="AX25" s="160"/>
      <c r="AY25" s="160"/>
      <c r="AZ25" s="160"/>
      <c r="BA25" s="160"/>
      <c r="BB25" s="160"/>
      <c r="BC25" s="160"/>
      <c r="BD25" s="160"/>
      <c r="BE25" s="160"/>
    </row>
    <row r="26" spans="1:57" x14ac:dyDescent="0.25">
      <c r="A26" s="339" t="s">
        <v>1588</v>
      </c>
      <c r="B26" s="339" t="s">
        <v>1664</v>
      </c>
      <c r="C26" s="339" t="s">
        <v>1590</v>
      </c>
      <c r="D26" s="339" t="s">
        <v>1591</v>
      </c>
      <c r="E26" s="342">
        <v>45740</v>
      </c>
      <c r="F26" s="339" t="s">
        <v>1592</v>
      </c>
      <c r="G26" s="339" t="s">
        <v>820</v>
      </c>
      <c r="H26" s="339" t="s">
        <v>1593</v>
      </c>
      <c r="I26" s="339" t="s">
        <v>1669</v>
      </c>
      <c r="J26" s="339" t="s">
        <v>820</v>
      </c>
      <c r="K26" s="339" t="s">
        <v>1039</v>
      </c>
      <c r="L26" s="342">
        <v>45740</v>
      </c>
      <c r="M26" s="339" t="s">
        <v>1670</v>
      </c>
      <c r="N26" s="339" t="s">
        <v>820</v>
      </c>
      <c r="O26" s="342"/>
      <c r="P26" s="339" t="s">
        <v>1596</v>
      </c>
      <c r="Q26" s="339" t="s">
        <v>294</v>
      </c>
      <c r="R26" s="343">
        <v>955.45</v>
      </c>
      <c r="S26" s="339" t="s">
        <v>294</v>
      </c>
      <c r="T26" s="343">
        <v>955.45</v>
      </c>
      <c r="U26" s="339" t="s">
        <v>609</v>
      </c>
      <c r="V26" s="339" t="s">
        <v>1597</v>
      </c>
      <c r="W26" s="339" t="s">
        <v>820</v>
      </c>
      <c r="X26" s="339" t="s">
        <v>820</v>
      </c>
      <c r="Y26" s="339" t="s">
        <v>820</v>
      </c>
      <c r="Z26" s="339" t="s">
        <v>820</v>
      </c>
      <c r="AA26" s="339" t="s">
        <v>1598</v>
      </c>
      <c r="AB26" s="339" t="s">
        <v>820</v>
      </c>
      <c r="AC26" s="342">
        <v>45740</v>
      </c>
      <c r="AD26" s="339"/>
      <c r="AE26" s="339"/>
      <c r="AF26" s="339" t="s">
        <v>820</v>
      </c>
      <c r="AG26" s="339" t="s">
        <v>820</v>
      </c>
      <c r="AH26" s="339" t="s">
        <v>1599</v>
      </c>
      <c r="AI26" s="339" t="s">
        <v>1600</v>
      </c>
      <c r="AJ26" s="346">
        <v>25000</v>
      </c>
      <c r="AK26" s="339" t="s">
        <v>1484</v>
      </c>
      <c r="AL26" s="345" t="s">
        <v>1601</v>
      </c>
      <c r="AM26" s="339" t="s">
        <v>1602</v>
      </c>
      <c r="AN26" s="339" t="s">
        <v>1603</v>
      </c>
      <c r="AO26" s="339" t="s">
        <v>820</v>
      </c>
      <c r="AP26" s="160" t="s">
        <v>1604</v>
      </c>
      <c r="AQ26" s="160" t="s">
        <v>1646</v>
      </c>
      <c r="AR26" s="160"/>
      <c r="AS26" s="160" t="s">
        <v>1531</v>
      </c>
      <c r="AT26" s="160" t="s">
        <v>333</v>
      </c>
      <c r="AU26" s="341">
        <v>15764925</v>
      </c>
      <c r="AV26" s="160" t="s">
        <v>609</v>
      </c>
      <c r="AW26" s="160" t="s">
        <v>1597</v>
      </c>
      <c r="AX26" s="160"/>
      <c r="AY26" s="160"/>
      <c r="AZ26" s="160"/>
      <c r="BA26" s="160"/>
      <c r="BB26" s="160"/>
      <c r="BC26" s="160"/>
      <c r="BD26" s="160"/>
      <c r="BE26" s="160"/>
    </row>
    <row r="27" spans="1:57" x14ac:dyDescent="0.25">
      <c r="A27" s="339" t="s">
        <v>1588</v>
      </c>
      <c r="B27" s="339" t="s">
        <v>1671</v>
      </c>
      <c r="C27" s="339" t="s">
        <v>1590</v>
      </c>
      <c r="D27" s="339" t="s">
        <v>1591</v>
      </c>
      <c r="E27" s="342">
        <v>45820</v>
      </c>
      <c r="F27" s="339" t="s">
        <v>1672</v>
      </c>
      <c r="G27" s="339" t="s">
        <v>820</v>
      </c>
      <c r="H27" s="339" t="s">
        <v>1593</v>
      </c>
      <c r="I27" s="339" t="s">
        <v>1673</v>
      </c>
      <c r="J27" s="339" t="s">
        <v>820</v>
      </c>
      <c r="K27" s="339" t="s">
        <v>1039</v>
      </c>
      <c r="L27" s="342">
        <v>45820</v>
      </c>
      <c r="M27" s="339" t="s">
        <v>1674</v>
      </c>
      <c r="N27" s="339" t="s">
        <v>820</v>
      </c>
      <c r="O27" s="342"/>
      <c r="P27" s="339" t="s">
        <v>1596</v>
      </c>
      <c r="Q27" s="339" t="s">
        <v>294</v>
      </c>
      <c r="R27" s="343">
        <v>1126.26</v>
      </c>
      <c r="S27" s="339" t="s">
        <v>294</v>
      </c>
      <c r="T27" s="343">
        <v>1126.26</v>
      </c>
      <c r="U27" s="339" t="s">
        <v>609</v>
      </c>
      <c r="V27" s="339" t="s">
        <v>1597</v>
      </c>
      <c r="W27" s="339" t="s">
        <v>820</v>
      </c>
      <c r="X27" s="339" t="s">
        <v>820</v>
      </c>
      <c r="Y27" s="339" t="s">
        <v>820</v>
      </c>
      <c r="Z27" s="339" t="s">
        <v>820</v>
      </c>
      <c r="AA27" s="339" t="s">
        <v>1598</v>
      </c>
      <c r="AB27" s="339" t="s">
        <v>820</v>
      </c>
      <c r="AC27" s="342">
        <v>45820</v>
      </c>
      <c r="AD27" s="339"/>
      <c r="AE27" s="339"/>
      <c r="AF27" s="339" t="s">
        <v>820</v>
      </c>
      <c r="AG27" s="339" t="s">
        <v>820</v>
      </c>
      <c r="AH27" s="339" t="s">
        <v>1599</v>
      </c>
      <c r="AI27" s="339" t="s">
        <v>1600</v>
      </c>
      <c r="AJ27" s="346">
        <v>29500</v>
      </c>
      <c r="AK27" s="339" t="s">
        <v>1484</v>
      </c>
      <c r="AL27" s="345" t="s">
        <v>1601</v>
      </c>
      <c r="AM27" s="339" t="s">
        <v>1602</v>
      </c>
      <c r="AN27" s="339" t="s">
        <v>1603</v>
      </c>
      <c r="AO27" s="339" t="s">
        <v>820</v>
      </c>
      <c r="AP27" s="160" t="s">
        <v>1675</v>
      </c>
      <c r="AQ27" s="160" t="s">
        <v>1646</v>
      </c>
      <c r="AR27" s="160"/>
      <c r="AS27" s="160" t="s">
        <v>1531</v>
      </c>
      <c r="AT27" s="160" t="s">
        <v>333</v>
      </c>
      <c r="AU27" s="341">
        <v>18583290</v>
      </c>
      <c r="AV27" s="160" t="s">
        <v>609</v>
      </c>
      <c r="AW27" s="160" t="s">
        <v>1597</v>
      </c>
      <c r="AX27" s="160"/>
      <c r="AY27" s="160"/>
      <c r="AZ27" s="160"/>
      <c r="BA27" s="160"/>
      <c r="BB27" s="160"/>
      <c r="BC27" s="160"/>
      <c r="BD27" s="160"/>
      <c r="BE27" s="160"/>
    </row>
    <row r="28" spans="1:57" x14ac:dyDescent="0.25">
      <c r="A28" s="339" t="s">
        <v>1588</v>
      </c>
      <c r="B28" s="339" t="s">
        <v>1671</v>
      </c>
      <c r="C28" s="339" t="s">
        <v>1590</v>
      </c>
      <c r="D28" s="339" t="s">
        <v>1591</v>
      </c>
      <c r="E28" s="342">
        <v>45826</v>
      </c>
      <c r="F28" s="339" t="s">
        <v>1672</v>
      </c>
      <c r="G28" s="339" t="s">
        <v>820</v>
      </c>
      <c r="H28" s="339" t="s">
        <v>1593</v>
      </c>
      <c r="I28" s="339" t="s">
        <v>1676</v>
      </c>
      <c r="J28" s="339" t="s">
        <v>820</v>
      </c>
      <c r="K28" s="339" t="s">
        <v>1039</v>
      </c>
      <c r="L28" s="342">
        <v>45826</v>
      </c>
      <c r="M28" s="339" t="s">
        <v>1677</v>
      </c>
      <c r="N28" s="339" t="s">
        <v>820</v>
      </c>
      <c r="O28" s="342"/>
      <c r="P28" s="339" t="s">
        <v>1596</v>
      </c>
      <c r="Q28" s="339" t="s">
        <v>294</v>
      </c>
      <c r="R28" s="343">
        <v>439.05</v>
      </c>
      <c r="S28" s="339" t="s">
        <v>294</v>
      </c>
      <c r="T28" s="343">
        <v>439.05</v>
      </c>
      <c r="U28" s="339" t="s">
        <v>609</v>
      </c>
      <c r="V28" s="339" t="s">
        <v>1597</v>
      </c>
      <c r="W28" s="339" t="s">
        <v>820</v>
      </c>
      <c r="X28" s="339" t="s">
        <v>820</v>
      </c>
      <c r="Y28" s="339" t="s">
        <v>820</v>
      </c>
      <c r="Z28" s="339" t="s">
        <v>820</v>
      </c>
      <c r="AA28" s="339" t="s">
        <v>1598</v>
      </c>
      <c r="AB28" s="339" t="s">
        <v>820</v>
      </c>
      <c r="AC28" s="342">
        <v>45826</v>
      </c>
      <c r="AD28" s="339"/>
      <c r="AE28" s="339"/>
      <c r="AF28" s="339" t="s">
        <v>820</v>
      </c>
      <c r="AG28" s="339" t="s">
        <v>820</v>
      </c>
      <c r="AH28" s="339" t="s">
        <v>1599</v>
      </c>
      <c r="AI28" s="339" t="s">
        <v>1600</v>
      </c>
      <c r="AJ28" s="346">
        <v>11500</v>
      </c>
      <c r="AK28" s="339" t="s">
        <v>1484</v>
      </c>
      <c r="AL28" s="345" t="s">
        <v>1601</v>
      </c>
      <c r="AM28" s="339" t="s">
        <v>1602</v>
      </c>
      <c r="AN28" s="339" t="s">
        <v>1603</v>
      </c>
      <c r="AO28" s="339" t="s">
        <v>820</v>
      </c>
      <c r="AP28" s="160" t="s">
        <v>1604</v>
      </c>
      <c r="AQ28" s="160" t="s">
        <v>1646</v>
      </c>
      <c r="AR28" s="160"/>
      <c r="AS28" s="160" t="s">
        <v>1531</v>
      </c>
      <c r="AT28" s="160" t="s">
        <v>333</v>
      </c>
      <c r="AU28" s="341">
        <v>7244325</v>
      </c>
      <c r="AV28" s="160" t="s">
        <v>609</v>
      </c>
      <c r="AW28" s="160" t="s">
        <v>1597</v>
      </c>
      <c r="AX28" s="160"/>
      <c r="AY28" s="160"/>
      <c r="AZ28" s="160"/>
      <c r="BA28" s="160"/>
      <c r="BB28" s="160"/>
      <c r="BC28" s="160"/>
      <c r="BD28" s="160"/>
      <c r="BE28" s="160"/>
    </row>
    <row r="29" spans="1:57" x14ac:dyDescent="0.25">
      <c r="A29" s="347" t="s">
        <v>1588</v>
      </c>
      <c r="B29" s="347" t="s">
        <v>1589</v>
      </c>
      <c r="C29" s="347" t="s">
        <v>1590</v>
      </c>
      <c r="D29" s="347" t="s">
        <v>1678</v>
      </c>
      <c r="E29" s="348">
        <v>45688</v>
      </c>
      <c r="F29" s="347" t="s">
        <v>1679</v>
      </c>
      <c r="G29" s="347" t="s">
        <v>820</v>
      </c>
      <c r="H29" s="347">
        <v>50800010</v>
      </c>
      <c r="I29" s="347" t="s">
        <v>1680</v>
      </c>
      <c r="J29" s="347" t="s">
        <v>820</v>
      </c>
      <c r="K29" s="347" t="s">
        <v>1070</v>
      </c>
      <c r="L29" s="348">
        <v>45688</v>
      </c>
      <c r="M29" s="347" t="s">
        <v>1681</v>
      </c>
      <c r="N29" s="347" t="s">
        <v>1682</v>
      </c>
      <c r="O29" s="348"/>
      <c r="P29" s="347" t="s">
        <v>1683</v>
      </c>
      <c r="Q29" s="347" t="s">
        <v>745</v>
      </c>
      <c r="R29" s="349">
        <v>7360000</v>
      </c>
      <c r="S29" s="347" t="s">
        <v>294</v>
      </c>
      <c r="T29" s="350">
        <v>449.96</v>
      </c>
      <c r="U29" s="347" t="s">
        <v>644</v>
      </c>
      <c r="V29" s="347" t="s">
        <v>645</v>
      </c>
      <c r="W29" s="347" t="s">
        <v>820</v>
      </c>
      <c r="X29" s="347" t="s">
        <v>820</v>
      </c>
      <c r="Y29" s="347" t="s">
        <v>820</v>
      </c>
      <c r="Z29" s="347" t="s">
        <v>820</v>
      </c>
      <c r="AA29" s="347" t="s">
        <v>1598</v>
      </c>
      <c r="AB29" s="347" t="s">
        <v>820</v>
      </c>
      <c r="AC29" s="348">
        <v>45691</v>
      </c>
      <c r="AD29" s="347"/>
      <c r="AE29" s="347"/>
      <c r="AF29" s="347" t="s">
        <v>820</v>
      </c>
      <c r="AG29" s="347" t="s">
        <v>1684</v>
      </c>
      <c r="AH29" s="347" t="s">
        <v>1685</v>
      </c>
      <c r="AI29" s="347" t="s">
        <v>1686</v>
      </c>
      <c r="AJ29" s="349">
        <v>8</v>
      </c>
      <c r="AK29" s="347" t="s">
        <v>1687</v>
      </c>
      <c r="AL29" s="351" t="s">
        <v>1601</v>
      </c>
      <c r="AM29" s="347" t="s">
        <v>820</v>
      </c>
      <c r="AN29" s="347" t="s">
        <v>820</v>
      </c>
      <c r="AO29" s="347" t="s">
        <v>820</v>
      </c>
      <c r="AP29" t="s">
        <v>1604</v>
      </c>
      <c r="AQ29" s="347" t="s">
        <v>820</v>
      </c>
      <c r="AR29" t="s">
        <v>1605</v>
      </c>
      <c r="AS29" t="s">
        <v>1535</v>
      </c>
      <c r="AT29" t="s">
        <v>333</v>
      </c>
      <c r="AU29" s="352">
        <v>7360000</v>
      </c>
    </row>
    <row r="30" spans="1:57" x14ac:dyDescent="0.25">
      <c r="A30" s="347" t="s">
        <v>1588</v>
      </c>
      <c r="B30" s="347" t="s">
        <v>1589</v>
      </c>
      <c r="C30" s="347" t="s">
        <v>1590</v>
      </c>
      <c r="D30" s="347" t="s">
        <v>1678</v>
      </c>
      <c r="E30" s="348">
        <v>45685</v>
      </c>
      <c r="F30" s="347" t="s">
        <v>820</v>
      </c>
      <c r="G30" s="347" t="s">
        <v>820</v>
      </c>
      <c r="H30" s="347">
        <v>52200020</v>
      </c>
      <c r="I30" s="347" t="s">
        <v>1688</v>
      </c>
      <c r="J30" s="347" t="s">
        <v>820</v>
      </c>
      <c r="K30" s="347" t="s">
        <v>208</v>
      </c>
      <c r="L30" s="348">
        <v>45685</v>
      </c>
      <c r="M30" s="347" t="s">
        <v>1689</v>
      </c>
      <c r="N30" s="347" t="s">
        <v>1690</v>
      </c>
      <c r="O30" s="348"/>
      <c r="P30" s="347" t="s">
        <v>1683</v>
      </c>
      <c r="Q30" s="347" t="s">
        <v>745</v>
      </c>
      <c r="R30" s="349">
        <v>1485000</v>
      </c>
      <c r="S30" s="347" t="s">
        <v>294</v>
      </c>
      <c r="T30" s="350">
        <v>90.99</v>
      </c>
      <c r="U30" s="347" t="s">
        <v>644</v>
      </c>
      <c r="V30" s="347" t="s">
        <v>645</v>
      </c>
      <c r="W30" s="347" t="s">
        <v>820</v>
      </c>
      <c r="X30" s="347" t="s">
        <v>820</v>
      </c>
      <c r="Y30" s="347" t="s">
        <v>820</v>
      </c>
      <c r="Z30" s="347" t="s">
        <v>820</v>
      </c>
      <c r="AA30" s="347" t="s">
        <v>1598</v>
      </c>
      <c r="AB30" s="347" t="s">
        <v>820</v>
      </c>
      <c r="AC30" s="348">
        <v>45685</v>
      </c>
      <c r="AD30" s="347"/>
      <c r="AE30" s="347"/>
      <c r="AF30" s="347" t="s">
        <v>820</v>
      </c>
      <c r="AG30" s="347" t="s">
        <v>1691</v>
      </c>
      <c r="AH30" s="347" t="s">
        <v>1685</v>
      </c>
      <c r="AI30" s="347" t="s">
        <v>1686</v>
      </c>
      <c r="AJ30" s="349">
        <v>1540</v>
      </c>
      <c r="AK30" s="347" t="s">
        <v>1484</v>
      </c>
      <c r="AL30" s="351" t="s">
        <v>1601</v>
      </c>
      <c r="AM30" s="347" t="s">
        <v>820</v>
      </c>
      <c r="AN30" s="347" t="s">
        <v>820</v>
      </c>
      <c r="AO30" s="347" t="s">
        <v>820</v>
      </c>
      <c r="AP30" t="s">
        <v>1604</v>
      </c>
      <c r="AQ30" s="347" t="s">
        <v>820</v>
      </c>
      <c r="AR30" t="s">
        <v>1605</v>
      </c>
      <c r="AS30" t="s">
        <v>1538</v>
      </c>
      <c r="AT30" t="s">
        <v>333</v>
      </c>
      <c r="AU30" s="352">
        <v>1485000</v>
      </c>
    </row>
    <row r="31" spans="1:57" x14ac:dyDescent="0.25">
      <c r="A31" s="347" t="s">
        <v>1588</v>
      </c>
      <c r="B31" s="347" t="s">
        <v>1589</v>
      </c>
      <c r="C31" s="347" t="s">
        <v>1590</v>
      </c>
      <c r="D31" s="347" t="s">
        <v>1678</v>
      </c>
      <c r="E31" s="348">
        <v>45685</v>
      </c>
      <c r="F31" s="347" t="s">
        <v>820</v>
      </c>
      <c r="G31" s="347" t="s">
        <v>820</v>
      </c>
      <c r="H31" s="347">
        <v>50800010</v>
      </c>
      <c r="I31" s="347" t="s">
        <v>1692</v>
      </c>
      <c r="J31" s="347" t="s">
        <v>820</v>
      </c>
      <c r="K31" s="347" t="s">
        <v>1070</v>
      </c>
      <c r="L31" s="348">
        <v>45685</v>
      </c>
      <c r="M31" s="347" t="s">
        <v>1689</v>
      </c>
      <c r="N31" s="347" t="s">
        <v>1693</v>
      </c>
      <c r="O31" s="348"/>
      <c r="P31" s="347" t="s">
        <v>1683</v>
      </c>
      <c r="Q31" s="347" t="s">
        <v>745</v>
      </c>
      <c r="R31" s="349">
        <v>1419000</v>
      </c>
      <c r="S31" s="347" t="s">
        <v>294</v>
      </c>
      <c r="T31" s="350">
        <v>86.94</v>
      </c>
      <c r="U31" s="347" t="s">
        <v>644</v>
      </c>
      <c r="V31" s="347" t="s">
        <v>645</v>
      </c>
      <c r="W31" s="347" t="s">
        <v>820</v>
      </c>
      <c r="X31" s="347" t="s">
        <v>820</v>
      </c>
      <c r="Y31" s="347" t="s">
        <v>820</v>
      </c>
      <c r="Z31" s="347" t="s">
        <v>820</v>
      </c>
      <c r="AA31" s="347" t="s">
        <v>1598</v>
      </c>
      <c r="AB31" s="347" t="s">
        <v>820</v>
      </c>
      <c r="AC31" s="348">
        <v>45685</v>
      </c>
      <c r="AD31" s="347"/>
      <c r="AE31" s="347"/>
      <c r="AF31" s="347" t="s">
        <v>820</v>
      </c>
      <c r="AG31" s="347" t="s">
        <v>1694</v>
      </c>
      <c r="AH31" s="347" t="s">
        <v>1685</v>
      </c>
      <c r="AI31" s="347" t="s">
        <v>1686</v>
      </c>
      <c r="AJ31" s="349">
        <v>1500</v>
      </c>
      <c r="AK31" s="347" t="s">
        <v>1484</v>
      </c>
      <c r="AL31" s="351" t="s">
        <v>1601</v>
      </c>
      <c r="AM31" s="347" t="s">
        <v>820</v>
      </c>
      <c r="AN31" s="347" t="s">
        <v>820</v>
      </c>
      <c r="AO31" s="347" t="s">
        <v>820</v>
      </c>
      <c r="AP31" t="s">
        <v>1604</v>
      </c>
      <c r="AQ31" s="347" t="s">
        <v>820</v>
      </c>
      <c r="AR31" t="s">
        <v>1605</v>
      </c>
      <c r="AS31" t="s">
        <v>1535</v>
      </c>
      <c r="AT31" t="s">
        <v>333</v>
      </c>
      <c r="AU31" s="352">
        <v>1419000</v>
      </c>
    </row>
    <row r="32" spans="1:57" x14ac:dyDescent="0.25">
      <c r="A32" s="347" t="s">
        <v>1588</v>
      </c>
      <c r="B32" s="347" t="s">
        <v>1589</v>
      </c>
      <c r="C32" s="347" t="s">
        <v>1590</v>
      </c>
      <c r="D32" s="347" t="s">
        <v>1678</v>
      </c>
      <c r="E32" s="348">
        <v>45685</v>
      </c>
      <c r="F32" s="347" t="s">
        <v>820</v>
      </c>
      <c r="G32" s="347" t="s">
        <v>820</v>
      </c>
      <c r="H32" s="347">
        <v>50800010</v>
      </c>
      <c r="I32" s="347" t="s">
        <v>1695</v>
      </c>
      <c r="J32" s="347" t="s">
        <v>820</v>
      </c>
      <c r="K32" s="347" t="s">
        <v>1070</v>
      </c>
      <c r="L32" s="348">
        <v>45685</v>
      </c>
      <c r="M32" s="347" t="s">
        <v>1689</v>
      </c>
      <c r="N32" s="347" t="s">
        <v>1696</v>
      </c>
      <c r="O32" s="348"/>
      <c r="P32" s="347" t="s">
        <v>1683</v>
      </c>
      <c r="Q32" s="347" t="s">
        <v>745</v>
      </c>
      <c r="R32" s="349">
        <v>740000</v>
      </c>
      <c r="S32" s="347" t="s">
        <v>294</v>
      </c>
      <c r="T32" s="350">
        <v>45.34</v>
      </c>
      <c r="U32" s="347" t="s">
        <v>644</v>
      </c>
      <c r="V32" s="347" t="s">
        <v>645</v>
      </c>
      <c r="W32" s="347" t="s">
        <v>820</v>
      </c>
      <c r="X32" s="347" t="s">
        <v>820</v>
      </c>
      <c r="Y32" s="347" t="s">
        <v>820</v>
      </c>
      <c r="Z32" s="347" t="s">
        <v>820</v>
      </c>
      <c r="AA32" s="347" t="s">
        <v>1598</v>
      </c>
      <c r="AB32" s="347" t="s">
        <v>820</v>
      </c>
      <c r="AC32" s="348">
        <v>45685</v>
      </c>
      <c r="AD32" s="347"/>
      <c r="AE32" s="347"/>
      <c r="AF32" s="347" t="s">
        <v>820</v>
      </c>
      <c r="AG32" s="347" t="s">
        <v>1697</v>
      </c>
      <c r="AH32" s="347" t="s">
        <v>1685</v>
      </c>
      <c r="AI32" s="347" t="s">
        <v>1686</v>
      </c>
      <c r="AJ32" s="349">
        <v>20</v>
      </c>
      <c r="AK32" s="347" t="s">
        <v>1623</v>
      </c>
      <c r="AL32" s="351" t="s">
        <v>1601</v>
      </c>
      <c r="AM32" s="347" t="s">
        <v>820</v>
      </c>
      <c r="AN32" s="347" t="s">
        <v>820</v>
      </c>
      <c r="AO32" s="347" t="s">
        <v>820</v>
      </c>
      <c r="AP32" t="s">
        <v>1604</v>
      </c>
      <c r="AQ32" s="347" t="s">
        <v>820</v>
      </c>
      <c r="AR32" t="s">
        <v>1605</v>
      </c>
      <c r="AS32" t="s">
        <v>1535</v>
      </c>
      <c r="AT32" t="s">
        <v>333</v>
      </c>
      <c r="AU32" s="352">
        <v>740000</v>
      </c>
    </row>
    <row r="33" spans="1:47" x14ac:dyDescent="0.25">
      <c r="A33" s="347" t="s">
        <v>1588</v>
      </c>
      <c r="B33" s="347" t="s">
        <v>1589</v>
      </c>
      <c r="C33" s="347" t="s">
        <v>1590</v>
      </c>
      <c r="D33" s="347" t="s">
        <v>1591</v>
      </c>
      <c r="E33" s="348">
        <v>45677</v>
      </c>
      <c r="F33" s="347" t="s">
        <v>1698</v>
      </c>
      <c r="G33" s="347" t="s">
        <v>820</v>
      </c>
      <c r="H33" s="347">
        <v>50200010</v>
      </c>
      <c r="I33" s="347" t="s">
        <v>1699</v>
      </c>
      <c r="J33" s="347" t="s">
        <v>820</v>
      </c>
      <c r="K33" s="347" t="s">
        <v>1039</v>
      </c>
      <c r="L33" s="348">
        <v>45677</v>
      </c>
      <c r="M33" s="347" t="s">
        <v>1700</v>
      </c>
      <c r="N33" s="347" t="s">
        <v>820</v>
      </c>
      <c r="O33" s="348"/>
      <c r="P33" s="347" t="s">
        <v>1683</v>
      </c>
      <c r="Q33" s="347" t="s">
        <v>294</v>
      </c>
      <c r="R33" s="350">
        <v>32.590000000000003</v>
      </c>
      <c r="S33" s="347" t="s">
        <v>294</v>
      </c>
      <c r="T33" s="350">
        <v>32.590000000000003</v>
      </c>
      <c r="U33" s="347" t="s">
        <v>644</v>
      </c>
      <c r="V33" s="347" t="s">
        <v>645</v>
      </c>
      <c r="W33" s="347" t="s">
        <v>820</v>
      </c>
      <c r="X33" s="347" t="s">
        <v>820</v>
      </c>
      <c r="Y33" s="347" t="s">
        <v>820</v>
      </c>
      <c r="Z33" s="347" t="s">
        <v>820</v>
      </c>
      <c r="AA33" s="347" t="s">
        <v>1598</v>
      </c>
      <c r="AB33" s="347" t="s">
        <v>820</v>
      </c>
      <c r="AC33" s="348">
        <v>45677</v>
      </c>
      <c r="AD33" s="347"/>
      <c r="AE33" s="347"/>
      <c r="AF33" s="347" t="s">
        <v>820</v>
      </c>
      <c r="AG33" s="347" t="s">
        <v>820</v>
      </c>
      <c r="AH33" s="347" t="s">
        <v>1685</v>
      </c>
      <c r="AI33" s="347" t="s">
        <v>1686</v>
      </c>
      <c r="AJ33" s="349">
        <v>20</v>
      </c>
      <c r="AK33" s="347" t="s">
        <v>1616</v>
      </c>
      <c r="AL33" s="351" t="s">
        <v>1601</v>
      </c>
      <c r="AM33" s="347" t="s">
        <v>1650</v>
      </c>
      <c r="AN33" s="347" t="s">
        <v>1651</v>
      </c>
      <c r="AO33" s="347" t="s">
        <v>820</v>
      </c>
      <c r="AP33" t="s">
        <v>1604</v>
      </c>
      <c r="AQ33" s="347" t="s">
        <v>820</v>
      </c>
      <c r="AR33" t="s">
        <v>1605</v>
      </c>
      <c r="AS33" t="s">
        <v>1531</v>
      </c>
      <c r="AT33" t="s">
        <v>333</v>
      </c>
      <c r="AU33" s="352">
        <v>537735</v>
      </c>
    </row>
    <row r="34" spans="1:47" x14ac:dyDescent="0.25">
      <c r="A34" s="347" t="s">
        <v>1588</v>
      </c>
      <c r="B34" s="347" t="s">
        <v>1589</v>
      </c>
      <c r="C34" s="347" t="s">
        <v>1590</v>
      </c>
      <c r="D34" s="347" t="s">
        <v>1678</v>
      </c>
      <c r="E34" s="348">
        <v>45685</v>
      </c>
      <c r="F34" s="347" t="s">
        <v>820</v>
      </c>
      <c r="G34" s="347" t="s">
        <v>820</v>
      </c>
      <c r="H34" s="347">
        <v>52200020</v>
      </c>
      <c r="I34" s="347" t="s">
        <v>1688</v>
      </c>
      <c r="J34" s="347" t="s">
        <v>820</v>
      </c>
      <c r="K34" s="347" t="s">
        <v>208</v>
      </c>
      <c r="L34" s="348">
        <v>45685</v>
      </c>
      <c r="M34" s="347" t="s">
        <v>1689</v>
      </c>
      <c r="N34" s="347" t="s">
        <v>1690</v>
      </c>
      <c r="O34" s="348"/>
      <c r="P34" s="347" t="s">
        <v>1683</v>
      </c>
      <c r="Q34" s="347" t="s">
        <v>745</v>
      </c>
      <c r="R34" s="349">
        <v>400000</v>
      </c>
      <c r="S34" s="347" t="s">
        <v>294</v>
      </c>
      <c r="T34" s="350">
        <v>24.5</v>
      </c>
      <c r="U34" s="347" t="s">
        <v>644</v>
      </c>
      <c r="V34" s="347" t="s">
        <v>645</v>
      </c>
      <c r="W34" s="347" t="s">
        <v>820</v>
      </c>
      <c r="X34" s="347" t="s">
        <v>820</v>
      </c>
      <c r="Y34" s="347" t="s">
        <v>820</v>
      </c>
      <c r="Z34" s="347" t="s">
        <v>820</v>
      </c>
      <c r="AA34" s="347" t="s">
        <v>1598</v>
      </c>
      <c r="AB34" s="347" t="s">
        <v>820</v>
      </c>
      <c r="AC34" s="348">
        <v>45685</v>
      </c>
      <c r="AD34" s="347"/>
      <c r="AE34" s="347"/>
      <c r="AF34" s="347" t="s">
        <v>820</v>
      </c>
      <c r="AG34" s="347" t="s">
        <v>1691</v>
      </c>
      <c r="AH34" s="347" t="s">
        <v>1685</v>
      </c>
      <c r="AI34" s="347" t="s">
        <v>1686</v>
      </c>
      <c r="AJ34" s="349">
        <v>10</v>
      </c>
      <c r="AK34" s="347" t="s">
        <v>1701</v>
      </c>
      <c r="AL34" s="351" t="s">
        <v>1601</v>
      </c>
      <c r="AM34" s="347" t="s">
        <v>820</v>
      </c>
      <c r="AN34" s="347" t="s">
        <v>820</v>
      </c>
      <c r="AO34" s="347" t="s">
        <v>820</v>
      </c>
      <c r="AP34" t="s">
        <v>1604</v>
      </c>
      <c r="AQ34" s="347" t="s">
        <v>820</v>
      </c>
      <c r="AR34" t="s">
        <v>1605</v>
      </c>
      <c r="AS34" t="s">
        <v>1538</v>
      </c>
      <c r="AT34" t="s">
        <v>333</v>
      </c>
      <c r="AU34" s="352">
        <v>400000</v>
      </c>
    </row>
    <row r="35" spans="1:47" x14ac:dyDescent="0.25">
      <c r="A35" s="347" t="s">
        <v>1588</v>
      </c>
      <c r="B35" s="347" t="s">
        <v>1589</v>
      </c>
      <c r="C35" s="347" t="s">
        <v>1590</v>
      </c>
      <c r="D35" s="347" t="s">
        <v>1591</v>
      </c>
      <c r="E35" s="348">
        <v>45677</v>
      </c>
      <c r="F35" s="347" t="s">
        <v>1698</v>
      </c>
      <c r="G35" s="347" t="s">
        <v>820</v>
      </c>
      <c r="H35" s="347">
        <v>50200010</v>
      </c>
      <c r="I35" s="347" t="s">
        <v>1699</v>
      </c>
      <c r="J35" s="347" t="s">
        <v>820</v>
      </c>
      <c r="K35" s="347" t="s">
        <v>1039</v>
      </c>
      <c r="L35" s="348">
        <v>45677</v>
      </c>
      <c r="M35" s="347" t="s">
        <v>1700</v>
      </c>
      <c r="N35" s="347" t="s">
        <v>820</v>
      </c>
      <c r="O35" s="348"/>
      <c r="P35" s="347" t="s">
        <v>1683</v>
      </c>
      <c r="Q35" s="347" t="s">
        <v>294</v>
      </c>
      <c r="R35" s="350">
        <v>10.4</v>
      </c>
      <c r="S35" s="347" t="s">
        <v>294</v>
      </c>
      <c r="T35" s="350">
        <v>10.4</v>
      </c>
      <c r="U35" s="347" t="s">
        <v>644</v>
      </c>
      <c r="V35" s="347" t="s">
        <v>645</v>
      </c>
      <c r="W35" s="347" t="s">
        <v>820</v>
      </c>
      <c r="X35" s="347" t="s">
        <v>820</v>
      </c>
      <c r="Y35" s="347" t="s">
        <v>820</v>
      </c>
      <c r="Z35" s="347" t="s">
        <v>820</v>
      </c>
      <c r="AA35" s="347" t="s">
        <v>1598</v>
      </c>
      <c r="AB35" s="347" t="s">
        <v>820</v>
      </c>
      <c r="AC35" s="348">
        <v>45677</v>
      </c>
      <c r="AD35" s="347"/>
      <c r="AE35" s="347"/>
      <c r="AF35" s="347" t="s">
        <v>820</v>
      </c>
      <c r="AG35" s="347" t="s">
        <v>820</v>
      </c>
      <c r="AH35" s="347" t="s">
        <v>1685</v>
      </c>
      <c r="AI35" s="347" t="s">
        <v>1686</v>
      </c>
      <c r="AJ35" s="349">
        <v>10</v>
      </c>
      <c r="AK35" s="347" t="s">
        <v>1620</v>
      </c>
      <c r="AL35" s="351" t="s">
        <v>1601</v>
      </c>
      <c r="AM35" s="347" t="s">
        <v>1621</v>
      </c>
      <c r="AN35" s="347" t="s">
        <v>1622</v>
      </c>
      <c r="AO35" s="347" t="s">
        <v>820</v>
      </c>
      <c r="AP35" t="s">
        <v>1604</v>
      </c>
      <c r="AQ35" s="347" t="s">
        <v>820</v>
      </c>
      <c r="AR35" t="s">
        <v>1605</v>
      </c>
      <c r="AS35" t="s">
        <v>1531</v>
      </c>
      <c r="AT35" t="s">
        <v>333</v>
      </c>
      <c r="AU35" s="352">
        <v>171600</v>
      </c>
    </row>
    <row r="36" spans="1:47" x14ac:dyDescent="0.25">
      <c r="A36" s="347" t="s">
        <v>1588</v>
      </c>
      <c r="B36" s="347" t="s">
        <v>1589</v>
      </c>
      <c r="C36" s="347" t="s">
        <v>1590</v>
      </c>
      <c r="D36" s="347" t="s">
        <v>1591</v>
      </c>
      <c r="E36" s="348">
        <v>45677</v>
      </c>
      <c r="F36" s="347" t="s">
        <v>1698</v>
      </c>
      <c r="G36" s="347" t="s">
        <v>820</v>
      </c>
      <c r="H36" s="347">
        <v>50200010</v>
      </c>
      <c r="I36" s="347" t="s">
        <v>1699</v>
      </c>
      <c r="J36" s="347" t="s">
        <v>820</v>
      </c>
      <c r="K36" s="347" t="s">
        <v>1039</v>
      </c>
      <c r="L36" s="348">
        <v>45677</v>
      </c>
      <c r="M36" s="347" t="s">
        <v>1700</v>
      </c>
      <c r="N36" s="347" t="s">
        <v>820</v>
      </c>
      <c r="O36" s="348"/>
      <c r="P36" s="347" t="s">
        <v>1683</v>
      </c>
      <c r="Q36" s="347" t="s">
        <v>294</v>
      </c>
      <c r="R36" s="350">
        <v>0.59</v>
      </c>
      <c r="S36" s="347" t="s">
        <v>294</v>
      </c>
      <c r="T36" s="350">
        <v>0.59</v>
      </c>
      <c r="U36" s="347" t="s">
        <v>644</v>
      </c>
      <c r="V36" s="347" t="s">
        <v>645</v>
      </c>
      <c r="W36" s="347" t="s">
        <v>820</v>
      </c>
      <c r="X36" s="347" t="s">
        <v>820</v>
      </c>
      <c r="Y36" s="347" t="s">
        <v>820</v>
      </c>
      <c r="Z36" s="347" t="s">
        <v>820</v>
      </c>
      <c r="AA36" s="347" t="s">
        <v>1598</v>
      </c>
      <c r="AB36" s="347" t="s">
        <v>820</v>
      </c>
      <c r="AC36" s="348">
        <v>45677</v>
      </c>
      <c r="AD36" s="347"/>
      <c r="AE36" s="347"/>
      <c r="AF36" s="347" t="s">
        <v>820</v>
      </c>
      <c r="AG36" s="347" t="s">
        <v>820</v>
      </c>
      <c r="AH36" s="347" t="s">
        <v>1685</v>
      </c>
      <c r="AI36" s="347" t="s">
        <v>1686</v>
      </c>
      <c r="AJ36" s="349">
        <v>2</v>
      </c>
      <c r="AK36" s="347" t="s">
        <v>1484</v>
      </c>
      <c r="AL36" s="351" t="s">
        <v>1601</v>
      </c>
      <c r="AM36" s="347" t="s">
        <v>1658</v>
      </c>
      <c r="AN36" s="347" t="s">
        <v>1659</v>
      </c>
      <c r="AO36" s="347" t="s">
        <v>820</v>
      </c>
      <c r="AP36" t="s">
        <v>1604</v>
      </c>
      <c r="AQ36" s="347" t="s">
        <v>820</v>
      </c>
      <c r="AR36" t="s">
        <v>1605</v>
      </c>
      <c r="AS36" t="s">
        <v>1531</v>
      </c>
      <c r="AT36" t="s">
        <v>333</v>
      </c>
      <c r="AU36" s="352">
        <v>9735</v>
      </c>
    </row>
    <row r="37" spans="1:47" x14ac:dyDescent="0.25">
      <c r="A37" s="347" t="s">
        <v>1588</v>
      </c>
      <c r="B37" s="347" t="s">
        <v>1635</v>
      </c>
      <c r="C37" s="347" t="s">
        <v>1590</v>
      </c>
      <c r="D37" s="347" t="s">
        <v>1591</v>
      </c>
      <c r="E37" s="348">
        <v>45691</v>
      </c>
      <c r="F37" s="347" t="s">
        <v>1702</v>
      </c>
      <c r="G37" s="347" t="s">
        <v>820</v>
      </c>
      <c r="H37" s="347">
        <v>50200010</v>
      </c>
      <c r="I37" s="347" t="s">
        <v>1703</v>
      </c>
      <c r="J37" s="347" t="s">
        <v>820</v>
      </c>
      <c r="K37" s="347" t="s">
        <v>1039</v>
      </c>
      <c r="L37" s="348">
        <v>45691</v>
      </c>
      <c r="M37" s="347" t="s">
        <v>1704</v>
      </c>
      <c r="N37" s="347" t="s">
        <v>820</v>
      </c>
      <c r="O37" s="348"/>
      <c r="P37" s="347" t="s">
        <v>1683</v>
      </c>
      <c r="Q37" s="347" t="s">
        <v>294</v>
      </c>
      <c r="R37" s="350">
        <v>29.1</v>
      </c>
      <c r="S37" s="347" t="s">
        <v>294</v>
      </c>
      <c r="T37" s="350">
        <v>29.1</v>
      </c>
      <c r="U37" s="347" t="s">
        <v>644</v>
      </c>
      <c r="V37" s="347" t="s">
        <v>645</v>
      </c>
      <c r="W37" s="347" t="s">
        <v>820</v>
      </c>
      <c r="X37" s="347" t="s">
        <v>820</v>
      </c>
      <c r="Y37" s="347" t="s">
        <v>820</v>
      </c>
      <c r="Z37" s="347" t="s">
        <v>820</v>
      </c>
      <c r="AA37" s="347" t="s">
        <v>1598</v>
      </c>
      <c r="AB37" s="347" t="s">
        <v>820</v>
      </c>
      <c r="AC37" s="348">
        <v>45691</v>
      </c>
      <c r="AD37" s="347"/>
      <c r="AE37" s="347"/>
      <c r="AF37" s="347" t="s">
        <v>820</v>
      </c>
      <c r="AG37" s="347" t="s">
        <v>820</v>
      </c>
      <c r="AH37" s="347" t="s">
        <v>1685</v>
      </c>
      <c r="AI37" s="347" t="s">
        <v>1686</v>
      </c>
      <c r="AJ37" s="349">
        <v>20</v>
      </c>
      <c r="AK37" s="347" t="s">
        <v>1616</v>
      </c>
      <c r="AL37" s="351" t="s">
        <v>1601</v>
      </c>
      <c r="AM37" s="347" t="s">
        <v>1705</v>
      </c>
      <c r="AN37" s="347" t="s">
        <v>1706</v>
      </c>
      <c r="AO37" s="347" t="s">
        <v>820</v>
      </c>
      <c r="AP37" t="s">
        <v>1604</v>
      </c>
      <c r="AQ37" t="s">
        <v>1646</v>
      </c>
      <c r="AS37" t="s">
        <v>1531</v>
      </c>
      <c r="AT37" t="s">
        <v>333</v>
      </c>
      <c r="AU37" s="352">
        <v>480150</v>
      </c>
    </row>
    <row r="38" spans="1:47" x14ac:dyDescent="0.25">
      <c r="A38" s="347" t="s">
        <v>1588</v>
      </c>
      <c r="B38" s="347" t="s">
        <v>1635</v>
      </c>
      <c r="C38" s="347" t="s">
        <v>1590</v>
      </c>
      <c r="D38" s="347" t="s">
        <v>1591</v>
      </c>
      <c r="E38" s="348">
        <v>45691</v>
      </c>
      <c r="F38" s="347" t="s">
        <v>1702</v>
      </c>
      <c r="G38" s="347" t="s">
        <v>820</v>
      </c>
      <c r="H38" s="347">
        <v>50200010</v>
      </c>
      <c r="I38" s="347" t="s">
        <v>1703</v>
      </c>
      <c r="J38" s="347" t="s">
        <v>820</v>
      </c>
      <c r="K38" s="347" t="s">
        <v>1039</v>
      </c>
      <c r="L38" s="348">
        <v>45691</v>
      </c>
      <c r="M38" s="347" t="s">
        <v>1704</v>
      </c>
      <c r="N38" s="347" t="s">
        <v>820</v>
      </c>
      <c r="O38" s="348"/>
      <c r="P38" s="347" t="s">
        <v>1683</v>
      </c>
      <c r="Q38" s="347" t="s">
        <v>294</v>
      </c>
      <c r="R38" s="350">
        <v>2.23</v>
      </c>
      <c r="S38" s="347" t="s">
        <v>294</v>
      </c>
      <c r="T38" s="350">
        <v>2.23</v>
      </c>
      <c r="U38" s="347" t="s">
        <v>644</v>
      </c>
      <c r="V38" s="347" t="s">
        <v>645</v>
      </c>
      <c r="W38" s="347" t="s">
        <v>820</v>
      </c>
      <c r="X38" s="347" t="s">
        <v>820</v>
      </c>
      <c r="Y38" s="347" t="s">
        <v>820</v>
      </c>
      <c r="Z38" s="347" t="s">
        <v>820</v>
      </c>
      <c r="AA38" s="347" t="s">
        <v>1598</v>
      </c>
      <c r="AB38" s="347" t="s">
        <v>820</v>
      </c>
      <c r="AC38" s="348">
        <v>45691</v>
      </c>
      <c r="AD38" s="347"/>
      <c r="AE38" s="347"/>
      <c r="AF38" s="347" t="s">
        <v>820</v>
      </c>
      <c r="AG38" s="347" t="s">
        <v>820</v>
      </c>
      <c r="AH38" s="347" t="s">
        <v>1685</v>
      </c>
      <c r="AI38" s="347" t="s">
        <v>1686</v>
      </c>
      <c r="AJ38" s="349">
        <v>4</v>
      </c>
      <c r="AK38" s="347" t="s">
        <v>1484</v>
      </c>
      <c r="AL38" s="351" t="s">
        <v>1601</v>
      </c>
      <c r="AM38" s="347" t="s">
        <v>1633</v>
      </c>
      <c r="AN38" s="347" t="s">
        <v>1634</v>
      </c>
      <c r="AO38" s="347" t="s">
        <v>820</v>
      </c>
      <c r="AP38" t="s">
        <v>1604</v>
      </c>
      <c r="AQ38" t="s">
        <v>1646</v>
      </c>
      <c r="AS38" t="s">
        <v>1531</v>
      </c>
      <c r="AT38" t="s">
        <v>333</v>
      </c>
      <c r="AU38" s="352">
        <v>36795</v>
      </c>
    </row>
    <row r="39" spans="1:47" x14ac:dyDescent="0.25">
      <c r="A39" s="347" t="s">
        <v>1588</v>
      </c>
      <c r="B39" s="347" t="s">
        <v>1635</v>
      </c>
      <c r="C39" s="347" t="s">
        <v>1590</v>
      </c>
      <c r="D39" s="347" t="s">
        <v>1591</v>
      </c>
      <c r="E39" s="348">
        <v>45691</v>
      </c>
      <c r="F39" s="347" t="s">
        <v>1702</v>
      </c>
      <c r="G39" s="347" t="s">
        <v>820</v>
      </c>
      <c r="H39" s="347">
        <v>50200010</v>
      </c>
      <c r="I39" s="347" t="s">
        <v>1707</v>
      </c>
      <c r="J39" s="347" t="s">
        <v>820</v>
      </c>
      <c r="K39" s="347" t="s">
        <v>1039</v>
      </c>
      <c r="L39" s="348">
        <v>45691</v>
      </c>
      <c r="M39" s="347" t="s">
        <v>1704</v>
      </c>
      <c r="N39" s="347" t="s">
        <v>820</v>
      </c>
      <c r="O39" s="348"/>
      <c r="P39" s="347" t="s">
        <v>1683</v>
      </c>
      <c r="Q39" s="347" t="s">
        <v>294</v>
      </c>
      <c r="R39" s="350">
        <v>2.5099999999999998</v>
      </c>
      <c r="S39" s="347" t="s">
        <v>294</v>
      </c>
      <c r="T39" s="350">
        <v>2.5099999999999998</v>
      </c>
      <c r="U39" s="347" t="s">
        <v>644</v>
      </c>
      <c r="V39" s="347" t="s">
        <v>645</v>
      </c>
      <c r="W39" s="347" t="s">
        <v>820</v>
      </c>
      <c r="X39" s="347" t="s">
        <v>820</v>
      </c>
      <c r="Y39" s="347" t="s">
        <v>820</v>
      </c>
      <c r="Z39" s="347" t="s">
        <v>820</v>
      </c>
      <c r="AA39" s="347" t="s">
        <v>1598</v>
      </c>
      <c r="AB39" s="347" t="s">
        <v>820</v>
      </c>
      <c r="AC39" s="348">
        <v>45691</v>
      </c>
      <c r="AD39" s="347"/>
      <c r="AE39" s="347"/>
      <c r="AF39" s="347" t="s">
        <v>820</v>
      </c>
      <c r="AG39" s="347" t="s">
        <v>820</v>
      </c>
      <c r="AH39" s="347" t="s">
        <v>1685</v>
      </c>
      <c r="AI39" s="347" t="s">
        <v>1686</v>
      </c>
      <c r="AJ39" s="349">
        <v>4</v>
      </c>
      <c r="AK39" s="347" t="s">
        <v>1484</v>
      </c>
      <c r="AL39" s="351" t="s">
        <v>1601</v>
      </c>
      <c r="AM39" s="347" t="s">
        <v>1662</v>
      </c>
      <c r="AN39" s="347" t="s">
        <v>1663</v>
      </c>
      <c r="AO39" s="347" t="s">
        <v>820</v>
      </c>
      <c r="AP39" t="s">
        <v>1604</v>
      </c>
      <c r="AQ39" t="s">
        <v>1646</v>
      </c>
      <c r="AS39" t="s">
        <v>1531</v>
      </c>
      <c r="AT39" t="s">
        <v>333</v>
      </c>
      <c r="AU39" s="352">
        <v>41415</v>
      </c>
    </row>
    <row r="40" spans="1:47" x14ac:dyDescent="0.25">
      <c r="A40" s="347" t="s">
        <v>1588</v>
      </c>
      <c r="B40" s="347" t="s">
        <v>1635</v>
      </c>
      <c r="C40" s="347" t="s">
        <v>1590</v>
      </c>
      <c r="D40" s="347" t="s">
        <v>1678</v>
      </c>
      <c r="E40" s="348">
        <v>45691</v>
      </c>
      <c r="F40" s="347" t="s">
        <v>820</v>
      </c>
      <c r="G40" s="347" t="s">
        <v>820</v>
      </c>
      <c r="H40" s="347">
        <v>52200020</v>
      </c>
      <c r="I40" s="347" t="s">
        <v>1708</v>
      </c>
      <c r="J40" s="347" t="s">
        <v>820</v>
      </c>
      <c r="K40" s="347" t="s">
        <v>208</v>
      </c>
      <c r="L40" s="348">
        <v>45691</v>
      </c>
      <c r="M40" s="347" t="s">
        <v>1704</v>
      </c>
      <c r="N40" s="347" t="s">
        <v>1709</v>
      </c>
      <c r="O40" s="348"/>
      <c r="P40" s="347" t="s">
        <v>1683</v>
      </c>
      <c r="Q40" s="347" t="s">
        <v>745</v>
      </c>
      <c r="R40" s="349">
        <v>320000</v>
      </c>
      <c r="S40" s="347" t="s">
        <v>294</v>
      </c>
      <c r="T40" s="350">
        <v>19.559999999999999</v>
      </c>
      <c r="U40" s="347" t="s">
        <v>644</v>
      </c>
      <c r="V40" s="347" t="s">
        <v>645</v>
      </c>
      <c r="W40" s="347" t="s">
        <v>820</v>
      </c>
      <c r="X40" s="347" t="s">
        <v>820</v>
      </c>
      <c r="Y40" s="347" t="s">
        <v>820</v>
      </c>
      <c r="Z40" s="347" t="s">
        <v>820</v>
      </c>
      <c r="AA40" s="347" t="s">
        <v>1598</v>
      </c>
      <c r="AB40" s="347" t="s">
        <v>820</v>
      </c>
      <c r="AC40" s="348">
        <v>45691</v>
      </c>
      <c r="AD40" s="347"/>
      <c r="AE40" s="347"/>
      <c r="AF40" s="347" t="s">
        <v>820</v>
      </c>
      <c r="AG40" s="347" t="s">
        <v>1691</v>
      </c>
      <c r="AH40" s="347" t="s">
        <v>1685</v>
      </c>
      <c r="AI40" s="347" t="s">
        <v>1686</v>
      </c>
      <c r="AJ40" s="349">
        <v>8</v>
      </c>
      <c r="AK40" s="347" t="s">
        <v>1701</v>
      </c>
      <c r="AL40" s="351" t="s">
        <v>1601</v>
      </c>
      <c r="AM40" s="347" t="s">
        <v>820</v>
      </c>
      <c r="AN40" s="347" t="s">
        <v>820</v>
      </c>
      <c r="AO40" s="347" t="s">
        <v>820</v>
      </c>
      <c r="AP40" t="s">
        <v>1604</v>
      </c>
      <c r="AQ40" t="s">
        <v>1646</v>
      </c>
      <c r="AS40" t="s">
        <v>1538</v>
      </c>
      <c r="AT40" t="s">
        <v>333</v>
      </c>
      <c r="AU40" s="352">
        <v>320000</v>
      </c>
    </row>
    <row r="41" spans="1:47" x14ac:dyDescent="0.25">
      <c r="A41" s="347" t="s">
        <v>1588</v>
      </c>
      <c r="B41" s="347" t="s">
        <v>1635</v>
      </c>
      <c r="C41" s="347" t="s">
        <v>1590</v>
      </c>
      <c r="D41" s="347" t="s">
        <v>1591</v>
      </c>
      <c r="E41" s="348">
        <v>45692</v>
      </c>
      <c r="F41" s="347" t="s">
        <v>1702</v>
      </c>
      <c r="G41" s="347" t="s">
        <v>820</v>
      </c>
      <c r="H41" s="347">
        <v>50200010</v>
      </c>
      <c r="I41" s="347" t="s">
        <v>1710</v>
      </c>
      <c r="J41" s="347" t="s">
        <v>820</v>
      </c>
      <c r="K41" s="347" t="s">
        <v>1039</v>
      </c>
      <c r="L41" s="348">
        <v>45692</v>
      </c>
      <c r="M41" s="347" t="s">
        <v>1711</v>
      </c>
      <c r="N41" s="347" t="s">
        <v>820</v>
      </c>
      <c r="O41" s="348"/>
      <c r="P41" s="347" t="s">
        <v>1683</v>
      </c>
      <c r="Q41" s="347" t="s">
        <v>294</v>
      </c>
      <c r="R41" s="350">
        <v>29.1</v>
      </c>
      <c r="S41" s="347" t="s">
        <v>294</v>
      </c>
      <c r="T41" s="350">
        <v>29.1</v>
      </c>
      <c r="U41" s="347" t="s">
        <v>644</v>
      </c>
      <c r="V41" s="347" t="s">
        <v>645</v>
      </c>
      <c r="W41" s="347" t="s">
        <v>820</v>
      </c>
      <c r="X41" s="347" t="s">
        <v>820</v>
      </c>
      <c r="Y41" s="347" t="s">
        <v>820</v>
      </c>
      <c r="Z41" s="347" t="s">
        <v>820</v>
      </c>
      <c r="AA41" s="347" t="s">
        <v>1598</v>
      </c>
      <c r="AB41" s="347" t="s">
        <v>820</v>
      </c>
      <c r="AC41" s="348">
        <v>45692</v>
      </c>
      <c r="AD41" s="347"/>
      <c r="AE41" s="347"/>
      <c r="AF41" s="347" t="s">
        <v>820</v>
      </c>
      <c r="AG41" s="347" t="s">
        <v>820</v>
      </c>
      <c r="AH41" s="347" t="s">
        <v>1685</v>
      </c>
      <c r="AI41" s="347" t="s">
        <v>1686</v>
      </c>
      <c r="AJ41" s="349">
        <v>20</v>
      </c>
      <c r="AK41" s="347" t="s">
        <v>1616</v>
      </c>
      <c r="AL41" s="351" t="s">
        <v>1601</v>
      </c>
      <c r="AM41" s="347" t="s">
        <v>1705</v>
      </c>
      <c r="AN41" s="347" t="s">
        <v>1706</v>
      </c>
      <c r="AO41" s="347" t="s">
        <v>820</v>
      </c>
      <c r="AP41" t="s">
        <v>1604</v>
      </c>
      <c r="AQ41" t="s">
        <v>1646</v>
      </c>
      <c r="AS41" t="s">
        <v>1531</v>
      </c>
      <c r="AT41" t="s">
        <v>333</v>
      </c>
      <c r="AU41" s="352">
        <v>480150</v>
      </c>
    </row>
    <row r="42" spans="1:47" x14ac:dyDescent="0.25">
      <c r="A42" s="347" t="s">
        <v>1588</v>
      </c>
      <c r="B42" s="347" t="s">
        <v>1635</v>
      </c>
      <c r="C42" s="347" t="s">
        <v>1590</v>
      </c>
      <c r="D42" s="347" t="s">
        <v>1591</v>
      </c>
      <c r="E42" s="348">
        <v>45693</v>
      </c>
      <c r="F42" s="347" t="s">
        <v>1712</v>
      </c>
      <c r="G42" s="347" t="s">
        <v>820</v>
      </c>
      <c r="H42" s="347">
        <v>50200010</v>
      </c>
      <c r="I42" s="347" t="s">
        <v>1713</v>
      </c>
      <c r="J42" s="347" t="s">
        <v>820</v>
      </c>
      <c r="K42" s="347" t="s">
        <v>1039</v>
      </c>
      <c r="L42" s="348">
        <v>45693</v>
      </c>
      <c r="M42" s="347" t="s">
        <v>1714</v>
      </c>
      <c r="N42" s="347" t="s">
        <v>820</v>
      </c>
      <c r="O42" s="348"/>
      <c r="P42" s="347" t="s">
        <v>1683</v>
      </c>
      <c r="Q42" s="347" t="s">
        <v>294</v>
      </c>
      <c r="R42" s="350">
        <v>65.45</v>
      </c>
      <c r="S42" s="347" t="s">
        <v>294</v>
      </c>
      <c r="T42" s="350">
        <v>65.45</v>
      </c>
      <c r="U42" s="347" t="s">
        <v>644</v>
      </c>
      <c r="V42" s="347" t="s">
        <v>645</v>
      </c>
      <c r="W42" s="347" t="s">
        <v>820</v>
      </c>
      <c r="X42" s="347" t="s">
        <v>820</v>
      </c>
      <c r="Y42" s="347" t="s">
        <v>820</v>
      </c>
      <c r="Z42" s="347" t="s">
        <v>820</v>
      </c>
      <c r="AA42" s="347" t="s">
        <v>1598</v>
      </c>
      <c r="AB42" s="347" t="s">
        <v>820</v>
      </c>
      <c r="AC42" s="348">
        <v>45693</v>
      </c>
      <c r="AD42" s="347"/>
      <c r="AE42" s="347"/>
      <c r="AF42" s="347" t="s">
        <v>820</v>
      </c>
      <c r="AG42" s="347" t="s">
        <v>820</v>
      </c>
      <c r="AH42" s="347" t="s">
        <v>1685</v>
      </c>
      <c r="AI42" s="347" t="s">
        <v>1686</v>
      </c>
      <c r="AJ42" s="349">
        <v>40</v>
      </c>
      <c r="AK42" s="347" t="s">
        <v>1616</v>
      </c>
      <c r="AL42" s="351" t="s">
        <v>1601</v>
      </c>
      <c r="AM42" s="347" t="s">
        <v>1656</v>
      </c>
      <c r="AN42" s="347" t="s">
        <v>1657</v>
      </c>
      <c r="AO42" s="347" t="s">
        <v>820</v>
      </c>
      <c r="AP42" t="s">
        <v>1604</v>
      </c>
      <c r="AQ42" t="s">
        <v>1646</v>
      </c>
      <c r="AS42" t="s">
        <v>1531</v>
      </c>
      <c r="AT42" t="s">
        <v>333</v>
      </c>
      <c r="AU42" s="352">
        <v>1079925</v>
      </c>
    </row>
    <row r="43" spans="1:47" x14ac:dyDescent="0.25">
      <c r="A43" s="347" t="s">
        <v>1588</v>
      </c>
      <c r="B43" s="347" t="s">
        <v>1635</v>
      </c>
      <c r="C43" s="347" t="s">
        <v>1590</v>
      </c>
      <c r="D43" s="347" t="s">
        <v>1591</v>
      </c>
      <c r="E43" s="348">
        <v>45693</v>
      </c>
      <c r="F43" s="347" t="s">
        <v>1715</v>
      </c>
      <c r="G43" s="347" t="s">
        <v>820</v>
      </c>
      <c r="H43" s="347">
        <v>50200010</v>
      </c>
      <c r="I43" s="347" t="s">
        <v>1713</v>
      </c>
      <c r="J43" s="347" t="s">
        <v>820</v>
      </c>
      <c r="K43" s="347" t="s">
        <v>1039</v>
      </c>
      <c r="L43" s="348">
        <v>45693</v>
      </c>
      <c r="M43" s="347" t="s">
        <v>1714</v>
      </c>
      <c r="N43" s="347" t="s">
        <v>820</v>
      </c>
      <c r="O43" s="348"/>
      <c r="P43" s="347" t="s">
        <v>1683</v>
      </c>
      <c r="Q43" s="347" t="s">
        <v>294</v>
      </c>
      <c r="R43" s="350">
        <v>31.33</v>
      </c>
      <c r="S43" s="347" t="s">
        <v>294</v>
      </c>
      <c r="T43" s="350">
        <v>31.33</v>
      </c>
      <c r="U43" s="347" t="s">
        <v>644</v>
      </c>
      <c r="V43" s="347" t="s">
        <v>645</v>
      </c>
      <c r="W43" s="347" t="s">
        <v>820</v>
      </c>
      <c r="X43" s="347" t="s">
        <v>820</v>
      </c>
      <c r="Y43" s="347" t="s">
        <v>820</v>
      </c>
      <c r="Z43" s="347" t="s">
        <v>820</v>
      </c>
      <c r="AA43" s="347" t="s">
        <v>1598</v>
      </c>
      <c r="AB43" s="347" t="s">
        <v>820</v>
      </c>
      <c r="AC43" s="348">
        <v>45693</v>
      </c>
      <c r="AD43" s="347"/>
      <c r="AE43" s="347"/>
      <c r="AF43" s="347" t="s">
        <v>820</v>
      </c>
      <c r="AG43" s="347" t="s">
        <v>820</v>
      </c>
      <c r="AH43" s="347" t="s">
        <v>1685</v>
      </c>
      <c r="AI43" s="347" t="s">
        <v>1686</v>
      </c>
      <c r="AJ43" s="349">
        <v>20</v>
      </c>
      <c r="AK43" s="347" t="s">
        <v>1616</v>
      </c>
      <c r="AL43" s="351" t="s">
        <v>1601</v>
      </c>
      <c r="AM43" s="347" t="s">
        <v>1716</v>
      </c>
      <c r="AN43" s="347" t="s">
        <v>1717</v>
      </c>
      <c r="AO43" s="347" t="s">
        <v>820</v>
      </c>
      <c r="AP43" t="s">
        <v>1604</v>
      </c>
      <c r="AQ43" t="s">
        <v>1646</v>
      </c>
      <c r="AS43" t="s">
        <v>1531</v>
      </c>
      <c r="AT43" t="s">
        <v>333</v>
      </c>
      <c r="AU43" s="352">
        <v>516945</v>
      </c>
    </row>
    <row r="44" spans="1:47" x14ac:dyDescent="0.25">
      <c r="A44" s="347" t="s">
        <v>1588</v>
      </c>
      <c r="B44" s="347" t="s">
        <v>1635</v>
      </c>
      <c r="C44" s="347" t="s">
        <v>1590</v>
      </c>
      <c r="D44" s="347" t="s">
        <v>1591</v>
      </c>
      <c r="E44" s="348">
        <v>45693</v>
      </c>
      <c r="F44" s="347" t="s">
        <v>1718</v>
      </c>
      <c r="G44" s="347" t="s">
        <v>820</v>
      </c>
      <c r="H44" s="347">
        <v>50200010</v>
      </c>
      <c r="I44" s="347" t="s">
        <v>1713</v>
      </c>
      <c r="J44" s="347" t="s">
        <v>820</v>
      </c>
      <c r="K44" s="347" t="s">
        <v>1039</v>
      </c>
      <c r="L44" s="348">
        <v>45693</v>
      </c>
      <c r="M44" s="347" t="s">
        <v>1714</v>
      </c>
      <c r="N44" s="347" t="s">
        <v>820</v>
      </c>
      <c r="O44" s="348"/>
      <c r="P44" s="347" t="s">
        <v>1683</v>
      </c>
      <c r="Q44" s="347" t="s">
        <v>294</v>
      </c>
      <c r="R44" s="350">
        <v>17.809999999999999</v>
      </c>
      <c r="S44" s="347" t="s">
        <v>294</v>
      </c>
      <c r="T44" s="350">
        <v>17.809999999999999</v>
      </c>
      <c r="U44" s="347" t="s">
        <v>644</v>
      </c>
      <c r="V44" s="347" t="s">
        <v>645</v>
      </c>
      <c r="W44" s="347" t="s">
        <v>820</v>
      </c>
      <c r="X44" s="347" t="s">
        <v>820</v>
      </c>
      <c r="Y44" s="347" t="s">
        <v>820</v>
      </c>
      <c r="Z44" s="347" t="s">
        <v>820</v>
      </c>
      <c r="AA44" s="347" t="s">
        <v>1598</v>
      </c>
      <c r="AB44" s="347" t="s">
        <v>820</v>
      </c>
      <c r="AC44" s="348">
        <v>45693</v>
      </c>
      <c r="AD44" s="347"/>
      <c r="AE44" s="347"/>
      <c r="AF44" s="347" t="s">
        <v>820</v>
      </c>
      <c r="AG44" s="347" t="s">
        <v>820</v>
      </c>
      <c r="AH44" s="347" t="s">
        <v>1685</v>
      </c>
      <c r="AI44" s="347" t="s">
        <v>1686</v>
      </c>
      <c r="AJ44" s="349">
        <v>20</v>
      </c>
      <c r="AK44" s="347" t="s">
        <v>1620</v>
      </c>
      <c r="AL44" s="351" t="s">
        <v>1601</v>
      </c>
      <c r="AM44" s="347" t="s">
        <v>1621</v>
      </c>
      <c r="AN44" s="347" t="s">
        <v>1622</v>
      </c>
      <c r="AO44" s="347" t="s">
        <v>820</v>
      </c>
      <c r="AP44" t="s">
        <v>1604</v>
      </c>
      <c r="AQ44" t="s">
        <v>1646</v>
      </c>
      <c r="AS44" t="s">
        <v>1531</v>
      </c>
      <c r="AT44" t="s">
        <v>333</v>
      </c>
      <c r="AU44" s="352">
        <v>293865</v>
      </c>
    </row>
    <row r="45" spans="1:47" x14ac:dyDescent="0.25">
      <c r="A45" s="347" t="s">
        <v>1588</v>
      </c>
      <c r="B45" s="347" t="s">
        <v>1635</v>
      </c>
      <c r="C45" s="347" t="s">
        <v>1590</v>
      </c>
      <c r="D45" s="347" t="s">
        <v>1591</v>
      </c>
      <c r="E45" s="348">
        <v>45694</v>
      </c>
      <c r="F45" s="347" t="s">
        <v>1719</v>
      </c>
      <c r="G45" s="347" t="s">
        <v>1719</v>
      </c>
      <c r="H45" s="347">
        <v>50100020</v>
      </c>
      <c r="I45" s="347" t="s">
        <v>1720</v>
      </c>
      <c r="J45" s="347" t="s">
        <v>820</v>
      </c>
      <c r="K45" s="347" t="s">
        <v>460</v>
      </c>
      <c r="L45" s="348">
        <v>45694</v>
      </c>
      <c r="M45" s="347" t="s">
        <v>1721</v>
      </c>
      <c r="N45" s="347" t="s">
        <v>820</v>
      </c>
      <c r="O45" s="348"/>
      <c r="P45" s="347" t="s">
        <v>1683</v>
      </c>
      <c r="Q45" s="347" t="s">
        <v>294</v>
      </c>
      <c r="R45" s="350">
        <v>178.39</v>
      </c>
      <c r="S45" s="347" t="s">
        <v>294</v>
      </c>
      <c r="T45" s="350">
        <v>178.39</v>
      </c>
      <c r="U45" s="347" t="s">
        <v>644</v>
      </c>
      <c r="V45" s="347" t="s">
        <v>645</v>
      </c>
      <c r="W45" s="347" t="s">
        <v>820</v>
      </c>
      <c r="X45" s="347" t="s">
        <v>820</v>
      </c>
      <c r="Y45" s="347" t="s">
        <v>820</v>
      </c>
      <c r="Z45" s="347" t="s">
        <v>820</v>
      </c>
      <c r="AA45" s="347" t="s">
        <v>1598</v>
      </c>
      <c r="AB45" s="347" t="s">
        <v>820</v>
      </c>
      <c r="AC45" s="348">
        <v>45694</v>
      </c>
      <c r="AD45" s="347"/>
      <c r="AE45" s="347"/>
      <c r="AF45" s="347" t="s">
        <v>820</v>
      </c>
      <c r="AG45" s="347" t="s">
        <v>820</v>
      </c>
      <c r="AH45" s="347" t="s">
        <v>1685</v>
      </c>
      <c r="AI45" s="347" t="s">
        <v>1686</v>
      </c>
      <c r="AJ45" s="353">
        <v>0.373</v>
      </c>
      <c r="AK45" s="347" t="s">
        <v>246</v>
      </c>
      <c r="AL45" s="351" t="s">
        <v>1601</v>
      </c>
      <c r="AM45" s="347" t="s">
        <v>1722</v>
      </c>
      <c r="AN45" s="347" t="s">
        <v>1723</v>
      </c>
      <c r="AO45" s="347" t="s">
        <v>1724</v>
      </c>
      <c r="AP45" t="s">
        <v>1604</v>
      </c>
      <c r="AQ45" t="s">
        <v>1604</v>
      </c>
      <c r="AS45" t="s">
        <v>1643</v>
      </c>
      <c r="AT45" t="s">
        <v>333</v>
      </c>
      <c r="AU45" s="352">
        <v>2943435</v>
      </c>
    </row>
    <row r="46" spans="1:47" x14ac:dyDescent="0.25">
      <c r="A46" s="347" t="s">
        <v>1588</v>
      </c>
      <c r="B46" s="347" t="s">
        <v>1635</v>
      </c>
      <c r="C46" s="347" t="s">
        <v>1590</v>
      </c>
      <c r="D46" s="347" t="s">
        <v>1591</v>
      </c>
      <c r="E46" s="348">
        <v>45694</v>
      </c>
      <c r="F46" s="347" t="s">
        <v>1719</v>
      </c>
      <c r="G46" s="347" t="s">
        <v>1719</v>
      </c>
      <c r="H46" s="347">
        <v>50100020</v>
      </c>
      <c r="I46" s="347" t="s">
        <v>1720</v>
      </c>
      <c r="J46" s="347" t="s">
        <v>820</v>
      </c>
      <c r="K46" s="347" t="s">
        <v>460</v>
      </c>
      <c r="L46" s="348">
        <v>45694</v>
      </c>
      <c r="M46" s="347" t="s">
        <v>1721</v>
      </c>
      <c r="N46" s="347" t="s">
        <v>820</v>
      </c>
      <c r="O46" s="348"/>
      <c r="P46" s="347" t="s">
        <v>1683</v>
      </c>
      <c r="Q46" s="347" t="s">
        <v>294</v>
      </c>
      <c r="R46" s="350">
        <v>1525.63</v>
      </c>
      <c r="S46" s="347" t="s">
        <v>294</v>
      </c>
      <c r="T46" s="350">
        <v>1525.63</v>
      </c>
      <c r="U46" s="347" t="s">
        <v>644</v>
      </c>
      <c r="V46" s="347" t="s">
        <v>645</v>
      </c>
      <c r="W46" s="347" t="s">
        <v>820</v>
      </c>
      <c r="X46" s="347" t="s">
        <v>820</v>
      </c>
      <c r="Y46" s="347" t="s">
        <v>820</v>
      </c>
      <c r="Z46" s="347" t="s">
        <v>820</v>
      </c>
      <c r="AA46" s="347" t="s">
        <v>1598</v>
      </c>
      <c r="AB46" s="347" t="s">
        <v>820</v>
      </c>
      <c r="AC46" s="348">
        <v>45694</v>
      </c>
      <c r="AD46" s="347"/>
      <c r="AE46" s="347"/>
      <c r="AF46" s="347" t="s">
        <v>820</v>
      </c>
      <c r="AG46" s="347" t="s">
        <v>820</v>
      </c>
      <c r="AH46" s="347" t="s">
        <v>1685</v>
      </c>
      <c r="AI46" s="347" t="s">
        <v>1686</v>
      </c>
      <c r="AJ46" s="353">
        <v>1.492</v>
      </c>
      <c r="AK46" s="347" t="s">
        <v>246</v>
      </c>
      <c r="AL46" s="351" t="s">
        <v>1601</v>
      </c>
      <c r="AM46" s="347" t="s">
        <v>1725</v>
      </c>
      <c r="AN46" s="347" t="s">
        <v>1726</v>
      </c>
      <c r="AO46" s="347" t="s">
        <v>1724</v>
      </c>
      <c r="AP46" t="s">
        <v>1604</v>
      </c>
      <c r="AQ46" t="s">
        <v>1604</v>
      </c>
      <c r="AS46" t="s">
        <v>1643</v>
      </c>
      <c r="AT46" t="s">
        <v>333</v>
      </c>
      <c r="AU46" s="352">
        <v>25172895</v>
      </c>
    </row>
    <row r="47" spans="1:47" x14ac:dyDescent="0.25">
      <c r="A47" s="347" t="s">
        <v>1588</v>
      </c>
      <c r="B47" s="347" t="s">
        <v>1635</v>
      </c>
      <c r="C47" s="347" t="s">
        <v>1590</v>
      </c>
      <c r="D47" s="347" t="s">
        <v>1591</v>
      </c>
      <c r="E47" s="348">
        <v>45694</v>
      </c>
      <c r="F47" s="347" t="s">
        <v>1719</v>
      </c>
      <c r="G47" s="347" t="s">
        <v>1719</v>
      </c>
      <c r="H47" s="347">
        <v>50100020</v>
      </c>
      <c r="I47" s="347" t="s">
        <v>1727</v>
      </c>
      <c r="J47" s="347" t="s">
        <v>820</v>
      </c>
      <c r="K47" s="347" t="s">
        <v>460</v>
      </c>
      <c r="L47" s="348">
        <v>45694</v>
      </c>
      <c r="M47" s="347" t="s">
        <v>1721</v>
      </c>
      <c r="N47" s="347" t="s">
        <v>820</v>
      </c>
      <c r="O47" s="348"/>
      <c r="P47" s="347" t="s">
        <v>1683</v>
      </c>
      <c r="Q47" s="347" t="s">
        <v>294</v>
      </c>
      <c r="R47" s="350">
        <v>-178.39</v>
      </c>
      <c r="S47" s="347" t="s">
        <v>294</v>
      </c>
      <c r="T47" s="350">
        <v>-178.39</v>
      </c>
      <c r="U47" s="347" t="s">
        <v>644</v>
      </c>
      <c r="V47" s="347" t="s">
        <v>645</v>
      </c>
      <c r="W47" s="347" t="s">
        <v>820</v>
      </c>
      <c r="X47" s="347" t="s">
        <v>820</v>
      </c>
      <c r="Y47" s="347" t="s">
        <v>820</v>
      </c>
      <c r="Z47" s="347" t="s">
        <v>820</v>
      </c>
      <c r="AA47" s="347" t="s">
        <v>1598</v>
      </c>
      <c r="AB47" s="347" t="s">
        <v>820</v>
      </c>
      <c r="AC47" s="348">
        <v>45694</v>
      </c>
      <c r="AD47" s="347"/>
      <c r="AE47" s="347"/>
      <c r="AF47" s="347" t="s">
        <v>820</v>
      </c>
      <c r="AG47" s="347" t="s">
        <v>820</v>
      </c>
      <c r="AH47" s="347" t="s">
        <v>1685</v>
      </c>
      <c r="AI47" s="347" t="s">
        <v>1686</v>
      </c>
      <c r="AJ47" s="353">
        <v>-0.373</v>
      </c>
      <c r="AK47" s="347" t="s">
        <v>246</v>
      </c>
      <c r="AL47" s="351" t="s">
        <v>1728</v>
      </c>
      <c r="AM47" s="347" t="s">
        <v>1722</v>
      </c>
      <c r="AN47" s="347" t="s">
        <v>1723</v>
      </c>
      <c r="AO47" s="347" t="s">
        <v>1724</v>
      </c>
      <c r="AP47" t="s">
        <v>1604</v>
      </c>
      <c r="AQ47" t="s">
        <v>1604</v>
      </c>
      <c r="AS47" t="s">
        <v>1643</v>
      </c>
      <c r="AT47" t="s">
        <v>333</v>
      </c>
      <c r="AU47" s="352">
        <v>-2943435</v>
      </c>
    </row>
    <row r="48" spans="1:47" x14ac:dyDescent="0.25">
      <c r="A48" s="347" t="s">
        <v>1588</v>
      </c>
      <c r="B48" s="347" t="s">
        <v>1635</v>
      </c>
      <c r="C48" s="347" t="s">
        <v>1590</v>
      </c>
      <c r="D48" s="347" t="s">
        <v>1591</v>
      </c>
      <c r="E48" s="348">
        <v>45694</v>
      </c>
      <c r="F48" s="347" t="s">
        <v>1719</v>
      </c>
      <c r="G48" s="347" t="s">
        <v>1719</v>
      </c>
      <c r="H48" s="347">
        <v>50100020</v>
      </c>
      <c r="I48" s="347" t="s">
        <v>1727</v>
      </c>
      <c r="J48" s="347" t="s">
        <v>820</v>
      </c>
      <c r="K48" s="347" t="s">
        <v>460</v>
      </c>
      <c r="L48" s="348">
        <v>45694</v>
      </c>
      <c r="M48" s="347" t="s">
        <v>1721</v>
      </c>
      <c r="N48" s="347" t="s">
        <v>820</v>
      </c>
      <c r="O48" s="348"/>
      <c r="P48" s="347" t="s">
        <v>1683</v>
      </c>
      <c r="Q48" s="347" t="s">
        <v>294</v>
      </c>
      <c r="R48" s="350">
        <v>-1525.63</v>
      </c>
      <c r="S48" s="347" t="s">
        <v>294</v>
      </c>
      <c r="T48" s="350">
        <v>-1525.63</v>
      </c>
      <c r="U48" s="347" t="s">
        <v>644</v>
      </c>
      <c r="V48" s="347" t="s">
        <v>645</v>
      </c>
      <c r="W48" s="347" t="s">
        <v>820</v>
      </c>
      <c r="X48" s="347" t="s">
        <v>820</v>
      </c>
      <c r="Y48" s="347" t="s">
        <v>820</v>
      </c>
      <c r="Z48" s="347" t="s">
        <v>820</v>
      </c>
      <c r="AA48" s="347" t="s">
        <v>1598</v>
      </c>
      <c r="AB48" s="347" t="s">
        <v>820</v>
      </c>
      <c r="AC48" s="348">
        <v>45694</v>
      </c>
      <c r="AD48" s="347"/>
      <c r="AE48" s="347"/>
      <c r="AF48" s="347" t="s">
        <v>820</v>
      </c>
      <c r="AG48" s="347" t="s">
        <v>820</v>
      </c>
      <c r="AH48" s="347" t="s">
        <v>1685</v>
      </c>
      <c r="AI48" s="347" t="s">
        <v>1686</v>
      </c>
      <c r="AJ48" s="353">
        <v>-1.492</v>
      </c>
      <c r="AK48" s="347" t="s">
        <v>246</v>
      </c>
      <c r="AL48" s="351" t="s">
        <v>1728</v>
      </c>
      <c r="AM48" s="347" t="s">
        <v>1725</v>
      </c>
      <c r="AN48" s="347" t="s">
        <v>1726</v>
      </c>
      <c r="AO48" s="347" t="s">
        <v>1724</v>
      </c>
      <c r="AP48" t="s">
        <v>1604</v>
      </c>
      <c r="AQ48" t="s">
        <v>1604</v>
      </c>
      <c r="AS48" t="s">
        <v>1643</v>
      </c>
      <c r="AT48" t="s">
        <v>333</v>
      </c>
      <c r="AU48" s="352">
        <v>-25172895</v>
      </c>
    </row>
    <row r="49" spans="1:47" x14ac:dyDescent="0.25">
      <c r="A49" s="347" t="s">
        <v>1588</v>
      </c>
      <c r="B49" s="347" t="s">
        <v>1635</v>
      </c>
      <c r="C49" s="347" t="s">
        <v>1590</v>
      </c>
      <c r="D49" s="347" t="s">
        <v>1591</v>
      </c>
      <c r="E49" s="348">
        <v>45694</v>
      </c>
      <c r="F49" s="347" t="s">
        <v>820</v>
      </c>
      <c r="G49" s="347" t="s">
        <v>820</v>
      </c>
      <c r="H49" s="347">
        <v>50100020</v>
      </c>
      <c r="I49" s="347" t="s">
        <v>1729</v>
      </c>
      <c r="J49" s="347" t="s">
        <v>820</v>
      </c>
      <c r="K49" s="347" t="s">
        <v>460</v>
      </c>
      <c r="L49" s="348">
        <v>45694</v>
      </c>
      <c r="M49" s="347" t="s">
        <v>1721</v>
      </c>
      <c r="N49" s="347" t="s">
        <v>820</v>
      </c>
      <c r="O49" s="348"/>
      <c r="P49" s="347" t="s">
        <v>1683</v>
      </c>
      <c r="Q49" s="347" t="s">
        <v>294</v>
      </c>
      <c r="R49" s="350">
        <v>178.39</v>
      </c>
      <c r="S49" s="347" t="s">
        <v>294</v>
      </c>
      <c r="T49" s="350">
        <v>178.39</v>
      </c>
      <c r="U49" s="347" t="s">
        <v>644</v>
      </c>
      <c r="V49" s="347" t="s">
        <v>645</v>
      </c>
      <c r="W49" s="347" t="s">
        <v>820</v>
      </c>
      <c r="X49" s="347" t="s">
        <v>820</v>
      </c>
      <c r="Y49" s="347" t="s">
        <v>820</v>
      </c>
      <c r="Z49" s="347" t="s">
        <v>820</v>
      </c>
      <c r="AA49" s="347" t="s">
        <v>1598</v>
      </c>
      <c r="AB49" s="347" t="s">
        <v>820</v>
      </c>
      <c r="AC49" s="348">
        <v>45694</v>
      </c>
      <c r="AD49" s="347"/>
      <c r="AE49" s="347"/>
      <c r="AF49" s="347" t="s">
        <v>820</v>
      </c>
      <c r="AG49" s="347" t="s">
        <v>820</v>
      </c>
      <c r="AH49" s="347" t="s">
        <v>1685</v>
      </c>
      <c r="AI49" s="347" t="s">
        <v>1686</v>
      </c>
      <c r="AJ49" s="353">
        <v>0.373</v>
      </c>
      <c r="AK49" s="347" t="s">
        <v>246</v>
      </c>
      <c r="AL49" s="351" t="s">
        <v>1601</v>
      </c>
      <c r="AM49" s="347" t="s">
        <v>1722</v>
      </c>
      <c r="AN49" s="347" t="s">
        <v>1723</v>
      </c>
      <c r="AO49" s="347" t="s">
        <v>1724</v>
      </c>
      <c r="AP49" t="s">
        <v>1604</v>
      </c>
      <c r="AQ49" t="s">
        <v>1604</v>
      </c>
      <c r="AS49" t="s">
        <v>1643</v>
      </c>
      <c r="AT49" t="s">
        <v>333</v>
      </c>
      <c r="AU49" s="352">
        <v>2943435</v>
      </c>
    </row>
    <row r="50" spans="1:47" x14ac:dyDescent="0.25">
      <c r="A50" s="347" t="s">
        <v>1588</v>
      </c>
      <c r="B50" s="347" t="s">
        <v>1635</v>
      </c>
      <c r="C50" s="347" t="s">
        <v>1590</v>
      </c>
      <c r="D50" s="347" t="s">
        <v>1591</v>
      </c>
      <c r="E50" s="348">
        <v>45694</v>
      </c>
      <c r="F50" s="347" t="s">
        <v>820</v>
      </c>
      <c r="G50" s="347" t="s">
        <v>820</v>
      </c>
      <c r="H50" s="347">
        <v>50100020</v>
      </c>
      <c r="I50" s="347" t="s">
        <v>1729</v>
      </c>
      <c r="J50" s="347" t="s">
        <v>820</v>
      </c>
      <c r="K50" s="347" t="s">
        <v>460</v>
      </c>
      <c r="L50" s="348">
        <v>45694</v>
      </c>
      <c r="M50" s="347" t="s">
        <v>1721</v>
      </c>
      <c r="N50" s="347" t="s">
        <v>820</v>
      </c>
      <c r="O50" s="348"/>
      <c r="P50" s="347" t="s">
        <v>1683</v>
      </c>
      <c r="Q50" s="347" t="s">
        <v>294</v>
      </c>
      <c r="R50" s="350">
        <v>1525.63</v>
      </c>
      <c r="S50" s="347" t="s">
        <v>294</v>
      </c>
      <c r="T50" s="350">
        <v>1525.63</v>
      </c>
      <c r="U50" s="347" t="s">
        <v>644</v>
      </c>
      <c r="V50" s="347" t="s">
        <v>645</v>
      </c>
      <c r="W50" s="347" t="s">
        <v>820</v>
      </c>
      <c r="X50" s="347" t="s">
        <v>820</v>
      </c>
      <c r="Y50" s="347" t="s">
        <v>820</v>
      </c>
      <c r="Z50" s="347" t="s">
        <v>820</v>
      </c>
      <c r="AA50" s="347" t="s">
        <v>1598</v>
      </c>
      <c r="AB50" s="347" t="s">
        <v>820</v>
      </c>
      <c r="AC50" s="348">
        <v>45694</v>
      </c>
      <c r="AD50" s="347"/>
      <c r="AE50" s="347"/>
      <c r="AF50" s="347" t="s">
        <v>820</v>
      </c>
      <c r="AG50" s="347" t="s">
        <v>820</v>
      </c>
      <c r="AH50" s="347" t="s">
        <v>1685</v>
      </c>
      <c r="AI50" s="347" t="s">
        <v>1686</v>
      </c>
      <c r="AJ50" s="353">
        <v>1.492</v>
      </c>
      <c r="AK50" s="347" t="s">
        <v>246</v>
      </c>
      <c r="AL50" s="351" t="s">
        <v>1601</v>
      </c>
      <c r="AM50" s="347" t="s">
        <v>1725</v>
      </c>
      <c r="AN50" s="347" t="s">
        <v>1726</v>
      </c>
      <c r="AO50" s="347" t="s">
        <v>1724</v>
      </c>
      <c r="AP50" t="s">
        <v>1604</v>
      </c>
      <c r="AQ50" t="s">
        <v>1604</v>
      </c>
      <c r="AS50" t="s">
        <v>1643</v>
      </c>
      <c r="AT50" t="s">
        <v>333</v>
      </c>
      <c r="AU50" s="352">
        <v>25172895</v>
      </c>
    </row>
    <row r="51" spans="1:47" x14ac:dyDescent="0.25">
      <c r="A51" s="347" t="s">
        <v>1588</v>
      </c>
      <c r="B51" s="347" t="s">
        <v>1635</v>
      </c>
      <c r="C51" s="347" t="s">
        <v>1590</v>
      </c>
      <c r="D51" s="347" t="s">
        <v>1678</v>
      </c>
      <c r="E51" s="348">
        <v>45700</v>
      </c>
      <c r="F51" s="347" t="s">
        <v>820</v>
      </c>
      <c r="G51" s="347" t="s">
        <v>820</v>
      </c>
      <c r="H51" s="347">
        <v>50800010</v>
      </c>
      <c r="I51" s="347" t="s">
        <v>1730</v>
      </c>
      <c r="J51" s="347" t="s">
        <v>820</v>
      </c>
      <c r="K51" s="347" t="s">
        <v>1070</v>
      </c>
      <c r="L51" s="348">
        <v>45700</v>
      </c>
      <c r="M51" s="347" t="s">
        <v>1655</v>
      </c>
      <c r="N51" s="347" t="s">
        <v>1731</v>
      </c>
      <c r="O51" s="348"/>
      <c r="P51" s="347" t="s">
        <v>1683</v>
      </c>
      <c r="Q51" s="347" t="s">
        <v>745</v>
      </c>
      <c r="R51" s="349">
        <v>116550000</v>
      </c>
      <c r="S51" s="347" t="s">
        <v>294</v>
      </c>
      <c r="T51" s="350">
        <v>7125.39</v>
      </c>
      <c r="U51" s="347" t="s">
        <v>644</v>
      </c>
      <c r="V51" s="347" t="s">
        <v>645</v>
      </c>
      <c r="W51" s="347" t="s">
        <v>820</v>
      </c>
      <c r="X51" s="347" t="s">
        <v>820</v>
      </c>
      <c r="Y51" s="347" t="s">
        <v>820</v>
      </c>
      <c r="Z51" s="347" t="s">
        <v>820</v>
      </c>
      <c r="AA51" s="347" t="s">
        <v>1598</v>
      </c>
      <c r="AB51" s="347" t="s">
        <v>820</v>
      </c>
      <c r="AC51" s="348">
        <v>45700</v>
      </c>
      <c r="AD51" s="347"/>
      <c r="AE51" s="347"/>
      <c r="AF51" s="347" t="s">
        <v>820</v>
      </c>
      <c r="AG51" s="347" t="s">
        <v>1732</v>
      </c>
      <c r="AH51" s="347" t="s">
        <v>1685</v>
      </c>
      <c r="AI51" s="347" t="s">
        <v>1686</v>
      </c>
      <c r="AJ51" s="349">
        <v>148</v>
      </c>
      <c r="AK51" s="347" t="s">
        <v>1484</v>
      </c>
      <c r="AL51" s="351" t="s">
        <v>1601</v>
      </c>
      <c r="AM51" s="347" t="s">
        <v>820</v>
      </c>
      <c r="AN51" s="347" t="s">
        <v>820</v>
      </c>
      <c r="AO51" s="347" t="s">
        <v>820</v>
      </c>
      <c r="AP51" t="s">
        <v>1604</v>
      </c>
      <c r="AQ51" t="s">
        <v>1646</v>
      </c>
      <c r="AS51" t="s">
        <v>1535</v>
      </c>
      <c r="AT51" t="s">
        <v>333</v>
      </c>
      <c r="AU51" s="352">
        <v>116550000</v>
      </c>
    </row>
    <row r="52" spans="1:47" x14ac:dyDescent="0.25">
      <c r="A52" s="347" t="s">
        <v>1588</v>
      </c>
      <c r="B52" s="347" t="s">
        <v>1635</v>
      </c>
      <c r="C52" s="347" t="s">
        <v>1590</v>
      </c>
      <c r="D52" s="347" t="s">
        <v>1591</v>
      </c>
      <c r="E52" s="348">
        <v>45702</v>
      </c>
      <c r="F52" s="347" t="s">
        <v>1733</v>
      </c>
      <c r="G52" s="347" t="s">
        <v>820</v>
      </c>
      <c r="H52" s="347">
        <v>50200010</v>
      </c>
      <c r="I52" s="347" t="s">
        <v>1734</v>
      </c>
      <c r="J52" s="347" t="s">
        <v>820</v>
      </c>
      <c r="K52" s="347" t="s">
        <v>1039</v>
      </c>
      <c r="L52" s="348">
        <v>45702</v>
      </c>
      <c r="M52" s="347" t="s">
        <v>1735</v>
      </c>
      <c r="N52" s="347" t="s">
        <v>820</v>
      </c>
      <c r="O52" s="348"/>
      <c r="P52" s="347" t="s">
        <v>1683</v>
      </c>
      <c r="Q52" s="347" t="s">
        <v>294</v>
      </c>
      <c r="R52" s="350">
        <v>34.92</v>
      </c>
      <c r="S52" s="347" t="s">
        <v>294</v>
      </c>
      <c r="T52" s="350">
        <v>34.92</v>
      </c>
      <c r="U52" s="347" t="s">
        <v>644</v>
      </c>
      <c r="V52" s="347" t="s">
        <v>645</v>
      </c>
      <c r="W52" s="347" t="s">
        <v>820</v>
      </c>
      <c r="X52" s="347" t="s">
        <v>820</v>
      </c>
      <c r="Y52" s="347" t="s">
        <v>820</v>
      </c>
      <c r="Z52" s="347" t="s">
        <v>820</v>
      </c>
      <c r="AA52" s="347" t="s">
        <v>1598</v>
      </c>
      <c r="AB52" s="347" t="s">
        <v>820</v>
      </c>
      <c r="AC52" s="348">
        <v>45702</v>
      </c>
      <c r="AD52" s="347"/>
      <c r="AE52" s="347"/>
      <c r="AF52" s="347" t="s">
        <v>820</v>
      </c>
      <c r="AG52" s="347" t="s">
        <v>820</v>
      </c>
      <c r="AH52" s="347" t="s">
        <v>1685</v>
      </c>
      <c r="AI52" s="347" t="s">
        <v>1686</v>
      </c>
      <c r="AJ52" s="349">
        <v>24</v>
      </c>
      <c r="AK52" s="347" t="s">
        <v>1616</v>
      </c>
      <c r="AL52" s="351" t="s">
        <v>1601</v>
      </c>
      <c r="AM52" s="347" t="s">
        <v>1705</v>
      </c>
      <c r="AN52" s="347" t="s">
        <v>1706</v>
      </c>
      <c r="AO52" s="347" t="s">
        <v>820</v>
      </c>
      <c r="AP52" t="s">
        <v>1604</v>
      </c>
      <c r="AQ52" t="s">
        <v>1646</v>
      </c>
      <c r="AS52" t="s">
        <v>1531</v>
      </c>
      <c r="AT52" t="s">
        <v>333</v>
      </c>
      <c r="AU52" s="352">
        <v>576180</v>
      </c>
    </row>
    <row r="53" spans="1:47" x14ac:dyDescent="0.25">
      <c r="A53" s="347" t="s">
        <v>1588</v>
      </c>
      <c r="B53" s="347" t="s">
        <v>1635</v>
      </c>
      <c r="C53" s="347" t="s">
        <v>1590</v>
      </c>
      <c r="D53" s="347" t="s">
        <v>1591</v>
      </c>
      <c r="E53" s="348">
        <v>45702</v>
      </c>
      <c r="F53" s="347" t="s">
        <v>1733</v>
      </c>
      <c r="G53" s="347" t="s">
        <v>820</v>
      </c>
      <c r="H53" s="347">
        <v>50200010</v>
      </c>
      <c r="I53" s="347" t="s">
        <v>1734</v>
      </c>
      <c r="J53" s="347" t="s">
        <v>820</v>
      </c>
      <c r="K53" s="347" t="s">
        <v>1039</v>
      </c>
      <c r="L53" s="348">
        <v>45702</v>
      </c>
      <c r="M53" s="347" t="s">
        <v>1735</v>
      </c>
      <c r="N53" s="347" t="s">
        <v>820</v>
      </c>
      <c r="O53" s="348"/>
      <c r="P53" s="347" t="s">
        <v>1683</v>
      </c>
      <c r="Q53" s="347" t="s">
        <v>294</v>
      </c>
      <c r="R53" s="350">
        <v>1.67</v>
      </c>
      <c r="S53" s="347" t="s">
        <v>294</v>
      </c>
      <c r="T53" s="350">
        <v>1.67</v>
      </c>
      <c r="U53" s="347" t="s">
        <v>644</v>
      </c>
      <c r="V53" s="347" t="s">
        <v>645</v>
      </c>
      <c r="W53" s="347" t="s">
        <v>820</v>
      </c>
      <c r="X53" s="347" t="s">
        <v>820</v>
      </c>
      <c r="Y53" s="347" t="s">
        <v>820</v>
      </c>
      <c r="Z53" s="347" t="s">
        <v>820</v>
      </c>
      <c r="AA53" s="347" t="s">
        <v>1598</v>
      </c>
      <c r="AB53" s="347" t="s">
        <v>820</v>
      </c>
      <c r="AC53" s="348">
        <v>45702</v>
      </c>
      <c r="AD53" s="347"/>
      <c r="AE53" s="347"/>
      <c r="AF53" s="347" t="s">
        <v>820</v>
      </c>
      <c r="AG53" s="347" t="s">
        <v>820</v>
      </c>
      <c r="AH53" s="347" t="s">
        <v>1685</v>
      </c>
      <c r="AI53" s="347" t="s">
        <v>1686</v>
      </c>
      <c r="AJ53" s="349">
        <v>3</v>
      </c>
      <c r="AK53" s="347" t="s">
        <v>1484</v>
      </c>
      <c r="AL53" s="351" t="s">
        <v>1601</v>
      </c>
      <c r="AM53" s="347" t="s">
        <v>1633</v>
      </c>
      <c r="AN53" s="347" t="s">
        <v>1634</v>
      </c>
      <c r="AO53" s="347" t="s">
        <v>820</v>
      </c>
      <c r="AP53" t="s">
        <v>1604</v>
      </c>
      <c r="AQ53" t="s">
        <v>1646</v>
      </c>
      <c r="AS53" t="s">
        <v>1531</v>
      </c>
      <c r="AT53" t="s">
        <v>333</v>
      </c>
      <c r="AU53" s="352">
        <v>27555</v>
      </c>
    </row>
    <row r="54" spans="1:47" x14ac:dyDescent="0.25">
      <c r="A54" s="347" t="s">
        <v>1588</v>
      </c>
      <c r="B54" s="347" t="s">
        <v>1635</v>
      </c>
      <c r="C54" s="347" t="s">
        <v>1590</v>
      </c>
      <c r="D54" s="347" t="s">
        <v>1591</v>
      </c>
      <c r="E54" s="348">
        <v>45702</v>
      </c>
      <c r="F54" s="347" t="s">
        <v>1733</v>
      </c>
      <c r="G54" s="347" t="s">
        <v>820</v>
      </c>
      <c r="H54" s="347">
        <v>50200010</v>
      </c>
      <c r="I54" s="347" t="s">
        <v>1734</v>
      </c>
      <c r="J54" s="347" t="s">
        <v>820</v>
      </c>
      <c r="K54" s="347" t="s">
        <v>1039</v>
      </c>
      <c r="L54" s="348">
        <v>45702</v>
      </c>
      <c r="M54" s="347" t="s">
        <v>1735</v>
      </c>
      <c r="N54" s="347" t="s">
        <v>820</v>
      </c>
      <c r="O54" s="348"/>
      <c r="P54" s="347" t="s">
        <v>1683</v>
      </c>
      <c r="Q54" s="347" t="s">
        <v>294</v>
      </c>
      <c r="R54" s="350">
        <v>2.5099999999999998</v>
      </c>
      <c r="S54" s="347" t="s">
        <v>294</v>
      </c>
      <c r="T54" s="350">
        <v>2.5099999999999998</v>
      </c>
      <c r="U54" s="347" t="s">
        <v>644</v>
      </c>
      <c r="V54" s="347" t="s">
        <v>645</v>
      </c>
      <c r="W54" s="347" t="s">
        <v>820</v>
      </c>
      <c r="X54" s="347" t="s">
        <v>820</v>
      </c>
      <c r="Y54" s="347" t="s">
        <v>820</v>
      </c>
      <c r="Z54" s="347" t="s">
        <v>820</v>
      </c>
      <c r="AA54" s="347" t="s">
        <v>1598</v>
      </c>
      <c r="AB54" s="347" t="s">
        <v>820</v>
      </c>
      <c r="AC54" s="348">
        <v>45702</v>
      </c>
      <c r="AD54" s="347"/>
      <c r="AE54" s="347"/>
      <c r="AF54" s="347" t="s">
        <v>820</v>
      </c>
      <c r="AG54" s="347" t="s">
        <v>820</v>
      </c>
      <c r="AH54" s="347" t="s">
        <v>1685</v>
      </c>
      <c r="AI54" s="347" t="s">
        <v>1686</v>
      </c>
      <c r="AJ54" s="349">
        <v>4</v>
      </c>
      <c r="AK54" s="347" t="s">
        <v>1484</v>
      </c>
      <c r="AL54" s="351" t="s">
        <v>1601</v>
      </c>
      <c r="AM54" s="347" t="s">
        <v>1662</v>
      </c>
      <c r="AN54" s="347" t="s">
        <v>1663</v>
      </c>
      <c r="AO54" s="347" t="s">
        <v>820</v>
      </c>
      <c r="AP54" t="s">
        <v>1604</v>
      </c>
      <c r="AQ54" t="s">
        <v>1646</v>
      </c>
      <c r="AS54" t="s">
        <v>1531</v>
      </c>
      <c r="AT54" t="s">
        <v>333</v>
      </c>
      <c r="AU54" s="352">
        <v>41415</v>
      </c>
    </row>
    <row r="55" spans="1:47" x14ac:dyDescent="0.25">
      <c r="A55" s="347" t="s">
        <v>1588</v>
      </c>
      <c r="B55" s="347" t="s">
        <v>1635</v>
      </c>
      <c r="C55" s="347" t="s">
        <v>1590</v>
      </c>
      <c r="D55" s="347" t="s">
        <v>1678</v>
      </c>
      <c r="E55" s="348">
        <v>45708</v>
      </c>
      <c r="F55" s="347" t="s">
        <v>820</v>
      </c>
      <c r="G55" s="347" t="s">
        <v>820</v>
      </c>
      <c r="H55" s="347">
        <v>50800010</v>
      </c>
      <c r="I55" s="347" t="s">
        <v>1736</v>
      </c>
      <c r="J55" s="347" t="s">
        <v>820</v>
      </c>
      <c r="K55" s="347" t="s">
        <v>1070</v>
      </c>
      <c r="L55" s="348">
        <v>45708</v>
      </c>
      <c r="M55" s="347" t="s">
        <v>1737</v>
      </c>
      <c r="N55" s="347" t="s">
        <v>1738</v>
      </c>
      <c r="O55" s="348"/>
      <c r="P55" s="347" t="s">
        <v>1683</v>
      </c>
      <c r="Q55" s="347" t="s">
        <v>745</v>
      </c>
      <c r="R55" s="349">
        <v>21147750</v>
      </c>
      <c r="S55" s="347" t="s">
        <v>294</v>
      </c>
      <c r="T55" s="350">
        <v>1293.52</v>
      </c>
      <c r="U55" s="347" t="s">
        <v>644</v>
      </c>
      <c r="V55" s="347" t="s">
        <v>645</v>
      </c>
      <c r="W55" s="347" t="s">
        <v>820</v>
      </c>
      <c r="X55" s="347" t="s">
        <v>820</v>
      </c>
      <c r="Y55" s="347" t="s">
        <v>820</v>
      </c>
      <c r="Z55" s="347" t="s">
        <v>820</v>
      </c>
      <c r="AA55" s="347" t="s">
        <v>1598</v>
      </c>
      <c r="AB55" s="347" t="s">
        <v>820</v>
      </c>
      <c r="AC55" s="348">
        <v>45708</v>
      </c>
      <c r="AD55" s="347"/>
      <c r="AE55" s="347"/>
      <c r="AF55" s="347" t="s">
        <v>820</v>
      </c>
      <c r="AG55" s="347" t="s">
        <v>1739</v>
      </c>
      <c r="AH55" s="347" t="s">
        <v>1685</v>
      </c>
      <c r="AI55" s="347" t="s">
        <v>1686</v>
      </c>
      <c r="AJ55" s="349">
        <v>18</v>
      </c>
      <c r="AK55" s="347" t="s">
        <v>1484</v>
      </c>
      <c r="AL55" s="351" t="s">
        <v>1601</v>
      </c>
      <c r="AM55" s="347" t="s">
        <v>820</v>
      </c>
      <c r="AN55" s="347" t="s">
        <v>820</v>
      </c>
      <c r="AO55" s="347" t="s">
        <v>820</v>
      </c>
      <c r="AP55" t="s">
        <v>1604</v>
      </c>
      <c r="AQ55" t="s">
        <v>1646</v>
      </c>
      <c r="AS55" t="s">
        <v>1535</v>
      </c>
      <c r="AT55" t="s">
        <v>333</v>
      </c>
      <c r="AU55" s="352">
        <v>21147750</v>
      </c>
    </row>
    <row r="56" spans="1:47" x14ac:dyDescent="0.25">
      <c r="A56" s="347" t="s">
        <v>1588</v>
      </c>
      <c r="B56" s="347" t="s">
        <v>1664</v>
      </c>
      <c r="C56" s="347" t="s">
        <v>1590</v>
      </c>
      <c r="D56" s="347" t="s">
        <v>1591</v>
      </c>
      <c r="E56" s="348">
        <v>45722</v>
      </c>
      <c r="F56" s="347" t="s">
        <v>1740</v>
      </c>
      <c r="G56" s="347" t="s">
        <v>820</v>
      </c>
      <c r="H56" s="347">
        <v>50200010</v>
      </c>
      <c r="I56" s="347" t="s">
        <v>1741</v>
      </c>
      <c r="J56" s="347" t="s">
        <v>820</v>
      </c>
      <c r="K56" s="347" t="s">
        <v>1039</v>
      </c>
      <c r="L56" s="348">
        <v>45722</v>
      </c>
      <c r="M56" s="347" t="s">
        <v>1742</v>
      </c>
      <c r="N56" s="347" t="s">
        <v>820</v>
      </c>
      <c r="O56" s="348"/>
      <c r="P56" s="347" t="s">
        <v>1683</v>
      </c>
      <c r="Q56" s="347" t="s">
        <v>294</v>
      </c>
      <c r="R56" s="350">
        <v>58.48</v>
      </c>
      <c r="S56" s="347" t="s">
        <v>294</v>
      </c>
      <c r="T56" s="350">
        <v>58.48</v>
      </c>
      <c r="U56" s="347" t="s">
        <v>644</v>
      </c>
      <c r="V56" s="347" t="s">
        <v>645</v>
      </c>
      <c r="W56" s="347" t="s">
        <v>820</v>
      </c>
      <c r="X56" s="347" t="s">
        <v>820</v>
      </c>
      <c r="Y56" s="347" t="s">
        <v>820</v>
      </c>
      <c r="Z56" s="347" t="s">
        <v>820</v>
      </c>
      <c r="AA56" s="347" t="s">
        <v>1598</v>
      </c>
      <c r="AB56" s="347" t="s">
        <v>820</v>
      </c>
      <c r="AC56" s="348">
        <v>45722</v>
      </c>
      <c r="AD56" s="347"/>
      <c r="AE56" s="347"/>
      <c r="AF56" s="347" t="s">
        <v>820</v>
      </c>
      <c r="AG56" s="347" t="s">
        <v>820</v>
      </c>
      <c r="AH56" s="347" t="s">
        <v>1685</v>
      </c>
      <c r="AI56" s="347" t="s">
        <v>1686</v>
      </c>
      <c r="AJ56" s="349">
        <v>40</v>
      </c>
      <c r="AK56" s="347" t="s">
        <v>1616</v>
      </c>
      <c r="AL56" s="351" t="s">
        <v>1601</v>
      </c>
      <c r="AM56" s="347" t="s">
        <v>1656</v>
      </c>
      <c r="AN56" s="347" t="s">
        <v>1657</v>
      </c>
      <c r="AO56" s="347" t="s">
        <v>820</v>
      </c>
      <c r="AP56" t="s">
        <v>1604</v>
      </c>
      <c r="AQ56" t="s">
        <v>1646</v>
      </c>
      <c r="AS56" t="s">
        <v>1531</v>
      </c>
      <c r="AT56" t="s">
        <v>333</v>
      </c>
      <c r="AU56" s="352">
        <v>964920</v>
      </c>
    </row>
    <row r="57" spans="1:47" x14ac:dyDescent="0.25">
      <c r="A57" s="347" t="s">
        <v>1588</v>
      </c>
      <c r="B57" s="347" t="s">
        <v>1664</v>
      </c>
      <c r="C57" s="347" t="s">
        <v>1590</v>
      </c>
      <c r="D57" s="347" t="s">
        <v>1591</v>
      </c>
      <c r="E57" s="348">
        <v>45722</v>
      </c>
      <c r="F57" s="347" t="s">
        <v>1740</v>
      </c>
      <c r="G57" s="347" t="s">
        <v>820</v>
      </c>
      <c r="H57" s="347">
        <v>50200010</v>
      </c>
      <c r="I57" s="347" t="s">
        <v>1741</v>
      </c>
      <c r="J57" s="347" t="s">
        <v>820</v>
      </c>
      <c r="K57" s="347" t="s">
        <v>1039</v>
      </c>
      <c r="L57" s="348">
        <v>45722</v>
      </c>
      <c r="M57" s="347" t="s">
        <v>1742</v>
      </c>
      <c r="N57" s="347" t="s">
        <v>820</v>
      </c>
      <c r="O57" s="348"/>
      <c r="P57" s="347" t="s">
        <v>1683</v>
      </c>
      <c r="Q57" s="347" t="s">
        <v>294</v>
      </c>
      <c r="R57" s="350">
        <v>17.46</v>
      </c>
      <c r="S57" s="347" t="s">
        <v>294</v>
      </c>
      <c r="T57" s="350">
        <v>17.46</v>
      </c>
      <c r="U57" s="347" t="s">
        <v>644</v>
      </c>
      <c r="V57" s="347" t="s">
        <v>645</v>
      </c>
      <c r="W57" s="347" t="s">
        <v>820</v>
      </c>
      <c r="X57" s="347" t="s">
        <v>820</v>
      </c>
      <c r="Y57" s="347" t="s">
        <v>820</v>
      </c>
      <c r="Z57" s="347" t="s">
        <v>820</v>
      </c>
      <c r="AA57" s="347" t="s">
        <v>1598</v>
      </c>
      <c r="AB57" s="347" t="s">
        <v>820</v>
      </c>
      <c r="AC57" s="348">
        <v>45722</v>
      </c>
      <c r="AD57" s="347"/>
      <c r="AE57" s="347"/>
      <c r="AF57" s="347" t="s">
        <v>820</v>
      </c>
      <c r="AG57" s="347" t="s">
        <v>820</v>
      </c>
      <c r="AH57" s="347" t="s">
        <v>1685</v>
      </c>
      <c r="AI57" s="347" t="s">
        <v>1686</v>
      </c>
      <c r="AJ57" s="349">
        <v>12</v>
      </c>
      <c r="AK57" s="347" t="s">
        <v>1616</v>
      </c>
      <c r="AL57" s="351" t="s">
        <v>1601</v>
      </c>
      <c r="AM57" s="347" t="s">
        <v>1705</v>
      </c>
      <c r="AN57" s="347" t="s">
        <v>1706</v>
      </c>
      <c r="AO57" s="347" t="s">
        <v>820</v>
      </c>
      <c r="AP57" t="s">
        <v>1604</v>
      </c>
      <c r="AQ57" t="s">
        <v>1646</v>
      </c>
      <c r="AS57" t="s">
        <v>1531</v>
      </c>
      <c r="AT57" t="s">
        <v>333</v>
      </c>
      <c r="AU57" s="352">
        <v>288090</v>
      </c>
    </row>
    <row r="58" spans="1:47" x14ac:dyDescent="0.25">
      <c r="A58" s="347" t="s">
        <v>1588</v>
      </c>
      <c r="B58" s="347" t="s">
        <v>1664</v>
      </c>
      <c r="C58" s="347" t="s">
        <v>1590</v>
      </c>
      <c r="D58" s="347" t="s">
        <v>1591</v>
      </c>
      <c r="E58" s="348">
        <v>45722</v>
      </c>
      <c r="F58" s="347" t="s">
        <v>1740</v>
      </c>
      <c r="G58" s="347" t="s">
        <v>820</v>
      </c>
      <c r="H58" s="347">
        <v>50200010</v>
      </c>
      <c r="I58" s="347" t="s">
        <v>1741</v>
      </c>
      <c r="J58" s="347" t="s">
        <v>820</v>
      </c>
      <c r="K58" s="347" t="s">
        <v>1039</v>
      </c>
      <c r="L58" s="348">
        <v>45722</v>
      </c>
      <c r="M58" s="347" t="s">
        <v>1742</v>
      </c>
      <c r="N58" s="347" t="s">
        <v>820</v>
      </c>
      <c r="O58" s="348"/>
      <c r="P58" s="347" t="s">
        <v>1683</v>
      </c>
      <c r="Q58" s="347" t="s">
        <v>294</v>
      </c>
      <c r="R58" s="350">
        <v>8.9</v>
      </c>
      <c r="S58" s="347" t="s">
        <v>294</v>
      </c>
      <c r="T58" s="350">
        <v>8.9</v>
      </c>
      <c r="U58" s="347" t="s">
        <v>644</v>
      </c>
      <c r="V58" s="347" t="s">
        <v>645</v>
      </c>
      <c r="W58" s="347" t="s">
        <v>820</v>
      </c>
      <c r="X58" s="347" t="s">
        <v>820</v>
      </c>
      <c r="Y58" s="347" t="s">
        <v>820</v>
      </c>
      <c r="Z58" s="347" t="s">
        <v>820</v>
      </c>
      <c r="AA58" s="347" t="s">
        <v>1598</v>
      </c>
      <c r="AB58" s="347" t="s">
        <v>820</v>
      </c>
      <c r="AC58" s="348">
        <v>45722</v>
      </c>
      <c r="AD58" s="347"/>
      <c r="AE58" s="347"/>
      <c r="AF58" s="347" t="s">
        <v>820</v>
      </c>
      <c r="AG58" s="347" t="s">
        <v>820</v>
      </c>
      <c r="AH58" s="347" t="s">
        <v>1685</v>
      </c>
      <c r="AI58" s="347" t="s">
        <v>1686</v>
      </c>
      <c r="AJ58" s="349">
        <v>10</v>
      </c>
      <c r="AK58" s="347" t="s">
        <v>1620</v>
      </c>
      <c r="AL58" s="351" t="s">
        <v>1601</v>
      </c>
      <c r="AM58" s="347" t="s">
        <v>1621</v>
      </c>
      <c r="AN58" s="347" t="s">
        <v>1622</v>
      </c>
      <c r="AO58" s="347" t="s">
        <v>820</v>
      </c>
      <c r="AP58" t="s">
        <v>1604</v>
      </c>
      <c r="AQ58" t="s">
        <v>1646</v>
      </c>
      <c r="AS58" t="s">
        <v>1531</v>
      </c>
      <c r="AT58" t="s">
        <v>333</v>
      </c>
      <c r="AU58" s="352">
        <v>146850</v>
      </c>
    </row>
    <row r="59" spans="1:47" x14ac:dyDescent="0.25">
      <c r="A59" s="347" t="s">
        <v>1588</v>
      </c>
      <c r="B59" s="347" t="s">
        <v>1664</v>
      </c>
      <c r="C59" s="347" t="s">
        <v>1590</v>
      </c>
      <c r="D59" s="347" t="s">
        <v>1591</v>
      </c>
      <c r="E59" s="348">
        <v>45722</v>
      </c>
      <c r="F59" s="347" t="s">
        <v>1740</v>
      </c>
      <c r="G59" s="347" t="s">
        <v>820</v>
      </c>
      <c r="H59" s="347">
        <v>50200010</v>
      </c>
      <c r="I59" s="347" t="s">
        <v>1741</v>
      </c>
      <c r="J59" s="347" t="s">
        <v>820</v>
      </c>
      <c r="K59" s="347" t="s">
        <v>1039</v>
      </c>
      <c r="L59" s="348">
        <v>45722</v>
      </c>
      <c r="M59" s="347" t="s">
        <v>1742</v>
      </c>
      <c r="N59" s="347" t="s">
        <v>820</v>
      </c>
      <c r="O59" s="348"/>
      <c r="P59" s="347" t="s">
        <v>1683</v>
      </c>
      <c r="Q59" s="347" t="s">
        <v>294</v>
      </c>
      <c r="R59" s="350">
        <v>1.26</v>
      </c>
      <c r="S59" s="347" t="s">
        <v>294</v>
      </c>
      <c r="T59" s="350">
        <v>1.26</v>
      </c>
      <c r="U59" s="347" t="s">
        <v>644</v>
      </c>
      <c r="V59" s="347" t="s">
        <v>645</v>
      </c>
      <c r="W59" s="347" t="s">
        <v>820</v>
      </c>
      <c r="X59" s="347" t="s">
        <v>820</v>
      </c>
      <c r="Y59" s="347" t="s">
        <v>820</v>
      </c>
      <c r="Z59" s="347" t="s">
        <v>820</v>
      </c>
      <c r="AA59" s="347" t="s">
        <v>1598</v>
      </c>
      <c r="AB59" s="347" t="s">
        <v>820</v>
      </c>
      <c r="AC59" s="348">
        <v>45722</v>
      </c>
      <c r="AD59" s="347"/>
      <c r="AE59" s="347"/>
      <c r="AF59" s="347" t="s">
        <v>820</v>
      </c>
      <c r="AG59" s="347" t="s">
        <v>820</v>
      </c>
      <c r="AH59" s="347" t="s">
        <v>1685</v>
      </c>
      <c r="AI59" s="347" t="s">
        <v>1686</v>
      </c>
      <c r="AJ59" s="349">
        <v>2</v>
      </c>
      <c r="AK59" s="347" t="s">
        <v>1484</v>
      </c>
      <c r="AL59" s="351" t="s">
        <v>1601</v>
      </c>
      <c r="AM59" s="347" t="s">
        <v>1662</v>
      </c>
      <c r="AN59" s="347" t="s">
        <v>1663</v>
      </c>
      <c r="AO59" s="347" t="s">
        <v>820</v>
      </c>
      <c r="AP59" t="s">
        <v>1604</v>
      </c>
      <c r="AQ59" t="s">
        <v>1646</v>
      </c>
      <c r="AS59" t="s">
        <v>1531</v>
      </c>
      <c r="AT59" t="s">
        <v>333</v>
      </c>
      <c r="AU59" s="352">
        <v>20790</v>
      </c>
    </row>
    <row r="60" spans="1:47" x14ac:dyDescent="0.25">
      <c r="A60" s="347" t="s">
        <v>1588</v>
      </c>
      <c r="B60" s="347" t="s">
        <v>1664</v>
      </c>
      <c r="C60" s="347" t="s">
        <v>1590</v>
      </c>
      <c r="D60" s="347" t="s">
        <v>1591</v>
      </c>
      <c r="E60" s="348">
        <v>45722</v>
      </c>
      <c r="F60" s="347" t="s">
        <v>1743</v>
      </c>
      <c r="G60" s="347" t="s">
        <v>820</v>
      </c>
      <c r="H60" s="347">
        <v>50200010</v>
      </c>
      <c r="I60" s="347" t="s">
        <v>1741</v>
      </c>
      <c r="J60" s="347" t="s">
        <v>820</v>
      </c>
      <c r="K60" s="347" t="s">
        <v>1039</v>
      </c>
      <c r="L60" s="348">
        <v>45722</v>
      </c>
      <c r="M60" s="347" t="s">
        <v>1742</v>
      </c>
      <c r="N60" s="347" t="s">
        <v>820</v>
      </c>
      <c r="O60" s="348"/>
      <c r="P60" s="347" t="s">
        <v>1683</v>
      </c>
      <c r="Q60" s="347" t="s">
        <v>294</v>
      </c>
      <c r="R60" s="350">
        <v>3.06</v>
      </c>
      <c r="S60" s="347" t="s">
        <v>294</v>
      </c>
      <c r="T60" s="350">
        <v>3.06</v>
      </c>
      <c r="U60" s="347" t="s">
        <v>644</v>
      </c>
      <c r="V60" s="347" t="s">
        <v>645</v>
      </c>
      <c r="W60" s="347" t="s">
        <v>820</v>
      </c>
      <c r="X60" s="347" t="s">
        <v>820</v>
      </c>
      <c r="Y60" s="347" t="s">
        <v>820</v>
      </c>
      <c r="Z60" s="347" t="s">
        <v>820</v>
      </c>
      <c r="AA60" s="347" t="s">
        <v>1598</v>
      </c>
      <c r="AB60" s="347" t="s">
        <v>820</v>
      </c>
      <c r="AC60" s="348">
        <v>45722</v>
      </c>
      <c r="AD60" s="347"/>
      <c r="AE60" s="347"/>
      <c r="AF60" s="347" t="s">
        <v>820</v>
      </c>
      <c r="AG60" s="347" t="s">
        <v>820</v>
      </c>
      <c r="AH60" s="347" t="s">
        <v>1685</v>
      </c>
      <c r="AI60" s="347" t="s">
        <v>1686</v>
      </c>
      <c r="AJ60" s="349">
        <v>2</v>
      </c>
      <c r="AK60" s="347" t="s">
        <v>1484</v>
      </c>
      <c r="AL60" s="351" t="s">
        <v>1601</v>
      </c>
      <c r="AM60" s="347" t="s">
        <v>1744</v>
      </c>
      <c r="AN60" s="347" t="s">
        <v>1745</v>
      </c>
      <c r="AO60" s="347" t="s">
        <v>820</v>
      </c>
      <c r="AP60" t="s">
        <v>1604</v>
      </c>
      <c r="AQ60" t="s">
        <v>1646</v>
      </c>
      <c r="AS60" t="s">
        <v>1531</v>
      </c>
      <c r="AT60" t="s">
        <v>333</v>
      </c>
      <c r="AU60" s="352">
        <v>50490</v>
      </c>
    </row>
    <row r="61" spans="1:47" x14ac:dyDescent="0.25">
      <c r="A61" s="347" t="s">
        <v>1588</v>
      </c>
      <c r="B61" s="347" t="s">
        <v>1664</v>
      </c>
      <c r="C61" s="347" t="s">
        <v>1590</v>
      </c>
      <c r="D61" s="347" t="s">
        <v>1591</v>
      </c>
      <c r="E61" s="348">
        <v>45722</v>
      </c>
      <c r="F61" s="347" t="s">
        <v>1746</v>
      </c>
      <c r="G61" s="347" t="s">
        <v>820</v>
      </c>
      <c r="H61" s="347">
        <v>50200010</v>
      </c>
      <c r="I61" s="347" t="s">
        <v>1741</v>
      </c>
      <c r="J61" s="347" t="s">
        <v>820</v>
      </c>
      <c r="K61" s="347" t="s">
        <v>1039</v>
      </c>
      <c r="L61" s="348">
        <v>45722</v>
      </c>
      <c r="M61" s="347" t="s">
        <v>1742</v>
      </c>
      <c r="N61" s="347" t="s">
        <v>820</v>
      </c>
      <c r="O61" s="348"/>
      <c r="P61" s="347" t="s">
        <v>1683</v>
      </c>
      <c r="Q61" s="347" t="s">
        <v>294</v>
      </c>
      <c r="R61" s="350">
        <v>1.24</v>
      </c>
      <c r="S61" s="347" t="s">
        <v>294</v>
      </c>
      <c r="T61" s="350">
        <v>1.24</v>
      </c>
      <c r="U61" s="347" t="s">
        <v>644</v>
      </c>
      <c r="V61" s="347" t="s">
        <v>645</v>
      </c>
      <c r="W61" s="347" t="s">
        <v>820</v>
      </c>
      <c r="X61" s="347" t="s">
        <v>820</v>
      </c>
      <c r="Y61" s="347" t="s">
        <v>820</v>
      </c>
      <c r="Z61" s="347" t="s">
        <v>820</v>
      </c>
      <c r="AA61" s="347" t="s">
        <v>1598</v>
      </c>
      <c r="AB61" s="347" t="s">
        <v>820</v>
      </c>
      <c r="AC61" s="348">
        <v>45722</v>
      </c>
      <c r="AD61" s="347"/>
      <c r="AE61" s="347"/>
      <c r="AF61" s="347" t="s">
        <v>820</v>
      </c>
      <c r="AG61" s="347" t="s">
        <v>820</v>
      </c>
      <c r="AH61" s="347" t="s">
        <v>1685</v>
      </c>
      <c r="AI61" s="347" t="s">
        <v>1686</v>
      </c>
      <c r="AJ61" s="349">
        <v>2</v>
      </c>
      <c r="AK61" s="347" t="s">
        <v>1484</v>
      </c>
      <c r="AL61" s="351" t="s">
        <v>1601</v>
      </c>
      <c r="AM61" s="347" t="s">
        <v>1747</v>
      </c>
      <c r="AN61" s="347" t="s">
        <v>1748</v>
      </c>
      <c r="AO61" s="347" t="s">
        <v>820</v>
      </c>
      <c r="AP61" t="s">
        <v>1604</v>
      </c>
      <c r="AQ61" t="s">
        <v>1646</v>
      </c>
      <c r="AS61" t="s">
        <v>1531</v>
      </c>
      <c r="AT61" t="s">
        <v>333</v>
      </c>
      <c r="AU61" s="352">
        <v>20460</v>
      </c>
    </row>
    <row r="62" spans="1:47" x14ac:dyDescent="0.25">
      <c r="A62" s="347" t="s">
        <v>1588</v>
      </c>
      <c r="B62" s="347" t="s">
        <v>1749</v>
      </c>
      <c r="C62" s="347" t="s">
        <v>1590</v>
      </c>
      <c r="D62" s="347" t="s">
        <v>1591</v>
      </c>
      <c r="E62" s="348">
        <v>45755</v>
      </c>
      <c r="F62" s="347" t="s">
        <v>1750</v>
      </c>
      <c r="G62" s="347" t="s">
        <v>820</v>
      </c>
      <c r="H62" s="347">
        <v>50200010</v>
      </c>
      <c r="I62" s="347" t="s">
        <v>1751</v>
      </c>
      <c r="J62" s="347" t="s">
        <v>820</v>
      </c>
      <c r="K62" s="347" t="s">
        <v>1039</v>
      </c>
      <c r="L62" s="348">
        <v>45755</v>
      </c>
      <c r="M62" s="347" t="s">
        <v>1752</v>
      </c>
      <c r="N62" s="347" t="s">
        <v>820</v>
      </c>
      <c r="O62" s="348"/>
      <c r="P62" s="347" t="s">
        <v>1683</v>
      </c>
      <c r="Q62" s="347" t="s">
        <v>294</v>
      </c>
      <c r="R62" s="350">
        <v>19.100000000000001</v>
      </c>
      <c r="S62" s="347" t="s">
        <v>294</v>
      </c>
      <c r="T62" s="350">
        <v>19.100000000000001</v>
      </c>
      <c r="U62" s="347" t="s">
        <v>644</v>
      </c>
      <c r="V62" s="347" t="s">
        <v>645</v>
      </c>
      <c r="W62" s="347" t="s">
        <v>820</v>
      </c>
      <c r="X62" s="347" t="s">
        <v>820</v>
      </c>
      <c r="Y62" s="347" t="s">
        <v>820</v>
      </c>
      <c r="Z62" s="347" t="s">
        <v>820</v>
      </c>
      <c r="AA62" s="347" t="s">
        <v>1598</v>
      </c>
      <c r="AB62" s="347" t="s">
        <v>820</v>
      </c>
      <c r="AC62" s="348">
        <v>45755</v>
      </c>
      <c r="AD62" s="347"/>
      <c r="AE62" s="347"/>
      <c r="AF62" s="347" t="s">
        <v>820</v>
      </c>
      <c r="AG62" s="347" t="s">
        <v>820</v>
      </c>
      <c r="AH62" s="347" t="s">
        <v>1685</v>
      </c>
      <c r="AI62" s="347" t="s">
        <v>1686</v>
      </c>
      <c r="AJ62" s="349">
        <v>40</v>
      </c>
      <c r="AK62" s="347" t="s">
        <v>1484</v>
      </c>
      <c r="AL62" s="351" t="s">
        <v>1601</v>
      </c>
      <c r="AM62" s="347" t="s">
        <v>1753</v>
      </c>
      <c r="AN62" s="347" t="s">
        <v>1754</v>
      </c>
      <c r="AO62" s="347" t="s">
        <v>820</v>
      </c>
      <c r="AP62" t="s">
        <v>1604</v>
      </c>
      <c r="AQ62" t="s">
        <v>1646</v>
      </c>
      <c r="AS62" t="s">
        <v>1531</v>
      </c>
      <c r="AT62" t="s">
        <v>333</v>
      </c>
      <c r="AU62" s="352">
        <v>315150</v>
      </c>
    </row>
    <row r="63" spans="1:47" x14ac:dyDescent="0.25">
      <c r="A63" s="347" t="s">
        <v>1588</v>
      </c>
      <c r="B63" s="347" t="s">
        <v>1749</v>
      </c>
      <c r="C63" s="347" t="s">
        <v>1590</v>
      </c>
      <c r="D63" s="347" t="s">
        <v>1591</v>
      </c>
      <c r="E63" s="348">
        <v>45758</v>
      </c>
      <c r="F63" s="347" t="s">
        <v>1755</v>
      </c>
      <c r="G63" s="347" t="s">
        <v>820</v>
      </c>
      <c r="H63" s="347">
        <v>50200010</v>
      </c>
      <c r="I63" s="347" t="s">
        <v>1756</v>
      </c>
      <c r="J63" s="347" t="s">
        <v>820</v>
      </c>
      <c r="K63" s="347" t="s">
        <v>1039</v>
      </c>
      <c r="L63" s="348">
        <v>45758</v>
      </c>
      <c r="M63" s="347" t="s">
        <v>1757</v>
      </c>
      <c r="N63" s="347" t="s">
        <v>820</v>
      </c>
      <c r="O63" s="348"/>
      <c r="P63" s="347" t="s">
        <v>1683</v>
      </c>
      <c r="Q63" s="347" t="s">
        <v>294</v>
      </c>
      <c r="R63" s="350">
        <v>19.09</v>
      </c>
      <c r="S63" s="347" t="s">
        <v>294</v>
      </c>
      <c r="T63" s="350">
        <v>19.09</v>
      </c>
      <c r="U63" s="347" t="s">
        <v>644</v>
      </c>
      <c r="V63" s="347" t="s">
        <v>645</v>
      </c>
      <c r="W63" s="347" t="s">
        <v>820</v>
      </c>
      <c r="X63" s="347" t="s">
        <v>820</v>
      </c>
      <c r="Y63" s="347" t="s">
        <v>820</v>
      </c>
      <c r="Z63" s="347" t="s">
        <v>820</v>
      </c>
      <c r="AA63" s="347" t="s">
        <v>1598</v>
      </c>
      <c r="AB63" s="347" t="s">
        <v>820</v>
      </c>
      <c r="AC63" s="348">
        <v>45758</v>
      </c>
      <c r="AD63" s="347"/>
      <c r="AE63" s="347"/>
      <c r="AF63" s="347" t="s">
        <v>820</v>
      </c>
      <c r="AG63" s="347" t="s">
        <v>820</v>
      </c>
      <c r="AH63" s="347" t="s">
        <v>1685</v>
      </c>
      <c r="AI63" s="347" t="s">
        <v>1686</v>
      </c>
      <c r="AJ63" s="349">
        <v>40</v>
      </c>
      <c r="AK63" s="347" t="s">
        <v>1484</v>
      </c>
      <c r="AL63" s="351" t="s">
        <v>1601</v>
      </c>
      <c r="AM63" s="347" t="s">
        <v>1753</v>
      </c>
      <c r="AN63" s="347" t="s">
        <v>1754</v>
      </c>
      <c r="AO63" s="347" t="s">
        <v>820</v>
      </c>
      <c r="AP63" t="s">
        <v>1604</v>
      </c>
      <c r="AQ63" t="s">
        <v>1646</v>
      </c>
      <c r="AS63" t="s">
        <v>1531</v>
      </c>
      <c r="AT63" t="s">
        <v>333</v>
      </c>
      <c r="AU63" s="352">
        <v>314985</v>
      </c>
    </row>
    <row r="64" spans="1:47" x14ac:dyDescent="0.25">
      <c r="A64" s="347" t="s">
        <v>1588</v>
      </c>
      <c r="B64" s="347" t="s">
        <v>1749</v>
      </c>
      <c r="C64" s="347" t="s">
        <v>1590</v>
      </c>
      <c r="D64" s="347" t="s">
        <v>1678</v>
      </c>
      <c r="E64" s="348">
        <v>45772</v>
      </c>
      <c r="F64" s="347" t="s">
        <v>1758</v>
      </c>
      <c r="G64" s="347" t="s">
        <v>820</v>
      </c>
      <c r="H64" s="347">
        <v>50800010</v>
      </c>
      <c r="I64" s="347" t="s">
        <v>1759</v>
      </c>
      <c r="J64" s="347" t="s">
        <v>820</v>
      </c>
      <c r="K64" s="347" t="s">
        <v>1070</v>
      </c>
      <c r="L64" s="348">
        <v>45772</v>
      </c>
      <c r="M64" s="347" t="s">
        <v>1760</v>
      </c>
      <c r="N64" s="347" t="s">
        <v>1761</v>
      </c>
      <c r="O64" s="348"/>
      <c r="P64" s="347" t="s">
        <v>1683</v>
      </c>
      <c r="Q64" s="347" t="s">
        <v>745</v>
      </c>
      <c r="R64" s="349">
        <v>650000</v>
      </c>
      <c r="S64" s="347" t="s">
        <v>294</v>
      </c>
      <c r="T64" s="350">
        <v>38.65</v>
      </c>
      <c r="U64" s="347" t="s">
        <v>644</v>
      </c>
      <c r="V64" s="347" t="s">
        <v>645</v>
      </c>
      <c r="W64" s="347" t="s">
        <v>820</v>
      </c>
      <c r="X64" s="347" t="s">
        <v>820</v>
      </c>
      <c r="Y64" s="347" t="s">
        <v>820</v>
      </c>
      <c r="Z64" s="347" t="s">
        <v>820</v>
      </c>
      <c r="AA64" s="347" t="s">
        <v>1598</v>
      </c>
      <c r="AB64" s="347" t="s">
        <v>820</v>
      </c>
      <c r="AC64" s="348">
        <v>45772</v>
      </c>
      <c r="AD64" s="347"/>
      <c r="AE64" s="347"/>
      <c r="AF64" s="347" t="s">
        <v>820</v>
      </c>
      <c r="AG64" s="347" t="s">
        <v>1762</v>
      </c>
      <c r="AH64" s="347" t="s">
        <v>1685</v>
      </c>
      <c r="AI64" s="347" t="s">
        <v>1686</v>
      </c>
      <c r="AJ64" s="349">
        <v>4</v>
      </c>
      <c r="AK64" s="347" t="s">
        <v>50</v>
      </c>
      <c r="AL64" s="351" t="s">
        <v>1601</v>
      </c>
      <c r="AM64" s="347" t="s">
        <v>820</v>
      </c>
      <c r="AN64" s="347" t="s">
        <v>820</v>
      </c>
      <c r="AO64" s="347" t="s">
        <v>820</v>
      </c>
      <c r="AP64" t="s">
        <v>1604</v>
      </c>
      <c r="AQ64" t="s">
        <v>1646</v>
      </c>
      <c r="AS64" t="s">
        <v>1535</v>
      </c>
      <c r="AT64" t="s">
        <v>333</v>
      </c>
      <c r="AU64" s="352">
        <v>650000</v>
      </c>
    </row>
    <row r="65" spans="1:49" x14ac:dyDescent="0.25">
      <c r="A65" s="347" t="s">
        <v>1588</v>
      </c>
      <c r="B65" s="347" t="s">
        <v>1749</v>
      </c>
      <c r="C65" s="347" t="s">
        <v>1590</v>
      </c>
      <c r="D65" s="347" t="s">
        <v>1678</v>
      </c>
      <c r="E65" s="348">
        <v>45772</v>
      </c>
      <c r="F65" s="347" t="s">
        <v>1763</v>
      </c>
      <c r="G65" s="347" t="s">
        <v>820</v>
      </c>
      <c r="H65" s="347">
        <v>50800010</v>
      </c>
      <c r="I65" s="347" t="s">
        <v>1759</v>
      </c>
      <c r="J65" s="347" t="s">
        <v>820</v>
      </c>
      <c r="K65" s="347" t="s">
        <v>1070</v>
      </c>
      <c r="L65" s="348">
        <v>45772</v>
      </c>
      <c r="M65" s="347" t="s">
        <v>1760</v>
      </c>
      <c r="N65" s="347" t="s">
        <v>1761</v>
      </c>
      <c r="O65" s="348"/>
      <c r="P65" s="347" t="s">
        <v>1683</v>
      </c>
      <c r="Q65" s="347" t="s">
        <v>745</v>
      </c>
      <c r="R65" s="349">
        <v>193056</v>
      </c>
      <c r="S65" s="347" t="s">
        <v>294</v>
      </c>
      <c r="T65" s="350">
        <v>11.48</v>
      </c>
      <c r="U65" s="347" t="s">
        <v>644</v>
      </c>
      <c r="V65" s="347" t="s">
        <v>645</v>
      </c>
      <c r="W65" s="347" t="s">
        <v>820</v>
      </c>
      <c r="X65" s="347" t="s">
        <v>820</v>
      </c>
      <c r="Y65" s="347" t="s">
        <v>820</v>
      </c>
      <c r="Z65" s="347" t="s">
        <v>820</v>
      </c>
      <c r="AA65" s="347" t="s">
        <v>1598</v>
      </c>
      <c r="AB65" s="347" t="s">
        <v>820</v>
      </c>
      <c r="AC65" s="348">
        <v>45772</v>
      </c>
      <c r="AD65" s="347"/>
      <c r="AE65" s="347"/>
      <c r="AF65" s="347" t="s">
        <v>820</v>
      </c>
      <c r="AG65" s="347" t="s">
        <v>1762</v>
      </c>
      <c r="AH65" s="347" t="s">
        <v>1685</v>
      </c>
      <c r="AI65" s="347" t="s">
        <v>1686</v>
      </c>
      <c r="AJ65" s="349">
        <v>4</v>
      </c>
      <c r="AK65" s="347" t="s">
        <v>50</v>
      </c>
      <c r="AL65" s="351" t="s">
        <v>1601</v>
      </c>
      <c r="AM65" s="347" t="s">
        <v>820</v>
      </c>
      <c r="AN65" s="347" t="s">
        <v>820</v>
      </c>
      <c r="AO65" s="347" t="s">
        <v>820</v>
      </c>
      <c r="AP65" t="s">
        <v>1604</v>
      </c>
      <c r="AQ65" t="s">
        <v>1646</v>
      </c>
      <c r="AS65" t="s">
        <v>1535</v>
      </c>
      <c r="AT65" t="s">
        <v>333</v>
      </c>
      <c r="AU65" s="352">
        <v>193056</v>
      </c>
    </row>
    <row r="66" spans="1:49" x14ac:dyDescent="0.25">
      <c r="A66" s="347" t="s">
        <v>1588</v>
      </c>
      <c r="B66" s="347" t="s">
        <v>1749</v>
      </c>
      <c r="C66" s="347" t="s">
        <v>1590</v>
      </c>
      <c r="D66" s="347" t="s">
        <v>1678</v>
      </c>
      <c r="E66" s="348">
        <v>45772</v>
      </c>
      <c r="F66" s="347" t="s">
        <v>1764</v>
      </c>
      <c r="G66" s="347" t="s">
        <v>820</v>
      </c>
      <c r="H66" s="347">
        <v>50800010</v>
      </c>
      <c r="I66" s="347" t="s">
        <v>1759</v>
      </c>
      <c r="J66" s="347" t="s">
        <v>820</v>
      </c>
      <c r="K66" s="347" t="s">
        <v>1070</v>
      </c>
      <c r="L66" s="348">
        <v>45772</v>
      </c>
      <c r="M66" s="347" t="s">
        <v>1760</v>
      </c>
      <c r="N66" s="347" t="s">
        <v>1761</v>
      </c>
      <c r="O66" s="348"/>
      <c r="P66" s="347" t="s">
        <v>1683</v>
      </c>
      <c r="Q66" s="347" t="s">
        <v>745</v>
      </c>
      <c r="R66" s="349">
        <v>241900</v>
      </c>
      <c r="S66" s="347" t="s">
        <v>294</v>
      </c>
      <c r="T66" s="350">
        <v>14.38</v>
      </c>
      <c r="U66" s="347" t="s">
        <v>644</v>
      </c>
      <c r="V66" s="347" t="s">
        <v>645</v>
      </c>
      <c r="W66" s="347" t="s">
        <v>820</v>
      </c>
      <c r="X66" s="347" t="s">
        <v>820</v>
      </c>
      <c r="Y66" s="347" t="s">
        <v>820</v>
      </c>
      <c r="Z66" s="347" t="s">
        <v>820</v>
      </c>
      <c r="AA66" s="347" t="s">
        <v>1598</v>
      </c>
      <c r="AB66" s="347" t="s">
        <v>820</v>
      </c>
      <c r="AC66" s="348">
        <v>45772</v>
      </c>
      <c r="AD66" s="347"/>
      <c r="AE66" s="347"/>
      <c r="AF66" s="347" t="s">
        <v>820</v>
      </c>
      <c r="AG66" s="347" t="s">
        <v>1762</v>
      </c>
      <c r="AH66" s="347" t="s">
        <v>1685</v>
      </c>
      <c r="AI66" s="347" t="s">
        <v>1686</v>
      </c>
      <c r="AJ66" s="354">
        <v>20</v>
      </c>
      <c r="AK66" s="347" t="s">
        <v>1620</v>
      </c>
      <c r="AL66" s="351" t="s">
        <v>1601</v>
      </c>
      <c r="AM66" s="347" t="s">
        <v>820</v>
      </c>
      <c r="AN66" s="347" t="s">
        <v>820</v>
      </c>
      <c r="AO66" s="347" t="s">
        <v>820</v>
      </c>
      <c r="AP66" t="s">
        <v>1604</v>
      </c>
      <c r="AQ66" t="s">
        <v>1646</v>
      </c>
      <c r="AS66" t="s">
        <v>1535</v>
      </c>
      <c r="AT66" t="s">
        <v>333</v>
      </c>
      <c r="AU66" s="352">
        <v>241900</v>
      </c>
    </row>
    <row r="67" spans="1:49" x14ac:dyDescent="0.25">
      <c r="A67" s="347" t="s">
        <v>1588</v>
      </c>
      <c r="B67" s="347" t="s">
        <v>1765</v>
      </c>
      <c r="C67" s="347" t="s">
        <v>1590</v>
      </c>
      <c r="D67" s="347" t="s">
        <v>1591</v>
      </c>
      <c r="E67" s="348">
        <v>45779</v>
      </c>
      <c r="F67" s="347" t="s">
        <v>1766</v>
      </c>
      <c r="G67" s="347" t="s">
        <v>820</v>
      </c>
      <c r="H67" s="347">
        <v>50200010</v>
      </c>
      <c r="I67" s="347" t="s">
        <v>1767</v>
      </c>
      <c r="J67" s="347" t="s">
        <v>820</v>
      </c>
      <c r="K67" s="347" t="s">
        <v>1039</v>
      </c>
      <c r="L67" s="348">
        <v>45779</v>
      </c>
      <c r="M67" s="347" t="s">
        <v>1768</v>
      </c>
      <c r="N67" s="347" t="s">
        <v>820</v>
      </c>
      <c r="O67" s="348"/>
      <c r="P67" s="347" t="s">
        <v>1683</v>
      </c>
      <c r="Q67" s="347" t="s">
        <v>294</v>
      </c>
      <c r="R67" s="350">
        <v>18.55</v>
      </c>
      <c r="S67" s="347" t="s">
        <v>294</v>
      </c>
      <c r="T67" s="350">
        <v>18.55</v>
      </c>
      <c r="U67" s="347" t="s">
        <v>644</v>
      </c>
      <c r="V67" s="347" t="s">
        <v>645</v>
      </c>
      <c r="W67" s="347" t="s">
        <v>820</v>
      </c>
      <c r="X67" s="347" t="s">
        <v>820</v>
      </c>
      <c r="Y67" s="347" t="s">
        <v>820</v>
      </c>
      <c r="Z67" s="347" t="s">
        <v>820</v>
      </c>
      <c r="AA67" s="347" t="s">
        <v>1598</v>
      </c>
      <c r="AB67" s="347" t="s">
        <v>820</v>
      </c>
      <c r="AC67" s="348">
        <v>45779</v>
      </c>
      <c r="AD67" s="347"/>
      <c r="AE67" s="347"/>
      <c r="AF67" s="347" t="s">
        <v>820</v>
      </c>
      <c r="AG67" s="347" t="s">
        <v>820</v>
      </c>
      <c r="AH67" s="347" t="s">
        <v>1685</v>
      </c>
      <c r="AI67" s="347" t="s">
        <v>1686</v>
      </c>
      <c r="AJ67" s="349">
        <v>40</v>
      </c>
      <c r="AK67" s="347" t="s">
        <v>1484</v>
      </c>
      <c r="AL67" s="351" t="s">
        <v>1601</v>
      </c>
      <c r="AM67" s="347" t="s">
        <v>1753</v>
      </c>
      <c r="AN67" s="347" t="s">
        <v>1754</v>
      </c>
      <c r="AO67" s="347" t="s">
        <v>820</v>
      </c>
      <c r="AP67" t="s">
        <v>1675</v>
      </c>
      <c r="AQ67" t="s">
        <v>1646</v>
      </c>
      <c r="AS67" t="s">
        <v>1531</v>
      </c>
      <c r="AT67" t="s">
        <v>333</v>
      </c>
      <c r="AU67" s="352">
        <v>306075</v>
      </c>
    </row>
    <row r="68" spans="1:49" x14ac:dyDescent="0.25">
      <c r="A68" s="347" t="s">
        <v>1588</v>
      </c>
      <c r="B68" s="347" t="s">
        <v>1765</v>
      </c>
      <c r="C68" s="347" t="s">
        <v>1590</v>
      </c>
      <c r="D68" s="347" t="s">
        <v>1591</v>
      </c>
      <c r="E68" s="348">
        <v>45780</v>
      </c>
      <c r="F68" s="347" t="s">
        <v>1769</v>
      </c>
      <c r="G68" s="347" t="s">
        <v>820</v>
      </c>
      <c r="H68" s="347">
        <v>50200010</v>
      </c>
      <c r="I68" s="347" t="s">
        <v>1770</v>
      </c>
      <c r="J68" s="347" t="s">
        <v>820</v>
      </c>
      <c r="K68" s="347" t="s">
        <v>1039</v>
      </c>
      <c r="L68" s="348">
        <v>45780</v>
      </c>
      <c r="M68" s="347" t="s">
        <v>1771</v>
      </c>
      <c r="N68" s="347" t="s">
        <v>820</v>
      </c>
      <c r="O68" s="348"/>
      <c r="P68" s="347" t="s">
        <v>1683</v>
      </c>
      <c r="Q68" s="347" t="s">
        <v>294</v>
      </c>
      <c r="R68" s="350">
        <v>14.45</v>
      </c>
      <c r="S68" s="347" t="s">
        <v>294</v>
      </c>
      <c r="T68" s="350">
        <v>14.45</v>
      </c>
      <c r="U68" s="347" t="s">
        <v>644</v>
      </c>
      <c r="V68" s="347" t="s">
        <v>645</v>
      </c>
      <c r="W68" s="347" t="s">
        <v>820</v>
      </c>
      <c r="X68" s="347" t="s">
        <v>820</v>
      </c>
      <c r="Y68" s="347" t="s">
        <v>820</v>
      </c>
      <c r="Z68" s="347" t="s">
        <v>820</v>
      </c>
      <c r="AA68" s="347" t="s">
        <v>1598</v>
      </c>
      <c r="AB68" s="347" t="s">
        <v>820</v>
      </c>
      <c r="AC68" s="348">
        <v>45780</v>
      </c>
      <c r="AD68" s="347"/>
      <c r="AE68" s="347"/>
      <c r="AF68" s="347" t="s">
        <v>820</v>
      </c>
      <c r="AG68" s="347" t="s">
        <v>820</v>
      </c>
      <c r="AH68" s="347" t="s">
        <v>1685</v>
      </c>
      <c r="AI68" s="347" t="s">
        <v>1686</v>
      </c>
      <c r="AJ68" s="349">
        <v>450</v>
      </c>
      <c r="AK68" s="347" t="s">
        <v>1484</v>
      </c>
      <c r="AL68" s="351" t="s">
        <v>1601</v>
      </c>
      <c r="AM68" s="347" t="s">
        <v>1772</v>
      </c>
      <c r="AN68" s="347" t="s">
        <v>1773</v>
      </c>
      <c r="AO68" s="347" t="s">
        <v>820</v>
      </c>
      <c r="AP68" t="s">
        <v>1675</v>
      </c>
      <c r="AQ68" t="s">
        <v>1646</v>
      </c>
      <c r="AS68" t="s">
        <v>1531</v>
      </c>
      <c r="AT68" t="s">
        <v>333</v>
      </c>
      <c r="AU68" s="352">
        <v>238425</v>
      </c>
    </row>
    <row r="69" spans="1:49" x14ac:dyDescent="0.25">
      <c r="A69" s="347" t="s">
        <v>1588</v>
      </c>
      <c r="B69" s="347" t="s">
        <v>1765</v>
      </c>
      <c r="C69" s="347" t="s">
        <v>1590</v>
      </c>
      <c r="D69" s="347" t="s">
        <v>1591</v>
      </c>
      <c r="E69" s="348">
        <v>45798</v>
      </c>
      <c r="F69" s="347" t="s">
        <v>1774</v>
      </c>
      <c r="G69" s="347" t="s">
        <v>820</v>
      </c>
      <c r="H69" s="347">
        <v>50200010</v>
      </c>
      <c r="I69" s="347" t="s">
        <v>1775</v>
      </c>
      <c r="J69" s="347" t="s">
        <v>820</v>
      </c>
      <c r="K69" s="347" t="s">
        <v>1039</v>
      </c>
      <c r="L69" s="348">
        <v>45798</v>
      </c>
      <c r="M69" s="347" t="s">
        <v>1776</v>
      </c>
      <c r="N69" s="347" t="s">
        <v>820</v>
      </c>
      <c r="O69" s="348"/>
      <c r="P69" s="347" t="s">
        <v>1683</v>
      </c>
      <c r="Q69" s="347" t="s">
        <v>294</v>
      </c>
      <c r="R69" s="350">
        <v>545.75</v>
      </c>
      <c r="S69" s="347" t="s">
        <v>294</v>
      </c>
      <c r="T69" s="350">
        <v>545.75</v>
      </c>
      <c r="U69" s="347" t="s">
        <v>644</v>
      </c>
      <c r="V69" s="347" t="s">
        <v>645</v>
      </c>
      <c r="W69" s="347" t="s">
        <v>820</v>
      </c>
      <c r="X69" s="347" t="s">
        <v>820</v>
      </c>
      <c r="Y69" s="347" t="s">
        <v>820</v>
      </c>
      <c r="Z69" s="347" t="s">
        <v>820</v>
      </c>
      <c r="AA69" s="347" t="s">
        <v>1598</v>
      </c>
      <c r="AB69" s="347" t="s">
        <v>820</v>
      </c>
      <c r="AC69" s="348">
        <v>45798</v>
      </c>
      <c r="AD69" s="347"/>
      <c r="AE69" s="347"/>
      <c r="AF69" s="347" t="s">
        <v>820</v>
      </c>
      <c r="AG69" s="347" t="s">
        <v>820</v>
      </c>
      <c r="AH69" s="347" t="s">
        <v>1685</v>
      </c>
      <c r="AI69" s="347" t="s">
        <v>1686</v>
      </c>
      <c r="AJ69" s="349">
        <v>50</v>
      </c>
      <c r="AK69" s="347" t="s">
        <v>1777</v>
      </c>
      <c r="AL69" s="351" t="s">
        <v>1601</v>
      </c>
      <c r="AM69" s="347" t="s">
        <v>1778</v>
      </c>
      <c r="AN69" s="347" t="s">
        <v>1779</v>
      </c>
      <c r="AO69" s="347" t="s">
        <v>820</v>
      </c>
      <c r="AP69" t="s">
        <v>1675</v>
      </c>
      <c r="AQ69" t="s">
        <v>1646</v>
      </c>
      <c r="AS69" t="s">
        <v>1531</v>
      </c>
      <c r="AT69" t="s">
        <v>333</v>
      </c>
      <c r="AU69" s="352">
        <v>9004875</v>
      </c>
    </row>
    <row r="70" spans="1:49" x14ac:dyDescent="0.25">
      <c r="A70" s="347" t="s">
        <v>1588</v>
      </c>
      <c r="B70" s="347" t="s">
        <v>1765</v>
      </c>
      <c r="C70" s="347" t="s">
        <v>1590</v>
      </c>
      <c r="D70" s="347" t="s">
        <v>1591</v>
      </c>
      <c r="E70" s="348">
        <v>45799</v>
      </c>
      <c r="F70" s="347" t="s">
        <v>1780</v>
      </c>
      <c r="G70" s="347" t="s">
        <v>820</v>
      </c>
      <c r="H70" s="347">
        <v>50200010</v>
      </c>
      <c r="I70" s="347" t="s">
        <v>1781</v>
      </c>
      <c r="J70" s="347" t="s">
        <v>820</v>
      </c>
      <c r="K70" s="347" t="s">
        <v>1039</v>
      </c>
      <c r="L70" s="348">
        <v>45799</v>
      </c>
      <c r="M70" s="347" t="s">
        <v>1782</v>
      </c>
      <c r="N70" s="347" t="s">
        <v>820</v>
      </c>
      <c r="O70" s="348"/>
      <c r="P70" s="347" t="s">
        <v>1683</v>
      </c>
      <c r="Q70" s="347" t="s">
        <v>294</v>
      </c>
      <c r="R70" s="350">
        <v>34.450000000000003</v>
      </c>
      <c r="S70" s="347" t="s">
        <v>294</v>
      </c>
      <c r="T70" s="350">
        <v>34.450000000000003</v>
      </c>
      <c r="U70" s="347" t="s">
        <v>644</v>
      </c>
      <c r="V70" s="347" t="s">
        <v>645</v>
      </c>
      <c r="W70" s="347" t="s">
        <v>820</v>
      </c>
      <c r="X70" s="347" t="s">
        <v>820</v>
      </c>
      <c r="Y70" s="347" t="s">
        <v>820</v>
      </c>
      <c r="Z70" s="347" t="s">
        <v>820</v>
      </c>
      <c r="AA70" s="347" t="s">
        <v>1598</v>
      </c>
      <c r="AB70" s="347" t="s">
        <v>820</v>
      </c>
      <c r="AC70" s="348">
        <v>45799</v>
      </c>
      <c r="AD70" s="347"/>
      <c r="AE70" s="347"/>
      <c r="AF70" s="347" t="s">
        <v>820</v>
      </c>
      <c r="AG70" s="347" t="s">
        <v>820</v>
      </c>
      <c r="AH70" s="347" t="s">
        <v>1685</v>
      </c>
      <c r="AI70" s="347" t="s">
        <v>1686</v>
      </c>
      <c r="AJ70" s="349">
        <v>1050</v>
      </c>
      <c r="AK70" s="347" t="s">
        <v>1484</v>
      </c>
      <c r="AL70" s="351" t="s">
        <v>1601</v>
      </c>
      <c r="AM70" s="347" t="s">
        <v>1772</v>
      </c>
      <c r="AN70" s="347" t="s">
        <v>1773</v>
      </c>
      <c r="AO70" s="347" t="s">
        <v>820</v>
      </c>
      <c r="AP70" t="s">
        <v>1675</v>
      </c>
      <c r="AQ70" t="s">
        <v>1646</v>
      </c>
      <c r="AS70" t="s">
        <v>1531</v>
      </c>
      <c r="AT70" t="s">
        <v>333</v>
      </c>
      <c r="AU70" s="352">
        <v>568425</v>
      </c>
    </row>
    <row r="71" spans="1:49" x14ac:dyDescent="0.25">
      <c r="A71" s="347" t="s">
        <v>1588</v>
      </c>
      <c r="B71" s="347" t="s">
        <v>1765</v>
      </c>
      <c r="C71" s="347" t="s">
        <v>1590</v>
      </c>
      <c r="D71" s="347" t="s">
        <v>1678</v>
      </c>
      <c r="E71" s="348">
        <v>45800</v>
      </c>
      <c r="F71" s="347" t="s">
        <v>820</v>
      </c>
      <c r="G71" s="347" t="s">
        <v>820</v>
      </c>
      <c r="H71" s="347">
        <v>50800010</v>
      </c>
      <c r="I71" s="347" t="s">
        <v>1783</v>
      </c>
      <c r="J71" s="347" t="s">
        <v>820</v>
      </c>
      <c r="K71" s="347" t="s">
        <v>1070</v>
      </c>
      <c r="L71" s="348">
        <v>45800</v>
      </c>
      <c r="M71" s="347" t="s">
        <v>1784</v>
      </c>
      <c r="N71" s="347" t="s">
        <v>1785</v>
      </c>
      <c r="O71" s="348"/>
      <c r="P71" s="347" t="s">
        <v>1683</v>
      </c>
      <c r="Q71" s="347" t="s">
        <v>745</v>
      </c>
      <c r="R71" s="349">
        <v>27562500</v>
      </c>
      <c r="S71" s="347" t="s">
        <v>294</v>
      </c>
      <c r="T71" s="350">
        <v>1669.54</v>
      </c>
      <c r="U71" s="347" t="s">
        <v>644</v>
      </c>
      <c r="V71" s="347" t="s">
        <v>645</v>
      </c>
      <c r="W71" s="347" t="s">
        <v>820</v>
      </c>
      <c r="X71" s="347" t="s">
        <v>820</v>
      </c>
      <c r="Y71" s="347" t="s">
        <v>820</v>
      </c>
      <c r="Z71" s="347" t="s">
        <v>820</v>
      </c>
      <c r="AA71" s="347" t="s">
        <v>1598</v>
      </c>
      <c r="AB71" s="347" t="s">
        <v>820</v>
      </c>
      <c r="AC71" s="348">
        <v>45800</v>
      </c>
      <c r="AD71" s="347"/>
      <c r="AE71" s="347"/>
      <c r="AF71" s="347" t="s">
        <v>820</v>
      </c>
      <c r="AG71" s="347" t="s">
        <v>1786</v>
      </c>
      <c r="AH71" s="347" t="s">
        <v>1685</v>
      </c>
      <c r="AI71" s="347" t="s">
        <v>1686</v>
      </c>
      <c r="AJ71" s="349">
        <v>35</v>
      </c>
      <c r="AK71" s="347" t="s">
        <v>1484</v>
      </c>
      <c r="AL71" s="351" t="s">
        <v>1601</v>
      </c>
      <c r="AM71" s="347" t="s">
        <v>820</v>
      </c>
      <c r="AN71" s="347" t="s">
        <v>820</v>
      </c>
      <c r="AO71" s="347" t="s">
        <v>820</v>
      </c>
      <c r="AP71" t="s">
        <v>1604</v>
      </c>
      <c r="AQ71" t="s">
        <v>1646</v>
      </c>
      <c r="AS71" t="s">
        <v>1535</v>
      </c>
      <c r="AT71" t="s">
        <v>333</v>
      </c>
      <c r="AU71" s="352">
        <v>27562500</v>
      </c>
    </row>
    <row r="72" spans="1:49" x14ac:dyDescent="0.25">
      <c r="A72" s="347" t="s">
        <v>1588</v>
      </c>
      <c r="B72" s="347" t="s">
        <v>1765</v>
      </c>
      <c r="C72" s="347" t="s">
        <v>1590</v>
      </c>
      <c r="D72" s="347" t="s">
        <v>1591</v>
      </c>
      <c r="E72" s="348">
        <v>45798</v>
      </c>
      <c r="F72" s="347" t="s">
        <v>1774</v>
      </c>
      <c r="G72" s="347" t="s">
        <v>820</v>
      </c>
      <c r="H72" s="347">
        <v>50200010</v>
      </c>
      <c r="I72" s="347" t="s">
        <v>1787</v>
      </c>
      <c r="J72" s="347" t="s">
        <v>820</v>
      </c>
      <c r="K72" s="347" t="s">
        <v>1039</v>
      </c>
      <c r="L72" s="348">
        <v>45798</v>
      </c>
      <c r="M72" s="347" t="s">
        <v>1776</v>
      </c>
      <c r="N72" s="347" t="s">
        <v>820</v>
      </c>
      <c r="O72" s="348"/>
      <c r="P72" s="347" t="s">
        <v>1683</v>
      </c>
      <c r="Q72" s="347" t="s">
        <v>294</v>
      </c>
      <c r="R72" s="350">
        <v>-545.75</v>
      </c>
      <c r="S72" s="347" t="s">
        <v>294</v>
      </c>
      <c r="T72" s="350">
        <v>-545.75</v>
      </c>
      <c r="U72" s="347" t="s">
        <v>644</v>
      </c>
      <c r="V72" s="347" t="s">
        <v>645</v>
      </c>
      <c r="W72" s="347" t="s">
        <v>820</v>
      </c>
      <c r="X72" s="347" t="s">
        <v>820</v>
      </c>
      <c r="Y72" s="347" t="s">
        <v>820</v>
      </c>
      <c r="Z72" s="347" t="s">
        <v>820</v>
      </c>
      <c r="AA72" s="347" t="s">
        <v>1598</v>
      </c>
      <c r="AB72" s="347" t="s">
        <v>820</v>
      </c>
      <c r="AC72" s="348">
        <v>45810</v>
      </c>
      <c r="AD72" s="347"/>
      <c r="AE72" s="347"/>
      <c r="AF72" s="347" t="s">
        <v>820</v>
      </c>
      <c r="AG72" s="347" t="s">
        <v>820</v>
      </c>
      <c r="AH72" s="347" t="s">
        <v>1685</v>
      </c>
      <c r="AI72" s="347" t="s">
        <v>1686</v>
      </c>
      <c r="AJ72" s="349">
        <v>-50</v>
      </c>
      <c r="AK72" s="347" t="s">
        <v>1777</v>
      </c>
      <c r="AL72" s="351" t="s">
        <v>1728</v>
      </c>
      <c r="AM72" s="347" t="s">
        <v>1778</v>
      </c>
      <c r="AN72" s="347" t="s">
        <v>1779</v>
      </c>
      <c r="AO72" s="347" t="s">
        <v>820</v>
      </c>
      <c r="AP72" t="s">
        <v>1675</v>
      </c>
      <c r="AQ72" t="s">
        <v>1646</v>
      </c>
      <c r="AS72" t="s">
        <v>1531</v>
      </c>
      <c r="AT72" t="s">
        <v>333</v>
      </c>
      <c r="AU72" s="352">
        <v>-9004875</v>
      </c>
    </row>
    <row r="73" spans="1:49" x14ac:dyDescent="0.25">
      <c r="A73" s="347" t="s">
        <v>1588</v>
      </c>
      <c r="B73" s="347" t="s">
        <v>1765</v>
      </c>
      <c r="C73" s="347" t="s">
        <v>1590</v>
      </c>
      <c r="D73" s="347" t="s">
        <v>1591</v>
      </c>
      <c r="E73" s="348">
        <v>45798</v>
      </c>
      <c r="F73" s="347" t="s">
        <v>1788</v>
      </c>
      <c r="G73" s="347" t="s">
        <v>820</v>
      </c>
      <c r="H73" s="347">
        <v>50200010</v>
      </c>
      <c r="I73" s="347" t="s">
        <v>1789</v>
      </c>
      <c r="J73" s="347" t="s">
        <v>820</v>
      </c>
      <c r="K73" s="347" t="s">
        <v>1039</v>
      </c>
      <c r="L73" s="348">
        <v>45810</v>
      </c>
      <c r="M73" s="347" t="s">
        <v>1776</v>
      </c>
      <c r="N73" s="347" t="s">
        <v>820</v>
      </c>
      <c r="O73" s="348"/>
      <c r="P73" s="347" t="s">
        <v>1683</v>
      </c>
      <c r="Q73" s="347" t="s">
        <v>294</v>
      </c>
      <c r="R73" s="350">
        <v>545.75</v>
      </c>
      <c r="S73" s="347" t="s">
        <v>294</v>
      </c>
      <c r="T73" s="350">
        <v>545.75</v>
      </c>
      <c r="U73" s="347" t="s">
        <v>644</v>
      </c>
      <c r="V73" s="347" t="s">
        <v>645</v>
      </c>
      <c r="W73" s="347" t="s">
        <v>820</v>
      </c>
      <c r="X73" s="347" t="s">
        <v>820</v>
      </c>
      <c r="Y73" s="347" t="s">
        <v>820</v>
      </c>
      <c r="Z73" s="347" t="s">
        <v>820</v>
      </c>
      <c r="AA73" s="347" t="s">
        <v>1598</v>
      </c>
      <c r="AB73" s="347" t="s">
        <v>820</v>
      </c>
      <c r="AC73" s="348">
        <v>45810</v>
      </c>
      <c r="AD73" s="347"/>
      <c r="AE73" s="347"/>
      <c r="AF73" s="347" t="s">
        <v>820</v>
      </c>
      <c r="AG73" s="347" t="s">
        <v>820</v>
      </c>
      <c r="AH73" s="347" t="s">
        <v>1685</v>
      </c>
      <c r="AI73" s="347" t="s">
        <v>1686</v>
      </c>
      <c r="AJ73" s="349">
        <v>50</v>
      </c>
      <c r="AK73" s="347" t="s">
        <v>1777</v>
      </c>
      <c r="AL73" s="351" t="s">
        <v>1601</v>
      </c>
      <c r="AM73" s="347" t="s">
        <v>1778</v>
      </c>
      <c r="AN73" s="347" t="s">
        <v>1779</v>
      </c>
      <c r="AO73" s="347" t="s">
        <v>820</v>
      </c>
      <c r="AP73" t="s">
        <v>1675</v>
      </c>
      <c r="AQ73" t="s">
        <v>1646</v>
      </c>
      <c r="AS73" t="s">
        <v>1531</v>
      </c>
      <c r="AT73" t="s">
        <v>333</v>
      </c>
      <c r="AU73" s="352">
        <v>9004875</v>
      </c>
    </row>
    <row r="74" spans="1:49" x14ac:dyDescent="0.25">
      <c r="A74" s="347" t="s">
        <v>1588</v>
      </c>
      <c r="B74" s="347" t="s">
        <v>1765</v>
      </c>
      <c r="C74" s="347" t="s">
        <v>1590</v>
      </c>
      <c r="D74" s="347" t="s">
        <v>1790</v>
      </c>
      <c r="E74" s="348">
        <v>45808</v>
      </c>
      <c r="F74" s="347" t="s">
        <v>1791</v>
      </c>
      <c r="G74" s="347" t="s">
        <v>1792</v>
      </c>
      <c r="H74" s="347">
        <v>53100010</v>
      </c>
      <c r="I74" s="347" t="s">
        <v>1793</v>
      </c>
      <c r="J74" s="347" t="s">
        <v>820</v>
      </c>
      <c r="K74" s="347" t="s">
        <v>461</v>
      </c>
      <c r="L74" s="348">
        <v>45808</v>
      </c>
      <c r="M74" s="347" t="s">
        <v>1794</v>
      </c>
      <c r="N74" s="347" t="s">
        <v>1795</v>
      </c>
      <c r="O74" s="348"/>
      <c r="P74" s="347" t="s">
        <v>1683</v>
      </c>
      <c r="Q74" s="347" t="s">
        <v>294</v>
      </c>
      <c r="R74" s="350">
        <v>34.450000000000003</v>
      </c>
      <c r="S74" s="347" t="s">
        <v>294</v>
      </c>
      <c r="T74" s="350">
        <v>34.450000000000003</v>
      </c>
      <c r="U74" s="347" t="s">
        <v>644</v>
      </c>
      <c r="V74" s="347" t="s">
        <v>645</v>
      </c>
      <c r="W74" s="347" t="s">
        <v>820</v>
      </c>
      <c r="X74" s="347" t="s">
        <v>820</v>
      </c>
      <c r="Y74" s="347" t="s">
        <v>820</v>
      </c>
      <c r="Z74" s="347" t="s">
        <v>820</v>
      </c>
      <c r="AA74" s="347" t="s">
        <v>1598</v>
      </c>
      <c r="AB74" s="347" t="s">
        <v>820</v>
      </c>
      <c r="AC74" s="348">
        <v>45813</v>
      </c>
      <c r="AD74" s="347"/>
      <c r="AE74" s="347"/>
      <c r="AF74" s="347" t="s">
        <v>820</v>
      </c>
      <c r="AG74" s="347" t="s">
        <v>820</v>
      </c>
      <c r="AH74" s="347" t="s">
        <v>1685</v>
      </c>
      <c r="AI74" s="347" t="s">
        <v>1686</v>
      </c>
      <c r="AJ74" s="353">
        <v>0</v>
      </c>
      <c r="AK74" s="347" t="s">
        <v>820</v>
      </c>
      <c r="AL74" s="347" t="s">
        <v>820</v>
      </c>
      <c r="AM74" s="347" t="s">
        <v>820</v>
      </c>
      <c r="AN74" s="347" t="s">
        <v>820</v>
      </c>
      <c r="AO74" s="347" t="s">
        <v>820</v>
      </c>
      <c r="AP74" t="s">
        <v>1604</v>
      </c>
      <c r="AQ74" t="s">
        <v>1646</v>
      </c>
      <c r="AS74" t="s">
        <v>1535</v>
      </c>
      <c r="AT74" t="s">
        <v>333</v>
      </c>
      <c r="AU74" s="352">
        <v>568425</v>
      </c>
    </row>
    <row r="75" spans="1:49" x14ac:dyDescent="0.25">
      <c r="A75" s="347" t="s">
        <v>1588</v>
      </c>
      <c r="B75" s="347" t="s">
        <v>1765</v>
      </c>
      <c r="C75" s="347" t="s">
        <v>1590</v>
      </c>
      <c r="D75" s="347" t="s">
        <v>1790</v>
      </c>
      <c r="E75" s="348">
        <v>45808</v>
      </c>
      <c r="F75" s="347" t="s">
        <v>1791</v>
      </c>
      <c r="G75" s="347" t="s">
        <v>1792</v>
      </c>
      <c r="H75" s="347">
        <v>50200010</v>
      </c>
      <c r="I75" s="347" t="s">
        <v>1793</v>
      </c>
      <c r="J75" s="347" t="s">
        <v>820</v>
      </c>
      <c r="K75" s="347" t="s">
        <v>1039</v>
      </c>
      <c r="L75" s="348">
        <v>45808</v>
      </c>
      <c r="M75" s="347" t="s">
        <v>1794</v>
      </c>
      <c r="N75" s="347" t="s">
        <v>1795</v>
      </c>
      <c r="O75" s="348"/>
      <c r="P75" s="347" t="s">
        <v>1683</v>
      </c>
      <c r="Q75" s="347" t="s">
        <v>294</v>
      </c>
      <c r="R75" s="350">
        <v>-34.450000000000003</v>
      </c>
      <c r="S75" s="347" t="s">
        <v>294</v>
      </c>
      <c r="T75" s="350">
        <v>-34.450000000000003</v>
      </c>
      <c r="U75" s="347" t="s">
        <v>644</v>
      </c>
      <c r="V75" s="347" t="s">
        <v>645</v>
      </c>
      <c r="W75" s="347" t="s">
        <v>820</v>
      </c>
      <c r="X75" s="347" t="s">
        <v>820</v>
      </c>
      <c r="Y75" s="347" t="s">
        <v>820</v>
      </c>
      <c r="Z75" s="347" t="s">
        <v>820</v>
      </c>
      <c r="AA75" s="347" t="s">
        <v>1598</v>
      </c>
      <c r="AB75" s="347" t="s">
        <v>820</v>
      </c>
      <c r="AC75" s="348">
        <v>45813</v>
      </c>
      <c r="AD75" s="347"/>
      <c r="AE75" s="347"/>
      <c r="AF75" s="347" t="s">
        <v>820</v>
      </c>
      <c r="AG75" s="347" t="s">
        <v>820</v>
      </c>
      <c r="AH75" s="347" t="s">
        <v>1685</v>
      </c>
      <c r="AI75" s="347" t="s">
        <v>1686</v>
      </c>
      <c r="AJ75" s="353">
        <v>0</v>
      </c>
      <c r="AK75" s="347" t="s">
        <v>820</v>
      </c>
      <c r="AL75" s="347" t="s">
        <v>820</v>
      </c>
      <c r="AM75" s="347" t="s">
        <v>820</v>
      </c>
      <c r="AN75" s="347" t="s">
        <v>820</v>
      </c>
      <c r="AO75" s="347" t="s">
        <v>820</v>
      </c>
      <c r="AP75" t="s">
        <v>1675</v>
      </c>
      <c r="AQ75" t="s">
        <v>1646</v>
      </c>
      <c r="AS75" t="s">
        <v>1531</v>
      </c>
      <c r="AT75" t="s">
        <v>333</v>
      </c>
      <c r="AU75" s="352">
        <v>-568425</v>
      </c>
    </row>
    <row r="76" spans="1:49" x14ac:dyDescent="0.25">
      <c r="A76" s="347" t="s">
        <v>1588</v>
      </c>
      <c r="B76" s="347" t="s">
        <v>1671</v>
      </c>
      <c r="C76" s="347" t="s">
        <v>1590</v>
      </c>
      <c r="D76" s="347" t="s">
        <v>1591</v>
      </c>
      <c r="E76" s="348">
        <v>45820</v>
      </c>
      <c r="F76" s="347" t="s">
        <v>1796</v>
      </c>
      <c r="G76" s="347" t="s">
        <v>820</v>
      </c>
      <c r="H76" s="347">
        <v>50200010</v>
      </c>
      <c r="I76" s="347" t="s">
        <v>1797</v>
      </c>
      <c r="J76" s="347" t="s">
        <v>820</v>
      </c>
      <c r="K76" s="347" t="s">
        <v>1039</v>
      </c>
      <c r="L76" s="348">
        <v>45820</v>
      </c>
      <c r="M76" s="347" t="s">
        <v>1674</v>
      </c>
      <c r="N76" s="347" t="s">
        <v>820</v>
      </c>
      <c r="O76" s="348"/>
      <c r="P76" s="347" t="s">
        <v>1683</v>
      </c>
      <c r="Q76" s="347" t="s">
        <v>294</v>
      </c>
      <c r="R76" s="350">
        <v>1145.3499999999999</v>
      </c>
      <c r="S76" s="347" t="s">
        <v>294</v>
      </c>
      <c r="T76" s="350">
        <v>1145.3499999999999</v>
      </c>
      <c r="U76" s="347" t="s">
        <v>644</v>
      </c>
      <c r="V76" s="347" t="s">
        <v>645</v>
      </c>
      <c r="W76" s="347" t="s">
        <v>820</v>
      </c>
      <c r="X76" s="347" t="s">
        <v>820</v>
      </c>
      <c r="Y76" s="347" t="s">
        <v>820</v>
      </c>
      <c r="Z76" s="347" t="s">
        <v>820</v>
      </c>
      <c r="AA76" s="347" t="s">
        <v>1598</v>
      </c>
      <c r="AB76" s="347" t="s">
        <v>820</v>
      </c>
      <c r="AC76" s="348">
        <v>45820</v>
      </c>
      <c r="AD76" s="347"/>
      <c r="AE76" s="347"/>
      <c r="AF76" s="347" t="s">
        <v>820</v>
      </c>
      <c r="AG76" s="347" t="s">
        <v>820</v>
      </c>
      <c r="AH76" s="347" t="s">
        <v>1685</v>
      </c>
      <c r="AI76" s="347" t="s">
        <v>1686</v>
      </c>
      <c r="AJ76" s="349">
        <v>30000</v>
      </c>
      <c r="AK76" s="347" t="s">
        <v>1484</v>
      </c>
      <c r="AL76" s="351" t="s">
        <v>1601</v>
      </c>
      <c r="AM76" s="347" t="s">
        <v>1602</v>
      </c>
      <c r="AN76" s="347" t="s">
        <v>1603</v>
      </c>
      <c r="AO76" s="347" t="s">
        <v>820</v>
      </c>
      <c r="AP76" t="s">
        <v>1675</v>
      </c>
      <c r="AQ76" t="s">
        <v>1646</v>
      </c>
      <c r="AS76" t="s">
        <v>1531</v>
      </c>
      <c r="AT76" t="s">
        <v>333</v>
      </c>
      <c r="AU76" s="352">
        <v>18898275</v>
      </c>
    </row>
    <row r="77" spans="1:49" x14ac:dyDescent="0.25">
      <c r="A77" s="347" t="s">
        <v>1588</v>
      </c>
      <c r="B77" s="347" t="s">
        <v>1671</v>
      </c>
      <c r="C77" s="347" t="s">
        <v>1590</v>
      </c>
      <c r="D77" s="347" t="s">
        <v>1591</v>
      </c>
      <c r="E77" s="348">
        <v>45826</v>
      </c>
      <c r="F77" s="347" t="s">
        <v>1796</v>
      </c>
      <c r="G77" s="347" t="s">
        <v>820</v>
      </c>
      <c r="H77" s="347">
        <v>50200010</v>
      </c>
      <c r="I77" s="347" t="s">
        <v>1798</v>
      </c>
      <c r="J77" s="347" t="s">
        <v>820</v>
      </c>
      <c r="K77" s="347" t="s">
        <v>1039</v>
      </c>
      <c r="L77" s="348">
        <v>45826</v>
      </c>
      <c r="M77" s="347" t="s">
        <v>1677</v>
      </c>
      <c r="N77" s="347" t="s">
        <v>820</v>
      </c>
      <c r="O77" s="348"/>
      <c r="P77" s="347" t="s">
        <v>1683</v>
      </c>
      <c r="Q77" s="347" t="s">
        <v>294</v>
      </c>
      <c r="R77" s="350">
        <v>419.96</v>
      </c>
      <c r="S77" s="347" t="s">
        <v>294</v>
      </c>
      <c r="T77" s="350">
        <v>419.96</v>
      </c>
      <c r="U77" s="347" t="s">
        <v>644</v>
      </c>
      <c r="V77" s="347" t="s">
        <v>645</v>
      </c>
      <c r="W77" s="347" t="s">
        <v>820</v>
      </c>
      <c r="X77" s="347" t="s">
        <v>820</v>
      </c>
      <c r="Y77" s="347" t="s">
        <v>820</v>
      </c>
      <c r="Z77" s="347" t="s">
        <v>820</v>
      </c>
      <c r="AA77" s="347" t="s">
        <v>1598</v>
      </c>
      <c r="AB77" s="347" t="s">
        <v>820</v>
      </c>
      <c r="AC77" s="348">
        <v>45826</v>
      </c>
      <c r="AD77" s="347"/>
      <c r="AE77" s="347"/>
      <c r="AF77" s="347" t="s">
        <v>820</v>
      </c>
      <c r="AG77" s="347" t="s">
        <v>820</v>
      </c>
      <c r="AH77" s="347" t="s">
        <v>1685</v>
      </c>
      <c r="AI77" s="347" t="s">
        <v>1686</v>
      </c>
      <c r="AJ77" s="349">
        <v>11000</v>
      </c>
      <c r="AK77" s="347" t="s">
        <v>1484</v>
      </c>
      <c r="AL77" s="351" t="s">
        <v>1601</v>
      </c>
      <c r="AM77" s="347" t="s">
        <v>1602</v>
      </c>
      <c r="AN77" s="347" t="s">
        <v>1603</v>
      </c>
      <c r="AO77" s="347" t="s">
        <v>820</v>
      </c>
      <c r="AP77" t="s">
        <v>1604</v>
      </c>
      <c r="AQ77" t="s">
        <v>1646</v>
      </c>
      <c r="AS77" t="s">
        <v>1531</v>
      </c>
      <c r="AT77" t="s">
        <v>333</v>
      </c>
      <c r="AU77" s="352">
        <v>6929340</v>
      </c>
    </row>
    <row r="78" spans="1:49" x14ac:dyDescent="0.25">
      <c r="A78" s="347" t="s">
        <v>1588</v>
      </c>
      <c r="B78" s="347" t="s">
        <v>1671</v>
      </c>
      <c r="C78" s="347" t="s">
        <v>1590</v>
      </c>
      <c r="D78" s="347" t="s">
        <v>1678</v>
      </c>
      <c r="E78" s="348">
        <v>45834</v>
      </c>
      <c r="F78" s="347" t="s">
        <v>820</v>
      </c>
      <c r="G78" s="347" t="s">
        <v>820</v>
      </c>
      <c r="H78" s="347">
        <v>50800010</v>
      </c>
      <c r="I78" s="347" t="s">
        <v>1799</v>
      </c>
      <c r="J78" s="347" t="s">
        <v>820</v>
      </c>
      <c r="K78" s="347" t="s">
        <v>1070</v>
      </c>
      <c r="L78" s="348">
        <v>45834</v>
      </c>
      <c r="M78" s="347" t="s">
        <v>1800</v>
      </c>
      <c r="N78" s="347" t="s">
        <v>1801</v>
      </c>
      <c r="O78" s="348"/>
      <c r="P78" s="347" t="s">
        <v>1683</v>
      </c>
      <c r="Q78" s="347" t="s">
        <v>745</v>
      </c>
      <c r="R78" s="349">
        <v>21147750</v>
      </c>
      <c r="S78" s="347" t="s">
        <v>294</v>
      </c>
      <c r="T78" s="350">
        <v>1294.6300000000001</v>
      </c>
      <c r="U78" s="347" t="s">
        <v>644</v>
      </c>
      <c r="V78" s="347" t="s">
        <v>645</v>
      </c>
      <c r="W78" s="347" t="s">
        <v>820</v>
      </c>
      <c r="X78" s="347" t="s">
        <v>820</v>
      </c>
      <c r="Y78" s="347" t="s">
        <v>820</v>
      </c>
      <c r="Z78" s="347" t="s">
        <v>820</v>
      </c>
      <c r="AA78" s="347" t="s">
        <v>1598</v>
      </c>
      <c r="AB78" s="347" t="s">
        <v>820</v>
      </c>
      <c r="AC78" s="348">
        <v>45834</v>
      </c>
      <c r="AD78" s="347"/>
      <c r="AE78" s="347"/>
      <c r="AF78" s="347" t="s">
        <v>820</v>
      </c>
      <c r="AG78" s="347" t="s">
        <v>1802</v>
      </c>
      <c r="AH78" s="347" t="s">
        <v>1685</v>
      </c>
      <c r="AI78" s="347" t="s">
        <v>1686</v>
      </c>
      <c r="AJ78" s="349">
        <v>18</v>
      </c>
      <c r="AK78" s="347" t="s">
        <v>1484</v>
      </c>
      <c r="AL78" s="351" t="s">
        <v>1601</v>
      </c>
      <c r="AM78" s="347" t="s">
        <v>820</v>
      </c>
      <c r="AN78" s="347" t="s">
        <v>820</v>
      </c>
      <c r="AO78" s="347" t="s">
        <v>820</v>
      </c>
      <c r="AP78" t="s">
        <v>1604</v>
      </c>
      <c r="AQ78" t="s">
        <v>1646</v>
      </c>
      <c r="AS78" t="s">
        <v>1535</v>
      </c>
      <c r="AT78" t="s">
        <v>333</v>
      </c>
      <c r="AU78" s="352">
        <v>21147750</v>
      </c>
    </row>
    <row r="79" spans="1:49" x14ac:dyDescent="0.25">
      <c r="A79" s="339" t="s">
        <v>1588</v>
      </c>
      <c r="B79" s="339" t="s">
        <v>1589</v>
      </c>
      <c r="C79" s="339" t="s">
        <v>1590</v>
      </c>
      <c r="D79" s="339" t="s">
        <v>1591</v>
      </c>
      <c r="E79" s="342">
        <v>45674</v>
      </c>
      <c r="F79" s="339" t="s">
        <v>820</v>
      </c>
      <c r="G79" s="339" t="s">
        <v>820</v>
      </c>
      <c r="H79" s="339" t="s">
        <v>1593</v>
      </c>
      <c r="I79" s="339" t="s">
        <v>1803</v>
      </c>
      <c r="J79" s="339" t="s">
        <v>820</v>
      </c>
      <c r="K79" s="339" t="s">
        <v>1039</v>
      </c>
      <c r="L79" s="342">
        <v>45674</v>
      </c>
      <c r="M79" s="339" t="s">
        <v>1804</v>
      </c>
      <c r="N79" s="339" t="s">
        <v>820</v>
      </c>
      <c r="O79" s="342"/>
      <c r="P79" s="339" t="s">
        <v>1805</v>
      </c>
      <c r="Q79" s="339" t="s">
        <v>294</v>
      </c>
      <c r="R79" s="343">
        <v>65.19</v>
      </c>
      <c r="S79" s="339" t="s">
        <v>294</v>
      </c>
      <c r="T79" s="343">
        <v>65.19</v>
      </c>
      <c r="U79" s="339" t="s">
        <v>629</v>
      </c>
      <c r="V79" s="339" t="s">
        <v>630</v>
      </c>
      <c r="W79" s="339" t="s">
        <v>820</v>
      </c>
      <c r="X79" s="339" t="s">
        <v>820</v>
      </c>
      <c r="Y79" s="339" t="s">
        <v>820</v>
      </c>
      <c r="Z79" s="339" t="s">
        <v>820</v>
      </c>
      <c r="AA79" s="339" t="s">
        <v>1598</v>
      </c>
      <c r="AB79" s="339" t="s">
        <v>820</v>
      </c>
      <c r="AC79" s="342">
        <v>45674</v>
      </c>
      <c r="AD79" s="339"/>
      <c r="AE79" s="339"/>
      <c r="AF79" s="339" t="s">
        <v>820</v>
      </c>
      <c r="AG79" s="339" t="s">
        <v>820</v>
      </c>
      <c r="AH79" s="339" t="s">
        <v>1806</v>
      </c>
      <c r="AI79" s="339" t="s">
        <v>1807</v>
      </c>
      <c r="AJ79" s="346">
        <v>40</v>
      </c>
      <c r="AK79" s="339" t="s">
        <v>1616</v>
      </c>
      <c r="AL79" s="345" t="s">
        <v>1601</v>
      </c>
      <c r="AM79" s="339" t="s">
        <v>1808</v>
      </c>
      <c r="AN79" s="339" t="s">
        <v>1809</v>
      </c>
      <c r="AO79" s="339" t="s">
        <v>820</v>
      </c>
      <c r="AP79" s="160" t="s">
        <v>1604</v>
      </c>
      <c r="AQ79" s="339" t="s">
        <v>820</v>
      </c>
      <c r="AR79" s="160" t="s">
        <v>1605</v>
      </c>
      <c r="AS79" s="160" t="s">
        <v>1531</v>
      </c>
      <c r="AT79" s="160" t="s">
        <v>333</v>
      </c>
      <c r="AU79" s="341">
        <f t="shared" ref="AU79:AU142" si="0">IF(Q79="USD",R79*16500,IF(Q79="IDR",R79,T79*16500))</f>
        <v>1075635</v>
      </c>
      <c r="AV79" s="339" t="s">
        <v>629</v>
      </c>
      <c r="AW79" s="339" t="s">
        <v>630</v>
      </c>
    </row>
    <row r="80" spans="1:49" x14ac:dyDescent="0.25">
      <c r="A80" s="339" t="s">
        <v>1588</v>
      </c>
      <c r="B80" s="339" t="s">
        <v>1589</v>
      </c>
      <c r="C80" s="339" t="s">
        <v>1590</v>
      </c>
      <c r="D80" s="339" t="s">
        <v>1591</v>
      </c>
      <c r="E80" s="342">
        <v>45678</v>
      </c>
      <c r="F80" s="339" t="s">
        <v>1810</v>
      </c>
      <c r="G80" s="339" t="s">
        <v>820</v>
      </c>
      <c r="H80" s="339" t="s">
        <v>1593</v>
      </c>
      <c r="I80" s="339" t="s">
        <v>1811</v>
      </c>
      <c r="J80" s="339" t="s">
        <v>820</v>
      </c>
      <c r="K80" s="339" t="s">
        <v>1039</v>
      </c>
      <c r="L80" s="342">
        <v>45678</v>
      </c>
      <c r="M80" s="339" t="s">
        <v>1812</v>
      </c>
      <c r="N80" s="339" t="s">
        <v>820</v>
      </c>
      <c r="O80" s="342"/>
      <c r="P80" s="339" t="s">
        <v>1805</v>
      </c>
      <c r="Q80" s="339" t="s">
        <v>294</v>
      </c>
      <c r="R80" s="343">
        <v>65.45</v>
      </c>
      <c r="S80" s="339" t="s">
        <v>294</v>
      </c>
      <c r="T80" s="343">
        <v>65.45</v>
      </c>
      <c r="U80" s="339" t="s">
        <v>629</v>
      </c>
      <c r="V80" s="339" t="s">
        <v>630</v>
      </c>
      <c r="W80" s="339" t="s">
        <v>820</v>
      </c>
      <c r="X80" s="339" t="s">
        <v>820</v>
      </c>
      <c r="Y80" s="339" t="s">
        <v>820</v>
      </c>
      <c r="Z80" s="339" t="s">
        <v>820</v>
      </c>
      <c r="AA80" s="339" t="s">
        <v>1598</v>
      </c>
      <c r="AB80" s="339" t="s">
        <v>820</v>
      </c>
      <c r="AC80" s="342">
        <v>45678</v>
      </c>
      <c r="AD80" s="339"/>
      <c r="AE80" s="339"/>
      <c r="AF80" s="339" t="s">
        <v>820</v>
      </c>
      <c r="AG80" s="339" t="s">
        <v>820</v>
      </c>
      <c r="AH80" s="339" t="s">
        <v>1806</v>
      </c>
      <c r="AI80" s="339" t="s">
        <v>1807</v>
      </c>
      <c r="AJ80" s="346">
        <v>40</v>
      </c>
      <c r="AK80" s="339" t="s">
        <v>1616</v>
      </c>
      <c r="AL80" s="345" t="s">
        <v>1601</v>
      </c>
      <c r="AM80" s="339" t="s">
        <v>1656</v>
      </c>
      <c r="AN80" s="339" t="s">
        <v>1657</v>
      </c>
      <c r="AO80" s="339" t="s">
        <v>820</v>
      </c>
      <c r="AP80" s="160" t="s">
        <v>1604</v>
      </c>
      <c r="AQ80" s="339" t="s">
        <v>820</v>
      </c>
      <c r="AR80" s="160" t="s">
        <v>1605</v>
      </c>
      <c r="AS80" s="160" t="s">
        <v>1531</v>
      </c>
      <c r="AT80" s="160" t="s">
        <v>333</v>
      </c>
      <c r="AU80" s="341">
        <f t="shared" si="0"/>
        <v>1079925</v>
      </c>
      <c r="AV80" s="339" t="s">
        <v>629</v>
      </c>
      <c r="AW80" s="339" t="s">
        <v>630</v>
      </c>
    </row>
    <row r="81" spans="1:49" x14ac:dyDescent="0.25">
      <c r="A81" s="339" t="s">
        <v>1588</v>
      </c>
      <c r="B81" s="339" t="s">
        <v>1589</v>
      </c>
      <c r="C81" s="339" t="s">
        <v>1590</v>
      </c>
      <c r="D81" s="339" t="s">
        <v>1591</v>
      </c>
      <c r="E81" s="342">
        <v>45678</v>
      </c>
      <c r="F81" s="339" t="s">
        <v>820</v>
      </c>
      <c r="G81" s="339" t="s">
        <v>820</v>
      </c>
      <c r="H81" s="339" t="s">
        <v>1593</v>
      </c>
      <c r="I81" s="339" t="s">
        <v>1811</v>
      </c>
      <c r="J81" s="339" t="s">
        <v>820</v>
      </c>
      <c r="K81" s="339" t="s">
        <v>1039</v>
      </c>
      <c r="L81" s="342">
        <v>45678</v>
      </c>
      <c r="M81" s="339" t="s">
        <v>1812</v>
      </c>
      <c r="N81" s="339" t="s">
        <v>820</v>
      </c>
      <c r="O81" s="342"/>
      <c r="P81" s="339" t="s">
        <v>1805</v>
      </c>
      <c r="Q81" s="339" t="s">
        <v>294</v>
      </c>
      <c r="R81" s="343">
        <v>65.19</v>
      </c>
      <c r="S81" s="339" t="s">
        <v>294</v>
      </c>
      <c r="T81" s="343">
        <v>65.19</v>
      </c>
      <c r="U81" s="339" t="s">
        <v>629</v>
      </c>
      <c r="V81" s="339" t="s">
        <v>630</v>
      </c>
      <c r="W81" s="339" t="s">
        <v>820</v>
      </c>
      <c r="X81" s="339" t="s">
        <v>820</v>
      </c>
      <c r="Y81" s="339" t="s">
        <v>820</v>
      </c>
      <c r="Z81" s="339" t="s">
        <v>820</v>
      </c>
      <c r="AA81" s="339" t="s">
        <v>1598</v>
      </c>
      <c r="AB81" s="339" t="s">
        <v>820</v>
      </c>
      <c r="AC81" s="342">
        <v>45678</v>
      </c>
      <c r="AD81" s="339"/>
      <c r="AE81" s="339"/>
      <c r="AF81" s="339" t="s">
        <v>820</v>
      </c>
      <c r="AG81" s="339" t="s">
        <v>820</v>
      </c>
      <c r="AH81" s="339" t="s">
        <v>1806</v>
      </c>
      <c r="AI81" s="339" t="s">
        <v>1807</v>
      </c>
      <c r="AJ81" s="346">
        <v>40</v>
      </c>
      <c r="AK81" s="339" t="s">
        <v>1616</v>
      </c>
      <c r="AL81" s="345" t="s">
        <v>1601</v>
      </c>
      <c r="AM81" s="339" t="s">
        <v>1808</v>
      </c>
      <c r="AN81" s="339" t="s">
        <v>1809</v>
      </c>
      <c r="AO81" s="339" t="s">
        <v>820</v>
      </c>
      <c r="AP81" s="160" t="s">
        <v>1604</v>
      </c>
      <c r="AQ81" s="339" t="s">
        <v>820</v>
      </c>
      <c r="AR81" s="160" t="s">
        <v>1605</v>
      </c>
      <c r="AS81" s="160" t="s">
        <v>1531</v>
      </c>
      <c r="AT81" s="160" t="s">
        <v>333</v>
      </c>
      <c r="AU81" s="341">
        <f t="shared" si="0"/>
        <v>1075635</v>
      </c>
      <c r="AV81" s="339" t="s">
        <v>629</v>
      </c>
      <c r="AW81" s="339" t="s">
        <v>630</v>
      </c>
    </row>
    <row r="82" spans="1:49" x14ac:dyDescent="0.25">
      <c r="A82" s="339" t="s">
        <v>1588</v>
      </c>
      <c r="B82" s="339" t="s">
        <v>1589</v>
      </c>
      <c r="C82" s="339" t="s">
        <v>1590</v>
      </c>
      <c r="D82" s="339" t="s">
        <v>1591</v>
      </c>
      <c r="E82" s="342">
        <v>45687</v>
      </c>
      <c r="F82" s="339" t="s">
        <v>820</v>
      </c>
      <c r="G82" s="339" t="s">
        <v>820</v>
      </c>
      <c r="H82" s="339" t="s">
        <v>1593</v>
      </c>
      <c r="I82" s="339" t="s">
        <v>1813</v>
      </c>
      <c r="J82" s="339" t="s">
        <v>820</v>
      </c>
      <c r="K82" s="339" t="s">
        <v>1039</v>
      </c>
      <c r="L82" s="342">
        <v>45687</v>
      </c>
      <c r="M82" s="339" t="s">
        <v>1814</v>
      </c>
      <c r="N82" s="339" t="s">
        <v>820</v>
      </c>
      <c r="O82" s="342"/>
      <c r="P82" s="339" t="s">
        <v>1805</v>
      </c>
      <c r="Q82" s="339" t="s">
        <v>294</v>
      </c>
      <c r="R82" s="343">
        <v>32.590000000000003</v>
      </c>
      <c r="S82" s="339" t="s">
        <v>294</v>
      </c>
      <c r="T82" s="343">
        <v>32.590000000000003</v>
      </c>
      <c r="U82" s="339" t="s">
        <v>629</v>
      </c>
      <c r="V82" s="339" t="s">
        <v>630</v>
      </c>
      <c r="W82" s="339" t="s">
        <v>820</v>
      </c>
      <c r="X82" s="339" t="s">
        <v>820</v>
      </c>
      <c r="Y82" s="339" t="s">
        <v>820</v>
      </c>
      <c r="Z82" s="339" t="s">
        <v>820</v>
      </c>
      <c r="AA82" s="339" t="s">
        <v>1598</v>
      </c>
      <c r="AB82" s="339" t="s">
        <v>820</v>
      </c>
      <c r="AC82" s="342">
        <v>45687</v>
      </c>
      <c r="AD82" s="339"/>
      <c r="AE82" s="339"/>
      <c r="AF82" s="339" t="s">
        <v>820</v>
      </c>
      <c r="AG82" s="339" t="s">
        <v>820</v>
      </c>
      <c r="AH82" s="339" t="s">
        <v>1806</v>
      </c>
      <c r="AI82" s="339" t="s">
        <v>1807</v>
      </c>
      <c r="AJ82" s="346">
        <v>20</v>
      </c>
      <c r="AK82" s="339" t="s">
        <v>1616</v>
      </c>
      <c r="AL82" s="345" t="s">
        <v>1601</v>
      </c>
      <c r="AM82" s="339" t="s">
        <v>1808</v>
      </c>
      <c r="AN82" s="339" t="s">
        <v>1809</v>
      </c>
      <c r="AO82" s="339" t="s">
        <v>820</v>
      </c>
      <c r="AP82" s="160" t="s">
        <v>1604</v>
      </c>
      <c r="AQ82" s="339" t="s">
        <v>820</v>
      </c>
      <c r="AR82" s="160" t="s">
        <v>1605</v>
      </c>
      <c r="AS82" s="160" t="s">
        <v>1531</v>
      </c>
      <c r="AT82" s="160" t="s">
        <v>333</v>
      </c>
      <c r="AU82" s="341">
        <f t="shared" si="0"/>
        <v>537735</v>
      </c>
      <c r="AV82" s="339" t="s">
        <v>629</v>
      </c>
      <c r="AW82" s="339" t="s">
        <v>630</v>
      </c>
    </row>
    <row r="83" spans="1:49" x14ac:dyDescent="0.25">
      <c r="A83" s="339" t="s">
        <v>1588</v>
      </c>
      <c r="B83" s="339" t="s">
        <v>1589</v>
      </c>
      <c r="C83" s="339" t="s">
        <v>1590</v>
      </c>
      <c r="D83" s="339" t="s">
        <v>1591</v>
      </c>
      <c r="E83" s="342">
        <v>45682</v>
      </c>
      <c r="F83" s="339" t="s">
        <v>1815</v>
      </c>
      <c r="G83" s="339" t="s">
        <v>820</v>
      </c>
      <c r="H83" s="339" t="s">
        <v>1593</v>
      </c>
      <c r="I83" s="339" t="s">
        <v>1816</v>
      </c>
      <c r="J83" s="339" t="s">
        <v>820</v>
      </c>
      <c r="K83" s="339" t="s">
        <v>1039</v>
      </c>
      <c r="L83" s="342">
        <v>45682</v>
      </c>
      <c r="M83" s="339" t="s">
        <v>1817</v>
      </c>
      <c r="N83" s="339" t="s">
        <v>820</v>
      </c>
      <c r="O83" s="342"/>
      <c r="P83" s="339" t="s">
        <v>1805</v>
      </c>
      <c r="Q83" s="339" t="s">
        <v>294</v>
      </c>
      <c r="R83" s="343">
        <v>29.28</v>
      </c>
      <c r="S83" s="339" t="s">
        <v>294</v>
      </c>
      <c r="T83" s="343">
        <v>29.28</v>
      </c>
      <c r="U83" s="339" t="s">
        <v>629</v>
      </c>
      <c r="V83" s="339" t="s">
        <v>630</v>
      </c>
      <c r="W83" s="339" t="s">
        <v>820</v>
      </c>
      <c r="X83" s="339" t="s">
        <v>820</v>
      </c>
      <c r="Y83" s="339" t="s">
        <v>820</v>
      </c>
      <c r="Z83" s="339" t="s">
        <v>820</v>
      </c>
      <c r="AA83" s="339" t="s">
        <v>1598</v>
      </c>
      <c r="AB83" s="339" t="s">
        <v>820</v>
      </c>
      <c r="AC83" s="342">
        <v>45682</v>
      </c>
      <c r="AD83" s="339"/>
      <c r="AE83" s="339"/>
      <c r="AF83" s="339" t="s">
        <v>820</v>
      </c>
      <c r="AG83" s="339" t="s">
        <v>820</v>
      </c>
      <c r="AH83" s="339" t="s">
        <v>1806</v>
      </c>
      <c r="AI83" s="339" t="s">
        <v>1807</v>
      </c>
      <c r="AJ83" s="346">
        <v>40</v>
      </c>
      <c r="AK83" s="339" t="s">
        <v>1620</v>
      </c>
      <c r="AL83" s="345" t="s">
        <v>1601</v>
      </c>
      <c r="AM83" s="339" t="s">
        <v>1818</v>
      </c>
      <c r="AN83" s="339" t="s">
        <v>1819</v>
      </c>
      <c r="AO83" s="339" t="s">
        <v>820</v>
      </c>
      <c r="AP83" s="160" t="s">
        <v>1604</v>
      </c>
      <c r="AQ83" s="339" t="s">
        <v>820</v>
      </c>
      <c r="AR83" s="160" t="s">
        <v>1605</v>
      </c>
      <c r="AS83" s="160" t="s">
        <v>1531</v>
      </c>
      <c r="AT83" s="160" t="s">
        <v>333</v>
      </c>
      <c r="AU83" s="341">
        <f t="shared" si="0"/>
        <v>483120</v>
      </c>
      <c r="AV83" s="339" t="s">
        <v>629</v>
      </c>
      <c r="AW83" s="339" t="s">
        <v>630</v>
      </c>
    </row>
    <row r="84" spans="1:49" x14ac:dyDescent="0.25">
      <c r="A84" s="339" t="s">
        <v>1588</v>
      </c>
      <c r="B84" s="339" t="s">
        <v>1589</v>
      </c>
      <c r="C84" s="339" t="s">
        <v>1590</v>
      </c>
      <c r="D84" s="339" t="s">
        <v>1591</v>
      </c>
      <c r="E84" s="342">
        <v>45681</v>
      </c>
      <c r="F84" s="339" t="s">
        <v>1820</v>
      </c>
      <c r="G84" s="339" t="s">
        <v>820</v>
      </c>
      <c r="H84" s="339" t="s">
        <v>1593</v>
      </c>
      <c r="I84" s="339" t="s">
        <v>1821</v>
      </c>
      <c r="J84" s="339" t="s">
        <v>820</v>
      </c>
      <c r="K84" s="339" t="s">
        <v>1039</v>
      </c>
      <c r="L84" s="342">
        <v>45681</v>
      </c>
      <c r="M84" s="339" t="s">
        <v>1822</v>
      </c>
      <c r="N84" s="339" t="s">
        <v>820</v>
      </c>
      <c r="O84" s="342"/>
      <c r="P84" s="339" t="s">
        <v>1805</v>
      </c>
      <c r="Q84" s="339" t="s">
        <v>294</v>
      </c>
      <c r="R84" s="343">
        <v>26.07</v>
      </c>
      <c r="S84" s="339" t="s">
        <v>294</v>
      </c>
      <c r="T84" s="343">
        <v>26.07</v>
      </c>
      <c r="U84" s="339" t="s">
        <v>629</v>
      </c>
      <c r="V84" s="339" t="s">
        <v>630</v>
      </c>
      <c r="W84" s="339" t="s">
        <v>820</v>
      </c>
      <c r="X84" s="339" t="s">
        <v>820</v>
      </c>
      <c r="Y84" s="339" t="s">
        <v>820</v>
      </c>
      <c r="Z84" s="339" t="s">
        <v>820</v>
      </c>
      <c r="AA84" s="339" t="s">
        <v>1598</v>
      </c>
      <c r="AB84" s="339" t="s">
        <v>820</v>
      </c>
      <c r="AC84" s="342">
        <v>45681</v>
      </c>
      <c r="AD84" s="339"/>
      <c r="AE84" s="339"/>
      <c r="AF84" s="339" t="s">
        <v>820</v>
      </c>
      <c r="AG84" s="339" t="s">
        <v>820</v>
      </c>
      <c r="AH84" s="339" t="s">
        <v>1806</v>
      </c>
      <c r="AI84" s="339" t="s">
        <v>1807</v>
      </c>
      <c r="AJ84" s="346">
        <v>16</v>
      </c>
      <c r="AK84" s="339" t="s">
        <v>1616</v>
      </c>
      <c r="AL84" s="345" t="s">
        <v>1601</v>
      </c>
      <c r="AM84" s="339" t="s">
        <v>1808</v>
      </c>
      <c r="AN84" s="339" t="s">
        <v>1809</v>
      </c>
      <c r="AO84" s="339" t="s">
        <v>820</v>
      </c>
      <c r="AP84" s="160" t="s">
        <v>1604</v>
      </c>
      <c r="AQ84" s="339" t="s">
        <v>820</v>
      </c>
      <c r="AR84" s="160" t="s">
        <v>1605</v>
      </c>
      <c r="AS84" s="160" t="s">
        <v>1531</v>
      </c>
      <c r="AT84" s="160" t="s">
        <v>333</v>
      </c>
      <c r="AU84" s="341">
        <f t="shared" si="0"/>
        <v>430155</v>
      </c>
      <c r="AV84" s="339" t="s">
        <v>629</v>
      </c>
      <c r="AW84" s="339" t="s">
        <v>630</v>
      </c>
    </row>
    <row r="85" spans="1:49" x14ac:dyDescent="0.25">
      <c r="A85" s="339" t="s">
        <v>1588</v>
      </c>
      <c r="B85" s="339" t="s">
        <v>1589</v>
      </c>
      <c r="C85" s="339" t="s">
        <v>1590</v>
      </c>
      <c r="D85" s="339" t="s">
        <v>1591</v>
      </c>
      <c r="E85" s="342">
        <v>45674</v>
      </c>
      <c r="F85" s="339" t="s">
        <v>1823</v>
      </c>
      <c r="G85" s="339" t="s">
        <v>820</v>
      </c>
      <c r="H85" s="339" t="s">
        <v>1593</v>
      </c>
      <c r="I85" s="339" t="s">
        <v>1803</v>
      </c>
      <c r="J85" s="339" t="s">
        <v>820</v>
      </c>
      <c r="K85" s="339" t="s">
        <v>1039</v>
      </c>
      <c r="L85" s="342">
        <v>45674</v>
      </c>
      <c r="M85" s="339" t="s">
        <v>1804</v>
      </c>
      <c r="N85" s="339" t="s">
        <v>820</v>
      </c>
      <c r="O85" s="342"/>
      <c r="P85" s="339" t="s">
        <v>1805</v>
      </c>
      <c r="Q85" s="339" t="s">
        <v>294</v>
      </c>
      <c r="R85" s="343">
        <v>20.8</v>
      </c>
      <c r="S85" s="339" t="s">
        <v>294</v>
      </c>
      <c r="T85" s="343">
        <v>20.8</v>
      </c>
      <c r="U85" s="339" t="s">
        <v>629</v>
      </c>
      <c r="V85" s="339" t="s">
        <v>630</v>
      </c>
      <c r="W85" s="339" t="s">
        <v>820</v>
      </c>
      <c r="X85" s="339" t="s">
        <v>820</v>
      </c>
      <c r="Y85" s="339" t="s">
        <v>820</v>
      </c>
      <c r="Z85" s="339" t="s">
        <v>820</v>
      </c>
      <c r="AA85" s="339" t="s">
        <v>1598</v>
      </c>
      <c r="AB85" s="339" t="s">
        <v>820</v>
      </c>
      <c r="AC85" s="342">
        <v>45674</v>
      </c>
      <c r="AD85" s="339"/>
      <c r="AE85" s="339"/>
      <c r="AF85" s="339" t="s">
        <v>820</v>
      </c>
      <c r="AG85" s="339" t="s">
        <v>820</v>
      </c>
      <c r="AH85" s="339" t="s">
        <v>1806</v>
      </c>
      <c r="AI85" s="339" t="s">
        <v>1807</v>
      </c>
      <c r="AJ85" s="346">
        <v>20</v>
      </c>
      <c r="AK85" s="339" t="s">
        <v>1620</v>
      </c>
      <c r="AL85" s="345" t="s">
        <v>1601</v>
      </c>
      <c r="AM85" s="339" t="s">
        <v>1621</v>
      </c>
      <c r="AN85" s="339" t="s">
        <v>1622</v>
      </c>
      <c r="AO85" s="339" t="s">
        <v>820</v>
      </c>
      <c r="AP85" s="160" t="s">
        <v>1604</v>
      </c>
      <c r="AQ85" s="339" t="s">
        <v>820</v>
      </c>
      <c r="AR85" s="160" t="s">
        <v>1605</v>
      </c>
      <c r="AS85" s="160" t="s">
        <v>1531</v>
      </c>
      <c r="AT85" s="160" t="s">
        <v>333</v>
      </c>
      <c r="AU85" s="341">
        <f t="shared" si="0"/>
        <v>343200</v>
      </c>
      <c r="AV85" s="339" t="s">
        <v>629</v>
      </c>
      <c r="AW85" s="339" t="s">
        <v>630</v>
      </c>
    </row>
    <row r="86" spans="1:49" x14ac:dyDescent="0.25">
      <c r="A86" s="339" t="s">
        <v>1588</v>
      </c>
      <c r="B86" s="339" t="s">
        <v>1589</v>
      </c>
      <c r="C86" s="339" t="s">
        <v>1590</v>
      </c>
      <c r="D86" s="339" t="s">
        <v>1591</v>
      </c>
      <c r="E86" s="342">
        <v>45680</v>
      </c>
      <c r="F86" s="339" t="s">
        <v>1824</v>
      </c>
      <c r="G86" s="339" t="s">
        <v>820</v>
      </c>
      <c r="H86" s="339" t="s">
        <v>1593</v>
      </c>
      <c r="I86" s="339" t="s">
        <v>1825</v>
      </c>
      <c r="J86" s="339" t="s">
        <v>820</v>
      </c>
      <c r="K86" s="339" t="s">
        <v>1039</v>
      </c>
      <c r="L86" s="342">
        <v>45680</v>
      </c>
      <c r="M86" s="339" t="s">
        <v>1595</v>
      </c>
      <c r="N86" s="339" t="s">
        <v>820</v>
      </c>
      <c r="O86" s="342"/>
      <c r="P86" s="339" t="s">
        <v>1805</v>
      </c>
      <c r="Q86" s="339" t="s">
        <v>294</v>
      </c>
      <c r="R86" s="343">
        <v>20.8</v>
      </c>
      <c r="S86" s="339" t="s">
        <v>294</v>
      </c>
      <c r="T86" s="343">
        <v>20.8</v>
      </c>
      <c r="U86" s="339" t="s">
        <v>629</v>
      </c>
      <c r="V86" s="339" t="s">
        <v>630</v>
      </c>
      <c r="W86" s="339" t="s">
        <v>820</v>
      </c>
      <c r="X86" s="339" t="s">
        <v>820</v>
      </c>
      <c r="Y86" s="339" t="s">
        <v>820</v>
      </c>
      <c r="Z86" s="339" t="s">
        <v>820</v>
      </c>
      <c r="AA86" s="339" t="s">
        <v>1598</v>
      </c>
      <c r="AB86" s="339" t="s">
        <v>820</v>
      </c>
      <c r="AC86" s="342">
        <v>45680</v>
      </c>
      <c r="AD86" s="339"/>
      <c r="AE86" s="339"/>
      <c r="AF86" s="339" t="s">
        <v>820</v>
      </c>
      <c r="AG86" s="339" t="s">
        <v>820</v>
      </c>
      <c r="AH86" s="339" t="s">
        <v>1806</v>
      </c>
      <c r="AI86" s="339" t="s">
        <v>1807</v>
      </c>
      <c r="AJ86" s="346">
        <v>20</v>
      </c>
      <c r="AK86" s="339" t="s">
        <v>1620</v>
      </c>
      <c r="AL86" s="345" t="s">
        <v>1601</v>
      </c>
      <c r="AM86" s="339" t="s">
        <v>1621</v>
      </c>
      <c r="AN86" s="339" t="s">
        <v>1622</v>
      </c>
      <c r="AO86" s="339" t="s">
        <v>820</v>
      </c>
      <c r="AP86" s="160" t="s">
        <v>1604</v>
      </c>
      <c r="AQ86" s="339" t="s">
        <v>820</v>
      </c>
      <c r="AR86" s="160" t="s">
        <v>1605</v>
      </c>
      <c r="AS86" s="160" t="s">
        <v>1531</v>
      </c>
      <c r="AT86" s="160" t="s">
        <v>333</v>
      </c>
      <c r="AU86" s="341">
        <f t="shared" si="0"/>
        <v>343200</v>
      </c>
      <c r="AV86" s="339" t="s">
        <v>629</v>
      </c>
      <c r="AW86" s="339" t="s">
        <v>630</v>
      </c>
    </row>
    <row r="87" spans="1:49" x14ac:dyDescent="0.25">
      <c r="A87" s="339" t="s">
        <v>1588</v>
      </c>
      <c r="B87" s="339" t="s">
        <v>1589</v>
      </c>
      <c r="C87" s="339" t="s">
        <v>1590</v>
      </c>
      <c r="D87" s="339" t="s">
        <v>1591</v>
      </c>
      <c r="E87" s="342">
        <v>45677</v>
      </c>
      <c r="F87" s="339" t="s">
        <v>820</v>
      </c>
      <c r="G87" s="339" t="s">
        <v>820</v>
      </c>
      <c r="H87" s="339" t="s">
        <v>1593</v>
      </c>
      <c r="I87" s="339" t="s">
        <v>1826</v>
      </c>
      <c r="J87" s="339" t="s">
        <v>820</v>
      </c>
      <c r="K87" s="339" t="s">
        <v>1039</v>
      </c>
      <c r="L87" s="342">
        <v>45677</v>
      </c>
      <c r="M87" s="339" t="s">
        <v>1700</v>
      </c>
      <c r="N87" s="339" t="s">
        <v>820</v>
      </c>
      <c r="O87" s="342"/>
      <c r="P87" s="339" t="s">
        <v>1805</v>
      </c>
      <c r="Q87" s="339" t="s">
        <v>294</v>
      </c>
      <c r="R87" s="343">
        <v>14.56</v>
      </c>
      <c r="S87" s="339" t="s">
        <v>294</v>
      </c>
      <c r="T87" s="343">
        <v>14.56</v>
      </c>
      <c r="U87" s="339" t="s">
        <v>629</v>
      </c>
      <c r="V87" s="339" t="s">
        <v>630</v>
      </c>
      <c r="W87" s="339" t="s">
        <v>820</v>
      </c>
      <c r="X87" s="339" t="s">
        <v>820</v>
      </c>
      <c r="Y87" s="339" t="s">
        <v>820</v>
      </c>
      <c r="Z87" s="339" t="s">
        <v>820</v>
      </c>
      <c r="AA87" s="339" t="s">
        <v>1598</v>
      </c>
      <c r="AB87" s="339" t="s">
        <v>820</v>
      </c>
      <c r="AC87" s="342">
        <v>45677</v>
      </c>
      <c r="AD87" s="339"/>
      <c r="AE87" s="339"/>
      <c r="AF87" s="339" t="s">
        <v>820</v>
      </c>
      <c r="AG87" s="339" t="s">
        <v>820</v>
      </c>
      <c r="AH87" s="339" t="s">
        <v>1806</v>
      </c>
      <c r="AI87" s="339" t="s">
        <v>1807</v>
      </c>
      <c r="AJ87" s="346">
        <v>14</v>
      </c>
      <c r="AK87" s="339" t="s">
        <v>1620</v>
      </c>
      <c r="AL87" s="345" t="s">
        <v>1601</v>
      </c>
      <c r="AM87" s="339" t="s">
        <v>1621</v>
      </c>
      <c r="AN87" s="339" t="s">
        <v>1622</v>
      </c>
      <c r="AO87" s="339" t="s">
        <v>820</v>
      </c>
      <c r="AP87" s="160" t="s">
        <v>1604</v>
      </c>
      <c r="AQ87" s="339" t="s">
        <v>820</v>
      </c>
      <c r="AR87" s="160" t="s">
        <v>1605</v>
      </c>
      <c r="AS87" s="160" t="s">
        <v>1531</v>
      </c>
      <c r="AT87" s="160" t="s">
        <v>333</v>
      </c>
      <c r="AU87" s="341">
        <f t="shared" si="0"/>
        <v>240240</v>
      </c>
      <c r="AV87" s="339" t="s">
        <v>629</v>
      </c>
      <c r="AW87" s="339" t="s">
        <v>630</v>
      </c>
    </row>
    <row r="88" spans="1:49" x14ac:dyDescent="0.25">
      <c r="A88" s="339" t="s">
        <v>1588</v>
      </c>
      <c r="B88" s="339" t="s">
        <v>1589</v>
      </c>
      <c r="C88" s="339" t="s">
        <v>1590</v>
      </c>
      <c r="D88" s="339" t="s">
        <v>1591</v>
      </c>
      <c r="E88" s="342">
        <v>45667</v>
      </c>
      <c r="F88" s="339" t="s">
        <v>820</v>
      </c>
      <c r="G88" s="339" t="s">
        <v>820</v>
      </c>
      <c r="H88" s="339" t="s">
        <v>1593</v>
      </c>
      <c r="I88" s="339" t="s">
        <v>1827</v>
      </c>
      <c r="J88" s="339" t="s">
        <v>820</v>
      </c>
      <c r="K88" s="339" t="s">
        <v>1039</v>
      </c>
      <c r="L88" s="342">
        <v>45667</v>
      </c>
      <c r="M88" s="339" t="s">
        <v>1610</v>
      </c>
      <c r="N88" s="339" t="s">
        <v>820</v>
      </c>
      <c r="O88" s="342"/>
      <c r="P88" s="339" t="s">
        <v>1805</v>
      </c>
      <c r="Q88" s="339" t="s">
        <v>294</v>
      </c>
      <c r="R88" s="343">
        <v>13.04</v>
      </c>
      <c r="S88" s="339" t="s">
        <v>294</v>
      </c>
      <c r="T88" s="343">
        <v>13.04</v>
      </c>
      <c r="U88" s="339" t="s">
        <v>629</v>
      </c>
      <c r="V88" s="339" t="s">
        <v>630</v>
      </c>
      <c r="W88" s="339" t="s">
        <v>820</v>
      </c>
      <c r="X88" s="339" t="s">
        <v>820</v>
      </c>
      <c r="Y88" s="339" t="s">
        <v>820</v>
      </c>
      <c r="Z88" s="339" t="s">
        <v>820</v>
      </c>
      <c r="AA88" s="339" t="s">
        <v>1598</v>
      </c>
      <c r="AB88" s="339" t="s">
        <v>820</v>
      </c>
      <c r="AC88" s="342">
        <v>45667</v>
      </c>
      <c r="AD88" s="339"/>
      <c r="AE88" s="339"/>
      <c r="AF88" s="339" t="s">
        <v>820</v>
      </c>
      <c r="AG88" s="339" t="s">
        <v>820</v>
      </c>
      <c r="AH88" s="339" t="s">
        <v>1806</v>
      </c>
      <c r="AI88" s="339" t="s">
        <v>1807</v>
      </c>
      <c r="AJ88" s="346">
        <v>8</v>
      </c>
      <c r="AK88" s="339" t="s">
        <v>1616</v>
      </c>
      <c r="AL88" s="345" t="s">
        <v>1601</v>
      </c>
      <c r="AM88" s="339" t="s">
        <v>1650</v>
      </c>
      <c r="AN88" s="339" t="s">
        <v>1651</v>
      </c>
      <c r="AO88" s="339" t="s">
        <v>820</v>
      </c>
      <c r="AP88" s="160" t="s">
        <v>1604</v>
      </c>
      <c r="AQ88" s="339" t="s">
        <v>820</v>
      </c>
      <c r="AR88" s="160" t="s">
        <v>1605</v>
      </c>
      <c r="AS88" s="160" t="s">
        <v>1531</v>
      </c>
      <c r="AT88" s="160" t="s">
        <v>333</v>
      </c>
      <c r="AU88" s="341">
        <f t="shared" si="0"/>
        <v>215160</v>
      </c>
      <c r="AV88" s="339" t="s">
        <v>629</v>
      </c>
      <c r="AW88" s="339" t="s">
        <v>630</v>
      </c>
    </row>
    <row r="89" spans="1:49" x14ac:dyDescent="0.25">
      <c r="A89" s="339" t="s">
        <v>1588</v>
      </c>
      <c r="B89" s="339" t="s">
        <v>1589</v>
      </c>
      <c r="C89" s="339" t="s">
        <v>1590</v>
      </c>
      <c r="D89" s="339" t="s">
        <v>1591</v>
      </c>
      <c r="E89" s="342">
        <v>45677</v>
      </c>
      <c r="F89" s="339" t="s">
        <v>820</v>
      </c>
      <c r="G89" s="339" t="s">
        <v>820</v>
      </c>
      <c r="H89" s="339" t="s">
        <v>1593</v>
      </c>
      <c r="I89" s="339" t="s">
        <v>1826</v>
      </c>
      <c r="J89" s="339" t="s">
        <v>820</v>
      </c>
      <c r="K89" s="339" t="s">
        <v>1039</v>
      </c>
      <c r="L89" s="342">
        <v>45677</v>
      </c>
      <c r="M89" s="339" t="s">
        <v>1700</v>
      </c>
      <c r="N89" s="339" t="s">
        <v>820</v>
      </c>
      <c r="O89" s="342"/>
      <c r="P89" s="339" t="s">
        <v>1805</v>
      </c>
      <c r="Q89" s="339" t="s">
        <v>294</v>
      </c>
      <c r="R89" s="343">
        <v>13.04</v>
      </c>
      <c r="S89" s="339" t="s">
        <v>294</v>
      </c>
      <c r="T89" s="343">
        <v>13.04</v>
      </c>
      <c r="U89" s="339" t="s">
        <v>629</v>
      </c>
      <c r="V89" s="339" t="s">
        <v>630</v>
      </c>
      <c r="W89" s="339" t="s">
        <v>820</v>
      </c>
      <c r="X89" s="339" t="s">
        <v>820</v>
      </c>
      <c r="Y89" s="339" t="s">
        <v>820</v>
      </c>
      <c r="Z89" s="339" t="s">
        <v>820</v>
      </c>
      <c r="AA89" s="339" t="s">
        <v>1598</v>
      </c>
      <c r="AB89" s="339" t="s">
        <v>820</v>
      </c>
      <c r="AC89" s="342">
        <v>45677</v>
      </c>
      <c r="AD89" s="339"/>
      <c r="AE89" s="339"/>
      <c r="AF89" s="339" t="s">
        <v>820</v>
      </c>
      <c r="AG89" s="339" t="s">
        <v>820</v>
      </c>
      <c r="AH89" s="339" t="s">
        <v>1806</v>
      </c>
      <c r="AI89" s="339" t="s">
        <v>1807</v>
      </c>
      <c r="AJ89" s="346">
        <v>8</v>
      </c>
      <c r="AK89" s="339" t="s">
        <v>1616</v>
      </c>
      <c r="AL89" s="345" t="s">
        <v>1601</v>
      </c>
      <c r="AM89" s="339" t="s">
        <v>1650</v>
      </c>
      <c r="AN89" s="339" t="s">
        <v>1651</v>
      </c>
      <c r="AO89" s="339" t="s">
        <v>820</v>
      </c>
      <c r="AP89" s="160" t="s">
        <v>1604</v>
      </c>
      <c r="AQ89" s="339" t="s">
        <v>820</v>
      </c>
      <c r="AR89" s="160" t="s">
        <v>1605</v>
      </c>
      <c r="AS89" s="160" t="s">
        <v>1531</v>
      </c>
      <c r="AT89" s="160" t="s">
        <v>333</v>
      </c>
      <c r="AU89" s="341">
        <f t="shared" si="0"/>
        <v>215160</v>
      </c>
      <c r="AV89" s="339" t="s">
        <v>629</v>
      </c>
      <c r="AW89" s="339" t="s">
        <v>630</v>
      </c>
    </row>
    <row r="90" spans="1:49" x14ac:dyDescent="0.25">
      <c r="A90" s="339" t="s">
        <v>1588</v>
      </c>
      <c r="B90" s="339" t="s">
        <v>1589</v>
      </c>
      <c r="C90" s="339" t="s">
        <v>1590</v>
      </c>
      <c r="D90" s="339" t="s">
        <v>1591</v>
      </c>
      <c r="E90" s="342">
        <v>45677</v>
      </c>
      <c r="F90" s="339" t="s">
        <v>820</v>
      </c>
      <c r="G90" s="339" t="s">
        <v>820</v>
      </c>
      <c r="H90" s="339" t="s">
        <v>1593</v>
      </c>
      <c r="I90" s="339" t="s">
        <v>1826</v>
      </c>
      <c r="J90" s="339" t="s">
        <v>820</v>
      </c>
      <c r="K90" s="339" t="s">
        <v>1039</v>
      </c>
      <c r="L90" s="342">
        <v>45677</v>
      </c>
      <c r="M90" s="339" t="s">
        <v>1700</v>
      </c>
      <c r="N90" s="339" t="s">
        <v>820</v>
      </c>
      <c r="O90" s="342"/>
      <c r="P90" s="339" t="s">
        <v>1805</v>
      </c>
      <c r="Q90" s="339" t="s">
        <v>294</v>
      </c>
      <c r="R90" s="343">
        <v>13.09</v>
      </c>
      <c r="S90" s="339" t="s">
        <v>294</v>
      </c>
      <c r="T90" s="343">
        <v>13.09</v>
      </c>
      <c r="U90" s="339" t="s">
        <v>629</v>
      </c>
      <c r="V90" s="339" t="s">
        <v>630</v>
      </c>
      <c r="W90" s="339" t="s">
        <v>820</v>
      </c>
      <c r="X90" s="339" t="s">
        <v>820</v>
      </c>
      <c r="Y90" s="339" t="s">
        <v>820</v>
      </c>
      <c r="Z90" s="339" t="s">
        <v>820</v>
      </c>
      <c r="AA90" s="339" t="s">
        <v>1598</v>
      </c>
      <c r="AB90" s="339" t="s">
        <v>820</v>
      </c>
      <c r="AC90" s="342">
        <v>45677</v>
      </c>
      <c r="AD90" s="339"/>
      <c r="AE90" s="339"/>
      <c r="AF90" s="339" t="s">
        <v>820</v>
      </c>
      <c r="AG90" s="339" t="s">
        <v>820</v>
      </c>
      <c r="AH90" s="339" t="s">
        <v>1806</v>
      </c>
      <c r="AI90" s="339" t="s">
        <v>1807</v>
      </c>
      <c r="AJ90" s="346">
        <v>8</v>
      </c>
      <c r="AK90" s="339" t="s">
        <v>1616</v>
      </c>
      <c r="AL90" s="345" t="s">
        <v>1601</v>
      </c>
      <c r="AM90" s="339" t="s">
        <v>1656</v>
      </c>
      <c r="AN90" s="339" t="s">
        <v>1657</v>
      </c>
      <c r="AO90" s="339" t="s">
        <v>820</v>
      </c>
      <c r="AP90" s="160" t="s">
        <v>1604</v>
      </c>
      <c r="AQ90" s="339" t="s">
        <v>820</v>
      </c>
      <c r="AR90" s="160" t="s">
        <v>1605</v>
      </c>
      <c r="AS90" s="160" t="s">
        <v>1531</v>
      </c>
      <c r="AT90" s="160" t="s">
        <v>333</v>
      </c>
      <c r="AU90" s="341">
        <f t="shared" si="0"/>
        <v>215985</v>
      </c>
      <c r="AV90" s="339" t="s">
        <v>629</v>
      </c>
      <c r="AW90" s="339" t="s">
        <v>630</v>
      </c>
    </row>
    <row r="91" spans="1:49" x14ac:dyDescent="0.25">
      <c r="A91" s="339" t="s">
        <v>1588</v>
      </c>
      <c r="B91" s="339" t="s">
        <v>1589</v>
      </c>
      <c r="C91" s="339" t="s">
        <v>1590</v>
      </c>
      <c r="D91" s="339" t="s">
        <v>1591</v>
      </c>
      <c r="E91" s="342">
        <v>45678</v>
      </c>
      <c r="F91" s="339" t="s">
        <v>820</v>
      </c>
      <c r="G91" s="339" t="s">
        <v>820</v>
      </c>
      <c r="H91" s="339" t="s">
        <v>1593</v>
      </c>
      <c r="I91" s="339" t="s">
        <v>1811</v>
      </c>
      <c r="J91" s="339" t="s">
        <v>820</v>
      </c>
      <c r="K91" s="339" t="s">
        <v>1039</v>
      </c>
      <c r="L91" s="342">
        <v>45678</v>
      </c>
      <c r="M91" s="339" t="s">
        <v>1812</v>
      </c>
      <c r="N91" s="339" t="s">
        <v>820</v>
      </c>
      <c r="O91" s="342"/>
      <c r="P91" s="339" t="s">
        <v>1805</v>
      </c>
      <c r="Q91" s="339" t="s">
        <v>294</v>
      </c>
      <c r="R91" s="343">
        <v>7.78</v>
      </c>
      <c r="S91" s="339" t="s">
        <v>294</v>
      </c>
      <c r="T91" s="343">
        <v>7.78</v>
      </c>
      <c r="U91" s="339" t="s">
        <v>629</v>
      </c>
      <c r="V91" s="339" t="s">
        <v>630</v>
      </c>
      <c r="W91" s="339" t="s">
        <v>820</v>
      </c>
      <c r="X91" s="339" t="s">
        <v>820</v>
      </c>
      <c r="Y91" s="339" t="s">
        <v>820</v>
      </c>
      <c r="Z91" s="339" t="s">
        <v>820</v>
      </c>
      <c r="AA91" s="339" t="s">
        <v>1598</v>
      </c>
      <c r="AB91" s="339" t="s">
        <v>820</v>
      </c>
      <c r="AC91" s="342">
        <v>45678</v>
      </c>
      <c r="AD91" s="339"/>
      <c r="AE91" s="339"/>
      <c r="AF91" s="339" t="s">
        <v>820</v>
      </c>
      <c r="AG91" s="339" t="s">
        <v>820</v>
      </c>
      <c r="AH91" s="339" t="s">
        <v>1806</v>
      </c>
      <c r="AI91" s="339" t="s">
        <v>1807</v>
      </c>
      <c r="AJ91" s="346">
        <v>20</v>
      </c>
      <c r="AK91" s="339" t="s">
        <v>1484</v>
      </c>
      <c r="AL91" s="345" t="s">
        <v>1601</v>
      </c>
      <c r="AM91" s="339" t="s">
        <v>1828</v>
      </c>
      <c r="AN91" s="339" t="s">
        <v>1829</v>
      </c>
      <c r="AO91" s="339" t="s">
        <v>820</v>
      </c>
      <c r="AP91" s="160" t="s">
        <v>1604</v>
      </c>
      <c r="AQ91" s="339" t="s">
        <v>820</v>
      </c>
      <c r="AR91" s="160" t="s">
        <v>1605</v>
      </c>
      <c r="AS91" s="160" t="s">
        <v>1531</v>
      </c>
      <c r="AT91" s="160" t="s">
        <v>333</v>
      </c>
      <c r="AU91" s="341">
        <f t="shared" si="0"/>
        <v>128370</v>
      </c>
      <c r="AV91" s="339" t="s">
        <v>629</v>
      </c>
      <c r="AW91" s="339" t="s">
        <v>630</v>
      </c>
    </row>
    <row r="92" spans="1:49" x14ac:dyDescent="0.25">
      <c r="A92" s="339" t="s">
        <v>1588</v>
      </c>
      <c r="B92" s="339" t="s">
        <v>1589</v>
      </c>
      <c r="C92" s="339" t="s">
        <v>1590</v>
      </c>
      <c r="D92" s="339" t="s">
        <v>1591</v>
      </c>
      <c r="E92" s="342">
        <v>45674</v>
      </c>
      <c r="F92" s="339" t="s">
        <v>820</v>
      </c>
      <c r="G92" s="339" t="s">
        <v>820</v>
      </c>
      <c r="H92" s="339" t="s">
        <v>1593</v>
      </c>
      <c r="I92" s="339" t="s">
        <v>1803</v>
      </c>
      <c r="J92" s="339" t="s">
        <v>820</v>
      </c>
      <c r="K92" s="339" t="s">
        <v>1039</v>
      </c>
      <c r="L92" s="342">
        <v>45674</v>
      </c>
      <c r="M92" s="339" t="s">
        <v>1804</v>
      </c>
      <c r="N92" s="339" t="s">
        <v>820</v>
      </c>
      <c r="O92" s="342"/>
      <c r="P92" s="339" t="s">
        <v>1805</v>
      </c>
      <c r="Q92" s="339" t="s">
        <v>294</v>
      </c>
      <c r="R92" s="343">
        <v>7.54</v>
      </c>
      <c r="S92" s="339" t="s">
        <v>294</v>
      </c>
      <c r="T92" s="343">
        <v>7.54</v>
      </c>
      <c r="U92" s="339" t="s">
        <v>629</v>
      </c>
      <c r="V92" s="339" t="s">
        <v>630</v>
      </c>
      <c r="W92" s="339" t="s">
        <v>820</v>
      </c>
      <c r="X92" s="339" t="s">
        <v>820</v>
      </c>
      <c r="Y92" s="339" t="s">
        <v>820</v>
      </c>
      <c r="Z92" s="339" t="s">
        <v>820</v>
      </c>
      <c r="AA92" s="339" t="s">
        <v>1598</v>
      </c>
      <c r="AB92" s="339" t="s">
        <v>820</v>
      </c>
      <c r="AC92" s="342">
        <v>45674</v>
      </c>
      <c r="AD92" s="339"/>
      <c r="AE92" s="339"/>
      <c r="AF92" s="339" t="s">
        <v>820</v>
      </c>
      <c r="AG92" s="339" t="s">
        <v>820</v>
      </c>
      <c r="AH92" s="339" t="s">
        <v>1806</v>
      </c>
      <c r="AI92" s="339" t="s">
        <v>1807</v>
      </c>
      <c r="AJ92" s="346">
        <v>12</v>
      </c>
      <c r="AK92" s="339" t="s">
        <v>1484</v>
      </c>
      <c r="AL92" s="345" t="s">
        <v>1601</v>
      </c>
      <c r="AM92" s="339" t="s">
        <v>1662</v>
      </c>
      <c r="AN92" s="339" t="s">
        <v>1663</v>
      </c>
      <c r="AO92" s="339" t="s">
        <v>820</v>
      </c>
      <c r="AP92" s="160" t="s">
        <v>1604</v>
      </c>
      <c r="AQ92" s="339" t="s">
        <v>820</v>
      </c>
      <c r="AR92" s="160" t="s">
        <v>1605</v>
      </c>
      <c r="AS92" s="160" t="s">
        <v>1531</v>
      </c>
      <c r="AT92" s="160" t="s">
        <v>333</v>
      </c>
      <c r="AU92" s="341">
        <f t="shared" si="0"/>
        <v>124410</v>
      </c>
      <c r="AV92" s="339" t="s">
        <v>629</v>
      </c>
      <c r="AW92" s="339" t="s">
        <v>630</v>
      </c>
    </row>
    <row r="93" spans="1:49" x14ac:dyDescent="0.25">
      <c r="A93" s="339" t="s">
        <v>1588</v>
      </c>
      <c r="B93" s="339" t="s">
        <v>1589</v>
      </c>
      <c r="C93" s="339" t="s">
        <v>1590</v>
      </c>
      <c r="D93" s="339" t="s">
        <v>1591</v>
      </c>
      <c r="E93" s="342">
        <v>45665</v>
      </c>
      <c r="F93" s="339" t="s">
        <v>820</v>
      </c>
      <c r="G93" s="339" t="s">
        <v>820</v>
      </c>
      <c r="H93" s="339" t="s">
        <v>1593</v>
      </c>
      <c r="I93" s="339" t="s">
        <v>1830</v>
      </c>
      <c r="J93" s="339" t="s">
        <v>820</v>
      </c>
      <c r="K93" s="339" t="s">
        <v>1039</v>
      </c>
      <c r="L93" s="342">
        <v>45665</v>
      </c>
      <c r="M93" s="339" t="s">
        <v>1831</v>
      </c>
      <c r="N93" s="339" t="s">
        <v>820</v>
      </c>
      <c r="O93" s="342"/>
      <c r="P93" s="339" t="s">
        <v>1805</v>
      </c>
      <c r="Q93" s="339" t="s">
        <v>294</v>
      </c>
      <c r="R93" s="343">
        <v>6.52</v>
      </c>
      <c r="S93" s="339" t="s">
        <v>294</v>
      </c>
      <c r="T93" s="343">
        <v>6.52</v>
      </c>
      <c r="U93" s="339" t="s">
        <v>629</v>
      </c>
      <c r="V93" s="339" t="s">
        <v>630</v>
      </c>
      <c r="W93" s="339" t="s">
        <v>820</v>
      </c>
      <c r="X93" s="339" t="s">
        <v>820</v>
      </c>
      <c r="Y93" s="339" t="s">
        <v>820</v>
      </c>
      <c r="Z93" s="339" t="s">
        <v>820</v>
      </c>
      <c r="AA93" s="339" t="s">
        <v>1598</v>
      </c>
      <c r="AB93" s="339" t="s">
        <v>820</v>
      </c>
      <c r="AC93" s="342">
        <v>45665</v>
      </c>
      <c r="AD93" s="339"/>
      <c r="AE93" s="339"/>
      <c r="AF93" s="339" t="s">
        <v>820</v>
      </c>
      <c r="AG93" s="339" t="s">
        <v>820</v>
      </c>
      <c r="AH93" s="339" t="s">
        <v>1806</v>
      </c>
      <c r="AI93" s="339" t="s">
        <v>1807</v>
      </c>
      <c r="AJ93" s="346">
        <v>4</v>
      </c>
      <c r="AK93" s="339" t="s">
        <v>1616</v>
      </c>
      <c r="AL93" s="345" t="s">
        <v>1601</v>
      </c>
      <c r="AM93" s="339" t="s">
        <v>1650</v>
      </c>
      <c r="AN93" s="339" t="s">
        <v>1651</v>
      </c>
      <c r="AO93" s="339" t="s">
        <v>820</v>
      </c>
      <c r="AP93" s="160" t="s">
        <v>1604</v>
      </c>
      <c r="AQ93" s="339" t="s">
        <v>820</v>
      </c>
      <c r="AR93" s="160" t="s">
        <v>1605</v>
      </c>
      <c r="AS93" s="160" t="s">
        <v>1531</v>
      </c>
      <c r="AT93" s="160" t="s">
        <v>333</v>
      </c>
      <c r="AU93" s="341">
        <f t="shared" si="0"/>
        <v>107580</v>
      </c>
      <c r="AV93" s="339" t="s">
        <v>629</v>
      </c>
      <c r="AW93" s="339" t="s">
        <v>630</v>
      </c>
    </row>
    <row r="94" spans="1:49" x14ac:dyDescent="0.25">
      <c r="A94" s="339" t="s">
        <v>1588</v>
      </c>
      <c r="B94" s="339" t="s">
        <v>1589</v>
      </c>
      <c r="C94" s="339" t="s">
        <v>1590</v>
      </c>
      <c r="D94" s="339" t="s">
        <v>1591</v>
      </c>
      <c r="E94" s="342">
        <v>45666</v>
      </c>
      <c r="F94" s="339" t="s">
        <v>820</v>
      </c>
      <c r="G94" s="339" t="s">
        <v>820</v>
      </c>
      <c r="H94" s="339" t="s">
        <v>1593</v>
      </c>
      <c r="I94" s="339" t="s">
        <v>1832</v>
      </c>
      <c r="J94" s="339" t="s">
        <v>820</v>
      </c>
      <c r="K94" s="339" t="s">
        <v>1039</v>
      </c>
      <c r="L94" s="342">
        <v>45666</v>
      </c>
      <c r="M94" s="339" t="s">
        <v>1833</v>
      </c>
      <c r="N94" s="339" t="s">
        <v>820</v>
      </c>
      <c r="O94" s="342"/>
      <c r="P94" s="339" t="s">
        <v>1805</v>
      </c>
      <c r="Q94" s="339" t="s">
        <v>294</v>
      </c>
      <c r="R94" s="343">
        <v>6.52</v>
      </c>
      <c r="S94" s="339" t="s">
        <v>294</v>
      </c>
      <c r="T94" s="343">
        <v>6.52</v>
      </c>
      <c r="U94" s="339" t="s">
        <v>629</v>
      </c>
      <c r="V94" s="339" t="s">
        <v>630</v>
      </c>
      <c r="W94" s="339" t="s">
        <v>820</v>
      </c>
      <c r="X94" s="339" t="s">
        <v>820</v>
      </c>
      <c r="Y94" s="339" t="s">
        <v>820</v>
      </c>
      <c r="Z94" s="339" t="s">
        <v>820</v>
      </c>
      <c r="AA94" s="339" t="s">
        <v>1598</v>
      </c>
      <c r="AB94" s="339" t="s">
        <v>820</v>
      </c>
      <c r="AC94" s="342">
        <v>45666</v>
      </c>
      <c r="AD94" s="339"/>
      <c r="AE94" s="339"/>
      <c r="AF94" s="339" t="s">
        <v>820</v>
      </c>
      <c r="AG94" s="339" t="s">
        <v>820</v>
      </c>
      <c r="AH94" s="339" t="s">
        <v>1806</v>
      </c>
      <c r="AI94" s="339" t="s">
        <v>1807</v>
      </c>
      <c r="AJ94" s="346">
        <v>4</v>
      </c>
      <c r="AK94" s="339" t="s">
        <v>1616</v>
      </c>
      <c r="AL94" s="345" t="s">
        <v>1601</v>
      </c>
      <c r="AM94" s="339" t="s">
        <v>1650</v>
      </c>
      <c r="AN94" s="339" t="s">
        <v>1651</v>
      </c>
      <c r="AO94" s="339" t="s">
        <v>820</v>
      </c>
      <c r="AP94" s="160" t="s">
        <v>1604</v>
      </c>
      <c r="AQ94" s="339" t="s">
        <v>820</v>
      </c>
      <c r="AR94" s="160" t="s">
        <v>1605</v>
      </c>
      <c r="AS94" s="160" t="s">
        <v>1531</v>
      </c>
      <c r="AT94" s="160" t="s">
        <v>333</v>
      </c>
      <c r="AU94" s="341">
        <f t="shared" si="0"/>
        <v>107580</v>
      </c>
      <c r="AV94" s="339" t="s">
        <v>629</v>
      </c>
      <c r="AW94" s="339" t="s">
        <v>630</v>
      </c>
    </row>
    <row r="95" spans="1:49" x14ac:dyDescent="0.25">
      <c r="A95" s="339" t="s">
        <v>1588</v>
      </c>
      <c r="B95" s="339" t="s">
        <v>1589</v>
      </c>
      <c r="C95" s="339" t="s">
        <v>1590</v>
      </c>
      <c r="D95" s="339" t="s">
        <v>1591</v>
      </c>
      <c r="E95" s="342">
        <v>45668</v>
      </c>
      <c r="F95" s="339" t="s">
        <v>820</v>
      </c>
      <c r="G95" s="339" t="s">
        <v>820</v>
      </c>
      <c r="H95" s="339" t="s">
        <v>1593</v>
      </c>
      <c r="I95" s="339" t="s">
        <v>1834</v>
      </c>
      <c r="J95" s="339" t="s">
        <v>820</v>
      </c>
      <c r="K95" s="339" t="s">
        <v>1039</v>
      </c>
      <c r="L95" s="342">
        <v>45668</v>
      </c>
      <c r="M95" s="339" t="s">
        <v>1835</v>
      </c>
      <c r="N95" s="339" t="s">
        <v>820</v>
      </c>
      <c r="O95" s="342"/>
      <c r="P95" s="339" t="s">
        <v>1805</v>
      </c>
      <c r="Q95" s="339" t="s">
        <v>294</v>
      </c>
      <c r="R95" s="343">
        <v>6.52</v>
      </c>
      <c r="S95" s="339" t="s">
        <v>294</v>
      </c>
      <c r="T95" s="343">
        <v>6.52</v>
      </c>
      <c r="U95" s="339" t="s">
        <v>629</v>
      </c>
      <c r="V95" s="339" t="s">
        <v>630</v>
      </c>
      <c r="W95" s="339" t="s">
        <v>820</v>
      </c>
      <c r="X95" s="339" t="s">
        <v>820</v>
      </c>
      <c r="Y95" s="339" t="s">
        <v>820</v>
      </c>
      <c r="Z95" s="339" t="s">
        <v>820</v>
      </c>
      <c r="AA95" s="339" t="s">
        <v>1598</v>
      </c>
      <c r="AB95" s="339" t="s">
        <v>820</v>
      </c>
      <c r="AC95" s="342">
        <v>45668</v>
      </c>
      <c r="AD95" s="339"/>
      <c r="AE95" s="339"/>
      <c r="AF95" s="339" t="s">
        <v>820</v>
      </c>
      <c r="AG95" s="339" t="s">
        <v>820</v>
      </c>
      <c r="AH95" s="339" t="s">
        <v>1806</v>
      </c>
      <c r="AI95" s="339" t="s">
        <v>1807</v>
      </c>
      <c r="AJ95" s="346">
        <v>4</v>
      </c>
      <c r="AK95" s="339" t="s">
        <v>1616</v>
      </c>
      <c r="AL95" s="345" t="s">
        <v>1601</v>
      </c>
      <c r="AM95" s="339" t="s">
        <v>1650</v>
      </c>
      <c r="AN95" s="339" t="s">
        <v>1651</v>
      </c>
      <c r="AO95" s="339" t="s">
        <v>820</v>
      </c>
      <c r="AP95" s="160" t="s">
        <v>1604</v>
      </c>
      <c r="AQ95" s="339" t="s">
        <v>820</v>
      </c>
      <c r="AR95" s="160" t="s">
        <v>1605</v>
      </c>
      <c r="AS95" s="160" t="s">
        <v>1531</v>
      </c>
      <c r="AT95" s="160" t="s">
        <v>333</v>
      </c>
      <c r="AU95" s="341">
        <f t="shared" si="0"/>
        <v>107580</v>
      </c>
      <c r="AV95" s="339" t="s">
        <v>629</v>
      </c>
      <c r="AW95" s="339" t="s">
        <v>630</v>
      </c>
    </row>
    <row r="96" spans="1:49" x14ac:dyDescent="0.25">
      <c r="A96" s="339" t="s">
        <v>1588</v>
      </c>
      <c r="B96" s="339" t="s">
        <v>1589</v>
      </c>
      <c r="C96" s="339" t="s">
        <v>1590</v>
      </c>
      <c r="D96" s="339" t="s">
        <v>1591</v>
      </c>
      <c r="E96" s="342">
        <v>45667</v>
      </c>
      <c r="F96" s="339" t="s">
        <v>820</v>
      </c>
      <c r="G96" s="339" t="s">
        <v>820</v>
      </c>
      <c r="H96" s="339" t="s">
        <v>1593</v>
      </c>
      <c r="I96" s="339" t="s">
        <v>1827</v>
      </c>
      <c r="J96" s="339" t="s">
        <v>820</v>
      </c>
      <c r="K96" s="339" t="s">
        <v>1039</v>
      </c>
      <c r="L96" s="342">
        <v>45667</v>
      </c>
      <c r="M96" s="339" t="s">
        <v>1610</v>
      </c>
      <c r="N96" s="339" t="s">
        <v>820</v>
      </c>
      <c r="O96" s="342"/>
      <c r="P96" s="339" t="s">
        <v>1805</v>
      </c>
      <c r="Q96" s="339" t="s">
        <v>294</v>
      </c>
      <c r="R96" s="343">
        <v>6.2</v>
      </c>
      <c r="S96" s="339" t="s">
        <v>294</v>
      </c>
      <c r="T96" s="343">
        <v>6.2</v>
      </c>
      <c r="U96" s="339" t="s">
        <v>629</v>
      </c>
      <c r="V96" s="339" t="s">
        <v>630</v>
      </c>
      <c r="W96" s="339" t="s">
        <v>820</v>
      </c>
      <c r="X96" s="339" t="s">
        <v>820</v>
      </c>
      <c r="Y96" s="339" t="s">
        <v>820</v>
      </c>
      <c r="Z96" s="339" t="s">
        <v>820</v>
      </c>
      <c r="AA96" s="339" t="s">
        <v>1598</v>
      </c>
      <c r="AB96" s="339" t="s">
        <v>820</v>
      </c>
      <c r="AC96" s="342">
        <v>45667</v>
      </c>
      <c r="AD96" s="339"/>
      <c r="AE96" s="339"/>
      <c r="AF96" s="339" t="s">
        <v>820</v>
      </c>
      <c r="AG96" s="339" t="s">
        <v>820</v>
      </c>
      <c r="AH96" s="339" t="s">
        <v>1806</v>
      </c>
      <c r="AI96" s="339" t="s">
        <v>1807</v>
      </c>
      <c r="AJ96" s="346">
        <v>5</v>
      </c>
      <c r="AK96" s="339" t="s">
        <v>1616</v>
      </c>
      <c r="AL96" s="345" t="s">
        <v>1601</v>
      </c>
      <c r="AM96" s="339" t="s">
        <v>1836</v>
      </c>
      <c r="AN96" s="339" t="s">
        <v>1837</v>
      </c>
      <c r="AO96" s="339" t="s">
        <v>820</v>
      </c>
      <c r="AP96" s="160" t="s">
        <v>1604</v>
      </c>
      <c r="AQ96" s="339" t="s">
        <v>820</v>
      </c>
      <c r="AR96" s="160" t="s">
        <v>1605</v>
      </c>
      <c r="AS96" s="160" t="s">
        <v>1531</v>
      </c>
      <c r="AT96" s="160" t="s">
        <v>333</v>
      </c>
      <c r="AU96" s="341">
        <f t="shared" si="0"/>
        <v>102300</v>
      </c>
      <c r="AV96" s="339" t="s">
        <v>629</v>
      </c>
      <c r="AW96" s="339" t="s">
        <v>630</v>
      </c>
    </row>
    <row r="97" spans="1:49" x14ac:dyDescent="0.25">
      <c r="A97" s="339" t="s">
        <v>1588</v>
      </c>
      <c r="B97" s="339" t="s">
        <v>1589</v>
      </c>
      <c r="C97" s="339" t="s">
        <v>1590</v>
      </c>
      <c r="D97" s="339" t="s">
        <v>1591</v>
      </c>
      <c r="E97" s="342">
        <v>45687</v>
      </c>
      <c r="F97" s="339" t="s">
        <v>1838</v>
      </c>
      <c r="G97" s="339" t="s">
        <v>820</v>
      </c>
      <c r="H97" s="339" t="s">
        <v>1593</v>
      </c>
      <c r="I97" s="339" t="s">
        <v>1813</v>
      </c>
      <c r="J97" s="339" t="s">
        <v>820</v>
      </c>
      <c r="K97" s="339" t="s">
        <v>1039</v>
      </c>
      <c r="L97" s="342">
        <v>45687</v>
      </c>
      <c r="M97" s="339" t="s">
        <v>1814</v>
      </c>
      <c r="N97" s="339" t="s">
        <v>820</v>
      </c>
      <c r="O97" s="342"/>
      <c r="P97" s="339" t="s">
        <v>1805</v>
      </c>
      <c r="Q97" s="339" t="s">
        <v>294</v>
      </c>
      <c r="R97" s="343">
        <v>6.2</v>
      </c>
      <c r="S97" s="339" t="s">
        <v>294</v>
      </c>
      <c r="T97" s="343">
        <v>6.2</v>
      </c>
      <c r="U97" s="339" t="s">
        <v>629</v>
      </c>
      <c r="V97" s="339" t="s">
        <v>630</v>
      </c>
      <c r="W97" s="339" t="s">
        <v>820</v>
      </c>
      <c r="X97" s="339" t="s">
        <v>820</v>
      </c>
      <c r="Y97" s="339" t="s">
        <v>820</v>
      </c>
      <c r="Z97" s="339" t="s">
        <v>820</v>
      </c>
      <c r="AA97" s="339" t="s">
        <v>1598</v>
      </c>
      <c r="AB97" s="339" t="s">
        <v>820</v>
      </c>
      <c r="AC97" s="342">
        <v>45687</v>
      </c>
      <c r="AD97" s="339"/>
      <c r="AE97" s="339"/>
      <c r="AF97" s="339" t="s">
        <v>820</v>
      </c>
      <c r="AG97" s="339" t="s">
        <v>820</v>
      </c>
      <c r="AH97" s="339" t="s">
        <v>1806</v>
      </c>
      <c r="AI97" s="339" t="s">
        <v>1807</v>
      </c>
      <c r="AJ97" s="346">
        <v>5</v>
      </c>
      <c r="AK97" s="339" t="s">
        <v>1616</v>
      </c>
      <c r="AL97" s="345" t="s">
        <v>1601</v>
      </c>
      <c r="AM97" s="339" t="s">
        <v>1836</v>
      </c>
      <c r="AN97" s="339" t="s">
        <v>1837</v>
      </c>
      <c r="AO97" s="339" t="s">
        <v>820</v>
      </c>
      <c r="AP97" s="160" t="s">
        <v>1604</v>
      </c>
      <c r="AQ97" s="339" t="s">
        <v>820</v>
      </c>
      <c r="AR97" s="160" t="s">
        <v>1605</v>
      </c>
      <c r="AS97" s="160" t="s">
        <v>1531</v>
      </c>
      <c r="AT97" s="160" t="s">
        <v>333</v>
      </c>
      <c r="AU97" s="341">
        <f t="shared" si="0"/>
        <v>102300</v>
      </c>
      <c r="AV97" s="339" t="s">
        <v>629</v>
      </c>
      <c r="AW97" s="339" t="s">
        <v>630</v>
      </c>
    </row>
    <row r="98" spans="1:49" x14ac:dyDescent="0.25">
      <c r="A98" s="339" t="s">
        <v>1588</v>
      </c>
      <c r="B98" s="339" t="s">
        <v>1589</v>
      </c>
      <c r="C98" s="339" t="s">
        <v>1590</v>
      </c>
      <c r="D98" s="339" t="s">
        <v>1591</v>
      </c>
      <c r="E98" s="342">
        <v>45674</v>
      </c>
      <c r="F98" s="339" t="s">
        <v>820</v>
      </c>
      <c r="G98" s="339" t="s">
        <v>820</v>
      </c>
      <c r="H98" s="339" t="s">
        <v>1593</v>
      </c>
      <c r="I98" s="339" t="s">
        <v>1803</v>
      </c>
      <c r="J98" s="339" t="s">
        <v>820</v>
      </c>
      <c r="K98" s="339" t="s">
        <v>1039</v>
      </c>
      <c r="L98" s="342">
        <v>45674</v>
      </c>
      <c r="M98" s="339" t="s">
        <v>1804</v>
      </c>
      <c r="N98" s="339" t="s">
        <v>820</v>
      </c>
      <c r="O98" s="342"/>
      <c r="P98" s="339" t="s">
        <v>1805</v>
      </c>
      <c r="Q98" s="339" t="s">
        <v>294</v>
      </c>
      <c r="R98" s="343">
        <v>4.45</v>
      </c>
      <c r="S98" s="339" t="s">
        <v>294</v>
      </c>
      <c r="T98" s="343">
        <v>4.45</v>
      </c>
      <c r="U98" s="339" t="s">
        <v>629</v>
      </c>
      <c r="V98" s="339" t="s">
        <v>630</v>
      </c>
      <c r="W98" s="339" t="s">
        <v>820</v>
      </c>
      <c r="X98" s="339" t="s">
        <v>820</v>
      </c>
      <c r="Y98" s="339" t="s">
        <v>820</v>
      </c>
      <c r="Z98" s="339" t="s">
        <v>820</v>
      </c>
      <c r="AA98" s="339" t="s">
        <v>1598</v>
      </c>
      <c r="AB98" s="339" t="s">
        <v>820</v>
      </c>
      <c r="AC98" s="342">
        <v>45674</v>
      </c>
      <c r="AD98" s="339"/>
      <c r="AE98" s="339"/>
      <c r="AF98" s="339" t="s">
        <v>820</v>
      </c>
      <c r="AG98" s="339" t="s">
        <v>820</v>
      </c>
      <c r="AH98" s="339" t="s">
        <v>1806</v>
      </c>
      <c r="AI98" s="339" t="s">
        <v>1807</v>
      </c>
      <c r="AJ98" s="346">
        <v>8</v>
      </c>
      <c r="AK98" s="339" t="s">
        <v>1484</v>
      </c>
      <c r="AL98" s="345" t="s">
        <v>1601</v>
      </c>
      <c r="AM98" s="339" t="s">
        <v>1633</v>
      </c>
      <c r="AN98" s="339" t="s">
        <v>1634</v>
      </c>
      <c r="AO98" s="339" t="s">
        <v>820</v>
      </c>
      <c r="AP98" s="160" t="s">
        <v>1604</v>
      </c>
      <c r="AQ98" s="339" t="s">
        <v>820</v>
      </c>
      <c r="AR98" s="160" t="s">
        <v>1605</v>
      </c>
      <c r="AS98" s="160" t="s">
        <v>1531</v>
      </c>
      <c r="AT98" s="160" t="s">
        <v>333</v>
      </c>
      <c r="AU98" s="341">
        <f t="shared" si="0"/>
        <v>73425</v>
      </c>
      <c r="AV98" s="339" t="s">
        <v>629</v>
      </c>
      <c r="AW98" s="339" t="s">
        <v>630</v>
      </c>
    </row>
    <row r="99" spans="1:49" x14ac:dyDescent="0.25">
      <c r="A99" s="339" t="s">
        <v>1588</v>
      </c>
      <c r="B99" s="339" t="s">
        <v>1589</v>
      </c>
      <c r="C99" s="339" t="s">
        <v>1590</v>
      </c>
      <c r="D99" s="339" t="s">
        <v>1591</v>
      </c>
      <c r="E99" s="342">
        <v>45677</v>
      </c>
      <c r="F99" s="339" t="s">
        <v>1839</v>
      </c>
      <c r="G99" s="339" t="s">
        <v>820</v>
      </c>
      <c r="H99" s="339" t="s">
        <v>1593</v>
      </c>
      <c r="I99" s="339" t="s">
        <v>1840</v>
      </c>
      <c r="J99" s="339" t="s">
        <v>820</v>
      </c>
      <c r="K99" s="339" t="s">
        <v>1039</v>
      </c>
      <c r="L99" s="342">
        <v>45677</v>
      </c>
      <c r="M99" s="339" t="s">
        <v>1700</v>
      </c>
      <c r="N99" s="339" t="s">
        <v>820</v>
      </c>
      <c r="O99" s="342"/>
      <c r="P99" s="339" t="s">
        <v>1805</v>
      </c>
      <c r="Q99" s="339" t="s">
        <v>294</v>
      </c>
      <c r="R99" s="343">
        <v>4.1500000000000004</v>
      </c>
      <c r="S99" s="339" t="s">
        <v>294</v>
      </c>
      <c r="T99" s="343">
        <v>4.1500000000000004</v>
      </c>
      <c r="U99" s="339" t="s">
        <v>629</v>
      </c>
      <c r="V99" s="339" t="s">
        <v>630</v>
      </c>
      <c r="W99" s="339" t="s">
        <v>820</v>
      </c>
      <c r="X99" s="339" t="s">
        <v>820</v>
      </c>
      <c r="Y99" s="339" t="s">
        <v>820</v>
      </c>
      <c r="Z99" s="339" t="s">
        <v>820</v>
      </c>
      <c r="AA99" s="339" t="s">
        <v>1598</v>
      </c>
      <c r="AB99" s="339" t="s">
        <v>820</v>
      </c>
      <c r="AC99" s="342">
        <v>45677</v>
      </c>
      <c r="AD99" s="339"/>
      <c r="AE99" s="339"/>
      <c r="AF99" s="339" t="s">
        <v>820</v>
      </c>
      <c r="AG99" s="339" t="s">
        <v>820</v>
      </c>
      <c r="AH99" s="339" t="s">
        <v>1806</v>
      </c>
      <c r="AI99" s="339" t="s">
        <v>1807</v>
      </c>
      <c r="AJ99" s="346">
        <v>12</v>
      </c>
      <c r="AK99" s="339" t="s">
        <v>1616</v>
      </c>
      <c r="AL99" s="345" t="s">
        <v>1601</v>
      </c>
      <c r="AM99" s="339" t="s">
        <v>1627</v>
      </c>
      <c r="AN99" s="339" t="s">
        <v>1628</v>
      </c>
      <c r="AO99" s="339" t="s">
        <v>820</v>
      </c>
      <c r="AP99" s="160" t="s">
        <v>1604</v>
      </c>
      <c r="AQ99" s="339" t="s">
        <v>820</v>
      </c>
      <c r="AR99" s="160" t="s">
        <v>1605</v>
      </c>
      <c r="AS99" s="160" t="s">
        <v>1531</v>
      </c>
      <c r="AT99" s="160" t="s">
        <v>333</v>
      </c>
      <c r="AU99" s="341">
        <f t="shared" si="0"/>
        <v>68475</v>
      </c>
      <c r="AV99" s="339" t="s">
        <v>629</v>
      </c>
      <c r="AW99" s="339" t="s">
        <v>630</v>
      </c>
    </row>
    <row r="100" spans="1:49" x14ac:dyDescent="0.25">
      <c r="A100" s="339" t="s">
        <v>1588</v>
      </c>
      <c r="B100" s="339" t="s">
        <v>1589</v>
      </c>
      <c r="C100" s="339" t="s">
        <v>1590</v>
      </c>
      <c r="D100" s="339" t="s">
        <v>1591</v>
      </c>
      <c r="E100" s="342">
        <v>45667</v>
      </c>
      <c r="F100" s="339" t="s">
        <v>820</v>
      </c>
      <c r="G100" s="339" t="s">
        <v>820</v>
      </c>
      <c r="H100" s="339" t="s">
        <v>1593</v>
      </c>
      <c r="I100" s="339" t="s">
        <v>1827</v>
      </c>
      <c r="J100" s="339" t="s">
        <v>820</v>
      </c>
      <c r="K100" s="339" t="s">
        <v>1039</v>
      </c>
      <c r="L100" s="342">
        <v>45667</v>
      </c>
      <c r="M100" s="339" t="s">
        <v>1610</v>
      </c>
      <c r="N100" s="339" t="s">
        <v>820</v>
      </c>
      <c r="O100" s="342"/>
      <c r="P100" s="339" t="s">
        <v>1805</v>
      </c>
      <c r="Q100" s="339" t="s">
        <v>294</v>
      </c>
      <c r="R100" s="343">
        <v>3.14</v>
      </c>
      <c r="S100" s="339" t="s">
        <v>294</v>
      </c>
      <c r="T100" s="343">
        <v>3.14</v>
      </c>
      <c r="U100" s="339" t="s">
        <v>629</v>
      </c>
      <c r="V100" s="339" t="s">
        <v>630</v>
      </c>
      <c r="W100" s="339" t="s">
        <v>820</v>
      </c>
      <c r="X100" s="339" t="s">
        <v>820</v>
      </c>
      <c r="Y100" s="339" t="s">
        <v>820</v>
      </c>
      <c r="Z100" s="339" t="s">
        <v>820</v>
      </c>
      <c r="AA100" s="339" t="s">
        <v>1598</v>
      </c>
      <c r="AB100" s="339" t="s">
        <v>820</v>
      </c>
      <c r="AC100" s="342">
        <v>45667</v>
      </c>
      <c r="AD100" s="339"/>
      <c r="AE100" s="339"/>
      <c r="AF100" s="339" t="s">
        <v>820</v>
      </c>
      <c r="AG100" s="339" t="s">
        <v>820</v>
      </c>
      <c r="AH100" s="339" t="s">
        <v>1806</v>
      </c>
      <c r="AI100" s="339" t="s">
        <v>1807</v>
      </c>
      <c r="AJ100" s="346">
        <v>5</v>
      </c>
      <c r="AK100" s="339" t="s">
        <v>1484</v>
      </c>
      <c r="AL100" s="345" t="s">
        <v>1601</v>
      </c>
      <c r="AM100" s="339" t="s">
        <v>1662</v>
      </c>
      <c r="AN100" s="339" t="s">
        <v>1663</v>
      </c>
      <c r="AO100" s="339" t="s">
        <v>820</v>
      </c>
      <c r="AP100" s="160" t="s">
        <v>1604</v>
      </c>
      <c r="AQ100" s="339" t="s">
        <v>820</v>
      </c>
      <c r="AR100" s="160" t="s">
        <v>1605</v>
      </c>
      <c r="AS100" s="160" t="s">
        <v>1531</v>
      </c>
      <c r="AT100" s="160" t="s">
        <v>333</v>
      </c>
      <c r="AU100" s="341">
        <f t="shared" si="0"/>
        <v>51810</v>
      </c>
      <c r="AV100" s="339" t="s">
        <v>629</v>
      </c>
      <c r="AW100" s="339" t="s">
        <v>630</v>
      </c>
    </row>
    <row r="101" spans="1:49" x14ac:dyDescent="0.25">
      <c r="A101" s="339" t="s">
        <v>1588</v>
      </c>
      <c r="B101" s="339" t="s">
        <v>1589</v>
      </c>
      <c r="C101" s="339" t="s">
        <v>1590</v>
      </c>
      <c r="D101" s="339" t="s">
        <v>1591</v>
      </c>
      <c r="E101" s="342">
        <v>45680</v>
      </c>
      <c r="F101" s="339" t="s">
        <v>820</v>
      </c>
      <c r="G101" s="339" t="s">
        <v>820</v>
      </c>
      <c r="H101" s="339" t="s">
        <v>1593</v>
      </c>
      <c r="I101" s="339" t="s">
        <v>1825</v>
      </c>
      <c r="J101" s="339" t="s">
        <v>820</v>
      </c>
      <c r="K101" s="339" t="s">
        <v>1039</v>
      </c>
      <c r="L101" s="342">
        <v>45680</v>
      </c>
      <c r="M101" s="339" t="s">
        <v>1595</v>
      </c>
      <c r="N101" s="339" t="s">
        <v>820</v>
      </c>
      <c r="O101" s="342"/>
      <c r="P101" s="339" t="s">
        <v>1805</v>
      </c>
      <c r="Q101" s="339" t="s">
        <v>294</v>
      </c>
      <c r="R101" s="343">
        <v>2.89</v>
      </c>
      <c r="S101" s="339" t="s">
        <v>294</v>
      </c>
      <c r="T101" s="343">
        <v>2.89</v>
      </c>
      <c r="U101" s="339" t="s">
        <v>629</v>
      </c>
      <c r="V101" s="339" t="s">
        <v>630</v>
      </c>
      <c r="W101" s="339" t="s">
        <v>820</v>
      </c>
      <c r="X101" s="339" t="s">
        <v>820</v>
      </c>
      <c r="Y101" s="339" t="s">
        <v>820</v>
      </c>
      <c r="Z101" s="339" t="s">
        <v>820</v>
      </c>
      <c r="AA101" s="339" t="s">
        <v>1598</v>
      </c>
      <c r="AB101" s="339" t="s">
        <v>820</v>
      </c>
      <c r="AC101" s="342">
        <v>45680</v>
      </c>
      <c r="AD101" s="339"/>
      <c r="AE101" s="339"/>
      <c r="AF101" s="339" t="s">
        <v>820</v>
      </c>
      <c r="AG101" s="339" t="s">
        <v>820</v>
      </c>
      <c r="AH101" s="339" t="s">
        <v>1806</v>
      </c>
      <c r="AI101" s="339" t="s">
        <v>1807</v>
      </c>
      <c r="AJ101" s="346">
        <v>20</v>
      </c>
      <c r="AK101" s="339" t="s">
        <v>1484</v>
      </c>
      <c r="AL101" s="345" t="s">
        <v>1601</v>
      </c>
      <c r="AM101" s="339" t="s">
        <v>1841</v>
      </c>
      <c r="AN101" s="339" t="s">
        <v>1842</v>
      </c>
      <c r="AO101" s="339" t="s">
        <v>820</v>
      </c>
      <c r="AP101" s="160" t="s">
        <v>1604</v>
      </c>
      <c r="AQ101" s="339" t="s">
        <v>820</v>
      </c>
      <c r="AR101" s="160" t="s">
        <v>1605</v>
      </c>
      <c r="AS101" s="160" t="s">
        <v>1531</v>
      </c>
      <c r="AT101" s="160" t="s">
        <v>333</v>
      </c>
      <c r="AU101" s="341">
        <f t="shared" si="0"/>
        <v>47685</v>
      </c>
      <c r="AV101" s="339" t="s">
        <v>629</v>
      </c>
      <c r="AW101" s="339" t="s">
        <v>630</v>
      </c>
    </row>
    <row r="102" spans="1:49" x14ac:dyDescent="0.25">
      <c r="A102" s="339" t="s">
        <v>1588</v>
      </c>
      <c r="B102" s="339" t="s">
        <v>1589</v>
      </c>
      <c r="C102" s="339" t="s">
        <v>1590</v>
      </c>
      <c r="D102" s="339" t="s">
        <v>1591</v>
      </c>
      <c r="E102" s="342">
        <v>45674</v>
      </c>
      <c r="F102" s="339" t="s">
        <v>820</v>
      </c>
      <c r="G102" s="339" t="s">
        <v>820</v>
      </c>
      <c r="H102" s="339" t="s">
        <v>1593</v>
      </c>
      <c r="I102" s="339" t="s">
        <v>1803</v>
      </c>
      <c r="J102" s="339" t="s">
        <v>820</v>
      </c>
      <c r="K102" s="339" t="s">
        <v>1039</v>
      </c>
      <c r="L102" s="342">
        <v>45674</v>
      </c>
      <c r="M102" s="339" t="s">
        <v>1804</v>
      </c>
      <c r="N102" s="339" t="s">
        <v>820</v>
      </c>
      <c r="O102" s="342"/>
      <c r="P102" s="339" t="s">
        <v>1805</v>
      </c>
      <c r="Q102" s="339" t="s">
        <v>294</v>
      </c>
      <c r="R102" s="343">
        <v>2.78</v>
      </c>
      <c r="S102" s="339" t="s">
        <v>294</v>
      </c>
      <c r="T102" s="343">
        <v>2.78</v>
      </c>
      <c r="U102" s="339" t="s">
        <v>629</v>
      </c>
      <c r="V102" s="339" t="s">
        <v>630</v>
      </c>
      <c r="W102" s="339" t="s">
        <v>820</v>
      </c>
      <c r="X102" s="339" t="s">
        <v>820</v>
      </c>
      <c r="Y102" s="339" t="s">
        <v>820</v>
      </c>
      <c r="Z102" s="339" t="s">
        <v>820</v>
      </c>
      <c r="AA102" s="339" t="s">
        <v>1598</v>
      </c>
      <c r="AB102" s="339" t="s">
        <v>820</v>
      </c>
      <c r="AC102" s="342">
        <v>45674</v>
      </c>
      <c r="AD102" s="339"/>
      <c r="AE102" s="339"/>
      <c r="AF102" s="339" t="s">
        <v>820</v>
      </c>
      <c r="AG102" s="339" t="s">
        <v>820</v>
      </c>
      <c r="AH102" s="339" t="s">
        <v>1806</v>
      </c>
      <c r="AI102" s="339" t="s">
        <v>1807</v>
      </c>
      <c r="AJ102" s="346">
        <v>9</v>
      </c>
      <c r="AK102" s="339" t="s">
        <v>1843</v>
      </c>
      <c r="AL102" s="345" t="s">
        <v>1601</v>
      </c>
      <c r="AM102" s="339" t="s">
        <v>1844</v>
      </c>
      <c r="AN102" s="339" t="s">
        <v>1845</v>
      </c>
      <c r="AO102" s="339" t="s">
        <v>820</v>
      </c>
      <c r="AP102" s="160" t="s">
        <v>1604</v>
      </c>
      <c r="AQ102" s="339" t="s">
        <v>820</v>
      </c>
      <c r="AR102" s="160" t="s">
        <v>1605</v>
      </c>
      <c r="AS102" s="160" t="s">
        <v>1531</v>
      </c>
      <c r="AT102" s="160" t="s">
        <v>333</v>
      </c>
      <c r="AU102" s="341">
        <f t="shared" si="0"/>
        <v>45870</v>
      </c>
      <c r="AV102" s="339" t="s">
        <v>629</v>
      </c>
      <c r="AW102" s="339" t="s">
        <v>630</v>
      </c>
    </row>
    <row r="103" spans="1:49" x14ac:dyDescent="0.25">
      <c r="A103" s="339" t="s">
        <v>1588</v>
      </c>
      <c r="B103" s="339" t="s">
        <v>1589</v>
      </c>
      <c r="C103" s="339" t="s">
        <v>1590</v>
      </c>
      <c r="D103" s="339" t="s">
        <v>1591</v>
      </c>
      <c r="E103" s="342">
        <v>45681</v>
      </c>
      <c r="F103" s="339" t="s">
        <v>820</v>
      </c>
      <c r="G103" s="339" t="s">
        <v>820</v>
      </c>
      <c r="H103" s="339" t="s">
        <v>1593</v>
      </c>
      <c r="I103" s="339" t="s">
        <v>1821</v>
      </c>
      <c r="J103" s="339" t="s">
        <v>820</v>
      </c>
      <c r="K103" s="339" t="s">
        <v>1039</v>
      </c>
      <c r="L103" s="342">
        <v>45681</v>
      </c>
      <c r="M103" s="339" t="s">
        <v>1822</v>
      </c>
      <c r="N103" s="339" t="s">
        <v>820</v>
      </c>
      <c r="O103" s="342"/>
      <c r="P103" s="339" t="s">
        <v>1805</v>
      </c>
      <c r="Q103" s="339" t="s">
        <v>294</v>
      </c>
      <c r="R103" s="343">
        <v>1.47</v>
      </c>
      <c r="S103" s="339" t="s">
        <v>294</v>
      </c>
      <c r="T103" s="343">
        <v>1.47</v>
      </c>
      <c r="U103" s="339" t="s">
        <v>629</v>
      </c>
      <c r="V103" s="339" t="s">
        <v>630</v>
      </c>
      <c r="W103" s="339" t="s">
        <v>820</v>
      </c>
      <c r="X103" s="339" t="s">
        <v>820</v>
      </c>
      <c r="Y103" s="339" t="s">
        <v>820</v>
      </c>
      <c r="Z103" s="339" t="s">
        <v>820</v>
      </c>
      <c r="AA103" s="339" t="s">
        <v>1598</v>
      </c>
      <c r="AB103" s="339" t="s">
        <v>820</v>
      </c>
      <c r="AC103" s="342">
        <v>45681</v>
      </c>
      <c r="AD103" s="339"/>
      <c r="AE103" s="339"/>
      <c r="AF103" s="339" t="s">
        <v>820</v>
      </c>
      <c r="AG103" s="339" t="s">
        <v>820</v>
      </c>
      <c r="AH103" s="339" t="s">
        <v>1806</v>
      </c>
      <c r="AI103" s="339" t="s">
        <v>1807</v>
      </c>
      <c r="AJ103" s="346">
        <v>5</v>
      </c>
      <c r="AK103" s="339" t="s">
        <v>1484</v>
      </c>
      <c r="AL103" s="345" t="s">
        <v>1601</v>
      </c>
      <c r="AM103" s="339" t="s">
        <v>1658</v>
      </c>
      <c r="AN103" s="339" t="s">
        <v>1659</v>
      </c>
      <c r="AO103" s="339" t="s">
        <v>820</v>
      </c>
      <c r="AP103" s="160" t="s">
        <v>1604</v>
      </c>
      <c r="AQ103" s="339" t="s">
        <v>820</v>
      </c>
      <c r="AR103" s="160" t="s">
        <v>1605</v>
      </c>
      <c r="AS103" s="160" t="s">
        <v>1531</v>
      </c>
      <c r="AT103" s="160" t="s">
        <v>333</v>
      </c>
      <c r="AU103" s="341">
        <f t="shared" si="0"/>
        <v>24255</v>
      </c>
      <c r="AV103" s="339" t="s">
        <v>629</v>
      </c>
      <c r="AW103" s="339" t="s">
        <v>630</v>
      </c>
    </row>
    <row r="104" spans="1:49" x14ac:dyDescent="0.25">
      <c r="A104" s="339" t="s">
        <v>1588</v>
      </c>
      <c r="B104" s="339" t="s">
        <v>1589</v>
      </c>
      <c r="C104" s="339" t="s">
        <v>1590</v>
      </c>
      <c r="D104" s="339" t="s">
        <v>1591</v>
      </c>
      <c r="E104" s="342">
        <v>45665</v>
      </c>
      <c r="F104" s="339" t="s">
        <v>820</v>
      </c>
      <c r="G104" s="339" t="s">
        <v>820</v>
      </c>
      <c r="H104" s="339" t="s">
        <v>1593</v>
      </c>
      <c r="I104" s="339" t="s">
        <v>1830</v>
      </c>
      <c r="J104" s="339" t="s">
        <v>820</v>
      </c>
      <c r="K104" s="339" t="s">
        <v>1039</v>
      </c>
      <c r="L104" s="342">
        <v>45665</v>
      </c>
      <c r="M104" s="339" t="s">
        <v>1831</v>
      </c>
      <c r="N104" s="339" t="s">
        <v>820</v>
      </c>
      <c r="O104" s="342"/>
      <c r="P104" s="339" t="s">
        <v>1805</v>
      </c>
      <c r="Q104" s="339" t="s">
        <v>294</v>
      </c>
      <c r="R104" s="343">
        <v>1.26</v>
      </c>
      <c r="S104" s="339" t="s">
        <v>294</v>
      </c>
      <c r="T104" s="343">
        <v>1.26</v>
      </c>
      <c r="U104" s="339" t="s">
        <v>629</v>
      </c>
      <c r="V104" s="339" t="s">
        <v>630</v>
      </c>
      <c r="W104" s="339" t="s">
        <v>820</v>
      </c>
      <c r="X104" s="339" t="s">
        <v>820</v>
      </c>
      <c r="Y104" s="339" t="s">
        <v>820</v>
      </c>
      <c r="Z104" s="339" t="s">
        <v>820</v>
      </c>
      <c r="AA104" s="339" t="s">
        <v>1598</v>
      </c>
      <c r="AB104" s="339" t="s">
        <v>820</v>
      </c>
      <c r="AC104" s="342">
        <v>45665</v>
      </c>
      <c r="AD104" s="339"/>
      <c r="AE104" s="339"/>
      <c r="AF104" s="339" t="s">
        <v>820</v>
      </c>
      <c r="AG104" s="339" t="s">
        <v>820</v>
      </c>
      <c r="AH104" s="339" t="s">
        <v>1806</v>
      </c>
      <c r="AI104" s="339" t="s">
        <v>1807</v>
      </c>
      <c r="AJ104" s="346">
        <v>2</v>
      </c>
      <c r="AK104" s="339" t="s">
        <v>1484</v>
      </c>
      <c r="AL104" s="345" t="s">
        <v>1601</v>
      </c>
      <c r="AM104" s="339" t="s">
        <v>1662</v>
      </c>
      <c r="AN104" s="339" t="s">
        <v>1663</v>
      </c>
      <c r="AO104" s="339" t="s">
        <v>820</v>
      </c>
      <c r="AP104" s="160" t="s">
        <v>1604</v>
      </c>
      <c r="AQ104" s="339" t="s">
        <v>820</v>
      </c>
      <c r="AR104" s="160" t="s">
        <v>1605</v>
      </c>
      <c r="AS104" s="160" t="s">
        <v>1531</v>
      </c>
      <c r="AT104" s="160" t="s">
        <v>333</v>
      </c>
      <c r="AU104" s="341">
        <f t="shared" si="0"/>
        <v>20790</v>
      </c>
      <c r="AV104" s="339" t="s">
        <v>629</v>
      </c>
      <c r="AW104" s="339" t="s">
        <v>630</v>
      </c>
    </row>
    <row r="105" spans="1:49" x14ac:dyDescent="0.25">
      <c r="A105" s="339" t="s">
        <v>1588</v>
      </c>
      <c r="B105" s="339" t="s">
        <v>1589</v>
      </c>
      <c r="C105" s="339" t="s">
        <v>1590</v>
      </c>
      <c r="D105" s="339" t="s">
        <v>1591</v>
      </c>
      <c r="E105" s="342">
        <v>45666</v>
      </c>
      <c r="F105" s="339" t="s">
        <v>820</v>
      </c>
      <c r="G105" s="339" t="s">
        <v>820</v>
      </c>
      <c r="H105" s="339" t="s">
        <v>1593</v>
      </c>
      <c r="I105" s="339" t="s">
        <v>1832</v>
      </c>
      <c r="J105" s="339" t="s">
        <v>820</v>
      </c>
      <c r="K105" s="339" t="s">
        <v>1039</v>
      </c>
      <c r="L105" s="342">
        <v>45666</v>
      </c>
      <c r="M105" s="339" t="s">
        <v>1833</v>
      </c>
      <c r="N105" s="339" t="s">
        <v>820</v>
      </c>
      <c r="O105" s="342"/>
      <c r="P105" s="339" t="s">
        <v>1805</v>
      </c>
      <c r="Q105" s="339" t="s">
        <v>294</v>
      </c>
      <c r="R105" s="343">
        <v>1.26</v>
      </c>
      <c r="S105" s="339" t="s">
        <v>294</v>
      </c>
      <c r="T105" s="343">
        <v>1.26</v>
      </c>
      <c r="U105" s="339" t="s">
        <v>629</v>
      </c>
      <c r="V105" s="339" t="s">
        <v>630</v>
      </c>
      <c r="W105" s="339" t="s">
        <v>820</v>
      </c>
      <c r="X105" s="339" t="s">
        <v>820</v>
      </c>
      <c r="Y105" s="339" t="s">
        <v>820</v>
      </c>
      <c r="Z105" s="339" t="s">
        <v>820</v>
      </c>
      <c r="AA105" s="339" t="s">
        <v>1598</v>
      </c>
      <c r="AB105" s="339" t="s">
        <v>820</v>
      </c>
      <c r="AC105" s="342">
        <v>45666</v>
      </c>
      <c r="AD105" s="339"/>
      <c r="AE105" s="339"/>
      <c r="AF105" s="339" t="s">
        <v>820</v>
      </c>
      <c r="AG105" s="339" t="s">
        <v>820</v>
      </c>
      <c r="AH105" s="339" t="s">
        <v>1806</v>
      </c>
      <c r="AI105" s="339" t="s">
        <v>1807</v>
      </c>
      <c r="AJ105" s="346">
        <v>2</v>
      </c>
      <c r="AK105" s="339" t="s">
        <v>1484</v>
      </c>
      <c r="AL105" s="345" t="s">
        <v>1601</v>
      </c>
      <c r="AM105" s="339" t="s">
        <v>1662</v>
      </c>
      <c r="AN105" s="339" t="s">
        <v>1663</v>
      </c>
      <c r="AO105" s="339" t="s">
        <v>820</v>
      </c>
      <c r="AP105" s="160" t="s">
        <v>1604</v>
      </c>
      <c r="AQ105" s="339" t="s">
        <v>820</v>
      </c>
      <c r="AR105" s="160" t="s">
        <v>1605</v>
      </c>
      <c r="AS105" s="160" t="s">
        <v>1531</v>
      </c>
      <c r="AT105" s="160" t="s">
        <v>333</v>
      </c>
      <c r="AU105" s="341">
        <f t="shared" si="0"/>
        <v>20790</v>
      </c>
      <c r="AV105" s="339" t="s">
        <v>629</v>
      </c>
      <c r="AW105" s="339" t="s">
        <v>630</v>
      </c>
    </row>
    <row r="106" spans="1:49" x14ac:dyDescent="0.25">
      <c r="A106" s="339" t="s">
        <v>1588</v>
      </c>
      <c r="B106" s="339" t="s">
        <v>1589</v>
      </c>
      <c r="C106" s="339" t="s">
        <v>1590</v>
      </c>
      <c r="D106" s="339" t="s">
        <v>1591</v>
      </c>
      <c r="E106" s="342">
        <v>45668</v>
      </c>
      <c r="F106" s="339" t="s">
        <v>820</v>
      </c>
      <c r="G106" s="339" t="s">
        <v>820</v>
      </c>
      <c r="H106" s="339" t="s">
        <v>1593</v>
      </c>
      <c r="I106" s="339" t="s">
        <v>1834</v>
      </c>
      <c r="J106" s="339" t="s">
        <v>820</v>
      </c>
      <c r="K106" s="339" t="s">
        <v>1039</v>
      </c>
      <c r="L106" s="342">
        <v>45668</v>
      </c>
      <c r="M106" s="339" t="s">
        <v>1835</v>
      </c>
      <c r="N106" s="339" t="s">
        <v>820</v>
      </c>
      <c r="O106" s="342"/>
      <c r="P106" s="339" t="s">
        <v>1805</v>
      </c>
      <c r="Q106" s="339" t="s">
        <v>294</v>
      </c>
      <c r="R106" s="343">
        <v>1.26</v>
      </c>
      <c r="S106" s="339" t="s">
        <v>294</v>
      </c>
      <c r="T106" s="343">
        <v>1.26</v>
      </c>
      <c r="U106" s="339" t="s">
        <v>629</v>
      </c>
      <c r="V106" s="339" t="s">
        <v>630</v>
      </c>
      <c r="W106" s="339" t="s">
        <v>820</v>
      </c>
      <c r="X106" s="339" t="s">
        <v>820</v>
      </c>
      <c r="Y106" s="339" t="s">
        <v>820</v>
      </c>
      <c r="Z106" s="339" t="s">
        <v>820</v>
      </c>
      <c r="AA106" s="339" t="s">
        <v>1598</v>
      </c>
      <c r="AB106" s="339" t="s">
        <v>820</v>
      </c>
      <c r="AC106" s="342">
        <v>45668</v>
      </c>
      <c r="AD106" s="339"/>
      <c r="AE106" s="339"/>
      <c r="AF106" s="339" t="s">
        <v>820</v>
      </c>
      <c r="AG106" s="339" t="s">
        <v>820</v>
      </c>
      <c r="AH106" s="339" t="s">
        <v>1806</v>
      </c>
      <c r="AI106" s="339" t="s">
        <v>1807</v>
      </c>
      <c r="AJ106" s="346">
        <v>2</v>
      </c>
      <c r="AK106" s="339" t="s">
        <v>1484</v>
      </c>
      <c r="AL106" s="345" t="s">
        <v>1601</v>
      </c>
      <c r="AM106" s="339" t="s">
        <v>1662</v>
      </c>
      <c r="AN106" s="339" t="s">
        <v>1663</v>
      </c>
      <c r="AO106" s="339" t="s">
        <v>820</v>
      </c>
      <c r="AP106" s="160" t="s">
        <v>1604</v>
      </c>
      <c r="AQ106" s="339" t="s">
        <v>820</v>
      </c>
      <c r="AR106" s="160" t="s">
        <v>1605</v>
      </c>
      <c r="AS106" s="160" t="s">
        <v>1531</v>
      </c>
      <c r="AT106" s="160" t="s">
        <v>333</v>
      </c>
      <c r="AU106" s="341">
        <f t="shared" si="0"/>
        <v>20790</v>
      </c>
      <c r="AV106" s="339" t="s">
        <v>629</v>
      </c>
      <c r="AW106" s="339" t="s">
        <v>630</v>
      </c>
    </row>
    <row r="107" spans="1:49" x14ac:dyDescent="0.25">
      <c r="A107" s="339" t="s">
        <v>1588</v>
      </c>
      <c r="B107" s="339" t="s">
        <v>1589</v>
      </c>
      <c r="C107" s="339" t="s">
        <v>1590</v>
      </c>
      <c r="D107" s="339" t="s">
        <v>1591</v>
      </c>
      <c r="E107" s="342">
        <v>45677</v>
      </c>
      <c r="F107" s="339" t="s">
        <v>820</v>
      </c>
      <c r="G107" s="339" t="s">
        <v>820</v>
      </c>
      <c r="H107" s="339" t="s">
        <v>1593</v>
      </c>
      <c r="I107" s="339" t="s">
        <v>1840</v>
      </c>
      <c r="J107" s="339" t="s">
        <v>820</v>
      </c>
      <c r="K107" s="339" t="s">
        <v>1039</v>
      </c>
      <c r="L107" s="342">
        <v>45677</v>
      </c>
      <c r="M107" s="339" t="s">
        <v>1700</v>
      </c>
      <c r="N107" s="339" t="s">
        <v>820</v>
      </c>
      <c r="O107" s="342"/>
      <c r="P107" s="339" t="s">
        <v>1805</v>
      </c>
      <c r="Q107" s="339" t="s">
        <v>294</v>
      </c>
      <c r="R107" s="343">
        <v>1.07</v>
      </c>
      <c r="S107" s="339" t="s">
        <v>294</v>
      </c>
      <c r="T107" s="343">
        <v>1.07</v>
      </c>
      <c r="U107" s="339" t="s">
        <v>629</v>
      </c>
      <c r="V107" s="339" t="s">
        <v>630</v>
      </c>
      <c r="W107" s="339" t="s">
        <v>820</v>
      </c>
      <c r="X107" s="339" t="s">
        <v>820</v>
      </c>
      <c r="Y107" s="339" t="s">
        <v>820</v>
      </c>
      <c r="Z107" s="339" t="s">
        <v>820</v>
      </c>
      <c r="AA107" s="339" t="s">
        <v>1598</v>
      </c>
      <c r="AB107" s="339" t="s">
        <v>820</v>
      </c>
      <c r="AC107" s="342">
        <v>45677</v>
      </c>
      <c r="AD107" s="339"/>
      <c r="AE107" s="339"/>
      <c r="AF107" s="339" t="s">
        <v>820</v>
      </c>
      <c r="AG107" s="339" t="s">
        <v>820</v>
      </c>
      <c r="AH107" s="339" t="s">
        <v>1806</v>
      </c>
      <c r="AI107" s="339" t="s">
        <v>1807</v>
      </c>
      <c r="AJ107" s="346">
        <v>5</v>
      </c>
      <c r="AK107" s="339" t="s">
        <v>1484</v>
      </c>
      <c r="AL107" s="345" t="s">
        <v>1601</v>
      </c>
      <c r="AM107" s="339" t="s">
        <v>1846</v>
      </c>
      <c r="AN107" s="339" t="s">
        <v>1847</v>
      </c>
      <c r="AO107" s="339" t="s">
        <v>820</v>
      </c>
      <c r="AP107" s="160" t="s">
        <v>1604</v>
      </c>
      <c r="AQ107" s="339" t="s">
        <v>820</v>
      </c>
      <c r="AR107" s="160" t="s">
        <v>1605</v>
      </c>
      <c r="AS107" s="160" t="s">
        <v>1531</v>
      </c>
      <c r="AT107" s="160" t="s">
        <v>333</v>
      </c>
      <c r="AU107" s="341">
        <f t="shared" si="0"/>
        <v>17655</v>
      </c>
      <c r="AV107" s="339" t="s">
        <v>629</v>
      </c>
      <c r="AW107" s="339" t="s">
        <v>630</v>
      </c>
    </row>
    <row r="108" spans="1:49" x14ac:dyDescent="0.25">
      <c r="A108" s="339" t="s">
        <v>1588</v>
      </c>
      <c r="B108" s="339" t="s">
        <v>1589</v>
      </c>
      <c r="C108" s="339" t="s">
        <v>1590</v>
      </c>
      <c r="D108" s="339" t="s">
        <v>1591</v>
      </c>
      <c r="E108" s="342">
        <v>45677</v>
      </c>
      <c r="F108" s="339" t="s">
        <v>820</v>
      </c>
      <c r="G108" s="339" t="s">
        <v>820</v>
      </c>
      <c r="H108" s="339" t="s">
        <v>1593</v>
      </c>
      <c r="I108" s="339" t="s">
        <v>1848</v>
      </c>
      <c r="J108" s="339" t="s">
        <v>820</v>
      </c>
      <c r="K108" s="339" t="s">
        <v>1039</v>
      </c>
      <c r="L108" s="342">
        <v>45677</v>
      </c>
      <c r="M108" s="339" t="s">
        <v>1700</v>
      </c>
      <c r="N108" s="339" t="s">
        <v>820</v>
      </c>
      <c r="O108" s="342"/>
      <c r="P108" s="339" t="s">
        <v>1805</v>
      </c>
      <c r="Q108" s="339" t="s">
        <v>294</v>
      </c>
      <c r="R108" s="343">
        <v>0.75</v>
      </c>
      <c r="S108" s="339" t="s">
        <v>294</v>
      </c>
      <c r="T108" s="343">
        <v>0.75</v>
      </c>
      <c r="U108" s="339" t="s">
        <v>629</v>
      </c>
      <c r="V108" s="339" t="s">
        <v>630</v>
      </c>
      <c r="W108" s="339" t="s">
        <v>820</v>
      </c>
      <c r="X108" s="339" t="s">
        <v>820</v>
      </c>
      <c r="Y108" s="339" t="s">
        <v>820</v>
      </c>
      <c r="Z108" s="339" t="s">
        <v>820</v>
      </c>
      <c r="AA108" s="339" t="s">
        <v>1598</v>
      </c>
      <c r="AB108" s="339" t="s">
        <v>820</v>
      </c>
      <c r="AC108" s="342">
        <v>45677</v>
      </c>
      <c r="AD108" s="339"/>
      <c r="AE108" s="339"/>
      <c r="AF108" s="339" t="s">
        <v>820</v>
      </c>
      <c r="AG108" s="339" t="s">
        <v>820</v>
      </c>
      <c r="AH108" s="339" t="s">
        <v>1806</v>
      </c>
      <c r="AI108" s="339" t="s">
        <v>1807</v>
      </c>
      <c r="AJ108" s="346">
        <v>4</v>
      </c>
      <c r="AK108" s="339" t="s">
        <v>1484</v>
      </c>
      <c r="AL108" s="345" t="s">
        <v>1601</v>
      </c>
      <c r="AM108" s="339" t="s">
        <v>1849</v>
      </c>
      <c r="AN108" s="339" t="s">
        <v>1850</v>
      </c>
      <c r="AO108" s="339" t="s">
        <v>820</v>
      </c>
      <c r="AP108" s="160" t="s">
        <v>1604</v>
      </c>
      <c r="AQ108" s="339" t="s">
        <v>820</v>
      </c>
      <c r="AR108" s="160" t="s">
        <v>1605</v>
      </c>
      <c r="AS108" s="160" t="s">
        <v>1531</v>
      </c>
      <c r="AT108" s="160" t="s">
        <v>333</v>
      </c>
      <c r="AU108" s="341">
        <f t="shared" si="0"/>
        <v>12375</v>
      </c>
      <c r="AV108" s="339" t="s">
        <v>629</v>
      </c>
      <c r="AW108" s="339" t="s">
        <v>630</v>
      </c>
    </row>
    <row r="109" spans="1:49" x14ac:dyDescent="0.25">
      <c r="A109" s="339" t="s">
        <v>1588</v>
      </c>
      <c r="B109" s="339" t="s">
        <v>1589</v>
      </c>
      <c r="C109" s="339" t="s">
        <v>1590</v>
      </c>
      <c r="D109" s="339" t="s">
        <v>1591</v>
      </c>
      <c r="E109" s="342">
        <v>45665</v>
      </c>
      <c r="F109" s="339" t="s">
        <v>820</v>
      </c>
      <c r="G109" s="339" t="s">
        <v>820</v>
      </c>
      <c r="H109" s="339" t="s">
        <v>1593</v>
      </c>
      <c r="I109" s="339" t="s">
        <v>1830</v>
      </c>
      <c r="J109" s="339" t="s">
        <v>820</v>
      </c>
      <c r="K109" s="339" t="s">
        <v>1039</v>
      </c>
      <c r="L109" s="342">
        <v>45665</v>
      </c>
      <c r="M109" s="339" t="s">
        <v>1831</v>
      </c>
      <c r="N109" s="339" t="s">
        <v>820</v>
      </c>
      <c r="O109" s="342"/>
      <c r="P109" s="339" t="s">
        <v>1805</v>
      </c>
      <c r="Q109" s="339" t="s">
        <v>294</v>
      </c>
      <c r="R109" s="343">
        <v>0.38</v>
      </c>
      <c r="S109" s="339" t="s">
        <v>294</v>
      </c>
      <c r="T109" s="343">
        <v>0.38</v>
      </c>
      <c r="U109" s="339" t="s">
        <v>629</v>
      </c>
      <c r="V109" s="339" t="s">
        <v>630</v>
      </c>
      <c r="W109" s="339" t="s">
        <v>820</v>
      </c>
      <c r="X109" s="339" t="s">
        <v>820</v>
      </c>
      <c r="Y109" s="339" t="s">
        <v>820</v>
      </c>
      <c r="Z109" s="339" t="s">
        <v>820</v>
      </c>
      <c r="AA109" s="339" t="s">
        <v>1598</v>
      </c>
      <c r="AB109" s="339" t="s">
        <v>820</v>
      </c>
      <c r="AC109" s="342">
        <v>45665</v>
      </c>
      <c r="AD109" s="339"/>
      <c r="AE109" s="339"/>
      <c r="AF109" s="339" t="s">
        <v>820</v>
      </c>
      <c r="AG109" s="339" t="s">
        <v>820</v>
      </c>
      <c r="AH109" s="339" t="s">
        <v>1806</v>
      </c>
      <c r="AI109" s="339" t="s">
        <v>1807</v>
      </c>
      <c r="AJ109" s="346">
        <v>2</v>
      </c>
      <c r="AK109" s="339" t="s">
        <v>1484</v>
      </c>
      <c r="AL109" s="345" t="s">
        <v>1601</v>
      </c>
      <c r="AM109" s="339" t="s">
        <v>1849</v>
      </c>
      <c r="AN109" s="339" t="s">
        <v>1850</v>
      </c>
      <c r="AO109" s="339" t="s">
        <v>820</v>
      </c>
      <c r="AP109" s="160" t="s">
        <v>1604</v>
      </c>
      <c r="AQ109" s="339" t="s">
        <v>820</v>
      </c>
      <c r="AR109" s="160" t="s">
        <v>1605</v>
      </c>
      <c r="AS109" s="160" t="s">
        <v>1531</v>
      </c>
      <c r="AT109" s="160" t="s">
        <v>333</v>
      </c>
      <c r="AU109" s="341">
        <f t="shared" si="0"/>
        <v>6270</v>
      </c>
      <c r="AV109" s="339" t="s">
        <v>629</v>
      </c>
      <c r="AW109" s="339" t="s">
        <v>630</v>
      </c>
    </row>
    <row r="110" spans="1:49" x14ac:dyDescent="0.25">
      <c r="A110" s="339" t="s">
        <v>1588</v>
      </c>
      <c r="B110" s="339" t="s">
        <v>1589</v>
      </c>
      <c r="C110" s="339" t="s">
        <v>1590</v>
      </c>
      <c r="D110" s="339" t="s">
        <v>1591</v>
      </c>
      <c r="E110" s="342">
        <v>45666</v>
      </c>
      <c r="F110" s="339" t="s">
        <v>820</v>
      </c>
      <c r="G110" s="339" t="s">
        <v>820</v>
      </c>
      <c r="H110" s="339" t="s">
        <v>1593</v>
      </c>
      <c r="I110" s="339" t="s">
        <v>1832</v>
      </c>
      <c r="J110" s="339" t="s">
        <v>820</v>
      </c>
      <c r="K110" s="339" t="s">
        <v>1039</v>
      </c>
      <c r="L110" s="342">
        <v>45666</v>
      </c>
      <c r="M110" s="339" t="s">
        <v>1833</v>
      </c>
      <c r="N110" s="339" t="s">
        <v>820</v>
      </c>
      <c r="O110" s="342"/>
      <c r="P110" s="339" t="s">
        <v>1805</v>
      </c>
      <c r="Q110" s="339" t="s">
        <v>294</v>
      </c>
      <c r="R110" s="343">
        <v>0.3</v>
      </c>
      <c r="S110" s="339" t="s">
        <v>294</v>
      </c>
      <c r="T110" s="343">
        <v>0.3</v>
      </c>
      <c r="U110" s="339" t="s">
        <v>629</v>
      </c>
      <c r="V110" s="339" t="s">
        <v>630</v>
      </c>
      <c r="W110" s="339" t="s">
        <v>820</v>
      </c>
      <c r="X110" s="339" t="s">
        <v>820</v>
      </c>
      <c r="Y110" s="339" t="s">
        <v>820</v>
      </c>
      <c r="Z110" s="339" t="s">
        <v>820</v>
      </c>
      <c r="AA110" s="339" t="s">
        <v>1598</v>
      </c>
      <c r="AB110" s="339" t="s">
        <v>820</v>
      </c>
      <c r="AC110" s="342">
        <v>45666</v>
      </c>
      <c r="AD110" s="339"/>
      <c r="AE110" s="339"/>
      <c r="AF110" s="339" t="s">
        <v>820</v>
      </c>
      <c r="AG110" s="339" t="s">
        <v>820</v>
      </c>
      <c r="AH110" s="339" t="s">
        <v>1806</v>
      </c>
      <c r="AI110" s="339" t="s">
        <v>1807</v>
      </c>
      <c r="AJ110" s="346">
        <v>1</v>
      </c>
      <c r="AK110" s="339" t="s">
        <v>1484</v>
      </c>
      <c r="AL110" s="345" t="s">
        <v>1601</v>
      </c>
      <c r="AM110" s="339" t="s">
        <v>1658</v>
      </c>
      <c r="AN110" s="339" t="s">
        <v>1659</v>
      </c>
      <c r="AO110" s="339" t="s">
        <v>820</v>
      </c>
      <c r="AP110" s="160" t="s">
        <v>1604</v>
      </c>
      <c r="AQ110" s="339" t="s">
        <v>820</v>
      </c>
      <c r="AR110" s="160" t="s">
        <v>1605</v>
      </c>
      <c r="AS110" s="160" t="s">
        <v>1531</v>
      </c>
      <c r="AT110" s="160" t="s">
        <v>333</v>
      </c>
      <c r="AU110" s="341">
        <f t="shared" si="0"/>
        <v>4950</v>
      </c>
      <c r="AV110" s="339" t="s">
        <v>629</v>
      </c>
      <c r="AW110" s="339" t="s">
        <v>630</v>
      </c>
    </row>
    <row r="111" spans="1:49" x14ac:dyDescent="0.25">
      <c r="A111" s="339" t="s">
        <v>1588</v>
      </c>
      <c r="B111" s="339" t="s">
        <v>1635</v>
      </c>
      <c r="C111" s="339" t="s">
        <v>1590</v>
      </c>
      <c r="D111" s="339" t="s">
        <v>1591</v>
      </c>
      <c r="E111" s="342">
        <v>45693</v>
      </c>
      <c r="F111" s="339" t="s">
        <v>820</v>
      </c>
      <c r="G111" s="339" t="s">
        <v>820</v>
      </c>
      <c r="H111" s="339" t="s">
        <v>1593</v>
      </c>
      <c r="I111" s="339" t="s">
        <v>1851</v>
      </c>
      <c r="J111" s="339" t="s">
        <v>820</v>
      </c>
      <c r="K111" s="339" t="s">
        <v>1039</v>
      </c>
      <c r="L111" s="342">
        <v>45693</v>
      </c>
      <c r="M111" s="339" t="s">
        <v>1714</v>
      </c>
      <c r="N111" s="339" t="s">
        <v>820</v>
      </c>
      <c r="O111" s="342"/>
      <c r="P111" s="339" t="s">
        <v>1805</v>
      </c>
      <c r="Q111" s="339" t="s">
        <v>294</v>
      </c>
      <c r="R111" s="343">
        <v>11.64</v>
      </c>
      <c r="S111" s="339" t="s">
        <v>294</v>
      </c>
      <c r="T111" s="343">
        <v>11.64</v>
      </c>
      <c r="U111" s="339" t="s">
        <v>629</v>
      </c>
      <c r="V111" s="339" t="s">
        <v>630</v>
      </c>
      <c r="W111" s="339" t="s">
        <v>820</v>
      </c>
      <c r="X111" s="339" t="s">
        <v>820</v>
      </c>
      <c r="Y111" s="339" t="s">
        <v>820</v>
      </c>
      <c r="Z111" s="339" t="s">
        <v>820</v>
      </c>
      <c r="AA111" s="339" t="s">
        <v>1598</v>
      </c>
      <c r="AB111" s="339" t="s">
        <v>820</v>
      </c>
      <c r="AC111" s="342">
        <v>45693</v>
      </c>
      <c r="AD111" s="339"/>
      <c r="AE111" s="339"/>
      <c r="AF111" s="339" t="s">
        <v>820</v>
      </c>
      <c r="AG111" s="339" t="s">
        <v>820</v>
      </c>
      <c r="AH111" s="339" t="s">
        <v>1806</v>
      </c>
      <c r="AI111" s="339" t="s">
        <v>1807</v>
      </c>
      <c r="AJ111" s="346">
        <v>8</v>
      </c>
      <c r="AK111" s="339" t="s">
        <v>1616</v>
      </c>
      <c r="AL111" s="345" t="s">
        <v>1601</v>
      </c>
      <c r="AM111" s="339" t="s">
        <v>1705</v>
      </c>
      <c r="AN111" s="339" t="s">
        <v>1706</v>
      </c>
      <c r="AO111" s="339" t="s">
        <v>820</v>
      </c>
      <c r="AP111" s="160" t="s">
        <v>1604</v>
      </c>
      <c r="AQ111" s="160" t="s">
        <v>1646</v>
      </c>
      <c r="AR111" s="160"/>
      <c r="AS111" s="160" t="s">
        <v>1531</v>
      </c>
      <c r="AT111" s="160" t="s">
        <v>333</v>
      </c>
      <c r="AU111" s="341">
        <f t="shared" si="0"/>
        <v>192060</v>
      </c>
      <c r="AV111" s="339" t="s">
        <v>629</v>
      </c>
      <c r="AW111" s="339" t="s">
        <v>630</v>
      </c>
    </row>
    <row r="112" spans="1:49" x14ac:dyDescent="0.25">
      <c r="A112" s="339" t="s">
        <v>1588</v>
      </c>
      <c r="B112" s="339" t="s">
        <v>1635</v>
      </c>
      <c r="C112" s="339" t="s">
        <v>1590</v>
      </c>
      <c r="D112" s="339" t="s">
        <v>1591</v>
      </c>
      <c r="E112" s="342">
        <v>45693</v>
      </c>
      <c r="F112" s="339" t="s">
        <v>820</v>
      </c>
      <c r="G112" s="339" t="s">
        <v>820</v>
      </c>
      <c r="H112" s="339" t="s">
        <v>1593</v>
      </c>
      <c r="I112" s="339" t="s">
        <v>1852</v>
      </c>
      <c r="J112" s="339" t="s">
        <v>820</v>
      </c>
      <c r="K112" s="339" t="s">
        <v>1039</v>
      </c>
      <c r="L112" s="342">
        <v>45693</v>
      </c>
      <c r="M112" s="339" t="s">
        <v>1714</v>
      </c>
      <c r="N112" s="339" t="s">
        <v>820</v>
      </c>
      <c r="O112" s="342"/>
      <c r="P112" s="339" t="s">
        <v>1805</v>
      </c>
      <c r="Q112" s="339" t="s">
        <v>294</v>
      </c>
      <c r="R112" s="343">
        <v>0.19</v>
      </c>
      <c r="S112" s="339" t="s">
        <v>294</v>
      </c>
      <c r="T112" s="343">
        <v>0.19</v>
      </c>
      <c r="U112" s="339" t="s">
        <v>629</v>
      </c>
      <c r="V112" s="339" t="s">
        <v>630</v>
      </c>
      <c r="W112" s="339" t="s">
        <v>820</v>
      </c>
      <c r="X112" s="339" t="s">
        <v>820</v>
      </c>
      <c r="Y112" s="339" t="s">
        <v>820</v>
      </c>
      <c r="Z112" s="339" t="s">
        <v>820</v>
      </c>
      <c r="AA112" s="339" t="s">
        <v>1598</v>
      </c>
      <c r="AB112" s="339" t="s">
        <v>820</v>
      </c>
      <c r="AC112" s="342">
        <v>45693</v>
      </c>
      <c r="AD112" s="339"/>
      <c r="AE112" s="339"/>
      <c r="AF112" s="339" t="s">
        <v>820</v>
      </c>
      <c r="AG112" s="339" t="s">
        <v>820</v>
      </c>
      <c r="AH112" s="339" t="s">
        <v>1806</v>
      </c>
      <c r="AI112" s="339" t="s">
        <v>1807</v>
      </c>
      <c r="AJ112" s="346">
        <v>1</v>
      </c>
      <c r="AK112" s="339" t="s">
        <v>1484</v>
      </c>
      <c r="AL112" s="345" t="s">
        <v>1601</v>
      </c>
      <c r="AM112" s="339" t="s">
        <v>1849</v>
      </c>
      <c r="AN112" s="339" t="s">
        <v>1850</v>
      </c>
      <c r="AO112" s="339" t="s">
        <v>820</v>
      </c>
      <c r="AP112" s="160" t="s">
        <v>1604</v>
      </c>
      <c r="AQ112" s="160" t="s">
        <v>1646</v>
      </c>
      <c r="AR112" s="160"/>
      <c r="AS112" s="160" t="s">
        <v>1531</v>
      </c>
      <c r="AT112" s="160" t="s">
        <v>333</v>
      </c>
      <c r="AU112" s="341">
        <f t="shared" si="0"/>
        <v>3135</v>
      </c>
      <c r="AV112" s="339" t="s">
        <v>629</v>
      </c>
      <c r="AW112" s="339" t="s">
        <v>630</v>
      </c>
    </row>
    <row r="113" spans="1:49" x14ac:dyDescent="0.25">
      <c r="A113" s="339" t="s">
        <v>1588</v>
      </c>
      <c r="B113" s="339" t="s">
        <v>1635</v>
      </c>
      <c r="C113" s="339" t="s">
        <v>1590</v>
      </c>
      <c r="D113" s="339" t="s">
        <v>1591</v>
      </c>
      <c r="E113" s="342">
        <v>45693</v>
      </c>
      <c r="F113" s="339" t="s">
        <v>820</v>
      </c>
      <c r="G113" s="339" t="s">
        <v>820</v>
      </c>
      <c r="H113" s="339" t="s">
        <v>1593</v>
      </c>
      <c r="I113" s="339" t="s">
        <v>1852</v>
      </c>
      <c r="J113" s="339" t="s">
        <v>820</v>
      </c>
      <c r="K113" s="339" t="s">
        <v>1039</v>
      </c>
      <c r="L113" s="342">
        <v>45693</v>
      </c>
      <c r="M113" s="339" t="s">
        <v>1714</v>
      </c>
      <c r="N113" s="339" t="s">
        <v>820</v>
      </c>
      <c r="O113" s="342"/>
      <c r="P113" s="339" t="s">
        <v>1805</v>
      </c>
      <c r="Q113" s="339" t="s">
        <v>294</v>
      </c>
      <c r="R113" s="343">
        <v>6.55</v>
      </c>
      <c r="S113" s="339" t="s">
        <v>294</v>
      </c>
      <c r="T113" s="343">
        <v>6.55</v>
      </c>
      <c r="U113" s="339" t="s">
        <v>629</v>
      </c>
      <c r="V113" s="339" t="s">
        <v>630</v>
      </c>
      <c r="W113" s="339" t="s">
        <v>820</v>
      </c>
      <c r="X113" s="339" t="s">
        <v>820</v>
      </c>
      <c r="Y113" s="339" t="s">
        <v>820</v>
      </c>
      <c r="Z113" s="339" t="s">
        <v>820</v>
      </c>
      <c r="AA113" s="339" t="s">
        <v>1598</v>
      </c>
      <c r="AB113" s="339" t="s">
        <v>820</v>
      </c>
      <c r="AC113" s="342">
        <v>45693</v>
      </c>
      <c r="AD113" s="339"/>
      <c r="AE113" s="339"/>
      <c r="AF113" s="339" t="s">
        <v>820</v>
      </c>
      <c r="AG113" s="339" t="s">
        <v>820</v>
      </c>
      <c r="AH113" s="339" t="s">
        <v>1806</v>
      </c>
      <c r="AI113" s="339" t="s">
        <v>1807</v>
      </c>
      <c r="AJ113" s="346">
        <v>4</v>
      </c>
      <c r="AK113" s="339" t="s">
        <v>1616</v>
      </c>
      <c r="AL113" s="345" t="s">
        <v>1601</v>
      </c>
      <c r="AM113" s="339" t="s">
        <v>1656</v>
      </c>
      <c r="AN113" s="339" t="s">
        <v>1657</v>
      </c>
      <c r="AO113" s="339" t="s">
        <v>820</v>
      </c>
      <c r="AP113" s="160" t="s">
        <v>1604</v>
      </c>
      <c r="AQ113" s="160" t="s">
        <v>1646</v>
      </c>
      <c r="AR113" s="160"/>
      <c r="AS113" s="160" t="s">
        <v>1531</v>
      </c>
      <c r="AT113" s="160" t="s">
        <v>333</v>
      </c>
      <c r="AU113" s="341">
        <f t="shared" si="0"/>
        <v>108075</v>
      </c>
      <c r="AV113" s="339" t="s">
        <v>629</v>
      </c>
      <c r="AW113" s="339" t="s">
        <v>630</v>
      </c>
    </row>
    <row r="114" spans="1:49" x14ac:dyDescent="0.25">
      <c r="A114" s="339" t="s">
        <v>1588</v>
      </c>
      <c r="B114" s="339" t="s">
        <v>1635</v>
      </c>
      <c r="C114" s="339" t="s">
        <v>1590</v>
      </c>
      <c r="D114" s="339" t="s">
        <v>1591</v>
      </c>
      <c r="E114" s="342">
        <v>45693</v>
      </c>
      <c r="F114" s="339" t="s">
        <v>820</v>
      </c>
      <c r="G114" s="339" t="s">
        <v>820</v>
      </c>
      <c r="H114" s="339" t="s">
        <v>1593</v>
      </c>
      <c r="I114" s="339" t="s">
        <v>1852</v>
      </c>
      <c r="J114" s="339" t="s">
        <v>820</v>
      </c>
      <c r="K114" s="339" t="s">
        <v>1039</v>
      </c>
      <c r="L114" s="342">
        <v>45693</v>
      </c>
      <c r="M114" s="339" t="s">
        <v>1714</v>
      </c>
      <c r="N114" s="339" t="s">
        <v>820</v>
      </c>
      <c r="O114" s="342"/>
      <c r="P114" s="339" t="s">
        <v>1805</v>
      </c>
      <c r="Q114" s="339" t="s">
        <v>294</v>
      </c>
      <c r="R114" s="343">
        <v>1.89</v>
      </c>
      <c r="S114" s="339" t="s">
        <v>294</v>
      </c>
      <c r="T114" s="343">
        <v>1.89</v>
      </c>
      <c r="U114" s="339" t="s">
        <v>629</v>
      </c>
      <c r="V114" s="339" t="s">
        <v>630</v>
      </c>
      <c r="W114" s="339" t="s">
        <v>820</v>
      </c>
      <c r="X114" s="339" t="s">
        <v>820</v>
      </c>
      <c r="Y114" s="339" t="s">
        <v>820</v>
      </c>
      <c r="Z114" s="339" t="s">
        <v>820</v>
      </c>
      <c r="AA114" s="339" t="s">
        <v>1598</v>
      </c>
      <c r="AB114" s="339" t="s">
        <v>820</v>
      </c>
      <c r="AC114" s="342">
        <v>45693</v>
      </c>
      <c r="AD114" s="339"/>
      <c r="AE114" s="339"/>
      <c r="AF114" s="339" t="s">
        <v>820</v>
      </c>
      <c r="AG114" s="339" t="s">
        <v>820</v>
      </c>
      <c r="AH114" s="339" t="s">
        <v>1806</v>
      </c>
      <c r="AI114" s="339" t="s">
        <v>1807</v>
      </c>
      <c r="AJ114" s="346">
        <v>3</v>
      </c>
      <c r="AK114" s="339" t="s">
        <v>1484</v>
      </c>
      <c r="AL114" s="345" t="s">
        <v>1601</v>
      </c>
      <c r="AM114" s="339" t="s">
        <v>1662</v>
      </c>
      <c r="AN114" s="339" t="s">
        <v>1663</v>
      </c>
      <c r="AO114" s="339" t="s">
        <v>820</v>
      </c>
      <c r="AP114" s="160" t="s">
        <v>1604</v>
      </c>
      <c r="AQ114" s="160" t="s">
        <v>1646</v>
      </c>
      <c r="AR114" s="160"/>
      <c r="AS114" s="160" t="s">
        <v>1531</v>
      </c>
      <c r="AT114" s="160" t="s">
        <v>333</v>
      </c>
      <c r="AU114" s="341">
        <f t="shared" si="0"/>
        <v>31185</v>
      </c>
      <c r="AV114" s="339" t="s">
        <v>629</v>
      </c>
      <c r="AW114" s="339" t="s">
        <v>630</v>
      </c>
    </row>
    <row r="115" spans="1:49" x14ac:dyDescent="0.25">
      <c r="A115" s="339" t="s">
        <v>1588</v>
      </c>
      <c r="B115" s="339" t="s">
        <v>1635</v>
      </c>
      <c r="C115" s="339" t="s">
        <v>1590</v>
      </c>
      <c r="D115" s="339" t="s">
        <v>1591</v>
      </c>
      <c r="E115" s="342">
        <v>45694</v>
      </c>
      <c r="F115" s="339" t="s">
        <v>820</v>
      </c>
      <c r="G115" s="339" t="s">
        <v>820</v>
      </c>
      <c r="H115" s="339" t="s">
        <v>1593</v>
      </c>
      <c r="I115" s="339" t="s">
        <v>1853</v>
      </c>
      <c r="J115" s="339" t="s">
        <v>820</v>
      </c>
      <c r="K115" s="339" t="s">
        <v>1039</v>
      </c>
      <c r="L115" s="342">
        <v>45694</v>
      </c>
      <c r="M115" s="339" t="s">
        <v>1721</v>
      </c>
      <c r="N115" s="339" t="s">
        <v>820</v>
      </c>
      <c r="O115" s="342"/>
      <c r="P115" s="339" t="s">
        <v>1805</v>
      </c>
      <c r="Q115" s="339" t="s">
        <v>294</v>
      </c>
      <c r="R115" s="343">
        <v>0.63</v>
      </c>
      <c r="S115" s="339" t="s">
        <v>294</v>
      </c>
      <c r="T115" s="343">
        <v>0.63</v>
      </c>
      <c r="U115" s="339" t="s">
        <v>629</v>
      </c>
      <c r="V115" s="339" t="s">
        <v>630</v>
      </c>
      <c r="W115" s="339" t="s">
        <v>820</v>
      </c>
      <c r="X115" s="339" t="s">
        <v>820</v>
      </c>
      <c r="Y115" s="339" t="s">
        <v>820</v>
      </c>
      <c r="Z115" s="339" t="s">
        <v>820</v>
      </c>
      <c r="AA115" s="339" t="s">
        <v>1598</v>
      </c>
      <c r="AB115" s="339" t="s">
        <v>820</v>
      </c>
      <c r="AC115" s="342">
        <v>45694</v>
      </c>
      <c r="AD115" s="339"/>
      <c r="AE115" s="339"/>
      <c r="AF115" s="339" t="s">
        <v>820</v>
      </c>
      <c r="AG115" s="339" t="s">
        <v>820</v>
      </c>
      <c r="AH115" s="339" t="s">
        <v>1806</v>
      </c>
      <c r="AI115" s="339" t="s">
        <v>1807</v>
      </c>
      <c r="AJ115" s="346">
        <v>1</v>
      </c>
      <c r="AK115" s="339" t="s">
        <v>1484</v>
      </c>
      <c r="AL115" s="345" t="s">
        <v>1601</v>
      </c>
      <c r="AM115" s="339" t="s">
        <v>1662</v>
      </c>
      <c r="AN115" s="339" t="s">
        <v>1663</v>
      </c>
      <c r="AO115" s="339" t="s">
        <v>820</v>
      </c>
      <c r="AP115" s="160" t="s">
        <v>1604</v>
      </c>
      <c r="AQ115" s="160" t="s">
        <v>1646</v>
      </c>
      <c r="AR115" s="160"/>
      <c r="AS115" s="160" t="s">
        <v>1531</v>
      </c>
      <c r="AT115" s="160" t="s">
        <v>333</v>
      </c>
      <c r="AU115" s="341">
        <f t="shared" si="0"/>
        <v>10395</v>
      </c>
      <c r="AV115" s="339" t="s">
        <v>629</v>
      </c>
      <c r="AW115" s="339" t="s">
        <v>630</v>
      </c>
    </row>
    <row r="116" spans="1:49" x14ac:dyDescent="0.25">
      <c r="A116" s="339" t="s">
        <v>1588</v>
      </c>
      <c r="B116" s="339" t="s">
        <v>1635</v>
      </c>
      <c r="C116" s="339" t="s">
        <v>1590</v>
      </c>
      <c r="D116" s="339" t="s">
        <v>1591</v>
      </c>
      <c r="E116" s="342">
        <v>45694</v>
      </c>
      <c r="F116" s="339" t="s">
        <v>820</v>
      </c>
      <c r="G116" s="339" t="s">
        <v>820</v>
      </c>
      <c r="H116" s="339" t="s">
        <v>1593</v>
      </c>
      <c r="I116" s="339" t="s">
        <v>1853</v>
      </c>
      <c r="J116" s="339" t="s">
        <v>820</v>
      </c>
      <c r="K116" s="339" t="s">
        <v>1039</v>
      </c>
      <c r="L116" s="342">
        <v>45694</v>
      </c>
      <c r="M116" s="339" t="s">
        <v>1721</v>
      </c>
      <c r="N116" s="339" t="s">
        <v>820</v>
      </c>
      <c r="O116" s="342"/>
      <c r="P116" s="339" t="s">
        <v>1805</v>
      </c>
      <c r="Q116" s="339" t="s">
        <v>294</v>
      </c>
      <c r="R116" s="343">
        <v>0.62</v>
      </c>
      <c r="S116" s="339" t="s">
        <v>294</v>
      </c>
      <c r="T116" s="343">
        <v>0.62</v>
      </c>
      <c r="U116" s="339" t="s">
        <v>629</v>
      </c>
      <c r="V116" s="339" t="s">
        <v>630</v>
      </c>
      <c r="W116" s="339" t="s">
        <v>820</v>
      </c>
      <c r="X116" s="339" t="s">
        <v>820</v>
      </c>
      <c r="Y116" s="339" t="s">
        <v>820</v>
      </c>
      <c r="Z116" s="339" t="s">
        <v>820</v>
      </c>
      <c r="AA116" s="339" t="s">
        <v>1598</v>
      </c>
      <c r="AB116" s="339" t="s">
        <v>820</v>
      </c>
      <c r="AC116" s="342">
        <v>45694</v>
      </c>
      <c r="AD116" s="339"/>
      <c r="AE116" s="339"/>
      <c r="AF116" s="339" t="s">
        <v>820</v>
      </c>
      <c r="AG116" s="339" t="s">
        <v>820</v>
      </c>
      <c r="AH116" s="339" t="s">
        <v>1806</v>
      </c>
      <c r="AI116" s="339" t="s">
        <v>1807</v>
      </c>
      <c r="AJ116" s="346">
        <v>1</v>
      </c>
      <c r="AK116" s="339" t="s">
        <v>1484</v>
      </c>
      <c r="AL116" s="345" t="s">
        <v>1601</v>
      </c>
      <c r="AM116" s="339" t="s">
        <v>1747</v>
      </c>
      <c r="AN116" s="339" t="s">
        <v>1748</v>
      </c>
      <c r="AO116" s="339" t="s">
        <v>820</v>
      </c>
      <c r="AP116" s="160" t="s">
        <v>1604</v>
      </c>
      <c r="AQ116" s="160" t="s">
        <v>1646</v>
      </c>
      <c r="AR116" s="160"/>
      <c r="AS116" s="160" t="s">
        <v>1531</v>
      </c>
      <c r="AT116" s="160" t="s">
        <v>333</v>
      </c>
      <c r="AU116" s="341">
        <f t="shared" si="0"/>
        <v>10230</v>
      </c>
      <c r="AV116" s="339" t="s">
        <v>629</v>
      </c>
      <c r="AW116" s="339" t="s">
        <v>630</v>
      </c>
    </row>
    <row r="117" spans="1:49" x14ac:dyDescent="0.25">
      <c r="A117" s="339" t="s">
        <v>1588</v>
      </c>
      <c r="B117" s="339" t="s">
        <v>1635</v>
      </c>
      <c r="C117" s="339" t="s">
        <v>1590</v>
      </c>
      <c r="D117" s="339" t="s">
        <v>1591</v>
      </c>
      <c r="E117" s="342">
        <v>45696</v>
      </c>
      <c r="F117" s="339" t="s">
        <v>1854</v>
      </c>
      <c r="G117" s="339" t="s">
        <v>820</v>
      </c>
      <c r="H117" s="339" t="s">
        <v>1593</v>
      </c>
      <c r="I117" s="339" t="s">
        <v>1855</v>
      </c>
      <c r="J117" s="339" t="s">
        <v>820</v>
      </c>
      <c r="K117" s="339" t="s">
        <v>1039</v>
      </c>
      <c r="L117" s="342">
        <v>45696</v>
      </c>
      <c r="M117" s="339" t="s">
        <v>1649</v>
      </c>
      <c r="N117" s="339" t="s">
        <v>820</v>
      </c>
      <c r="O117" s="342"/>
      <c r="P117" s="339" t="s">
        <v>1805</v>
      </c>
      <c r="Q117" s="339" t="s">
        <v>294</v>
      </c>
      <c r="R117" s="343">
        <v>24.8</v>
      </c>
      <c r="S117" s="339" t="s">
        <v>294</v>
      </c>
      <c r="T117" s="343">
        <v>24.8</v>
      </c>
      <c r="U117" s="339" t="s">
        <v>629</v>
      </c>
      <c r="V117" s="339" t="s">
        <v>630</v>
      </c>
      <c r="W117" s="339" t="s">
        <v>820</v>
      </c>
      <c r="X117" s="339" t="s">
        <v>820</v>
      </c>
      <c r="Y117" s="339" t="s">
        <v>820</v>
      </c>
      <c r="Z117" s="339" t="s">
        <v>820</v>
      </c>
      <c r="AA117" s="339" t="s">
        <v>1598</v>
      </c>
      <c r="AB117" s="339" t="s">
        <v>820</v>
      </c>
      <c r="AC117" s="342">
        <v>45696</v>
      </c>
      <c r="AD117" s="339"/>
      <c r="AE117" s="339"/>
      <c r="AF117" s="339" t="s">
        <v>820</v>
      </c>
      <c r="AG117" s="339" t="s">
        <v>820</v>
      </c>
      <c r="AH117" s="339" t="s">
        <v>1806</v>
      </c>
      <c r="AI117" s="339" t="s">
        <v>1807</v>
      </c>
      <c r="AJ117" s="346">
        <v>20</v>
      </c>
      <c r="AK117" s="339" t="s">
        <v>1616</v>
      </c>
      <c r="AL117" s="345" t="s">
        <v>1601</v>
      </c>
      <c r="AM117" s="339" t="s">
        <v>1836</v>
      </c>
      <c r="AN117" s="339" t="s">
        <v>1837</v>
      </c>
      <c r="AO117" s="339" t="s">
        <v>820</v>
      </c>
      <c r="AP117" s="160" t="s">
        <v>1604</v>
      </c>
      <c r="AQ117" s="160" t="s">
        <v>1646</v>
      </c>
      <c r="AR117" s="160"/>
      <c r="AS117" s="160" t="s">
        <v>1531</v>
      </c>
      <c r="AT117" s="160" t="s">
        <v>333</v>
      </c>
      <c r="AU117" s="341">
        <f t="shared" si="0"/>
        <v>409200</v>
      </c>
      <c r="AV117" s="339" t="s">
        <v>629</v>
      </c>
      <c r="AW117" s="339" t="s">
        <v>630</v>
      </c>
    </row>
    <row r="118" spans="1:49" x14ac:dyDescent="0.25">
      <c r="A118" s="339" t="s">
        <v>1588</v>
      </c>
      <c r="B118" s="339" t="s">
        <v>1635</v>
      </c>
      <c r="C118" s="339" t="s">
        <v>1590</v>
      </c>
      <c r="D118" s="339" t="s">
        <v>1591</v>
      </c>
      <c r="E118" s="342">
        <v>45702</v>
      </c>
      <c r="F118" s="339" t="s">
        <v>1856</v>
      </c>
      <c r="G118" s="339" t="s">
        <v>820</v>
      </c>
      <c r="H118" s="339" t="s">
        <v>1593</v>
      </c>
      <c r="I118" s="339" t="s">
        <v>1857</v>
      </c>
      <c r="J118" s="339" t="s">
        <v>820</v>
      </c>
      <c r="K118" s="339" t="s">
        <v>1039</v>
      </c>
      <c r="L118" s="342">
        <v>45702</v>
      </c>
      <c r="M118" s="339" t="s">
        <v>1735</v>
      </c>
      <c r="N118" s="339" t="s">
        <v>820</v>
      </c>
      <c r="O118" s="342"/>
      <c r="P118" s="339" t="s">
        <v>1805</v>
      </c>
      <c r="Q118" s="339" t="s">
        <v>294</v>
      </c>
      <c r="R118" s="343">
        <v>31.36</v>
      </c>
      <c r="S118" s="339" t="s">
        <v>294</v>
      </c>
      <c r="T118" s="343">
        <v>31.36</v>
      </c>
      <c r="U118" s="339" t="s">
        <v>629</v>
      </c>
      <c r="V118" s="339" t="s">
        <v>630</v>
      </c>
      <c r="W118" s="339" t="s">
        <v>820</v>
      </c>
      <c r="X118" s="339" t="s">
        <v>820</v>
      </c>
      <c r="Y118" s="339" t="s">
        <v>820</v>
      </c>
      <c r="Z118" s="339" t="s">
        <v>820</v>
      </c>
      <c r="AA118" s="339" t="s">
        <v>1598</v>
      </c>
      <c r="AB118" s="339" t="s">
        <v>820</v>
      </c>
      <c r="AC118" s="342">
        <v>45702</v>
      </c>
      <c r="AD118" s="339"/>
      <c r="AE118" s="339"/>
      <c r="AF118" s="339" t="s">
        <v>820</v>
      </c>
      <c r="AG118" s="339" t="s">
        <v>820</v>
      </c>
      <c r="AH118" s="339" t="s">
        <v>1806</v>
      </c>
      <c r="AI118" s="339" t="s">
        <v>1807</v>
      </c>
      <c r="AJ118" s="346">
        <v>40</v>
      </c>
      <c r="AK118" s="339" t="s">
        <v>1620</v>
      </c>
      <c r="AL118" s="345" t="s">
        <v>1601</v>
      </c>
      <c r="AM118" s="339" t="s">
        <v>1818</v>
      </c>
      <c r="AN118" s="339" t="s">
        <v>1819</v>
      </c>
      <c r="AO118" s="339" t="s">
        <v>820</v>
      </c>
      <c r="AP118" s="160" t="s">
        <v>1604</v>
      </c>
      <c r="AQ118" s="160" t="s">
        <v>1646</v>
      </c>
      <c r="AR118" s="160"/>
      <c r="AS118" s="160" t="s">
        <v>1531</v>
      </c>
      <c r="AT118" s="160" t="s">
        <v>333</v>
      </c>
      <c r="AU118" s="341">
        <f t="shared" si="0"/>
        <v>517440</v>
      </c>
      <c r="AV118" s="339" t="s">
        <v>629</v>
      </c>
      <c r="AW118" s="339" t="s">
        <v>630</v>
      </c>
    </row>
    <row r="119" spans="1:49" x14ac:dyDescent="0.25">
      <c r="A119" s="339" t="s">
        <v>1588</v>
      </c>
      <c r="B119" s="339" t="s">
        <v>1635</v>
      </c>
      <c r="C119" s="339" t="s">
        <v>1590</v>
      </c>
      <c r="D119" s="339" t="s">
        <v>1591</v>
      </c>
      <c r="E119" s="342">
        <v>45708</v>
      </c>
      <c r="F119" s="339" t="s">
        <v>1854</v>
      </c>
      <c r="G119" s="339" t="s">
        <v>820</v>
      </c>
      <c r="H119" s="339" t="s">
        <v>1593</v>
      </c>
      <c r="I119" s="339" t="s">
        <v>1858</v>
      </c>
      <c r="J119" s="339" t="s">
        <v>820</v>
      </c>
      <c r="K119" s="339" t="s">
        <v>1039</v>
      </c>
      <c r="L119" s="342">
        <v>45708</v>
      </c>
      <c r="M119" s="339" t="s">
        <v>1737</v>
      </c>
      <c r="N119" s="339" t="s">
        <v>820</v>
      </c>
      <c r="O119" s="342"/>
      <c r="P119" s="339" t="s">
        <v>1805</v>
      </c>
      <c r="Q119" s="339" t="s">
        <v>294</v>
      </c>
      <c r="R119" s="343">
        <v>29.49</v>
      </c>
      <c r="S119" s="339" t="s">
        <v>294</v>
      </c>
      <c r="T119" s="343">
        <v>29.49</v>
      </c>
      <c r="U119" s="339" t="s">
        <v>629</v>
      </c>
      <c r="V119" s="339" t="s">
        <v>630</v>
      </c>
      <c r="W119" s="339" t="s">
        <v>820</v>
      </c>
      <c r="X119" s="339" t="s">
        <v>820</v>
      </c>
      <c r="Y119" s="339" t="s">
        <v>820</v>
      </c>
      <c r="Z119" s="339" t="s">
        <v>820</v>
      </c>
      <c r="AA119" s="339" t="s">
        <v>1598</v>
      </c>
      <c r="AB119" s="339" t="s">
        <v>820</v>
      </c>
      <c r="AC119" s="342">
        <v>45708</v>
      </c>
      <c r="AD119" s="339"/>
      <c r="AE119" s="339"/>
      <c r="AF119" s="339" t="s">
        <v>820</v>
      </c>
      <c r="AG119" s="339" t="s">
        <v>820</v>
      </c>
      <c r="AH119" s="339" t="s">
        <v>1806</v>
      </c>
      <c r="AI119" s="339" t="s">
        <v>1807</v>
      </c>
      <c r="AJ119" s="346">
        <v>20</v>
      </c>
      <c r="AK119" s="339" t="s">
        <v>1616</v>
      </c>
      <c r="AL119" s="345" t="s">
        <v>1601</v>
      </c>
      <c r="AM119" s="339" t="s">
        <v>1656</v>
      </c>
      <c r="AN119" s="339" t="s">
        <v>1657</v>
      </c>
      <c r="AO119" s="339" t="s">
        <v>820</v>
      </c>
      <c r="AP119" s="160" t="s">
        <v>1604</v>
      </c>
      <c r="AQ119" s="160" t="s">
        <v>1646</v>
      </c>
      <c r="AR119" s="160"/>
      <c r="AS119" s="160" t="s">
        <v>1531</v>
      </c>
      <c r="AT119" s="160" t="s">
        <v>333</v>
      </c>
      <c r="AU119" s="341">
        <f t="shared" si="0"/>
        <v>486585</v>
      </c>
      <c r="AV119" s="339" t="s">
        <v>629</v>
      </c>
      <c r="AW119" s="339" t="s">
        <v>630</v>
      </c>
    </row>
    <row r="120" spans="1:49" x14ac:dyDescent="0.25">
      <c r="A120" s="339" t="s">
        <v>1588</v>
      </c>
      <c r="B120" s="339" t="s">
        <v>1635</v>
      </c>
      <c r="C120" s="339" t="s">
        <v>1590</v>
      </c>
      <c r="D120" s="339" t="s">
        <v>1591</v>
      </c>
      <c r="E120" s="342">
        <v>45708</v>
      </c>
      <c r="F120" s="339" t="s">
        <v>820</v>
      </c>
      <c r="G120" s="339" t="s">
        <v>820</v>
      </c>
      <c r="H120" s="339" t="s">
        <v>1593</v>
      </c>
      <c r="I120" s="339" t="s">
        <v>1858</v>
      </c>
      <c r="J120" s="339" t="s">
        <v>820</v>
      </c>
      <c r="K120" s="339" t="s">
        <v>1039</v>
      </c>
      <c r="L120" s="342">
        <v>45708</v>
      </c>
      <c r="M120" s="339" t="s">
        <v>1737</v>
      </c>
      <c r="N120" s="339" t="s">
        <v>820</v>
      </c>
      <c r="O120" s="342"/>
      <c r="P120" s="339" t="s">
        <v>1805</v>
      </c>
      <c r="Q120" s="339" t="s">
        <v>294</v>
      </c>
      <c r="R120" s="343">
        <v>2.5099999999999998</v>
      </c>
      <c r="S120" s="339" t="s">
        <v>294</v>
      </c>
      <c r="T120" s="343">
        <v>2.5099999999999998</v>
      </c>
      <c r="U120" s="339" t="s">
        <v>629</v>
      </c>
      <c r="V120" s="339" t="s">
        <v>630</v>
      </c>
      <c r="W120" s="339" t="s">
        <v>820</v>
      </c>
      <c r="X120" s="339" t="s">
        <v>820</v>
      </c>
      <c r="Y120" s="339" t="s">
        <v>820</v>
      </c>
      <c r="Z120" s="339" t="s">
        <v>820</v>
      </c>
      <c r="AA120" s="339" t="s">
        <v>1598</v>
      </c>
      <c r="AB120" s="339" t="s">
        <v>820</v>
      </c>
      <c r="AC120" s="342">
        <v>45708</v>
      </c>
      <c r="AD120" s="339"/>
      <c r="AE120" s="339"/>
      <c r="AF120" s="339" t="s">
        <v>820</v>
      </c>
      <c r="AG120" s="339" t="s">
        <v>820</v>
      </c>
      <c r="AH120" s="339" t="s">
        <v>1806</v>
      </c>
      <c r="AI120" s="339" t="s">
        <v>1807</v>
      </c>
      <c r="AJ120" s="346">
        <v>4</v>
      </c>
      <c r="AK120" s="339" t="s">
        <v>1484</v>
      </c>
      <c r="AL120" s="345" t="s">
        <v>1601</v>
      </c>
      <c r="AM120" s="339" t="s">
        <v>1662</v>
      </c>
      <c r="AN120" s="339" t="s">
        <v>1663</v>
      </c>
      <c r="AO120" s="339" t="s">
        <v>820</v>
      </c>
      <c r="AP120" s="160" t="s">
        <v>1604</v>
      </c>
      <c r="AQ120" s="160" t="s">
        <v>1646</v>
      </c>
      <c r="AR120" s="160"/>
      <c r="AS120" s="160" t="s">
        <v>1531</v>
      </c>
      <c r="AT120" s="160" t="s">
        <v>333</v>
      </c>
      <c r="AU120" s="341">
        <f t="shared" si="0"/>
        <v>41415</v>
      </c>
      <c r="AV120" s="339" t="s">
        <v>629</v>
      </c>
      <c r="AW120" s="339" t="s">
        <v>630</v>
      </c>
    </row>
    <row r="121" spans="1:49" x14ac:dyDescent="0.25">
      <c r="A121" s="339" t="s">
        <v>1588</v>
      </c>
      <c r="B121" s="339" t="s">
        <v>1635</v>
      </c>
      <c r="C121" s="339" t="s">
        <v>1590</v>
      </c>
      <c r="D121" s="339" t="s">
        <v>1591</v>
      </c>
      <c r="E121" s="342">
        <v>45708</v>
      </c>
      <c r="F121" s="339" t="s">
        <v>820</v>
      </c>
      <c r="G121" s="339" t="s">
        <v>820</v>
      </c>
      <c r="H121" s="339" t="s">
        <v>1593</v>
      </c>
      <c r="I121" s="339" t="s">
        <v>1858</v>
      </c>
      <c r="J121" s="339" t="s">
        <v>820</v>
      </c>
      <c r="K121" s="339" t="s">
        <v>1039</v>
      </c>
      <c r="L121" s="342">
        <v>45708</v>
      </c>
      <c r="M121" s="339" t="s">
        <v>1737</v>
      </c>
      <c r="N121" s="339" t="s">
        <v>820</v>
      </c>
      <c r="O121" s="342"/>
      <c r="P121" s="339" t="s">
        <v>1805</v>
      </c>
      <c r="Q121" s="339" t="s">
        <v>294</v>
      </c>
      <c r="R121" s="343">
        <v>3.09</v>
      </c>
      <c r="S121" s="339" t="s">
        <v>294</v>
      </c>
      <c r="T121" s="343">
        <v>3.09</v>
      </c>
      <c r="U121" s="339" t="s">
        <v>629</v>
      </c>
      <c r="V121" s="339" t="s">
        <v>630</v>
      </c>
      <c r="W121" s="339" t="s">
        <v>820</v>
      </c>
      <c r="X121" s="339" t="s">
        <v>820</v>
      </c>
      <c r="Y121" s="339" t="s">
        <v>820</v>
      </c>
      <c r="Z121" s="339" t="s">
        <v>820</v>
      </c>
      <c r="AA121" s="339" t="s">
        <v>1598</v>
      </c>
      <c r="AB121" s="339" t="s">
        <v>820</v>
      </c>
      <c r="AC121" s="342">
        <v>45708</v>
      </c>
      <c r="AD121" s="339"/>
      <c r="AE121" s="339"/>
      <c r="AF121" s="339" t="s">
        <v>820</v>
      </c>
      <c r="AG121" s="339" t="s">
        <v>820</v>
      </c>
      <c r="AH121" s="339" t="s">
        <v>1806</v>
      </c>
      <c r="AI121" s="339" t="s">
        <v>1807</v>
      </c>
      <c r="AJ121" s="346">
        <v>10</v>
      </c>
      <c r="AK121" s="339" t="s">
        <v>1843</v>
      </c>
      <c r="AL121" s="345" t="s">
        <v>1601</v>
      </c>
      <c r="AM121" s="339" t="s">
        <v>1844</v>
      </c>
      <c r="AN121" s="339" t="s">
        <v>1845</v>
      </c>
      <c r="AO121" s="339" t="s">
        <v>820</v>
      </c>
      <c r="AP121" s="160" t="s">
        <v>1604</v>
      </c>
      <c r="AQ121" s="160" t="s">
        <v>1646</v>
      </c>
      <c r="AR121" s="160"/>
      <c r="AS121" s="160" t="s">
        <v>1531</v>
      </c>
      <c r="AT121" s="160" t="s">
        <v>333</v>
      </c>
      <c r="AU121" s="341">
        <f t="shared" si="0"/>
        <v>50985</v>
      </c>
      <c r="AV121" s="339" t="s">
        <v>629</v>
      </c>
      <c r="AW121" s="339" t="s">
        <v>630</v>
      </c>
    </row>
    <row r="122" spans="1:49" x14ac:dyDescent="0.25">
      <c r="A122" s="339" t="s">
        <v>1588</v>
      </c>
      <c r="B122" s="339" t="s">
        <v>1635</v>
      </c>
      <c r="C122" s="339" t="s">
        <v>1590</v>
      </c>
      <c r="D122" s="339" t="s">
        <v>1591</v>
      </c>
      <c r="E122" s="342">
        <v>45713</v>
      </c>
      <c r="F122" s="339" t="s">
        <v>1859</v>
      </c>
      <c r="G122" s="339" t="s">
        <v>820</v>
      </c>
      <c r="H122" s="339" t="s">
        <v>1593</v>
      </c>
      <c r="I122" s="339" t="s">
        <v>1860</v>
      </c>
      <c r="J122" s="339" t="s">
        <v>820</v>
      </c>
      <c r="K122" s="339" t="s">
        <v>1039</v>
      </c>
      <c r="L122" s="342">
        <v>45713</v>
      </c>
      <c r="M122" s="339" t="s">
        <v>1861</v>
      </c>
      <c r="N122" s="339" t="s">
        <v>820</v>
      </c>
      <c r="O122" s="342"/>
      <c r="P122" s="339" t="s">
        <v>1805</v>
      </c>
      <c r="Q122" s="339" t="s">
        <v>294</v>
      </c>
      <c r="R122" s="343">
        <v>58.2</v>
      </c>
      <c r="S122" s="339" t="s">
        <v>294</v>
      </c>
      <c r="T122" s="343">
        <v>58.2</v>
      </c>
      <c r="U122" s="339" t="s">
        <v>629</v>
      </c>
      <c r="V122" s="339" t="s">
        <v>630</v>
      </c>
      <c r="W122" s="339" t="s">
        <v>820</v>
      </c>
      <c r="X122" s="339" t="s">
        <v>820</v>
      </c>
      <c r="Y122" s="339" t="s">
        <v>820</v>
      </c>
      <c r="Z122" s="339" t="s">
        <v>820</v>
      </c>
      <c r="AA122" s="339" t="s">
        <v>1598</v>
      </c>
      <c r="AB122" s="339" t="s">
        <v>820</v>
      </c>
      <c r="AC122" s="342">
        <v>45713</v>
      </c>
      <c r="AD122" s="339"/>
      <c r="AE122" s="339"/>
      <c r="AF122" s="339" t="s">
        <v>820</v>
      </c>
      <c r="AG122" s="339" t="s">
        <v>820</v>
      </c>
      <c r="AH122" s="339" t="s">
        <v>1806</v>
      </c>
      <c r="AI122" s="339" t="s">
        <v>1807</v>
      </c>
      <c r="AJ122" s="346">
        <v>40</v>
      </c>
      <c r="AK122" s="339" t="s">
        <v>1616</v>
      </c>
      <c r="AL122" s="345" t="s">
        <v>1601</v>
      </c>
      <c r="AM122" s="339" t="s">
        <v>1705</v>
      </c>
      <c r="AN122" s="339" t="s">
        <v>1706</v>
      </c>
      <c r="AO122" s="339" t="s">
        <v>820</v>
      </c>
      <c r="AP122" s="160" t="s">
        <v>1604</v>
      </c>
      <c r="AQ122" s="160" t="s">
        <v>1646</v>
      </c>
      <c r="AR122" s="160"/>
      <c r="AS122" s="160" t="s">
        <v>1531</v>
      </c>
      <c r="AT122" s="160" t="s">
        <v>333</v>
      </c>
      <c r="AU122" s="341">
        <f t="shared" si="0"/>
        <v>960300</v>
      </c>
      <c r="AV122" s="339" t="s">
        <v>629</v>
      </c>
      <c r="AW122" s="339" t="s">
        <v>630</v>
      </c>
    </row>
    <row r="123" spans="1:49" x14ac:dyDescent="0.25">
      <c r="A123" s="339" t="s">
        <v>1588</v>
      </c>
      <c r="B123" s="339" t="s">
        <v>1635</v>
      </c>
      <c r="C123" s="339" t="s">
        <v>1590</v>
      </c>
      <c r="D123" s="339" t="s">
        <v>1591</v>
      </c>
      <c r="E123" s="342">
        <v>45713</v>
      </c>
      <c r="F123" s="339" t="s">
        <v>1854</v>
      </c>
      <c r="G123" s="339" t="s">
        <v>820</v>
      </c>
      <c r="H123" s="339" t="s">
        <v>1593</v>
      </c>
      <c r="I123" s="339" t="s">
        <v>1862</v>
      </c>
      <c r="J123" s="339" t="s">
        <v>820</v>
      </c>
      <c r="K123" s="339" t="s">
        <v>1039</v>
      </c>
      <c r="L123" s="342">
        <v>45713</v>
      </c>
      <c r="M123" s="339" t="s">
        <v>1861</v>
      </c>
      <c r="N123" s="339" t="s">
        <v>820</v>
      </c>
      <c r="O123" s="342"/>
      <c r="P123" s="339" t="s">
        <v>1805</v>
      </c>
      <c r="Q123" s="339" t="s">
        <v>294</v>
      </c>
      <c r="R123" s="343">
        <v>5.78</v>
      </c>
      <c r="S123" s="339" t="s">
        <v>294</v>
      </c>
      <c r="T123" s="343">
        <v>5.78</v>
      </c>
      <c r="U123" s="339" t="s">
        <v>629</v>
      </c>
      <c r="V123" s="339" t="s">
        <v>630</v>
      </c>
      <c r="W123" s="339" t="s">
        <v>820</v>
      </c>
      <c r="X123" s="339" t="s">
        <v>820</v>
      </c>
      <c r="Y123" s="339" t="s">
        <v>820</v>
      </c>
      <c r="Z123" s="339" t="s">
        <v>820</v>
      </c>
      <c r="AA123" s="339" t="s">
        <v>1598</v>
      </c>
      <c r="AB123" s="339" t="s">
        <v>820</v>
      </c>
      <c r="AC123" s="342">
        <v>45713</v>
      </c>
      <c r="AD123" s="339"/>
      <c r="AE123" s="339"/>
      <c r="AF123" s="339" t="s">
        <v>820</v>
      </c>
      <c r="AG123" s="339" t="s">
        <v>820</v>
      </c>
      <c r="AH123" s="339" t="s">
        <v>1806</v>
      </c>
      <c r="AI123" s="339" t="s">
        <v>1807</v>
      </c>
      <c r="AJ123" s="346">
        <v>15</v>
      </c>
      <c r="AK123" s="339" t="s">
        <v>1484</v>
      </c>
      <c r="AL123" s="345" t="s">
        <v>1601</v>
      </c>
      <c r="AM123" s="339" t="s">
        <v>1828</v>
      </c>
      <c r="AN123" s="339" t="s">
        <v>1829</v>
      </c>
      <c r="AO123" s="339" t="s">
        <v>820</v>
      </c>
      <c r="AP123" s="160" t="s">
        <v>1604</v>
      </c>
      <c r="AQ123" s="160" t="s">
        <v>1646</v>
      </c>
      <c r="AR123" s="160"/>
      <c r="AS123" s="160" t="s">
        <v>1531</v>
      </c>
      <c r="AT123" s="160" t="s">
        <v>333</v>
      </c>
      <c r="AU123" s="341">
        <f t="shared" si="0"/>
        <v>95370</v>
      </c>
      <c r="AV123" s="339" t="s">
        <v>629</v>
      </c>
      <c r="AW123" s="339" t="s">
        <v>630</v>
      </c>
    </row>
    <row r="124" spans="1:49" x14ac:dyDescent="0.25">
      <c r="A124" s="339" t="s">
        <v>1588</v>
      </c>
      <c r="B124" s="339" t="s">
        <v>1635</v>
      </c>
      <c r="C124" s="339" t="s">
        <v>1590</v>
      </c>
      <c r="D124" s="339" t="s">
        <v>1591</v>
      </c>
      <c r="E124" s="342">
        <v>45716</v>
      </c>
      <c r="F124" s="339" t="s">
        <v>1863</v>
      </c>
      <c r="G124" s="339" t="s">
        <v>820</v>
      </c>
      <c r="H124" s="339" t="s">
        <v>1593</v>
      </c>
      <c r="I124" s="339" t="s">
        <v>1864</v>
      </c>
      <c r="J124" s="339" t="s">
        <v>820</v>
      </c>
      <c r="K124" s="339" t="s">
        <v>1039</v>
      </c>
      <c r="L124" s="342">
        <v>45716</v>
      </c>
      <c r="M124" s="339" t="s">
        <v>1865</v>
      </c>
      <c r="N124" s="339" t="s">
        <v>820</v>
      </c>
      <c r="O124" s="342"/>
      <c r="P124" s="339" t="s">
        <v>1805</v>
      </c>
      <c r="Q124" s="339" t="s">
        <v>294</v>
      </c>
      <c r="R124" s="343">
        <v>58.19</v>
      </c>
      <c r="S124" s="339" t="s">
        <v>294</v>
      </c>
      <c r="T124" s="343">
        <v>58.19</v>
      </c>
      <c r="U124" s="339" t="s">
        <v>629</v>
      </c>
      <c r="V124" s="339" t="s">
        <v>630</v>
      </c>
      <c r="W124" s="339" t="s">
        <v>820</v>
      </c>
      <c r="X124" s="339" t="s">
        <v>820</v>
      </c>
      <c r="Y124" s="339" t="s">
        <v>820</v>
      </c>
      <c r="Z124" s="339" t="s">
        <v>820</v>
      </c>
      <c r="AA124" s="339" t="s">
        <v>1598</v>
      </c>
      <c r="AB124" s="339" t="s">
        <v>820</v>
      </c>
      <c r="AC124" s="342">
        <v>45716</v>
      </c>
      <c r="AD124" s="339"/>
      <c r="AE124" s="339"/>
      <c r="AF124" s="339" t="s">
        <v>820</v>
      </c>
      <c r="AG124" s="339" t="s">
        <v>820</v>
      </c>
      <c r="AH124" s="339" t="s">
        <v>1806</v>
      </c>
      <c r="AI124" s="339" t="s">
        <v>1807</v>
      </c>
      <c r="AJ124" s="346">
        <v>40</v>
      </c>
      <c r="AK124" s="339" t="s">
        <v>1616</v>
      </c>
      <c r="AL124" s="345" t="s">
        <v>1601</v>
      </c>
      <c r="AM124" s="339" t="s">
        <v>1705</v>
      </c>
      <c r="AN124" s="339" t="s">
        <v>1706</v>
      </c>
      <c r="AO124" s="339" t="s">
        <v>820</v>
      </c>
      <c r="AP124" s="160" t="s">
        <v>1604</v>
      </c>
      <c r="AQ124" s="160" t="s">
        <v>1646</v>
      </c>
      <c r="AR124" s="160"/>
      <c r="AS124" s="160" t="s">
        <v>1531</v>
      </c>
      <c r="AT124" s="160" t="s">
        <v>333</v>
      </c>
      <c r="AU124" s="341">
        <f t="shared" si="0"/>
        <v>960135</v>
      </c>
      <c r="AV124" s="339" t="s">
        <v>629</v>
      </c>
      <c r="AW124" s="339" t="s">
        <v>630</v>
      </c>
    </row>
    <row r="125" spans="1:49" x14ac:dyDescent="0.25">
      <c r="A125" s="339" t="s">
        <v>1588</v>
      </c>
      <c r="B125" s="339" t="s">
        <v>1635</v>
      </c>
      <c r="C125" s="339" t="s">
        <v>1590</v>
      </c>
      <c r="D125" s="339" t="s">
        <v>1591</v>
      </c>
      <c r="E125" s="342">
        <v>45716</v>
      </c>
      <c r="F125" s="339" t="s">
        <v>1863</v>
      </c>
      <c r="G125" s="339" t="s">
        <v>820</v>
      </c>
      <c r="H125" s="339" t="s">
        <v>1593</v>
      </c>
      <c r="I125" s="339" t="s">
        <v>1864</v>
      </c>
      <c r="J125" s="339" t="s">
        <v>820</v>
      </c>
      <c r="K125" s="339" t="s">
        <v>1039</v>
      </c>
      <c r="L125" s="342">
        <v>45716</v>
      </c>
      <c r="M125" s="339" t="s">
        <v>1865</v>
      </c>
      <c r="N125" s="339" t="s">
        <v>820</v>
      </c>
      <c r="O125" s="342"/>
      <c r="P125" s="339" t="s">
        <v>1805</v>
      </c>
      <c r="Q125" s="339" t="s">
        <v>294</v>
      </c>
      <c r="R125" s="343">
        <v>29.48</v>
      </c>
      <c r="S125" s="339" t="s">
        <v>294</v>
      </c>
      <c r="T125" s="343">
        <v>29.48</v>
      </c>
      <c r="U125" s="339" t="s">
        <v>629</v>
      </c>
      <c r="V125" s="339" t="s">
        <v>630</v>
      </c>
      <c r="W125" s="339" t="s">
        <v>820</v>
      </c>
      <c r="X125" s="339" t="s">
        <v>820</v>
      </c>
      <c r="Y125" s="339" t="s">
        <v>820</v>
      </c>
      <c r="Z125" s="339" t="s">
        <v>820</v>
      </c>
      <c r="AA125" s="339" t="s">
        <v>1598</v>
      </c>
      <c r="AB125" s="339" t="s">
        <v>820</v>
      </c>
      <c r="AC125" s="342">
        <v>45716</v>
      </c>
      <c r="AD125" s="339"/>
      <c r="AE125" s="339"/>
      <c r="AF125" s="339" t="s">
        <v>820</v>
      </c>
      <c r="AG125" s="339" t="s">
        <v>820</v>
      </c>
      <c r="AH125" s="339" t="s">
        <v>1806</v>
      </c>
      <c r="AI125" s="339" t="s">
        <v>1807</v>
      </c>
      <c r="AJ125" s="346">
        <v>20</v>
      </c>
      <c r="AK125" s="339" t="s">
        <v>1616</v>
      </c>
      <c r="AL125" s="345" t="s">
        <v>1601</v>
      </c>
      <c r="AM125" s="339" t="s">
        <v>1656</v>
      </c>
      <c r="AN125" s="339" t="s">
        <v>1657</v>
      </c>
      <c r="AO125" s="339" t="s">
        <v>820</v>
      </c>
      <c r="AP125" s="160" t="s">
        <v>1604</v>
      </c>
      <c r="AQ125" s="160" t="s">
        <v>1646</v>
      </c>
      <c r="AR125" s="160"/>
      <c r="AS125" s="160" t="s">
        <v>1531</v>
      </c>
      <c r="AT125" s="160" t="s">
        <v>333</v>
      </c>
      <c r="AU125" s="341">
        <f t="shared" si="0"/>
        <v>486420</v>
      </c>
      <c r="AV125" s="339" t="s">
        <v>629</v>
      </c>
      <c r="AW125" s="339" t="s">
        <v>630</v>
      </c>
    </row>
    <row r="126" spans="1:49" x14ac:dyDescent="0.25">
      <c r="A126" s="339" t="s">
        <v>1588</v>
      </c>
      <c r="B126" s="339" t="s">
        <v>1635</v>
      </c>
      <c r="C126" s="339" t="s">
        <v>1590</v>
      </c>
      <c r="D126" s="339" t="s">
        <v>1591</v>
      </c>
      <c r="E126" s="342">
        <v>45716</v>
      </c>
      <c r="F126" s="339" t="s">
        <v>1863</v>
      </c>
      <c r="G126" s="339" t="s">
        <v>820</v>
      </c>
      <c r="H126" s="339" t="s">
        <v>1593</v>
      </c>
      <c r="I126" s="339" t="s">
        <v>1864</v>
      </c>
      <c r="J126" s="339" t="s">
        <v>820</v>
      </c>
      <c r="K126" s="339" t="s">
        <v>1039</v>
      </c>
      <c r="L126" s="342">
        <v>45716</v>
      </c>
      <c r="M126" s="339" t="s">
        <v>1865</v>
      </c>
      <c r="N126" s="339" t="s">
        <v>820</v>
      </c>
      <c r="O126" s="342"/>
      <c r="P126" s="339" t="s">
        <v>1805</v>
      </c>
      <c r="Q126" s="339" t="s">
        <v>294</v>
      </c>
      <c r="R126" s="343">
        <v>5.03</v>
      </c>
      <c r="S126" s="339" t="s">
        <v>294</v>
      </c>
      <c r="T126" s="343">
        <v>5.03</v>
      </c>
      <c r="U126" s="339" t="s">
        <v>629</v>
      </c>
      <c r="V126" s="339" t="s">
        <v>630</v>
      </c>
      <c r="W126" s="339" t="s">
        <v>820</v>
      </c>
      <c r="X126" s="339" t="s">
        <v>820</v>
      </c>
      <c r="Y126" s="339" t="s">
        <v>820</v>
      </c>
      <c r="Z126" s="339" t="s">
        <v>820</v>
      </c>
      <c r="AA126" s="339" t="s">
        <v>1598</v>
      </c>
      <c r="AB126" s="339" t="s">
        <v>820</v>
      </c>
      <c r="AC126" s="342">
        <v>45716</v>
      </c>
      <c r="AD126" s="339"/>
      <c r="AE126" s="339"/>
      <c r="AF126" s="339" t="s">
        <v>820</v>
      </c>
      <c r="AG126" s="339" t="s">
        <v>820</v>
      </c>
      <c r="AH126" s="339" t="s">
        <v>1806</v>
      </c>
      <c r="AI126" s="339" t="s">
        <v>1807</v>
      </c>
      <c r="AJ126" s="346">
        <v>8</v>
      </c>
      <c r="AK126" s="339" t="s">
        <v>1484</v>
      </c>
      <c r="AL126" s="345" t="s">
        <v>1601</v>
      </c>
      <c r="AM126" s="339" t="s">
        <v>1662</v>
      </c>
      <c r="AN126" s="339" t="s">
        <v>1663</v>
      </c>
      <c r="AO126" s="339" t="s">
        <v>820</v>
      </c>
      <c r="AP126" s="160" t="s">
        <v>1604</v>
      </c>
      <c r="AQ126" s="160" t="s">
        <v>1646</v>
      </c>
      <c r="AR126" s="160"/>
      <c r="AS126" s="160" t="s">
        <v>1531</v>
      </c>
      <c r="AT126" s="160" t="s">
        <v>333</v>
      </c>
      <c r="AU126" s="341">
        <f t="shared" si="0"/>
        <v>82995</v>
      </c>
      <c r="AV126" s="339" t="s">
        <v>629</v>
      </c>
      <c r="AW126" s="339" t="s">
        <v>630</v>
      </c>
    </row>
    <row r="127" spans="1:49" x14ac:dyDescent="0.25">
      <c r="A127" s="339" t="s">
        <v>1588</v>
      </c>
      <c r="B127" s="339" t="s">
        <v>1664</v>
      </c>
      <c r="C127" s="339" t="s">
        <v>1590</v>
      </c>
      <c r="D127" s="339" t="s">
        <v>1591</v>
      </c>
      <c r="E127" s="342">
        <v>45719</v>
      </c>
      <c r="F127" s="339" t="s">
        <v>1854</v>
      </c>
      <c r="G127" s="339" t="s">
        <v>820</v>
      </c>
      <c r="H127" s="339" t="s">
        <v>1593</v>
      </c>
      <c r="I127" s="339" t="s">
        <v>1866</v>
      </c>
      <c r="J127" s="339" t="s">
        <v>820</v>
      </c>
      <c r="K127" s="339" t="s">
        <v>1039</v>
      </c>
      <c r="L127" s="342">
        <v>45719</v>
      </c>
      <c r="M127" s="339" t="s">
        <v>1867</v>
      </c>
      <c r="N127" s="339" t="s">
        <v>820</v>
      </c>
      <c r="O127" s="342"/>
      <c r="P127" s="339" t="s">
        <v>1805</v>
      </c>
      <c r="Q127" s="339" t="s">
        <v>294</v>
      </c>
      <c r="R127" s="343">
        <v>9.25</v>
      </c>
      <c r="S127" s="339" t="s">
        <v>294</v>
      </c>
      <c r="T127" s="343">
        <v>9.25</v>
      </c>
      <c r="U127" s="339" t="s">
        <v>629</v>
      </c>
      <c r="V127" s="339" t="s">
        <v>630</v>
      </c>
      <c r="W127" s="339" t="s">
        <v>820</v>
      </c>
      <c r="X127" s="339" t="s">
        <v>820</v>
      </c>
      <c r="Y127" s="339" t="s">
        <v>820</v>
      </c>
      <c r="Z127" s="339" t="s">
        <v>820</v>
      </c>
      <c r="AA127" s="339" t="s">
        <v>1598</v>
      </c>
      <c r="AB127" s="339" t="s">
        <v>820</v>
      </c>
      <c r="AC127" s="342">
        <v>45719</v>
      </c>
      <c r="AD127" s="339"/>
      <c r="AE127" s="339"/>
      <c r="AF127" s="339" t="s">
        <v>820</v>
      </c>
      <c r="AG127" s="339" t="s">
        <v>820</v>
      </c>
      <c r="AH127" s="339" t="s">
        <v>1806</v>
      </c>
      <c r="AI127" s="339" t="s">
        <v>1807</v>
      </c>
      <c r="AJ127" s="346">
        <v>24</v>
      </c>
      <c r="AK127" s="339" t="s">
        <v>1484</v>
      </c>
      <c r="AL127" s="345" t="s">
        <v>1601</v>
      </c>
      <c r="AM127" s="339" t="s">
        <v>1828</v>
      </c>
      <c r="AN127" s="339" t="s">
        <v>1829</v>
      </c>
      <c r="AO127" s="339" t="s">
        <v>820</v>
      </c>
      <c r="AP127" s="160" t="s">
        <v>1604</v>
      </c>
      <c r="AQ127" s="160" t="s">
        <v>1646</v>
      </c>
      <c r="AR127" s="160"/>
      <c r="AS127" s="160" t="s">
        <v>1531</v>
      </c>
      <c r="AT127" s="160" t="s">
        <v>333</v>
      </c>
      <c r="AU127" s="341">
        <f t="shared" si="0"/>
        <v>152625</v>
      </c>
      <c r="AV127" s="339" t="s">
        <v>629</v>
      </c>
      <c r="AW127" s="339" t="s">
        <v>630</v>
      </c>
    </row>
    <row r="128" spans="1:49" x14ac:dyDescent="0.25">
      <c r="A128" s="339" t="s">
        <v>1588</v>
      </c>
      <c r="B128" s="339" t="s">
        <v>1664</v>
      </c>
      <c r="C128" s="339" t="s">
        <v>1590</v>
      </c>
      <c r="D128" s="339" t="s">
        <v>1591</v>
      </c>
      <c r="E128" s="342">
        <v>45719</v>
      </c>
      <c r="F128" s="339" t="s">
        <v>820</v>
      </c>
      <c r="G128" s="339" t="s">
        <v>820</v>
      </c>
      <c r="H128" s="339" t="s">
        <v>1593</v>
      </c>
      <c r="I128" s="339" t="s">
        <v>1866</v>
      </c>
      <c r="J128" s="339" t="s">
        <v>820</v>
      </c>
      <c r="K128" s="339" t="s">
        <v>1039</v>
      </c>
      <c r="L128" s="342">
        <v>45719</v>
      </c>
      <c r="M128" s="339" t="s">
        <v>1867</v>
      </c>
      <c r="N128" s="339" t="s">
        <v>820</v>
      </c>
      <c r="O128" s="342"/>
      <c r="P128" s="339" t="s">
        <v>1805</v>
      </c>
      <c r="Q128" s="339" t="s">
        <v>294</v>
      </c>
      <c r="R128" s="343">
        <v>1.88</v>
      </c>
      <c r="S128" s="339" t="s">
        <v>294</v>
      </c>
      <c r="T128" s="343">
        <v>1.88</v>
      </c>
      <c r="U128" s="339" t="s">
        <v>629</v>
      </c>
      <c r="V128" s="339" t="s">
        <v>630</v>
      </c>
      <c r="W128" s="339" t="s">
        <v>820</v>
      </c>
      <c r="X128" s="339" t="s">
        <v>820</v>
      </c>
      <c r="Y128" s="339" t="s">
        <v>820</v>
      </c>
      <c r="Z128" s="339" t="s">
        <v>820</v>
      </c>
      <c r="AA128" s="339" t="s">
        <v>1598</v>
      </c>
      <c r="AB128" s="339" t="s">
        <v>820</v>
      </c>
      <c r="AC128" s="342">
        <v>45719</v>
      </c>
      <c r="AD128" s="339"/>
      <c r="AE128" s="339"/>
      <c r="AF128" s="339" t="s">
        <v>820</v>
      </c>
      <c r="AG128" s="339" t="s">
        <v>820</v>
      </c>
      <c r="AH128" s="339" t="s">
        <v>1806</v>
      </c>
      <c r="AI128" s="339" t="s">
        <v>1807</v>
      </c>
      <c r="AJ128" s="346">
        <v>10</v>
      </c>
      <c r="AK128" s="339" t="s">
        <v>1484</v>
      </c>
      <c r="AL128" s="345" t="s">
        <v>1601</v>
      </c>
      <c r="AM128" s="339" t="s">
        <v>1849</v>
      </c>
      <c r="AN128" s="339" t="s">
        <v>1850</v>
      </c>
      <c r="AO128" s="339" t="s">
        <v>820</v>
      </c>
      <c r="AP128" s="160" t="s">
        <v>1604</v>
      </c>
      <c r="AQ128" s="160" t="s">
        <v>1646</v>
      </c>
      <c r="AR128" s="160"/>
      <c r="AS128" s="160" t="s">
        <v>1531</v>
      </c>
      <c r="AT128" s="160" t="s">
        <v>333</v>
      </c>
      <c r="AU128" s="341">
        <f t="shared" si="0"/>
        <v>31020</v>
      </c>
      <c r="AV128" s="339" t="s">
        <v>629</v>
      </c>
      <c r="AW128" s="339" t="s">
        <v>630</v>
      </c>
    </row>
    <row r="129" spans="1:49" x14ac:dyDescent="0.25">
      <c r="A129" s="339" t="s">
        <v>1588</v>
      </c>
      <c r="B129" s="339" t="s">
        <v>1664</v>
      </c>
      <c r="C129" s="339" t="s">
        <v>1590</v>
      </c>
      <c r="D129" s="339" t="s">
        <v>1591</v>
      </c>
      <c r="E129" s="342">
        <v>45720</v>
      </c>
      <c r="F129" s="339" t="s">
        <v>1854</v>
      </c>
      <c r="G129" s="339" t="s">
        <v>820</v>
      </c>
      <c r="H129" s="339" t="s">
        <v>1593</v>
      </c>
      <c r="I129" s="339" t="s">
        <v>1868</v>
      </c>
      <c r="J129" s="339" t="s">
        <v>820</v>
      </c>
      <c r="K129" s="339" t="s">
        <v>1039</v>
      </c>
      <c r="L129" s="342">
        <v>45720</v>
      </c>
      <c r="M129" s="339" t="s">
        <v>1869</v>
      </c>
      <c r="N129" s="339" t="s">
        <v>820</v>
      </c>
      <c r="O129" s="342"/>
      <c r="P129" s="339" t="s">
        <v>1805</v>
      </c>
      <c r="Q129" s="339" t="s">
        <v>294</v>
      </c>
      <c r="R129" s="343">
        <v>116.39</v>
      </c>
      <c r="S129" s="339" t="s">
        <v>294</v>
      </c>
      <c r="T129" s="343">
        <v>116.39</v>
      </c>
      <c r="U129" s="339" t="s">
        <v>629</v>
      </c>
      <c r="V129" s="339" t="s">
        <v>630</v>
      </c>
      <c r="W129" s="339" t="s">
        <v>820</v>
      </c>
      <c r="X129" s="339" t="s">
        <v>820</v>
      </c>
      <c r="Y129" s="339" t="s">
        <v>820</v>
      </c>
      <c r="Z129" s="339" t="s">
        <v>820</v>
      </c>
      <c r="AA129" s="339" t="s">
        <v>1598</v>
      </c>
      <c r="AB129" s="339" t="s">
        <v>820</v>
      </c>
      <c r="AC129" s="342">
        <v>45720</v>
      </c>
      <c r="AD129" s="339"/>
      <c r="AE129" s="339"/>
      <c r="AF129" s="339" t="s">
        <v>820</v>
      </c>
      <c r="AG129" s="339" t="s">
        <v>820</v>
      </c>
      <c r="AH129" s="339" t="s">
        <v>1806</v>
      </c>
      <c r="AI129" s="339" t="s">
        <v>1807</v>
      </c>
      <c r="AJ129" s="346">
        <v>80</v>
      </c>
      <c r="AK129" s="339" t="s">
        <v>1616</v>
      </c>
      <c r="AL129" s="345" t="s">
        <v>1601</v>
      </c>
      <c r="AM129" s="339" t="s">
        <v>1705</v>
      </c>
      <c r="AN129" s="339" t="s">
        <v>1706</v>
      </c>
      <c r="AO129" s="339" t="s">
        <v>820</v>
      </c>
      <c r="AP129" s="160" t="s">
        <v>1604</v>
      </c>
      <c r="AQ129" s="160" t="s">
        <v>1646</v>
      </c>
      <c r="AR129" s="160"/>
      <c r="AS129" s="160" t="s">
        <v>1531</v>
      </c>
      <c r="AT129" s="160" t="s">
        <v>333</v>
      </c>
      <c r="AU129" s="341">
        <f t="shared" si="0"/>
        <v>1920435</v>
      </c>
      <c r="AV129" s="339" t="s">
        <v>629</v>
      </c>
      <c r="AW129" s="339" t="s">
        <v>630</v>
      </c>
    </row>
    <row r="130" spans="1:49" x14ac:dyDescent="0.25">
      <c r="A130" s="339" t="s">
        <v>1588</v>
      </c>
      <c r="B130" s="339" t="s">
        <v>1664</v>
      </c>
      <c r="C130" s="339" t="s">
        <v>1590</v>
      </c>
      <c r="D130" s="339" t="s">
        <v>1591</v>
      </c>
      <c r="E130" s="342">
        <v>45720</v>
      </c>
      <c r="F130" s="339" t="s">
        <v>820</v>
      </c>
      <c r="G130" s="339" t="s">
        <v>820</v>
      </c>
      <c r="H130" s="339" t="s">
        <v>1593</v>
      </c>
      <c r="I130" s="339" t="s">
        <v>1868</v>
      </c>
      <c r="J130" s="339" t="s">
        <v>820</v>
      </c>
      <c r="K130" s="339" t="s">
        <v>1039</v>
      </c>
      <c r="L130" s="342">
        <v>45720</v>
      </c>
      <c r="M130" s="339" t="s">
        <v>1869</v>
      </c>
      <c r="N130" s="339" t="s">
        <v>820</v>
      </c>
      <c r="O130" s="342"/>
      <c r="P130" s="339" t="s">
        <v>1805</v>
      </c>
      <c r="Q130" s="339" t="s">
        <v>294</v>
      </c>
      <c r="R130" s="343">
        <v>47.18</v>
      </c>
      <c r="S130" s="339" t="s">
        <v>294</v>
      </c>
      <c r="T130" s="343">
        <v>47.18</v>
      </c>
      <c r="U130" s="339" t="s">
        <v>629</v>
      </c>
      <c r="V130" s="339" t="s">
        <v>630</v>
      </c>
      <c r="W130" s="339" t="s">
        <v>820</v>
      </c>
      <c r="X130" s="339" t="s">
        <v>820</v>
      </c>
      <c r="Y130" s="339" t="s">
        <v>820</v>
      </c>
      <c r="Z130" s="339" t="s">
        <v>820</v>
      </c>
      <c r="AA130" s="339" t="s">
        <v>1598</v>
      </c>
      <c r="AB130" s="339" t="s">
        <v>820</v>
      </c>
      <c r="AC130" s="342">
        <v>45720</v>
      </c>
      <c r="AD130" s="339"/>
      <c r="AE130" s="339"/>
      <c r="AF130" s="339" t="s">
        <v>820</v>
      </c>
      <c r="AG130" s="339" t="s">
        <v>820</v>
      </c>
      <c r="AH130" s="339" t="s">
        <v>1806</v>
      </c>
      <c r="AI130" s="339" t="s">
        <v>1807</v>
      </c>
      <c r="AJ130" s="346">
        <v>32</v>
      </c>
      <c r="AK130" s="339" t="s">
        <v>1616</v>
      </c>
      <c r="AL130" s="345" t="s">
        <v>1601</v>
      </c>
      <c r="AM130" s="339" t="s">
        <v>1656</v>
      </c>
      <c r="AN130" s="339" t="s">
        <v>1657</v>
      </c>
      <c r="AO130" s="339" t="s">
        <v>820</v>
      </c>
      <c r="AP130" s="160" t="s">
        <v>1604</v>
      </c>
      <c r="AQ130" s="160" t="s">
        <v>1646</v>
      </c>
      <c r="AR130" s="160"/>
      <c r="AS130" s="160" t="s">
        <v>1531</v>
      </c>
      <c r="AT130" s="160" t="s">
        <v>333</v>
      </c>
      <c r="AU130" s="341">
        <f t="shared" si="0"/>
        <v>778470</v>
      </c>
      <c r="AV130" s="339" t="s">
        <v>629</v>
      </c>
      <c r="AW130" s="339" t="s">
        <v>630</v>
      </c>
    </row>
    <row r="131" spans="1:49" x14ac:dyDescent="0.25">
      <c r="A131" s="339" t="s">
        <v>1588</v>
      </c>
      <c r="B131" s="339" t="s">
        <v>1664</v>
      </c>
      <c r="C131" s="339" t="s">
        <v>1590</v>
      </c>
      <c r="D131" s="339" t="s">
        <v>1591</v>
      </c>
      <c r="E131" s="342">
        <v>45722</v>
      </c>
      <c r="F131" s="339" t="s">
        <v>1854</v>
      </c>
      <c r="G131" s="339" t="s">
        <v>820</v>
      </c>
      <c r="H131" s="339" t="s">
        <v>1593</v>
      </c>
      <c r="I131" s="339" t="s">
        <v>1870</v>
      </c>
      <c r="J131" s="339" t="s">
        <v>820</v>
      </c>
      <c r="K131" s="339" t="s">
        <v>1039</v>
      </c>
      <c r="L131" s="342">
        <v>45722</v>
      </c>
      <c r="M131" s="339" t="s">
        <v>1742</v>
      </c>
      <c r="N131" s="339" t="s">
        <v>820</v>
      </c>
      <c r="O131" s="342"/>
      <c r="P131" s="339" t="s">
        <v>1805</v>
      </c>
      <c r="Q131" s="339" t="s">
        <v>294</v>
      </c>
      <c r="R131" s="343">
        <v>17.79</v>
      </c>
      <c r="S131" s="339" t="s">
        <v>294</v>
      </c>
      <c r="T131" s="343">
        <v>17.79</v>
      </c>
      <c r="U131" s="339" t="s">
        <v>629</v>
      </c>
      <c r="V131" s="339" t="s">
        <v>630</v>
      </c>
      <c r="W131" s="339" t="s">
        <v>820</v>
      </c>
      <c r="X131" s="339" t="s">
        <v>820</v>
      </c>
      <c r="Y131" s="339" t="s">
        <v>820</v>
      </c>
      <c r="Z131" s="339" t="s">
        <v>820</v>
      </c>
      <c r="AA131" s="339" t="s">
        <v>1598</v>
      </c>
      <c r="AB131" s="339" t="s">
        <v>820</v>
      </c>
      <c r="AC131" s="342">
        <v>45722</v>
      </c>
      <c r="AD131" s="339"/>
      <c r="AE131" s="339"/>
      <c r="AF131" s="339" t="s">
        <v>820</v>
      </c>
      <c r="AG131" s="339" t="s">
        <v>820</v>
      </c>
      <c r="AH131" s="339" t="s">
        <v>1806</v>
      </c>
      <c r="AI131" s="339" t="s">
        <v>1807</v>
      </c>
      <c r="AJ131" s="346">
        <v>20</v>
      </c>
      <c r="AK131" s="339" t="s">
        <v>1620</v>
      </c>
      <c r="AL131" s="345" t="s">
        <v>1601</v>
      </c>
      <c r="AM131" s="339" t="s">
        <v>1621</v>
      </c>
      <c r="AN131" s="339" t="s">
        <v>1622</v>
      </c>
      <c r="AO131" s="339" t="s">
        <v>820</v>
      </c>
      <c r="AP131" s="160" t="s">
        <v>1604</v>
      </c>
      <c r="AQ131" s="160" t="s">
        <v>1646</v>
      </c>
      <c r="AR131" s="160"/>
      <c r="AS131" s="160" t="s">
        <v>1531</v>
      </c>
      <c r="AT131" s="160" t="s">
        <v>333</v>
      </c>
      <c r="AU131" s="341">
        <f t="shared" si="0"/>
        <v>293535</v>
      </c>
      <c r="AV131" s="339" t="s">
        <v>629</v>
      </c>
      <c r="AW131" s="339" t="s">
        <v>630</v>
      </c>
    </row>
    <row r="132" spans="1:49" x14ac:dyDescent="0.25">
      <c r="A132" s="339" t="s">
        <v>1588</v>
      </c>
      <c r="B132" s="339" t="s">
        <v>1664</v>
      </c>
      <c r="C132" s="339" t="s">
        <v>1590</v>
      </c>
      <c r="D132" s="339" t="s">
        <v>1591</v>
      </c>
      <c r="E132" s="342">
        <v>45727</v>
      </c>
      <c r="F132" s="339" t="s">
        <v>1871</v>
      </c>
      <c r="G132" s="339" t="s">
        <v>820</v>
      </c>
      <c r="H132" s="339" t="s">
        <v>1593</v>
      </c>
      <c r="I132" s="339" t="s">
        <v>1872</v>
      </c>
      <c r="J132" s="339" t="s">
        <v>820</v>
      </c>
      <c r="K132" s="339" t="s">
        <v>1039</v>
      </c>
      <c r="L132" s="342">
        <v>45727</v>
      </c>
      <c r="M132" s="339" t="s">
        <v>1873</v>
      </c>
      <c r="N132" s="339" t="s">
        <v>820</v>
      </c>
      <c r="O132" s="342"/>
      <c r="P132" s="339" t="s">
        <v>1805</v>
      </c>
      <c r="Q132" s="339" t="s">
        <v>294</v>
      </c>
      <c r="R132" s="343">
        <v>31.36</v>
      </c>
      <c r="S132" s="339" t="s">
        <v>294</v>
      </c>
      <c r="T132" s="343">
        <v>31.36</v>
      </c>
      <c r="U132" s="339" t="s">
        <v>629</v>
      </c>
      <c r="V132" s="339" t="s">
        <v>630</v>
      </c>
      <c r="W132" s="339" t="s">
        <v>820</v>
      </c>
      <c r="X132" s="339" t="s">
        <v>820</v>
      </c>
      <c r="Y132" s="339" t="s">
        <v>820</v>
      </c>
      <c r="Z132" s="339" t="s">
        <v>820</v>
      </c>
      <c r="AA132" s="339" t="s">
        <v>1598</v>
      </c>
      <c r="AB132" s="339" t="s">
        <v>820</v>
      </c>
      <c r="AC132" s="342">
        <v>45727</v>
      </c>
      <c r="AD132" s="339"/>
      <c r="AE132" s="339"/>
      <c r="AF132" s="339" t="s">
        <v>820</v>
      </c>
      <c r="AG132" s="339" t="s">
        <v>820</v>
      </c>
      <c r="AH132" s="339" t="s">
        <v>1806</v>
      </c>
      <c r="AI132" s="339" t="s">
        <v>1807</v>
      </c>
      <c r="AJ132" s="346">
        <v>40</v>
      </c>
      <c r="AK132" s="339" t="s">
        <v>1620</v>
      </c>
      <c r="AL132" s="345" t="s">
        <v>1601</v>
      </c>
      <c r="AM132" s="339" t="s">
        <v>1818</v>
      </c>
      <c r="AN132" s="339" t="s">
        <v>1819</v>
      </c>
      <c r="AO132" s="339" t="s">
        <v>820</v>
      </c>
      <c r="AP132" s="160" t="s">
        <v>1604</v>
      </c>
      <c r="AQ132" s="160" t="s">
        <v>1646</v>
      </c>
      <c r="AR132" s="160"/>
      <c r="AS132" s="160" t="s">
        <v>1531</v>
      </c>
      <c r="AT132" s="160" t="s">
        <v>333</v>
      </c>
      <c r="AU132" s="341">
        <f t="shared" si="0"/>
        <v>517440</v>
      </c>
      <c r="AV132" s="339" t="s">
        <v>629</v>
      </c>
      <c r="AW132" s="339" t="s">
        <v>630</v>
      </c>
    </row>
    <row r="133" spans="1:49" x14ac:dyDescent="0.25">
      <c r="A133" s="339" t="s">
        <v>1588</v>
      </c>
      <c r="B133" s="339" t="s">
        <v>1664</v>
      </c>
      <c r="C133" s="339" t="s">
        <v>1590</v>
      </c>
      <c r="D133" s="339" t="s">
        <v>1678</v>
      </c>
      <c r="E133" s="342">
        <v>45734</v>
      </c>
      <c r="F133" s="339" t="s">
        <v>820</v>
      </c>
      <c r="G133" s="339" t="s">
        <v>820</v>
      </c>
      <c r="H133" s="339" t="s">
        <v>1874</v>
      </c>
      <c r="I133" s="339" t="s">
        <v>1875</v>
      </c>
      <c r="J133" s="339" t="s">
        <v>820</v>
      </c>
      <c r="K133" s="339" t="s">
        <v>128</v>
      </c>
      <c r="L133" s="342">
        <v>45734</v>
      </c>
      <c r="M133" s="339" t="s">
        <v>1876</v>
      </c>
      <c r="N133" s="339" t="s">
        <v>1877</v>
      </c>
      <c r="O133" s="342"/>
      <c r="P133" s="339" t="s">
        <v>1805</v>
      </c>
      <c r="Q133" s="339" t="s">
        <v>745</v>
      </c>
      <c r="R133" s="346">
        <v>150000</v>
      </c>
      <c r="S133" s="339" t="s">
        <v>294</v>
      </c>
      <c r="T133" s="343">
        <v>9.15</v>
      </c>
      <c r="U133" s="339" t="s">
        <v>629</v>
      </c>
      <c r="V133" s="339" t="s">
        <v>630</v>
      </c>
      <c r="W133" s="339" t="s">
        <v>820</v>
      </c>
      <c r="X133" s="339" t="s">
        <v>820</v>
      </c>
      <c r="Y133" s="339" t="s">
        <v>820</v>
      </c>
      <c r="Z133" s="339" t="s">
        <v>820</v>
      </c>
      <c r="AA133" s="339" t="s">
        <v>1598</v>
      </c>
      <c r="AB133" s="339" t="s">
        <v>820</v>
      </c>
      <c r="AC133" s="342">
        <v>45734</v>
      </c>
      <c r="AD133" s="339"/>
      <c r="AE133" s="339"/>
      <c r="AF133" s="339" t="s">
        <v>820</v>
      </c>
      <c r="AG133" s="339" t="s">
        <v>1878</v>
      </c>
      <c r="AH133" s="339" t="s">
        <v>1806</v>
      </c>
      <c r="AI133" s="339" t="s">
        <v>1807</v>
      </c>
      <c r="AJ133" s="346">
        <v>1</v>
      </c>
      <c r="AK133" s="339" t="s">
        <v>1484</v>
      </c>
      <c r="AL133" s="345" t="s">
        <v>1601</v>
      </c>
      <c r="AM133" s="339" t="s">
        <v>820</v>
      </c>
      <c r="AN133" s="339" t="s">
        <v>820</v>
      </c>
      <c r="AO133" s="339" t="s">
        <v>820</v>
      </c>
      <c r="AP133" s="160" t="s">
        <v>1604</v>
      </c>
      <c r="AQ133" s="160" t="s">
        <v>1646</v>
      </c>
      <c r="AR133" s="160"/>
      <c r="AS133" s="160" t="s">
        <v>1535</v>
      </c>
      <c r="AT133" s="160" t="s">
        <v>333</v>
      </c>
      <c r="AU133" s="341">
        <f t="shared" si="0"/>
        <v>150000</v>
      </c>
      <c r="AV133" s="339" t="s">
        <v>629</v>
      </c>
      <c r="AW133" s="339" t="s">
        <v>630</v>
      </c>
    </row>
    <row r="134" spans="1:49" x14ac:dyDescent="0.25">
      <c r="A134" s="339" t="s">
        <v>1588</v>
      </c>
      <c r="B134" s="339" t="s">
        <v>1749</v>
      </c>
      <c r="C134" s="339" t="s">
        <v>1590</v>
      </c>
      <c r="D134" s="339" t="s">
        <v>1591</v>
      </c>
      <c r="E134" s="342">
        <v>45771</v>
      </c>
      <c r="F134" s="339" t="s">
        <v>820</v>
      </c>
      <c r="G134" s="339" t="s">
        <v>820</v>
      </c>
      <c r="H134" s="339" t="s">
        <v>1593</v>
      </c>
      <c r="I134" s="339" t="s">
        <v>1879</v>
      </c>
      <c r="J134" s="339" t="s">
        <v>820</v>
      </c>
      <c r="K134" s="339" t="s">
        <v>1039</v>
      </c>
      <c r="L134" s="342">
        <v>45771</v>
      </c>
      <c r="M134" s="339" t="s">
        <v>1880</v>
      </c>
      <c r="N134" s="339" t="s">
        <v>820</v>
      </c>
      <c r="O134" s="342"/>
      <c r="P134" s="339" t="s">
        <v>1805</v>
      </c>
      <c r="Q134" s="339" t="s">
        <v>294</v>
      </c>
      <c r="R134" s="343">
        <v>3.27</v>
      </c>
      <c r="S134" s="339" t="s">
        <v>294</v>
      </c>
      <c r="T134" s="343">
        <v>3.27</v>
      </c>
      <c r="U134" s="339" t="s">
        <v>629</v>
      </c>
      <c r="V134" s="339" t="s">
        <v>630</v>
      </c>
      <c r="W134" s="339" t="s">
        <v>820</v>
      </c>
      <c r="X134" s="339" t="s">
        <v>820</v>
      </c>
      <c r="Y134" s="339" t="s">
        <v>820</v>
      </c>
      <c r="Z134" s="339" t="s">
        <v>820</v>
      </c>
      <c r="AA134" s="339" t="s">
        <v>1598</v>
      </c>
      <c r="AB134" s="339" t="s">
        <v>820</v>
      </c>
      <c r="AC134" s="342">
        <v>45771</v>
      </c>
      <c r="AD134" s="339"/>
      <c r="AE134" s="339"/>
      <c r="AF134" s="339" t="s">
        <v>820</v>
      </c>
      <c r="AG134" s="339" t="s">
        <v>820</v>
      </c>
      <c r="AH134" s="339" t="s">
        <v>1806</v>
      </c>
      <c r="AI134" s="339" t="s">
        <v>1807</v>
      </c>
      <c r="AJ134" s="346">
        <v>10</v>
      </c>
      <c r="AK134" s="339" t="s">
        <v>1616</v>
      </c>
      <c r="AL134" s="345" t="s">
        <v>1601</v>
      </c>
      <c r="AM134" s="339" t="s">
        <v>1627</v>
      </c>
      <c r="AN134" s="339" t="s">
        <v>1628</v>
      </c>
      <c r="AO134" s="339" t="s">
        <v>820</v>
      </c>
      <c r="AP134" s="160" t="s">
        <v>1604</v>
      </c>
      <c r="AQ134" s="160" t="s">
        <v>1646</v>
      </c>
      <c r="AR134" s="160"/>
      <c r="AS134" s="160" t="s">
        <v>1531</v>
      </c>
      <c r="AT134" s="160" t="s">
        <v>333</v>
      </c>
      <c r="AU134" s="341">
        <f t="shared" si="0"/>
        <v>53955</v>
      </c>
      <c r="AV134" s="339" t="s">
        <v>629</v>
      </c>
      <c r="AW134" s="339" t="s">
        <v>630</v>
      </c>
    </row>
    <row r="135" spans="1:49" x14ac:dyDescent="0.25">
      <c r="A135" s="339" t="s">
        <v>1588</v>
      </c>
      <c r="B135" s="339" t="s">
        <v>1749</v>
      </c>
      <c r="C135" s="339" t="s">
        <v>1590</v>
      </c>
      <c r="D135" s="339" t="s">
        <v>1591</v>
      </c>
      <c r="E135" s="342">
        <v>45771</v>
      </c>
      <c r="F135" s="339" t="s">
        <v>820</v>
      </c>
      <c r="G135" s="339" t="s">
        <v>820</v>
      </c>
      <c r="H135" s="339" t="s">
        <v>1593</v>
      </c>
      <c r="I135" s="339" t="s">
        <v>1879</v>
      </c>
      <c r="J135" s="339" t="s">
        <v>820</v>
      </c>
      <c r="K135" s="339" t="s">
        <v>1039</v>
      </c>
      <c r="L135" s="342">
        <v>45771</v>
      </c>
      <c r="M135" s="339" t="s">
        <v>1880</v>
      </c>
      <c r="N135" s="339" t="s">
        <v>820</v>
      </c>
      <c r="O135" s="342"/>
      <c r="P135" s="339" t="s">
        <v>1805</v>
      </c>
      <c r="Q135" s="339" t="s">
        <v>294</v>
      </c>
      <c r="R135" s="343">
        <v>2.5299999999999998</v>
      </c>
      <c r="S135" s="339" t="s">
        <v>294</v>
      </c>
      <c r="T135" s="343">
        <v>2.5299999999999998</v>
      </c>
      <c r="U135" s="339" t="s">
        <v>629</v>
      </c>
      <c r="V135" s="339" t="s">
        <v>630</v>
      </c>
      <c r="W135" s="339" t="s">
        <v>820</v>
      </c>
      <c r="X135" s="339" t="s">
        <v>820</v>
      </c>
      <c r="Y135" s="339" t="s">
        <v>820</v>
      </c>
      <c r="Z135" s="339" t="s">
        <v>820</v>
      </c>
      <c r="AA135" s="339" t="s">
        <v>1598</v>
      </c>
      <c r="AB135" s="339" t="s">
        <v>820</v>
      </c>
      <c r="AC135" s="342">
        <v>45771</v>
      </c>
      <c r="AD135" s="339"/>
      <c r="AE135" s="339"/>
      <c r="AF135" s="339" t="s">
        <v>820</v>
      </c>
      <c r="AG135" s="339" t="s">
        <v>820</v>
      </c>
      <c r="AH135" s="339" t="s">
        <v>1806</v>
      </c>
      <c r="AI135" s="339" t="s">
        <v>1807</v>
      </c>
      <c r="AJ135" s="346">
        <v>24</v>
      </c>
      <c r="AK135" s="339" t="s">
        <v>1843</v>
      </c>
      <c r="AL135" s="345" t="s">
        <v>1601</v>
      </c>
      <c r="AM135" s="339" t="s">
        <v>1881</v>
      </c>
      <c r="AN135" s="339" t="s">
        <v>1882</v>
      </c>
      <c r="AO135" s="339" t="s">
        <v>820</v>
      </c>
      <c r="AP135" s="160" t="s">
        <v>1604</v>
      </c>
      <c r="AQ135" s="160" t="s">
        <v>1646</v>
      </c>
      <c r="AR135" s="160"/>
      <c r="AS135" s="160" t="s">
        <v>1531</v>
      </c>
      <c r="AT135" s="160" t="s">
        <v>333</v>
      </c>
      <c r="AU135" s="341">
        <f t="shared" si="0"/>
        <v>41745</v>
      </c>
      <c r="AV135" s="339" t="s">
        <v>629</v>
      </c>
      <c r="AW135" s="339" t="s">
        <v>630</v>
      </c>
    </row>
    <row r="136" spans="1:49" x14ac:dyDescent="0.25">
      <c r="A136" s="339" t="s">
        <v>1588</v>
      </c>
      <c r="B136" s="339" t="s">
        <v>1749</v>
      </c>
      <c r="C136" s="339" t="s">
        <v>1590</v>
      </c>
      <c r="D136" s="339" t="s">
        <v>1591</v>
      </c>
      <c r="E136" s="342">
        <v>45771</v>
      </c>
      <c r="F136" s="339" t="s">
        <v>1883</v>
      </c>
      <c r="G136" s="339" t="s">
        <v>820</v>
      </c>
      <c r="H136" s="339" t="s">
        <v>1593</v>
      </c>
      <c r="I136" s="339" t="s">
        <v>1879</v>
      </c>
      <c r="J136" s="339" t="s">
        <v>820</v>
      </c>
      <c r="K136" s="339" t="s">
        <v>1039</v>
      </c>
      <c r="L136" s="342">
        <v>45771</v>
      </c>
      <c r="M136" s="339" t="s">
        <v>1880</v>
      </c>
      <c r="N136" s="339" t="s">
        <v>820</v>
      </c>
      <c r="O136" s="342"/>
      <c r="P136" s="339" t="s">
        <v>1805</v>
      </c>
      <c r="Q136" s="339" t="s">
        <v>294</v>
      </c>
      <c r="R136" s="343">
        <v>15.11</v>
      </c>
      <c r="S136" s="339" t="s">
        <v>294</v>
      </c>
      <c r="T136" s="343">
        <v>15.11</v>
      </c>
      <c r="U136" s="339" t="s">
        <v>629</v>
      </c>
      <c r="V136" s="339" t="s">
        <v>630</v>
      </c>
      <c r="W136" s="339" t="s">
        <v>820</v>
      </c>
      <c r="X136" s="339" t="s">
        <v>820</v>
      </c>
      <c r="Y136" s="339" t="s">
        <v>820</v>
      </c>
      <c r="Z136" s="339" t="s">
        <v>820</v>
      </c>
      <c r="AA136" s="339" t="s">
        <v>1598</v>
      </c>
      <c r="AB136" s="339" t="s">
        <v>820</v>
      </c>
      <c r="AC136" s="342">
        <v>45771</v>
      </c>
      <c r="AD136" s="339"/>
      <c r="AE136" s="339"/>
      <c r="AF136" s="339" t="s">
        <v>820</v>
      </c>
      <c r="AG136" s="339" t="s">
        <v>820</v>
      </c>
      <c r="AH136" s="339" t="s">
        <v>1806</v>
      </c>
      <c r="AI136" s="339" t="s">
        <v>1807</v>
      </c>
      <c r="AJ136" s="346">
        <v>10</v>
      </c>
      <c r="AK136" s="339" t="s">
        <v>1484</v>
      </c>
      <c r="AL136" s="345" t="s">
        <v>1601</v>
      </c>
      <c r="AM136" s="339" t="s">
        <v>1744</v>
      </c>
      <c r="AN136" s="339" t="s">
        <v>1745</v>
      </c>
      <c r="AO136" s="339" t="s">
        <v>820</v>
      </c>
      <c r="AP136" s="160" t="s">
        <v>1604</v>
      </c>
      <c r="AQ136" s="160" t="s">
        <v>1646</v>
      </c>
      <c r="AR136" s="160"/>
      <c r="AS136" s="160" t="s">
        <v>1531</v>
      </c>
      <c r="AT136" s="160" t="s">
        <v>333</v>
      </c>
      <c r="AU136" s="341">
        <f t="shared" si="0"/>
        <v>249315</v>
      </c>
      <c r="AV136" s="339" t="s">
        <v>629</v>
      </c>
      <c r="AW136" s="339" t="s">
        <v>630</v>
      </c>
    </row>
    <row r="137" spans="1:49" x14ac:dyDescent="0.25">
      <c r="A137" s="339" t="s">
        <v>1588</v>
      </c>
      <c r="B137" s="339" t="s">
        <v>1749</v>
      </c>
      <c r="C137" s="339" t="s">
        <v>1590</v>
      </c>
      <c r="D137" s="339" t="s">
        <v>1591</v>
      </c>
      <c r="E137" s="342">
        <v>45756</v>
      </c>
      <c r="F137" s="339" t="s">
        <v>1884</v>
      </c>
      <c r="G137" s="339" t="s">
        <v>820</v>
      </c>
      <c r="H137" s="339" t="s">
        <v>1593</v>
      </c>
      <c r="I137" s="339" t="s">
        <v>1885</v>
      </c>
      <c r="J137" s="339" t="s">
        <v>820</v>
      </c>
      <c r="K137" s="339" t="s">
        <v>1039</v>
      </c>
      <c r="L137" s="342">
        <v>45756</v>
      </c>
      <c r="M137" s="339" t="s">
        <v>1886</v>
      </c>
      <c r="N137" s="339" t="s">
        <v>820</v>
      </c>
      <c r="O137" s="342"/>
      <c r="P137" s="339" t="s">
        <v>1805</v>
      </c>
      <c r="Q137" s="339" t="s">
        <v>294</v>
      </c>
      <c r="R137" s="343">
        <v>31.44</v>
      </c>
      <c r="S137" s="339" t="s">
        <v>294</v>
      </c>
      <c r="T137" s="343">
        <v>31.44</v>
      </c>
      <c r="U137" s="339" t="s">
        <v>629</v>
      </c>
      <c r="V137" s="339" t="s">
        <v>630</v>
      </c>
      <c r="W137" s="339" t="s">
        <v>820</v>
      </c>
      <c r="X137" s="339" t="s">
        <v>820</v>
      </c>
      <c r="Y137" s="339" t="s">
        <v>820</v>
      </c>
      <c r="Z137" s="339" t="s">
        <v>820</v>
      </c>
      <c r="AA137" s="339" t="s">
        <v>1598</v>
      </c>
      <c r="AB137" s="339" t="s">
        <v>820</v>
      </c>
      <c r="AC137" s="342">
        <v>45756</v>
      </c>
      <c r="AD137" s="339"/>
      <c r="AE137" s="339"/>
      <c r="AF137" s="339" t="s">
        <v>820</v>
      </c>
      <c r="AG137" s="339" t="s">
        <v>820</v>
      </c>
      <c r="AH137" s="339" t="s">
        <v>1806</v>
      </c>
      <c r="AI137" s="339" t="s">
        <v>1807</v>
      </c>
      <c r="AJ137" s="346">
        <v>40</v>
      </c>
      <c r="AK137" s="339" t="s">
        <v>1620</v>
      </c>
      <c r="AL137" s="345" t="s">
        <v>1601</v>
      </c>
      <c r="AM137" s="339" t="s">
        <v>1818</v>
      </c>
      <c r="AN137" s="339" t="s">
        <v>1819</v>
      </c>
      <c r="AO137" s="339" t="s">
        <v>820</v>
      </c>
      <c r="AP137" s="160" t="s">
        <v>1604</v>
      </c>
      <c r="AQ137" s="160" t="s">
        <v>1646</v>
      </c>
      <c r="AR137" s="160"/>
      <c r="AS137" s="160" t="s">
        <v>1531</v>
      </c>
      <c r="AT137" s="160" t="s">
        <v>333</v>
      </c>
      <c r="AU137" s="341">
        <f t="shared" si="0"/>
        <v>518760</v>
      </c>
      <c r="AV137" s="339" t="s">
        <v>629</v>
      </c>
      <c r="AW137" s="339" t="s">
        <v>630</v>
      </c>
    </row>
    <row r="138" spans="1:49" x14ac:dyDescent="0.25">
      <c r="A138" s="339" t="s">
        <v>1588</v>
      </c>
      <c r="B138" s="339" t="s">
        <v>1749</v>
      </c>
      <c r="C138" s="339" t="s">
        <v>1590</v>
      </c>
      <c r="D138" s="339" t="s">
        <v>1591</v>
      </c>
      <c r="E138" s="342">
        <v>45769</v>
      </c>
      <c r="F138" s="339" t="s">
        <v>1887</v>
      </c>
      <c r="G138" s="339" t="s">
        <v>820</v>
      </c>
      <c r="H138" s="339" t="s">
        <v>1593</v>
      </c>
      <c r="I138" s="339" t="s">
        <v>1888</v>
      </c>
      <c r="J138" s="339" t="s">
        <v>820</v>
      </c>
      <c r="K138" s="339" t="s">
        <v>1039</v>
      </c>
      <c r="L138" s="342">
        <v>45769</v>
      </c>
      <c r="M138" s="339" t="s">
        <v>1889</v>
      </c>
      <c r="N138" s="339" t="s">
        <v>820</v>
      </c>
      <c r="O138" s="342"/>
      <c r="P138" s="339" t="s">
        <v>1805</v>
      </c>
      <c r="Q138" s="339" t="s">
        <v>294</v>
      </c>
      <c r="R138" s="343">
        <v>31.44</v>
      </c>
      <c r="S138" s="339" t="s">
        <v>294</v>
      </c>
      <c r="T138" s="343">
        <v>31.44</v>
      </c>
      <c r="U138" s="339" t="s">
        <v>629</v>
      </c>
      <c r="V138" s="339" t="s">
        <v>630</v>
      </c>
      <c r="W138" s="339" t="s">
        <v>820</v>
      </c>
      <c r="X138" s="339" t="s">
        <v>820</v>
      </c>
      <c r="Y138" s="339" t="s">
        <v>820</v>
      </c>
      <c r="Z138" s="339" t="s">
        <v>820</v>
      </c>
      <c r="AA138" s="339" t="s">
        <v>1598</v>
      </c>
      <c r="AB138" s="339" t="s">
        <v>820</v>
      </c>
      <c r="AC138" s="342">
        <v>45769</v>
      </c>
      <c r="AD138" s="339"/>
      <c r="AE138" s="339"/>
      <c r="AF138" s="339" t="s">
        <v>820</v>
      </c>
      <c r="AG138" s="339" t="s">
        <v>820</v>
      </c>
      <c r="AH138" s="339" t="s">
        <v>1806</v>
      </c>
      <c r="AI138" s="339" t="s">
        <v>1807</v>
      </c>
      <c r="AJ138" s="346">
        <v>40</v>
      </c>
      <c r="AK138" s="339" t="s">
        <v>1620</v>
      </c>
      <c r="AL138" s="345" t="s">
        <v>1601</v>
      </c>
      <c r="AM138" s="339" t="s">
        <v>1818</v>
      </c>
      <c r="AN138" s="339" t="s">
        <v>1819</v>
      </c>
      <c r="AO138" s="339" t="s">
        <v>820</v>
      </c>
      <c r="AP138" s="160" t="s">
        <v>1604</v>
      </c>
      <c r="AQ138" s="160" t="s">
        <v>1646</v>
      </c>
      <c r="AR138" s="160"/>
      <c r="AS138" s="160" t="s">
        <v>1531</v>
      </c>
      <c r="AT138" s="160" t="s">
        <v>333</v>
      </c>
      <c r="AU138" s="341">
        <f t="shared" si="0"/>
        <v>518760</v>
      </c>
      <c r="AV138" s="339" t="s">
        <v>629</v>
      </c>
      <c r="AW138" s="339" t="s">
        <v>630</v>
      </c>
    </row>
    <row r="139" spans="1:49" x14ac:dyDescent="0.25">
      <c r="A139" s="339" t="s">
        <v>1588</v>
      </c>
      <c r="B139" s="339" t="s">
        <v>1765</v>
      </c>
      <c r="C139" s="339" t="s">
        <v>1590</v>
      </c>
      <c r="D139" s="339" t="s">
        <v>1591</v>
      </c>
      <c r="E139" s="342">
        <v>45785</v>
      </c>
      <c r="F139" s="339" t="s">
        <v>1890</v>
      </c>
      <c r="G139" s="339" t="s">
        <v>820</v>
      </c>
      <c r="H139" s="339" t="s">
        <v>1593</v>
      </c>
      <c r="I139" s="339" t="s">
        <v>1891</v>
      </c>
      <c r="J139" s="339" t="s">
        <v>820</v>
      </c>
      <c r="K139" s="339" t="s">
        <v>1039</v>
      </c>
      <c r="L139" s="342">
        <v>45785</v>
      </c>
      <c r="M139" s="339" t="s">
        <v>1892</v>
      </c>
      <c r="N139" s="339" t="s">
        <v>820</v>
      </c>
      <c r="O139" s="342"/>
      <c r="P139" s="339" t="s">
        <v>1805</v>
      </c>
      <c r="Q139" s="339" t="s">
        <v>294</v>
      </c>
      <c r="R139" s="343">
        <v>31.44</v>
      </c>
      <c r="S139" s="339" t="s">
        <v>294</v>
      </c>
      <c r="T139" s="343">
        <v>31.44</v>
      </c>
      <c r="U139" s="339" t="s">
        <v>629</v>
      </c>
      <c r="V139" s="339" t="s">
        <v>630</v>
      </c>
      <c r="W139" s="339" t="s">
        <v>820</v>
      </c>
      <c r="X139" s="339" t="s">
        <v>820</v>
      </c>
      <c r="Y139" s="339" t="s">
        <v>820</v>
      </c>
      <c r="Z139" s="339" t="s">
        <v>820</v>
      </c>
      <c r="AA139" s="339" t="s">
        <v>1598</v>
      </c>
      <c r="AB139" s="339" t="s">
        <v>820</v>
      </c>
      <c r="AC139" s="342">
        <v>45785</v>
      </c>
      <c r="AD139" s="339"/>
      <c r="AE139" s="339"/>
      <c r="AF139" s="339" t="s">
        <v>820</v>
      </c>
      <c r="AG139" s="339" t="s">
        <v>820</v>
      </c>
      <c r="AH139" s="339" t="s">
        <v>1806</v>
      </c>
      <c r="AI139" s="339" t="s">
        <v>1807</v>
      </c>
      <c r="AJ139" s="346">
        <v>40</v>
      </c>
      <c r="AK139" s="339" t="s">
        <v>1620</v>
      </c>
      <c r="AL139" s="345" t="s">
        <v>1601</v>
      </c>
      <c r="AM139" s="339" t="s">
        <v>1818</v>
      </c>
      <c r="AN139" s="339" t="s">
        <v>1819</v>
      </c>
      <c r="AO139" s="339" t="s">
        <v>820</v>
      </c>
      <c r="AP139" s="160" t="s">
        <v>1675</v>
      </c>
      <c r="AQ139" s="160" t="s">
        <v>1646</v>
      </c>
      <c r="AR139" s="160"/>
      <c r="AS139" s="160" t="s">
        <v>1531</v>
      </c>
      <c r="AT139" s="160" t="s">
        <v>333</v>
      </c>
      <c r="AU139" s="341">
        <f t="shared" si="0"/>
        <v>518760</v>
      </c>
      <c r="AV139" s="339" t="s">
        <v>629</v>
      </c>
      <c r="AW139" s="339" t="s">
        <v>630</v>
      </c>
    </row>
    <row r="140" spans="1:49" x14ac:dyDescent="0.25">
      <c r="A140" s="339" t="s">
        <v>1588</v>
      </c>
      <c r="B140" s="339" t="s">
        <v>1765</v>
      </c>
      <c r="C140" s="339" t="s">
        <v>1590</v>
      </c>
      <c r="D140" s="339" t="s">
        <v>1591</v>
      </c>
      <c r="E140" s="342">
        <v>45794</v>
      </c>
      <c r="F140" s="339" t="s">
        <v>1893</v>
      </c>
      <c r="G140" s="339" t="s">
        <v>820</v>
      </c>
      <c r="H140" s="339" t="s">
        <v>1593</v>
      </c>
      <c r="I140" s="339" t="s">
        <v>1894</v>
      </c>
      <c r="J140" s="339" t="s">
        <v>820</v>
      </c>
      <c r="K140" s="339" t="s">
        <v>1039</v>
      </c>
      <c r="L140" s="342">
        <v>45794</v>
      </c>
      <c r="M140" s="339" t="s">
        <v>1895</v>
      </c>
      <c r="N140" s="339" t="s">
        <v>1896</v>
      </c>
      <c r="O140" s="342"/>
      <c r="P140" s="339" t="s">
        <v>1805</v>
      </c>
      <c r="Q140" s="339" t="s">
        <v>294</v>
      </c>
      <c r="R140" s="343">
        <v>3.07</v>
      </c>
      <c r="S140" s="339" t="s">
        <v>294</v>
      </c>
      <c r="T140" s="343">
        <v>3.07</v>
      </c>
      <c r="U140" s="339" t="s">
        <v>629</v>
      </c>
      <c r="V140" s="339" t="s">
        <v>630</v>
      </c>
      <c r="W140" s="339" t="s">
        <v>820</v>
      </c>
      <c r="X140" s="339" t="s">
        <v>820</v>
      </c>
      <c r="Y140" s="339" t="s">
        <v>820</v>
      </c>
      <c r="Z140" s="339" t="s">
        <v>820</v>
      </c>
      <c r="AA140" s="339" t="s">
        <v>1598</v>
      </c>
      <c r="AB140" s="339" t="s">
        <v>820</v>
      </c>
      <c r="AC140" s="342">
        <v>45794</v>
      </c>
      <c r="AD140" s="339"/>
      <c r="AE140" s="339"/>
      <c r="AF140" s="339" t="s">
        <v>820</v>
      </c>
      <c r="AG140" s="339" t="s">
        <v>820</v>
      </c>
      <c r="AH140" s="339" t="s">
        <v>1806</v>
      </c>
      <c r="AI140" s="339" t="s">
        <v>1807</v>
      </c>
      <c r="AJ140" s="346">
        <v>50</v>
      </c>
      <c r="AK140" s="339" t="s">
        <v>1484</v>
      </c>
      <c r="AL140" s="345" t="s">
        <v>1601</v>
      </c>
      <c r="AM140" s="339" t="s">
        <v>1897</v>
      </c>
      <c r="AN140" s="339" t="s">
        <v>1898</v>
      </c>
      <c r="AO140" s="339" t="s">
        <v>820</v>
      </c>
      <c r="AP140" s="160" t="s">
        <v>1675</v>
      </c>
      <c r="AQ140" s="160" t="s">
        <v>1646</v>
      </c>
      <c r="AR140" s="160"/>
      <c r="AS140" s="160" t="s">
        <v>1531</v>
      </c>
      <c r="AT140" s="160" t="s">
        <v>333</v>
      </c>
      <c r="AU140" s="341">
        <f t="shared" si="0"/>
        <v>50655</v>
      </c>
      <c r="AV140" s="339" t="s">
        <v>629</v>
      </c>
      <c r="AW140" s="339" t="s">
        <v>630</v>
      </c>
    </row>
    <row r="141" spans="1:49" x14ac:dyDescent="0.25">
      <c r="A141" s="339" t="s">
        <v>1588</v>
      </c>
      <c r="B141" s="339" t="s">
        <v>1765</v>
      </c>
      <c r="C141" s="339" t="s">
        <v>1590</v>
      </c>
      <c r="D141" s="339" t="s">
        <v>1591</v>
      </c>
      <c r="E141" s="342">
        <v>45798</v>
      </c>
      <c r="F141" s="339" t="s">
        <v>1899</v>
      </c>
      <c r="G141" s="339" t="s">
        <v>820</v>
      </c>
      <c r="H141" s="339" t="s">
        <v>1593</v>
      </c>
      <c r="I141" s="339" t="s">
        <v>1900</v>
      </c>
      <c r="J141" s="339" t="s">
        <v>820</v>
      </c>
      <c r="K141" s="339" t="s">
        <v>1039</v>
      </c>
      <c r="L141" s="342">
        <v>45798</v>
      </c>
      <c r="M141" s="339" t="s">
        <v>1776</v>
      </c>
      <c r="N141" s="339" t="s">
        <v>820</v>
      </c>
      <c r="O141" s="342"/>
      <c r="P141" s="339" t="s">
        <v>1805</v>
      </c>
      <c r="Q141" s="339" t="s">
        <v>294</v>
      </c>
      <c r="R141" s="343">
        <v>0.86</v>
      </c>
      <c r="S141" s="339" t="s">
        <v>294</v>
      </c>
      <c r="T141" s="343">
        <v>0.86</v>
      </c>
      <c r="U141" s="339" t="s">
        <v>629</v>
      </c>
      <c r="V141" s="339" t="s">
        <v>630</v>
      </c>
      <c r="W141" s="339" t="s">
        <v>820</v>
      </c>
      <c r="X141" s="339" t="s">
        <v>820</v>
      </c>
      <c r="Y141" s="339" t="s">
        <v>820</v>
      </c>
      <c r="Z141" s="339" t="s">
        <v>820</v>
      </c>
      <c r="AA141" s="339" t="s">
        <v>1598</v>
      </c>
      <c r="AB141" s="339" t="s">
        <v>820</v>
      </c>
      <c r="AC141" s="342">
        <v>45798</v>
      </c>
      <c r="AD141" s="339"/>
      <c r="AE141" s="339"/>
      <c r="AF141" s="339" t="s">
        <v>820</v>
      </c>
      <c r="AG141" s="339" t="s">
        <v>820</v>
      </c>
      <c r="AH141" s="339" t="s">
        <v>1806</v>
      </c>
      <c r="AI141" s="339" t="s">
        <v>1807</v>
      </c>
      <c r="AJ141" s="346">
        <v>1</v>
      </c>
      <c r="AK141" s="339" t="s">
        <v>1620</v>
      </c>
      <c r="AL141" s="345" t="s">
        <v>1601</v>
      </c>
      <c r="AM141" s="339" t="s">
        <v>1621</v>
      </c>
      <c r="AN141" s="339" t="s">
        <v>1622</v>
      </c>
      <c r="AO141" s="339" t="s">
        <v>820</v>
      </c>
      <c r="AP141" s="160" t="s">
        <v>1675</v>
      </c>
      <c r="AQ141" s="160" t="s">
        <v>1646</v>
      </c>
      <c r="AR141" s="160"/>
      <c r="AS141" s="160" t="s">
        <v>1531</v>
      </c>
      <c r="AT141" s="160" t="s">
        <v>333</v>
      </c>
      <c r="AU141" s="341">
        <f t="shared" si="0"/>
        <v>14190</v>
      </c>
      <c r="AV141" s="339" t="s">
        <v>629</v>
      </c>
      <c r="AW141" s="339" t="s">
        <v>630</v>
      </c>
    </row>
    <row r="142" spans="1:49" x14ac:dyDescent="0.25">
      <c r="A142" s="339" t="s">
        <v>1588</v>
      </c>
      <c r="B142" s="339" t="s">
        <v>1765</v>
      </c>
      <c r="C142" s="339" t="s">
        <v>1590</v>
      </c>
      <c r="D142" s="339" t="s">
        <v>1591</v>
      </c>
      <c r="E142" s="342">
        <v>45798</v>
      </c>
      <c r="F142" s="339" t="s">
        <v>820</v>
      </c>
      <c r="G142" s="339" t="s">
        <v>820</v>
      </c>
      <c r="H142" s="339" t="s">
        <v>1593</v>
      </c>
      <c r="I142" s="339" t="s">
        <v>1900</v>
      </c>
      <c r="J142" s="339" t="s">
        <v>820</v>
      </c>
      <c r="K142" s="339" t="s">
        <v>1039</v>
      </c>
      <c r="L142" s="342">
        <v>45798</v>
      </c>
      <c r="M142" s="339" t="s">
        <v>1776</v>
      </c>
      <c r="N142" s="339" t="s">
        <v>820</v>
      </c>
      <c r="O142" s="342"/>
      <c r="P142" s="339" t="s">
        <v>1805</v>
      </c>
      <c r="Q142" s="339" t="s">
        <v>294</v>
      </c>
      <c r="R142" s="343">
        <v>1.68</v>
      </c>
      <c r="S142" s="339" t="s">
        <v>294</v>
      </c>
      <c r="T142" s="343">
        <v>1.68</v>
      </c>
      <c r="U142" s="339" t="s">
        <v>629</v>
      </c>
      <c r="V142" s="339" t="s">
        <v>630</v>
      </c>
      <c r="W142" s="339" t="s">
        <v>820</v>
      </c>
      <c r="X142" s="339" t="s">
        <v>820</v>
      </c>
      <c r="Y142" s="339" t="s">
        <v>820</v>
      </c>
      <c r="Z142" s="339" t="s">
        <v>820</v>
      </c>
      <c r="AA142" s="339" t="s">
        <v>1598</v>
      </c>
      <c r="AB142" s="339" t="s">
        <v>820</v>
      </c>
      <c r="AC142" s="342">
        <v>45798</v>
      </c>
      <c r="AD142" s="339"/>
      <c r="AE142" s="339"/>
      <c r="AF142" s="339" t="s">
        <v>820</v>
      </c>
      <c r="AG142" s="339" t="s">
        <v>820</v>
      </c>
      <c r="AH142" s="339" t="s">
        <v>1806</v>
      </c>
      <c r="AI142" s="339" t="s">
        <v>1807</v>
      </c>
      <c r="AJ142" s="346">
        <v>6</v>
      </c>
      <c r="AK142" s="339" t="s">
        <v>1484</v>
      </c>
      <c r="AL142" s="345" t="s">
        <v>1601</v>
      </c>
      <c r="AM142" s="339" t="s">
        <v>1658</v>
      </c>
      <c r="AN142" s="339" t="s">
        <v>1659</v>
      </c>
      <c r="AO142" s="339" t="s">
        <v>820</v>
      </c>
      <c r="AP142" s="160" t="s">
        <v>1675</v>
      </c>
      <c r="AQ142" s="160" t="s">
        <v>1646</v>
      </c>
      <c r="AR142" s="160"/>
      <c r="AS142" s="160" t="s">
        <v>1531</v>
      </c>
      <c r="AT142" s="160" t="s">
        <v>333</v>
      </c>
      <c r="AU142" s="341">
        <f t="shared" si="0"/>
        <v>27720</v>
      </c>
      <c r="AV142" s="339" t="s">
        <v>629</v>
      </c>
      <c r="AW142" s="339" t="s">
        <v>630</v>
      </c>
    </row>
    <row r="143" spans="1:49" x14ac:dyDescent="0.25">
      <c r="A143" s="339" t="s">
        <v>1588</v>
      </c>
      <c r="B143" s="339" t="s">
        <v>1765</v>
      </c>
      <c r="C143" s="339" t="s">
        <v>1590</v>
      </c>
      <c r="D143" s="339" t="s">
        <v>1591</v>
      </c>
      <c r="E143" s="342">
        <v>45798</v>
      </c>
      <c r="F143" s="339" t="s">
        <v>820</v>
      </c>
      <c r="G143" s="339" t="s">
        <v>820</v>
      </c>
      <c r="H143" s="339" t="s">
        <v>1593</v>
      </c>
      <c r="I143" s="339" t="s">
        <v>1900</v>
      </c>
      <c r="J143" s="339" t="s">
        <v>820</v>
      </c>
      <c r="K143" s="339" t="s">
        <v>1039</v>
      </c>
      <c r="L143" s="342">
        <v>45798</v>
      </c>
      <c r="M143" s="339" t="s">
        <v>1776</v>
      </c>
      <c r="N143" s="339" t="s">
        <v>820</v>
      </c>
      <c r="O143" s="342"/>
      <c r="P143" s="339" t="s">
        <v>1805</v>
      </c>
      <c r="Q143" s="339" t="s">
        <v>294</v>
      </c>
      <c r="R143" s="343">
        <v>5.85</v>
      </c>
      <c r="S143" s="339" t="s">
        <v>294</v>
      </c>
      <c r="T143" s="343">
        <v>5.85</v>
      </c>
      <c r="U143" s="339" t="s">
        <v>629</v>
      </c>
      <c r="V143" s="339" t="s">
        <v>630</v>
      </c>
      <c r="W143" s="339" t="s">
        <v>820</v>
      </c>
      <c r="X143" s="339" t="s">
        <v>820</v>
      </c>
      <c r="Y143" s="339" t="s">
        <v>820</v>
      </c>
      <c r="Z143" s="339" t="s">
        <v>820</v>
      </c>
      <c r="AA143" s="339" t="s">
        <v>1598</v>
      </c>
      <c r="AB143" s="339" t="s">
        <v>820</v>
      </c>
      <c r="AC143" s="342">
        <v>45798</v>
      </c>
      <c r="AD143" s="339"/>
      <c r="AE143" s="339"/>
      <c r="AF143" s="339" t="s">
        <v>820</v>
      </c>
      <c r="AG143" s="339" t="s">
        <v>820</v>
      </c>
      <c r="AH143" s="339" t="s">
        <v>1806</v>
      </c>
      <c r="AI143" s="339" t="s">
        <v>1807</v>
      </c>
      <c r="AJ143" s="346">
        <v>12</v>
      </c>
      <c r="AK143" s="339" t="s">
        <v>1484</v>
      </c>
      <c r="AL143" s="345" t="s">
        <v>1601</v>
      </c>
      <c r="AM143" s="339" t="s">
        <v>1828</v>
      </c>
      <c r="AN143" s="339" t="s">
        <v>1829</v>
      </c>
      <c r="AO143" s="339" t="s">
        <v>820</v>
      </c>
      <c r="AP143" s="160" t="s">
        <v>1675</v>
      </c>
      <c r="AQ143" s="160" t="s">
        <v>1646</v>
      </c>
      <c r="AR143" s="160"/>
      <c r="AS143" s="160" t="s">
        <v>1531</v>
      </c>
      <c r="AT143" s="160" t="s">
        <v>333</v>
      </c>
      <c r="AU143" s="341">
        <f t="shared" ref="AU143:AU151" si="1">IF(Q143="USD",R143*16500,IF(Q143="IDR",R143,T143*16500))</f>
        <v>96525</v>
      </c>
      <c r="AV143" s="339" t="s">
        <v>629</v>
      </c>
      <c r="AW143" s="339" t="s">
        <v>630</v>
      </c>
    </row>
    <row r="144" spans="1:49" x14ac:dyDescent="0.25">
      <c r="A144" s="339" t="s">
        <v>1588</v>
      </c>
      <c r="B144" s="339" t="s">
        <v>1765</v>
      </c>
      <c r="C144" s="339" t="s">
        <v>1590</v>
      </c>
      <c r="D144" s="339" t="s">
        <v>1591</v>
      </c>
      <c r="E144" s="342">
        <v>45798</v>
      </c>
      <c r="F144" s="339" t="s">
        <v>820</v>
      </c>
      <c r="G144" s="339" t="s">
        <v>820</v>
      </c>
      <c r="H144" s="339" t="s">
        <v>1593</v>
      </c>
      <c r="I144" s="339" t="s">
        <v>1900</v>
      </c>
      <c r="J144" s="339" t="s">
        <v>820</v>
      </c>
      <c r="K144" s="339" t="s">
        <v>1039</v>
      </c>
      <c r="L144" s="342">
        <v>45798</v>
      </c>
      <c r="M144" s="339" t="s">
        <v>1776</v>
      </c>
      <c r="N144" s="339" t="s">
        <v>820</v>
      </c>
      <c r="O144" s="342"/>
      <c r="P144" s="339" t="s">
        <v>1805</v>
      </c>
      <c r="Q144" s="339" t="s">
        <v>294</v>
      </c>
      <c r="R144" s="343">
        <v>2.44</v>
      </c>
      <c r="S144" s="339" t="s">
        <v>294</v>
      </c>
      <c r="T144" s="343">
        <v>2.44</v>
      </c>
      <c r="U144" s="339" t="s">
        <v>629</v>
      </c>
      <c r="V144" s="339" t="s">
        <v>630</v>
      </c>
      <c r="W144" s="339" t="s">
        <v>820</v>
      </c>
      <c r="X144" s="339" t="s">
        <v>820</v>
      </c>
      <c r="Y144" s="339" t="s">
        <v>820</v>
      </c>
      <c r="Z144" s="339" t="s">
        <v>820</v>
      </c>
      <c r="AA144" s="339" t="s">
        <v>1598</v>
      </c>
      <c r="AB144" s="339" t="s">
        <v>820</v>
      </c>
      <c r="AC144" s="342">
        <v>45798</v>
      </c>
      <c r="AD144" s="339"/>
      <c r="AE144" s="339"/>
      <c r="AF144" s="339" t="s">
        <v>820</v>
      </c>
      <c r="AG144" s="339" t="s">
        <v>820</v>
      </c>
      <c r="AH144" s="339" t="s">
        <v>1806</v>
      </c>
      <c r="AI144" s="339" t="s">
        <v>1807</v>
      </c>
      <c r="AJ144" s="346">
        <v>4</v>
      </c>
      <c r="AK144" s="339" t="s">
        <v>1484</v>
      </c>
      <c r="AL144" s="345" t="s">
        <v>1601</v>
      </c>
      <c r="AM144" s="339" t="s">
        <v>1662</v>
      </c>
      <c r="AN144" s="339" t="s">
        <v>1663</v>
      </c>
      <c r="AO144" s="339" t="s">
        <v>820</v>
      </c>
      <c r="AP144" s="160" t="s">
        <v>1675</v>
      </c>
      <c r="AQ144" s="160" t="s">
        <v>1646</v>
      </c>
      <c r="AR144" s="160"/>
      <c r="AS144" s="160" t="s">
        <v>1531</v>
      </c>
      <c r="AT144" s="160" t="s">
        <v>333</v>
      </c>
      <c r="AU144" s="341">
        <f t="shared" si="1"/>
        <v>40260</v>
      </c>
      <c r="AV144" s="339" t="s">
        <v>629</v>
      </c>
      <c r="AW144" s="339" t="s">
        <v>630</v>
      </c>
    </row>
    <row r="145" spans="1:56" x14ac:dyDescent="0.25">
      <c r="A145" s="339" t="s">
        <v>1588</v>
      </c>
      <c r="B145" s="339" t="s">
        <v>1765</v>
      </c>
      <c r="C145" s="339" t="s">
        <v>1590</v>
      </c>
      <c r="D145" s="339" t="s">
        <v>1591</v>
      </c>
      <c r="E145" s="342">
        <v>45799</v>
      </c>
      <c r="F145" s="339" t="s">
        <v>1899</v>
      </c>
      <c r="G145" s="339" t="s">
        <v>820</v>
      </c>
      <c r="H145" s="339" t="s">
        <v>1593</v>
      </c>
      <c r="I145" s="339" t="s">
        <v>1901</v>
      </c>
      <c r="J145" s="339" t="s">
        <v>820</v>
      </c>
      <c r="K145" s="339" t="s">
        <v>1039</v>
      </c>
      <c r="L145" s="342">
        <v>45799</v>
      </c>
      <c r="M145" s="339" t="s">
        <v>1782</v>
      </c>
      <c r="N145" s="339" t="s">
        <v>820</v>
      </c>
      <c r="O145" s="342"/>
      <c r="P145" s="339" t="s">
        <v>1805</v>
      </c>
      <c r="Q145" s="339" t="s">
        <v>294</v>
      </c>
      <c r="R145" s="343">
        <v>29.38</v>
      </c>
      <c r="S145" s="339" t="s">
        <v>294</v>
      </c>
      <c r="T145" s="343">
        <v>29.38</v>
      </c>
      <c r="U145" s="339" t="s">
        <v>629</v>
      </c>
      <c r="V145" s="339" t="s">
        <v>630</v>
      </c>
      <c r="W145" s="339" t="s">
        <v>820</v>
      </c>
      <c r="X145" s="339" t="s">
        <v>820</v>
      </c>
      <c r="Y145" s="339" t="s">
        <v>820</v>
      </c>
      <c r="Z145" s="339" t="s">
        <v>820</v>
      </c>
      <c r="AA145" s="339" t="s">
        <v>1598</v>
      </c>
      <c r="AB145" s="339" t="s">
        <v>820</v>
      </c>
      <c r="AC145" s="342">
        <v>45799</v>
      </c>
      <c r="AD145" s="339"/>
      <c r="AE145" s="339"/>
      <c r="AF145" s="339" t="s">
        <v>820</v>
      </c>
      <c r="AG145" s="339" t="s">
        <v>820</v>
      </c>
      <c r="AH145" s="339" t="s">
        <v>1806</v>
      </c>
      <c r="AI145" s="339" t="s">
        <v>1807</v>
      </c>
      <c r="AJ145" s="346">
        <v>20</v>
      </c>
      <c r="AK145" s="339" t="s">
        <v>1616</v>
      </c>
      <c r="AL145" s="345" t="s">
        <v>1601</v>
      </c>
      <c r="AM145" s="339" t="s">
        <v>1808</v>
      </c>
      <c r="AN145" s="339" t="s">
        <v>1809</v>
      </c>
      <c r="AO145" s="339" t="s">
        <v>820</v>
      </c>
      <c r="AP145" s="160" t="s">
        <v>1675</v>
      </c>
      <c r="AQ145" s="160" t="s">
        <v>1646</v>
      </c>
      <c r="AR145" s="160"/>
      <c r="AS145" s="160" t="s">
        <v>1531</v>
      </c>
      <c r="AT145" s="160" t="s">
        <v>333</v>
      </c>
      <c r="AU145" s="341">
        <f t="shared" si="1"/>
        <v>484770</v>
      </c>
      <c r="AV145" s="339" t="s">
        <v>629</v>
      </c>
      <c r="AW145" s="339" t="s">
        <v>630</v>
      </c>
    </row>
    <row r="146" spans="1:56" x14ac:dyDescent="0.25">
      <c r="A146" s="339" t="s">
        <v>1588</v>
      </c>
      <c r="B146" s="339" t="s">
        <v>1765</v>
      </c>
      <c r="C146" s="339" t="s">
        <v>1590</v>
      </c>
      <c r="D146" s="339" t="s">
        <v>1678</v>
      </c>
      <c r="E146" s="342">
        <v>45799</v>
      </c>
      <c r="F146" s="339" t="s">
        <v>820</v>
      </c>
      <c r="G146" s="339" t="s">
        <v>820</v>
      </c>
      <c r="H146" s="339" t="s">
        <v>1874</v>
      </c>
      <c r="I146" s="339" t="s">
        <v>1902</v>
      </c>
      <c r="J146" s="339" t="s">
        <v>820</v>
      </c>
      <c r="K146" s="339" t="s">
        <v>128</v>
      </c>
      <c r="L146" s="342">
        <v>45799</v>
      </c>
      <c r="M146" s="339" t="s">
        <v>1782</v>
      </c>
      <c r="N146" s="339" t="s">
        <v>1903</v>
      </c>
      <c r="O146" s="342"/>
      <c r="P146" s="339" t="s">
        <v>1805</v>
      </c>
      <c r="Q146" s="339" t="s">
        <v>745</v>
      </c>
      <c r="R146" s="346">
        <v>150000</v>
      </c>
      <c r="S146" s="339" t="s">
        <v>294</v>
      </c>
      <c r="T146" s="343">
        <v>9.09</v>
      </c>
      <c r="U146" s="339" t="s">
        <v>629</v>
      </c>
      <c r="V146" s="339" t="s">
        <v>630</v>
      </c>
      <c r="W146" s="339" t="s">
        <v>820</v>
      </c>
      <c r="X146" s="339" t="s">
        <v>820</v>
      </c>
      <c r="Y146" s="339" t="s">
        <v>820</v>
      </c>
      <c r="Z146" s="339" t="s">
        <v>820</v>
      </c>
      <c r="AA146" s="339" t="s">
        <v>1598</v>
      </c>
      <c r="AB146" s="339" t="s">
        <v>820</v>
      </c>
      <c r="AC146" s="342">
        <v>45799</v>
      </c>
      <c r="AD146" s="339"/>
      <c r="AE146" s="339"/>
      <c r="AF146" s="339" t="s">
        <v>820</v>
      </c>
      <c r="AG146" s="339" t="s">
        <v>1904</v>
      </c>
      <c r="AH146" s="339" t="s">
        <v>1806</v>
      </c>
      <c r="AI146" s="339" t="s">
        <v>1807</v>
      </c>
      <c r="AJ146" s="346">
        <v>1</v>
      </c>
      <c r="AK146" s="339" t="s">
        <v>1484</v>
      </c>
      <c r="AL146" s="345" t="s">
        <v>1601</v>
      </c>
      <c r="AM146" s="339" t="s">
        <v>820</v>
      </c>
      <c r="AN146" s="339" t="s">
        <v>820</v>
      </c>
      <c r="AO146" s="339" t="s">
        <v>820</v>
      </c>
      <c r="AP146" s="160" t="s">
        <v>1604</v>
      </c>
      <c r="AQ146" s="160" t="s">
        <v>1646</v>
      </c>
      <c r="AR146" s="160"/>
      <c r="AS146" s="160" t="s">
        <v>1535</v>
      </c>
      <c r="AT146" s="160" t="s">
        <v>333</v>
      </c>
      <c r="AU146" s="341">
        <f t="shared" si="1"/>
        <v>150000</v>
      </c>
      <c r="AV146" s="339" t="s">
        <v>629</v>
      </c>
      <c r="AW146" s="339" t="s">
        <v>630</v>
      </c>
    </row>
    <row r="147" spans="1:56" x14ac:dyDescent="0.25">
      <c r="A147" s="339" t="s">
        <v>1588</v>
      </c>
      <c r="B147" s="339" t="s">
        <v>1671</v>
      </c>
      <c r="C147" s="339" t="s">
        <v>1590</v>
      </c>
      <c r="D147" s="339" t="s">
        <v>1678</v>
      </c>
      <c r="E147" s="342">
        <v>45824</v>
      </c>
      <c r="F147" s="339" t="s">
        <v>820</v>
      </c>
      <c r="G147" s="339" t="s">
        <v>820</v>
      </c>
      <c r="H147" s="339" t="s">
        <v>1905</v>
      </c>
      <c r="I147" s="339" t="s">
        <v>1906</v>
      </c>
      <c r="J147" s="339" t="s">
        <v>820</v>
      </c>
      <c r="K147" s="339" t="s">
        <v>119</v>
      </c>
      <c r="L147" s="342">
        <v>45824</v>
      </c>
      <c r="M147" s="339" t="s">
        <v>1907</v>
      </c>
      <c r="N147" s="339" t="s">
        <v>1908</v>
      </c>
      <c r="O147" s="342"/>
      <c r="P147" s="339" t="s">
        <v>1805</v>
      </c>
      <c r="Q147" s="339" t="s">
        <v>745</v>
      </c>
      <c r="R147" s="346">
        <v>1758000</v>
      </c>
      <c r="S147" s="339" t="s">
        <v>294</v>
      </c>
      <c r="T147" s="343">
        <v>107.91</v>
      </c>
      <c r="U147" s="339" t="s">
        <v>629</v>
      </c>
      <c r="V147" s="339" t="s">
        <v>630</v>
      </c>
      <c r="W147" s="339" t="s">
        <v>820</v>
      </c>
      <c r="X147" s="339" t="s">
        <v>820</v>
      </c>
      <c r="Y147" s="339" t="s">
        <v>820</v>
      </c>
      <c r="Z147" s="339" t="s">
        <v>820</v>
      </c>
      <c r="AA147" s="339" t="s">
        <v>1598</v>
      </c>
      <c r="AB147" s="339" t="s">
        <v>820</v>
      </c>
      <c r="AC147" s="342">
        <v>45824</v>
      </c>
      <c r="AD147" s="339"/>
      <c r="AE147" s="339"/>
      <c r="AF147" s="339" t="s">
        <v>820</v>
      </c>
      <c r="AG147" s="339" t="s">
        <v>1909</v>
      </c>
      <c r="AH147" s="339" t="s">
        <v>1806</v>
      </c>
      <c r="AI147" s="339" t="s">
        <v>1807</v>
      </c>
      <c r="AJ147" s="346">
        <v>3</v>
      </c>
      <c r="AK147" s="339" t="s">
        <v>1484</v>
      </c>
      <c r="AL147" s="345" t="s">
        <v>1601</v>
      </c>
      <c r="AM147" s="339" t="s">
        <v>820</v>
      </c>
      <c r="AN147" s="339" t="s">
        <v>820</v>
      </c>
      <c r="AO147" s="339" t="s">
        <v>820</v>
      </c>
      <c r="AP147" s="160" t="s">
        <v>1604</v>
      </c>
      <c r="AQ147" s="160" t="s">
        <v>1646</v>
      </c>
      <c r="AR147" s="160"/>
      <c r="AS147" s="160" t="s">
        <v>1535</v>
      </c>
      <c r="AT147" s="160" t="s">
        <v>333</v>
      </c>
      <c r="AU147" s="341">
        <f t="shared" si="1"/>
        <v>1758000</v>
      </c>
      <c r="AV147" s="339" t="s">
        <v>629</v>
      </c>
      <c r="AW147" s="339" t="s">
        <v>630</v>
      </c>
    </row>
    <row r="148" spans="1:56" x14ac:dyDescent="0.25">
      <c r="A148" s="339" t="s">
        <v>1588</v>
      </c>
      <c r="B148" s="339" t="s">
        <v>1671</v>
      </c>
      <c r="C148" s="339" t="s">
        <v>1590</v>
      </c>
      <c r="D148" s="339" t="s">
        <v>1678</v>
      </c>
      <c r="E148" s="342">
        <v>45824</v>
      </c>
      <c r="F148" s="339" t="s">
        <v>820</v>
      </c>
      <c r="G148" s="339" t="s">
        <v>820</v>
      </c>
      <c r="H148" s="339" t="s">
        <v>1905</v>
      </c>
      <c r="I148" s="339" t="s">
        <v>1906</v>
      </c>
      <c r="J148" s="339" t="s">
        <v>820</v>
      </c>
      <c r="K148" s="339" t="s">
        <v>119</v>
      </c>
      <c r="L148" s="342">
        <v>45824</v>
      </c>
      <c r="M148" s="339" t="s">
        <v>1907</v>
      </c>
      <c r="N148" s="339" t="s">
        <v>1908</v>
      </c>
      <c r="O148" s="342"/>
      <c r="P148" s="339" t="s">
        <v>1805</v>
      </c>
      <c r="Q148" s="339" t="s">
        <v>745</v>
      </c>
      <c r="R148" s="346">
        <v>125000</v>
      </c>
      <c r="S148" s="339" t="s">
        <v>294</v>
      </c>
      <c r="T148" s="343">
        <v>7.67</v>
      </c>
      <c r="U148" s="339" t="s">
        <v>629</v>
      </c>
      <c r="V148" s="339" t="s">
        <v>630</v>
      </c>
      <c r="W148" s="339" t="s">
        <v>820</v>
      </c>
      <c r="X148" s="339" t="s">
        <v>820</v>
      </c>
      <c r="Y148" s="339" t="s">
        <v>820</v>
      </c>
      <c r="Z148" s="339" t="s">
        <v>820</v>
      </c>
      <c r="AA148" s="339" t="s">
        <v>1598</v>
      </c>
      <c r="AB148" s="339" t="s">
        <v>820</v>
      </c>
      <c r="AC148" s="342">
        <v>45824</v>
      </c>
      <c r="AD148" s="339"/>
      <c r="AE148" s="339"/>
      <c r="AF148" s="339" t="s">
        <v>820</v>
      </c>
      <c r="AG148" s="339" t="s">
        <v>1909</v>
      </c>
      <c r="AH148" s="339" t="s">
        <v>1806</v>
      </c>
      <c r="AI148" s="339" t="s">
        <v>1807</v>
      </c>
      <c r="AJ148" s="346">
        <v>1</v>
      </c>
      <c r="AK148" s="339" t="s">
        <v>1910</v>
      </c>
      <c r="AL148" s="345" t="s">
        <v>1601</v>
      </c>
      <c r="AM148" s="339" t="s">
        <v>820</v>
      </c>
      <c r="AN148" s="339" t="s">
        <v>820</v>
      </c>
      <c r="AO148" s="339" t="s">
        <v>820</v>
      </c>
      <c r="AP148" s="160" t="s">
        <v>1604</v>
      </c>
      <c r="AQ148" s="160" t="s">
        <v>1646</v>
      </c>
      <c r="AR148" s="160"/>
      <c r="AS148" s="160" t="s">
        <v>1535</v>
      </c>
      <c r="AT148" s="160" t="s">
        <v>333</v>
      </c>
      <c r="AU148" s="341">
        <f t="shared" si="1"/>
        <v>125000</v>
      </c>
      <c r="AV148" s="339" t="s">
        <v>629</v>
      </c>
      <c r="AW148" s="339" t="s">
        <v>630</v>
      </c>
    </row>
    <row r="149" spans="1:56" x14ac:dyDescent="0.25">
      <c r="A149" s="339" t="s">
        <v>1588</v>
      </c>
      <c r="B149" s="339" t="s">
        <v>1671</v>
      </c>
      <c r="C149" s="339" t="s">
        <v>1590</v>
      </c>
      <c r="D149" s="339" t="s">
        <v>1678</v>
      </c>
      <c r="E149" s="342">
        <v>45824</v>
      </c>
      <c r="F149" s="339" t="s">
        <v>820</v>
      </c>
      <c r="G149" s="339" t="s">
        <v>820</v>
      </c>
      <c r="H149" s="339" t="s">
        <v>1905</v>
      </c>
      <c r="I149" s="339" t="s">
        <v>1911</v>
      </c>
      <c r="J149" s="339" t="s">
        <v>820</v>
      </c>
      <c r="K149" s="339" t="s">
        <v>119</v>
      </c>
      <c r="L149" s="342">
        <v>45824</v>
      </c>
      <c r="M149" s="339" t="s">
        <v>1907</v>
      </c>
      <c r="N149" s="339" t="s">
        <v>1912</v>
      </c>
      <c r="O149" s="342"/>
      <c r="P149" s="339" t="s">
        <v>1805</v>
      </c>
      <c r="Q149" s="339" t="s">
        <v>745</v>
      </c>
      <c r="R149" s="346">
        <v>83000</v>
      </c>
      <c r="S149" s="339" t="s">
        <v>294</v>
      </c>
      <c r="T149" s="343">
        <v>5.09</v>
      </c>
      <c r="U149" s="339" t="s">
        <v>629</v>
      </c>
      <c r="V149" s="339" t="s">
        <v>630</v>
      </c>
      <c r="W149" s="339" t="s">
        <v>820</v>
      </c>
      <c r="X149" s="339" t="s">
        <v>820</v>
      </c>
      <c r="Y149" s="339" t="s">
        <v>820</v>
      </c>
      <c r="Z149" s="339" t="s">
        <v>820</v>
      </c>
      <c r="AA149" s="339" t="s">
        <v>1598</v>
      </c>
      <c r="AB149" s="339" t="s">
        <v>820</v>
      </c>
      <c r="AC149" s="342">
        <v>45824</v>
      </c>
      <c r="AD149" s="339"/>
      <c r="AE149" s="339"/>
      <c r="AF149" s="339" t="s">
        <v>820</v>
      </c>
      <c r="AG149" s="339" t="s">
        <v>1913</v>
      </c>
      <c r="AH149" s="339" t="s">
        <v>1806</v>
      </c>
      <c r="AI149" s="339" t="s">
        <v>1807</v>
      </c>
      <c r="AJ149" s="346">
        <v>1</v>
      </c>
      <c r="AK149" s="339" t="s">
        <v>1484</v>
      </c>
      <c r="AL149" s="345" t="s">
        <v>1601</v>
      </c>
      <c r="AM149" s="339" t="s">
        <v>820</v>
      </c>
      <c r="AN149" s="339" t="s">
        <v>820</v>
      </c>
      <c r="AO149" s="339" t="s">
        <v>820</v>
      </c>
      <c r="AP149" s="160" t="s">
        <v>1604</v>
      </c>
      <c r="AQ149" s="160" t="s">
        <v>1646</v>
      </c>
      <c r="AR149" s="160"/>
      <c r="AS149" s="160" t="s">
        <v>1535</v>
      </c>
      <c r="AT149" s="160" t="s">
        <v>333</v>
      </c>
      <c r="AU149" s="341">
        <f t="shared" si="1"/>
        <v>83000</v>
      </c>
      <c r="AV149" s="339" t="s">
        <v>629</v>
      </c>
      <c r="AW149" s="339" t="s">
        <v>630</v>
      </c>
    </row>
    <row r="150" spans="1:56" x14ac:dyDescent="0.25">
      <c r="A150" s="339" t="s">
        <v>1588</v>
      </c>
      <c r="B150" s="355" t="s">
        <v>1635</v>
      </c>
      <c r="C150" s="339" t="s">
        <v>1590</v>
      </c>
      <c r="D150" s="339" t="s">
        <v>1678</v>
      </c>
      <c r="E150" s="342">
        <v>45691</v>
      </c>
      <c r="F150" s="339" t="s">
        <v>820</v>
      </c>
      <c r="G150" s="339" t="s">
        <v>820</v>
      </c>
      <c r="H150" s="339">
        <v>52200020</v>
      </c>
      <c r="I150" s="339" t="s">
        <v>1914</v>
      </c>
      <c r="J150" s="339" t="s">
        <v>820</v>
      </c>
      <c r="K150" s="339" t="s">
        <v>208</v>
      </c>
      <c r="L150" s="342">
        <v>45691</v>
      </c>
      <c r="M150" s="339" t="s">
        <v>1704</v>
      </c>
      <c r="N150" s="339" t="s">
        <v>1915</v>
      </c>
      <c r="O150" s="342"/>
      <c r="P150" s="339" t="s">
        <v>1916</v>
      </c>
      <c r="Q150" s="339" t="s">
        <v>745</v>
      </c>
      <c r="R150" s="346">
        <v>320000</v>
      </c>
      <c r="S150" s="339" t="s">
        <v>294</v>
      </c>
      <c r="T150" s="343">
        <v>19.559999999999999</v>
      </c>
      <c r="U150" s="339" t="s">
        <v>648</v>
      </c>
      <c r="V150" s="339" t="s">
        <v>649</v>
      </c>
      <c r="W150" s="339" t="s">
        <v>820</v>
      </c>
      <c r="X150" s="339" t="s">
        <v>820</v>
      </c>
      <c r="Y150" s="339" t="s">
        <v>820</v>
      </c>
      <c r="Z150" s="339" t="s">
        <v>820</v>
      </c>
      <c r="AA150" s="339" t="s">
        <v>1598</v>
      </c>
      <c r="AB150" s="339" t="s">
        <v>820</v>
      </c>
      <c r="AC150" s="342">
        <v>45691</v>
      </c>
      <c r="AD150" s="339"/>
      <c r="AE150" s="339"/>
      <c r="AF150" s="339" t="s">
        <v>820</v>
      </c>
      <c r="AG150" s="339" t="s">
        <v>1917</v>
      </c>
      <c r="AH150" s="339" t="s">
        <v>1918</v>
      </c>
      <c r="AI150" s="339" t="s">
        <v>1919</v>
      </c>
      <c r="AJ150" s="346">
        <v>8</v>
      </c>
      <c r="AK150" s="339" t="s">
        <v>1701</v>
      </c>
      <c r="AL150" s="345" t="s">
        <v>1601</v>
      </c>
      <c r="AM150" s="339" t="s">
        <v>820</v>
      </c>
      <c r="AN150" s="339" t="s">
        <v>820</v>
      </c>
      <c r="AO150" s="339" t="s">
        <v>820</v>
      </c>
      <c r="AP150" s="160" t="s">
        <v>1604</v>
      </c>
      <c r="AQ150" s="160" t="s">
        <v>1646</v>
      </c>
      <c r="AR150" s="160"/>
      <c r="AS150" s="160" t="s">
        <v>1538</v>
      </c>
      <c r="AT150" s="160" t="s">
        <v>333</v>
      </c>
      <c r="AU150" s="341">
        <f t="shared" si="1"/>
        <v>320000</v>
      </c>
      <c r="AV150" s="339" t="s">
        <v>648</v>
      </c>
      <c r="AW150" s="339" t="s">
        <v>649</v>
      </c>
      <c r="AX150" s="160"/>
      <c r="AY150" s="160"/>
      <c r="AZ150" s="160"/>
      <c r="BA150" s="160"/>
      <c r="BB150" s="160"/>
      <c r="BC150" s="160"/>
      <c r="BD150" s="160"/>
    </row>
    <row r="151" spans="1:56" x14ac:dyDescent="0.25">
      <c r="A151" s="339" t="s">
        <v>1588</v>
      </c>
      <c r="B151" s="355" t="s">
        <v>1635</v>
      </c>
      <c r="C151" s="339" t="s">
        <v>1590</v>
      </c>
      <c r="D151" s="339" t="s">
        <v>1678</v>
      </c>
      <c r="E151" s="342">
        <v>45692</v>
      </c>
      <c r="F151" s="339" t="s">
        <v>820</v>
      </c>
      <c r="G151" s="339" t="s">
        <v>820</v>
      </c>
      <c r="H151" s="339">
        <v>52200020</v>
      </c>
      <c r="I151" s="339" t="s">
        <v>1920</v>
      </c>
      <c r="J151" s="339" t="s">
        <v>820</v>
      </c>
      <c r="K151" s="339" t="s">
        <v>208</v>
      </c>
      <c r="L151" s="342">
        <v>45692</v>
      </c>
      <c r="M151" s="339" t="s">
        <v>1711</v>
      </c>
      <c r="N151" s="339" t="s">
        <v>1921</v>
      </c>
      <c r="O151" s="342"/>
      <c r="P151" s="339" t="s">
        <v>1916</v>
      </c>
      <c r="Q151" s="339" t="s">
        <v>745</v>
      </c>
      <c r="R151" s="346">
        <v>385000</v>
      </c>
      <c r="S151" s="339" t="s">
        <v>294</v>
      </c>
      <c r="T151" s="343">
        <v>23.54</v>
      </c>
      <c r="U151" s="339" t="s">
        <v>648</v>
      </c>
      <c r="V151" s="339" t="s">
        <v>649</v>
      </c>
      <c r="W151" s="339" t="s">
        <v>820</v>
      </c>
      <c r="X151" s="339" t="s">
        <v>820</v>
      </c>
      <c r="Y151" s="339" t="s">
        <v>820</v>
      </c>
      <c r="Z151" s="339" t="s">
        <v>820</v>
      </c>
      <c r="AA151" s="339" t="s">
        <v>1598</v>
      </c>
      <c r="AB151" s="339" t="s">
        <v>820</v>
      </c>
      <c r="AC151" s="342">
        <v>45692</v>
      </c>
      <c r="AD151" s="339"/>
      <c r="AE151" s="339"/>
      <c r="AF151" s="339" t="s">
        <v>820</v>
      </c>
      <c r="AG151" s="339" t="s">
        <v>1917</v>
      </c>
      <c r="AH151" s="339" t="s">
        <v>1918</v>
      </c>
      <c r="AI151" s="339" t="s">
        <v>1919</v>
      </c>
      <c r="AJ151" s="346">
        <v>1100</v>
      </c>
      <c r="AK151" s="339" t="s">
        <v>1484</v>
      </c>
      <c r="AL151" s="345" t="s">
        <v>1601</v>
      </c>
      <c r="AM151" s="339" t="s">
        <v>820</v>
      </c>
      <c r="AN151" s="339" t="s">
        <v>820</v>
      </c>
      <c r="AO151" s="339" t="s">
        <v>820</v>
      </c>
      <c r="AP151" s="160" t="s">
        <v>1604</v>
      </c>
      <c r="AQ151" s="160" t="s">
        <v>1646</v>
      </c>
      <c r="AR151" s="160"/>
      <c r="AS151" s="160" t="s">
        <v>1538</v>
      </c>
      <c r="AT151" s="160" t="s">
        <v>333</v>
      </c>
      <c r="AU151" s="341">
        <f t="shared" si="1"/>
        <v>385000</v>
      </c>
      <c r="AV151" s="339" t="s">
        <v>648</v>
      </c>
      <c r="AW151" s="339" t="s">
        <v>649</v>
      </c>
      <c r="AX151" s="160"/>
      <c r="AY151" s="160"/>
      <c r="AZ151" s="160"/>
      <c r="BA151" s="160"/>
      <c r="BB151" s="160"/>
      <c r="BC151" s="160"/>
      <c r="BD151" s="160"/>
    </row>
  </sheetData>
  <autoFilter ref="A1:AW151" xr:uid="{3A869CC9-12CA-48FD-A51C-A269951F563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Guidance</vt:lpstr>
      <vt:lpstr>Guidance (Indonesia)</vt:lpstr>
      <vt:lpstr>Guidance (English)</vt:lpstr>
      <vt:lpstr>Asset determination</vt:lpstr>
      <vt:lpstr>Cover</vt:lpstr>
      <vt:lpstr>Budget Capex Detail</vt:lpstr>
      <vt:lpstr>Budget Opex Detail</vt:lpstr>
      <vt:lpstr>Activity Master Opex</vt:lpstr>
      <vt:lpstr>Master Data</vt:lpstr>
      <vt:lpstr>BU Warehouse cost to SCM</vt:lpstr>
      <vt:lpstr>RD</vt:lpstr>
      <vt:lpstr>'Budget Capex Detail'!_FilterDatabase</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2025-08-04T04:48:27Z</dcterms:modified>
</cp:coreProperties>
</file>
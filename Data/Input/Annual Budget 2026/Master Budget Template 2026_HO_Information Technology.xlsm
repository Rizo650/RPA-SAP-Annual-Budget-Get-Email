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Z:\GYS\FPA\Budget\2026\0. Master Budget Blank Template\HO\"/>
    </mc:Choice>
  </mc:AlternateContent>
  <xr:revisionPtr revIDLastSave="0" documentId="13_ncr:1_{888563B6-FE6B-4CC1-96F4-A35C597D9F28}" xr6:coauthVersionLast="47" xr6:coauthVersionMax="47" xr10:uidLastSave="{00000000-0000-0000-0000-000000000000}"/>
  <bookViews>
    <workbookView xWindow="-120" yWindow="-120" windowWidth="29040" windowHeight="15720" tabRatio="797" firstSheet="1" activeTab="4" xr2:uid="{00000000-000D-0000-FFFF-FFFF00000000}"/>
  </bookViews>
  <sheets>
    <sheet name="Guidance" sheetId="12" state="hidden" r:id="rId1"/>
    <sheet name="Guidance (Indonesia)" sheetId="24" r:id="rId2"/>
    <sheet name="Guidance (English)" sheetId="25" r:id="rId3"/>
    <sheet name="Asset determination" sheetId="21" r:id="rId4"/>
    <sheet name="Cover" sheetId="23" r:id="rId5"/>
    <sheet name="Coverx" sheetId="3" state="hidden" r:id="rId6"/>
    <sheet name="Budget Capex Detail" sheetId="10" r:id="rId7"/>
    <sheet name="Budget Opex Detail" sheetId="7" r:id="rId8"/>
    <sheet name="Reference" sheetId="18" state="hidden" r:id="rId9"/>
    <sheet name="Activity Master Opex" sheetId="8" r:id="rId10"/>
    <sheet name="Master Data" sheetId="22" r:id="rId11"/>
    <sheet name="Realisation Capex 2024" sheetId="11" state="hidden" r:id="rId12"/>
    <sheet name="Budget Opex Detail 2024" sheetId="17" state="hidden" r:id="rId13"/>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9" hidden="1">'Activity Master Opex'!$A$3:$H$37</definedName>
    <definedName name="_xlnm._FilterDatabase" localSheetId="6">'Budget Capex Detail'!$A$3:$AK$25</definedName>
    <definedName name="_xlnm._FilterDatabase" localSheetId="7" hidden="1">'Budget Opex Detail'!$A$3:$AR$52</definedName>
    <definedName name="_xlnm._FilterDatabase" localSheetId="12" hidden="1">'Budget Opex Detail 2024'!$A$1:$AJ$149</definedName>
    <definedName name="_xlnm._FilterDatabase" localSheetId="8" hidden="1">Reference!$B$62:$P$133</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_xlnm.Print_Area" localSheetId="12">'Budget Opex Detail 2024'!$A$1:$V$150</definedName>
    <definedName name="_xlnm.Print_Titles" localSheetId="12">'Budget Opex Detail 2024'!$1:$1</definedName>
    <definedName name="Priority" localSheetId="0">#REF!</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 localSheetId="0">#REF!</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O46" i="7" l="1"/>
  <c r="BO47" i="7"/>
  <c r="BO48" i="7"/>
  <c r="BO49" i="7"/>
  <c r="BO50" i="7"/>
  <c r="BO51" i="7"/>
  <c r="BO52" i="7"/>
  <c r="BD46" i="7"/>
  <c r="BD47" i="7"/>
  <c r="BD48" i="7"/>
  <c r="BD49" i="7"/>
  <c r="BD50" i="7"/>
  <c r="BD51" i="7"/>
  <c r="BD52" i="7"/>
  <c r="AL46" i="7"/>
  <c r="AL47" i="7"/>
  <c r="AL48" i="7"/>
  <c r="AL49" i="7"/>
  <c r="AL50" i="7"/>
  <c r="AL51" i="7"/>
  <c r="AL52" i="7"/>
  <c r="X52" i="7"/>
  <c r="BA52" i="7" s="1"/>
  <c r="X51" i="7"/>
  <c r="X50" i="7"/>
  <c r="X49" i="7"/>
  <c r="X48" i="7"/>
  <c r="X47" i="7"/>
  <c r="BA47" i="7" s="1"/>
  <c r="X46" i="7"/>
  <c r="BA46" i="7" s="1"/>
  <c r="X45" i="7"/>
  <c r="X44" i="7"/>
  <c r="X43" i="7"/>
  <c r="X42" i="7"/>
  <c r="X41" i="7"/>
  <c r="X40" i="7"/>
  <c r="X39" i="7"/>
  <c r="X38" i="7"/>
  <c r="AZ52" i="7"/>
  <c r="BA51" i="7"/>
  <c r="AZ51" i="7"/>
  <c r="BA50" i="7"/>
  <c r="AZ50" i="7"/>
  <c r="BA49" i="7"/>
  <c r="AZ49" i="7"/>
  <c r="BA48" i="7"/>
  <c r="AZ48" i="7"/>
  <c r="AZ47" i="7"/>
  <c r="AZ46"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35" i="8"/>
  <c r="E34" i="8"/>
  <c r="E33" i="8"/>
  <c r="E32" i="8"/>
  <c r="E31" i="8"/>
  <c r="E30" i="8"/>
  <c r="E29" i="8"/>
  <c r="E28" i="8"/>
  <c r="E27" i="8"/>
  <c r="E25" i="8"/>
  <c r="E24" i="8"/>
  <c r="E23" i="8"/>
  <c r="E22" i="8"/>
  <c r="E21" i="8"/>
  <c r="E20" i="8"/>
  <c r="E19" i="8"/>
  <c r="E18" i="8"/>
  <c r="E17" i="8"/>
  <c r="E16" i="8"/>
  <c r="E15" i="8"/>
  <c r="E14" i="8"/>
  <c r="E13" i="8"/>
  <c r="E12" i="8"/>
  <c r="E11" i="8"/>
  <c r="E10" i="8"/>
  <c r="E9" i="8"/>
  <c r="E8" i="8"/>
  <c r="E7" i="8"/>
  <c r="E6" i="8"/>
  <c r="E5" i="8"/>
  <c r="E4" i="8"/>
  <c r="E26" i="8"/>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20" i="10"/>
  <c r="L19" i="10"/>
  <c r="L18" i="10"/>
  <c r="L17" i="10"/>
  <c r="L16" i="10"/>
  <c r="L15" i="10"/>
  <c r="L14" i="10"/>
  <c r="L13" i="10"/>
  <c r="L12" i="10"/>
  <c r="L11" i="10"/>
  <c r="L10" i="10"/>
  <c r="L9" i="10"/>
  <c r="L8" i="10"/>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E7" i="10" s="1"/>
  <c r="D6" i="10"/>
  <c r="E6" i="10" s="1"/>
  <c r="D5" i="10"/>
  <c r="E5" i="10" s="1"/>
  <c r="D4" i="10"/>
  <c r="E4" i="10" s="1"/>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5" i="8"/>
  <c r="G4" i="8"/>
  <c r="H331" i="22"/>
  <c r="H330" i="22"/>
  <c r="H329" i="22"/>
  <c r="H328" i="22"/>
  <c r="H327" i="22"/>
  <c r="H326" i="22"/>
  <c r="H325" i="22"/>
  <c r="H324" i="22"/>
  <c r="H323" i="22"/>
  <c r="H322" i="22"/>
  <c r="H321" i="22"/>
  <c r="H320" i="22"/>
  <c r="H319" i="22"/>
  <c r="H318" i="22"/>
  <c r="H317" i="22"/>
  <c r="H316" i="22"/>
  <c r="H315" i="22"/>
  <c r="H314" i="22"/>
  <c r="H313" i="22"/>
  <c r="H312" i="22"/>
  <c r="H311" i="22"/>
  <c r="H310" i="22"/>
  <c r="H309" i="22"/>
  <c r="H308" i="22"/>
  <c r="H307" i="22"/>
  <c r="H306" i="22"/>
  <c r="H305" i="22"/>
  <c r="H304" i="22"/>
  <c r="H303" i="22"/>
  <c r="H302" i="22"/>
  <c r="H301" i="22"/>
  <c r="H300" i="22"/>
  <c r="H299" i="22"/>
  <c r="H298" i="22"/>
  <c r="H297" i="22"/>
  <c r="H296" i="22"/>
  <c r="H295" i="22"/>
  <c r="H294" i="22"/>
  <c r="H293" i="22"/>
  <c r="H292" i="22"/>
  <c r="H291" i="22"/>
  <c r="H290" i="22"/>
  <c r="H289" i="22"/>
  <c r="H288" i="22"/>
  <c r="H287" i="22"/>
  <c r="H286" i="22"/>
  <c r="H285" i="22"/>
  <c r="H284" i="22"/>
  <c r="H283" i="22"/>
  <c r="H282" i="22"/>
  <c r="H281" i="22"/>
  <c r="H280" i="22"/>
  <c r="H279" i="22"/>
  <c r="H278" i="22"/>
  <c r="H277" i="22"/>
  <c r="H276" i="22"/>
  <c r="H275" i="22"/>
  <c r="H274" i="22"/>
  <c r="H273" i="22"/>
  <c r="H272" i="22"/>
  <c r="H271" i="22"/>
  <c r="H270" i="22"/>
  <c r="H269" i="22"/>
  <c r="H268" i="22"/>
  <c r="H267" i="22"/>
  <c r="H266" i="22"/>
  <c r="H265" i="22"/>
  <c r="H264" i="22"/>
  <c r="H263" i="22"/>
  <c r="H262" i="22"/>
  <c r="H261" i="22"/>
  <c r="H260" i="22"/>
  <c r="H259" i="22"/>
  <c r="H258" i="22"/>
  <c r="H257" i="22"/>
  <c r="H256" i="22"/>
  <c r="H255" i="22"/>
  <c r="H254" i="22"/>
  <c r="H253" i="22"/>
  <c r="H252" i="22"/>
  <c r="H251" i="22"/>
  <c r="H250" i="22"/>
  <c r="H249" i="22"/>
  <c r="H248" i="22"/>
  <c r="H247" i="22"/>
  <c r="H246" i="22"/>
  <c r="H245" i="22"/>
  <c r="H244" i="22"/>
  <c r="H243" i="22"/>
  <c r="H242" i="22"/>
  <c r="H241" i="22"/>
  <c r="H240" i="22"/>
  <c r="H239" i="22"/>
  <c r="H238" i="22"/>
  <c r="H237" i="22"/>
  <c r="H236" i="22"/>
  <c r="H235" i="22"/>
  <c r="H234" i="22"/>
  <c r="H233" i="22"/>
  <c r="I145" i="22"/>
  <c r="J145" i="22"/>
  <c r="L145" i="22"/>
  <c r="I146" i="22"/>
  <c r="J146" i="22"/>
  <c r="L146" i="22"/>
  <c r="B31" i="22"/>
  <c r="C50" i="25"/>
  <c r="C50" i="24"/>
  <c r="J35" i="7" l="1"/>
  <c r="J34" i="7" l="1"/>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F64" i="8"/>
  <c r="F63" i="8"/>
  <c r="F62" i="8"/>
  <c r="F61" i="8"/>
  <c r="F60" i="8"/>
  <c r="F59" i="8"/>
  <c r="F58" i="8"/>
  <c r="F57" i="8"/>
  <c r="F56" i="8"/>
  <c r="F55" i="8"/>
  <c r="F50" i="8"/>
  <c r="F49" i="8"/>
  <c r="F48" i="8"/>
  <c r="F47" i="8"/>
  <c r="F46" i="8"/>
  <c r="F45" i="8"/>
  <c r="F44" i="8"/>
  <c r="F43" i="8"/>
  <c r="F42" i="8"/>
  <c r="F41" i="8"/>
  <c r="I32" i="8"/>
  <c r="BL52" i="7"/>
  <c r="BL51" i="7"/>
  <c r="BL50" i="7"/>
  <c r="BL49" i="7"/>
  <c r="BL48" i="7"/>
  <c r="BL47" i="7"/>
  <c r="BL46" i="7"/>
  <c r="BL45" i="7"/>
  <c r="BL44" i="7"/>
  <c r="BL43" i="7"/>
  <c r="BL42" i="7"/>
  <c r="BL41" i="7"/>
  <c r="BL40" i="7"/>
  <c r="BL39" i="7"/>
  <c r="BL38" i="7"/>
  <c r="BL37" i="7"/>
  <c r="BL36" i="7"/>
  <c r="BL35" i="7"/>
  <c r="BL34" i="7"/>
  <c r="BL33" i="7"/>
  <c r="BL32" i="7"/>
  <c r="BL31" i="7"/>
  <c r="BL30" i="7"/>
  <c r="BL29" i="7"/>
  <c r="BL28" i="7"/>
  <c r="BL27" i="7"/>
  <c r="BL26" i="7"/>
  <c r="BL25" i="7"/>
  <c r="BL24" i="7"/>
  <c r="BL23" i="7"/>
  <c r="BL22" i="7"/>
  <c r="BL21" i="7"/>
  <c r="BL20" i="7"/>
  <c r="BL19" i="7"/>
  <c r="BL18" i="7"/>
  <c r="BL17" i="7"/>
  <c r="BL16" i="7"/>
  <c r="BL15" i="7"/>
  <c r="BL14" i="7"/>
  <c r="BL13" i="7"/>
  <c r="BL12" i="7"/>
  <c r="BL11" i="7"/>
  <c r="BL10" i="7"/>
  <c r="BL9" i="7"/>
  <c r="BL8" i="7"/>
  <c r="BL7" i="7"/>
  <c r="BL6" i="7"/>
  <c r="BL5" i="7"/>
  <c r="BM52" i="10"/>
  <c r="BM51" i="10"/>
  <c r="BM50" i="10"/>
  <c r="BM49" i="10"/>
  <c r="BM48" i="10"/>
  <c r="BM47" i="10"/>
  <c r="BM46" i="10"/>
  <c r="BM45" i="10"/>
  <c r="BM44" i="10"/>
  <c r="BM43" i="10"/>
  <c r="BM42" i="10"/>
  <c r="BM41" i="10"/>
  <c r="BM40" i="10"/>
  <c r="BM39" i="10"/>
  <c r="BM38" i="10"/>
  <c r="BM37" i="10"/>
  <c r="BM36" i="10"/>
  <c r="BM35" i="10"/>
  <c r="BM34" i="10"/>
  <c r="BM33" i="10"/>
  <c r="BM32" i="10"/>
  <c r="BM31" i="10"/>
  <c r="BM30" i="10"/>
  <c r="BM29" i="10"/>
  <c r="BM28" i="10"/>
  <c r="BM27" i="10"/>
  <c r="BM26" i="10"/>
  <c r="BM25" i="10"/>
  <c r="BM24" i="10"/>
  <c r="BM23" i="10"/>
  <c r="BM22" i="10"/>
  <c r="BM21" i="10"/>
  <c r="BM20" i="10"/>
  <c r="BM19" i="10"/>
  <c r="BM18" i="10"/>
  <c r="BM17" i="10"/>
  <c r="BM16" i="10"/>
  <c r="BM15" i="10"/>
  <c r="BM14" i="10"/>
  <c r="BM13" i="10"/>
  <c r="BM12" i="10"/>
  <c r="BM11" i="10"/>
  <c r="BM10" i="10"/>
  <c r="BM9" i="10"/>
  <c r="BM8" i="10"/>
  <c r="BM7" i="10"/>
  <c r="BM6" i="10"/>
  <c r="BM5" i="10"/>
  <c r="H52" i="10"/>
  <c r="J52" i="10" s="1"/>
  <c r="A52" i="10"/>
  <c r="C52" i="10"/>
  <c r="H51" i="10"/>
  <c r="J51" i="10" s="1"/>
  <c r="B51" i="10"/>
  <c r="C51" i="10"/>
  <c r="H50" i="10"/>
  <c r="J50" i="10" s="1"/>
  <c r="A50" i="10"/>
  <c r="C50" i="10"/>
  <c r="H49" i="10"/>
  <c r="I49" i="10" s="1"/>
  <c r="BL49" i="10" s="1"/>
  <c r="B49" i="10"/>
  <c r="C49" i="10"/>
  <c r="H48" i="10"/>
  <c r="I48" i="10" s="1"/>
  <c r="BL48" i="10" s="1"/>
  <c r="B48" i="10"/>
  <c r="C48" i="10"/>
  <c r="H47" i="10"/>
  <c r="I47" i="10" s="1"/>
  <c r="A47" i="10"/>
  <c r="C47" i="10"/>
  <c r="H46" i="10"/>
  <c r="I46" i="10" s="1"/>
  <c r="BL46" i="10" s="1"/>
  <c r="C46" i="10"/>
  <c r="H45" i="10"/>
  <c r="I45" i="10" s="1"/>
  <c r="BL45" i="10" s="1"/>
  <c r="C45" i="10"/>
  <c r="H44" i="10"/>
  <c r="J44" i="10" s="1"/>
  <c r="B44" i="10"/>
  <c r="C44" i="10"/>
  <c r="H43" i="10"/>
  <c r="J43" i="10" s="1"/>
  <c r="B43" i="10"/>
  <c r="C43" i="10"/>
  <c r="H42" i="10"/>
  <c r="J42" i="10" s="1"/>
  <c r="A42" i="10"/>
  <c r="C42" i="10"/>
  <c r="H41" i="10"/>
  <c r="I41" i="10" s="1"/>
  <c r="BL41" i="10" s="1"/>
  <c r="A41" i="10"/>
  <c r="C41" i="10"/>
  <c r="H40" i="10"/>
  <c r="I40" i="10" s="1"/>
  <c r="BL40" i="10" s="1"/>
  <c r="B40" i="10"/>
  <c r="C40" i="10"/>
  <c r="H39" i="10"/>
  <c r="I39" i="10" s="1"/>
  <c r="C39" i="10"/>
  <c r="H38" i="10"/>
  <c r="I38" i="10" s="1"/>
  <c r="C38" i="10"/>
  <c r="H37" i="10"/>
  <c r="I37" i="10" s="1"/>
  <c r="BL37" i="10" s="1"/>
  <c r="C37" i="10"/>
  <c r="H36" i="10"/>
  <c r="J36" i="10" s="1"/>
  <c r="A36" i="10"/>
  <c r="C36" i="10"/>
  <c r="H35" i="10"/>
  <c r="J35" i="10" s="1"/>
  <c r="B35" i="10"/>
  <c r="C35" i="10"/>
  <c r="H34" i="10"/>
  <c r="J34" i="10" s="1"/>
  <c r="A34" i="10"/>
  <c r="C34" i="10"/>
  <c r="H33" i="10"/>
  <c r="I33" i="10" s="1"/>
  <c r="BL33" i="10" s="1"/>
  <c r="A33" i="10"/>
  <c r="C33" i="10"/>
  <c r="H32" i="10"/>
  <c r="I32" i="10" s="1"/>
  <c r="BL32" i="10" s="1"/>
  <c r="B32" i="10"/>
  <c r="C32" i="10"/>
  <c r="H31" i="10"/>
  <c r="I31" i="10" s="1"/>
  <c r="C31" i="10"/>
  <c r="H30" i="10"/>
  <c r="I30" i="10" s="1"/>
  <c r="BL30" i="10" s="1"/>
  <c r="C30" i="10"/>
  <c r="H29" i="10"/>
  <c r="I29" i="10" s="1"/>
  <c r="BL29" i="10" s="1"/>
  <c r="C29" i="10"/>
  <c r="H28" i="10"/>
  <c r="J28" i="10" s="1"/>
  <c r="B28" i="10"/>
  <c r="C28" i="10"/>
  <c r="H27" i="10"/>
  <c r="J27" i="10" s="1"/>
  <c r="A27" i="10"/>
  <c r="C27" i="10"/>
  <c r="H26" i="10"/>
  <c r="J26" i="10" s="1"/>
  <c r="C26" i="10"/>
  <c r="H25" i="10"/>
  <c r="I25" i="10" s="1"/>
  <c r="BL25" i="10" s="1"/>
  <c r="A25" i="10"/>
  <c r="C25" i="10"/>
  <c r="H24" i="10"/>
  <c r="I24" i="10" s="1"/>
  <c r="BL24" i="10" s="1"/>
  <c r="B24" i="10"/>
  <c r="C24" i="10"/>
  <c r="H23" i="10"/>
  <c r="I23" i="10" s="1"/>
  <c r="C23" i="10"/>
  <c r="H22" i="10"/>
  <c r="J22" i="10" s="1"/>
  <c r="C22" i="10"/>
  <c r="H21" i="10"/>
  <c r="I21" i="10" s="1"/>
  <c r="BL21" i="10" s="1"/>
  <c r="C21" i="10"/>
  <c r="H20" i="10"/>
  <c r="J20" i="10" s="1"/>
  <c r="B20" i="10"/>
  <c r="C20" i="10"/>
  <c r="H19" i="10"/>
  <c r="J19" i="10" s="1"/>
  <c r="A19" i="10"/>
  <c r="C19" i="10"/>
  <c r="H18" i="10"/>
  <c r="J18" i="10" s="1"/>
  <c r="A18" i="10"/>
  <c r="C18" i="10"/>
  <c r="H17" i="10"/>
  <c r="I17" i="10" s="1"/>
  <c r="BL17" i="10" s="1"/>
  <c r="B17" i="10"/>
  <c r="C17" i="10"/>
  <c r="H16" i="10"/>
  <c r="I16" i="10" s="1"/>
  <c r="BL16" i="10" s="1"/>
  <c r="B16" i="10"/>
  <c r="C16" i="10"/>
  <c r="H15" i="10"/>
  <c r="I15" i="10" s="1"/>
  <c r="C15" i="10"/>
  <c r="H14" i="10"/>
  <c r="I14" i="10" s="1"/>
  <c r="BL14" i="10" s="1"/>
  <c r="C14" i="10"/>
  <c r="H13" i="10"/>
  <c r="I13" i="10" s="1"/>
  <c r="BL13" i="10" s="1"/>
  <c r="C13" i="10"/>
  <c r="H12" i="10"/>
  <c r="J12" i="10" s="1"/>
  <c r="C12" i="10"/>
  <c r="H11" i="10"/>
  <c r="J11" i="10" s="1"/>
  <c r="A11" i="10"/>
  <c r="C11" i="10"/>
  <c r="H10" i="10"/>
  <c r="J10" i="10" s="1"/>
  <c r="A10" i="10"/>
  <c r="C10" i="10"/>
  <c r="H9" i="10"/>
  <c r="I9" i="10" s="1"/>
  <c r="BL9" i="10" s="1"/>
  <c r="A9" i="10"/>
  <c r="C9" i="10"/>
  <c r="H8" i="10"/>
  <c r="I8" i="10" s="1"/>
  <c r="BL8" i="10" s="1"/>
  <c r="B8" i="10"/>
  <c r="C8" i="10"/>
  <c r="H7" i="10"/>
  <c r="J7" i="10" s="1"/>
  <c r="L7" i="10" s="1"/>
  <c r="B7" i="10"/>
  <c r="H6" i="10"/>
  <c r="J6" i="10" s="1"/>
  <c r="B6" i="10"/>
  <c r="H5" i="10"/>
  <c r="I5" i="10" s="1"/>
  <c r="L133" i="22"/>
  <c r="J133" i="22"/>
  <c r="I133" i="22"/>
  <c r="I144" i="22"/>
  <c r="I143" i="22"/>
  <c r="I142" i="22"/>
  <c r="I141" i="22"/>
  <c r="I140" i="22"/>
  <c r="I139" i="22"/>
  <c r="I138" i="22"/>
  <c r="I137" i="22"/>
  <c r="I136" i="22"/>
  <c r="I135" i="22"/>
  <c r="I134" i="22"/>
  <c r="I132" i="22"/>
  <c r="I131" i="22"/>
  <c r="I130" i="22"/>
  <c r="I129" i="22"/>
  <c r="I128" i="22"/>
  <c r="I127" i="22"/>
  <c r="I126" i="22"/>
  <c r="I125" i="22"/>
  <c r="I124" i="22"/>
  <c r="I123" i="22"/>
  <c r="I122" i="22"/>
  <c r="I121" i="22"/>
  <c r="I120" i="22"/>
  <c r="I119" i="22"/>
  <c r="I118" i="22"/>
  <c r="I117" i="22"/>
  <c r="I116" i="22"/>
  <c r="I115" i="22"/>
  <c r="I114" i="22"/>
  <c r="I113" i="22"/>
  <c r="I112" i="22"/>
  <c r="I111" i="22"/>
  <c r="I110" i="22"/>
  <c r="I109" i="22"/>
  <c r="I108" i="22"/>
  <c r="I107" i="22"/>
  <c r="I106" i="22"/>
  <c r="I105" i="22"/>
  <c r="I104" i="22"/>
  <c r="I103" i="22"/>
  <c r="I102" i="22"/>
  <c r="I101" i="22"/>
  <c r="I100" i="22"/>
  <c r="I99" i="22"/>
  <c r="I98" i="22"/>
  <c r="I97" i="22"/>
  <c r="I96" i="22"/>
  <c r="I95" i="22"/>
  <c r="I94" i="22"/>
  <c r="I93" i="22"/>
  <c r="I92" i="22"/>
  <c r="I91" i="22"/>
  <c r="I90" i="22"/>
  <c r="I89" i="22"/>
  <c r="I88" i="22"/>
  <c r="I87" i="22"/>
  <c r="I86" i="22"/>
  <c r="I85" i="22"/>
  <c r="I84" i="22"/>
  <c r="I83" i="22"/>
  <c r="I82" i="22"/>
  <c r="I81" i="22"/>
  <c r="I80" i="22"/>
  <c r="I79" i="22"/>
  <c r="I78" i="22"/>
  <c r="I77" i="22"/>
  <c r="I76" i="22"/>
  <c r="I75" i="22"/>
  <c r="I74" i="22"/>
  <c r="I73" i="22"/>
  <c r="I72" i="22"/>
  <c r="I71" i="22"/>
  <c r="I70" i="22"/>
  <c r="I69" i="22"/>
  <c r="I68" i="22"/>
  <c r="I67" i="22"/>
  <c r="I66" i="22"/>
  <c r="I65" i="22"/>
  <c r="I64" i="22"/>
  <c r="I63" i="22"/>
  <c r="I62" i="22"/>
  <c r="I61" i="22"/>
  <c r="I60" i="22"/>
  <c r="I59" i="22"/>
  <c r="I30" i="8"/>
  <c r="BL4" i="7"/>
  <c r="L84" i="22"/>
  <c r="J84" i="22"/>
  <c r="D64" i="8"/>
  <c r="D63" i="8"/>
  <c r="D62" i="8"/>
  <c r="D61" i="8"/>
  <c r="D60" i="8"/>
  <c r="D59" i="8"/>
  <c r="D58" i="8"/>
  <c r="D57" i="8"/>
  <c r="D56" i="8"/>
  <c r="D55" i="8"/>
  <c r="D50" i="8"/>
  <c r="D49" i="8"/>
  <c r="D48" i="8"/>
  <c r="D47" i="8"/>
  <c r="D46" i="8"/>
  <c r="D45" i="8"/>
  <c r="D44" i="8"/>
  <c r="D43" i="8"/>
  <c r="D42" i="8"/>
  <c r="A8" i="10" l="1"/>
  <c r="A44" i="10"/>
  <c r="B52" i="10"/>
  <c r="I24" i="8"/>
  <c r="I31" i="8"/>
  <c r="B23" i="10"/>
  <c r="A24" i="10"/>
  <c r="A28" i="10"/>
  <c r="B36" i="10"/>
  <c r="B39" i="10"/>
  <c r="B10" i="10"/>
  <c r="A40" i="10"/>
  <c r="I21" i="8"/>
  <c r="I33" i="8"/>
  <c r="B11" i="10"/>
  <c r="B26" i="10"/>
  <c r="I22" i="8"/>
  <c r="I34" i="8"/>
  <c r="A12" i="10"/>
  <c r="B27" i="10"/>
  <c r="B42" i="10"/>
  <c r="I23" i="8"/>
  <c r="I35" i="8"/>
  <c r="B15" i="10"/>
  <c r="A29" i="10"/>
  <c r="I25" i="8"/>
  <c r="A16" i="10"/>
  <c r="B31" i="10"/>
  <c r="B47" i="10"/>
  <c r="I26" i="8"/>
  <c r="I4" i="8"/>
  <c r="B18" i="10"/>
  <c r="A32" i="10"/>
  <c r="A48" i="10"/>
  <c r="I27" i="8"/>
  <c r="A13" i="10"/>
  <c r="B19" i="10"/>
  <c r="I28" i="8"/>
  <c r="A20" i="10"/>
  <c r="B34" i="10"/>
  <c r="B50" i="10"/>
  <c r="I29" i="8"/>
  <c r="B5" i="10"/>
  <c r="A21" i="10"/>
  <c r="A17" i="10"/>
  <c r="A37" i="10"/>
  <c r="A49" i="10"/>
  <c r="B9" i="10"/>
  <c r="B13" i="10"/>
  <c r="B21" i="10"/>
  <c r="B25" i="10"/>
  <c r="B29" i="10"/>
  <c r="B33" i="10"/>
  <c r="B37" i="10"/>
  <c r="B41" i="10"/>
  <c r="B45" i="10"/>
  <c r="J30" i="10"/>
  <c r="B12" i="10"/>
  <c r="A45" i="10"/>
  <c r="A14" i="10"/>
  <c r="A22" i="10"/>
  <c r="A26" i="10"/>
  <c r="A30" i="10"/>
  <c r="A38" i="10"/>
  <c r="A46" i="10"/>
  <c r="B14" i="10"/>
  <c r="B22" i="10"/>
  <c r="B30" i="10"/>
  <c r="B38" i="10"/>
  <c r="B46" i="10"/>
  <c r="A5" i="10"/>
  <c r="A15" i="10"/>
  <c r="A23" i="10"/>
  <c r="A31" i="10"/>
  <c r="A35" i="10"/>
  <c r="A39" i="10"/>
  <c r="A43" i="10"/>
  <c r="A51" i="10"/>
  <c r="A6" i="10"/>
  <c r="A7" i="10"/>
  <c r="BK48" i="10"/>
  <c r="J14" i="10"/>
  <c r="BK40" i="10"/>
  <c r="J23" i="10"/>
  <c r="BK29" i="10"/>
  <c r="J47" i="10"/>
  <c r="BK24" i="10"/>
  <c r="BK37" i="10"/>
  <c r="J15" i="10"/>
  <c r="BK13" i="10"/>
  <c r="BK32" i="10"/>
  <c r="BK21" i="10"/>
  <c r="BK45" i="10"/>
  <c r="I22" i="10"/>
  <c r="BL22" i="10" s="1"/>
  <c r="J39" i="10"/>
  <c r="BK5" i="10"/>
  <c r="BL5" i="10"/>
  <c r="BL38" i="10"/>
  <c r="BK38" i="10"/>
  <c r="BK8" i="10"/>
  <c r="BK16" i="10"/>
  <c r="J38" i="10"/>
  <c r="J45" i="10"/>
  <c r="BK14" i="10"/>
  <c r="BK30" i="10"/>
  <c r="BK46" i="10"/>
  <c r="BK9" i="10"/>
  <c r="BK17" i="10"/>
  <c r="BK25" i="10"/>
  <c r="BK33" i="10"/>
  <c r="BK41" i="10"/>
  <c r="BK49" i="10"/>
  <c r="J31" i="10"/>
  <c r="J46" i="10"/>
  <c r="I51" i="10"/>
  <c r="BK15" i="10"/>
  <c r="BK23" i="10"/>
  <c r="BK31" i="10"/>
  <c r="BK39" i="10"/>
  <c r="BK47" i="10"/>
  <c r="I6" i="10"/>
  <c r="BL15" i="10"/>
  <c r="BL23" i="10"/>
  <c r="BL31" i="10"/>
  <c r="BL39" i="10"/>
  <c r="BL47" i="10"/>
  <c r="J13" i="10"/>
  <c r="J21" i="10"/>
  <c r="J29" i="10"/>
  <c r="J37" i="10"/>
  <c r="J5" i="10"/>
  <c r="I7" i="10"/>
  <c r="L6" i="10" s="1"/>
  <c r="J32" i="10"/>
  <c r="J40" i="10"/>
  <c r="J48" i="10"/>
  <c r="J9" i="10"/>
  <c r="I10" i="10"/>
  <c r="J17" i="10"/>
  <c r="I18" i="10"/>
  <c r="J25" i="10"/>
  <c r="I26" i="10"/>
  <c r="J33" i="10"/>
  <c r="I34" i="10"/>
  <c r="J41" i="10"/>
  <c r="I42" i="10"/>
  <c r="J49" i="10"/>
  <c r="I50" i="10"/>
  <c r="J8" i="10"/>
  <c r="I11" i="10"/>
  <c r="I19" i="10"/>
  <c r="I27" i="10"/>
  <c r="I35" i="10"/>
  <c r="I43" i="10"/>
  <c r="J16" i="10"/>
  <c r="J24" i="10"/>
  <c r="I12" i="10"/>
  <c r="I20" i="10"/>
  <c r="I28" i="10"/>
  <c r="I36" i="10"/>
  <c r="I44" i="10"/>
  <c r="I52" i="10"/>
  <c r="D41" i="8"/>
  <c r="H4" i="10"/>
  <c r="J4" i="10" s="1"/>
  <c r="L4" i="10" s="1"/>
  <c r="H227" i="22"/>
  <c r="H226" i="22"/>
  <c r="H225" i="22"/>
  <c r="H224" i="22"/>
  <c r="H223" i="22"/>
  <c r="H222" i="22"/>
  <c r="H221" i="22"/>
  <c r="H220" i="22"/>
  <c r="H219" i="22"/>
  <c r="H218" i="22"/>
  <c r="H217" i="22"/>
  <c r="H216" i="22"/>
  <c r="H215" i="22"/>
  <c r="H214" i="22"/>
  <c r="H213" i="22"/>
  <c r="H212" i="22"/>
  <c r="H211" i="22"/>
  <c r="H210" i="22"/>
  <c r="H209" i="22"/>
  <c r="H208" i="22"/>
  <c r="H207" i="22"/>
  <c r="H206" i="22"/>
  <c r="H205" i="22"/>
  <c r="H204" i="22"/>
  <c r="H203" i="22"/>
  <c r="H202" i="22"/>
  <c r="H201" i="22"/>
  <c r="H200" i="22"/>
  <c r="H199" i="22"/>
  <c r="H198" i="22"/>
  <c r="H197" i="22"/>
  <c r="H196" i="22"/>
  <c r="H195" i="22"/>
  <c r="H194" i="22"/>
  <c r="H193" i="22"/>
  <c r="H192" i="22"/>
  <c r="H191" i="22"/>
  <c r="H190" i="22"/>
  <c r="H189" i="22"/>
  <c r="H188" i="22"/>
  <c r="H187" i="22"/>
  <c r="H186" i="22"/>
  <c r="H185" i="22"/>
  <c r="H184" i="22"/>
  <c r="H183" i="22"/>
  <c r="H182" i="22"/>
  <c r="H181" i="22"/>
  <c r="H180" i="22"/>
  <c r="H179" i="22"/>
  <c r="H178" i="22"/>
  <c r="H177" i="22"/>
  <c r="H176" i="22"/>
  <c r="H175" i="22"/>
  <c r="H174" i="22"/>
  <c r="H173" i="22"/>
  <c r="H172" i="22"/>
  <c r="H171" i="22"/>
  <c r="H170" i="22"/>
  <c r="H169" i="22"/>
  <c r="H168" i="22"/>
  <c r="H167" i="22"/>
  <c r="H166" i="22"/>
  <c r="H165" i="22"/>
  <c r="H164" i="22"/>
  <c r="H163" i="22"/>
  <c r="H162" i="22"/>
  <c r="H161" i="22"/>
  <c r="H160" i="22"/>
  <c r="H159" i="22"/>
  <c r="H158" i="22"/>
  <c r="H157" i="22"/>
  <c r="H156" i="22"/>
  <c r="H155" i="22"/>
  <c r="H154" i="22"/>
  <c r="H153" i="22"/>
  <c r="H152" i="22"/>
  <c r="L144" i="22"/>
  <c r="J144" i="22"/>
  <c r="L143" i="22"/>
  <c r="J143" i="22"/>
  <c r="L142" i="22"/>
  <c r="J142" i="22"/>
  <c r="L141" i="22"/>
  <c r="J141" i="22"/>
  <c r="L140" i="22"/>
  <c r="J140" i="22"/>
  <c r="L139" i="22"/>
  <c r="J139" i="22"/>
  <c r="L138" i="22"/>
  <c r="J138" i="22"/>
  <c r="L137" i="22"/>
  <c r="J137" i="22"/>
  <c r="L136" i="22"/>
  <c r="J136" i="22"/>
  <c r="L135" i="22"/>
  <c r="J135" i="22"/>
  <c r="L134" i="22"/>
  <c r="J134" i="22"/>
  <c r="L132" i="22"/>
  <c r="J132" i="22"/>
  <c r="L131" i="22"/>
  <c r="J131" i="22"/>
  <c r="L130" i="22"/>
  <c r="J130" i="22"/>
  <c r="L129" i="22"/>
  <c r="J129" i="22"/>
  <c r="L128" i="22"/>
  <c r="J128" i="22"/>
  <c r="C7" i="10" s="1"/>
  <c r="L127" i="22"/>
  <c r="J127" i="22"/>
  <c r="C6" i="10" s="1"/>
  <c r="L126" i="22"/>
  <c r="J126" i="22"/>
  <c r="C5" i="10" s="1"/>
  <c r="L125" i="22"/>
  <c r="J125" i="22"/>
  <c r="C4" i="10" s="1"/>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L101" i="22"/>
  <c r="J101" i="22"/>
  <c r="L100" i="22"/>
  <c r="J100" i="22"/>
  <c r="L99" i="22"/>
  <c r="J99" i="22"/>
  <c r="L98" i="22"/>
  <c r="J98" i="22"/>
  <c r="L97" i="22"/>
  <c r="J97" i="22"/>
  <c r="L96" i="22"/>
  <c r="J96" i="22"/>
  <c r="L95" i="22"/>
  <c r="J95" i="22"/>
  <c r="L94" i="22"/>
  <c r="J94" i="22"/>
  <c r="L93" i="22"/>
  <c r="J93" i="22"/>
  <c r="L92" i="22"/>
  <c r="J92" i="22"/>
  <c r="L91" i="22"/>
  <c r="J91" i="22"/>
  <c r="L90" i="22"/>
  <c r="J90" i="22"/>
  <c r="L89" i="22"/>
  <c r="J89" i="22"/>
  <c r="L88" i="22"/>
  <c r="J88" i="22"/>
  <c r="L87" i="22"/>
  <c r="J87" i="22"/>
  <c r="L86" i="22"/>
  <c r="J86" i="22"/>
  <c r="L85" i="22"/>
  <c r="J85" i="22"/>
  <c r="L83" i="22"/>
  <c r="J83" i="22"/>
  <c r="L82" i="22"/>
  <c r="J82" i="22"/>
  <c r="L81" i="22"/>
  <c r="J81" i="22"/>
  <c r="L80" i="22"/>
  <c r="J80" i="22"/>
  <c r="L79" i="22"/>
  <c r="J79" i="22"/>
  <c r="L78" i="22"/>
  <c r="J78" i="22"/>
  <c r="L77" i="22"/>
  <c r="J77" i="22"/>
  <c r="L76" i="22"/>
  <c r="J76" i="22"/>
  <c r="L75" i="22"/>
  <c r="J75" i="22"/>
  <c r="L74" i="22"/>
  <c r="J74" i="22"/>
  <c r="L73" i="22"/>
  <c r="J73" i="22"/>
  <c r="L72" i="22"/>
  <c r="J72" i="22"/>
  <c r="L71" i="22"/>
  <c r="J71" i="22"/>
  <c r="L70" i="22"/>
  <c r="J70" i="22"/>
  <c r="L69" i="22"/>
  <c r="J69" i="22"/>
  <c r="L68" i="22"/>
  <c r="J68" i="22"/>
  <c r="L67" i="22"/>
  <c r="J67" i="22"/>
  <c r="L66" i="22"/>
  <c r="J66" i="22"/>
  <c r="L65" i="22"/>
  <c r="J65" i="22"/>
  <c r="L64" i="22"/>
  <c r="J64" i="22"/>
  <c r="L63" i="22"/>
  <c r="J63" i="22"/>
  <c r="L62" i="22"/>
  <c r="J62" i="22"/>
  <c r="L61" i="22"/>
  <c r="J61" i="22"/>
  <c r="L60" i="22"/>
  <c r="J60" i="22"/>
  <c r="L59" i="22"/>
  <c r="J59" i="22"/>
  <c r="I64" i="8"/>
  <c r="I63" i="8"/>
  <c r="I62" i="8"/>
  <c r="I61" i="8"/>
  <c r="I60" i="8"/>
  <c r="I59" i="8"/>
  <c r="I58" i="8"/>
  <c r="I57" i="8"/>
  <c r="I56" i="8"/>
  <c r="I55" i="8"/>
  <c r="BI52" i="10"/>
  <c r="BI51" i="10"/>
  <c r="BI50" i="10"/>
  <c r="BI49" i="10"/>
  <c r="BI48" i="10"/>
  <c r="BI47" i="10"/>
  <c r="BI46" i="10"/>
  <c r="BI45" i="10"/>
  <c r="BI44" i="10"/>
  <c r="BI43" i="10"/>
  <c r="BI42" i="10"/>
  <c r="BI41" i="10"/>
  <c r="BI40" i="10"/>
  <c r="BI39" i="10"/>
  <c r="BI38" i="10"/>
  <c r="BI37" i="10"/>
  <c r="BI36" i="10"/>
  <c r="BI35" i="10"/>
  <c r="BI34" i="10"/>
  <c r="BI33" i="10"/>
  <c r="BI32" i="10"/>
  <c r="BI31" i="10"/>
  <c r="BI30" i="10"/>
  <c r="BI29" i="10"/>
  <c r="BI28" i="10"/>
  <c r="BI27" i="10"/>
  <c r="BI26" i="10"/>
  <c r="BI25" i="10"/>
  <c r="BI24" i="10"/>
  <c r="BI23" i="10"/>
  <c r="BI22" i="10"/>
  <c r="BI21" i="10"/>
  <c r="BI20" i="10"/>
  <c r="BI19" i="10"/>
  <c r="BI18" i="10"/>
  <c r="BI17" i="10"/>
  <c r="BI16" i="10"/>
  <c r="BI15" i="10"/>
  <c r="BI14" i="10"/>
  <c r="BI13" i="10"/>
  <c r="BI12" i="10"/>
  <c r="BI11" i="10"/>
  <c r="BI10" i="10"/>
  <c r="BI9" i="10"/>
  <c r="BI8" i="10"/>
  <c r="BI7" i="10"/>
  <c r="BI6" i="10"/>
  <c r="BI5" i="10"/>
  <c r="BI4" i="10"/>
  <c r="F896" i="18"/>
  <c r="F895" i="18"/>
  <c r="F894" i="18"/>
  <c r="F893" i="18"/>
  <c r="F892" i="18"/>
  <c r="F891" i="18"/>
  <c r="F890" i="18"/>
  <c r="F889" i="18"/>
  <c r="F888" i="18"/>
  <c r="F887" i="18"/>
  <c r="F886" i="18"/>
  <c r="F885" i="18"/>
  <c r="F884" i="18"/>
  <c r="F883" i="18"/>
  <c r="F882" i="18"/>
  <c r="F881" i="18"/>
  <c r="F880" i="18"/>
  <c r="F879" i="18"/>
  <c r="F878" i="18"/>
  <c r="F877" i="18"/>
  <c r="F876" i="18"/>
  <c r="F875" i="18"/>
  <c r="F874" i="18"/>
  <c r="F873" i="18"/>
  <c r="F872" i="18"/>
  <c r="F871" i="18"/>
  <c r="F870" i="18"/>
  <c r="F869" i="18"/>
  <c r="F868" i="18"/>
  <c r="F867" i="18"/>
  <c r="F866" i="18"/>
  <c r="F865" i="18"/>
  <c r="F864" i="18"/>
  <c r="F863" i="18"/>
  <c r="F862" i="18"/>
  <c r="F861" i="18"/>
  <c r="F860" i="18"/>
  <c r="F859" i="18"/>
  <c r="F858" i="18"/>
  <c r="F857" i="18"/>
  <c r="F856" i="18"/>
  <c r="F855" i="18"/>
  <c r="F854" i="18"/>
  <c r="F853" i="18"/>
  <c r="F852" i="18"/>
  <c r="F851" i="18"/>
  <c r="F850" i="18"/>
  <c r="F849" i="18"/>
  <c r="F848" i="18"/>
  <c r="F847" i="18"/>
  <c r="F846" i="18"/>
  <c r="F845" i="18"/>
  <c r="F844" i="18"/>
  <c r="F843" i="18"/>
  <c r="F842" i="18"/>
  <c r="F841" i="18"/>
  <c r="F840" i="18"/>
  <c r="F839" i="18"/>
  <c r="F838" i="18"/>
  <c r="F837" i="18"/>
  <c r="F836" i="18"/>
  <c r="F835" i="18"/>
  <c r="D823" i="18"/>
  <c r="D822" i="18"/>
  <c r="D821" i="18"/>
  <c r="D820" i="18"/>
  <c r="D819" i="18"/>
  <c r="D818" i="18"/>
  <c r="D817" i="18"/>
  <c r="D816" i="18"/>
  <c r="D815" i="18"/>
  <c r="D814" i="18"/>
  <c r="D813" i="18"/>
  <c r="D812" i="18"/>
  <c r="D811" i="18"/>
  <c r="D810" i="18"/>
  <c r="D809" i="18"/>
  <c r="D808" i="18"/>
  <c r="D807" i="18"/>
  <c r="D806" i="18"/>
  <c r="D805" i="18"/>
  <c r="D804" i="18"/>
  <c r="D803" i="18"/>
  <c r="D802" i="18"/>
  <c r="D801" i="18"/>
  <c r="D800" i="18"/>
  <c r="D799" i="18"/>
  <c r="D798" i="18"/>
  <c r="D797" i="18"/>
  <c r="D796" i="18"/>
  <c r="D795" i="18"/>
  <c r="D794" i="18"/>
  <c r="D793" i="18"/>
  <c r="D792" i="18"/>
  <c r="D791" i="18"/>
  <c r="D790" i="18"/>
  <c r="D789" i="18"/>
  <c r="D788" i="18"/>
  <c r="D787" i="18"/>
  <c r="D786" i="18"/>
  <c r="D785" i="18"/>
  <c r="D784" i="18"/>
  <c r="D783" i="18"/>
  <c r="D782" i="18"/>
  <c r="D781" i="18"/>
  <c r="D780" i="18"/>
  <c r="D779" i="18"/>
  <c r="D778" i="18"/>
  <c r="D777" i="18"/>
  <c r="D776" i="18"/>
  <c r="D775" i="18"/>
  <c r="D774" i="18"/>
  <c r="D773" i="18"/>
  <c r="D772" i="18"/>
  <c r="D771" i="18"/>
  <c r="C722" i="18"/>
  <c r="D313" i="18"/>
  <c r="D311" i="18"/>
  <c r="D310" i="18"/>
  <c r="D309" i="18"/>
  <c r="D308" i="18"/>
  <c r="D307" i="18"/>
  <c r="D306" i="18"/>
  <c r="D305" i="18"/>
  <c r="D304" i="18"/>
  <c r="D303" i="18"/>
  <c r="D302" i="18"/>
  <c r="D301" i="18"/>
  <c r="D300" i="18"/>
  <c r="D299" i="18"/>
  <c r="D298" i="18"/>
  <c r="D297" i="18"/>
  <c r="D296" i="18"/>
  <c r="D295" i="18"/>
  <c r="D294" i="18"/>
  <c r="D293" i="18"/>
  <c r="D292"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AU160" i="18"/>
  <c r="AU159" i="18"/>
  <c r="AT159" i="18"/>
  <c r="AU158" i="18"/>
  <c r="AT158" i="18"/>
  <c r="AU157" i="18"/>
  <c r="AT157" i="18"/>
  <c r="AU156" i="18"/>
  <c r="AT156" i="18"/>
  <c r="AU155" i="18"/>
  <c r="AT155" i="18"/>
  <c r="AU154" i="18"/>
  <c r="AT154" i="18"/>
  <c r="AU153" i="18"/>
  <c r="AT153" i="18"/>
  <c r="AU152" i="18"/>
  <c r="AT152" i="18"/>
  <c r="AU151" i="18"/>
  <c r="AT151" i="18"/>
  <c r="AU150" i="18"/>
  <c r="AT150" i="18"/>
  <c r="AU149" i="18"/>
  <c r="AT149" i="18"/>
  <c r="AU148" i="18"/>
  <c r="AT148" i="18"/>
  <c r="AU147" i="18"/>
  <c r="AT147" i="18"/>
  <c r="AU146" i="18"/>
  <c r="AT146" i="18"/>
  <c r="AU145" i="18"/>
  <c r="AT145" i="18"/>
  <c r="AU144" i="18"/>
  <c r="AT144" i="18"/>
  <c r="AU143" i="18"/>
  <c r="AT143" i="18"/>
  <c r="AU142" i="18"/>
  <c r="AT142" i="18"/>
  <c r="AU141" i="18"/>
  <c r="AT141" i="18"/>
  <c r="AU140" i="18"/>
  <c r="AT140" i="18"/>
  <c r="AU139" i="18"/>
  <c r="AT139" i="18"/>
  <c r="AU138" i="18"/>
  <c r="AT138" i="18"/>
  <c r="AU137" i="18"/>
  <c r="AT137" i="18"/>
  <c r="AU136" i="18"/>
  <c r="AT136" i="18"/>
  <c r="AU135" i="18"/>
  <c r="AT135" i="18"/>
  <c r="AU134" i="18"/>
  <c r="AT134" i="18"/>
  <c r="AU133" i="18"/>
  <c r="AT133" i="18"/>
  <c r="N133" i="18"/>
  <c r="M133" i="18"/>
  <c r="AU132" i="18"/>
  <c r="AT132" i="18"/>
  <c r="AU131" i="18"/>
  <c r="AT131" i="18"/>
  <c r="AU130" i="18"/>
  <c r="AT130" i="18"/>
  <c r="AU129" i="18"/>
  <c r="AT129" i="18"/>
  <c r="AU128" i="18"/>
  <c r="AT128" i="18"/>
  <c r="AU127" i="18"/>
  <c r="AT127" i="18"/>
  <c r="AU126" i="18"/>
  <c r="AT126" i="18"/>
  <c r="AU125" i="18"/>
  <c r="AT125" i="18"/>
  <c r="N125" i="18"/>
  <c r="M125" i="18"/>
  <c r="AU124" i="18"/>
  <c r="AT124" i="18"/>
  <c r="N124" i="18"/>
  <c r="M124" i="18"/>
  <c r="AU123" i="18"/>
  <c r="AT123" i="18"/>
  <c r="N123" i="18"/>
  <c r="M123" i="18"/>
  <c r="AU122" i="18"/>
  <c r="AT122" i="18"/>
  <c r="N122" i="18"/>
  <c r="M122" i="18"/>
  <c r="AU121" i="18"/>
  <c r="AT121" i="18"/>
  <c r="N121" i="18"/>
  <c r="M121" i="18"/>
  <c r="AU120" i="18"/>
  <c r="AT120" i="18"/>
  <c r="N120" i="18"/>
  <c r="M120" i="18"/>
  <c r="AU119" i="18"/>
  <c r="AT119" i="18"/>
  <c r="N119" i="18"/>
  <c r="M119" i="18"/>
  <c r="AU118" i="18"/>
  <c r="AT118" i="18"/>
  <c r="N118" i="18"/>
  <c r="M118" i="18"/>
  <c r="AU117" i="18"/>
  <c r="AT117" i="18"/>
  <c r="N117" i="18"/>
  <c r="M117" i="18"/>
  <c r="AU116" i="18"/>
  <c r="AT116" i="18"/>
  <c r="N116" i="18"/>
  <c r="M116" i="18"/>
  <c r="AU115" i="18"/>
  <c r="AT115" i="18"/>
  <c r="N115" i="18"/>
  <c r="M115" i="18"/>
  <c r="AU114" i="18"/>
  <c r="AT114" i="18"/>
  <c r="N114" i="18"/>
  <c r="M114" i="18"/>
  <c r="AU113" i="18"/>
  <c r="AT113" i="18"/>
  <c r="N113" i="18"/>
  <c r="M113" i="18"/>
  <c r="AU112" i="18"/>
  <c r="AT112" i="18"/>
  <c r="N112" i="18"/>
  <c r="M112" i="18"/>
  <c r="AU111" i="18"/>
  <c r="AT111" i="18"/>
  <c r="N111" i="18"/>
  <c r="M111" i="18"/>
  <c r="AU110" i="18"/>
  <c r="AT110" i="18"/>
  <c r="N110" i="18"/>
  <c r="M110" i="18"/>
  <c r="AU109" i="18"/>
  <c r="AT109" i="18"/>
  <c r="N109" i="18"/>
  <c r="M109" i="18"/>
  <c r="AU108" i="18"/>
  <c r="AT108" i="18"/>
  <c r="AU107" i="18"/>
  <c r="AT107" i="18"/>
  <c r="N107" i="18"/>
  <c r="M107" i="18"/>
  <c r="AU106" i="18"/>
  <c r="AT106" i="18"/>
  <c r="N106" i="18"/>
  <c r="M106" i="18"/>
  <c r="AU105" i="18"/>
  <c r="AT105" i="18"/>
  <c r="N105" i="18"/>
  <c r="M105" i="18"/>
  <c r="AU104" i="18"/>
  <c r="AT104" i="18"/>
  <c r="N104" i="18"/>
  <c r="M104" i="18"/>
  <c r="AU103" i="18"/>
  <c r="AT103" i="18"/>
  <c r="N103" i="18"/>
  <c r="M103" i="18"/>
  <c r="AU102" i="18"/>
  <c r="AT102" i="18"/>
  <c r="N102" i="18"/>
  <c r="M102" i="18"/>
  <c r="AU101" i="18"/>
  <c r="AT101" i="18"/>
  <c r="N101" i="18"/>
  <c r="M101" i="18"/>
  <c r="AU100" i="18"/>
  <c r="AT100" i="18"/>
  <c r="N100" i="18"/>
  <c r="M100" i="18"/>
  <c r="AU99" i="18"/>
  <c r="AT99" i="18"/>
  <c r="N99" i="18"/>
  <c r="M99" i="18"/>
  <c r="AU98" i="18"/>
  <c r="AT98" i="18"/>
  <c r="N98" i="18"/>
  <c r="M98" i="18"/>
  <c r="AU97" i="18"/>
  <c r="AT97" i="18"/>
  <c r="N97" i="18"/>
  <c r="M97" i="18"/>
  <c r="AU96" i="18"/>
  <c r="AT96" i="18"/>
  <c r="N96" i="18"/>
  <c r="M96" i="18"/>
  <c r="AU95" i="18"/>
  <c r="AT95" i="18"/>
  <c r="N95" i="18"/>
  <c r="M95" i="18"/>
  <c r="AU94" i="18"/>
  <c r="AT94" i="18"/>
  <c r="N94" i="18"/>
  <c r="M94" i="18"/>
  <c r="AU93" i="18"/>
  <c r="AT93" i="18"/>
  <c r="N93" i="18"/>
  <c r="M93" i="18"/>
  <c r="AU92" i="18"/>
  <c r="AT92" i="18"/>
  <c r="N92" i="18"/>
  <c r="M92" i="18"/>
  <c r="AU91" i="18"/>
  <c r="AT91" i="18"/>
  <c r="N91" i="18"/>
  <c r="M91" i="18"/>
  <c r="AU90" i="18"/>
  <c r="AT90" i="18"/>
  <c r="N90" i="18"/>
  <c r="M90" i="18"/>
  <c r="AU89" i="18"/>
  <c r="AT89" i="18"/>
  <c r="N89" i="18"/>
  <c r="M89" i="18"/>
  <c r="AU88" i="18"/>
  <c r="AT88" i="18"/>
  <c r="N88" i="18"/>
  <c r="M88" i="18"/>
  <c r="AU87" i="18"/>
  <c r="AT87" i="18"/>
  <c r="N87" i="18"/>
  <c r="M87" i="18"/>
  <c r="AU86" i="18"/>
  <c r="AT86" i="18"/>
  <c r="N86" i="18"/>
  <c r="M86" i="18"/>
  <c r="AU85" i="18"/>
  <c r="AT85" i="18"/>
  <c r="N85" i="18"/>
  <c r="M85" i="18"/>
  <c r="AU84" i="18"/>
  <c r="AT84" i="18"/>
  <c r="N84" i="18"/>
  <c r="M84" i="18"/>
  <c r="AU83" i="18"/>
  <c r="AT83" i="18"/>
  <c r="N83" i="18"/>
  <c r="M83" i="18"/>
  <c r="AU82" i="18"/>
  <c r="AT82" i="18"/>
  <c r="N82" i="18"/>
  <c r="M82" i="18"/>
  <c r="AU81" i="18"/>
  <c r="AT81" i="18"/>
  <c r="N81" i="18"/>
  <c r="M81" i="18"/>
  <c r="AU80" i="18"/>
  <c r="AT80" i="18"/>
  <c r="N80" i="18"/>
  <c r="M80" i="18"/>
  <c r="AU79" i="18"/>
  <c r="AT79" i="18"/>
  <c r="N79" i="18"/>
  <c r="M79" i="18"/>
  <c r="AU78" i="18"/>
  <c r="AT78" i="18"/>
  <c r="N78" i="18"/>
  <c r="M78" i="18"/>
  <c r="AU77" i="18"/>
  <c r="AT77" i="18"/>
  <c r="N77" i="18"/>
  <c r="M77" i="18"/>
  <c r="AU76" i="18"/>
  <c r="AT76" i="18"/>
  <c r="N76" i="18"/>
  <c r="M76" i="18"/>
  <c r="AU75" i="18"/>
  <c r="AT75" i="18"/>
  <c r="N75" i="18"/>
  <c r="M75" i="18"/>
  <c r="AU74" i="18"/>
  <c r="AT74" i="18"/>
  <c r="N74" i="18"/>
  <c r="M74" i="18"/>
  <c r="AU73" i="18"/>
  <c r="AT73" i="18"/>
  <c r="N73" i="18"/>
  <c r="M73" i="18"/>
  <c r="AU72" i="18"/>
  <c r="AT72" i="18"/>
  <c r="N72" i="18"/>
  <c r="M72" i="18"/>
  <c r="AU71" i="18"/>
  <c r="AT71" i="18"/>
  <c r="N71" i="18"/>
  <c r="M71" i="18"/>
  <c r="AU70" i="18"/>
  <c r="AT70" i="18"/>
  <c r="N70" i="18"/>
  <c r="M70" i="18"/>
  <c r="AU69" i="18"/>
  <c r="AT69" i="18"/>
  <c r="N69" i="18"/>
  <c r="M69" i="18"/>
  <c r="AU68" i="18"/>
  <c r="AT68" i="18"/>
  <c r="N68" i="18"/>
  <c r="M68" i="18"/>
  <c r="AU67" i="18"/>
  <c r="AT67" i="18"/>
  <c r="N67" i="18"/>
  <c r="M67" i="18"/>
  <c r="AU66" i="18"/>
  <c r="AT66" i="18"/>
  <c r="N66" i="18"/>
  <c r="M66" i="18"/>
  <c r="AU65" i="18"/>
  <c r="AT65" i="18"/>
  <c r="N65" i="18"/>
  <c r="M65" i="18"/>
  <c r="AU64" i="18"/>
  <c r="AT64" i="18"/>
  <c r="N64" i="18"/>
  <c r="M64" i="18"/>
  <c r="AU63" i="18"/>
  <c r="AT63" i="18"/>
  <c r="N63" i="18"/>
  <c r="M63"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BK22" i="10" l="1"/>
  <c r="A4" i="10"/>
  <c r="B4" i="10"/>
  <c r="L5" i="10"/>
  <c r="BL19" i="10"/>
  <c r="BK19" i="10"/>
  <c r="BL36" i="10"/>
  <c r="BK36" i="10"/>
  <c r="BL28" i="10"/>
  <c r="BK28" i="10"/>
  <c r="BK50" i="10"/>
  <c r="BL50" i="10"/>
  <c r="BL43" i="10"/>
  <c r="BK43" i="10"/>
  <c r="BL11" i="10"/>
  <c r="BK11" i="10"/>
  <c r="BK26" i="10"/>
  <c r="BL26" i="10"/>
  <c r="BL7" i="10"/>
  <c r="BK7" i="10"/>
  <c r="BL6" i="10"/>
  <c r="BK6" i="10"/>
  <c r="BL52" i="10"/>
  <c r="BK52" i="10"/>
  <c r="BL20" i="10"/>
  <c r="BK20" i="10"/>
  <c r="BK34" i="10"/>
  <c r="BL34" i="10"/>
  <c r="BL35" i="10"/>
  <c r="BK35" i="10"/>
  <c r="BK42" i="10"/>
  <c r="BL42" i="10"/>
  <c r="BK10" i="10"/>
  <c r="BL10" i="10"/>
  <c r="BL44" i="10"/>
  <c r="BK44" i="10"/>
  <c r="BL12" i="10"/>
  <c r="BK12" i="10"/>
  <c r="BK18" i="10"/>
  <c r="BL18" i="10"/>
  <c r="BL51" i="10"/>
  <c r="BK51" i="10"/>
  <c r="BL27" i="10"/>
  <c r="BK27" i="10"/>
  <c r="I13" i="8"/>
  <c r="I8" i="8"/>
  <c r="I19" i="8"/>
  <c r="I10" i="8"/>
  <c r="I5" i="8"/>
  <c r="I16" i="8"/>
  <c r="I12" i="8"/>
  <c r="I20" i="8"/>
  <c r="I11" i="8"/>
  <c r="I7" i="8"/>
  <c r="I6" i="8"/>
  <c r="I18" i="8"/>
  <c r="I15" i="8"/>
  <c r="I14" i="8"/>
  <c r="I17" i="8"/>
  <c r="I9" i="8"/>
  <c r="I4" i="10"/>
  <c r="BL4" i="10" l="1"/>
  <c r="BO45" i="7"/>
  <c r="BO44" i="7"/>
  <c r="BO43" i="7"/>
  <c r="BO42" i="7"/>
  <c r="BO41" i="7"/>
  <c r="BO40" i="7"/>
  <c r="BO39" i="7"/>
  <c r="BO38" i="7"/>
  <c r="BO37" i="7"/>
  <c r="BO36" i="7"/>
  <c r="BO35" i="7"/>
  <c r="BO34" i="7"/>
  <c r="BO33" i="7"/>
  <c r="BO32" i="7"/>
  <c r="BO31" i="7"/>
  <c r="BO30" i="7"/>
  <c r="BO29" i="7"/>
  <c r="BO28" i="7"/>
  <c r="BO27" i="7"/>
  <c r="BO26" i="7"/>
  <c r="BO25" i="7"/>
  <c r="BO24" i="7"/>
  <c r="BO23" i="7"/>
  <c r="BO22" i="7"/>
  <c r="BO21" i="7"/>
  <c r="BO20" i="7"/>
  <c r="BO19" i="7"/>
  <c r="BO18" i="7"/>
  <c r="BO17" i="7"/>
  <c r="BO16" i="7"/>
  <c r="BO15" i="7"/>
  <c r="BO14" i="7"/>
  <c r="BO13" i="7"/>
  <c r="BO12" i="7"/>
  <c r="BO11" i="7"/>
  <c r="BO10" i="7"/>
  <c r="BO9" i="7"/>
  <c r="BO8" i="7"/>
  <c r="BO7" i="7"/>
  <c r="BO6" i="7"/>
  <c r="BO5" i="7"/>
  <c r="BO4" i="7"/>
  <c r="X4" i="7"/>
  <c r="X5" i="7"/>
  <c r="X6" i="7"/>
  <c r="X7" i="7"/>
  <c r="X8" i="7"/>
  <c r="X9" i="7"/>
  <c r="X10" i="7"/>
  <c r="X11" i="7"/>
  <c r="X12" i="7"/>
  <c r="BA12" i="7" s="1"/>
  <c r="X13" i="7"/>
  <c r="X14" i="7"/>
  <c r="X15" i="7"/>
  <c r="X16" i="7"/>
  <c r="X17" i="7"/>
  <c r="X18" i="7"/>
  <c r="X19" i="7"/>
  <c r="X20" i="7"/>
  <c r="X21" i="7"/>
  <c r="X22" i="7"/>
  <c r="X23" i="7"/>
  <c r="BA23" i="7" s="1"/>
  <c r="X24" i="7"/>
  <c r="X25" i="7"/>
  <c r="X26" i="7"/>
  <c r="BA26" i="7" s="1"/>
  <c r="X27" i="7"/>
  <c r="X28" i="7"/>
  <c r="X29" i="7"/>
  <c r="X30" i="7"/>
  <c r="X31" i="7"/>
  <c r="X32" i="7"/>
  <c r="X33" i="7"/>
  <c r="X34" i="7"/>
  <c r="X35" i="7"/>
  <c r="X36" i="7"/>
  <c r="BA36" i="7" s="1"/>
  <c r="BC45" i="10"/>
  <c r="AO41" i="10"/>
  <c r="AO37" i="10"/>
  <c r="AO35" i="10"/>
  <c r="AO33" i="10"/>
  <c r="AO29" i="10"/>
  <c r="AO27" i="10"/>
  <c r="AO23" i="10"/>
  <c r="AO21" i="10"/>
  <c r="AO17" i="10"/>
  <c r="BC13" i="10"/>
  <c r="AO9" i="10"/>
  <c r="AO7" i="10"/>
  <c r="I50" i="8"/>
  <c r="I49" i="8"/>
  <c r="I48" i="8"/>
  <c r="I47" i="8"/>
  <c r="I46" i="8"/>
  <c r="I45" i="8"/>
  <c r="I44" i="8"/>
  <c r="I43" i="8"/>
  <c r="I42" i="8"/>
  <c r="I41" i="8"/>
  <c r="AI148" i="17"/>
  <c r="V148" i="17"/>
  <c r="AI147" i="17"/>
  <c r="U147" i="17"/>
  <c r="T147" i="17"/>
  <c r="S147" i="17"/>
  <c r="R147" i="17"/>
  <c r="Q147" i="17"/>
  <c r="P147" i="17"/>
  <c r="O147" i="17"/>
  <c r="N147" i="17"/>
  <c r="M147" i="17"/>
  <c r="L147" i="17"/>
  <c r="K147" i="17"/>
  <c r="K149" i="17" s="1"/>
  <c r="J147" i="17"/>
  <c r="J149" i="17" s="1"/>
  <c r="AI146" i="17"/>
  <c r="U146" i="17"/>
  <c r="T146" i="17"/>
  <c r="S146" i="17"/>
  <c r="S149" i="17" s="1"/>
  <c r="R146" i="17"/>
  <c r="Q146" i="17"/>
  <c r="P146" i="17"/>
  <c r="O146" i="17"/>
  <c r="N146" i="17"/>
  <c r="M146" i="17"/>
  <c r="L146" i="17"/>
  <c r="K146" i="17"/>
  <c r="J146" i="17"/>
  <c r="AI145" i="17"/>
  <c r="U145" i="17"/>
  <c r="T145" i="17"/>
  <c r="S145" i="17"/>
  <c r="R145" i="17"/>
  <c r="Q145" i="17"/>
  <c r="Q149" i="17" s="1"/>
  <c r="P145" i="17"/>
  <c r="P149" i="17" s="1"/>
  <c r="O145" i="17"/>
  <c r="O149" i="17" s="1"/>
  <c r="N145" i="17"/>
  <c r="V145" i="17" s="1"/>
  <c r="M145" i="17"/>
  <c r="L145" i="17"/>
  <c r="K145" i="17"/>
  <c r="J145" i="17"/>
  <c r="AI144" i="17"/>
  <c r="U144" i="17"/>
  <c r="T144" i="17"/>
  <c r="S144" i="17"/>
  <c r="R144" i="17"/>
  <c r="Q144" i="17"/>
  <c r="P144" i="17"/>
  <c r="O144" i="17"/>
  <c r="N144" i="17"/>
  <c r="M144" i="17"/>
  <c r="L144" i="17"/>
  <c r="V144" i="17" s="1"/>
  <c r="K144" i="17"/>
  <c r="J144" i="17"/>
  <c r="AI143" i="17"/>
  <c r="V143" i="17"/>
  <c r="AI142" i="17"/>
  <c r="V142" i="17"/>
  <c r="AI141" i="17"/>
  <c r="V141" i="17"/>
  <c r="AI140" i="17"/>
  <c r="V140" i="17"/>
  <c r="AI139" i="17"/>
  <c r="V139" i="17"/>
  <c r="AI138" i="17"/>
  <c r="R138" i="17"/>
  <c r="R149" i="17" s="1"/>
  <c r="M138" i="17"/>
  <c r="M149" i="17" s="1"/>
  <c r="AI137" i="17"/>
  <c r="V137" i="17"/>
  <c r="AI136" i="17"/>
  <c r="V136" i="17"/>
  <c r="AI135" i="17"/>
  <c r="V135" i="17"/>
  <c r="AI134" i="17"/>
  <c r="V134" i="17"/>
  <c r="AI133" i="17"/>
  <c r="V133" i="17"/>
  <c r="AI132" i="17"/>
  <c r="V132" i="17"/>
  <c r="AI131" i="17"/>
  <c r="V131" i="17"/>
  <c r="AI130" i="17"/>
  <c r="V130" i="17"/>
  <c r="AI129" i="17"/>
  <c r="V129" i="17"/>
  <c r="AI128" i="17"/>
  <c r="V128" i="17"/>
  <c r="AI127" i="17"/>
  <c r="V127" i="17"/>
  <c r="AI126" i="17"/>
  <c r="V126" i="17"/>
  <c r="AI125" i="17"/>
  <c r="V125" i="17"/>
  <c r="AI124" i="17"/>
  <c r="V124" i="17"/>
  <c r="AI123" i="17"/>
  <c r="V123" i="17"/>
  <c r="AI122" i="17"/>
  <c r="V122" i="17"/>
  <c r="AI121" i="17"/>
  <c r="V121" i="17"/>
  <c r="AI120" i="17"/>
  <c r="V120" i="17"/>
  <c r="AI119" i="17"/>
  <c r="V119" i="17"/>
  <c r="AI118" i="17"/>
  <c r="V118" i="17"/>
  <c r="AI117" i="17"/>
  <c r="V117" i="17"/>
  <c r="AI116" i="17"/>
  <c r="V116" i="17"/>
  <c r="AI115" i="17"/>
  <c r="V115" i="17"/>
  <c r="AI114" i="17"/>
  <c r="V114" i="17"/>
  <c r="AI113" i="17"/>
  <c r="V113" i="17"/>
  <c r="AI112" i="17"/>
  <c r="V112" i="17"/>
  <c r="AI111" i="17"/>
  <c r="V111" i="17"/>
  <c r="AI110" i="17"/>
  <c r="V110" i="17"/>
  <c r="AI109" i="17"/>
  <c r="V109" i="17"/>
  <c r="AI108" i="17"/>
  <c r="V108" i="17"/>
  <c r="AI107" i="17"/>
  <c r="V107" i="17"/>
  <c r="AI106" i="17"/>
  <c r="V106" i="17"/>
  <c r="AI105" i="17"/>
  <c r="V105" i="17"/>
  <c r="AI104" i="17"/>
  <c r="V104" i="17"/>
  <c r="AI103" i="17"/>
  <c r="V103" i="17"/>
  <c r="AI102" i="17"/>
  <c r="V102" i="17"/>
  <c r="AI101" i="17"/>
  <c r="V101" i="17"/>
  <c r="AI100" i="17"/>
  <c r="V100" i="17"/>
  <c r="AI99" i="17"/>
  <c r="V99" i="17"/>
  <c r="AI98" i="17"/>
  <c r="V98" i="17"/>
  <c r="AI97" i="17"/>
  <c r="V97" i="17"/>
  <c r="AI96" i="17"/>
  <c r="V96" i="17"/>
  <c r="AI95" i="17"/>
  <c r="V95" i="17"/>
  <c r="AI94" i="17"/>
  <c r="V94" i="17"/>
  <c r="AI93" i="17"/>
  <c r="V93" i="17"/>
  <c r="AI92" i="17"/>
  <c r="V92" i="17"/>
  <c r="AI91" i="17"/>
  <c r="V91" i="17"/>
  <c r="AI90" i="17"/>
  <c r="V90" i="17"/>
  <c r="AI89" i="17"/>
  <c r="V89" i="17"/>
  <c r="AI88" i="17"/>
  <c r="V88" i="17"/>
  <c r="AI87" i="17"/>
  <c r="V87" i="17"/>
  <c r="AI86" i="17"/>
  <c r="V86" i="17"/>
  <c r="AI85" i="17"/>
  <c r="V85" i="17"/>
  <c r="AI84" i="17"/>
  <c r="V84" i="17"/>
  <c r="AI83" i="17"/>
  <c r="V83" i="17"/>
  <c r="AI82" i="17"/>
  <c r="V82" i="17"/>
  <c r="AI81" i="17"/>
  <c r="V81" i="17"/>
  <c r="AI80" i="17"/>
  <c r="V80" i="17"/>
  <c r="AI79" i="17"/>
  <c r="V79" i="17"/>
  <c r="AI78" i="17"/>
  <c r="V78" i="17"/>
  <c r="AI77" i="17"/>
  <c r="V77" i="17"/>
  <c r="AI76" i="17"/>
  <c r="V76" i="17"/>
  <c r="AI75" i="17"/>
  <c r="V75" i="17"/>
  <c r="AI74" i="17"/>
  <c r="V74" i="17"/>
  <c r="AI73" i="17"/>
  <c r="V73" i="17"/>
  <c r="AI72" i="17"/>
  <c r="V72" i="17"/>
  <c r="AI71" i="17"/>
  <c r="V71" i="17"/>
  <c r="AI70" i="17"/>
  <c r="V70" i="17"/>
  <c r="AI69" i="17"/>
  <c r="V69" i="17"/>
  <c r="AI68" i="17"/>
  <c r="V68" i="17"/>
  <c r="AI67" i="17"/>
  <c r="V67" i="17"/>
  <c r="AI66" i="17"/>
  <c r="V66" i="17"/>
  <c r="AI65" i="17"/>
  <c r="V65" i="17"/>
  <c r="AI64" i="17"/>
  <c r="V64" i="17"/>
  <c r="AI63" i="17"/>
  <c r="V63" i="17"/>
  <c r="AI62" i="17"/>
  <c r="V62" i="17"/>
  <c r="AI61" i="17"/>
  <c r="V61" i="17"/>
  <c r="AI60" i="17"/>
  <c r="V60" i="17"/>
  <c r="AI59" i="17"/>
  <c r="V59" i="17"/>
  <c r="AI58" i="17"/>
  <c r="V58" i="17"/>
  <c r="AI57" i="17"/>
  <c r="V57" i="17"/>
  <c r="AI56" i="17"/>
  <c r="V56" i="17"/>
  <c r="AI55" i="17"/>
  <c r="V55" i="17"/>
  <c r="AI54" i="17"/>
  <c r="V54" i="17"/>
  <c r="AI53" i="17"/>
  <c r="V53" i="17"/>
  <c r="AI52" i="17"/>
  <c r="V52" i="17"/>
  <c r="AI51" i="17"/>
  <c r="V51" i="17"/>
  <c r="AI50" i="17"/>
  <c r="V50" i="17"/>
  <c r="AI49" i="17"/>
  <c r="V49" i="17"/>
  <c r="AI48" i="17"/>
  <c r="V48" i="17"/>
  <c r="AI47" i="17"/>
  <c r="V47" i="17"/>
  <c r="AI46" i="17"/>
  <c r="V46" i="17"/>
  <c r="AI45" i="17"/>
  <c r="V45" i="17"/>
  <c r="AI44" i="17"/>
  <c r="V44" i="17"/>
  <c r="AI43" i="17"/>
  <c r="V43" i="17"/>
  <c r="AI42" i="17"/>
  <c r="V42" i="17"/>
  <c r="AI41" i="17"/>
  <c r="V41" i="17"/>
  <c r="AI40" i="17"/>
  <c r="V40" i="17"/>
  <c r="AI39" i="17"/>
  <c r="V39" i="17"/>
  <c r="AI38" i="17"/>
  <c r="V38" i="17"/>
  <c r="AI37" i="17"/>
  <c r="V37" i="17"/>
  <c r="AI36" i="17"/>
  <c r="V36" i="17"/>
  <c r="AI35" i="17"/>
  <c r="V35" i="17"/>
  <c r="AI34" i="17"/>
  <c r="V34" i="17"/>
  <c r="AI33" i="17"/>
  <c r="V33" i="17"/>
  <c r="AI32" i="17"/>
  <c r="V32" i="17"/>
  <c r="AI31" i="17"/>
  <c r="V31" i="17"/>
  <c r="AI30" i="17"/>
  <c r="V30" i="17"/>
  <c r="AI29" i="17"/>
  <c r="V29" i="17"/>
  <c r="AI28" i="17"/>
  <c r="V28" i="17"/>
  <c r="AI27" i="17"/>
  <c r="V27" i="17"/>
  <c r="AI26" i="17"/>
  <c r="V26" i="17"/>
  <c r="AI25" i="17"/>
  <c r="V25" i="17"/>
  <c r="AI24" i="17"/>
  <c r="V24" i="17"/>
  <c r="AI23" i="17"/>
  <c r="V23" i="17"/>
  <c r="AI22" i="17"/>
  <c r="V22" i="17"/>
  <c r="AI21" i="17"/>
  <c r="V21" i="17"/>
  <c r="AI20" i="17"/>
  <c r="V20" i="17"/>
  <c r="AI19" i="17"/>
  <c r="V19" i="17"/>
  <c r="AI18" i="17"/>
  <c r="V18" i="17"/>
  <c r="AI17" i="17"/>
  <c r="V17" i="17"/>
  <c r="AI16" i="17"/>
  <c r="V16" i="17"/>
  <c r="AI15" i="17"/>
  <c r="V15" i="17"/>
  <c r="AI14" i="17"/>
  <c r="V14" i="17"/>
  <c r="AI13" i="17"/>
  <c r="V13" i="17"/>
  <c r="AI12" i="17"/>
  <c r="V12" i="17"/>
  <c r="AI11" i="17"/>
  <c r="V11" i="17"/>
  <c r="AI10" i="17"/>
  <c r="V10" i="17"/>
  <c r="AI9" i="17"/>
  <c r="V9" i="17"/>
  <c r="AI8" i="17"/>
  <c r="V8" i="17"/>
  <c r="AI7" i="17"/>
  <c r="V7" i="17"/>
  <c r="AI6" i="17"/>
  <c r="V6" i="17"/>
  <c r="AI5" i="17"/>
  <c r="V5" i="17"/>
  <c r="AI4" i="17"/>
  <c r="V4" i="17"/>
  <c r="AI3" i="17"/>
  <c r="V3" i="17"/>
  <c r="AI2" i="17"/>
  <c r="V2" i="17"/>
  <c r="BS52" i="7" l="1"/>
  <c r="BS50" i="7"/>
  <c r="BS48" i="7"/>
  <c r="BS46" i="7"/>
  <c r="BS44" i="7"/>
  <c r="BS42" i="7"/>
  <c r="BS40" i="7"/>
  <c r="BS38" i="7"/>
  <c r="BS51" i="7"/>
  <c r="BS49" i="7"/>
  <c r="BS47" i="7"/>
  <c r="BS45" i="7"/>
  <c r="BS43" i="7"/>
  <c r="BS41" i="7"/>
  <c r="BS39" i="7"/>
  <c r="BS37" i="7"/>
  <c r="BC9" i="7"/>
  <c r="BC13" i="7"/>
  <c r="BC22" i="7"/>
  <c r="BC34" i="7"/>
  <c r="BA31" i="7"/>
  <c r="BA19" i="7"/>
  <c r="BA7" i="7"/>
  <c r="BA10" i="7"/>
  <c r="BA30" i="7"/>
  <c r="BA18" i="7"/>
  <c r="BA6" i="7"/>
  <c r="BC36" i="7"/>
  <c r="BA29" i="7"/>
  <c r="BA17" i="7"/>
  <c r="BA5" i="7"/>
  <c r="BC20" i="7"/>
  <c r="BA25" i="7"/>
  <c r="BA28" i="7"/>
  <c r="BA13" i="7"/>
  <c r="BC32" i="7"/>
  <c r="BA8" i="7"/>
  <c r="BC26" i="7"/>
  <c r="BA15" i="7"/>
  <c r="BA14" i="7"/>
  <c r="AZ13" i="7"/>
  <c r="BC23" i="7"/>
  <c r="BA4" i="7"/>
  <c r="BA27" i="7"/>
  <c r="BC12" i="7"/>
  <c r="BC16" i="7"/>
  <c r="BA16" i="7"/>
  <c r="BA35" i="7"/>
  <c r="BA11" i="7"/>
  <c r="BA20" i="7"/>
  <c r="BA34" i="7"/>
  <c r="BA22" i="7"/>
  <c r="BA24" i="7"/>
  <c r="BC33" i="7"/>
  <c r="BA21" i="7"/>
  <c r="BA9" i="7"/>
  <c r="BC8" i="7"/>
  <c r="BC21" i="7"/>
  <c r="BC28" i="7"/>
  <c r="BA32" i="7"/>
  <c r="BC14" i="7"/>
  <c r="BC18" i="7"/>
  <c r="BC5" i="7"/>
  <c r="BC10" i="7"/>
  <c r="AZ36" i="7"/>
  <c r="AL22" i="7"/>
  <c r="BC30" i="7"/>
  <c r="AL11" i="7"/>
  <c r="BC25" i="7"/>
  <c r="AZ27" i="7"/>
  <c r="AL6" i="7"/>
  <c r="AZ6" i="7"/>
  <c r="AZ11" i="7"/>
  <c r="BC15" i="7"/>
  <c r="BC7" i="7"/>
  <c r="AZ16" i="7"/>
  <c r="BC27" i="7"/>
  <c r="AZ35" i="7"/>
  <c r="AZ37" i="7"/>
  <c r="AZ22" i="7"/>
  <c r="AZ21" i="7"/>
  <c r="AL28" i="7"/>
  <c r="AZ28" i="7"/>
  <c r="BC29" i="7"/>
  <c r="AL32" i="7"/>
  <c r="BC17" i="7"/>
  <c r="AZ23" i="7"/>
  <c r="AL30" i="7"/>
  <c r="AZ30" i="7"/>
  <c r="BC4" i="7"/>
  <c r="AL10" i="7"/>
  <c r="AZ10" i="7"/>
  <c r="AL18" i="7"/>
  <c r="AZ18" i="7"/>
  <c r="BC24" i="7"/>
  <c r="BA33" i="7"/>
  <c r="BC6" i="7"/>
  <c r="BC19" i="7"/>
  <c r="AL25" i="7"/>
  <c r="AZ25" i="7"/>
  <c r="BC31" i="7"/>
  <c r="AZ39" i="7"/>
  <c r="BC11" i="7"/>
  <c r="BC35" i="7"/>
  <c r="AZ12" i="7"/>
  <c r="AZ19" i="7"/>
  <c r="AL19" i="7"/>
  <c r="AZ33" i="7"/>
  <c r="AZ40" i="7"/>
  <c r="AL4" i="7"/>
  <c r="AZ4" i="7"/>
  <c r="AZ15" i="7"/>
  <c r="AZ42" i="7"/>
  <c r="AZ45" i="7"/>
  <c r="AZ24" i="7"/>
  <c r="AZ9" i="7"/>
  <c r="AL13" i="7"/>
  <c r="AZ5" i="7"/>
  <c r="AL5" i="7"/>
  <c r="AL12" i="7"/>
  <c r="AZ20" i="7"/>
  <c r="AL20" i="7"/>
  <c r="AZ26" i="7"/>
  <c r="AL45" i="7"/>
  <c r="AL21" i="7"/>
  <c r="AL27" i="7"/>
  <c r="AZ7" i="7"/>
  <c r="AL7" i="7"/>
  <c r="AZ31" i="7"/>
  <c r="AL31" i="7"/>
  <c r="AL33" i="7"/>
  <c r="AZ34" i="7"/>
  <c r="AL34" i="7"/>
  <c r="AZ29" i="7"/>
  <c r="AL35" i="7"/>
  <c r="AZ44" i="7"/>
  <c r="AZ8" i="7"/>
  <c r="AL8" i="7"/>
  <c r="AZ14" i="7"/>
  <c r="AL36" i="7"/>
  <c r="AL37" i="7"/>
  <c r="AL43" i="7"/>
  <c r="AL9" i="7"/>
  <c r="AL15" i="7"/>
  <c r="AL16" i="7"/>
  <c r="AL23" i="7"/>
  <c r="AL40" i="7"/>
  <c r="AL42" i="7"/>
  <c r="AZ38" i="7"/>
  <c r="AL39" i="7"/>
  <c r="AZ32" i="7"/>
  <c r="AZ41" i="7"/>
  <c r="AZ17" i="7"/>
  <c r="AL17" i="7"/>
  <c r="AL24" i="7"/>
  <c r="AL44" i="7"/>
  <c r="AL29" i="7"/>
  <c r="AL41" i="7"/>
  <c r="AL14" i="7"/>
  <c r="AL26" i="7"/>
  <c r="AL38" i="7"/>
  <c r="AZ43" i="7"/>
  <c r="BC27" i="10"/>
  <c r="BC47" i="10"/>
  <c r="BC17" i="10"/>
  <c r="BC15" i="10"/>
  <c r="BC33" i="10"/>
  <c r="BC51" i="10"/>
  <c r="BC39" i="10"/>
  <c r="BC49" i="10"/>
  <c r="BC43" i="10"/>
  <c r="BC21" i="10"/>
  <c r="BC29" i="10"/>
  <c r="BC31" i="10"/>
  <c r="BC37" i="10"/>
  <c r="BC7" i="10"/>
  <c r="BC23" i="10"/>
  <c r="BC11" i="10"/>
  <c r="BC19" i="10"/>
  <c r="BC25" i="10"/>
  <c r="AO15" i="10"/>
  <c r="AO45" i="10"/>
  <c r="BC9" i="10"/>
  <c r="BC14" i="10"/>
  <c r="AO14" i="10"/>
  <c r="BC22" i="10"/>
  <c r="AO22" i="10"/>
  <c r="BC41" i="10"/>
  <c r="AO49" i="10"/>
  <c r="BC8" i="10"/>
  <c r="AO8" i="10"/>
  <c r="BC28" i="10"/>
  <c r="AO28" i="10"/>
  <c r="AO13" i="10"/>
  <c r="BC6" i="10"/>
  <c r="AO6" i="10"/>
  <c r="AO36" i="10"/>
  <c r="BC40" i="10"/>
  <c r="BC44" i="10"/>
  <c r="BC12" i="10"/>
  <c r="AO20" i="10"/>
  <c r="BC32" i="10"/>
  <c r="AO32" i="10"/>
  <c r="AO48" i="10"/>
  <c r="BC52" i="10"/>
  <c r="AO39" i="10"/>
  <c r="AO43" i="10"/>
  <c r="BC26" i="10"/>
  <c r="AO31" i="10"/>
  <c r="AO51" i="10"/>
  <c r="BC20" i="10"/>
  <c r="AO11" i="10"/>
  <c r="AO18" i="10"/>
  <c r="AO25" i="10"/>
  <c r="BC35" i="10"/>
  <c r="AO19" i="10"/>
  <c r="AO26" i="10"/>
  <c r="AO47" i="10"/>
  <c r="BC18" i="10"/>
  <c r="BC30" i="10"/>
  <c r="AO30" i="10"/>
  <c r="BC10" i="10"/>
  <c r="BC24" i="10"/>
  <c r="AO24" i="10"/>
  <c r="AO38" i="10"/>
  <c r="AO42" i="10"/>
  <c r="BC46" i="10"/>
  <c r="AO12" i="10"/>
  <c r="AO10" i="10"/>
  <c r="BC16" i="10"/>
  <c r="AO16" i="10"/>
  <c r="BC34" i="10"/>
  <c r="BC50" i="10"/>
  <c r="AO40" i="10"/>
  <c r="AO46" i="10"/>
  <c r="AO50" i="10"/>
  <c r="AO52" i="10"/>
  <c r="BC36" i="10"/>
  <c r="BC38" i="10"/>
  <c r="BC42" i="10"/>
  <c r="BC48" i="10"/>
  <c r="AO34" i="10"/>
  <c r="AO44" i="10"/>
  <c r="BC5" i="10"/>
  <c r="AO5" i="10"/>
  <c r="BC4" i="10"/>
  <c r="AO4" i="10"/>
  <c r="V138" i="17"/>
  <c r="V149" i="17" s="1"/>
  <c r="U149" i="17"/>
  <c r="V146" i="17"/>
  <c r="V147" i="17"/>
  <c r="N149" i="17"/>
  <c r="L149" i="17"/>
  <c r="T149" i="17"/>
  <c r="AA52" i="10"/>
  <c r="AA51" i="10"/>
  <c r="AA50" i="10"/>
  <c r="AA49" i="10"/>
  <c r="AA48" i="10"/>
  <c r="AA47" i="10"/>
  <c r="AA46" i="10"/>
  <c r="AA45" i="10"/>
  <c r="AA44" i="10"/>
  <c r="AA43" i="10"/>
  <c r="AA42" i="10"/>
  <c r="AA41" i="10"/>
  <c r="AA40" i="10"/>
  <c r="AA39" i="10"/>
  <c r="AA38" i="10"/>
  <c r="AA37" i="10"/>
  <c r="AA36" i="10"/>
  <c r="AA35" i="10"/>
  <c r="AA34" i="10"/>
  <c r="AA33" i="10"/>
  <c r="AA32" i="10"/>
  <c r="AA31" i="10"/>
  <c r="AA30" i="10"/>
  <c r="AA29" i="10"/>
  <c r="AA28" i="10"/>
  <c r="AA27" i="10"/>
  <c r="AA26" i="10"/>
  <c r="J43" i="11"/>
  <c r="J44" i="11"/>
  <c r="I44" i="11"/>
  <c r="I43" i="11"/>
  <c r="H44" i="11"/>
  <c r="H43" i="11"/>
  <c r="H42" i="11"/>
  <c r="J42" i="11" s="1"/>
  <c r="H4" i="7" l="1"/>
  <c r="I4" i="7" s="1"/>
  <c r="F4" i="7"/>
  <c r="BS4" i="7" s="1"/>
  <c r="BD4" i="7"/>
  <c r="H9" i="7"/>
  <c r="I9" i="7" s="1"/>
  <c r="F9" i="7"/>
  <c r="G9" i="7" s="1"/>
  <c r="B9" i="7" s="1"/>
  <c r="H12" i="7"/>
  <c r="I12" i="7" s="1"/>
  <c r="F12" i="7"/>
  <c r="G12" i="7" s="1"/>
  <c r="B12" i="7" s="1"/>
  <c r="H32" i="7"/>
  <c r="I32" i="7" s="1"/>
  <c r="F32" i="7"/>
  <c r="G32" i="7" s="1"/>
  <c r="B32" i="7" s="1"/>
  <c r="H48" i="7"/>
  <c r="F48" i="7"/>
  <c r="G48" i="7" s="1"/>
  <c r="B48" i="7" s="1"/>
  <c r="H13" i="7"/>
  <c r="I13" i="7" s="1"/>
  <c r="F13" i="7"/>
  <c r="G13" i="7" s="1"/>
  <c r="B13" i="7" s="1"/>
  <c r="H29" i="7"/>
  <c r="I29" i="7" s="1"/>
  <c r="F29" i="7"/>
  <c r="G29" i="7" s="1"/>
  <c r="B29" i="7" s="1"/>
  <c r="H45" i="7"/>
  <c r="F45" i="7"/>
  <c r="G45" i="7" s="1"/>
  <c r="B45" i="7" s="1"/>
  <c r="H14" i="7"/>
  <c r="I14" i="7" s="1"/>
  <c r="F14" i="7"/>
  <c r="G14" i="7" s="1"/>
  <c r="B14" i="7" s="1"/>
  <c r="H34" i="7"/>
  <c r="I34" i="7" s="1"/>
  <c r="F34" i="7"/>
  <c r="G34" i="7" s="1"/>
  <c r="B34" i="7" s="1"/>
  <c r="H50" i="7"/>
  <c r="F50" i="7"/>
  <c r="G50" i="7" s="1"/>
  <c r="B50" i="7" s="1"/>
  <c r="H17" i="7"/>
  <c r="I17" i="7" s="1"/>
  <c r="F17" i="7"/>
  <c r="G17" i="7" s="1"/>
  <c r="B17" i="7" s="1"/>
  <c r="H33" i="7"/>
  <c r="I33" i="7" s="1"/>
  <c r="F33" i="7"/>
  <c r="G33" i="7" s="1"/>
  <c r="B33" i="7" s="1"/>
  <c r="F49" i="7"/>
  <c r="G49" i="7" s="1"/>
  <c r="B49" i="7" s="1"/>
  <c r="H49" i="7"/>
  <c r="H22" i="7"/>
  <c r="I22" i="7" s="1"/>
  <c r="F22" i="7"/>
  <c r="G22" i="7" s="1"/>
  <c r="B22" i="7" s="1"/>
  <c r="F38" i="7"/>
  <c r="G38" i="7" s="1"/>
  <c r="B38" i="7" s="1"/>
  <c r="H38" i="7"/>
  <c r="F8" i="7"/>
  <c r="G8" i="7" s="1"/>
  <c r="B8" i="7" s="1"/>
  <c r="H8" i="7"/>
  <c r="I8" i="7" s="1"/>
  <c r="H15" i="7"/>
  <c r="I15" i="7" s="1"/>
  <c r="F15" i="7"/>
  <c r="G15" i="7" s="1"/>
  <c r="B15" i="7" s="1"/>
  <c r="H20" i="7"/>
  <c r="I20" i="7" s="1"/>
  <c r="F20" i="7"/>
  <c r="G20" i="7" s="1"/>
  <c r="B20" i="7" s="1"/>
  <c r="H19" i="7"/>
  <c r="I19" i="7" s="1"/>
  <c r="F19" i="7"/>
  <c r="G19" i="7" s="1"/>
  <c r="B19" i="7" s="1"/>
  <c r="H35" i="7"/>
  <c r="F35" i="7"/>
  <c r="G35" i="7" s="1"/>
  <c r="B35" i="7" s="1"/>
  <c r="H51" i="7"/>
  <c r="F51" i="7"/>
  <c r="G51" i="7" s="1"/>
  <c r="B51" i="7" s="1"/>
  <c r="H24" i="7"/>
  <c r="I24" i="7" s="1"/>
  <c r="F24" i="7"/>
  <c r="G24" i="7" s="1"/>
  <c r="B24" i="7" s="1"/>
  <c r="H40" i="7"/>
  <c r="F40" i="7"/>
  <c r="G40" i="7" s="1"/>
  <c r="B40" i="7" s="1"/>
  <c r="H16" i="7"/>
  <c r="I16" i="7" s="1"/>
  <c r="F16" i="7"/>
  <c r="G16" i="7" s="1"/>
  <c r="B16" i="7" s="1"/>
  <c r="H27" i="7"/>
  <c r="I27" i="7" s="1"/>
  <c r="F27" i="7"/>
  <c r="G27" i="7" s="1"/>
  <c r="B27" i="7" s="1"/>
  <c r="F31" i="7"/>
  <c r="G31" i="7" s="1"/>
  <c r="B31" i="7" s="1"/>
  <c r="H31" i="7"/>
  <c r="I31" i="7" s="1"/>
  <c r="H52" i="7"/>
  <c r="F52" i="7"/>
  <c r="G52" i="7" s="1"/>
  <c r="B52" i="7" s="1"/>
  <c r="H21" i="7"/>
  <c r="I21" i="7" s="1"/>
  <c r="F21" i="7"/>
  <c r="G21" i="7" s="1"/>
  <c r="B21" i="7" s="1"/>
  <c r="H37" i="7"/>
  <c r="F37" i="7"/>
  <c r="G37" i="7" s="1"/>
  <c r="B37" i="7" s="1"/>
  <c r="H11" i="7"/>
  <c r="I11" i="7" s="1"/>
  <c r="F11" i="7"/>
  <c r="G11" i="7" s="1"/>
  <c r="B11" i="7" s="1"/>
  <c r="H26" i="7"/>
  <c r="I26" i="7" s="1"/>
  <c r="F26" i="7"/>
  <c r="G26" i="7" s="1"/>
  <c r="B26" i="7" s="1"/>
  <c r="H42" i="7"/>
  <c r="F42" i="7"/>
  <c r="G42" i="7" s="1"/>
  <c r="B42" i="7" s="1"/>
  <c r="F7" i="7"/>
  <c r="G7" i="7" s="1"/>
  <c r="B7" i="7" s="1"/>
  <c r="H7" i="7"/>
  <c r="I7" i="7" s="1"/>
  <c r="H23" i="7"/>
  <c r="I23" i="7" s="1"/>
  <c r="F23" i="7"/>
  <c r="G23" i="7" s="1"/>
  <c r="B23" i="7" s="1"/>
  <c r="F39" i="7"/>
  <c r="G39" i="7" s="1"/>
  <c r="B39" i="7" s="1"/>
  <c r="H39" i="7"/>
  <c r="H5" i="7"/>
  <c r="I5" i="7" s="1"/>
  <c r="F5" i="7"/>
  <c r="G5" i="7" s="1"/>
  <c r="B5" i="7" s="1"/>
  <c r="H28" i="7"/>
  <c r="I28" i="7" s="1"/>
  <c r="F28" i="7"/>
  <c r="G28" i="7" s="1"/>
  <c r="B28" i="7" s="1"/>
  <c r="H44" i="7"/>
  <c r="F44" i="7"/>
  <c r="G44" i="7" s="1"/>
  <c r="B44" i="7" s="1"/>
  <c r="H10" i="7"/>
  <c r="I10" i="7" s="1"/>
  <c r="F10" i="7"/>
  <c r="G10" i="7" s="1"/>
  <c r="B10" i="7" s="1"/>
  <c r="H43" i="7"/>
  <c r="F43" i="7"/>
  <c r="G43" i="7" s="1"/>
  <c r="B43" i="7" s="1"/>
  <c r="H47" i="7"/>
  <c r="F47" i="7"/>
  <c r="G47" i="7" s="1"/>
  <c r="B47" i="7" s="1"/>
  <c r="H36" i="7"/>
  <c r="F36" i="7"/>
  <c r="F25" i="7"/>
  <c r="G25" i="7" s="1"/>
  <c r="B25" i="7" s="1"/>
  <c r="H25" i="7"/>
  <c r="I25" i="7" s="1"/>
  <c r="F41" i="7"/>
  <c r="G41" i="7" s="1"/>
  <c r="B41" i="7" s="1"/>
  <c r="H41" i="7"/>
  <c r="H6" i="7"/>
  <c r="I6" i="7" s="1"/>
  <c r="F6" i="7"/>
  <c r="G6" i="7" s="1"/>
  <c r="B6" i="7" s="1"/>
  <c r="F30" i="7"/>
  <c r="G30" i="7" s="1"/>
  <c r="B30" i="7" s="1"/>
  <c r="H30" i="7"/>
  <c r="I30" i="7" s="1"/>
  <c r="F46" i="7"/>
  <c r="G46" i="7" s="1"/>
  <c r="B46" i="7" s="1"/>
  <c r="H46" i="7"/>
  <c r="H18" i="7"/>
  <c r="I18" i="7" s="1"/>
  <c r="F18" i="7"/>
  <c r="G18" i="7" s="1"/>
  <c r="B18" i="7" s="1"/>
  <c r="BD29" i="10"/>
  <c r="BD37" i="10"/>
  <c r="BD45" i="10"/>
  <c r="BD30" i="10"/>
  <c r="BD38" i="10"/>
  <c r="BD46" i="10"/>
  <c r="BD41" i="10"/>
  <c r="BD31" i="10"/>
  <c r="BD39" i="10"/>
  <c r="BD47" i="10"/>
  <c r="BD32" i="10"/>
  <c r="BD40" i="10"/>
  <c r="BD48" i="10"/>
  <c r="BD33" i="10"/>
  <c r="BD34" i="10"/>
  <c r="BD50" i="10"/>
  <c r="BD49" i="10"/>
  <c r="BD26" i="10"/>
  <c r="BD42" i="10"/>
  <c r="BD27" i="10"/>
  <c r="BD35" i="10"/>
  <c r="BD43" i="10"/>
  <c r="BD51" i="10"/>
  <c r="BD28" i="10"/>
  <c r="BD36" i="10"/>
  <c r="BD44" i="10"/>
  <c r="BD52" i="10"/>
  <c r="I42" i="11"/>
  <c r="G36" i="7" l="1"/>
  <c r="B36" i="7" s="1"/>
  <c r="BS36" i="7"/>
  <c r="G4" i="7"/>
  <c r="B4" i="7" s="1"/>
  <c r="BR4" i="7"/>
  <c r="BT4" i="7"/>
  <c r="I49" i="7"/>
  <c r="BR49" i="7"/>
  <c r="BT49" i="7"/>
  <c r="I47" i="7"/>
  <c r="BT47" i="7"/>
  <c r="BR47" i="7"/>
  <c r="I37" i="7"/>
  <c r="BT37" i="7"/>
  <c r="BR37" i="7"/>
  <c r="I51" i="7"/>
  <c r="BR51" i="7"/>
  <c r="BT51" i="7"/>
  <c r="I43" i="7"/>
  <c r="BR43" i="7"/>
  <c r="BT43" i="7"/>
  <c r="I42" i="7"/>
  <c r="BT42" i="7"/>
  <c r="BR42" i="7"/>
  <c r="I35" i="7"/>
  <c r="BR35" i="7"/>
  <c r="BT35" i="7"/>
  <c r="I48" i="7"/>
  <c r="BR48" i="7"/>
  <c r="BT48" i="7"/>
  <c r="I50" i="7"/>
  <c r="BT50" i="7"/>
  <c r="BR50" i="7"/>
  <c r="I41" i="7"/>
  <c r="BR41" i="7"/>
  <c r="BT41" i="7"/>
  <c r="I46" i="7"/>
  <c r="BR46" i="7"/>
  <c r="BT46" i="7"/>
  <c r="I39" i="7"/>
  <c r="BT39" i="7"/>
  <c r="BR39" i="7"/>
  <c r="I38" i="7"/>
  <c r="BT38" i="7"/>
  <c r="BR38" i="7"/>
  <c r="I36" i="7"/>
  <c r="BT36" i="7"/>
  <c r="BR36" i="7"/>
  <c r="I44" i="7"/>
  <c r="BT44" i="7"/>
  <c r="BR44" i="7"/>
  <c r="I52" i="7"/>
  <c r="BT52" i="7"/>
  <c r="BR52" i="7"/>
  <c r="I40" i="7"/>
  <c r="BT40" i="7"/>
  <c r="BR40" i="7"/>
  <c r="I45" i="7"/>
  <c r="BT45" i="7"/>
  <c r="BR45" i="7"/>
  <c r="BS35" i="7"/>
  <c r="M27" i="11"/>
  <c r="M2" i="11"/>
  <c r="D27" i="11"/>
  <c r="C47" i="12"/>
  <c r="C48" i="12" s="1"/>
  <c r="D2" i="11"/>
  <c r="P27" i="11" l="1"/>
  <c r="BD43" i="7" l="1"/>
  <c r="BD36" i="7"/>
  <c r="BD44" i="7"/>
  <c r="BD39" i="7"/>
  <c r="BD41" i="7"/>
  <c r="BD42" i="7"/>
  <c r="BD37" i="7"/>
  <c r="BD45" i="7"/>
  <c r="BD40" i="7"/>
  <c r="BD38" i="7"/>
  <c r="BD21" i="7"/>
  <c r="BD19" i="7"/>
  <c r="BD5" i="7"/>
  <c r="BD13" i="7"/>
  <c r="BD22" i="7"/>
  <c r="BD30" i="7"/>
  <c r="BD14" i="7"/>
  <c r="BD29" i="7"/>
  <c r="BD32" i="7"/>
  <c r="BD23" i="7"/>
  <c r="BD7" i="7"/>
  <c r="BD8" i="7"/>
  <c r="BD16" i="7"/>
  <c r="BD25" i="7"/>
  <c r="BD33" i="7"/>
  <c r="BD9" i="7"/>
  <c r="BD17" i="7"/>
  <c r="BD26" i="7"/>
  <c r="BD34" i="7"/>
  <c r="BD12" i="7"/>
  <c r="BD31" i="7"/>
  <c r="BD24" i="7"/>
  <c r="BD10" i="7"/>
  <c r="BD18" i="7"/>
  <c r="BD27" i="7"/>
  <c r="BD35" i="7"/>
  <c r="BD6" i="7"/>
  <c r="BD15" i="7"/>
  <c r="BD11" i="7"/>
  <c r="BD20" i="7"/>
  <c r="BD28" i="7"/>
  <c r="AA25" i="10"/>
  <c r="AA24" i="10"/>
  <c r="AA23" i="10"/>
  <c r="AA22" i="10"/>
  <c r="AA21" i="10"/>
  <c r="AA20" i="10"/>
  <c r="AA19" i="10"/>
  <c r="AA18" i="10"/>
  <c r="AA17" i="10"/>
  <c r="AA16" i="10"/>
  <c r="AA15" i="10"/>
  <c r="AA14" i="10"/>
  <c r="AA13" i="10"/>
  <c r="AA12" i="10"/>
  <c r="AA11" i="10"/>
  <c r="AA10" i="10"/>
  <c r="AA9" i="10"/>
  <c r="AA8" i="10"/>
  <c r="AA7" i="10"/>
  <c r="AA6" i="10"/>
  <c r="AA5" i="10"/>
  <c r="AA4" i="10"/>
  <c r="BD5" i="10" l="1"/>
  <c r="BD13" i="10"/>
  <c r="BD21" i="10"/>
  <c r="BD17" i="10"/>
  <c r="BD9" i="10"/>
  <c r="BD25" i="10"/>
  <c r="BD10" i="10"/>
  <c r="BD18" i="10"/>
  <c r="BM4" i="10"/>
  <c r="BD4" i="10"/>
  <c r="BD12" i="10"/>
  <c r="BD20" i="10"/>
  <c r="BD6" i="10"/>
  <c r="BD14" i="10"/>
  <c r="BD22" i="10"/>
  <c r="BD7" i="10"/>
  <c r="BD15" i="10"/>
  <c r="BD23" i="10"/>
  <c r="BD8" i="10"/>
  <c r="BD16" i="10"/>
  <c r="BD24" i="10"/>
  <c r="BD11" i="10"/>
  <c r="BD19" i="10"/>
  <c r="BK4" i="10"/>
  <c r="BS19" i="7" l="1"/>
  <c r="G36" i="8"/>
  <c r="X37" i="7" l="1"/>
  <c r="BR26" i="7" l="1"/>
  <c r="BT26" i="7"/>
  <c r="BR6" i="7"/>
  <c r="BT6" i="7"/>
  <c r="BR7" i="7"/>
  <c r="BT7" i="7"/>
  <c r="BR33" i="7"/>
  <c r="BT33" i="7"/>
  <c r="BR15" i="7"/>
  <c r="BT15" i="7"/>
  <c r="BS28" i="7"/>
  <c r="BR9" i="7"/>
  <c r="BT9" i="7"/>
  <c r="BS16" i="7"/>
  <c r="BR22" i="7"/>
  <c r="BT22" i="7"/>
  <c r="BR28" i="7"/>
  <c r="BT28" i="7"/>
  <c r="BR34" i="7"/>
  <c r="BT34" i="7"/>
  <c r="BR5" i="7"/>
  <c r="BT5" i="7"/>
  <c r="BS27" i="7"/>
  <c r="BR8" i="7"/>
  <c r="BT8" i="7"/>
  <c r="BS22" i="7"/>
  <c r="BS34" i="7"/>
  <c r="BR10" i="7"/>
  <c r="BT10" i="7"/>
  <c r="BR16" i="7"/>
  <c r="BT16" i="7"/>
  <c r="BS23" i="7"/>
  <c r="BS29" i="7"/>
  <c r="BR20" i="7"/>
  <c r="BT20" i="7"/>
  <c r="BR32" i="7"/>
  <c r="BT32" i="7"/>
  <c r="BR14" i="7"/>
  <c r="BT14" i="7"/>
  <c r="BS33" i="7"/>
  <c r="BS15" i="7"/>
  <c r="BR27" i="7"/>
  <c r="BT27" i="7"/>
  <c r="BS9" i="7"/>
  <c r="BS11" i="7"/>
  <c r="BR23" i="7"/>
  <c r="BT23" i="7"/>
  <c r="BR29" i="7"/>
  <c r="BT29" i="7"/>
  <c r="BS8" i="7"/>
  <c r="BR11" i="7"/>
  <c r="BT11" i="7"/>
  <c r="BR17" i="7"/>
  <c r="BT17" i="7"/>
  <c r="BS30" i="7"/>
  <c r="BS7" i="7"/>
  <c r="BS12" i="7"/>
  <c r="BS18" i="7"/>
  <c r="BR30" i="7"/>
  <c r="BT30" i="7"/>
  <c r="BS6" i="7"/>
  <c r="BR12" i="7"/>
  <c r="BT12" i="7"/>
  <c r="BS25" i="7"/>
  <c r="BS31" i="7"/>
  <c r="BS5" i="7"/>
  <c r="BS13" i="7"/>
  <c r="BR19" i="7"/>
  <c r="BT19" i="7"/>
  <c r="BR25" i="7"/>
  <c r="BT25" i="7"/>
  <c r="BR31" i="7"/>
  <c r="BT31" i="7"/>
  <c r="BS14" i="7"/>
  <c r="BS21" i="7"/>
  <c r="BR21" i="7"/>
  <c r="BT21" i="7"/>
  <c r="BS17" i="7"/>
  <c r="BS24" i="7"/>
  <c r="BR24" i="7"/>
  <c r="BT24" i="7"/>
  <c r="BR18" i="7"/>
  <c r="BT18" i="7"/>
  <c r="BS10" i="7"/>
  <c r="BR13" i="7"/>
  <c r="BT13" i="7"/>
  <c r="BS20" i="7"/>
  <c r="BS26" i="7"/>
  <c r="BS32" i="7"/>
  <c r="BA38" i="7"/>
  <c r="BC38" i="7"/>
  <c r="BA39" i="7"/>
  <c r="BC39" i="7"/>
  <c r="BA43" i="7"/>
  <c r="BC43" i="7"/>
  <c r="BA42" i="7"/>
  <c r="BC42" i="7"/>
  <c r="BA40" i="7"/>
  <c r="BC40" i="7"/>
  <c r="BA44" i="7"/>
  <c r="BC44" i="7"/>
  <c r="BA37" i="7"/>
  <c r="BC37" i="7"/>
  <c r="BA41" i="7"/>
  <c r="BC41" i="7"/>
  <c r="BA45" i="7"/>
  <c r="BC45"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421C80C8-DD90-4974-B2B8-081BCB85C3EE}">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Safitri Nur Andhini</author>
    <author>Helpdesk</author>
    <author>tc={CABA4658-0954-49BC-916C-9812A6C93D49}</author>
    <author>tc={58F8507E-8A95-4213-AA81-3ABF2B9F93B4}</author>
    <author>tc={09A92904-1BF3-45DF-8E51-38E8B8F19745}</author>
    <author>tc={B5670C15-9719-4AEF-8C9B-4DF4A5B7C79E}</author>
    <author>tc={1F45B8E8-8C30-4D80-993A-82E97FB64E21}</author>
    <author>tc={35E620CE-3FB7-4D60-A57A-DCBE8872F42B}</author>
    <author>tc={5C60114A-6E3D-48B3-A5FE-F0DC013764F9}</author>
    <author>tc={DA0C3139-6257-4A3D-B987-06EAFBC7A111}</author>
    <author>tc={4059AB21-2E47-4A5D-A6DB-4451B9DF53D4}</author>
    <author>tc={72474E9F-EC17-41F6-8CE9-482A61297F37}</author>
    <author>tc={C710AE4F-9D94-45E0-A5C2-9E78D4AD107A}</author>
    <author>tc={F3FFBAE4-6C36-4A25-AA4B-2D5EBA662712}</author>
    <author>tc={28C168C2-E6C7-49BC-BC18-DAF195D733C5}</author>
    <author>tc={89C7041F-6E01-40CF-83FC-CC98A6F2AAA4}</author>
    <author>tc={B9884DF2-0D14-4954-A8DE-EB917A78647B}</author>
    <author>tc={A86FDD57-3744-47C3-9A9E-F3B9F07E7985}</author>
    <author>tc={5E2E5389-C294-4365-96BC-77AE448E662A}</author>
    <author>tc={73099E53-395A-449F-AC5F-7C2CDF8C127A}</author>
    <author>tc={1534D563-C741-49B1-BB5D-B699085E7C98}</author>
    <author>tc={07CB467C-EE34-4B6F-819E-68849B868A25}</author>
    <author>tc={63115A9B-1AA2-4BD3-8867-840101A5661A}</author>
    <author>tc={6DCEDAFE-35AC-495A-811B-0F348D5B180F}</author>
    <author>tc={A40F0D58-E9FF-492E-85F4-8A287E4A2149}</author>
  </authors>
  <commentList>
    <comment ref="AA1" authorId="0" shapeId="0" xr:uid="{FEADB008-7B87-4AE3-BD38-55D5C914CDDD}">
      <text>
        <r>
          <rPr>
            <b/>
            <sz val="9"/>
            <rFont val="Tahoma"/>
            <family val="2"/>
          </rPr>
          <t>Recurring : Kegiatan rutin, ada setiap tahun atau bulan atau di beberapa periode
One Off : Kegiatan yang dilakukan hanya 1x saja yang disebabkan / dengan tujuan khusus</t>
        </r>
      </text>
    </comment>
    <comment ref="C6" authorId="1" shapeId="0" xr:uid="{B84328FD-46B1-40D1-9E7F-C74B2300FB32}">
      <text>
        <r>
          <rPr>
            <b/>
            <sz val="9"/>
            <color indexed="81"/>
            <rFont val="Tahoma"/>
            <family val="2"/>
          </rPr>
          <t>Helpdesk:</t>
        </r>
        <r>
          <rPr>
            <sz val="9"/>
            <color indexed="81"/>
            <rFont val="Tahoma"/>
            <family val="2"/>
          </rPr>
          <t xml:space="preserve">
monthly service server @ 4.00.000</t>
        </r>
      </text>
    </comment>
    <comment ref="C7" authorId="1" shapeId="0" xr:uid="{0A0D9948-198D-4CFD-8A51-6B8BDE60F1FC}">
      <text>
        <r>
          <rPr>
            <b/>
            <sz val="9"/>
            <color indexed="81"/>
            <rFont val="Tahoma"/>
            <family val="2"/>
          </rPr>
          <t>Helpdesk:</t>
        </r>
        <r>
          <rPr>
            <sz val="9"/>
            <color indexed="81"/>
            <rFont val="Tahoma"/>
            <family val="2"/>
          </rPr>
          <t xml:space="preserve">
quarterly per 3 bulan untuk 3 unit AC 
</t>
        </r>
      </text>
    </comment>
    <comment ref="C13" authorId="1" shapeId="0" xr:uid="{430134E5-937B-4A1D-BE2C-C6E5CD48FCBB}">
      <text>
        <r>
          <rPr>
            <b/>
            <sz val="9"/>
            <color indexed="81"/>
            <rFont val="Tahoma"/>
            <family val="2"/>
          </rPr>
          <t xml:space="preserve">Helpdesk:
</t>
        </r>
      </text>
    </comment>
    <comment ref="C52" authorId="2" shapeId="0" xr:uid="{CABA4658-0954-49BC-916C-9812A6C93D49}">
      <text>
        <t>[Threaded comment]
Your version of Excel allows you to read this threaded comment; however, any edits to it will get removed if the file is opened in a newer version of Excel. Learn more: https://go.microsoft.com/fwlink/?linkid=870924
Comment:
    ATA</t>
      </text>
    </comment>
    <comment ref="C54" authorId="3" shapeId="0" xr:uid="{58F8507E-8A95-4213-AA81-3ABF2B9F93B4}">
      <text>
        <t xml:space="preserve">[Threaded comment]
Your version of Excel allows you to read this threaded comment; however, any edits to it will get removed if the file is opened in a newer version of Excel. Learn more: https://go.microsoft.com/fwlink/?linkid=870924
Comment:
    Tidak dipakai </t>
      </text>
    </comment>
    <comment ref="C55" authorId="4" shapeId="0" xr:uid="{09A92904-1BF3-45DF-8E51-38E8B8F19745}">
      <text>
        <t>[Threaded comment]
Your version of Excel allows you to read this threaded comment; however, any edits to it will get removed if the file is opened in a newer version of Excel. Learn more: https://go.microsoft.com/fwlink/?linkid=870924
Comment:
    ATA</t>
      </text>
    </comment>
    <comment ref="C61" authorId="5" shapeId="0" xr:uid="{B5670C15-9719-4AEF-8C9B-4DF4A5B7C79E}">
      <text>
        <t>[Threaded comment]
Your version of Excel allows you to read this threaded comment; however, any edits to it will get removed if the file is opened in a newer version of Excel. Learn more: https://go.microsoft.com/fwlink/?linkid=870924
Comment:
    ATA</t>
      </text>
    </comment>
    <comment ref="C62" authorId="6" shapeId="0" xr:uid="{1F45B8E8-8C30-4D80-993A-82E97FB64E21}">
      <text>
        <t>[Threaded comment]
Your version of Excel allows you to read this threaded comment; however, any edits to it will get removed if the file is opened in a newer version of Excel. Learn more: https://go.microsoft.com/fwlink/?linkid=870924
Comment:
    ATA</t>
      </text>
    </comment>
    <comment ref="C65" authorId="7" shapeId="0" xr:uid="{35E620CE-3FB7-4D60-A57A-DCBE8872F42B}">
      <text>
        <t>[Threaded comment]
Your version of Excel allows you to read this threaded comment; however, any edits to it will get removed if the file is opened in a newer version of Excel. Learn more: https://go.microsoft.com/fwlink/?linkid=870924
Comment:
    ATA</t>
      </text>
    </comment>
    <comment ref="C66" authorId="8" shapeId="0" xr:uid="{5C60114A-6E3D-48B3-A5FE-F0DC013764F9}">
      <text>
        <t>[Threaded comment]
Your version of Excel allows you to read this threaded comment; however, any edits to it will get removed if the file is opened in a newer version of Excel. Learn more: https://go.microsoft.com/fwlink/?linkid=870924
Comment:
    ATA</t>
      </text>
    </comment>
    <comment ref="C67" authorId="9" shapeId="0" xr:uid="{DA0C3139-6257-4A3D-B987-06EAFBC7A111}">
      <text>
        <t>[Threaded comment]
Your version of Excel allows you to read this threaded comment; however, any edits to it will get removed if the file is opened in a newer version of Excel. Learn more: https://go.microsoft.com/fwlink/?linkid=870924
Comment:
    ATA</t>
      </text>
    </comment>
    <comment ref="C68" authorId="10" shapeId="0" xr:uid="{4059AB21-2E47-4A5D-A6DB-4451B9DF53D4}">
      <text>
        <t>[Threaded comment]
Your version of Excel allows you to read this threaded comment; however, any edits to it will get removed if the file is opened in a newer version of Excel. Learn more: https://go.microsoft.com/fwlink/?linkid=870924
Comment:
    ATA</t>
      </text>
    </comment>
    <comment ref="C69" authorId="11" shapeId="0" xr:uid="{72474E9F-EC17-41F6-8CE9-482A61297F37}">
      <text>
        <t>[Threaded comment]
Your version of Excel allows you to read this threaded comment; however, any edits to it will get removed if the file is opened in a newer version of Excel. Learn more: https://go.microsoft.com/fwlink/?linkid=870924
Comment:
    ATA</t>
      </text>
    </comment>
    <comment ref="C72" authorId="12" shapeId="0" xr:uid="{C710AE4F-9D94-45E0-A5C2-9E78D4AD107A}">
      <text>
        <t>[Threaded comment]
Your version of Excel allows you to read this threaded comment; however, any edits to it will get removed if the file is opened in a newer version of Excel. Learn more: https://go.microsoft.com/fwlink/?linkid=870924
Comment:
    ATA</t>
      </text>
    </comment>
    <comment ref="C74" authorId="13" shapeId="0" xr:uid="{F3FFBAE4-6C36-4A25-AA4B-2D5EBA662712}">
      <text>
        <t>[Threaded comment]
Your version of Excel allows you to read this threaded comment; however, any edits to it will get removed if the file is opened in a newer version of Excel. Learn more: https://go.microsoft.com/fwlink/?linkid=870924
Comment:
    ATA</t>
      </text>
    </comment>
    <comment ref="C77" authorId="14" shapeId="0" xr:uid="{28C168C2-E6C7-49BC-BC18-DAF195D733C5}">
      <text>
        <t>[Threaded comment]
Your version of Excel allows you to read this threaded comment; however, any edits to it will get removed if the file is opened in a newer version of Excel. Learn more: https://go.microsoft.com/fwlink/?linkid=870924
Comment:
    ATA</t>
      </text>
    </comment>
    <comment ref="C78" authorId="15" shapeId="0" xr:uid="{89C7041F-6E01-40CF-83FC-CC98A6F2AAA4}">
      <text>
        <t>[Threaded comment]
Your version of Excel allows you to read this threaded comment; however, any edits to it will get removed if the file is opened in a newer version of Excel. Learn more: https://go.microsoft.com/fwlink/?linkid=870924
Comment:
    ATA</t>
      </text>
    </comment>
    <comment ref="C102" authorId="16" shapeId="0" xr:uid="{B9884DF2-0D14-4954-A8DE-EB917A78647B}">
      <text>
        <t>[Threaded comment]
Your version of Excel allows you to read this threaded comment; however, any edits to it will get removed if the file is opened in a newer version of Excel. Learn more: https://go.microsoft.com/fwlink/?linkid=870924
Comment:
    TSA</t>
      </text>
    </comment>
    <comment ref="C122" authorId="17" shapeId="0" xr:uid="{A86FDD57-3744-47C3-9A9E-F3B9F07E7985}">
      <text>
        <t>[Threaded comment]
Your version of Excel allows you to read this threaded comment; however, any edits to it will get removed if the file is opened in a newer version of Excel. Learn more: https://go.microsoft.com/fwlink/?linkid=870924
Comment:
    ATA</t>
      </text>
    </comment>
    <comment ref="C126" authorId="18" shapeId="0" xr:uid="{5E2E5389-C294-4365-96BC-77AE448E662A}">
      <text>
        <t>[Threaded comment]
Your version of Excel allows you to read this threaded comment; however, any edits to it will get removed if the file is opened in a newer version of Excel. Learn more: https://go.microsoft.com/fwlink/?linkid=870924
Comment:
    Actual = November 
ATA (maret)</t>
      </text>
    </comment>
    <comment ref="C127" authorId="19" shapeId="0" xr:uid="{73099E53-395A-449F-AC5F-7C2CDF8C127A}">
      <text>
        <t>[Threaded comment]
Your version of Excel allows you to read this threaded comment; however, any edits to it will get removed if the file is opened in a newer version of Excel. Learn more: https://go.microsoft.com/fwlink/?linkid=870924
Comment:
    ATA: Agustus 2023 10.000.000</t>
      </text>
    </comment>
    <comment ref="C128" authorId="1" shapeId="0" xr:uid="{412598E7-9064-41F7-93B3-455F62DE8495}">
      <text>
        <r>
          <rPr>
            <b/>
            <sz val="9"/>
            <color indexed="81"/>
            <rFont val="Tahoma"/>
            <family val="2"/>
          </rPr>
          <t>Helpdesk:</t>
        </r>
        <r>
          <rPr>
            <sz val="9"/>
            <color indexed="81"/>
            <rFont val="Tahoma"/>
            <family val="2"/>
          </rPr>
          <t xml:space="preserve">
</t>
        </r>
      </text>
    </comment>
    <comment ref="C129" authorId="20" shapeId="0" xr:uid="{1534D563-C741-49B1-BB5D-B699085E7C98}">
      <text>
        <t>[Threaded comment]
Your version of Excel allows you to read this threaded comment; however, any edits to it will get removed if the file is opened in a newer version of Excel. Learn more: https://go.microsoft.com/fwlink/?linkid=870924
Comment:
    ATA</t>
      </text>
    </comment>
    <comment ref="C130" authorId="21" shapeId="0" xr:uid="{07CB467C-EE34-4B6F-819E-68849B868A25}">
      <text>
        <t>[Threaded comment]
Your version of Excel allows you to read this threaded comment; however, any edits to it will get removed if the file is opened in a newer version of Excel. Learn more: https://go.microsoft.com/fwlink/?linkid=870924
Comment:
    ATA</t>
      </text>
    </comment>
    <comment ref="C131" authorId="22" shapeId="0" xr:uid="{63115A9B-1AA2-4BD3-8867-840101A5661A}">
      <text>
        <t>[Threaded comment]
Your version of Excel allows you to read this threaded comment; however, any edits to it will get removed if the file is opened in a newer version of Excel. Learn more: https://go.microsoft.com/fwlink/?linkid=870924
Comment:
    ATA</t>
      </text>
    </comment>
    <comment ref="C137" authorId="23" shapeId="0" xr:uid="{6DCEDAFE-35AC-495A-811B-0F348D5B180F}">
      <text>
        <t>[Threaded comment]
Your version of Excel allows you to read this threaded comment; however, any edits to it will get removed if the file is opened in a newer version of Excel. Learn more: https://go.microsoft.com/fwlink/?linkid=870924
Comment:
    ATA</t>
      </text>
    </comment>
    <comment ref="B147" authorId="24" shapeId="0" xr:uid="{A40F0D58-E9FF-492E-85F4-8A287E4A2149}">
      <text>
        <t>[Threaded comment]
Your version of Excel allows you to read this threaded comment; however, any edits to it will get removed if the file is opened in a newer version of Excel. Learn more: https://go.microsoft.com/fwlink/?linkid=870924
Comment:
    4 devices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<sst xmlns="http://schemas.openxmlformats.org/spreadsheetml/2006/main" count="9615" uniqueCount="3393">
  <si>
    <t>Petunjuk Umum</t>
  </si>
  <si>
    <r>
      <t>Dasar penyusunan anggaran tahunan (</t>
    </r>
    <r>
      <rPr>
        <i/>
        <sz val="11"/>
        <rFont val="Arial"/>
        <family val="2"/>
      </rPr>
      <t>Master Budget</t>
    </r>
    <r>
      <rPr>
        <sz val="11"/>
        <rFont val="Arial"/>
        <family val="2"/>
      </rPr>
      <t>) dapat mempertimbangkan:</t>
    </r>
  </si>
  <si>
    <t>•</t>
  </si>
  <si>
    <r>
      <t xml:space="preserve">Mohon untuk </t>
    </r>
    <r>
      <rPr>
        <b/>
        <sz val="11"/>
        <rFont val="Arial"/>
        <family val="2"/>
      </rPr>
      <t>tidak</t>
    </r>
    <r>
      <rPr>
        <sz val="11"/>
        <rFont val="Arial"/>
        <family val="2"/>
      </rPr>
      <t xml:space="preserve"> menghapus&amp;menambah baris/kolom pada Lembar kerja anggaran tahunan (</t>
    </r>
    <r>
      <rPr>
        <i/>
        <sz val="11"/>
        <rFont val="Arial"/>
        <family val="2"/>
      </rPr>
      <t>master budget template</t>
    </r>
    <r>
      <rPr>
        <sz val="11"/>
        <rFont val="Arial"/>
        <family val="2"/>
      </rPr>
      <t>)</t>
    </r>
  </si>
  <si>
    <t>Setiap Departemen wajib menunjuk PIC anggaran (selain manager) untuk mempermudah pemberitahuan terkini terkait dengan perubahan/tambahan peraturan/kebijakan</t>
  </si>
  <si>
    <r>
      <t>Lembar kerja anggaran tahunan (</t>
    </r>
    <r>
      <rPr>
        <i/>
        <sz val="11"/>
        <color theme="1"/>
        <rFont val="Arial"/>
        <family val="2"/>
      </rPr>
      <t>master budget</t>
    </r>
    <r>
      <rPr>
        <sz val="11"/>
        <color theme="1"/>
        <rFont val="Arial"/>
        <family val="2"/>
      </rPr>
      <t xml:space="preserve"> template) harus diketahui dan disetujui oleh Kepala Departemen/Manajer, Kepala Divisi/GM, dan Direktur terkait</t>
    </r>
  </si>
  <si>
    <t>Petunjuk Rinci/Detail</t>
  </si>
  <si>
    <t>Terdapat 4 bagian dalam lembar kerja budget :</t>
  </si>
  <si>
    <t>- COVER</t>
  </si>
  <si>
    <r>
      <t xml:space="preserve">- </t>
    </r>
    <r>
      <rPr>
        <sz val="11"/>
        <color rgb="FF000000"/>
        <rFont val="Arial"/>
        <family val="2"/>
      </rPr>
      <t>OPEX DETAIL</t>
    </r>
  </si>
  <si>
    <t>Sheet 1 : Cover</t>
  </si>
  <si>
    <t>Cover</t>
  </si>
  <si>
    <t>Harap isi masing-masing bagian sesuai urutan dibawah.</t>
  </si>
  <si>
    <t xml:space="preserve">Year                                   </t>
  </si>
  <si>
    <t>Diisi dengan tahun perencanaan budget</t>
  </si>
  <si>
    <t>BU/HO</t>
  </si>
  <si>
    <t>Div. /Dept.</t>
  </si>
  <si>
    <t>Diisi sesuai dengan Divisi / Departement yang tertera di list.</t>
  </si>
  <si>
    <t>HO</t>
  </si>
  <si>
    <t>BOD</t>
  </si>
  <si>
    <t>Corp. Planning &amp; Sustainability</t>
  </si>
  <si>
    <t>Internal Audit</t>
  </si>
  <si>
    <t>HSE</t>
  </si>
  <si>
    <t>Regulatory</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</si>
  <si>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</si>
  <si>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</si>
  <si>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</si>
  <si>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</si>
  <si>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</si>
  <si>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</si>
  <si>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</si>
  <si>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</si>
  <si>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</si>
  <si>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</si>
  <si>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</si>
  <si>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</si>
  <si>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Siapkan approval sesuai dengan approval matrix Divisi / Departement masing-masing</t>
  </si>
  <si>
    <r>
      <t xml:space="preserve">Harap isi masing-masing bagian sesuai urutan dibawah dan harap mengisi kolom yang berwarna </t>
    </r>
    <r>
      <rPr>
        <b/>
        <sz val="11"/>
        <color theme="1"/>
        <rFont val="Arial"/>
        <family val="2"/>
      </rPr>
      <t>putih</t>
    </r>
    <r>
      <rPr>
        <sz val="11"/>
        <color theme="1"/>
        <rFont val="Arial"/>
        <family val="2"/>
      </rPr>
      <t>.</t>
    </r>
  </si>
  <si>
    <t>Ledger SAP</t>
  </si>
  <si>
    <t>Budget 2024</t>
  </si>
  <si>
    <t>No (SAP)</t>
  </si>
  <si>
    <t>Name (SAP)</t>
  </si>
  <si>
    <t>Definition</t>
  </si>
  <si>
    <t>Cost Owner</t>
  </si>
  <si>
    <t>Related Departments</t>
  </si>
  <si>
    <t>Diisi bila department/divisi terkait mempunyai biaya operasional budget untuk periode ini.</t>
  </si>
  <si>
    <t>Cost Center</t>
  </si>
  <si>
    <t>Table 3.1. List Ledger Opex</t>
  </si>
  <si>
    <t>DL Salaries &amp; Wages</t>
  </si>
  <si>
    <t>Biaya imbalan dasar beserta lembur untuk karyawan tetap yang secara langsung menangani proses produksi.</t>
  </si>
  <si>
    <t>HR</t>
  </si>
  <si>
    <t>DL Overtime</t>
  </si>
  <si>
    <t>Biaya lembur atas pekerjaan yang melebihi jam kerja biasa untuk karyawan tetap yang secara langsung menangani proses produksi.</t>
  </si>
  <si>
    <t>DL THR</t>
  </si>
  <si>
    <t>Biaya kompensasi tambahan yang berupa hadiah dari perusahaan dan tunjangan hari raya untuk karyawan tetap yang secara langsung menangani proses produksi.</t>
  </si>
  <si>
    <t>DL Allowances</t>
  </si>
  <si>
    <t>Biaya tunjangan lainnya untuk karyawan tetap yang secara langsung menangani proses produksi.</t>
  </si>
  <si>
    <t>DL Social Security</t>
  </si>
  <si>
    <t>Biaya iuran BPJS karyawan tetap yang secara langsung menangani proses produksi.</t>
  </si>
  <si>
    <t>DL Contract Employee Pay</t>
  </si>
  <si>
    <t>Biaya imbalan dasar, lembur, dan kompensasi tambahan untuk karyawan kontrak yang secara langsung menangani proses produksi.</t>
  </si>
  <si>
    <t>DL  Incentives</t>
  </si>
  <si>
    <t>Gaji insentif karyawan produksi atas pencapaian target produksi.</t>
  </si>
  <si>
    <t>DL Employee Income Tax</t>
  </si>
  <si>
    <t>Biaya atas Pph 21 terkait dengan karyawan yang berkaitan langsung dengan produksi.</t>
  </si>
  <si>
    <t>DL Bonus</t>
  </si>
  <si>
    <t>Bonus yang diterima karyawan produksi seperti Bonus tahunan dan THR.</t>
  </si>
  <si>
    <t>DL Severance Pay</t>
  </si>
  <si>
    <t>Biaya terkait dengan karyawan produksi yang pension/resign (pesangon).</t>
  </si>
  <si>
    <t>DL Employee Insurance</t>
  </si>
  <si>
    <t>Biaya kesejahteraan untuk asuransi karyawan produksi.</t>
  </si>
  <si>
    <t>DL Others</t>
  </si>
  <si>
    <t>Biaya terkait karyawan produksi diluar gaji pokok, “overtime”, “allowances” &amp; “incentives”.</t>
  </si>
  <si>
    <t>IDL Salaries &amp; Wages</t>
  </si>
  <si>
    <t>Biaya imbalan dasar beserta lembur untuk karyawan tetap yang tidak secara langsung menangani proses produksi.</t>
  </si>
  <si>
    <t>IDL Overtime</t>
  </si>
  <si>
    <t>Biaya lembur atas pekerjaan yang melebihi jam kerja biasa untuk karyawan tetap yang tidak secara langsung menangani proses produksi.</t>
  </si>
  <si>
    <t>IDL THR</t>
  </si>
  <si>
    <t>Biaya kompensasi tambahan yang berupa hadiah dari perusahaan dan tunjangan hari raya untuk karyawan tetap yang tidak secara langsung menangani proses produksi.</t>
  </si>
  <si>
    <t>IDL Allowances</t>
  </si>
  <si>
    <t>Biaya tunjangan lainnya untuk karyawan tetap yang tidak secara langsung menangani proses produksi.</t>
  </si>
  <si>
    <t>IDL Social Security</t>
  </si>
  <si>
    <t>Biaya iuran BPJS karyawan tetap yang tidak secara langsung menangani proses produksi.</t>
  </si>
  <si>
    <t>IDL Contract Employee Pay</t>
  </si>
  <si>
    <t>Biaya imbalan dasar, lembur, dan kompensasi tambahan untuk karyawan kontrak yang tidak secara langsung menangani proses produksi.</t>
  </si>
  <si>
    <t>IDL  Incentives</t>
  </si>
  <si>
    <t>Gaji insentif karyawan (sales) atas pencapaian target penjualan.</t>
  </si>
  <si>
    <t>IDL Employee Income Tax</t>
  </si>
  <si>
    <t>Biaya atas Pph 21 terkait dengan karyawan (didalam HO)  yang tidak berkaitan langsung dengan produksi.</t>
  </si>
  <si>
    <t>IDL Bonus</t>
  </si>
  <si>
    <t>Bonus yang diterima karyawan (di dalam HO) seperti Bonus tahunan dan THR.</t>
  </si>
  <si>
    <t>IDL Severance Pay</t>
  </si>
  <si>
    <t>Biaya terkait dengan karyawan diluar produksi  yang pension/resign (pesangon).</t>
  </si>
  <si>
    <t>IDL Employee Insurance</t>
  </si>
  <si>
    <t>Biaya kesejahteraan untuk makan karyawan, yang bukan merupakan penghasilan karyawan.</t>
  </si>
  <si>
    <t>IDL Others</t>
  </si>
  <si>
    <t>Biaya terkait karyawan (didalam HO) diluar gaji pokok, “overtime”, “allowances” &amp; “incentives”</t>
  </si>
  <si>
    <t>Provision for Employee Benefits</t>
  </si>
  <si>
    <t>Biaya cadangan untuk imbalan pisah karyawan pensiun.</t>
  </si>
  <si>
    <t>Accounting</t>
  </si>
  <si>
    <t>Outsourcing Services</t>
  </si>
  <si>
    <t>Biaya upah untuk tenaga outsourcing/pekerja harian</t>
  </si>
  <si>
    <t>Event Services</t>
  </si>
  <si>
    <t xml:space="preserve">Biaya upah untuk tenaga event </t>
  </si>
  <si>
    <t>Construction Services</t>
  </si>
  <si>
    <t>Biaya upah untuk tenaga konstruksi</t>
  </si>
  <si>
    <t>GA</t>
  </si>
  <si>
    <t>Planning Services</t>
  </si>
  <si>
    <t>Biaya upah untuk tenaga planning konstruksi</t>
  </si>
  <si>
    <t>Construction Monitoring Services</t>
  </si>
  <si>
    <t>Biaya upah untuk tenaga supervisi konstruksi</t>
  </si>
  <si>
    <t>Calibration Services</t>
  </si>
  <si>
    <t>Biaya uji kalibrasi timbangan</t>
  </si>
  <si>
    <t>Utilities - Factory Sundries</t>
  </si>
  <si>
    <t>Biaya operasional lain-lain terkait pabrik.
Contoh : masker, helm, keperluan katin (makan karyawan) &amp; baju karyawan</t>
  </si>
  <si>
    <t>Fuel</t>
  </si>
  <si>
    <t>Biaya terkait dengan bahan bakar kendaraan operasional perusahaan.</t>
  </si>
  <si>
    <t>RM Exp - Buidings Services</t>
  </si>
  <si>
    <t>Biaya perbaikan dan pemeliharaan bangunan/gedung milik perusahaan. Termasuk pemakaian spare part dan others consumables (lubricant/pelumas).</t>
  </si>
  <si>
    <t>RM Exp - Machinery and Equipment</t>
  </si>
  <si>
    <t>Biaya perbaikan dan pemeliharaan mesin milik perusahaan. Termasuk pemakaian spare part dan others consumables (lubricant/pelumas).</t>
  </si>
  <si>
    <t>Operational</t>
  </si>
  <si>
    <t>RM Exp - Heavy Equipment</t>
  </si>
  <si>
    <t>Biaya perbaikan dan pemeliharaan alat-alat berat milik perusahaan. Termasuk pemakaian spare part dan others consumables (lubricant/pelumas).</t>
  </si>
  <si>
    <t>RM Exp - Vehicles</t>
  </si>
  <si>
    <t>Biaya perbaikan dan pemeliharaan kendaraan milik perusahaan. Termasuk pemakaian spare part dan others consumables (lubricant/pelumas).</t>
  </si>
  <si>
    <t>RM Exp - Furniture and Fixtures</t>
  </si>
  <si>
    <t>Biaya perbaikan dan pemeliharaan perlengkapan dan perabotan milik perusahaan.</t>
  </si>
  <si>
    <t>RM Exp - Office and Other Equipment</t>
  </si>
  <si>
    <t>Biaya perbaikan dan pemeliharaan peralatan lainnya. (termasuk barang IT)</t>
  </si>
  <si>
    <t>GA and MIS</t>
  </si>
  <si>
    <t>RM Exp - Water Treatment</t>
  </si>
  <si>
    <t>Biaya perbaikan dan pemeliharaan sumber daya air milik perusahaan.</t>
  </si>
  <si>
    <t>RM Exp - Low Value Asset</t>
  </si>
  <si>
    <t>Biaya perbaikan dan pemeliharaan atas LVA Building and Structure, LVA Machinery and Equipment, LVA Heavy Equipment</t>
  </si>
  <si>
    <t>AE - Advertising and Promotion Expenses</t>
  </si>
  <si>
    <t>Biaya iklan dalam bentuk penempatan pada media umum.
Contoh : Biaya pemasangan iklan lowongan kerja di situs JOBSTREET.COM dari tanggal 08 DES 2019 S/D 08 DES 2020</t>
  </si>
  <si>
    <t>AE - Material Gift</t>
  </si>
  <si>
    <t>Biaya terkait souvenir yang diberikan dalam rangka kegiatan promosi</t>
  </si>
  <si>
    <t>AE - Exhibit Sponsor</t>
  </si>
  <si>
    <t>Biaya terkait pameran dan sponsorship dalam rangka kegiatan promosi</t>
  </si>
  <si>
    <t>TE - Seminar</t>
  </si>
  <si>
    <t>Biaya terkait seminar keluar.
Contoh : Biaya KPI Team deteksi dini bulan Juli 2020</t>
  </si>
  <si>
    <t>TE - Training</t>
  </si>
  <si>
    <t xml:space="preserve">Biaya untuk pelatihan dan seminar lain, termasuk biaya sertifikasi/uji untuk memenuhi standar tertentu dalam pekerjaan.
Contoh : Biaya Narasumber dari POLRES BEKASI untuk kegiatan sosialisaso bahaya Terorisme &amp; Radikalisme </t>
  </si>
  <si>
    <t>TE - Others Training &amp; Seminar</t>
  </si>
  <si>
    <t>Biaya lain - lain terkait seminar/training yang tidak termasuk kategori di atas</t>
  </si>
  <si>
    <t>Ins. Exp. - Insurance of Building</t>
  </si>
  <si>
    <t>Ins. Exp. - Insurance of Machinery</t>
  </si>
  <si>
    <t>Operational and GA</t>
  </si>
  <si>
    <t>Ins. Exp. - Insurance of Vehicle</t>
  </si>
  <si>
    <t>Ins. Exp. - Insurance of Public and Product Liabil</t>
  </si>
  <si>
    <t>Ins. Exp. - Insurance Others</t>
  </si>
  <si>
    <t>RE - Rental Warehouse</t>
  </si>
  <si>
    <t>Biaya sewa gudang</t>
  </si>
  <si>
    <t>RE - Rental Vehicle</t>
  </si>
  <si>
    <t>Biaya sewa kendaraan.</t>
  </si>
  <si>
    <t>RE - Rental Land</t>
  </si>
  <si>
    <t>Biaya sewa tanah.</t>
  </si>
  <si>
    <t>RE - Rental Building / Office</t>
  </si>
  <si>
    <t>Biaya sewa gedung/kantor/gudang.</t>
  </si>
  <si>
    <t>RE - Rental Machinery</t>
  </si>
  <si>
    <t>Biaya sewa mesin.</t>
  </si>
  <si>
    <t>RE - Rental Other</t>
  </si>
  <si>
    <t>Biaya sewa lainnya.</t>
  </si>
  <si>
    <t>PT Exp. - Telecommunication &amp; Internet</t>
  </si>
  <si>
    <t>Biaya pemakaian telepon, handphone, faximile, internet.</t>
  </si>
  <si>
    <t>MIS</t>
  </si>
  <si>
    <t>PT Exp. - Postage and Courier</t>
  </si>
  <si>
    <t>Biaya pengiriman dokumen administrasi.</t>
  </si>
  <si>
    <t>PT Exp. - Stamp Duty</t>
  </si>
  <si>
    <t>Biaya pemakaian materai.</t>
  </si>
  <si>
    <t>PT Exp. - Others</t>
  </si>
  <si>
    <t xml:space="preserve">Biaya terkait jasa pengiriman lain-lain yang tidak termasuk pada kategori biaya tersebut di atas </t>
  </si>
  <si>
    <t>PF - Legal Fee</t>
  </si>
  <si>
    <t>Biaya pemakaian jasa pengacara atau konsultasi hukum lain-lain.</t>
  </si>
  <si>
    <t>Legal</t>
  </si>
  <si>
    <t>PF - Tax Consultan Fee</t>
  </si>
  <si>
    <t>Biaya pemakaian jasa konsultan pajak.</t>
  </si>
  <si>
    <t>Tax</t>
  </si>
  <si>
    <t>PF - Audit Fee</t>
  </si>
  <si>
    <t>Biaya pemakaian jasa auditor.</t>
  </si>
  <si>
    <t>PF - Surveyor Fee</t>
  </si>
  <si>
    <t>Biaya pemakaian jasa surveyor</t>
  </si>
  <si>
    <t>PF - Other Professional Fees</t>
  </si>
  <si>
    <t>Biaya pemakaian jasa profesi lainnya.</t>
  </si>
  <si>
    <t>Ent. Exp - Sample Marketing</t>
  </si>
  <si>
    <t>Biaya jamuan untuk relasi perusahaan dalam rangka membina hubungan baik. Makan dan minum visit customer complain.
Contoh : MEETING DENGAN PT GUNUNG INTI SEMPURNA 4 ORG PROYEK PENGADAAN MATERIAL PLAT TGL 19/12/19 (KODRAT,RUDY,NY SL)</t>
  </si>
  <si>
    <t>Sales Marketing and BOD</t>
  </si>
  <si>
    <t>Ent. Exp - Donation and Social Contribution</t>
  </si>
  <si>
    <t>Sumbangan yang diberikan kepada pihak luar, dan dalam rangka tanggung jawab social perusahaan terhadap lingkungan dan masyarakat.</t>
  </si>
  <si>
    <t>Corporate Public Relations and BOD</t>
  </si>
  <si>
    <t>Ent. Exp - Others Entertainment</t>
  </si>
  <si>
    <t>Biaya representasi untuk relasi perusahaan dalam rangka membina hubungan baik.</t>
  </si>
  <si>
    <t>SMSCM &amp; Environment</t>
  </si>
  <si>
    <t>TL - Land and Property Tax</t>
  </si>
  <si>
    <t>Biaya pajak dan perijinan atas tanah.</t>
  </si>
  <si>
    <t>Land Management</t>
  </si>
  <si>
    <t>TL - IMB</t>
  </si>
  <si>
    <t xml:space="preserve">[Saat ini belum digunakan, konfirmasi ke Budgeting unit terlebih dahulu apakah alokasi ini akan aktif atau tidak] </t>
  </si>
  <si>
    <t>TL - Restribution</t>
  </si>
  <si>
    <t>Biaya pajak dan perijinan atas retribusi.</t>
  </si>
  <si>
    <t>TL - SIM, STNK</t>
  </si>
  <si>
    <t>Biaya pajak dan perijinan atas kendaraan.</t>
  </si>
  <si>
    <t>TL - Others Tax and Lisence</t>
  </si>
  <si>
    <t>Biaya pajak dan perijinan lainnya.</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</si>
  <si>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</si>
  <si>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</si>
  <si>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</si>
  <si>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</si>
  <si>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</si>
  <si>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</si>
  <si>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</si>
  <si>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</si>
  <si>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</si>
  <si>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</si>
  <si>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</si>
  <si>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 Biaya yang terkait dengan kendaraan operasional perusahaan. Biaya transportasi FG RM antar warehouse/Bisnit unit, termasuk didalamnya biaya tilang dll 
- Biaya transport antar jemput karyawan 
- Biaya langsir 
- Biaya yang terkait dengan transportasi untuk kegiatan operasional.
Contoh : BY TAXI ONLINE DINAS KE PEMDA BEKASI,KANTOR IMIGRASI TGL 7/9/18  
- Biaya tol dan parkir</t>
  </si>
  <si>
    <t>Waste Removal Expenses</t>
  </si>
  <si>
    <t>Biaya (jasa dan barang) untuk pengolahan limbah pabrik.</t>
  </si>
  <si>
    <t>GA and Environment</t>
  </si>
  <si>
    <t>Household Equipment Expenses</t>
  </si>
  <si>
    <t>Pembelian asset atau barang modal (Low Value Asset) untuk kebutuhan Housing, dengan syarat:
-Nilai &lt; USD 10.000 (Rp 14.300.000)
-	Tidak tergolong sebagai asset tetap (Fixed Asset) di ketentuan/SOP yang berlaku
-	Tidak tergolong sebagai sparepart
Contoh:	Kalkulator, AC, dispenser, kulkas, tools kit dll</t>
  </si>
  <si>
    <t>Factory Equipment Expenses</t>
  </si>
  <si>
    <t>Pembelian asset atau barang modal (Low Value Asset) untuk kebutuhan Pabrik, dengan syarat:
-Nilai &lt; USD 10.000 (Rp 14.300.000)
-	Tidak tergolong sebagai asset tetap (Fixed Asset) di ketentuan/SOP yang berlaku
-	Tidak tergolong sebagai sparepart
Contoh: Kalkulator, AC, dispenser, kulkas, tools kit dll</t>
  </si>
  <si>
    <t xml:space="preserve">Operational </t>
  </si>
  <si>
    <t>Office Equipment Expenses</t>
  </si>
  <si>
    <t>Pembelian asset atau barang modal (Low Value Asset) untuk kebutuhan Kantor, dengan syarat:
-Nilai &lt; USD 10.000 (Rp 14.300.000)
-	Tidak tergolong sebagai asset tetap (Fixed Asset) di ketentuan/SOP yang berlaku
-	Tidak tergolong sebagai sparepart
Contoh: Kalkulator, AC, dispenser, kulkas, tools kit dll</t>
  </si>
  <si>
    <t>Association and Membership</t>
  </si>
  <si>
    <t>Biaya iuran keanggotaan</t>
  </si>
  <si>
    <t>Subscriptions and Periodicals</t>
  </si>
  <si>
    <t>Biaya berlangganan website, majalah, dll</t>
  </si>
  <si>
    <t>Miscellaneous Expenses</t>
  </si>
  <si>
    <t>Biaya lain-lain yang tidak termasuk pada kategori biaya tersebut di atas (contoh : biaya cleaning service, biaya tax penalty, dll)</t>
  </si>
  <si>
    <t>Directorate</t>
  </si>
  <si>
    <t>Diisi dengan:
HO untuk department Head Office</t>
  </si>
  <si>
    <t>Sales</t>
  </si>
  <si>
    <t>Information Technology</t>
  </si>
  <si>
    <t>Finance</t>
  </si>
  <si>
    <t>Supply Chain Management</t>
  </si>
  <si>
    <t>Annual Budget</t>
  </si>
  <si>
    <t>Diisi sesuai dengan Direktorat yang tertera di list.</t>
  </si>
  <si>
    <t>Division / Department</t>
  </si>
  <si>
    <t>Board of Director</t>
  </si>
  <si>
    <t>IA</t>
  </si>
  <si>
    <t>FPA</t>
  </si>
  <si>
    <t>TO</t>
  </si>
  <si>
    <t>KSO</t>
  </si>
  <si>
    <t>Corplan</t>
  </si>
  <si>
    <t>CorComm</t>
  </si>
  <si>
    <t>SCM</t>
  </si>
  <si>
    <t>GRP Medan</t>
  </si>
  <si>
    <t>Fixed Asset Management</t>
  </si>
  <si>
    <t>FAM</t>
  </si>
  <si>
    <t>Mapping</t>
  </si>
  <si>
    <t>Procurement</t>
  </si>
  <si>
    <t>Treasury Finance</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</si>
  <si>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</si>
  <si>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</si>
  <si>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</si>
  <si>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</si>
  <si>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</si>
  <si>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</si>
  <si>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</si>
  <si>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</si>
  <si>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</si>
  <si>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</si>
  <si>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</si>
  <si>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</si>
  <si>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</si>
  <si>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</si>
  <si>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</si>
  <si>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</si>
  <si>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10301MS009</t>
  </si>
  <si>
    <t>10301TO001</t>
  </si>
  <si>
    <t>10302KS001</t>
  </si>
  <si>
    <t>10301SM003</t>
  </si>
  <si>
    <t>10301SC003</t>
  </si>
  <si>
    <t>10301FA007</t>
  </si>
  <si>
    <t>10301FA005</t>
  </si>
  <si>
    <t>10301GA002</t>
  </si>
  <si>
    <t>10301MS003</t>
  </si>
  <si>
    <t>10301HR002</t>
  </si>
  <si>
    <t>10301IT003</t>
  </si>
  <si>
    <t>10301CS001</t>
  </si>
  <si>
    <t>10301MS002</t>
  </si>
  <si>
    <t>10301FA006</t>
  </si>
  <si>
    <t>10301TO002</t>
  </si>
  <si>
    <t>10301SM002</t>
  </si>
  <si>
    <t>10301SC005</t>
  </si>
  <si>
    <t>10301GA003</t>
  </si>
  <si>
    <t>10301HR003</t>
  </si>
  <si>
    <t>10301MS005</t>
  </si>
  <si>
    <t>10301MS006</t>
  </si>
  <si>
    <t>10301TO003</t>
  </si>
  <si>
    <t>10301SC002</t>
  </si>
  <si>
    <t>10301GA004</t>
  </si>
  <si>
    <t>10301HR004</t>
  </si>
  <si>
    <t>10301MS004</t>
  </si>
  <si>
    <t>10301MS007</t>
  </si>
  <si>
    <t>10301TO004</t>
  </si>
  <si>
    <t>10301GA005</t>
  </si>
  <si>
    <t>10301HR005</t>
  </si>
  <si>
    <t>10301HS002</t>
  </si>
  <si>
    <t>10301GA008</t>
  </si>
  <si>
    <t>10301HR007</t>
  </si>
  <si>
    <t>10301PR001</t>
  </si>
  <si>
    <t>10301MS001</t>
  </si>
  <si>
    <t>10301HR006</t>
  </si>
  <si>
    <t>10301PR002</t>
  </si>
  <si>
    <t>10301HR008</t>
  </si>
  <si>
    <t>10301GA009</t>
  </si>
  <si>
    <t>CC_IA</t>
  </si>
  <si>
    <t>CC_Corplan</t>
  </si>
  <si>
    <t>CC_BOD</t>
  </si>
  <si>
    <t>CC_GA</t>
  </si>
  <si>
    <t>CC_Sales</t>
  </si>
  <si>
    <t>CC_HR</t>
  </si>
  <si>
    <t>CC_CorComm</t>
  </si>
  <si>
    <t>CC_Accounting</t>
  </si>
  <si>
    <t>CC_FPA</t>
  </si>
  <si>
    <t>CC_Tax</t>
  </si>
  <si>
    <t>CC_FinanceTreasury</t>
  </si>
  <si>
    <t>CC_FAM</t>
  </si>
  <si>
    <t>CC_IT</t>
  </si>
  <si>
    <t>CC_Procurement</t>
  </si>
  <si>
    <t>CC_Warehouse</t>
  </si>
  <si>
    <t>Health &amp; Safety</t>
  </si>
  <si>
    <t>CC_HS</t>
  </si>
  <si>
    <t>Environment</t>
  </si>
  <si>
    <t>CC_Environment</t>
  </si>
  <si>
    <t>Cost Center List</t>
  </si>
  <si>
    <t>31.12.9999</t>
  </si>
  <si>
    <t>W</t>
  </si>
  <si>
    <t>USD</t>
  </si>
  <si>
    <t>BOARD OF DIRECTORS</t>
  </si>
  <si>
    <t>CORPORATE LEGAL</t>
  </si>
  <si>
    <t>CL</t>
  </si>
  <si>
    <t>CORP. PLAN&amp;STRATEGY</t>
  </si>
  <si>
    <t>CORPORATE SECRETARY</t>
  </si>
  <si>
    <t>TREASURY</t>
  </si>
  <si>
    <t>FA</t>
  </si>
  <si>
    <t>ACCOUNTING</t>
  </si>
  <si>
    <t>TAX</t>
  </si>
  <si>
    <t>FIN. PLAN &amp; ANALYSIS</t>
  </si>
  <si>
    <t>PROJECT</t>
  </si>
  <si>
    <t>FINANCE</t>
  </si>
  <si>
    <t>FIXED ASSET MGT</t>
  </si>
  <si>
    <t>10.08.2022</t>
  </si>
  <si>
    <t>10301FA999</t>
  </si>
  <si>
    <t>OTHER</t>
  </si>
  <si>
    <t>PROPERTY MAINTENANCE</t>
  </si>
  <si>
    <t>HOUSEKEEPING</t>
  </si>
  <si>
    <t>GA CUSTOMER CARE</t>
  </si>
  <si>
    <t>FOOD &amp; BEVERAGE</t>
  </si>
  <si>
    <t>LANDSCAPE</t>
  </si>
  <si>
    <t>CORP. VEHICLE MGT.</t>
  </si>
  <si>
    <t>TALENT MANAGEMENT</t>
  </si>
  <si>
    <t>HR ADMINISTRATION</t>
  </si>
  <si>
    <t>INDUSTRIAL RELATIONS</t>
  </si>
  <si>
    <t>PAYROLL, COMPBEN.</t>
  </si>
  <si>
    <t>TALENT ACQ. &amp; DEV.</t>
  </si>
  <si>
    <t>HR PROJECTS</t>
  </si>
  <si>
    <t>HEALTH &amp; SAFETY</t>
  </si>
  <si>
    <t>HS</t>
  </si>
  <si>
    <t>ENVIRONMENT</t>
  </si>
  <si>
    <t>INTERNAL AUDIT</t>
  </si>
  <si>
    <t>IT INFRASTRUCTURE</t>
  </si>
  <si>
    <t>10301IT002</t>
  </si>
  <si>
    <t>IT ERP</t>
  </si>
  <si>
    <t>SECURITY ADMIN</t>
  </si>
  <si>
    <t>COMMUNITY DEV.</t>
  </si>
  <si>
    <t>LAND MANAGEMENT</t>
  </si>
  <si>
    <t>CSR &amp; CORP. SPONSOR.</t>
  </si>
  <si>
    <t>INDUSTRY ASSOCIATION</t>
  </si>
  <si>
    <t>LICENSES &amp; PERMITS</t>
  </si>
  <si>
    <t>WEBSITE MASTER</t>
  </si>
  <si>
    <t>PR</t>
  </si>
  <si>
    <t>MEDIA REL/PRESS CONF</t>
  </si>
  <si>
    <t>PROCUREMENT</t>
  </si>
  <si>
    <t>10301SC006</t>
  </si>
  <si>
    <t>SCM INVENTORY</t>
  </si>
  <si>
    <t>16.12.2022</t>
  </si>
  <si>
    <t>10301SC007</t>
  </si>
  <si>
    <t>SCM WAREHOUSE FG</t>
  </si>
  <si>
    <t>01.01.2023</t>
  </si>
  <si>
    <t>SALES</t>
  </si>
  <si>
    <t>SM</t>
  </si>
  <si>
    <t>V</t>
  </si>
  <si>
    <t>MARKETING</t>
  </si>
  <si>
    <t>LOGISTICS SALES</t>
  </si>
  <si>
    <t>Profit Center</t>
  </si>
  <si>
    <t>Cost Center Description</t>
  </si>
  <si>
    <t>Valid From</t>
  </si>
  <si>
    <t>Valid to</t>
  </si>
  <si>
    <t>Cost Center Category</t>
  </si>
  <si>
    <t>Currency</t>
  </si>
  <si>
    <t>Active / Not Active</t>
  </si>
  <si>
    <t>Active</t>
  </si>
  <si>
    <t>Old BPM Cost Center</t>
  </si>
  <si>
    <t>GL Account List</t>
  </si>
  <si>
    <t>For Rounding</t>
  </si>
  <si>
    <t>Remarks</t>
  </si>
  <si>
    <t>Ledger Description</t>
  </si>
  <si>
    <t>Ledger Expense Group / Type</t>
  </si>
  <si>
    <t>Basis Calculation
(Price per Unit)</t>
  </si>
  <si>
    <t>Professional Fees</t>
  </si>
  <si>
    <t>G/L account</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</si>
  <si>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</si>
  <si>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</si>
  <si>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</si>
  <si>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</si>
  <si>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</si>
  <si>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</si>
  <si>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</si>
  <si>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</si>
  <si>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</si>
  <si>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</si>
  <si>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</si>
  <si>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</si>
  <si>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</si>
  <si>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</si>
  <si>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</si>
  <si>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</si>
  <si>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</si>
  <si>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</si>
  <si>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</si>
  <si>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</si>
  <si>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</si>
  <si>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60600030</t>
  </si>
  <si>
    <t>60600040</t>
  </si>
  <si>
    <t>60600050</t>
  </si>
  <si>
    <t>60700010</t>
  </si>
  <si>
    <t>60800010</t>
  </si>
  <si>
    <t>60800020</t>
  </si>
  <si>
    <t>60800030</t>
  </si>
  <si>
    <t>60800040</t>
  </si>
  <si>
    <t>60800050</t>
  </si>
  <si>
    <t>60800060</t>
  </si>
  <si>
    <t>60800070</t>
  </si>
  <si>
    <t>60800080</t>
  </si>
  <si>
    <t>60900010</t>
  </si>
  <si>
    <t>60900020</t>
  </si>
  <si>
    <t>60900030</t>
  </si>
  <si>
    <t>60900040</t>
  </si>
  <si>
    <t>60900050</t>
  </si>
  <si>
    <t>60900060</t>
  </si>
  <si>
    <t>60900070</t>
  </si>
  <si>
    <t>60900080</t>
  </si>
  <si>
    <t>60900090</t>
  </si>
  <si>
    <t>60900100</t>
  </si>
  <si>
    <t>60900190</t>
  </si>
  <si>
    <t>61000010</t>
  </si>
  <si>
    <t>61000020</t>
  </si>
  <si>
    <t>61000030</t>
  </si>
  <si>
    <t>61000040</t>
  </si>
  <si>
    <t>61100010</t>
  </si>
  <si>
    <t>61200010</t>
  </si>
  <si>
    <t>61200020</t>
  </si>
  <si>
    <t>61200030</t>
  </si>
  <si>
    <t>61200040</t>
  </si>
  <si>
    <t>61200050</t>
  </si>
  <si>
    <t>61200060</t>
  </si>
  <si>
    <t>61200070</t>
  </si>
  <si>
    <t>61200080</t>
  </si>
  <si>
    <t>61200090</t>
  </si>
  <si>
    <t>61300010</t>
  </si>
  <si>
    <t>61300020</t>
  </si>
  <si>
    <t>61300030</t>
  </si>
  <si>
    <t>61300040</t>
  </si>
  <si>
    <t>61300050</t>
  </si>
  <si>
    <t>61300060</t>
  </si>
  <si>
    <t>61300070</t>
  </si>
  <si>
    <t>61300080</t>
  </si>
  <si>
    <t>61300090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</si>
  <si>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</si>
  <si>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</si>
  <si>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</si>
  <si>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</si>
  <si>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</si>
  <si>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</si>
  <si>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</si>
  <si>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</si>
  <si>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</si>
  <si>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</si>
  <si>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</si>
  <si>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</si>
  <si>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</si>
  <si>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</si>
  <si>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</si>
  <si>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</si>
  <si>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</si>
  <si>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</si>
  <si>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</si>
  <si>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</si>
  <si>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</si>
  <si>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</si>
  <si>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</si>
  <si>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</si>
  <si>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</si>
  <si>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</si>
  <si>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</si>
  <si>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</si>
  <si>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</si>
  <si>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</si>
  <si>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</si>
  <si>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</si>
  <si>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</si>
  <si>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</si>
  <si>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</si>
  <si>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</si>
  <si>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</si>
  <si>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</si>
  <si>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</si>
  <si>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</si>
  <si>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</si>
  <si>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</si>
  <si>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</si>
  <si>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</si>
  <si>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</si>
  <si>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</si>
  <si>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</si>
  <si>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</si>
  <si>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62800010</t>
  </si>
  <si>
    <t>62900010</t>
  </si>
  <si>
    <t>62900020</t>
  </si>
  <si>
    <t>63000010</t>
  </si>
  <si>
    <t>63100010</t>
  </si>
  <si>
    <t>63100020</t>
  </si>
  <si>
    <t>63100030</t>
  </si>
  <si>
    <t>63200010</t>
  </si>
  <si>
    <t>63900010</t>
  </si>
  <si>
    <t>63900020</t>
  </si>
  <si>
    <t>63900021</t>
  </si>
  <si>
    <t>69922010</t>
  </si>
  <si>
    <t>Utilities - Electricity Expenses</t>
  </si>
  <si>
    <t>Utilities - Water Expenses</t>
  </si>
  <si>
    <t>Utilities - Oxigent, CO2, Elpiji,  Argon</t>
  </si>
  <si>
    <t>Utilities - Gas PGN (Perusahaan Gas Negara)</t>
  </si>
  <si>
    <t>Depre. Building and Structure</t>
  </si>
  <si>
    <t>Depre. Machinery and Equipment</t>
  </si>
  <si>
    <t>Depre. Equipment and Supplies</t>
  </si>
  <si>
    <t>Depre. Heavy Equipment</t>
  </si>
  <si>
    <t>Depre. Vehicles</t>
  </si>
  <si>
    <t>Depre. Furniture and Fixtures</t>
  </si>
  <si>
    <t>Depre. Office and Other Equipment</t>
  </si>
  <si>
    <t>Depre. Leasehold Improvement</t>
  </si>
  <si>
    <t>Depre. Overhaul Asset</t>
  </si>
  <si>
    <t>Depre. - Invest. Prop Building and Structure</t>
  </si>
  <si>
    <t>Adjustment Depreciation</t>
  </si>
  <si>
    <t>Amortz Land and Landright</t>
  </si>
  <si>
    <t>Amortz Building and Structure</t>
  </si>
  <si>
    <t>Amortz  Machinery and Equipment</t>
  </si>
  <si>
    <t>Amortz  Intangible Asset</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</si>
  <si>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</si>
  <si>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</si>
  <si>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</si>
  <si>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</si>
  <si>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</si>
  <si>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</si>
  <si>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</si>
  <si>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</si>
  <si>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</si>
  <si>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</si>
  <si>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</si>
  <si>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</si>
  <si>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</si>
  <si>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</si>
  <si>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</si>
  <si>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</si>
  <si>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</si>
  <si>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</si>
  <si>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</si>
  <si>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</si>
  <si>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</si>
  <si>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</si>
  <si>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</si>
  <si>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</si>
  <si>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</si>
  <si>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</si>
  <si>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</si>
  <si>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Project Cost</t>
  </si>
  <si>
    <t>Material Used</t>
  </si>
  <si>
    <t>Consumable Used</t>
  </si>
  <si>
    <t>Spareparts Consumption</t>
  </si>
  <si>
    <t>FA cost Variance</t>
  </si>
  <si>
    <t>Other Miscellaneous Exp. Rounding</t>
  </si>
  <si>
    <t>SU Allocation Overhead</t>
  </si>
  <si>
    <t>Project Settlement to Asset</t>
  </si>
  <si>
    <t>Long Text</t>
  </si>
  <si>
    <t>Master Activity Code 
(IO Number)</t>
  </si>
  <si>
    <t>Responsible Cost Center</t>
  </si>
  <si>
    <t>G/L Account</t>
  </si>
  <si>
    <t>Master Activity Description</t>
  </si>
  <si>
    <t>Detail Activity (Spesific detail of activity)</t>
  </si>
  <si>
    <t>Existing Master Activity</t>
  </si>
  <si>
    <t>x</t>
  </si>
  <si>
    <t>Detail Information</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</si>
  <si>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</si>
  <si>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</si>
  <si>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</si>
  <si>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</si>
  <si>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</si>
  <si>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</si>
  <si>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</si>
  <si>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</si>
  <si>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</si>
  <si>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</si>
  <si>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</si>
  <si>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</si>
  <si>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</si>
  <si>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</si>
  <si>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</si>
  <si>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</si>
  <si>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</si>
  <si>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</si>
  <si>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</si>
  <si>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</si>
  <si>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</si>
  <si>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</si>
  <si>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</si>
  <si>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</si>
  <si>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</si>
  <si>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</si>
  <si>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</si>
  <si>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</si>
  <si>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</si>
  <si>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</si>
  <si>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</si>
  <si>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</si>
  <si>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</si>
  <si>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</si>
  <si>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</si>
  <si>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</si>
  <si>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</si>
  <si>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</si>
  <si>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</si>
  <si>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</si>
  <si>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</si>
  <si>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</si>
  <si>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</si>
  <si>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</si>
  <si>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</si>
  <si>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</si>
  <si>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</si>
  <si>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</si>
  <si>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</si>
  <si>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</si>
  <si>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</si>
  <si>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</si>
  <si>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</si>
  <si>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</si>
  <si>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</si>
  <si>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</si>
  <si>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</si>
  <si>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</si>
  <si>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</si>
  <si>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</si>
  <si>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15000000</t>
  </si>
  <si>
    <t>15099999</t>
  </si>
  <si>
    <t>150-Fixed Assets</t>
  </si>
  <si>
    <t>Fixed Assets</t>
  </si>
  <si>
    <t>151</t>
  </si>
  <si>
    <t>15100000</t>
  </si>
  <si>
    <t>15199999</t>
  </si>
  <si>
    <t>151-Investment properties</t>
  </si>
  <si>
    <t>Investment properties</t>
  </si>
  <si>
    <t>152</t>
  </si>
  <si>
    <t>15200000</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</si>
  <si>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</si>
  <si>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</si>
  <si>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</si>
  <si>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</si>
  <si>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</si>
  <si>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</si>
  <si>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</si>
  <si>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</si>
  <si>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</si>
  <si>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</si>
  <si>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</si>
  <si>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</si>
  <si>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</si>
  <si>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</si>
  <si>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</si>
  <si>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</si>
  <si>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</si>
  <si>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</si>
  <si>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</si>
  <si>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</si>
  <si>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</si>
  <si>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</si>
  <si>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</si>
  <si>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</si>
  <si>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</si>
  <si>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</si>
  <si>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</si>
  <si>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</si>
  <si>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</si>
  <si>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</si>
  <si>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</si>
  <si>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</si>
  <si>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</si>
  <si>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</si>
  <si>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</si>
  <si>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</si>
  <si>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</si>
  <si>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</si>
  <si>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</si>
  <si>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</si>
  <si>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</si>
  <si>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</si>
  <si>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</si>
  <si>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</si>
  <si>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</si>
  <si>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</si>
  <si>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</si>
  <si>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</si>
  <si>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</si>
  <si>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</si>
  <si>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</si>
  <si>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</si>
  <si>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</si>
  <si>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</si>
  <si>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</si>
  <si>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</si>
  <si>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</si>
  <si>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</si>
  <si>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</si>
  <si>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</si>
  <si>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</si>
  <si>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</si>
  <si>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</si>
  <si>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</si>
  <si>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</si>
  <si>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</si>
  <si>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</si>
  <si>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</si>
  <si>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</si>
  <si>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</si>
  <si>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</si>
  <si>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</si>
  <si>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</si>
  <si>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</si>
  <si>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</si>
  <si>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</si>
  <si>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</si>
  <si>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</si>
  <si>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</si>
  <si>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</si>
  <si>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</si>
  <si>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</si>
  <si>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</si>
  <si>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</si>
  <si>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</si>
  <si>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</si>
  <si>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</si>
  <si>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</si>
  <si>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</si>
  <si>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</si>
  <si>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</si>
  <si>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</si>
  <si>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</si>
  <si>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</si>
  <si>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</si>
  <si>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</si>
  <si>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</si>
  <si>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</si>
  <si>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</si>
  <si>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</si>
  <si>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</si>
  <si>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</si>
  <si>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</si>
  <si>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</si>
  <si>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</si>
  <si>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</si>
  <si>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</si>
  <si>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</si>
  <si>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</si>
  <si>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</si>
  <si>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</si>
  <si>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</si>
  <si>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</si>
  <si>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</si>
  <si>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</si>
  <si>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</si>
  <si>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</si>
  <si>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</si>
  <si>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</si>
  <si>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</si>
  <si>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</si>
  <si>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</si>
  <si>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</si>
  <si>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</si>
  <si>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</si>
  <si>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</si>
  <si>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</si>
  <si>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</si>
  <si>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</si>
  <si>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</si>
  <si>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</si>
  <si>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</si>
  <si>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</si>
  <si>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</si>
  <si>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</si>
  <si>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</si>
  <si>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</si>
  <si>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</si>
  <si>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</si>
  <si>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</si>
  <si>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</si>
  <si>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</si>
  <si>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</si>
  <si>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</si>
  <si>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</si>
  <si>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</si>
  <si>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</si>
  <si>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</si>
  <si>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</si>
  <si>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</si>
  <si>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</si>
  <si>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</si>
  <si>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</si>
  <si>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</si>
  <si>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</si>
  <si>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</si>
  <si>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</si>
  <si>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</si>
  <si>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</si>
  <si>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</si>
  <si>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</si>
  <si>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</si>
  <si>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</si>
  <si>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</si>
  <si>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</si>
  <si>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</si>
  <si>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</si>
  <si>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</si>
  <si>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</si>
  <si>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</si>
  <si>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</si>
  <si>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</si>
  <si>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</si>
  <si>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</si>
  <si>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</si>
  <si>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</si>
  <si>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</si>
  <si>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</si>
  <si>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</si>
  <si>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</si>
  <si>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</si>
  <si>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</si>
  <si>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</si>
  <si>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</si>
  <si>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</si>
  <si>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</si>
  <si>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</si>
  <si>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</si>
  <si>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</si>
  <si>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</si>
  <si>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</si>
  <si>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</si>
  <si>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</si>
  <si>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</si>
  <si>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</si>
  <si>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</si>
  <si>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</si>
  <si>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</si>
  <si>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</si>
  <si>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</si>
  <si>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</si>
  <si>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</si>
  <si>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</si>
  <si>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</si>
  <si>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</si>
  <si>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</si>
  <si>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</si>
  <si>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</si>
  <si>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</si>
  <si>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</si>
  <si>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</si>
  <si>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</si>
  <si>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</si>
  <si>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</si>
  <si>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</si>
  <si>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</si>
  <si>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</si>
  <si>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</si>
  <si>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</si>
  <si>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</si>
  <si>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</si>
  <si>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</si>
  <si>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</si>
  <si>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</si>
  <si>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</si>
  <si>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</si>
  <si>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</si>
  <si>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</si>
  <si>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</si>
  <si>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</si>
  <si>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</si>
  <si>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</si>
  <si>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</si>
  <si>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</si>
  <si>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</si>
  <si>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</si>
  <si>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</si>
  <si>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</si>
  <si>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</si>
  <si>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</si>
  <si>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</si>
  <si>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</si>
  <si>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</si>
  <si>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</si>
  <si>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</si>
  <si>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</si>
  <si>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</si>
  <si>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</si>
  <si>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</si>
  <si>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</si>
  <si>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</si>
  <si>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</si>
  <si>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</si>
  <si>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</si>
  <si>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</si>
  <si>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</si>
  <si>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</si>
  <si>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</si>
  <si>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</si>
  <si>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</si>
  <si>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</si>
  <si>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</si>
  <si>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</si>
  <si>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</si>
  <si>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</si>
  <si>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</si>
  <si>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</si>
  <si>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</si>
  <si>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</si>
  <si>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</si>
  <si>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</si>
  <si>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</si>
  <si>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</si>
  <si>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</si>
  <si>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</si>
  <si>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</si>
  <si>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</si>
  <si>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</si>
  <si>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</si>
  <si>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</si>
  <si>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</si>
  <si>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</si>
  <si>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</si>
  <si>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</si>
  <si>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</si>
  <si>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</si>
  <si>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</si>
  <si>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</si>
  <si>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</si>
  <si>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</si>
  <si>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</si>
  <si>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</si>
  <si>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</si>
  <si>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</si>
  <si>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</si>
  <si>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</si>
  <si>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</si>
  <si>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</si>
  <si>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</si>
  <si>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</si>
  <si>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</si>
  <si>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</si>
  <si>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</si>
  <si>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</si>
  <si>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</si>
  <si>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</si>
  <si>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</si>
  <si>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</si>
  <si>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</si>
  <si>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</si>
  <si>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</si>
  <si>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</si>
  <si>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</si>
  <si>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</si>
  <si>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</si>
  <si>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</si>
  <si>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</si>
  <si>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</si>
  <si>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</si>
  <si>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</si>
  <si>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</si>
  <si>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</si>
  <si>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</si>
  <si>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</si>
  <si>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</si>
  <si>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</si>
  <si>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</si>
  <si>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</si>
  <si>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</si>
  <si>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</si>
  <si>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</si>
  <si>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</si>
  <si>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</si>
  <si>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</si>
  <si>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</si>
  <si>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</si>
  <si>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</si>
  <si>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</si>
  <si>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</si>
  <si>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</si>
  <si>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</si>
  <si>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</si>
  <si>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</si>
  <si>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</si>
  <si>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</si>
  <si>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</si>
  <si>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</si>
  <si>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</si>
  <si>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</si>
  <si>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</si>
  <si>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</si>
  <si>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</si>
  <si>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</si>
  <si>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</si>
  <si>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</si>
  <si>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</si>
  <si>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</si>
  <si>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</si>
  <si>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</si>
  <si>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</si>
  <si>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</si>
  <si>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</si>
  <si>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</si>
  <si>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</si>
  <si>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</si>
  <si>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</si>
  <si>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</si>
  <si>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</si>
  <si>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</si>
  <si>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</si>
  <si>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</si>
  <si>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</si>
  <si>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</si>
  <si>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</si>
  <si>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</si>
  <si>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</si>
  <si>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</si>
  <si>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</si>
  <si>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</si>
  <si>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</si>
  <si>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</si>
  <si>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</si>
  <si>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</si>
  <si>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</si>
  <si>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</si>
  <si>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</si>
  <si>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</si>
  <si>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</si>
  <si>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</si>
  <si>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</si>
  <si>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</si>
  <si>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</si>
  <si>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</si>
  <si>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</si>
  <si>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</si>
  <si>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</si>
  <si>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</si>
  <si>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</si>
  <si>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</si>
  <si>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</si>
  <si>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</si>
  <si>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</si>
  <si>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</si>
  <si>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</si>
  <si>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</si>
  <si>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</si>
  <si>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</si>
  <si>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</si>
  <si>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</si>
  <si>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</si>
  <si>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</si>
  <si>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</si>
  <si>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</si>
  <si>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</si>
  <si>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</si>
  <si>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</si>
  <si>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</si>
  <si>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</si>
  <si>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</si>
  <si>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</si>
  <si>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</si>
  <si>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</si>
  <si>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</si>
  <si>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</si>
  <si>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</si>
  <si>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</si>
  <si>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</si>
  <si>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</si>
  <si>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</si>
  <si>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</si>
  <si>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</si>
  <si>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</si>
  <si>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</si>
  <si>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</si>
  <si>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</si>
  <si>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</si>
  <si>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</si>
  <si>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</si>
  <si>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</si>
  <si>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</si>
  <si>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</si>
  <si>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</si>
  <si>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</si>
  <si>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</si>
  <si>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</si>
  <si>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</si>
  <si>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</si>
  <si>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</si>
  <si>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</si>
  <si>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</si>
  <si>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</si>
  <si>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</si>
  <si>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</si>
  <si>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</si>
  <si>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</si>
  <si>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</si>
  <si>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</si>
  <si>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</si>
  <si>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</si>
  <si>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</si>
  <si>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</si>
  <si>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</si>
  <si>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</si>
  <si>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</si>
  <si>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</si>
  <si>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</si>
  <si>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</si>
  <si>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</si>
  <si>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</si>
  <si>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</si>
  <si>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</si>
  <si>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</si>
  <si>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</si>
  <si>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</si>
  <si>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</si>
  <si>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</si>
  <si>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</si>
  <si>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</si>
  <si>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</si>
  <si>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</si>
  <si>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</si>
  <si>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</si>
  <si>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</si>
  <si>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</si>
  <si>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</si>
  <si>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</si>
  <si>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</si>
  <si>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</si>
  <si>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</si>
  <si>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</si>
  <si>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</si>
  <si>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</si>
  <si>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</si>
  <si>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</si>
  <si>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</si>
  <si>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</si>
  <si>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</si>
  <si>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</si>
  <si>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</si>
  <si>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</si>
  <si>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</si>
  <si>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</si>
  <si>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</si>
  <si>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</si>
  <si>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</si>
  <si>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</si>
  <si>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</si>
  <si>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</si>
  <si>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</si>
  <si>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</si>
  <si>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</si>
  <si>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</si>
  <si>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</si>
  <si>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</si>
  <si>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</si>
  <si>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</si>
  <si>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</si>
  <si>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</si>
  <si>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</si>
  <si>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</si>
  <si>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</si>
  <si>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</si>
  <si>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</si>
  <si>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</si>
  <si>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</si>
  <si>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</si>
  <si>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</si>
  <si>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</si>
  <si>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</si>
  <si>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</si>
  <si>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</si>
  <si>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</si>
  <si>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</si>
  <si>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</si>
  <si>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</si>
  <si>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</si>
  <si>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</si>
  <si>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</si>
  <si>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</si>
  <si>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</si>
  <si>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</si>
  <si>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</si>
  <si>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</si>
  <si>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</si>
  <si>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</si>
  <si>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</si>
  <si>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</si>
  <si>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</si>
  <si>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</si>
  <si>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</si>
  <si>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</si>
  <si>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</si>
  <si>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</si>
  <si>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</si>
  <si>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</si>
  <si>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</si>
  <si>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</si>
  <si>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</si>
  <si>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</si>
  <si>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</si>
  <si>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</si>
  <si>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</si>
  <si>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</si>
  <si>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</si>
  <si>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</si>
  <si>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</si>
  <si>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</si>
  <si>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</si>
  <si>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</si>
  <si>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</si>
  <si>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</si>
  <si>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</si>
  <si>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</si>
  <si>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</si>
  <si>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</si>
  <si>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</si>
  <si>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</si>
  <si>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</si>
  <si>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</si>
  <si>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</si>
  <si>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</si>
  <si>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</si>
  <si>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</si>
  <si>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</si>
  <si>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</si>
  <si>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</si>
  <si>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</si>
  <si>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</si>
  <si>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</si>
  <si>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</si>
  <si>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</si>
  <si>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</si>
  <si>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</si>
  <si>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</si>
  <si>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</si>
  <si>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</si>
  <si>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</si>
  <si>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</si>
  <si>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</si>
  <si>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</si>
  <si>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</si>
  <si>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</si>
  <si>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</si>
  <si>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</si>
  <si>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</si>
  <si>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</si>
  <si>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</si>
  <si>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</si>
  <si>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Selling / GA</t>
  </si>
  <si>
    <t>BSPL Mapping</t>
  </si>
  <si>
    <t>GL Group</t>
  </si>
  <si>
    <t>Expense Mapping Report Opex Analysis</t>
  </si>
  <si>
    <t>Different Mapping of GL</t>
  </si>
  <si>
    <t>Salary, wages and allowance</t>
  </si>
  <si>
    <t>Miscellaneous expense</t>
  </si>
  <si>
    <t>Depreciation and Amortization Expenses</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</si>
  <si>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</si>
  <si>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</si>
  <si>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</si>
  <si>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</si>
  <si>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</si>
  <si>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</si>
  <si>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</si>
  <si>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</si>
  <si>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</si>
  <si>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</si>
  <si>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</si>
  <si>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</si>
  <si>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</si>
  <si>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</si>
  <si>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</si>
  <si>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</si>
  <si>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Gain / (Loss) on disposal FA</t>
  </si>
  <si>
    <t>Rental income</t>
  </si>
  <si>
    <t>Other Non Operating expense (income)</t>
  </si>
  <si>
    <t>Foreign exchange gain/(loss) - Realized</t>
  </si>
  <si>
    <t>Foreign exchange gain/(loss) - Unrealized</t>
  </si>
  <si>
    <t>Finance income</t>
  </si>
  <si>
    <t>Finance cost</t>
  </si>
  <si>
    <t>Lease Liabilities (Interest)</t>
  </si>
  <si>
    <t>G/L Account Text</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</si>
  <si>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</si>
  <si>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</si>
  <si>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</si>
  <si>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</si>
  <si>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</si>
  <si>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</si>
  <si>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</si>
  <si>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</si>
  <si>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</si>
  <si>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</si>
  <si>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</si>
  <si>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</si>
  <si>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</si>
  <si>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</si>
  <si>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</si>
  <si>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</si>
  <si>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</si>
  <si>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</si>
  <si>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</si>
  <si>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</si>
  <si>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</si>
  <si>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</si>
  <si>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</si>
  <si>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</si>
  <si>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</si>
  <si>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</si>
  <si>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</si>
  <si>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Incentives</t>
  </si>
  <si>
    <t>DL Employee tax</t>
  </si>
  <si>
    <t>Subcon expense</t>
  </si>
  <si>
    <t>Packing Cost</t>
  </si>
  <si>
    <t>Others 3rd Services</t>
  </si>
  <si>
    <t>Utl Electricity</t>
  </si>
  <si>
    <t>Utl Oxygen</t>
  </si>
  <si>
    <t>Utl Gas</t>
  </si>
  <si>
    <t>Utl Factory</t>
  </si>
  <si>
    <t>RM Exp - Building</t>
  </si>
  <si>
    <t>RM Exp - Machinery</t>
  </si>
  <si>
    <t>RM Exp - Office Eq</t>
  </si>
  <si>
    <t>RM Exp - Water Trt</t>
  </si>
  <si>
    <t>Depre. Building</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</si>
  <si>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</si>
  <si>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</si>
  <si>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</si>
  <si>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</si>
  <si>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</si>
  <si>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</si>
  <si>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</si>
  <si>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</si>
  <si>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</si>
  <si>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</si>
  <si>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</si>
  <si>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</si>
  <si>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</si>
  <si>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</si>
  <si>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</si>
  <si>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</si>
  <si>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</si>
  <si>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</si>
  <si>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</si>
  <si>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</si>
  <si>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</si>
  <si>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</si>
  <si>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</si>
  <si>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</si>
  <si>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</si>
  <si>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</si>
  <si>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</si>
  <si>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</si>
  <si>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</si>
  <si>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</si>
  <si>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</si>
  <si>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</si>
  <si>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</si>
  <si>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Utl Water</t>
  </si>
  <si>
    <t>RM Exp - Buiding</t>
  </si>
  <si>
    <t>RM Exp - Furniture</t>
  </si>
  <si>
    <t>RM Exp - LVA</t>
  </si>
  <si>
    <t>IP - Depre Building</t>
  </si>
  <si>
    <t>Amortz  Intangible A</t>
  </si>
  <si>
    <t>EE - Banking Expense</t>
  </si>
  <si>
    <t>EE - In Land  Transp</t>
  </si>
  <si>
    <t>IE - Banking Expense</t>
  </si>
  <si>
    <t>AE - Advertising and</t>
  </si>
  <si>
    <t>Ins. Exp. - Building</t>
  </si>
  <si>
    <t>Ins. Exp. - PL</t>
  </si>
  <si>
    <t>Ins. Exp. - Others</t>
  </si>
  <si>
    <t>Ins. Exp. - IDL Emp</t>
  </si>
  <si>
    <t>RE -  Building</t>
  </si>
  <si>
    <t>RE -  Other</t>
  </si>
  <si>
    <t>PT Exp. - Postage</t>
  </si>
  <si>
    <t>PF - Tax Consultan</t>
  </si>
  <si>
    <t>PF - Other Professio</t>
  </si>
  <si>
    <t>Ent Donation &amp; SC</t>
  </si>
  <si>
    <t>TL - Land and Proper</t>
  </si>
  <si>
    <t>TL - Others Tax and</t>
  </si>
  <si>
    <t>Waste Removal Exp</t>
  </si>
  <si>
    <t>Household Equipment</t>
  </si>
  <si>
    <t>Assc and Member</t>
  </si>
  <si>
    <t>Subscribe and Period</t>
  </si>
  <si>
    <t>Other Misc Exp Round</t>
  </si>
  <si>
    <t>G(L) Disposal FA</t>
  </si>
  <si>
    <t>Rental Income</t>
  </si>
  <si>
    <t>Other Non Operating</t>
  </si>
  <si>
    <t>Bad Debt Charges</t>
  </si>
  <si>
    <t>Scrap Income</t>
  </si>
  <si>
    <t>Scrap from disposal</t>
  </si>
  <si>
    <t>Scrap from others</t>
  </si>
  <si>
    <t>By-product Income</t>
  </si>
  <si>
    <t>Forex Realized</t>
  </si>
  <si>
    <t>Forex Unrealized</t>
  </si>
  <si>
    <t>Free of Charge</t>
  </si>
  <si>
    <t>Interest STL</t>
  </si>
  <si>
    <t>Interest LTL</t>
  </si>
  <si>
    <t>Interest Lease</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</si>
  <si>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</si>
  <si>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</si>
  <si>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</si>
  <si>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</si>
  <si>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</si>
  <si>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</si>
  <si>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</si>
  <si>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</si>
  <si>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</si>
  <si>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</si>
  <si>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</si>
  <si>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</si>
  <si>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</si>
  <si>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</si>
  <si>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Level of Requirement</t>
  </si>
  <si>
    <t>Type of Expense</t>
  </si>
  <si>
    <t>Supplier / Vendor</t>
  </si>
  <si>
    <t>Basis Calculation
in Original Currency</t>
  </si>
  <si>
    <t>Basis Calculation
(Unit/Qty/Freq/Month)</t>
  </si>
  <si>
    <t>GLLIST</t>
  </si>
  <si>
    <t>Budget Opex Detail</t>
  </si>
  <si>
    <t>50300010</t>
  </si>
  <si>
    <t>50300020</t>
  </si>
  <si>
    <t>50300030</t>
  </si>
  <si>
    <t>50300040</t>
  </si>
  <si>
    <t>50300050</t>
  </si>
  <si>
    <t>50300060</t>
  </si>
  <si>
    <t>50300070</t>
  </si>
  <si>
    <t>50300080</t>
  </si>
  <si>
    <t>50300090</t>
  </si>
  <si>
    <t>50300100</t>
  </si>
  <si>
    <t>50300110</t>
  </si>
  <si>
    <t>50300990</t>
  </si>
  <si>
    <t>50400010</t>
  </si>
  <si>
    <r>
      <t xml:space="preserve">Penambahan expense/aktivitas </t>
    </r>
    <r>
      <rPr>
        <b/>
        <sz val="11"/>
        <color theme="1"/>
        <rFont val="Arial"/>
        <family val="2"/>
      </rPr>
      <t>baru</t>
    </r>
    <r>
      <rPr>
        <sz val="11"/>
        <color theme="1"/>
        <rFont val="Arial"/>
        <family val="2"/>
      </rPr>
      <t>, silahkan mengisi di baris baru, dengan memilih Activity Master yang sesuai dengan jenis aktivitas tersebut.</t>
    </r>
  </si>
  <si>
    <t>Mohon diisi informasi detail yang terkait dengan aktivitas tersebut dan basis perkiraan angka aktivitas terkait. 
Contoh : Budget dihitung bedasarkan agreement sebesar IDR 200juta/bulan. Tagihan akan ditagihkan perquarter, untuk masa sewa 3 bulan.</t>
  </si>
  <si>
    <t>Basis perhitungan nilai assumsi untuk aktivitas ekspense terkait dalam mata uang basis perhitungan. 
Contoh: 957.000.000
Karena per 3 bulan akan ditagihkan sebesar 239 juta rupiah</t>
  </si>
  <si>
    <r>
      <t xml:space="preserve">Basis perhitungan assumsi total </t>
    </r>
    <r>
      <rPr>
        <b/>
        <sz val="11"/>
        <color theme="1"/>
        <rFont val="Arial"/>
        <family val="2"/>
      </rPr>
      <t xml:space="preserve">unit atau periode </t>
    </r>
    <r>
      <rPr>
        <sz val="11"/>
        <color theme="1"/>
        <rFont val="Arial"/>
        <family val="2"/>
      </rPr>
      <t>atas aktivitas terkait.
Contoh: 12
Karena masa sewa akan dilakukan selama 12 bulan.</t>
    </r>
  </si>
  <si>
    <r>
      <t xml:space="preserve">Basis perhitungan </t>
    </r>
    <r>
      <rPr>
        <b/>
        <sz val="11"/>
        <color theme="1"/>
        <rFont val="Arial"/>
        <family val="2"/>
      </rPr>
      <t>Harga</t>
    </r>
    <r>
      <rPr>
        <sz val="11"/>
        <color theme="1"/>
        <rFont val="Arial"/>
        <family val="2"/>
      </rPr>
      <t xml:space="preserve"> assumsi per unit atas aktivitas terkait.
Contoh: 79.750.000
Harga perbulan bedasarkan kontrak</t>
    </r>
  </si>
  <si>
    <t>Diisi informasi terkait dengan vendor &amp; supplier jika menggunakan jasa pihak ketiga</t>
  </si>
  <si>
    <t>Level prioritas dari aktivitas tersebut:
  - Essentials : Aktivitas wajib dan harus ada untuk mendukung pekerjaan dan berjalannya aktivitas bisnis perusahaan. Contoh: 
  - Moderate :  Aktivitas penting dan menunjang berjalannya bisnis perusahaan. Contoh : Biaya konsultan research yang tidak wajib dari pemerintah namun membantu menunjang keputusan/aktivitas bisnis yang dilakukan. 
  - Not Essentials : Aktivitas tidak wajib. Contoh : Penyewaan alat event.</t>
  </si>
  <si>
    <t>Activity Master</t>
  </si>
  <si>
    <t>Terdapat 2 bagian pada sheet ini.</t>
  </si>
  <si>
    <t>Bagian 1. Existing Master Activity</t>
  </si>
  <si>
    <t>Jika terdapat aktivitas baru yang belum mempunyai master activity.</t>
  </si>
  <si>
    <t>Nomor Ledger SAP bedasarkan nature dari aktivitas tersebut. List Ledger dapat dilihat di table 3.1 List Ledger Opex.</t>
  </si>
  <si>
    <t>Harap diisi dengan kode SAP cost center sesuai dengan cost center department masing-masing.</t>
  </si>
  <si>
    <t>Master Activity Code</t>
  </si>
  <si>
    <r>
      <t xml:space="preserve">Diisi dengan 11 digit kode aktivitas yang ingin diajukan. Susunan aktivitas wajib berisi sebagai berikut 
Kode aktivitas XXXXX-YYYYY
- </t>
    </r>
    <r>
      <rPr>
        <b/>
        <sz val="11"/>
        <color theme="1"/>
        <rFont val="Arial"/>
        <family val="2"/>
      </rPr>
      <t xml:space="preserve">XXXXX </t>
    </r>
    <r>
      <rPr>
        <sz val="11"/>
        <color theme="1"/>
        <rFont val="Arial"/>
        <family val="2"/>
      </rPr>
      <t>: 5 kode awal adalah 5 digit terakhir kode cost center.  
  Contoh: cost center 10301HR001, maka kode tersebut berawalan HR001
-</t>
    </r>
    <r>
      <rPr>
        <b/>
        <sz val="11"/>
        <color theme="1"/>
        <rFont val="Arial"/>
        <family val="2"/>
      </rPr>
      <t xml:space="preserve">YYYYY </t>
    </r>
    <r>
      <rPr>
        <sz val="11"/>
        <color theme="1"/>
        <rFont val="Arial"/>
        <family val="2"/>
      </rPr>
      <t xml:space="preserve">: 5 kode terakhir adalah running number dari aktivitas yang sudah ada, jika kode aktivitas master terkahir adalah 00071 maka aktivitas yang baru diisi dengan 00072.
Maka kode aktivitas yang diisi akan menjadi </t>
    </r>
    <r>
      <rPr>
        <b/>
        <sz val="11"/>
        <color theme="1"/>
        <rFont val="Arial"/>
        <family val="2"/>
      </rPr>
      <t>HR001-00072</t>
    </r>
    <r>
      <rPr>
        <sz val="11"/>
        <color theme="1"/>
        <rFont val="Arial"/>
        <family val="2"/>
      </rPr>
      <t>.</t>
    </r>
  </si>
  <si>
    <t>Biaya operasional listrik terkait dengan Head Office.
Contoh : listrik head office</t>
  </si>
  <si>
    <t>Biaya operasional air terkait dengan Head Office.
Contoh : biaya penggunaan air sungai</t>
  </si>
  <si>
    <t>Biaya operasional gas terkait dengan Head Office.
Contoh : biaya penggunaan air sungai</t>
  </si>
  <si>
    <t>Ada transaksi</t>
  </si>
  <si>
    <t>Biaya atas premi asuransi gedung dan infrasruktur.
Contoh : Biaya Asuransi Property all risk (PAR) PT GRP</t>
  </si>
  <si>
    <t>Biaya atas premi asuransi mesin.
Contoh : Biaya Asuransi Machinery Breakdown (MB) PT GRP</t>
  </si>
  <si>
    <t>Biaya atas premi asuransi kendaraan.
Note: 	untuk kendaraan perusahaan
Contoh : Biaya Premi kendaraan bermotor PT GRP No Polisi B 9705 GY</t>
  </si>
  <si>
    <t>Biaya atas premi asuransi atas tanggung jawab produk dan masyarakat.
Note: 	untuk produk dan pernyataan publik
Contoh : Biaya Premi asuransi publik dan produk liability</t>
  </si>
  <si>
    <t>Biaya atas premi kesehatan karyawan produksi.
Note: 	untuk karyawan produksi
Contoh : Biaya Premi kesehatan karyawan produksi</t>
  </si>
  <si>
    <t>Biaya atas premi kesehatan karyawan Head Office.
Note: 	untuk karyawan Head Office
Contoh : Biaya Premi kesehatan karyawan Head Office</t>
  </si>
  <si>
    <t>Biaya atas premi asuransi lainnya, yang tidak dapat selain golongan asuransi di atas.</t>
  </si>
  <si>
    <t>Biaya yang terkait dengan pengiriman barang ke customer lokal</t>
  </si>
  <si>
    <t>Move to Non Opex</t>
  </si>
  <si>
    <t>Biaya komisi penjualan</t>
  </si>
  <si>
    <t>Sales Marketing</t>
  </si>
  <si>
    <t>Naming Check</t>
  </si>
  <si>
    <t>Business Trip</t>
  </si>
  <si>
    <t>PETUNJUK PENGISIAN ANGGARAN TAHUNAN (MASTER BUDGET) PERIODE 2025</t>
  </si>
  <si>
    <t>Rencana Aktivitas yang akan dilakukan di tahun 2025</t>
  </si>
  <si>
    <t>Periode di mana biaya tersebut akan digunakan di tahun 2025</t>
  </si>
  <si>
    <t>Jika terdapat Purchase Order yang masih akan menggantung dan belum terealisasi hingga akhir tahun (belum di GRN), harap menambahkan sebagai aktivitas yang akan terjadi di 2025.</t>
  </si>
  <si>
    <t>Jan - Dec 2025</t>
  </si>
  <si>
    <t>Bagian 2. Proposed New Activity 2025</t>
  </si>
  <si>
    <t>Outstanding Purchase Order di tahun 2024 yang akan direalisasikan di 2025 (Open Purchase Order sampai akhir tahun)</t>
  </si>
  <si>
    <t>Anggaran tahunan 2024</t>
  </si>
  <si>
    <t>Realisasi anggaran (aktual biaya) selama periode 2024</t>
  </si>
  <si>
    <t>Kode Master Activity atau Internal Order Number. 
Untuk list activity yang sudah terdaftar di tahun 2024 bisa dilihat di sheet Activity Master.
Dan untuk penambahan aktifitas baru bisa di daftarkan di sheet Activity Master.
Note : Kode Master Activity harus valid agar expense dapat tercatat dan dapat dipantau lebih mudah.</t>
  </si>
  <si>
    <t>Actual Realisation 
(Jan-Aug 2024)</t>
  </si>
  <si>
    <t>Aktual biaya Januari - Agustus 2024.
- Tidak perlu diisi
- Disajikan dalam mata uang USD</t>
  </si>
  <si>
    <t>Outstanding PO 2024</t>
  </si>
  <si>
    <t>Aktivitas yang sudah terdaftar selama tahun 2024.</t>
  </si>
  <si>
    <t>Jumlah anggaran per ledger yang disetujui di tahun 2024.
- Tidak perlu diisi
- Disajikan dalam mata uang USD
  (asumsi 1 USD = Rp15.000)</t>
  </si>
  <si>
    <t>61900050</t>
  </si>
  <si>
    <t>PF - Management Fee</t>
  </si>
  <si>
    <t>Biaya jasa manajemen</t>
  </si>
  <si>
    <t>Sales &amp; Procurement</t>
  </si>
  <si>
    <t>Finance &amp; Accounting</t>
  </si>
  <si>
    <t>Weighbridge</t>
  </si>
  <si>
    <t>CC_CSR</t>
  </si>
  <si>
    <t>Government Relation</t>
  </si>
  <si>
    <t>Project Name / Capex Name</t>
  </si>
  <si>
    <t>Detail Activity / Project Description</t>
  </si>
  <si>
    <t>Priority</t>
  </si>
  <si>
    <t>Basis Calculation</t>
  </si>
  <si>
    <t>Estimation Start Date</t>
  </si>
  <si>
    <t>Estimation Finish Date</t>
  </si>
  <si>
    <t>Additional Remarks</t>
  </si>
  <si>
    <t>Centralized to</t>
  </si>
  <si>
    <t>01.01.2024</t>
  </si>
  <si>
    <t>10131PP001</t>
  </si>
  <si>
    <t xml:space="preserve">LSM PRODUCTION DEPT </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</si>
  <si>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</si>
  <si>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</si>
  <si>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</si>
  <si>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</si>
  <si>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</si>
  <si>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</si>
  <si>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</si>
  <si>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</si>
  <si>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</si>
  <si>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</si>
  <si>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</si>
  <si>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</si>
  <si>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10131PS006</t>
  </si>
  <si>
    <t xml:space="preserve">LSM CRANE DEPARTMENT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</si>
  <si>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</si>
  <si>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</si>
  <si>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</si>
  <si>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</si>
  <si>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</si>
  <si>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</si>
  <si>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</si>
  <si>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</si>
  <si>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</si>
  <si>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</si>
  <si>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</si>
  <si>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</si>
  <si>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</si>
  <si>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</si>
  <si>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</si>
  <si>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</si>
  <si>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</si>
  <si>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</si>
  <si>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</si>
  <si>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</si>
  <si>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</si>
  <si>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</si>
  <si>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</si>
  <si>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</si>
  <si>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</si>
  <si>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</si>
  <si>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</si>
  <si>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</si>
  <si>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</si>
  <si>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</si>
  <si>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</si>
  <si>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</si>
  <si>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10103PP009</t>
  </si>
  <si>
    <t>BP1 REPAIR</t>
  </si>
  <si>
    <t>10103PP010</t>
  </si>
  <si>
    <t>10103PS001</t>
  </si>
  <si>
    <t>BP1 ELECTRICAL DEPARTMENT</t>
  </si>
  <si>
    <t>10103PS002</t>
  </si>
  <si>
    <t>BP1 MECHANICAL DEPARTMENT</t>
  </si>
  <si>
    <t>10103PS003</t>
  </si>
  <si>
    <t>BP1 PPIC DEPARTMENT</t>
  </si>
  <si>
    <t>10103PS004</t>
  </si>
  <si>
    <t>BP1 QA/QC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</si>
  <si>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</si>
  <si>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</si>
  <si>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</si>
  <si>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</si>
  <si>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</si>
  <si>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</si>
  <si>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</si>
  <si>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</si>
  <si>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</si>
  <si>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</si>
  <si>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</si>
  <si>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</si>
  <si>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</si>
  <si>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10201PS006</t>
  </si>
  <si>
    <t>SSC CRANE DEPARTMENT</t>
  </si>
  <si>
    <t>10201PS007</t>
  </si>
  <si>
    <t>10201PS008</t>
  </si>
  <si>
    <t>10201SU001</t>
  </si>
  <si>
    <t>SSC PROD. DEPARTMENT</t>
  </si>
  <si>
    <t>10201SU002</t>
  </si>
  <si>
    <t>10201SU003</t>
  </si>
  <si>
    <t>10201SU004</t>
  </si>
  <si>
    <t>10201SU005</t>
  </si>
  <si>
    <t>10201SU006</t>
  </si>
  <si>
    <t>10201SU007</t>
  </si>
  <si>
    <t>10201SU008</t>
  </si>
  <si>
    <t>10201SU009</t>
  </si>
  <si>
    <t>10201SU010</t>
  </si>
  <si>
    <t>10201SU011</t>
  </si>
  <si>
    <t>10201SU012</t>
  </si>
  <si>
    <t>10201SU013</t>
  </si>
  <si>
    <t>10201SU014</t>
  </si>
  <si>
    <t>10201SU015</t>
  </si>
  <si>
    <t>10201SU016</t>
  </si>
  <si>
    <t>10201SU017</t>
  </si>
  <si>
    <t>10201SU018</t>
  </si>
  <si>
    <t>10201SU019</t>
  </si>
  <si>
    <t>SSC HECULES</t>
  </si>
  <si>
    <t>10201SU020</t>
  </si>
  <si>
    <t>CEM</t>
  </si>
  <si>
    <t>PPIC</t>
  </si>
  <si>
    <t>10202SU006</t>
  </si>
  <si>
    <t>10202SU007</t>
  </si>
  <si>
    <t>FA - Land and Landright</t>
  </si>
  <si>
    <t>15000010</t>
  </si>
  <si>
    <t>FA - Building and Structure</t>
  </si>
  <si>
    <t>15000020</t>
  </si>
  <si>
    <t>FA - Machinery and Equipment</t>
  </si>
  <si>
    <t>15000030</t>
  </si>
  <si>
    <t>FA - Equipment and Supplies</t>
  </si>
  <si>
    <t>15000040</t>
  </si>
  <si>
    <t>FA - Heavy Equipment</t>
  </si>
  <si>
    <t>15000050</t>
  </si>
  <si>
    <t>FA - Vehicles</t>
  </si>
  <si>
    <t>15000060</t>
  </si>
  <si>
    <t>FA - Furniture and Fixtures</t>
  </si>
  <si>
    <t>15000070</t>
  </si>
  <si>
    <t>FA - Office and Other Equipment</t>
  </si>
  <si>
    <t>15000080</t>
  </si>
  <si>
    <t>FA - Leasehold improvement</t>
  </si>
  <si>
    <t>15000090</t>
  </si>
  <si>
    <t>FA - Overhaul Asset</t>
  </si>
  <si>
    <t>Intangible Asset - Licence</t>
  </si>
  <si>
    <t>FA - LVA Office and Other Equipment</t>
  </si>
  <si>
    <t>15020010</t>
  </si>
  <si>
    <t>FA - Assets Under Construction - Building</t>
  </si>
  <si>
    <t>15020020</t>
  </si>
  <si>
    <t>FA - Assets Under Construction - Machinery</t>
  </si>
  <si>
    <t>15020030</t>
  </si>
  <si>
    <t>FA - Assets Under Construction - Equipment</t>
  </si>
  <si>
    <t>15020040</t>
  </si>
  <si>
    <t>FA - Assets Under Construction - Heavy Equipment</t>
  </si>
  <si>
    <t>15020080</t>
  </si>
  <si>
    <t>FA-Assets Under Construction-Leasehold improvement</t>
  </si>
  <si>
    <t>Biaya perolehan atas tanah dan/atau hak guna atas tanah</t>
  </si>
  <si>
    <t>Biaya perolehan awal atas gedung/bangunan yang dimiliki oleh Perusahaan untuk digunakan dalam kegiatan produksi dan/atau operasional, dan dalam kondisi siap digunakan. Contoh : bangunan pabrik, gedung kantor, mess,dll. Biaya perolehan yang termaksud dalam capex Building &amp; Structure dengan nilai &gt; USD 10.000 / (IDR 150,000,000).</t>
  </si>
  <si>
    <t>Biaya perolehan atas peralatan dan mesin yang dimiliki oleh Perusahaan untuk digunakan dalam kegiatan produksi dan/atau operasional, dan dalam kondisi siap digunakan. Contoh : mesin produksi. Biaya perolehan yang termaksud dalam capex Machinery &amp; Equipment dengan nilai &gt; USD 10.000 / (DR 150,000,000).</t>
  </si>
  <si>
    <t>Biaya perolehan atas peralatan pabrik. (roll, bearing dll) dengan nilai &gt; USD 10.000  / (IDR 150,000,000).</t>
  </si>
  <si>
    <t>Biaya perolehan atas alat berat yang dimiliki oleh Perusahaan untuk digunakan dalam kegiatan produksi dan/atau operasional, dan dalam kondisi siap digunakan. Biaya perolehan yang termaksud dalam capex Heavy Equipment dengan nilai &gt; USD 10.000 / (IDR 150,000,000).</t>
  </si>
  <si>
    <t>Biaya perolehan atas kendaraan yang dimiliki oleh Perusahaan untuk digunakan dalam kegiatan produksi dan/atau operasional, dan dalam kondisi siap digunakan. 
Contoh : biaya pembelian truk, mobil &amp; motor inventaris kantor
Biaya perolehan yang termaksud dalam capex Vehicles dengan nilai &gt; USD 700 / (IDR 10,000,000).</t>
  </si>
  <si>
    <t>Biaya perolehan atas perabotan dan perlengkapan dengan nilai &gt; USD 175 (Rp 2,500,000)
Contoh : pembelian meja, kursi, furnitur lain dengan masa manfaat lebih dari satu tahun yang digunakan untuk operasional kantor/mess</t>
  </si>
  <si>
    <t>Biaya perolehan atas peralatan kantor dengan nilai &gt; USD 525 (Rp7,500,000)
Contoh : laptop, komputer</t>
  </si>
  <si>
    <t>Biaya pengembangan atau penambahan atas tanah atau bangunan yang dilakukan dan dibiayai oleh penyewa.</t>
  </si>
  <si>
    <t>Biaya penggantian salah satu part mesin dengan biaya yang signifikan</t>
  </si>
  <si>
    <t>Biaya perolehan atas peralatan kantor dengan nilai &gt; USD 175 (IDR2,500,000) and &lt; USD 525 (IDR7,500,000)
Contoh : laptop, komputer</t>
  </si>
  <si>
    <t>CAPEX</t>
  </si>
  <si>
    <t>FIXED ASSET</t>
  </si>
  <si>
    <t>GL Account</t>
  </si>
  <si>
    <t>GL Description</t>
  </si>
  <si>
    <t>IO Capex FA (Group)</t>
  </si>
  <si>
    <t>A0125</t>
  </si>
  <si>
    <t>A0225</t>
  </si>
  <si>
    <t>A0325</t>
  </si>
  <si>
    <t>A0425</t>
  </si>
  <si>
    <t>A0525</t>
  </si>
  <si>
    <t>A0625</t>
  </si>
  <si>
    <t>A0725</t>
  </si>
  <si>
    <t>A0825</t>
  </si>
  <si>
    <t>A0925</t>
  </si>
  <si>
    <t>A1025</t>
  </si>
  <si>
    <t>A1125</t>
  </si>
  <si>
    <t>A1225</t>
  </si>
  <si>
    <t>LSM</t>
  </si>
  <si>
    <t>SMS1</t>
  </si>
  <si>
    <t>BP1</t>
  </si>
  <si>
    <t>Sequence Number</t>
  </si>
  <si>
    <t>Classification</t>
  </si>
  <si>
    <t>BP</t>
  </si>
  <si>
    <t>BU</t>
  </si>
  <si>
    <t>SSC</t>
  </si>
  <si>
    <t>SU</t>
  </si>
  <si>
    <t>Sheet 2 : Capex &amp; Project Detail</t>
  </si>
  <si>
    <t>Capex &amp; Project Detail</t>
  </si>
  <si>
    <t>Diisi bila department/divisi terkait mempunyai capex/project budget untuk periode ini.</t>
  </si>
  <si>
    <t>Nomor akun di system SAP.
- Mohon diisi sesuai dengan budget yang diajukan.
- Penjelasan Ledger untuk Capex &amp; Project silahkan lihat di Table 2.1</t>
  </si>
  <si>
    <t>Profit Center / Cost Center</t>
  </si>
  <si>
    <t>Nomor Profit Center / Cost Center dalam system SAP:
- BU : Mohon diisi cost center sesuai dengan budget capex BU terkait.
- SU : Mohon diisi cost center sesuai dengan budget capex SU terkait.
- HO :  Mohon diisi cost center sesuai dengan budget capex HO terkait.
- Project : Mohon diisi apabila ada Project baru.</t>
  </si>
  <si>
    <t>Expense / Nama Project</t>
  </si>
  <si>
    <t xml:space="preserve">Diisi dengan deskripsi jenis capex/project yang dibudgetkan.
 Contoh:
   - Beautification of Factory
   - Laptop
   - Plant Upgrade and Modification </t>
  </si>
  <si>
    <t>Detail Activity</t>
  </si>
  <si>
    <t xml:space="preserve">Diisi dengan detail aktivitas untuk project yang dibudgetkan. Didetailkan perlines (jumlah row menjadi sesuai dengan detail aktivitas.
 Contoh:
</t>
  </si>
  <si>
    <t>Jumlah anggaran per ledger yang disetujui di tahun 2024
- Tidak perlu diisi
- Disajikan dalam mata uang USD
  (asumsi 1 USD = Rp15.000)</t>
  </si>
  <si>
    <t>Actual Realisation 
(Jan-Jul 2024)</t>
  </si>
  <si>
    <t>2026-2034</t>
  </si>
  <si>
    <t>Jumlah anggaran per ledger dan per tahun yang dibutuhkan jika perkiraan project &amp; biaya project melewati periode tahun 2025. Diisi dengan perkiraan pertahunnya hingga project selesai.</t>
  </si>
  <si>
    <t>Level prioritas budget:
  - 1 High priority, diisi untuk aktivitas dan biaya yg sudah berulang. 
  - 2 Medium priority, diisi untuk aktivitas dan biaya yg diprediksi kemungkinan besar akan terjadi di tahun anggaran tersebut
  - 3 Low priority, diisi dengan aktivitas dan biaya cadangan</t>
  </si>
  <si>
    <t>Basis perhitungan nilai assumsi untuk aktivitas project/capex terkait.</t>
  </si>
  <si>
    <t>Estimasi / target Project dimulai</t>
  </si>
  <si>
    <t xml:space="preserve">Estimasi / target Project selesai </t>
  </si>
  <si>
    <t>Diisi informasi detail yang ingin ditambahkan.</t>
  </si>
  <si>
    <t>Jika Capex/Project disentralisasi ke BU/Departement lain, silahkan pilih department terkait.
  - Jika tidak sentralisasi, silahkan kosongkan.
  - Sentralisasi hanya untuk capex/project yang terkait dengan department HR, IT, dan GA.</t>
  </si>
  <si>
    <t>Table 2.1. List Ledger Capex / Project</t>
  </si>
  <si>
    <t xml:space="preserve">Biaya perolehan atas pembelian lisence </t>
  </si>
  <si>
    <t>Aset bangunan dalam pengerjaan (% penyelesaian belum mencapai 100%), saat telah mencapai 100% akan dipindah ke FA - Building and Structure</t>
  </si>
  <si>
    <t>Aset mesin dalam pengerjaan (% penyelesaian belum mencapai 100%), saat telah mencapai 100% akan dipindah ke FA - Machinery and Equipment</t>
  </si>
  <si>
    <t>Aset peralatan dalam pengerjaan (% penyelesaian belum mencapai 100%), saat telah mencapai 100% akan dipindah ke FA -  Equipment</t>
  </si>
  <si>
    <t>Aset alat berat dalam pengerjaan (% penyelesaian belum mencapai 100%), saat telah mencapai 100% akan dipindah ke FA -  Heavy Equipment</t>
  </si>
  <si>
    <t>Aset pengembangan atau penambahan atas tanah atau bangunan (oleh  pihak penyewa) dalam pengerjaan (% penyelesaian belum mencapai 100%), saat telah mencapai 100% akan dipindah ke FA -  Leasehold Improvement</t>
  </si>
  <si>
    <t>FA-Assets Under Construction - Intangible Asset</t>
  </si>
  <si>
    <t>Aset lisence / system dalam pengerjaan (oleh  pihak penyewa) dalam pengerjaan (% penyelesaian belum mencapai 100%), saat telah mencapai 100% akan dipindah ke Intangible Asset - Lisence</t>
  </si>
  <si>
    <r>
      <t>- CAPEX</t>
    </r>
    <r>
      <rPr>
        <sz val="11"/>
        <color rgb="FF000000"/>
        <rFont val="Arial"/>
        <family val="2"/>
      </rPr>
      <t xml:space="preserve"> DETAIL</t>
    </r>
  </si>
  <si>
    <r>
      <t xml:space="preserve">- </t>
    </r>
    <r>
      <rPr>
        <sz val="11"/>
        <color rgb="FF000000"/>
        <rFont val="Arial"/>
        <family val="2"/>
      </rPr>
      <t>ACTIVITY MASTER</t>
    </r>
    <r>
      <rPr>
        <sz val="11"/>
        <color theme="1"/>
        <rFont val="Arial"/>
        <family val="2"/>
      </rPr>
      <t xml:space="preserve"> OPEX</t>
    </r>
  </si>
  <si>
    <t>Sheet 4 : Activity Master</t>
  </si>
  <si>
    <t>Ledger Account</t>
  </si>
  <si>
    <t>CAPEX PRIORITY</t>
  </si>
  <si>
    <t>Description</t>
  </si>
  <si>
    <t>High</t>
  </si>
  <si>
    <t>Medium</t>
  </si>
  <si>
    <t>Low</t>
  </si>
  <si>
    <t>Recurring activities</t>
  </si>
  <si>
    <t>aktivitas dan biaya yg diprediksi kemungkinan besar akan terjadi di tahun anggaran tersebut</t>
  </si>
  <si>
    <t>aktivitas dan biaya cadangan</t>
  </si>
  <si>
    <t>Supporting Document</t>
  </si>
  <si>
    <t>CAPEX SUPPORTING DOC</t>
  </si>
  <si>
    <t>Internal Memo</t>
  </si>
  <si>
    <t>Marketplace</t>
  </si>
  <si>
    <t>RAB</t>
  </si>
  <si>
    <t>Vendor Quotation</t>
  </si>
  <si>
    <t>IDR</t>
  </si>
  <si>
    <t>ORI CURRENCY</t>
  </si>
  <si>
    <t>Original Currency 
(USD/IDR)</t>
  </si>
  <si>
    <t>Original Currency Value</t>
  </si>
  <si>
    <t>OPEX SUPPORTING DOC</t>
  </si>
  <si>
    <t>QAQC</t>
  </si>
  <si>
    <t>IT001-00001</t>
  </si>
  <si>
    <t>Service - PC Peripheral</t>
  </si>
  <si>
    <t>IT001-00002</t>
  </si>
  <si>
    <t>Service - Device</t>
  </si>
  <si>
    <t>IT001-00003</t>
  </si>
  <si>
    <t>Service - CCTV + NVR</t>
  </si>
  <si>
    <t>IT001-00004</t>
  </si>
  <si>
    <t>Service &amp; Maintenance Server</t>
  </si>
  <si>
    <t>IT001-00005</t>
  </si>
  <si>
    <t>Service &amp; Maintenance Audio&amp;Video Device</t>
  </si>
  <si>
    <t>IT001-00006</t>
  </si>
  <si>
    <t>Service &amp; Maintenance Access Control</t>
  </si>
  <si>
    <t>IT001-00007</t>
  </si>
  <si>
    <t>Maintenance - Video Wall Processor</t>
  </si>
  <si>
    <t>IT001-00008</t>
  </si>
  <si>
    <t>Service - Handy Talkie</t>
  </si>
  <si>
    <t>IT001-00009</t>
  </si>
  <si>
    <t>Service &amp; Maintenance Access Point</t>
  </si>
  <si>
    <t>IT001-00010</t>
  </si>
  <si>
    <t>Maintenance - Other</t>
  </si>
  <si>
    <t>IT001-00011</t>
  </si>
  <si>
    <t>IT001-00012</t>
  </si>
  <si>
    <t>Internet - Representative Office</t>
  </si>
  <si>
    <t>IT001-00013</t>
  </si>
  <si>
    <t>Internet - Head Office (Telkom)</t>
  </si>
  <si>
    <t>IT001-00014</t>
  </si>
  <si>
    <t>Internet - Head Office (XL)</t>
  </si>
  <si>
    <t>IT001-00016</t>
  </si>
  <si>
    <t>Simcard - Telkomsel</t>
  </si>
  <si>
    <t>IT001-00017</t>
  </si>
  <si>
    <t>Whatsapp API Voucher</t>
  </si>
  <si>
    <t>IT001-00018</t>
  </si>
  <si>
    <t>Printing - SOP</t>
  </si>
  <si>
    <t>IT001-00019</t>
  </si>
  <si>
    <t>IT Devices - PC Peripheral</t>
  </si>
  <si>
    <t>IT001-00020</t>
  </si>
  <si>
    <t>IT Devices - Video &amp; Audio Pheriperal</t>
  </si>
  <si>
    <t>IT001-00021</t>
  </si>
  <si>
    <t>IT Devices - Tablet &amp; Handphone</t>
  </si>
  <si>
    <t>IT001-00022</t>
  </si>
  <si>
    <t>IT Devices - Network Peripheral</t>
  </si>
  <si>
    <t>IT001-00023</t>
  </si>
  <si>
    <t>IT Devices - Office Equipment</t>
  </si>
  <si>
    <t>IT001-00024</t>
  </si>
  <si>
    <t>IT Devices - CCTV Cable &amp; Pheriperal</t>
  </si>
  <si>
    <t>IT001-00025</t>
  </si>
  <si>
    <t>IT001-00026</t>
  </si>
  <si>
    <t>Subscription - Google Cloud Platform</t>
  </si>
  <si>
    <t>IT001-00027</t>
  </si>
  <si>
    <t>IT001-00029</t>
  </si>
  <si>
    <t>Subscription - Zoom Subscription</t>
  </si>
  <si>
    <t>IT001-00033</t>
  </si>
  <si>
    <t>Subscription - DOMAIN NBP</t>
  </si>
  <si>
    <t>IT001-00034</t>
  </si>
  <si>
    <t>Subscription - Code Readr</t>
  </si>
  <si>
    <t>IT001-00035</t>
  </si>
  <si>
    <t>Subscription - Google Suite</t>
  </si>
  <si>
    <t>IT001-00036</t>
  </si>
  <si>
    <t>Subscription - Zoom Connector</t>
  </si>
  <si>
    <t>IT001-00038</t>
  </si>
  <si>
    <t>Subscription - Dropbox</t>
  </si>
  <si>
    <t>IT001-00039</t>
  </si>
  <si>
    <t>Subscription - Azure</t>
  </si>
  <si>
    <t>IT001-00040</t>
  </si>
  <si>
    <t>Subscription - QR Patrol Gold Premium</t>
  </si>
  <si>
    <t>IT001-00041</t>
  </si>
  <si>
    <t>Subscription - Antivirus TrendMicro</t>
  </si>
  <si>
    <t>IT001-00044</t>
  </si>
  <si>
    <t>Subscription - Microsoft Office 365</t>
  </si>
  <si>
    <t>IT001-00046</t>
  </si>
  <si>
    <t>Subscription - Power BI Pro</t>
  </si>
  <si>
    <t>IT001-00049</t>
  </si>
  <si>
    <t>Subscription - AWS Disaster Recovery</t>
  </si>
  <si>
    <t>IT001-00050</t>
  </si>
  <si>
    <t>Subscription - Bandwith Management</t>
  </si>
  <si>
    <t>IT001-00051</t>
  </si>
  <si>
    <t>Subscription - AP Aruba</t>
  </si>
  <si>
    <t>IT001-00052</t>
  </si>
  <si>
    <t>Subscription - Backup to Cloud System</t>
  </si>
  <si>
    <t>IT001-00053</t>
  </si>
  <si>
    <t>RM Building - Cable Pulling &amp; Install</t>
  </si>
  <si>
    <t>IT001-00054</t>
  </si>
  <si>
    <t>IT001-00055</t>
  </si>
  <si>
    <t>Meeting Others - Event</t>
  </si>
  <si>
    <t>IT001-00056</t>
  </si>
  <si>
    <t>Rental - Laptop &amp; PC</t>
  </si>
  <si>
    <t>IT001-00057</t>
  </si>
  <si>
    <t>Rental - Server</t>
  </si>
  <si>
    <t>IT001-00058</t>
  </si>
  <si>
    <t>Rental - Visual Audio Conference</t>
  </si>
  <si>
    <t>IT001-00059</t>
  </si>
  <si>
    <t>Rental - Event</t>
  </si>
  <si>
    <t>IT001-00060</t>
  </si>
  <si>
    <t>IT Devices - Wireless Scanner Barcode</t>
  </si>
  <si>
    <t>IT001-00061</t>
  </si>
  <si>
    <t>IT Devices - Printer Pheriperal</t>
  </si>
  <si>
    <t>IT001-00062</t>
  </si>
  <si>
    <t>Supplies - Refill Toner</t>
  </si>
  <si>
    <t>IT001-00064</t>
  </si>
  <si>
    <t>Subscription - Hoverwatch Professional</t>
  </si>
  <si>
    <t>IT001-00071</t>
  </si>
  <si>
    <t>Subscription - Antivirus for NAS</t>
  </si>
  <si>
    <t>IT001-00074</t>
  </si>
  <si>
    <t>Monitoring Tools support &amp; maintenance</t>
  </si>
  <si>
    <t>IT001-00075</t>
  </si>
  <si>
    <t>NAC support &amp; Maintenance</t>
  </si>
  <si>
    <t>IT001-00076</t>
  </si>
  <si>
    <t xml:space="preserve">IT Device - Mechanic tool kit </t>
  </si>
  <si>
    <t>IT001-00077</t>
  </si>
  <si>
    <t>IT Device - Hardisk External SSD</t>
  </si>
  <si>
    <t>IT001-00078</t>
  </si>
  <si>
    <t>SSL certificate nusantarabajaprofil.com</t>
  </si>
  <si>
    <t>IT001-00079</t>
  </si>
  <si>
    <t xml:space="preserve">Whatsapp Business for Helpdesk </t>
  </si>
  <si>
    <t>IT001-00080</t>
  </si>
  <si>
    <t>Fortigate Internet Firewall</t>
  </si>
  <si>
    <t>IT001-00081</t>
  </si>
  <si>
    <t>Fortigate Farm Firewall</t>
  </si>
  <si>
    <t>IT001-00082</t>
  </si>
  <si>
    <t xml:space="preserve">Rapid7 Vulnerability Penetration Test </t>
  </si>
  <si>
    <t>IT001-00083</t>
  </si>
  <si>
    <t xml:space="preserve">Aruba Wireless Controller </t>
  </si>
  <si>
    <t>IT001-00084</t>
  </si>
  <si>
    <t>Aruba Access Point</t>
  </si>
  <si>
    <t>IT001-00085</t>
  </si>
  <si>
    <t xml:space="preserve">Whatsapp business for Notification </t>
  </si>
  <si>
    <t>IT001-00086</t>
  </si>
  <si>
    <t>Autocad</t>
  </si>
  <si>
    <t>IT001-00088</t>
  </si>
  <si>
    <t>Subcription - Mekari ESign</t>
  </si>
  <si>
    <t>IT001-00090</t>
  </si>
  <si>
    <t>Subscription - Other Domain</t>
  </si>
  <si>
    <t>IT001-00095</t>
  </si>
  <si>
    <t>Subscription - Nakivo</t>
  </si>
  <si>
    <t>IT001-00096</t>
  </si>
  <si>
    <t>IT003-00002</t>
  </si>
  <si>
    <t>IT003-00005</t>
  </si>
  <si>
    <t>Subscription - Robotic Proces Automation</t>
  </si>
  <si>
    <t>IT003-00008</t>
  </si>
  <si>
    <t>Subscription - Fuse Angular</t>
  </si>
  <si>
    <t>IT003-00011</t>
  </si>
  <si>
    <t>Subscription - Folderit</t>
  </si>
  <si>
    <t>IT003-00022</t>
  </si>
  <si>
    <t>IT003-00026</t>
  </si>
  <si>
    <t>IT003-00029</t>
  </si>
  <si>
    <t>IT Support during TSA (IT Infrastructure)</t>
  </si>
  <si>
    <t>IT003-00030</t>
  </si>
  <si>
    <t>IT Support during TSA (IT ERP &amp; App)</t>
  </si>
  <si>
    <t>IT003-00031</t>
  </si>
  <si>
    <t>IT Support during Project SAP Upgrade (IT ERP &amp; App)</t>
  </si>
  <si>
    <t>IT003-00032</t>
  </si>
  <si>
    <t>SAP RISE Licenses</t>
  </si>
  <si>
    <t>IT003-00033</t>
  </si>
  <si>
    <t>SAP Annual maintenance support</t>
  </si>
  <si>
    <t>IT003-00037</t>
  </si>
  <si>
    <t>DataAnalytic development AWS</t>
  </si>
  <si>
    <t>IT003-00040</t>
  </si>
  <si>
    <t>Actual Fixed Asset</t>
  </si>
  <si>
    <t>Cost Element</t>
  </si>
  <si>
    <t>Total quantity</t>
  </si>
  <si>
    <t>Posted unit of meas.</t>
  </si>
  <si>
    <t>Val/COArea Crcy</t>
  </si>
  <si>
    <t>CO Object Name</t>
  </si>
  <si>
    <t>Document Date</t>
  </si>
  <si>
    <t>Order</t>
  </si>
  <si>
    <t>Period</t>
  </si>
  <si>
    <t>Posting Date</t>
  </si>
  <si>
    <t>Ref. document number</t>
  </si>
  <si>
    <t>Ref. Fiscal Year</t>
  </si>
  <si>
    <t>Transaction Currency</t>
  </si>
  <si>
    <t>Value TranCurr</t>
  </si>
  <si>
    <t>Purchase Order Text</t>
  </si>
  <si>
    <t>Name</t>
  </si>
  <si>
    <t>Remark</t>
  </si>
  <si>
    <t>Commitment Fixed Asset</t>
  </si>
  <si>
    <t>Cost element</t>
  </si>
  <si>
    <t>Total Quantity</t>
  </si>
  <si>
    <t>Unit of Measure</t>
  </si>
  <si>
    <t>Vendor</t>
  </si>
  <si>
    <t>Debit Date</t>
  </si>
  <si>
    <t>15099090</t>
  </si>
  <si>
    <t>UNT</t>
  </si>
  <si>
    <t>Pemb. Laptop a.n Antomi Jhofi</t>
  </si>
  <si>
    <t>A4824IT002</t>
  </si>
  <si>
    <t>2</t>
  </si>
  <si>
    <t>5000005882</t>
  </si>
  <si>
    <t>2024</t>
  </si>
  <si>
    <t>Dell Latitude 5440, 13th Generation Inte</t>
  </si>
  <si>
    <t>Initial budget</t>
  </si>
  <si>
    <t>AU</t>
  </si>
  <si>
    <t>Pemb. Face Recognize Area Basement &amp; Lt2</t>
  </si>
  <si>
    <t>A4824IT003</t>
  </si>
  <si>
    <t>4</t>
  </si>
  <si>
    <t>5000010589</t>
  </si>
  <si>
    <t>FACE RECOGNITION DEVICE HIKVISION</t>
  </si>
  <si>
    <t/>
  </si>
  <si>
    <t>IT-WindowsServer2022Std 16Core License N</t>
  </si>
  <si>
    <t>A5824IT100</t>
  </si>
  <si>
    <t>3</t>
  </si>
  <si>
    <t>5500000015</t>
  </si>
  <si>
    <t>Capitalize Intangible IT</t>
  </si>
  <si>
    <t>GRP Reimbursement</t>
  </si>
  <si>
    <t>IT-SQL Server Std 2 Core License NBP - P</t>
  </si>
  <si>
    <t>A5824IT101</t>
  </si>
  <si>
    <t>IT-CAL License NBP - PT Intikom B.M</t>
  </si>
  <si>
    <t>A5824IT102</t>
  </si>
  <si>
    <t>IT-VCENTER STANDARD NBP - PT Sunio Citra</t>
  </si>
  <si>
    <t>A5824IT104</t>
  </si>
  <si>
    <t>IT-VMWARE SERVER ESXI - 12 CORE NBP - Su</t>
  </si>
  <si>
    <t>A5824IT105</t>
  </si>
  <si>
    <t>IT-WINDOWS GGWA - WINDOWS 11 PRO-Mitra I</t>
  </si>
  <si>
    <t>A5824IT103</t>
  </si>
  <si>
    <t>Pemb. Face Recognize</t>
  </si>
  <si>
    <t>A4824IT004</t>
  </si>
  <si>
    <t>6</t>
  </si>
  <si>
    <t>5000010634</t>
  </si>
  <si>
    <t>5000017511</t>
  </si>
  <si>
    <t>5000017514</t>
  </si>
  <si>
    <t>Speedface M3</t>
  </si>
  <si>
    <t>Bracket For Face Recognition</t>
  </si>
  <si>
    <t>Jasa Migrasi</t>
  </si>
  <si>
    <t>Jasa Pemasangan</t>
  </si>
  <si>
    <t>15000250</t>
  </si>
  <si>
    <t>Pemb. TV dan Bracket 2 Unit R. Pak Felix</t>
  </si>
  <si>
    <t>A5024IT100</t>
  </si>
  <si>
    <t>5</t>
  </si>
  <si>
    <t>5000012393</t>
  </si>
  <si>
    <t>5000012709</t>
  </si>
  <si>
    <t>ANDROID TV TCL 32 INCH</t>
  </si>
  <si>
    <t>Breacket TV 22-35 Inch NORTH BAYOU H100</t>
  </si>
  <si>
    <t>Pemb. Laptop Secondee (3 Unit)</t>
  </si>
  <si>
    <t>A4224IT1001</t>
  </si>
  <si>
    <t>5000016673</t>
  </si>
  <si>
    <t>Apple iPad Pro 12" 2022 M2 Chip Wifi 512</t>
  </si>
  <si>
    <t>Apple Accessories Pencil (2nd Generation</t>
  </si>
  <si>
    <t>5000016674</t>
  </si>
  <si>
    <t>Laptop Dell Latitude 7440 Core i7 16GB</t>
  </si>
  <si>
    <t>Pemb. Laptop Kelvin Chandra (Centalized)</t>
  </si>
  <si>
    <t>A4224IT1002</t>
  </si>
  <si>
    <t>7</t>
  </si>
  <si>
    <t>2111000163</t>
  </si>
  <si>
    <t>4300000079</t>
  </si>
  <si>
    <t>Laptop Strategic Sourcing &amp; Procurement</t>
  </si>
  <si>
    <t>Pemb. Device GYS Office Sharring NH</t>
  </si>
  <si>
    <t>A4824IT1007</t>
  </si>
  <si>
    <t>LOT</t>
  </si>
  <si>
    <t>2101001548</t>
  </si>
  <si>
    <t>4300000054</t>
  </si>
  <si>
    <t>Hardware FG-40F</t>
  </si>
  <si>
    <t>License UTM Fortigate 1 Year</t>
  </si>
  <si>
    <t>DRMA Fortigate 1 Year</t>
  </si>
  <si>
    <t>Hardware FortiAP-FAP-221E-F</t>
  </si>
  <si>
    <t>Forticare License FortiAP 1 Year</t>
  </si>
  <si>
    <t>DRMA FortiAP 1 Year</t>
  </si>
  <si>
    <t>Services Fortigate and FortiAP</t>
  </si>
  <si>
    <t>Additional budget</t>
  </si>
  <si>
    <t>Mohon kirimkan Lembar kerja anggaran tahunan (master budget template) yang telah disetujui ke Budget&amp;Analysis Departemen paling lambat tanggal 30 Agustus 2024.</t>
  </si>
  <si>
    <t>Jumlah anggaran per ledger dan per bulan yang dibutuhkan di tahun 2025
- Disajikan dalam mata uang USD
  (asumsi 1 USD = Rp15.800)
- Nilai yang dibudgetkan adalah nilai DPP(exclude PPn)
- Nilai yang diisi didetailkan berdasakan detail aktivitas</t>
  </si>
  <si>
    <t>Sheet 3 : Opex - Budget Detail</t>
  </si>
  <si>
    <t>Diisi dengan penjalasan aktivitas yang lebih detail
Untuk available activity, detail sudah diisi di sheet Activity Master Opex
Untuk activity baru yang akan diajukan di 2025, mohon agar menambahkan juga penjelasan di sheet Activity Master Opex</t>
  </si>
  <si>
    <t>Jumlah anggaran per ledger dan per bulan yang dibutuhkan di tahun 2025.
- Disajikan dalam mata uang USD
  (asumsi 1 USD = Rp15.800)
- Nilai yang dibudgetkan adalah nilai DPP (exclude PPn)
- Nilai yang diisi didetailkan berdasakan detail aktivitas</t>
  </si>
  <si>
    <t>Isi dengan "Outstanding PO" hanya jika aktivitas merupakan PO yang menggantung hingga akhir tahun 2024 dan terealisasi di 2025.</t>
  </si>
  <si>
    <t>Pilihan terkait dengan type aktivitas:
- Monthly Recurring : Jika aktivitas dilakukan setiap bulan, contoh : Sewa Mobil
- Periodically (Quarterly/Yearly) Recurring : Jika aktivitas dilakukan setiap tahun / kuarter. Contoh : Audit Professional Fee
- One Off : Jika aktivitas dilakukan hanya karena tujuan khusus. Contoh : biaya konsultan dengan tujuan khusus yang hanya dilakukan sekali saja dan tidak berulang ditahun selanjutnya.
- Conditional : Aktivitas yang hampir setiap tahun ada, namun biaya aktivitasnya tidak menentu. Contoh : Biaya notaris</t>
  </si>
  <si>
    <t>Diisi dengan max 40 karakter nama aktivitas yang ingin diajukan</t>
  </si>
  <si>
    <t>Diisi dengan tambahan detail penjelasan atas aktivitas yang ingin diajukan
Misal : 
- Activity : Rental - Fortuner
- Remarks : monthly rental car for BoD based on Working Contract</t>
  </si>
  <si>
    <t>Reason for increase/decrease</t>
  </si>
  <si>
    <t>Control</t>
  </si>
  <si>
    <t>Meeting with External Parties ERP</t>
  </si>
  <si>
    <t>Pemb. Laptop Friston May Chandra Saragih</t>
  </si>
  <si>
    <t>A4224IT1005</t>
  </si>
  <si>
    <t>4300000082</t>
  </si>
  <si>
    <t>Dell Latitude 3440</t>
  </si>
  <si>
    <t>Material</t>
  </si>
  <si>
    <t>Material description</t>
  </si>
  <si>
    <t>Purchasing Document</t>
  </si>
  <si>
    <t>5000018185</t>
  </si>
  <si>
    <t>No</t>
  </si>
  <si>
    <t>Project ID</t>
  </si>
  <si>
    <t>Budget</t>
  </si>
  <si>
    <t>Act.costs</t>
  </si>
  <si>
    <t>Tot.cst.cm</t>
  </si>
  <si>
    <t>Res. plan</t>
  </si>
  <si>
    <t>Realisasi</t>
  </si>
  <si>
    <t>Available</t>
  </si>
  <si>
    <t>% Realisation</t>
  </si>
  <si>
    <t>Status</t>
  </si>
  <si>
    <t>Open</t>
  </si>
  <si>
    <t xml:space="preserve">Realisation Project IT </t>
  </si>
  <si>
    <t>AMRS For Gas Flow Meter LongCo</t>
  </si>
  <si>
    <t>MIS-2312-001</t>
  </si>
  <si>
    <t>Change Company Name Project</t>
  </si>
  <si>
    <t>MIS-2403-001</t>
  </si>
  <si>
    <t>Web Development and SEO Optimization</t>
  </si>
  <si>
    <t>MIS-2403-002</t>
  </si>
  <si>
    <t>Using a budget for project Infrastructure Enhancement for Automation</t>
  </si>
  <si>
    <t xml:space="preserve">Lembar kerja anggaran tahunan (master budget template) dibuat dengan menyesuaikan struktur organisasi per Juli 2024 serta cost center terkait </t>
  </si>
  <si>
    <t>Table1.1. List Direktorat:
(menyesuaikan struktur organisasi per Juli 2024)</t>
  </si>
  <si>
    <t>Table1.2. List Divisi / Departement :
(menyesuaikan struktur organisasi per Juli 2024)</t>
  </si>
  <si>
    <t>Aktual biaya January - Juli 2024
- Tidak perlu diisi
- Disajikan dalam mata uang USD</t>
  </si>
  <si>
    <t>Sheet 2 : Capex Detail</t>
  </si>
  <si>
    <t>Original Currency</t>
  </si>
  <si>
    <t>Diisi informasi nominal sesuai mata uang asli</t>
  </si>
  <si>
    <t>General Guidances</t>
  </si>
  <si>
    <t>Estimated / target project start date</t>
  </si>
  <si>
    <t>Estimated / target project completion date</t>
  </si>
  <si>
    <t>Section 1. Existing Master Activity</t>
  </si>
  <si>
    <t>Membership fees</t>
  </si>
  <si>
    <t>IT ANALYTICS</t>
  </si>
  <si>
    <t>Payment Terms</t>
  </si>
  <si>
    <t>Diisi informasi syarat pembayaran untuk aktivitas project/capex terkait.</t>
  </si>
  <si>
    <t>Annual Budget 2023</t>
  </si>
  <si>
    <t>Actual
(Jan-Aug 2023)</t>
  </si>
  <si>
    <t>Jan 2024
(in USD)</t>
  </si>
  <si>
    <t>Feb 2024
(in USD)</t>
  </si>
  <si>
    <t>Mar 2024
(in USD)</t>
  </si>
  <si>
    <t>Apr 2024
(in USD)</t>
  </si>
  <si>
    <t>May 2024
(in USD)</t>
  </si>
  <si>
    <t>Jun 2024
(in USD)</t>
  </si>
  <si>
    <t>Jul 
2024
(in USD)</t>
  </si>
  <si>
    <t>Aug 2024
(in USD)</t>
  </si>
  <si>
    <t>Sep 2024
(in USD)</t>
  </si>
  <si>
    <t>Oct 2024
(in USD)</t>
  </si>
  <si>
    <t>Nov 2024
(in USD)</t>
  </si>
  <si>
    <t>Dec 2024
(in USD)</t>
  </si>
  <si>
    <t>Total</t>
  </si>
  <si>
    <t xml:space="preserve"> </t>
  </si>
  <si>
    <t>New Activity 2024</t>
  </si>
  <si>
    <t>Outstanding PO 2023</t>
  </si>
  <si>
    <t xml:space="preserve">Service PC + Monitor </t>
  </si>
  <si>
    <t>Essentials</t>
  </si>
  <si>
    <t>Periodically (Quarterly/Yearly) Recurring</t>
  </si>
  <si>
    <t>-</t>
  </si>
  <si>
    <t>45 unit</t>
  </si>
  <si>
    <t>Rp. 2.280.000</t>
  </si>
  <si>
    <t>- Biaya service layar monitor PC @ 50.000 -&gt; 971 Unit di HO 
- Estimasi based on harga pasar (google)</t>
  </si>
  <si>
    <t>Service Laptop</t>
  </si>
  <si>
    <t xml:space="preserve">PT . FASARI </t>
  </si>
  <si>
    <t xml:space="preserve">21 Unit </t>
  </si>
  <si>
    <t>Rp. 1.095.000</t>
  </si>
  <si>
    <t>- Biaya install ulang laptop Rp. 50.000 -&gt; 249 Unit di HO (Periodically @ Rp. 1.095 Juta)
- Estimasi based on harga pasar (google)</t>
  </si>
  <si>
    <t>Service UPS</t>
  </si>
  <si>
    <t>1 Unit</t>
  </si>
  <si>
    <t>- Biaya service UPS (ganti baterai UPS) 
- Estimasi based on harga pasar (google)</t>
  </si>
  <si>
    <t>Service CCTV + NVR</t>
  </si>
  <si>
    <t>2 Unit</t>
  </si>
  <si>
    <t>Rp. 1.900.000</t>
  </si>
  <si>
    <t>- Biaya service CCTV quarterly Rp. 900.000 + inflasi 
- Estimasi based on harga pasar (google)</t>
  </si>
  <si>
    <t>Service Server</t>
  </si>
  <si>
    <t>Rp. 4.200.000</t>
  </si>
  <si>
    <t>- Service server total server 6 Unit, estimasi per-month Rp. 4.2 Juta untuk 1 Unit Server 
- Estimasi harga based on Harga Pasar (Google)</t>
  </si>
  <si>
    <t>Maintenance Precision AC</t>
  </si>
  <si>
    <t>3 Unit</t>
  </si>
  <si>
    <t>Rp. 12.615.000</t>
  </si>
  <si>
    <t>- Server Maintenance Precission AC (Ganti Kompressor, Perbaikan Modul AC Inverter, Pengelasan Flashing &amp; Isi Freon) untuk 3 Unit AC @4.250.000, total maintenance quarterly Rp. 12,615,000 
- Estimasi harga based on Harga Pasar (google)</t>
  </si>
  <si>
    <t>Service Printer + Scanner</t>
  </si>
  <si>
    <t xml:space="preserve">4 Unit </t>
  </si>
  <si>
    <t>Rp. 250,000</t>
  </si>
  <si>
    <t>-  Printer Service: (service ink system dan service mainboard printer) @ Rp. 250.000
- Estimasi based on harga pasar (E-commerce)</t>
  </si>
  <si>
    <t xml:space="preserve">Maintenance Video Conference </t>
  </si>
  <si>
    <t>Moderate</t>
  </si>
  <si>
    <t>Rp. 27,115,000</t>
  </si>
  <si>
    <t xml:space="preserve">- Maintenance Video Conference Cisco Room Kit Pro PTZ 4K Room Navigator + Room Kit Pro PTZ Codec Pro PTZ 4K Total Rp. 27,115,000 Quarterly
- Estimasi 10 % dari harga Pembelian  (Vendor Mitra Mugi) </t>
  </si>
  <si>
    <t>Service Audio Device</t>
  </si>
  <si>
    <t xml:space="preserve">1 unit </t>
  </si>
  <si>
    <t>Rp. 12.600.000</t>
  </si>
  <si>
    <t>- Service (Ceiling Microphone, Kramer Power Amplifier, Ceiling Speakers. Converge, kabel Speaker Canare / Roll) = Periodically Rp. 12.6 Juta
- Estimasi 10 % dari harga Pembelian (Ceiling Microphone, Kramer Power Amplifier, Ceiling Speakers. Converge, kabel Speaker Canare / Roll) dari vendor Mitra Mugi</t>
  </si>
  <si>
    <t>Maintenance Access Control @24-30unit</t>
  </si>
  <si>
    <t xml:space="preserve">24-30 unit </t>
  </si>
  <si>
    <t>Rp. 15.600.000</t>
  </si>
  <si>
    <t xml:space="preserve">- Quarterly allocated maintenance for Access Control (Door Lock, Face Recognition) 24-30 unit HO &amp; Plant: Rp. 15.6 Juta. 
- Estimasi harga maintenance per unit 15% based on harga Pembelian RP. 400.000 (vendor: Satahi) </t>
  </si>
  <si>
    <t>Service Mobile Device</t>
  </si>
  <si>
    <t>LISBOA PHONE SHOP</t>
  </si>
  <si>
    <t>Rp. 800.000</t>
  </si>
  <si>
    <t>- Mobile Device Service: Service LCD Rp. 800.000
- Estimasi based on harga vendor</t>
  </si>
  <si>
    <t>Maintenance Gate Portal/Barier</t>
  </si>
  <si>
    <t>Rp. 8,110,000</t>
  </si>
  <si>
    <t>- Quarterly allocated maintenance for Gate Portal/Barier (Gate portal SMS1, BP2, Perjuangan1, Kalimalang) = 24 Unit total : Rp. 8,110,000 + Inflasi
(barrier gate = 8,850,000 
controller up to 2 door	= 6,800,000 
QR 500	= 2,900,000 
Vehicle Detection Radar	= 3,400,000 
IP Paging = 4,000,000 
TOA = 1,500,000 
IP PBC UC 100 = 12,000,000 
Portal = 1,100,000 
Total= 40,550,000)
- Estimasi 20% based on PO (Total = Rp. 40,550,000) (Vendor Jakarta System Integrators, merk = ZKTeco)</t>
  </si>
  <si>
    <t>Maintenance Fire Alarm</t>
  </si>
  <si>
    <t>PT. INDOSAFE JAYA PERKASA</t>
  </si>
  <si>
    <t>Rp.8.500.000</t>
  </si>
  <si>
    <t xml:space="preserve">- Maintenance Fire Alarm: 2 times / year @ Rp. 8.500.000 + 20% spare parts Fire Surpression 
- Estimasi harga based on Penawaran dari vendor </t>
  </si>
  <si>
    <t xml:space="preserve">Service TV </t>
  </si>
  <si>
    <t>Rp. 4.000.000</t>
  </si>
  <si>
    <t>- Periodically service TV CHIQ Rp. 5,000,000
- Estimasi based on Actual Service TV by Team GA (Rp. 4 Juta)</t>
  </si>
  <si>
    <t>Service Hardisk</t>
  </si>
  <si>
    <t>8 Unit</t>
  </si>
  <si>
    <t>Rp. 900.000</t>
  </si>
  <si>
    <t>- Hardisk Service: Quarterly Rp. 7.5 Juta (+ inflasi) untuk 8 Unit Hard disk eksternal WD 
- Estimasi based on harga pasar (google)</t>
  </si>
  <si>
    <t>Service Projector</t>
  </si>
  <si>
    <t>Rp. 500.000</t>
  </si>
  <si>
    <t>- Projector Service: Quarterly Rp. 2.5 Juta -&gt; Based on biaya jasa service Rp. 500.000
- Estimasi based on harga pasar (E-commerce)</t>
  </si>
  <si>
    <t>Maintenance Video Wall Processor</t>
  </si>
  <si>
    <t>Rp. 26.700.000</t>
  </si>
  <si>
    <t xml:space="preserve">- Maintenance Video Wall Controller  ISEMC VK Series 
- Estimasi 15 % dari harga Pembelian  (Vendor PIXEL) </t>
  </si>
  <si>
    <t xml:space="preserve">Service Handy Talkie </t>
  </si>
  <si>
    <t xml:space="preserve">8 Unit di HO </t>
  </si>
  <si>
    <t>Rp 148.000</t>
  </si>
  <si>
    <t>- Handy Talky Service Quarterly Rp. 1.2 Juta untuk 8 unit (@Rp. 148 ribu) 
- Estimasi based on harga pasar (E-commerce)</t>
  </si>
  <si>
    <t>Maintenance server Dell R740 @2 unit</t>
  </si>
  <si>
    <t>Maintenance Storage Dell MD1220 &amp; MD3820i @2unit</t>
  </si>
  <si>
    <t>Rp. 24.000.000</t>
  </si>
  <si>
    <t>- Periodically maintenance for Storage Dell MD1220 &amp; MD3820i 2unit total: Rp 24.000.000
- Estimasi 10 % dari Harga Penawaran (PT Mitra Visindo Teknologi)</t>
  </si>
  <si>
    <t>Maintenance Falco Portal</t>
  </si>
  <si>
    <t>Service Absen Finger (include Portal)</t>
  </si>
  <si>
    <t>Maintenance Core Switch Aruba</t>
  </si>
  <si>
    <t>Rp. 8.100.000</t>
  </si>
  <si>
    <t>- Periodically maintenane of core switch 1 unit: RP. 8.1 Juta
- GAIA Budget</t>
  </si>
  <si>
    <t>Maintenance AP Aruba</t>
  </si>
  <si>
    <t xml:space="preserve">1 Lot </t>
  </si>
  <si>
    <t>Rp. 5.800.000</t>
  </si>
  <si>
    <t>- Periodically maintenane of switch AP Aruba 1 LOT : RP. 5.8 Juta 
- GAIA Budget</t>
  </si>
  <si>
    <t>Maintenance Annual Fortinet 40F</t>
  </si>
  <si>
    <t>Maintenance FortiAP</t>
  </si>
  <si>
    <t>Others RM Exp</t>
  </si>
  <si>
    <t>- Biaya kerusakan Apple TV (mati total, USB Ports, Bluetooth, No Display, water damage, konslet, power supply, Power Button, konektor HDMI) Total Rp. 4.000.000 
- Estimasi harga based on harga pasar (google)</t>
  </si>
  <si>
    <t>Seminar dan Training Transport Expense</t>
  </si>
  <si>
    <t>Rp. 30,960,000</t>
  </si>
  <si>
    <t>Transportasi seminar dan training tim IT</t>
  </si>
  <si>
    <t>Indo Internet 50Mbps Jakarta Office Noble House (Primary Link)</t>
  </si>
  <si>
    <t>Internet Telkom 200Mbps Head Office (Primary Link) Astinet</t>
  </si>
  <si>
    <t>Monthly Recurring</t>
  </si>
  <si>
    <t>TELKOM</t>
  </si>
  <si>
    <t>12 Months</t>
  </si>
  <si>
    <t>Rp. 54.900.000</t>
  </si>
  <si>
    <t>- Monthly internet billing Head Office Rp. 54.9 Juta 
- GAIA Budget</t>
  </si>
  <si>
    <t>Internet XL 100 Mbps Head Office (Secondary Link)</t>
  </si>
  <si>
    <t>XL</t>
  </si>
  <si>
    <t>Rp. 18.400.000</t>
  </si>
  <si>
    <t>- Monthly internet billing Head Office Rp. 18.4 Juta  
- GAIA Budget</t>
  </si>
  <si>
    <t>IT001-00015</t>
  </si>
  <si>
    <t>Internet 50Mbps Founder</t>
  </si>
  <si>
    <t>Internet Simcard Telkomsel 4G LTE</t>
  </si>
  <si>
    <t>TELKOMSEL</t>
  </si>
  <si>
    <t>Rp. 4.900.000</t>
  </si>
  <si>
    <t xml:space="preserve">Monthly billing simcard: Rp. 4.9 Juta -&gt; Based on Billing </t>
  </si>
  <si>
    <t>Whatsapp API Voucher msg sending</t>
  </si>
  <si>
    <t xml:space="preserve">PT. QONTAK TUMBUH MAKMUR </t>
  </si>
  <si>
    <t>Rp. 8.400.000</t>
  </si>
  <si>
    <t xml:space="preserve">Quota Whatsapp for Broadcast: Rp. 8.4 Juta </t>
  </si>
  <si>
    <t>Cetak buku Policy IT &amp; SOP</t>
  </si>
  <si>
    <t xml:space="preserve">Converter </t>
  </si>
  <si>
    <t>PT. SUNIO CITRA</t>
  </si>
  <si>
    <t>4 Unit (4 tipe)</t>
  </si>
  <si>
    <t>Rp. 450.000</t>
  </si>
  <si>
    <t xml:space="preserve">- New &amp; replacement converter device (Type C to HDMI, USB to HDMI, USB HUB for Mac &amp; Windows)
- Estimasi based on harga pasar (E-commerce)
Budgeted 4x in a year @ Rp. 450 Ribu </t>
  </si>
  <si>
    <t>Earphone</t>
  </si>
  <si>
    <t>Mobile Device (Tablet)</t>
  </si>
  <si>
    <t xml:space="preserve">13 Unit </t>
  </si>
  <si>
    <t>Rp1.929.500</t>
  </si>
  <si>
    <t>- Replacement &amp; new tablet samsung A7 Lite for application: Periodically @Rp 26.4 Juta 
- Estimasi based on Harga Pasar (E-commerce)</t>
  </si>
  <si>
    <t>PC Pheriperal (Mouse, Keyboard, SSD, RAM, PowerSupply, Fan Cooler)</t>
  </si>
  <si>
    <t>Rp 9.900.000</t>
  </si>
  <si>
    <t>- Spare dan baru perlengkapan PC Desktop:
- Power Supply 850watt 6 pcs untuk perlengkapan PC desktop @ unit 825 ribu
- keyboard Logitech : 30 pcs dalam 1 tahun : Rp. 102 ribu/ unit = Rp. 3.060.000
- mouse Logitech : 30 pcs dalam 1 tahun : Rp. 60ribu/ unit = Rp. 1.800.000
- Estimasi based on harga pasar (E-commerce)</t>
  </si>
  <si>
    <t>Mobile Device (Handphone)</t>
  </si>
  <si>
    <t xml:space="preserve">11 Unit </t>
  </si>
  <si>
    <t>Rp. 1.699.000</t>
  </si>
  <si>
    <t>- Replacement &amp; new Phone Vivo Y17 for application: Periodically @Rp 20.2 Juta 
- Estimasi based on harga pasar (E-commerce)</t>
  </si>
  <si>
    <t>Raspberry pi 4 (Mini PC) @2unit</t>
  </si>
  <si>
    <t>Network Pheriperal (Patchcord FO, Patchcord RJ45, Pigtail, SFP, SFP+, SFP to RJ45)</t>
  </si>
  <si>
    <t>PT. MITRA MUGI LANCAR</t>
  </si>
  <si>
    <t>Rp. 6,156,000</t>
  </si>
  <si>
    <t xml:space="preserve">- Pembelian 2 OTB Wallmount / Enclouser 8 Core @ Rp. 2.322.000 dan Joint Clouser 8 Core @ Rp. 1.512.000 = Rp. 6,156,000 Merk Netviel
- Estimasi based on Penawaran Vendor  </t>
  </si>
  <si>
    <t>Video &amp; Audio Pheriperal ( Jack 3.5, HDMI Cable, Batre)</t>
  </si>
  <si>
    <t>7 Qty</t>
  </si>
  <si>
    <t>Rp 2.022.000</t>
  </si>
  <si>
    <t>- Pembelian Bafo Kabel Hdmi 2.0 4K Fiber Optic FO 25 Meter baru untuk video conference: Quarterly @ Rp. 15 Juta
- Estimasi based on harga pasar (E-commerce)</t>
  </si>
  <si>
    <t xml:space="preserve">Vaccum Cleaner Portable </t>
  </si>
  <si>
    <t>CCTV Pheriperal ( Switch POE 8 Port, POE Injector, Converter Coaxial, Connector Coaxial)</t>
  </si>
  <si>
    <t>Rp 1.354.000</t>
  </si>
  <si>
    <t>- Pembelian baru TP-Link Switch PoE 8 Port, 3 pcs @ Rp1.354.000
- Estimasi based on harga pasar (E-commerce)</t>
  </si>
  <si>
    <t>Cabling UTP &amp; STP CAT 6</t>
  </si>
  <si>
    <t xml:space="preserve">Mitra Mugi Lancar, Mitra Info Sarana </t>
  </si>
  <si>
    <t>3 Qty</t>
  </si>
  <si>
    <t>Rp. 4.738.000</t>
  </si>
  <si>
    <t>- Pembelian baru Cabling UTP &amp; STP CAT 6 Untuk jaringan LAN: Quarterly @ Rp. 15.1 Juta (+ inflasi)
- Based on harga pasar (E-commerce)</t>
  </si>
  <si>
    <t>Cabling FiberOptic SingleMode 4Core</t>
  </si>
  <si>
    <t>550 meter</t>
  </si>
  <si>
    <t>Rp. 13.000</t>
  </si>
  <si>
    <t>- Pembelian Netviel FO Cable 4 Core Singlemode 550 meter, quarterly Rp. 7.500.000
- Estimasi based on harga pasar (E-commerce)</t>
  </si>
  <si>
    <t xml:space="preserve">Cabling FiberOptic SingleMode 12Core </t>
  </si>
  <si>
    <t>350 meter</t>
  </si>
  <si>
    <t>Rp. 26.500</t>
  </si>
  <si>
    <t>- Pembelian Netviel FO Cable 12 Core Singlemode 350 meter, quarterly Rp. 9. 600.000
- Estimasi based on harga pasar (E-commerce)</t>
  </si>
  <si>
    <t>Alat pemotong kabel fiber optic</t>
  </si>
  <si>
    <t>Office Equipment - Weighbridge</t>
  </si>
  <si>
    <t>Asana Project Management</t>
  </si>
  <si>
    <t xml:space="preserve">PT. EIKON TECHNOLOGY </t>
  </si>
  <si>
    <t>10 Qty</t>
  </si>
  <si>
    <t>Rp. 2,500,500</t>
  </si>
  <si>
    <t>- Yearly renewal subscription license asana 10 User : 25 Juta (Based on ATA) 
- Estimasi based on Billing
- GAIA Budget</t>
  </si>
  <si>
    <t>Google Cloud Platform</t>
  </si>
  <si>
    <t>PT. POLARISWEB</t>
  </si>
  <si>
    <t>Rp. 9,645,000</t>
  </si>
  <si>
    <t>- Monthly subscription of Google Cloud Platform (by usage) for GRP Mobile Apps @ Rp. 9.6 Juta 
- Estimasi based on Billing
- GAIA Budget</t>
  </si>
  <si>
    <t>Google Workspace Starter</t>
  </si>
  <si>
    <t>IT001-00028</t>
  </si>
  <si>
    <t>Hellosign e-signature platinum plan</t>
  </si>
  <si>
    <t>ALIGN TECHNOLOGIES PTE LTD</t>
  </si>
  <si>
    <t>Replace with Mekari Esign (since Dec 2023)</t>
  </si>
  <si>
    <t>Zoom Subscription</t>
  </si>
  <si>
    <t>10 Business , 2 Rooms , 1 CRC</t>
  </si>
  <si>
    <t>- Rp. 2,998,500 Business
- Rp. 7,485,000 Rooms
- Rp. 7,485,000 CRC</t>
  </si>
  <si>
    <t>- Yearly renewal Zoom 10 Business (@ USD 199.90) , 2 Rooms (@ USD 499) , 1 CRC (@ USD 499) users, Total: Rp. 52.4 Juta (Based on ATA)
- Estimasi based on Billing
- GAIA Budget</t>
  </si>
  <si>
    <t>IT001-00030</t>
  </si>
  <si>
    <t>Adobe Photoshop CS 6</t>
  </si>
  <si>
    <t>IT001-00031</t>
  </si>
  <si>
    <t>Ms. Visio Plan 2</t>
  </si>
  <si>
    <t>IT001-00032</t>
  </si>
  <si>
    <t>DOMAIN Gunungsteel.com (sitelock security essential)</t>
  </si>
  <si>
    <t>DOMAIN nusantarabajaprofil.com</t>
  </si>
  <si>
    <t>BLUEHOST</t>
  </si>
  <si>
    <t>1 Qty</t>
  </si>
  <si>
    <t>Rp. 240.000</t>
  </si>
  <si>
    <t>- Yearly renewal domain nusantarabajaprofil.com Rp. 240 Ribu -&gt; Based on Billing 
- GAIA Budget</t>
  </si>
  <si>
    <t>Code Readr Subsription</t>
  </si>
  <si>
    <t xml:space="preserve">GOOGLE ASIA PACIFIC PTE LTD </t>
  </si>
  <si>
    <t>Rp. 1.000.000</t>
  </si>
  <si>
    <t>- Monthly renewal Code readr subscription: @ Rp. 1 Juta
- Estimasi based on billing 
- GAIA Budget</t>
  </si>
  <si>
    <t>Google Suite</t>
  </si>
  <si>
    <t>Rp. 165.000</t>
  </si>
  <si>
    <t xml:space="preserve">Monthly renewal lisensi Google Suite: @ Rp. 165 Ribu </t>
  </si>
  <si>
    <t>Zoom Connector</t>
  </si>
  <si>
    <t>IT001-00037</t>
  </si>
  <si>
    <t>Adobe Pro DC @4 user</t>
  </si>
  <si>
    <t>Dropbox license</t>
  </si>
  <si>
    <t xml:space="preserve">DROPBOX INTERNATIONAL </t>
  </si>
  <si>
    <t>Rp. 12.900.000</t>
  </si>
  <si>
    <t xml:space="preserve">Yearly renewal 3 licenses Dropbox for backup data server: Rp. 12.9 Juta </t>
  </si>
  <si>
    <t>Dropbox business subscription</t>
  </si>
  <si>
    <t>50 Qty</t>
  </si>
  <si>
    <t>Rp. 5,498,000</t>
  </si>
  <si>
    <t>- Yearly renewal 50 Licenses Dropbox Business Subscription: Rp. 274.9 Juta (Based on ATA)
- GAIA Budget</t>
  </si>
  <si>
    <t>Azure License</t>
  </si>
  <si>
    <t xml:space="preserve">PT. MALIFAX INDONESIA </t>
  </si>
  <si>
    <t xml:space="preserve">100 DTU </t>
  </si>
  <si>
    <t>Rp. 4.100.000</t>
  </si>
  <si>
    <t>- Monthly renewal license Azure for datawarehouse processing @ Rp. 4.1 Juta (Based on ATA)
- Estimasi based on Billing
- GAIA Budget</t>
  </si>
  <si>
    <t>QR Patrol Gold Premium</t>
  </si>
  <si>
    <t xml:space="preserve">TERRACOM LTE </t>
  </si>
  <si>
    <t>- Yearly renewal license QR Patrol Gold Premium 1 User: Rp. 4.2 Juta (Based on ATA)
- Estimasi based on Billing
- GAIA Budget</t>
  </si>
  <si>
    <t>Antivirus TrendMicro</t>
  </si>
  <si>
    <t xml:space="preserve">PT. MITRA VISINDO TEKNOLOGI </t>
  </si>
  <si>
    <t>200 Qty</t>
  </si>
  <si>
    <t>- Yearly renewal antivirus TrendMicro ApexOne 200 users: Rp. 50 Juta (based on ATA)
- Estimasi based on Billing
- GAIA Budget</t>
  </si>
  <si>
    <t>IT001-00042</t>
  </si>
  <si>
    <t>SSL Gunungsteel.com, SSL Gunungsteel.id, Gunungrajapaksi.com</t>
  </si>
  <si>
    <t>IT001-00043</t>
  </si>
  <si>
    <t>Google Workspace Standard</t>
  </si>
  <si>
    <t>Microsoft Office 365 Business Standard</t>
  </si>
  <si>
    <t xml:space="preserve">PT. INTIKOM BERLIAN MUSTIKA </t>
  </si>
  <si>
    <t>Rp. 1,480,000</t>
  </si>
  <si>
    <t>- Yearly renewal Microsoft 365 Business Standard for 200 users : Rp. 296 Juta (based on ATA)  
- Estimasi based on Billing
- GAIA Budget</t>
  </si>
  <si>
    <t>IT001-00045</t>
  </si>
  <si>
    <t>Cisco Webex Plan</t>
  </si>
  <si>
    <t>Power BI Pro</t>
  </si>
  <si>
    <t>20 Qty</t>
  </si>
  <si>
    <t>Rp. 1,800,000</t>
  </si>
  <si>
    <t>- Yearly renewal Power BI Pro 20 users: Rp. 36 Juta (based on ATA)
- Estimasi based on Billing
- GAIA Budget</t>
  </si>
  <si>
    <t>IT001-00047</t>
  </si>
  <si>
    <t>DOMAIN rajapaksi-residence.com</t>
  </si>
  <si>
    <t>IT001-00048</t>
  </si>
  <si>
    <t>DOMAIN GunungRajaPaksi.id, Gunungsteel.id, grdsteel.id, RajaPaksi-Residence.co.id</t>
  </si>
  <si>
    <t>AWS Disaster Recovery</t>
  </si>
  <si>
    <t xml:space="preserve">CENTRAL DATATECH </t>
  </si>
  <si>
    <t xml:space="preserve">12 Months </t>
  </si>
  <si>
    <t>Rp. 27,210,000</t>
  </si>
  <si>
    <t>Monthly subscription AWS Disaster Recovery Rp 326 Juta (yearly) Based on ATA</t>
  </si>
  <si>
    <t>Bandwith Management (Sangfor)</t>
  </si>
  <si>
    <t xml:space="preserve">Annual </t>
  </si>
  <si>
    <t>Rp. 95.000.000</t>
  </si>
  <si>
    <t>- Yearly subscription for Bandwidth Management Sangfor Rp 95 Juta 
- Estimasi based on Billing 
- GAIA Budget</t>
  </si>
  <si>
    <t>License AP Aruba</t>
  </si>
  <si>
    <t xml:space="preserve">MITRA INTEGRASI INFORMATIKA </t>
  </si>
  <si>
    <t>18 Qty</t>
  </si>
  <si>
    <t>Rp. 6.500.000</t>
  </si>
  <si>
    <t>- Yearly subscription for Access Point Aruba Rp 6.5 Juta 
- Estimasi based on Billing 
- GAIA Budget</t>
  </si>
  <si>
    <t>Implementasi Backup File Sharing to Cloud System</t>
  </si>
  <si>
    <t>Rp. 15.100.000</t>
  </si>
  <si>
    <t xml:space="preserve">Yearly subscription addition other Backup File Sharing to Cloud System (beside dropbox) Rp. 15.1 Juta </t>
  </si>
  <si>
    <t xml:space="preserve">Jasa Installasi dan Tarikan </t>
  </si>
  <si>
    <t>Rp. 45,300,000</t>
  </si>
  <si>
    <t>- Jasa Relokasi Fiber Optic Ruang Server OTB, 1 Lot Rp. 45,300,000 (+ increment)
- Estimasi based on harga Penawaran dari Vendor</t>
  </si>
  <si>
    <t>Meeting Expenses and Quaterly Review</t>
  </si>
  <si>
    <t>,</t>
  </si>
  <si>
    <t xml:space="preserve">Meeting expenses quarterly @ Rp. 27 Juta </t>
  </si>
  <si>
    <t>Meeting Event</t>
  </si>
  <si>
    <t>4 Months</t>
  </si>
  <si>
    <t>Rp. 6.000.000</t>
  </si>
  <si>
    <t xml:space="preserve">Sewa Peralatan Meeting NBP </t>
  </si>
  <si>
    <t>Sewa Laptop &amp; PC</t>
  </si>
  <si>
    <t>PT BAFAYA TOTAL SOLUSINDO</t>
  </si>
  <si>
    <t>Rp. 9.300.0000</t>
  </si>
  <si>
    <t>- Sewa Laptop &amp; PC untuk kebutuhan IT dan Intern IT (Quarterly Rp. 9.3 Juta) Estimasi based on harga pasar (google)</t>
  </si>
  <si>
    <t>Sewa Server</t>
  </si>
  <si>
    <t>2 Qty</t>
  </si>
  <si>
    <t>Rp. 8.000.000</t>
  </si>
  <si>
    <t xml:space="preserve">-  Estimasi sewa Dedicated server 4( CPU 2 x E5-2620 v4, Storage Space 2 x 2TB SSD, Memory DDR4 256GB (storage space 2 * 2TB SSD) di IDCH DC @ Rp. 8.000.000 perbulan
- Estimasi based on Harga Pasar (idcloudhost.com) </t>
  </si>
  <si>
    <t xml:space="preserve">Sewa Visual Audio Conference </t>
  </si>
  <si>
    <t>Rp. 16,780,000</t>
  </si>
  <si>
    <t xml:space="preserve">- Sewa peralatan untuk event NBP, Estimasi sewa @ Event: Rp. 7.000.000 (Camera, HDMI Wireless Video, HDMI  Kabel System, Switcher, PC OBS System, Final Recording with OBS, Output video 
stream device)
- Estimasi based on Invoice (Ping Production) </t>
  </si>
  <si>
    <t>Sewa peralatan untuk event</t>
  </si>
  <si>
    <t>PING PRODUCTION</t>
  </si>
  <si>
    <t>- Rental equipment for supporting event NBP &amp; VVIP Meeting (Mixer, Camera, Wireless Tour Guide)
- Estimasi based on Penawaran Vendor</t>
  </si>
  <si>
    <t>Switch Unmange 8 Port</t>
  </si>
  <si>
    <t xml:space="preserve">6 Unit </t>
  </si>
  <si>
    <t>Rp. 699.000</t>
  </si>
  <si>
    <t>- Pembelian switch unmanage 8 port Rp. 4,680,000 Quarterly
- Estimasi based on Harga Pasar (E-commerce)</t>
  </si>
  <si>
    <t>Switch Unmange 24 Port</t>
  </si>
  <si>
    <t xml:space="preserve">8 Unit </t>
  </si>
  <si>
    <t>Rp. 1.050.000</t>
  </si>
  <si>
    <t>- Pembelian Switch Unmanage 24 Port Rp. 8,445,000 Quarterly 
- Estimasi based on Harga Pasar (E-commerce)</t>
  </si>
  <si>
    <t>Wireless Scanner Barcode Backup</t>
  </si>
  <si>
    <t>Rp1.053.000</t>
  </si>
  <si>
    <t>- Pembelian Wireless Scanner Barcode Backup 
- Estimasi based on Harga Pasar (E-commerce)</t>
  </si>
  <si>
    <t>Printer Sticker Label</t>
  </si>
  <si>
    <t>Rp 2.315.000</t>
  </si>
  <si>
    <t>- New Purchase printer sticker label
- Estimasi based on Harga Pasar (E-commerce)</t>
  </si>
  <si>
    <t>Cable CCTV RG59+Power</t>
  </si>
  <si>
    <t>Powerbank</t>
  </si>
  <si>
    <t>Printer Pheriperal</t>
  </si>
  <si>
    <t xml:space="preserve">1 Unit </t>
  </si>
  <si>
    <t>Rp. 405.000</t>
  </si>
  <si>
    <t>- New Purchase printer Pheriperal Quarterly @ 405,000
- Estimasi based on Harga Pasar (E-commerce)</t>
  </si>
  <si>
    <t>Docking HDD 3.5</t>
  </si>
  <si>
    <t>Rp. 265.050</t>
  </si>
  <si>
    <t>- Pembelian baru Docking HDD 3.5 @ Rp. 265.050 Orico
- Estimasi based on Harga Pasar (E-commerce)</t>
  </si>
  <si>
    <t>Docking HDD 2.5</t>
  </si>
  <si>
    <t>Rp 265.050</t>
  </si>
  <si>
    <t>- Estimasi pembelian baru Docking HDD 2.5 @ Rp. 265.050 Orico 
- Estimasi based on Harga Pasar (E-commerce)</t>
  </si>
  <si>
    <t>Docking NVMe</t>
  </si>
  <si>
    <t>Rp. 1.049.000</t>
  </si>
  <si>
    <t>- Docking NVME Blue Endless Rp. 1.049.000
- Estimasi based on Harga Pasar (E-commercce)</t>
  </si>
  <si>
    <t>Troli Barang</t>
  </si>
  <si>
    <t>Other Equipment</t>
  </si>
  <si>
    <t>Rp. 22.900.000</t>
  </si>
  <si>
    <t xml:space="preserve"> Pembelian peralatan lainnya Rp. 22.9 Juta, budgeted per 3 months, estimasi 70% dari pengajuan 2023 dikarenakan adanya pemisahan asset dari project GAIA (final waiting for MPP HR (tentative)). </t>
  </si>
  <si>
    <t>Refill Toner</t>
  </si>
  <si>
    <t xml:space="preserve">- Refill Toner (Monthly: Rp. 2.8 Juta) Cosumption for refill toner all dept
- Estimasi based on Penawaran </t>
  </si>
  <si>
    <t>IT003-00001</t>
  </si>
  <si>
    <t>SAP principle maintenance</t>
  </si>
  <si>
    <t>SAP PAAS</t>
  </si>
  <si>
    <t>AWS CDT</t>
  </si>
  <si>
    <t>7 Months</t>
  </si>
  <si>
    <t>Rp. 79,995,000</t>
  </si>
  <si>
    <t>- SAP PAAS subscription
- GAIA Budget</t>
  </si>
  <si>
    <t>IT003-00003</t>
  </si>
  <si>
    <t>SAP Software development outsourced</t>
  </si>
  <si>
    <t>IT003-00004</t>
  </si>
  <si>
    <t>AX Software development outsourced</t>
  </si>
  <si>
    <t>RPA License</t>
  </si>
  <si>
    <t>- Based on ATA</t>
  </si>
  <si>
    <t>IT003-00006</t>
  </si>
  <si>
    <t>Research (R&amp;D)</t>
  </si>
  <si>
    <t>IT003-00007</t>
  </si>
  <si>
    <t>DWH Annual maintenance &amp; development</t>
  </si>
  <si>
    <t>IT001-00063</t>
  </si>
  <si>
    <t>Printing - Design</t>
  </si>
  <si>
    <t>Hoverwatch Professional</t>
  </si>
  <si>
    <t xml:space="preserve">PAYPRO EUROPE LIMITED </t>
  </si>
  <si>
    <t>Rp. 7.200.000</t>
  </si>
  <si>
    <t xml:space="preserve">- Yearly subscription for Hoverwatch: Rp. 7.2 Juta 
- Estimasi harga based on Billing </t>
  </si>
  <si>
    <t>Fuse Angular</t>
  </si>
  <si>
    <t>IT003-00009</t>
  </si>
  <si>
    <t>Google Play Console</t>
  </si>
  <si>
    <t>IT003-00010</t>
  </si>
  <si>
    <t>Apple Developer Program</t>
  </si>
  <si>
    <t>Folderit</t>
  </si>
  <si>
    <t>IT003-00012</t>
  </si>
  <si>
    <t>ChatGPT Plus</t>
  </si>
  <si>
    <t>Maintenance Emergency Break Glass</t>
  </si>
  <si>
    <t>Cetak Kartu Nama</t>
  </si>
  <si>
    <t>Rp. 150.000</t>
  </si>
  <si>
    <t xml:space="preserve">Cetak Kartu Nama </t>
  </si>
  <si>
    <t>IT001-00089</t>
  </si>
  <si>
    <t>ChatGPT</t>
  </si>
  <si>
    <t>OPENAI &amp; CHATGPT</t>
  </si>
  <si>
    <t>Rp. 375.000</t>
  </si>
  <si>
    <t xml:space="preserve">- Monthly subscription Google Cloud Platform for ChatGPT @ Rp. 375 Ribu
- Estimasi based on Billing </t>
  </si>
  <si>
    <t>IT003-00013</t>
  </si>
  <si>
    <t>Backend Support ChatGPT</t>
  </si>
  <si>
    <t>IT003-00014</t>
  </si>
  <si>
    <t>Contract Termination</t>
  </si>
  <si>
    <t>Rp. 2,190,000</t>
  </si>
  <si>
    <t>SSL certificate for nusantarabajaprofil.com (yearly) (Based on ATA)</t>
  </si>
  <si>
    <t>PT. QONTAK TUMBUH MAKMUR</t>
  </si>
  <si>
    <t>Rp. 25.000.000</t>
  </si>
  <si>
    <t xml:space="preserve">- Whatsapp Business for Helpdesk Rp. 25 Juta (yearly) 
- GAIA Budget </t>
  </si>
  <si>
    <t>Annual</t>
  </si>
  <si>
    <t>Rp. 73.000.000</t>
  </si>
  <si>
    <t xml:space="preserve">- Fortigate Internet Firewall yearly Rp. 73 Juta 
- GAIA Budget </t>
  </si>
  <si>
    <t>Rp. 334.473</t>
  </si>
  <si>
    <t>Aruba Wireless Controller</t>
  </si>
  <si>
    <t>18 Unit</t>
  </si>
  <si>
    <t>Rp. 6,495,000</t>
  </si>
  <si>
    <t xml:space="preserve">Autocad for 10 User </t>
  </si>
  <si>
    <t>10 User</t>
  </si>
  <si>
    <t>IT001-00069</t>
  </si>
  <si>
    <t>Vulnerabilty Assestment Test</t>
  </si>
  <si>
    <t>Rp. 109,890,000</t>
  </si>
  <si>
    <t xml:space="preserve">- Vulnerabilty Assestment Test (Rapid 7) -&gt; Based on Billing 
- GAIA Budget </t>
  </si>
  <si>
    <t>Monitoring Tools support &amp; maintenance (Solarwin)</t>
  </si>
  <si>
    <t>500 Nodes</t>
  </si>
  <si>
    <t>Rp. 200,000,000</t>
  </si>
  <si>
    <t xml:space="preserve">Monitoring Tools support &amp; maintenance (Solarwin) -&gt; Based on Billing </t>
  </si>
  <si>
    <t>1000 Nodes</t>
  </si>
  <si>
    <t>Rp. 313.699.788</t>
  </si>
  <si>
    <t xml:space="preserve">NAC support &amp; Maintenance -&gt; Based on Billing </t>
  </si>
  <si>
    <t>Renewal Domain NBP</t>
  </si>
  <si>
    <t>Rp. 3.000.000</t>
  </si>
  <si>
    <t xml:space="preserve">Renewal Domain NBP -&gt; Based on Billing </t>
  </si>
  <si>
    <t>IT001-00072</t>
  </si>
  <si>
    <t>Failover Distaster  Recovery</t>
  </si>
  <si>
    <t>Rp. 190,000,000</t>
  </si>
  <si>
    <t>Failover Distaster  Recovery -&gt; Based on Billing</t>
  </si>
  <si>
    <t xml:space="preserve">Mechanic tool kit </t>
  </si>
  <si>
    <t>Rp. 4.850.000</t>
  </si>
  <si>
    <t>- New Purchase Mechanic tool kit
- Estimasi based on Harga Pasar (E-commerce)</t>
  </si>
  <si>
    <t>Hardisk External SSD 2 TB (2 Unit)</t>
  </si>
  <si>
    <t>Rp. 2.230.000</t>
  </si>
  <si>
    <t>- Hardisk External SSD 2 TB (2 Unit) Rp. 4,620,000
- Estimasi based on Harga Pasar (E-commerce)</t>
  </si>
  <si>
    <t>Antivirus for NAS</t>
  </si>
  <si>
    <t>Rp. 1,500,000</t>
  </si>
  <si>
    <t xml:space="preserve">Yearly subscription Antivirus for NAS -&gt; Based on Billing </t>
  </si>
  <si>
    <t>Nakivo</t>
  </si>
  <si>
    <t>Rp. 147,840,000</t>
  </si>
  <si>
    <t xml:space="preserve">Yearly subscription Nakivo -&gt; Based on Billing </t>
  </si>
  <si>
    <t>Renewal Mekari Esign (replace Hellosign)</t>
  </si>
  <si>
    <t>MEKARI</t>
  </si>
  <si>
    <t>120 User</t>
  </si>
  <si>
    <t>Rp. 1.800.000</t>
  </si>
  <si>
    <t>- Yearly renewal existing license Mekari e-signature for 60 Users
- Yearly new license Mekari e-signature for 60 Users (Expat and team)
@Rp1.8 Juta (based on initial subscription in Dec 2023 Rp1.75 Juta)</t>
  </si>
  <si>
    <t>TSA (IT Infrastructure)</t>
  </si>
  <si>
    <t>10 Months</t>
  </si>
  <si>
    <t>Rp. 123,045,000</t>
  </si>
  <si>
    <t xml:space="preserve">TSA (based on ATA)  </t>
  </si>
  <si>
    <t>TSA after Project SAP upgrader (IT ERP &amp; App)</t>
  </si>
  <si>
    <t>6 Months</t>
  </si>
  <si>
    <t>Rp. 44,850,000</t>
  </si>
  <si>
    <t>TSA during Project SAP Upgrade (IT ERP &amp; App)</t>
  </si>
  <si>
    <t>Rp. 119,565,000</t>
  </si>
  <si>
    <t>License subcription with PAAS 90u</t>
  </si>
  <si>
    <t>Rp. 2,500,005,000</t>
  </si>
  <si>
    <t xml:space="preserve">License subcription with PAAS 90u (Annual) Based on Billing  (based on ATA)  </t>
  </si>
  <si>
    <t>Rp. 525,000,000</t>
  </si>
  <si>
    <t xml:space="preserve">SAP Annual Maintenance Support -&gt; Based on billing  (based on ATA)  </t>
  </si>
  <si>
    <t>IT003-00034</t>
  </si>
  <si>
    <t>Darwinbox(HRMS) subcription</t>
  </si>
  <si>
    <t>Rp. 117,525,000</t>
  </si>
  <si>
    <t xml:space="preserve">Monthly subscription for HRIS Darwinbox -&gt; Based on Billing  (based on ATA)  </t>
  </si>
  <si>
    <t>IT003-00035</t>
  </si>
  <si>
    <t>Orisoft(Payroll) subcription</t>
  </si>
  <si>
    <t>Rp. 33,525,000</t>
  </si>
  <si>
    <t xml:space="preserve">Monthly subscription for Payroll Orisoft app -&gt; Based on Billing  (based on ATA)  </t>
  </si>
  <si>
    <t>IT003-00036</t>
  </si>
  <si>
    <t>Middleware for bridging server between DB with Orisoft</t>
  </si>
  <si>
    <t>AWS</t>
  </si>
  <si>
    <t>Rp. 6,510,000</t>
  </si>
  <si>
    <t xml:space="preserve">Bridging server between DB with Orisoft -&gt; Based on Billing  (based on ATA)  </t>
  </si>
  <si>
    <t xml:space="preserve">Data Package for IoT AMR-Gas </t>
  </si>
  <si>
    <t>Telkomsel / XL</t>
  </si>
  <si>
    <t>Rp. 100.000</t>
  </si>
  <si>
    <t xml:space="preserve">Paket data untuk setting IoT Gas Meter -&gt; Based on Billing </t>
  </si>
  <si>
    <t>AWS for DataAnalytic development</t>
  </si>
  <si>
    <t>Rp. 130,638,080</t>
  </si>
  <si>
    <t>Cloud server untuk server development data analytic Transformation Office</t>
  </si>
  <si>
    <t>TOTAL</t>
  </si>
  <si>
    <t>Internet - Founder</t>
  </si>
  <si>
    <t>Subscription - Asana Project Management</t>
  </si>
  <si>
    <t>Subscription - Google Workspace Starter</t>
  </si>
  <si>
    <t>Subscription - Hellosign e-signature</t>
  </si>
  <si>
    <t>Subscription - Adobe Photoshop CS 6</t>
  </si>
  <si>
    <t>Subscription - Ms. Visio Plan 2</t>
  </si>
  <si>
    <t>Subscription - DOMAIN Gunungsteel.com</t>
  </si>
  <si>
    <t>Subscription - Adobe Pro DC</t>
  </si>
  <si>
    <t>Subscription - SSL GSG &amp; GRP</t>
  </si>
  <si>
    <t>Subscription - Google Workspace Standard</t>
  </si>
  <si>
    <t>Subscription - Cisco Webex Plan</t>
  </si>
  <si>
    <t>Subscription - DOMAINrajapaksi-residence</t>
  </si>
  <si>
    <t>Subscription - DOMAIN GRP,GSG,GRD</t>
  </si>
  <si>
    <t>Meeting with External Parties</t>
  </si>
  <si>
    <t>Subscription - SAP Principle Maintenance</t>
  </si>
  <si>
    <t>Subscription - SAP PAAS</t>
  </si>
  <si>
    <t>PF - SAP Annual Maintenance</t>
  </si>
  <si>
    <t>PF - AX Annual Maintenance</t>
  </si>
  <si>
    <t>IT Devices - Research &amp; Development</t>
  </si>
  <si>
    <t>PF - DWH Annual Maintenance&amp;Development</t>
  </si>
  <si>
    <t>IT Campaign</t>
  </si>
  <si>
    <t>Subscription - Google Play Console</t>
  </si>
  <si>
    <t>Subscription - Apple Developer Program</t>
  </si>
  <si>
    <t>Subscription ­ ChatGPT Plus</t>
  </si>
  <si>
    <t>Subscription ­ ChatGPT</t>
  </si>
  <si>
    <t>Subscription ­ Backend Support ChatGPT</t>
  </si>
  <si>
    <t>Subscription ­ Contract Termination</t>
  </si>
  <si>
    <t>Subscription - Vulnerabilty Assestment</t>
  </si>
  <si>
    <t>Subscription-Failover Disaster Recovery</t>
  </si>
  <si>
    <t>HRIS Darwin Box subcription</t>
  </si>
  <si>
    <t>Orisoft subcription</t>
  </si>
  <si>
    <t>SimCard AMR-Gas</t>
  </si>
  <si>
    <t>New Activity</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</si>
  <si>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</si>
  <si>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</si>
  <si>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</si>
  <si>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</si>
  <si>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</si>
  <si>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</si>
  <si>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</si>
  <si>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</si>
  <si>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</si>
  <si>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</si>
  <si>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</si>
  <si>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</si>
  <si>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</si>
  <si>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</si>
  <si>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</si>
  <si>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</si>
  <si>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PETUNJUK PENGISIAN ANGGARAN TAHUNAN (MASTER BUDGET) PERIODE 2026</t>
  </si>
  <si>
    <t>Rencana Aktivitas yang akan dilakukan di tahun 2026</t>
  </si>
  <si>
    <t>Jan - Dec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</si>
  <si>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</si>
  <si>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</si>
  <si>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</si>
  <si>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</si>
  <si>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</si>
  <si>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</si>
  <si>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</si>
  <si>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</si>
  <si>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Budget 2025</t>
  </si>
  <si>
    <t>Outstanding PO 2025</t>
  </si>
  <si>
    <t>Aktivitas yang sudah terdaftar selama tahun 2025.</t>
  </si>
  <si>
    <t>Jumlah anggaran per ledger dan per bulan yang dibutuhkan di tahun 2026
- Disajikan dalam mata uang IDR
- Nilai yang dibudgetkan adalah nilai DPP(exclude PPn)
- Nilai yang diisi didetailkan berdasakan detail aktivitas</t>
  </si>
  <si>
    <t>GUIDANCES FOR FILLING OUT THE ANNUAL BUDGET (MASTER BUDGET) FOR THE PERIOD 2026</t>
  </si>
  <si>
    <t>Section 2. Proposed New Activity 2026</t>
  </si>
  <si>
    <t>Total 2026</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</si>
  <si>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</si>
  <si>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</si>
  <si>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</si>
  <si>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</si>
  <si>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</si>
  <si>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</si>
  <si>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</si>
  <si>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</si>
  <si>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</si>
  <si>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</si>
  <si>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</si>
  <si>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</si>
  <si>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Amount
(IDR)</t>
  </si>
  <si>
    <t>Annual Budget 2025</t>
  </si>
  <si>
    <t>Actual
(Jan-Jul 2025)</t>
  </si>
  <si>
    <t>New Activity 2026</t>
  </si>
  <si>
    <t>Amount Budget 2026
(Original Currency)</t>
  </si>
  <si>
    <t>Amount Budget 2026
(IDR)</t>
  </si>
  <si>
    <t>Outstanding PO 2025
(Realised in 2026)
PO Number</t>
  </si>
  <si>
    <t>Outstanding PO 2025
(Realised in 2026)
IDR</t>
  </si>
  <si>
    <t>Proposed Budget 2026 + Outstanding PO 2025
IDR</t>
  </si>
  <si>
    <t>Proposed New Activity 2026</t>
  </si>
  <si>
    <t>IT001-00098</t>
  </si>
  <si>
    <t>IT001-00100</t>
  </si>
  <si>
    <t>IT002-00001</t>
  </si>
  <si>
    <t>IT002-00002</t>
  </si>
  <si>
    <t>IT002-00003</t>
  </si>
  <si>
    <t>IT002-00004</t>
  </si>
  <si>
    <t>IT002-00005</t>
  </si>
  <si>
    <t>IT003-00047</t>
  </si>
  <si>
    <t>IT003-00048</t>
  </si>
  <si>
    <t>IT003-00049</t>
  </si>
  <si>
    <t>IT003-00050</t>
  </si>
  <si>
    <t>IT003-00051</t>
  </si>
  <si>
    <t>IT004-00001</t>
  </si>
  <si>
    <t>Service - IT Peripheral</t>
  </si>
  <si>
    <t>IT Meetings and Events</t>
  </si>
  <si>
    <t>Rental - IT Devices</t>
  </si>
  <si>
    <t>Mandays Support Consultant</t>
  </si>
  <si>
    <t>Subscribtion - AI  &amp; Tech Subscribtion</t>
  </si>
  <si>
    <t>IT Analytics Subscription</t>
  </si>
  <si>
    <t>DWH and Report Maintenance Support</t>
  </si>
  <si>
    <t>Business Trip Analytics</t>
  </si>
  <si>
    <t>Manpower Outsource - Analytics</t>
  </si>
  <si>
    <t>Rental IT Devices Analytics</t>
  </si>
  <si>
    <t>SAP Managed Services</t>
  </si>
  <si>
    <t>Satellite Application Managed Services</t>
  </si>
  <si>
    <t>Manpower Outsource - Business Solution</t>
  </si>
  <si>
    <t>Rental IT Devices Business Solution</t>
  </si>
  <si>
    <t>Satellite Application Subscription</t>
  </si>
  <si>
    <t>IT Notification Platform</t>
  </si>
  <si>
    <t>Business Trip Business Solution</t>
  </si>
  <si>
    <t>Business Trip HoIT</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</si>
  <si>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</si>
  <si>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</si>
  <si>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</si>
  <si>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</si>
  <si>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</si>
  <si>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</si>
  <si>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</si>
  <si>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</si>
  <si>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</si>
  <si>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</si>
  <si>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</si>
  <si>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</si>
  <si>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Why this budget required?
(Justification)</t>
  </si>
  <si>
    <t>Annual Budget
2026</t>
  </si>
  <si>
    <t>PD Office</t>
  </si>
  <si>
    <t>Legal &amp; Compliance</t>
  </si>
  <si>
    <t>Regulatory &amp; External Affairs</t>
  </si>
  <si>
    <t>QHSE</t>
  </si>
  <si>
    <t>Business Unit (BU)</t>
  </si>
  <si>
    <t>Service Unit (SU)</t>
  </si>
  <si>
    <t>HRGA</t>
  </si>
  <si>
    <t>Board of Directors</t>
  </si>
  <si>
    <t>General Counsel</t>
  </si>
  <si>
    <t>SCM Logistics</t>
  </si>
  <si>
    <t>Government Relation &amp; EA</t>
  </si>
  <si>
    <t>ELECTRICAL</t>
  </si>
  <si>
    <t>Compliance &amp; Governance</t>
  </si>
  <si>
    <t>SCM Warehouse &amp; Inventory</t>
  </si>
  <si>
    <t>SMS</t>
  </si>
  <si>
    <t>MECHANICAL</t>
  </si>
  <si>
    <t>Permit &amp; Licensing</t>
  </si>
  <si>
    <t>SCM Grader</t>
  </si>
  <si>
    <t>MSN</t>
  </si>
  <si>
    <t>Sustainability</t>
  </si>
  <si>
    <t>Sustainability (ESG)</t>
  </si>
  <si>
    <t>CC_CorLegal</t>
  </si>
  <si>
    <t>CC_CorSec</t>
  </si>
  <si>
    <t>CC_LandManagement</t>
  </si>
  <si>
    <t>CC_LicensePermit</t>
  </si>
  <si>
    <t>CC_ComDev</t>
  </si>
  <si>
    <t>CC_IndustryAssociation</t>
  </si>
  <si>
    <t>CC_ComplianceGovrel</t>
  </si>
  <si>
    <t>CC_Logistics</t>
  </si>
  <si>
    <t>CC_Grader</t>
  </si>
  <si>
    <t>CC_LSM</t>
  </si>
  <si>
    <t>CC_SMS</t>
  </si>
  <si>
    <t>CC_BP</t>
  </si>
  <si>
    <t>CC_SSC</t>
  </si>
  <si>
    <t>CC_Electrical</t>
  </si>
  <si>
    <t>CC_Mechanical</t>
  </si>
  <si>
    <t>CC_PPIC</t>
  </si>
  <si>
    <t>CC_QAQC</t>
  </si>
  <si>
    <t>CC_MSN</t>
  </si>
  <si>
    <t>PD OFFICE</t>
  </si>
  <si>
    <t>LEGAL &amp; COMPLIANCE</t>
  </si>
  <si>
    <t>IT BUSINESS SOLUTION</t>
  </si>
  <si>
    <t>REGULATORY &amp; EXT AFFAIRS</t>
  </si>
  <si>
    <t>proposed to PD Office</t>
  </si>
  <si>
    <t>10301MS010</t>
  </si>
  <si>
    <t>Compliance &amp; GovRel</t>
  </si>
  <si>
    <t>SCM LOGISTICS</t>
  </si>
  <si>
    <t>SCM WAREHOUSE SPC</t>
  </si>
  <si>
    <t>SCM GRADER</t>
  </si>
  <si>
    <t>SALES &amp; PROCUREMENT</t>
  </si>
  <si>
    <t>BP PRODUCTION DEPT</t>
  </si>
  <si>
    <t>BP REPAIR</t>
  </si>
  <si>
    <t>BP ROLL SHOP DEPT</t>
  </si>
  <si>
    <t>BP CRANE DEPARTMENT</t>
  </si>
  <si>
    <t>BP OFFICE DEPARTMENT</t>
  </si>
  <si>
    <t>BP STRUCTURE MANUFACTURING</t>
  </si>
  <si>
    <t>10200</t>
  </si>
  <si>
    <t>10202SU001</t>
  </si>
  <si>
    <t>SSC - Production Division</t>
  </si>
  <si>
    <t>10202SU009</t>
  </si>
  <si>
    <t>ELECTRICAL MT &amp; PROJ</t>
  </si>
  <si>
    <t>TECH SUPPORT PPIC</t>
  </si>
  <si>
    <t>TECH SUPPORTING QA</t>
  </si>
  <si>
    <t>10202SU017</t>
  </si>
  <si>
    <t>MACHINE SHOP</t>
  </si>
  <si>
    <t>Project ID combination</t>
  </si>
  <si>
    <t>List of project ID Group</t>
  </si>
  <si>
    <t>Project ID (Group)</t>
  </si>
  <si>
    <t>Asset type</t>
  </si>
  <si>
    <t xml:space="preserve">Year </t>
  </si>
  <si>
    <t>1)</t>
  </si>
  <si>
    <t>Service Unit (SU) and Business unit (BU)</t>
  </si>
  <si>
    <t>List BU/SU &amp; HO</t>
  </si>
  <si>
    <t>BU/SU</t>
  </si>
  <si>
    <t>Code</t>
  </si>
  <si>
    <t>CMM</t>
  </si>
  <si>
    <t>SL</t>
  </si>
  <si>
    <t>PC</t>
  </si>
  <si>
    <t>Corporate Planning</t>
  </si>
  <si>
    <t>CP</t>
  </si>
  <si>
    <t>CG</t>
  </si>
  <si>
    <t>PL</t>
  </si>
  <si>
    <t>GR</t>
  </si>
  <si>
    <t>Sustainability/ESG</t>
  </si>
  <si>
    <t>ST</t>
  </si>
  <si>
    <t>SC</t>
  </si>
  <si>
    <t>Investment Order Combination</t>
  </si>
  <si>
    <t>HEAD OF PD OFFICE</t>
  </si>
  <si>
    <t>10301PR003</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</si>
  <si>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</si>
  <si>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</si>
  <si>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</si>
  <si>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</si>
  <si>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</si>
  <si>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</si>
  <si>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</si>
  <si>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</si>
  <si>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</si>
  <si>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</si>
  <si>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</si>
  <si>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</si>
  <si>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</si>
  <si>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</si>
  <si>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</si>
  <si>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</si>
  <si>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</si>
  <si>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</si>
  <si>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</si>
  <si>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</si>
  <si>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</si>
  <si>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</si>
  <si>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</si>
  <si>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</si>
  <si>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</si>
  <si>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</si>
  <si>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</si>
  <si>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</si>
  <si>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</si>
  <si>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</si>
  <si>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</si>
  <si>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</si>
  <si>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</si>
  <si>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</si>
  <si>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</si>
  <si>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</si>
  <si>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</si>
  <si>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</si>
  <si>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</si>
  <si>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</si>
  <si>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</si>
  <si>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</si>
  <si>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ELECTRICAL DEPT</t>
  </si>
  <si>
    <t>BP1 MECHANICAL DEPT</t>
  </si>
  <si>
    <t>BP1 PPIC DEPT</t>
  </si>
  <si>
    <t>BP1 QA/QC DEPT</t>
  </si>
  <si>
    <t>Exchange rate (USD)</t>
  </si>
  <si>
    <t>Proposed Delete/close Activity 2026</t>
  </si>
  <si>
    <t>Estimated budget consumed (based on PO)</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</si>
  <si>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</si>
  <si>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</si>
  <si>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</si>
  <si>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</si>
  <si>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</si>
  <si>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</si>
  <si>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</si>
  <si>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</si>
  <si>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</si>
  <si>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</si>
  <si>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Department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</si>
  <si>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</si>
  <si>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</si>
  <si>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</si>
  <si>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</si>
  <si>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</si>
  <si>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</si>
  <si>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</si>
  <si>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</si>
  <si>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</si>
  <si>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</si>
  <si>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</si>
  <si>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</si>
  <si>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</si>
  <si>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</si>
  <si>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</si>
  <si>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</si>
  <si>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</si>
  <si>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</si>
  <si>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</si>
  <si>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</si>
  <si>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</si>
  <si>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</si>
  <si>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</si>
  <si>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</si>
  <si>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</si>
  <si>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</si>
  <si>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</si>
  <si>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</si>
  <si>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</si>
  <si>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</si>
  <si>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</si>
  <si>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</si>
  <si>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</si>
  <si>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</si>
  <si>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</si>
  <si>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</si>
  <si>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</si>
  <si>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</si>
  <si>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</si>
  <si>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</si>
  <si>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</si>
  <si>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</si>
  <si>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</si>
  <si>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</si>
  <si>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</si>
  <si>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</si>
  <si>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</si>
  <si>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</si>
  <si>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</si>
  <si>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</si>
  <si>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</si>
  <si>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</si>
  <si>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</si>
  <si>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</si>
  <si>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</si>
  <si>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</si>
  <si>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</si>
  <si>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</si>
  <si>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</si>
  <si>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</si>
  <si>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</si>
  <si>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</si>
  <si>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</si>
  <si>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</si>
  <si>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</si>
  <si>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</si>
  <si>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</si>
  <si>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</si>
  <si>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</si>
  <si>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</si>
  <si>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</si>
  <si>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</si>
  <si>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</si>
  <si>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</si>
  <si>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</si>
  <si>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</si>
  <si>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</si>
  <si>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</si>
  <si>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</si>
  <si>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</si>
  <si>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</si>
  <si>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</si>
  <si>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</si>
  <si>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</si>
  <si>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</si>
  <si>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</si>
  <si>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</si>
  <si>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</si>
  <si>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</si>
  <si>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</si>
  <si>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</si>
  <si>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</si>
  <si>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</si>
  <si>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</si>
  <si>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</si>
  <si>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</si>
  <si>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</si>
  <si>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</si>
  <si>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</si>
  <si>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</si>
  <si>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</si>
  <si>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</si>
  <si>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</si>
  <si>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</si>
  <si>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</si>
  <si>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</si>
  <si>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</si>
  <si>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</si>
  <si>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</si>
  <si>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</si>
  <si>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</si>
  <si>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</si>
  <si>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</si>
  <si>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</si>
  <si>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</si>
  <si>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</si>
  <si>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</si>
  <si>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</si>
  <si>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</si>
  <si>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</si>
  <si>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</si>
  <si>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</si>
  <si>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</si>
  <si>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</si>
  <si>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</si>
  <si>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</si>
  <si>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</si>
  <si>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</si>
  <si>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</si>
  <si>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</si>
  <si>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</si>
  <si>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</si>
  <si>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</si>
  <si>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</si>
  <si>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</si>
  <si>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</si>
  <si>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</si>
  <si>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</si>
  <si>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</si>
  <si>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</si>
  <si>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</si>
  <si>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</si>
  <si>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</si>
  <si>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</si>
  <si>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</si>
  <si>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</si>
  <si>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</si>
  <si>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</si>
  <si>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</si>
  <si>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</si>
  <si>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</si>
  <si>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</si>
  <si>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</si>
  <si>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</si>
  <si>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</si>
  <si>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</si>
  <si>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</si>
  <si>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</si>
  <si>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</si>
  <si>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</si>
  <si>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</si>
  <si>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</si>
  <si>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</si>
  <si>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</si>
  <si>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</si>
  <si>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</si>
  <si>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</si>
  <si>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</si>
  <si>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</si>
  <si>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</si>
  <si>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</si>
  <si>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</si>
  <si>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</si>
  <si>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</si>
  <si>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</si>
  <si>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</si>
  <si>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</si>
  <si>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</si>
  <si>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</si>
  <si>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</si>
  <si>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</si>
  <si>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</si>
  <si>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</si>
  <si>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</si>
  <si>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</si>
  <si>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</si>
  <si>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</si>
  <si>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</si>
  <si>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</si>
  <si>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</si>
  <si>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</si>
  <si>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</si>
  <si>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</si>
  <si>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</si>
  <si>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</si>
  <si>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</si>
  <si>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</si>
  <si>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</si>
  <si>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</si>
  <si>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</si>
  <si>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</si>
  <si>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</si>
  <si>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</si>
  <si>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</si>
  <si>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</si>
  <si>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</si>
  <si>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</si>
  <si>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</si>
  <si>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</si>
  <si>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</si>
  <si>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</si>
  <si>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</si>
  <si>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</si>
  <si>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</si>
  <si>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</si>
  <si>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</si>
  <si>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</si>
  <si>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</si>
  <si>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</si>
  <si>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</si>
  <si>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</si>
  <si>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</si>
  <si>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</si>
  <si>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</si>
  <si>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</si>
  <si>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</si>
  <si>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</si>
  <si>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</si>
  <si>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</si>
  <si>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</si>
  <si>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</si>
  <si>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</si>
  <si>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</si>
  <si>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</si>
  <si>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</si>
  <si>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</si>
  <si>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</si>
  <si>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</si>
  <si>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</si>
  <si>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</si>
  <si>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</si>
  <si>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</si>
  <si>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</si>
  <si>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</si>
  <si>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</si>
  <si>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</si>
  <si>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</si>
  <si>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</si>
  <si>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</si>
  <si>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</si>
  <si>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</si>
  <si>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</si>
  <si>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</si>
  <si>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</si>
  <si>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</si>
  <si>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</si>
  <si>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</si>
  <si>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</si>
  <si>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</si>
  <si>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</si>
  <si>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</si>
  <si>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</si>
  <si>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</si>
  <si>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</si>
  <si>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</si>
  <si>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</si>
  <si>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</si>
  <si>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</si>
  <si>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</si>
  <si>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</si>
  <si>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</si>
  <si>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</si>
  <si>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</si>
  <si>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</si>
  <si>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</si>
  <si>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</si>
  <si>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</si>
  <si>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</si>
  <si>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</si>
  <si>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</si>
  <si>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</si>
  <si>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</si>
  <si>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</si>
  <si>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</si>
  <si>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</si>
  <si>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</si>
  <si>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</si>
  <si>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</si>
  <si>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</si>
  <si>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</si>
  <si>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</si>
  <si>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</si>
  <si>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</si>
  <si>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</si>
  <si>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</si>
  <si>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</si>
  <si>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</si>
  <si>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</si>
  <si>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</si>
  <si>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</si>
  <si>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</si>
  <si>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</si>
  <si>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</si>
  <si>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</si>
  <si>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</si>
  <si>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</si>
  <si>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</si>
  <si>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</si>
  <si>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</si>
  <si>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</si>
  <si>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</si>
  <si>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</si>
  <si>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</si>
  <si>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</si>
  <si>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</si>
  <si>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</si>
  <si>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</si>
  <si>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</si>
  <si>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</si>
  <si>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</si>
  <si>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</si>
  <si>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</si>
  <si>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</si>
  <si>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</si>
  <si>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</si>
  <si>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</si>
  <si>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</si>
  <si>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</si>
  <si>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</si>
  <si>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</si>
  <si>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</si>
  <si>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</si>
  <si>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</si>
  <si>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</si>
  <si>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</si>
  <si>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</si>
  <si>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</si>
  <si>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</si>
  <si>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</si>
  <si>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</si>
  <si>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</si>
  <si>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</si>
  <si>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</si>
  <si>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</si>
  <si>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</si>
  <si>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</si>
  <si>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</si>
  <si>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</si>
  <si>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</si>
  <si>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</si>
  <si>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</si>
  <si>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</si>
  <si>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</si>
  <si>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</si>
  <si>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</si>
  <si>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</si>
  <si>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</si>
  <si>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</si>
  <si>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</si>
  <si>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</si>
  <si>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</si>
  <si>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</si>
  <si>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</si>
  <si>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</si>
  <si>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</si>
  <si>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</si>
  <si>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</si>
  <si>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</si>
  <si>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</si>
  <si>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</si>
  <si>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</si>
  <si>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</si>
  <si>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</si>
  <si>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</si>
  <si>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</si>
  <si>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</si>
  <si>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</si>
  <si>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</si>
  <si>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</si>
  <si>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</si>
  <si>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</si>
  <si>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</si>
  <si>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</si>
  <si>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</si>
  <si>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</si>
  <si>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</si>
  <si>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</si>
  <si>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</si>
  <si>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</si>
  <si>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</si>
  <si>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</si>
  <si>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</si>
  <si>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</si>
  <si>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</si>
  <si>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</si>
  <si>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</si>
  <si>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</si>
  <si>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</si>
  <si>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</si>
  <si>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</si>
  <si>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</si>
  <si>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</si>
  <si>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</si>
  <si>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</si>
  <si>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</si>
  <si>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</si>
  <si>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</si>
  <si>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</si>
  <si>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</si>
  <si>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</si>
  <si>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</si>
  <si>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</si>
  <si>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</si>
  <si>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</si>
  <si>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</si>
  <si>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</si>
  <si>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</si>
  <si>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</si>
  <si>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</si>
  <si>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</si>
  <si>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</si>
  <si>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</si>
  <si>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</si>
  <si>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</si>
  <si>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</si>
  <si>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</si>
  <si>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</si>
  <si>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</si>
  <si>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</si>
  <si>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</si>
  <si>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</si>
  <si>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</si>
  <si>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</si>
  <si>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</si>
  <si>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</si>
  <si>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</si>
  <si>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</si>
  <si>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</si>
  <si>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</si>
  <si>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</si>
  <si>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</si>
  <si>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</si>
  <si>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</si>
  <si>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</si>
  <si>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</si>
  <si>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</si>
  <si>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</si>
  <si>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</si>
  <si>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</si>
  <si>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</si>
  <si>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</si>
  <si>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</si>
  <si>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</si>
  <si>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</si>
  <si>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</si>
  <si>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</si>
  <si>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</si>
  <si>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</si>
  <si>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</si>
  <si>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</si>
  <si>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</si>
  <si>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</si>
  <si>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</si>
  <si>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</si>
  <si>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</si>
  <si>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</si>
  <si>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</si>
  <si>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</si>
  <si>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Cost centre</t>
  </si>
  <si>
    <t>Cost centre code</t>
  </si>
  <si>
    <t>Cost centre description</t>
  </si>
  <si>
    <t>Project ID - Code</t>
  </si>
  <si>
    <t>IO - Code</t>
  </si>
  <si>
    <t>BP1 ROLLER</t>
  </si>
  <si>
    <t>PD</t>
  </si>
  <si>
    <t>CLC</t>
  </si>
  <si>
    <t>Accounting &amp; Fixed Asset Management</t>
  </si>
  <si>
    <t>List General Ledger</t>
  </si>
  <si>
    <t>Table 3.3. List Ledger CAPEX</t>
  </si>
  <si>
    <t>IO &amp; Project ID - Group</t>
  </si>
  <si>
    <t>CAPEX Priority</t>
  </si>
  <si>
    <t>OPEX</t>
  </si>
  <si>
    <t>Ctrl to Master Data</t>
  </si>
  <si>
    <t>LSM REPAIR</t>
  </si>
  <si>
    <t>A0126</t>
  </si>
  <si>
    <t>A0226</t>
  </si>
  <si>
    <t>A0326</t>
  </si>
  <si>
    <t>A0426</t>
  </si>
  <si>
    <t>A0526</t>
  </si>
  <si>
    <t>A0626</t>
  </si>
  <si>
    <t>A0726</t>
  </si>
  <si>
    <t>A0826</t>
  </si>
  <si>
    <t>A0926</t>
  </si>
  <si>
    <t>A1126</t>
  </si>
  <si>
    <t>Estimated expense recorded (based on GRN)</t>
  </si>
  <si>
    <t>IO/Project ID Group</t>
  </si>
  <si>
    <t>IO/Project ID</t>
  </si>
  <si>
    <t>Exchange rate</t>
  </si>
  <si>
    <t>Permits &amp; Licensing</t>
  </si>
  <si>
    <t>Legal Commercial</t>
  </si>
  <si>
    <t>Regulatory &amp; external affair</t>
  </si>
  <si>
    <t>&gt;&gt; New CC</t>
  </si>
  <si>
    <t>Budget Capex Detail</t>
  </si>
  <si>
    <t>Master Data</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</si>
  <si>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</si>
  <si>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SUSTAINABILITY</t>
  </si>
  <si>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</si>
  <si>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</si>
  <si>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</si>
  <si>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</si>
  <si>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</si>
  <si>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</si>
  <si>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"BUDGET OPEX DETAIL" Working paper</t>
  </si>
  <si>
    <t>"BUDGET COGM DETAIL" Working paper</t>
  </si>
  <si>
    <t>Biaya lain-lain yang tidak termasuk pada kategori biaya tersebut di atas</t>
  </si>
  <si>
    <t>Other expenses not included in the categories mentioned above</t>
  </si>
  <si>
    <t>:</t>
  </si>
  <si>
    <t>BU/SU/HO</t>
  </si>
  <si>
    <t>Prepared by:</t>
  </si>
  <si>
    <t>General Manager Finance &amp; Accounting</t>
  </si>
  <si>
    <t>Deputy Head Of Finance</t>
  </si>
  <si>
    <t>(Catherine Sandra)</t>
  </si>
  <si>
    <t>(Yohanes Yamin)</t>
  </si>
  <si>
    <t>Reviewed by:</t>
  </si>
  <si>
    <t>Financial Planning &amp; Analysis Manager</t>
  </si>
  <si>
    <t>Deputy President Director</t>
  </si>
  <si>
    <t>President Director</t>
  </si>
  <si>
    <t>(Nazla Sagita)</t>
  </si>
  <si>
    <t>(Mamoru Nakata)</t>
  </si>
  <si>
    <t>(Tony Taniwan)</t>
  </si>
  <si>
    <t>FINANCIAL PLANNING &amp; TRANSACTION SENIOR MANAGER</t>
  </si>
  <si>
    <t>Approved by :</t>
  </si>
  <si>
    <t>Board Of Director</t>
  </si>
  <si>
    <t>Board Of Commisioners</t>
  </si>
  <si>
    <t>IT Global Infrastructure Solution &amp; Operation Excellent Senior Manager</t>
  </si>
  <si>
    <t>(Albert Mulana Siahaan)</t>
  </si>
  <si>
    <t>(Ferry Kristanto)</t>
  </si>
  <si>
    <t>IT Analytics Senior Manager</t>
  </si>
  <si>
    <t>Business Solution Manager</t>
  </si>
  <si>
    <t>(Daniel Tanjono)</t>
  </si>
  <si>
    <t>Head of IT</t>
  </si>
  <si>
    <t>(Felix Karnadi Sugianto)</t>
  </si>
  <si>
    <t>Service &amp; Maintenance - Core and Service</t>
  </si>
  <si>
    <t>Internet - Connection</t>
  </si>
  <si>
    <t>E-Materai Mekari</t>
  </si>
  <si>
    <t>IT Devices - IT Peripheral</t>
  </si>
  <si>
    <t>Subscription - Software &amp; Application</t>
  </si>
  <si>
    <t>Subscription - Disaster Recovery Infra</t>
  </si>
  <si>
    <t>Subscription-Network Infra license Supp</t>
  </si>
  <si>
    <t>Subscription-Security Infra license Supp</t>
  </si>
  <si>
    <t>Outsourcing - IT Global Infrastructure</t>
  </si>
  <si>
    <t>The Meeting with External Parties ERP facilitates discussions and collaborations with external stakeholders regarding ERP system.</t>
  </si>
  <si>
    <t>SAP RISE licenses offer comprehensive cloud-based ERP solutions to streamline and innovate business operations.</t>
  </si>
  <si>
    <t>SAP Annual Maintenance Support ensures continuous system performance and updates through regular maintenance and expert assistance.</t>
  </si>
  <si>
    <t>Satellite App Annual Maintenance Support ensures the ongoing functionality and updates of satellite applications.</t>
  </si>
  <si>
    <t>Service that provides external personnel to handle specific tasks or roles, offering flexibility and cost savings for businesses.</t>
  </si>
  <si>
    <t>Service offering businesses the ability to rent IT equipment, such as laptops, servers, and other devices, instead of purchasing them outright.</t>
  </si>
  <si>
    <t>Subscription-based service that provides access to satellite-based applications, often used for data transmission, communication, and remote sensing.</t>
  </si>
  <si>
    <t xml:space="preserve"> Services and solutions that involve the transmission of information over various types of networks, including voice, data, and video communications.</t>
  </si>
  <si>
    <t>Service designed to manage and streamline the process of planning, booking, and managing business trips, ensuring efficiency and cost-effectiveness.</t>
  </si>
  <si>
    <t xml:space="preserve">1. Service Printer and Scanner
2. Maintenance Access Control @24 unit 
3. Service Device Laptop 
4. Service Device CCTV + NVR 
5. Maintenance Video Conferance 
6. Service Audio Device 
7. Service UPS 
8. Service Tablet, Handphone 
9. Service Gate Portal / Barrier Gate 
10. Service TV &amp; Monitor 
11. Service Harddisk 
12. Service Projector </t>
  </si>
  <si>
    <t xml:space="preserve">1. Service &amp; Maintenance Server 
2. Service &amp; Maintenance Storage 
3. Service &amp; Maintenance Fire alarm, UPS and EMS 
4. Service &amp; Maintenance Backup Infrastructure 
5. Service &amp; Maintenance AD, Office 365 
6.  Service &amp; Maintenance Corporate Websites </t>
  </si>
  <si>
    <t>1. Internet Simcard Telkomsel 4G LTE
2. Internet - Representative Office 
3. Internet - Primary link Head office 
4. Internet - Secondary link Head office 
5. Internet - Backup wireless internet</t>
  </si>
  <si>
    <t xml:space="preserve">1. PC Pheriperal (Mouse, Keyboard, SSD, RAM, PowerSupply, Fan Cooler)
2.  IT Devices - Office Equipment IT
3.  IT Device - Video &amp; Audio 
4.  IT Device - Pheriperal Printer 
5.  IT Device - CCTV Pheriperal 
6.  Patchcord, UTP Cable, SFP, Konnektor and Injector POE </t>
  </si>
  <si>
    <t>1. Zoom WorkplaceBusiness : 10, Zoom Rooms : 2, Conference Room Connector : 1
2. Subscription - Trello Management Tools 
3. Subscription - Microsoft Office 365 
4. Subcription - Whatsapp Business for Helpdesk  
5. Whatsapp business for Notification  
6. Autocad for 10 User
7. Renewal Mekari Esign (replace Hellosign)
8. Subscription - Domain, Hosting and SSL certificate 
9. Subscription - Email Security Microsoft Defender for Office 365</t>
  </si>
  <si>
    <t xml:space="preserve">1. Subscribtion - Monthly usage AWS disaster recovery
2. Subscription - Failover Disaster  Recovery </t>
  </si>
  <si>
    <t xml:space="preserve">1. Subscription - License &amp; Suppoprt Bandwith Management
2. Subscription - License &amp; Support Aruba </t>
  </si>
  <si>
    <t xml:space="preserve"> Cable Pulling &amp; Install</t>
  </si>
  <si>
    <t xml:space="preserve">1. IT Event Internal &amp; External
</t>
  </si>
  <si>
    <t xml:space="preserve">1. Sewa Laptop &amp; PC 
2. Sewa Visual Audio Conference  
</t>
  </si>
  <si>
    <t>Refill Toner Corporate</t>
  </si>
  <si>
    <t>1. Subscription - License &amp; Support Fortigate Internet Firewall
2. Subscription - License &amp; Support Fortigate Farm Firewall 
3. Subscription - License &amp; Support Fortigate 40F Noble House 
4. Subscription - License &amp; Support Vulnarabillity Assesment 
5. Subscription - License &amp; Support Antivirus TrendMicro 
6. Subscription - License &amp; Support Mobile Devices Management 
7. Subscription - License &amp; Support Monitoring tools Solarwinds 
8. Subscription - License &amp; Support Back up infrastructure 
9. Subscription - SIEM ELK Platinum license</t>
  </si>
  <si>
    <t>1. IT Helpdesk &amp; Support: 2 person
2. IT Security: 1  person
3. IT Sysadmin and DBA: 1 person</t>
  </si>
  <si>
    <t xml:space="preserve">1. Global Service Application (helpdesk system)
2.  Development, AI, IOT, Design, Editing &amp; Other Services 
3. Cyber Security Assessment </t>
  </si>
  <si>
    <t>Lenna.ai, ChatGPT API and Chatgpt 4.0 subscribtion</t>
  </si>
  <si>
    <t>Service that provides access to analytical tools and insights for IT operations, often on a subscription basis, helping businesses optimize their IT performance and decision-making.</t>
  </si>
  <si>
    <t>DWH &amp; Report Annual Maintenance Support ensures the continuous operation and updates of data warehouses and reporting systems.</t>
  </si>
  <si>
    <t>The analysis of data related to business trips, such as costs, travel patterns, and employee productivity, to optimize travel policies and improve decision-making.</t>
  </si>
  <si>
    <t>The process of analyzing data related to outsourced manpower, such as performance metrics, cost efficiency, and workforce utilization, to enhance business operations.</t>
  </si>
  <si>
    <t>The analysis of data concerning the rental of IT devices, including usage patterns, cost-effectiveness, and device performance, to inform rental strategies and improve asset management.</t>
  </si>
  <si>
    <t>Mohon kirimkan Lembar kerja anggaran tahunan (master budget template) yang telah disetujui ke Budget&amp;Analysis Departemen paling lambat tanggal 05 September 2025.</t>
  </si>
  <si>
    <t>Project Management</t>
  </si>
  <si>
    <t>IT Business Solution</t>
  </si>
  <si>
    <t>IT Analytics</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</si>
  <si>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</si>
  <si>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</si>
  <si>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</si>
  <si>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</si>
  <si>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</si>
  <si>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</si>
  <si>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</si>
  <si>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</si>
  <si>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PROJECT MANAGEMENT</t>
  </si>
  <si>
    <t>CSR &amp; COMMUNITY DEVELOPMENT</t>
  </si>
  <si>
    <t>GOVERNMENT RELATIONS &amp; EXTERNAL ACTIVITIES</t>
  </si>
  <si>
    <t>GOVERNMENT PROJECT - CONSULTING SERVICES</t>
  </si>
  <si>
    <t>Travelling exp Head of IT</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</si>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</sst>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s>
  <fonts count="73"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b/>
      <i/>
      <sz val="18"/>
      <color theme="1"/>
      <name val="Arial"/>
      <family val="2"/>
    </font>
    <font>
      <b/>
      <sz val="16"/>
      <color theme="1"/>
      <name val="Arial"/>
      <family val="2"/>
    </font>
    <font>
      <b/>
      <sz val="14"/>
      <color theme="1"/>
      <name val="Arial"/>
      <family val="2"/>
    </font>
    <font>
      <b/>
      <sz val="11"/>
      <color rgb="FFC00000"/>
      <name val="Arial"/>
      <family val="2"/>
    </font>
    <font>
      <b/>
      <u/>
      <sz val="11"/>
      <color theme="1"/>
      <name val="Arial"/>
      <family val="2"/>
    </font>
    <font>
      <b/>
      <u/>
      <sz val="11"/>
      <color rgb="FFC00000"/>
      <name val="Arial"/>
      <family val="2"/>
    </font>
    <font>
      <sz val="11"/>
      <name val="Arial"/>
      <family val="2"/>
    </font>
    <font>
      <i/>
      <sz val="11"/>
      <name val="Arial"/>
      <family val="2"/>
    </font>
    <font>
      <b/>
      <sz val="11"/>
      <name val="Arial"/>
      <family val="2"/>
    </font>
    <font>
      <i/>
      <sz val="11"/>
      <color theme="1"/>
      <name val="Arial"/>
      <family val="2"/>
    </font>
    <font>
      <sz val="11"/>
      <color rgb="FF000000"/>
      <name val="Arial"/>
      <family val="2"/>
    </font>
    <font>
      <b/>
      <sz val="11"/>
      <color theme="1"/>
      <name val="Arial"/>
      <family val="2"/>
    </font>
    <font>
      <sz val="11"/>
      <color theme="1"/>
      <name val="Calibri"/>
      <family val="2"/>
    </font>
    <font>
      <sz val="12"/>
      <color theme="1"/>
      <name val="Arial"/>
      <family val="2"/>
    </font>
    <font>
      <b/>
      <sz val="12"/>
      <color theme="0"/>
      <name val="Arial"/>
      <family val="2"/>
    </font>
    <font>
      <u/>
      <sz val="11"/>
      <color theme="10"/>
      <name val="Arial"/>
      <family val="2"/>
    </font>
    <font>
      <b/>
      <i/>
      <u/>
      <sz val="12"/>
      <color rgb="FF002060"/>
      <name val="Arial"/>
      <family val="2"/>
    </font>
    <font>
      <sz val="9"/>
      <color theme="1"/>
      <name val="Arial"/>
      <family val="2"/>
    </font>
    <font>
      <b/>
      <sz val="10"/>
      <color theme="1"/>
      <name val="Arial"/>
      <family val="2"/>
    </font>
    <font>
      <sz val="10"/>
      <color theme="1"/>
      <name val="Arial"/>
      <family val="2"/>
    </font>
    <font>
      <sz val="10"/>
      <color theme="1"/>
      <name val="Calibri"/>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b/>
      <sz val="11"/>
      <color theme="0"/>
      <name val="Bahnschrift"/>
      <family val="2"/>
    </font>
    <font>
      <b/>
      <sz val="11"/>
      <color theme="1"/>
      <name val="Bahnschrift"/>
      <family val="2"/>
    </font>
    <font>
      <b/>
      <sz val="11"/>
      <name val="Bahnschrift"/>
      <family val="2"/>
    </font>
    <font>
      <sz val="11"/>
      <color theme="1"/>
      <name val="Bahnschrift"/>
      <family val="2"/>
    </font>
    <font>
      <sz val="11"/>
      <name val="Bahnschrift"/>
      <family val="2"/>
    </font>
    <font>
      <b/>
      <sz val="9"/>
      <color indexed="81"/>
      <name val="Tahoma"/>
      <family val="2"/>
    </font>
    <font>
      <b/>
      <sz val="10"/>
      <color theme="0"/>
      <name val="Calibri Light"/>
      <family val="2"/>
      <scheme val="major"/>
    </font>
    <font>
      <sz val="10"/>
      <color theme="1"/>
      <name val="Calibri Light"/>
      <family val="2"/>
      <scheme val="major"/>
    </font>
    <font>
      <i/>
      <sz val="10"/>
      <color theme="1"/>
      <name val="Calibri"/>
      <family val="2"/>
    </font>
    <font>
      <sz val="11"/>
      <color rgb="FFFF0000"/>
      <name val="Calibri"/>
      <family val="2"/>
      <scheme val="minor"/>
    </font>
    <font>
      <sz val="11"/>
      <name val="Calibri"/>
      <family val="2"/>
      <scheme val="minor"/>
    </font>
    <font>
      <b/>
      <sz val="9"/>
      <name val="Tahoma"/>
      <family val="2"/>
    </font>
    <font>
      <sz val="9"/>
      <color indexed="81"/>
      <name val="Tahoma"/>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b/>
      <sz val="24"/>
      <color theme="1"/>
      <name val="Aptos Narrow"/>
      <family val="2"/>
    </font>
    <font>
      <b/>
      <sz val="11"/>
      <color rgb="FFFF0000"/>
      <name val="Aptos Narrow"/>
      <family val="2"/>
    </font>
    <font>
      <sz val="11"/>
      <color rgb="FFFF0000"/>
      <name val="Aptos Narrow"/>
      <family val="2"/>
    </font>
    <font>
      <sz val="11"/>
      <color theme="0"/>
      <name val="Aptos Narrow"/>
      <family val="2"/>
    </font>
    <font>
      <b/>
      <i/>
      <u/>
      <sz val="11"/>
      <color rgb="FF339966"/>
      <name val="Aptos Narrow"/>
      <family val="2"/>
    </font>
    <font>
      <b/>
      <sz val="14"/>
      <color theme="1"/>
      <name val="Aptos Narrow"/>
      <family val="2"/>
    </font>
    <font>
      <b/>
      <sz val="11"/>
      <color rgb="FF000000"/>
      <name val="Aptos Narrow"/>
      <family val="2"/>
    </font>
    <font>
      <i/>
      <sz val="11"/>
      <color rgb="FF000000"/>
      <name val="Aptos Narrow"/>
      <family val="2"/>
    </font>
    <font>
      <sz val="11"/>
      <color rgb="FFFFFFFF"/>
      <name val="Aptos Narrow"/>
      <family val="2"/>
    </font>
    <font>
      <sz val="12"/>
      <color theme="1"/>
      <name val="Aptos Narrow"/>
      <family val="2"/>
    </font>
    <font>
      <b/>
      <i/>
      <u/>
      <sz val="11"/>
      <color rgb="FF339966"/>
      <name val="Calibri"/>
      <family val="2"/>
      <scheme val="minor"/>
    </font>
    <font>
      <sz val="12"/>
      <name val="Aptos Narrow"/>
      <family val="2"/>
    </font>
  </fonts>
  <fills count="41">
    <fill>
      <patternFill patternType="none"/>
    </fill>
    <fill>
      <patternFill patternType="gray125"/>
    </fill>
    <fill>
      <patternFill patternType="solid">
        <fgColor theme="0" tint="-0.499984740745262"/>
        <bgColor indexed="64"/>
      </patternFill>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theme="0" tint="-4.9989318521683403E-2"/>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2" tint="-4.9989318521683403E-2"/>
        <bgColor indexed="64"/>
      </patternFill>
    </fill>
    <fill>
      <patternFill patternType="solid">
        <fgColor theme="1" tint="4.9989318521683403E-2"/>
        <bgColor indexed="64"/>
      </patternFill>
    </fill>
    <fill>
      <patternFill patternType="solid">
        <fgColor theme="0" tint="-0.249977111117893"/>
        <bgColor rgb="FFC00000"/>
      </patternFill>
    </fill>
    <fill>
      <patternFill patternType="solid">
        <fgColor rgb="FF1D9664"/>
        <bgColor indexed="64"/>
      </patternFill>
    </fill>
    <fill>
      <patternFill patternType="solid">
        <fgColor rgb="FF002060"/>
        <bgColor rgb="FFC00000"/>
      </patternFill>
    </fill>
    <fill>
      <patternFill patternType="solid">
        <fgColor rgb="FF002060"/>
        <bgColor indexed="64"/>
      </patternFill>
    </fill>
    <fill>
      <patternFill patternType="solid">
        <fgColor theme="8" tint="0.39994506668294322"/>
        <bgColor indexed="64"/>
      </patternFill>
    </fill>
    <fill>
      <patternFill patternType="solid">
        <fgColor rgb="FFC00000"/>
        <bgColor rgb="FFC00000"/>
      </patternFill>
    </fill>
    <fill>
      <patternFill patternType="solid">
        <fgColor theme="2" tint="-0.14996795556505021"/>
        <bgColor indexed="64"/>
      </patternFill>
    </fill>
    <fill>
      <patternFill patternType="solid">
        <fgColor rgb="FFFFC000"/>
        <bgColor indexed="64"/>
      </patternFill>
    </fill>
    <fill>
      <patternFill patternType="solid">
        <fgColor theme="5" tint="0.79998168889431442"/>
        <bgColor indexed="64"/>
      </patternFill>
    </fill>
    <fill>
      <patternFill patternType="solid">
        <fgColor rgb="FF339966"/>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s>
  <borders count="114">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top style="thin">
        <color auto="1"/>
      </top>
      <bottom/>
      <diagonal/>
    </border>
    <border>
      <left style="thin">
        <color auto="1"/>
      </left>
      <right/>
      <top/>
      <bottom/>
      <diagonal/>
    </border>
    <border>
      <left/>
      <right style="thin">
        <color indexed="64"/>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medium">
        <color indexed="64"/>
      </left>
      <right/>
      <top/>
      <bottom style="thin">
        <color auto="1"/>
      </bottom>
      <diagonal/>
    </border>
    <border>
      <left/>
      <right style="medium">
        <color auto="1"/>
      </right>
      <top style="thin">
        <color auto="1"/>
      </top>
      <bottom style="thin">
        <color auto="1"/>
      </bottom>
      <diagonal/>
    </border>
    <border>
      <left/>
      <right style="thin">
        <color indexed="64"/>
      </right>
      <top style="thin">
        <color auto="1"/>
      </top>
      <bottom style="thin">
        <color rgb="FF000000"/>
      </bottom>
      <diagonal/>
    </border>
    <border>
      <left style="thin">
        <color auto="1"/>
      </left>
      <right style="thin">
        <color auto="1"/>
      </right>
      <top style="thin">
        <color auto="1"/>
      </top>
      <bottom style="hair">
        <color auto="1"/>
      </bottom>
      <diagonal/>
    </border>
    <border>
      <left style="hair">
        <color indexed="64"/>
      </left>
      <right style="hair">
        <color indexed="64"/>
      </right>
      <top style="thin">
        <color auto="1"/>
      </top>
      <bottom style="hair">
        <color indexed="64"/>
      </bottom>
      <diagonal/>
    </border>
    <border>
      <left style="hair">
        <color auto="1"/>
      </left>
      <right style="hair">
        <color auto="1"/>
      </right>
      <top/>
      <bottom style="thin">
        <color auto="1"/>
      </bottom>
      <diagonal/>
    </border>
    <border>
      <left style="thin">
        <color auto="1"/>
      </left>
      <right style="hair">
        <color indexed="64"/>
      </right>
      <top style="hair">
        <color indexed="64"/>
      </top>
      <bottom/>
      <diagonal/>
    </border>
    <border>
      <left/>
      <right style="hair">
        <color auto="1"/>
      </right>
      <top style="hair">
        <color indexed="64"/>
      </top>
      <bottom style="hair">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right style="hair">
        <color auto="1"/>
      </right>
      <top style="thin">
        <color auto="1"/>
      </top>
      <bottom style="hair">
        <color auto="1"/>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hair">
        <color auto="1"/>
      </left>
      <right style="hair">
        <color auto="1"/>
      </right>
      <top/>
      <bottom/>
      <diagonal/>
    </border>
    <border>
      <left/>
      <right style="hair">
        <color auto="1"/>
      </right>
      <top style="hair">
        <color auto="1"/>
      </top>
      <bottom/>
      <diagonal/>
    </border>
    <border>
      <left style="hair">
        <color auto="1"/>
      </left>
      <right style="thin">
        <color auto="1"/>
      </right>
      <top/>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hair">
        <color auto="1"/>
      </right>
      <top style="double">
        <color auto="1"/>
      </top>
      <bottom style="double">
        <color auto="1"/>
      </bottom>
      <diagonal/>
    </border>
    <border>
      <left style="hair">
        <color auto="1"/>
      </left>
      <right style="hair">
        <color auto="1"/>
      </right>
      <top style="double">
        <color auto="1"/>
      </top>
      <bottom style="double">
        <color auto="1"/>
      </bottom>
      <diagonal/>
    </border>
    <border>
      <left style="hair">
        <color auto="1"/>
      </left>
      <right style="thin">
        <color auto="1"/>
      </right>
      <top style="double">
        <color auto="1"/>
      </top>
      <bottom style="double">
        <color auto="1"/>
      </bottom>
      <diagonal/>
    </border>
    <border>
      <left style="hair">
        <color auto="1"/>
      </left>
      <right style="hair">
        <color auto="1"/>
      </right>
      <top style="double">
        <color auto="1"/>
      </top>
      <bottom style="thin">
        <color auto="1"/>
      </bottom>
      <diagonal/>
    </border>
    <border>
      <left/>
      <right style="hair">
        <color auto="1"/>
      </right>
      <top/>
      <bottom style="thin">
        <color auto="1"/>
      </bottom>
      <diagonal/>
    </border>
    <border>
      <left style="hair">
        <color auto="1"/>
      </left>
      <right style="thin">
        <color auto="1"/>
      </right>
      <top/>
      <bottom style="thin">
        <color auto="1"/>
      </bottom>
      <diagonal/>
    </border>
    <border>
      <left/>
      <right style="medium">
        <color indexed="64"/>
      </right>
      <top style="thin">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hair">
        <color auto="1"/>
      </top>
      <bottom style="thin">
        <color auto="1"/>
      </bottom>
      <diagonal/>
    </border>
    <border>
      <left/>
      <right style="medium">
        <color indexed="64"/>
      </right>
      <top style="thin">
        <color auto="1"/>
      </top>
      <bottom/>
      <diagonal/>
    </border>
    <border>
      <left/>
      <right/>
      <top style="medium">
        <color indexed="64"/>
      </top>
      <bottom/>
      <diagonal/>
    </border>
    <border>
      <left style="hair">
        <color auto="1"/>
      </left>
      <right style="hair">
        <color auto="1"/>
      </right>
      <top/>
      <bottom style="medium">
        <color auto="1"/>
      </bottom>
      <diagonal/>
    </border>
    <border>
      <left/>
      <right style="hair">
        <color indexed="64"/>
      </right>
      <top/>
      <bottom/>
      <diagonal/>
    </border>
    <border>
      <left style="hair">
        <color auto="1"/>
      </left>
      <right/>
      <top/>
      <bottom/>
      <diagonal/>
    </border>
    <border>
      <left style="hair">
        <color auto="1"/>
      </left>
      <right/>
      <top/>
      <bottom style="hair">
        <color auto="1"/>
      </bottom>
      <diagonal/>
    </border>
    <border>
      <left style="thin">
        <color auto="1"/>
      </left>
      <right style="hair">
        <color auto="1"/>
      </right>
      <top/>
      <bottom style="hair">
        <color auto="1"/>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
      <left/>
      <right/>
      <top/>
      <bottom style="thin">
        <color rgb="FF000000"/>
      </bottom>
      <diagonal/>
    </border>
    <border>
      <left/>
      <right style="thin">
        <color auto="1"/>
      </right>
      <top style="thin">
        <color auto="1"/>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hair">
        <color auto="1"/>
      </left>
      <right/>
      <top/>
      <bottom style="medium">
        <color indexed="64"/>
      </bottom>
      <diagonal/>
    </border>
  </borders>
  <cellStyleXfs count="12">
    <xf numFmtId="0" fontId="0" fillId="0" borderId="0"/>
    <xf numFmtId="0" fontId="3" fillId="0" borderId="0"/>
    <xf numFmtId="0" fontId="19"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3"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44" fillId="0" borderId="0" applyNumberFormat="0" applyFill="0" applyBorder="0" applyAlignment="0" applyProtection="0"/>
  </cellStyleXfs>
  <cellXfs count="650">
    <xf numFmtId="0" fontId="0" fillId="0" borderId="0" xfId="0"/>
    <xf numFmtId="0" fontId="3" fillId="0" borderId="0" xfId="1"/>
    <xf numFmtId="0" fontId="4" fillId="0" borderId="0" xfId="1" applyFont="1"/>
    <xf numFmtId="0" fontId="5" fillId="0" borderId="0" xfId="1" applyFont="1"/>
    <xf numFmtId="0" fontId="6" fillId="0" borderId="1" xfId="1" applyFont="1" applyBorder="1"/>
    <xf numFmtId="0" fontId="3" fillId="0" borderId="1" xfId="1" applyBorder="1"/>
    <xf numFmtId="0" fontId="7" fillId="0" borderId="1" xfId="1" applyFont="1" applyBorder="1"/>
    <xf numFmtId="0" fontId="8" fillId="0" borderId="0" xfId="1" applyFont="1"/>
    <xf numFmtId="0" fontId="9" fillId="0" borderId="0" xfId="1" applyFont="1"/>
    <xf numFmtId="0" fontId="10" fillId="0" borderId="0" xfId="1" applyFont="1"/>
    <xf numFmtId="0" fontId="3" fillId="0" borderId="0" xfId="1" applyAlignment="1">
      <alignment horizontal="right"/>
    </xf>
    <xf numFmtId="0" fontId="3" fillId="0" borderId="0" xfId="1" quotePrefix="1"/>
    <xf numFmtId="0" fontId="16" fillId="0" borderId="0" xfId="1" applyFont="1"/>
    <xf numFmtId="0" fontId="17" fillId="0" borderId="0" xfId="1" applyFont="1"/>
    <xf numFmtId="0" fontId="18" fillId="2" borderId="0" xfId="1" applyFont="1" applyFill="1" applyAlignment="1">
      <alignment horizontal="left" vertical="center"/>
    </xf>
    <xf numFmtId="0" fontId="20" fillId="2" borderId="0" xfId="2" applyFont="1" applyFill="1" applyAlignment="1">
      <alignment horizontal="center" vertical="center"/>
    </xf>
    <xf numFmtId="0" fontId="17" fillId="2" borderId="0" xfId="1" applyFont="1" applyFill="1"/>
    <xf numFmtId="0" fontId="15" fillId="3" borderId="2" xfId="1" applyFont="1" applyFill="1" applyBorder="1"/>
    <xf numFmtId="0" fontId="3" fillId="3" borderId="2" xfId="1" applyFill="1" applyBorder="1"/>
    <xf numFmtId="0" fontId="15" fillId="3" borderId="2" xfId="1" applyFont="1" applyFill="1" applyBorder="1" applyAlignment="1">
      <alignment vertical="top"/>
    </xf>
    <xf numFmtId="0" fontId="3" fillId="3" borderId="2" xfId="1" applyFill="1" applyBorder="1" applyAlignment="1">
      <alignment vertical="top" wrapText="1"/>
    </xf>
    <xf numFmtId="0" fontId="22" fillId="4" borderId="2" xfId="1" applyFont="1" applyFill="1" applyBorder="1" applyAlignment="1">
      <alignment horizontal="center"/>
    </xf>
    <xf numFmtId="0" fontId="23" fillId="0" borderId="2" xfId="1" applyFont="1" applyBorder="1"/>
    <xf numFmtId="0" fontId="23" fillId="0" borderId="4" xfId="1" applyFont="1" applyBorder="1"/>
    <xf numFmtId="0" fontId="21" fillId="0" borderId="0" xfId="1" applyFont="1"/>
    <xf numFmtId="0" fontId="22" fillId="4" borderId="6" xfId="1" applyFont="1" applyFill="1" applyBorder="1" applyAlignment="1">
      <alignment horizontal="center"/>
    </xf>
    <xf numFmtId="0" fontId="22" fillId="4" borderId="5" xfId="1" applyFont="1" applyFill="1" applyBorder="1" applyAlignment="1">
      <alignment horizontal="center"/>
    </xf>
    <xf numFmtId="0" fontId="24" fillId="0" borderId="8" xfId="1" applyFont="1" applyBorder="1" applyAlignment="1">
      <alignment vertical="center"/>
    </xf>
    <xf numFmtId="0" fontId="24" fillId="0" borderId="9" xfId="1" applyFont="1" applyBorder="1" applyAlignment="1">
      <alignment vertical="center"/>
    </xf>
    <xf numFmtId="0" fontId="24" fillId="0" borderId="11" xfId="1" applyFont="1" applyBorder="1" applyAlignment="1">
      <alignment vertical="center"/>
    </xf>
    <xf numFmtId="0" fontId="24" fillId="0" borderId="12" xfId="1" applyFont="1" applyBorder="1" applyAlignment="1">
      <alignment vertical="center" wrapText="1"/>
    </xf>
    <xf numFmtId="0" fontId="24" fillId="0" borderId="14" xfId="1" applyFont="1" applyBorder="1" applyAlignment="1">
      <alignment vertical="center"/>
    </xf>
    <xf numFmtId="0" fontId="24" fillId="0" borderId="15" xfId="1" applyFont="1" applyBorder="1" applyAlignment="1">
      <alignment vertical="center" wrapText="1"/>
    </xf>
    <xf numFmtId="0" fontId="24" fillId="0" borderId="16" xfId="1" applyFont="1" applyBorder="1" applyAlignment="1">
      <alignment horizontal="center" vertical="center"/>
    </xf>
    <xf numFmtId="0" fontId="24" fillId="0" borderId="17" xfId="1" applyFont="1" applyBorder="1" applyAlignment="1">
      <alignment vertical="center"/>
    </xf>
    <xf numFmtId="0" fontId="24" fillId="0" borderId="18" xfId="1" applyFont="1" applyBorder="1" applyAlignment="1">
      <alignment vertical="center" wrapText="1"/>
    </xf>
    <xf numFmtId="0" fontId="0" fillId="6" borderId="0" xfId="0" applyFill="1"/>
    <xf numFmtId="0" fontId="27" fillId="7" borderId="2" xfId="6" applyFont="1" applyFill="1" applyBorder="1" applyAlignment="1">
      <alignment horizontal="center" vertical="center"/>
    </xf>
    <xf numFmtId="0" fontId="25" fillId="6" borderId="0" xfId="0" applyFont="1" applyFill="1" applyAlignment="1">
      <alignment vertical="center"/>
    </xf>
    <xf numFmtId="0" fontId="26" fillId="6" borderId="0" xfId="0" applyFont="1" applyFill="1" applyAlignment="1">
      <alignment vertical="center"/>
    </xf>
    <xf numFmtId="0" fontId="2" fillId="9" borderId="23" xfId="0" applyFont="1" applyFill="1" applyBorder="1"/>
    <xf numFmtId="0" fontId="27" fillId="7" borderId="0" xfId="6" applyFont="1" applyFill="1" applyAlignment="1">
      <alignment horizontal="center" vertical="center"/>
    </xf>
    <xf numFmtId="0" fontId="28" fillId="0" borderId="0" xfId="6" applyFont="1" applyAlignment="1">
      <alignment vertical="center"/>
    </xf>
    <xf numFmtId="0" fontId="0" fillId="0" borderId="5" xfId="0" applyBorder="1"/>
    <xf numFmtId="0" fontId="0" fillId="10" borderId="0" xfId="0" applyFill="1"/>
    <xf numFmtId="0" fontId="0" fillId="0" borderId="24" xfId="0" applyBorder="1"/>
    <xf numFmtId="0" fontId="0" fillId="0" borderId="2" xfId="0" applyBorder="1" applyAlignment="1">
      <alignment horizontal="left"/>
    </xf>
    <xf numFmtId="0" fontId="29" fillId="11" borderId="2" xfId="0" applyFont="1" applyFill="1" applyBorder="1" applyAlignment="1">
      <alignment horizontal="center"/>
    </xf>
    <xf numFmtId="0" fontId="29" fillId="12" borderId="2" xfId="0" applyFont="1" applyFill="1" applyBorder="1" applyAlignment="1">
      <alignment horizontal="center"/>
    </xf>
    <xf numFmtId="0" fontId="0" fillId="13" borderId="2" xfId="0" applyFill="1" applyBorder="1" applyAlignment="1">
      <alignment horizontal="left"/>
    </xf>
    <xf numFmtId="0" fontId="0" fillId="17" borderId="2" xfId="0" applyFill="1" applyBorder="1" applyAlignment="1">
      <alignment vertical="top"/>
    </xf>
    <xf numFmtId="0" fontId="0" fillId="0" borderId="2" xfId="0" applyBorder="1"/>
    <xf numFmtId="164" fontId="34" fillId="0" borderId="26" xfId="7" applyFont="1" applyFill="1" applyBorder="1" applyAlignment="1" applyProtection="1">
      <alignment vertical="center"/>
      <protection locked="0"/>
    </xf>
    <xf numFmtId="0" fontId="34" fillId="0" borderId="0" xfId="0" applyFont="1"/>
    <xf numFmtId="0" fontId="34" fillId="0" borderId="0" xfId="0" applyFont="1" applyAlignment="1">
      <alignment wrapText="1"/>
    </xf>
    <xf numFmtId="0" fontId="37" fillId="14" borderId="2" xfId="0" applyFont="1" applyFill="1" applyBorder="1" applyAlignment="1">
      <alignment horizontal="center" vertical="center" wrapText="1"/>
    </xf>
    <xf numFmtId="0" fontId="38" fillId="0" borderId="2" xfId="0" applyFont="1" applyBorder="1" applyAlignment="1">
      <alignment vertical="center"/>
    </xf>
    <xf numFmtId="0" fontId="38" fillId="0" borderId="2" xfId="0" applyFont="1" applyBorder="1"/>
    <xf numFmtId="49" fontId="38" fillId="17" borderId="2" xfId="0" applyNumberFormat="1" applyFont="1" applyFill="1" applyBorder="1" applyAlignment="1">
      <alignment horizontal="center" vertical="center" wrapText="1"/>
    </xf>
    <xf numFmtId="0" fontId="38" fillId="17" borderId="2" xfId="0" applyFont="1" applyFill="1" applyBorder="1" applyAlignment="1">
      <alignment horizontal="center" vertical="center" wrapText="1"/>
    </xf>
    <xf numFmtId="0" fontId="38" fillId="0" borderId="2" xfId="0" applyFont="1" applyBorder="1" applyAlignment="1">
      <alignment vertical="top"/>
    </xf>
    <xf numFmtId="0" fontId="38" fillId="18" borderId="2" xfId="0" applyFont="1" applyFill="1" applyBorder="1" applyAlignment="1">
      <alignment vertical="top"/>
    </xf>
    <xf numFmtId="0" fontId="38" fillId="20" borderId="2" xfId="0" applyFont="1" applyFill="1" applyBorder="1" applyAlignment="1">
      <alignment vertical="top"/>
    </xf>
    <xf numFmtId="0" fontId="35" fillId="0" borderId="0" xfId="1" applyFont="1" applyAlignment="1" applyProtection="1">
      <alignment vertical="center"/>
      <protection hidden="1"/>
    </xf>
    <xf numFmtId="0" fontId="34" fillId="0" borderId="0" xfId="0" applyFont="1" applyProtection="1">
      <protection hidden="1"/>
    </xf>
    <xf numFmtId="0" fontId="0" fillId="0" borderId="33" xfId="0" applyBorder="1"/>
    <xf numFmtId="0" fontId="0" fillId="17" borderId="3" xfId="0" applyFill="1" applyBorder="1" applyAlignment="1">
      <alignment vertical="top"/>
    </xf>
    <xf numFmtId="0" fontId="0" fillId="10" borderId="33" xfId="0" applyFill="1" applyBorder="1"/>
    <xf numFmtId="0" fontId="0" fillId="10" borderId="2" xfId="0" applyFill="1" applyBorder="1"/>
    <xf numFmtId="0" fontId="0" fillId="3" borderId="33" xfId="0" applyFill="1" applyBorder="1"/>
    <xf numFmtId="0" fontId="0" fillId="3" borderId="2" xfId="0" applyFill="1" applyBorder="1"/>
    <xf numFmtId="0" fontId="0" fillId="10" borderId="19" xfId="0" applyFill="1" applyBorder="1"/>
    <xf numFmtId="0" fontId="21" fillId="0" borderId="3" xfId="1" applyFont="1" applyBorder="1" applyAlignment="1">
      <alignment horizontal="left" vertical="top" wrapText="1"/>
    </xf>
    <xf numFmtId="0" fontId="12" fillId="0" borderId="2" xfId="3" applyFont="1" applyBorder="1" applyAlignment="1">
      <alignment vertical="top" wrapText="1"/>
    </xf>
    <xf numFmtId="0" fontId="3" fillId="0" borderId="2" xfId="5" applyNumberFormat="1" applyFont="1" applyFill="1" applyBorder="1" applyAlignment="1" applyProtection="1">
      <alignment vertical="top" wrapText="1"/>
      <protection locked="0"/>
    </xf>
    <xf numFmtId="0" fontId="3" fillId="0" borderId="2" xfId="3" applyBorder="1" applyAlignment="1" applyProtection="1">
      <alignment vertical="top" wrapText="1"/>
      <protection locked="0"/>
    </xf>
    <xf numFmtId="0" fontId="12" fillId="0" borderId="2" xfId="5" applyNumberFormat="1" applyFont="1" applyFill="1" applyBorder="1" applyAlignment="1">
      <alignment vertical="top"/>
    </xf>
    <xf numFmtId="0" fontId="3" fillId="0" borderId="0" xfId="1" applyAlignment="1">
      <alignment vertical="top"/>
    </xf>
    <xf numFmtId="0" fontId="12" fillId="10" borderId="2" xfId="5" applyNumberFormat="1" applyFont="1" applyFill="1" applyBorder="1" applyAlignment="1">
      <alignment vertical="top"/>
    </xf>
    <xf numFmtId="0" fontId="3" fillId="10" borderId="2" xfId="3" applyFill="1" applyBorder="1" applyAlignment="1" applyProtection="1">
      <alignment vertical="top" wrapText="1"/>
      <protection locked="0"/>
    </xf>
    <xf numFmtId="0" fontId="0" fillId="0" borderId="33"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24" fillId="0" borderId="38" xfId="1" applyFont="1" applyBorder="1" applyAlignment="1">
      <alignment vertical="center"/>
    </xf>
    <xf numFmtId="0" fontId="24" fillId="0" borderId="39" xfId="1" applyFont="1" applyBorder="1" applyAlignment="1">
      <alignment vertical="center" wrapText="1"/>
    </xf>
    <xf numFmtId="0" fontId="24" fillId="0" borderId="11" xfId="1" applyFont="1" applyBorder="1" applyAlignment="1">
      <alignment vertical="center" wrapText="1"/>
    </xf>
    <xf numFmtId="0" fontId="24" fillId="0" borderId="17" xfId="1" applyFont="1" applyBorder="1" applyAlignment="1">
      <alignment horizontal="center" vertical="center"/>
    </xf>
    <xf numFmtId="0" fontId="0" fillId="24" borderId="0" xfId="0" applyFill="1"/>
    <xf numFmtId="0" fontId="2" fillId="24" borderId="0" xfId="0" applyFont="1" applyFill="1" applyAlignment="1">
      <alignment vertical="center"/>
    </xf>
    <xf numFmtId="0" fontId="30" fillId="0" borderId="2" xfId="0" applyFont="1" applyBorder="1" applyAlignment="1">
      <alignment horizontal="left"/>
    </xf>
    <xf numFmtId="0" fontId="23" fillId="0" borderId="2" xfId="1" applyFont="1" applyBorder="1" applyAlignment="1">
      <alignment horizontal="left"/>
    </xf>
    <xf numFmtId="0" fontId="20" fillId="2" borderId="0" xfId="2" applyFont="1" applyFill="1" applyAlignment="1" applyProtection="1">
      <alignment horizontal="center" vertical="center"/>
    </xf>
    <xf numFmtId="0" fontId="12" fillId="0" borderId="2" xfId="3" applyFont="1" applyBorder="1" applyAlignment="1">
      <alignment horizontal="left" vertical="top" wrapText="1"/>
    </xf>
    <xf numFmtId="0" fontId="3" fillId="0" borderId="2" xfId="3" applyBorder="1" applyAlignment="1">
      <alignment horizontal="left" wrapText="1"/>
    </xf>
    <xf numFmtId="0" fontId="3" fillId="0" borderId="2" xfId="3" applyBorder="1" applyAlignment="1">
      <alignment horizontal="left" vertical="top" wrapText="1"/>
    </xf>
    <xf numFmtId="0" fontId="12" fillId="0" borderId="2" xfId="5" applyNumberFormat="1" applyFont="1" applyFill="1" applyBorder="1" applyAlignment="1" applyProtection="1">
      <alignment horizontal="left" vertical="center"/>
    </xf>
    <xf numFmtId="0" fontId="3" fillId="0" borderId="2" xfId="5" applyNumberFormat="1" applyFont="1" applyFill="1" applyBorder="1" applyAlignment="1" applyProtection="1">
      <alignment horizontal="left"/>
    </xf>
    <xf numFmtId="0" fontId="3" fillId="0" borderId="2" xfId="5" applyNumberFormat="1" applyFont="1" applyFill="1" applyBorder="1" applyAlignment="1" applyProtection="1">
      <alignment horizontal="left" vertical="top" wrapText="1"/>
    </xf>
    <xf numFmtId="0" fontId="39" fillId="23" borderId="40" xfId="1" applyFont="1" applyFill="1" applyBorder="1" applyAlignment="1">
      <alignment horizontal="left" vertical="center"/>
    </xf>
    <xf numFmtId="0" fontId="39" fillId="23" borderId="41" xfId="1" applyFont="1" applyFill="1" applyBorder="1" applyAlignment="1">
      <alignment horizontal="left" vertical="center"/>
    </xf>
    <xf numFmtId="0" fontId="24" fillId="0" borderId="7" xfId="1" applyFont="1" applyBorder="1" applyAlignment="1">
      <alignment horizontal="center" vertical="center"/>
    </xf>
    <xf numFmtId="0" fontId="24" fillId="0" borderId="10" xfId="1" applyFont="1" applyBorder="1" applyAlignment="1">
      <alignment horizontal="center" vertical="center"/>
    </xf>
    <xf numFmtId="0" fontId="24" fillId="0" borderId="13" xfId="1" applyFont="1" applyBorder="1" applyAlignment="1">
      <alignment horizontal="center" vertical="center"/>
    </xf>
    <xf numFmtId="0" fontId="24" fillId="0" borderId="15" xfId="1" applyFont="1" applyBorder="1" applyAlignment="1">
      <alignment vertical="center"/>
    </xf>
    <xf numFmtId="0" fontId="39" fillId="23" borderId="6" xfId="1" applyFont="1" applyFill="1" applyBorder="1" applyAlignment="1">
      <alignment horizontal="left" vertical="center"/>
    </xf>
    <xf numFmtId="0" fontId="39" fillId="23" borderId="33" xfId="1" applyFont="1" applyFill="1" applyBorder="1" applyAlignment="1">
      <alignment horizontal="left" vertical="center"/>
    </xf>
    <xf numFmtId="0" fontId="39" fillId="23" borderId="5" xfId="1" applyFont="1" applyFill="1" applyBorder="1" applyAlignment="1">
      <alignment horizontal="left" vertical="center"/>
    </xf>
    <xf numFmtId="0" fontId="24" fillId="0" borderId="0" xfId="1" applyFont="1" applyAlignment="1">
      <alignment horizontal="center" vertical="center"/>
    </xf>
    <xf numFmtId="0" fontId="24" fillId="0" borderId="0" xfId="1" applyFont="1" applyAlignment="1">
      <alignment vertical="center"/>
    </xf>
    <xf numFmtId="0" fontId="24" fillId="0" borderId="0" xfId="1" applyFont="1" applyAlignment="1">
      <alignment vertical="center" wrapText="1"/>
    </xf>
    <xf numFmtId="0" fontId="0" fillId="0" borderId="0" xfId="0" applyAlignment="1">
      <alignment horizontal="left"/>
    </xf>
    <xf numFmtId="0" fontId="34" fillId="0" borderId="27" xfId="3" applyFont="1" applyBorder="1" applyAlignment="1" applyProtection="1">
      <alignment horizontal="left" vertical="center" wrapText="1"/>
      <protection locked="0"/>
    </xf>
    <xf numFmtId="167" fontId="34" fillId="0" borderId="26" xfId="5" applyNumberFormat="1" applyFont="1" applyFill="1" applyBorder="1" applyAlignment="1" applyProtection="1">
      <alignment vertical="center" wrapText="1"/>
      <protection locked="0"/>
    </xf>
    <xf numFmtId="167" fontId="34" fillId="0" borderId="26" xfId="5" quotePrefix="1" applyNumberFormat="1" applyFont="1" applyFill="1" applyBorder="1" applyAlignment="1" applyProtection="1">
      <alignment vertical="center" wrapText="1"/>
      <protection locked="0"/>
    </xf>
    <xf numFmtId="0" fontId="34" fillId="0" borderId="0" xfId="1" applyFont="1" applyAlignment="1">
      <alignment wrapText="1"/>
    </xf>
    <xf numFmtId="0" fontId="34" fillId="0" borderId="0" xfId="1" applyFont="1" applyAlignment="1">
      <alignment horizontal="center" wrapText="1"/>
    </xf>
    <xf numFmtId="0" fontId="34" fillId="0" borderId="0" xfId="1" applyFont="1" applyAlignment="1">
      <alignment horizontal="left" wrapText="1"/>
    </xf>
    <xf numFmtId="167" fontId="34" fillId="0" borderId="0" xfId="4" applyNumberFormat="1" applyFont="1" applyAlignment="1">
      <alignment wrapText="1"/>
    </xf>
    <xf numFmtId="0" fontId="2" fillId="6" borderId="0" xfId="0" applyFont="1" applyFill="1"/>
    <xf numFmtId="165" fontId="30" fillId="0" borderId="0" xfId="9" applyFont="1"/>
    <xf numFmtId="0" fontId="0" fillId="0" borderId="38" xfId="0" applyBorder="1" applyAlignment="1">
      <alignment vertical="top"/>
    </xf>
    <xf numFmtId="14" fontId="0" fillId="0" borderId="38" xfId="0" applyNumberFormat="1" applyBorder="1" applyAlignment="1">
      <alignment horizontal="right" vertical="top"/>
    </xf>
    <xf numFmtId="0" fontId="0" fillId="0" borderId="38" xfId="0" applyBorder="1"/>
    <xf numFmtId="165" fontId="0" fillId="0" borderId="0" xfId="9" applyFont="1"/>
    <xf numFmtId="3" fontId="0" fillId="0" borderId="38" xfId="0" applyNumberFormat="1" applyBorder="1" applyAlignment="1">
      <alignment horizontal="right" vertical="top"/>
    </xf>
    <xf numFmtId="4" fontId="0" fillId="0" borderId="38" xfId="0" applyNumberFormat="1" applyBorder="1" applyAlignment="1">
      <alignment horizontal="right" vertical="top"/>
    </xf>
    <xf numFmtId="1" fontId="10" fillId="25" borderId="2" xfId="4" applyNumberFormat="1" applyFont="1" applyFill="1" applyBorder="1" applyAlignment="1" applyProtection="1">
      <alignment horizontal="left" vertical="top" wrapText="1"/>
    </xf>
    <xf numFmtId="0" fontId="3" fillId="7" borderId="2" xfId="3" applyFill="1" applyBorder="1" applyAlignment="1">
      <alignment horizontal="left" wrapText="1"/>
    </xf>
    <xf numFmtId="1" fontId="10" fillId="25" borderId="2" xfId="4" applyNumberFormat="1" applyFont="1" applyFill="1" applyBorder="1" applyAlignment="1" applyProtection="1">
      <alignment vertical="top" wrapText="1"/>
    </xf>
    <xf numFmtId="0" fontId="3" fillId="7" borderId="2" xfId="3" applyFill="1" applyBorder="1" applyAlignment="1" applyProtection="1">
      <alignment vertical="top" wrapText="1"/>
      <protection locked="0"/>
    </xf>
    <xf numFmtId="167" fontId="30" fillId="0" borderId="0" xfId="9" applyNumberFormat="1" applyFont="1"/>
    <xf numFmtId="167" fontId="0" fillId="0" borderId="38" xfId="9" applyNumberFormat="1" applyFont="1" applyBorder="1" applyAlignment="1">
      <alignment horizontal="right" vertical="top"/>
    </xf>
    <xf numFmtId="167" fontId="0" fillId="0" borderId="0" xfId="9" applyNumberFormat="1" applyFont="1"/>
    <xf numFmtId="14" fontId="0" fillId="0" borderId="0" xfId="0" applyNumberFormat="1" applyAlignment="1">
      <alignment horizontal="right" vertical="top"/>
    </xf>
    <xf numFmtId="169" fontId="0" fillId="0" borderId="38" xfId="0" applyNumberFormat="1" applyBorder="1" applyAlignment="1">
      <alignment horizontal="right" vertical="top"/>
    </xf>
    <xf numFmtId="0" fontId="2" fillId="26" borderId="50" xfId="0" applyFont="1" applyFill="1" applyBorder="1" applyAlignment="1">
      <alignment horizontal="center" vertical="center" wrapText="1"/>
    </xf>
    <xf numFmtId="0" fontId="2" fillId="26" borderId="46" xfId="0" applyFont="1" applyFill="1" applyBorder="1" applyAlignment="1">
      <alignment horizontal="center" vertical="center" wrapText="1"/>
    </xf>
    <xf numFmtId="0" fontId="2" fillId="21" borderId="51" xfId="0" applyFont="1" applyFill="1" applyBorder="1" applyAlignment="1">
      <alignment horizontal="center" vertical="center" wrapText="1"/>
    </xf>
    <xf numFmtId="0" fontId="0" fillId="0" borderId="52" xfId="0" applyBorder="1" applyAlignment="1">
      <alignment vertical="top"/>
    </xf>
    <xf numFmtId="3" fontId="0" fillId="0" borderId="26" xfId="0" applyNumberFormat="1" applyBorder="1" applyAlignment="1">
      <alignment horizontal="right" vertical="top"/>
    </xf>
    <xf numFmtId="0" fontId="0" fillId="0" borderId="26" xfId="0" applyBorder="1" applyAlignment="1">
      <alignment vertical="top"/>
    </xf>
    <xf numFmtId="167" fontId="0" fillId="0" borderId="26" xfId="9" applyNumberFormat="1" applyFont="1" applyBorder="1" applyAlignment="1">
      <alignment horizontal="right" vertical="top"/>
    </xf>
    <xf numFmtId="14" fontId="0" fillId="0" borderId="26" xfId="0" applyNumberFormat="1" applyBorder="1" applyAlignment="1">
      <alignment horizontal="right" vertical="top"/>
    </xf>
    <xf numFmtId="0" fontId="0" fillId="0" borderId="26" xfId="0" applyBorder="1"/>
    <xf numFmtId="0" fontId="0" fillId="0" borderId="36" xfId="0" applyBorder="1"/>
    <xf numFmtId="0" fontId="0" fillId="0" borderId="52" xfId="0" applyBorder="1"/>
    <xf numFmtId="167" fontId="0" fillId="0" borderId="26" xfId="9" applyNumberFormat="1" applyFont="1" applyBorder="1"/>
    <xf numFmtId="0" fontId="0" fillId="0" borderId="53" xfId="0" applyBorder="1"/>
    <xf numFmtId="0" fontId="0" fillId="0" borderId="54" xfId="0" applyBorder="1"/>
    <xf numFmtId="167" fontId="0" fillId="0" borderId="54" xfId="9" applyNumberFormat="1" applyFont="1" applyBorder="1"/>
    <xf numFmtId="14" fontId="0" fillId="0" borderId="54" xfId="0" applyNumberFormat="1" applyBorder="1" applyAlignment="1">
      <alignment horizontal="right" vertical="top"/>
    </xf>
    <xf numFmtId="0" fontId="0" fillId="0" borderId="55" xfId="0" applyBorder="1"/>
    <xf numFmtId="167" fontId="2" fillId="26" borderId="46" xfId="9" applyNumberFormat="1" applyFont="1" applyFill="1" applyBorder="1" applyAlignment="1">
      <alignment horizontal="center" vertical="center" wrapText="1"/>
    </xf>
    <xf numFmtId="0" fontId="2" fillId="21" borderId="38" xfId="0" applyFont="1" applyFill="1" applyBorder="1" applyAlignment="1">
      <alignment horizontal="center" vertical="top" wrapText="1"/>
    </xf>
    <xf numFmtId="167" fontId="2" fillId="21" borderId="38" xfId="9" applyNumberFormat="1" applyFont="1" applyFill="1" applyBorder="1" applyAlignment="1">
      <alignment horizontal="center" vertical="top" wrapText="1"/>
    </xf>
    <xf numFmtId="0" fontId="2" fillId="21" borderId="38" xfId="0" applyFont="1" applyFill="1" applyBorder="1" applyAlignment="1">
      <alignment horizontal="center" vertical="center" wrapText="1"/>
    </xf>
    <xf numFmtId="0" fontId="30" fillId="0" borderId="0" xfId="0" applyFont="1"/>
    <xf numFmtId="0" fontId="2" fillId="21" borderId="45" xfId="0" applyFont="1" applyFill="1" applyBorder="1" applyAlignment="1">
      <alignment horizontal="center"/>
    </xf>
    <xf numFmtId="49" fontId="0" fillId="0" borderId="0" xfId="0" applyNumberFormat="1"/>
    <xf numFmtId="4" fontId="0" fillId="0" borderId="0" xfId="0" applyNumberFormat="1"/>
    <xf numFmtId="49" fontId="1" fillId="0" borderId="0" xfId="0" applyNumberFormat="1" applyFont="1" applyAlignment="1">
      <alignment horizontal="center" vertical="center"/>
    </xf>
    <xf numFmtId="49" fontId="1" fillId="0" borderId="0" xfId="0" applyNumberFormat="1" applyFont="1" applyAlignment="1">
      <alignment vertical="center"/>
    </xf>
    <xf numFmtId="167" fontId="41" fillId="0" borderId="0" xfId="9" applyNumberFormat="1" applyFont="1" applyFill="1" applyAlignment="1">
      <alignment vertical="center"/>
    </xf>
    <xf numFmtId="49" fontId="40" fillId="0" borderId="0" xfId="0" applyNumberFormat="1" applyFont="1"/>
    <xf numFmtId="49" fontId="0" fillId="0" borderId="0" xfId="0" applyNumberFormat="1" applyAlignment="1">
      <alignment horizontal="center"/>
    </xf>
    <xf numFmtId="167" fontId="41" fillId="0" borderId="0" xfId="9" applyNumberFormat="1" applyFont="1" applyFill="1"/>
    <xf numFmtId="0" fontId="0" fillId="0" borderId="38" xfId="0" applyBorder="1" applyAlignment="1">
      <alignment horizontal="center"/>
    </xf>
    <xf numFmtId="0" fontId="1" fillId="0" borderId="38" xfId="0" applyFont="1" applyBorder="1"/>
    <xf numFmtId="167" fontId="1" fillId="0" borderId="38" xfId="9" applyNumberFormat="1" applyFont="1" applyBorder="1"/>
    <xf numFmtId="167" fontId="0" fillId="0" borderId="38" xfId="9" applyNumberFormat="1" applyFont="1" applyBorder="1"/>
    <xf numFmtId="9" fontId="0" fillId="0" borderId="38" xfId="10" applyFont="1" applyBorder="1"/>
    <xf numFmtId="0" fontId="34" fillId="0" borderId="0" xfId="1" applyFont="1" applyAlignment="1" applyProtection="1">
      <alignment horizontal="left" wrapText="1"/>
      <protection locked="0"/>
    </xf>
    <xf numFmtId="0" fontId="34" fillId="0" borderId="0" xfId="1" applyFont="1" applyAlignment="1" applyProtection="1">
      <alignment horizontal="center" wrapText="1"/>
      <protection locked="0"/>
    </xf>
    <xf numFmtId="165" fontId="34" fillId="0" borderId="26" xfId="4" applyFont="1" applyFill="1" applyBorder="1" applyAlignment="1" applyProtection="1">
      <alignment vertical="center"/>
      <protection locked="0"/>
    </xf>
    <xf numFmtId="0" fontId="31" fillId="27" borderId="50" xfId="3" applyFont="1" applyFill="1" applyBorder="1" applyAlignment="1">
      <alignment horizontal="center" vertical="center" wrapText="1"/>
    </xf>
    <xf numFmtId="0" fontId="31" fillId="27" borderId="46" xfId="3" applyFont="1" applyFill="1" applyBorder="1" applyAlignment="1">
      <alignment horizontal="center" vertical="center" wrapText="1"/>
    </xf>
    <xf numFmtId="0" fontId="31" fillId="28" borderId="46" xfId="3" applyFont="1" applyFill="1" applyBorder="1" applyAlignment="1">
      <alignment horizontal="center" vertical="center" wrapText="1"/>
    </xf>
    <xf numFmtId="167" fontId="31" fillId="27" borderId="46" xfId="4" applyNumberFormat="1" applyFont="1" applyFill="1" applyBorder="1" applyAlignment="1" applyProtection="1">
      <alignment horizontal="center" vertical="center" wrapText="1"/>
    </xf>
    <xf numFmtId="167" fontId="31" fillId="27" borderId="56" xfId="4" applyNumberFormat="1" applyFont="1" applyFill="1" applyBorder="1" applyAlignment="1">
      <alignment horizontal="center" vertical="center" wrapText="1"/>
    </xf>
    <xf numFmtId="167" fontId="31" fillId="27" borderId="46" xfId="4" applyNumberFormat="1" applyFont="1" applyFill="1" applyBorder="1" applyAlignment="1">
      <alignment horizontal="center" vertical="center" wrapText="1"/>
    </xf>
    <xf numFmtId="167" fontId="31" fillId="27" borderId="51" xfId="4" applyNumberFormat="1" applyFont="1" applyFill="1" applyBorder="1" applyAlignment="1" applyProtection="1">
      <alignment horizontal="center" vertical="center" wrapText="1"/>
    </xf>
    <xf numFmtId="0" fontId="32" fillId="0" borderId="0" xfId="1" applyFont="1" applyAlignment="1">
      <alignment vertical="center" wrapText="1"/>
    </xf>
    <xf numFmtId="0" fontId="33" fillId="29" borderId="0" xfId="5" applyNumberFormat="1" applyFont="1" applyFill="1" applyBorder="1" applyAlignment="1">
      <alignment horizontal="center" vertical="center" wrapText="1"/>
    </xf>
    <xf numFmtId="167" fontId="33" fillId="29" borderId="0" xfId="9" applyNumberFormat="1" applyFont="1" applyFill="1" applyBorder="1" applyAlignment="1">
      <alignment horizontal="center" vertical="center" wrapText="1"/>
    </xf>
    <xf numFmtId="0" fontId="31" fillId="0" borderId="0" xfId="1" applyFont="1" applyAlignment="1" applyProtection="1">
      <alignment vertical="center" wrapText="1"/>
      <protection hidden="1"/>
    </xf>
    <xf numFmtId="0" fontId="31" fillId="14" borderId="57" xfId="3" applyFont="1" applyFill="1" applyBorder="1" applyAlignment="1" applyProtection="1">
      <alignment horizontal="center" vertical="center" wrapText="1"/>
      <protection hidden="1"/>
    </xf>
    <xf numFmtId="0" fontId="31" fillId="30" borderId="58" xfId="3" applyFont="1" applyFill="1" applyBorder="1" applyAlignment="1" applyProtection="1">
      <alignment horizontal="center" vertical="center" wrapText="1"/>
      <protection hidden="1"/>
    </xf>
    <xf numFmtId="0" fontId="32" fillId="0" borderId="0" xfId="1" applyFont="1" applyAlignment="1" applyProtection="1">
      <alignment vertical="center" wrapText="1"/>
      <protection hidden="1"/>
    </xf>
    <xf numFmtId="165" fontId="34" fillId="0" borderId="52" xfId="4" applyFont="1" applyFill="1" applyBorder="1" applyAlignment="1" applyProtection="1">
      <alignment vertical="center"/>
      <protection locked="0"/>
    </xf>
    <xf numFmtId="165" fontId="34" fillId="16" borderId="26" xfId="4" applyFont="1" applyFill="1" applyBorder="1" applyAlignment="1" applyProtection="1">
      <alignment vertical="center" wrapText="1"/>
      <protection hidden="1"/>
    </xf>
    <xf numFmtId="165" fontId="34" fillId="0" borderId="26" xfId="4" applyFont="1" applyFill="1" applyBorder="1" applyAlignment="1" applyProtection="1">
      <alignment vertical="center" wrapText="1"/>
      <protection locked="0"/>
    </xf>
    <xf numFmtId="165" fontId="34" fillId="16" borderId="26" xfId="4" applyFont="1" applyFill="1" applyBorder="1" applyAlignment="1" applyProtection="1">
      <alignment horizontal="left" vertical="center"/>
      <protection hidden="1"/>
    </xf>
    <xf numFmtId="165" fontId="34" fillId="16" borderId="26" xfId="4" applyFont="1" applyFill="1" applyBorder="1" applyAlignment="1" applyProtection="1">
      <alignment vertical="center"/>
      <protection hidden="1"/>
    </xf>
    <xf numFmtId="0" fontId="34" fillId="16" borderId="26" xfId="3" applyFont="1" applyFill="1" applyBorder="1" applyAlignment="1" applyProtection="1">
      <alignment horizontal="left" vertical="center" wrapText="1"/>
      <protection hidden="1"/>
    </xf>
    <xf numFmtId="164" fontId="34" fillId="16" borderId="26" xfId="7" applyFont="1" applyFill="1" applyBorder="1" applyAlignment="1" applyProtection="1">
      <alignment vertical="center"/>
      <protection hidden="1"/>
    </xf>
    <xf numFmtId="164" fontId="34" fillId="0" borderId="49" xfId="7" applyFont="1" applyFill="1" applyBorder="1" applyAlignment="1" applyProtection="1">
      <alignment vertical="center"/>
      <protection locked="0"/>
    </xf>
    <xf numFmtId="164" fontId="34" fillId="31" borderId="36" xfId="7" applyFont="1" applyFill="1" applyBorder="1" applyAlignment="1" applyProtection="1">
      <alignment vertical="center"/>
      <protection hidden="1"/>
    </xf>
    <xf numFmtId="167" fontId="35" fillId="0" borderId="0" xfId="9" applyNumberFormat="1" applyFont="1" applyFill="1" applyAlignment="1">
      <alignment vertical="center"/>
    </xf>
    <xf numFmtId="164" fontId="34" fillId="31" borderId="25" xfId="7" applyFont="1" applyFill="1" applyBorder="1" applyAlignment="1" applyProtection="1">
      <alignment vertical="center"/>
      <protection hidden="1"/>
    </xf>
    <xf numFmtId="0" fontId="34" fillId="0" borderId="27" xfId="3" applyFont="1" applyBorder="1" applyAlignment="1" applyProtection="1">
      <alignment horizontal="center" vertical="center"/>
      <protection locked="0"/>
    </xf>
    <xf numFmtId="0" fontId="34" fillId="0" borderId="27" xfId="3" applyFont="1" applyBorder="1" applyAlignment="1" applyProtection="1">
      <alignment horizontal="left" vertical="center"/>
      <protection locked="0"/>
    </xf>
    <xf numFmtId="167" fontId="34" fillId="0" borderId="26" xfId="5" applyNumberFormat="1" applyFont="1" applyFill="1" applyBorder="1" applyAlignment="1" applyProtection="1">
      <alignment horizontal="center" vertical="center"/>
      <protection locked="0"/>
    </xf>
    <xf numFmtId="167" fontId="34" fillId="0" borderId="26" xfId="5" applyNumberFormat="1" applyFont="1" applyFill="1" applyBorder="1" applyAlignment="1" applyProtection="1">
      <alignment vertical="center"/>
      <protection locked="0"/>
    </xf>
    <xf numFmtId="0" fontId="34" fillId="0" borderId="27" xfId="3" quotePrefix="1" applyFont="1" applyBorder="1" applyAlignment="1" applyProtection="1">
      <alignment horizontal="left" vertical="center" wrapText="1"/>
      <protection locked="0"/>
    </xf>
    <xf numFmtId="0" fontId="34" fillId="16" borderId="25" xfId="3" applyFont="1" applyFill="1" applyBorder="1" applyAlignment="1" applyProtection="1">
      <alignment horizontal="left" vertical="center"/>
      <protection hidden="1"/>
    </xf>
    <xf numFmtId="165" fontId="35" fillId="0" borderId="0" xfId="9" applyFont="1" applyFill="1" applyAlignment="1">
      <alignment vertical="center"/>
    </xf>
    <xf numFmtId="9" fontId="35" fillId="0" borderId="0" xfId="8" applyFont="1" applyFill="1" applyAlignment="1">
      <alignment vertical="center"/>
    </xf>
    <xf numFmtId="0" fontId="35" fillId="0" borderId="49" xfId="1" applyFont="1" applyBorder="1" applyAlignment="1" applyProtection="1">
      <alignment vertical="center"/>
      <protection locked="0" hidden="1"/>
    </xf>
    <xf numFmtId="0" fontId="35" fillId="0" borderId="0" xfId="1" applyFont="1" applyAlignment="1" applyProtection="1">
      <alignment horizontal="center" vertical="center"/>
      <protection locked="0" hidden="1"/>
    </xf>
    <xf numFmtId="167" fontId="34" fillId="0" borderId="26" xfId="9" applyNumberFormat="1" applyFont="1" applyFill="1" applyBorder="1" applyAlignment="1" applyProtection="1">
      <alignment vertical="center"/>
      <protection locked="0"/>
    </xf>
    <xf numFmtId="0" fontId="35" fillId="0" borderId="0" xfId="1" applyFont="1" applyAlignment="1" applyProtection="1">
      <alignment vertical="center"/>
      <protection locked="0" hidden="1"/>
    </xf>
    <xf numFmtId="0" fontId="35" fillId="0" borderId="26" xfId="1" applyFont="1" applyBorder="1" applyAlignment="1" applyProtection="1">
      <alignment vertical="center"/>
      <protection locked="0" hidden="1"/>
    </xf>
    <xf numFmtId="167" fontId="34" fillId="0" borderId="26" xfId="9" applyNumberFormat="1" applyFont="1" applyFill="1" applyBorder="1" applyAlignment="1" applyProtection="1">
      <alignment vertical="center" wrapText="1"/>
      <protection locked="0"/>
    </xf>
    <xf numFmtId="0" fontId="35" fillId="0" borderId="26" xfId="1" applyFont="1" applyBorder="1" applyAlignment="1" applyProtection="1">
      <alignment vertical="center"/>
      <protection hidden="1"/>
    </xf>
    <xf numFmtId="0" fontId="35" fillId="0" borderId="0" xfId="1" quotePrefix="1" applyFont="1" applyAlignment="1" applyProtection="1">
      <alignment vertical="center" wrapText="1"/>
      <protection locked="0" hidden="1"/>
    </xf>
    <xf numFmtId="0" fontId="34" fillId="0" borderId="27" xfId="3" quotePrefix="1" applyFont="1" applyBorder="1" applyAlignment="1" applyProtection="1">
      <alignment horizontal="left" vertical="center"/>
      <protection locked="0"/>
    </xf>
    <xf numFmtId="0" fontId="34" fillId="0" borderId="36" xfId="3" quotePrefix="1" applyFont="1" applyBorder="1" applyAlignment="1" applyProtection="1">
      <alignment horizontal="left" vertical="center" wrapText="1"/>
      <protection locked="0"/>
    </xf>
    <xf numFmtId="165" fontId="34" fillId="0" borderId="52" xfId="4" applyFont="1" applyFill="1" applyBorder="1" applyAlignment="1" applyProtection="1">
      <alignment vertical="center" wrapText="1"/>
      <protection locked="0"/>
    </xf>
    <xf numFmtId="165" fontId="34" fillId="16" borderId="26" xfId="4" applyFont="1" applyFill="1" applyBorder="1" applyAlignment="1" applyProtection="1">
      <alignment horizontal="left" vertical="center" wrapText="1"/>
      <protection hidden="1"/>
    </xf>
    <xf numFmtId="164" fontId="34" fillId="16" borderId="26" xfId="7" applyFont="1" applyFill="1" applyBorder="1" applyAlignment="1" applyProtection="1">
      <alignment vertical="center" wrapText="1"/>
      <protection hidden="1"/>
    </xf>
    <xf numFmtId="164" fontId="34" fillId="0" borderId="49" xfId="7" applyFont="1" applyFill="1" applyBorder="1" applyAlignment="1" applyProtection="1">
      <alignment vertical="center" wrapText="1"/>
      <protection locked="0"/>
    </xf>
    <xf numFmtId="164" fontId="34" fillId="0" borderId="26" xfId="7" applyFont="1" applyFill="1" applyBorder="1" applyAlignment="1" applyProtection="1">
      <alignment vertical="center" wrapText="1"/>
      <protection locked="0"/>
    </xf>
    <xf numFmtId="164" fontId="34" fillId="31" borderId="36" xfId="7" applyFont="1" applyFill="1" applyBorder="1" applyAlignment="1" applyProtection="1">
      <alignment vertical="center" wrapText="1"/>
      <protection hidden="1"/>
    </xf>
    <xf numFmtId="9" fontId="35" fillId="0" borderId="0" xfId="8" applyFont="1" applyFill="1" applyAlignment="1">
      <alignment vertical="center" wrapText="1"/>
    </xf>
    <xf numFmtId="164" fontId="34" fillId="31" borderId="25" xfId="7" applyFont="1" applyFill="1" applyBorder="1" applyAlignment="1" applyProtection="1">
      <alignment vertical="center" wrapText="1"/>
      <protection hidden="1"/>
    </xf>
    <xf numFmtId="0" fontId="34" fillId="0" borderId="27" xfId="3" applyFont="1" applyBorder="1" applyAlignment="1" applyProtection="1">
      <alignment horizontal="center" vertical="center" wrapText="1"/>
      <protection locked="0"/>
    </xf>
    <xf numFmtId="167" fontId="34" fillId="0" borderId="26" xfId="5" applyNumberFormat="1" applyFont="1" applyFill="1" applyBorder="1" applyAlignment="1" applyProtection="1">
      <alignment horizontal="center" vertical="center" wrapText="1"/>
      <protection locked="0"/>
    </xf>
    <xf numFmtId="0" fontId="35" fillId="0" borderId="0" xfId="1" applyFont="1" applyAlignment="1" applyProtection="1">
      <alignment vertical="center" wrapText="1"/>
      <protection hidden="1"/>
    </xf>
    <xf numFmtId="0" fontId="34" fillId="16" borderId="25" xfId="3" applyFont="1" applyFill="1" applyBorder="1" applyAlignment="1" applyProtection="1">
      <alignment horizontal="left" vertical="center" wrapText="1"/>
      <protection hidden="1"/>
    </xf>
    <xf numFmtId="165" fontId="34" fillId="0" borderId="48" xfId="4" applyFont="1" applyFill="1" applyBorder="1" applyAlignment="1" applyProtection="1">
      <alignment vertical="center"/>
      <protection locked="0"/>
    </xf>
    <xf numFmtId="165" fontId="34" fillId="16" borderId="37" xfId="4" applyFont="1" applyFill="1" applyBorder="1" applyAlignment="1" applyProtection="1">
      <alignment vertical="center" wrapText="1"/>
      <protection hidden="1"/>
    </xf>
    <xf numFmtId="165" fontId="34" fillId="0" borderId="37" xfId="4" applyFont="1" applyFill="1" applyBorder="1" applyAlignment="1" applyProtection="1">
      <alignment vertical="center" wrapText="1"/>
      <protection locked="0"/>
    </xf>
    <xf numFmtId="165" fontId="34" fillId="16" borderId="37" xfId="4" applyFont="1" applyFill="1" applyBorder="1" applyAlignment="1" applyProtection="1">
      <alignment horizontal="left" vertical="center"/>
      <protection hidden="1"/>
    </xf>
    <xf numFmtId="165" fontId="34" fillId="16" borderId="37" xfId="4" applyFont="1" applyFill="1" applyBorder="1" applyAlignment="1" applyProtection="1">
      <alignment vertical="center"/>
      <protection hidden="1"/>
    </xf>
    <xf numFmtId="0" fontId="34" fillId="16" borderId="59" xfId="3" applyFont="1" applyFill="1" applyBorder="1" applyAlignment="1" applyProtection="1">
      <alignment horizontal="left" vertical="center" wrapText="1"/>
      <protection hidden="1"/>
    </xf>
    <xf numFmtId="164" fontId="34" fillId="16" borderId="37" xfId="7" applyFont="1" applyFill="1" applyBorder="1" applyAlignment="1" applyProtection="1">
      <alignment vertical="center"/>
      <protection hidden="1"/>
    </xf>
    <xf numFmtId="164" fontId="34" fillId="0" borderId="60" xfId="7" applyFont="1" applyFill="1" applyBorder="1" applyAlignment="1" applyProtection="1">
      <alignment vertical="center"/>
      <protection locked="0"/>
    </xf>
    <xf numFmtId="164" fontId="34" fillId="0" borderId="37" xfId="7" applyFont="1" applyFill="1" applyBorder="1" applyAlignment="1" applyProtection="1">
      <alignment vertical="center"/>
      <protection locked="0"/>
    </xf>
    <xf numFmtId="164" fontId="34" fillId="31" borderId="61" xfId="7" applyFont="1" applyFill="1" applyBorder="1" applyAlignment="1" applyProtection="1">
      <alignment vertical="center"/>
      <protection hidden="1"/>
    </xf>
    <xf numFmtId="0" fontId="34" fillId="0" borderId="65" xfId="0" applyFont="1" applyBorder="1" applyAlignment="1">
      <alignment vertical="center"/>
    </xf>
    <xf numFmtId="164" fontId="32" fillId="5" borderId="64" xfId="0" applyNumberFormat="1" applyFont="1" applyFill="1" applyBorder="1" applyAlignment="1">
      <alignment vertical="center"/>
    </xf>
    <xf numFmtId="164" fontId="32" fillId="5" borderId="65" xfId="0" applyNumberFormat="1" applyFont="1" applyFill="1" applyBorder="1" applyAlignment="1">
      <alignment vertical="center"/>
    </xf>
    <xf numFmtId="164" fontId="32" fillId="5" borderId="66" xfId="0" applyNumberFormat="1" applyFont="1" applyFill="1" applyBorder="1" applyAlignment="1">
      <alignment vertical="center"/>
    </xf>
    <xf numFmtId="0" fontId="34" fillId="0" borderId="0" xfId="0" applyFont="1" applyAlignment="1">
      <alignment vertical="center"/>
    </xf>
    <xf numFmtId="0" fontId="34" fillId="0" borderId="0" xfId="0" applyFont="1" applyAlignment="1">
      <alignment vertical="center" wrapText="1"/>
    </xf>
    <xf numFmtId="0" fontId="34" fillId="0" borderId="0" xfId="0" applyFont="1" applyAlignment="1">
      <alignment horizontal="center" vertical="center"/>
    </xf>
    <xf numFmtId="167" fontId="34" fillId="0" borderId="0" xfId="9" applyNumberFormat="1" applyFont="1" applyAlignment="1">
      <alignment vertical="center"/>
    </xf>
    <xf numFmtId="0" fontId="34" fillId="0" borderId="0" xfId="0" applyFont="1" applyAlignment="1" applyProtection="1">
      <alignment vertical="center"/>
      <protection hidden="1"/>
    </xf>
    <xf numFmtId="0" fontId="34" fillId="0" borderId="47" xfId="0" applyFont="1" applyBorder="1"/>
    <xf numFmtId="0" fontId="34" fillId="0" borderId="68" xfId="0" applyFont="1" applyBorder="1"/>
    <xf numFmtId="0" fontId="34" fillId="0" borderId="69" xfId="0" applyFont="1" applyBorder="1"/>
    <xf numFmtId="0" fontId="34" fillId="0" borderId="0" xfId="0" applyFont="1" applyAlignment="1">
      <alignment horizontal="center"/>
    </xf>
    <xf numFmtId="0" fontId="28" fillId="0" borderId="43" xfId="6" applyFont="1" applyBorder="1" applyAlignment="1">
      <alignment vertical="center"/>
    </xf>
    <xf numFmtId="0" fontId="28" fillId="0" borderId="70" xfId="6" applyFont="1" applyBorder="1" applyAlignment="1">
      <alignment vertical="center"/>
    </xf>
    <xf numFmtId="0" fontId="32" fillId="4" borderId="2" xfId="1" applyFont="1" applyFill="1" applyBorder="1" applyAlignment="1">
      <alignment horizontal="left"/>
    </xf>
    <xf numFmtId="0" fontId="0" fillId="32" borderId="0" xfId="0" applyFill="1"/>
    <xf numFmtId="0" fontId="0" fillId="0" borderId="6" xfId="0" applyBorder="1" applyAlignment="1">
      <alignment horizontal="left"/>
    </xf>
    <xf numFmtId="0" fontId="34" fillId="8" borderId="0" xfId="1" applyFont="1" applyFill="1" applyAlignment="1">
      <alignment horizontal="left" wrapText="1"/>
    </xf>
    <xf numFmtId="0" fontId="32" fillId="8" borderId="0" xfId="1" applyFont="1" applyFill="1" applyAlignment="1">
      <alignment horizontal="left"/>
    </xf>
    <xf numFmtId="0" fontId="34" fillId="8" borderId="0" xfId="1" applyFont="1" applyFill="1" applyAlignment="1" applyProtection="1">
      <alignment horizontal="left" wrapText="1"/>
      <protection locked="0"/>
    </xf>
    <xf numFmtId="0" fontId="34" fillId="8" borderId="0" xfId="1" applyFont="1" applyFill="1" applyAlignment="1">
      <alignment wrapText="1"/>
    </xf>
    <xf numFmtId="0" fontId="34" fillId="8" borderId="0" xfId="1" applyFont="1" applyFill="1" applyAlignment="1" applyProtection="1">
      <alignment horizontal="center" wrapText="1"/>
      <protection locked="0"/>
    </xf>
    <xf numFmtId="167" fontId="34" fillId="8" borderId="0" xfId="4" applyNumberFormat="1" applyFont="1" applyFill="1" applyAlignment="1">
      <alignment wrapText="1"/>
    </xf>
    <xf numFmtId="0" fontId="34" fillId="8" borderId="0" xfId="1" applyFont="1" applyFill="1" applyAlignment="1" applyProtection="1">
      <alignment wrapText="1"/>
      <protection locked="0"/>
    </xf>
    <xf numFmtId="0" fontId="34" fillId="0" borderId="0" xfId="1" applyFont="1" applyAlignment="1">
      <alignment horizontal="left"/>
    </xf>
    <xf numFmtId="0" fontId="34" fillId="0" borderId="0" xfId="1" applyFont="1" applyAlignment="1" applyProtection="1">
      <alignment wrapText="1"/>
      <protection locked="0"/>
    </xf>
    <xf numFmtId="0" fontId="32" fillId="0" borderId="2" xfId="0" applyFont="1" applyBorder="1" applyAlignment="1">
      <alignment horizontal="left"/>
    </xf>
    <xf numFmtId="0" fontId="34" fillId="0" borderId="2" xfId="0" applyFont="1" applyBorder="1" applyAlignment="1">
      <alignment vertical="top"/>
    </xf>
    <xf numFmtId="0" fontId="34" fillId="0" borderId="2" xfId="0" applyFont="1" applyBorder="1"/>
    <xf numFmtId="0" fontId="34" fillId="33" borderId="2" xfId="0" applyFont="1" applyFill="1" applyBorder="1" applyAlignment="1">
      <alignment horizontal="left"/>
    </xf>
    <xf numFmtId="0" fontId="34" fillId="0" borderId="2" xfId="0" applyFont="1" applyBorder="1" applyAlignment="1">
      <alignment horizontal="left"/>
    </xf>
    <xf numFmtId="0" fontId="32" fillId="0" borderId="0" xfId="1" applyFont="1" applyAlignment="1">
      <alignment horizontal="left" wrapText="1"/>
    </xf>
    <xf numFmtId="0" fontId="32" fillId="8" borderId="2" xfId="1" applyFont="1" applyFill="1" applyBorder="1" applyAlignment="1">
      <alignment horizontal="left" wrapText="1"/>
    </xf>
    <xf numFmtId="0" fontId="32" fillId="4" borderId="2" xfId="1" applyFont="1" applyFill="1" applyBorder="1" applyAlignment="1">
      <alignment horizontal="center"/>
    </xf>
    <xf numFmtId="0" fontId="34" fillId="0" borderId="2" xfId="1" applyFont="1" applyBorder="1" applyAlignment="1">
      <alignment horizontal="left" wrapText="1"/>
    </xf>
    <xf numFmtId="0" fontId="34" fillId="0" borderId="2" xfId="1" applyFont="1" applyBorder="1" applyAlignment="1">
      <alignment horizontal="left"/>
    </xf>
    <xf numFmtId="0" fontId="34" fillId="33" borderId="2" xfId="1" applyFont="1" applyFill="1" applyBorder="1" applyAlignment="1">
      <alignment horizontal="left"/>
    </xf>
    <xf numFmtId="0" fontId="35" fillId="0" borderId="2" xfId="1" applyFont="1" applyBorder="1"/>
    <xf numFmtId="0" fontId="35" fillId="33" borderId="2" xfId="1" applyFont="1" applyFill="1" applyBorder="1"/>
    <xf numFmtId="0" fontId="34" fillId="33" borderId="2" xfId="0" applyFont="1" applyFill="1" applyBorder="1"/>
    <xf numFmtId="0" fontId="34" fillId="0" borderId="2" xfId="0" applyFont="1" applyBorder="1" applyAlignment="1">
      <alignment horizontal="left" vertical="top"/>
    </xf>
    <xf numFmtId="0" fontId="34" fillId="0" borderId="0" xfId="0" applyFont="1" applyAlignment="1">
      <alignment horizontal="left" vertical="top"/>
    </xf>
    <xf numFmtId="0" fontId="34" fillId="0" borderId="0" xfId="0" applyFont="1" applyAlignment="1">
      <alignment vertical="top"/>
    </xf>
    <xf numFmtId="0" fontId="34" fillId="17" borderId="2" xfId="0" applyFont="1" applyFill="1" applyBorder="1" applyAlignment="1">
      <alignment horizontal="center" vertical="top"/>
    </xf>
    <xf numFmtId="0" fontId="0" fillId="33" borderId="2" xfId="0" applyFill="1" applyBorder="1"/>
    <xf numFmtId="0" fontId="0" fillId="0" borderId="0" xfId="0" applyAlignment="1">
      <alignment horizontal="left" vertical="top"/>
    </xf>
    <xf numFmtId="0" fontId="0" fillId="0" borderId="0" xfId="0" applyAlignment="1">
      <alignment vertical="top"/>
    </xf>
    <xf numFmtId="0" fontId="0" fillId="33" borderId="0" xfId="0" applyFill="1"/>
    <xf numFmtId="0" fontId="45" fillId="0" borderId="0" xfId="1" applyFont="1"/>
    <xf numFmtId="0" fontId="46" fillId="0" borderId="0" xfId="1" applyFont="1"/>
    <xf numFmtId="0" fontId="47" fillId="0" borderId="0" xfId="1" applyFont="1"/>
    <xf numFmtId="0" fontId="46" fillId="0" borderId="1" xfId="1" applyFont="1" applyBorder="1"/>
    <xf numFmtId="0" fontId="48" fillId="0" borderId="1" xfId="1" applyFont="1" applyBorder="1"/>
    <xf numFmtId="0" fontId="49" fillId="0" borderId="0" xfId="1" applyFont="1"/>
    <xf numFmtId="0" fontId="50" fillId="0" borderId="0" xfId="1" applyFont="1"/>
    <xf numFmtId="0" fontId="51" fillId="0" borderId="0" xfId="1" applyFont="1"/>
    <xf numFmtId="0" fontId="46" fillId="0" borderId="0" xfId="1" applyFont="1" applyAlignment="1">
      <alignment horizontal="right"/>
    </xf>
    <xf numFmtId="0" fontId="46" fillId="0" borderId="0" xfId="1" quotePrefix="1" applyFont="1"/>
    <xf numFmtId="0" fontId="57" fillId="34" borderId="2" xfId="1" applyFont="1" applyFill="1" applyBorder="1"/>
    <xf numFmtId="0" fontId="46" fillId="0" borderId="2" xfId="1" applyFont="1" applyBorder="1"/>
    <xf numFmtId="0" fontId="57" fillId="34" borderId="2" xfId="1" applyFont="1" applyFill="1" applyBorder="1" applyAlignment="1">
      <alignment vertical="top"/>
    </xf>
    <xf numFmtId="0" fontId="46" fillId="0" borderId="2" xfId="1" applyFont="1" applyBorder="1" applyAlignment="1">
      <alignment vertical="top" wrapText="1"/>
    </xf>
    <xf numFmtId="0" fontId="56" fillId="0" borderId="3" xfId="1" applyFont="1" applyBorder="1" applyAlignment="1">
      <alignment horizontal="left" vertical="top" wrapText="1"/>
    </xf>
    <xf numFmtId="0" fontId="57" fillId="34" borderId="2" xfId="1" applyFont="1" applyFill="1" applyBorder="1" applyAlignment="1">
      <alignment horizontal="center"/>
    </xf>
    <xf numFmtId="0" fontId="46" fillId="0" borderId="2" xfId="1" applyFont="1" applyBorder="1" applyAlignment="1">
      <alignment horizontal="left"/>
    </xf>
    <xf numFmtId="0" fontId="46" fillId="0" borderId="4" xfId="1" applyFont="1" applyBorder="1"/>
    <xf numFmtId="0" fontId="58" fillId="0" borderId="0" xfId="1" applyFont="1"/>
    <xf numFmtId="0" fontId="53" fillId="0" borderId="2" xfId="3" applyFont="1" applyBorder="1" applyAlignment="1">
      <alignment horizontal="left" vertical="top" wrapText="1"/>
    </xf>
    <xf numFmtId="0" fontId="46" fillId="0" borderId="2" xfId="3" applyFont="1" applyBorder="1" applyAlignment="1">
      <alignment horizontal="left" vertical="top" wrapText="1"/>
    </xf>
    <xf numFmtId="0" fontId="46" fillId="0" borderId="2" xfId="3" applyFont="1" applyBorder="1" applyAlignment="1">
      <alignment horizontal="left" wrapText="1"/>
    </xf>
    <xf numFmtId="0" fontId="53" fillId="0" borderId="4" xfId="3" applyFont="1" applyBorder="1" applyAlignment="1">
      <alignment horizontal="left" vertical="top" wrapText="1"/>
    </xf>
    <xf numFmtId="0" fontId="46" fillId="0" borderId="4" xfId="3" applyFont="1" applyBorder="1" applyAlignment="1">
      <alignment horizontal="left" wrapText="1"/>
    </xf>
    <xf numFmtId="0" fontId="53" fillId="0" borderId="20" xfId="3" applyFont="1" applyBorder="1" applyAlignment="1">
      <alignment horizontal="left" vertical="top" wrapText="1"/>
    </xf>
    <xf numFmtId="0" fontId="46" fillId="0" borderId="4" xfId="3" applyFont="1" applyBorder="1" applyAlignment="1">
      <alignment horizontal="left" vertical="top" wrapText="1"/>
    </xf>
    <xf numFmtId="0" fontId="53" fillId="0" borderId="16" xfId="3" applyFont="1" applyBorder="1" applyAlignment="1">
      <alignment horizontal="left" vertical="top" wrapText="1"/>
    </xf>
    <xf numFmtId="0" fontId="46" fillId="0" borderId="17" xfId="3" applyFont="1" applyBorder="1" applyAlignment="1">
      <alignment horizontal="left" vertical="top" wrapText="1"/>
    </xf>
    <xf numFmtId="0" fontId="53" fillId="0" borderId="17" xfId="3" applyFont="1" applyBorder="1" applyAlignment="1">
      <alignment horizontal="left" vertical="top" wrapText="1"/>
    </xf>
    <xf numFmtId="0" fontId="46" fillId="0" borderId="17" xfId="3" applyFont="1" applyBorder="1" applyAlignment="1">
      <alignment horizontal="left" wrapText="1"/>
    </xf>
    <xf numFmtId="0" fontId="53" fillId="33" borderId="2" xfId="3" quotePrefix="1" applyFont="1" applyFill="1" applyBorder="1" applyAlignment="1">
      <alignment horizontal="left" vertical="top" wrapText="1" indent="2"/>
    </xf>
    <xf numFmtId="0" fontId="46" fillId="33" borderId="2" xfId="3" applyFont="1" applyFill="1" applyBorder="1" applyAlignment="1">
      <alignment horizontal="left" wrapText="1"/>
    </xf>
    <xf numFmtId="0" fontId="53" fillId="0" borderId="2" xfId="5" applyNumberFormat="1" applyFont="1" applyFill="1" applyBorder="1" applyAlignment="1" applyProtection="1">
      <alignment horizontal="left" vertical="center"/>
    </xf>
    <xf numFmtId="0" fontId="46" fillId="0" borderId="2" xfId="5" applyNumberFormat="1" applyFont="1" applyFill="1" applyBorder="1" applyAlignment="1" applyProtection="1">
      <alignment horizontal="left"/>
    </xf>
    <xf numFmtId="0" fontId="53" fillId="0" borderId="2" xfId="5" applyNumberFormat="1" applyFont="1" applyFill="1" applyBorder="1" applyAlignment="1" applyProtection="1">
      <alignment horizontal="left" vertical="center" wrapText="1"/>
    </xf>
    <xf numFmtId="0" fontId="56" fillId="0" borderId="0" xfId="1" applyFont="1"/>
    <xf numFmtId="0" fontId="57" fillId="34" borderId="6" xfId="1" applyFont="1" applyFill="1" applyBorder="1" applyAlignment="1">
      <alignment horizontal="center"/>
    </xf>
    <xf numFmtId="0" fontId="57" fillId="34" borderId="5" xfId="1" applyFont="1" applyFill="1" applyBorder="1" applyAlignment="1">
      <alignment horizontal="center"/>
    </xf>
    <xf numFmtId="0" fontId="57" fillId="0" borderId="0" xfId="1" applyFont="1" applyAlignment="1">
      <alignment horizontal="center"/>
    </xf>
    <xf numFmtId="0" fontId="60" fillId="16" borderId="40" xfId="1" applyFont="1" applyFill="1" applyBorder="1" applyAlignment="1">
      <alignment horizontal="left" vertical="center"/>
    </xf>
    <xf numFmtId="0" fontId="54" fillId="16" borderId="41" xfId="1" applyFont="1" applyFill="1" applyBorder="1" applyAlignment="1">
      <alignment horizontal="left" vertical="center"/>
    </xf>
    <xf numFmtId="0" fontId="54" fillId="16" borderId="44" xfId="1" applyFont="1" applyFill="1" applyBorder="1" applyAlignment="1">
      <alignment horizontal="left" vertical="center"/>
    </xf>
    <xf numFmtId="0" fontId="54" fillId="0" borderId="0" xfId="1" applyFont="1" applyAlignment="1">
      <alignment horizontal="left" vertical="center"/>
    </xf>
    <xf numFmtId="0" fontId="46" fillId="0" borderId="7" xfId="1" applyFont="1" applyBorder="1" applyAlignment="1">
      <alignment horizontal="center" vertical="center"/>
    </xf>
    <xf numFmtId="0" fontId="46" fillId="0" borderId="8" xfId="1" applyFont="1" applyBorder="1" applyAlignment="1">
      <alignment vertical="center"/>
    </xf>
    <xf numFmtId="0" fontId="46" fillId="0" borderId="9" xfId="1" applyFont="1" applyBorder="1" applyAlignment="1">
      <alignment vertical="center" wrapText="1"/>
    </xf>
    <xf numFmtId="0" fontId="46" fillId="0" borderId="0" xfId="1" applyFont="1" applyAlignment="1">
      <alignment vertical="center"/>
    </xf>
    <xf numFmtId="0" fontId="46" fillId="0" borderId="10" xfId="1" applyFont="1" applyBorder="1" applyAlignment="1">
      <alignment horizontal="center" vertical="center"/>
    </xf>
    <xf numFmtId="0" fontId="46" fillId="0" borderId="11" xfId="1" applyFont="1" applyBorder="1" applyAlignment="1">
      <alignment vertical="center"/>
    </xf>
    <xf numFmtId="0" fontId="46" fillId="0" borderId="12" xfId="1" applyFont="1" applyBorder="1" applyAlignment="1">
      <alignment vertical="center" wrapText="1"/>
    </xf>
    <xf numFmtId="0" fontId="46" fillId="0" borderId="0" xfId="1" applyFont="1" applyAlignment="1">
      <alignment vertical="center" wrapText="1"/>
    </xf>
    <xf numFmtId="0" fontId="46" fillId="0" borderId="13" xfId="1" applyFont="1" applyBorder="1" applyAlignment="1">
      <alignment horizontal="center" vertical="center"/>
    </xf>
    <xf numFmtId="0" fontId="46" fillId="0" borderId="14" xfId="1" applyFont="1" applyBorder="1" applyAlignment="1">
      <alignment vertical="center"/>
    </xf>
    <xf numFmtId="0" fontId="46" fillId="0" borderId="15" xfId="1" applyFont="1" applyBorder="1" applyAlignment="1">
      <alignment vertical="center" wrapText="1"/>
    </xf>
    <xf numFmtId="0" fontId="60" fillId="16" borderId="6" xfId="1" applyFont="1" applyFill="1" applyBorder="1" applyAlignment="1">
      <alignment horizontal="left" vertical="center"/>
    </xf>
    <xf numFmtId="0" fontId="54" fillId="16" borderId="33" xfId="1" applyFont="1" applyFill="1" applyBorder="1" applyAlignment="1">
      <alignment horizontal="left" vertical="center"/>
    </xf>
    <xf numFmtId="0" fontId="54" fillId="16" borderId="5" xfId="1" applyFont="1" applyFill="1" applyBorder="1" applyAlignment="1">
      <alignment horizontal="left" vertical="center"/>
    </xf>
    <xf numFmtId="0" fontId="46" fillId="0" borderId="16" xfId="1" applyFont="1" applyBorder="1" applyAlignment="1">
      <alignment horizontal="center" vertical="center"/>
    </xf>
    <xf numFmtId="0" fontId="46" fillId="0" borderId="17" xfId="1" applyFont="1" applyBorder="1" applyAlignment="1">
      <alignment vertical="center"/>
    </xf>
    <xf numFmtId="0" fontId="46" fillId="0" borderId="18" xfId="1" applyFont="1" applyBorder="1" applyAlignment="1">
      <alignment vertical="center" wrapText="1"/>
    </xf>
    <xf numFmtId="0" fontId="57" fillId="34" borderId="2" xfId="3" applyFont="1" applyFill="1" applyBorder="1" applyAlignment="1">
      <alignment vertical="top" wrapText="1"/>
    </xf>
    <xf numFmtId="0" fontId="46" fillId="0" borderId="2" xfId="3" applyFont="1" applyBorder="1" applyAlignment="1" applyProtection="1">
      <alignment vertical="top" wrapText="1"/>
      <protection locked="0"/>
    </xf>
    <xf numFmtId="1" fontId="57" fillId="35" borderId="2" xfId="4" applyNumberFormat="1" applyFont="1" applyFill="1" applyBorder="1" applyAlignment="1" applyProtection="1">
      <alignment vertical="top" wrapText="1"/>
    </xf>
    <xf numFmtId="0" fontId="46" fillId="7" borderId="2" xfId="3" applyFont="1" applyFill="1" applyBorder="1" applyAlignment="1" applyProtection="1">
      <alignment vertical="top" wrapText="1"/>
      <protection locked="0"/>
    </xf>
    <xf numFmtId="0" fontId="57" fillId="34" borderId="2" xfId="5" applyNumberFormat="1" applyFont="1" applyFill="1" applyBorder="1" applyAlignment="1">
      <alignment vertical="top"/>
    </xf>
    <xf numFmtId="0" fontId="46" fillId="0" borderId="2" xfId="5" applyNumberFormat="1" applyFont="1" applyFill="1" applyBorder="1" applyAlignment="1" applyProtection="1">
      <alignment vertical="top" wrapText="1"/>
      <protection locked="0"/>
    </xf>
    <xf numFmtId="0" fontId="46" fillId="0" borderId="11" xfId="1" applyFont="1" applyBorder="1" applyAlignment="1">
      <alignment vertical="center" wrapText="1"/>
    </xf>
    <xf numFmtId="0" fontId="46" fillId="0" borderId="38" xfId="1" applyFont="1" applyBorder="1" applyAlignment="1">
      <alignment vertical="center"/>
    </xf>
    <xf numFmtId="0" fontId="46" fillId="0" borderId="39" xfId="1" applyFont="1" applyBorder="1" applyAlignment="1">
      <alignment vertical="center" wrapText="1"/>
    </xf>
    <xf numFmtId="0" fontId="46" fillId="0" borderId="17" xfId="1" applyFont="1" applyBorder="1" applyAlignment="1">
      <alignment horizontal="center" vertical="center"/>
    </xf>
    <xf numFmtId="0" fontId="53" fillId="0" borderId="0" xfId="1" applyFont="1"/>
    <xf numFmtId="0" fontId="57" fillId="34" borderId="33" xfId="1" applyFont="1" applyFill="1" applyBorder="1" applyAlignment="1">
      <alignment horizontal="center"/>
    </xf>
    <xf numFmtId="0" fontId="57" fillId="34" borderId="21" xfId="1" applyFont="1" applyFill="1" applyBorder="1" applyAlignment="1">
      <alignment horizontal="center"/>
    </xf>
    <xf numFmtId="0" fontId="30" fillId="0" borderId="0" xfId="0" applyFont="1" applyAlignment="1">
      <alignment horizontal="center" vertical="center"/>
    </xf>
    <xf numFmtId="0" fontId="46" fillId="0" borderId="75" xfId="1" applyFont="1" applyBorder="1" applyAlignment="1">
      <alignment vertical="center"/>
    </xf>
    <xf numFmtId="0" fontId="46" fillId="0" borderId="21" xfId="1" applyFont="1" applyBorder="1" applyAlignment="1">
      <alignment vertical="center"/>
    </xf>
    <xf numFmtId="0" fontId="46" fillId="0" borderId="76" xfId="1" applyFont="1" applyBorder="1" applyAlignment="1">
      <alignment vertical="center" wrapText="1"/>
    </xf>
    <xf numFmtId="0" fontId="46" fillId="0" borderId="77" xfId="1" applyFont="1" applyBorder="1" applyAlignment="1">
      <alignment vertical="center" wrapText="1"/>
    </xf>
    <xf numFmtId="0" fontId="56" fillId="16" borderId="0" xfId="0" applyFont="1" applyFill="1"/>
    <xf numFmtId="0" fontId="46" fillId="16" borderId="0" xfId="0" applyFont="1" applyFill="1"/>
    <xf numFmtId="0" fontId="46" fillId="16" borderId="0" xfId="0" applyFont="1" applyFill="1" applyAlignment="1">
      <alignment horizontal="center"/>
    </xf>
    <xf numFmtId="0" fontId="57" fillId="34" borderId="2" xfId="0" applyFont="1" applyFill="1" applyBorder="1" applyAlignment="1">
      <alignment horizontal="center"/>
    </xf>
    <xf numFmtId="0" fontId="46" fillId="0" borderId="0" xfId="0" applyFont="1"/>
    <xf numFmtId="0" fontId="46" fillId="0" borderId="0" xfId="0" applyFont="1" applyAlignment="1">
      <alignment horizontal="center"/>
    </xf>
    <xf numFmtId="0" fontId="46" fillId="0" borderId="2" xfId="0" applyFont="1" applyBorder="1"/>
    <xf numFmtId="0" fontId="56" fillId="16" borderId="0" xfId="0" applyFont="1" applyFill="1" applyAlignment="1">
      <alignment horizontal="center"/>
    </xf>
    <xf numFmtId="0" fontId="46" fillId="0" borderId="2" xfId="0" applyFont="1" applyBorder="1" applyAlignment="1">
      <alignment horizontal="center"/>
    </xf>
    <xf numFmtId="0" fontId="46" fillId="0" borderId="0" xfId="1" applyFont="1" applyAlignment="1">
      <alignment horizontal="center"/>
    </xf>
    <xf numFmtId="0" fontId="57" fillId="34" borderId="45" xfId="1" applyFont="1" applyFill="1" applyBorder="1" applyAlignment="1">
      <alignment horizontal="center" vertical="center"/>
    </xf>
    <xf numFmtId="0" fontId="46" fillId="0" borderId="38" xfId="1" applyFont="1" applyBorder="1" applyAlignment="1">
      <alignment vertical="center" wrapText="1"/>
    </xf>
    <xf numFmtId="0" fontId="46" fillId="0" borderId="38" xfId="0" applyFont="1" applyBorder="1" applyAlignment="1">
      <alignment horizontal="center" vertical="center"/>
    </xf>
    <xf numFmtId="0" fontId="46" fillId="0" borderId="78" xfId="1" applyFont="1" applyBorder="1" applyAlignment="1">
      <alignment vertical="center"/>
    </xf>
    <xf numFmtId="0" fontId="46" fillId="0" borderId="78" xfId="1" applyFont="1" applyBorder="1" applyAlignment="1">
      <alignment vertical="center" wrapText="1"/>
    </xf>
    <xf numFmtId="0" fontId="46" fillId="0" borderId="78" xfId="0" applyFont="1" applyBorder="1" applyAlignment="1">
      <alignment horizontal="center" vertical="center"/>
    </xf>
    <xf numFmtId="0" fontId="56" fillId="0" borderId="0" xfId="0" applyFont="1"/>
    <xf numFmtId="0" fontId="61" fillId="0" borderId="0" xfId="1" applyFont="1"/>
    <xf numFmtId="0" fontId="46" fillId="0" borderId="0" xfId="1" applyFont="1" applyProtection="1">
      <protection locked="0"/>
    </xf>
    <xf numFmtId="0" fontId="55" fillId="0" borderId="0" xfId="1" applyFont="1" applyAlignment="1" applyProtection="1">
      <alignment vertical="center"/>
      <protection locked="0"/>
    </xf>
    <xf numFmtId="0" fontId="55" fillId="0" borderId="0" xfId="1" applyFont="1" applyAlignment="1" applyProtection="1">
      <alignment vertical="center" wrapText="1"/>
      <protection locked="0"/>
    </xf>
    <xf numFmtId="0" fontId="46" fillId="0" borderId="0" xfId="0" applyFont="1" applyProtection="1">
      <protection locked="0"/>
    </xf>
    <xf numFmtId="0" fontId="46" fillId="6" borderId="0" xfId="1" applyFont="1" applyFill="1" applyAlignment="1">
      <alignment wrapText="1"/>
    </xf>
    <xf numFmtId="167" fontId="56" fillId="0" borderId="0" xfId="4" applyNumberFormat="1" applyFont="1" applyAlignment="1"/>
    <xf numFmtId="167" fontId="46" fillId="0" borderId="0" xfId="4" applyNumberFormat="1" applyFont="1" applyAlignment="1">
      <alignment wrapText="1"/>
    </xf>
    <xf numFmtId="167" fontId="62" fillId="0" borderId="0" xfId="9" applyNumberFormat="1" applyFont="1" applyAlignment="1">
      <alignment wrapText="1"/>
    </xf>
    <xf numFmtId="0" fontId="63" fillId="0" borderId="0" xfId="1" applyFont="1" applyAlignment="1">
      <alignment horizontal="center" vertical="center" wrapText="1"/>
    </xf>
    <xf numFmtId="0" fontId="53" fillId="15" borderId="0" xfId="5" applyNumberFormat="1" applyFont="1" applyFill="1" applyBorder="1" applyAlignment="1">
      <alignment horizontal="center" vertical="center" wrapText="1"/>
    </xf>
    <xf numFmtId="0" fontId="53" fillId="15" borderId="22" xfId="5" applyNumberFormat="1" applyFont="1" applyFill="1" applyBorder="1" applyAlignment="1">
      <alignment horizontal="center" vertical="center" wrapText="1"/>
    </xf>
    <xf numFmtId="0" fontId="56" fillId="0" borderId="0" xfId="1" applyFont="1" applyAlignment="1" applyProtection="1">
      <alignment horizontal="center" vertical="center" wrapText="1"/>
      <protection hidden="1"/>
    </xf>
    <xf numFmtId="0" fontId="46" fillId="5" borderId="25" xfId="3" quotePrefix="1" applyFont="1" applyFill="1" applyBorder="1" applyAlignment="1" applyProtection="1">
      <alignment horizontal="left" vertical="center"/>
      <protection hidden="1"/>
    </xf>
    <xf numFmtId="165" fontId="46" fillId="5" borderId="26" xfId="4" applyFont="1" applyFill="1" applyBorder="1" applyAlignment="1" applyProtection="1">
      <alignment vertical="center"/>
      <protection hidden="1"/>
    </xf>
    <xf numFmtId="165" fontId="46" fillId="0" borderId="26" xfId="4" applyFont="1" applyFill="1" applyBorder="1" applyAlignment="1" applyProtection="1">
      <alignment vertical="center"/>
      <protection locked="0"/>
    </xf>
    <xf numFmtId="165" fontId="46" fillId="5" borderId="26" xfId="4" applyFont="1" applyFill="1" applyBorder="1" applyAlignment="1" applyProtection="1">
      <alignment horizontal="left" vertical="center"/>
      <protection hidden="1"/>
    </xf>
    <xf numFmtId="0" fontId="46" fillId="5" borderId="26" xfId="4" applyNumberFormat="1" applyFont="1" applyFill="1" applyBorder="1" applyAlignment="1" applyProtection="1">
      <alignment horizontal="left" vertical="center"/>
      <protection hidden="1"/>
    </xf>
    <xf numFmtId="164" fontId="46" fillId="5" borderId="26" xfId="7" applyFont="1" applyFill="1" applyBorder="1" applyAlignment="1" applyProtection="1">
      <alignment vertical="center"/>
      <protection hidden="1"/>
    </xf>
    <xf numFmtId="164" fontId="46" fillId="0" borderId="26" xfId="7" applyFont="1" applyFill="1" applyBorder="1" applyAlignment="1" applyProtection="1">
      <alignment vertical="center"/>
      <protection locked="0"/>
    </xf>
    <xf numFmtId="167" fontId="46" fillId="6" borderId="26" xfId="5" applyNumberFormat="1" applyFont="1" applyFill="1" applyBorder="1" applyAlignment="1" applyProtection="1">
      <alignment horizontal="left" vertical="center" wrapText="1"/>
      <protection locked="0"/>
    </xf>
    <xf numFmtId="167" fontId="46" fillId="0" borderId="26" xfId="4" applyNumberFormat="1" applyFont="1" applyFill="1" applyBorder="1" applyAlignment="1" applyProtection="1">
      <alignment horizontal="left" vertical="center" wrapText="1"/>
      <protection locked="0"/>
    </xf>
    <xf numFmtId="167" fontId="51" fillId="5" borderId="36" xfId="4" applyNumberFormat="1" applyFont="1" applyFill="1" applyBorder="1" applyAlignment="1" applyProtection="1">
      <alignment horizontal="left" vertical="center" wrapText="1"/>
      <protection hidden="1"/>
    </xf>
    <xf numFmtId="167" fontId="51" fillId="6" borderId="27" xfId="4" applyNumberFormat="1" applyFont="1" applyFill="1" applyBorder="1" applyAlignment="1" applyProtection="1">
      <alignment horizontal="left" vertical="center" wrapText="1"/>
      <protection hidden="1"/>
    </xf>
    <xf numFmtId="167" fontId="63" fillId="0" borderId="0" xfId="9" applyNumberFormat="1" applyFont="1" applyFill="1" applyAlignment="1">
      <alignment vertical="center"/>
    </xf>
    <xf numFmtId="167" fontId="46" fillId="0" borderId="27" xfId="5" quotePrefix="1" applyNumberFormat="1" applyFont="1" applyFill="1" applyBorder="1" applyAlignment="1" applyProtection="1">
      <alignment horizontal="left" vertical="center" wrapText="1"/>
      <protection locked="0"/>
    </xf>
    <xf numFmtId="167" fontId="46" fillId="7" borderId="26" xfId="5" quotePrefix="1" applyNumberFormat="1" applyFont="1" applyFill="1" applyBorder="1" applyAlignment="1" applyProtection="1">
      <alignment horizontal="left" vertical="center" wrapText="1"/>
      <protection hidden="1"/>
    </xf>
    <xf numFmtId="167" fontId="46" fillId="7" borderId="27" xfId="5" quotePrefix="1" applyNumberFormat="1" applyFont="1" applyFill="1" applyBorder="1" applyAlignment="1" applyProtection="1">
      <alignment horizontal="left" vertical="center" wrapText="1"/>
      <protection hidden="1"/>
    </xf>
    <xf numFmtId="0" fontId="51" fillId="0" borderId="0" xfId="1" applyFont="1" applyAlignment="1" applyProtection="1">
      <alignment vertical="center"/>
      <protection hidden="1"/>
    </xf>
    <xf numFmtId="0" fontId="63" fillId="0" borderId="0" xfId="0" applyFont="1"/>
    <xf numFmtId="0" fontId="64" fillId="0" borderId="0" xfId="0" applyFont="1"/>
    <xf numFmtId="0" fontId="64" fillId="0" borderId="0" xfId="0" applyFont="1" applyAlignment="1">
      <alignment horizontal="center"/>
    </xf>
    <xf numFmtId="0" fontId="46" fillId="0" borderId="0" xfId="0" applyFont="1" applyAlignment="1">
      <alignment vertical="center"/>
    </xf>
    <xf numFmtId="0" fontId="56" fillId="17" borderId="6" xfId="0" applyFont="1" applyFill="1" applyBorder="1" applyAlignment="1">
      <alignment horizontal="center" vertical="center"/>
    </xf>
    <xf numFmtId="0" fontId="56" fillId="17" borderId="33" xfId="0" applyFont="1" applyFill="1" applyBorder="1" applyAlignment="1">
      <alignment horizontal="center" vertical="center"/>
    </xf>
    <xf numFmtId="0" fontId="56" fillId="17" borderId="43" xfId="0" applyFont="1" applyFill="1" applyBorder="1" applyAlignment="1">
      <alignment horizontal="center" vertical="center"/>
    </xf>
    <xf numFmtId="0" fontId="53" fillId="0" borderId="0" xfId="0" applyFont="1"/>
    <xf numFmtId="0" fontId="63" fillId="0" borderId="0" xfId="0" applyFont="1" applyAlignment="1">
      <alignment vertical="center"/>
    </xf>
    <xf numFmtId="0" fontId="46" fillId="5" borderId="29" xfId="0" applyFont="1" applyFill="1" applyBorder="1" applyAlignment="1">
      <alignment vertical="center"/>
    </xf>
    <xf numFmtId="0" fontId="46" fillId="5" borderId="0" xfId="0" applyFont="1" applyFill="1" applyAlignment="1">
      <alignment vertical="center"/>
    </xf>
    <xf numFmtId="0" fontId="46" fillId="5" borderId="0" xfId="0" applyFont="1" applyFill="1" applyAlignment="1">
      <alignment horizontal="left" vertical="center"/>
    </xf>
    <xf numFmtId="0" fontId="51" fillId="0" borderId="0" xfId="0" applyFont="1" applyAlignment="1">
      <alignment vertical="center"/>
    </xf>
    <xf numFmtId="0" fontId="46" fillId="5" borderId="29" xfId="0" applyFont="1" applyFill="1" applyBorder="1"/>
    <xf numFmtId="0" fontId="46" fillId="5" borderId="0" xfId="0" applyFont="1" applyFill="1"/>
    <xf numFmtId="0" fontId="46" fillId="5" borderId="0" xfId="0" applyFont="1" applyFill="1" applyAlignment="1">
      <alignment vertical="top"/>
    </xf>
    <xf numFmtId="0" fontId="46" fillId="5" borderId="31" xfId="0" applyFont="1" applyFill="1" applyBorder="1"/>
    <xf numFmtId="0" fontId="46" fillId="5" borderId="1" xfId="0" applyFont="1" applyFill="1" applyBorder="1"/>
    <xf numFmtId="0" fontId="56" fillId="17" borderId="74" xfId="0" applyFont="1" applyFill="1" applyBorder="1" applyAlignment="1">
      <alignment horizontal="center" vertical="top"/>
    </xf>
    <xf numFmtId="0" fontId="56" fillId="17" borderId="33" xfId="0" applyFont="1" applyFill="1" applyBorder="1" applyAlignment="1">
      <alignment horizontal="center" vertical="top"/>
    </xf>
    <xf numFmtId="0" fontId="46" fillId="0" borderId="29" xfId="0" applyFont="1" applyBorder="1" applyProtection="1">
      <protection locked="0"/>
    </xf>
    <xf numFmtId="0" fontId="46" fillId="8" borderId="19" xfId="0" applyFont="1" applyFill="1" applyBorder="1" applyProtection="1">
      <protection locked="0"/>
    </xf>
    <xf numFmtId="0" fontId="46" fillId="0" borderId="37" xfId="3" applyFont="1" applyBorder="1" applyAlignment="1" applyProtection="1">
      <alignment horizontal="left" vertical="center" wrapText="1"/>
      <protection locked="0"/>
    </xf>
    <xf numFmtId="0" fontId="46" fillId="8" borderId="19" xfId="0" applyFont="1" applyFill="1" applyBorder="1" applyAlignment="1" applyProtection="1">
      <alignment horizontal="left"/>
      <protection locked="0"/>
    </xf>
    <xf numFmtId="0" fontId="46" fillId="0" borderId="19" xfId="0" applyFont="1" applyBorder="1"/>
    <xf numFmtId="0" fontId="46" fillId="8" borderId="28" xfId="0" applyFont="1" applyFill="1" applyBorder="1" applyAlignment="1">
      <alignment horizontal="center"/>
    </xf>
    <xf numFmtId="0" fontId="46" fillId="8" borderId="0" xfId="0" applyFont="1" applyFill="1" applyProtection="1">
      <protection locked="0"/>
    </xf>
    <xf numFmtId="0" fontId="46" fillId="0" borderId="59" xfId="3" applyFont="1" applyBorder="1" applyAlignment="1" applyProtection="1">
      <alignment horizontal="left" vertical="center" wrapText="1"/>
      <protection locked="0"/>
    </xf>
    <xf numFmtId="0" fontId="46" fillId="8" borderId="0" xfId="0" applyFont="1" applyFill="1" applyAlignment="1" applyProtection="1">
      <alignment horizontal="left"/>
      <protection locked="0"/>
    </xf>
    <xf numFmtId="0" fontId="46" fillId="0" borderId="31" xfId="0" applyFont="1" applyBorder="1" applyProtection="1">
      <protection locked="0"/>
    </xf>
    <xf numFmtId="0" fontId="46" fillId="0" borderId="1" xfId="0" applyFont="1" applyBorder="1" applyProtection="1">
      <protection locked="0"/>
    </xf>
    <xf numFmtId="0" fontId="46" fillId="8" borderId="1" xfId="0" applyFont="1" applyFill="1" applyBorder="1" applyProtection="1">
      <protection locked="0"/>
    </xf>
    <xf numFmtId="0" fontId="46" fillId="0" borderId="81" xfId="3" applyFont="1" applyBorder="1" applyAlignment="1" applyProtection="1">
      <alignment horizontal="left" vertical="center" wrapText="1"/>
      <protection locked="0"/>
    </xf>
    <xf numFmtId="0" fontId="46" fillId="8" borderId="1" xfId="0" applyFont="1" applyFill="1" applyBorder="1" applyAlignment="1" applyProtection="1">
      <alignment horizontal="left"/>
      <protection locked="0"/>
    </xf>
    <xf numFmtId="0" fontId="46" fillId="0" borderId="1" xfId="0" applyFont="1" applyBorder="1"/>
    <xf numFmtId="0" fontId="46" fillId="8" borderId="34" xfId="0" applyFont="1" applyFill="1" applyBorder="1" applyAlignment="1">
      <alignment horizontal="center"/>
    </xf>
    <xf numFmtId="0" fontId="46" fillId="0" borderId="0" xfId="3" applyFont="1" applyAlignment="1" applyProtection="1">
      <alignment horizontal="left" vertical="center" wrapText="1"/>
      <protection locked="0"/>
    </xf>
    <xf numFmtId="0" fontId="46" fillId="0" borderId="1" xfId="3" applyFont="1" applyBorder="1" applyAlignment="1" applyProtection="1">
      <alignment horizontal="left" vertical="center" wrapText="1"/>
      <protection locked="0"/>
    </xf>
    <xf numFmtId="0" fontId="56" fillId="0" borderId="0" xfId="0" applyFont="1" applyAlignment="1">
      <alignment horizontal="center" wrapText="1"/>
    </xf>
    <xf numFmtId="16" fontId="46" fillId="0" borderId="0" xfId="0" quotePrefix="1" applyNumberFormat="1" applyFont="1"/>
    <xf numFmtId="0" fontId="46" fillId="0" borderId="0" xfId="1" applyFont="1" applyAlignment="1">
      <alignment horizontal="center" wrapText="1"/>
    </xf>
    <xf numFmtId="0" fontId="46" fillId="0" borderId="0" xfId="1" applyFont="1" applyAlignment="1">
      <alignment horizontal="left" wrapText="1"/>
    </xf>
    <xf numFmtId="0" fontId="46" fillId="0" borderId="0" xfId="1" applyFont="1" applyAlignment="1" applyProtection="1">
      <alignment horizontal="left" wrapText="1"/>
      <protection locked="0"/>
    </xf>
    <xf numFmtId="0" fontId="46" fillId="0" borderId="0" xfId="1" applyFont="1" applyAlignment="1">
      <alignment wrapText="1"/>
    </xf>
    <xf numFmtId="167" fontId="46" fillId="0" borderId="0" xfId="4" applyNumberFormat="1" applyFont="1" applyAlignment="1"/>
    <xf numFmtId="167" fontId="46" fillId="6" borderId="0" xfId="4" applyNumberFormat="1" applyFont="1" applyFill="1" applyBorder="1" applyAlignment="1">
      <alignment wrapText="1"/>
    </xf>
    <xf numFmtId="0" fontId="46" fillId="0" borderId="0" xfId="1" applyFont="1" applyAlignment="1">
      <alignment horizontal="left" vertical="top" wrapText="1"/>
    </xf>
    <xf numFmtId="0" fontId="46" fillId="0" borderId="0" xfId="1" applyFont="1" applyAlignment="1" applyProtection="1">
      <alignment horizontal="left" vertical="top" wrapText="1"/>
      <protection locked="0"/>
    </xf>
    <xf numFmtId="0" fontId="62" fillId="0" borderId="0" xfId="1" applyFont="1" applyAlignment="1">
      <alignment horizontal="left"/>
    </xf>
    <xf numFmtId="0" fontId="46" fillId="5" borderId="26" xfId="3" applyFont="1" applyFill="1" applyBorder="1" applyAlignment="1" applyProtection="1">
      <alignment horizontal="center" vertical="center" wrapText="1"/>
      <protection hidden="1"/>
    </xf>
    <xf numFmtId="165" fontId="46" fillId="5" borderId="26" xfId="9" applyFont="1" applyFill="1" applyBorder="1" applyAlignment="1" applyProtection="1">
      <alignment horizontal="left" vertical="center" wrapText="1"/>
      <protection hidden="1"/>
    </xf>
    <xf numFmtId="0" fontId="46" fillId="0" borderId="26" xfId="3" applyFont="1" applyBorder="1" applyAlignment="1" applyProtection="1">
      <alignment horizontal="left" vertical="center" wrapText="1"/>
      <protection locked="0"/>
    </xf>
    <xf numFmtId="0" fontId="46" fillId="0" borderId="26" xfId="3" applyFont="1" applyBorder="1" applyAlignment="1" applyProtection="1">
      <alignment horizontal="center" vertical="center" wrapText="1"/>
      <protection locked="0"/>
    </xf>
    <xf numFmtId="0" fontId="46" fillId="5" borderId="26" xfId="9" applyNumberFormat="1" applyFont="1" applyFill="1" applyBorder="1" applyAlignment="1" applyProtection="1">
      <alignment horizontal="left" vertical="center" wrapText="1"/>
      <protection hidden="1"/>
    </xf>
    <xf numFmtId="165" fontId="46" fillId="5" borderId="37" xfId="9" applyFont="1" applyFill="1" applyBorder="1" applyAlignment="1" applyProtection="1">
      <alignment horizontal="left" vertical="center" wrapText="1"/>
      <protection hidden="1"/>
    </xf>
    <xf numFmtId="0" fontId="46" fillId="5" borderId="37" xfId="9" applyNumberFormat="1" applyFont="1" applyFill="1" applyBorder="1" applyAlignment="1" applyProtection="1">
      <alignment horizontal="left" vertical="center" wrapText="1"/>
      <protection hidden="1"/>
    </xf>
    <xf numFmtId="0" fontId="46" fillId="0" borderId="37" xfId="3" quotePrefix="1" applyFont="1" applyBorder="1" applyAlignment="1" applyProtection="1">
      <alignment horizontal="center" vertical="center" wrapText="1"/>
      <protection locked="0"/>
    </xf>
    <xf numFmtId="0" fontId="56" fillId="5" borderId="0" xfId="0" quotePrefix="1" applyFont="1" applyFill="1" applyAlignment="1">
      <alignment horizontal="center" vertical="center"/>
    </xf>
    <xf numFmtId="0" fontId="46" fillId="0" borderId="27" xfId="3" applyFont="1" applyBorder="1" applyAlignment="1" applyProtection="1">
      <alignment horizontal="left" vertical="center" wrapText="1"/>
      <protection locked="0"/>
    </xf>
    <xf numFmtId="167" fontId="51" fillId="5" borderId="46" xfId="4" applyNumberFormat="1" applyFont="1" applyFill="1" applyBorder="1" applyAlignment="1" applyProtection="1">
      <alignment horizontal="left" vertical="center" wrapText="1"/>
      <protection hidden="1"/>
    </xf>
    <xf numFmtId="167" fontId="46" fillId="6" borderId="59" xfId="5" applyNumberFormat="1" applyFont="1" applyFill="1" applyBorder="1" applyAlignment="1" applyProtection="1">
      <alignment horizontal="left" vertical="center" wrapText="1"/>
      <protection locked="0"/>
    </xf>
    <xf numFmtId="167" fontId="51" fillId="6" borderId="83" xfId="4" applyNumberFormat="1" applyFont="1" applyFill="1" applyBorder="1" applyAlignment="1" applyProtection="1">
      <alignment horizontal="left" vertical="center" wrapText="1"/>
      <protection hidden="1"/>
    </xf>
    <xf numFmtId="167" fontId="46" fillId="0" borderId="0" xfId="4" applyNumberFormat="1" applyFont="1" applyFill="1" applyAlignment="1">
      <alignment horizontal="left" vertical="center" wrapText="1"/>
    </xf>
    <xf numFmtId="167" fontId="46" fillId="0" borderId="26" xfId="5" quotePrefix="1" applyNumberFormat="1" applyFont="1" applyFill="1" applyBorder="1" applyAlignment="1" applyProtection="1">
      <alignment horizontal="left" vertical="center" wrapText="1"/>
      <protection locked="0"/>
    </xf>
    <xf numFmtId="168" fontId="46" fillId="0" borderId="26" xfId="5" quotePrefix="1" applyNumberFormat="1" applyFont="1" applyFill="1" applyBorder="1" applyAlignment="1" applyProtection="1">
      <alignment horizontal="left" vertical="center" wrapText="1"/>
      <protection locked="0"/>
    </xf>
    <xf numFmtId="167" fontId="46" fillId="0" borderId="26" xfId="5" applyNumberFormat="1" applyFont="1" applyFill="1" applyBorder="1" applyAlignment="1" applyProtection="1">
      <alignment horizontal="left" vertical="center" wrapText="1"/>
      <protection locked="0"/>
    </xf>
    <xf numFmtId="0" fontId="46" fillId="0" borderId="0" xfId="1" applyFont="1" applyAlignment="1">
      <alignment horizontal="left" vertical="center" wrapText="1"/>
    </xf>
    <xf numFmtId="167" fontId="51" fillId="5" borderId="26" xfId="4" applyNumberFormat="1" applyFont="1" applyFill="1" applyBorder="1" applyAlignment="1" applyProtection="1">
      <alignment horizontal="left" vertical="center" wrapText="1"/>
      <protection hidden="1"/>
    </xf>
    <xf numFmtId="167" fontId="46" fillId="0" borderId="26" xfId="4" applyNumberFormat="1" applyFont="1" applyFill="1" applyBorder="1" applyAlignment="1" applyProtection="1">
      <alignment vertical="center" wrapText="1"/>
      <protection locked="0"/>
    </xf>
    <xf numFmtId="0" fontId="46" fillId="0" borderId="26" xfId="3" applyFont="1" applyBorder="1" applyAlignment="1" applyProtection="1">
      <alignment horizontal="left" wrapText="1"/>
      <protection locked="0"/>
    </xf>
    <xf numFmtId="0" fontId="46" fillId="0" borderId="27" xfId="3" applyFont="1" applyBorder="1" applyAlignment="1" applyProtection="1">
      <alignment horizontal="left" wrapText="1"/>
      <protection locked="0"/>
    </xf>
    <xf numFmtId="0" fontId="46" fillId="0" borderId="0" xfId="1" applyFont="1" applyAlignment="1" applyProtection="1">
      <alignment horizontal="center" wrapText="1"/>
      <protection locked="0"/>
    </xf>
    <xf numFmtId="167" fontId="46" fillId="0" borderId="0" xfId="4" applyNumberFormat="1" applyFont="1" applyBorder="1" applyAlignment="1">
      <alignment wrapText="1"/>
    </xf>
    <xf numFmtId="0" fontId="46" fillId="34" borderId="82" xfId="1" applyFont="1" applyFill="1" applyBorder="1" applyAlignment="1">
      <alignment horizontal="center" wrapText="1"/>
    </xf>
    <xf numFmtId="0" fontId="46" fillId="34" borderId="59" xfId="1" applyFont="1" applyFill="1" applyBorder="1" applyAlignment="1">
      <alignment horizontal="center" wrapText="1"/>
    </xf>
    <xf numFmtId="0" fontId="46" fillId="34" borderId="59" xfId="1" applyFont="1" applyFill="1" applyBorder="1" applyAlignment="1">
      <alignment horizontal="left" wrapText="1"/>
    </xf>
    <xf numFmtId="0" fontId="46" fillId="34" borderId="83" xfId="1" applyFont="1" applyFill="1" applyBorder="1" applyAlignment="1">
      <alignment horizontal="left" wrapText="1"/>
    </xf>
    <xf numFmtId="0" fontId="46" fillId="34" borderId="82" xfId="1" applyFont="1" applyFill="1" applyBorder="1" applyAlignment="1">
      <alignment horizontal="left" wrapText="1"/>
    </xf>
    <xf numFmtId="0" fontId="46" fillId="34" borderId="59" xfId="1" applyFont="1" applyFill="1" applyBorder="1" applyAlignment="1" applyProtection="1">
      <alignment horizontal="left" wrapText="1"/>
      <protection locked="0"/>
    </xf>
    <xf numFmtId="0" fontId="46" fillId="34" borderId="59" xfId="1" applyFont="1" applyFill="1" applyBorder="1" applyAlignment="1">
      <alignment wrapText="1"/>
    </xf>
    <xf numFmtId="167" fontId="57" fillId="34" borderId="25" xfId="4" applyNumberFormat="1" applyFont="1" applyFill="1" applyBorder="1" applyAlignment="1">
      <alignment horizontal="centerContinuous"/>
    </xf>
    <xf numFmtId="167" fontId="64" fillId="34" borderId="25" xfId="4" applyNumberFormat="1" applyFont="1" applyFill="1" applyBorder="1" applyAlignment="1">
      <alignment horizontal="centerContinuous" wrapText="1"/>
    </xf>
    <xf numFmtId="167" fontId="46" fillId="6" borderId="59" xfId="4" applyNumberFormat="1" applyFont="1" applyFill="1" applyBorder="1" applyAlignment="1">
      <alignment wrapText="1"/>
    </xf>
    <xf numFmtId="167" fontId="64" fillId="34" borderId="84" xfId="4" applyNumberFormat="1" applyFont="1" applyFill="1" applyBorder="1" applyAlignment="1">
      <alignment horizontal="centerContinuous" wrapText="1"/>
    </xf>
    <xf numFmtId="0" fontId="57" fillId="34" borderId="85" xfId="0" applyFont="1" applyFill="1" applyBorder="1" applyAlignment="1">
      <alignment horizontal="center" vertical="center" wrapText="1"/>
    </xf>
    <xf numFmtId="0" fontId="57" fillId="34" borderId="25" xfId="0" applyFont="1" applyFill="1" applyBorder="1" applyAlignment="1">
      <alignment horizontal="center" vertical="center" wrapText="1"/>
    </xf>
    <xf numFmtId="0" fontId="57" fillId="34" borderId="25" xfId="0" applyFont="1" applyFill="1" applyBorder="1" applyAlignment="1" applyProtection="1">
      <alignment horizontal="center" vertical="center" wrapText="1"/>
      <protection locked="0"/>
    </xf>
    <xf numFmtId="0" fontId="57" fillId="34" borderId="26" xfId="0" applyFont="1" applyFill="1" applyBorder="1" applyAlignment="1">
      <alignment horizontal="center" vertical="center" wrapText="1"/>
    </xf>
    <xf numFmtId="167" fontId="46" fillId="6" borderId="59" xfId="4" applyNumberFormat="1" applyFont="1" applyFill="1" applyBorder="1" applyAlignment="1">
      <alignment horizontal="center" vertical="center" wrapText="1"/>
    </xf>
    <xf numFmtId="0" fontId="53" fillId="15" borderId="47" xfId="5" applyNumberFormat="1" applyFont="1" applyFill="1" applyBorder="1" applyAlignment="1">
      <alignment horizontal="center" vertical="center" wrapText="1"/>
    </xf>
    <xf numFmtId="0" fontId="53" fillId="15" borderId="47" xfId="5" applyNumberFormat="1" applyFont="1" applyFill="1" applyBorder="1" applyAlignment="1" applyProtection="1">
      <alignment horizontal="center" vertical="center" wrapText="1"/>
      <protection locked="0"/>
    </xf>
    <xf numFmtId="0" fontId="46" fillId="0" borderId="0" xfId="1" applyFont="1" applyAlignment="1">
      <alignment horizontal="center" vertical="center" wrapText="1"/>
    </xf>
    <xf numFmtId="0" fontId="57" fillId="21" borderId="17" xfId="0" applyFont="1" applyFill="1" applyBorder="1" applyAlignment="1">
      <alignment horizontal="center" vertical="center" wrapText="1"/>
    </xf>
    <xf numFmtId="0" fontId="57" fillId="34" borderId="2" xfId="0" applyFont="1" applyFill="1" applyBorder="1" applyAlignment="1">
      <alignment horizontal="center" vertical="center" wrapText="1"/>
    </xf>
    <xf numFmtId="0" fontId="57" fillId="34" borderId="2" xfId="0" applyFont="1" applyFill="1" applyBorder="1" applyAlignment="1" applyProtection="1">
      <alignment horizontal="center" vertical="center" wrapText="1"/>
      <protection locked="0"/>
    </xf>
    <xf numFmtId="167" fontId="57" fillId="22" borderId="86" xfId="4" applyNumberFormat="1" applyFont="1" applyFill="1" applyBorder="1" applyAlignment="1" applyProtection="1">
      <alignment horizontal="center" vertical="center" wrapText="1"/>
    </xf>
    <xf numFmtId="167" fontId="57" fillId="22" borderId="33" xfId="4" applyNumberFormat="1" applyFont="1" applyFill="1" applyBorder="1" applyAlignment="1" applyProtection="1">
      <alignment horizontal="center" vertical="center" wrapText="1"/>
    </xf>
    <xf numFmtId="0" fontId="53" fillId="6" borderId="33" xfId="5" applyNumberFormat="1" applyFont="1" applyFill="1" applyBorder="1" applyAlignment="1" applyProtection="1">
      <alignment horizontal="center" vertical="center" wrapText="1"/>
      <protection locked="0"/>
    </xf>
    <xf numFmtId="0" fontId="57" fillId="6" borderId="2" xfId="0" applyFont="1" applyFill="1" applyBorder="1" applyAlignment="1">
      <alignment horizontal="center" vertical="center" wrapText="1"/>
    </xf>
    <xf numFmtId="0" fontId="57" fillId="0" borderId="0" xfId="1" applyFont="1" applyAlignment="1" applyProtection="1">
      <alignment horizontal="center" vertical="center" wrapText="1"/>
      <protection hidden="1"/>
    </xf>
    <xf numFmtId="0" fontId="46" fillId="36" borderId="2" xfId="0" applyFont="1" applyFill="1" applyBorder="1"/>
    <xf numFmtId="0" fontId="65" fillId="0" borderId="0" xfId="11" quotePrefix="1" applyFont="1"/>
    <xf numFmtId="0" fontId="65" fillId="8" borderId="0" xfId="11" applyFont="1" applyFill="1" applyAlignment="1">
      <alignment horizontal="center" vertical="center"/>
    </xf>
    <xf numFmtId="0" fontId="46" fillId="5" borderId="0" xfId="1" applyFont="1" applyFill="1"/>
    <xf numFmtId="0" fontId="56" fillId="5" borderId="0" xfId="1" applyFont="1" applyFill="1" applyAlignment="1">
      <alignment horizontal="left" vertical="center"/>
    </xf>
    <xf numFmtId="0" fontId="65" fillId="5" borderId="0" xfId="2" applyFont="1" applyFill="1" applyAlignment="1">
      <alignment horizontal="center" vertical="center"/>
    </xf>
    <xf numFmtId="0" fontId="46" fillId="0" borderId="0" xfId="1" applyFont="1" applyAlignment="1">
      <alignment horizontal="center" vertical="center"/>
    </xf>
    <xf numFmtId="0" fontId="53" fillId="16" borderId="0" xfId="1" applyFont="1" applyFill="1" applyAlignment="1">
      <alignment horizontal="left" vertical="center"/>
    </xf>
    <xf numFmtId="0" fontId="65" fillId="16" borderId="0" xfId="2" applyFont="1" applyFill="1" applyAlignment="1">
      <alignment horizontal="center" vertical="center"/>
    </xf>
    <xf numFmtId="0" fontId="51" fillId="16" borderId="0" xfId="1" applyFont="1" applyFill="1"/>
    <xf numFmtId="0" fontId="51" fillId="8" borderId="0" xfId="1" applyFont="1" applyFill="1"/>
    <xf numFmtId="0" fontId="53" fillId="8" borderId="0" xfId="1" applyFont="1" applyFill="1" applyAlignment="1">
      <alignment horizontal="left" vertical="center"/>
    </xf>
    <xf numFmtId="0" fontId="1" fillId="0" borderId="0" xfId="0" applyFont="1" applyAlignment="1">
      <alignment vertical="center"/>
    </xf>
    <xf numFmtId="0" fontId="65" fillId="0" borderId="0" xfId="11" applyFont="1"/>
    <xf numFmtId="0" fontId="65" fillId="5" borderId="0" xfId="11" applyFont="1" applyFill="1" applyAlignment="1" applyProtection="1">
      <alignment horizontal="center" vertical="center"/>
    </xf>
    <xf numFmtId="0" fontId="66" fillId="0" borderId="1" xfId="1" applyFont="1" applyBorder="1"/>
    <xf numFmtId="0" fontId="57" fillId="34" borderId="0" xfId="1" applyFont="1" applyFill="1" applyAlignment="1">
      <alignment horizontal="centerContinuous"/>
    </xf>
    <xf numFmtId="0" fontId="57" fillId="37" borderId="2" xfId="3" applyFont="1" applyFill="1" applyBorder="1" applyAlignment="1">
      <alignment vertical="top" wrapText="1"/>
    </xf>
    <xf numFmtId="0" fontId="46" fillId="37" borderId="2" xfId="3" applyFont="1" applyFill="1" applyBorder="1" applyAlignment="1" applyProtection="1">
      <alignment vertical="top" wrapText="1"/>
      <protection locked="0"/>
    </xf>
    <xf numFmtId="1" fontId="57" fillId="38" borderId="2" xfId="4" applyNumberFormat="1" applyFont="1" applyFill="1" applyBorder="1" applyAlignment="1" applyProtection="1">
      <alignment vertical="top" wrapText="1"/>
    </xf>
    <xf numFmtId="0" fontId="46" fillId="0" borderId="17" xfId="1" applyFont="1" applyBorder="1" applyAlignment="1">
      <alignment horizontal="right" vertical="center"/>
    </xf>
    <xf numFmtId="0" fontId="46" fillId="0" borderId="87" xfId="1" applyFont="1" applyBorder="1" applyAlignment="1">
      <alignment vertical="center" wrapText="1"/>
    </xf>
    <xf numFmtId="0" fontId="46" fillId="0" borderId="88" xfId="1" applyFont="1" applyBorder="1" applyAlignment="1">
      <alignment vertical="center" wrapText="1"/>
    </xf>
    <xf numFmtId="0" fontId="46" fillId="0" borderId="89" xfId="1" applyFont="1" applyBorder="1" applyAlignment="1">
      <alignment vertical="center" wrapText="1"/>
    </xf>
    <xf numFmtId="0" fontId="46" fillId="0" borderId="90" xfId="0" applyFont="1" applyBorder="1"/>
    <xf numFmtId="0" fontId="46" fillId="0" borderId="91" xfId="0" applyFont="1" applyBorder="1"/>
    <xf numFmtId="0" fontId="46" fillId="0" borderId="92" xfId="0" applyFont="1" applyBorder="1"/>
    <xf numFmtId="0" fontId="56" fillId="0" borderId="93" xfId="1" applyFont="1" applyBorder="1" applyAlignment="1" applyProtection="1">
      <alignment horizontal="left"/>
      <protection locked="0"/>
    </xf>
    <xf numFmtId="0" fontId="62" fillId="0" borderId="0" xfId="0" applyFont="1"/>
    <xf numFmtId="0" fontId="46" fillId="0" borderId="0" xfId="1" applyFont="1" applyProtection="1">
      <protection locked="0" hidden="1"/>
    </xf>
    <xf numFmtId="0" fontId="51" fillId="0" borderId="44" xfId="1" applyFont="1" applyBorder="1" applyAlignment="1" applyProtection="1">
      <alignment horizontal="center" vertical="center" wrapText="1"/>
      <protection locked="0" hidden="1"/>
    </xf>
    <xf numFmtId="0" fontId="46" fillId="0" borderId="101" xfId="1" applyFont="1" applyBorder="1" applyProtection="1">
      <protection locked="0" hidden="1"/>
    </xf>
    <xf numFmtId="0" fontId="46" fillId="0" borderId="102" xfId="1" applyFont="1" applyBorder="1" applyProtection="1">
      <protection locked="0" hidden="1"/>
    </xf>
    <xf numFmtId="0" fontId="46" fillId="0" borderId="103" xfId="1" applyFont="1" applyBorder="1" applyProtection="1">
      <protection locked="0" hidden="1"/>
    </xf>
    <xf numFmtId="0" fontId="46" fillId="0" borderId="104" xfId="1" applyFont="1" applyBorder="1" applyProtection="1">
      <protection locked="0" hidden="1"/>
    </xf>
    <xf numFmtId="0" fontId="46" fillId="0" borderId="105" xfId="1" applyFont="1" applyBorder="1" applyProtection="1">
      <protection locked="0" hidden="1"/>
    </xf>
    <xf numFmtId="0" fontId="46" fillId="0" borderId="106" xfId="1" applyFont="1" applyBorder="1" applyProtection="1">
      <protection locked="0" hidden="1"/>
    </xf>
    <xf numFmtId="0" fontId="46" fillId="0" borderId="21" xfId="1" applyFont="1" applyBorder="1" applyProtection="1">
      <protection locked="0" hidden="1"/>
    </xf>
    <xf numFmtId="0" fontId="46" fillId="0" borderId="22" xfId="1" applyFont="1" applyBorder="1" applyProtection="1">
      <protection locked="0" hidden="1"/>
    </xf>
    <xf numFmtId="0" fontId="46" fillId="0" borderId="107" xfId="1" applyFont="1" applyBorder="1" applyProtection="1">
      <protection locked="0" hidden="1"/>
    </xf>
    <xf numFmtId="0" fontId="68" fillId="0" borderId="110" xfId="1" applyFont="1" applyBorder="1" applyAlignment="1" applyProtection="1">
      <alignment horizontal="center"/>
      <protection locked="0" hidden="1"/>
    </xf>
    <xf numFmtId="0" fontId="69" fillId="0" borderId="0" xfId="0" applyFont="1" applyAlignment="1">
      <alignment vertical="center"/>
    </xf>
    <xf numFmtId="0" fontId="46" fillId="8" borderId="113" xfId="0" applyFont="1" applyFill="1" applyBorder="1" applyAlignment="1" applyProtection="1">
      <alignment horizontal="left"/>
      <protection locked="0"/>
    </xf>
    <xf numFmtId="0" fontId="46" fillId="0" borderId="0" xfId="0" applyFont="1" applyAlignment="1" applyProtection="1">
      <alignment vertical="center"/>
      <protection locked="0"/>
    </xf>
    <xf numFmtId="0" fontId="46" fillId="6" borderId="0" xfId="1" applyFont="1" applyFill="1" applyAlignment="1">
      <alignment vertical="center" wrapText="1"/>
    </xf>
    <xf numFmtId="167" fontId="56" fillId="0" borderId="0" xfId="4" applyNumberFormat="1" applyFont="1" applyAlignment="1">
      <alignment vertical="center"/>
    </xf>
    <xf numFmtId="167" fontId="46" fillId="0" borderId="0" xfId="4" applyNumberFormat="1" applyFont="1" applyAlignment="1">
      <alignment vertical="center" wrapText="1"/>
    </xf>
    <xf numFmtId="167" fontId="46" fillId="6" borderId="0" xfId="4" applyNumberFormat="1" applyFont="1" applyFill="1" applyAlignment="1">
      <alignment vertical="center" wrapText="1"/>
    </xf>
    <xf numFmtId="0" fontId="46" fillId="0" borderId="0" xfId="0" applyFont="1" applyAlignment="1">
      <alignment vertical="center" wrapText="1"/>
    </xf>
    <xf numFmtId="167" fontId="46" fillId="0" borderId="0" xfId="9" applyNumberFormat="1" applyFont="1" applyAlignment="1">
      <alignment vertical="center"/>
    </xf>
    <xf numFmtId="0" fontId="46" fillId="0" borderId="0" xfId="0" applyFont="1" applyAlignment="1" applyProtection="1">
      <alignment vertical="center"/>
      <protection hidden="1"/>
    </xf>
    <xf numFmtId="0" fontId="56" fillId="0" borderId="0" xfId="0" applyFont="1" applyAlignment="1">
      <alignment vertical="center"/>
    </xf>
    <xf numFmtId="0" fontId="46" fillId="34" borderId="0" xfId="0" applyFont="1" applyFill="1" applyAlignment="1">
      <alignment vertical="center"/>
    </xf>
    <xf numFmtId="0" fontId="46" fillId="34" borderId="0" xfId="0" applyFont="1" applyFill="1" applyAlignment="1" applyProtection="1">
      <alignment vertical="center"/>
      <protection locked="0"/>
    </xf>
    <xf numFmtId="167" fontId="57" fillId="34" borderId="0" xfId="4" applyNumberFormat="1" applyFont="1" applyFill="1" applyAlignment="1">
      <alignment horizontal="centerContinuous" vertical="center"/>
    </xf>
    <xf numFmtId="167" fontId="64" fillId="34" borderId="0" xfId="4" applyNumberFormat="1" applyFont="1" applyFill="1" applyAlignment="1">
      <alignment horizontal="centerContinuous" vertical="center" wrapText="1"/>
    </xf>
    <xf numFmtId="0" fontId="62" fillId="0" borderId="0" xfId="1" applyFont="1" applyAlignment="1">
      <alignment vertical="center" wrapText="1"/>
    </xf>
    <xf numFmtId="167" fontId="62" fillId="0" borderId="0" xfId="9" applyNumberFormat="1" applyFont="1" applyAlignment="1">
      <alignment vertical="center" wrapText="1"/>
    </xf>
    <xf numFmtId="0" fontId="46" fillId="5" borderId="25" xfId="3" applyFont="1" applyFill="1" applyBorder="1" applyAlignment="1" applyProtection="1">
      <alignment horizontal="left" vertical="center"/>
      <protection hidden="1"/>
    </xf>
    <xf numFmtId="164" fontId="46" fillId="7" borderId="25" xfId="7" applyFont="1" applyFill="1" applyBorder="1" applyAlignment="1" applyProtection="1">
      <alignment vertical="center"/>
      <protection hidden="1"/>
    </xf>
    <xf numFmtId="164" fontId="46" fillId="7" borderId="49" xfId="7" applyFont="1" applyFill="1" applyBorder="1" applyAlignment="1" applyProtection="1">
      <alignment vertical="center"/>
      <protection hidden="1"/>
    </xf>
    <xf numFmtId="164" fontId="46" fillId="0" borderId="26" xfId="7" applyFont="1" applyFill="1" applyBorder="1" applyAlignment="1" applyProtection="1">
      <alignment vertical="center"/>
      <protection hidden="1"/>
    </xf>
    <xf numFmtId="0" fontId="46" fillId="0" borderId="27" xfId="3" applyFont="1" applyBorder="1" applyAlignment="1" applyProtection="1">
      <alignment horizontal="left" vertical="center"/>
      <protection locked="0"/>
    </xf>
    <xf numFmtId="167" fontId="46" fillId="0" borderId="26" xfId="5" applyNumberFormat="1" applyFont="1" applyFill="1" applyBorder="1" applyAlignment="1" applyProtection="1">
      <alignment vertical="center" wrapText="1"/>
      <protection locked="0"/>
    </xf>
    <xf numFmtId="0" fontId="46" fillId="0" borderId="27" xfId="3" applyFont="1" applyBorder="1" applyAlignment="1" applyProtection="1">
      <alignment horizontal="center" vertical="center"/>
      <protection locked="0"/>
    </xf>
    <xf numFmtId="167" fontId="46" fillId="0" borderId="26" xfId="5" applyNumberFormat="1" applyFont="1" applyFill="1" applyBorder="1" applyAlignment="1" applyProtection="1">
      <alignment vertical="center"/>
      <protection locked="0"/>
    </xf>
    <xf numFmtId="167" fontId="46" fillId="0" borderId="26" xfId="9" applyNumberFormat="1" applyFont="1" applyFill="1" applyBorder="1" applyAlignment="1" applyProtection="1">
      <alignment vertical="center"/>
      <protection locked="0"/>
    </xf>
    <xf numFmtId="0" fontId="46" fillId="0" borderId="36" xfId="3" applyFont="1" applyBorder="1" applyAlignment="1" applyProtection="1">
      <alignment horizontal="left" vertical="center"/>
      <protection locked="0"/>
    </xf>
    <xf numFmtId="0" fontId="46" fillId="16" borderId="25" xfId="3" applyFont="1" applyFill="1" applyBorder="1" applyAlignment="1" applyProtection="1">
      <alignment horizontal="left" vertical="center"/>
      <protection hidden="1"/>
    </xf>
    <xf numFmtId="164" fontId="46" fillId="5" borderId="25" xfId="7" applyFont="1" applyFill="1" applyBorder="1" applyAlignment="1" applyProtection="1">
      <alignment vertical="center"/>
      <protection hidden="1"/>
    </xf>
    <xf numFmtId="0" fontId="46" fillId="5" borderId="26" xfId="4" applyNumberFormat="1" applyFont="1" applyFill="1" applyBorder="1" applyAlignment="1" applyProtection="1">
      <alignment vertical="center"/>
      <protection hidden="1"/>
    </xf>
    <xf numFmtId="0" fontId="56" fillId="17" borderId="43" xfId="0" applyFont="1" applyFill="1" applyBorder="1" applyAlignment="1">
      <alignment horizontal="left" vertical="top"/>
    </xf>
    <xf numFmtId="0" fontId="46" fillId="0" borderId="0" xfId="0" applyFont="1" applyAlignment="1">
      <alignment horizontal="left" vertical="top"/>
    </xf>
    <xf numFmtId="0" fontId="46" fillId="5" borderId="30" xfId="0" applyFont="1" applyFill="1" applyBorder="1" applyAlignment="1">
      <alignment horizontal="left" vertical="top"/>
    </xf>
    <xf numFmtId="0" fontId="46" fillId="5" borderId="32" xfId="0" applyFont="1" applyFill="1" applyBorder="1" applyAlignment="1">
      <alignment horizontal="left" vertical="top"/>
    </xf>
    <xf numFmtId="0" fontId="46" fillId="0" borderId="79" xfId="0" applyFont="1" applyBorder="1" applyAlignment="1">
      <alignment horizontal="left" vertical="top"/>
    </xf>
    <xf numFmtId="0" fontId="46" fillId="0" borderId="30" xfId="0" applyFont="1" applyBorder="1" applyAlignment="1">
      <alignment horizontal="left" vertical="top"/>
    </xf>
    <xf numFmtId="0" fontId="46" fillId="0" borderId="32" xfId="0" applyFont="1" applyBorder="1" applyAlignment="1">
      <alignment horizontal="left" vertical="top"/>
    </xf>
    <xf numFmtId="0" fontId="70" fillId="5" borderId="0" xfId="1" applyFont="1" applyFill="1"/>
    <xf numFmtId="0" fontId="71" fillId="5" borderId="0" xfId="11" applyFont="1" applyFill="1" applyAlignment="1" applyProtection="1">
      <alignment horizontal="center" vertical="center"/>
    </xf>
    <xf numFmtId="0" fontId="72" fillId="16" borderId="0" xfId="1" applyFont="1" applyFill="1"/>
    <xf numFmtId="0" fontId="57" fillId="39" borderId="2" xfId="3" applyFont="1" applyFill="1" applyBorder="1" applyAlignment="1">
      <alignment vertical="top" wrapText="1"/>
    </xf>
    <xf numFmtId="0" fontId="46" fillId="39" borderId="2" xfId="3" applyFont="1" applyFill="1" applyBorder="1" applyAlignment="1" applyProtection="1">
      <alignment vertical="top" wrapText="1"/>
      <protection locked="0"/>
    </xf>
    <xf numFmtId="1" fontId="57" fillId="40" borderId="2" xfId="4" applyNumberFormat="1" applyFont="1" applyFill="1" applyBorder="1" applyAlignment="1" applyProtection="1">
      <alignment vertical="top" wrapText="1"/>
    </xf>
    <xf numFmtId="0" fontId="72" fillId="8" borderId="0" xfId="1" applyFont="1" applyFill="1"/>
    <xf numFmtId="165" fontId="46" fillId="5" borderId="25" xfId="4" applyFont="1" applyFill="1" applyBorder="1" applyAlignment="1" applyProtection="1">
      <alignment vertical="center"/>
      <protection hidden="1"/>
    </xf>
    <xf numFmtId="164" fontId="46" fillId="6" borderId="26" xfId="7" applyFont="1" applyFill="1" applyBorder="1" applyAlignment="1" applyProtection="1">
      <alignment vertical="center"/>
      <protection locked="0"/>
    </xf>
    <xf numFmtId="0" fontId="68" fillId="0" borderId="109" xfId="1" applyFont="1" applyBorder="1" applyAlignment="1" applyProtection="1">
      <alignment horizontal="center"/>
      <protection locked="0" hidden="1"/>
    </xf>
    <xf numFmtId="0" fontId="68" fillId="0" borderId="112" xfId="1" applyFont="1" applyBorder="1" applyAlignment="1" applyProtection="1">
      <alignment horizontal="center"/>
      <protection locked="0" hidden="1"/>
    </xf>
    <xf numFmtId="0" fontId="56" fillId="0" borderId="6" xfId="1" applyFont="1" applyBorder="1" applyAlignment="1" applyProtection="1">
      <alignment horizontal="center"/>
      <protection locked="0" hidden="1"/>
    </xf>
    <xf numFmtId="0" fontId="56" fillId="0" borderId="33" xfId="1" applyFont="1" applyBorder="1" applyAlignment="1" applyProtection="1">
      <alignment horizontal="center"/>
      <protection locked="0" hidden="1"/>
    </xf>
    <xf numFmtId="0" fontId="56" fillId="0" borderId="5" xfId="1" applyFont="1" applyBorder="1" applyAlignment="1" applyProtection="1">
      <alignment horizontal="center"/>
      <protection locked="0" hidden="1"/>
    </xf>
    <xf numFmtId="0" fontId="67" fillId="0" borderId="95" xfId="1" applyFont="1" applyBorder="1" applyAlignment="1" applyProtection="1">
      <alignment horizontal="center" vertical="center" wrapText="1"/>
      <protection locked="0" hidden="1"/>
    </xf>
    <xf numFmtId="0" fontId="67" fillId="0" borderId="96" xfId="1" applyFont="1" applyBorder="1" applyAlignment="1" applyProtection="1">
      <alignment horizontal="center" vertical="center" wrapText="1"/>
      <protection locked="0" hidden="1"/>
    </xf>
    <xf numFmtId="0" fontId="67" fillId="0" borderId="97" xfId="1" applyFont="1" applyBorder="1" applyAlignment="1" applyProtection="1">
      <alignment horizontal="center" vertical="center" wrapText="1"/>
      <protection locked="0" hidden="1"/>
    </xf>
    <xf numFmtId="0" fontId="51" fillId="0" borderId="98" xfId="1" applyFont="1" applyBorder="1" applyAlignment="1" applyProtection="1">
      <alignment horizontal="center" vertical="center" wrapText="1"/>
      <protection locked="0" hidden="1"/>
    </xf>
    <xf numFmtId="0" fontId="51" fillId="0" borderId="41" xfId="1" applyFont="1" applyBorder="1" applyAlignment="1" applyProtection="1">
      <alignment horizontal="center" vertical="center" wrapText="1"/>
      <protection locked="0" hidden="1"/>
    </xf>
    <xf numFmtId="0" fontId="51" fillId="0" borderId="99" xfId="1" applyFont="1" applyBorder="1" applyAlignment="1" applyProtection="1">
      <alignment horizontal="center" vertical="center" wrapText="1"/>
      <protection locked="0" hidden="1"/>
    </xf>
    <xf numFmtId="0" fontId="51" fillId="0" borderId="40" xfId="1" applyFont="1" applyBorder="1" applyAlignment="1" applyProtection="1">
      <alignment horizontal="center" vertical="center" wrapText="1"/>
      <protection locked="0" hidden="1"/>
    </xf>
    <xf numFmtId="0" fontId="51" fillId="0" borderId="100" xfId="1" applyFont="1" applyBorder="1" applyAlignment="1" applyProtection="1">
      <alignment horizontal="center" vertical="center" wrapText="1"/>
      <protection locked="0" hidden="1"/>
    </xf>
    <xf numFmtId="0" fontId="54" fillId="0" borderId="108" xfId="1" applyFont="1" applyBorder="1" applyAlignment="1" applyProtection="1">
      <alignment horizontal="center"/>
      <protection locked="0" hidden="1"/>
    </xf>
    <xf numFmtId="0" fontId="54" fillId="0" borderId="110" xfId="1" applyFont="1" applyBorder="1" applyAlignment="1" applyProtection="1">
      <alignment horizontal="center"/>
      <protection locked="0" hidden="1"/>
    </xf>
    <xf numFmtId="0" fontId="51" fillId="0" borderId="109" xfId="1" applyFont="1" applyBorder="1" applyAlignment="1" applyProtection="1">
      <alignment horizontal="center"/>
      <protection locked="0" hidden="1"/>
    </xf>
    <xf numFmtId="0" fontId="51" fillId="0" borderId="110" xfId="1" applyFont="1" applyBorder="1" applyAlignment="1" applyProtection="1">
      <alignment horizontal="center"/>
      <protection locked="0" hidden="1"/>
    </xf>
    <xf numFmtId="0" fontId="51" fillId="0" borderId="16" xfId="1" applyFont="1" applyBorder="1" applyAlignment="1" applyProtection="1">
      <alignment horizontal="center" vertical="center" wrapText="1"/>
      <protection locked="0" hidden="1"/>
    </xf>
    <xf numFmtId="0" fontId="51" fillId="0" borderId="18" xfId="1" applyFont="1" applyBorder="1" applyAlignment="1" applyProtection="1">
      <alignment horizontal="center" vertical="center" wrapText="1"/>
      <protection locked="0" hidden="1"/>
    </xf>
    <xf numFmtId="0" fontId="51" fillId="0" borderId="6" xfId="1" applyFont="1" applyBorder="1" applyAlignment="1" applyProtection="1">
      <alignment horizontal="center" vertical="center" wrapText="1"/>
      <protection locked="0" hidden="1"/>
    </xf>
    <xf numFmtId="0" fontId="51" fillId="0" borderId="5" xfId="1" applyFont="1" applyBorder="1" applyAlignment="1" applyProtection="1">
      <alignment horizontal="center" vertical="center" wrapText="1"/>
      <protection locked="0" hidden="1"/>
    </xf>
    <xf numFmtId="0" fontId="46" fillId="0" borderId="6" xfId="1" applyFont="1" applyBorder="1" applyAlignment="1" applyProtection="1">
      <alignment horizontal="center"/>
      <protection locked="0" hidden="1"/>
    </xf>
    <xf numFmtId="0" fontId="46" fillId="0" borderId="5" xfId="1" applyFont="1" applyBorder="1" applyAlignment="1" applyProtection="1">
      <alignment horizontal="center"/>
      <protection locked="0" hidden="1"/>
    </xf>
    <xf numFmtId="0" fontId="46" fillId="0" borderId="20" xfId="1" applyFont="1" applyBorder="1" applyAlignment="1" applyProtection="1">
      <alignment horizontal="center"/>
      <protection locked="0" hidden="1"/>
    </xf>
    <xf numFmtId="0" fontId="46" fillId="0" borderId="94" xfId="1" applyFont="1" applyBorder="1" applyAlignment="1" applyProtection="1">
      <alignment horizontal="center"/>
      <protection locked="0" hidden="1"/>
    </xf>
    <xf numFmtId="0" fontId="54" fillId="0" borderId="16" xfId="1" applyFont="1" applyBorder="1" applyAlignment="1" applyProtection="1">
      <alignment horizontal="center"/>
      <protection locked="0" hidden="1"/>
    </xf>
    <xf numFmtId="0" fontId="54" fillId="0" borderId="18" xfId="1" applyFont="1" applyBorder="1" applyAlignment="1" applyProtection="1">
      <alignment horizontal="center"/>
      <protection locked="0" hidden="1"/>
    </xf>
    <xf numFmtId="0" fontId="54" fillId="0" borderId="93" xfId="1" applyFont="1" applyBorder="1" applyAlignment="1" applyProtection="1">
      <alignment horizontal="center"/>
      <protection locked="0" hidden="1"/>
    </xf>
    <xf numFmtId="0" fontId="52" fillId="0" borderId="109" xfId="1" applyFont="1" applyBorder="1" applyAlignment="1" applyProtection="1">
      <alignment horizontal="center"/>
      <protection locked="0" hidden="1"/>
    </xf>
    <xf numFmtId="0" fontId="52" fillId="0" borderId="110" xfId="1" applyFont="1" applyBorder="1" applyAlignment="1" applyProtection="1">
      <alignment horizontal="center"/>
      <protection locked="0" hidden="1"/>
    </xf>
    <xf numFmtId="0" fontId="54" fillId="0" borderId="111" xfId="1" applyFont="1" applyBorder="1" applyAlignment="1" applyProtection="1">
      <alignment horizontal="center"/>
      <protection locked="0" hidden="1"/>
    </xf>
    <xf numFmtId="0" fontId="52" fillId="0" borderId="6" xfId="1" applyFont="1" applyBorder="1" applyAlignment="1" applyProtection="1">
      <alignment horizontal="center"/>
      <protection locked="0" hidden="1"/>
    </xf>
    <xf numFmtId="0" fontId="52" fillId="0" borderId="5" xfId="1" applyFont="1" applyBorder="1" applyAlignment="1" applyProtection="1">
      <alignment horizontal="center"/>
      <protection locked="0" hidden="1"/>
    </xf>
    <xf numFmtId="0" fontId="51" fillId="0" borderId="98" xfId="1" applyFont="1" applyBorder="1" applyAlignment="1" applyProtection="1">
      <alignment horizontal="center" vertical="center"/>
      <protection locked="0" hidden="1"/>
    </xf>
    <xf numFmtId="0" fontId="51" fillId="0" borderId="44" xfId="1" applyFont="1" applyBorder="1" applyAlignment="1" applyProtection="1">
      <alignment horizontal="center" vertical="center"/>
      <protection locked="0" hidden="1"/>
    </xf>
    <xf numFmtId="0" fontId="51" fillId="0" borderId="44" xfId="1" applyFont="1" applyBorder="1" applyAlignment="1" applyProtection="1">
      <alignment horizontal="center" vertical="center" wrapText="1"/>
      <protection locked="0" hidden="1"/>
    </xf>
    <xf numFmtId="0" fontId="57" fillId="34" borderId="25" xfId="0" applyFont="1" applyFill="1" applyBorder="1" applyAlignment="1">
      <alignment horizontal="center" vertical="center" wrapText="1"/>
    </xf>
    <xf numFmtId="0" fontId="46" fillId="10" borderId="35" xfId="0" applyFont="1" applyFill="1" applyBorder="1" applyAlignment="1">
      <alignment horizontal="center" vertical="center" wrapText="1"/>
    </xf>
    <xf numFmtId="0" fontId="46" fillId="10" borderId="34" xfId="0" applyFont="1" applyFill="1" applyBorder="1" applyAlignment="1">
      <alignment horizontal="center" vertical="center" wrapText="1"/>
    </xf>
    <xf numFmtId="0" fontId="47" fillId="19" borderId="42" xfId="0" applyFont="1" applyFill="1" applyBorder="1" applyAlignment="1">
      <alignment horizontal="center"/>
    </xf>
    <xf numFmtId="0" fontId="47" fillId="19" borderId="3" xfId="0" applyFont="1" applyFill="1" applyBorder="1" applyAlignment="1">
      <alignment horizontal="center"/>
    </xf>
    <xf numFmtId="0" fontId="47" fillId="18" borderId="71" xfId="0" applyFont="1" applyFill="1" applyBorder="1" applyAlignment="1">
      <alignment horizontal="center"/>
    </xf>
    <xf numFmtId="0" fontId="47" fillId="18" borderId="72" xfId="0" applyFont="1" applyFill="1" applyBorder="1" applyAlignment="1">
      <alignment horizontal="center"/>
    </xf>
    <xf numFmtId="0" fontId="47" fillId="18" borderId="80" xfId="0" applyFont="1" applyFill="1" applyBorder="1" applyAlignment="1">
      <alignment horizontal="center"/>
    </xf>
    <xf numFmtId="0" fontId="47" fillId="18" borderId="73" xfId="0" applyFont="1" applyFill="1" applyBorder="1" applyAlignment="1">
      <alignment horizontal="center"/>
    </xf>
    <xf numFmtId="0" fontId="30" fillId="0" borderId="0" xfId="0" applyFont="1" applyAlignment="1">
      <alignment horizontal="center"/>
    </xf>
    <xf numFmtId="0" fontId="32" fillId="0" borderId="62" xfId="0" applyFont="1" applyBorder="1" applyAlignment="1">
      <alignment horizontal="center" vertical="center"/>
    </xf>
    <xf numFmtId="0" fontId="32" fillId="0" borderId="63" xfId="0" applyFont="1" applyBorder="1" applyAlignment="1">
      <alignment horizontal="center" vertical="center"/>
    </xf>
    <xf numFmtId="0" fontId="32" fillId="0" borderId="64" xfId="0" applyFont="1" applyBorder="1" applyAlignment="1">
      <alignment horizontal="center" vertical="center"/>
    </xf>
    <xf numFmtId="0" fontId="34" fillId="0" borderId="67" xfId="0" applyFont="1" applyBorder="1" applyAlignment="1">
      <alignment horizontal="center"/>
    </xf>
  </cellXfs>
  <cellStyles count="12">
    <cellStyle name="Comma" xfId="9" builtinId="3"/>
    <cellStyle name="Comma [0]" xfId="7" builtinId="6"/>
    <cellStyle name="Comma 2" xfId="4" xr:uid="{00000000-0005-0000-0000-000002000000}"/>
    <cellStyle name="Comma 2 4 2" xfId="5" xr:uid="{00000000-0005-0000-0000-000003000000}"/>
    <cellStyle name="Hyperlink" xfId="11"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xfId="10" builtinId="5"/>
    <cellStyle name="Percent 2" xfId="8" xr:uid="{00000000-0005-0000-0000-000009000000}"/>
  </cellStyles>
  <dxfs count="76">
    <dxf>
      <font>
        <color rgb="FF9C0006"/>
      </font>
      <fill>
        <patternFill>
          <bgColor rgb="FFFFC7CE"/>
        </patternFill>
      </fill>
    </dxf>
    <dxf>
      <font>
        <color rgb="FF9C0006"/>
      </font>
      <fill>
        <patternFill>
          <bgColor rgb="FFFFC7CE"/>
        </patternFill>
      </fill>
    </dxf>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Bahnschrift"/>
        <family val="2"/>
        <scheme val="none"/>
      </font>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75"/>
      <tableStyleElement type="headerRow" dxfId="74"/>
      <tableStyleElement type="totalRow" dxfId="73"/>
      <tableStyleElement type="firstRowStripe" dxfId="72"/>
      <tableStyleElement type="firstColumnStripe" dxfId="71"/>
      <tableStyleElement type="firstSubtotalColumn" dxfId="70"/>
      <tableStyleElement type="firstSubtotalRow" dxfId="69"/>
      <tableStyleElement type="secondSubtotalRow" dxfId="68"/>
      <tableStyleElement type="firstRowSubheading" dxfId="67"/>
      <tableStyleElement type="secondRowSubheading" dxfId="66"/>
      <tableStyleElement type="pageFieldLabels" dxfId="65"/>
      <tableStyleElement type="pageFieldValues" dxfId="64"/>
    </tableStyle>
    <tableStyle name="PivotStyleMedium8 2 2" table="0" count="12" xr9:uid="{00000000-0011-0000-FFFF-FFFF01000000}">
      <tableStyleElement type="wholeTable" dxfId="63"/>
      <tableStyleElement type="headerRow" dxfId="62"/>
      <tableStyleElement type="totalRow" dxfId="61"/>
      <tableStyleElement type="firstRowStripe" dxfId="60"/>
      <tableStyleElement type="firstColumnStripe" dxfId="59"/>
      <tableStyleElement type="firstSubtotalColumn" dxfId="58"/>
      <tableStyleElement type="firstSubtotalRow" dxfId="57"/>
      <tableStyleElement type="secondSubtotalRow" dxfId="56"/>
      <tableStyleElement type="firstRowSubheading" dxfId="55"/>
      <tableStyleElement type="secondRowSubheading" dxfId="54"/>
      <tableStyleElement type="pageFieldLabels" dxfId="53"/>
      <tableStyleElement type="pageFieldValues" dxfId="52"/>
    </tableStyle>
    <tableStyle name="PivotStyleMedium8 2 2 2" table="0" count="13" xr9:uid="{00000000-0011-0000-FFFF-FFFF02000000}">
      <tableStyleElement type="wholeTable" dxfId="51"/>
      <tableStyleElement type="headerRow" dxfId="50"/>
      <tableStyleElement type="totalRow" dxfId="49"/>
      <tableStyleElement type="lastColumn" dxfId="48"/>
      <tableStyleElement type="firstRowStripe" dxfId="47"/>
      <tableStyleElement type="firstColumnStripe" dxfId="46"/>
      <tableStyleElement type="firstSubtotalColumn" dxfId="45"/>
      <tableStyleElement type="firstSubtotalRow" dxfId="44"/>
      <tableStyleElement type="secondSubtotalRow" dxfId="43"/>
      <tableStyleElement type="firstRowSubheading" dxfId="42"/>
      <tableStyleElement type="secondRowSubheading" dxfId="41"/>
      <tableStyleElement type="pageFieldLabels" dxfId="40"/>
      <tableStyleElement type="pageFieldValues" dxfId="39"/>
    </tableStyle>
    <tableStyle name="PivotStyleMedium8 2 3" table="0" count="12" xr9:uid="{00000000-0011-0000-FFFF-FFFF03000000}">
      <tableStyleElement type="wholeTable" dxfId="38"/>
      <tableStyleElement type="headerRow" dxfId="37"/>
      <tableStyleElement type="totalRow" dxfId="36"/>
      <tableStyleElement type="firstRowStripe" dxfId="35"/>
      <tableStyleElement type="firstColumnStripe" dxfId="34"/>
      <tableStyleElement type="firstSubtotalColumn" dxfId="33"/>
      <tableStyleElement type="firstSubtotalRow" dxfId="32"/>
      <tableStyleElement type="secondSubtotalRow" dxfId="31"/>
      <tableStyleElement type="firstRowSubheading" dxfId="30"/>
      <tableStyleElement type="secondRowSubheading" dxfId="29"/>
      <tableStyleElement type="pageFieldLabels" dxfId="28"/>
      <tableStyleElement type="pageFieldValues" dxfId="27"/>
    </tableStyle>
    <tableStyle name="Table Style 1" pivot="0" count="2" xr9:uid="{00000000-0011-0000-FFFF-FFFF04000000}">
      <tableStyleElement type="wholeTable" dxfId="26"/>
      <tableStyleElement type="headerRow" dxfId="25"/>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3</xdr:col>
      <xdr:colOff>333374</xdr:colOff>
      <xdr:row>72</xdr:row>
      <xdr:rowOff>0</xdr:rowOff>
    </xdr:from>
    <xdr:to>
      <xdr:col>3</xdr:col>
      <xdr:colOff>4000499</xdr:colOff>
      <xdr:row>72</xdr:row>
      <xdr:rowOff>0</xdr:rowOff>
    </xdr:to>
    <xdr:pic>
      <xdr:nvPicPr>
        <xdr:cNvPr id="2" name="Picture 1">
          <a:extLst>
            <a:ext uri="{FF2B5EF4-FFF2-40B4-BE49-F238E27FC236}">
              <a16:creationId xmlns:a16="http://schemas.microsoft.com/office/drawing/2014/main" id="{780D90EC-2CDC-4F4E-BA12-6880A01D53B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9624" y="138112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72342</xdr:colOff>
      <xdr:row>78</xdr:row>
      <xdr:rowOff>610885</xdr:rowOff>
    </xdr:from>
    <xdr:to>
      <xdr:col>3</xdr:col>
      <xdr:colOff>4689563</xdr:colOff>
      <xdr:row>78</xdr:row>
      <xdr:rowOff>2154176</xdr:rowOff>
    </xdr:to>
    <xdr:pic>
      <xdr:nvPicPr>
        <xdr:cNvPr id="3" name="Picture 2">
          <a:extLst>
            <a:ext uri="{FF2B5EF4-FFF2-40B4-BE49-F238E27FC236}">
              <a16:creationId xmlns:a16="http://schemas.microsoft.com/office/drawing/2014/main" id="{5BFCFEED-F678-4A7C-A7BE-8D693891A3B2}"/>
            </a:ext>
          </a:extLst>
        </xdr:cNvPr>
        <xdr:cNvPicPr>
          <a:picLocks noChangeAspect="1"/>
        </xdr:cNvPicPr>
      </xdr:nvPicPr>
      <xdr:blipFill>
        <a:blip xmlns:r="http://schemas.openxmlformats.org/officeDocument/2006/relationships" r:embed="rId2"/>
        <a:stretch>
          <a:fillRect/>
        </a:stretch>
      </xdr:blipFill>
      <xdr:spPr>
        <a:xfrm>
          <a:off x="3088592" y="17298685"/>
          <a:ext cx="4617221" cy="15432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754AC764-812C-4398-B43A-4764B2B7E62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48049" y="163639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D16B0775-A05F-4670-B1FA-309C5C8A9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635204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1E39F925-6C61-4237-BABA-847E04495AB6}"/>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930CA8DB-61A9-43BD-B08C-ACCACDB71A64}"/>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840328B3-ABDD-4D38-9D77-FC24F3EE3209}"/>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2F7318F6-560E-4E9F-8DD3-FF91540F57CC}"/>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83B1F925-9FFC-4A79-A95F-3B04804C393F}"/>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29A4D074-14A4-45D1-9288-81DECDE2DB73}"/>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76543339-BDA8-45E6-882B-7A97E7EF73C1}"/>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6ED9BAC9-1DAD-4979-A6C2-115ADE73C9B9}"/>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E045A305-015D-49DE-A8E5-642F67BCE3B3}"/>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ED75B1C3-E72C-4245-8ECD-581F91B44697}"/>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39746EC4-F464-4855-A6D6-46764098763B}"/>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B495E128-4EA2-4441-95C2-9BCB2611621E}"/>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73FBB5BA-20D6-48F5-BF95-8152394908D4}"/>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D0E5AEFB-756D-46DA-A128-FB4B8C57D79B}"/>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2C7EAF0B-0DBE-4CC8-8DFC-743F6B48E1C5}"/>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DE67148B-992B-4CD6-9F76-E429B1C5D03E}"/>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946245B1-E211-46D5-9563-96C8422D0272}"/>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E1E3B2EA-7CAD-4D77-838C-8CE85EF45D43}"/>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0B797BDB-226D-4CD6-81CB-2CE818EBD0B1}"/>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5734FDC3-E6B0-4625-A5A2-44B827EC00A1}"/>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701C30AA-BA44-49FA-BB3E-90F2CBA7BD8B}"/>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6E896D3A-E690-4255-9515-4A034E7A728E}"/>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B264D938-94BA-46AB-96BD-D3EAC52AD5D6}"/>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AFDE133C-1760-4D03-A082-B2559B86EC6F}"/>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6017DF89-A284-4486-9A6B-7BA829A82FF7}"/>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730B20EB-6604-4941-8F1A-F81CACC98764}"/>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B48041D0-3616-4A2E-A1F1-0E449DE79EFD}"/>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CAB6C83B-7776-4809-BDC6-1B9AE1B11A5E}"/>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0A5C3FB8-63DA-410A-98C2-F6BC3DF642EA}"/>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6E363AE8-1B9B-4426-9C92-EDADBB004447}"/>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26282FD4-D06A-4C65-A4AB-895C5E3B20A6}"/>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436F506D-E031-4048-AA1D-178D3A66FFF9}"/>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C47CD8E6-DF70-4371-9EE4-EF3F8F3AF18A}"/>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E0AA2B26-9003-4F94-8178-F4B1E09ACC53}"/>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E2346CB2-03C9-4989-907E-6AF81A1D638C}"/>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6FB9F503-4634-4379-8824-D8DFB630CDAC}"/>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C5C79638-DB76-433A-B9B9-D4FF0C1BCFDE}"/>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0782F172-DBF2-4D14-9BFE-E840FFCA1C02}"/>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5ED91096-82C7-4BF1-A2F8-A6A2919FF719}"/>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FD5BEC48-BA18-41B9-A02E-10761441AB1B}"/>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4827D38E-081A-42EB-846A-E4293B76D523}"/>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4ABFE68D-AEA7-49E0-ACD4-6B3C209C344D}"/>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292928AD-7204-40DB-9D80-1271A04F8121}"/>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F75F603A-B198-4599-8C5D-A040DD06579B}"/>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AA4457F2-41A1-4538-973C-36096F7C9C51}"/>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83ACFF36-BA10-4294-83B6-22345D053A25}"/>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DCD7CF78-FB94-476B-9DF4-107D781511EA}"/>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90B7FF67-24CF-4399-8D4A-CE2BBC0BA43A}"/>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289FB81F-F7B3-4681-9018-8ABE360A04AD}"/>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5E5EE69E-CC51-41FD-AEF8-0BD00D314C67}"/>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4574C711-6D92-4243-B2D8-05F69B18BF54}"/>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7B79CD39-5C90-46CA-9A89-874A0C6714B1}"/>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7E1E024A-F765-4433-A331-024E62D5F6F0}"/>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6A4D66AB-46EC-4C78-800C-D4F0716664E8}"/>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560E5708-054C-4C7A-8423-C3AD2FBF9A0D}"/>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0F298720-AC62-46EF-8B86-B2136FA79671}"/>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FA1FB976-EF3C-4163-A7AA-BAEA95F0587D}"/>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33F200B5-9A44-4B94-B97A-BB19471EBBAB}"/>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69293BCB-22D9-4153-8F01-A2D796F37C6B}"/>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994A518B-A950-4E9F-BD54-9389812327D7}"/>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BEAEFB73-6E32-4619-880F-9C919D228949}"/>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5018C1D8-2F1B-4879-9D2B-6E55573E84CC}"/>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DFD98780-6CAA-440C-8063-B6413B03D04A}"/>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05FE5F8D-5C0C-4E56-813F-AE3B0AC66CA6}"/>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5121F590-8635-45B4-8DC8-42BF00E16494}"/>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C823C405-343B-4C17-A477-94B6F71AAA84}"/>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71087127-C449-436A-861C-90C3FD902D47}"/>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3776A3BE-F198-4ACD-98CC-3A41FF9B759D}"/>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BC37A72D-DB02-437A-BEE8-0E1AA778212B}"/>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3AA0466C-0DC9-4A20-BFF1-0F29917B8E33}"/>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D1790ADF-45BC-44F5-9A13-8E4C4A2BFC4D}"/>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0E2077DE-3CDC-46D6-B9C5-2D4988F060E4}"/>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A0F0B06B-AD23-4F24-8553-E3EA0F4BC1D8}"/>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C35134A4-050A-4094-9818-199416ED4B41}"/>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964C9D08-63B7-488D-A532-874F82A9A1A6}"/>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6D5EE25D-E652-4646-97D8-67BBA2715AAB}"/>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F64A5BE3-2181-4056-8B37-CC32191ADD5C}"/>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174371F9-27CE-4C51-9AA8-DBB4D1FB4193}"/>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94D2F9FE-6A36-44E9-884D-2364B8F88239}"/>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32C0B0FA-5B8F-456E-B047-6E8CF1DA810B}"/>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EE506AEA-1BBE-4959-AC1C-3DAEB606FE01}"/>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DA6273FA-A020-4012-986A-FE542D9F2564}"/>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6C8260CC-6E78-4AF6-A19C-CBF1E359944C}"/>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844C0FFD-276A-4A79-B72E-EC8CC6F7CBCB}"/>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EEF2C38D-9B23-4A06-A62E-8A53690F82B3}"/>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29CD2B3A-1B71-4871-83EE-D7F94E2EEFDF}"/>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F621CDC9-A096-4353-9A7C-F88BE8F32FB2}"/>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7F5EF054-C8EC-47CF-8416-D214FF3418B2}"/>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D7132A10-F74E-4251-B148-2A0B3D96A2D6}"/>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C346A8FA-BD44-4D97-AC7B-070D35345811}"/>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5789EAE1-8AEA-4F4D-9F01-76AAEF39450F}"/>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816D1F17-32A0-476F-8FC0-ECC3BA793492}"/>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4029BE18-491B-4020-B72F-8D88C60D24D3}"/>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E2A48568-386B-4A91-9139-BE1256893C20}"/>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E5F0F1B4-70EB-4827-BD28-2057F8C05478}"/>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B8546587-4D48-4075-A265-E4033A279B85}"/>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36F999AD-10DD-4E30-9189-FB282BCA69D8}"/>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4BCD9CC6-B8BB-47B2-9EAF-07F831D25609}"/>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D097ADB4-A166-4B06-938E-7462D6D90439}"/>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76AA861B-F8D8-4572-A56B-CDDAF7732533}"/>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23643FE4-2DDB-4C9A-BB7D-E8A64A5AC436}"/>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74DBEA16-2E4A-43C1-98F2-2F13E3B1C906}"/>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322FC5A8-6C20-4108-A260-B8B6F7E3980E}"/>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BB673494-9A42-4E44-8CB1-8F6643E71DD1}"/>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1BC757A2-B714-4692-B694-670842F85AE4}"/>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02528E9C-F3E8-4D01-BFB0-98428974641D}"/>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A91294FF-BDFF-434C-A660-3E6C72F46DC2}"/>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83B577AC-188A-498F-9396-2F17F66EA5A2}"/>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1F4C3BBC-0FDD-49F5-8460-DB53DFD72F63}"/>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7237326A-F415-4790-B084-73D345E96EA5}"/>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985C0381-09F7-4480-B539-DAB0AD274EC1}"/>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4611D578-E1AC-450E-B29F-66EB5BABD504}"/>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7F8ABD04-4618-48BB-AF10-8A26D993159A}"/>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B913B824-22D2-4E3C-A226-F728E9675255}"/>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9289A283-C8F9-450C-ABE5-2314C2A86E90}"/>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2D5F85D4-5AC5-4C07-BF7D-5F9570C0E307}"/>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81360C60-1629-477B-89B0-9E977AB37F4E}"/>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31F96247-18F7-4E11-9728-23A2554BC381}"/>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F9E214AF-F255-465D-904F-8654D4C3E934}"/>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94DFFFBE-C655-416A-AE90-C8A7CC307E02}"/>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F66E8E09-A028-4A9D-9907-BBDC1D925F9B}"/>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73F3D10F-671D-41FE-9AA8-6D19BC104583}"/>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47DA12F2-7BAB-4EC5-A0ED-D4C9D1BEC27F}"/>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F877CA37-3BF4-4968-A99F-DAAB1CDA2A0F}"/>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145AA889-FE91-4A63-BA5A-DD4FFBA2926C}"/>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40346482-25CC-437E-9AE7-551173FA6F36}"/>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A44967DF-B746-4601-B7ED-526F26A32E13}"/>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747B0988-951C-46D2-B2D6-5B827149B691}"/>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4730E771-1D88-4F57-A367-43791685E3BD}"/>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81761BFB-00D0-437D-8D96-DF186196B085}"/>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F571779B-76F3-4A8F-B545-A3AD08103414}"/>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F98BF225-DE22-49DF-9632-6AFF4512AD65}"/>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D83D5D6D-179E-4D23-9073-8289FB3D8B56}"/>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A0DE20C6-0837-440D-B4ED-B1E541F66F5C}"/>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1B6AA407-63E7-4F04-8FAE-133499DC25ED}"/>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9FEE8118-314C-46BA-A043-CFEE5F216DFF}"/>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1B2813C8-DCBA-4950-85B8-58CFB17911EA}"/>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74E9ECFA-CDFF-4352-B24F-3D83DE831D2F}"/>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C26477E7-4582-4FEF-A6C3-9C146C34D292}"/>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821608B7-EBE3-412C-AE5E-0130C997D83D}"/>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CEDEBFC7-980A-49CD-AD58-B3D875A8DFE9}"/>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6FA00CD2-1E7A-40B6-98FF-668FE114F2DB}"/>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00740C18-4425-4A9C-B4DF-922B7B4CA0E9}"/>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3137C224-A9FA-4B0B-8C12-C1CD969DDB6C}"/>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96355498-E08E-46DA-87EA-94AAB43D29F2}"/>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C84ACCB8-17B6-4E8E-BEE2-AF334240E31E}"/>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FC7AA07E-DD3C-401B-8782-26567D81BB27}"/>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CEB1F703-2F1A-4FCF-A9D0-AEB14485DFAB}"/>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F1B8B46D-B737-4326-8DC1-61F0D29152D2}"/>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1E5182A0-42C6-4306-AA61-C25E0CF2B2CC}"/>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1F6691E7-1486-45BF-BB15-099427EAA16F}"/>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0BEAE532-BEE1-4DDF-9C40-EBDA12AB643E}"/>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DFC667E4-43DE-4C77-94DE-7042DBDC889C}"/>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385C1982-AD73-452C-A665-49913A52D9C8}"/>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2BB174EA-21C4-4C26-8A75-D0D9BBD42C5B}"/>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3A0505E6-77CA-49D2-929C-5F7456058F94}"/>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0DE0F25C-A286-42A0-8DFC-0675040C54A6}"/>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E99C2F3C-C65B-4E2F-B605-C4A3E6872CAF}"/>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C8FF5F7E-13E7-41E5-8820-A0D5DD04F3B0}"/>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93226DC4-2D5D-40D9-9B44-1B20100D70DC}"/>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D33B14F3-289C-4014-9D47-C668FB1DD307}"/>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C450ACAC-3E82-408E-8D41-F54985439065}"/>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223387B1-0640-43DF-82BD-877B465A7771}"/>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A6DFB037-D705-4E21-961B-7868FE62783B}"/>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4A7FE549-83CD-413B-BD8D-4752659B2A42}"/>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F36F981E-34F0-4C92-A7A5-071F6D657DB4}"/>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61A73BBE-AF61-4F99-9F51-4EF900C5D091}"/>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C4886807-A177-4253-9FA9-250D9D694E90}"/>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1AD8A4F1-0F58-49EF-98DF-F6A9D44AB840}"/>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4D565619-17CA-4889-A315-3F36A14F9ABF}"/>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78484453-8576-425B-97B9-F130FD1F816F}"/>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88931D54-BC2F-4381-AE14-CD082E9E9545}"/>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3B53DF4C-FEC2-4E79-9967-277CD994B16A}"/>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53F0E006-FFCB-437F-999D-2D4D07F6268B}"/>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0CFF8CC4-7FD4-4EE6-87DB-A707A6A05EBC}"/>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A35464B0-95F9-47CF-9B8D-15EC3D499E0B}"/>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A6A354F4-1DA7-495E-B7F5-4C4D048580E9}"/>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D7AFB420-DF6F-4937-8B2D-97E40A7362F5}"/>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0E263782-A35F-4D41-92EF-CDB688D5186C}"/>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48D1412D-8F11-4EFF-BB2D-58EB05E49A72}"/>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1E98D730-D997-4FA2-B861-F5EDA7DA0982}"/>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DAED3422-72A7-4CBF-A254-2E449E5D1200}"/>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F8662289-BECE-4C7F-B7B9-C4ED81F7A1E1}"/>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B172B369-85DA-4B7C-BC2F-B23F2E942E0A}"/>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AAC2DDD8-F335-4321-AAD7-05E99D0D45C2}"/>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8898F0E4-4DA8-41B7-9226-4D4AB16C12A9}"/>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6B1D76BA-3FB1-4B78-A9DF-946FA07E9694}"/>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BBF1EFC2-74F8-4D84-B828-3970270321A3}"/>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BDD2CAFC-B0B3-4053-8FA6-E382C5FBF6AF}"/>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A60F8F19-E623-46CA-A30A-4CFA9CD9718B}"/>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15501ED8-C94C-4C00-9ECF-9BF2875B5CD7}"/>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244DA46E-9F7B-4D8A-A65F-9FB3D941D598}"/>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8F89A3A0-D063-4E08-B57A-8056562A4F3A}"/>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BEFEC40E-9CE0-468B-8790-E8503FB4C6D3}"/>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9482FF68-3753-4595-A4C2-6C80628FEC89}"/>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EAD40087-73A8-452F-B9E4-9D26CED00C09}"/>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584EB3F7-3C3C-426D-9680-72FA5925E0D2}"/>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4F911AD1-4281-482C-8144-9BB568599587}"/>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4EF8F214-4338-4DFB-B58B-431CE0867B86}"/>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90ED16F6-6732-4908-BDE9-7EFD92F7B317}"/>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F993DB02-CAFD-493C-B504-8BE2DC2A9506}"/>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5043168B-F892-4AAC-9D7C-A2FC5D6EA2CF}"/>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23D2E436-034F-4952-9CC7-C71A38AC4A1B}"/>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7197EF30-1DE4-4AE0-9E0F-CC62554C64E0}"/>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DFA6C01E-5146-4458-B228-AEE395F31A69}"/>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1E1B867A-F083-4CAC-B2E4-4DA5DDFD397E}"/>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46681B19-C368-4C5F-888A-FA30F3C4576C}"/>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59F05B5E-DF97-4C78-9816-9F845C1CD1CF}"/>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A7F674A9-E428-4C32-BFEA-82CE85ADC63E}"/>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01210AFE-DFF1-4934-B30A-6F2A5B2218BC}"/>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E883384B-353B-4E47-A6FA-A032DE25AD3F}"/>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FC110DF5-12EB-4974-A690-338FA7D74450}"/>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25668FCB-474C-4C54-B9D3-C4FBE8415D4D}"/>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B0F34AB4-3BE4-421D-B757-D3298C9EE0A0}"/>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2857F04C-2786-4E1B-8D84-33E7FE43C3E1}"/>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75C3A99A-87AF-40EF-8D9E-634997150D65}"/>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D23ACC01-D7F0-4337-BC90-A1643F7E5CDA}"/>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AB7926D9-69FE-48FD-8C33-006FE5B0AF1B}"/>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691EF950-E2AA-4236-84B6-E42B0AD2C7CA}"/>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54C95061-5D95-44D7-B48C-07FFF48146F9}"/>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1899A6BF-C5EA-4009-9E49-48BFFEA1B644}"/>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2550AF96-73BE-4D76-A281-AF9F6DB2C11A}"/>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87BC9BBB-6BB6-4994-A42B-5BDA07C1D32D}"/>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7AA94E56-7694-4808-A4B3-5682E2D6F27D}"/>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301CB6B4-6C94-4769-874D-F1C437505F8A}"/>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640808F5-8846-45B2-B44A-801B1D7BF6DD}"/>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C98B667C-530A-4519-9036-738597E2BC5A}"/>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71B96486-1A00-404E-8801-4770210518AF}"/>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8DD4E6B1-1771-48C8-B5B9-73ABB128CC5C}"/>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E36B978E-DBCF-4EF3-82DD-8923F8A98D23}"/>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F9FCAF55-6869-4270-89EB-60362C026BF4}"/>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5E6F604A-4B58-4F5C-9E7E-2AB7D7840D26}"/>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99E32FA0-BE48-4417-A28B-D587C6407A83}"/>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C6EAABCA-0FCD-4FEF-98BC-1B4E6975BCBF}"/>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57F351E9-1F4F-4DB3-9C5C-8B03CB0C5BF9}"/>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33D8C1D8-5678-4001-894F-FF8340802DFD}"/>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0A764FA1-86DE-4947-818B-31CCA5B74E3F}"/>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9B5F5484-A364-4D9F-9ED6-BB864A5E1B3E}"/>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BD4940DF-5C84-40F2-95DD-161C9056C8B0}"/>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E8F476BF-71AC-4CC9-8984-A5C08A579604}"/>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03EB030B-AC81-4E80-B671-2AA2700B2CC4}"/>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8683D318-7435-4CB3-893D-8548460689CB}"/>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33C505D7-1892-4552-AE32-2E200FA35854}"/>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709D303D-4041-48D0-8A13-3EF3B4539E6B}"/>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A0C4F88A-A01B-4CEB-98BB-285C5AFF4679}"/>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EDEDDBC5-4219-450A-9F4B-D67D3385510A}"/>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73929CD1-6811-431E-AE12-99BE0E64C809}"/>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8AFAD353-5864-446F-9847-652DC0AA6A8E}"/>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5BCFE7F8-D94E-48B3-A815-2DF21A27E93C}"/>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FC03D597-E923-45FE-9143-6920FCB9AADF}"/>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C4F6CB5D-8D40-4907-A565-5D1B52A82651}"/>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DFDA02CF-CDFA-4891-B2B8-24438FF9FA48}"/>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BD9B168D-E96C-49A4-9585-A35EB8641E35}"/>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2D57E5B5-F3AA-4FC3-B016-281CA222EDA8}"/>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6B1555BF-4E0E-4265-8EE0-A0E09AC47A99}"/>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C7D3988A-5A60-4421-9000-C4AFD9B3A301}"/>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E84646A5-1F71-4690-8275-94CAF9846B90}"/>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7C166B62-016A-417A-B47D-B1F7E10A4ADD}"/>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CDC5E90C-DD71-4318-86B6-C66673F638ED}"/>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A2F47910-3F22-41E0-AEC4-D18CBEA232F9}"/>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2B72D683-C3D5-416E-B5E2-C56DD684264E}"/>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22C03435-6833-4911-B882-C9E0A4AAE156}"/>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FE2E57A2-8345-47A8-A927-E6C7F6A8B301}"/>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37B61828-976B-4F3E-9975-CF216F4FB77A}"/>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16318494-11E8-4E32-89D3-A4ADC090E94D}"/>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78282B50-707C-4884-9637-44594097CD7F}"/>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A3EA9186-50B8-47D0-8970-A1536DB2CC3E}"/>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F46C0BE8-941C-4C35-89F8-5DD4D209CD91}"/>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3C751ABA-7C93-42E9-AE59-E551CC078D0B}"/>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D8850A8B-88EA-4474-B99F-F7924A8D54FC}"/>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4C1B1D63-D032-4A35-BAA4-598AC6B0710F}"/>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5C57E7C1-303C-4A1D-8A81-C48C71E69829}"/>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DEE6ADDF-7D57-4794-9C88-FB02AC8E9BDA}"/>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2779BA6E-64A7-43A7-8C01-791E6A86B019}"/>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6A8D9D31-1075-4B79-8E17-94CE79ABB5CC}"/>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88D0DD8F-2C42-45C6-B503-5419B5590ADE}"/>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FB0A2B5A-78E7-4D17-8409-A180C3B0493F}"/>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3CE1302F-771D-48F2-9AE7-64EF147180DA}"/>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213670DC-E955-4DBB-A20B-FA913900F3FC}"/>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69690006-5C8D-4C00-A6CC-3221822511A4}"/>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E65323C1-F866-497F-B9B1-F29375E4F6B1}"/>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6F06E86A-23E8-4AD1-87D5-7C71180C7AD9}"/>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8AE711EC-E9CC-4B0A-8B24-F1838778173C}"/>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64A73B64-88F7-4ABE-8AA9-02D7127939BD}"/>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C6852277-3EC2-486A-8516-B8126253FA52}"/>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FE0716E9-C472-4717-A60F-8221DF0D5C33}"/>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9430ADEC-3371-4C2E-85A9-7A09083DAD44}"/>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38E2CDC9-E458-45D2-81A6-157246793720}"/>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B0D08B52-BEF9-4F69-9E05-B5D44864F330}"/>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937D155E-2367-47C0-A469-91B6314DA1B7}"/>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C708A650-2260-4314-B861-C714355A38FF}"/>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A51184E4-4905-40F0-A07F-51F809450337}"/>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EC07B67D-50D3-4D24-9832-3806034CE783}"/>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DDFD5C23-4A73-4363-AA83-A45F69630EBC}"/>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23F46046-57A3-4154-B6DE-DA96BF3D5B04}"/>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856F8435-0BB4-4C31-868A-13C0ACA4F74B}"/>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41A3CA29-AF05-48A5-89F4-DE9A4991B857}"/>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0BEF8A14-8069-46B3-81C1-17A625548308}"/>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F0E688BB-1635-4EFE-8133-786C31BEF5BF}"/>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9085A99A-E7BD-49C2-A44F-BC4C7F96BA92}"/>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14C2EC05-0037-4A0B-A985-84323EB777AF}"/>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C5A63203-BD46-4CAC-B59D-F331C05FC892}"/>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8677BCDE-C058-4A4F-B7AF-5D187F11728F}"/>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604145F3-B311-46DE-95FA-F3B5FC74D3F2}"/>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7B37DEA7-D702-4496-B8D6-3BEE1BF2C260}"/>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570F9F07-535B-4FCB-9BAF-4B87E98F0566}"/>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08F80446-F0C3-47AE-9307-05C7BF418254}"/>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8A36C5E0-8808-412F-961F-4A8BF6B46625}"/>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DD16C205-BAEA-42B7-8B35-05AB184B5BF0}"/>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792B38AF-3277-41F9-885C-6A21F3226F66}"/>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60385E55-DD74-4A32-96F1-F3C4527A0F2E}"/>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8E6BF63E-02FD-4762-954B-9D3D1E2C5E54}"/>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B7C97D50-5D91-46BA-B671-267FB212D983}"/>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23249427-0F8D-4BED-9501-C13539C8DABA}"/>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8E9D7958-A509-40E0-842E-5B819EAA8F95}"/>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18113792-6DE0-47A0-AD6E-4C35A7FB07FA}"/>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1842FDAC-CA05-4CF4-A5A8-CB1B2171DB61}"/>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6709AE70-FEA6-4768-BF4B-C50622047CA5}"/>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4638C434-9E40-4416-9ED8-8247B6D2855F}"/>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6C0B160B-2D68-440A-8DF3-7F8EFE906CC9}"/>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47E49220-0BF5-4056-B456-7C0DB9412EF7}"/>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53D8A5DF-0C17-42B9-B653-308236D8A490}"/>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B10AAC63-3D8D-4FFA-B3C2-8796AC17D154}"/>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582F198A-F198-4D72-AB4F-08008B5BFBC6}"/>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7D24E12C-D8C9-4F8E-A02E-8D75C60C9320}"/>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69704EF8-9C24-4107-91EA-F6598A573982}"/>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F7D6718F-F17B-4D12-8279-909EE02024E2}"/>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923CCBC0-83DF-4081-955C-98D1A94E14CA}"/>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ACFB767D-174F-4790-B3F0-A0F43D97D6FC}"/>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6FF3DE5A-DA84-461A-B10C-7A90B7C41067}"/>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67D11CF3-ECCD-4426-84FF-35A8C3C7428B}"/>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01866002-527D-4565-93C0-98F1208095CB}"/>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32D224A3-4642-423E-9157-B600C5A25521}"/>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9EED03E4-90F7-4609-BF51-CE2265FC038D}"/>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511FE08A-1D91-4BC5-B9CA-BDB1F60AE0FB}"/>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289133D7-4A4E-41A7-A108-DE7E849632D4}"/>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226EDADD-38F3-4B14-8E22-D0011146089B}"/>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9596FFDF-4CA9-4676-9F5C-F7555E555C10}"/>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FB8C65F4-900F-4123-8666-FE05527C6A8D}"/>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95707103-E3CD-4EA4-9574-029935D2CD63}"/>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F453489F-C3D9-4FFD-8E46-77C0CB745D0D}"/>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C7649BF6-3F73-4A3C-821E-4D467A7191E5}"/>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25C2152A-0642-4214-BB44-44ABEBDBDAA7}"/>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7585236C-C01A-425B-B19D-4AEA739B6755}"/>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F449BB54-76B9-4D09-AA0C-B7D0B9434ED0}"/>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5646D75F-3C9C-424D-9D86-80EC60F30CE3}"/>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35115FE8-8FDD-423D-8B6E-4B9D717D83F5}"/>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59F17AB1-13F9-4069-8EDA-F392B2508816}"/>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12D53490-BFA5-45FE-9FDC-C55E0071CCF8}"/>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7111631F-107C-4B71-A6FD-B38A0C098371}"/>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4EB2431D-ADD5-4F2C-8FCF-D2CF694664FC}"/>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D1F700EF-7392-4728-910C-0FB59EB11B6E}"/>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9DF6F69D-E256-41DC-9E64-0F14B6DFA78C}"/>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1DA155FF-7AF8-4825-A8FE-87FF4EC4F3B3}"/>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C2C35469-3B18-47E0-A171-784C2A3B0E32}"/>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C93426FC-1815-4DCC-B5BF-1B951D84F633}"/>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70E5B582-272D-406F-A35B-DE609C454AAF}"/>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FB81545D-6492-4AAE-B9BC-5DA39DF07B52}"/>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45B21761-1FA1-438A-B33D-63FA8B91A6BD}"/>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38159EB0-F046-4216-B2C1-CD39CE3F1247}"/>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CA0C1EEC-83E0-4BD3-B77E-256704E189D6}"/>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CE5A1E2A-2774-4A18-8C83-531FAABAC921}"/>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2FA9A197-4B53-4B03-B2DA-F6E40C362D36}"/>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111A57C2-D415-4B26-B672-3B7029AC6DD5}"/>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8EE82CB2-7262-4866-8632-C38645B09917}"/>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37232AD9-08AB-40EF-94E1-39FE0F195AC2}"/>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9415854A-833C-4D2E-8717-1F1C3CD32A46}"/>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68F26EF1-CAED-46DF-85E8-DEF49BD08C70}"/>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E29E27DA-7CDB-4355-80DE-7B1128719309}"/>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4C484C39-1852-4B7D-A221-51181A587FAC}"/>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00777433-271B-4ECA-B570-ED00379A7E52}"/>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79F1EAA8-E715-4335-B53E-5F79A6D08331}"/>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FA001FB8-EC59-4632-B352-556DB8F0BD08}"/>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9AE93F27-73D2-423C-AF47-F696F130B8EC}"/>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1DAFF3C7-3976-499C-A1B2-71134BC47783}"/>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CB7E20AD-F581-4846-A56F-105147A7D977}"/>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71155DFB-8D34-44ED-A13A-9F53686FAD67}"/>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972F7ED9-C47C-441A-B764-B5098A52642D}"/>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55587BE7-F281-409E-AD67-D65CC824ABDE}"/>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A1491B45-4657-48B6-8471-FDBD8E5168AF}"/>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61178E39-FFDF-4E9B-BDDD-4FDDC1C7A44C}"/>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3B6887D9-24B3-4DB0-B145-EE188894E089}"/>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72E45679-DDFA-4F26-ADD9-4E5CC7B9EA82}"/>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790A14BA-384E-4C6C-A177-875E6E6AD99C}"/>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2" name="Picture 1">
          <a:extLst>
            <a:ext uri="{FF2B5EF4-FFF2-40B4-BE49-F238E27FC236}">
              <a16:creationId xmlns:a16="http://schemas.microsoft.com/office/drawing/2014/main" id="{431959C4-4AFA-4BD8-9535-E7A7D6FB951A}"/>
            </a:ext>
          </a:extLst>
        </xdr:cNvPr>
        <xdr:cNvPicPr>
          <a:picLocks noChangeAspect="1"/>
        </xdr:cNvPicPr>
      </xdr:nvPicPr>
      <xdr:blipFill>
        <a:blip xmlns:r="http://schemas.openxmlformats.org/officeDocument/2006/relationships" r:embed="rId1"/>
        <a:stretch>
          <a:fillRect/>
        </a:stretch>
      </xdr:blipFill>
      <xdr:spPr>
        <a:xfrm>
          <a:off x="141941" y="149411"/>
          <a:ext cx="1601694" cy="8361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1746541</xdr:colOff>
      <xdr:row>693</xdr:row>
      <xdr:rowOff>162127</xdr:rowOff>
    </xdr:to>
    <xdr:pic>
      <xdr:nvPicPr>
        <xdr:cNvPr id="2" name="Picture 1">
          <a:extLst>
            <a:ext uri="{FF2B5EF4-FFF2-40B4-BE49-F238E27FC236}">
              <a16:creationId xmlns:a16="http://schemas.microsoft.com/office/drawing/2014/main" id="{1412B9D5-03B4-4E66-9569-D167DCBDFAED}"/>
            </a:ext>
          </a:extLst>
        </xdr:cNvPr>
        <xdr:cNvPicPr>
          <a:picLocks noChangeAspect="1"/>
        </xdr:cNvPicPr>
      </xdr:nvPicPr>
      <xdr:blipFill>
        <a:blip xmlns:r="http://schemas.openxmlformats.org/officeDocument/2006/relationships" r:embed="rId1"/>
        <a:stretch>
          <a:fillRect/>
        </a:stretch>
      </xdr:blipFill>
      <xdr:spPr>
        <a:xfrm>
          <a:off x="12001198" y="59213132"/>
          <a:ext cx="3518493" cy="823145"/>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8B47D127-69AD-4A7B-8857-3A307CA0948F}"/>
            </a:ext>
          </a:extLst>
        </xdr:cNvPr>
        <xdr:cNvCxnSpPr/>
      </xdr:nvCxnSpPr>
      <xdr:spPr>
        <a:xfrm>
          <a:off x="11121673" y="5956458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C585265A-5BBA-4C82-9C93-DF09856C0A62}"/>
            </a:ext>
          </a:extLst>
        </xdr:cNvPr>
        <xdr:cNvCxnSpPr/>
      </xdr:nvCxnSpPr>
      <xdr:spPr>
        <a:xfrm flipH="1">
          <a:off x="12553333" y="5989090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F226B382-47EF-4A22-A6E6-B8240A1F2C90}"/>
            </a:ext>
          </a:extLst>
        </xdr:cNvPr>
        <xdr:cNvCxnSpPr/>
      </xdr:nvCxnSpPr>
      <xdr:spPr>
        <a:xfrm>
          <a:off x="13639006" y="5983666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1880456</xdr:colOff>
      <xdr:row>706</xdr:row>
      <xdr:rowOff>33685</xdr:rowOff>
    </xdr:to>
    <xdr:pic>
      <xdr:nvPicPr>
        <xdr:cNvPr id="6" name="Picture 5">
          <a:extLst>
            <a:ext uri="{FF2B5EF4-FFF2-40B4-BE49-F238E27FC236}">
              <a16:creationId xmlns:a16="http://schemas.microsoft.com/office/drawing/2014/main" id="{D8F4B025-AAB0-413D-A915-CE324F5050AD}"/>
            </a:ext>
          </a:extLst>
        </xdr:cNvPr>
        <xdr:cNvPicPr>
          <a:picLocks noChangeAspect="1"/>
        </xdr:cNvPicPr>
      </xdr:nvPicPr>
      <xdr:blipFill>
        <a:blip xmlns:r="http://schemas.openxmlformats.org/officeDocument/2006/relationships" r:embed="rId2"/>
        <a:stretch>
          <a:fillRect/>
        </a:stretch>
      </xdr:blipFill>
      <xdr:spPr>
        <a:xfrm>
          <a:off x="565305" y="61241517"/>
          <a:ext cx="12434001" cy="1085668"/>
        </a:xfrm>
        <a:prstGeom prst="rect">
          <a:avLst/>
        </a:prstGeom>
      </xdr:spPr>
    </xdr:pic>
    <xdr:clientData/>
  </xdr:twoCellAnchor>
  <xdr:twoCellAnchor editAs="oneCell">
    <xdr:from>
      <xdr:col>0</xdr:col>
      <xdr:colOff>526586</xdr:colOff>
      <xdr:row>760</xdr:row>
      <xdr:rowOff>25824</xdr:rowOff>
    </xdr:from>
    <xdr:to>
      <xdr:col>5</xdr:col>
      <xdr:colOff>783852</xdr:colOff>
      <xdr:row>768</xdr:row>
      <xdr:rowOff>29278</xdr:rowOff>
    </xdr:to>
    <xdr:pic>
      <xdr:nvPicPr>
        <xdr:cNvPr id="7" name="Picture 6">
          <a:extLst>
            <a:ext uri="{FF2B5EF4-FFF2-40B4-BE49-F238E27FC236}">
              <a16:creationId xmlns:a16="http://schemas.microsoft.com/office/drawing/2014/main" id="{9B7D501C-E428-4BDB-B1E5-182A81CE6680}"/>
            </a:ext>
          </a:extLst>
        </xdr:cNvPr>
        <xdr:cNvPicPr>
          <a:picLocks noChangeAspect="1"/>
        </xdr:cNvPicPr>
      </xdr:nvPicPr>
      <xdr:blipFill>
        <a:blip xmlns:r="http://schemas.openxmlformats.org/officeDocument/2006/relationships" r:embed="rId3"/>
        <a:stretch>
          <a:fillRect/>
        </a:stretch>
      </xdr:blipFill>
      <xdr:spPr>
        <a:xfrm>
          <a:off x="526586" y="72257074"/>
          <a:ext cx="11376116" cy="1476654"/>
        </a:xfrm>
        <a:prstGeom prst="rect">
          <a:avLst/>
        </a:prstGeom>
      </xdr:spPr>
    </xdr:pic>
    <xdr:clientData/>
  </xdr:twoCellAnchor>
  <xdr:twoCellAnchor editAs="oneCell">
    <xdr:from>
      <xdr:col>0</xdr:col>
      <xdr:colOff>464634</xdr:colOff>
      <xdr:row>823</xdr:row>
      <xdr:rowOff>130299</xdr:rowOff>
    </xdr:from>
    <xdr:to>
      <xdr:col>5</xdr:col>
      <xdr:colOff>420442</xdr:colOff>
      <xdr:row>831</xdr:row>
      <xdr:rowOff>147776</xdr:rowOff>
    </xdr:to>
    <xdr:pic>
      <xdr:nvPicPr>
        <xdr:cNvPr id="8" name="Picture 7">
          <a:extLst>
            <a:ext uri="{FF2B5EF4-FFF2-40B4-BE49-F238E27FC236}">
              <a16:creationId xmlns:a16="http://schemas.microsoft.com/office/drawing/2014/main" id="{02180FCA-0B60-4696-94AC-E28480595311}"/>
            </a:ext>
          </a:extLst>
        </xdr:cNvPr>
        <xdr:cNvPicPr>
          <a:picLocks noChangeAspect="1"/>
        </xdr:cNvPicPr>
      </xdr:nvPicPr>
      <xdr:blipFill>
        <a:blip xmlns:r="http://schemas.openxmlformats.org/officeDocument/2006/relationships" r:embed="rId4"/>
        <a:stretch>
          <a:fillRect/>
        </a:stretch>
      </xdr:blipFill>
      <xdr:spPr>
        <a:xfrm>
          <a:off x="464634" y="83962999"/>
          <a:ext cx="11074658" cy="1490677"/>
        </a:xfrm>
        <a:prstGeom prst="rect">
          <a:avLst/>
        </a:prstGeom>
      </xdr:spPr>
    </xdr:pic>
    <xdr:clientData/>
  </xdr:twoCellAnchor>
  <xdr:twoCellAnchor editAs="oneCell">
    <xdr:from>
      <xdr:col>5</xdr:col>
      <xdr:colOff>2152805</xdr:colOff>
      <xdr:row>699</xdr:row>
      <xdr:rowOff>170366</xdr:rowOff>
    </xdr:from>
    <xdr:to>
      <xdr:col>12</xdr:col>
      <xdr:colOff>850314</xdr:colOff>
      <xdr:row>706</xdr:row>
      <xdr:rowOff>106239</xdr:rowOff>
    </xdr:to>
    <xdr:pic>
      <xdr:nvPicPr>
        <xdr:cNvPr id="9" name="Picture 8">
          <a:extLst>
            <a:ext uri="{FF2B5EF4-FFF2-40B4-BE49-F238E27FC236}">
              <a16:creationId xmlns:a16="http://schemas.microsoft.com/office/drawing/2014/main" id="{80387D1A-7800-4CB3-A604-82967BA615B8}"/>
            </a:ext>
          </a:extLst>
        </xdr:cNvPr>
        <xdr:cNvPicPr>
          <a:picLocks noChangeAspect="1"/>
        </xdr:cNvPicPr>
      </xdr:nvPicPr>
      <xdr:blipFill>
        <a:blip xmlns:r="http://schemas.openxmlformats.org/officeDocument/2006/relationships" r:embed="rId5"/>
        <a:stretch>
          <a:fillRect/>
        </a:stretch>
      </xdr:blipFill>
      <xdr:spPr>
        <a:xfrm>
          <a:off x="13271655" y="61174816"/>
          <a:ext cx="13778759" cy="122492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Helpdesk" id="{0637684C-C741-4E39-A1DA-7156813F9082}" userId="S-1-5-21-3162333494-943888634-136828560-1674" providerId="AD"/>
</personLis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E7B14AB-3C6A-4236-95DE-F81925FC6800}" name="HO_35" displayName="HO_35" ref="B3:B15" totalsRowShown="0" dataDxfId="9" dataCellStyle="Normal 6">
  <autoFilter ref="B3:B15" xr:uid="{00000000-0009-0000-0100-000001000000}"/>
  <tableColumns count="1">
    <tableColumn id="1" xr3:uid="{1F9AA11A-83DB-427C-9134-10847890D8F3}" name="Directorate" dataDxfId="8" dataCellStyle="Normal 6"/>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161E9B5-DEFF-4F1F-BB01-48110DDA62AB}" name="Division36" displayName="Division36" ref="B21:B57" totalsRowShown="0" tableBorderDxfId="7">
  <autoFilter ref="B21:B57" xr:uid="{00000000-0009-0000-0100-000002000000}"/>
  <tableColumns count="1">
    <tableColumn id="1" xr3:uid="{6D27A736-DBC2-4CAF-8F3D-7381340025B0}"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9B0BD3C-F4B1-4992-A166-1EDE8FB7D7BA}" name="CEOOffice40" displayName="CEOOffice40" ref="J3:J12" totalsRowShown="0">
  <autoFilter ref="J3:J12" xr:uid="{00000000-0009-0000-0100-000006000000}"/>
  <tableColumns count="1">
    <tableColumn id="1" xr3:uid="{4559A77A-25D7-4F9D-A6D4-4BDA3BA304BB}" name="PD Offic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AE80AD1-35D9-43D6-BAE7-8A4BF04F2DA7}" name="CC_HR49" displayName="CC_HR49" ref="G21:G29" totalsRowShown="0">
  <autoFilter ref="G21:G29" xr:uid="{00000000-0009-0000-0100-00000F000000}"/>
  <tableColumns count="1">
    <tableColumn id="1" xr3:uid="{7387A4D5-1A98-4B3F-8A5C-D5E1CA3B40EC}" name="HR"/>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ABC2A72-0A76-4E47-9CB5-0991E06213CD}" name="CC_KSO64" displayName="CC_KSO64" ref="P21:P22" totalsRowShown="0">
  <autoFilter ref="P21:P22" xr:uid="{00000000-0009-0000-0100-00001E000000}"/>
  <tableColumns count="1">
    <tableColumn id="1" xr3:uid="{0C032102-B105-4D2E-8A44-D6923EEFE350}" name="KSO"/>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4D4A737-3A2D-42F8-BDDA-8040E9A3C668}" name="CC_GRPMedan65" displayName="CC_GRPMedan65" ref="P25:P26" totalsRowShown="0">
  <autoFilter ref="P25:P26" xr:uid="{00000000-0009-0000-0100-00001F000000}"/>
  <tableColumns count="1">
    <tableColumn id="1" xr3:uid="{893B63DF-565C-4E34-AA33-2438F815626E}" name="GRP Medan"/>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4E77CCFF-C2E8-408D-939E-A9C091B5EF08}" name="GLLIST67" displayName="GLLIST67" ref="B166:B311" totalsRowShown="0" headerRowDxfId="6" headerRowBorderDxfId="5" tableBorderDxfId="4" totalsRowBorderDxfId="3">
  <autoFilter ref="B166:B311" xr:uid="{00000000-0009-0000-0100-000021000000}"/>
  <tableColumns count="1">
    <tableColumn id="1" xr3:uid="{E7603E36-C8F4-4207-9599-DD7FA7F288F5}" name="G/L account" dataDxfId="2"/>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BDADF326-4D75-417C-9EFF-1D25A56184E3}" name="HR_372" displayName="HR_372" ref="G3:G4" totalsRowShown="0">
  <autoFilter ref="G3:G4" xr:uid="{67A0F897-D6AE-4B77-B06A-78398106400B}"/>
  <tableColumns count="1">
    <tableColumn id="1" xr3:uid="{AF0C14A9-C25F-41E1-9134-119E8D21EF26}" name="Human Resources"/>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CF0CBDB-9B09-462D-9C26-61DC1322D991}" name="GA_383" displayName="GA_383" ref="H3:H4" totalsRowShown="0">
  <autoFilter ref="H3:H4" xr:uid="{DC22D487-2450-4381-B3E5-42E6E28EC1F7}"/>
  <tableColumns count="1">
    <tableColumn id="1" xr3:uid="{502902B0-1DEE-4D0F-832E-B41739AAB4EA}" name="General Affairs"/>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8B304BEC-24A0-4025-ADBB-A09039B9C8C4}" name="Sales394" displayName="Sales394" ref="I3:I5" totalsRowShown="0">
  <autoFilter ref="I3:I5" xr:uid="{3051B8D1-45F7-421A-803B-2C5BBFA36C04}"/>
  <tableColumns count="1">
    <tableColumn id="1" xr3:uid="{7EA86116-EC5E-4116-9D74-F144698ABBD9}" name="Sales &amp; Procurement"/>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18B5C44-BE4C-4A78-8F8A-32C22749414E}" name="CA_415" displayName="CA_415" ref="K3:K7" totalsRowShown="0">
  <autoFilter ref="K3:K7" xr:uid="{636D477B-26EF-43B2-B06C-A5BAABED3E88}"/>
  <tableColumns count="1">
    <tableColumn id="1" xr3:uid="{342CC6D1-2F53-451F-92B1-36F93479132D}" name="Legal &amp; Compliance"/>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C0304E3-B405-47DD-AC66-BD43E0190645}" name="Finance426" displayName="Finance426" ref="L3:L8" totalsRowShown="0">
  <autoFilter ref="L3:L8" xr:uid="{F61B22D2-EB24-4962-9CF5-B08585AD610F}"/>
  <tableColumns count="1">
    <tableColumn id="1" xr3:uid="{33753511-2A9C-400D-9BF5-DF6151EB3119}" name="Finance"/>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9126F59-C403-4B16-A754-45FEF7F4FF92}" name="SCM_437" displayName="SCM_437" ref="M3:M7" totalsRowShown="0">
  <autoFilter ref="M3:M7" xr:uid="{4973694D-7108-47B3-B7A4-2C012958DE67}"/>
  <tableColumns count="1">
    <tableColumn id="1" xr3:uid="{25FD0A52-C3D0-49B8-B0BE-042C3EB024E0}" name="Supply Chain Manag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34ABA87-B727-4FEC-9A3B-C4EFFB9EF496}" name="IT_448" displayName="IT_448" ref="N3:N4" totalsRowShown="0">
  <autoFilter ref="N3:N4" xr:uid="{4F8313DB-4185-47F5-870E-F47D8BEF1744}"/>
  <tableColumns count="1">
    <tableColumn id="1" xr3:uid="{53807B2F-868B-4F7C-BFC9-312E73D835DB}" name="Information Technolog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DA8B863-91E1-40D9-9C41-3BD6F4AAB356}" name="TO_459" displayName="TO_459" ref="O3:O4" totalsRowShown="0">
  <autoFilter ref="O3:O4" xr:uid="{63526789-E3C3-49FC-8EDD-8061B24AB08C}"/>
  <tableColumns count="1">
    <tableColumn id="1" xr3:uid="{8C7461CE-A6E4-4DFD-AD48-F386DC60CDF2}" name="Regulatory &amp; External Affairs"/>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A60A74A-EAAB-41C5-96C8-CD49F894E212}" name="TO_4531" displayName="TO_4531" ref="P3:R9" totalsRowShown="0">
  <autoFilter ref="P3:R9" xr:uid="{76C25C76-79DB-4DF0-B014-89A95D6F346B}"/>
  <tableColumns count="3">
    <tableColumn id="1" xr3:uid="{132260CE-5E3E-4359-81AF-E60B32883E8D}" name="QHSE"/>
    <tableColumn id="2" xr3:uid="{7E7B5570-34CC-47BA-94E5-0AE1C6A382D1}" name="Business Unit (BU)"/>
    <tableColumn id="3" xr3:uid="{FFC777AD-1DE2-423F-9CC9-B3E5D86927C1}" name="Service Unit (SU)"/>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2A44BE2-6CDA-405C-ABB6-4D0A4F0E6277}" name="CC_Sales46" displayName="CC_Sales46" ref="I21:I24" totalsRowShown="0">
  <autoFilter ref="I21:I24" xr:uid="{00000000-0009-0000-0100-00000C000000}"/>
  <tableColumns count="1">
    <tableColumn id="1" xr3:uid="{D3FA00E8-B929-4F56-87A7-1F779AD16336}" name="Sales"/>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4758440-3667-40C7-AE2B-EF9E56E46132}" name="CC_Procurement47" displayName="CC_Procurement47" ref="M21:M22" totalsRowShown="0">
  <autoFilter ref="M21:M22" xr:uid="{00000000-0009-0000-0100-00000D000000}"/>
  <tableColumns count="1">
    <tableColumn id="1" xr3:uid="{55C7CEFF-4061-41C8-92BA-81ED0A05BC96}" name="Procurement"/>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689E38E-8399-49D4-97F6-F3230DA61F05}" name="CC_Warehouse48" displayName="CC_Warehouse48" ref="M25:M31" totalsRowShown="0">
  <autoFilter ref="M25:M31" xr:uid="{00000000-0009-0000-0100-00000E000000}"/>
  <tableColumns count="1">
    <tableColumn id="1" xr3:uid="{CC8D4C5D-0AB7-40AC-8E8E-98E8423A5236}" name="Warehouse &amp; Inventory"/>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C5E0EEC-A92E-4590-B3AC-3DAC753CE329}" name="CC_GA50" displayName="CC_GA50" ref="H21:H28" totalsRowShown="0">
  <autoFilter ref="H21:H28" xr:uid="{00000000-0009-0000-0100-000010000000}"/>
  <tableColumns count="1">
    <tableColumn id="1" xr3:uid="{413675E5-C611-4829-8B9C-43CF3315255F}" name="GA"/>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0EFD8A7-33A5-4418-838B-3617BEE6E7B7}" name="CC_BOD51" displayName="CC_BOD51" ref="J21:J22" totalsRowShown="0">
  <autoFilter ref="J21:J22" xr:uid="{00000000-0009-0000-0100-000011000000}"/>
  <tableColumns count="1">
    <tableColumn id="1" xr3:uid="{8B955B57-ACB0-44D2-AC69-544086CD92F2}" name="BOD"/>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17D8085-FE62-4A53-B5EB-0289B4485C8A}" name="CC_Corplan52" displayName="CC_Corplan52" ref="J25:J26" totalsRowShown="0">
  <autoFilter ref="J25:J26" xr:uid="{00000000-0009-0000-0100-000012000000}"/>
  <tableColumns count="1">
    <tableColumn id="1" xr3:uid="{39E38039-20F7-461F-92DD-D407FC16846F}" name="Corplan"/>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AC7A609E-3C6C-427C-8EE0-9D8D98CB35FA}" name="CC_IA53" displayName="CC_IA53" ref="J29:J30" totalsRowShown="0">
  <autoFilter ref="J29:J30" xr:uid="{00000000-0009-0000-0100-000013000000}"/>
  <tableColumns count="1">
    <tableColumn id="1" xr3:uid="{86ABBB5C-6F6A-45F5-BE07-D96D841B409C}" name="IA"/>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D3585EB-181B-4183-9558-E59F0207EFB5}" name="CC_HS54" displayName="CC_HS54" ref="J33:J35" totalsRowShown="0">
  <autoFilter ref="J33:J35" xr:uid="{00000000-0009-0000-0100-000014000000}"/>
  <tableColumns count="1">
    <tableColumn id="1" xr3:uid="{DCE88777-74B3-4E1D-AE1F-7188D9D115B9}" name="HS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9972F17C-D29F-4958-8B31-03AA9E49B16F}" name="CC_Legal55" displayName="CC_Legal55" ref="K21:K25" totalsRowShown="0">
  <autoFilter ref="K21:K25" xr:uid="{00000000-0009-0000-0100-000015000000}"/>
  <tableColumns count="1">
    <tableColumn id="1" xr3:uid="{1976BEA4-EBA4-4805-B3CA-2D309CEA9DEB}" name="Legal"/>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2B7DC69-AEF3-42D0-ADB9-2F0199E3943E}" name="CC_CorComm56" displayName="CC_CorComm56" ref="K28:K34" totalsRowShown="0">
  <autoFilter ref="K28:K34" xr:uid="{00000000-0009-0000-0100-000016000000}"/>
  <tableColumns count="1">
    <tableColumn id="1" xr3:uid="{6938B391-2E44-475E-977D-B6A4EC3444E3}" name="CorCom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949A3B68-8145-4EBA-B5FE-9AD9C8BBAF19}" name="CC_Accounting57" displayName="CC_Accounting57" ref="L21:L22" totalsRowShown="0">
  <autoFilter ref="L21:L22" xr:uid="{00000000-0009-0000-0100-000017000000}"/>
  <tableColumns count="1">
    <tableColumn id="1" xr3:uid="{1BF146A5-A47E-479F-B21B-B11BC9A6CAF5}" name="Accounting"/>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62AB7B9-1E0E-44F4-8404-F7A62D9460A4}" name="CC_FinanceTreasury58" displayName="CC_FinanceTreasury58" ref="L25:L27" totalsRowShown="0">
  <autoFilter ref="L25:L27" xr:uid="{00000000-0009-0000-0100-000018000000}"/>
  <tableColumns count="1">
    <tableColumn id="1" xr3:uid="{AB4BFB93-221D-4BDB-8E66-278368EBFB93}" name="Treasury Finance"/>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2005257-4223-4B7C-8B1E-7E7CB6CF9A91}" name="CC_FPA59" displayName="CC_FPA59" ref="L30:L32" totalsRowShown="0">
  <autoFilter ref="L30:L32" xr:uid="{00000000-0009-0000-0100-000019000000}"/>
  <tableColumns count="1">
    <tableColumn id="1" xr3:uid="{633C98FC-AE6E-45FC-9637-402AD7D22DF7}" name="FPA"/>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8F1BD00-E35E-4FC4-8577-0D76818E9A6A}" name="CC_FAM60" displayName="CC_FAM60" ref="L35:L36" totalsRowShown="0">
  <autoFilter ref="L35:L36" xr:uid="{00000000-0009-0000-0100-00001A000000}"/>
  <tableColumns count="1">
    <tableColumn id="1" xr3:uid="{BBBC89C6-03A7-4534-BEEA-FE9737B14442}" name="FAM"/>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D41C657-C669-4105-B990-96DAA4077DA0}" name="CC_Tax61" displayName="CC_Tax61" ref="L39:L40" totalsRowShown="0">
  <autoFilter ref="L39:L40" xr:uid="{00000000-0009-0000-0100-00001B000000}"/>
  <tableColumns count="1">
    <tableColumn id="1" xr3:uid="{0BE35947-33A6-45B9-B7FD-6AC2C859BC7C}" name="Tax"/>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6911D54-210D-48E3-8DEE-599315270C4E}" name="CC_IT62" displayName="CC_IT62" ref="N21:N23" totalsRowShown="0">
  <autoFilter ref="N21:N23" xr:uid="{00000000-0009-0000-0100-00001C000000}"/>
  <tableColumns count="1">
    <tableColumn id="1" xr3:uid="{DDAFFB19-5B31-41F8-BA05-02BD889F7BA4}" name="IT"/>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94DA7B90-3627-4DE4-90C8-036D7337D497}" name="CC_TO63" displayName="CC_TO63" ref="O21:O25" totalsRowShown="0">
  <autoFilter ref="O21:O25" xr:uid="{00000000-0009-0000-0100-00001D000000}"/>
  <tableColumns count="1">
    <tableColumn id="1" xr3:uid="{9D1B48CC-669F-4931-853C-3637329B0263}" name="TO"/>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1A98862-137B-49D0-A0C9-F901508966AC}" name="CC_Environment66" displayName="CC_Environment66" ref="K37:K38" totalsRowShown="0">
  <autoFilter ref="K37:K38" xr:uid="{00000000-0009-0000-0100-000020000000}"/>
  <tableColumns count="1">
    <tableColumn id="1" xr3:uid="{044A69D8-C9DA-452F-A09D-73CC2BA32D0C}" name="Environment"/>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52" dT="2023-10-04T09:59:27.03" personId="{0637684C-C741-4E39-A1DA-7156813F9082}" id="{CABA4658-0954-49BC-916C-9812A6C93D49}">
    <text>ATA</text>
  </threadedComment>
  <threadedComment ref="C54" dT="2023-09-27T01:57:32.95" personId="{0637684C-C741-4E39-A1DA-7156813F9082}" id="{58F8507E-8A95-4213-AA81-3ABF2B9F93B4}">
    <text xml:space="preserve">Tidak dipakai </text>
  </threadedComment>
  <threadedComment ref="C55" dT="2023-10-04T09:59:15.45" personId="{0637684C-C741-4E39-A1DA-7156813F9082}" id="{09A92904-1BF3-45DF-8E51-38E8B8F19745}">
    <text>ATA</text>
  </threadedComment>
  <threadedComment ref="C61" dT="2023-10-04T09:59:01.08" personId="{0637684C-C741-4E39-A1DA-7156813F9082}" id="{B5670C15-9719-4AEF-8C9B-4DF4A5B7C79E}">
    <text>ATA</text>
  </threadedComment>
  <threadedComment ref="C62" dT="2023-10-04T09:59:07.51" personId="{0637684C-C741-4E39-A1DA-7156813F9082}" id="{1F45B8E8-8C30-4D80-993A-82E97FB64E21}">
    <text>ATA</text>
  </threadedComment>
  <threadedComment ref="C65" dT="2023-10-04T09:58:56.40" personId="{0637684C-C741-4E39-A1DA-7156813F9082}" id="{35E620CE-3FB7-4D60-A57A-DCBE8872F42B}">
    <text>ATA</text>
  </threadedComment>
  <threadedComment ref="C66" dT="2023-10-04T09:58:49.01" personId="{0637684C-C741-4E39-A1DA-7156813F9082}" id="{5C60114A-6E3D-48B3-A5FE-F0DC013764F9}">
    <text>ATA</text>
  </threadedComment>
  <threadedComment ref="C67" dT="2023-10-04T10:00:54.01" personId="{0637684C-C741-4E39-A1DA-7156813F9082}" id="{DA0C3139-6257-4A3D-B987-06EAFBC7A111}">
    <text>ATA</text>
  </threadedComment>
  <threadedComment ref="C68" dT="2023-10-04T09:58:42.58" personId="{0637684C-C741-4E39-A1DA-7156813F9082}" id="{4059AB21-2E47-4A5D-A6DB-4451B9DF53D4}">
    <text>ATA</text>
  </threadedComment>
  <threadedComment ref="C69" dT="2023-10-04T09:58:36.13" personId="{0637684C-C741-4E39-A1DA-7156813F9082}" id="{72474E9F-EC17-41F6-8CE9-482A61297F37}">
    <text>ATA</text>
  </threadedComment>
  <threadedComment ref="C72" dT="2023-10-04T09:58:13.49" personId="{0637684C-C741-4E39-A1DA-7156813F9082}" id="{C710AE4F-9D94-45E0-A5C2-9E78D4AD107A}">
    <text>ATA</text>
  </threadedComment>
  <threadedComment ref="C74" dT="2023-10-04T09:58:30.00" personId="{0637684C-C741-4E39-A1DA-7156813F9082}" id="{F3FFBAE4-6C36-4A25-AA4B-2D5EBA662712}">
    <text>ATA</text>
  </threadedComment>
  <threadedComment ref="C77" dT="2023-10-05T00:09:30.89" personId="{0637684C-C741-4E39-A1DA-7156813F9082}" id="{28C168C2-E6C7-49BC-BC18-DAF195D733C5}">
    <text>ATA</text>
  </threadedComment>
  <threadedComment ref="C78" dT="2023-10-05T00:09:21.69" personId="{0637684C-C741-4E39-A1DA-7156813F9082}" id="{89C7041F-6E01-40CF-83FC-CC98A6F2AAA4}">
    <text>ATA</text>
  </threadedComment>
  <threadedComment ref="C102" dT="2023-10-02T03:41:27.74" personId="{0637684C-C741-4E39-A1DA-7156813F9082}" id="{B9884DF2-0D14-4954-A8DE-EB917A78647B}">
    <text>TSA</text>
  </threadedComment>
  <threadedComment ref="C122" dT="2023-10-04T09:54:46.34" personId="{0637684C-C741-4E39-A1DA-7156813F9082}" id="{A86FDD57-3744-47C3-9A9E-F3B9F07E7985}">
    <text>ATA</text>
  </threadedComment>
  <threadedComment ref="C126" dT="2023-10-02T06:36:49.34" personId="{0637684C-C741-4E39-A1DA-7156813F9082}" id="{5E2E5389-C294-4365-96BC-77AE448E662A}">
    <text>Actual = November 
ATA (maret)</text>
  </threadedComment>
  <threadedComment ref="C127" dT="2023-10-02T06:59:35.86" personId="{0637684C-C741-4E39-A1DA-7156813F9082}" id="{73099E53-395A-449F-AC5F-7C2CDF8C127A}">
    <text>ATA: Agustus 2023 10.000.000</text>
  </threadedComment>
  <threadedComment ref="C129" dT="2023-10-04T11:03:11.19" personId="{0637684C-C741-4E39-A1DA-7156813F9082}" id="{1534D563-C741-49B1-BB5D-B699085E7C98}">
    <text>ATA</text>
  </threadedComment>
  <threadedComment ref="C130" dT="2023-10-04T11:03:03.66" personId="{0637684C-C741-4E39-A1DA-7156813F9082}" id="{07CB467C-EE34-4B6F-819E-68849B868A25}">
    <text>ATA</text>
  </threadedComment>
  <threadedComment ref="C131" dT="2023-10-04T11:03:21.19" personId="{0637684C-C741-4E39-A1DA-7156813F9082}" id="{63115A9B-1AA2-4BD3-8867-840101A5661A}">
    <text>ATA</text>
  </threadedComment>
  <threadedComment ref="C137" dT="2023-10-04T09:55:23.11" personId="{0637684C-C741-4E39-A1DA-7156813F9082}" id="{6DCEDAFE-35AC-495A-811B-0F348D5B180F}">
    <text>ATA</text>
  </threadedComment>
  <threadedComment ref="B147" dT="2023-10-02T03:45:38.81" personId="{0637684C-C741-4E39-A1DA-7156813F9082}" id="{A40F0D58-E9FF-492E-85F4-8A287E4A2149}">
    <text>4 devices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7.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8.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9311C-6C2B-4F9E-9D94-FDE2086BACE2}">
  <sheetPr codeName="Sheet7">
    <tabColor rgb="FF8A0000"/>
  </sheetPr>
  <dimension ref="A1:W255"/>
  <sheetViews>
    <sheetView showGridLines="0" zoomScale="70" zoomScaleNormal="70" workbookViewId="0">
      <selection activeCell="C1" sqref="C1"/>
    </sheetView>
  </sheetViews>
  <sheetFormatPr defaultColWidth="10.28515625" defaultRowHeight="14.25" outlineLevelRow="2" x14ac:dyDescent="0.2"/>
  <cols>
    <col min="1" max="1" width="0.85546875" style="1" customWidth="1"/>
    <col min="2" max="2" width="2.5703125" style="1" customWidth="1"/>
    <col min="3" max="3" width="39.85546875" style="1" customWidth="1"/>
    <col min="4" max="4" width="67.85546875" style="1" bestFit="1" customWidth="1"/>
    <col min="5" max="5" width="127.42578125" style="1" customWidth="1"/>
    <col min="6" max="6" width="33" style="1" customWidth="1"/>
    <col min="7" max="7" width="31.7109375" style="1" customWidth="1"/>
    <col min="8" max="16384" width="10.28515625" style="1"/>
  </cols>
  <sheetData>
    <row r="1" spans="2:16" ht="9" customHeight="1" x14ac:dyDescent="0.2"/>
    <row r="2" spans="2:16" ht="23.25" x14ac:dyDescent="0.35">
      <c r="B2" s="2" t="s">
        <v>1491</v>
      </c>
    </row>
    <row r="3" spans="2:16" ht="9" customHeight="1" x14ac:dyDescent="0.3">
      <c r="B3" s="3"/>
    </row>
    <row r="4" spans="2:16" ht="32.25" customHeight="1" thickBot="1" x14ac:dyDescent="0.3">
      <c r="B4" s="4" t="s">
        <v>0</v>
      </c>
      <c r="C4" s="5"/>
      <c r="D4" s="6"/>
      <c r="E4" s="5"/>
      <c r="F4" s="5"/>
      <c r="G4" s="5"/>
      <c r="H4" s="5"/>
      <c r="I4" s="5"/>
      <c r="J4" s="5"/>
      <c r="K4" s="5"/>
      <c r="L4" s="5"/>
      <c r="M4" s="5"/>
      <c r="N4" s="5"/>
      <c r="O4" s="5"/>
      <c r="P4" s="5"/>
    </row>
    <row r="5" spans="2:16" ht="14.25" customHeight="1" x14ac:dyDescent="0.25">
      <c r="B5" s="7"/>
      <c r="D5" s="8"/>
    </row>
    <row r="6" spans="2:16" ht="14.25" customHeight="1" x14ac:dyDescent="0.2">
      <c r="B6" s="1">
        <v>1</v>
      </c>
      <c r="C6" s="9" t="s">
        <v>2041</v>
      </c>
    </row>
    <row r="7" spans="2:16" ht="14.25" customHeight="1" x14ac:dyDescent="0.2">
      <c r="B7" s="1">
        <v>2</v>
      </c>
      <c r="C7" s="9" t="s">
        <v>1</v>
      </c>
    </row>
    <row r="8" spans="2:16" ht="14.25" customHeight="1" x14ac:dyDescent="0.2">
      <c r="B8" s="10" t="s">
        <v>2</v>
      </c>
      <c r="C8" s="9" t="s">
        <v>1492</v>
      </c>
    </row>
    <row r="9" spans="2:16" ht="14.25" customHeight="1" x14ac:dyDescent="0.2">
      <c r="B9" s="10" t="s">
        <v>2</v>
      </c>
      <c r="C9" s="9" t="s">
        <v>1497</v>
      </c>
    </row>
    <row r="10" spans="2:16" ht="14.25" customHeight="1" x14ac:dyDescent="0.2">
      <c r="B10" s="10" t="s">
        <v>2</v>
      </c>
      <c r="C10" s="9" t="s">
        <v>1493</v>
      </c>
    </row>
    <row r="11" spans="2:16" ht="14.25" customHeight="1" x14ac:dyDescent="0.2">
      <c r="B11" s="10" t="s">
        <v>2</v>
      </c>
      <c r="C11" s="9" t="s">
        <v>1498</v>
      </c>
    </row>
    <row r="12" spans="2:16" ht="14.25" customHeight="1" x14ac:dyDescent="0.2">
      <c r="B12" s="10" t="s">
        <v>2</v>
      </c>
      <c r="C12" s="9" t="s">
        <v>1499</v>
      </c>
    </row>
    <row r="13" spans="2:16" ht="14.25" customHeight="1" x14ac:dyDescent="0.25">
      <c r="B13" s="1">
        <v>3</v>
      </c>
      <c r="C13" s="9" t="s">
        <v>3</v>
      </c>
    </row>
    <row r="14" spans="2:16" ht="14.25" customHeight="1" x14ac:dyDescent="0.2">
      <c r="B14" s="1">
        <v>4</v>
      </c>
      <c r="C14" s="1" t="s">
        <v>4</v>
      </c>
    </row>
    <row r="15" spans="2:16" ht="14.25" customHeight="1" x14ac:dyDescent="0.2">
      <c r="B15" s="1">
        <v>5</v>
      </c>
      <c r="C15" s="1" t="s">
        <v>5</v>
      </c>
    </row>
    <row r="16" spans="2:16" x14ac:dyDescent="0.2">
      <c r="B16" s="1">
        <v>6</v>
      </c>
      <c r="C16" s="1" t="s">
        <v>2002</v>
      </c>
    </row>
    <row r="17" spans="1:23" ht="13.5" customHeight="1" x14ac:dyDescent="0.2"/>
    <row r="18" spans="1:23" ht="32.25" customHeight="1" thickBot="1" x14ac:dyDescent="0.3">
      <c r="B18" s="4" t="s">
        <v>6</v>
      </c>
      <c r="C18" s="5"/>
      <c r="D18" s="6"/>
      <c r="E18" s="5"/>
      <c r="F18" s="5"/>
      <c r="G18" s="5"/>
      <c r="H18" s="5"/>
      <c r="I18" s="5"/>
      <c r="J18" s="5"/>
      <c r="K18" s="5"/>
      <c r="L18" s="5"/>
      <c r="M18" s="5"/>
      <c r="N18" s="5"/>
      <c r="O18" s="5"/>
      <c r="P18" s="5"/>
    </row>
    <row r="20" spans="1:23" ht="14.25" customHeight="1" x14ac:dyDescent="0.2">
      <c r="B20" s="1">
        <v>1</v>
      </c>
      <c r="C20" s="1" t="s">
        <v>7</v>
      </c>
    </row>
    <row r="21" spans="1:23" ht="14.25" customHeight="1" x14ac:dyDescent="0.2">
      <c r="C21" s="11" t="s">
        <v>8</v>
      </c>
    </row>
    <row r="22" spans="1:23" ht="14.25" customHeight="1" x14ac:dyDescent="0.2">
      <c r="C22" s="11" t="s">
        <v>1722</v>
      </c>
    </row>
    <row r="23" spans="1:23" ht="14.25" customHeight="1" x14ac:dyDescent="0.2">
      <c r="C23" s="11" t="s">
        <v>9</v>
      </c>
    </row>
    <row r="24" spans="1:23" ht="14.25" customHeight="1" x14ac:dyDescent="0.2">
      <c r="C24" s="11" t="s">
        <v>1723</v>
      </c>
    </row>
    <row r="25" spans="1:23" ht="14.25" customHeight="1" x14ac:dyDescent="0.25">
      <c r="B25" s="1">
        <v>2</v>
      </c>
      <c r="C25" s="1" t="s">
        <v>1459</v>
      </c>
    </row>
    <row r="26" spans="1:23" ht="14.25" customHeight="1" x14ac:dyDescent="0.25">
      <c r="A26" s="12"/>
      <c r="B26" s="12"/>
      <c r="D26" s="12"/>
      <c r="E26" s="12"/>
      <c r="F26" s="12"/>
      <c r="G26" s="12"/>
      <c r="H26" s="12"/>
      <c r="I26" s="12"/>
      <c r="J26" s="12"/>
      <c r="K26" s="12"/>
      <c r="L26" s="12"/>
      <c r="M26" s="12"/>
      <c r="N26" s="12"/>
      <c r="O26" s="12"/>
      <c r="P26" s="12"/>
      <c r="Q26" s="12"/>
      <c r="R26" s="12"/>
      <c r="S26" s="12"/>
      <c r="T26" s="12"/>
      <c r="U26" s="12"/>
      <c r="V26" s="12"/>
      <c r="W26" s="12"/>
    </row>
    <row r="27" spans="1:23" s="13" customFormat="1" ht="24" customHeight="1" x14ac:dyDescent="0.2">
      <c r="C27" s="14" t="s">
        <v>10</v>
      </c>
      <c r="D27" s="15" t="s">
        <v>11</v>
      </c>
      <c r="E27" s="16"/>
      <c r="F27" s="16"/>
      <c r="G27" s="16"/>
      <c r="H27" s="16"/>
      <c r="I27" s="16"/>
      <c r="J27" s="16"/>
      <c r="K27" s="16"/>
      <c r="L27" s="16"/>
      <c r="M27" s="16"/>
      <c r="N27" s="16"/>
      <c r="O27" s="16"/>
      <c r="P27" s="16"/>
      <c r="Q27" s="16"/>
      <c r="R27" s="16"/>
      <c r="S27" s="16"/>
      <c r="T27" s="16"/>
      <c r="U27" s="16"/>
      <c r="V27" s="16"/>
      <c r="W27" s="16"/>
    </row>
    <row r="29" spans="1:23" outlineLevel="1" x14ac:dyDescent="0.2">
      <c r="C29" s="1" t="s">
        <v>12</v>
      </c>
    </row>
    <row r="30" spans="1:23" outlineLevel="1" x14ac:dyDescent="0.2"/>
    <row r="31" spans="1:23" ht="15" outlineLevel="1" x14ac:dyDescent="0.25">
      <c r="C31" s="17" t="s">
        <v>13</v>
      </c>
      <c r="D31" s="18" t="s">
        <v>14</v>
      </c>
    </row>
    <row r="32" spans="1:23" ht="28.5" outlineLevel="1" x14ac:dyDescent="0.2">
      <c r="C32" s="19" t="s">
        <v>15</v>
      </c>
      <c r="D32" s="20" t="s">
        <v>235</v>
      </c>
    </row>
    <row r="33" spans="3:4" ht="15" outlineLevel="1" x14ac:dyDescent="0.2">
      <c r="C33" s="19" t="s">
        <v>234</v>
      </c>
      <c r="D33" s="20" t="s">
        <v>241</v>
      </c>
    </row>
    <row r="34" spans="3:4" ht="15" outlineLevel="1" x14ac:dyDescent="0.2">
      <c r="C34" s="19" t="s">
        <v>16</v>
      </c>
      <c r="D34" s="20" t="s">
        <v>17</v>
      </c>
    </row>
    <row r="35" spans="3:4" outlineLevel="1" x14ac:dyDescent="0.2"/>
    <row r="36" spans="3:4" ht="25.5" customHeight="1" outlineLevel="1" x14ac:dyDescent="0.2">
      <c r="C36" s="72" t="s">
        <v>2042</v>
      </c>
      <c r="D36" s="72" t="s">
        <v>2043</v>
      </c>
    </row>
    <row r="37" spans="3:4" outlineLevel="2" x14ac:dyDescent="0.2">
      <c r="C37" s="21" t="e">
        <v>#REF!</v>
      </c>
      <c r="D37" s="21" t="s">
        <v>242</v>
      </c>
    </row>
    <row r="38" spans="3:4" outlineLevel="2" x14ac:dyDescent="0.2">
      <c r="C38" s="91" t="s">
        <v>1690</v>
      </c>
      <c r="D38" s="91" t="s">
        <v>1689</v>
      </c>
    </row>
    <row r="39" spans="3:4" outlineLevel="2" x14ac:dyDescent="0.2">
      <c r="C39" s="91" t="s">
        <v>1690</v>
      </c>
      <c r="D39" s="91" t="s">
        <v>1684</v>
      </c>
    </row>
    <row r="40" spans="3:4" outlineLevel="2" x14ac:dyDescent="0.2">
      <c r="C40" s="91" t="s">
        <v>1690</v>
      </c>
      <c r="D40" s="91" t="s">
        <v>1685</v>
      </c>
    </row>
    <row r="41" spans="3:4" outlineLevel="2" x14ac:dyDescent="0.2">
      <c r="C41" s="91" t="s">
        <v>1692</v>
      </c>
      <c r="D41" s="91" t="s">
        <v>1621</v>
      </c>
    </row>
    <row r="42" spans="3:4" outlineLevel="2" x14ac:dyDescent="0.2">
      <c r="C42" s="91" t="s">
        <v>1692</v>
      </c>
      <c r="D42" s="91" t="s">
        <v>1622</v>
      </c>
    </row>
    <row r="43" spans="3:4" outlineLevel="2" x14ac:dyDescent="0.2">
      <c r="C43" s="91" t="s">
        <v>1692</v>
      </c>
      <c r="D43" s="91" t="s">
        <v>1745</v>
      </c>
    </row>
    <row r="44" spans="3:4" outlineLevel="2" x14ac:dyDescent="0.2">
      <c r="C44" s="91" t="s">
        <v>1692</v>
      </c>
      <c r="D44" s="91" t="s">
        <v>1691</v>
      </c>
    </row>
    <row r="45" spans="3:4" outlineLevel="2" x14ac:dyDescent="0.2">
      <c r="C45" s="22" t="e">
        <v>#REF!</v>
      </c>
      <c r="D45" s="22" t="e">
        <v>#REF!</v>
      </c>
    </row>
    <row r="46" spans="3:4" outlineLevel="2" x14ac:dyDescent="0.2">
      <c r="C46" s="22" t="e">
        <v>#REF!</v>
      </c>
      <c r="D46" s="22" t="e">
        <v>#REF!</v>
      </c>
    </row>
    <row r="47" spans="3:4" outlineLevel="2" x14ac:dyDescent="0.2">
      <c r="C47" s="22" t="e">
        <f>C46</f>
        <v>#REF!</v>
      </c>
      <c r="D47" s="22" t="e">
        <v>#REF!</v>
      </c>
    </row>
    <row r="48" spans="3:4" outlineLevel="2" x14ac:dyDescent="0.2">
      <c r="C48" s="22" t="e">
        <f>C47</f>
        <v>#REF!</v>
      </c>
      <c r="D48" s="22" t="e">
        <v>#REF!</v>
      </c>
    </row>
    <row r="49" spans="3:4" outlineLevel="2" x14ac:dyDescent="0.2">
      <c r="C49" s="22" t="e">
        <v>#REF!</v>
      </c>
      <c r="D49" s="22" t="e">
        <v>#REF!</v>
      </c>
    </row>
    <row r="50" spans="3:4" outlineLevel="2" x14ac:dyDescent="0.2">
      <c r="C50" s="22" t="e">
        <v>#REF!</v>
      </c>
      <c r="D50" s="22" t="e">
        <v>#REF!</v>
      </c>
    </row>
    <row r="51" spans="3:4" outlineLevel="2" x14ac:dyDescent="0.2">
      <c r="C51" s="22" t="e">
        <v>#REF!</v>
      </c>
      <c r="D51" s="22" t="e">
        <v>#REF!</v>
      </c>
    </row>
    <row r="52" spans="3:4" outlineLevel="2" x14ac:dyDescent="0.2">
      <c r="C52" s="22" t="e">
        <v>#REF!</v>
      </c>
      <c r="D52" s="22" t="e">
        <v>#REF!</v>
      </c>
    </row>
    <row r="53" spans="3:4" outlineLevel="2" x14ac:dyDescent="0.2">
      <c r="C53" s="22" t="e">
        <v>#REF!</v>
      </c>
      <c r="D53" s="22" t="e">
        <v>#REF!</v>
      </c>
    </row>
    <row r="54" spans="3:4" outlineLevel="2" x14ac:dyDescent="0.2">
      <c r="C54" s="22" t="e">
        <v>#REF!</v>
      </c>
      <c r="D54" s="22" t="e">
        <v>#REF!</v>
      </c>
    </row>
    <row r="55" spans="3:4" outlineLevel="2" x14ac:dyDescent="0.2">
      <c r="C55" s="22" t="e">
        <v>#REF!</v>
      </c>
      <c r="D55" s="22" t="e">
        <v>#REF!</v>
      </c>
    </row>
    <row r="56" spans="3:4" outlineLevel="2" x14ac:dyDescent="0.2">
      <c r="C56" s="22" t="e">
        <v>#REF!</v>
      </c>
      <c r="D56" s="22" t="e">
        <v>#REF!</v>
      </c>
    </row>
    <row r="57" spans="3:4" outlineLevel="2" x14ac:dyDescent="0.2">
      <c r="C57" s="22" t="e">
        <v>#REF!</v>
      </c>
      <c r="D57" s="22" t="e">
        <v>#REF!</v>
      </c>
    </row>
    <row r="58" spans="3:4" outlineLevel="2" x14ac:dyDescent="0.2">
      <c r="C58" s="22" t="e">
        <v>#REF!</v>
      </c>
      <c r="D58" s="22" t="e">
        <v>#REF!</v>
      </c>
    </row>
    <row r="59" spans="3:4" outlineLevel="2" x14ac:dyDescent="0.2">
      <c r="C59" s="22" t="e">
        <v>#REF!</v>
      </c>
      <c r="D59" s="22" t="e">
        <v>#REF!</v>
      </c>
    </row>
    <row r="60" spans="3:4" outlineLevel="2" x14ac:dyDescent="0.2">
      <c r="C60" s="22" t="e">
        <v>#REF!</v>
      </c>
      <c r="D60" s="22" t="e">
        <v>#REF!</v>
      </c>
    </row>
    <row r="61" spans="3:4" outlineLevel="2" x14ac:dyDescent="0.2">
      <c r="C61" s="22" t="e">
        <v>#REF!</v>
      </c>
      <c r="D61" s="22" t="e">
        <v>#REF!</v>
      </c>
    </row>
    <row r="62" spans="3:4" outlineLevel="2" x14ac:dyDescent="0.2">
      <c r="C62" s="22" t="e">
        <v>#REF!</v>
      </c>
      <c r="D62" s="22" t="e">
        <v>#REF!</v>
      </c>
    </row>
    <row r="63" spans="3:4" outlineLevel="2" x14ac:dyDescent="0.2">
      <c r="C63" s="22" t="e">
        <v>#REF!</v>
      </c>
      <c r="D63" s="22" t="e">
        <v>#REF!</v>
      </c>
    </row>
    <row r="64" spans="3:4" outlineLevel="2" x14ac:dyDescent="0.2">
      <c r="C64" s="22" t="e">
        <v>#REF!</v>
      </c>
      <c r="D64" s="22" t="e">
        <v>#REF!</v>
      </c>
    </row>
    <row r="65" spans="3:23" outlineLevel="2" x14ac:dyDescent="0.2">
      <c r="C65" s="23" t="e">
        <v>#REF!</v>
      </c>
      <c r="D65" s="22" t="e">
        <v>#REF!</v>
      </c>
    </row>
    <row r="66" spans="3:23" outlineLevel="2" x14ac:dyDescent="0.2">
      <c r="C66" s="22" t="e">
        <v>#REF!</v>
      </c>
      <c r="D66" s="22" t="e">
        <v>#REF!</v>
      </c>
    </row>
    <row r="67" spans="3:23" outlineLevel="2" x14ac:dyDescent="0.2">
      <c r="C67" s="22" t="e">
        <v>#REF!</v>
      </c>
      <c r="D67" s="22" t="e">
        <v>#REF!</v>
      </c>
    </row>
    <row r="68" spans="3:23" outlineLevel="1" x14ac:dyDescent="0.2"/>
    <row r="69" spans="3:23" outlineLevel="1" x14ac:dyDescent="0.2">
      <c r="C69" s="1" t="s">
        <v>36</v>
      </c>
    </row>
    <row r="71" spans="3:23" s="13" customFormat="1" ht="24" customHeight="1" x14ac:dyDescent="0.2">
      <c r="C71" s="14" t="s">
        <v>1693</v>
      </c>
      <c r="D71" s="92" t="s">
        <v>1694</v>
      </c>
      <c r="E71" s="16"/>
      <c r="F71" s="16"/>
      <c r="G71" s="16"/>
      <c r="H71" s="16"/>
      <c r="I71" s="16"/>
      <c r="J71" s="16"/>
      <c r="K71" s="16"/>
      <c r="L71" s="16"/>
      <c r="M71" s="16"/>
      <c r="N71" s="16"/>
      <c r="O71" s="16"/>
      <c r="P71" s="16"/>
      <c r="Q71" s="16"/>
      <c r="R71" s="16"/>
      <c r="S71" s="16"/>
      <c r="T71" s="16"/>
      <c r="U71" s="16"/>
      <c r="V71" s="16"/>
      <c r="W71" s="16"/>
    </row>
    <row r="73" spans="3:23" outlineLevel="1" x14ac:dyDescent="0.2">
      <c r="C73" s="1" t="s">
        <v>1695</v>
      </c>
    </row>
    <row r="74" spans="3:23" ht="15" outlineLevel="1" x14ac:dyDescent="0.25">
      <c r="C74" s="1" t="s">
        <v>37</v>
      </c>
    </row>
    <row r="75" spans="3:23" outlineLevel="1" x14ac:dyDescent="0.2"/>
    <row r="76" spans="3:23" ht="42.75" outlineLevel="1" x14ac:dyDescent="0.2">
      <c r="C76" s="93" t="s">
        <v>38</v>
      </c>
      <c r="D76" s="94" t="s">
        <v>1696</v>
      </c>
    </row>
    <row r="77" spans="3:23" ht="72.75" customHeight="1" outlineLevel="1" x14ac:dyDescent="0.2">
      <c r="C77" s="93" t="s">
        <v>1697</v>
      </c>
      <c r="D77" s="95" t="s">
        <v>1698</v>
      </c>
    </row>
    <row r="78" spans="3:23" ht="71.25" outlineLevel="1" x14ac:dyDescent="0.2">
      <c r="C78" s="93" t="s">
        <v>1699</v>
      </c>
      <c r="D78" s="94" t="s">
        <v>1700</v>
      </c>
    </row>
    <row r="79" spans="3:23" ht="189.95" customHeight="1" outlineLevel="1" x14ac:dyDescent="0.2">
      <c r="C79" s="93" t="s">
        <v>1701</v>
      </c>
      <c r="D79" s="95" t="s">
        <v>1702</v>
      </c>
    </row>
    <row r="80" spans="3:23" ht="57" outlineLevel="1" x14ac:dyDescent="0.2">
      <c r="C80" s="127" t="s">
        <v>39</v>
      </c>
      <c r="D80" s="128" t="s">
        <v>1703</v>
      </c>
    </row>
    <row r="81" spans="3:6" ht="42.75" outlineLevel="1" x14ac:dyDescent="0.2">
      <c r="C81" s="127" t="s">
        <v>1704</v>
      </c>
      <c r="D81" s="128" t="s">
        <v>2044</v>
      </c>
    </row>
    <row r="82" spans="3:6" ht="85.5" outlineLevel="1" x14ac:dyDescent="0.2">
      <c r="C82" s="93" t="s">
        <v>1495</v>
      </c>
      <c r="D82" s="94" t="s">
        <v>2003</v>
      </c>
    </row>
    <row r="83" spans="3:6" ht="42.75" outlineLevel="1" x14ac:dyDescent="0.2">
      <c r="C83" s="93" t="s">
        <v>1705</v>
      </c>
      <c r="D83" s="94" t="s">
        <v>1706</v>
      </c>
    </row>
    <row r="84" spans="3:6" ht="71.25" outlineLevel="1" x14ac:dyDescent="0.2">
      <c r="C84" s="96" t="s">
        <v>1516</v>
      </c>
      <c r="D84" s="94" t="s">
        <v>1707</v>
      </c>
    </row>
    <row r="85" spans="3:6" ht="15" outlineLevel="1" x14ac:dyDescent="0.2">
      <c r="C85" s="96" t="s">
        <v>1517</v>
      </c>
      <c r="D85" s="97" t="s">
        <v>1708</v>
      </c>
    </row>
    <row r="86" spans="3:6" ht="15" outlineLevel="1" x14ac:dyDescent="0.2">
      <c r="C86" s="96" t="s">
        <v>1518</v>
      </c>
      <c r="D86" s="97" t="s">
        <v>1709</v>
      </c>
    </row>
    <row r="87" spans="3:6" ht="15" outlineLevel="1" x14ac:dyDescent="0.2">
      <c r="C87" s="96" t="s">
        <v>1519</v>
      </c>
      <c r="D87" s="97" t="s">
        <v>1710</v>
      </c>
    </row>
    <row r="88" spans="3:6" ht="15" outlineLevel="1" x14ac:dyDescent="0.2">
      <c r="C88" s="96" t="s">
        <v>1520</v>
      </c>
      <c r="D88" s="97" t="s">
        <v>1711</v>
      </c>
    </row>
    <row r="89" spans="3:6" ht="71.25" hidden="1" outlineLevel="1" x14ac:dyDescent="0.2">
      <c r="C89" s="96" t="s">
        <v>1521</v>
      </c>
      <c r="D89" s="98" t="s">
        <v>1712</v>
      </c>
    </row>
    <row r="90" spans="3:6" outlineLevel="1" x14ac:dyDescent="0.2"/>
    <row r="91" spans="3:6" outlineLevel="1" x14ac:dyDescent="0.2"/>
    <row r="92" spans="3:6" outlineLevel="1" x14ac:dyDescent="0.2">
      <c r="C92" s="24" t="s">
        <v>1713</v>
      </c>
    </row>
    <row r="93" spans="3:6" outlineLevel="2" x14ac:dyDescent="0.2">
      <c r="C93" s="25" t="s">
        <v>40</v>
      </c>
      <c r="D93" s="21" t="s">
        <v>41</v>
      </c>
      <c r="E93" s="26" t="s">
        <v>42</v>
      </c>
      <c r="F93" s="26" t="s">
        <v>43</v>
      </c>
    </row>
    <row r="94" spans="3:6" ht="14.25" customHeight="1" outlineLevel="2" x14ac:dyDescent="0.2">
      <c r="C94" s="99" t="s">
        <v>1667</v>
      </c>
      <c r="D94" s="100"/>
      <c r="E94" s="100"/>
      <c r="F94" s="100"/>
    </row>
    <row r="95" spans="3:6" outlineLevel="2" x14ac:dyDescent="0.2">
      <c r="C95" s="101">
        <v>15000000</v>
      </c>
      <c r="D95" s="27" t="s">
        <v>1625</v>
      </c>
      <c r="E95" s="28" t="s">
        <v>1656</v>
      </c>
      <c r="F95" s="28" t="s">
        <v>44</v>
      </c>
    </row>
    <row r="96" spans="3:6" ht="38.25" outlineLevel="2" x14ac:dyDescent="0.2">
      <c r="C96" s="102">
        <v>15000010</v>
      </c>
      <c r="D96" s="29" t="s">
        <v>1627</v>
      </c>
      <c r="E96" s="30" t="s">
        <v>1657</v>
      </c>
      <c r="F96" s="30" t="s">
        <v>44</v>
      </c>
    </row>
    <row r="97" spans="3:6" ht="38.25" outlineLevel="2" x14ac:dyDescent="0.2">
      <c r="C97" s="102">
        <v>15000020</v>
      </c>
      <c r="D97" s="29" t="s">
        <v>1629</v>
      </c>
      <c r="E97" s="30" t="s">
        <v>1658</v>
      </c>
      <c r="F97" s="30" t="s">
        <v>44</v>
      </c>
    </row>
    <row r="98" spans="3:6" outlineLevel="2" x14ac:dyDescent="0.2">
      <c r="C98" s="102">
        <v>15000030</v>
      </c>
      <c r="D98" s="29" t="s">
        <v>1631</v>
      </c>
      <c r="E98" s="30" t="s">
        <v>1659</v>
      </c>
      <c r="F98" s="30" t="s">
        <v>44</v>
      </c>
    </row>
    <row r="99" spans="3:6" ht="25.5" outlineLevel="2" x14ac:dyDescent="0.2">
      <c r="C99" s="102">
        <v>15000040</v>
      </c>
      <c r="D99" s="29" t="s">
        <v>1633</v>
      </c>
      <c r="E99" s="30" t="s">
        <v>1660</v>
      </c>
      <c r="F99" s="30" t="s">
        <v>44</v>
      </c>
    </row>
    <row r="100" spans="3:6" ht="51" outlineLevel="2" x14ac:dyDescent="0.2">
      <c r="C100" s="102">
        <v>15000050</v>
      </c>
      <c r="D100" s="29" t="s">
        <v>1635</v>
      </c>
      <c r="E100" s="30" t="s">
        <v>1661</v>
      </c>
      <c r="F100" s="30" t="s">
        <v>44</v>
      </c>
    </row>
    <row r="101" spans="3:6" ht="25.5" outlineLevel="2" x14ac:dyDescent="0.2">
      <c r="C101" s="102">
        <v>15000060</v>
      </c>
      <c r="D101" s="29" t="s">
        <v>1637</v>
      </c>
      <c r="E101" s="30" t="s">
        <v>1662</v>
      </c>
      <c r="F101" s="30" t="s">
        <v>44</v>
      </c>
    </row>
    <row r="102" spans="3:6" ht="25.5" outlineLevel="2" x14ac:dyDescent="0.2">
      <c r="C102" s="103">
        <v>15000070</v>
      </c>
      <c r="D102" s="31" t="s">
        <v>1639</v>
      </c>
      <c r="E102" s="32" t="s">
        <v>1663</v>
      </c>
      <c r="F102" s="32" t="s">
        <v>44</v>
      </c>
    </row>
    <row r="103" spans="3:6" outlineLevel="2" x14ac:dyDescent="0.2">
      <c r="C103" s="103">
        <v>15000080</v>
      </c>
      <c r="D103" s="31" t="s">
        <v>1641</v>
      </c>
      <c r="E103" s="32" t="s">
        <v>1664</v>
      </c>
      <c r="F103" s="32" t="s">
        <v>44</v>
      </c>
    </row>
    <row r="104" spans="3:6" outlineLevel="2" x14ac:dyDescent="0.2">
      <c r="C104" s="103">
        <v>15000090</v>
      </c>
      <c r="D104" s="31" t="s">
        <v>1643</v>
      </c>
      <c r="E104" s="104" t="s">
        <v>1665</v>
      </c>
      <c r="F104" s="104" t="s">
        <v>44</v>
      </c>
    </row>
    <row r="105" spans="3:6" outlineLevel="2" x14ac:dyDescent="0.2">
      <c r="C105" s="103">
        <v>15200000</v>
      </c>
      <c r="D105" s="31" t="s">
        <v>1644</v>
      </c>
      <c r="E105" s="104" t="s">
        <v>1714</v>
      </c>
      <c r="F105" s="104" t="s">
        <v>44</v>
      </c>
    </row>
    <row r="106" spans="3:6" ht="25.5" outlineLevel="2" x14ac:dyDescent="0.2">
      <c r="C106" s="103">
        <v>15000250</v>
      </c>
      <c r="D106" s="31" t="s">
        <v>1645</v>
      </c>
      <c r="E106" s="32" t="s">
        <v>1666</v>
      </c>
      <c r="F106" s="104" t="s">
        <v>44</v>
      </c>
    </row>
    <row r="107" spans="3:6" ht="14.25" customHeight="1" outlineLevel="2" x14ac:dyDescent="0.2">
      <c r="C107" s="105" t="s">
        <v>345</v>
      </c>
      <c r="D107" s="106"/>
      <c r="E107" s="106"/>
      <c r="F107" s="107"/>
    </row>
    <row r="108" spans="3:6" ht="34.5" customHeight="1" outlineLevel="2" x14ac:dyDescent="0.2">
      <c r="C108" s="103">
        <v>15020010</v>
      </c>
      <c r="D108" s="31" t="s">
        <v>1647</v>
      </c>
      <c r="E108" s="32" t="s">
        <v>1715</v>
      </c>
      <c r="F108" s="32" t="s">
        <v>44</v>
      </c>
    </row>
    <row r="109" spans="3:6" ht="34.5" customHeight="1" outlineLevel="2" x14ac:dyDescent="0.2">
      <c r="C109" s="103">
        <v>15020020</v>
      </c>
      <c r="D109" s="31" t="s">
        <v>1649</v>
      </c>
      <c r="E109" s="32" t="s">
        <v>1716</v>
      </c>
      <c r="F109" s="32" t="s">
        <v>44</v>
      </c>
    </row>
    <row r="110" spans="3:6" ht="34.5" customHeight="1" outlineLevel="2" x14ac:dyDescent="0.2">
      <c r="C110" s="103">
        <v>15020030</v>
      </c>
      <c r="D110" s="31" t="s">
        <v>1651</v>
      </c>
      <c r="E110" s="32" t="s">
        <v>1717</v>
      </c>
      <c r="F110" s="32" t="s">
        <v>44</v>
      </c>
    </row>
    <row r="111" spans="3:6" ht="34.5" customHeight="1" outlineLevel="2" x14ac:dyDescent="0.2">
      <c r="C111" s="103">
        <v>15020040</v>
      </c>
      <c r="D111" s="31" t="s">
        <v>1653</v>
      </c>
      <c r="E111" s="32" t="s">
        <v>1718</v>
      </c>
      <c r="F111" s="32" t="s">
        <v>44</v>
      </c>
    </row>
    <row r="112" spans="3:6" ht="34.5" customHeight="1" outlineLevel="2" x14ac:dyDescent="0.2">
      <c r="C112" s="103">
        <v>15020080</v>
      </c>
      <c r="D112" s="31" t="s">
        <v>1655</v>
      </c>
      <c r="E112" s="32" t="s">
        <v>1719</v>
      </c>
      <c r="F112" s="32" t="s">
        <v>44</v>
      </c>
    </row>
    <row r="113" spans="3:23" ht="34.5" customHeight="1" outlineLevel="2" x14ac:dyDescent="0.2">
      <c r="C113" s="33">
        <v>15020090</v>
      </c>
      <c r="D113" s="34" t="s">
        <v>1720</v>
      </c>
      <c r="E113" s="35" t="s">
        <v>1721</v>
      </c>
      <c r="F113" s="35" t="s">
        <v>44</v>
      </c>
    </row>
    <row r="114" spans="3:23" ht="34.5" customHeight="1" outlineLevel="2" x14ac:dyDescent="0.2">
      <c r="C114" s="108"/>
      <c r="D114" s="109"/>
      <c r="E114" s="110"/>
      <c r="F114" s="110"/>
    </row>
    <row r="115" spans="3:23" s="13" customFormat="1" ht="24" customHeight="1" x14ac:dyDescent="0.2">
      <c r="C115" s="14" t="s">
        <v>2004</v>
      </c>
      <c r="D115" s="15" t="s">
        <v>1445</v>
      </c>
      <c r="E115" s="16"/>
      <c r="F115" s="16"/>
      <c r="G115" s="16"/>
      <c r="H115" s="16"/>
      <c r="I115" s="16"/>
      <c r="J115" s="16"/>
      <c r="K115" s="16"/>
      <c r="L115" s="16"/>
      <c r="M115" s="16"/>
      <c r="N115" s="16"/>
      <c r="O115" s="16"/>
      <c r="P115" s="16"/>
      <c r="Q115" s="16"/>
      <c r="R115" s="16"/>
      <c r="S115" s="16"/>
      <c r="T115" s="16"/>
      <c r="U115" s="16"/>
      <c r="V115" s="16"/>
      <c r="W115" s="16"/>
    </row>
    <row r="117" spans="3:23" outlineLevel="1" x14ac:dyDescent="0.2">
      <c r="C117" s="1" t="s">
        <v>45</v>
      </c>
    </row>
    <row r="118" spans="3:23" outlineLevel="1" x14ac:dyDescent="0.2">
      <c r="C118" s="1" t="s">
        <v>1494</v>
      </c>
    </row>
    <row r="119" spans="3:23" ht="15" outlineLevel="1" x14ac:dyDescent="0.25">
      <c r="C119" s="1" t="s">
        <v>37</v>
      </c>
    </row>
    <row r="120" spans="3:23" outlineLevel="1" x14ac:dyDescent="0.2"/>
    <row r="121" spans="3:23" ht="99.75" outlineLevel="1" x14ac:dyDescent="0.2">
      <c r="C121" s="73" t="s">
        <v>590</v>
      </c>
      <c r="D121" s="75" t="s">
        <v>1500</v>
      </c>
    </row>
    <row r="122" spans="3:23" ht="57" outlineLevel="1" x14ac:dyDescent="0.2">
      <c r="C122" s="73" t="s">
        <v>594</v>
      </c>
      <c r="D122" s="75" t="s">
        <v>2005</v>
      </c>
    </row>
    <row r="123" spans="3:23" ht="57" outlineLevel="1" x14ac:dyDescent="0.2">
      <c r="C123" s="129" t="s">
        <v>39</v>
      </c>
      <c r="D123" s="130" t="s">
        <v>1505</v>
      </c>
    </row>
    <row r="124" spans="3:23" ht="42.75" outlineLevel="1" x14ac:dyDescent="0.2">
      <c r="C124" s="129" t="s">
        <v>1501</v>
      </c>
      <c r="D124" s="130" t="s">
        <v>1502</v>
      </c>
    </row>
    <row r="125" spans="3:23" ht="85.5" outlineLevel="1" x14ac:dyDescent="0.2">
      <c r="C125" s="73" t="s">
        <v>1495</v>
      </c>
      <c r="D125" s="75" t="s">
        <v>2006</v>
      </c>
      <c r="E125" s="77"/>
    </row>
    <row r="126" spans="3:23" ht="28.5" outlineLevel="1" x14ac:dyDescent="0.2">
      <c r="C126" s="73" t="s">
        <v>1503</v>
      </c>
      <c r="D126" s="75" t="s">
        <v>2007</v>
      </c>
    </row>
    <row r="127" spans="3:23" ht="128.25" hidden="1" outlineLevel="1" x14ac:dyDescent="0.2">
      <c r="C127" s="78" t="s">
        <v>1439</v>
      </c>
      <c r="D127" s="79" t="s">
        <v>1465</v>
      </c>
    </row>
    <row r="128" spans="3:23" ht="127.5" customHeight="1" outlineLevel="1" x14ac:dyDescent="0.2">
      <c r="C128" s="76" t="s">
        <v>1440</v>
      </c>
      <c r="D128" s="74" t="s">
        <v>2008</v>
      </c>
    </row>
    <row r="129" spans="3:23" ht="28.5" outlineLevel="1" x14ac:dyDescent="0.2">
      <c r="C129" s="76" t="s">
        <v>1441</v>
      </c>
      <c r="D129" s="74" t="s">
        <v>1464</v>
      </c>
    </row>
    <row r="130" spans="3:23" ht="57.75" outlineLevel="1" x14ac:dyDescent="0.2">
      <c r="C130" s="76" t="s">
        <v>1443</v>
      </c>
      <c r="D130" s="74" t="s">
        <v>1462</v>
      </c>
    </row>
    <row r="131" spans="3:23" ht="43.5" outlineLevel="1" x14ac:dyDescent="0.2">
      <c r="C131" s="76" t="s">
        <v>405</v>
      </c>
      <c r="D131" s="74" t="s">
        <v>1463</v>
      </c>
    </row>
    <row r="132" spans="3:23" ht="57" outlineLevel="1" x14ac:dyDescent="0.2">
      <c r="C132" s="76" t="s">
        <v>1442</v>
      </c>
      <c r="D132" s="74" t="s">
        <v>1461</v>
      </c>
    </row>
    <row r="133" spans="3:23" ht="78.75" customHeight="1" outlineLevel="1" x14ac:dyDescent="0.2">
      <c r="C133" s="76" t="s">
        <v>597</v>
      </c>
      <c r="D133" s="74" t="s">
        <v>1460</v>
      </c>
    </row>
    <row r="134" spans="3:23" outlineLevel="1" x14ac:dyDescent="0.2"/>
    <row r="136" spans="3:23" s="13" customFormat="1" ht="24" customHeight="1" x14ac:dyDescent="0.2">
      <c r="C136" s="14" t="s">
        <v>1724</v>
      </c>
      <c r="D136" s="15" t="s">
        <v>1466</v>
      </c>
      <c r="E136" s="16"/>
      <c r="F136" s="16"/>
      <c r="G136" s="16"/>
      <c r="H136" s="16"/>
      <c r="I136" s="16"/>
      <c r="J136" s="16"/>
      <c r="K136" s="16"/>
      <c r="L136" s="16"/>
      <c r="M136" s="16"/>
      <c r="N136" s="16"/>
      <c r="O136" s="16"/>
      <c r="P136" s="16"/>
      <c r="Q136" s="16"/>
      <c r="R136" s="16"/>
      <c r="S136" s="16"/>
      <c r="T136" s="16"/>
      <c r="U136" s="16"/>
      <c r="V136" s="16"/>
      <c r="W136" s="16"/>
    </row>
    <row r="138" spans="3:23" outlineLevel="1" x14ac:dyDescent="0.2">
      <c r="C138" s="1" t="s">
        <v>1467</v>
      </c>
    </row>
    <row r="139" spans="3:23" outlineLevel="1" x14ac:dyDescent="0.2"/>
    <row r="140" spans="3:23" outlineLevel="1" x14ac:dyDescent="0.2">
      <c r="C140" s="1" t="s">
        <v>1468</v>
      </c>
    </row>
    <row r="141" spans="3:23" outlineLevel="1" x14ac:dyDescent="0.2">
      <c r="C141" s="1" t="s">
        <v>1504</v>
      </c>
    </row>
    <row r="142" spans="3:23" outlineLevel="1" x14ac:dyDescent="0.2"/>
    <row r="143" spans="3:23" outlineLevel="1" x14ac:dyDescent="0.2">
      <c r="C143" s="1" t="s">
        <v>1496</v>
      </c>
    </row>
    <row r="144" spans="3:23" outlineLevel="1" x14ac:dyDescent="0.2">
      <c r="C144" s="1" t="s">
        <v>1469</v>
      </c>
    </row>
    <row r="145" spans="3:6" ht="15" outlineLevel="1" x14ac:dyDescent="0.25">
      <c r="C145" s="1" t="s">
        <v>37</v>
      </c>
    </row>
    <row r="146" spans="3:6" outlineLevel="1" x14ac:dyDescent="0.2"/>
    <row r="147" spans="3:6" ht="159" outlineLevel="1" x14ac:dyDescent="0.2">
      <c r="C147" s="76" t="s">
        <v>1472</v>
      </c>
      <c r="D147" s="74" t="s">
        <v>1473</v>
      </c>
    </row>
    <row r="148" spans="3:6" ht="15" outlineLevel="1" x14ac:dyDescent="0.2">
      <c r="C148" s="76" t="s">
        <v>593</v>
      </c>
      <c r="D148" s="74" t="s">
        <v>2009</v>
      </c>
    </row>
    <row r="149" spans="3:6" ht="28.5" outlineLevel="1" x14ac:dyDescent="0.2">
      <c r="C149" s="76" t="s">
        <v>46</v>
      </c>
      <c r="D149" s="74" t="s">
        <v>1471</v>
      </c>
    </row>
    <row r="150" spans="3:6" ht="28.5" outlineLevel="1" x14ac:dyDescent="0.2">
      <c r="C150" s="76" t="s">
        <v>592</v>
      </c>
      <c r="D150" s="74" t="s">
        <v>1470</v>
      </c>
    </row>
    <row r="151" spans="3:6" ht="71.25" outlineLevel="1" x14ac:dyDescent="0.2">
      <c r="C151" s="76" t="s">
        <v>402</v>
      </c>
      <c r="D151" s="74" t="s">
        <v>2010</v>
      </c>
    </row>
    <row r="152" spans="3:6" outlineLevel="1" x14ac:dyDescent="0.2"/>
    <row r="153" spans="3:6" outlineLevel="1" x14ac:dyDescent="0.2">
      <c r="C153" s="24" t="s">
        <v>47</v>
      </c>
    </row>
    <row r="154" spans="3:6" outlineLevel="2" x14ac:dyDescent="0.2">
      <c r="C154" s="21" t="s">
        <v>40</v>
      </c>
      <c r="D154" s="21" t="s">
        <v>41</v>
      </c>
      <c r="E154" s="26" t="s">
        <v>42</v>
      </c>
      <c r="F154" s="26" t="s">
        <v>43</v>
      </c>
    </row>
    <row r="155" spans="3:6" outlineLevel="2" x14ac:dyDescent="0.2">
      <c r="C155" s="86" t="s">
        <v>1446</v>
      </c>
      <c r="D155" s="30" t="s">
        <v>48</v>
      </c>
      <c r="E155" s="30" t="s">
        <v>49</v>
      </c>
      <c r="F155" s="84" t="s">
        <v>50</v>
      </c>
    </row>
    <row r="156" spans="3:6" outlineLevel="2" x14ac:dyDescent="0.2">
      <c r="C156" s="86" t="s">
        <v>1447</v>
      </c>
      <c r="D156" s="30" t="s">
        <v>51</v>
      </c>
      <c r="E156" s="30" t="s">
        <v>52</v>
      </c>
      <c r="F156" s="85" t="s">
        <v>50</v>
      </c>
    </row>
    <row r="157" spans="3:6" ht="25.5" outlineLevel="2" x14ac:dyDescent="0.2">
      <c r="C157" s="86" t="s">
        <v>1448</v>
      </c>
      <c r="D157" s="30" t="s">
        <v>53</v>
      </c>
      <c r="E157" s="30" t="s">
        <v>54</v>
      </c>
      <c r="F157" s="30" t="s">
        <v>50</v>
      </c>
    </row>
    <row r="158" spans="3:6" outlineLevel="2" x14ac:dyDescent="0.2">
      <c r="C158" s="86" t="s">
        <v>1449</v>
      </c>
      <c r="D158" s="30" t="s">
        <v>55</v>
      </c>
      <c r="E158" s="30" t="s">
        <v>56</v>
      </c>
      <c r="F158" s="30" t="s">
        <v>50</v>
      </c>
    </row>
    <row r="159" spans="3:6" outlineLevel="2" x14ac:dyDescent="0.2">
      <c r="C159" s="86" t="s">
        <v>1450</v>
      </c>
      <c r="D159" s="30" t="s">
        <v>57</v>
      </c>
      <c r="E159" s="30" t="s">
        <v>58</v>
      </c>
      <c r="F159" s="30" t="s">
        <v>50</v>
      </c>
    </row>
    <row r="160" spans="3:6" outlineLevel="2" x14ac:dyDescent="0.2">
      <c r="C160" s="86" t="s">
        <v>1451</v>
      </c>
      <c r="D160" s="30" t="s">
        <v>59</v>
      </c>
      <c r="E160" s="30" t="s">
        <v>60</v>
      </c>
      <c r="F160" s="30" t="s">
        <v>50</v>
      </c>
    </row>
    <row r="161" spans="3:6" outlineLevel="2" x14ac:dyDescent="0.2">
      <c r="C161" s="86" t="s">
        <v>1452</v>
      </c>
      <c r="D161" s="30" t="s">
        <v>61</v>
      </c>
      <c r="E161" s="30" t="s">
        <v>62</v>
      </c>
      <c r="F161" s="30" t="s">
        <v>50</v>
      </c>
    </row>
    <row r="162" spans="3:6" outlineLevel="2" x14ac:dyDescent="0.2">
      <c r="C162" s="86" t="s">
        <v>1453</v>
      </c>
      <c r="D162" s="30" t="s">
        <v>63</v>
      </c>
      <c r="E162" s="30" t="s">
        <v>64</v>
      </c>
      <c r="F162" s="32" t="s">
        <v>50</v>
      </c>
    </row>
    <row r="163" spans="3:6" outlineLevel="2" x14ac:dyDescent="0.2">
      <c r="C163" s="86" t="s">
        <v>1454</v>
      </c>
      <c r="D163" s="30" t="s">
        <v>65</v>
      </c>
      <c r="E163" s="30" t="s">
        <v>66</v>
      </c>
      <c r="F163" s="32" t="s">
        <v>50</v>
      </c>
    </row>
    <row r="164" spans="3:6" outlineLevel="2" x14ac:dyDescent="0.2">
      <c r="C164" s="86" t="s">
        <v>1455</v>
      </c>
      <c r="D164" s="30" t="s">
        <v>67</v>
      </c>
      <c r="E164" s="30" t="s">
        <v>68</v>
      </c>
      <c r="F164" s="32" t="s">
        <v>50</v>
      </c>
    </row>
    <row r="165" spans="3:6" outlineLevel="2" x14ac:dyDescent="0.2">
      <c r="C165" s="86" t="s">
        <v>1456</v>
      </c>
      <c r="D165" s="30" t="s">
        <v>69</v>
      </c>
      <c r="E165" s="30" t="s">
        <v>70</v>
      </c>
      <c r="F165" s="32" t="s">
        <v>50</v>
      </c>
    </row>
    <row r="166" spans="3:6" outlineLevel="2" x14ac:dyDescent="0.2">
      <c r="C166" s="86" t="s">
        <v>1457</v>
      </c>
      <c r="D166" s="30" t="s">
        <v>71</v>
      </c>
      <c r="E166" s="30" t="s">
        <v>72</v>
      </c>
      <c r="F166" s="32" t="s">
        <v>50</v>
      </c>
    </row>
    <row r="167" spans="3:6" outlineLevel="2" x14ac:dyDescent="0.2">
      <c r="C167" s="86" t="s">
        <v>408</v>
      </c>
      <c r="D167" s="30" t="s">
        <v>73</v>
      </c>
      <c r="E167" s="30" t="s">
        <v>74</v>
      </c>
      <c r="F167" s="32" t="s">
        <v>50</v>
      </c>
    </row>
    <row r="168" spans="3:6" outlineLevel="2" x14ac:dyDescent="0.2">
      <c r="C168" s="86" t="s">
        <v>409</v>
      </c>
      <c r="D168" s="30" t="s">
        <v>75</v>
      </c>
      <c r="E168" s="30" t="s">
        <v>76</v>
      </c>
      <c r="F168" s="32" t="s">
        <v>50</v>
      </c>
    </row>
    <row r="169" spans="3:6" ht="25.5" outlineLevel="2" x14ac:dyDescent="0.2">
      <c r="C169" s="86" t="s">
        <v>410</v>
      </c>
      <c r="D169" s="30" t="s">
        <v>77</v>
      </c>
      <c r="E169" s="30" t="s">
        <v>78</v>
      </c>
      <c r="F169" s="32" t="s">
        <v>50</v>
      </c>
    </row>
    <row r="170" spans="3:6" outlineLevel="2" x14ac:dyDescent="0.2">
      <c r="C170" s="86" t="s">
        <v>411</v>
      </c>
      <c r="D170" s="30" t="s">
        <v>79</v>
      </c>
      <c r="E170" s="30" t="s">
        <v>80</v>
      </c>
      <c r="F170" s="32" t="s">
        <v>50</v>
      </c>
    </row>
    <row r="171" spans="3:6" outlineLevel="2" x14ac:dyDescent="0.2">
      <c r="C171" s="86" t="s">
        <v>412</v>
      </c>
      <c r="D171" s="30" t="s">
        <v>81</v>
      </c>
      <c r="E171" s="30" t="s">
        <v>82</v>
      </c>
      <c r="F171" s="32" t="s">
        <v>50</v>
      </c>
    </row>
    <row r="172" spans="3:6" outlineLevel="2" x14ac:dyDescent="0.2">
      <c r="C172" s="86" t="s">
        <v>413</v>
      </c>
      <c r="D172" s="30" t="s">
        <v>83</v>
      </c>
      <c r="E172" s="30" t="s">
        <v>84</v>
      </c>
      <c r="F172" s="32" t="s">
        <v>50</v>
      </c>
    </row>
    <row r="173" spans="3:6" outlineLevel="2" x14ac:dyDescent="0.2">
      <c r="C173" s="86" t="s">
        <v>414</v>
      </c>
      <c r="D173" s="30" t="s">
        <v>85</v>
      </c>
      <c r="E173" s="30" t="s">
        <v>86</v>
      </c>
      <c r="F173" s="32" t="s">
        <v>50</v>
      </c>
    </row>
    <row r="174" spans="3:6" outlineLevel="2" x14ac:dyDescent="0.2">
      <c r="C174" s="86" t="s">
        <v>415</v>
      </c>
      <c r="D174" s="30" t="s">
        <v>87</v>
      </c>
      <c r="E174" s="30" t="s">
        <v>88</v>
      </c>
      <c r="F174" s="32" t="s">
        <v>50</v>
      </c>
    </row>
    <row r="175" spans="3:6" outlineLevel="2" x14ac:dyDescent="0.2">
      <c r="C175" s="86" t="s">
        <v>416</v>
      </c>
      <c r="D175" s="30" t="s">
        <v>89</v>
      </c>
      <c r="E175" s="30" t="s">
        <v>90</v>
      </c>
      <c r="F175" s="32" t="s">
        <v>50</v>
      </c>
    </row>
    <row r="176" spans="3:6" outlineLevel="2" x14ac:dyDescent="0.2">
      <c r="C176" s="86" t="s">
        <v>417</v>
      </c>
      <c r="D176" s="30" t="s">
        <v>91</v>
      </c>
      <c r="E176" s="30" t="s">
        <v>92</v>
      </c>
      <c r="F176" s="32" t="s">
        <v>50</v>
      </c>
    </row>
    <row r="177" spans="3:6" outlineLevel="2" x14ac:dyDescent="0.2">
      <c r="C177" s="86" t="s">
        <v>418</v>
      </c>
      <c r="D177" s="30" t="s">
        <v>93</v>
      </c>
      <c r="E177" s="30" t="s">
        <v>94</v>
      </c>
      <c r="F177" s="32" t="s">
        <v>50</v>
      </c>
    </row>
    <row r="178" spans="3:6" outlineLevel="2" x14ac:dyDescent="0.2">
      <c r="C178" s="86" t="s">
        <v>419</v>
      </c>
      <c r="D178" s="30" t="s">
        <v>95</v>
      </c>
      <c r="E178" s="30" t="s">
        <v>96</v>
      </c>
      <c r="F178" s="32" t="s">
        <v>50</v>
      </c>
    </row>
    <row r="179" spans="3:6" outlineLevel="2" x14ac:dyDescent="0.2">
      <c r="C179" s="86" t="s">
        <v>1458</v>
      </c>
      <c r="D179" s="30" t="s">
        <v>97</v>
      </c>
      <c r="E179" s="30" t="s">
        <v>98</v>
      </c>
      <c r="F179" s="32" t="s">
        <v>99</v>
      </c>
    </row>
    <row r="180" spans="3:6" outlineLevel="2" x14ac:dyDescent="0.2">
      <c r="C180" s="86" t="s">
        <v>420</v>
      </c>
      <c r="D180" s="30" t="s">
        <v>97</v>
      </c>
      <c r="E180" s="30" t="s">
        <v>98</v>
      </c>
      <c r="F180" s="32" t="s">
        <v>99</v>
      </c>
    </row>
    <row r="181" spans="3:6" outlineLevel="2" x14ac:dyDescent="0.2">
      <c r="C181" s="86" t="s">
        <v>421</v>
      </c>
      <c r="D181" s="30" t="s">
        <v>100</v>
      </c>
      <c r="E181" s="30" t="s">
        <v>101</v>
      </c>
      <c r="F181" s="32" t="s">
        <v>44</v>
      </c>
    </row>
    <row r="182" spans="3:6" outlineLevel="2" x14ac:dyDescent="0.2">
      <c r="C182" s="86" t="s">
        <v>422</v>
      </c>
      <c r="D182" s="30" t="s">
        <v>102</v>
      </c>
      <c r="E182" s="30" t="s">
        <v>103</v>
      </c>
      <c r="F182" s="32" t="s">
        <v>44</v>
      </c>
    </row>
    <row r="183" spans="3:6" outlineLevel="2" x14ac:dyDescent="0.2">
      <c r="C183" s="86" t="s">
        <v>423</v>
      </c>
      <c r="D183" s="30" t="s">
        <v>104</v>
      </c>
      <c r="E183" s="30" t="s">
        <v>105</v>
      </c>
      <c r="F183" s="32" t="s">
        <v>106</v>
      </c>
    </row>
    <row r="184" spans="3:6" outlineLevel="2" x14ac:dyDescent="0.2">
      <c r="C184" s="86" t="s">
        <v>424</v>
      </c>
      <c r="D184" s="30" t="s">
        <v>107</v>
      </c>
      <c r="E184" s="30" t="s">
        <v>108</v>
      </c>
      <c r="F184" s="32" t="s">
        <v>106</v>
      </c>
    </row>
    <row r="185" spans="3:6" outlineLevel="2" x14ac:dyDescent="0.2">
      <c r="C185" s="86" t="s">
        <v>425</v>
      </c>
      <c r="D185" s="30" t="s">
        <v>109</v>
      </c>
      <c r="E185" s="30" t="s">
        <v>110</v>
      </c>
      <c r="F185" s="32" t="s">
        <v>106</v>
      </c>
    </row>
    <row r="186" spans="3:6" outlineLevel="2" x14ac:dyDescent="0.2">
      <c r="C186" s="86" t="s">
        <v>426</v>
      </c>
      <c r="D186" s="30" t="s">
        <v>111</v>
      </c>
      <c r="E186" s="30" t="s">
        <v>112</v>
      </c>
      <c r="F186" s="32" t="s">
        <v>33</v>
      </c>
    </row>
    <row r="187" spans="3:6" ht="25.5" outlineLevel="2" x14ac:dyDescent="0.2">
      <c r="C187" s="86" t="s">
        <v>431</v>
      </c>
      <c r="D187" s="30" t="s">
        <v>113</v>
      </c>
      <c r="E187" s="30" t="s">
        <v>114</v>
      </c>
      <c r="F187" s="32" t="s">
        <v>106</v>
      </c>
    </row>
    <row r="188" spans="3:6" ht="25.5" outlineLevel="2" x14ac:dyDescent="0.2">
      <c r="C188" s="86" t="s">
        <v>427</v>
      </c>
      <c r="D188" s="30" t="s">
        <v>535</v>
      </c>
      <c r="E188" s="30" t="s">
        <v>1474</v>
      </c>
      <c r="F188" s="32" t="s">
        <v>106</v>
      </c>
    </row>
    <row r="189" spans="3:6" ht="25.5" outlineLevel="2" x14ac:dyDescent="0.2">
      <c r="C189" s="86" t="s">
        <v>428</v>
      </c>
      <c r="D189" s="30" t="s">
        <v>536</v>
      </c>
      <c r="E189" s="30" t="s">
        <v>1475</v>
      </c>
      <c r="F189" s="32" t="s">
        <v>44</v>
      </c>
    </row>
    <row r="190" spans="3:6" ht="25.5" outlineLevel="2" x14ac:dyDescent="0.2">
      <c r="C190" s="86" t="s">
        <v>430</v>
      </c>
      <c r="D190" s="30" t="s">
        <v>538</v>
      </c>
      <c r="E190" s="30" t="s">
        <v>1476</v>
      </c>
      <c r="F190" s="32" t="s">
        <v>44</v>
      </c>
    </row>
    <row r="191" spans="3:6" outlineLevel="2" x14ac:dyDescent="0.2">
      <c r="C191" s="86" t="s">
        <v>432</v>
      </c>
      <c r="D191" s="30" t="s">
        <v>115</v>
      </c>
      <c r="E191" s="30" t="s">
        <v>116</v>
      </c>
      <c r="F191" s="32" t="s">
        <v>106</v>
      </c>
    </row>
    <row r="192" spans="3:6" outlineLevel="2" x14ac:dyDescent="0.2">
      <c r="C192" s="86" t="s">
        <v>433</v>
      </c>
      <c r="D192" s="30" t="s">
        <v>117</v>
      </c>
      <c r="E192" s="30" t="s">
        <v>118</v>
      </c>
      <c r="F192" s="32" t="s">
        <v>106</v>
      </c>
    </row>
    <row r="193" spans="3:6" outlineLevel="2" x14ac:dyDescent="0.2">
      <c r="C193" s="86" t="s">
        <v>434</v>
      </c>
      <c r="D193" s="30" t="s">
        <v>119</v>
      </c>
      <c r="E193" s="30" t="s">
        <v>120</v>
      </c>
      <c r="F193" s="32" t="s">
        <v>121</v>
      </c>
    </row>
    <row r="194" spans="3:6" outlineLevel="2" x14ac:dyDescent="0.2">
      <c r="C194" s="86" t="s">
        <v>435</v>
      </c>
      <c r="D194" s="30" t="s">
        <v>122</v>
      </c>
      <c r="E194" s="30" t="s">
        <v>123</v>
      </c>
      <c r="F194" s="32" t="s">
        <v>121</v>
      </c>
    </row>
    <row r="195" spans="3:6" outlineLevel="2" x14ac:dyDescent="0.2">
      <c r="C195" s="86" t="s">
        <v>436</v>
      </c>
      <c r="D195" s="30" t="s">
        <v>124</v>
      </c>
      <c r="E195" s="30" t="s">
        <v>125</v>
      </c>
      <c r="F195" s="32" t="s">
        <v>106</v>
      </c>
    </row>
    <row r="196" spans="3:6" outlineLevel="2" x14ac:dyDescent="0.2">
      <c r="C196" s="86" t="s">
        <v>437</v>
      </c>
      <c r="D196" s="30" t="s">
        <v>126</v>
      </c>
      <c r="E196" s="30" t="s">
        <v>127</v>
      </c>
      <c r="F196" s="32" t="s">
        <v>106</v>
      </c>
    </row>
    <row r="197" spans="3:6" outlineLevel="2" x14ac:dyDescent="0.2">
      <c r="C197" s="86" t="s">
        <v>438</v>
      </c>
      <c r="D197" s="30" t="s">
        <v>128</v>
      </c>
      <c r="E197" s="30" t="s">
        <v>129</v>
      </c>
      <c r="F197" s="32" t="s">
        <v>130</v>
      </c>
    </row>
    <row r="198" spans="3:6" outlineLevel="2" x14ac:dyDescent="0.2">
      <c r="C198" s="86" t="s">
        <v>439</v>
      </c>
      <c r="D198" s="30" t="s">
        <v>131</v>
      </c>
      <c r="E198" s="30" t="s">
        <v>132</v>
      </c>
      <c r="F198" s="32" t="s">
        <v>106</v>
      </c>
    </row>
    <row r="199" spans="3:6" outlineLevel="2" x14ac:dyDescent="0.2">
      <c r="C199" s="86" t="s">
        <v>440</v>
      </c>
      <c r="D199" s="30" t="s">
        <v>133</v>
      </c>
      <c r="E199" s="30" t="s">
        <v>134</v>
      </c>
      <c r="F199" s="32" t="s">
        <v>106</v>
      </c>
    </row>
    <row r="200" spans="3:6" ht="25.5" outlineLevel="2" x14ac:dyDescent="0.2">
      <c r="C200" s="86" t="s">
        <v>475</v>
      </c>
      <c r="D200" s="30" t="s">
        <v>135</v>
      </c>
      <c r="E200" s="30" t="s">
        <v>136</v>
      </c>
      <c r="F200" s="32" t="s">
        <v>44</v>
      </c>
    </row>
    <row r="201" spans="3:6" outlineLevel="2" x14ac:dyDescent="0.2">
      <c r="C201" s="86" t="s">
        <v>476</v>
      </c>
      <c r="D201" s="30" t="s">
        <v>137</v>
      </c>
      <c r="E201" s="30" t="s">
        <v>138</v>
      </c>
      <c r="F201" s="32" t="s">
        <v>44</v>
      </c>
    </row>
    <row r="202" spans="3:6" outlineLevel="2" x14ac:dyDescent="0.2">
      <c r="C202" s="86" t="s">
        <v>477</v>
      </c>
      <c r="D202" s="30" t="s">
        <v>139</v>
      </c>
      <c r="E202" s="30" t="s">
        <v>140</v>
      </c>
      <c r="F202" s="32" t="s">
        <v>44</v>
      </c>
    </row>
    <row r="203" spans="3:6" ht="25.5" outlineLevel="2" x14ac:dyDescent="0.2">
      <c r="C203" s="86" t="s">
        <v>478</v>
      </c>
      <c r="D203" s="30" t="s">
        <v>141</v>
      </c>
      <c r="E203" s="30" t="s">
        <v>142</v>
      </c>
      <c r="F203" s="32" t="s">
        <v>44</v>
      </c>
    </row>
    <row r="204" spans="3:6" ht="25.5" outlineLevel="2" x14ac:dyDescent="0.2">
      <c r="C204" s="86" t="s">
        <v>479</v>
      </c>
      <c r="D204" s="30" t="s">
        <v>143</v>
      </c>
      <c r="E204" s="30" t="s">
        <v>144</v>
      </c>
      <c r="F204" s="32" t="s">
        <v>44</v>
      </c>
    </row>
    <row r="205" spans="3:6" outlineLevel="2" x14ac:dyDescent="0.2">
      <c r="C205" s="86" t="s">
        <v>480</v>
      </c>
      <c r="D205" s="30" t="s">
        <v>145</v>
      </c>
      <c r="E205" s="30" t="s">
        <v>146</v>
      </c>
      <c r="F205" s="32" t="s">
        <v>44</v>
      </c>
    </row>
    <row r="206" spans="3:6" ht="25.5" outlineLevel="2" x14ac:dyDescent="0.2">
      <c r="C206" s="86" t="s">
        <v>481</v>
      </c>
      <c r="D206" s="30" t="s">
        <v>147</v>
      </c>
      <c r="E206" s="30" t="s">
        <v>1478</v>
      </c>
      <c r="F206" s="32" t="s">
        <v>106</v>
      </c>
    </row>
    <row r="207" spans="3:6" ht="25.5" outlineLevel="2" x14ac:dyDescent="0.2">
      <c r="C207" s="86" t="s">
        <v>482</v>
      </c>
      <c r="D207" s="30" t="s">
        <v>148</v>
      </c>
      <c r="E207" s="30" t="s">
        <v>1479</v>
      </c>
      <c r="F207" s="32" t="s">
        <v>149</v>
      </c>
    </row>
    <row r="208" spans="3:6" ht="38.25" outlineLevel="2" x14ac:dyDescent="0.2">
      <c r="C208" s="86" t="s">
        <v>483</v>
      </c>
      <c r="D208" s="30" t="s">
        <v>150</v>
      </c>
      <c r="E208" s="30" t="s">
        <v>1480</v>
      </c>
      <c r="F208" s="32" t="s">
        <v>106</v>
      </c>
    </row>
    <row r="209" spans="3:6" ht="38.25" outlineLevel="2" x14ac:dyDescent="0.2">
      <c r="C209" s="86" t="s">
        <v>484</v>
      </c>
      <c r="D209" s="30" t="s">
        <v>151</v>
      </c>
      <c r="E209" s="30" t="s">
        <v>1481</v>
      </c>
      <c r="F209" s="32" t="s">
        <v>44</v>
      </c>
    </row>
    <row r="210" spans="3:6" ht="38.25" outlineLevel="2" x14ac:dyDescent="0.2">
      <c r="C210" s="86" t="s">
        <v>485</v>
      </c>
      <c r="D210" s="30" t="s">
        <v>575</v>
      </c>
      <c r="E210" s="30" t="s">
        <v>1482</v>
      </c>
      <c r="F210" s="32" t="s">
        <v>44</v>
      </c>
    </row>
    <row r="211" spans="3:6" ht="38.25" outlineLevel="2" x14ac:dyDescent="0.2">
      <c r="C211" s="86" t="s">
        <v>486</v>
      </c>
      <c r="D211" s="30" t="s">
        <v>576</v>
      </c>
      <c r="E211" s="30" t="s">
        <v>1483</v>
      </c>
      <c r="F211" s="32" t="s">
        <v>44</v>
      </c>
    </row>
    <row r="212" spans="3:6" outlineLevel="2" x14ac:dyDescent="0.2">
      <c r="C212" s="86" t="s">
        <v>487</v>
      </c>
      <c r="D212" s="30" t="s">
        <v>152</v>
      </c>
      <c r="E212" s="30" t="s">
        <v>1484</v>
      </c>
      <c r="F212" s="32" t="s">
        <v>44</v>
      </c>
    </row>
    <row r="213" spans="3:6" outlineLevel="2" x14ac:dyDescent="0.2">
      <c r="C213" s="86" t="s">
        <v>488</v>
      </c>
      <c r="D213" s="30" t="s">
        <v>153</v>
      </c>
      <c r="E213" s="30" t="s">
        <v>154</v>
      </c>
      <c r="F213" s="32" t="s">
        <v>121</v>
      </c>
    </row>
    <row r="214" spans="3:6" outlineLevel="2" x14ac:dyDescent="0.2">
      <c r="C214" s="86" t="s">
        <v>489</v>
      </c>
      <c r="D214" s="30" t="s">
        <v>155</v>
      </c>
      <c r="E214" s="30" t="s">
        <v>156</v>
      </c>
      <c r="F214" s="32" t="s">
        <v>106</v>
      </c>
    </row>
    <row r="215" spans="3:6" outlineLevel="2" x14ac:dyDescent="0.2">
      <c r="C215" s="86" t="s">
        <v>490</v>
      </c>
      <c r="D215" s="30" t="s">
        <v>157</v>
      </c>
      <c r="E215" s="30" t="s">
        <v>158</v>
      </c>
      <c r="F215" s="32" t="s">
        <v>106</v>
      </c>
    </row>
    <row r="216" spans="3:6" outlineLevel="2" x14ac:dyDescent="0.2">
      <c r="C216" s="86" t="s">
        <v>491</v>
      </c>
      <c r="D216" s="30" t="s">
        <v>159</v>
      </c>
      <c r="E216" s="30" t="s">
        <v>160</v>
      </c>
      <c r="F216" s="32" t="s">
        <v>106</v>
      </c>
    </row>
    <row r="217" spans="3:6" outlineLevel="2" x14ac:dyDescent="0.2">
      <c r="C217" s="86" t="s">
        <v>492</v>
      </c>
      <c r="D217" s="30" t="s">
        <v>161</v>
      </c>
      <c r="E217" s="30" t="s">
        <v>162</v>
      </c>
      <c r="F217" s="32" t="s">
        <v>149</v>
      </c>
    </row>
    <row r="218" spans="3:6" outlineLevel="2" x14ac:dyDescent="0.2">
      <c r="C218" s="86" t="s">
        <v>493</v>
      </c>
      <c r="D218" s="30" t="s">
        <v>163</v>
      </c>
      <c r="E218" s="30" t="s">
        <v>164</v>
      </c>
      <c r="F218" s="32" t="s">
        <v>149</v>
      </c>
    </row>
    <row r="219" spans="3:6" outlineLevel="2" x14ac:dyDescent="0.2">
      <c r="C219" s="86" t="s">
        <v>494</v>
      </c>
      <c r="D219" s="30" t="s">
        <v>165</v>
      </c>
      <c r="E219" s="30" t="s">
        <v>166</v>
      </c>
      <c r="F219" s="32" t="s">
        <v>167</v>
      </c>
    </row>
    <row r="220" spans="3:6" outlineLevel="2" x14ac:dyDescent="0.2">
      <c r="C220" s="86" t="s">
        <v>495</v>
      </c>
      <c r="D220" s="30" t="s">
        <v>168</v>
      </c>
      <c r="E220" s="30" t="s">
        <v>169</v>
      </c>
      <c r="F220" s="32" t="s">
        <v>44</v>
      </c>
    </row>
    <row r="221" spans="3:6" outlineLevel="2" x14ac:dyDescent="0.2">
      <c r="C221" s="86" t="s">
        <v>496</v>
      </c>
      <c r="D221" s="30" t="s">
        <v>170</v>
      </c>
      <c r="E221" s="30" t="s">
        <v>171</v>
      </c>
      <c r="F221" s="32" t="s">
        <v>44</v>
      </c>
    </row>
    <row r="222" spans="3:6" outlineLevel="2" x14ac:dyDescent="0.2">
      <c r="C222" s="86" t="s">
        <v>497</v>
      </c>
      <c r="D222" s="30" t="s">
        <v>172</v>
      </c>
      <c r="E222" s="30" t="s">
        <v>173</v>
      </c>
      <c r="F222" s="32" t="s">
        <v>44</v>
      </c>
    </row>
    <row r="223" spans="3:6" outlineLevel="2" x14ac:dyDescent="0.2">
      <c r="C223" s="86" t="s">
        <v>498</v>
      </c>
      <c r="D223" s="30" t="s">
        <v>174</v>
      </c>
      <c r="E223" s="30" t="s">
        <v>175</v>
      </c>
      <c r="F223" s="32" t="s">
        <v>176</v>
      </c>
    </row>
    <row r="224" spans="3:6" outlineLevel="2" x14ac:dyDescent="0.2">
      <c r="C224" s="86" t="s">
        <v>499</v>
      </c>
      <c r="D224" s="30" t="s">
        <v>177</v>
      </c>
      <c r="E224" s="30" t="s">
        <v>178</v>
      </c>
      <c r="F224" s="32" t="s">
        <v>179</v>
      </c>
    </row>
    <row r="225" spans="3:6" outlineLevel="2" x14ac:dyDescent="0.2">
      <c r="C225" s="86" t="s">
        <v>500</v>
      </c>
      <c r="D225" s="30" t="s">
        <v>180</v>
      </c>
      <c r="E225" s="30" t="s">
        <v>181</v>
      </c>
      <c r="F225" s="32" t="s">
        <v>99</v>
      </c>
    </row>
    <row r="226" spans="3:6" outlineLevel="2" x14ac:dyDescent="0.2">
      <c r="C226" s="86" t="s">
        <v>501</v>
      </c>
      <c r="D226" s="30" t="s">
        <v>182</v>
      </c>
      <c r="E226" s="30" t="s">
        <v>183</v>
      </c>
      <c r="F226" s="32" t="s">
        <v>44</v>
      </c>
    </row>
    <row r="227" spans="3:6" outlineLevel="2" x14ac:dyDescent="0.2">
      <c r="C227" s="86" t="s">
        <v>1506</v>
      </c>
      <c r="D227" s="30" t="s">
        <v>1507</v>
      </c>
      <c r="E227" s="30" t="s">
        <v>1508</v>
      </c>
      <c r="F227" s="32" t="s">
        <v>44</v>
      </c>
    </row>
    <row r="228" spans="3:6" outlineLevel="2" x14ac:dyDescent="0.2">
      <c r="C228" s="86" t="s">
        <v>502</v>
      </c>
      <c r="D228" s="30" t="s">
        <v>184</v>
      </c>
      <c r="E228" s="30" t="s">
        <v>185</v>
      </c>
      <c r="F228" s="32" t="s">
        <v>44</v>
      </c>
    </row>
    <row r="229" spans="3:6" ht="25.5" outlineLevel="2" x14ac:dyDescent="0.2">
      <c r="C229" s="86" t="s">
        <v>503</v>
      </c>
      <c r="D229" s="30" t="s">
        <v>186</v>
      </c>
      <c r="E229" s="30" t="s">
        <v>187</v>
      </c>
      <c r="F229" s="32" t="s">
        <v>188</v>
      </c>
    </row>
    <row r="230" spans="3:6" outlineLevel="2" x14ac:dyDescent="0.2">
      <c r="C230" s="86" t="s">
        <v>504</v>
      </c>
      <c r="D230" s="30" t="s">
        <v>189</v>
      </c>
      <c r="E230" s="30" t="s">
        <v>190</v>
      </c>
      <c r="F230" s="32" t="s">
        <v>191</v>
      </c>
    </row>
    <row r="231" spans="3:6" outlineLevel="2" x14ac:dyDescent="0.2">
      <c r="C231" s="86" t="s">
        <v>505</v>
      </c>
      <c r="D231" s="30" t="s">
        <v>192</v>
      </c>
      <c r="E231" s="30" t="s">
        <v>193</v>
      </c>
      <c r="F231" s="32" t="s">
        <v>194</v>
      </c>
    </row>
    <row r="232" spans="3:6" outlineLevel="2" x14ac:dyDescent="0.2">
      <c r="C232" s="86" t="s">
        <v>506</v>
      </c>
      <c r="D232" s="30" t="s">
        <v>195</v>
      </c>
      <c r="E232" s="30" t="s">
        <v>196</v>
      </c>
      <c r="F232" s="32" t="s">
        <v>197</v>
      </c>
    </row>
    <row r="233" spans="3:6" outlineLevel="2" x14ac:dyDescent="0.2">
      <c r="C233" s="86" t="s">
        <v>507</v>
      </c>
      <c r="D233" s="30" t="s">
        <v>198</v>
      </c>
      <c r="E233" s="30" t="s">
        <v>199</v>
      </c>
      <c r="F233" s="32" t="s">
        <v>197</v>
      </c>
    </row>
    <row r="234" spans="3:6" outlineLevel="2" x14ac:dyDescent="0.2">
      <c r="C234" s="86" t="s">
        <v>508</v>
      </c>
      <c r="D234" s="30" t="s">
        <v>200</v>
      </c>
      <c r="E234" s="30" t="s">
        <v>201</v>
      </c>
      <c r="F234" s="32" t="s">
        <v>176</v>
      </c>
    </row>
    <row r="235" spans="3:6" outlineLevel="2" x14ac:dyDescent="0.2">
      <c r="C235" s="86" t="s">
        <v>509</v>
      </c>
      <c r="D235" s="30" t="s">
        <v>202</v>
      </c>
      <c r="E235" s="30" t="s">
        <v>203</v>
      </c>
      <c r="F235" s="32" t="s">
        <v>44</v>
      </c>
    </row>
    <row r="236" spans="3:6" outlineLevel="2" x14ac:dyDescent="0.2">
      <c r="C236" s="86" t="s">
        <v>510</v>
      </c>
      <c r="D236" s="30" t="s">
        <v>204</v>
      </c>
      <c r="E236" s="30" t="s">
        <v>205</v>
      </c>
      <c r="F236" s="32" t="s">
        <v>44</v>
      </c>
    </row>
    <row r="237" spans="3:6" ht="25.5" outlineLevel="2" x14ac:dyDescent="0.2">
      <c r="C237" s="86" t="s">
        <v>511</v>
      </c>
      <c r="D237" s="30" t="s">
        <v>206</v>
      </c>
      <c r="E237" s="30" t="s">
        <v>207</v>
      </c>
      <c r="F237" s="32" t="s">
        <v>44</v>
      </c>
    </row>
    <row r="238" spans="3:6" ht="25.5" outlineLevel="2" x14ac:dyDescent="0.2">
      <c r="C238" s="86" t="s">
        <v>512</v>
      </c>
      <c r="D238" s="30" t="s">
        <v>208</v>
      </c>
      <c r="E238" s="30" t="s">
        <v>209</v>
      </c>
      <c r="F238" s="32" t="s">
        <v>44</v>
      </c>
    </row>
    <row r="239" spans="3:6" outlineLevel="2" x14ac:dyDescent="0.2">
      <c r="C239" s="86" t="s">
        <v>513</v>
      </c>
      <c r="D239" s="30" t="s">
        <v>210</v>
      </c>
      <c r="E239" s="30" t="s">
        <v>211</v>
      </c>
      <c r="F239" s="32" t="s">
        <v>44</v>
      </c>
    </row>
    <row r="240" spans="3:6" outlineLevel="2" x14ac:dyDescent="0.2">
      <c r="C240" s="86" t="s">
        <v>514</v>
      </c>
      <c r="D240" s="30" t="s">
        <v>212</v>
      </c>
      <c r="E240" s="30" t="s">
        <v>213</v>
      </c>
      <c r="F240" s="32" t="s">
        <v>44</v>
      </c>
    </row>
    <row r="241" spans="3:6" outlineLevel="2" x14ac:dyDescent="0.2">
      <c r="C241" s="86" t="s">
        <v>515</v>
      </c>
      <c r="D241" s="30" t="s">
        <v>214</v>
      </c>
      <c r="E241" s="30" t="s">
        <v>215</v>
      </c>
      <c r="F241" s="32" t="s">
        <v>44</v>
      </c>
    </row>
    <row r="242" spans="3:6" ht="89.25" outlineLevel="2" x14ac:dyDescent="0.2">
      <c r="C242" s="86" t="s">
        <v>516</v>
      </c>
      <c r="D242" s="30" t="s">
        <v>216</v>
      </c>
      <c r="E242" s="30" t="s">
        <v>217</v>
      </c>
      <c r="F242" s="32" t="s">
        <v>44</v>
      </c>
    </row>
    <row r="243" spans="3:6" outlineLevel="2" x14ac:dyDescent="0.2">
      <c r="C243" s="86" t="s">
        <v>517</v>
      </c>
      <c r="D243" s="30" t="s">
        <v>578</v>
      </c>
      <c r="E243" s="30" t="s">
        <v>1485</v>
      </c>
      <c r="F243" s="32" t="s">
        <v>1488</v>
      </c>
    </row>
    <row r="244" spans="3:6" outlineLevel="2" x14ac:dyDescent="0.2">
      <c r="C244" s="86" t="s">
        <v>518</v>
      </c>
      <c r="D244" s="30" t="s">
        <v>218</v>
      </c>
      <c r="E244" s="30" t="s">
        <v>219</v>
      </c>
      <c r="F244" s="32" t="s">
        <v>220</v>
      </c>
    </row>
    <row r="245" spans="3:6" ht="63.75" outlineLevel="2" x14ac:dyDescent="0.2">
      <c r="C245" s="86" t="s">
        <v>519</v>
      </c>
      <c r="D245" s="30" t="s">
        <v>221</v>
      </c>
      <c r="E245" s="30" t="s">
        <v>222</v>
      </c>
      <c r="F245" s="32" t="s">
        <v>106</v>
      </c>
    </row>
    <row r="246" spans="3:6" ht="63.75" outlineLevel="2" x14ac:dyDescent="0.2">
      <c r="C246" s="86" t="s">
        <v>520</v>
      </c>
      <c r="D246" s="30" t="s">
        <v>223</v>
      </c>
      <c r="E246" s="30" t="s">
        <v>224</v>
      </c>
      <c r="F246" s="32" t="s">
        <v>225</v>
      </c>
    </row>
    <row r="247" spans="3:6" ht="63.75" outlineLevel="2" x14ac:dyDescent="0.2">
      <c r="C247" s="86" t="s">
        <v>521</v>
      </c>
      <c r="D247" s="30" t="s">
        <v>226</v>
      </c>
      <c r="E247" s="30" t="s">
        <v>227</v>
      </c>
      <c r="F247" s="32" t="s">
        <v>44</v>
      </c>
    </row>
    <row r="248" spans="3:6" outlineLevel="2" x14ac:dyDescent="0.2">
      <c r="C248" s="86" t="s">
        <v>522</v>
      </c>
      <c r="D248" s="30" t="s">
        <v>579</v>
      </c>
      <c r="E248" s="30" t="s">
        <v>1487</v>
      </c>
      <c r="F248" s="32" t="s">
        <v>1488</v>
      </c>
    </row>
    <row r="249" spans="3:6" outlineLevel="2" x14ac:dyDescent="0.2">
      <c r="C249" s="86" t="s">
        <v>524</v>
      </c>
      <c r="D249" s="30" t="s">
        <v>228</v>
      </c>
      <c r="E249" s="30" t="s">
        <v>229</v>
      </c>
      <c r="F249" s="32" t="s">
        <v>44</v>
      </c>
    </row>
    <row r="250" spans="3:6" outlineLevel="2" x14ac:dyDescent="0.2">
      <c r="C250" s="86" t="s">
        <v>525</v>
      </c>
      <c r="D250" s="30" t="s">
        <v>230</v>
      </c>
      <c r="E250" s="30" t="s">
        <v>231</v>
      </c>
      <c r="F250" s="32" t="s">
        <v>44</v>
      </c>
    </row>
    <row r="251" spans="3:6" outlineLevel="2" x14ac:dyDescent="0.2">
      <c r="C251" s="86" t="s">
        <v>531</v>
      </c>
      <c r="D251" s="30" t="s">
        <v>232</v>
      </c>
      <c r="E251" s="30" t="s">
        <v>233</v>
      </c>
      <c r="F251" s="32" t="s">
        <v>44</v>
      </c>
    </row>
    <row r="252" spans="3:6" outlineLevel="2" collapsed="1" x14ac:dyDescent="0.2">
      <c r="C252" s="87"/>
      <c r="D252" s="34"/>
      <c r="E252" s="35"/>
      <c r="F252" s="35"/>
    </row>
    <row r="253" spans="3:6" outlineLevel="1" x14ac:dyDescent="0.2"/>
    <row r="254" spans="3:6" outlineLevel="1" x14ac:dyDescent="0.2"/>
    <row r="255" spans="3:6" outlineLevel="1" x14ac:dyDescent="0.2"/>
  </sheetData>
  <sheetProtection formatRows="0"/>
  <hyperlinks>
    <hyperlink ref="D27" location="Cover!A1" display="Cover" xr:uid="{26E5E81C-334D-406F-9667-DBC196C84279}"/>
    <hyperlink ref="D115" location="'Budget Opex Detail'!A1" display="Budget Opex Detail" xr:uid="{FFF0C16D-AE03-427C-81F2-ECA6740C8F6B}"/>
    <hyperlink ref="D136" location="'Activity Master'!A1" display="Activity Master" xr:uid="{7C32196B-814E-420D-8395-9820395BF867}"/>
    <hyperlink ref="D71" location="'Capex &amp; Project Detail'!A1" display="'Capex &amp; Project Detail" xr:uid="{1552F8C8-B640-4BC2-B707-2406E1E43E05}"/>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DB248-7425-4CB2-BF7E-5E0D59D4BAC3}">
  <sheetPr codeName="Sheet11">
    <tabColor rgb="FF339966"/>
  </sheetPr>
  <dimension ref="A2:P349"/>
  <sheetViews>
    <sheetView showGridLines="0" zoomScale="80" zoomScaleNormal="80" workbookViewId="0">
      <selection activeCell="B1" sqref="B1"/>
    </sheetView>
  </sheetViews>
  <sheetFormatPr defaultColWidth="10.28515625" defaultRowHeight="15" outlineLevelRow="4" x14ac:dyDescent="0.25"/>
  <cols>
    <col min="1" max="1" width="0.85546875" style="290" customWidth="1"/>
    <col min="2" max="2" width="3.42578125" style="290" bestFit="1" customWidth="1"/>
    <col min="3" max="3" width="42.42578125" style="290" customWidth="1"/>
    <col min="4" max="4" width="66.85546875" style="290" customWidth="1"/>
    <col min="5" max="5" width="103.5703125" style="290" customWidth="1"/>
    <col min="6" max="6" width="33" style="290" customWidth="1"/>
    <col min="7" max="7" width="31.7109375" style="290" customWidth="1"/>
    <col min="8" max="10" width="10.28515625" style="290"/>
    <col min="11" max="11" width="10.28515625" style="290" customWidth="1"/>
    <col min="12" max="16384" width="10.28515625" style="290"/>
  </cols>
  <sheetData>
    <row r="2" spans="2:16" ht="24" x14ac:dyDescent="0.4">
      <c r="B2" s="289" t="s">
        <v>2561</v>
      </c>
    </row>
    <row r="3" spans="2:16" ht="21" x14ac:dyDescent="0.35">
      <c r="B3" s="291"/>
    </row>
    <row r="4" spans="2:16" ht="19.5" thickBot="1" x14ac:dyDescent="0.35">
      <c r="B4" s="528" t="s">
        <v>0</v>
      </c>
      <c r="C4" s="292"/>
      <c r="D4" s="293"/>
      <c r="E4" s="292"/>
      <c r="F4" s="292"/>
      <c r="G4" s="292"/>
      <c r="H4" s="292"/>
      <c r="I4" s="292"/>
      <c r="J4" s="292"/>
      <c r="K4" s="292"/>
      <c r="L4" s="292"/>
      <c r="M4" s="292"/>
      <c r="N4" s="292"/>
      <c r="O4" s="292"/>
      <c r="P4" s="292"/>
    </row>
    <row r="5" spans="2:16" x14ac:dyDescent="0.25">
      <c r="B5" s="294"/>
      <c r="D5" s="295"/>
    </row>
    <row r="6" spans="2:16" x14ac:dyDescent="0.25">
      <c r="B6" s="290">
        <v>1</v>
      </c>
      <c r="C6" s="296" t="s">
        <v>2566</v>
      </c>
    </row>
    <row r="7" spans="2:16" x14ac:dyDescent="0.25">
      <c r="B7" s="290">
        <v>2</v>
      </c>
      <c r="C7" s="296" t="s">
        <v>2784</v>
      </c>
    </row>
    <row r="8" spans="2:16" x14ac:dyDescent="0.25">
      <c r="B8" s="297" t="s">
        <v>2</v>
      </c>
      <c r="C8" s="296" t="s">
        <v>2562</v>
      </c>
    </row>
    <row r="9" spans="2:16" x14ac:dyDescent="0.25">
      <c r="B9" s="297" t="s">
        <v>2</v>
      </c>
      <c r="C9" s="296" t="s">
        <v>2567</v>
      </c>
    </row>
    <row r="10" spans="2:16" x14ac:dyDescent="0.25">
      <c r="B10" s="297" t="s">
        <v>2</v>
      </c>
      <c r="C10" s="296" t="s">
        <v>2785</v>
      </c>
    </row>
    <row r="11" spans="2:16" x14ac:dyDescent="0.25">
      <c r="B11" s="297" t="s">
        <v>2</v>
      </c>
      <c r="C11" s="296" t="s">
        <v>2568</v>
      </c>
    </row>
    <row r="12" spans="2:16" x14ac:dyDescent="0.25">
      <c r="B12" s="297" t="s">
        <v>2</v>
      </c>
      <c r="C12" s="296" t="s">
        <v>2569</v>
      </c>
    </row>
    <row r="13" spans="2:16" x14ac:dyDescent="0.25">
      <c r="B13" s="290">
        <v>3</v>
      </c>
      <c r="C13" s="296" t="s">
        <v>2786</v>
      </c>
    </row>
    <row r="14" spans="2:16" x14ac:dyDescent="0.25">
      <c r="B14" s="290">
        <v>4</v>
      </c>
      <c r="C14" s="290" t="s">
        <v>4</v>
      </c>
    </row>
    <row r="15" spans="2:16" x14ac:dyDescent="0.25">
      <c r="B15" s="290">
        <v>5</v>
      </c>
      <c r="C15" s="290" t="s">
        <v>2787</v>
      </c>
    </row>
    <row r="16" spans="2:16" x14ac:dyDescent="0.25">
      <c r="B16" s="290">
        <v>6</v>
      </c>
      <c r="C16" s="290" t="s">
        <v>3375</v>
      </c>
    </row>
    <row r="18" spans="1:16" ht="19.5" thickBot="1" x14ac:dyDescent="0.35">
      <c r="B18" s="528" t="s">
        <v>6</v>
      </c>
      <c r="C18" s="292"/>
      <c r="D18" s="293"/>
      <c r="E18" s="292"/>
      <c r="F18" s="292"/>
      <c r="G18" s="292"/>
      <c r="H18" s="292"/>
      <c r="I18" s="292"/>
      <c r="J18" s="292"/>
      <c r="K18" s="292"/>
      <c r="L18" s="292"/>
      <c r="M18" s="292"/>
      <c r="N18" s="292"/>
      <c r="O18" s="292"/>
      <c r="P18" s="292"/>
    </row>
    <row r="20" spans="1:16" x14ac:dyDescent="0.25">
      <c r="B20" s="290">
        <v>1</v>
      </c>
      <c r="C20" s="290" t="s">
        <v>7</v>
      </c>
    </row>
    <row r="21" spans="1:16" x14ac:dyDescent="0.25">
      <c r="C21" s="298" t="s">
        <v>8</v>
      </c>
    </row>
    <row r="22" spans="1:16" x14ac:dyDescent="0.25">
      <c r="C22" s="298" t="s">
        <v>2788</v>
      </c>
    </row>
    <row r="23" spans="1:16" x14ac:dyDescent="0.25">
      <c r="C23" s="298" t="s">
        <v>2789</v>
      </c>
    </row>
    <row r="24" spans="1:16" x14ac:dyDescent="0.25">
      <c r="C24" s="298" t="s">
        <v>2790</v>
      </c>
    </row>
    <row r="25" spans="1:16" x14ac:dyDescent="0.25">
      <c r="B25" s="290">
        <v>2</v>
      </c>
      <c r="C25" s="290" t="s">
        <v>2791</v>
      </c>
    </row>
    <row r="26" spans="1:16" x14ac:dyDescent="0.25">
      <c r="B26" s="290">
        <v>3</v>
      </c>
      <c r="C26" s="290" t="s">
        <v>2792</v>
      </c>
    </row>
    <row r="28" spans="1:16" s="516" customFormat="1" ht="15.75" x14ac:dyDescent="0.25">
      <c r="A28" s="591"/>
      <c r="B28" s="591"/>
      <c r="C28" s="517" t="s">
        <v>10</v>
      </c>
      <c r="D28" s="518" t="s">
        <v>11</v>
      </c>
    </row>
    <row r="30" spans="1:16" x14ac:dyDescent="0.25">
      <c r="C30" s="290" t="s">
        <v>12</v>
      </c>
    </row>
    <row r="31" spans="1:16" outlineLevel="1" x14ac:dyDescent="0.25"/>
    <row r="32" spans="1:16" outlineLevel="1" x14ac:dyDescent="0.25">
      <c r="C32" s="299" t="s">
        <v>13</v>
      </c>
      <c r="D32" s="300" t="s">
        <v>14</v>
      </c>
    </row>
    <row r="33" spans="3:4" ht="60" outlineLevel="1" x14ac:dyDescent="0.25">
      <c r="C33" s="301" t="s">
        <v>15</v>
      </c>
      <c r="D33" s="302" t="s">
        <v>2793</v>
      </c>
    </row>
    <row r="34" spans="3:4" outlineLevel="1" x14ac:dyDescent="0.25">
      <c r="C34" s="301" t="s">
        <v>234</v>
      </c>
      <c r="D34" s="302" t="s">
        <v>241</v>
      </c>
    </row>
    <row r="35" spans="3:4" outlineLevel="1" x14ac:dyDescent="0.25">
      <c r="C35" s="301" t="s">
        <v>2794</v>
      </c>
      <c r="D35" s="302" t="s">
        <v>2795</v>
      </c>
    </row>
    <row r="36" spans="3:4" outlineLevel="1" x14ac:dyDescent="0.25"/>
    <row r="37" spans="3:4" ht="33" customHeight="1" outlineLevel="1" x14ac:dyDescent="0.25">
      <c r="C37" s="303" t="s">
        <v>2796</v>
      </c>
      <c r="D37" s="303" t="s">
        <v>2797</v>
      </c>
    </row>
    <row r="38" spans="3:4" outlineLevel="2" x14ac:dyDescent="0.25">
      <c r="C38" s="304" t="s">
        <v>2798</v>
      </c>
      <c r="D38" s="304" t="s">
        <v>2794</v>
      </c>
    </row>
    <row r="39" spans="3:4" outlineLevel="2" x14ac:dyDescent="0.25">
      <c r="C39" s="305" t="s">
        <v>2650</v>
      </c>
      <c r="D39" s="305" t="s">
        <v>1689</v>
      </c>
    </row>
    <row r="40" spans="3:4" outlineLevel="2" x14ac:dyDescent="0.25">
      <c r="C40" s="305" t="s">
        <v>2650</v>
      </c>
      <c r="D40" s="305" t="s">
        <v>1684</v>
      </c>
    </row>
    <row r="41" spans="3:4" outlineLevel="2" x14ac:dyDescent="0.25">
      <c r="C41" s="305" t="s">
        <v>2650</v>
      </c>
      <c r="D41" s="305" t="s">
        <v>1685</v>
      </c>
    </row>
    <row r="42" spans="3:4" outlineLevel="2" x14ac:dyDescent="0.25">
      <c r="C42" s="305" t="s">
        <v>2651</v>
      </c>
      <c r="D42" s="305" t="s">
        <v>2799</v>
      </c>
    </row>
    <row r="43" spans="3:4" outlineLevel="2" x14ac:dyDescent="0.25">
      <c r="C43" s="305" t="s">
        <v>2651</v>
      </c>
      <c r="D43" s="305" t="s">
        <v>2800</v>
      </c>
    </row>
    <row r="44" spans="3:4" outlineLevel="2" x14ac:dyDescent="0.25">
      <c r="C44" s="305" t="s">
        <v>2651</v>
      </c>
      <c r="D44" s="305" t="s">
        <v>1622</v>
      </c>
    </row>
    <row r="45" spans="3:4" outlineLevel="2" x14ac:dyDescent="0.25">
      <c r="C45" s="305" t="s">
        <v>2651</v>
      </c>
      <c r="D45" s="305" t="s">
        <v>1745</v>
      </c>
    </row>
    <row r="46" spans="3:4" outlineLevel="2" x14ac:dyDescent="0.25">
      <c r="C46" s="305" t="s">
        <v>2651</v>
      </c>
      <c r="D46" s="305" t="s">
        <v>1691</v>
      </c>
    </row>
    <row r="47" spans="3:4" outlineLevel="2" x14ac:dyDescent="0.25">
      <c r="C47" s="300" t="s">
        <v>2801</v>
      </c>
      <c r="D47" s="300" t="s">
        <v>30</v>
      </c>
    </row>
    <row r="48" spans="3:4" outlineLevel="2" x14ac:dyDescent="0.25">
      <c r="C48" s="300" t="s">
        <v>2801</v>
      </c>
      <c r="D48" s="300" t="s">
        <v>29</v>
      </c>
    </row>
    <row r="49" spans="3:4" outlineLevel="2" x14ac:dyDescent="0.25">
      <c r="C49" s="300" t="s">
        <v>22</v>
      </c>
      <c r="D49" s="300" t="s">
        <v>327</v>
      </c>
    </row>
    <row r="50" spans="3:4" outlineLevel="2" x14ac:dyDescent="0.25">
      <c r="C50" s="300" t="str">
        <f>C49</f>
        <v>HSE</v>
      </c>
      <c r="D50" s="300" t="s">
        <v>329</v>
      </c>
    </row>
    <row r="51" spans="3:4" outlineLevel="2" x14ac:dyDescent="0.25">
      <c r="C51" s="300" t="s">
        <v>1509</v>
      </c>
      <c r="D51" s="300" t="s">
        <v>236</v>
      </c>
    </row>
    <row r="52" spans="3:4" outlineLevel="2" x14ac:dyDescent="0.25">
      <c r="C52" s="300" t="s">
        <v>1509</v>
      </c>
      <c r="D52" s="300" t="s">
        <v>32</v>
      </c>
    </row>
    <row r="53" spans="3:4" outlineLevel="2" x14ac:dyDescent="0.25">
      <c r="C53" s="300" t="s">
        <v>2646</v>
      </c>
      <c r="D53" s="300" t="s">
        <v>243</v>
      </c>
    </row>
    <row r="54" spans="3:4" outlineLevel="2" x14ac:dyDescent="0.25">
      <c r="C54" s="300" t="s">
        <v>2646</v>
      </c>
      <c r="D54" s="300" t="s">
        <v>24</v>
      </c>
    </row>
    <row r="55" spans="3:4" outlineLevel="2" x14ac:dyDescent="0.25">
      <c r="C55" s="300" t="s">
        <v>2646</v>
      </c>
      <c r="D55" s="300" t="s">
        <v>20</v>
      </c>
    </row>
    <row r="56" spans="3:4" outlineLevel="2" x14ac:dyDescent="0.25">
      <c r="C56" s="300" t="s">
        <v>2646</v>
      </c>
      <c r="D56" s="300" t="s">
        <v>21</v>
      </c>
    </row>
    <row r="57" spans="3:4" outlineLevel="2" x14ac:dyDescent="0.25">
      <c r="C57" s="300" t="s">
        <v>2646</v>
      </c>
      <c r="D57" s="300" t="s">
        <v>2665</v>
      </c>
    </row>
    <row r="58" spans="3:4" outlineLevel="2" x14ac:dyDescent="0.25">
      <c r="C58" s="300" t="s">
        <v>2646</v>
      </c>
      <c r="D58" s="300" t="s">
        <v>3376</v>
      </c>
    </row>
    <row r="59" spans="3:4" outlineLevel="2" x14ac:dyDescent="0.25">
      <c r="C59" s="300" t="s">
        <v>2647</v>
      </c>
      <c r="D59" s="300" t="s">
        <v>2658</v>
      </c>
    </row>
    <row r="60" spans="3:4" outlineLevel="2" x14ac:dyDescent="0.25">
      <c r="C60" s="300" t="s">
        <v>2647</v>
      </c>
      <c r="D60" s="300" t="s">
        <v>3293</v>
      </c>
    </row>
    <row r="61" spans="3:4" outlineLevel="2" x14ac:dyDescent="0.25">
      <c r="C61" s="300" t="s">
        <v>2647</v>
      </c>
      <c r="D61" s="300" t="s">
        <v>3294</v>
      </c>
    </row>
    <row r="62" spans="3:4" outlineLevel="2" x14ac:dyDescent="0.25">
      <c r="C62" s="300" t="s">
        <v>3295</v>
      </c>
      <c r="D62" s="300" t="s">
        <v>3010</v>
      </c>
    </row>
    <row r="63" spans="3:4" outlineLevel="2" x14ac:dyDescent="0.25">
      <c r="C63" s="300" t="s">
        <v>3295</v>
      </c>
      <c r="D63" s="300" t="s">
        <v>1513</v>
      </c>
    </row>
    <row r="64" spans="3:4" outlineLevel="2" x14ac:dyDescent="0.25">
      <c r="C64" s="300" t="s">
        <v>237</v>
      </c>
      <c r="D64" s="300" t="s">
        <v>3377</v>
      </c>
    </row>
    <row r="65" spans="1:4" outlineLevel="2" x14ac:dyDescent="0.25">
      <c r="C65" s="300" t="s">
        <v>237</v>
      </c>
      <c r="D65" s="300" t="s">
        <v>2802</v>
      </c>
    </row>
    <row r="66" spans="1:4" outlineLevel="2" x14ac:dyDescent="0.25">
      <c r="C66" s="300" t="s">
        <v>237</v>
      </c>
      <c r="D66" s="300" t="s">
        <v>3378</v>
      </c>
    </row>
    <row r="67" spans="1:4" outlineLevel="2" x14ac:dyDescent="0.25">
      <c r="C67" s="300" t="s">
        <v>1510</v>
      </c>
      <c r="D67" s="300" t="s">
        <v>3271</v>
      </c>
    </row>
    <row r="68" spans="1:4" outlineLevel="2" x14ac:dyDescent="0.25">
      <c r="C68" s="300" t="s">
        <v>1510</v>
      </c>
      <c r="D68" s="300" t="s">
        <v>26</v>
      </c>
    </row>
    <row r="69" spans="1:4" outlineLevel="2" x14ac:dyDescent="0.25">
      <c r="C69" s="300" t="s">
        <v>1510</v>
      </c>
      <c r="D69" s="300" t="s">
        <v>27</v>
      </c>
    </row>
    <row r="70" spans="1:4" outlineLevel="2" x14ac:dyDescent="0.25">
      <c r="C70" s="300" t="s">
        <v>1510</v>
      </c>
      <c r="D70" s="300" t="s">
        <v>28</v>
      </c>
    </row>
    <row r="71" spans="1:4" outlineLevel="2" x14ac:dyDescent="0.25">
      <c r="C71" s="306" t="s">
        <v>239</v>
      </c>
      <c r="D71" s="300" t="s">
        <v>1511</v>
      </c>
    </row>
    <row r="72" spans="1:4" outlineLevel="2" x14ac:dyDescent="0.25">
      <c r="C72" s="300" t="s">
        <v>239</v>
      </c>
      <c r="D72" s="300" t="s">
        <v>34</v>
      </c>
    </row>
    <row r="73" spans="1:4" outlineLevel="2" x14ac:dyDescent="0.25">
      <c r="C73" s="300" t="s">
        <v>239</v>
      </c>
      <c r="D73" s="300" t="s">
        <v>35</v>
      </c>
    </row>
    <row r="74" spans="1:4" outlineLevel="1" x14ac:dyDescent="0.25"/>
    <row r="75" spans="1:4" outlineLevel="1" x14ac:dyDescent="0.25">
      <c r="C75" s="290" t="s">
        <v>36</v>
      </c>
    </row>
    <row r="77" spans="1:4" s="516" customFormat="1" ht="15.75" x14ac:dyDescent="0.25">
      <c r="A77" s="591"/>
      <c r="B77" s="591"/>
      <c r="C77" s="517" t="s">
        <v>2045</v>
      </c>
      <c r="D77" s="592" t="s">
        <v>3297</v>
      </c>
    </row>
    <row r="79" spans="1:4" x14ac:dyDescent="0.25">
      <c r="C79" s="290" t="s">
        <v>2803</v>
      </c>
    </row>
    <row r="80" spans="1:4" x14ac:dyDescent="0.25">
      <c r="C80" s="514" t="s">
        <v>2804</v>
      </c>
      <c r="D80" s="307"/>
    </row>
    <row r="81" spans="3:4" outlineLevel="1" x14ac:dyDescent="0.25">
      <c r="C81" s="290" t="s">
        <v>1695</v>
      </c>
    </row>
    <row r="82" spans="3:4" outlineLevel="1" x14ac:dyDescent="0.25">
      <c r="C82" s="290" t="s">
        <v>2805</v>
      </c>
    </row>
    <row r="83" spans="3:4" outlineLevel="1" x14ac:dyDescent="0.25"/>
    <row r="84" spans="3:4" outlineLevel="1" x14ac:dyDescent="0.25">
      <c r="C84" s="304" t="s">
        <v>2806</v>
      </c>
      <c r="D84" s="304" t="s">
        <v>2807</v>
      </c>
    </row>
    <row r="85" spans="3:4" ht="60" outlineLevel="1" x14ac:dyDescent="0.25">
      <c r="C85" s="308" t="s">
        <v>1697</v>
      </c>
      <c r="D85" s="309" t="s">
        <v>2808</v>
      </c>
    </row>
    <row r="86" spans="3:4" ht="45" outlineLevel="1" x14ac:dyDescent="0.25">
      <c r="C86" s="308" t="s">
        <v>403</v>
      </c>
      <c r="D86" s="310" t="s">
        <v>2809</v>
      </c>
    </row>
    <row r="87" spans="3:4" ht="75" outlineLevel="1" x14ac:dyDescent="0.25">
      <c r="C87" s="311" t="s">
        <v>1699</v>
      </c>
      <c r="D87" s="312" t="s">
        <v>1700</v>
      </c>
    </row>
    <row r="88" spans="3:4" ht="48" customHeight="1" outlineLevel="1" x14ac:dyDescent="0.25">
      <c r="C88" s="313" t="s">
        <v>1701</v>
      </c>
      <c r="D88" s="314" t="s">
        <v>2810</v>
      </c>
    </row>
    <row r="89" spans="3:4" ht="153.75" customHeight="1" outlineLevel="1" x14ac:dyDescent="0.25">
      <c r="C89" s="315"/>
      <c r="D89" s="316" t="e" vm="1">
        <v>#VALUE!</v>
      </c>
    </row>
    <row r="90" spans="3:4" ht="75" outlineLevel="1" x14ac:dyDescent="0.25">
      <c r="C90" s="317" t="s">
        <v>2563</v>
      </c>
      <c r="D90" s="318" t="s">
        <v>2575</v>
      </c>
    </row>
    <row r="91" spans="3:4" outlineLevel="1" x14ac:dyDescent="0.25">
      <c r="C91" s="319" t="s">
        <v>2811</v>
      </c>
      <c r="D91" s="320" t="s">
        <v>2812</v>
      </c>
    </row>
    <row r="92" spans="3:4" outlineLevel="1" x14ac:dyDescent="0.25">
      <c r="C92" s="319" t="s">
        <v>2813</v>
      </c>
      <c r="D92" s="320" t="s">
        <v>2814</v>
      </c>
    </row>
    <row r="93" spans="3:4" outlineLevel="1" x14ac:dyDescent="0.25">
      <c r="C93" s="319" t="s">
        <v>3392</v>
      </c>
      <c r="D93" s="320" t="s">
        <v>2815</v>
      </c>
    </row>
    <row r="94" spans="3:4" ht="90" outlineLevel="1" x14ac:dyDescent="0.25">
      <c r="C94" s="321" t="s">
        <v>1516</v>
      </c>
      <c r="D94" s="310" t="s">
        <v>2816</v>
      </c>
    </row>
    <row r="95" spans="3:4" outlineLevel="1" x14ac:dyDescent="0.25">
      <c r="C95" s="321" t="s">
        <v>1517</v>
      </c>
      <c r="D95" s="322" t="s">
        <v>1708</v>
      </c>
    </row>
    <row r="96" spans="3:4" outlineLevel="1" x14ac:dyDescent="0.25">
      <c r="C96" s="321" t="s">
        <v>2046</v>
      </c>
      <c r="D96" s="322" t="s">
        <v>2817</v>
      </c>
    </row>
    <row r="97" spans="3:6" outlineLevel="1" x14ac:dyDescent="0.25">
      <c r="C97" s="321" t="s">
        <v>1743</v>
      </c>
      <c r="D97" s="322" t="s">
        <v>2047</v>
      </c>
    </row>
    <row r="98" spans="3:6" outlineLevel="1" x14ac:dyDescent="0.25">
      <c r="C98" s="321" t="s">
        <v>1734</v>
      </c>
      <c r="D98" s="322" t="s">
        <v>2818</v>
      </c>
    </row>
    <row r="99" spans="3:6" outlineLevel="1" x14ac:dyDescent="0.25">
      <c r="C99" s="321" t="s">
        <v>2819</v>
      </c>
      <c r="D99" s="322" t="s">
        <v>1709</v>
      </c>
    </row>
    <row r="100" spans="3:6" outlineLevel="1" x14ac:dyDescent="0.25">
      <c r="C100" s="321" t="s">
        <v>2820</v>
      </c>
      <c r="D100" s="322" t="s">
        <v>1710</v>
      </c>
    </row>
    <row r="101" spans="3:6" outlineLevel="1" x14ac:dyDescent="0.25">
      <c r="C101" s="323" t="s">
        <v>2821</v>
      </c>
      <c r="D101" s="322" t="s">
        <v>2822</v>
      </c>
    </row>
    <row r="102" spans="3:6" outlineLevel="1" x14ac:dyDescent="0.25">
      <c r="C102" s="321" t="s">
        <v>2054</v>
      </c>
      <c r="D102" s="322" t="s">
        <v>2055</v>
      </c>
    </row>
    <row r="103" spans="3:6" outlineLevel="1" x14ac:dyDescent="0.25"/>
    <row r="104" spans="3:6" outlineLevel="1" x14ac:dyDescent="0.25">
      <c r="C104" s="324" t="s">
        <v>1713</v>
      </c>
    </row>
    <row r="105" spans="3:6" outlineLevel="2" x14ac:dyDescent="0.25">
      <c r="C105" s="325" t="s">
        <v>40</v>
      </c>
      <c r="D105" s="304" t="s">
        <v>41</v>
      </c>
      <c r="E105" s="326" t="s">
        <v>2823</v>
      </c>
      <c r="F105" s="327"/>
    </row>
    <row r="106" spans="3:6" outlineLevel="2" x14ac:dyDescent="0.25">
      <c r="C106" s="328" t="s">
        <v>1668</v>
      </c>
      <c r="D106" s="329"/>
      <c r="E106" s="330"/>
      <c r="F106" s="331"/>
    </row>
    <row r="107" spans="3:6" outlineLevel="2" x14ac:dyDescent="0.25">
      <c r="C107" s="332">
        <v>15000000</v>
      </c>
      <c r="D107" s="333" t="s">
        <v>1625</v>
      </c>
      <c r="E107" s="334" t="s">
        <v>2824</v>
      </c>
      <c r="F107" s="335"/>
    </row>
    <row r="108" spans="3:6" ht="30" outlineLevel="2" x14ac:dyDescent="0.25">
      <c r="C108" s="336">
        <v>15000010</v>
      </c>
      <c r="D108" s="337" t="s">
        <v>1627</v>
      </c>
      <c r="E108" s="338" t="s">
        <v>2825</v>
      </c>
      <c r="F108" s="339"/>
    </row>
    <row r="109" spans="3:6" ht="30" outlineLevel="2" x14ac:dyDescent="0.25">
      <c r="C109" s="336">
        <v>15000020</v>
      </c>
      <c r="D109" s="337" t="s">
        <v>1629</v>
      </c>
      <c r="E109" s="338" t="s">
        <v>2826</v>
      </c>
      <c r="F109" s="339"/>
    </row>
    <row r="110" spans="3:6" ht="30" outlineLevel="2" x14ac:dyDescent="0.25">
      <c r="C110" s="336">
        <v>15000030</v>
      </c>
      <c r="D110" s="337" t="s">
        <v>1631</v>
      </c>
      <c r="E110" s="338" t="s">
        <v>2827</v>
      </c>
      <c r="F110" s="339"/>
    </row>
    <row r="111" spans="3:6" ht="30" outlineLevel="2" x14ac:dyDescent="0.25">
      <c r="C111" s="336">
        <v>15000040</v>
      </c>
      <c r="D111" s="337" t="s">
        <v>1633</v>
      </c>
      <c r="E111" s="338" t="s">
        <v>2828</v>
      </c>
      <c r="F111" s="339"/>
    </row>
    <row r="112" spans="3:6" outlineLevel="2" x14ac:dyDescent="0.25">
      <c r="C112" s="336">
        <v>15000050</v>
      </c>
      <c r="D112" s="337" t="s">
        <v>1635</v>
      </c>
      <c r="E112" s="338" t="s">
        <v>2829</v>
      </c>
      <c r="F112" s="339"/>
    </row>
    <row r="113" spans="1:6" ht="30" outlineLevel="2" x14ac:dyDescent="0.25">
      <c r="C113" s="336">
        <v>15000060</v>
      </c>
      <c r="D113" s="337" t="s">
        <v>1637</v>
      </c>
      <c r="E113" s="338" t="s">
        <v>2830</v>
      </c>
      <c r="F113" s="339"/>
    </row>
    <row r="114" spans="1:6" outlineLevel="2" x14ac:dyDescent="0.25">
      <c r="C114" s="340">
        <v>15000070</v>
      </c>
      <c r="D114" s="341" t="s">
        <v>1639</v>
      </c>
      <c r="E114" s="342" t="s">
        <v>2831</v>
      </c>
      <c r="F114" s="339"/>
    </row>
    <row r="115" spans="1:6" outlineLevel="2" x14ac:dyDescent="0.25">
      <c r="C115" s="340">
        <v>15000080</v>
      </c>
      <c r="D115" s="341" t="s">
        <v>1641</v>
      </c>
      <c r="E115" s="342" t="s">
        <v>2832</v>
      </c>
      <c r="F115" s="339"/>
    </row>
    <row r="116" spans="1:6" outlineLevel="2" x14ac:dyDescent="0.25">
      <c r="C116" s="340">
        <v>15200000</v>
      </c>
      <c r="D116" s="341" t="s">
        <v>1644</v>
      </c>
      <c r="E116" s="342" t="s">
        <v>2833</v>
      </c>
      <c r="F116" s="335"/>
    </row>
    <row r="117" spans="1:6" outlineLevel="2" x14ac:dyDescent="0.25">
      <c r="C117" s="343" t="s">
        <v>2834</v>
      </c>
      <c r="D117" s="344"/>
      <c r="E117" s="345"/>
      <c r="F117" s="331"/>
    </row>
    <row r="118" spans="1:6" ht="30" outlineLevel="2" x14ac:dyDescent="0.25">
      <c r="C118" s="340">
        <v>15020010</v>
      </c>
      <c r="D118" s="341" t="s">
        <v>1647</v>
      </c>
      <c r="E118" s="342" t="s">
        <v>2835</v>
      </c>
      <c r="F118" s="339"/>
    </row>
    <row r="119" spans="1:6" ht="30" outlineLevel="2" x14ac:dyDescent="0.25">
      <c r="C119" s="340">
        <v>15020020</v>
      </c>
      <c r="D119" s="341" t="s">
        <v>1649</v>
      </c>
      <c r="E119" s="342" t="s">
        <v>2836</v>
      </c>
      <c r="F119" s="339"/>
    </row>
    <row r="120" spans="1:6" ht="30" outlineLevel="2" x14ac:dyDescent="0.25">
      <c r="C120" s="340">
        <v>15020030</v>
      </c>
      <c r="D120" s="341" t="s">
        <v>1651</v>
      </c>
      <c r="E120" s="342" t="s">
        <v>2837</v>
      </c>
      <c r="F120" s="339"/>
    </row>
    <row r="121" spans="1:6" outlineLevel="2" x14ac:dyDescent="0.25">
      <c r="C121" s="340">
        <v>15020040</v>
      </c>
      <c r="D121" s="341" t="s">
        <v>1653</v>
      </c>
      <c r="E121" s="342" t="s">
        <v>2838</v>
      </c>
      <c r="F121" s="339"/>
    </row>
    <row r="122" spans="1:6" outlineLevel="2" x14ac:dyDescent="0.25">
      <c r="C122" s="340">
        <v>15020080</v>
      </c>
      <c r="D122" s="341" t="s">
        <v>1655</v>
      </c>
      <c r="E122" s="342" t="s">
        <v>2839</v>
      </c>
      <c r="F122" s="339"/>
    </row>
    <row r="123" spans="1:6" ht="30" outlineLevel="2" x14ac:dyDescent="0.25">
      <c r="C123" s="346">
        <v>15020090</v>
      </c>
      <c r="D123" s="347" t="s">
        <v>1720</v>
      </c>
      <c r="E123" s="348" t="s">
        <v>2840</v>
      </c>
      <c r="F123" s="339"/>
    </row>
    <row r="124" spans="1:6" outlineLevel="2" x14ac:dyDescent="0.25">
      <c r="C124" s="519"/>
      <c r="D124" s="335"/>
      <c r="E124" s="339"/>
      <c r="F124" s="339"/>
    </row>
    <row r="125" spans="1:6" s="522" customFormat="1" ht="15.75" x14ac:dyDescent="0.25">
      <c r="A125" s="593"/>
      <c r="B125" s="593"/>
      <c r="C125" s="520" t="s">
        <v>3302</v>
      </c>
      <c r="D125" s="521" t="s">
        <v>1445</v>
      </c>
    </row>
    <row r="127" spans="1:6" outlineLevel="1" x14ac:dyDescent="0.25">
      <c r="C127" s="290" t="s">
        <v>45</v>
      </c>
    </row>
    <row r="128" spans="1:6" outlineLevel="1" x14ac:dyDescent="0.25">
      <c r="C128" s="290" t="s">
        <v>2564</v>
      </c>
    </row>
    <row r="129" spans="3:6" outlineLevel="1" x14ac:dyDescent="0.25">
      <c r="C129" s="290" t="s">
        <v>2805</v>
      </c>
    </row>
    <row r="130" spans="3:6" outlineLevel="1" x14ac:dyDescent="0.25"/>
    <row r="131" spans="3:6" outlineLevel="1" x14ac:dyDescent="0.25">
      <c r="C131" s="529" t="s">
        <v>3303</v>
      </c>
      <c r="D131" s="529"/>
      <c r="E131" s="529" t="s">
        <v>3304</v>
      </c>
      <c r="F131" s="529"/>
    </row>
    <row r="132" spans="3:6" ht="75" outlineLevel="1" x14ac:dyDescent="0.25">
      <c r="C132" s="349" t="s">
        <v>590</v>
      </c>
      <c r="D132" s="350" t="s">
        <v>2841</v>
      </c>
      <c r="E132" s="349" t="s">
        <v>1669</v>
      </c>
      <c r="F132" s="350" t="s">
        <v>3305</v>
      </c>
    </row>
    <row r="133" spans="3:6" ht="49.5" customHeight="1" outlineLevel="1" x14ac:dyDescent="0.25">
      <c r="C133" s="349" t="s">
        <v>594</v>
      </c>
      <c r="D133" s="350" t="s">
        <v>2842</v>
      </c>
      <c r="E133" s="594"/>
      <c r="F133" s="595"/>
    </row>
    <row r="134" spans="3:6" ht="60" outlineLevel="1" x14ac:dyDescent="0.25">
      <c r="C134" s="351" t="s">
        <v>2572</v>
      </c>
      <c r="D134" s="352" t="s">
        <v>2843</v>
      </c>
      <c r="E134" s="596"/>
      <c r="F134" s="595"/>
    </row>
    <row r="135" spans="3:6" ht="45" outlineLevel="1" x14ac:dyDescent="0.25">
      <c r="C135" s="351" t="s">
        <v>2844</v>
      </c>
      <c r="D135" s="352" t="s">
        <v>2845</v>
      </c>
      <c r="E135" s="351" t="s">
        <v>2844</v>
      </c>
      <c r="F135" s="352" t="s">
        <v>2845</v>
      </c>
    </row>
    <row r="136" spans="3:6" ht="105" outlineLevel="1" x14ac:dyDescent="0.25">
      <c r="C136" s="349" t="s">
        <v>2563</v>
      </c>
      <c r="D136" s="350" t="s">
        <v>2846</v>
      </c>
      <c r="E136" s="349" t="s">
        <v>2563</v>
      </c>
      <c r="F136" s="350" t="s">
        <v>2846</v>
      </c>
    </row>
    <row r="137" spans="3:6" ht="45" outlineLevel="1" x14ac:dyDescent="0.25">
      <c r="C137" s="349" t="s">
        <v>2573</v>
      </c>
      <c r="D137" s="350" t="s">
        <v>2847</v>
      </c>
      <c r="E137" s="349" t="s">
        <v>2573</v>
      </c>
      <c r="F137" s="350" t="s">
        <v>2847</v>
      </c>
    </row>
    <row r="138" spans="3:6" ht="135" outlineLevel="1" x14ac:dyDescent="0.25">
      <c r="C138" s="353" t="s">
        <v>1439</v>
      </c>
      <c r="D138" s="350" t="s">
        <v>2848</v>
      </c>
      <c r="E138" s="353" t="s">
        <v>1439</v>
      </c>
      <c r="F138" s="350" t="s">
        <v>2848</v>
      </c>
    </row>
    <row r="139" spans="3:6" ht="165" outlineLevel="1" x14ac:dyDescent="0.25">
      <c r="C139" s="353" t="s">
        <v>1440</v>
      </c>
      <c r="D139" s="354" t="s">
        <v>2849</v>
      </c>
      <c r="E139" s="353" t="s">
        <v>1440</v>
      </c>
      <c r="F139" s="354" t="s">
        <v>2849</v>
      </c>
    </row>
    <row r="140" spans="3:6" ht="30" outlineLevel="1" x14ac:dyDescent="0.25">
      <c r="C140" s="353" t="s">
        <v>1441</v>
      </c>
      <c r="D140" s="354" t="s">
        <v>2850</v>
      </c>
      <c r="E140" s="353" t="s">
        <v>1441</v>
      </c>
      <c r="F140" s="354" t="s">
        <v>2850</v>
      </c>
    </row>
    <row r="141" spans="3:6" ht="60" outlineLevel="1" x14ac:dyDescent="0.25">
      <c r="C141" s="353" t="s">
        <v>1443</v>
      </c>
      <c r="D141" s="354" t="s">
        <v>2851</v>
      </c>
      <c r="E141" s="353" t="s">
        <v>1443</v>
      </c>
      <c r="F141" s="354" t="s">
        <v>2851</v>
      </c>
    </row>
    <row r="142" spans="3:6" ht="30" outlineLevel="1" x14ac:dyDescent="0.25">
      <c r="C142" s="353" t="s">
        <v>405</v>
      </c>
      <c r="D142" s="354" t="s">
        <v>2852</v>
      </c>
      <c r="E142" s="353" t="s">
        <v>405</v>
      </c>
      <c r="F142" s="354" t="s">
        <v>2852</v>
      </c>
    </row>
    <row r="143" spans="3:6" ht="60" outlineLevel="1" x14ac:dyDescent="0.25">
      <c r="C143" s="353" t="s">
        <v>1442</v>
      </c>
      <c r="D143" s="354" t="s">
        <v>2853</v>
      </c>
      <c r="E143" s="353" t="s">
        <v>1442</v>
      </c>
      <c r="F143" s="354" t="s">
        <v>2853</v>
      </c>
    </row>
    <row r="144" spans="3:6" ht="75" outlineLevel="1" x14ac:dyDescent="0.25">
      <c r="C144" s="353" t="s">
        <v>2854</v>
      </c>
      <c r="D144" s="354" t="s">
        <v>2855</v>
      </c>
      <c r="E144" s="353" t="s">
        <v>2854</v>
      </c>
      <c r="F144" s="354" t="s">
        <v>2855</v>
      </c>
    </row>
    <row r="145" spans="3:7" outlineLevel="1" x14ac:dyDescent="0.25"/>
    <row r="147" spans="3:7" x14ac:dyDescent="0.25">
      <c r="C147" s="324" t="s">
        <v>2866</v>
      </c>
    </row>
    <row r="148" spans="3:7" hidden="1" outlineLevel="2" x14ac:dyDescent="0.25">
      <c r="C148" s="304" t="s">
        <v>2867</v>
      </c>
      <c r="D148" s="304" t="s">
        <v>2868</v>
      </c>
      <c r="E148" s="326" t="s">
        <v>2869</v>
      </c>
      <c r="F148" s="326" t="s">
        <v>2870</v>
      </c>
      <c r="G148" s="326" t="s">
        <v>2871</v>
      </c>
    </row>
    <row r="149" spans="3:7" hidden="1" outlineLevel="4" x14ac:dyDescent="0.25">
      <c r="C149" s="355">
        <v>50200010</v>
      </c>
      <c r="D149" s="338" t="s">
        <v>2872</v>
      </c>
      <c r="E149" s="338" t="s">
        <v>2873</v>
      </c>
      <c r="F149" s="356" t="s">
        <v>893</v>
      </c>
      <c r="G149" s="356" t="s">
        <v>2874</v>
      </c>
    </row>
    <row r="150" spans="3:7" hidden="1" outlineLevel="4" x14ac:dyDescent="0.25">
      <c r="C150" s="355">
        <v>50300010</v>
      </c>
      <c r="D150" s="338" t="s">
        <v>48</v>
      </c>
      <c r="E150" s="338" t="s">
        <v>2875</v>
      </c>
      <c r="F150" s="357" t="s">
        <v>898</v>
      </c>
      <c r="G150" s="357" t="s">
        <v>50</v>
      </c>
    </row>
    <row r="151" spans="3:7" hidden="1" outlineLevel="4" x14ac:dyDescent="0.25">
      <c r="C151" s="355">
        <v>50300020</v>
      </c>
      <c r="D151" s="338" t="s">
        <v>51</v>
      </c>
      <c r="E151" s="338" t="s">
        <v>2876</v>
      </c>
      <c r="F151" s="338" t="s">
        <v>898</v>
      </c>
      <c r="G151" s="357" t="s">
        <v>50</v>
      </c>
    </row>
    <row r="152" spans="3:7" hidden="1" outlineLevel="4" x14ac:dyDescent="0.25">
      <c r="C152" s="355">
        <v>50300030</v>
      </c>
      <c r="D152" s="338" t="s">
        <v>53</v>
      </c>
      <c r="E152" s="338" t="s">
        <v>2877</v>
      </c>
      <c r="F152" s="338" t="s">
        <v>898</v>
      </c>
      <c r="G152" s="357" t="s">
        <v>50</v>
      </c>
    </row>
    <row r="153" spans="3:7" hidden="1" outlineLevel="4" x14ac:dyDescent="0.25">
      <c r="C153" s="355">
        <v>50300040</v>
      </c>
      <c r="D153" s="338" t="s">
        <v>55</v>
      </c>
      <c r="E153" s="338" t="s">
        <v>2878</v>
      </c>
      <c r="F153" s="338" t="s">
        <v>898</v>
      </c>
      <c r="G153" s="357" t="s">
        <v>50</v>
      </c>
    </row>
    <row r="154" spans="3:7" hidden="1" outlineLevel="4" x14ac:dyDescent="0.25">
      <c r="C154" s="355">
        <v>50300050</v>
      </c>
      <c r="D154" s="338" t="s">
        <v>57</v>
      </c>
      <c r="E154" s="338" t="s">
        <v>2879</v>
      </c>
      <c r="F154" s="338" t="s">
        <v>898</v>
      </c>
      <c r="G154" s="357" t="s">
        <v>50</v>
      </c>
    </row>
    <row r="155" spans="3:7" hidden="1" outlineLevel="4" x14ac:dyDescent="0.25">
      <c r="C155" s="355">
        <v>50300060</v>
      </c>
      <c r="D155" s="338" t="s">
        <v>2880</v>
      </c>
      <c r="E155" s="338" t="s">
        <v>2881</v>
      </c>
      <c r="F155" s="338" t="s">
        <v>898</v>
      </c>
      <c r="G155" s="357" t="s">
        <v>50</v>
      </c>
    </row>
    <row r="156" spans="3:7" hidden="1" outlineLevel="4" x14ac:dyDescent="0.25">
      <c r="C156" s="355">
        <v>50300070</v>
      </c>
      <c r="D156" s="338" t="s">
        <v>1337</v>
      </c>
      <c r="E156" s="338" t="s">
        <v>2882</v>
      </c>
      <c r="F156" s="342" t="s">
        <v>898</v>
      </c>
      <c r="G156" s="357" t="s">
        <v>50</v>
      </c>
    </row>
    <row r="157" spans="3:7" hidden="1" outlineLevel="4" x14ac:dyDescent="0.25">
      <c r="C157" s="355">
        <v>50300080</v>
      </c>
      <c r="D157" s="338" t="s">
        <v>63</v>
      </c>
      <c r="E157" s="338" t="s">
        <v>2883</v>
      </c>
      <c r="F157" s="342" t="s">
        <v>898</v>
      </c>
      <c r="G157" s="357" t="s">
        <v>50</v>
      </c>
    </row>
    <row r="158" spans="3:7" hidden="1" outlineLevel="4" x14ac:dyDescent="0.25">
      <c r="C158" s="355">
        <v>50300090</v>
      </c>
      <c r="D158" s="338" t="s">
        <v>65</v>
      </c>
      <c r="E158" s="338" t="s">
        <v>2884</v>
      </c>
      <c r="F158" s="342" t="s">
        <v>898</v>
      </c>
      <c r="G158" s="357" t="s">
        <v>50</v>
      </c>
    </row>
    <row r="159" spans="3:7" hidden="1" outlineLevel="4" x14ac:dyDescent="0.25">
      <c r="C159" s="355">
        <v>50300100</v>
      </c>
      <c r="D159" s="338" t="s">
        <v>67</v>
      </c>
      <c r="E159" s="338" t="s">
        <v>2885</v>
      </c>
      <c r="F159" s="342" t="s">
        <v>898</v>
      </c>
      <c r="G159" s="357" t="s">
        <v>50</v>
      </c>
    </row>
    <row r="160" spans="3:7" hidden="1" outlineLevel="4" x14ac:dyDescent="0.25">
      <c r="C160" s="355">
        <v>50300110</v>
      </c>
      <c r="D160" s="338" t="s">
        <v>2886</v>
      </c>
      <c r="E160" s="338" t="s">
        <v>2887</v>
      </c>
      <c r="F160" s="342" t="s">
        <v>898</v>
      </c>
      <c r="G160" s="357" t="s">
        <v>50</v>
      </c>
    </row>
    <row r="161" spans="3:7" hidden="1" outlineLevel="4" x14ac:dyDescent="0.25">
      <c r="C161" s="355">
        <v>50300120</v>
      </c>
      <c r="D161" s="338" t="s">
        <v>2888</v>
      </c>
      <c r="E161" s="338" t="s">
        <v>2889</v>
      </c>
      <c r="F161" s="342" t="s">
        <v>898</v>
      </c>
      <c r="G161" s="357" t="s">
        <v>50</v>
      </c>
    </row>
    <row r="162" spans="3:7" hidden="1" outlineLevel="4" x14ac:dyDescent="0.25">
      <c r="C162" s="355">
        <v>50300990</v>
      </c>
      <c r="D162" s="338" t="s">
        <v>71</v>
      </c>
      <c r="E162" s="338" t="s">
        <v>2890</v>
      </c>
      <c r="F162" s="342" t="s">
        <v>898</v>
      </c>
      <c r="G162" s="357" t="s">
        <v>50</v>
      </c>
    </row>
    <row r="163" spans="3:7" hidden="1" outlineLevel="4" x14ac:dyDescent="0.25">
      <c r="C163" s="355">
        <v>50400010</v>
      </c>
      <c r="D163" s="338" t="s">
        <v>2891</v>
      </c>
      <c r="E163" s="338" t="s">
        <v>2892</v>
      </c>
      <c r="F163" s="342" t="s">
        <v>903</v>
      </c>
      <c r="G163" s="357" t="s">
        <v>50</v>
      </c>
    </row>
    <row r="164" spans="3:7" hidden="1" outlineLevel="4" x14ac:dyDescent="0.25">
      <c r="C164" s="355">
        <v>50500010</v>
      </c>
      <c r="D164" s="338" t="s">
        <v>2893</v>
      </c>
      <c r="E164" s="338" t="s">
        <v>2894</v>
      </c>
      <c r="F164" s="342" t="s">
        <v>908</v>
      </c>
      <c r="G164" s="356" t="s">
        <v>2874</v>
      </c>
    </row>
    <row r="165" spans="3:7" hidden="1" outlineLevel="4" x14ac:dyDescent="0.25">
      <c r="C165" s="355">
        <v>50500020</v>
      </c>
      <c r="D165" s="338" t="s">
        <v>1340</v>
      </c>
      <c r="E165" s="338" t="s">
        <v>2895</v>
      </c>
      <c r="F165" s="342" t="s">
        <v>908</v>
      </c>
      <c r="G165" s="356" t="s">
        <v>2874</v>
      </c>
    </row>
    <row r="166" spans="3:7" hidden="1" outlineLevel="4" x14ac:dyDescent="0.25">
      <c r="C166" s="355">
        <v>50500030</v>
      </c>
      <c r="D166" s="338" t="s">
        <v>2896</v>
      </c>
      <c r="E166" s="338" t="s">
        <v>101</v>
      </c>
      <c r="F166" s="342" t="s">
        <v>908</v>
      </c>
      <c r="G166" s="356" t="s">
        <v>2874</v>
      </c>
    </row>
    <row r="167" spans="3:7" hidden="1" outlineLevel="4" x14ac:dyDescent="0.25">
      <c r="C167" s="355">
        <v>50500040</v>
      </c>
      <c r="D167" s="338" t="s">
        <v>111</v>
      </c>
      <c r="E167" s="338" t="s">
        <v>2897</v>
      </c>
      <c r="F167" s="342" t="s">
        <v>908</v>
      </c>
      <c r="G167" s="356" t="s">
        <v>2874</v>
      </c>
    </row>
    <row r="168" spans="3:7" hidden="1" outlineLevel="4" x14ac:dyDescent="0.25">
      <c r="C168" s="355">
        <v>50600010</v>
      </c>
      <c r="D168" s="338" t="s">
        <v>535</v>
      </c>
      <c r="E168" s="338" t="s">
        <v>2898</v>
      </c>
      <c r="F168" s="342" t="s">
        <v>913</v>
      </c>
      <c r="G168" s="356" t="s">
        <v>2874</v>
      </c>
    </row>
    <row r="169" spans="3:7" hidden="1" outlineLevel="4" x14ac:dyDescent="0.25">
      <c r="C169" s="355">
        <v>50600020</v>
      </c>
      <c r="D169" s="338" t="s">
        <v>536</v>
      </c>
      <c r="E169" s="338" t="s">
        <v>2899</v>
      </c>
      <c r="F169" s="342" t="s">
        <v>913</v>
      </c>
      <c r="G169" s="356" t="s">
        <v>2874</v>
      </c>
    </row>
    <row r="170" spans="3:7" hidden="1" outlineLevel="4" x14ac:dyDescent="0.25">
      <c r="C170" s="355">
        <v>50600030</v>
      </c>
      <c r="D170" s="338" t="s">
        <v>2900</v>
      </c>
      <c r="E170" s="338" t="s">
        <v>2901</v>
      </c>
      <c r="F170" s="342" t="s">
        <v>913</v>
      </c>
      <c r="G170" s="356" t="s">
        <v>2874</v>
      </c>
    </row>
    <row r="171" spans="3:7" hidden="1" outlineLevel="4" x14ac:dyDescent="0.25">
      <c r="C171" s="355">
        <v>50600040</v>
      </c>
      <c r="D171" s="338" t="s">
        <v>538</v>
      </c>
      <c r="E171" s="338" t="s">
        <v>2902</v>
      </c>
      <c r="F171" s="342" t="s">
        <v>913</v>
      </c>
      <c r="G171" s="356" t="s">
        <v>2874</v>
      </c>
    </row>
    <row r="172" spans="3:7" hidden="1" outlineLevel="4" x14ac:dyDescent="0.25">
      <c r="C172" s="355">
        <v>50800010</v>
      </c>
      <c r="D172" s="338" t="s">
        <v>2903</v>
      </c>
      <c r="E172" s="338" t="s">
        <v>2904</v>
      </c>
      <c r="F172" s="342" t="s">
        <v>923</v>
      </c>
      <c r="G172" s="356" t="s">
        <v>2874</v>
      </c>
    </row>
    <row r="173" spans="3:7" hidden="1" outlineLevel="4" x14ac:dyDescent="0.25">
      <c r="C173" s="355">
        <v>50800020</v>
      </c>
      <c r="D173" s="338" t="s">
        <v>119</v>
      </c>
      <c r="E173" s="338" t="s">
        <v>2905</v>
      </c>
      <c r="F173" s="342" t="s">
        <v>923</v>
      </c>
      <c r="G173" s="356" t="s">
        <v>2874</v>
      </c>
    </row>
    <row r="174" spans="3:7" hidden="1" outlineLevel="4" x14ac:dyDescent="0.25">
      <c r="C174" s="355">
        <v>50800030</v>
      </c>
      <c r="D174" s="338" t="s">
        <v>122</v>
      </c>
      <c r="E174" s="338" t="s">
        <v>2906</v>
      </c>
      <c r="F174" s="342" t="s">
        <v>923</v>
      </c>
      <c r="G174" s="356" t="s">
        <v>2874</v>
      </c>
    </row>
    <row r="175" spans="3:7" hidden="1" outlineLevel="4" x14ac:dyDescent="0.25">
      <c r="C175" s="355">
        <v>50800040</v>
      </c>
      <c r="D175" s="338" t="s">
        <v>124</v>
      </c>
      <c r="E175" s="338" t="s">
        <v>2907</v>
      </c>
      <c r="F175" s="342" t="s">
        <v>923</v>
      </c>
      <c r="G175" s="356" t="s">
        <v>2874</v>
      </c>
    </row>
    <row r="176" spans="3:7" hidden="1" outlineLevel="4" x14ac:dyDescent="0.25">
      <c r="C176" s="355">
        <v>50800050</v>
      </c>
      <c r="D176" s="338" t="s">
        <v>126</v>
      </c>
      <c r="E176" s="338" t="s">
        <v>2908</v>
      </c>
      <c r="F176" s="342" t="s">
        <v>923</v>
      </c>
      <c r="G176" s="356" t="s">
        <v>2874</v>
      </c>
    </row>
    <row r="177" spans="3:7" hidden="1" outlineLevel="4" x14ac:dyDescent="0.25">
      <c r="C177" s="355">
        <v>50800060</v>
      </c>
      <c r="D177" s="338" t="s">
        <v>128</v>
      </c>
      <c r="E177" s="338" t="s">
        <v>2909</v>
      </c>
      <c r="F177" s="342" t="s">
        <v>923</v>
      </c>
      <c r="G177" s="356" t="s">
        <v>2874</v>
      </c>
    </row>
    <row r="178" spans="3:7" hidden="1" outlineLevel="4" x14ac:dyDescent="0.25">
      <c r="C178" s="355">
        <v>50800070</v>
      </c>
      <c r="D178" s="338" t="s">
        <v>131</v>
      </c>
      <c r="E178" s="338" t="s">
        <v>2910</v>
      </c>
      <c r="F178" s="342" t="s">
        <v>923</v>
      </c>
      <c r="G178" s="356" t="s">
        <v>2874</v>
      </c>
    </row>
    <row r="179" spans="3:7" hidden="1" outlineLevel="4" x14ac:dyDescent="0.25">
      <c r="C179" s="355">
        <v>51100000</v>
      </c>
      <c r="D179" s="338" t="s">
        <v>554</v>
      </c>
      <c r="E179" s="338" t="s">
        <v>2911</v>
      </c>
      <c r="F179" s="342" t="s">
        <v>938</v>
      </c>
      <c r="G179" s="356" t="s">
        <v>2874</v>
      </c>
    </row>
    <row r="180" spans="3:7" hidden="1" outlineLevel="4" x14ac:dyDescent="0.25">
      <c r="C180" s="355">
        <v>51300010</v>
      </c>
      <c r="D180" s="338" t="s">
        <v>564</v>
      </c>
      <c r="E180" s="338" t="s">
        <v>2912</v>
      </c>
      <c r="F180" s="342" t="s">
        <v>948</v>
      </c>
      <c r="G180" s="342" t="s">
        <v>255</v>
      </c>
    </row>
    <row r="181" spans="3:7" hidden="1" outlineLevel="4" x14ac:dyDescent="0.25">
      <c r="C181" s="355">
        <v>51300040</v>
      </c>
      <c r="D181" s="338" t="s">
        <v>567</v>
      </c>
      <c r="E181" s="338" t="s">
        <v>2913</v>
      </c>
      <c r="F181" s="342" t="s">
        <v>948</v>
      </c>
      <c r="G181" s="342" t="s">
        <v>255</v>
      </c>
    </row>
    <row r="182" spans="3:7" hidden="1" outlineLevel="4" x14ac:dyDescent="0.25">
      <c r="C182" s="355">
        <v>51300050</v>
      </c>
      <c r="D182" s="338" t="s">
        <v>568</v>
      </c>
      <c r="E182" s="338" t="s">
        <v>2914</v>
      </c>
      <c r="F182" s="342" t="s">
        <v>948</v>
      </c>
      <c r="G182" s="342" t="s">
        <v>255</v>
      </c>
    </row>
    <row r="183" spans="3:7" hidden="1" outlineLevel="4" x14ac:dyDescent="0.25">
      <c r="C183" s="355">
        <v>51300060</v>
      </c>
      <c r="D183" s="338" t="s">
        <v>569</v>
      </c>
      <c r="E183" s="338" t="s">
        <v>2915</v>
      </c>
      <c r="F183" s="342" t="s">
        <v>948</v>
      </c>
      <c r="G183" s="342" t="s">
        <v>255</v>
      </c>
    </row>
    <row r="184" spans="3:7" hidden="1" outlineLevel="4" x14ac:dyDescent="0.25">
      <c r="C184" s="355">
        <v>51300090</v>
      </c>
      <c r="D184" s="338" t="s">
        <v>572</v>
      </c>
      <c r="E184" s="338" t="s">
        <v>2916</v>
      </c>
      <c r="F184" s="342" t="s">
        <v>948</v>
      </c>
      <c r="G184" s="342" t="s">
        <v>255</v>
      </c>
    </row>
    <row r="185" spans="3:7" hidden="1" outlineLevel="4" x14ac:dyDescent="0.25">
      <c r="C185" s="355">
        <v>51500010</v>
      </c>
      <c r="D185" s="338" t="s">
        <v>2917</v>
      </c>
      <c r="E185" s="338" t="s">
        <v>2918</v>
      </c>
      <c r="F185" s="342" t="s">
        <v>958</v>
      </c>
      <c r="G185" s="356" t="s">
        <v>2874</v>
      </c>
    </row>
    <row r="186" spans="3:7" hidden="1" outlineLevel="4" x14ac:dyDescent="0.25">
      <c r="C186" s="355">
        <v>51600010</v>
      </c>
      <c r="D186" s="338" t="s">
        <v>147</v>
      </c>
      <c r="E186" s="338" t="s">
        <v>2919</v>
      </c>
      <c r="F186" s="342" t="s">
        <v>963</v>
      </c>
      <c r="G186" s="356" t="s">
        <v>2874</v>
      </c>
    </row>
    <row r="187" spans="3:7" hidden="1" outlineLevel="4" x14ac:dyDescent="0.25">
      <c r="C187" s="355">
        <v>51600020</v>
      </c>
      <c r="D187" s="338" t="s">
        <v>148</v>
      </c>
      <c r="E187" s="338" t="s">
        <v>2920</v>
      </c>
      <c r="F187" s="342" t="s">
        <v>963</v>
      </c>
      <c r="G187" s="356" t="s">
        <v>2874</v>
      </c>
    </row>
    <row r="188" spans="3:7" hidden="1" outlineLevel="4" x14ac:dyDescent="0.25">
      <c r="C188" s="355">
        <v>51600030</v>
      </c>
      <c r="D188" s="338" t="s">
        <v>150</v>
      </c>
      <c r="E188" s="338" t="s">
        <v>2921</v>
      </c>
      <c r="F188" s="342" t="s">
        <v>963</v>
      </c>
      <c r="G188" s="356" t="s">
        <v>2874</v>
      </c>
    </row>
    <row r="189" spans="3:7" hidden="1" outlineLevel="4" x14ac:dyDescent="0.25">
      <c r="C189" s="355">
        <v>51600040</v>
      </c>
      <c r="D189" s="338" t="s">
        <v>151</v>
      </c>
      <c r="E189" s="338" t="s">
        <v>2922</v>
      </c>
      <c r="F189" s="342" t="s">
        <v>963</v>
      </c>
      <c r="G189" s="356" t="s">
        <v>2874</v>
      </c>
    </row>
    <row r="190" spans="3:7" hidden="1" outlineLevel="4" x14ac:dyDescent="0.25">
      <c r="C190" s="355">
        <v>51600050</v>
      </c>
      <c r="D190" s="338" t="s">
        <v>575</v>
      </c>
      <c r="E190" s="338" t="s">
        <v>2923</v>
      </c>
      <c r="F190" s="342" t="s">
        <v>963</v>
      </c>
      <c r="G190" s="356" t="s">
        <v>2874</v>
      </c>
    </row>
    <row r="191" spans="3:7" hidden="1" outlineLevel="4" x14ac:dyDescent="0.25">
      <c r="C191" s="355">
        <v>51600070</v>
      </c>
      <c r="D191" s="338" t="s">
        <v>152</v>
      </c>
      <c r="E191" s="338" t="s">
        <v>2924</v>
      </c>
      <c r="F191" s="342" t="s">
        <v>963</v>
      </c>
      <c r="G191" s="356" t="s">
        <v>2874</v>
      </c>
    </row>
    <row r="192" spans="3:7" hidden="1" outlineLevel="4" x14ac:dyDescent="0.25">
      <c r="C192" s="355">
        <v>51700010</v>
      </c>
      <c r="D192" s="338" t="s">
        <v>153</v>
      </c>
      <c r="E192" s="338" t="s">
        <v>2925</v>
      </c>
      <c r="F192" s="342" t="s">
        <v>968</v>
      </c>
      <c r="G192" s="356" t="s">
        <v>2874</v>
      </c>
    </row>
    <row r="193" spans="3:7" hidden="1" outlineLevel="4" x14ac:dyDescent="0.25">
      <c r="C193" s="355">
        <v>51700030</v>
      </c>
      <c r="D193" s="338" t="s">
        <v>155</v>
      </c>
      <c r="E193" s="338" t="s">
        <v>2926</v>
      </c>
      <c r="F193" s="342" t="s">
        <v>968</v>
      </c>
      <c r="G193" s="356" t="s">
        <v>2874</v>
      </c>
    </row>
    <row r="194" spans="3:7" hidden="1" outlineLevel="4" x14ac:dyDescent="0.25">
      <c r="C194" s="355">
        <v>51700040</v>
      </c>
      <c r="D194" s="338" t="s">
        <v>157</v>
      </c>
      <c r="E194" s="338" t="s">
        <v>2927</v>
      </c>
      <c r="F194" s="342" t="s">
        <v>968</v>
      </c>
      <c r="G194" s="356" t="s">
        <v>2874</v>
      </c>
    </row>
    <row r="195" spans="3:7" hidden="1" outlineLevel="4" x14ac:dyDescent="0.25">
      <c r="C195" s="355">
        <v>51700050</v>
      </c>
      <c r="D195" s="338" t="s">
        <v>159</v>
      </c>
      <c r="E195" s="338" t="s">
        <v>2928</v>
      </c>
      <c r="F195" s="342" t="s">
        <v>968</v>
      </c>
      <c r="G195" s="356" t="s">
        <v>2874</v>
      </c>
    </row>
    <row r="196" spans="3:7" hidden="1" outlineLevel="4" x14ac:dyDescent="0.25">
      <c r="C196" s="355">
        <v>51700060</v>
      </c>
      <c r="D196" s="338" t="s">
        <v>161</v>
      </c>
      <c r="E196" s="338" t="s">
        <v>2929</v>
      </c>
      <c r="F196" s="342" t="s">
        <v>968</v>
      </c>
      <c r="G196" s="356" t="s">
        <v>2874</v>
      </c>
    </row>
    <row r="197" spans="3:7" hidden="1" outlineLevel="4" x14ac:dyDescent="0.25">
      <c r="C197" s="355">
        <v>51700070</v>
      </c>
      <c r="D197" s="338" t="s">
        <v>163</v>
      </c>
      <c r="E197" s="338" t="s">
        <v>2930</v>
      </c>
      <c r="F197" s="342" t="s">
        <v>968</v>
      </c>
      <c r="G197" s="356" t="s">
        <v>2874</v>
      </c>
    </row>
    <row r="198" spans="3:7" hidden="1" outlineLevel="4" x14ac:dyDescent="0.25">
      <c r="C198" s="355">
        <v>51800010</v>
      </c>
      <c r="D198" s="338" t="s">
        <v>165</v>
      </c>
      <c r="E198" s="338" t="s">
        <v>2931</v>
      </c>
      <c r="F198" s="342" t="s">
        <v>973</v>
      </c>
      <c r="G198" s="356" t="s">
        <v>2874</v>
      </c>
    </row>
    <row r="199" spans="3:7" hidden="1" outlineLevel="4" x14ac:dyDescent="0.25">
      <c r="C199" s="355">
        <v>51800020</v>
      </c>
      <c r="D199" s="338" t="s">
        <v>168</v>
      </c>
      <c r="E199" s="338" t="s">
        <v>2932</v>
      </c>
      <c r="F199" s="342" t="s">
        <v>973</v>
      </c>
      <c r="G199" s="356" t="s">
        <v>2874</v>
      </c>
    </row>
    <row r="200" spans="3:7" hidden="1" outlineLevel="4" x14ac:dyDescent="0.25">
      <c r="C200" s="355">
        <v>51800030</v>
      </c>
      <c r="D200" s="338" t="s">
        <v>170</v>
      </c>
      <c r="E200" s="338" t="s">
        <v>2933</v>
      </c>
      <c r="F200" s="342" t="s">
        <v>973</v>
      </c>
      <c r="G200" s="356" t="s">
        <v>2874</v>
      </c>
    </row>
    <row r="201" spans="3:7" hidden="1" outlineLevel="4" x14ac:dyDescent="0.25">
      <c r="C201" s="355">
        <v>51800090</v>
      </c>
      <c r="D201" s="338" t="s">
        <v>172</v>
      </c>
      <c r="E201" s="338" t="s">
        <v>2934</v>
      </c>
      <c r="F201" s="342" t="s">
        <v>973</v>
      </c>
      <c r="G201" s="356" t="s">
        <v>2874</v>
      </c>
    </row>
    <row r="202" spans="3:7" hidden="1" outlineLevel="4" x14ac:dyDescent="0.25">
      <c r="C202" s="355">
        <v>51900010</v>
      </c>
      <c r="D202" s="338" t="s">
        <v>174</v>
      </c>
      <c r="E202" s="338" t="s">
        <v>2935</v>
      </c>
      <c r="F202" s="342" t="s">
        <v>406</v>
      </c>
      <c r="G202" s="356" t="s">
        <v>2874</v>
      </c>
    </row>
    <row r="203" spans="3:7" hidden="1" outlineLevel="4" x14ac:dyDescent="0.25">
      <c r="C203" s="355">
        <v>51900020</v>
      </c>
      <c r="D203" s="338" t="s">
        <v>177</v>
      </c>
      <c r="E203" s="338" t="s">
        <v>2936</v>
      </c>
      <c r="F203" s="342" t="s">
        <v>406</v>
      </c>
      <c r="G203" s="356" t="s">
        <v>2874</v>
      </c>
    </row>
    <row r="204" spans="3:7" hidden="1" outlineLevel="4" x14ac:dyDescent="0.25">
      <c r="C204" s="355">
        <v>51900030</v>
      </c>
      <c r="D204" s="338" t="s">
        <v>180</v>
      </c>
      <c r="E204" s="338" t="s">
        <v>2937</v>
      </c>
      <c r="F204" s="342" t="s">
        <v>406</v>
      </c>
      <c r="G204" s="356" t="s">
        <v>2874</v>
      </c>
    </row>
    <row r="205" spans="3:7" hidden="1" outlineLevel="4" x14ac:dyDescent="0.25">
      <c r="C205" s="355">
        <v>51900040</v>
      </c>
      <c r="D205" s="338" t="s">
        <v>182</v>
      </c>
      <c r="E205" s="338" t="s">
        <v>2938</v>
      </c>
      <c r="F205" s="342" t="s">
        <v>406</v>
      </c>
      <c r="G205" s="356" t="s">
        <v>2874</v>
      </c>
    </row>
    <row r="206" spans="3:7" hidden="1" outlineLevel="4" x14ac:dyDescent="0.25">
      <c r="C206" s="355">
        <v>51900090</v>
      </c>
      <c r="D206" s="338" t="s">
        <v>184</v>
      </c>
      <c r="E206" s="338" t="s">
        <v>2939</v>
      </c>
      <c r="F206" s="342" t="s">
        <v>406</v>
      </c>
      <c r="G206" s="356" t="s">
        <v>2874</v>
      </c>
    </row>
    <row r="207" spans="3:7" hidden="1" outlineLevel="4" x14ac:dyDescent="0.25">
      <c r="C207" s="355">
        <v>52100010</v>
      </c>
      <c r="D207" s="338" t="s">
        <v>195</v>
      </c>
      <c r="E207" s="338" t="s">
        <v>196</v>
      </c>
      <c r="F207" s="342" t="s">
        <v>987</v>
      </c>
      <c r="G207" s="356" t="s">
        <v>2874</v>
      </c>
    </row>
    <row r="208" spans="3:7" hidden="1" outlineLevel="4" x14ac:dyDescent="0.25">
      <c r="C208" s="355">
        <v>52100020</v>
      </c>
      <c r="D208" s="338" t="s">
        <v>198</v>
      </c>
      <c r="E208" s="338" t="s">
        <v>2940</v>
      </c>
      <c r="F208" s="342" t="s">
        <v>987</v>
      </c>
      <c r="G208" s="356" t="s">
        <v>2874</v>
      </c>
    </row>
    <row r="209" spans="3:7" hidden="1" outlineLevel="4" x14ac:dyDescent="0.25">
      <c r="C209" s="355">
        <v>52100030</v>
      </c>
      <c r="D209" s="338" t="s">
        <v>200</v>
      </c>
      <c r="E209" s="338" t="s">
        <v>201</v>
      </c>
      <c r="F209" s="342" t="s">
        <v>987</v>
      </c>
      <c r="G209" s="356" t="s">
        <v>2874</v>
      </c>
    </row>
    <row r="210" spans="3:7" hidden="1" outlineLevel="4" x14ac:dyDescent="0.25">
      <c r="C210" s="355">
        <v>52100040</v>
      </c>
      <c r="D210" s="338" t="s">
        <v>202</v>
      </c>
      <c r="E210" s="338" t="s">
        <v>203</v>
      </c>
      <c r="F210" s="342" t="s">
        <v>987</v>
      </c>
      <c r="G210" s="356" t="s">
        <v>2874</v>
      </c>
    </row>
    <row r="211" spans="3:7" hidden="1" outlineLevel="4" x14ac:dyDescent="0.25">
      <c r="C211" s="355">
        <v>52100050</v>
      </c>
      <c r="D211" s="338" t="s">
        <v>204</v>
      </c>
      <c r="E211" s="338" t="s">
        <v>2941</v>
      </c>
      <c r="F211" s="342" t="s">
        <v>987</v>
      </c>
      <c r="G211" s="356" t="s">
        <v>2874</v>
      </c>
    </row>
    <row r="212" spans="3:7" ht="30" hidden="1" outlineLevel="4" x14ac:dyDescent="0.25">
      <c r="C212" s="355">
        <v>52200010</v>
      </c>
      <c r="D212" s="338" t="s">
        <v>206</v>
      </c>
      <c r="E212" s="338" t="s">
        <v>207</v>
      </c>
      <c r="F212" s="342" t="s">
        <v>992</v>
      </c>
      <c r="G212" s="356" t="s">
        <v>2874</v>
      </c>
    </row>
    <row r="213" spans="3:7" ht="30" hidden="1" outlineLevel="4" x14ac:dyDescent="0.25">
      <c r="C213" s="355">
        <v>52200020</v>
      </c>
      <c r="D213" s="338" t="s">
        <v>208</v>
      </c>
      <c r="E213" s="338" t="s">
        <v>209</v>
      </c>
      <c r="F213" s="342" t="s">
        <v>992</v>
      </c>
      <c r="G213" s="356" t="s">
        <v>2874</v>
      </c>
    </row>
    <row r="214" spans="3:7" hidden="1" outlineLevel="4" x14ac:dyDescent="0.25">
      <c r="C214" s="355">
        <v>52300010</v>
      </c>
      <c r="D214" s="338" t="s">
        <v>210</v>
      </c>
      <c r="E214" s="338" t="s">
        <v>2942</v>
      </c>
      <c r="F214" s="342" t="s">
        <v>997</v>
      </c>
      <c r="G214" s="356" t="s">
        <v>2874</v>
      </c>
    </row>
    <row r="215" spans="3:7" ht="30" hidden="1" outlineLevel="4" x14ac:dyDescent="0.25">
      <c r="C215" s="355">
        <v>52300020</v>
      </c>
      <c r="D215" s="338" t="s">
        <v>212</v>
      </c>
      <c r="E215" s="338" t="s">
        <v>2943</v>
      </c>
      <c r="F215" s="342" t="s">
        <v>997</v>
      </c>
      <c r="G215" s="356" t="s">
        <v>2874</v>
      </c>
    </row>
    <row r="216" spans="3:7" hidden="1" outlineLevel="4" x14ac:dyDescent="0.25">
      <c r="C216" s="355">
        <v>52400030</v>
      </c>
      <c r="D216" s="338" t="s">
        <v>214</v>
      </c>
      <c r="E216" s="338" t="s">
        <v>2944</v>
      </c>
      <c r="F216" s="342" t="s">
        <v>1002</v>
      </c>
      <c r="G216" s="356" t="s">
        <v>2874</v>
      </c>
    </row>
    <row r="217" spans="3:7" hidden="1" outlineLevel="4" x14ac:dyDescent="0.25">
      <c r="C217" s="355">
        <v>52400040</v>
      </c>
      <c r="D217" s="338" t="s">
        <v>216</v>
      </c>
      <c r="E217" s="338" t="s">
        <v>2945</v>
      </c>
      <c r="F217" s="342" t="s">
        <v>1002</v>
      </c>
      <c r="G217" s="356" t="s">
        <v>2874</v>
      </c>
    </row>
    <row r="218" spans="3:7" hidden="1" outlineLevel="4" x14ac:dyDescent="0.25">
      <c r="C218" s="355">
        <v>52400060</v>
      </c>
      <c r="D218" s="338" t="s">
        <v>578</v>
      </c>
      <c r="E218" s="338" t="s">
        <v>2946</v>
      </c>
      <c r="F218" s="342" t="s">
        <v>1002</v>
      </c>
      <c r="G218" s="356" t="s">
        <v>2874</v>
      </c>
    </row>
    <row r="219" spans="3:7" hidden="1" outlineLevel="4" x14ac:dyDescent="0.25">
      <c r="C219" s="355">
        <v>52500010</v>
      </c>
      <c r="D219" s="338" t="s">
        <v>218</v>
      </c>
      <c r="E219" s="338" t="s">
        <v>2947</v>
      </c>
      <c r="F219" s="342" t="s">
        <v>218</v>
      </c>
      <c r="G219" s="356" t="s">
        <v>2874</v>
      </c>
    </row>
    <row r="220" spans="3:7" hidden="1" outlineLevel="4" x14ac:dyDescent="0.25">
      <c r="C220" s="355">
        <v>52600020</v>
      </c>
      <c r="D220" s="338" t="s">
        <v>223</v>
      </c>
      <c r="E220" s="338" t="s">
        <v>2948</v>
      </c>
      <c r="F220" s="342" t="s">
        <v>1011</v>
      </c>
      <c r="G220" s="356" t="s">
        <v>2874</v>
      </c>
    </row>
    <row r="221" spans="3:7" hidden="1" outlineLevel="4" x14ac:dyDescent="0.25">
      <c r="C221" s="355">
        <v>52600030</v>
      </c>
      <c r="D221" s="338" t="s">
        <v>226</v>
      </c>
      <c r="E221" s="338" t="s">
        <v>2949</v>
      </c>
      <c r="F221" s="342" t="s">
        <v>1011</v>
      </c>
      <c r="G221" s="356" t="s">
        <v>2874</v>
      </c>
    </row>
    <row r="222" spans="3:7" hidden="1" outlineLevel="4" x14ac:dyDescent="0.25">
      <c r="C222" s="355">
        <v>52900010</v>
      </c>
      <c r="D222" s="338" t="s">
        <v>228</v>
      </c>
      <c r="E222" s="338" t="s">
        <v>2950</v>
      </c>
      <c r="F222" s="342" t="s">
        <v>1025</v>
      </c>
      <c r="G222" s="356" t="s">
        <v>2874</v>
      </c>
    </row>
    <row r="223" spans="3:7" hidden="1" outlineLevel="4" x14ac:dyDescent="0.25">
      <c r="C223" s="355">
        <v>52900020</v>
      </c>
      <c r="D223" s="338" t="s">
        <v>230</v>
      </c>
      <c r="E223" s="338" t="s">
        <v>2951</v>
      </c>
      <c r="F223" s="342" t="s">
        <v>1025</v>
      </c>
      <c r="G223" s="356" t="s">
        <v>2874</v>
      </c>
    </row>
    <row r="224" spans="3:7" hidden="1" outlineLevel="4" x14ac:dyDescent="0.25">
      <c r="C224" s="355">
        <v>53100010</v>
      </c>
      <c r="D224" s="338" t="s">
        <v>584</v>
      </c>
      <c r="E224" s="338" t="s">
        <v>2952</v>
      </c>
      <c r="F224" s="342" t="s">
        <v>584</v>
      </c>
      <c r="G224" s="356" t="s">
        <v>2874</v>
      </c>
    </row>
    <row r="225" spans="3:7" hidden="1" outlineLevel="4" x14ac:dyDescent="0.25">
      <c r="C225" s="358"/>
      <c r="D225" s="347"/>
      <c r="E225" s="348"/>
      <c r="F225" s="348"/>
      <c r="G225" s="348"/>
    </row>
    <row r="226" spans="3:7" collapsed="1" x14ac:dyDescent="0.25"/>
    <row r="228" spans="3:7" x14ac:dyDescent="0.25">
      <c r="C228" s="324" t="s">
        <v>2953</v>
      </c>
    </row>
    <row r="229" spans="3:7" x14ac:dyDescent="0.25">
      <c r="C229" s="304" t="s">
        <v>2867</v>
      </c>
      <c r="D229" s="304" t="s">
        <v>2868</v>
      </c>
      <c r="E229" s="326" t="s">
        <v>2869</v>
      </c>
      <c r="F229" s="326" t="s">
        <v>2870</v>
      </c>
      <c r="G229" s="326" t="s">
        <v>2871</v>
      </c>
    </row>
    <row r="230" spans="3:7" x14ac:dyDescent="0.25">
      <c r="C230" s="355">
        <v>60100010</v>
      </c>
      <c r="D230" s="338" t="s">
        <v>73</v>
      </c>
      <c r="E230" s="338" t="s">
        <v>2954</v>
      </c>
      <c r="F230" s="356" t="s">
        <v>1087</v>
      </c>
      <c r="G230" s="356" t="s">
        <v>50</v>
      </c>
    </row>
    <row r="231" spans="3:7" x14ac:dyDescent="0.25">
      <c r="C231" s="355">
        <v>60100020</v>
      </c>
      <c r="D231" s="338" t="s">
        <v>75</v>
      </c>
      <c r="E231" s="338" t="s">
        <v>2955</v>
      </c>
      <c r="F231" s="357" t="s">
        <v>1087</v>
      </c>
      <c r="G231" s="357" t="s">
        <v>50</v>
      </c>
    </row>
    <row r="232" spans="3:7" x14ac:dyDescent="0.25">
      <c r="C232" s="355">
        <v>60100030</v>
      </c>
      <c r="D232" s="338" t="s">
        <v>77</v>
      </c>
      <c r="E232" s="338" t="s">
        <v>2956</v>
      </c>
      <c r="F232" s="338" t="s">
        <v>1087</v>
      </c>
      <c r="G232" s="357" t="s">
        <v>50</v>
      </c>
    </row>
    <row r="233" spans="3:7" x14ac:dyDescent="0.25">
      <c r="C233" s="355">
        <v>60100040</v>
      </c>
      <c r="D233" s="338" t="s">
        <v>79</v>
      </c>
      <c r="E233" s="338" t="s">
        <v>2957</v>
      </c>
      <c r="F233" s="338" t="s">
        <v>1087</v>
      </c>
      <c r="G233" s="357" t="s">
        <v>50</v>
      </c>
    </row>
    <row r="234" spans="3:7" x14ac:dyDescent="0.25">
      <c r="C234" s="355">
        <v>60100050</v>
      </c>
      <c r="D234" s="338" t="s">
        <v>81</v>
      </c>
      <c r="E234" s="338" t="s">
        <v>2958</v>
      </c>
      <c r="F234" s="338" t="s">
        <v>1087</v>
      </c>
      <c r="G234" s="357" t="s">
        <v>50</v>
      </c>
    </row>
    <row r="235" spans="3:7" x14ac:dyDescent="0.25">
      <c r="C235" s="355">
        <v>60100060</v>
      </c>
      <c r="D235" s="338" t="s">
        <v>83</v>
      </c>
      <c r="E235" s="338" t="s">
        <v>2959</v>
      </c>
      <c r="F235" s="338" t="s">
        <v>1087</v>
      </c>
      <c r="G235" s="357" t="s">
        <v>50</v>
      </c>
    </row>
    <row r="236" spans="3:7" x14ac:dyDescent="0.25">
      <c r="C236" s="355">
        <v>60100070</v>
      </c>
      <c r="D236" s="338" t="s">
        <v>85</v>
      </c>
      <c r="E236" s="338" t="s">
        <v>2960</v>
      </c>
      <c r="F236" s="338" t="s">
        <v>1087</v>
      </c>
      <c r="G236" s="357" t="s">
        <v>50</v>
      </c>
    </row>
    <row r="237" spans="3:7" x14ac:dyDescent="0.25">
      <c r="C237" s="355">
        <v>60100080</v>
      </c>
      <c r="D237" s="338" t="s">
        <v>87</v>
      </c>
      <c r="E237" s="338" t="s">
        <v>2961</v>
      </c>
      <c r="F237" s="342" t="s">
        <v>1087</v>
      </c>
      <c r="G237" s="357" t="s">
        <v>50</v>
      </c>
    </row>
    <row r="238" spans="3:7" x14ac:dyDescent="0.25">
      <c r="C238" s="355">
        <v>60100090</v>
      </c>
      <c r="D238" s="338" t="s">
        <v>89</v>
      </c>
      <c r="E238" s="338" t="s">
        <v>2962</v>
      </c>
      <c r="F238" s="342" t="s">
        <v>1087</v>
      </c>
      <c r="G238" s="357" t="s">
        <v>50</v>
      </c>
    </row>
    <row r="239" spans="3:7" x14ac:dyDescent="0.25">
      <c r="C239" s="355">
        <v>60100100</v>
      </c>
      <c r="D239" s="338" t="s">
        <v>91</v>
      </c>
      <c r="E239" s="338" t="s">
        <v>2963</v>
      </c>
      <c r="F239" s="342" t="s">
        <v>1087</v>
      </c>
      <c r="G239" s="357" t="s">
        <v>50</v>
      </c>
    </row>
    <row r="240" spans="3:7" x14ac:dyDescent="0.25">
      <c r="C240" s="355">
        <v>60100110</v>
      </c>
      <c r="D240" s="338" t="s">
        <v>93</v>
      </c>
      <c r="E240" s="338" t="s">
        <v>2964</v>
      </c>
      <c r="F240" s="342" t="s">
        <v>1087</v>
      </c>
      <c r="G240" s="357" t="s">
        <v>50</v>
      </c>
    </row>
    <row r="241" spans="3:7" x14ac:dyDescent="0.25">
      <c r="C241" s="355">
        <v>60100120</v>
      </c>
      <c r="D241" s="338" t="s">
        <v>2965</v>
      </c>
      <c r="E241" s="338" t="s">
        <v>2957</v>
      </c>
      <c r="F241" s="342" t="s">
        <v>1087</v>
      </c>
      <c r="G241" s="357" t="s">
        <v>50</v>
      </c>
    </row>
    <row r="242" spans="3:7" x14ac:dyDescent="0.25">
      <c r="C242" s="355">
        <v>60100990</v>
      </c>
      <c r="D242" s="338" t="s">
        <v>95</v>
      </c>
      <c r="E242" s="338" t="s">
        <v>2966</v>
      </c>
      <c r="F242" s="342" t="s">
        <v>1087</v>
      </c>
      <c r="G242" s="357" t="s">
        <v>50</v>
      </c>
    </row>
    <row r="243" spans="3:7" x14ac:dyDescent="0.25">
      <c r="C243" s="355">
        <v>60200010</v>
      </c>
      <c r="D243" s="338" t="s">
        <v>97</v>
      </c>
      <c r="E243" s="338" t="s">
        <v>98</v>
      </c>
      <c r="F243" s="342" t="s">
        <v>903</v>
      </c>
      <c r="G243" s="357" t="s">
        <v>50</v>
      </c>
    </row>
    <row r="244" spans="3:7" x14ac:dyDescent="0.25">
      <c r="C244" s="355">
        <v>60300010</v>
      </c>
      <c r="D244" s="338" t="s">
        <v>100</v>
      </c>
      <c r="E244" s="338" t="s">
        <v>101</v>
      </c>
      <c r="F244" s="342" t="s">
        <v>1096</v>
      </c>
      <c r="G244" s="357" t="s">
        <v>50</v>
      </c>
    </row>
    <row r="245" spans="3:7" x14ac:dyDescent="0.25">
      <c r="C245" s="355">
        <v>60600010</v>
      </c>
      <c r="D245" s="338" t="s">
        <v>535</v>
      </c>
      <c r="E245" s="338" t="s">
        <v>2967</v>
      </c>
      <c r="F245" s="342" t="s">
        <v>913</v>
      </c>
      <c r="G245" s="356" t="s">
        <v>106</v>
      </c>
    </row>
    <row r="246" spans="3:7" x14ac:dyDescent="0.25">
      <c r="C246" s="355">
        <v>60600020</v>
      </c>
      <c r="D246" s="338" t="s">
        <v>536</v>
      </c>
      <c r="E246" s="338" t="s">
        <v>2968</v>
      </c>
      <c r="F246" s="342" t="s">
        <v>913</v>
      </c>
      <c r="G246" s="356" t="s">
        <v>106</v>
      </c>
    </row>
    <row r="247" spans="3:7" ht="18" customHeight="1" x14ac:dyDescent="0.25">
      <c r="C247" s="355">
        <v>60600030</v>
      </c>
      <c r="D247" s="338" t="s">
        <v>537</v>
      </c>
      <c r="E247" s="338" t="s">
        <v>2969</v>
      </c>
      <c r="F247" s="342" t="s">
        <v>913</v>
      </c>
      <c r="G247" s="356" t="s">
        <v>106</v>
      </c>
    </row>
    <row r="248" spans="3:7" ht="24.95" customHeight="1" x14ac:dyDescent="0.25">
      <c r="C248" s="355">
        <v>60600050</v>
      </c>
      <c r="D248" s="338" t="s">
        <v>113</v>
      </c>
      <c r="E248" s="338" t="s">
        <v>3379</v>
      </c>
      <c r="F248" s="342" t="s">
        <v>913</v>
      </c>
      <c r="G248" s="356" t="s">
        <v>106</v>
      </c>
    </row>
    <row r="249" spans="3:7" ht="18" customHeight="1" x14ac:dyDescent="0.25">
      <c r="C249" s="355">
        <v>60700010</v>
      </c>
      <c r="D249" s="338" t="s">
        <v>115</v>
      </c>
      <c r="E249" s="338" t="s">
        <v>3380</v>
      </c>
      <c r="F249" s="342" t="s">
        <v>115</v>
      </c>
      <c r="G249" s="356" t="s">
        <v>106</v>
      </c>
    </row>
    <row r="250" spans="3:7" x14ac:dyDescent="0.25">
      <c r="C250" s="355">
        <v>60800010</v>
      </c>
      <c r="D250" s="338" t="s">
        <v>117</v>
      </c>
      <c r="E250" s="338" t="s">
        <v>2904</v>
      </c>
      <c r="F250" s="342" t="s">
        <v>1109</v>
      </c>
      <c r="G250" s="356" t="s">
        <v>2874</v>
      </c>
    </row>
    <row r="251" spans="3:7" x14ac:dyDescent="0.25">
      <c r="C251" s="355">
        <v>60800020</v>
      </c>
      <c r="D251" s="338" t="s">
        <v>119</v>
      </c>
      <c r="E251" s="338" t="s">
        <v>2905</v>
      </c>
      <c r="F251" s="342" t="s">
        <v>1109</v>
      </c>
      <c r="G251" s="356" t="s">
        <v>2874</v>
      </c>
    </row>
    <row r="252" spans="3:7" x14ac:dyDescent="0.25">
      <c r="C252" s="355">
        <v>60800030</v>
      </c>
      <c r="D252" s="338" t="s">
        <v>122</v>
      </c>
      <c r="E252" s="338" t="s">
        <v>2906</v>
      </c>
      <c r="F252" s="342" t="s">
        <v>1109</v>
      </c>
      <c r="G252" s="356" t="s">
        <v>2874</v>
      </c>
    </row>
    <row r="253" spans="3:7" x14ac:dyDescent="0.25">
      <c r="C253" s="355">
        <v>60800040</v>
      </c>
      <c r="D253" s="338" t="s">
        <v>124</v>
      </c>
      <c r="E253" s="338" t="s">
        <v>2907</v>
      </c>
      <c r="F253" s="342" t="s">
        <v>1109</v>
      </c>
      <c r="G253" s="356" t="s">
        <v>2874</v>
      </c>
    </row>
    <row r="254" spans="3:7" x14ac:dyDescent="0.25">
      <c r="C254" s="355">
        <v>60800050</v>
      </c>
      <c r="D254" s="338" t="s">
        <v>126</v>
      </c>
      <c r="E254" s="338" t="s">
        <v>2908</v>
      </c>
      <c r="F254" s="342" t="s">
        <v>1109</v>
      </c>
      <c r="G254" s="356" t="s">
        <v>2874</v>
      </c>
    </row>
    <row r="255" spans="3:7" x14ac:dyDescent="0.25">
      <c r="C255" s="355">
        <v>60800060</v>
      </c>
      <c r="D255" s="338" t="s">
        <v>128</v>
      </c>
      <c r="E255" s="338" t="s">
        <v>2909</v>
      </c>
      <c r="F255" s="342" t="s">
        <v>1109</v>
      </c>
      <c r="G255" s="356" t="s">
        <v>2874</v>
      </c>
    </row>
    <row r="256" spans="3:7" x14ac:dyDescent="0.25">
      <c r="C256" s="355">
        <v>60800070</v>
      </c>
      <c r="D256" s="338" t="s">
        <v>131</v>
      </c>
      <c r="E256" s="338" t="s">
        <v>2910</v>
      </c>
      <c r="F256" s="342" t="s">
        <v>1109</v>
      </c>
      <c r="G256" s="356" t="s">
        <v>2874</v>
      </c>
    </row>
    <row r="257" spans="3:7" x14ac:dyDescent="0.25">
      <c r="C257" s="355">
        <v>60800080</v>
      </c>
      <c r="D257" s="338" t="s">
        <v>133</v>
      </c>
      <c r="E257" s="338" t="s">
        <v>2970</v>
      </c>
      <c r="F257" s="342" t="s">
        <v>1109</v>
      </c>
      <c r="G257" s="356" t="s">
        <v>2874</v>
      </c>
    </row>
    <row r="258" spans="3:7" x14ac:dyDescent="0.25">
      <c r="C258" s="355">
        <v>61100010</v>
      </c>
      <c r="D258" s="338" t="s">
        <v>554</v>
      </c>
      <c r="E258" s="338" t="s">
        <v>2911</v>
      </c>
      <c r="F258" s="342" t="s">
        <v>938</v>
      </c>
      <c r="G258" s="356" t="s">
        <v>2724</v>
      </c>
    </row>
    <row r="259" spans="3:7" x14ac:dyDescent="0.25">
      <c r="C259" s="355">
        <v>61200010</v>
      </c>
      <c r="D259" s="338" t="s">
        <v>555</v>
      </c>
      <c r="E259" s="338" t="s">
        <v>2971</v>
      </c>
      <c r="F259" s="342" t="s">
        <v>943</v>
      </c>
      <c r="G259" s="356" t="s">
        <v>2972</v>
      </c>
    </row>
    <row r="260" spans="3:7" x14ac:dyDescent="0.25">
      <c r="C260" s="355">
        <v>61200020</v>
      </c>
      <c r="D260" s="338" t="s">
        <v>556</v>
      </c>
      <c r="E260" s="338" t="s">
        <v>2973</v>
      </c>
      <c r="F260" s="342" t="s">
        <v>943</v>
      </c>
      <c r="G260" s="356" t="s">
        <v>2972</v>
      </c>
    </row>
    <row r="261" spans="3:7" x14ac:dyDescent="0.25">
      <c r="C261" s="355">
        <v>61200030</v>
      </c>
      <c r="D261" s="338" t="s">
        <v>557</v>
      </c>
      <c r="E261" s="338" t="s">
        <v>2974</v>
      </c>
      <c r="F261" s="342" t="s">
        <v>943</v>
      </c>
      <c r="G261" s="356" t="s">
        <v>2972</v>
      </c>
    </row>
    <row r="262" spans="3:7" x14ac:dyDescent="0.25">
      <c r="C262" s="355">
        <v>61200040</v>
      </c>
      <c r="D262" s="338" t="s">
        <v>558</v>
      </c>
      <c r="E262" s="338" t="s">
        <v>2975</v>
      </c>
      <c r="F262" s="342" t="s">
        <v>943</v>
      </c>
      <c r="G262" s="356" t="s">
        <v>2972</v>
      </c>
    </row>
    <row r="263" spans="3:7" x14ac:dyDescent="0.25">
      <c r="C263" s="355">
        <v>61200050</v>
      </c>
      <c r="D263" s="338" t="s">
        <v>559</v>
      </c>
      <c r="E263" s="338" t="s">
        <v>2976</v>
      </c>
      <c r="F263" s="342" t="s">
        <v>943</v>
      </c>
      <c r="G263" s="356" t="s">
        <v>2972</v>
      </c>
    </row>
    <row r="264" spans="3:7" x14ac:dyDescent="0.25">
      <c r="C264" s="355">
        <v>61200060</v>
      </c>
      <c r="D264" s="338" t="s">
        <v>560</v>
      </c>
      <c r="E264" s="338" t="s">
        <v>2977</v>
      </c>
      <c r="F264" s="342" t="s">
        <v>943</v>
      </c>
      <c r="G264" s="356" t="s">
        <v>2972</v>
      </c>
    </row>
    <row r="265" spans="3:7" x14ac:dyDescent="0.25">
      <c r="C265" s="355">
        <v>61200070</v>
      </c>
      <c r="D265" s="338" t="s">
        <v>561</v>
      </c>
      <c r="E265" s="338" t="s">
        <v>2978</v>
      </c>
      <c r="F265" s="342" t="s">
        <v>943</v>
      </c>
      <c r="G265" s="356" t="s">
        <v>2972</v>
      </c>
    </row>
    <row r="266" spans="3:7" x14ac:dyDescent="0.25">
      <c r="C266" s="355">
        <v>61200080</v>
      </c>
      <c r="D266" s="338" t="s">
        <v>562</v>
      </c>
      <c r="E266" s="338" t="s">
        <v>2979</v>
      </c>
      <c r="F266" s="342" t="s">
        <v>943</v>
      </c>
      <c r="G266" s="356" t="s">
        <v>2972</v>
      </c>
    </row>
    <row r="267" spans="3:7" x14ac:dyDescent="0.25">
      <c r="C267" s="355">
        <v>61200090</v>
      </c>
      <c r="D267" s="338" t="s">
        <v>563</v>
      </c>
      <c r="E267" s="338" t="s">
        <v>2980</v>
      </c>
      <c r="F267" s="342" t="s">
        <v>943</v>
      </c>
      <c r="G267" s="356" t="s">
        <v>2972</v>
      </c>
    </row>
    <row r="268" spans="3:7" x14ac:dyDescent="0.25">
      <c r="C268" s="355">
        <v>61300010</v>
      </c>
      <c r="D268" s="338" t="s">
        <v>564</v>
      </c>
      <c r="E268" s="338" t="s">
        <v>2981</v>
      </c>
      <c r="F268" s="342" t="s">
        <v>948</v>
      </c>
      <c r="G268" s="356" t="s">
        <v>2972</v>
      </c>
    </row>
    <row r="269" spans="3:7" x14ac:dyDescent="0.25">
      <c r="C269" s="355">
        <v>61300020</v>
      </c>
      <c r="D269" s="338" t="s">
        <v>565</v>
      </c>
      <c r="E269" s="338" t="s">
        <v>2982</v>
      </c>
      <c r="F269" s="342" t="s">
        <v>948</v>
      </c>
      <c r="G269" s="356" t="s">
        <v>2972</v>
      </c>
    </row>
    <row r="270" spans="3:7" x14ac:dyDescent="0.25">
      <c r="C270" s="355">
        <v>61300030</v>
      </c>
      <c r="D270" s="338" t="s">
        <v>566</v>
      </c>
      <c r="E270" s="338" t="s">
        <v>2983</v>
      </c>
      <c r="F270" s="342" t="s">
        <v>948</v>
      </c>
      <c r="G270" s="356" t="s">
        <v>2972</v>
      </c>
    </row>
    <row r="271" spans="3:7" x14ac:dyDescent="0.25">
      <c r="C271" s="355">
        <v>61300040</v>
      </c>
      <c r="D271" s="338" t="s">
        <v>567</v>
      </c>
      <c r="E271" s="338" t="s">
        <v>2984</v>
      </c>
      <c r="F271" s="342" t="s">
        <v>948</v>
      </c>
      <c r="G271" s="356" t="s">
        <v>2972</v>
      </c>
    </row>
    <row r="272" spans="3:7" x14ac:dyDescent="0.25">
      <c r="C272" s="355">
        <v>61300050</v>
      </c>
      <c r="D272" s="338" t="s">
        <v>568</v>
      </c>
      <c r="E272" s="338" t="s">
        <v>2985</v>
      </c>
      <c r="F272" s="342" t="s">
        <v>948</v>
      </c>
      <c r="G272" s="356" t="s">
        <v>2972</v>
      </c>
    </row>
    <row r="273" spans="3:7" x14ac:dyDescent="0.25">
      <c r="C273" s="355">
        <v>61300060</v>
      </c>
      <c r="D273" s="338" t="s">
        <v>569</v>
      </c>
      <c r="E273" s="338" t="s">
        <v>2986</v>
      </c>
      <c r="F273" s="342" t="s">
        <v>948</v>
      </c>
      <c r="G273" s="356" t="s">
        <v>2972</v>
      </c>
    </row>
    <row r="274" spans="3:7" x14ac:dyDescent="0.25">
      <c r="C274" s="355">
        <v>61300070</v>
      </c>
      <c r="D274" s="338" t="s">
        <v>570</v>
      </c>
      <c r="E274" s="338" t="s">
        <v>2987</v>
      </c>
      <c r="F274" s="342" t="s">
        <v>948</v>
      </c>
      <c r="G274" s="356" t="s">
        <v>2972</v>
      </c>
    </row>
    <row r="275" spans="3:7" x14ac:dyDescent="0.25">
      <c r="C275" s="355">
        <v>61300080</v>
      </c>
      <c r="D275" s="338" t="s">
        <v>571</v>
      </c>
      <c r="E275" s="338" t="s">
        <v>2988</v>
      </c>
      <c r="F275" s="342" t="s">
        <v>948</v>
      </c>
      <c r="G275" s="356" t="s">
        <v>2972</v>
      </c>
    </row>
    <row r="276" spans="3:7" x14ac:dyDescent="0.25">
      <c r="C276" s="355">
        <v>61300090</v>
      </c>
      <c r="D276" s="338" t="s">
        <v>572</v>
      </c>
      <c r="E276" s="338" t="s">
        <v>2989</v>
      </c>
      <c r="F276" s="342" t="s">
        <v>948</v>
      </c>
      <c r="G276" s="356" t="s">
        <v>2972</v>
      </c>
    </row>
    <row r="277" spans="3:7" x14ac:dyDescent="0.25">
      <c r="C277" s="355">
        <v>61400010</v>
      </c>
      <c r="D277" s="338" t="s">
        <v>135</v>
      </c>
      <c r="E277" s="338" t="s">
        <v>2990</v>
      </c>
      <c r="F277" s="342" t="s">
        <v>953</v>
      </c>
      <c r="G277" s="356" t="s">
        <v>2991</v>
      </c>
    </row>
    <row r="278" spans="3:7" x14ac:dyDescent="0.25">
      <c r="C278" s="355">
        <v>61400020</v>
      </c>
      <c r="D278" s="338" t="s">
        <v>573</v>
      </c>
      <c r="E278" s="338" t="s">
        <v>2992</v>
      </c>
      <c r="F278" s="342" t="s">
        <v>953</v>
      </c>
      <c r="G278" s="356" t="s">
        <v>2991</v>
      </c>
    </row>
    <row r="279" spans="3:7" x14ac:dyDescent="0.25">
      <c r="C279" s="355">
        <v>61400030</v>
      </c>
      <c r="D279" s="338" t="s">
        <v>574</v>
      </c>
      <c r="E279" s="338" t="s">
        <v>2993</v>
      </c>
      <c r="F279" s="342" t="s">
        <v>953</v>
      </c>
      <c r="G279" s="356" t="s">
        <v>2991</v>
      </c>
    </row>
    <row r="280" spans="3:7" x14ac:dyDescent="0.25">
      <c r="C280" s="355">
        <v>61500010</v>
      </c>
      <c r="D280" s="338" t="s">
        <v>141</v>
      </c>
      <c r="E280" s="338" t="s">
        <v>2918</v>
      </c>
      <c r="F280" s="342" t="s">
        <v>958</v>
      </c>
      <c r="G280" s="356" t="s">
        <v>2874</v>
      </c>
    </row>
    <row r="281" spans="3:7" x14ac:dyDescent="0.25">
      <c r="C281" s="355">
        <v>61500020</v>
      </c>
      <c r="D281" s="338" t="s">
        <v>143</v>
      </c>
      <c r="E281" s="338" t="s">
        <v>2918</v>
      </c>
      <c r="F281" s="342" t="s">
        <v>958</v>
      </c>
      <c r="G281" s="356" t="s">
        <v>50</v>
      </c>
    </row>
    <row r="282" spans="3:7" ht="30" x14ac:dyDescent="0.25">
      <c r="C282" s="355">
        <v>61600010</v>
      </c>
      <c r="D282" s="338" t="s">
        <v>2994</v>
      </c>
      <c r="E282" s="338" t="s">
        <v>2995</v>
      </c>
      <c r="F282" s="342" t="s">
        <v>963</v>
      </c>
      <c r="G282" s="356" t="s">
        <v>106</v>
      </c>
    </row>
    <row r="283" spans="3:7" x14ac:dyDescent="0.25">
      <c r="C283" s="355">
        <v>61600030</v>
      </c>
      <c r="D283" s="338" t="s">
        <v>150</v>
      </c>
      <c r="E283" s="338" t="s">
        <v>2996</v>
      </c>
      <c r="F283" s="342" t="s">
        <v>963</v>
      </c>
      <c r="G283" s="356" t="s">
        <v>106</v>
      </c>
    </row>
    <row r="284" spans="3:7" x14ac:dyDescent="0.25">
      <c r="C284" s="355">
        <v>61600040</v>
      </c>
      <c r="D284" s="338" t="s">
        <v>151</v>
      </c>
      <c r="E284" s="338" t="s">
        <v>2997</v>
      </c>
      <c r="F284" s="342" t="s">
        <v>963</v>
      </c>
      <c r="G284" s="356" t="s">
        <v>176</v>
      </c>
    </row>
    <row r="285" spans="3:7" x14ac:dyDescent="0.25">
      <c r="C285" s="355">
        <v>61600050</v>
      </c>
      <c r="D285" s="338" t="s">
        <v>2998</v>
      </c>
      <c r="E285" s="338" t="s">
        <v>2999</v>
      </c>
      <c r="F285" s="342" t="s">
        <v>963</v>
      </c>
      <c r="G285" s="356" t="s">
        <v>176</v>
      </c>
    </row>
    <row r="286" spans="3:7" x14ac:dyDescent="0.25">
      <c r="C286" s="355">
        <v>61600060</v>
      </c>
      <c r="D286" s="338" t="s">
        <v>3000</v>
      </c>
      <c r="E286" s="338" t="s">
        <v>3001</v>
      </c>
      <c r="F286" s="342" t="s">
        <v>963</v>
      </c>
      <c r="G286" s="356" t="s">
        <v>50</v>
      </c>
    </row>
    <row r="287" spans="3:7" x14ac:dyDescent="0.25">
      <c r="C287" s="355">
        <v>61600070</v>
      </c>
      <c r="D287" s="338" t="s">
        <v>152</v>
      </c>
      <c r="E287" s="338" t="s">
        <v>3381</v>
      </c>
      <c r="F287" s="342" t="s">
        <v>963</v>
      </c>
      <c r="G287" s="356" t="s">
        <v>2874</v>
      </c>
    </row>
    <row r="288" spans="3:7" x14ac:dyDescent="0.25">
      <c r="C288" s="355">
        <v>61700010</v>
      </c>
      <c r="D288" s="338" t="s">
        <v>153</v>
      </c>
      <c r="E288" s="338" t="s">
        <v>2925</v>
      </c>
      <c r="F288" s="342" t="s">
        <v>968</v>
      </c>
      <c r="G288" s="356" t="s">
        <v>3002</v>
      </c>
    </row>
    <row r="289" spans="3:7" x14ac:dyDescent="0.25">
      <c r="C289" s="355">
        <v>61700030</v>
      </c>
      <c r="D289" s="338" t="s">
        <v>155</v>
      </c>
      <c r="E289" s="338" t="s">
        <v>2926</v>
      </c>
      <c r="F289" s="342" t="s">
        <v>968</v>
      </c>
      <c r="G289" s="356" t="s">
        <v>106</v>
      </c>
    </row>
    <row r="290" spans="3:7" x14ac:dyDescent="0.25">
      <c r="C290" s="355">
        <v>61700040</v>
      </c>
      <c r="D290" s="338" t="s">
        <v>157</v>
      </c>
      <c r="E290" s="338" t="s">
        <v>2927</v>
      </c>
      <c r="F290" s="342" t="s">
        <v>968</v>
      </c>
      <c r="G290" s="356" t="s">
        <v>106</v>
      </c>
    </row>
    <row r="291" spans="3:7" x14ac:dyDescent="0.25">
      <c r="C291" s="355">
        <v>61700050</v>
      </c>
      <c r="D291" s="338" t="s">
        <v>159</v>
      </c>
      <c r="E291" s="338" t="s">
        <v>2928</v>
      </c>
      <c r="F291" s="342" t="s">
        <v>968</v>
      </c>
      <c r="G291" s="356" t="s">
        <v>106</v>
      </c>
    </row>
    <row r="292" spans="3:7" x14ac:dyDescent="0.25">
      <c r="C292" s="355">
        <v>61700060</v>
      </c>
      <c r="D292" s="338" t="s">
        <v>3003</v>
      </c>
      <c r="E292" s="338" t="s">
        <v>2929</v>
      </c>
      <c r="F292" s="342" t="s">
        <v>968</v>
      </c>
      <c r="G292" s="356" t="s">
        <v>106</v>
      </c>
    </row>
    <row r="293" spans="3:7" x14ac:dyDescent="0.25">
      <c r="C293" s="355">
        <v>61700070</v>
      </c>
      <c r="D293" s="338" t="s">
        <v>163</v>
      </c>
      <c r="E293" s="338" t="s">
        <v>2930</v>
      </c>
      <c r="F293" s="342" t="s">
        <v>968</v>
      </c>
      <c r="G293" s="356" t="s">
        <v>2874</v>
      </c>
    </row>
    <row r="294" spans="3:7" x14ac:dyDescent="0.25">
      <c r="C294" s="355">
        <v>61800010</v>
      </c>
      <c r="D294" s="338" t="s">
        <v>165</v>
      </c>
      <c r="E294" s="338" t="s">
        <v>2931</v>
      </c>
      <c r="F294" s="342" t="s">
        <v>1152</v>
      </c>
      <c r="G294" s="356" t="s">
        <v>2874</v>
      </c>
    </row>
    <row r="295" spans="3:7" x14ac:dyDescent="0.25">
      <c r="C295" s="355">
        <v>61800020</v>
      </c>
      <c r="D295" s="355" t="s">
        <v>168</v>
      </c>
      <c r="E295" s="355" t="s">
        <v>2932</v>
      </c>
      <c r="F295" s="355" t="s">
        <v>1152</v>
      </c>
      <c r="G295" s="356" t="s">
        <v>2874</v>
      </c>
    </row>
    <row r="296" spans="3:7" x14ac:dyDescent="0.25">
      <c r="C296" s="355">
        <v>61800030</v>
      </c>
      <c r="D296" s="355" t="s">
        <v>170</v>
      </c>
      <c r="E296" s="355" t="s">
        <v>2933</v>
      </c>
      <c r="F296" s="355" t="s">
        <v>1152</v>
      </c>
      <c r="G296" s="356" t="s">
        <v>2874</v>
      </c>
    </row>
    <row r="297" spans="3:7" x14ac:dyDescent="0.25">
      <c r="C297" s="355">
        <v>61800090</v>
      </c>
      <c r="D297" s="355" t="s">
        <v>172</v>
      </c>
      <c r="E297" s="355" t="s">
        <v>3004</v>
      </c>
      <c r="F297" s="355" t="s">
        <v>1152</v>
      </c>
      <c r="G297" s="356" t="s">
        <v>2874</v>
      </c>
    </row>
    <row r="298" spans="3:7" x14ac:dyDescent="0.25">
      <c r="C298" s="355">
        <v>61900010</v>
      </c>
      <c r="D298" s="355" t="s">
        <v>174</v>
      </c>
      <c r="E298" s="355" t="s">
        <v>2935</v>
      </c>
      <c r="F298" s="355" t="s">
        <v>406</v>
      </c>
      <c r="G298" s="356" t="s">
        <v>2874</v>
      </c>
    </row>
    <row r="299" spans="3:7" x14ac:dyDescent="0.25">
      <c r="C299" s="355">
        <v>61900020</v>
      </c>
      <c r="D299" s="355" t="s">
        <v>177</v>
      </c>
      <c r="E299" s="355" t="s">
        <v>3005</v>
      </c>
      <c r="F299" s="355" t="s">
        <v>406</v>
      </c>
      <c r="G299" s="356" t="s">
        <v>2874</v>
      </c>
    </row>
    <row r="300" spans="3:7" x14ac:dyDescent="0.25">
      <c r="C300" s="355">
        <v>61900030</v>
      </c>
      <c r="D300" s="355" t="s">
        <v>180</v>
      </c>
      <c r="E300" s="355" t="s">
        <v>2937</v>
      </c>
      <c r="F300" s="355" t="s">
        <v>406</v>
      </c>
      <c r="G300" s="356" t="s">
        <v>2874</v>
      </c>
    </row>
    <row r="301" spans="3:7" x14ac:dyDescent="0.25">
      <c r="C301" s="355">
        <v>61900040</v>
      </c>
      <c r="D301" s="355" t="s">
        <v>182</v>
      </c>
      <c r="E301" s="355" t="s">
        <v>3006</v>
      </c>
      <c r="F301" s="355" t="s">
        <v>406</v>
      </c>
      <c r="G301" s="356" t="s">
        <v>2874</v>
      </c>
    </row>
    <row r="302" spans="3:7" x14ac:dyDescent="0.25">
      <c r="C302" s="355">
        <v>61900090</v>
      </c>
      <c r="D302" s="355" t="s">
        <v>184</v>
      </c>
      <c r="E302" s="355" t="s">
        <v>3007</v>
      </c>
      <c r="F302" s="355" t="s">
        <v>406</v>
      </c>
      <c r="G302" s="356" t="s">
        <v>2874</v>
      </c>
    </row>
    <row r="303" spans="3:7" x14ac:dyDescent="0.25">
      <c r="C303" s="355">
        <v>62000010</v>
      </c>
      <c r="D303" s="355" t="s">
        <v>186</v>
      </c>
      <c r="E303" s="355" t="s">
        <v>3008</v>
      </c>
      <c r="F303" s="355" t="s">
        <v>982</v>
      </c>
      <c r="G303" s="355" t="s">
        <v>236</v>
      </c>
    </row>
    <row r="304" spans="3:7" x14ac:dyDescent="0.25">
      <c r="C304" s="355">
        <v>62000020</v>
      </c>
      <c r="D304" s="355" t="s">
        <v>189</v>
      </c>
      <c r="E304" s="355" t="s">
        <v>3009</v>
      </c>
      <c r="F304" s="355" t="s">
        <v>982</v>
      </c>
      <c r="G304" s="355" t="s">
        <v>3010</v>
      </c>
    </row>
    <row r="305" spans="3:7" x14ac:dyDescent="0.25">
      <c r="C305" s="355">
        <v>62000040</v>
      </c>
      <c r="D305" s="355" t="s">
        <v>192</v>
      </c>
      <c r="E305" s="355" t="s">
        <v>3011</v>
      </c>
      <c r="F305" s="355" t="s">
        <v>982</v>
      </c>
      <c r="G305" s="356" t="s">
        <v>2874</v>
      </c>
    </row>
    <row r="306" spans="3:7" x14ac:dyDescent="0.25">
      <c r="C306" s="355">
        <v>62100010</v>
      </c>
      <c r="D306" s="355" t="s">
        <v>195</v>
      </c>
      <c r="E306" s="355" t="s">
        <v>196</v>
      </c>
      <c r="F306" s="355" t="s">
        <v>987</v>
      </c>
      <c r="G306" s="355" t="s">
        <v>176</v>
      </c>
    </row>
    <row r="307" spans="3:7" x14ac:dyDescent="0.25">
      <c r="C307" s="355">
        <v>62100020</v>
      </c>
      <c r="D307" s="355" t="s">
        <v>198</v>
      </c>
      <c r="E307" s="355" t="s">
        <v>2940</v>
      </c>
      <c r="F307" s="355" t="s">
        <v>987</v>
      </c>
      <c r="G307" s="355" t="s">
        <v>176</v>
      </c>
    </row>
    <row r="308" spans="3:7" x14ac:dyDescent="0.25">
      <c r="C308" s="355">
        <v>62100030</v>
      </c>
      <c r="D308" s="355" t="s">
        <v>200</v>
      </c>
      <c r="E308" s="355" t="s">
        <v>201</v>
      </c>
      <c r="F308" s="355" t="s">
        <v>987</v>
      </c>
      <c r="G308" s="355" t="s">
        <v>176</v>
      </c>
    </row>
    <row r="309" spans="3:7" x14ac:dyDescent="0.25">
      <c r="C309" s="355">
        <v>62100040</v>
      </c>
      <c r="D309" s="355" t="s">
        <v>202</v>
      </c>
      <c r="E309" s="355" t="s">
        <v>203</v>
      </c>
      <c r="F309" s="355" t="s">
        <v>987</v>
      </c>
      <c r="G309" s="355" t="s">
        <v>176</v>
      </c>
    </row>
    <row r="310" spans="3:7" x14ac:dyDescent="0.25">
      <c r="C310" s="355">
        <v>62100050</v>
      </c>
      <c r="D310" s="355" t="s">
        <v>577</v>
      </c>
      <c r="E310" s="355" t="s">
        <v>2941</v>
      </c>
      <c r="F310" s="355" t="s">
        <v>987</v>
      </c>
      <c r="G310" s="355" t="s">
        <v>176</v>
      </c>
    </row>
    <row r="311" spans="3:7" ht="30" x14ac:dyDescent="0.25">
      <c r="C311" s="355">
        <v>62200010</v>
      </c>
      <c r="D311" s="355" t="s">
        <v>206</v>
      </c>
      <c r="E311" s="355" t="s">
        <v>207</v>
      </c>
      <c r="F311" s="355" t="s">
        <v>992</v>
      </c>
      <c r="G311" s="356" t="s">
        <v>2874</v>
      </c>
    </row>
    <row r="312" spans="3:7" ht="30" x14ac:dyDescent="0.25">
      <c r="C312" s="355">
        <v>62200020</v>
      </c>
      <c r="D312" s="355" t="s">
        <v>208</v>
      </c>
      <c r="E312" s="355" t="s">
        <v>209</v>
      </c>
      <c r="F312" s="355" t="s">
        <v>992</v>
      </c>
      <c r="G312" s="356" t="s">
        <v>2874</v>
      </c>
    </row>
    <row r="313" spans="3:7" x14ac:dyDescent="0.25">
      <c r="C313" s="355">
        <v>62300010</v>
      </c>
      <c r="D313" s="355" t="s">
        <v>210</v>
      </c>
      <c r="E313" s="355" t="s">
        <v>211</v>
      </c>
      <c r="F313" s="355" t="s">
        <v>997</v>
      </c>
      <c r="G313" s="356" t="s">
        <v>2874</v>
      </c>
    </row>
    <row r="314" spans="3:7" ht="30" x14ac:dyDescent="0.25">
      <c r="C314" s="355">
        <v>62300020</v>
      </c>
      <c r="D314" s="355" t="s">
        <v>212</v>
      </c>
      <c r="E314" s="355" t="s">
        <v>213</v>
      </c>
      <c r="F314" s="355" t="s">
        <v>997</v>
      </c>
      <c r="G314" s="356" t="s">
        <v>2874</v>
      </c>
    </row>
    <row r="315" spans="3:7" ht="30" x14ac:dyDescent="0.25">
      <c r="C315" s="355">
        <v>62400030</v>
      </c>
      <c r="D315" s="355" t="s">
        <v>214</v>
      </c>
      <c r="E315" s="355" t="s">
        <v>215</v>
      </c>
      <c r="F315" s="355" t="s">
        <v>1002</v>
      </c>
      <c r="G315" s="356" t="s">
        <v>2874</v>
      </c>
    </row>
    <row r="316" spans="3:7" ht="30" x14ac:dyDescent="0.25">
      <c r="C316" s="355">
        <v>62400040</v>
      </c>
      <c r="D316" s="355" t="s">
        <v>216</v>
      </c>
      <c r="E316" s="355" t="s">
        <v>3012</v>
      </c>
      <c r="F316" s="355" t="s">
        <v>1002</v>
      </c>
      <c r="G316" s="356" t="s">
        <v>2874</v>
      </c>
    </row>
    <row r="317" spans="3:7" x14ac:dyDescent="0.25">
      <c r="C317" s="355">
        <v>62400060</v>
      </c>
      <c r="D317" s="355" t="s">
        <v>578</v>
      </c>
      <c r="E317" s="355" t="s">
        <v>1485</v>
      </c>
      <c r="F317" s="355" t="s">
        <v>1002</v>
      </c>
      <c r="G317" s="355" t="s">
        <v>236</v>
      </c>
    </row>
    <row r="318" spans="3:7" x14ac:dyDescent="0.25">
      <c r="C318" s="355">
        <v>62500010</v>
      </c>
      <c r="D318" s="355" t="s">
        <v>218</v>
      </c>
      <c r="E318" s="355" t="s">
        <v>219</v>
      </c>
      <c r="F318" s="355" t="s">
        <v>218</v>
      </c>
      <c r="G318" s="355" t="s">
        <v>22</v>
      </c>
    </row>
    <row r="319" spans="3:7" ht="30" x14ac:dyDescent="0.25">
      <c r="C319" s="355">
        <v>62600010</v>
      </c>
      <c r="D319" s="355" t="s">
        <v>221</v>
      </c>
      <c r="E319" s="355" t="s">
        <v>3013</v>
      </c>
      <c r="F319" s="355" t="s">
        <v>1011</v>
      </c>
      <c r="G319" s="356" t="s">
        <v>2874</v>
      </c>
    </row>
    <row r="320" spans="3:7" x14ac:dyDescent="0.25">
      <c r="C320" s="355">
        <v>62600020</v>
      </c>
      <c r="D320" s="355" t="s">
        <v>223</v>
      </c>
      <c r="E320" s="355" t="s">
        <v>3014</v>
      </c>
      <c r="F320" s="355" t="s">
        <v>1011</v>
      </c>
      <c r="G320" s="356" t="s">
        <v>2874</v>
      </c>
    </row>
    <row r="321" spans="1:7" x14ac:dyDescent="0.25">
      <c r="C321" s="355">
        <v>62600030</v>
      </c>
      <c r="D321" s="355" t="s">
        <v>226</v>
      </c>
      <c r="E321" s="355" t="s">
        <v>3015</v>
      </c>
      <c r="F321" s="355" t="s">
        <v>1011</v>
      </c>
      <c r="G321" s="356" t="s">
        <v>2874</v>
      </c>
    </row>
    <row r="322" spans="1:7" x14ac:dyDescent="0.25">
      <c r="C322" s="355">
        <v>62700010</v>
      </c>
      <c r="D322" s="355" t="s">
        <v>579</v>
      </c>
      <c r="E322" s="355" t="s">
        <v>3016</v>
      </c>
      <c r="F322" s="355" t="s">
        <v>579</v>
      </c>
      <c r="G322" s="355" t="s">
        <v>236</v>
      </c>
    </row>
    <row r="323" spans="1:7" x14ac:dyDescent="0.25">
      <c r="C323" s="355">
        <v>62800010</v>
      </c>
      <c r="D323" s="355" t="s">
        <v>580</v>
      </c>
      <c r="E323" s="355" t="s">
        <v>3017</v>
      </c>
      <c r="F323" s="355" t="s">
        <v>580</v>
      </c>
      <c r="G323" s="355" t="s">
        <v>238</v>
      </c>
    </row>
    <row r="324" spans="1:7" x14ac:dyDescent="0.25">
      <c r="C324" s="355">
        <v>62900010</v>
      </c>
      <c r="D324" s="355" t="s">
        <v>228</v>
      </c>
      <c r="E324" s="355" t="s">
        <v>229</v>
      </c>
      <c r="F324" s="355" t="s">
        <v>1025</v>
      </c>
      <c r="G324" s="356" t="s">
        <v>2874</v>
      </c>
    </row>
    <row r="325" spans="1:7" x14ac:dyDescent="0.25">
      <c r="C325" s="355">
        <v>62900020</v>
      </c>
      <c r="D325" s="355" t="s">
        <v>230</v>
      </c>
      <c r="E325" s="355" t="s">
        <v>231</v>
      </c>
      <c r="F325" s="355" t="s">
        <v>1025</v>
      </c>
      <c r="G325" s="356" t="s">
        <v>2874</v>
      </c>
    </row>
    <row r="326" spans="1:7" x14ac:dyDescent="0.25">
      <c r="C326" s="355">
        <v>63300010</v>
      </c>
      <c r="D326" s="355" t="s">
        <v>3018</v>
      </c>
      <c r="E326" s="355" t="s">
        <v>3019</v>
      </c>
      <c r="F326" s="355" t="s">
        <v>406</v>
      </c>
      <c r="G326" s="355"/>
    </row>
    <row r="327" spans="1:7" x14ac:dyDescent="0.25">
      <c r="C327" s="533">
        <v>63900010</v>
      </c>
      <c r="D327" s="347" t="s">
        <v>232</v>
      </c>
      <c r="E327" s="348" t="s">
        <v>3309</v>
      </c>
      <c r="F327" s="348" t="s">
        <v>1283</v>
      </c>
      <c r="G327" s="348" t="s">
        <v>2874</v>
      </c>
    </row>
    <row r="330" spans="1:7" s="523" customFormat="1" ht="15.75" x14ac:dyDescent="0.25">
      <c r="A330" s="597"/>
      <c r="B330" s="597"/>
      <c r="C330" s="524" t="s">
        <v>1724</v>
      </c>
      <c r="D330" s="515" t="s">
        <v>1466</v>
      </c>
    </row>
    <row r="331" spans="1:7" outlineLevel="1" x14ac:dyDescent="0.25"/>
    <row r="332" spans="1:7" outlineLevel="1" x14ac:dyDescent="0.25">
      <c r="C332" s="290" t="s">
        <v>2856</v>
      </c>
    </row>
    <row r="333" spans="1:7" outlineLevel="1" x14ac:dyDescent="0.25"/>
    <row r="334" spans="1:7" outlineLevel="1" x14ac:dyDescent="0.25">
      <c r="B334" s="324" t="s">
        <v>2857</v>
      </c>
      <c r="C334" s="324" t="s">
        <v>1468</v>
      </c>
    </row>
    <row r="335" spans="1:7" outlineLevel="1" x14ac:dyDescent="0.25">
      <c r="C335" s="290" t="s">
        <v>2574</v>
      </c>
    </row>
    <row r="336" spans="1:7" outlineLevel="1" x14ac:dyDescent="0.25"/>
    <row r="337" spans="2:5" outlineLevel="1" x14ac:dyDescent="0.25">
      <c r="B337" s="324" t="s">
        <v>2858</v>
      </c>
      <c r="C337" s="324" t="s">
        <v>2565</v>
      </c>
    </row>
    <row r="338" spans="2:5" outlineLevel="1" x14ac:dyDescent="0.25">
      <c r="C338" s="290" t="s">
        <v>1469</v>
      </c>
    </row>
    <row r="339" spans="2:5" outlineLevel="1" x14ac:dyDescent="0.25">
      <c r="C339" s="290" t="s">
        <v>2805</v>
      </c>
    </row>
    <row r="340" spans="2:5" outlineLevel="1" x14ac:dyDescent="0.25"/>
    <row r="341" spans="2:5" s="324" customFormat="1" outlineLevel="1" x14ac:dyDescent="0.25">
      <c r="B341" s="324" t="s">
        <v>2859</v>
      </c>
      <c r="C341" s="324" t="s">
        <v>2860</v>
      </c>
    </row>
    <row r="342" spans="2:5" outlineLevel="1" x14ac:dyDescent="0.25">
      <c r="C342" s="290" t="s">
        <v>2861</v>
      </c>
    </row>
    <row r="343" spans="2:5" outlineLevel="1" x14ac:dyDescent="0.25">
      <c r="C343" s="290" t="s">
        <v>2805</v>
      </c>
    </row>
    <row r="344" spans="2:5" outlineLevel="1" x14ac:dyDescent="0.25"/>
    <row r="345" spans="2:5" ht="90" outlineLevel="1" x14ac:dyDescent="0.25">
      <c r="C345" s="353" t="s">
        <v>1472</v>
      </c>
      <c r="D345" s="354" t="s">
        <v>2862</v>
      </c>
    </row>
    <row r="346" spans="2:5" ht="30" outlineLevel="1" x14ac:dyDescent="0.25">
      <c r="C346" s="353" t="s">
        <v>593</v>
      </c>
      <c r="D346" s="354" t="s">
        <v>2863</v>
      </c>
    </row>
    <row r="347" spans="2:5" ht="30" outlineLevel="1" x14ac:dyDescent="0.25">
      <c r="C347" s="353" t="s">
        <v>46</v>
      </c>
      <c r="D347" s="354" t="s">
        <v>3299</v>
      </c>
      <c r="E347" s="526" t="s">
        <v>3298</v>
      </c>
    </row>
    <row r="348" spans="2:5" ht="45.75" customHeight="1" outlineLevel="1" x14ac:dyDescent="0.25">
      <c r="C348" s="353" t="s">
        <v>592</v>
      </c>
      <c r="D348" s="354" t="s">
        <v>2864</v>
      </c>
    </row>
    <row r="349" spans="2:5" ht="45" outlineLevel="1" x14ac:dyDescent="0.25">
      <c r="C349" s="353" t="s">
        <v>402</v>
      </c>
      <c r="D349" s="354" t="s">
        <v>2865</v>
      </c>
    </row>
  </sheetData>
  <sheetProtection formatRows="0"/>
  <hyperlinks>
    <hyperlink ref="D28" location="Cover!A1" display="Cover" xr:uid="{E3DEF6F8-3CE2-49D4-AB78-2C049DB12662}"/>
    <hyperlink ref="D125" location="'Budget Opex Detail'!A1" display="Budget Opex Detail" xr:uid="{97C38CC8-AEC4-488C-ADDE-A20371C40657}"/>
    <hyperlink ref="D330" location="'Activity Master Opex'!A1" display="Activity Master" xr:uid="{147B45D8-E4B1-4546-8144-05CC9D12CE8C}"/>
    <hyperlink ref="C80" location="'Asset determination'!A1" display="'Asset determination" xr:uid="{4A25339A-34E9-4530-BC49-8F585CE88727}"/>
    <hyperlink ref="E347" location="'Master Data'!A1" display="Master Data" xr:uid="{F38CCA37-1F5D-468C-8A3F-13BB61F1A83E}"/>
    <hyperlink ref="D77" location="'Budget Capex Detail'!A1" display="Budget Capex Detail" xr:uid="{209FE247-A6DC-4CA9-830F-B703C42F56A3}"/>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82566-853A-425C-950E-2CECED0532E3}">
  <sheetPr codeName="Sheet12">
    <tabColor rgb="FF339966"/>
  </sheetPr>
  <dimension ref="A2:P349"/>
  <sheetViews>
    <sheetView showGridLines="0" zoomScale="80" zoomScaleNormal="80" workbookViewId="0">
      <selection activeCell="B1" sqref="B1"/>
    </sheetView>
  </sheetViews>
  <sheetFormatPr defaultColWidth="10.28515625" defaultRowHeight="15" outlineLevelRow="4" x14ac:dyDescent="0.25"/>
  <cols>
    <col min="1" max="1" width="0.85546875" style="290" customWidth="1"/>
    <col min="2" max="2" width="3.42578125" style="290" bestFit="1" customWidth="1"/>
    <col min="3" max="3" width="45" style="290" bestFit="1" customWidth="1"/>
    <col min="4" max="4" width="70.7109375" style="290" bestFit="1" customWidth="1"/>
    <col min="5" max="5" width="68.7109375" style="290" customWidth="1"/>
    <col min="6" max="6" width="33" style="290" customWidth="1"/>
    <col min="7" max="7" width="31.7109375" style="290" customWidth="1"/>
    <col min="8" max="10" width="10.28515625" style="290"/>
    <col min="11" max="11" width="10.28515625" style="290" customWidth="1"/>
    <col min="12" max="16384" width="10.28515625" style="290"/>
  </cols>
  <sheetData>
    <row r="2" spans="2:16" ht="24" x14ac:dyDescent="0.4">
      <c r="B2" s="289" t="s">
        <v>2576</v>
      </c>
    </row>
    <row r="3" spans="2:16" ht="21" x14ac:dyDescent="0.35">
      <c r="B3" s="291"/>
    </row>
    <row r="4" spans="2:16" ht="19.5" thickBot="1" x14ac:dyDescent="0.35">
      <c r="B4" s="528" t="s">
        <v>2048</v>
      </c>
      <c r="C4" s="292"/>
      <c r="D4" s="293"/>
      <c r="E4" s="292"/>
      <c r="F4" s="292"/>
      <c r="G4" s="292"/>
      <c r="H4" s="292"/>
      <c r="I4" s="292"/>
      <c r="J4" s="292"/>
      <c r="K4" s="292"/>
      <c r="L4" s="292"/>
      <c r="M4" s="292"/>
      <c r="N4" s="292"/>
      <c r="O4" s="292"/>
      <c r="P4" s="292"/>
    </row>
    <row r="5" spans="2:16" x14ac:dyDescent="0.25">
      <c r="B5" s="294"/>
      <c r="D5" s="295"/>
    </row>
    <row r="6" spans="2:16" x14ac:dyDescent="0.25">
      <c r="B6" s="290">
        <v>1</v>
      </c>
      <c r="C6" s="296" t="s">
        <v>3020</v>
      </c>
    </row>
    <row r="7" spans="2:16" x14ac:dyDescent="0.25">
      <c r="B7" s="290">
        <v>2</v>
      </c>
      <c r="C7" s="296" t="s">
        <v>3021</v>
      </c>
    </row>
    <row r="8" spans="2:16" x14ac:dyDescent="0.25">
      <c r="B8" s="297" t="s">
        <v>2</v>
      </c>
      <c r="C8" s="296" t="s">
        <v>3022</v>
      </c>
    </row>
    <row r="9" spans="2:16" x14ac:dyDescent="0.25">
      <c r="B9" s="297" t="s">
        <v>2</v>
      </c>
      <c r="C9" s="296" t="s">
        <v>3023</v>
      </c>
    </row>
    <row r="10" spans="2:16" x14ac:dyDescent="0.25">
      <c r="B10" s="297" t="s">
        <v>2</v>
      </c>
      <c r="C10" s="296" t="s">
        <v>3024</v>
      </c>
    </row>
    <row r="11" spans="2:16" x14ac:dyDescent="0.25">
      <c r="B11" s="297" t="s">
        <v>2</v>
      </c>
      <c r="C11" s="296" t="s">
        <v>3025</v>
      </c>
    </row>
    <row r="12" spans="2:16" x14ac:dyDescent="0.25">
      <c r="B12" s="297" t="s">
        <v>2</v>
      </c>
      <c r="C12" s="296" t="s">
        <v>3026</v>
      </c>
    </row>
    <row r="13" spans="2:16" x14ac:dyDescent="0.25">
      <c r="B13" s="290">
        <v>3</v>
      </c>
      <c r="C13" s="359" t="s">
        <v>3027</v>
      </c>
    </row>
    <row r="14" spans="2:16" x14ac:dyDescent="0.25">
      <c r="B14" s="290">
        <v>4</v>
      </c>
      <c r="C14" s="290" t="s">
        <v>3028</v>
      </c>
    </row>
    <row r="15" spans="2:16" x14ac:dyDescent="0.25">
      <c r="B15" s="290">
        <v>5</v>
      </c>
      <c r="C15" s="290" t="s">
        <v>3029</v>
      </c>
    </row>
    <row r="16" spans="2:16" x14ac:dyDescent="0.25">
      <c r="B16" s="290">
        <v>6</v>
      </c>
      <c r="C16" s="290" t="s">
        <v>3382</v>
      </c>
    </row>
    <row r="18" spans="1:16" ht="19.5" thickBot="1" x14ac:dyDescent="0.35">
      <c r="B18" s="528" t="s">
        <v>3030</v>
      </c>
      <c r="C18" s="292"/>
      <c r="D18" s="293"/>
      <c r="E18" s="292"/>
      <c r="F18" s="292"/>
      <c r="G18" s="292"/>
      <c r="H18" s="292"/>
      <c r="I18" s="292"/>
      <c r="J18" s="292"/>
      <c r="K18" s="292"/>
      <c r="L18" s="292"/>
      <c r="M18" s="292"/>
      <c r="N18" s="292"/>
      <c r="O18" s="292"/>
      <c r="P18" s="292"/>
    </row>
    <row r="20" spans="1:16" x14ac:dyDescent="0.25">
      <c r="B20" s="290">
        <v>1</v>
      </c>
      <c r="C20" s="290" t="s">
        <v>3031</v>
      </c>
    </row>
    <row r="21" spans="1:16" x14ac:dyDescent="0.25">
      <c r="C21" s="298" t="s">
        <v>8</v>
      </c>
    </row>
    <row r="22" spans="1:16" x14ac:dyDescent="0.25">
      <c r="C22" s="298" t="s">
        <v>3032</v>
      </c>
    </row>
    <row r="23" spans="1:16" x14ac:dyDescent="0.25">
      <c r="C23" s="298" t="s">
        <v>3033</v>
      </c>
    </row>
    <row r="24" spans="1:16" x14ac:dyDescent="0.25">
      <c r="C24" s="298" t="s">
        <v>3034</v>
      </c>
    </row>
    <row r="25" spans="1:16" x14ac:dyDescent="0.25">
      <c r="B25" s="290">
        <v>2</v>
      </c>
      <c r="C25" s="290" t="s">
        <v>3035</v>
      </c>
    </row>
    <row r="26" spans="1:16" x14ac:dyDescent="0.25">
      <c r="B26" s="290">
        <v>3</v>
      </c>
      <c r="C26" s="290" t="s">
        <v>3036</v>
      </c>
    </row>
    <row r="28" spans="1:16" s="516" customFormat="1" ht="15.75" x14ac:dyDescent="0.25">
      <c r="A28" s="591"/>
      <c r="B28" s="591"/>
      <c r="C28" s="517" t="s">
        <v>10</v>
      </c>
      <c r="D28" s="518" t="s">
        <v>11</v>
      </c>
    </row>
    <row r="30" spans="1:16" x14ac:dyDescent="0.25">
      <c r="C30" s="290" t="s">
        <v>3037</v>
      </c>
    </row>
    <row r="31" spans="1:16" outlineLevel="1" x14ac:dyDescent="0.25"/>
    <row r="32" spans="1:16" outlineLevel="1" x14ac:dyDescent="0.25">
      <c r="C32" s="299" t="s">
        <v>13</v>
      </c>
      <c r="D32" s="300" t="s">
        <v>3038</v>
      </c>
    </row>
    <row r="33" spans="3:4" ht="60" outlineLevel="1" x14ac:dyDescent="0.25">
      <c r="C33" s="301" t="s">
        <v>15</v>
      </c>
      <c r="D33" s="302" t="s">
        <v>3039</v>
      </c>
    </row>
    <row r="34" spans="3:4" outlineLevel="1" x14ac:dyDescent="0.25">
      <c r="C34" s="301" t="s">
        <v>234</v>
      </c>
      <c r="D34" s="302" t="s">
        <v>3040</v>
      </c>
    </row>
    <row r="35" spans="3:4" outlineLevel="1" x14ac:dyDescent="0.25">
      <c r="C35" s="301" t="s">
        <v>2794</v>
      </c>
      <c r="D35" s="302" t="s">
        <v>3041</v>
      </c>
    </row>
    <row r="36" spans="3:4" outlineLevel="1" x14ac:dyDescent="0.25"/>
    <row r="37" spans="3:4" ht="33" customHeight="1" outlineLevel="1" x14ac:dyDescent="0.25">
      <c r="C37" s="303" t="s">
        <v>2570</v>
      </c>
      <c r="D37" s="303" t="s">
        <v>2571</v>
      </c>
    </row>
    <row r="38" spans="3:4" outlineLevel="2" x14ac:dyDescent="0.25">
      <c r="C38" s="304" t="s">
        <v>2798</v>
      </c>
      <c r="D38" s="304" t="s">
        <v>2794</v>
      </c>
    </row>
    <row r="39" spans="3:4" outlineLevel="2" x14ac:dyDescent="0.25">
      <c r="C39" s="305" t="s">
        <v>2650</v>
      </c>
      <c r="D39" s="305" t="s">
        <v>1689</v>
      </c>
    </row>
    <row r="40" spans="3:4" outlineLevel="2" x14ac:dyDescent="0.25">
      <c r="C40" s="305" t="s">
        <v>2650</v>
      </c>
      <c r="D40" s="305" t="s">
        <v>1684</v>
      </c>
    </row>
    <row r="41" spans="3:4" outlineLevel="2" x14ac:dyDescent="0.25">
      <c r="C41" s="305" t="s">
        <v>2650</v>
      </c>
      <c r="D41" s="305" t="s">
        <v>1685</v>
      </c>
    </row>
    <row r="42" spans="3:4" outlineLevel="2" x14ac:dyDescent="0.25">
      <c r="C42" s="305" t="s">
        <v>2651</v>
      </c>
      <c r="D42" s="305" t="s">
        <v>2799</v>
      </c>
    </row>
    <row r="43" spans="3:4" outlineLevel="2" x14ac:dyDescent="0.25">
      <c r="C43" s="305" t="s">
        <v>2651</v>
      </c>
      <c r="D43" s="305" t="s">
        <v>2800</v>
      </c>
    </row>
    <row r="44" spans="3:4" outlineLevel="2" x14ac:dyDescent="0.25">
      <c r="C44" s="305" t="s">
        <v>2651</v>
      </c>
      <c r="D44" s="305" t="s">
        <v>1622</v>
      </c>
    </row>
    <row r="45" spans="3:4" outlineLevel="2" x14ac:dyDescent="0.25">
      <c r="C45" s="305" t="s">
        <v>2651</v>
      </c>
      <c r="D45" s="305" t="s">
        <v>1745</v>
      </c>
    </row>
    <row r="46" spans="3:4" outlineLevel="2" x14ac:dyDescent="0.25">
      <c r="C46" s="305" t="s">
        <v>2651</v>
      </c>
      <c r="D46" s="305" t="s">
        <v>1691</v>
      </c>
    </row>
    <row r="47" spans="3:4" outlineLevel="2" x14ac:dyDescent="0.25">
      <c r="C47" s="300" t="s">
        <v>2801</v>
      </c>
      <c r="D47" s="300" t="s">
        <v>30</v>
      </c>
    </row>
    <row r="48" spans="3:4" outlineLevel="2" x14ac:dyDescent="0.25">
      <c r="C48" s="300" t="s">
        <v>2801</v>
      </c>
      <c r="D48" s="300" t="s">
        <v>29</v>
      </c>
    </row>
    <row r="49" spans="3:4" outlineLevel="2" x14ac:dyDescent="0.25">
      <c r="C49" s="300" t="s">
        <v>22</v>
      </c>
      <c r="D49" s="300" t="s">
        <v>327</v>
      </c>
    </row>
    <row r="50" spans="3:4" outlineLevel="2" x14ac:dyDescent="0.25">
      <c r="C50" s="300" t="str">
        <f>C49</f>
        <v>HSE</v>
      </c>
      <c r="D50" s="300" t="s">
        <v>329</v>
      </c>
    </row>
    <row r="51" spans="3:4" outlineLevel="2" x14ac:dyDescent="0.25">
      <c r="C51" s="300" t="s">
        <v>1509</v>
      </c>
      <c r="D51" s="300" t="s">
        <v>236</v>
      </c>
    </row>
    <row r="52" spans="3:4" outlineLevel="2" x14ac:dyDescent="0.25">
      <c r="C52" s="300" t="s">
        <v>1509</v>
      </c>
      <c r="D52" s="300" t="s">
        <v>32</v>
      </c>
    </row>
    <row r="53" spans="3:4" outlineLevel="2" x14ac:dyDescent="0.25">
      <c r="C53" s="300" t="s">
        <v>2646</v>
      </c>
      <c r="D53" s="300" t="s">
        <v>243</v>
      </c>
    </row>
    <row r="54" spans="3:4" outlineLevel="2" x14ac:dyDescent="0.25">
      <c r="C54" s="300" t="s">
        <v>2646</v>
      </c>
      <c r="D54" s="300" t="s">
        <v>24</v>
      </c>
    </row>
    <row r="55" spans="3:4" outlineLevel="2" x14ac:dyDescent="0.25">
      <c r="C55" s="300" t="s">
        <v>2646</v>
      </c>
      <c r="D55" s="300" t="s">
        <v>20</v>
      </c>
    </row>
    <row r="56" spans="3:4" outlineLevel="2" x14ac:dyDescent="0.25">
      <c r="C56" s="300" t="s">
        <v>2646</v>
      </c>
      <c r="D56" s="300" t="s">
        <v>21</v>
      </c>
    </row>
    <row r="57" spans="3:4" outlineLevel="2" x14ac:dyDescent="0.25">
      <c r="C57" s="300" t="s">
        <v>2646</v>
      </c>
      <c r="D57" s="300" t="s">
        <v>2665</v>
      </c>
    </row>
    <row r="58" spans="3:4" outlineLevel="2" x14ac:dyDescent="0.25">
      <c r="C58" s="300" t="s">
        <v>2646</v>
      </c>
      <c r="D58" s="300" t="s">
        <v>3376</v>
      </c>
    </row>
    <row r="59" spans="3:4" outlineLevel="2" x14ac:dyDescent="0.25">
      <c r="C59" s="300" t="s">
        <v>2647</v>
      </c>
      <c r="D59" s="300" t="s">
        <v>2658</v>
      </c>
    </row>
    <row r="60" spans="3:4" outlineLevel="2" x14ac:dyDescent="0.25">
      <c r="C60" s="300" t="s">
        <v>2647</v>
      </c>
      <c r="D60" s="300" t="s">
        <v>3293</v>
      </c>
    </row>
    <row r="61" spans="3:4" outlineLevel="2" x14ac:dyDescent="0.25">
      <c r="C61" s="300" t="s">
        <v>2647</v>
      </c>
      <c r="D61" s="300" t="s">
        <v>3294</v>
      </c>
    </row>
    <row r="62" spans="3:4" outlineLevel="2" x14ac:dyDescent="0.25">
      <c r="C62" s="300" t="s">
        <v>3295</v>
      </c>
      <c r="D62" s="300" t="s">
        <v>3010</v>
      </c>
    </row>
    <row r="63" spans="3:4" outlineLevel="2" x14ac:dyDescent="0.25">
      <c r="C63" s="300" t="s">
        <v>3295</v>
      </c>
      <c r="D63" s="300" t="s">
        <v>1513</v>
      </c>
    </row>
    <row r="64" spans="3:4" outlineLevel="2" x14ac:dyDescent="0.25">
      <c r="C64" s="300" t="s">
        <v>237</v>
      </c>
      <c r="D64" s="300" t="s">
        <v>3377</v>
      </c>
    </row>
    <row r="65" spans="1:4" outlineLevel="2" x14ac:dyDescent="0.25">
      <c r="C65" s="300" t="s">
        <v>237</v>
      </c>
      <c r="D65" s="300" t="s">
        <v>2802</v>
      </c>
    </row>
    <row r="66" spans="1:4" outlineLevel="2" x14ac:dyDescent="0.25">
      <c r="C66" s="300" t="s">
        <v>237</v>
      </c>
      <c r="D66" s="300" t="s">
        <v>3378</v>
      </c>
    </row>
    <row r="67" spans="1:4" outlineLevel="2" x14ac:dyDescent="0.25">
      <c r="C67" s="300" t="s">
        <v>1510</v>
      </c>
      <c r="D67" s="300" t="s">
        <v>3271</v>
      </c>
    </row>
    <row r="68" spans="1:4" outlineLevel="2" x14ac:dyDescent="0.25">
      <c r="C68" s="300" t="s">
        <v>1510</v>
      </c>
      <c r="D68" s="300" t="s">
        <v>26</v>
      </c>
    </row>
    <row r="69" spans="1:4" outlineLevel="2" x14ac:dyDescent="0.25">
      <c r="C69" s="300" t="s">
        <v>1510</v>
      </c>
      <c r="D69" s="300" t="s">
        <v>27</v>
      </c>
    </row>
    <row r="70" spans="1:4" outlineLevel="2" x14ac:dyDescent="0.25">
      <c r="C70" s="300" t="s">
        <v>1510</v>
      </c>
      <c r="D70" s="300" t="s">
        <v>28</v>
      </c>
    </row>
    <row r="71" spans="1:4" outlineLevel="2" x14ac:dyDescent="0.25">
      <c r="C71" s="306" t="s">
        <v>239</v>
      </c>
      <c r="D71" s="300" t="s">
        <v>1511</v>
      </c>
    </row>
    <row r="72" spans="1:4" outlineLevel="2" x14ac:dyDescent="0.25">
      <c r="C72" s="300" t="s">
        <v>239</v>
      </c>
      <c r="D72" s="300" t="s">
        <v>34</v>
      </c>
    </row>
    <row r="73" spans="1:4" outlineLevel="2" x14ac:dyDescent="0.25">
      <c r="C73" s="300" t="s">
        <v>239</v>
      </c>
      <c r="D73" s="300" t="s">
        <v>35</v>
      </c>
    </row>
    <row r="74" spans="1:4" outlineLevel="1" x14ac:dyDescent="0.25"/>
    <row r="75" spans="1:4" outlineLevel="1" x14ac:dyDescent="0.25">
      <c r="C75" s="290" t="s">
        <v>3042</v>
      </c>
    </row>
    <row r="77" spans="1:4" s="516" customFormat="1" ht="15.75" x14ac:dyDescent="0.25">
      <c r="A77" s="591"/>
      <c r="B77" s="591"/>
      <c r="C77" s="517" t="s">
        <v>2045</v>
      </c>
      <c r="D77" s="527" t="s">
        <v>3297</v>
      </c>
    </row>
    <row r="79" spans="1:4" x14ac:dyDescent="0.25">
      <c r="C79" s="290" t="s">
        <v>3043</v>
      </c>
    </row>
    <row r="80" spans="1:4" x14ac:dyDescent="0.25">
      <c r="C80" s="514" t="s">
        <v>2804</v>
      </c>
      <c r="D80" s="307"/>
    </row>
    <row r="81" spans="3:4" outlineLevel="1" x14ac:dyDescent="0.25">
      <c r="C81" s="290" t="s">
        <v>3044</v>
      </c>
    </row>
    <row r="82" spans="3:4" outlineLevel="1" x14ac:dyDescent="0.25">
      <c r="C82" s="290" t="s">
        <v>3045</v>
      </c>
    </row>
    <row r="83" spans="3:4" outlineLevel="1" x14ac:dyDescent="0.25"/>
    <row r="84" spans="3:4" outlineLevel="1" x14ac:dyDescent="0.25">
      <c r="C84" s="304" t="s">
        <v>2806</v>
      </c>
      <c r="D84" s="304" t="s">
        <v>2807</v>
      </c>
    </row>
    <row r="85" spans="3:4" ht="66.75" customHeight="1" outlineLevel="1" x14ac:dyDescent="0.25">
      <c r="C85" s="308" t="s">
        <v>1697</v>
      </c>
      <c r="D85" s="309" t="s">
        <v>3046</v>
      </c>
    </row>
    <row r="86" spans="3:4" ht="45" outlineLevel="1" x14ac:dyDescent="0.25">
      <c r="C86" s="308" t="s">
        <v>403</v>
      </c>
      <c r="D86" s="310" t="s">
        <v>3047</v>
      </c>
    </row>
    <row r="87" spans="3:4" ht="75" outlineLevel="1" x14ac:dyDescent="0.25">
      <c r="C87" s="311" t="s">
        <v>1699</v>
      </c>
      <c r="D87" s="312" t="s">
        <v>3048</v>
      </c>
    </row>
    <row r="88" spans="3:4" ht="33" customHeight="1" outlineLevel="1" x14ac:dyDescent="0.25">
      <c r="C88" s="313" t="s">
        <v>1701</v>
      </c>
      <c r="D88" s="314" t="s">
        <v>3049</v>
      </c>
    </row>
    <row r="89" spans="3:4" ht="153.75" customHeight="1" outlineLevel="1" x14ac:dyDescent="0.25">
      <c r="C89" s="315"/>
      <c r="D89" s="316" t="e" vm="1">
        <v>#VALUE!</v>
      </c>
    </row>
    <row r="90" spans="3:4" ht="60" outlineLevel="1" x14ac:dyDescent="0.25">
      <c r="C90" s="317" t="s">
        <v>2563</v>
      </c>
      <c r="D90" s="318" t="s">
        <v>3050</v>
      </c>
    </row>
    <row r="91" spans="3:4" outlineLevel="1" x14ac:dyDescent="0.25">
      <c r="C91" s="319" t="s">
        <v>2811</v>
      </c>
      <c r="D91" s="320" t="s">
        <v>3051</v>
      </c>
    </row>
    <row r="92" spans="3:4" outlineLevel="1" x14ac:dyDescent="0.25">
      <c r="C92" s="319" t="s">
        <v>2813</v>
      </c>
      <c r="D92" s="320" t="s">
        <v>3052</v>
      </c>
    </row>
    <row r="93" spans="3:4" outlineLevel="1" x14ac:dyDescent="0.25">
      <c r="C93" s="319" t="s">
        <v>3392</v>
      </c>
      <c r="D93" s="320" t="s">
        <v>3053</v>
      </c>
    </row>
    <row r="94" spans="3:4" ht="75" outlineLevel="1" x14ac:dyDescent="0.25">
      <c r="C94" s="321" t="s">
        <v>1516</v>
      </c>
      <c r="D94" s="310" t="s">
        <v>3054</v>
      </c>
    </row>
    <row r="95" spans="3:4" outlineLevel="1" x14ac:dyDescent="0.25">
      <c r="C95" s="321" t="s">
        <v>1517</v>
      </c>
      <c r="D95" s="322" t="s">
        <v>3055</v>
      </c>
    </row>
    <row r="96" spans="3:4" outlineLevel="1" x14ac:dyDescent="0.25">
      <c r="C96" s="321" t="s">
        <v>2046</v>
      </c>
      <c r="D96" s="322" t="s">
        <v>3056</v>
      </c>
    </row>
    <row r="97" spans="3:6" outlineLevel="1" x14ac:dyDescent="0.25">
      <c r="C97" s="321" t="s">
        <v>1743</v>
      </c>
      <c r="D97" s="322" t="s">
        <v>3057</v>
      </c>
    </row>
    <row r="98" spans="3:6" outlineLevel="1" x14ac:dyDescent="0.25">
      <c r="C98" s="321" t="s">
        <v>1734</v>
      </c>
      <c r="D98" s="322" t="s">
        <v>3058</v>
      </c>
    </row>
    <row r="99" spans="3:6" outlineLevel="1" x14ac:dyDescent="0.25">
      <c r="C99" s="321" t="s">
        <v>3059</v>
      </c>
      <c r="D99" s="322" t="s">
        <v>2049</v>
      </c>
    </row>
    <row r="100" spans="3:6" outlineLevel="1" x14ac:dyDescent="0.25">
      <c r="C100" s="321" t="s">
        <v>3060</v>
      </c>
      <c r="D100" s="322" t="s">
        <v>2050</v>
      </c>
    </row>
    <row r="101" spans="3:6" outlineLevel="1" x14ac:dyDescent="0.25">
      <c r="C101" s="323" t="s">
        <v>2821</v>
      </c>
      <c r="D101" s="322" t="s">
        <v>3061</v>
      </c>
    </row>
    <row r="102" spans="3:6" outlineLevel="1" x14ac:dyDescent="0.25">
      <c r="C102" s="321" t="s">
        <v>2054</v>
      </c>
      <c r="D102" s="322" t="s">
        <v>3062</v>
      </c>
    </row>
    <row r="103" spans="3:6" outlineLevel="1" x14ac:dyDescent="0.25"/>
    <row r="104" spans="3:6" outlineLevel="1" x14ac:dyDescent="0.25">
      <c r="C104" s="324" t="s">
        <v>3063</v>
      </c>
    </row>
    <row r="105" spans="3:6" outlineLevel="2" x14ac:dyDescent="0.25">
      <c r="C105" s="325" t="s">
        <v>40</v>
      </c>
      <c r="D105" s="304" t="s">
        <v>41</v>
      </c>
      <c r="E105" s="326" t="s">
        <v>3064</v>
      </c>
      <c r="F105" s="327"/>
    </row>
    <row r="106" spans="3:6" outlineLevel="2" x14ac:dyDescent="0.25">
      <c r="C106" s="328" t="s">
        <v>1668</v>
      </c>
      <c r="D106" s="329"/>
      <c r="E106" s="330"/>
      <c r="F106" s="331"/>
    </row>
    <row r="107" spans="3:6" outlineLevel="2" x14ac:dyDescent="0.25">
      <c r="C107" s="332">
        <v>15000000</v>
      </c>
      <c r="D107" s="333" t="s">
        <v>1625</v>
      </c>
      <c r="E107" s="334" t="s">
        <v>3065</v>
      </c>
      <c r="F107" s="335"/>
    </row>
    <row r="108" spans="3:6" ht="45" outlineLevel="2" x14ac:dyDescent="0.25">
      <c r="C108" s="336">
        <v>15000010</v>
      </c>
      <c r="D108" s="337" t="s">
        <v>1627</v>
      </c>
      <c r="E108" s="338" t="s">
        <v>3066</v>
      </c>
      <c r="F108" s="339"/>
    </row>
    <row r="109" spans="3:6" ht="30" outlineLevel="2" x14ac:dyDescent="0.25">
      <c r="C109" s="336">
        <v>15000020</v>
      </c>
      <c r="D109" s="337" t="s">
        <v>1629</v>
      </c>
      <c r="E109" s="338" t="s">
        <v>3067</v>
      </c>
      <c r="F109" s="339"/>
    </row>
    <row r="110" spans="3:6" ht="30" outlineLevel="2" x14ac:dyDescent="0.25">
      <c r="C110" s="336">
        <v>15000030</v>
      </c>
      <c r="D110" s="337" t="s">
        <v>1631</v>
      </c>
      <c r="E110" s="338" t="s">
        <v>3068</v>
      </c>
      <c r="F110" s="339"/>
    </row>
    <row r="111" spans="3:6" ht="30" outlineLevel="2" x14ac:dyDescent="0.25">
      <c r="C111" s="336">
        <v>15000040</v>
      </c>
      <c r="D111" s="337" t="s">
        <v>1633</v>
      </c>
      <c r="E111" s="338" t="s">
        <v>3069</v>
      </c>
      <c r="F111" s="339"/>
    </row>
    <row r="112" spans="3:6" ht="30" outlineLevel="2" x14ac:dyDescent="0.25">
      <c r="C112" s="336">
        <v>15000050</v>
      </c>
      <c r="D112" s="337" t="s">
        <v>1635</v>
      </c>
      <c r="E112" s="338" t="s">
        <v>3070</v>
      </c>
      <c r="F112" s="339"/>
    </row>
    <row r="113" spans="1:6" ht="30" outlineLevel="2" x14ac:dyDescent="0.25">
      <c r="C113" s="336">
        <v>15000060</v>
      </c>
      <c r="D113" s="337" t="s">
        <v>1637</v>
      </c>
      <c r="E113" s="338" t="s">
        <v>3071</v>
      </c>
      <c r="F113" s="339"/>
    </row>
    <row r="114" spans="1:6" ht="30" outlineLevel="2" x14ac:dyDescent="0.25">
      <c r="C114" s="340">
        <v>15000070</v>
      </c>
      <c r="D114" s="341" t="s">
        <v>1639</v>
      </c>
      <c r="E114" s="342" t="s">
        <v>3072</v>
      </c>
      <c r="F114" s="339"/>
    </row>
    <row r="115" spans="1:6" ht="16.5" customHeight="1" outlineLevel="2" x14ac:dyDescent="0.25">
      <c r="C115" s="340">
        <v>15000080</v>
      </c>
      <c r="D115" s="341" t="s">
        <v>1641</v>
      </c>
      <c r="E115" s="342" t="s">
        <v>3073</v>
      </c>
      <c r="F115" s="339"/>
    </row>
    <row r="116" spans="1:6" ht="30" outlineLevel="2" x14ac:dyDescent="0.25">
      <c r="C116" s="340">
        <v>15200000</v>
      </c>
      <c r="D116" s="341" t="s">
        <v>1644</v>
      </c>
      <c r="E116" s="342" t="s">
        <v>3074</v>
      </c>
      <c r="F116" s="335"/>
    </row>
    <row r="117" spans="1:6" outlineLevel="2" x14ac:dyDescent="0.25">
      <c r="C117" s="343" t="s">
        <v>3075</v>
      </c>
      <c r="D117" s="344"/>
      <c r="E117" s="345"/>
      <c r="F117" s="331"/>
    </row>
    <row r="118" spans="1:6" ht="60" outlineLevel="2" x14ac:dyDescent="0.25">
      <c r="C118" s="340">
        <v>15020010</v>
      </c>
      <c r="D118" s="341" t="s">
        <v>1647</v>
      </c>
      <c r="E118" s="342" t="s">
        <v>3076</v>
      </c>
      <c r="F118" s="339"/>
    </row>
    <row r="119" spans="1:6" ht="45" outlineLevel="2" x14ac:dyDescent="0.25">
      <c r="C119" s="340">
        <v>15020020</v>
      </c>
      <c r="D119" s="341" t="s">
        <v>1649</v>
      </c>
      <c r="E119" s="342" t="s">
        <v>3077</v>
      </c>
      <c r="F119" s="339"/>
    </row>
    <row r="120" spans="1:6" ht="30" outlineLevel="2" x14ac:dyDescent="0.25">
      <c r="C120" s="340">
        <v>15020030</v>
      </c>
      <c r="D120" s="341" t="s">
        <v>1651</v>
      </c>
      <c r="E120" s="342" t="s">
        <v>3078</v>
      </c>
      <c r="F120" s="339"/>
    </row>
    <row r="121" spans="1:6" ht="30" outlineLevel="2" x14ac:dyDescent="0.25">
      <c r="C121" s="340">
        <v>15020040</v>
      </c>
      <c r="D121" s="341" t="s">
        <v>1653</v>
      </c>
      <c r="E121" s="342" t="s">
        <v>3079</v>
      </c>
      <c r="F121" s="339"/>
    </row>
    <row r="122" spans="1:6" outlineLevel="2" x14ac:dyDescent="0.25">
      <c r="C122" s="340">
        <v>15020080</v>
      </c>
      <c r="D122" s="341" t="s">
        <v>1655</v>
      </c>
      <c r="E122" s="342" t="s">
        <v>3080</v>
      </c>
      <c r="F122" s="339"/>
    </row>
    <row r="123" spans="1:6" ht="45" outlineLevel="2" x14ac:dyDescent="0.25">
      <c r="C123" s="346">
        <v>15020090</v>
      </c>
      <c r="D123" s="347" t="s">
        <v>1720</v>
      </c>
      <c r="E123" s="348" t="s">
        <v>3081</v>
      </c>
      <c r="F123" s="339"/>
    </row>
    <row r="124" spans="1:6" outlineLevel="2" x14ac:dyDescent="0.25">
      <c r="C124" s="519"/>
      <c r="D124" s="335"/>
      <c r="E124" s="339"/>
      <c r="F124" s="339"/>
    </row>
    <row r="125" spans="1:6" s="522" customFormat="1" ht="15.75" x14ac:dyDescent="0.25">
      <c r="A125" s="593"/>
      <c r="B125" s="593"/>
      <c r="C125" s="520" t="s">
        <v>3302</v>
      </c>
      <c r="D125" s="521" t="s">
        <v>1445</v>
      </c>
    </row>
    <row r="127" spans="1:6" outlineLevel="1" x14ac:dyDescent="0.25">
      <c r="C127" s="290" t="s">
        <v>3082</v>
      </c>
    </row>
    <row r="128" spans="1:6" outlineLevel="1" x14ac:dyDescent="0.25">
      <c r="C128" s="290" t="s">
        <v>3083</v>
      </c>
    </row>
    <row r="129" spans="3:6" outlineLevel="1" x14ac:dyDescent="0.25">
      <c r="C129" s="290" t="s">
        <v>3084</v>
      </c>
    </row>
    <row r="130" spans="3:6" outlineLevel="1" x14ac:dyDescent="0.25"/>
    <row r="131" spans="3:6" outlineLevel="1" x14ac:dyDescent="0.25">
      <c r="C131" s="529" t="s">
        <v>3307</v>
      </c>
      <c r="D131" s="529"/>
      <c r="E131" s="529" t="s">
        <v>3308</v>
      </c>
      <c r="F131" s="529"/>
    </row>
    <row r="132" spans="3:6" ht="75" outlineLevel="1" x14ac:dyDescent="0.25">
      <c r="C132" s="349" t="s">
        <v>590</v>
      </c>
      <c r="D132" s="350" t="s">
        <v>3085</v>
      </c>
      <c r="E132" s="349" t="s">
        <v>1669</v>
      </c>
      <c r="F132" s="350" t="s">
        <v>3306</v>
      </c>
    </row>
    <row r="133" spans="3:6" ht="49.5" customHeight="1" outlineLevel="1" x14ac:dyDescent="0.25">
      <c r="C133" s="349" t="s">
        <v>594</v>
      </c>
      <c r="D133" s="350" t="s">
        <v>3086</v>
      </c>
      <c r="E133" s="530"/>
      <c r="F133" s="531"/>
    </row>
    <row r="134" spans="3:6" ht="45" outlineLevel="1" x14ac:dyDescent="0.25">
      <c r="C134" s="351" t="s">
        <v>2572</v>
      </c>
      <c r="D134" s="352" t="s">
        <v>3087</v>
      </c>
      <c r="E134" s="532"/>
      <c r="F134" s="531"/>
    </row>
    <row r="135" spans="3:6" ht="60" outlineLevel="1" x14ac:dyDescent="0.25">
      <c r="C135" s="351" t="s">
        <v>2844</v>
      </c>
      <c r="D135" s="352" t="s">
        <v>3088</v>
      </c>
      <c r="E135" s="351" t="s">
        <v>2844</v>
      </c>
      <c r="F135" s="352" t="s">
        <v>3088</v>
      </c>
    </row>
    <row r="136" spans="3:6" ht="60" outlineLevel="1" x14ac:dyDescent="0.25">
      <c r="C136" s="349" t="s">
        <v>2563</v>
      </c>
      <c r="D136" s="350" t="s">
        <v>3089</v>
      </c>
      <c r="E136" s="349" t="s">
        <v>2563</v>
      </c>
      <c r="F136" s="350" t="s">
        <v>3089</v>
      </c>
    </row>
    <row r="137" spans="3:6" ht="15" customHeight="1" outlineLevel="1" x14ac:dyDescent="0.25">
      <c r="C137" s="349" t="s">
        <v>2573</v>
      </c>
      <c r="D137" s="350" t="s">
        <v>3090</v>
      </c>
      <c r="E137" s="349" t="s">
        <v>2573</v>
      </c>
      <c r="F137" s="350" t="s">
        <v>3090</v>
      </c>
    </row>
    <row r="138" spans="3:6" ht="150" outlineLevel="1" x14ac:dyDescent="0.25">
      <c r="C138" s="353" t="s">
        <v>1439</v>
      </c>
      <c r="D138" s="350" t="s">
        <v>3091</v>
      </c>
      <c r="E138" s="353" t="s">
        <v>1439</v>
      </c>
      <c r="F138" s="350" t="s">
        <v>3091</v>
      </c>
    </row>
    <row r="139" spans="3:6" ht="135" outlineLevel="1" x14ac:dyDescent="0.25">
      <c r="C139" s="353" t="s">
        <v>1440</v>
      </c>
      <c r="D139" s="354" t="s">
        <v>3092</v>
      </c>
      <c r="E139" s="353" t="s">
        <v>1440</v>
      </c>
      <c r="F139" s="354" t="s">
        <v>3092</v>
      </c>
    </row>
    <row r="140" spans="3:6" ht="30" outlineLevel="1" x14ac:dyDescent="0.25">
      <c r="C140" s="353" t="s">
        <v>1441</v>
      </c>
      <c r="D140" s="354" t="s">
        <v>3093</v>
      </c>
      <c r="E140" s="353" t="s">
        <v>1441</v>
      </c>
      <c r="F140" s="354" t="s">
        <v>3093</v>
      </c>
    </row>
    <row r="141" spans="3:6" ht="60" outlineLevel="1" x14ac:dyDescent="0.25">
      <c r="C141" s="353" t="s">
        <v>1443</v>
      </c>
      <c r="D141" s="354" t="s">
        <v>3094</v>
      </c>
      <c r="E141" s="353" t="s">
        <v>1443</v>
      </c>
      <c r="F141" s="354" t="s">
        <v>3094</v>
      </c>
    </row>
    <row r="142" spans="3:6" ht="45" outlineLevel="1" x14ac:dyDescent="0.25">
      <c r="C142" s="353" t="s">
        <v>405</v>
      </c>
      <c r="D142" s="354" t="s">
        <v>3095</v>
      </c>
      <c r="E142" s="353" t="s">
        <v>405</v>
      </c>
      <c r="F142" s="354" t="s">
        <v>3095</v>
      </c>
    </row>
    <row r="143" spans="3:6" ht="60" outlineLevel="1" x14ac:dyDescent="0.25">
      <c r="C143" s="353" t="s">
        <v>1442</v>
      </c>
      <c r="D143" s="354" t="s">
        <v>3096</v>
      </c>
      <c r="E143" s="353" t="s">
        <v>1442</v>
      </c>
      <c r="F143" s="354" t="s">
        <v>3096</v>
      </c>
    </row>
    <row r="144" spans="3:6" ht="75" outlineLevel="1" x14ac:dyDescent="0.25">
      <c r="C144" s="353" t="s">
        <v>2854</v>
      </c>
      <c r="D144" s="354" t="s">
        <v>3097</v>
      </c>
      <c r="E144" s="353" t="s">
        <v>2854</v>
      </c>
      <c r="F144" s="354" t="s">
        <v>3097</v>
      </c>
    </row>
    <row r="145" spans="3:14" outlineLevel="1" x14ac:dyDescent="0.25"/>
    <row r="147" spans="3:14" x14ac:dyDescent="0.25">
      <c r="C147" s="324" t="s">
        <v>2866</v>
      </c>
    </row>
    <row r="148" spans="3:14" outlineLevel="2" x14ac:dyDescent="0.25">
      <c r="C148" s="304" t="s">
        <v>2867</v>
      </c>
      <c r="D148" s="304" t="s">
        <v>2868</v>
      </c>
      <c r="E148" s="326" t="s">
        <v>2869</v>
      </c>
      <c r="F148" s="326" t="s">
        <v>2870</v>
      </c>
      <c r="G148" s="360" t="s">
        <v>2871</v>
      </c>
      <c r="H148" s="361"/>
      <c r="L148" s="362"/>
      <c r="M148" s="362"/>
      <c r="N148" s="362"/>
    </row>
    <row r="149" spans="3:14" outlineLevel="4" x14ac:dyDescent="0.25">
      <c r="C149" s="355">
        <v>50200010</v>
      </c>
      <c r="D149" s="338" t="s">
        <v>2872</v>
      </c>
      <c r="E149" s="338" t="s">
        <v>3108</v>
      </c>
      <c r="F149" s="356" t="s">
        <v>893</v>
      </c>
      <c r="G149" s="363" t="s">
        <v>2874</v>
      </c>
      <c r="H149" s="364"/>
      <c r="L149" s="525"/>
      <c r="M149" s="525"/>
      <c r="N149" s="525"/>
    </row>
    <row r="150" spans="3:14" outlineLevel="4" x14ac:dyDescent="0.25">
      <c r="C150" s="355">
        <v>50300010</v>
      </c>
      <c r="D150" s="338" t="s">
        <v>48</v>
      </c>
      <c r="E150" s="338" t="s">
        <v>3109</v>
      </c>
      <c r="F150" s="357" t="s">
        <v>898</v>
      </c>
      <c r="G150" s="365" t="s">
        <v>50</v>
      </c>
      <c r="H150" s="364"/>
      <c r="L150" s="525"/>
      <c r="M150" s="525"/>
      <c r="N150" s="525"/>
    </row>
    <row r="151" spans="3:14" outlineLevel="4" x14ac:dyDescent="0.25">
      <c r="C151" s="355">
        <v>50300020</v>
      </c>
      <c r="D151" s="338" t="s">
        <v>51</v>
      </c>
      <c r="E151" s="338" t="s">
        <v>3110</v>
      </c>
      <c r="F151" s="338" t="s">
        <v>898</v>
      </c>
      <c r="G151" s="365" t="s">
        <v>50</v>
      </c>
      <c r="H151" s="364"/>
      <c r="L151" s="525"/>
      <c r="M151" s="525"/>
      <c r="N151" s="525"/>
    </row>
    <row r="152" spans="3:14" outlineLevel="4" x14ac:dyDescent="0.25">
      <c r="C152" s="355">
        <v>50300030</v>
      </c>
      <c r="D152" s="338" t="s">
        <v>53</v>
      </c>
      <c r="E152" s="338" t="s">
        <v>3111</v>
      </c>
      <c r="F152" s="338" t="s">
        <v>898</v>
      </c>
      <c r="G152" s="365" t="s">
        <v>50</v>
      </c>
      <c r="H152" s="364"/>
      <c r="L152" s="525"/>
      <c r="M152" s="525"/>
      <c r="N152" s="525"/>
    </row>
    <row r="153" spans="3:14" outlineLevel="4" x14ac:dyDescent="0.25">
      <c r="C153" s="355">
        <v>50300040</v>
      </c>
      <c r="D153" s="338" t="s">
        <v>55</v>
      </c>
      <c r="E153" s="338" t="s">
        <v>3112</v>
      </c>
      <c r="F153" s="338" t="s">
        <v>898</v>
      </c>
      <c r="G153" s="365" t="s">
        <v>50</v>
      </c>
      <c r="H153" s="364"/>
      <c r="L153" s="525"/>
      <c r="M153" s="525"/>
      <c r="N153" s="525"/>
    </row>
    <row r="154" spans="3:14" outlineLevel="4" x14ac:dyDescent="0.25">
      <c r="C154" s="355">
        <v>50300050</v>
      </c>
      <c r="D154" s="338" t="s">
        <v>57</v>
      </c>
      <c r="E154" s="338" t="s">
        <v>3113</v>
      </c>
      <c r="F154" s="338" t="s">
        <v>898</v>
      </c>
      <c r="G154" s="365" t="s">
        <v>50</v>
      </c>
      <c r="H154" s="364"/>
      <c r="L154" s="525"/>
      <c r="M154" s="525"/>
      <c r="N154" s="525"/>
    </row>
    <row r="155" spans="3:14" outlineLevel="4" x14ac:dyDescent="0.25">
      <c r="C155" s="355">
        <v>50300060</v>
      </c>
      <c r="D155" s="338" t="s">
        <v>2880</v>
      </c>
      <c r="E155" s="338" t="s">
        <v>3114</v>
      </c>
      <c r="F155" s="338" t="s">
        <v>898</v>
      </c>
      <c r="G155" s="365" t="s">
        <v>50</v>
      </c>
      <c r="H155" s="364"/>
      <c r="L155" s="525"/>
      <c r="M155" s="525"/>
      <c r="N155" s="525"/>
    </row>
    <row r="156" spans="3:14" outlineLevel="4" x14ac:dyDescent="0.25">
      <c r="C156" s="355">
        <v>50300070</v>
      </c>
      <c r="D156" s="338" t="s">
        <v>1337</v>
      </c>
      <c r="E156" s="338" t="s">
        <v>3115</v>
      </c>
      <c r="F156" s="342" t="s">
        <v>898</v>
      </c>
      <c r="G156" s="365" t="s">
        <v>50</v>
      </c>
      <c r="H156" s="364"/>
      <c r="L156" s="525"/>
      <c r="M156" s="525"/>
      <c r="N156" s="525"/>
    </row>
    <row r="157" spans="3:14" outlineLevel="4" x14ac:dyDescent="0.25">
      <c r="C157" s="355">
        <v>50300080</v>
      </c>
      <c r="D157" s="338" t="s">
        <v>63</v>
      </c>
      <c r="E157" s="338" t="s">
        <v>3116</v>
      </c>
      <c r="F157" s="342" t="s">
        <v>898</v>
      </c>
      <c r="G157" s="365" t="s">
        <v>50</v>
      </c>
      <c r="H157" s="364"/>
      <c r="L157" s="525"/>
      <c r="M157" s="525"/>
      <c r="N157" s="525"/>
    </row>
    <row r="158" spans="3:14" outlineLevel="4" x14ac:dyDescent="0.25">
      <c r="C158" s="355">
        <v>50300090</v>
      </c>
      <c r="D158" s="338" t="s">
        <v>65</v>
      </c>
      <c r="E158" s="338" t="s">
        <v>3117</v>
      </c>
      <c r="F158" s="342" t="s">
        <v>898</v>
      </c>
      <c r="G158" s="365" t="s">
        <v>50</v>
      </c>
      <c r="H158" s="364"/>
      <c r="L158" s="525"/>
      <c r="M158" s="525"/>
      <c r="N158" s="525"/>
    </row>
    <row r="159" spans="3:14" outlineLevel="4" x14ac:dyDescent="0.25">
      <c r="C159" s="355">
        <v>50300100</v>
      </c>
      <c r="D159" s="338" t="s">
        <v>67</v>
      </c>
      <c r="E159" s="338" t="s">
        <v>3118</v>
      </c>
      <c r="F159" s="342" t="s">
        <v>898</v>
      </c>
      <c r="G159" s="365" t="s">
        <v>50</v>
      </c>
      <c r="H159" s="364"/>
      <c r="L159" s="525"/>
      <c r="M159" s="525"/>
      <c r="N159" s="525"/>
    </row>
    <row r="160" spans="3:14" outlineLevel="4" x14ac:dyDescent="0.25">
      <c r="C160" s="355">
        <v>50300110</v>
      </c>
      <c r="D160" s="338" t="s">
        <v>2886</v>
      </c>
      <c r="E160" s="338" t="s">
        <v>3119</v>
      </c>
      <c r="F160" s="342" t="s">
        <v>898</v>
      </c>
      <c r="G160" s="365" t="s">
        <v>50</v>
      </c>
      <c r="H160" s="364"/>
      <c r="L160" s="525"/>
      <c r="M160" s="525"/>
      <c r="N160" s="525"/>
    </row>
    <row r="161" spans="3:14" outlineLevel="4" x14ac:dyDescent="0.25">
      <c r="C161" s="355">
        <v>50300120</v>
      </c>
      <c r="D161" s="338" t="s">
        <v>2888</v>
      </c>
      <c r="E161" s="338" t="s">
        <v>3120</v>
      </c>
      <c r="F161" s="342" t="s">
        <v>898</v>
      </c>
      <c r="G161" s="365" t="s">
        <v>50</v>
      </c>
      <c r="H161" s="364"/>
      <c r="L161" s="525"/>
      <c r="M161" s="525"/>
      <c r="N161" s="525"/>
    </row>
    <row r="162" spans="3:14" outlineLevel="4" x14ac:dyDescent="0.25">
      <c r="C162" s="355">
        <v>50300990</v>
      </c>
      <c r="D162" s="338" t="s">
        <v>71</v>
      </c>
      <c r="E162" s="338" t="s">
        <v>3121</v>
      </c>
      <c r="F162" s="342" t="s">
        <v>898</v>
      </c>
      <c r="G162" s="365" t="s">
        <v>50</v>
      </c>
      <c r="H162" s="364"/>
      <c r="L162" s="525"/>
      <c r="M162" s="525"/>
      <c r="N162" s="525"/>
    </row>
    <row r="163" spans="3:14" outlineLevel="4" x14ac:dyDescent="0.25">
      <c r="C163" s="355">
        <v>50400010</v>
      </c>
      <c r="D163" s="338" t="s">
        <v>2891</v>
      </c>
      <c r="E163" s="338" t="s">
        <v>3122</v>
      </c>
      <c r="F163" s="342" t="s">
        <v>903</v>
      </c>
      <c r="G163" s="365" t="s">
        <v>50</v>
      </c>
      <c r="H163" s="364"/>
      <c r="L163" s="525"/>
      <c r="M163" s="525"/>
      <c r="N163" s="525"/>
    </row>
    <row r="164" spans="3:14" outlineLevel="4" x14ac:dyDescent="0.25">
      <c r="C164" s="355">
        <v>50500010</v>
      </c>
      <c r="D164" s="338" t="s">
        <v>2893</v>
      </c>
      <c r="E164" s="338" t="s">
        <v>3123</v>
      </c>
      <c r="F164" s="342" t="s">
        <v>908</v>
      </c>
      <c r="G164" s="363" t="s">
        <v>2874</v>
      </c>
      <c r="H164" s="364"/>
      <c r="L164" s="525"/>
      <c r="M164" s="525"/>
      <c r="N164" s="525"/>
    </row>
    <row r="165" spans="3:14" outlineLevel="4" x14ac:dyDescent="0.25">
      <c r="C165" s="355">
        <v>50500020</v>
      </c>
      <c r="D165" s="338" t="s">
        <v>1340</v>
      </c>
      <c r="E165" s="338" t="s">
        <v>3124</v>
      </c>
      <c r="F165" s="342" t="s">
        <v>908</v>
      </c>
      <c r="G165" s="363" t="s">
        <v>2874</v>
      </c>
      <c r="H165" s="364"/>
      <c r="L165" s="525"/>
      <c r="M165" s="525"/>
      <c r="N165" s="525"/>
    </row>
    <row r="166" spans="3:14" outlineLevel="4" x14ac:dyDescent="0.25">
      <c r="C166" s="355">
        <v>50500030</v>
      </c>
      <c r="D166" s="338" t="s">
        <v>2896</v>
      </c>
      <c r="E166" s="338" t="s">
        <v>3125</v>
      </c>
      <c r="F166" s="342" t="s">
        <v>908</v>
      </c>
      <c r="G166" s="363" t="s">
        <v>2874</v>
      </c>
      <c r="H166" s="364"/>
      <c r="L166" s="525"/>
      <c r="M166" s="525"/>
      <c r="N166" s="525"/>
    </row>
    <row r="167" spans="3:14" outlineLevel="4" x14ac:dyDescent="0.25">
      <c r="C167" s="355">
        <v>50500040</v>
      </c>
      <c r="D167" s="338" t="s">
        <v>111</v>
      </c>
      <c r="E167" s="338" t="s">
        <v>3126</v>
      </c>
      <c r="F167" s="342" t="s">
        <v>908</v>
      </c>
      <c r="G167" s="363" t="s">
        <v>2874</v>
      </c>
      <c r="H167" s="364"/>
      <c r="L167" s="525"/>
      <c r="M167" s="525"/>
      <c r="N167" s="525"/>
    </row>
    <row r="168" spans="3:14" outlineLevel="4" x14ac:dyDescent="0.25">
      <c r="C168" s="355">
        <v>50600010</v>
      </c>
      <c r="D168" s="338" t="s">
        <v>535</v>
      </c>
      <c r="E168" s="338" t="s">
        <v>3127</v>
      </c>
      <c r="F168" s="342" t="s">
        <v>913</v>
      </c>
      <c r="G168" s="363" t="s">
        <v>2874</v>
      </c>
      <c r="H168" s="364"/>
      <c r="L168" s="525"/>
      <c r="M168" s="525"/>
      <c r="N168" s="525"/>
    </row>
    <row r="169" spans="3:14" outlineLevel="4" x14ac:dyDescent="0.25">
      <c r="C169" s="355">
        <v>50600020</v>
      </c>
      <c r="D169" s="338" t="s">
        <v>536</v>
      </c>
      <c r="E169" s="338" t="s">
        <v>3128</v>
      </c>
      <c r="F169" s="342" t="s">
        <v>913</v>
      </c>
      <c r="G169" s="363" t="s">
        <v>2874</v>
      </c>
      <c r="H169" s="364"/>
      <c r="L169" s="525"/>
      <c r="M169" s="525"/>
      <c r="N169" s="525"/>
    </row>
    <row r="170" spans="3:14" outlineLevel="4" x14ac:dyDescent="0.25">
      <c r="C170" s="355">
        <v>50600030</v>
      </c>
      <c r="D170" s="338" t="s">
        <v>2900</v>
      </c>
      <c r="E170" s="338" t="s">
        <v>3129</v>
      </c>
      <c r="F170" s="342" t="s">
        <v>913</v>
      </c>
      <c r="G170" s="363" t="s">
        <v>2874</v>
      </c>
      <c r="H170" s="364"/>
      <c r="L170" s="525"/>
      <c r="M170" s="525"/>
      <c r="N170" s="525"/>
    </row>
    <row r="171" spans="3:14" outlineLevel="4" x14ac:dyDescent="0.25">
      <c r="C171" s="355">
        <v>50600040</v>
      </c>
      <c r="D171" s="338" t="s">
        <v>538</v>
      </c>
      <c r="E171" s="338" t="s">
        <v>3130</v>
      </c>
      <c r="F171" s="342" t="s">
        <v>913</v>
      </c>
      <c r="G171" s="363" t="s">
        <v>2874</v>
      </c>
      <c r="H171" s="364"/>
      <c r="L171" s="525"/>
      <c r="M171" s="525"/>
      <c r="N171" s="525"/>
    </row>
    <row r="172" spans="3:14" outlineLevel="4" x14ac:dyDescent="0.25">
      <c r="C172" s="355">
        <v>50800010</v>
      </c>
      <c r="D172" s="338" t="s">
        <v>2903</v>
      </c>
      <c r="E172" s="338" t="s">
        <v>3131</v>
      </c>
      <c r="F172" s="342" t="s">
        <v>923</v>
      </c>
      <c r="G172" s="363" t="s">
        <v>2874</v>
      </c>
      <c r="H172" s="364"/>
      <c r="L172" s="525"/>
      <c r="M172" s="525"/>
      <c r="N172" s="525"/>
    </row>
    <row r="173" spans="3:14" outlineLevel="4" x14ac:dyDescent="0.25">
      <c r="C173" s="355">
        <v>50800020</v>
      </c>
      <c r="D173" s="338" t="s">
        <v>119</v>
      </c>
      <c r="E173" s="338" t="s">
        <v>3132</v>
      </c>
      <c r="F173" s="342" t="s">
        <v>923</v>
      </c>
      <c r="G173" s="363" t="s">
        <v>2874</v>
      </c>
      <c r="H173" s="364"/>
      <c r="L173" s="525"/>
      <c r="M173" s="525"/>
      <c r="N173" s="525"/>
    </row>
    <row r="174" spans="3:14" outlineLevel="4" x14ac:dyDescent="0.25">
      <c r="C174" s="355">
        <v>50800030</v>
      </c>
      <c r="D174" s="338" t="s">
        <v>122</v>
      </c>
      <c r="E174" s="338" t="s">
        <v>3133</v>
      </c>
      <c r="F174" s="342" t="s">
        <v>923</v>
      </c>
      <c r="G174" s="363" t="s">
        <v>2874</v>
      </c>
      <c r="H174" s="364"/>
      <c r="L174" s="525"/>
      <c r="M174" s="525"/>
      <c r="N174" s="525"/>
    </row>
    <row r="175" spans="3:14" outlineLevel="4" x14ac:dyDescent="0.25">
      <c r="C175" s="355">
        <v>50800040</v>
      </c>
      <c r="D175" s="338" t="s">
        <v>124</v>
      </c>
      <c r="E175" s="338" t="s">
        <v>3134</v>
      </c>
      <c r="F175" s="342" t="s">
        <v>923</v>
      </c>
      <c r="G175" s="363" t="s">
        <v>2874</v>
      </c>
      <c r="H175" s="364"/>
      <c r="L175" s="525"/>
      <c r="M175" s="525"/>
      <c r="N175" s="525"/>
    </row>
    <row r="176" spans="3:14" outlineLevel="4" x14ac:dyDescent="0.25">
      <c r="C176" s="355">
        <v>50800050</v>
      </c>
      <c r="D176" s="338" t="s">
        <v>126</v>
      </c>
      <c r="E176" s="338" t="s">
        <v>3135</v>
      </c>
      <c r="F176" s="342" t="s">
        <v>923</v>
      </c>
      <c r="G176" s="363" t="s">
        <v>2874</v>
      </c>
      <c r="H176" s="364"/>
      <c r="L176" s="525"/>
      <c r="M176" s="525"/>
      <c r="N176" s="525"/>
    </row>
    <row r="177" spans="3:14" outlineLevel="4" x14ac:dyDescent="0.25">
      <c r="C177" s="355">
        <v>50800060</v>
      </c>
      <c r="D177" s="338" t="s">
        <v>128</v>
      </c>
      <c r="E177" s="338" t="s">
        <v>3136</v>
      </c>
      <c r="F177" s="342" t="s">
        <v>923</v>
      </c>
      <c r="G177" s="363" t="s">
        <v>2874</v>
      </c>
      <c r="H177" s="364"/>
      <c r="L177" s="525"/>
      <c r="M177" s="525"/>
      <c r="N177" s="525"/>
    </row>
    <row r="178" spans="3:14" outlineLevel="4" x14ac:dyDescent="0.25">
      <c r="C178" s="355">
        <v>50800070</v>
      </c>
      <c r="D178" s="338" t="s">
        <v>131</v>
      </c>
      <c r="E178" s="338" t="s">
        <v>3137</v>
      </c>
      <c r="F178" s="342" t="s">
        <v>923</v>
      </c>
      <c r="G178" s="363" t="s">
        <v>2874</v>
      </c>
      <c r="H178" s="364"/>
      <c r="L178" s="525"/>
      <c r="M178" s="525"/>
      <c r="N178" s="525"/>
    </row>
    <row r="179" spans="3:14" outlineLevel="4" x14ac:dyDescent="0.25">
      <c r="C179" s="355">
        <v>51100000</v>
      </c>
      <c r="D179" s="338" t="s">
        <v>554</v>
      </c>
      <c r="E179" s="338" t="s">
        <v>3138</v>
      </c>
      <c r="F179" s="342" t="s">
        <v>938</v>
      </c>
      <c r="G179" s="363" t="s">
        <v>2874</v>
      </c>
      <c r="H179" s="364"/>
      <c r="L179" s="525"/>
      <c r="M179" s="525"/>
      <c r="N179" s="525"/>
    </row>
    <row r="180" spans="3:14" outlineLevel="4" x14ac:dyDescent="0.25">
      <c r="C180" s="355">
        <v>51300010</v>
      </c>
      <c r="D180" s="338" t="s">
        <v>564</v>
      </c>
      <c r="E180" s="338" t="s">
        <v>3139</v>
      </c>
      <c r="F180" s="342" t="s">
        <v>948</v>
      </c>
      <c r="G180" s="366" t="s">
        <v>255</v>
      </c>
      <c r="H180" s="364"/>
      <c r="L180" s="525"/>
      <c r="M180" s="525"/>
      <c r="N180" s="525"/>
    </row>
    <row r="181" spans="3:14" outlineLevel="4" x14ac:dyDescent="0.25">
      <c r="C181" s="355">
        <v>51300040</v>
      </c>
      <c r="D181" s="338" t="s">
        <v>567</v>
      </c>
      <c r="E181" s="338" t="s">
        <v>3140</v>
      </c>
      <c r="F181" s="342" t="s">
        <v>948</v>
      </c>
      <c r="G181" s="366" t="s">
        <v>255</v>
      </c>
      <c r="H181" s="364"/>
      <c r="L181" s="525"/>
      <c r="M181" s="525"/>
      <c r="N181" s="525"/>
    </row>
    <row r="182" spans="3:14" outlineLevel="4" x14ac:dyDescent="0.25">
      <c r="C182" s="355">
        <v>51300050</v>
      </c>
      <c r="D182" s="338" t="s">
        <v>568</v>
      </c>
      <c r="E182" s="338" t="s">
        <v>3141</v>
      </c>
      <c r="F182" s="342" t="s">
        <v>948</v>
      </c>
      <c r="G182" s="366" t="s">
        <v>255</v>
      </c>
      <c r="H182" s="364"/>
      <c r="L182" s="525"/>
      <c r="M182" s="525"/>
      <c r="N182" s="525"/>
    </row>
    <row r="183" spans="3:14" outlineLevel="4" x14ac:dyDescent="0.25">
      <c r="C183" s="355">
        <v>51300060</v>
      </c>
      <c r="D183" s="338" t="s">
        <v>569</v>
      </c>
      <c r="E183" s="338" t="s">
        <v>3142</v>
      </c>
      <c r="F183" s="342" t="s">
        <v>948</v>
      </c>
      <c r="G183" s="366" t="s">
        <v>255</v>
      </c>
      <c r="H183" s="364"/>
      <c r="L183" s="525"/>
      <c r="M183" s="525"/>
      <c r="N183" s="525"/>
    </row>
    <row r="184" spans="3:14" outlineLevel="4" x14ac:dyDescent="0.25">
      <c r="C184" s="355">
        <v>51300090</v>
      </c>
      <c r="D184" s="338" t="s">
        <v>572</v>
      </c>
      <c r="E184" s="338" t="s">
        <v>3143</v>
      </c>
      <c r="F184" s="342" t="s">
        <v>948</v>
      </c>
      <c r="G184" s="366" t="s">
        <v>255</v>
      </c>
      <c r="H184" s="364"/>
      <c r="L184" s="525"/>
      <c r="M184" s="525"/>
      <c r="N184" s="525"/>
    </row>
    <row r="185" spans="3:14" outlineLevel="4" x14ac:dyDescent="0.25">
      <c r="C185" s="355">
        <v>51500010</v>
      </c>
      <c r="D185" s="338" t="s">
        <v>2917</v>
      </c>
      <c r="E185" s="338" t="s">
        <v>3144</v>
      </c>
      <c r="F185" s="342" t="s">
        <v>958</v>
      </c>
      <c r="G185" s="363" t="s">
        <v>2874</v>
      </c>
      <c r="H185" s="364"/>
      <c r="L185" s="525"/>
      <c r="M185" s="525"/>
      <c r="N185" s="525"/>
    </row>
    <row r="186" spans="3:14" outlineLevel="4" x14ac:dyDescent="0.25">
      <c r="C186" s="355">
        <v>51600010</v>
      </c>
      <c r="D186" s="338" t="s">
        <v>147</v>
      </c>
      <c r="E186" s="338" t="s">
        <v>3145</v>
      </c>
      <c r="F186" s="342" t="s">
        <v>963</v>
      </c>
      <c r="G186" s="363" t="s">
        <v>2874</v>
      </c>
      <c r="H186" s="364"/>
      <c r="L186" s="525"/>
      <c r="M186" s="525"/>
      <c r="N186" s="525"/>
    </row>
    <row r="187" spans="3:14" outlineLevel="4" x14ac:dyDescent="0.25">
      <c r="C187" s="355">
        <v>51600020</v>
      </c>
      <c r="D187" s="338" t="s">
        <v>148</v>
      </c>
      <c r="E187" s="338" t="s">
        <v>3146</v>
      </c>
      <c r="F187" s="342" t="s">
        <v>963</v>
      </c>
      <c r="G187" s="363" t="s">
        <v>2874</v>
      </c>
      <c r="H187" s="364"/>
      <c r="L187" s="525"/>
      <c r="M187" s="525"/>
      <c r="N187" s="525"/>
    </row>
    <row r="188" spans="3:14" outlineLevel="4" x14ac:dyDescent="0.25">
      <c r="C188" s="355">
        <v>51600030</v>
      </c>
      <c r="D188" s="338" t="s">
        <v>150</v>
      </c>
      <c r="E188" s="338" t="s">
        <v>3147</v>
      </c>
      <c r="F188" s="342" t="s">
        <v>963</v>
      </c>
      <c r="G188" s="363" t="s">
        <v>2874</v>
      </c>
      <c r="H188" s="364"/>
      <c r="L188" s="525"/>
      <c r="M188" s="525"/>
      <c r="N188" s="525"/>
    </row>
    <row r="189" spans="3:14" outlineLevel="4" x14ac:dyDescent="0.25">
      <c r="C189" s="355">
        <v>51600040</v>
      </c>
      <c r="D189" s="338" t="s">
        <v>151</v>
      </c>
      <c r="E189" s="338" t="s">
        <v>3148</v>
      </c>
      <c r="F189" s="342" t="s">
        <v>963</v>
      </c>
      <c r="G189" s="363" t="s">
        <v>2874</v>
      </c>
      <c r="H189" s="364"/>
      <c r="L189" s="525"/>
      <c r="M189" s="525"/>
      <c r="N189" s="525"/>
    </row>
    <row r="190" spans="3:14" outlineLevel="4" x14ac:dyDescent="0.25">
      <c r="C190" s="355">
        <v>51600050</v>
      </c>
      <c r="D190" s="338" t="s">
        <v>575</v>
      </c>
      <c r="E190" s="338" t="s">
        <v>3149</v>
      </c>
      <c r="F190" s="342" t="s">
        <v>963</v>
      </c>
      <c r="G190" s="363" t="s">
        <v>2874</v>
      </c>
      <c r="H190" s="364"/>
      <c r="L190" s="525"/>
      <c r="M190" s="525"/>
      <c r="N190" s="525"/>
    </row>
    <row r="191" spans="3:14" outlineLevel="4" x14ac:dyDescent="0.25">
      <c r="C191" s="355">
        <v>51600070</v>
      </c>
      <c r="D191" s="338" t="s">
        <v>152</v>
      </c>
      <c r="E191" s="338" t="s">
        <v>3150</v>
      </c>
      <c r="F191" s="342" t="s">
        <v>963</v>
      </c>
      <c r="G191" s="363" t="s">
        <v>2874</v>
      </c>
      <c r="H191" s="364"/>
      <c r="L191" s="525"/>
      <c r="M191" s="525"/>
      <c r="N191" s="525"/>
    </row>
    <row r="192" spans="3:14" outlineLevel="4" x14ac:dyDescent="0.25">
      <c r="C192" s="355">
        <v>51700010</v>
      </c>
      <c r="D192" s="338" t="s">
        <v>153</v>
      </c>
      <c r="E192" s="338" t="s">
        <v>3151</v>
      </c>
      <c r="F192" s="342" t="s">
        <v>968</v>
      </c>
      <c r="G192" s="363" t="s">
        <v>2874</v>
      </c>
      <c r="H192" s="364"/>
      <c r="L192" s="525"/>
      <c r="M192" s="525"/>
      <c r="N192" s="525"/>
    </row>
    <row r="193" spans="3:14" outlineLevel="4" x14ac:dyDescent="0.25">
      <c r="C193" s="355">
        <v>51700030</v>
      </c>
      <c r="D193" s="338" t="s">
        <v>155</v>
      </c>
      <c r="E193" s="338" t="s">
        <v>3152</v>
      </c>
      <c r="F193" s="342" t="s">
        <v>968</v>
      </c>
      <c r="G193" s="363" t="s">
        <v>2874</v>
      </c>
      <c r="H193" s="364"/>
      <c r="L193" s="525"/>
      <c r="M193" s="525"/>
      <c r="N193" s="525"/>
    </row>
    <row r="194" spans="3:14" outlineLevel="4" x14ac:dyDescent="0.25">
      <c r="C194" s="355">
        <v>51700040</v>
      </c>
      <c r="D194" s="338" t="s">
        <v>157</v>
      </c>
      <c r="E194" s="338" t="s">
        <v>3153</v>
      </c>
      <c r="F194" s="342" t="s">
        <v>968</v>
      </c>
      <c r="G194" s="363" t="s">
        <v>2874</v>
      </c>
      <c r="H194" s="364"/>
      <c r="L194" s="525"/>
      <c r="M194" s="525"/>
      <c r="N194" s="525"/>
    </row>
    <row r="195" spans="3:14" outlineLevel="4" x14ac:dyDescent="0.25">
      <c r="C195" s="355">
        <v>51700050</v>
      </c>
      <c r="D195" s="338" t="s">
        <v>159</v>
      </c>
      <c r="E195" s="338" t="s">
        <v>3154</v>
      </c>
      <c r="F195" s="342" t="s">
        <v>968</v>
      </c>
      <c r="G195" s="363" t="s">
        <v>2874</v>
      </c>
      <c r="H195" s="364"/>
      <c r="L195" s="525"/>
      <c r="M195" s="525"/>
      <c r="N195" s="525"/>
    </row>
    <row r="196" spans="3:14" outlineLevel="4" x14ac:dyDescent="0.25">
      <c r="C196" s="355">
        <v>51700060</v>
      </c>
      <c r="D196" s="338" t="s">
        <v>161</v>
      </c>
      <c r="E196" s="338" t="s">
        <v>3155</v>
      </c>
      <c r="F196" s="342" t="s">
        <v>968</v>
      </c>
      <c r="G196" s="363" t="s">
        <v>2874</v>
      </c>
      <c r="H196" s="364"/>
      <c r="L196" s="525"/>
      <c r="M196" s="525"/>
      <c r="N196" s="525"/>
    </row>
    <row r="197" spans="3:14" outlineLevel="4" x14ac:dyDescent="0.25">
      <c r="C197" s="355">
        <v>51700070</v>
      </c>
      <c r="D197" s="338" t="s">
        <v>163</v>
      </c>
      <c r="E197" s="338" t="s">
        <v>3156</v>
      </c>
      <c r="F197" s="342" t="s">
        <v>968</v>
      </c>
      <c r="G197" s="363" t="s">
        <v>2874</v>
      </c>
      <c r="H197" s="364"/>
      <c r="L197" s="525"/>
      <c r="M197" s="525"/>
      <c r="N197" s="525"/>
    </row>
    <row r="198" spans="3:14" outlineLevel="4" x14ac:dyDescent="0.25">
      <c r="C198" s="355">
        <v>51800010</v>
      </c>
      <c r="D198" s="338" t="s">
        <v>165</v>
      </c>
      <c r="E198" s="338" t="s">
        <v>3157</v>
      </c>
      <c r="F198" s="342" t="s">
        <v>973</v>
      </c>
      <c r="G198" s="363" t="s">
        <v>2874</v>
      </c>
      <c r="H198" s="364"/>
    </row>
    <row r="199" spans="3:14" outlineLevel="4" x14ac:dyDescent="0.25">
      <c r="C199" s="355">
        <v>51800020</v>
      </c>
      <c r="D199" s="338" t="s">
        <v>168</v>
      </c>
      <c r="E199" s="338" t="s">
        <v>3158</v>
      </c>
      <c r="F199" s="342" t="s">
        <v>973</v>
      </c>
      <c r="G199" s="363" t="s">
        <v>2874</v>
      </c>
      <c r="H199" s="364"/>
    </row>
    <row r="200" spans="3:14" outlineLevel="4" x14ac:dyDescent="0.25">
      <c r="C200" s="355">
        <v>51800030</v>
      </c>
      <c r="D200" s="338" t="s">
        <v>170</v>
      </c>
      <c r="E200" s="338" t="s">
        <v>3159</v>
      </c>
      <c r="F200" s="342" t="s">
        <v>973</v>
      </c>
      <c r="G200" s="363" t="s">
        <v>2874</v>
      </c>
      <c r="H200" s="364"/>
    </row>
    <row r="201" spans="3:14" outlineLevel="4" x14ac:dyDescent="0.25">
      <c r="C201" s="355">
        <v>51800090</v>
      </c>
      <c r="D201" s="338" t="s">
        <v>172</v>
      </c>
      <c r="E201" s="338" t="s">
        <v>3160</v>
      </c>
      <c r="F201" s="342" t="s">
        <v>973</v>
      </c>
      <c r="G201" s="363" t="s">
        <v>2874</v>
      </c>
      <c r="H201" s="364"/>
    </row>
    <row r="202" spans="3:14" outlineLevel="4" x14ac:dyDescent="0.25">
      <c r="C202" s="355">
        <v>51900010</v>
      </c>
      <c r="D202" s="338" t="s">
        <v>174</v>
      </c>
      <c r="E202" s="338" t="s">
        <v>3161</v>
      </c>
      <c r="F202" s="342" t="s">
        <v>406</v>
      </c>
      <c r="G202" s="363" t="s">
        <v>2874</v>
      </c>
      <c r="H202" s="364"/>
    </row>
    <row r="203" spans="3:14" outlineLevel="4" x14ac:dyDescent="0.25">
      <c r="C203" s="355">
        <v>51900020</v>
      </c>
      <c r="D203" s="338" t="s">
        <v>177</v>
      </c>
      <c r="E203" s="338" t="s">
        <v>3162</v>
      </c>
      <c r="F203" s="342" t="s">
        <v>406</v>
      </c>
      <c r="G203" s="363" t="s">
        <v>2874</v>
      </c>
      <c r="H203" s="364"/>
    </row>
    <row r="204" spans="3:14" outlineLevel="4" x14ac:dyDescent="0.25">
      <c r="C204" s="355">
        <v>51900030</v>
      </c>
      <c r="D204" s="338" t="s">
        <v>180</v>
      </c>
      <c r="E204" s="338" t="s">
        <v>3163</v>
      </c>
      <c r="F204" s="342" t="s">
        <v>406</v>
      </c>
      <c r="G204" s="363" t="s">
        <v>2874</v>
      </c>
      <c r="H204" s="364"/>
    </row>
    <row r="205" spans="3:14" outlineLevel="4" x14ac:dyDescent="0.25">
      <c r="C205" s="355">
        <v>51900040</v>
      </c>
      <c r="D205" s="338" t="s">
        <v>182</v>
      </c>
      <c r="E205" s="338" t="s">
        <v>3164</v>
      </c>
      <c r="F205" s="342" t="s">
        <v>406</v>
      </c>
      <c r="G205" s="363" t="s">
        <v>2874</v>
      </c>
      <c r="H205" s="364"/>
    </row>
    <row r="206" spans="3:14" outlineLevel="4" x14ac:dyDescent="0.25">
      <c r="C206" s="355">
        <v>51900090</v>
      </c>
      <c r="D206" s="338" t="s">
        <v>184</v>
      </c>
      <c r="E206" s="338" t="s">
        <v>3165</v>
      </c>
      <c r="F206" s="342" t="s">
        <v>406</v>
      </c>
      <c r="G206" s="363" t="s">
        <v>2874</v>
      </c>
      <c r="H206" s="364"/>
    </row>
    <row r="207" spans="3:14" outlineLevel="4" x14ac:dyDescent="0.25">
      <c r="C207" s="355">
        <v>52100010</v>
      </c>
      <c r="D207" s="338" t="s">
        <v>195</v>
      </c>
      <c r="E207" s="338" t="s">
        <v>3166</v>
      </c>
      <c r="F207" s="342" t="s">
        <v>987</v>
      </c>
      <c r="G207" s="363" t="s">
        <v>2874</v>
      </c>
      <c r="H207" s="364"/>
    </row>
    <row r="208" spans="3:14" outlineLevel="4" x14ac:dyDescent="0.25">
      <c r="C208" s="355">
        <v>52100020</v>
      </c>
      <c r="D208" s="338" t="s">
        <v>198</v>
      </c>
      <c r="E208" s="338" t="s">
        <v>3167</v>
      </c>
      <c r="F208" s="342" t="s">
        <v>987</v>
      </c>
      <c r="G208" s="363" t="s">
        <v>2874</v>
      </c>
      <c r="H208" s="364"/>
    </row>
    <row r="209" spans="3:8" outlineLevel="4" x14ac:dyDescent="0.25">
      <c r="C209" s="355">
        <v>52100030</v>
      </c>
      <c r="D209" s="338" t="s">
        <v>200</v>
      </c>
      <c r="E209" s="338" t="s">
        <v>3168</v>
      </c>
      <c r="F209" s="342" t="s">
        <v>987</v>
      </c>
      <c r="G209" s="363" t="s">
        <v>2874</v>
      </c>
      <c r="H209" s="364"/>
    </row>
    <row r="210" spans="3:8" outlineLevel="4" x14ac:dyDescent="0.25">
      <c r="C210" s="355">
        <v>52100040</v>
      </c>
      <c r="D210" s="338" t="s">
        <v>202</v>
      </c>
      <c r="E210" s="338" t="s">
        <v>3169</v>
      </c>
      <c r="F210" s="342" t="s">
        <v>987</v>
      </c>
      <c r="G210" s="363" t="s">
        <v>2874</v>
      </c>
      <c r="H210" s="364"/>
    </row>
    <row r="211" spans="3:8" outlineLevel="4" x14ac:dyDescent="0.25">
      <c r="C211" s="355">
        <v>52100050</v>
      </c>
      <c r="D211" s="338" t="s">
        <v>204</v>
      </c>
      <c r="E211" s="338" t="s">
        <v>3170</v>
      </c>
      <c r="F211" s="342" t="s">
        <v>987</v>
      </c>
      <c r="G211" s="363" t="s">
        <v>2874</v>
      </c>
      <c r="H211" s="364"/>
    </row>
    <row r="212" spans="3:8" ht="30" outlineLevel="4" x14ac:dyDescent="0.25">
      <c r="C212" s="355">
        <v>52200010</v>
      </c>
      <c r="D212" s="338" t="s">
        <v>206</v>
      </c>
      <c r="E212" s="338" t="s">
        <v>3171</v>
      </c>
      <c r="F212" s="342" t="s">
        <v>992</v>
      </c>
      <c r="G212" s="363" t="s">
        <v>2874</v>
      </c>
      <c r="H212" s="364"/>
    </row>
    <row r="213" spans="3:8" ht="30" outlineLevel="4" x14ac:dyDescent="0.25">
      <c r="C213" s="355">
        <v>52200020</v>
      </c>
      <c r="D213" s="338" t="s">
        <v>208</v>
      </c>
      <c r="E213" s="338" t="s">
        <v>3172</v>
      </c>
      <c r="F213" s="342" t="s">
        <v>992</v>
      </c>
      <c r="G213" s="363" t="s">
        <v>2874</v>
      </c>
      <c r="H213" s="364"/>
    </row>
    <row r="214" spans="3:8" ht="30" outlineLevel="4" x14ac:dyDescent="0.25">
      <c r="C214" s="355">
        <v>52300010</v>
      </c>
      <c r="D214" s="338" t="s">
        <v>210</v>
      </c>
      <c r="E214" s="338" t="s">
        <v>3173</v>
      </c>
      <c r="F214" s="342" t="s">
        <v>997</v>
      </c>
      <c r="G214" s="363" t="s">
        <v>2874</v>
      </c>
      <c r="H214" s="364"/>
    </row>
    <row r="215" spans="3:8" ht="30" outlineLevel="4" x14ac:dyDescent="0.25">
      <c r="C215" s="355">
        <v>52300020</v>
      </c>
      <c r="D215" s="338" t="s">
        <v>212</v>
      </c>
      <c r="E215" s="338" t="s">
        <v>3174</v>
      </c>
      <c r="F215" s="342" t="s">
        <v>997</v>
      </c>
      <c r="G215" s="363" t="s">
        <v>2874</v>
      </c>
      <c r="H215" s="364"/>
    </row>
    <row r="216" spans="3:8" ht="30" outlineLevel="4" x14ac:dyDescent="0.25">
      <c r="C216" s="355">
        <v>52400030</v>
      </c>
      <c r="D216" s="338" t="s">
        <v>214</v>
      </c>
      <c r="E216" s="338" t="s">
        <v>3175</v>
      </c>
      <c r="F216" s="342" t="s">
        <v>1002</v>
      </c>
      <c r="G216" s="363" t="s">
        <v>2874</v>
      </c>
      <c r="H216" s="364"/>
    </row>
    <row r="217" spans="3:8" outlineLevel="4" x14ac:dyDescent="0.25">
      <c r="C217" s="355">
        <v>52400040</v>
      </c>
      <c r="D217" s="338" t="s">
        <v>216</v>
      </c>
      <c r="E217" s="338" t="s">
        <v>3176</v>
      </c>
      <c r="F217" s="342" t="s">
        <v>1002</v>
      </c>
      <c r="G217" s="363" t="s">
        <v>2874</v>
      </c>
      <c r="H217" s="364"/>
    </row>
    <row r="218" spans="3:8" outlineLevel="4" x14ac:dyDescent="0.25">
      <c r="C218" s="355">
        <v>52400060</v>
      </c>
      <c r="D218" s="338" t="s">
        <v>578</v>
      </c>
      <c r="E218" s="338" t="s">
        <v>3177</v>
      </c>
      <c r="F218" s="342" t="s">
        <v>1002</v>
      </c>
      <c r="G218" s="363" t="s">
        <v>2874</v>
      </c>
      <c r="H218" s="364"/>
    </row>
    <row r="219" spans="3:8" outlineLevel="4" x14ac:dyDescent="0.25">
      <c r="C219" s="355">
        <v>52500010</v>
      </c>
      <c r="D219" s="338" t="s">
        <v>218</v>
      </c>
      <c r="E219" s="338" t="s">
        <v>3178</v>
      </c>
      <c r="F219" s="342" t="s">
        <v>218</v>
      </c>
      <c r="G219" s="363" t="s">
        <v>2874</v>
      </c>
      <c r="H219" s="364"/>
    </row>
    <row r="220" spans="3:8" outlineLevel="4" x14ac:dyDescent="0.25">
      <c r="C220" s="355">
        <v>52600020</v>
      </c>
      <c r="D220" s="338" t="s">
        <v>223</v>
      </c>
      <c r="E220" s="338" t="s">
        <v>3179</v>
      </c>
      <c r="F220" s="342" t="s">
        <v>1011</v>
      </c>
      <c r="G220" s="363" t="s">
        <v>2874</v>
      </c>
      <c r="H220" s="364"/>
    </row>
    <row r="221" spans="3:8" outlineLevel="4" x14ac:dyDescent="0.25">
      <c r="C221" s="355">
        <v>52600030</v>
      </c>
      <c r="D221" s="338" t="s">
        <v>226</v>
      </c>
      <c r="E221" s="338" t="s">
        <v>3180</v>
      </c>
      <c r="F221" s="342" t="s">
        <v>1011</v>
      </c>
      <c r="G221" s="363" t="s">
        <v>2874</v>
      </c>
      <c r="H221" s="364"/>
    </row>
    <row r="222" spans="3:8" outlineLevel="4" x14ac:dyDescent="0.25">
      <c r="C222" s="355">
        <v>52900010</v>
      </c>
      <c r="D222" s="338" t="s">
        <v>228</v>
      </c>
      <c r="E222" s="338" t="s">
        <v>3181</v>
      </c>
      <c r="F222" s="342" t="s">
        <v>1025</v>
      </c>
      <c r="G222" s="363" t="s">
        <v>2874</v>
      </c>
      <c r="H222" s="364"/>
    </row>
    <row r="223" spans="3:8" outlineLevel="4" x14ac:dyDescent="0.25">
      <c r="C223" s="355">
        <v>52900020</v>
      </c>
      <c r="D223" s="338" t="s">
        <v>230</v>
      </c>
      <c r="E223" s="338" t="s">
        <v>3182</v>
      </c>
      <c r="F223" s="342" t="s">
        <v>1025</v>
      </c>
      <c r="G223" s="363" t="s">
        <v>2874</v>
      </c>
      <c r="H223" s="364"/>
    </row>
    <row r="224" spans="3:8" ht="30" outlineLevel="4" x14ac:dyDescent="0.25">
      <c r="C224" s="355">
        <v>53100010</v>
      </c>
      <c r="D224" s="338" t="s">
        <v>584</v>
      </c>
      <c r="E224" s="338" t="s">
        <v>3183</v>
      </c>
      <c r="F224" s="342" t="s">
        <v>584</v>
      </c>
      <c r="G224" s="363" t="s">
        <v>2874</v>
      </c>
      <c r="H224" s="364"/>
    </row>
    <row r="225" spans="3:7" outlineLevel="4" x14ac:dyDescent="0.25">
      <c r="C225" s="358"/>
      <c r="D225" s="347"/>
      <c r="E225" s="348"/>
      <c r="F225" s="348"/>
      <c r="G225" s="348"/>
    </row>
    <row r="228" spans="3:7" x14ac:dyDescent="0.25">
      <c r="C228" s="324" t="s">
        <v>2953</v>
      </c>
    </row>
    <row r="229" spans="3:7" x14ac:dyDescent="0.25">
      <c r="C229" s="304" t="s">
        <v>2867</v>
      </c>
      <c r="D229" s="304" t="s">
        <v>2868</v>
      </c>
      <c r="E229" s="326" t="s">
        <v>2869</v>
      </c>
      <c r="F229" s="326" t="s">
        <v>2870</v>
      </c>
      <c r="G229" s="326" t="s">
        <v>2871</v>
      </c>
    </row>
    <row r="230" spans="3:7" x14ac:dyDescent="0.25">
      <c r="C230" s="355">
        <v>60100010</v>
      </c>
      <c r="D230" s="338" t="s">
        <v>73</v>
      </c>
      <c r="E230" s="338" t="s">
        <v>3184</v>
      </c>
      <c r="F230" s="356" t="s">
        <v>1087</v>
      </c>
      <c r="G230" s="356" t="s">
        <v>50</v>
      </c>
    </row>
    <row r="231" spans="3:7" x14ac:dyDescent="0.25">
      <c r="C231" s="355">
        <v>60100020</v>
      </c>
      <c r="D231" s="338" t="s">
        <v>75</v>
      </c>
      <c r="E231" s="338" t="s">
        <v>3185</v>
      </c>
      <c r="F231" s="357" t="s">
        <v>1087</v>
      </c>
      <c r="G231" s="357" t="s">
        <v>50</v>
      </c>
    </row>
    <row r="232" spans="3:7" x14ac:dyDescent="0.25">
      <c r="C232" s="355">
        <v>60100030</v>
      </c>
      <c r="D232" s="338" t="s">
        <v>77</v>
      </c>
      <c r="E232" s="338" t="s">
        <v>2956</v>
      </c>
      <c r="F232" s="338" t="s">
        <v>1087</v>
      </c>
      <c r="G232" s="357" t="s">
        <v>50</v>
      </c>
    </row>
    <row r="233" spans="3:7" x14ac:dyDescent="0.25">
      <c r="C233" s="355">
        <v>60100040</v>
      </c>
      <c r="D233" s="338" t="s">
        <v>79</v>
      </c>
      <c r="E233" s="338" t="s">
        <v>3186</v>
      </c>
      <c r="F233" s="338" t="s">
        <v>1087</v>
      </c>
      <c r="G233" s="357" t="s">
        <v>50</v>
      </c>
    </row>
    <row r="234" spans="3:7" x14ac:dyDescent="0.25">
      <c r="C234" s="355">
        <v>60100050</v>
      </c>
      <c r="D234" s="338" t="s">
        <v>81</v>
      </c>
      <c r="E234" s="338" t="s">
        <v>3187</v>
      </c>
      <c r="F234" s="338" t="s">
        <v>1087</v>
      </c>
      <c r="G234" s="357" t="s">
        <v>50</v>
      </c>
    </row>
    <row r="235" spans="3:7" x14ac:dyDescent="0.25">
      <c r="C235" s="355">
        <v>60100060</v>
      </c>
      <c r="D235" s="338" t="s">
        <v>83</v>
      </c>
      <c r="E235" s="338" t="s">
        <v>3188</v>
      </c>
      <c r="F235" s="338" t="s">
        <v>1087</v>
      </c>
      <c r="G235" s="357" t="s">
        <v>50</v>
      </c>
    </row>
    <row r="236" spans="3:7" x14ac:dyDescent="0.25">
      <c r="C236" s="355">
        <v>60100070</v>
      </c>
      <c r="D236" s="338" t="s">
        <v>85</v>
      </c>
      <c r="E236" s="338" t="s">
        <v>3189</v>
      </c>
      <c r="F236" s="338" t="s">
        <v>1087</v>
      </c>
      <c r="G236" s="357" t="s">
        <v>50</v>
      </c>
    </row>
    <row r="237" spans="3:7" x14ac:dyDescent="0.25">
      <c r="C237" s="355">
        <v>60100080</v>
      </c>
      <c r="D237" s="338" t="s">
        <v>87</v>
      </c>
      <c r="E237" s="338" t="s">
        <v>3190</v>
      </c>
      <c r="F237" s="342" t="s">
        <v>1087</v>
      </c>
      <c r="G237" s="357" t="s">
        <v>50</v>
      </c>
    </row>
    <row r="238" spans="3:7" x14ac:dyDescent="0.25">
      <c r="C238" s="355">
        <v>60100090</v>
      </c>
      <c r="D238" s="338" t="s">
        <v>89</v>
      </c>
      <c r="E238" s="338" t="s">
        <v>3191</v>
      </c>
      <c r="F238" s="342" t="s">
        <v>1087</v>
      </c>
      <c r="G238" s="357" t="s">
        <v>50</v>
      </c>
    </row>
    <row r="239" spans="3:7" x14ac:dyDescent="0.25">
      <c r="C239" s="355">
        <v>60100100</v>
      </c>
      <c r="D239" s="338" t="s">
        <v>91</v>
      </c>
      <c r="E239" s="338" t="s">
        <v>3192</v>
      </c>
      <c r="F239" s="342" t="s">
        <v>1087</v>
      </c>
      <c r="G239" s="357" t="s">
        <v>50</v>
      </c>
    </row>
    <row r="240" spans="3:7" x14ac:dyDescent="0.25">
      <c r="C240" s="355">
        <v>60100110</v>
      </c>
      <c r="D240" s="338" t="s">
        <v>93</v>
      </c>
      <c r="E240" s="338" t="s">
        <v>3193</v>
      </c>
      <c r="F240" s="342" t="s">
        <v>1087</v>
      </c>
      <c r="G240" s="357" t="s">
        <v>50</v>
      </c>
    </row>
    <row r="241" spans="1:7" x14ac:dyDescent="0.25">
      <c r="C241" s="355">
        <v>60100120</v>
      </c>
      <c r="D241" s="338" t="s">
        <v>2965</v>
      </c>
      <c r="E241" s="338" t="s">
        <v>3186</v>
      </c>
      <c r="F241" s="342" t="s">
        <v>1087</v>
      </c>
      <c r="G241" s="357" t="s">
        <v>50</v>
      </c>
    </row>
    <row r="242" spans="1:7" x14ac:dyDescent="0.25">
      <c r="C242" s="355">
        <v>60100990</v>
      </c>
      <c r="D242" s="338" t="s">
        <v>95</v>
      </c>
      <c r="E242" s="338" t="s">
        <v>3194</v>
      </c>
      <c r="F242" s="342" t="s">
        <v>1087</v>
      </c>
      <c r="G242" s="357" t="s">
        <v>50</v>
      </c>
    </row>
    <row r="243" spans="1:7" x14ac:dyDescent="0.25">
      <c r="C243" s="355">
        <v>60200010</v>
      </c>
      <c r="D243" s="338" t="s">
        <v>97</v>
      </c>
      <c r="E243" s="338" t="s">
        <v>3195</v>
      </c>
      <c r="F243" s="342" t="s">
        <v>903</v>
      </c>
      <c r="G243" s="357" t="s">
        <v>50</v>
      </c>
    </row>
    <row r="244" spans="1:7" x14ac:dyDescent="0.25">
      <c r="C244" s="355">
        <v>60300010</v>
      </c>
      <c r="D244" s="338" t="s">
        <v>100</v>
      </c>
      <c r="E244" s="338" t="s">
        <v>3196</v>
      </c>
      <c r="F244" s="342" t="s">
        <v>1096</v>
      </c>
      <c r="G244" s="357" t="s">
        <v>50</v>
      </c>
    </row>
    <row r="245" spans="1:7" x14ac:dyDescent="0.25">
      <c r="C245" s="355">
        <v>60600010</v>
      </c>
      <c r="D245" s="338" t="s">
        <v>535</v>
      </c>
      <c r="E245" s="338" t="s">
        <v>3197</v>
      </c>
      <c r="F245" s="342" t="s">
        <v>913</v>
      </c>
      <c r="G245" s="356" t="s">
        <v>106</v>
      </c>
    </row>
    <row r="246" spans="1:7" x14ac:dyDescent="0.25">
      <c r="C246" s="355">
        <v>60600020</v>
      </c>
      <c r="D246" s="338" t="s">
        <v>536</v>
      </c>
      <c r="E246" s="338" t="s">
        <v>3198</v>
      </c>
      <c r="F246" s="342" t="s">
        <v>913</v>
      </c>
      <c r="G246" s="356" t="s">
        <v>106</v>
      </c>
    </row>
    <row r="247" spans="1:7" ht="14.25" customHeight="1" x14ac:dyDescent="0.25">
      <c r="C247" s="355">
        <v>60600030</v>
      </c>
      <c r="D247" s="338" t="s">
        <v>537</v>
      </c>
      <c r="E247" s="338" t="s">
        <v>3199</v>
      </c>
      <c r="F247" s="342" t="s">
        <v>913</v>
      </c>
      <c r="G247" s="356" t="s">
        <v>106</v>
      </c>
    </row>
    <row r="248" spans="1:7" ht="14.25" customHeight="1" x14ac:dyDescent="0.25">
      <c r="C248" s="355">
        <v>60600050</v>
      </c>
      <c r="D248" s="338" t="s">
        <v>113</v>
      </c>
      <c r="E248" s="338" t="s">
        <v>3383</v>
      </c>
      <c r="F248" s="342" t="s">
        <v>913</v>
      </c>
      <c r="G248" s="356" t="s">
        <v>106</v>
      </c>
    </row>
    <row r="249" spans="1:7" ht="14.25" customHeight="1" x14ac:dyDescent="0.25">
      <c r="A249" s="338"/>
      <c r="B249" s="338"/>
      <c r="C249" s="355">
        <v>60700010</v>
      </c>
      <c r="D249" s="338" t="s">
        <v>115</v>
      </c>
      <c r="E249" s="338" t="s">
        <v>3384</v>
      </c>
      <c r="F249" s="342" t="s">
        <v>115</v>
      </c>
      <c r="G249" s="356" t="s">
        <v>106</v>
      </c>
    </row>
    <row r="250" spans="1:7" x14ac:dyDescent="0.25">
      <c r="C250" s="355">
        <v>60800010</v>
      </c>
      <c r="D250" s="338" t="s">
        <v>117</v>
      </c>
      <c r="E250" s="338" t="s">
        <v>3200</v>
      </c>
      <c r="F250" s="342" t="s">
        <v>1109</v>
      </c>
      <c r="G250" s="356" t="s">
        <v>2874</v>
      </c>
    </row>
    <row r="251" spans="1:7" x14ac:dyDescent="0.25">
      <c r="C251" s="355">
        <v>60800020</v>
      </c>
      <c r="D251" s="338" t="s">
        <v>119</v>
      </c>
      <c r="E251" s="338" t="s">
        <v>3201</v>
      </c>
      <c r="F251" s="342" t="s">
        <v>1109</v>
      </c>
      <c r="G251" s="356" t="s">
        <v>2874</v>
      </c>
    </row>
    <row r="252" spans="1:7" x14ac:dyDescent="0.25">
      <c r="C252" s="355">
        <v>60800030</v>
      </c>
      <c r="D252" s="338" t="s">
        <v>122</v>
      </c>
      <c r="E252" s="338" t="s">
        <v>3202</v>
      </c>
      <c r="F252" s="342" t="s">
        <v>1109</v>
      </c>
      <c r="G252" s="356" t="s">
        <v>2874</v>
      </c>
    </row>
    <row r="253" spans="1:7" x14ac:dyDescent="0.25">
      <c r="C253" s="355">
        <v>60800040</v>
      </c>
      <c r="D253" s="338" t="s">
        <v>124</v>
      </c>
      <c r="E253" s="338" t="s">
        <v>3203</v>
      </c>
      <c r="F253" s="342" t="s">
        <v>1109</v>
      </c>
      <c r="G253" s="356" t="s">
        <v>2874</v>
      </c>
    </row>
    <row r="254" spans="1:7" x14ac:dyDescent="0.25">
      <c r="C254" s="355">
        <v>60800050</v>
      </c>
      <c r="D254" s="338" t="s">
        <v>126</v>
      </c>
      <c r="E254" s="338" t="s">
        <v>3204</v>
      </c>
      <c r="F254" s="342" t="s">
        <v>1109</v>
      </c>
      <c r="G254" s="356" t="s">
        <v>2874</v>
      </c>
    </row>
    <row r="255" spans="1:7" x14ac:dyDescent="0.25">
      <c r="C255" s="355">
        <v>60800060</v>
      </c>
      <c r="D255" s="338" t="s">
        <v>128</v>
      </c>
      <c r="E255" s="338" t="s">
        <v>3136</v>
      </c>
      <c r="F255" s="342" t="s">
        <v>1109</v>
      </c>
      <c r="G255" s="356" t="s">
        <v>2874</v>
      </c>
    </row>
    <row r="256" spans="1:7" x14ac:dyDescent="0.25">
      <c r="C256" s="355">
        <v>60800070</v>
      </c>
      <c r="D256" s="338" t="s">
        <v>131</v>
      </c>
      <c r="E256" s="338" t="s">
        <v>3137</v>
      </c>
      <c r="F256" s="342" t="s">
        <v>1109</v>
      </c>
      <c r="G256" s="356" t="s">
        <v>2874</v>
      </c>
    </row>
    <row r="257" spans="3:7" x14ac:dyDescent="0.25">
      <c r="C257" s="355">
        <v>60800080</v>
      </c>
      <c r="D257" s="338" t="s">
        <v>133</v>
      </c>
      <c r="E257" s="338" t="s">
        <v>3205</v>
      </c>
      <c r="F257" s="342" t="s">
        <v>1109</v>
      </c>
      <c r="G257" s="356" t="s">
        <v>2874</v>
      </c>
    </row>
    <row r="258" spans="3:7" x14ac:dyDescent="0.25">
      <c r="C258" s="355">
        <v>61100010</v>
      </c>
      <c r="D258" s="338" t="s">
        <v>554</v>
      </c>
      <c r="E258" s="338" t="s">
        <v>3138</v>
      </c>
      <c r="F258" s="342" t="s">
        <v>938</v>
      </c>
      <c r="G258" s="356" t="s">
        <v>2724</v>
      </c>
    </row>
    <row r="259" spans="3:7" x14ac:dyDescent="0.25">
      <c r="C259" s="355">
        <v>61200010</v>
      </c>
      <c r="D259" s="338" t="s">
        <v>555</v>
      </c>
      <c r="E259" s="338" t="s">
        <v>3206</v>
      </c>
      <c r="F259" s="342" t="s">
        <v>943</v>
      </c>
      <c r="G259" s="356" t="s">
        <v>2972</v>
      </c>
    </row>
    <row r="260" spans="3:7" x14ac:dyDescent="0.25">
      <c r="C260" s="355">
        <v>61200020</v>
      </c>
      <c r="D260" s="338" t="s">
        <v>556</v>
      </c>
      <c r="E260" s="338" t="s">
        <v>3207</v>
      </c>
      <c r="F260" s="342" t="s">
        <v>943</v>
      </c>
      <c r="G260" s="356" t="s">
        <v>2972</v>
      </c>
    </row>
    <row r="261" spans="3:7" x14ac:dyDescent="0.25">
      <c r="C261" s="355">
        <v>61200030</v>
      </c>
      <c r="D261" s="338" t="s">
        <v>557</v>
      </c>
      <c r="E261" s="338" t="s">
        <v>3208</v>
      </c>
      <c r="F261" s="342" t="s">
        <v>943</v>
      </c>
      <c r="G261" s="356" t="s">
        <v>2972</v>
      </c>
    </row>
    <row r="262" spans="3:7" x14ac:dyDescent="0.25">
      <c r="C262" s="355">
        <v>61200040</v>
      </c>
      <c r="D262" s="338" t="s">
        <v>558</v>
      </c>
      <c r="E262" s="338" t="s">
        <v>3209</v>
      </c>
      <c r="F262" s="342" t="s">
        <v>943</v>
      </c>
      <c r="G262" s="356" t="s">
        <v>2972</v>
      </c>
    </row>
    <row r="263" spans="3:7" x14ac:dyDescent="0.25">
      <c r="C263" s="355">
        <v>61200050</v>
      </c>
      <c r="D263" s="338" t="s">
        <v>559</v>
      </c>
      <c r="E263" s="338" t="s">
        <v>3210</v>
      </c>
      <c r="F263" s="342" t="s">
        <v>943</v>
      </c>
      <c r="G263" s="356" t="s">
        <v>2972</v>
      </c>
    </row>
    <row r="264" spans="3:7" x14ac:dyDescent="0.25">
      <c r="C264" s="355">
        <v>61200060</v>
      </c>
      <c r="D264" s="338" t="s">
        <v>560</v>
      </c>
      <c r="E264" s="338" t="s">
        <v>3211</v>
      </c>
      <c r="F264" s="342" t="s">
        <v>943</v>
      </c>
      <c r="G264" s="356" t="s">
        <v>2972</v>
      </c>
    </row>
    <row r="265" spans="3:7" x14ac:dyDescent="0.25">
      <c r="C265" s="355">
        <v>61200070</v>
      </c>
      <c r="D265" s="338" t="s">
        <v>561</v>
      </c>
      <c r="E265" s="338" t="s">
        <v>3212</v>
      </c>
      <c r="F265" s="342" t="s">
        <v>943</v>
      </c>
      <c r="G265" s="356" t="s">
        <v>2972</v>
      </c>
    </row>
    <row r="266" spans="3:7" x14ac:dyDescent="0.25">
      <c r="C266" s="355">
        <v>61200080</v>
      </c>
      <c r="D266" s="338" t="s">
        <v>562</v>
      </c>
      <c r="E266" s="338" t="s">
        <v>3213</v>
      </c>
      <c r="F266" s="342" t="s">
        <v>943</v>
      </c>
      <c r="G266" s="356" t="s">
        <v>2972</v>
      </c>
    </row>
    <row r="267" spans="3:7" x14ac:dyDescent="0.25">
      <c r="C267" s="355">
        <v>61200090</v>
      </c>
      <c r="D267" s="338" t="s">
        <v>563</v>
      </c>
      <c r="E267" s="338" t="s">
        <v>3214</v>
      </c>
      <c r="F267" s="342" t="s">
        <v>943</v>
      </c>
      <c r="G267" s="356" t="s">
        <v>2972</v>
      </c>
    </row>
    <row r="268" spans="3:7" x14ac:dyDescent="0.25">
      <c r="C268" s="355">
        <v>61300010</v>
      </c>
      <c r="D268" s="338" t="s">
        <v>564</v>
      </c>
      <c r="E268" s="338" t="s">
        <v>3215</v>
      </c>
      <c r="F268" s="342" t="s">
        <v>948</v>
      </c>
      <c r="G268" s="356" t="s">
        <v>2972</v>
      </c>
    </row>
    <row r="269" spans="3:7" x14ac:dyDescent="0.25">
      <c r="C269" s="355">
        <v>61300020</v>
      </c>
      <c r="D269" s="338" t="s">
        <v>565</v>
      </c>
      <c r="E269" s="338" t="s">
        <v>3216</v>
      </c>
      <c r="F269" s="342" t="s">
        <v>948</v>
      </c>
      <c r="G269" s="356" t="s">
        <v>2972</v>
      </c>
    </row>
    <row r="270" spans="3:7" x14ac:dyDescent="0.25">
      <c r="C270" s="355">
        <v>61300030</v>
      </c>
      <c r="D270" s="338" t="s">
        <v>566</v>
      </c>
      <c r="E270" s="338" t="s">
        <v>3217</v>
      </c>
      <c r="F270" s="342" t="s">
        <v>948</v>
      </c>
      <c r="G270" s="356" t="s">
        <v>2972</v>
      </c>
    </row>
    <row r="271" spans="3:7" x14ac:dyDescent="0.25">
      <c r="C271" s="355">
        <v>61300040</v>
      </c>
      <c r="D271" s="338" t="s">
        <v>567</v>
      </c>
      <c r="E271" s="338" t="s">
        <v>3218</v>
      </c>
      <c r="F271" s="342" t="s">
        <v>948</v>
      </c>
      <c r="G271" s="356" t="s">
        <v>2972</v>
      </c>
    </row>
    <row r="272" spans="3:7" x14ac:dyDescent="0.25">
      <c r="C272" s="355">
        <v>61300050</v>
      </c>
      <c r="D272" s="338" t="s">
        <v>568</v>
      </c>
      <c r="E272" s="338" t="s">
        <v>3219</v>
      </c>
      <c r="F272" s="342" t="s">
        <v>948</v>
      </c>
      <c r="G272" s="356" t="s">
        <v>2972</v>
      </c>
    </row>
    <row r="273" spans="3:7" x14ac:dyDescent="0.25">
      <c r="C273" s="355">
        <v>61300060</v>
      </c>
      <c r="D273" s="338" t="s">
        <v>569</v>
      </c>
      <c r="E273" s="338" t="s">
        <v>3220</v>
      </c>
      <c r="F273" s="342" t="s">
        <v>948</v>
      </c>
      <c r="G273" s="356" t="s">
        <v>2972</v>
      </c>
    </row>
    <row r="274" spans="3:7" x14ac:dyDescent="0.25">
      <c r="C274" s="355">
        <v>61300070</v>
      </c>
      <c r="D274" s="338" t="s">
        <v>570</v>
      </c>
      <c r="E274" s="338" t="s">
        <v>3221</v>
      </c>
      <c r="F274" s="342" t="s">
        <v>948</v>
      </c>
      <c r="G274" s="356" t="s">
        <v>2972</v>
      </c>
    </row>
    <row r="275" spans="3:7" x14ac:dyDescent="0.25">
      <c r="C275" s="355">
        <v>61300080</v>
      </c>
      <c r="D275" s="338" t="s">
        <v>571</v>
      </c>
      <c r="E275" s="338" t="s">
        <v>3222</v>
      </c>
      <c r="F275" s="342" t="s">
        <v>948</v>
      </c>
      <c r="G275" s="356" t="s">
        <v>2972</v>
      </c>
    </row>
    <row r="276" spans="3:7" ht="30" x14ac:dyDescent="0.25">
      <c r="C276" s="355">
        <v>61300090</v>
      </c>
      <c r="D276" s="338" t="s">
        <v>572</v>
      </c>
      <c r="E276" s="338" t="s">
        <v>3223</v>
      </c>
      <c r="F276" s="342" t="s">
        <v>948</v>
      </c>
      <c r="G276" s="356" t="s">
        <v>2972</v>
      </c>
    </row>
    <row r="277" spans="3:7" x14ac:dyDescent="0.25">
      <c r="C277" s="355">
        <v>61400010</v>
      </c>
      <c r="D277" s="338" t="s">
        <v>135</v>
      </c>
      <c r="E277" s="338" t="s">
        <v>3224</v>
      </c>
      <c r="F277" s="342" t="s">
        <v>953</v>
      </c>
      <c r="G277" s="356" t="s">
        <v>2991</v>
      </c>
    </row>
    <row r="278" spans="3:7" x14ac:dyDescent="0.25">
      <c r="C278" s="355">
        <v>61400020</v>
      </c>
      <c r="D278" s="338" t="s">
        <v>573</v>
      </c>
      <c r="E278" s="338" t="s">
        <v>3225</v>
      </c>
      <c r="F278" s="342" t="s">
        <v>953</v>
      </c>
      <c r="G278" s="356" t="s">
        <v>2991</v>
      </c>
    </row>
    <row r="279" spans="3:7" x14ac:dyDescent="0.25">
      <c r="C279" s="355">
        <v>61400030</v>
      </c>
      <c r="D279" s="338" t="s">
        <v>574</v>
      </c>
      <c r="E279" s="338" t="s">
        <v>3226</v>
      </c>
      <c r="F279" s="342" t="s">
        <v>953</v>
      </c>
      <c r="G279" s="356" t="s">
        <v>2991</v>
      </c>
    </row>
    <row r="280" spans="3:7" x14ac:dyDescent="0.25">
      <c r="C280" s="355">
        <v>61500010</v>
      </c>
      <c r="D280" s="338" t="s">
        <v>141</v>
      </c>
      <c r="E280" s="338" t="s">
        <v>3144</v>
      </c>
      <c r="F280" s="342" t="s">
        <v>958</v>
      </c>
      <c r="G280" s="356" t="s">
        <v>2874</v>
      </c>
    </row>
    <row r="281" spans="3:7" x14ac:dyDescent="0.25">
      <c r="C281" s="355">
        <v>61500020</v>
      </c>
      <c r="D281" s="338" t="s">
        <v>143</v>
      </c>
      <c r="E281" s="338" t="s">
        <v>3144</v>
      </c>
      <c r="F281" s="342" t="s">
        <v>958</v>
      </c>
      <c r="G281" s="356" t="s">
        <v>50</v>
      </c>
    </row>
    <row r="282" spans="3:7" ht="30" x14ac:dyDescent="0.25">
      <c r="C282" s="355">
        <v>61600010</v>
      </c>
      <c r="D282" s="338" t="s">
        <v>2994</v>
      </c>
      <c r="E282" s="338" t="s">
        <v>3227</v>
      </c>
      <c r="F282" s="342" t="s">
        <v>963</v>
      </c>
      <c r="G282" s="356" t="s">
        <v>106</v>
      </c>
    </row>
    <row r="283" spans="3:7" x14ac:dyDescent="0.25">
      <c r="C283" s="355">
        <v>61600030</v>
      </c>
      <c r="D283" s="338" t="s">
        <v>150</v>
      </c>
      <c r="E283" s="338" t="s">
        <v>3228</v>
      </c>
      <c r="F283" s="342" t="s">
        <v>963</v>
      </c>
      <c r="G283" s="356" t="s">
        <v>106</v>
      </c>
    </row>
    <row r="284" spans="3:7" ht="45" x14ac:dyDescent="0.25">
      <c r="C284" s="355">
        <v>61600040</v>
      </c>
      <c r="D284" s="338" t="s">
        <v>151</v>
      </c>
      <c r="E284" s="338" t="s">
        <v>3229</v>
      </c>
      <c r="F284" s="342" t="s">
        <v>963</v>
      </c>
      <c r="G284" s="356" t="s">
        <v>176</v>
      </c>
    </row>
    <row r="285" spans="3:7" ht="31.5" customHeight="1" x14ac:dyDescent="0.25">
      <c r="C285" s="355">
        <v>61600050</v>
      </c>
      <c r="D285" s="338" t="s">
        <v>2998</v>
      </c>
      <c r="E285" s="338" t="s">
        <v>3230</v>
      </c>
      <c r="F285" s="342" t="s">
        <v>963</v>
      </c>
      <c r="G285" s="356" t="s">
        <v>176</v>
      </c>
    </row>
    <row r="286" spans="3:7" ht="30" x14ac:dyDescent="0.25">
      <c r="C286" s="355">
        <v>61600060</v>
      </c>
      <c r="D286" s="338" t="s">
        <v>3000</v>
      </c>
      <c r="E286" s="338" t="s">
        <v>3231</v>
      </c>
      <c r="F286" s="342" t="s">
        <v>963</v>
      </c>
      <c r="G286" s="356" t="s">
        <v>50</v>
      </c>
    </row>
    <row r="287" spans="3:7" ht="30" x14ac:dyDescent="0.25">
      <c r="C287" s="355">
        <v>61600070</v>
      </c>
      <c r="D287" s="338" t="s">
        <v>152</v>
      </c>
      <c r="E287" s="338" t="s">
        <v>3385</v>
      </c>
      <c r="F287" s="342" t="s">
        <v>963</v>
      </c>
      <c r="G287" s="356" t="s">
        <v>2874</v>
      </c>
    </row>
    <row r="288" spans="3:7" x14ac:dyDescent="0.25">
      <c r="C288" s="355">
        <v>61700010</v>
      </c>
      <c r="D288" s="338" t="s">
        <v>153</v>
      </c>
      <c r="E288" s="338" t="s">
        <v>3151</v>
      </c>
      <c r="F288" s="342" t="s">
        <v>968</v>
      </c>
      <c r="G288" s="356" t="s">
        <v>3002</v>
      </c>
    </row>
    <row r="289" spans="3:7" x14ac:dyDescent="0.25">
      <c r="C289" s="355">
        <v>61700030</v>
      </c>
      <c r="D289" s="338" t="s">
        <v>155</v>
      </c>
      <c r="E289" s="338" t="s">
        <v>3152</v>
      </c>
      <c r="F289" s="342" t="s">
        <v>968</v>
      </c>
      <c r="G289" s="356" t="s">
        <v>106</v>
      </c>
    </row>
    <row r="290" spans="3:7" x14ac:dyDescent="0.25">
      <c r="C290" s="355">
        <v>61700040</v>
      </c>
      <c r="D290" s="338" t="s">
        <v>157</v>
      </c>
      <c r="E290" s="338" t="s">
        <v>3153</v>
      </c>
      <c r="F290" s="342" t="s">
        <v>968</v>
      </c>
      <c r="G290" s="356" t="s">
        <v>106</v>
      </c>
    </row>
    <row r="291" spans="3:7" x14ac:dyDescent="0.25">
      <c r="C291" s="355">
        <v>61700050</v>
      </c>
      <c r="D291" s="338" t="s">
        <v>159</v>
      </c>
      <c r="E291" s="338" t="s">
        <v>3154</v>
      </c>
      <c r="F291" s="342" t="s">
        <v>968</v>
      </c>
      <c r="G291" s="356" t="s">
        <v>106</v>
      </c>
    </row>
    <row r="292" spans="3:7" x14ac:dyDescent="0.25">
      <c r="C292" s="355">
        <v>61700060</v>
      </c>
      <c r="D292" s="338" t="s">
        <v>3003</v>
      </c>
      <c r="E292" s="338" t="s">
        <v>3155</v>
      </c>
      <c r="F292" s="342" t="s">
        <v>968</v>
      </c>
      <c r="G292" s="356" t="s">
        <v>106</v>
      </c>
    </row>
    <row r="293" spans="3:7" x14ac:dyDescent="0.25">
      <c r="C293" s="355">
        <v>61700070</v>
      </c>
      <c r="D293" s="338" t="s">
        <v>163</v>
      </c>
      <c r="E293" s="338" t="s">
        <v>3156</v>
      </c>
      <c r="F293" s="342" t="s">
        <v>968</v>
      </c>
      <c r="G293" s="356" t="s">
        <v>2874</v>
      </c>
    </row>
    <row r="294" spans="3:7" x14ac:dyDescent="0.25">
      <c r="C294" s="355">
        <v>61800010</v>
      </c>
      <c r="D294" s="338" t="s">
        <v>165</v>
      </c>
      <c r="E294" s="338" t="s">
        <v>3157</v>
      </c>
      <c r="F294" s="342" t="s">
        <v>1152</v>
      </c>
      <c r="G294" s="356" t="s">
        <v>2874</v>
      </c>
    </row>
    <row r="295" spans="3:7" x14ac:dyDescent="0.25">
      <c r="C295" s="355">
        <v>61800020</v>
      </c>
      <c r="D295" s="355" t="s">
        <v>168</v>
      </c>
      <c r="E295" s="355" t="s">
        <v>3232</v>
      </c>
      <c r="F295" s="355" t="s">
        <v>1152</v>
      </c>
      <c r="G295" s="356" t="s">
        <v>2874</v>
      </c>
    </row>
    <row r="296" spans="3:7" x14ac:dyDescent="0.25">
      <c r="C296" s="355">
        <v>61800030</v>
      </c>
      <c r="D296" s="355" t="s">
        <v>170</v>
      </c>
      <c r="E296" s="355" t="s">
        <v>3159</v>
      </c>
      <c r="F296" s="355" t="s">
        <v>1152</v>
      </c>
      <c r="G296" s="356" t="s">
        <v>2874</v>
      </c>
    </row>
    <row r="297" spans="3:7" x14ac:dyDescent="0.25">
      <c r="C297" s="355">
        <v>61800090</v>
      </c>
      <c r="D297" s="355" t="s">
        <v>172</v>
      </c>
      <c r="E297" s="355" t="s">
        <v>3233</v>
      </c>
      <c r="F297" s="355" t="s">
        <v>1152</v>
      </c>
      <c r="G297" s="356" t="s">
        <v>2874</v>
      </c>
    </row>
    <row r="298" spans="3:7" x14ac:dyDescent="0.25">
      <c r="C298" s="355">
        <v>61900010</v>
      </c>
      <c r="D298" s="355" t="s">
        <v>174</v>
      </c>
      <c r="E298" s="355" t="s">
        <v>3234</v>
      </c>
      <c r="F298" s="355" t="s">
        <v>406</v>
      </c>
      <c r="G298" s="356" t="s">
        <v>2874</v>
      </c>
    </row>
    <row r="299" spans="3:7" x14ac:dyDescent="0.25">
      <c r="C299" s="355">
        <v>61900020</v>
      </c>
      <c r="D299" s="355" t="s">
        <v>177</v>
      </c>
      <c r="E299" s="355" t="s">
        <v>3235</v>
      </c>
      <c r="F299" s="355" t="s">
        <v>406</v>
      </c>
      <c r="G299" s="356" t="s">
        <v>2874</v>
      </c>
    </row>
    <row r="300" spans="3:7" x14ac:dyDescent="0.25">
      <c r="C300" s="355">
        <v>61900030</v>
      </c>
      <c r="D300" s="355" t="s">
        <v>180</v>
      </c>
      <c r="E300" s="355" t="s">
        <v>3236</v>
      </c>
      <c r="F300" s="355" t="s">
        <v>406</v>
      </c>
      <c r="G300" s="356" t="s">
        <v>2874</v>
      </c>
    </row>
    <row r="301" spans="3:7" x14ac:dyDescent="0.25">
      <c r="C301" s="355">
        <v>61900040</v>
      </c>
      <c r="D301" s="355" t="s">
        <v>182</v>
      </c>
      <c r="E301" s="355" t="s">
        <v>3237</v>
      </c>
      <c r="F301" s="355" t="s">
        <v>406</v>
      </c>
      <c r="G301" s="356" t="s">
        <v>2874</v>
      </c>
    </row>
    <row r="302" spans="3:7" x14ac:dyDescent="0.25">
      <c r="C302" s="355">
        <v>61900090</v>
      </c>
      <c r="D302" s="355" t="s">
        <v>184</v>
      </c>
      <c r="E302" s="355" t="s">
        <v>3238</v>
      </c>
      <c r="F302" s="355" t="s">
        <v>406</v>
      </c>
      <c r="G302" s="356" t="s">
        <v>2874</v>
      </c>
    </row>
    <row r="303" spans="3:7" x14ac:dyDescent="0.25">
      <c r="C303" s="355">
        <v>62000010</v>
      </c>
      <c r="D303" s="355" t="s">
        <v>186</v>
      </c>
      <c r="E303" s="355" t="s">
        <v>3239</v>
      </c>
      <c r="F303" s="355" t="s">
        <v>982</v>
      </c>
      <c r="G303" s="355" t="s">
        <v>236</v>
      </c>
    </row>
    <row r="304" spans="3:7" x14ac:dyDescent="0.25">
      <c r="C304" s="355">
        <v>62000020</v>
      </c>
      <c r="D304" s="355" t="s">
        <v>189</v>
      </c>
      <c r="E304" s="355" t="s">
        <v>3240</v>
      </c>
      <c r="F304" s="355" t="s">
        <v>982</v>
      </c>
      <c r="G304" s="355" t="s">
        <v>3010</v>
      </c>
    </row>
    <row r="305" spans="3:7" x14ac:dyDescent="0.25">
      <c r="C305" s="355">
        <v>62000040</v>
      </c>
      <c r="D305" s="355" t="s">
        <v>192</v>
      </c>
      <c r="E305" s="355" t="s">
        <v>3241</v>
      </c>
      <c r="F305" s="355" t="s">
        <v>982</v>
      </c>
      <c r="G305" s="356" t="s">
        <v>2874</v>
      </c>
    </row>
    <row r="306" spans="3:7" x14ac:dyDescent="0.25">
      <c r="C306" s="355">
        <v>62100010</v>
      </c>
      <c r="D306" s="355" t="s">
        <v>195</v>
      </c>
      <c r="E306" s="355" t="s">
        <v>3242</v>
      </c>
      <c r="F306" s="355" t="s">
        <v>987</v>
      </c>
      <c r="G306" s="355" t="s">
        <v>176</v>
      </c>
    </row>
    <row r="307" spans="3:7" x14ac:dyDescent="0.25">
      <c r="C307" s="355">
        <v>62100020</v>
      </c>
      <c r="D307" s="355" t="s">
        <v>198</v>
      </c>
      <c r="E307" s="355" t="s">
        <v>3243</v>
      </c>
      <c r="F307" s="355" t="s">
        <v>987</v>
      </c>
      <c r="G307" s="355" t="s">
        <v>176</v>
      </c>
    </row>
    <row r="308" spans="3:7" x14ac:dyDescent="0.25">
      <c r="C308" s="355">
        <v>62100030</v>
      </c>
      <c r="D308" s="355" t="s">
        <v>200</v>
      </c>
      <c r="E308" s="355" t="s">
        <v>3244</v>
      </c>
      <c r="F308" s="355" t="s">
        <v>987</v>
      </c>
      <c r="G308" s="355" t="s">
        <v>176</v>
      </c>
    </row>
    <row r="309" spans="3:7" x14ac:dyDescent="0.25">
      <c r="C309" s="355">
        <v>62100040</v>
      </c>
      <c r="D309" s="355" t="s">
        <v>202</v>
      </c>
      <c r="E309" s="355" t="s">
        <v>3245</v>
      </c>
      <c r="F309" s="355" t="s">
        <v>987</v>
      </c>
      <c r="G309" s="355" t="s">
        <v>176</v>
      </c>
    </row>
    <row r="310" spans="3:7" x14ac:dyDescent="0.25">
      <c r="C310" s="355">
        <v>62100050</v>
      </c>
      <c r="D310" s="355" t="s">
        <v>577</v>
      </c>
      <c r="E310" s="355" t="s">
        <v>3246</v>
      </c>
      <c r="F310" s="355" t="s">
        <v>987</v>
      </c>
      <c r="G310" s="355" t="s">
        <v>176</v>
      </c>
    </row>
    <row r="311" spans="3:7" x14ac:dyDescent="0.25">
      <c r="C311" s="355">
        <v>62200010</v>
      </c>
      <c r="D311" s="355" t="s">
        <v>206</v>
      </c>
      <c r="E311" s="355" t="s">
        <v>3247</v>
      </c>
      <c r="F311" s="355" t="s">
        <v>992</v>
      </c>
      <c r="G311" s="356" t="s">
        <v>2874</v>
      </c>
    </row>
    <row r="312" spans="3:7" ht="30" x14ac:dyDescent="0.25">
      <c r="C312" s="355">
        <v>62200020</v>
      </c>
      <c r="D312" s="355" t="s">
        <v>208</v>
      </c>
      <c r="E312" s="355" t="s">
        <v>3248</v>
      </c>
      <c r="F312" s="355" t="s">
        <v>992</v>
      </c>
      <c r="G312" s="356" t="s">
        <v>2874</v>
      </c>
    </row>
    <row r="313" spans="3:7" x14ac:dyDescent="0.25">
      <c r="C313" s="355">
        <v>62300010</v>
      </c>
      <c r="D313" s="355" t="s">
        <v>210</v>
      </c>
      <c r="E313" s="355" t="s">
        <v>3249</v>
      </c>
      <c r="F313" s="355" t="s">
        <v>997</v>
      </c>
      <c r="G313" s="356" t="s">
        <v>2874</v>
      </c>
    </row>
    <row r="314" spans="3:7" ht="30" x14ac:dyDescent="0.25">
      <c r="C314" s="355">
        <v>62300020</v>
      </c>
      <c r="D314" s="355" t="s">
        <v>212</v>
      </c>
      <c r="E314" s="355" t="s">
        <v>3250</v>
      </c>
      <c r="F314" s="355" t="s">
        <v>997</v>
      </c>
      <c r="G314" s="356" t="s">
        <v>2874</v>
      </c>
    </row>
    <row r="315" spans="3:7" ht="30" x14ac:dyDescent="0.25">
      <c r="C315" s="355">
        <v>62400030</v>
      </c>
      <c r="D315" s="355" t="s">
        <v>214</v>
      </c>
      <c r="E315" s="355" t="s">
        <v>3251</v>
      </c>
      <c r="F315" s="355" t="s">
        <v>1002</v>
      </c>
      <c r="G315" s="356" t="s">
        <v>2874</v>
      </c>
    </row>
    <row r="316" spans="3:7" ht="30" x14ac:dyDescent="0.25">
      <c r="C316" s="355">
        <v>62400040</v>
      </c>
      <c r="D316" s="355" t="s">
        <v>216</v>
      </c>
      <c r="E316" s="355" t="s">
        <v>3252</v>
      </c>
      <c r="F316" s="355" t="s">
        <v>1002</v>
      </c>
      <c r="G316" s="356" t="s">
        <v>2874</v>
      </c>
    </row>
    <row r="317" spans="3:7" x14ac:dyDescent="0.25">
      <c r="C317" s="355">
        <v>62400060</v>
      </c>
      <c r="D317" s="355" t="s">
        <v>578</v>
      </c>
      <c r="E317" s="355" t="s">
        <v>3253</v>
      </c>
      <c r="F317" s="355" t="s">
        <v>1002</v>
      </c>
      <c r="G317" s="355" t="s">
        <v>236</v>
      </c>
    </row>
    <row r="318" spans="3:7" x14ac:dyDescent="0.25">
      <c r="C318" s="355">
        <v>62500010</v>
      </c>
      <c r="D318" s="355" t="s">
        <v>218</v>
      </c>
      <c r="E318" s="355" t="s">
        <v>3254</v>
      </c>
      <c r="F318" s="355" t="s">
        <v>218</v>
      </c>
      <c r="G318" s="355" t="s">
        <v>22</v>
      </c>
    </row>
    <row r="319" spans="3:7" ht="30" x14ac:dyDescent="0.25">
      <c r="C319" s="355">
        <v>62600010</v>
      </c>
      <c r="D319" s="355" t="s">
        <v>221</v>
      </c>
      <c r="E319" s="355" t="s">
        <v>3255</v>
      </c>
      <c r="F319" s="355" t="s">
        <v>1011</v>
      </c>
      <c r="G319" s="356" t="s">
        <v>2874</v>
      </c>
    </row>
    <row r="320" spans="3:7" x14ac:dyDescent="0.25">
      <c r="C320" s="355">
        <v>62600020</v>
      </c>
      <c r="D320" s="355" t="s">
        <v>223</v>
      </c>
      <c r="E320" s="355" t="s">
        <v>3256</v>
      </c>
      <c r="F320" s="355" t="s">
        <v>1011</v>
      </c>
      <c r="G320" s="356" t="s">
        <v>2874</v>
      </c>
    </row>
    <row r="321" spans="1:7" ht="30" x14ac:dyDescent="0.25">
      <c r="C321" s="355">
        <v>62600030</v>
      </c>
      <c r="D321" s="355" t="s">
        <v>226</v>
      </c>
      <c r="E321" s="355" t="s">
        <v>3257</v>
      </c>
      <c r="F321" s="355" t="s">
        <v>1011</v>
      </c>
      <c r="G321" s="356" t="s">
        <v>2874</v>
      </c>
    </row>
    <row r="322" spans="1:7" x14ac:dyDescent="0.25">
      <c r="C322" s="355">
        <v>62700010</v>
      </c>
      <c r="D322" s="355" t="s">
        <v>579</v>
      </c>
      <c r="E322" s="355" t="s">
        <v>3258</v>
      </c>
      <c r="F322" s="355" t="s">
        <v>579</v>
      </c>
      <c r="G322" s="355" t="s">
        <v>236</v>
      </c>
    </row>
    <row r="323" spans="1:7" x14ac:dyDescent="0.25">
      <c r="C323" s="355">
        <v>62800010</v>
      </c>
      <c r="D323" s="355" t="s">
        <v>580</v>
      </c>
      <c r="E323" s="355" t="s">
        <v>3259</v>
      </c>
      <c r="F323" s="355" t="s">
        <v>580</v>
      </c>
      <c r="G323" s="355" t="s">
        <v>238</v>
      </c>
    </row>
    <row r="324" spans="1:7" x14ac:dyDescent="0.25">
      <c r="C324" s="355">
        <v>62900010</v>
      </c>
      <c r="D324" s="355" t="s">
        <v>228</v>
      </c>
      <c r="E324" s="355" t="s">
        <v>2052</v>
      </c>
      <c r="F324" s="355" t="s">
        <v>1025</v>
      </c>
      <c r="G324" s="356" t="s">
        <v>2874</v>
      </c>
    </row>
    <row r="325" spans="1:7" x14ac:dyDescent="0.25">
      <c r="C325" s="355">
        <v>62900020</v>
      </c>
      <c r="D325" s="355" t="s">
        <v>230</v>
      </c>
      <c r="E325" s="355" t="s">
        <v>3260</v>
      </c>
      <c r="F325" s="355" t="s">
        <v>1025</v>
      </c>
      <c r="G325" s="356" t="s">
        <v>2874</v>
      </c>
    </row>
    <row r="326" spans="1:7" x14ac:dyDescent="0.25">
      <c r="C326" s="355">
        <v>63300010</v>
      </c>
      <c r="D326" s="355" t="s">
        <v>3018</v>
      </c>
      <c r="E326" s="355" t="s">
        <v>3261</v>
      </c>
      <c r="F326" s="355" t="s">
        <v>406</v>
      </c>
      <c r="G326" s="355"/>
    </row>
    <row r="327" spans="1:7" x14ac:dyDescent="0.25">
      <c r="C327" s="533">
        <v>63900010</v>
      </c>
      <c r="D327" s="347" t="s">
        <v>232</v>
      </c>
      <c r="E327" s="348" t="s">
        <v>3310</v>
      </c>
      <c r="F327" s="348" t="s">
        <v>1283</v>
      </c>
      <c r="G327" s="348" t="s">
        <v>2874</v>
      </c>
    </row>
    <row r="330" spans="1:7" s="523" customFormat="1" ht="15.75" x14ac:dyDescent="0.25">
      <c r="A330" s="597"/>
      <c r="B330" s="597"/>
      <c r="C330" s="524" t="s">
        <v>1724</v>
      </c>
      <c r="D330" s="515" t="s">
        <v>1466</v>
      </c>
    </row>
    <row r="331" spans="1:7" outlineLevel="1" x14ac:dyDescent="0.25"/>
    <row r="332" spans="1:7" outlineLevel="1" x14ac:dyDescent="0.25">
      <c r="C332" s="290" t="s">
        <v>3098</v>
      </c>
    </row>
    <row r="333" spans="1:7" outlineLevel="1" x14ac:dyDescent="0.25"/>
    <row r="334" spans="1:7" outlineLevel="1" x14ac:dyDescent="0.25">
      <c r="B334" s="324" t="s">
        <v>2857</v>
      </c>
      <c r="C334" s="324" t="s">
        <v>2051</v>
      </c>
    </row>
    <row r="335" spans="1:7" outlineLevel="1" x14ac:dyDescent="0.25">
      <c r="C335" s="290" t="s">
        <v>3099</v>
      </c>
    </row>
    <row r="336" spans="1:7" outlineLevel="1" x14ac:dyDescent="0.25"/>
    <row r="337" spans="2:5" outlineLevel="1" x14ac:dyDescent="0.25">
      <c r="B337" s="324" t="s">
        <v>2858</v>
      </c>
      <c r="C337" s="324" t="s">
        <v>2577</v>
      </c>
    </row>
    <row r="338" spans="2:5" outlineLevel="1" x14ac:dyDescent="0.25">
      <c r="C338" s="290" t="s">
        <v>3100</v>
      </c>
    </row>
    <row r="339" spans="2:5" outlineLevel="1" x14ac:dyDescent="0.25">
      <c r="C339" s="290" t="s">
        <v>3101</v>
      </c>
    </row>
    <row r="340" spans="2:5" outlineLevel="1" x14ac:dyDescent="0.25"/>
    <row r="341" spans="2:5" s="324" customFormat="1" outlineLevel="1" x14ac:dyDescent="0.25">
      <c r="B341" s="324" t="s">
        <v>2859</v>
      </c>
      <c r="C341" s="324" t="s">
        <v>3102</v>
      </c>
    </row>
    <row r="342" spans="2:5" outlineLevel="1" x14ac:dyDescent="0.25">
      <c r="C342" s="290" t="s">
        <v>3103</v>
      </c>
    </row>
    <row r="343" spans="2:5" outlineLevel="1" x14ac:dyDescent="0.25">
      <c r="C343" s="290" t="s">
        <v>3101</v>
      </c>
    </row>
    <row r="344" spans="2:5" outlineLevel="1" x14ac:dyDescent="0.25"/>
    <row r="345" spans="2:5" ht="105" outlineLevel="1" x14ac:dyDescent="0.25">
      <c r="C345" s="353" t="s">
        <v>1472</v>
      </c>
      <c r="D345" s="354" t="s">
        <v>3104</v>
      </c>
    </row>
    <row r="346" spans="2:5" ht="15.75" customHeight="1" outlineLevel="1" x14ac:dyDescent="0.25">
      <c r="C346" s="353" t="s">
        <v>593</v>
      </c>
      <c r="D346" s="354" t="s">
        <v>3105</v>
      </c>
    </row>
    <row r="347" spans="2:5" ht="30" outlineLevel="1" x14ac:dyDescent="0.25">
      <c r="C347" s="353" t="s">
        <v>46</v>
      </c>
      <c r="D347" s="354" t="s">
        <v>3386</v>
      </c>
      <c r="E347" s="526" t="s">
        <v>3298</v>
      </c>
    </row>
    <row r="348" spans="2:5" ht="45.75" customHeight="1" outlineLevel="1" x14ac:dyDescent="0.25">
      <c r="C348" s="353" t="s">
        <v>592</v>
      </c>
      <c r="D348" s="354" t="s">
        <v>3106</v>
      </c>
    </row>
    <row r="349" spans="2:5" ht="45" outlineLevel="1" x14ac:dyDescent="0.25">
      <c r="C349" s="353" t="s">
        <v>402</v>
      </c>
      <c r="D349" s="354" t="s">
        <v>3107</v>
      </c>
    </row>
  </sheetData>
  <sheetProtection formatRows="0"/>
  <hyperlinks>
    <hyperlink ref="D28" location="Cover!A1" display="Cover" xr:uid="{EF939219-703E-482F-AFC6-9E0531E7C7FC}"/>
    <hyperlink ref="D125" location="'Budget Opex Detail'!A1" display="Budget Opex Detail" xr:uid="{7429CFD9-4EDA-4751-BB58-C6EF96A2D0C3}"/>
    <hyperlink ref="D330" location="'Activity Master Opex'!A1" display="Activity Master" xr:uid="{D91C1D0A-638C-4F4C-9306-978DC56FE691}"/>
    <hyperlink ref="D77" location="'Budget Capex Detail'!A1" display="Budget Capex Detail" xr:uid="{B4ED72CC-B744-421B-B9AE-46DAFF83EF15}"/>
    <hyperlink ref="C80" location="'Asset determination'!A1" display="'Asset determination" xr:uid="{8F4E2534-732C-4547-BAA6-B6E0838D2AC0}"/>
    <hyperlink ref="E347" location="'Master Data'!A1" display="Master Data" xr:uid="{3E10D3FA-96C9-4CF0-BB0D-84D53AF9EB27}"/>
  </hyperlink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FF25E-520F-4933-9D53-62F095290826}">
  <sheetPr>
    <tabColor rgb="FF339966"/>
  </sheetPr>
  <dimension ref="B1:D15"/>
  <sheetViews>
    <sheetView showGridLines="0" zoomScale="80" zoomScaleNormal="80" workbookViewId="0">
      <pane xSplit="8" topLeftCell="I1" activePane="topRight" state="frozen"/>
      <selection activeCell="E328" sqref="E328"/>
      <selection pane="topRight"/>
    </sheetView>
  </sheetViews>
  <sheetFormatPr defaultColWidth="9.140625" defaultRowHeight="15" outlineLevelRow="1" x14ac:dyDescent="0.25"/>
  <cols>
    <col min="1" max="1" width="5.28515625" style="371" customWidth="1"/>
    <col min="2" max="2" width="14.85546875" style="371" customWidth="1"/>
    <col min="3" max="3" width="10.7109375" style="371" bestFit="1" customWidth="1"/>
    <col min="4" max="16" width="9.140625" style="371"/>
    <col min="17" max="17" width="29.42578125" style="371" bestFit="1" customWidth="1"/>
    <col min="18" max="18" width="40.5703125" style="371" bestFit="1" customWidth="1"/>
    <col min="19" max="19" width="10.7109375" style="371" bestFit="1" customWidth="1"/>
    <col min="20" max="16384" width="9.140625" style="371"/>
  </cols>
  <sheetData>
    <row r="1" spans="2:4" outlineLevel="1" x14ac:dyDescent="0.25"/>
    <row r="2" spans="2:4" outlineLevel="1" x14ac:dyDescent="0.25">
      <c r="B2" s="383"/>
      <c r="C2" s="451"/>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452"/>
    </row>
    <row r="15" spans="2:4" x14ac:dyDescent="0.25">
      <c r="D15" s="371" t="s">
        <v>3262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73DD3-23D3-47F4-BAE2-830366D114E9}">
  <sheetPr codeName="Sheet5">
    <tabColor theme="5" tint="0.39997558519241921"/>
  </sheetPr>
  <dimension ref="A1:O73"/>
  <sheetViews>
    <sheetView showGridLines="0" tabSelected="1" zoomScale="90" zoomScaleNormal="90" workbookViewId="0">
      <selection activeCell="B1" sqref="B1"/>
    </sheetView>
  </sheetViews>
  <sheetFormatPr defaultColWidth="9.140625" defaultRowHeight="15" x14ac:dyDescent="0.25"/>
  <cols>
    <col min="1" max="1" width="4" style="371" customWidth="1"/>
    <col min="2" max="2" width="27.42578125" style="371" customWidth="1"/>
    <col min="3" max="3" width="2.7109375" style="371" customWidth="1"/>
    <col min="4" max="4" width="23" style="371" customWidth="1"/>
    <col min="5" max="5" width="7.140625" style="371" customWidth="1"/>
    <col min="6" max="6" width="31.140625" style="371" customWidth="1"/>
    <col min="7" max="7" width="3.28515625" style="371" customWidth="1"/>
    <col min="8" max="8" width="4.140625" style="371" hidden="1" customWidth="1"/>
    <col min="9" max="9" width="9.140625" style="371"/>
    <col min="10" max="15" width="18.5703125" style="371" customWidth="1"/>
    <col min="16" max="16384" width="9.140625" style="371"/>
  </cols>
  <sheetData>
    <row r="1" spans="1:10" x14ac:dyDescent="0.25">
      <c r="A1" s="290"/>
      <c r="B1" s="290"/>
      <c r="C1" s="290"/>
      <c r="D1" s="290"/>
      <c r="E1" s="290"/>
      <c r="F1" s="290"/>
      <c r="G1" s="290"/>
      <c r="H1" s="290"/>
    </row>
    <row r="2" spans="1:10" ht="31.5" x14ac:dyDescent="0.5">
      <c r="A2" s="290"/>
      <c r="B2" s="290"/>
      <c r="C2" s="384" t="s">
        <v>240</v>
      </c>
      <c r="D2" s="324"/>
      <c r="E2" s="290"/>
      <c r="F2" s="290"/>
      <c r="G2" s="290"/>
      <c r="H2" s="290"/>
    </row>
    <row r="3" spans="1:10" x14ac:dyDescent="0.25">
      <c r="A3" s="290"/>
      <c r="B3" s="290"/>
      <c r="C3" s="290"/>
      <c r="D3" s="290"/>
      <c r="E3" s="290"/>
      <c r="F3" s="290"/>
      <c r="G3" s="290"/>
      <c r="H3" s="290"/>
    </row>
    <row r="4" spans="1:10" x14ac:dyDescent="0.25">
      <c r="A4" s="290"/>
      <c r="B4" s="290"/>
      <c r="C4" s="290"/>
      <c r="D4" s="290"/>
      <c r="E4" s="290"/>
      <c r="F4" s="290"/>
      <c r="G4" s="290"/>
      <c r="H4" s="290"/>
    </row>
    <row r="5" spans="1:10" x14ac:dyDescent="0.25">
      <c r="A5" s="290"/>
      <c r="B5" s="290"/>
      <c r="C5" s="290"/>
      <c r="D5" s="290"/>
      <c r="E5" s="290"/>
      <c r="F5" s="290"/>
      <c r="G5" s="290"/>
      <c r="H5" s="290"/>
    </row>
    <row r="6" spans="1:10" x14ac:dyDescent="0.25">
      <c r="A6" s="290"/>
      <c r="B6" s="324" t="s">
        <v>13</v>
      </c>
      <c r="C6" s="324" t="s">
        <v>3311</v>
      </c>
      <c r="D6" s="540">
        <v>2026</v>
      </c>
      <c r="E6" s="290"/>
      <c r="F6" s="290"/>
      <c r="G6" s="290"/>
      <c r="H6" s="290"/>
    </row>
    <row r="7" spans="1:10" x14ac:dyDescent="0.25">
      <c r="A7" s="290"/>
      <c r="B7" s="324" t="s">
        <v>3312</v>
      </c>
      <c r="C7" s="324" t="s">
        <v>3311</v>
      </c>
      <c r="D7" s="540" t="s">
        <v>18</v>
      </c>
      <c r="E7" s="290"/>
      <c r="F7" s="290"/>
      <c r="G7" s="290"/>
      <c r="H7" s="290"/>
    </row>
    <row r="8" spans="1:10" x14ac:dyDescent="0.25">
      <c r="A8" s="290"/>
      <c r="B8" s="324" t="s">
        <v>234</v>
      </c>
      <c r="C8" s="324" t="s">
        <v>3311</v>
      </c>
      <c r="D8" s="540" t="s">
        <v>237</v>
      </c>
      <c r="E8" s="290"/>
      <c r="F8" s="290"/>
      <c r="G8" s="290"/>
      <c r="H8" s="290"/>
    </row>
    <row r="9" spans="1:10" x14ac:dyDescent="0.25">
      <c r="A9" s="541"/>
      <c r="B9" s="324" t="s">
        <v>16</v>
      </c>
      <c r="C9" s="324" t="s">
        <v>3311</v>
      </c>
      <c r="D9" s="540" t="s">
        <v>237</v>
      </c>
      <c r="E9" s="290"/>
      <c r="F9" s="290"/>
      <c r="G9" s="290"/>
      <c r="H9" s="290"/>
    </row>
    <row r="10" spans="1:10" x14ac:dyDescent="0.25">
      <c r="A10" s="385"/>
      <c r="B10" s="385"/>
      <c r="C10" s="385"/>
      <c r="D10" s="385"/>
      <c r="E10" s="385"/>
      <c r="F10" s="385"/>
      <c r="G10" s="385"/>
      <c r="H10" s="385"/>
    </row>
    <row r="11" spans="1:10" x14ac:dyDescent="0.25">
      <c r="A11" s="385"/>
      <c r="B11" s="385"/>
      <c r="C11" s="385"/>
      <c r="D11" s="385"/>
      <c r="E11" s="385"/>
      <c r="F11" s="385"/>
      <c r="G11" s="385"/>
      <c r="H11" s="385"/>
    </row>
    <row r="12" spans="1:10" s="385" customFormat="1" ht="14.25" customHeight="1" x14ac:dyDescent="0.25">
      <c r="B12" s="542"/>
      <c r="C12" s="542"/>
      <c r="D12" s="542"/>
      <c r="E12" s="542"/>
      <c r="F12" s="542"/>
      <c r="G12" s="542"/>
      <c r="H12" s="542"/>
    </row>
    <row r="13" spans="1:10" s="385" customFormat="1" ht="14.25" customHeight="1" x14ac:dyDescent="0.25">
      <c r="B13" s="602" t="s">
        <v>3313</v>
      </c>
      <c r="C13" s="603"/>
      <c r="D13" s="603"/>
      <c r="E13" s="603"/>
      <c r="F13" s="603"/>
      <c r="G13" s="603"/>
      <c r="H13" s="603"/>
      <c r="I13" s="603"/>
      <c r="J13" s="604"/>
    </row>
    <row r="14" spans="1:10" s="385" customFormat="1" ht="14.25" customHeight="1" x14ac:dyDescent="0.25">
      <c r="B14" s="617" t="s">
        <v>3329</v>
      </c>
      <c r="C14" s="618"/>
      <c r="D14" s="617" t="s">
        <v>3332</v>
      </c>
      <c r="E14" s="618"/>
      <c r="F14" s="617" t="s">
        <v>3333</v>
      </c>
      <c r="G14" s="618"/>
      <c r="H14" s="542"/>
      <c r="I14" s="617" t="s">
        <v>3335</v>
      </c>
      <c r="J14" s="618"/>
    </row>
    <row r="15" spans="1:10" s="385" customFormat="1" ht="23.1" customHeight="1" x14ac:dyDescent="0.25">
      <c r="B15" s="619"/>
      <c r="C15" s="620"/>
      <c r="D15" s="619"/>
      <c r="E15" s="620"/>
      <c r="F15" s="619"/>
      <c r="G15" s="620"/>
      <c r="H15" s="542"/>
      <c r="I15" s="619"/>
      <c r="J15" s="620"/>
    </row>
    <row r="16" spans="1:10" s="385" customFormat="1" ht="14.25" customHeight="1" x14ac:dyDescent="0.25">
      <c r="B16" s="631" t="s">
        <v>3330</v>
      </c>
      <c r="C16" s="632"/>
      <c r="D16" s="621"/>
      <c r="E16" s="622"/>
      <c r="F16" s="621"/>
      <c r="G16" s="622"/>
      <c r="H16" s="542"/>
      <c r="I16" s="621"/>
      <c r="J16" s="622"/>
    </row>
    <row r="17" spans="2:15" s="385" customFormat="1" ht="14.25" customHeight="1" x14ac:dyDescent="0.25">
      <c r="B17" s="631"/>
      <c r="C17" s="632"/>
      <c r="D17" s="621"/>
      <c r="E17" s="622"/>
      <c r="F17" s="621"/>
      <c r="G17" s="622"/>
      <c r="H17" s="542"/>
      <c r="I17" s="621"/>
      <c r="J17" s="622"/>
    </row>
    <row r="18" spans="2:15" s="385" customFormat="1" ht="14.25" customHeight="1" x14ac:dyDescent="0.25">
      <c r="B18" s="631"/>
      <c r="C18" s="632"/>
      <c r="D18" s="623"/>
      <c r="E18" s="624"/>
      <c r="F18" s="623"/>
      <c r="G18" s="624"/>
      <c r="H18" s="542"/>
      <c r="I18" s="623"/>
      <c r="J18" s="624"/>
    </row>
    <row r="19" spans="2:15" s="385" customFormat="1" ht="14.25" customHeight="1" x14ac:dyDescent="0.25">
      <c r="B19" s="631"/>
      <c r="C19" s="632"/>
      <c r="D19" s="625" t="s">
        <v>3331</v>
      </c>
      <c r="E19" s="626"/>
      <c r="F19" s="625" t="s">
        <v>3334</v>
      </c>
      <c r="G19" s="626"/>
      <c r="H19" s="542"/>
      <c r="I19" s="625" t="s">
        <v>3336</v>
      </c>
      <c r="J19" s="626"/>
    </row>
    <row r="20" spans="2:15" s="385" customFormat="1" ht="14.25" customHeight="1" x14ac:dyDescent="0.25">
      <c r="G20" s="542"/>
      <c r="H20" s="542"/>
      <c r="I20" s="542"/>
      <c r="J20" s="542"/>
    </row>
    <row r="21" spans="2:15" s="385" customFormat="1" ht="14.25" customHeight="1" x14ac:dyDescent="0.25">
      <c r="G21" s="542"/>
      <c r="H21" s="542"/>
      <c r="I21" s="542"/>
      <c r="J21" s="542"/>
    </row>
    <row r="22" spans="2:15" s="385" customFormat="1" ht="14.25" customHeight="1" x14ac:dyDescent="0.25">
      <c r="H22" s="386"/>
      <c r="I22" s="387"/>
    </row>
    <row r="23" spans="2:15" s="385" customFormat="1" ht="15" customHeight="1" x14ac:dyDescent="0.25">
      <c r="H23" s="386"/>
      <c r="I23" s="387"/>
    </row>
    <row r="24" spans="2:15" s="385" customFormat="1" ht="15" customHeight="1" x14ac:dyDescent="0.25">
      <c r="B24" s="605" t="s">
        <v>3318</v>
      </c>
      <c r="C24" s="606"/>
      <c r="D24" s="606"/>
      <c r="E24" s="606"/>
      <c r="F24" s="606"/>
      <c r="G24" s="606"/>
      <c r="H24" s="606"/>
      <c r="I24" s="606"/>
      <c r="J24" s="606"/>
      <c r="K24" s="606"/>
      <c r="L24" s="607"/>
      <c r="M24" s="386"/>
      <c r="N24" s="386"/>
      <c r="O24" s="386"/>
    </row>
    <row r="25" spans="2:15" s="385" customFormat="1" ht="30" customHeight="1" x14ac:dyDescent="0.25">
      <c r="B25" s="608" t="s">
        <v>3319</v>
      </c>
      <c r="C25" s="609"/>
      <c r="D25" s="610" t="s">
        <v>3314</v>
      </c>
      <c r="E25" s="610"/>
      <c r="F25" s="610" t="s">
        <v>3315</v>
      </c>
      <c r="G25" s="610"/>
      <c r="H25" s="543"/>
      <c r="I25" s="611" t="s">
        <v>3320</v>
      </c>
      <c r="J25" s="612"/>
      <c r="K25" s="611" t="s">
        <v>3321</v>
      </c>
      <c r="L25" s="612"/>
      <c r="M25" s="386"/>
      <c r="N25" s="386"/>
      <c r="O25" s="386"/>
    </row>
    <row r="26" spans="2:15" s="385" customFormat="1" ht="15" customHeight="1" x14ac:dyDescent="0.25">
      <c r="B26" s="544"/>
      <c r="C26" s="545"/>
      <c r="D26" s="546"/>
      <c r="E26" s="547"/>
      <c r="F26" s="546"/>
      <c r="G26" s="547"/>
      <c r="H26" s="547"/>
      <c r="I26" s="545"/>
      <c r="J26" s="548"/>
      <c r="K26" s="545"/>
      <c r="L26" s="548"/>
      <c r="M26" s="386"/>
      <c r="N26" s="386"/>
      <c r="O26" s="387"/>
    </row>
    <row r="27" spans="2:15" s="385" customFormat="1" ht="15" customHeight="1" x14ac:dyDescent="0.25">
      <c r="B27" s="549"/>
      <c r="C27" s="542"/>
      <c r="D27" s="550"/>
      <c r="E27" s="551"/>
      <c r="F27" s="550"/>
      <c r="G27" s="551"/>
      <c r="H27" s="551"/>
      <c r="I27" s="542"/>
      <c r="J27" s="552"/>
      <c r="K27" s="542"/>
      <c r="L27" s="552"/>
      <c r="M27" s="386"/>
      <c r="N27" s="386"/>
      <c r="O27" s="387"/>
    </row>
    <row r="28" spans="2:15" s="385" customFormat="1" ht="15" customHeight="1" x14ac:dyDescent="0.25">
      <c r="B28" s="549"/>
      <c r="C28" s="542"/>
      <c r="D28" s="550"/>
      <c r="E28" s="551"/>
      <c r="F28" s="550"/>
      <c r="G28" s="551"/>
      <c r="H28" s="551"/>
      <c r="I28" s="542"/>
      <c r="J28" s="552"/>
      <c r="K28" s="542"/>
      <c r="L28" s="552"/>
      <c r="M28" s="386"/>
      <c r="N28" s="386"/>
      <c r="O28" s="387"/>
    </row>
    <row r="29" spans="2:15" s="385" customFormat="1" ht="15" customHeight="1" x14ac:dyDescent="0.25">
      <c r="B29" s="613" t="s">
        <v>3322</v>
      </c>
      <c r="C29" s="627"/>
      <c r="D29" s="628" t="s">
        <v>3316</v>
      </c>
      <c r="E29" s="629"/>
      <c r="F29" s="630" t="s">
        <v>3317</v>
      </c>
      <c r="G29" s="630"/>
      <c r="H29" s="553"/>
      <c r="I29" s="600" t="s">
        <v>3323</v>
      </c>
      <c r="J29" s="601"/>
      <c r="K29" s="600" t="s">
        <v>3324</v>
      </c>
      <c r="L29" s="601"/>
      <c r="M29" s="386"/>
      <c r="N29" s="386"/>
      <c r="O29" s="386"/>
    </row>
    <row r="30" spans="2:15" s="385" customFormat="1" ht="15" customHeight="1" x14ac:dyDescent="0.25"/>
    <row r="31" spans="2:15" s="388" customFormat="1" hidden="1" x14ac:dyDescent="0.25"/>
    <row r="32" spans="2:15" s="388" customFormat="1" hidden="1" x14ac:dyDescent="0.25"/>
    <row r="33" spans="2:5" s="388" customFormat="1" hidden="1" x14ac:dyDescent="0.25">
      <c r="E33" s="554" t="s">
        <v>3325</v>
      </c>
    </row>
    <row r="34" spans="2:5" s="388" customFormat="1" hidden="1" x14ac:dyDescent="0.25">
      <c r="B34" s="602" t="s">
        <v>3326</v>
      </c>
      <c r="C34" s="603"/>
      <c r="D34" s="603"/>
      <c r="E34" s="604"/>
    </row>
    <row r="35" spans="2:5" s="388" customFormat="1" hidden="1" x14ac:dyDescent="0.25">
      <c r="B35" s="633" t="s">
        <v>3327</v>
      </c>
      <c r="C35" s="634"/>
      <c r="D35" s="611" t="s">
        <v>3328</v>
      </c>
      <c r="E35" s="635"/>
    </row>
    <row r="36" spans="2:5" s="388" customFormat="1" hidden="1" x14ac:dyDescent="0.25">
      <c r="B36" s="544"/>
      <c r="C36" s="545"/>
      <c r="D36" s="546"/>
      <c r="E36" s="547"/>
    </row>
    <row r="37" spans="2:5" s="388" customFormat="1" hidden="1" x14ac:dyDescent="0.25">
      <c r="B37" s="549"/>
      <c r="C37" s="542"/>
      <c r="D37" s="550"/>
      <c r="E37" s="551"/>
    </row>
    <row r="38" spans="2:5" s="388" customFormat="1" hidden="1" x14ac:dyDescent="0.25">
      <c r="B38" s="549"/>
      <c r="C38" s="542"/>
      <c r="D38" s="550"/>
      <c r="E38" s="551"/>
    </row>
    <row r="39" spans="2:5" s="388" customFormat="1" hidden="1" x14ac:dyDescent="0.25">
      <c r="B39" s="613"/>
      <c r="C39" s="614"/>
      <c r="D39" s="615"/>
      <c r="E39" s="616"/>
    </row>
    <row r="40" spans="2:5" s="388" customFormat="1" hidden="1" x14ac:dyDescent="0.25"/>
    <row r="41" spans="2:5" s="388" customFormat="1" hidden="1" x14ac:dyDescent="0.25"/>
    <row r="42" spans="2:5" s="388" customFormat="1" x14ac:dyDescent="0.25"/>
    <row r="43" spans="2:5" s="388" customFormat="1" x14ac:dyDescent="0.25"/>
    <row r="44" spans="2:5" s="388" customFormat="1" x14ac:dyDescent="0.25"/>
    <row r="45" spans="2:5" s="388" customFormat="1" x14ac:dyDescent="0.25"/>
    <row r="46" spans="2:5" s="388" customFormat="1" x14ac:dyDescent="0.25"/>
    <row r="47" spans="2:5" s="388" customFormat="1" x14ac:dyDescent="0.25"/>
    <row r="48" spans="2:5" s="388" customFormat="1" x14ac:dyDescent="0.25"/>
    <row r="49" s="388" customFormat="1" x14ac:dyDescent="0.25"/>
    <row r="50" s="388" customFormat="1" x14ac:dyDescent="0.25"/>
    <row r="51" s="388" customFormat="1" x14ac:dyDescent="0.25"/>
    <row r="52" s="388" customFormat="1" x14ac:dyDescent="0.25"/>
    <row r="53" s="388" customFormat="1" x14ac:dyDescent="0.25"/>
    <row r="54" s="388" customFormat="1" x14ac:dyDescent="0.25"/>
    <row r="55" s="388" customFormat="1" x14ac:dyDescent="0.25"/>
    <row r="56" s="388" customFormat="1" x14ac:dyDescent="0.25"/>
    <row r="57" s="388" customFormat="1" x14ac:dyDescent="0.25"/>
    <row r="58" s="388" customFormat="1" x14ac:dyDescent="0.25"/>
    <row r="59" s="388" customFormat="1" x14ac:dyDescent="0.25"/>
    <row r="60" s="388" customFormat="1" x14ac:dyDescent="0.25"/>
    <row r="61" s="388" customFormat="1" x14ac:dyDescent="0.25"/>
    <row r="62" s="388" customFormat="1" x14ac:dyDescent="0.25"/>
    <row r="63" s="388" customFormat="1" x14ac:dyDescent="0.25"/>
    <row r="64" s="388" customFormat="1" x14ac:dyDescent="0.25"/>
    <row r="65" s="388" customFormat="1" x14ac:dyDescent="0.25"/>
    <row r="66" s="388" customFormat="1" x14ac:dyDescent="0.25"/>
    <row r="67" s="388" customFormat="1" x14ac:dyDescent="0.25"/>
    <row r="68" s="388" customFormat="1" x14ac:dyDescent="0.25"/>
    <row r="69" s="388" customFormat="1" x14ac:dyDescent="0.25"/>
    <row r="70" s="388" customFormat="1" x14ac:dyDescent="0.25"/>
    <row r="71" s="388" customFormat="1" x14ac:dyDescent="0.25"/>
    <row r="72" s="388" customFormat="1" x14ac:dyDescent="0.25"/>
    <row r="73" s="388" customFormat="1" x14ac:dyDescent="0.25"/>
  </sheetData>
  <mergeCells count="28">
    <mergeCell ref="I14:J15"/>
    <mergeCell ref="I16:J18"/>
    <mergeCell ref="I19:J19"/>
    <mergeCell ref="B13:J13"/>
    <mergeCell ref="B35:C35"/>
    <mergeCell ref="D35:E35"/>
    <mergeCell ref="I29:J29"/>
    <mergeCell ref="B39:C39"/>
    <mergeCell ref="D39:E39"/>
    <mergeCell ref="F14:G15"/>
    <mergeCell ref="F16:G18"/>
    <mergeCell ref="F19:G19"/>
    <mergeCell ref="B29:C29"/>
    <mergeCell ref="D29:E29"/>
    <mergeCell ref="F29:G29"/>
    <mergeCell ref="B14:C15"/>
    <mergeCell ref="D14:E15"/>
    <mergeCell ref="B16:C19"/>
    <mergeCell ref="D16:E18"/>
    <mergeCell ref="D19:E19"/>
    <mergeCell ref="K29:L29"/>
    <mergeCell ref="B34:E34"/>
    <mergeCell ref="B24:L24"/>
    <mergeCell ref="B25:C25"/>
    <mergeCell ref="D25:E25"/>
    <mergeCell ref="F25:G25"/>
    <mergeCell ref="I25:J25"/>
    <mergeCell ref="K25:L25"/>
  </mergeCells>
  <dataValidations count="3">
    <dataValidation showInputMessage="1" showErrorMessage="1" error="Check BU/HO" sqref="D9" xr:uid="{089995B0-3AC9-4F68-9FE0-4C2BD1FE7E24}"/>
    <dataValidation type="whole" allowBlank="1" showInputMessage="1" showErrorMessage="1" sqref="D6" xr:uid="{3F68886B-A8B7-4AEC-938E-A4662070FAE9}">
      <formula1>2022</formula1>
      <formula2>2050</formula2>
    </dataValidation>
    <dataValidation showInputMessage="1" showErrorMessage="1" sqref="D7" xr:uid="{ECA4CF0A-F7B7-42A1-B619-64678D3DC3CB}"/>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B830D41-890F-4230-B8FB-584AF4D3629A}">
          <x14:formula1>
            <xm:f>'Master Data'!$B$7:$B$15</xm:f>
          </x14:formula1>
          <xm:sqref>D8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BN73"/>
  <sheetViews>
    <sheetView showGridLines="0" zoomScale="80" zoomScaleNormal="80" workbookViewId="0">
      <selection activeCell="A9" sqref="A9"/>
    </sheetView>
  </sheetViews>
  <sheetFormatPr defaultColWidth="8.7109375" defaultRowHeight="15" x14ac:dyDescent="0.25"/>
  <cols>
    <col min="1" max="1" width="4" style="371" customWidth="1"/>
    <col min="2" max="2" width="25.140625" style="371" customWidth="1"/>
    <col min="3" max="3" width="2.7109375" style="371" customWidth="1"/>
    <col min="4" max="4" width="25.85546875" style="371" customWidth="1"/>
    <col min="5" max="5" width="25.140625" style="371" customWidth="1"/>
    <col min="6" max="6" width="31.140625" style="371" customWidth="1"/>
    <col min="7" max="8" width="3.28515625" style="371" customWidth="1"/>
    <col min="9" max="9" width="14.85546875" style="371" customWidth="1"/>
    <col min="10" max="11" width="18.5703125" style="371" customWidth="1"/>
    <col min="12" max="12" width="25.28515625" style="371" customWidth="1"/>
    <col min="13" max="15" width="18.5703125" style="371" customWidth="1"/>
    <col min="16" max="16384" width="8.7109375" style="371"/>
  </cols>
  <sheetData>
    <row r="1" spans="1:66" x14ac:dyDescent="0.25">
      <c r="A1" s="290"/>
      <c r="B1" s="290"/>
      <c r="C1" s="290"/>
      <c r="D1" s="290"/>
      <c r="E1" s="290"/>
      <c r="F1" s="290"/>
      <c r="G1" s="290"/>
      <c r="H1" s="290"/>
    </row>
    <row r="2" spans="1:66" ht="31.5" x14ac:dyDescent="0.5">
      <c r="A2" s="290"/>
      <c r="B2" s="290"/>
      <c r="C2" s="384" t="s">
        <v>240</v>
      </c>
      <c r="D2" s="291"/>
      <c r="E2" s="290"/>
      <c r="F2" s="290"/>
      <c r="G2" s="290"/>
      <c r="H2" s="290"/>
    </row>
    <row r="3" spans="1:66" x14ac:dyDescent="0.25">
      <c r="A3" s="290"/>
      <c r="B3" s="290"/>
      <c r="C3" s="290"/>
      <c r="D3" s="290"/>
      <c r="E3" s="290"/>
      <c r="F3" s="290"/>
      <c r="G3" s="290"/>
      <c r="H3" s="290"/>
    </row>
    <row r="4" spans="1:66" x14ac:dyDescent="0.25">
      <c r="A4" s="290"/>
      <c r="B4" s="290"/>
      <c r="C4" s="290"/>
      <c r="D4" s="290"/>
      <c r="E4" s="290"/>
      <c r="F4" s="290"/>
      <c r="G4" s="290"/>
      <c r="H4" s="290"/>
    </row>
    <row r="5" spans="1:66" x14ac:dyDescent="0.25">
      <c r="A5" s="290"/>
      <c r="B5" s="290"/>
      <c r="C5" s="290"/>
      <c r="D5" s="290"/>
      <c r="E5" s="290"/>
      <c r="F5" s="290"/>
      <c r="G5" s="290"/>
      <c r="H5" s="290"/>
    </row>
    <row r="6" spans="1:66" x14ac:dyDescent="0.25">
      <c r="A6" s="290"/>
      <c r="B6" s="290"/>
      <c r="C6" s="290"/>
      <c r="D6" s="290"/>
      <c r="E6" s="290"/>
      <c r="F6" s="290"/>
      <c r="G6" s="290"/>
      <c r="H6" s="290"/>
    </row>
    <row r="7" spans="1:66" x14ac:dyDescent="0.25">
      <c r="A7" s="290"/>
      <c r="B7" s="290"/>
      <c r="C7" s="290"/>
      <c r="D7" s="290"/>
      <c r="E7" s="290"/>
      <c r="F7" s="290"/>
      <c r="G7" s="290"/>
      <c r="H7" s="290"/>
    </row>
    <row r="8" spans="1:66" x14ac:dyDescent="0.25">
      <c r="A8" s="290"/>
      <c r="B8" s="290"/>
      <c r="C8" s="290"/>
      <c r="D8" s="290"/>
      <c r="E8" s="290"/>
      <c r="F8" s="290"/>
      <c r="G8" s="290"/>
      <c r="H8" s="290"/>
    </row>
    <row r="9" spans="1:66" x14ac:dyDescent="0.25">
      <c r="A9" s="290"/>
      <c r="B9" s="290"/>
      <c r="C9" s="290"/>
      <c r="D9" s="290"/>
      <c r="E9" s="290"/>
      <c r="F9" s="290"/>
      <c r="G9" s="290"/>
      <c r="H9" s="290"/>
    </row>
    <row r="10" spans="1:66" x14ac:dyDescent="0.25">
      <c r="A10" s="290"/>
      <c r="B10" s="290"/>
      <c r="C10" s="290"/>
      <c r="D10" s="290"/>
      <c r="E10" s="290"/>
      <c r="F10" s="290"/>
      <c r="G10" s="290"/>
      <c r="H10" s="290"/>
    </row>
    <row r="11" spans="1:66" x14ac:dyDescent="0.25">
      <c r="A11" s="290"/>
      <c r="B11" s="290"/>
      <c r="C11" s="290"/>
      <c r="D11" s="290"/>
      <c r="E11" s="290"/>
      <c r="F11" s="290"/>
      <c r="G11" s="290"/>
      <c r="H11" s="290"/>
    </row>
    <row r="12" spans="1:66" s="385" customFormat="1" ht="14.25" customHeight="1" x14ac:dyDescent="0.25">
      <c r="A12" s="290"/>
      <c r="B12" s="290"/>
      <c r="C12" s="290"/>
      <c r="D12" s="290"/>
      <c r="E12" s="290"/>
      <c r="F12" s="290"/>
      <c r="G12" s="290"/>
      <c r="H12" s="290"/>
      <c r="I12" s="371"/>
      <c r="J12" s="371"/>
      <c r="K12" s="371"/>
      <c r="L12" s="371"/>
      <c r="BK12" s="371"/>
      <c r="BL12" s="371"/>
      <c r="BM12" s="371"/>
      <c r="BN12" s="371"/>
    </row>
    <row r="13" spans="1:66" s="385" customFormat="1" ht="14.25" customHeight="1" x14ac:dyDescent="0.25">
      <c r="A13" s="290"/>
      <c r="B13" s="290"/>
      <c r="C13" s="290"/>
      <c r="D13" s="290"/>
      <c r="E13" s="290"/>
      <c r="F13" s="290"/>
      <c r="G13" s="290"/>
      <c r="H13" s="290"/>
      <c r="I13" s="371"/>
      <c r="J13" s="371"/>
      <c r="K13" s="371"/>
      <c r="L13" s="371"/>
      <c r="BK13" s="371"/>
      <c r="BL13" s="371"/>
      <c r="BM13" s="371"/>
      <c r="BN13" s="371"/>
    </row>
    <row r="14" spans="1:66" s="385" customFormat="1" ht="15" customHeight="1" x14ac:dyDescent="0.25">
      <c r="A14" s="290"/>
      <c r="B14" s="290"/>
      <c r="C14" s="290"/>
      <c r="D14" s="290"/>
      <c r="E14" s="290"/>
      <c r="F14" s="290"/>
      <c r="G14" s="290"/>
      <c r="H14" s="290"/>
      <c r="I14" s="371"/>
      <c r="J14" s="371"/>
      <c r="K14" s="371"/>
      <c r="L14" s="371"/>
      <c r="BK14" s="371"/>
      <c r="BL14" s="371"/>
      <c r="BM14" s="371"/>
      <c r="BN14" s="371"/>
    </row>
    <row r="15" spans="1:66" s="385" customFormat="1" ht="31.5" customHeight="1" x14ac:dyDescent="0.25">
      <c r="A15" s="290"/>
      <c r="B15" s="290"/>
      <c r="C15" s="290"/>
      <c r="D15" s="290"/>
      <c r="E15" s="290"/>
      <c r="F15" s="290"/>
      <c r="G15" s="290"/>
      <c r="H15" s="290"/>
      <c r="I15" s="371"/>
      <c r="J15" s="371"/>
      <c r="K15" s="371"/>
      <c r="L15" s="371"/>
      <c r="BK15" s="371"/>
      <c r="BL15" s="371"/>
      <c r="BM15" s="371"/>
      <c r="BN15" s="371"/>
    </row>
    <row r="16" spans="1:66" s="385" customFormat="1" ht="14.25" customHeight="1" x14ac:dyDescent="0.25">
      <c r="A16" s="290"/>
      <c r="B16" s="290"/>
      <c r="C16" s="290"/>
      <c r="D16" s="290"/>
      <c r="E16" s="290"/>
      <c r="F16" s="290"/>
      <c r="G16" s="290"/>
      <c r="H16" s="290"/>
      <c r="I16" s="371"/>
      <c r="J16" s="371"/>
      <c r="K16" s="371"/>
      <c r="L16" s="371"/>
      <c r="BK16" s="371"/>
      <c r="BL16" s="371"/>
      <c r="BM16" s="371"/>
      <c r="BN16" s="371"/>
    </row>
    <row r="17" spans="1:66" s="385" customFormat="1" ht="14.25" customHeight="1" x14ac:dyDescent="0.25">
      <c r="A17" s="290"/>
      <c r="B17" s="290"/>
      <c r="C17" s="290"/>
      <c r="D17" s="290"/>
      <c r="E17" s="290"/>
      <c r="F17" s="290"/>
      <c r="G17" s="290"/>
      <c r="H17" s="290"/>
      <c r="I17" s="371"/>
      <c r="J17" s="371"/>
      <c r="K17" s="371"/>
      <c r="L17" s="371"/>
      <c r="BK17" s="371"/>
      <c r="BL17" s="371"/>
      <c r="BM17" s="371"/>
      <c r="BN17" s="371"/>
    </row>
    <row r="18" spans="1:66" s="385" customFormat="1" ht="14.25" customHeight="1" x14ac:dyDescent="0.25">
      <c r="A18" s="290"/>
      <c r="B18" s="290"/>
      <c r="C18" s="290"/>
      <c r="D18" s="290"/>
      <c r="E18" s="290"/>
      <c r="F18" s="290"/>
      <c r="G18" s="290"/>
      <c r="H18" s="290"/>
      <c r="I18" s="371"/>
      <c r="J18" s="371"/>
      <c r="K18" s="371"/>
      <c r="L18" s="371"/>
      <c r="BK18" s="371"/>
      <c r="BL18" s="371"/>
      <c r="BM18" s="371"/>
      <c r="BN18" s="371"/>
    </row>
    <row r="19" spans="1:66" s="385" customFormat="1" ht="14.25" customHeight="1" x14ac:dyDescent="0.25">
      <c r="A19" s="290"/>
      <c r="B19" s="290"/>
      <c r="C19" s="290"/>
      <c r="D19" s="290"/>
      <c r="E19" s="290"/>
      <c r="F19" s="290"/>
      <c r="G19" s="290"/>
      <c r="H19" s="290"/>
      <c r="I19" s="371"/>
      <c r="J19" s="371"/>
      <c r="K19" s="371"/>
      <c r="L19" s="371"/>
      <c r="BK19" s="371"/>
      <c r="BL19" s="371"/>
      <c r="BM19" s="371"/>
      <c r="BN19" s="371"/>
    </row>
    <row r="20" spans="1:66" s="385" customFormat="1" ht="14.25" customHeight="1" x14ac:dyDescent="0.25">
      <c r="A20" s="290"/>
      <c r="B20" s="290"/>
      <c r="C20" s="290"/>
      <c r="D20" s="290"/>
      <c r="E20" s="290"/>
      <c r="F20" s="290"/>
      <c r="G20" s="290"/>
      <c r="H20" s="290"/>
      <c r="I20" s="371"/>
      <c r="J20" s="371"/>
      <c r="K20" s="371"/>
      <c r="L20" s="371"/>
      <c r="BK20" s="371"/>
      <c r="BL20" s="371"/>
      <c r="BM20" s="371"/>
      <c r="BN20" s="371"/>
    </row>
    <row r="21" spans="1:66" s="385" customFormat="1" ht="14.25" customHeight="1" x14ac:dyDescent="0.25">
      <c r="A21" s="290"/>
      <c r="B21" s="290"/>
      <c r="C21" s="290"/>
      <c r="D21" s="290"/>
      <c r="E21" s="290"/>
      <c r="F21" s="290"/>
      <c r="G21" s="290"/>
      <c r="H21" s="290"/>
      <c r="I21" s="371"/>
      <c r="J21" s="371"/>
      <c r="K21" s="371"/>
      <c r="L21" s="371"/>
      <c r="BK21" s="371"/>
      <c r="BL21" s="371"/>
      <c r="BM21" s="371"/>
      <c r="BN21" s="371"/>
    </row>
    <row r="22" spans="1:66" s="385" customFormat="1" ht="14.25" customHeight="1" x14ac:dyDescent="0.25">
      <c r="A22" s="290"/>
      <c r="B22" s="290"/>
      <c r="C22" s="290"/>
      <c r="D22" s="290"/>
      <c r="E22" s="290"/>
      <c r="F22" s="290"/>
      <c r="G22" s="290"/>
      <c r="H22" s="290"/>
      <c r="I22" s="371"/>
      <c r="J22" s="371"/>
      <c r="K22" s="371"/>
      <c r="L22" s="371"/>
      <c r="BK22" s="371"/>
      <c r="BL22" s="371"/>
      <c r="BM22" s="371"/>
      <c r="BN22" s="371"/>
    </row>
    <row r="23" spans="1:66" s="385" customFormat="1" ht="15" customHeight="1" x14ac:dyDescent="0.25">
      <c r="A23" s="290"/>
      <c r="B23" s="290"/>
      <c r="C23" s="290"/>
      <c r="D23" s="290"/>
      <c r="E23" s="290"/>
      <c r="F23" s="290"/>
      <c r="G23" s="290"/>
      <c r="H23" s="290"/>
      <c r="I23" s="371"/>
      <c r="J23" s="371"/>
      <c r="K23" s="371"/>
      <c r="L23" s="371"/>
      <c r="BK23" s="371"/>
      <c r="BL23" s="371"/>
      <c r="BM23" s="371"/>
      <c r="BN23" s="371"/>
    </row>
    <row r="24" spans="1:66" s="385" customFormat="1" ht="15" customHeight="1" x14ac:dyDescent="0.25">
      <c r="A24" s="290"/>
      <c r="B24" s="290"/>
      <c r="C24" s="290"/>
      <c r="D24" s="290"/>
      <c r="E24" s="290"/>
      <c r="F24" s="290"/>
      <c r="G24" s="290"/>
      <c r="H24" s="290"/>
      <c r="I24" s="371"/>
      <c r="J24" s="371"/>
      <c r="K24" s="371"/>
      <c r="L24" s="371"/>
      <c r="M24" s="386"/>
      <c r="N24" s="386"/>
      <c r="O24" s="386"/>
      <c r="BK24" s="371"/>
      <c r="BL24" s="371"/>
      <c r="BM24" s="371"/>
      <c r="BN24" s="371"/>
    </row>
    <row r="25" spans="1:66" s="385" customFormat="1" ht="30.75" customHeight="1" x14ac:dyDescent="0.25">
      <c r="A25" s="290"/>
      <c r="B25" s="290"/>
      <c r="C25" s="290"/>
      <c r="D25" s="290"/>
      <c r="E25" s="290"/>
      <c r="F25" s="290"/>
      <c r="G25" s="290"/>
      <c r="H25" s="290"/>
      <c r="I25" s="371"/>
      <c r="J25" s="371"/>
      <c r="K25" s="371"/>
      <c r="L25" s="371"/>
      <c r="M25" s="386"/>
      <c r="N25" s="386"/>
      <c r="O25" s="386"/>
      <c r="BK25" s="371"/>
      <c r="BL25" s="371"/>
      <c r="BM25" s="371"/>
      <c r="BN25" s="371"/>
    </row>
    <row r="26" spans="1:66" s="385" customFormat="1" ht="15" customHeight="1" x14ac:dyDescent="0.25">
      <c r="A26" s="290"/>
      <c r="B26" s="290"/>
      <c r="C26" s="290"/>
      <c r="D26" s="290"/>
      <c r="E26" s="290"/>
      <c r="F26" s="290"/>
      <c r="G26" s="290"/>
      <c r="H26" s="290"/>
      <c r="I26" s="371"/>
      <c r="J26" s="371"/>
      <c r="K26" s="371"/>
      <c r="L26" s="371"/>
      <c r="M26" s="386"/>
      <c r="N26" s="386"/>
      <c r="O26" s="387"/>
      <c r="BK26" s="371"/>
      <c r="BL26" s="371"/>
      <c r="BM26" s="371"/>
      <c r="BN26" s="371"/>
    </row>
    <row r="27" spans="1:66" s="385" customFormat="1" ht="15" customHeight="1" x14ac:dyDescent="0.25">
      <c r="A27" s="290"/>
      <c r="B27" s="290"/>
      <c r="C27" s="290"/>
      <c r="D27" s="290"/>
      <c r="E27" s="290"/>
      <c r="F27" s="290"/>
      <c r="G27" s="290"/>
      <c r="H27" s="290"/>
      <c r="I27" s="371"/>
      <c r="J27" s="371"/>
      <c r="K27" s="371"/>
      <c r="L27" s="371"/>
      <c r="M27" s="386"/>
      <c r="N27" s="386"/>
      <c r="O27" s="387"/>
      <c r="BK27" s="371"/>
      <c r="BL27" s="371"/>
      <c r="BM27" s="371"/>
      <c r="BN27" s="371"/>
    </row>
    <row r="28" spans="1:66" s="385" customFormat="1" ht="15" customHeight="1" x14ac:dyDescent="0.25">
      <c r="A28" s="290"/>
      <c r="B28" s="290"/>
      <c r="C28" s="290"/>
      <c r="D28" s="290"/>
      <c r="E28" s="290"/>
      <c r="F28" s="290"/>
      <c r="G28" s="290"/>
      <c r="H28" s="290"/>
      <c r="I28" s="371"/>
      <c r="J28" s="371"/>
      <c r="K28" s="371"/>
      <c r="L28" s="371"/>
      <c r="M28" s="386"/>
      <c r="N28" s="386"/>
      <c r="O28" s="387"/>
      <c r="BK28" s="371"/>
      <c r="BL28" s="371"/>
      <c r="BM28" s="371"/>
      <c r="BN28" s="371"/>
    </row>
    <row r="29" spans="1:66" s="385" customFormat="1" ht="15" customHeight="1" x14ac:dyDescent="0.25">
      <c r="A29" s="290"/>
      <c r="B29" s="290"/>
      <c r="C29" s="290"/>
      <c r="D29" s="290"/>
      <c r="E29" s="290"/>
      <c r="F29" s="290"/>
      <c r="G29" s="290"/>
      <c r="H29" s="290"/>
      <c r="I29" s="371"/>
      <c r="J29" s="371"/>
      <c r="K29" s="371"/>
      <c r="L29" s="371"/>
      <c r="M29" s="386"/>
      <c r="N29" s="386"/>
      <c r="O29" s="386"/>
      <c r="BK29" s="371"/>
      <c r="BL29" s="371"/>
      <c r="BM29" s="371"/>
      <c r="BN29" s="371"/>
    </row>
    <row r="30" spans="1:66" s="385" customFormat="1" ht="15" customHeight="1" x14ac:dyDescent="0.25">
      <c r="A30" s="290"/>
      <c r="B30" s="290"/>
      <c r="C30" s="290"/>
      <c r="D30" s="290"/>
      <c r="E30" s="290"/>
      <c r="F30" s="290"/>
      <c r="G30" s="290"/>
      <c r="H30" s="290"/>
      <c r="I30" s="371"/>
      <c r="J30" s="371"/>
      <c r="K30" s="371"/>
      <c r="L30" s="371"/>
      <c r="BK30" s="371"/>
      <c r="BL30" s="371"/>
      <c r="BM30" s="371"/>
      <c r="BN30" s="371"/>
    </row>
    <row r="31" spans="1:66" s="388" customFormat="1" x14ac:dyDescent="0.25">
      <c r="A31" s="290"/>
      <c r="B31" s="290"/>
      <c r="C31" s="290"/>
      <c r="D31" s="290"/>
      <c r="E31" s="290"/>
      <c r="F31" s="290"/>
      <c r="G31" s="290"/>
      <c r="H31" s="290"/>
      <c r="I31" s="371"/>
      <c r="J31" s="371"/>
      <c r="K31" s="371"/>
      <c r="L31" s="371"/>
      <c r="BK31" s="371"/>
      <c r="BL31" s="371"/>
      <c r="BM31" s="371"/>
      <c r="BN31" s="371"/>
    </row>
    <row r="32" spans="1:66" s="388" customFormat="1" x14ac:dyDescent="0.25">
      <c r="A32" s="290"/>
      <c r="B32" s="290"/>
      <c r="C32" s="290"/>
      <c r="D32" s="290"/>
      <c r="E32" s="290"/>
      <c r="F32" s="290"/>
      <c r="G32" s="290"/>
      <c r="H32" s="290"/>
      <c r="I32" s="371"/>
      <c r="J32" s="371"/>
      <c r="K32" s="371"/>
      <c r="L32" s="371"/>
      <c r="BK32" s="371"/>
      <c r="BL32" s="371"/>
      <c r="BM32" s="371"/>
      <c r="BN32" s="371"/>
    </row>
    <row r="33" spans="1:66" s="388" customFormat="1" x14ac:dyDescent="0.25">
      <c r="A33" s="290"/>
      <c r="B33" s="290"/>
      <c r="C33" s="290"/>
      <c r="D33" s="290"/>
      <c r="E33" s="290"/>
      <c r="F33" s="290"/>
      <c r="G33" s="290"/>
      <c r="H33" s="290"/>
      <c r="I33" s="371"/>
      <c r="J33" s="371"/>
      <c r="K33" s="371"/>
      <c r="L33" s="371"/>
      <c r="BK33" s="371"/>
      <c r="BL33" s="371"/>
      <c r="BM33" s="371"/>
      <c r="BN33" s="371"/>
    </row>
    <row r="34" spans="1:66" s="388" customFormat="1" ht="15" hidden="1" customHeight="1" x14ac:dyDescent="0.25">
      <c r="A34" s="290"/>
      <c r="B34" s="290"/>
      <c r="C34" s="290"/>
      <c r="D34" s="290"/>
      <c r="E34" s="290"/>
      <c r="F34" s="290"/>
      <c r="G34" s="290"/>
      <c r="H34" s="290"/>
      <c r="I34" s="371"/>
      <c r="J34" s="371"/>
      <c r="K34" s="371"/>
      <c r="L34" s="371"/>
      <c r="BK34" s="371"/>
      <c r="BL34" s="371"/>
      <c r="BM34" s="371"/>
      <c r="BN34" s="371"/>
    </row>
    <row r="35" spans="1:66" s="388" customFormat="1" ht="15" hidden="1" customHeight="1" x14ac:dyDescent="0.25">
      <c r="A35" s="290"/>
      <c r="B35" s="290"/>
      <c r="C35" s="290"/>
      <c r="D35" s="290"/>
      <c r="E35" s="290"/>
      <c r="F35" s="290"/>
      <c r="G35" s="290"/>
      <c r="H35" s="290"/>
      <c r="I35" s="371"/>
      <c r="J35" s="371"/>
      <c r="K35" s="371"/>
      <c r="L35" s="371"/>
      <c r="BK35" s="371"/>
      <c r="BL35" s="371"/>
      <c r="BM35" s="371"/>
      <c r="BN35" s="371"/>
    </row>
    <row r="36" spans="1:66" s="388" customFormat="1" ht="15" hidden="1" customHeight="1" x14ac:dyDescent="0.25">
      <c r="A36" s="290"/>
      <c r="B36" s="290"/>
      <c r="C36" s="290"/>
      <c r="D36" s="290"/>
      <c r="E36" s="290"/>
      <c r="F36" s="290"/>
      <c r="G36" s="290"/>
      <c r="H36" s="290"/>
      <c r="I36" s="371"/>
      <c r="J36" s="371"/>
      <c r="K36" s="371"/>
      <c r="L36" s="371"/>
      <c r="BK36" s="371"/>
      <c r="BL36" s="371"/>
      <c r="BM36" s="371"/>
      <c r="BN36" s="371"/>
    </row>
    <row r="37" spans="1:66" s="388" customFormat="1" ht="15" hidden="1" customHeight="1" x14ac:dyDescent="0.25">
      <c r="A37" s="290"/>
      <c r="B37" s="290"/>
      <c r="C37" s="290"/>
      <c r="D37" s="290"/>
      <c r="E37" s="290"/>
      <c r="F37" s="290"/>
      <c r="G37" s="290"/>
      <c r="H37" s="290"/>
      <c r="I37" s="371"/>
      <c r="J37" s="371"/>
      <c r="K37" s="371"/>
      <c r="L37" s="371"/>
      <c r="BK37" s="371"/>
      <c r="BL37" s="371"/>
      <c r="BM37" s="371"/>
      <c r="BN37" s="371"/>
    </row>
    <row r="38" spans="1:66" s="388" customFormat="1" ht="15" hidden="1" customHeight="1" x14ac:dyDescent="0.25">
      <c r="A38" s="290"/>
      <c r="B38" s="290"/>
      <c r="C38" s="290"/>
      <c r="D38" s="290"/>
      <c r="E38" s="290"/>
      <c r="F38" s="290"/>
      <c r="G38" s="290"/>
      <c r="H38" s="290"/>
      <c r="I38" s="371"/>
      <c r="J38" s="371"/>
      <c r="K38" s="371"/>
      <c r="L38" s="371"/>
      <c r="BK38" s="371"/>
      <c r="BL38" s="371"/>
      <c r="BM38" s="371"/>
      <c r="BN38" s="371"/>
    </row>
    <row r="39" spans="1:66" s="388" customFormat="1" ht="15" hidden="1" customHeight="1" x14ac:dyDescent="0.25">
      <c r="A39" s="290"/>
      <c r="B39" s="290"/>
      <c r="C39" s="290"/>
      <c r="D39" s="290"/>
      <c r="E39" s="290"/>
      <c r="F39" s="290"/>
      <c r="G39" s="290"/>
      <c r="H39" s="290"/>
      <c r="I39" s="371"/>
      <c r="J39" s="371"/>
      <c r="K39" s="371"/>
      <c r="L39" s="371"/>
      <c r="BK39" s="371"/>
      <c r="BL39" s="371"/>
      <c r="BM39" s="371"/>
      <c r="BN39" s="371"/>
    </row>
    <row r="40" spans="1:66" s="388" customFormat="1" ht="15" hidden="1" customHeight="1" x14ac:dyDescent="0.25">
      <c r="A40" s="290"/>
      <c r="B40" s="290"/>
      <c r="C40" s="290"/>
      <c r="D40" s="290"/>
      <c r="E40" s="290"/>
      <c r="F40" s="290"/>
      <c r="G40" s="290"/>
      <c r="H40" s="290"/>
      <c r="I40" s="371"/>
      <c r="J40" s="371"/>
      <c r="K40" s="371"/>
      <c r="L40" s="371"/>
      <c r="BK40" s="371"/>
      <c r="BL40" s="371"/>
      <c r="BM40" s="371"/>
      <c r="BN40" s="371"/>
    </row>
    <row r="41" spans="1:66" s="388" customFormat="1" x14ac:dyDescent="0.25">
      <c r="A41" s="290"/>
      <c r="B41" s="290"/>
      <c r="C41" s="290"/>
      <c r="D41" s="290"/>
      <c r="E41" s="290"/>
      <c r="F41" s="290"/>
      <c r="G41" s="290"/>
      <c r="H41" s="290"/>
      <c r="I41" s="371"/>
      <c r="J41" s="371"/>
      <c r="K41" s="371"/>
      <c r="L41" s="371"/>
      <c r="BK41" s="371"/>
      <c r="BL41" s="371"/>
      <c r="BM41" s="371"/>
      <c r="BN41" s="371"/>
    </row>
    <row r="42" spans="1:66" s="388" customFormat="1" x14ac:dyDescent="0.25">
      <c r="A42" s="290"/>
      <c r="B42" s="290"/>
      <c r="C42" s="290"/>
      <c r="D42" s="290"/>
      <c r="E42" s="290"/>
      <c r="F42" s="290"/>
      <c r="G42" s="290"/>
      <c r="H42" s="290"/>
      <c r="I42" s="371"/>
      <c r="J42" s="371"/>
      <c r="K42" s="371"/>
      <c r="L42" s="371"/>
      <c r="BK42" s="371"/>
      <c r="BL42" s="371"/>
      <c r="BM42" s="371"/>
      <c r="BN42" s="371"/>
    </row>
    <row r="43" spans="1:66" s="388" customFormat="1" x14ac:dyDescent="0.25">
      <c r="A43" s="290"/>
      <c r="B43" s="290"/>
      <c r="C43" s="290"/>
      <c r="D43" s="290"/>
      <c r="E43" s="290"/>
      <c r="F43" s="290"/>
      <c r="G43" s="290"/>
      <c r="H43" s="290"/>
      <c r="I43" s="371"/>
      <c r="J43" s="371"/>
      <c r="K43" s="371"/>
      <c r="L43" s="371"/>
      <c r="BK43" s="371"/>
      <c r="BL43" s="371"/>
      <c r="BM43" s="371"/>
      <c r="BN43" s="371"/>
    </row>
    <row r="44" spans="1:66" s="388" customFormat="1" x14ac:dyDescent="0.25">
      <c r="A44" s="290"/>
      <c r="B44" s="290"/>
      <c r="C44" s="290"/>
      <c r="D44" s="290"/>
      <c r="E44" s="290"/>
      <c r="F44" s="290"/>
      <c r="G44" s="290"/>
      <c r="H44" s="290"/>
      <c r="I44" s="371"/>
      <c r="J44" s="371"/>
      <c r="K44" s="371"/>
      <c r="L44" s="371"/>
      <c r="BK44" s="371"/>
      <c r="BL44" s="371"/>
      <c r="BM44" s="371"/>
      <c r="BN44" s="371"/>
    </row>
    <row r="45" spans="1:66" s="388" customFormat="1" x14ac:dyDescent="0.25">
      <c r="A45" s="290"/>
      <c r="B45" s="290"/>
      <c r="C45" s="290"/>
      <c r="D45" s="290"/>
      <c r="E45" s="290"/>
      <c r="F45" s="290"/>
      <c r="G45" s="290"/>
      <c r="H45" s="290"/>
      <c r="I45" s="371"/>
      <c r="J45" s="371"/>
      <c r="K45" s="371"/>
      <c r="L45" s="371"/>
      <c r="BK45" s="371"/>
      <c r="BL45" s="371"/>
      <c r="BM45" s="371"/>
      <c r="BN45" s="371"/>
    </row>
    <row r="46" spans="1:66" s="388" customFormat="1" x14ac:dyDescent="0.25">
      <c r="A46" s="290"/>
      <c r="B46" s="290"/>
      <c r="C46" s="290"/>
      <c r="D46" s="290"/>
      <c r="E46" s="290"/>
      <c r="F46" s="290"/>
      <c r="G46" s="290"/>
      <c r="H46" s="290"/>
      <c r="I46" s="371"/>
      <c r="J46" s="371"/>
      <c r="K46" s="371"/>
      <c r="L46" s="371"/>
      <c r="BK46" s="371"/>
      <c r="BL46" s="371"/>
      <c r="BM46" s="371"/>
      <c r="BN46" s="371"/>
    </row>
    <row r="47" spans="1:66" s="388" customFormat="1" x14ac:dyDescent="0.25">
      <c r="A47" s="290"/>
      <c r="B47" s="290"/>
      <c r="C47" s="290"/>
      <c r="D47" s="290"/>
      <c r="E47" s="290"/>
      <c r="F47" s="290"/>
      <c r="G47" s="290"/>
      <c r="H47" s="290"/>
      <c r="I47" s="371"/>
      <c r="J47" s="371"/>
      <c r="K47" s="371"/>
      <c r="L47" s="371"/>
      <c r="BK47" s="371"/>
      <c r="BL47" s="371"/>
      <c r="BM47" s="371"/>
      <c r="BN47" s="371"/>
    </row>
    <row r="48" spans="1:66" s="388" customFormat="1" x14ac:dyDescent="0.25">
      <c r="A48" s="290"/>
      <c r="B48" s="290"/>
      <c r="C48" s="290"/>
      <c r="D48" s="290"/>
      <c r="E48" s="290"/>
      <c r="F48" s="290"/>
      <c r="G48" s="290"/>
      <c r="H48" s="290"/>
      <c r="I48" s="371"/>
      <c r="J48" s="371"/>
      <c r="K48" s="371"/>
      <c r="L48" s="371"/>
      <c r="BK48" s="371"/>
      <c r="BL48" s="371"/>
      <c r="BM48" s="371"/>
      <c r="BN48" s="371"/>
    </row>
    <row r="49" spans="1:66" s="388" customFormat="1" x14ac:dyDescent="0.25">
      <c r="A49" s="290"/>
      <c r="B49" s="290"/>
      <c r="C49" s="290"/>
      <c r="D49" s="290"/>
      <c r="E49" s="290"/>
      <c r="F49" s="290"/>
      <c r="G49" s="290"/>
      <c r="H49" s="290"/>
      <c r="I49" s="371"/>
      <c r="J49" s="371"/>
      <c r="K49" s="371"/>
      <c r="L49" s="371"/>
      <c r="BK49" s="371"/>
      <c r="BL49" s="371"/>
      <c r="BM49" s="371"/>
      <c r="BN49" s="371"/>
    </row>
    <row r="50" spans="1:66" s="388" customFormat="1" x14ac:dyDescent="0.25">
      <c r="A50" s="290"/>
      <c r="B50" s="290"/>
      <c r="C50" s="290"/>
      <c r="D50" s="290"/>
      <c r="E50" s="290"/>
      <c r="F50" s="290"/>
      <c r="G50" s="290"/>
      <c r="H50" s="290"/>
      <c r="I50" s="371"/>
      <c r="J50" s="371"/>
      <c r="K50" s="371"/>
      <c r="L50" s="371"/>
      <c r="BK50" s="371"/>
      <c r="BL50" s="371"/>
      <c r="BM50" s="371"/>
      <c r="BN50" s="371"/>
    </row>
    <row r="51" spans="1:66" s="388" customFormat="1" x14ac:dyDescent="0.25">
      <c r="A51" s="290"/>
      <c r="B51" s="290"/>
      <c r="C51" s="290"/>
      <c r="D51" s="290"/>
      <c r="E51" s="290"/>
      <c r="F51" s="290"/>
      <c r="G51" s="290"/>
      <c r="H51" s="290"/>
      <c r="I51" s="371"/>
      <c r="J51" s="371"/>
      <c r="K51" s="371"/>
      <c r="L51" s="371"/>
      <c r="BK51" s="371"/>
      <c r="BL51" s="371"/>
      <c r="BM51" s="371"/>
      <c r="BN51" s="371"/>
    </row>
    <row r="52" spans="1:66" s="388" customFormat="1" x14ac:dyDescent="0.25">
      <c r="A52" s="290"/>
      <c r="B52" s="290"/>
      <c r="C52" s="290"/>
      <c r="D52" s="290"/>
      <c r="E52" s="290"/>
      <c r="F52" s="290"/>
      <c r="G52" s="290"/>
      <c r="H52" s="290"/>
      <c r="I52" s="371"/>
      <c r="J52" s="371"/>
      <c r="K52" s="371"/>
      <c r="L52" s="371"/>
      <c r="BK52" s="371"/>
      <c r="BL52" s="371"/>
      <c r="BM52" s="371"/>
      <c r="BN52" s="371"/>
    </row>
    <row r="53" spans="1:66" s="388" customFormat="1" x14ac:dyDescent="0.25"/>
    <row r="54" spans="1:66" s="388" customFormat="1" x14ac:dyDescent="0.25"/>
    <row r="55" spans="1:66" s="388" customFormat="1" x14ac:dyDescent="0.25"/>
    <row r="56" spans="1:66" s="388" customFormat="1" x14ac:dyDescent="0.25"/>
    <row r="57" spans="1:66" s="388" customFormat="1" x14ac:dyDescent="0.25"/>
    <row r="58" spans="1:66" s="388" customFormat="1" x14ac:dyDescent="0.25"/>
    <row r="59" spans="1:66" s="388" customFormat="1" x14ac:dyDescent="0.25"/>
    <row r="60" spans="1:66" s="388" customFormat="1" x14ac:dyDescent="0.25"/>
    <row r="61" spans="1:66" s="388" customFormat="1" x14ac:dyDescent="0.25"/>
    <row r="62" spans="1:66" s="388" customFormat="1" x14ac:dyDescent="0.25"/>
    <row r="63" spans="1:66" s="388" customFormat="1" x14ac:dyDescent="0.25"/>
    <row r="64" spans="1:66" s="388" customFormat="1" x14ac:dyDescent="0.25"/>
    <row r="65" s="388" customFormat="1" x14ac:dyDescent="0.25"/>
    <row r="66" s="388" customFormat="1" x14ac:dyDescent="0.25"/>
    <row r="67" s="388" customFormat="1" x14ac:dyDescent="0.25"/>
    <row r="68" s="388" customFormat="1" x14ac:dyDescent="0.25"/>
    <row r="69" s="388" customFormat="1" x14ac:dyDescent="0.25"/>
    <row r="70" s="388" customFormat="1" x14ac:dyDescent="0.25"/>
    <row r="71" s="388" customFormat="1" x14ac:dyDescent="0.25"/>
    <row r="72" s="388" customFormat="1" x14ac:dyDescent="0.25"/>
    <row r="73" s="388" customFormat="1" x14ac:dyDescent="0.25"/>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52"/>
  <sheetViews>
    <sheetView showGridLines="0" zoomScale="80" zoomScaleNormal="80" workbookViewId="0">
      <pane xSplit="3" ySplit="3" topLeftCell="D4" activePane="bottomRight" state="frozen"/>
      <selection activeCell="F9" sqref="F9"/>
      <selection pane="topRight" activeCell="F9" sqref="F9"/>
      <selection pane="bottomLeft" activeCell="F9" sqref="F9"/>
      <selection pane="bottomRight" activeCell="H8" sqref="H8"/>
    </sheetView>
  </sheetViews>
  <sheetFormatPr defaultColWidth="13.7109375" defaultRowHeight="15" outlineLevelCol="1" x14ac:dyDescent="0.25"/>
  <cols>
    <col min="1" max="1" width="15.42578125" style="453" customWidth="1"/>
    <col min="2" max="2" width="11.42578125" style="453" customWidth="1"/>
    <col min="3" max="3" width="14.140625" style="454" customWidth="1"/>
    <col min="4" max="4" width="13.42578125" style="454" customWidth="1"/>
    <col min="5" max="5" width="9.140625" style="454" customWidth="1"/>
    <col min="6" max="6" width="21.85546875" style="455" customWidth="1"/>
    <col min="7" max="7" width="15.5703125" style="454" customWidth="1"/>
    <col min="8" max="8" width="13.42578125" style="454" customWidth="1"/>
    <col min="9" max="9" width="13.5703125" style="454" customWidth="1"/>
    <col min="10" max="10" width="20.7109375" style="454" customWidth="1"/>
    <col min="11" max="11" width="12.85546875" style="484" customWidth="1"/>
    <col min="12" max="12" width="20.42578125" style="454" customWidth="1"/>
    <col min="13" max="13" width="14.85546875" style="456" customWidth="1"/>
    <col min="14" max="14" width="17.5703125" style="456" customWidth="1"/>
    <col min="15" max="15" width="9.140625" style="391" customWidth="1" outlineLevel="1"/>
    <col min="16" max="16" width="10.140625" style="391" customWidth="1" outlineLevel="1"/>
    <col min="17" max="26" width="10.42578125" style="391" customWidth="1" outlineLevel="1"/>
    <col min="27" max="27" width="10.5703125" style="391" bestFit="1" customWidth="1"/>
    <col min="28" max="28" width="3.42578125" style="485" customWidth="1"/>
    <col min="29" max="40" width="15.7109375" style="456" customWidth="1" outlineLevel="1"/>
    <col min="41" max="41" width="15.7109375" style="456" customWidth="1"/>
    <col min="42" max="42" width="3.140625" style="456" customWidth="1"/>
    <col min="43" max="54" width="15.7109375" style="456" customWidth="1" outlineLevel="1"/>
    <col min="55" max="55" width="15.7109375" style="456" customWidth="1"/>
    <col min="56" max="56" width="9.5703125" style="456" customWidth="1"/>
    <col min="57" max="57" width="13.7109375" style="456"/>
    <col min="58" max="58" width="23.140625" style="456" customWidth="1"/>
    <col min="59" max="59" width="21.42578125" style="456" customWidth="1"/>
    <col min="60" max="64" width="13.7109375" style="456"/>
    <col min="65" max="65" width="40.42578125" style="456" customWidth="1"/>
    <col min="66" max="16384" width="13.7109375" style="456"/>
  </cols>
  <sheetData>
    <row r="1" spans="1:66" x14ac:dyDescent="0.25">
      <c r="K1" s="455"/>
      <c r="O1" s="457"/>
      <c r="AB1" s="389"/>
      <c r="AC1" s="390"/>
      <c r="AD1" s="390"/>
      <c r="AE1" s="391"/>
      <c r="AF1" s="391"/>
      <c r="AG1" s="391"/>
      <c r="AH1" s="391"/>
      <c r="AI1" s="391"/>
      <c r="AJ1" s="391"/>
      <c r="AK1" s="391"/>
      <c r="AL1" s="391"/>
      <c r="AM1" s="391"/>
      <c r="AN1" s="391"/>
      <c r="AO1" s="391"/>
      <c r="AP1" s="458"/>
      <c r="AQ1" s="390"/>
      <c r="AR1" s="390"/>
      <c r="AS1" s="391"/>
      <c r="AT1" s="391"/>
      <c r="AU1" s="391"/>
      <c r="AV1" s="391"/>
      <c r="AW1" s="391"/>
      <c r="AX1" s="391"/>
      <c r="AY1" s="391"/>
      <c r="AZ1" s="391"/>
      <c r="BA1" s="391"/>
      <c r="BB1" s="391"/>
      <c r="BC1" s="391"/>
      <c r="BD1" s="391"/>
      <c r="BE1" s="459"/>
      <c r="BK1" s="460"/>
      <c r="BL1" s="460"/>
      <c r="BM1" s="460"/>
    </row>
    <row r="2" spans="1:66" x14ac:dyDescent="0.25">
      <c r="A2" s="486"/>
      <c r="B2" s="487"/>
      <c r="C2" s="488"/>
      <c r="D2" s="489"/>
      <c r="E2" s="490"/>
      <c r="F2" s="491"/>
      <c r="G2" s="488"/>
      <c r="H2" s="488"/>
      <c r="I2" s="488"/>
      <c r="J2" s="488"/>
      <c r="K2" s="491"/>
      <c r="L2" s="488"/>
      <c r="M2" s="492"/>
      <c r="N2" s="492"/>
      <c r="O2" s="493" t="s">
        <v>2783</v>
      </c>
      <c r="P2" s="494"/>
      <c r="Q2" s="494"/>
      <c r="R2" s="494"/>
      <c r="S2" s="493"/>
      <c r="T2" s="494"/>
      <c r="U2" s="494"/>
      <c r="V2" s="494"/>
      <c r="W2" s="494"/>
      <c r="X2" s="494"/>
      <c r="Y2" s="494"/>
      <c r="Z2" s="494"/>
      <c r="AA2" s="494"/>
      <c r="AB2" s="495"/>
      <c r="AC2" s="493" t="s">
        <v>3289</v>
      </c>
      <c r="AD2" s="494"/>
      <c r="AE2" s="494"/>
      <c r="AF2" s="494"/>
      <c r="AG2" s="493"/>
      <c r="AH2" s="494"/>
      <c r="AI2" s="494"/>
      <c r="AJ2" s="494"/>
      <c r="AK2" s="494"/>
      <c r="AL2" s="494"/>
      <c r="AM2" s="494"/>
      <c r="AN2" s="494"/>
      <c r="AO2" s="494"/>
      <c r="AP2" s="495"/>
      <c r="AQ2" s="493" t="s">
        <v>3301</v>
      </c>
      <c r="AR2" s="494"/>
      <c r="AS2" s="494"/>
      <c r="AT2" s="494"/>
      <c r="AU2" s="493"/>
      <c r="AV2" s="494"/>
      <c r="AW2" s="494"/>
      <c r="AX2" s="494"/>
      <c r="AY2" s="494"/>
      <c r="AZ2" s="494"/>
      <c r="BA2" s="494"/>
      <c r="BB2" s="494"/>
      <c r="BC2" s="496"/>
      <c r="BD2" s="391"/>
      <c r="BE2" s="459"/>
      <c r="BG2" s="461" t="s">
        <v>2781</v>
      </c>
      <c r="BH2" s="392">
        <v>16500</v>
      </c>
      <c r="BK2" s="460"/>
      <c r="BL2" s="460"/>
      <c r="BM2" s="460"/>
    </row>
    <row r="3" spans="1:66" s="504" customFormat="1" ht="45" x14ac:dyDescent="0.25">
      <c r="A3" s="497" t="s">
        <v>234</v>
      </c>
      <c r="B3" s="498" t="s">
        <v>15</v>
      </c>
      <c r="C3" s="498" t="s">
        <v>16</v>
      </c>
      <c r="D3" s="636" t="s">
        <v>46</v>
      </c>
      <c r="E3" s="636"/>
      <c r="F3" s="499" t="s">
        <v>392</v>
      </c>
      <c r="G3" s="498" t="s">
        <v>403</v>
      </c>
      <c r="H3" s="498" t="s">
        <v>1725</v>
      </c>
      <c r="I3" s="498" t="s">
        <v>1688</v>
      </c>
      <c r="J3" s="498" t="s">
        <v>3290</v>
      </c>
      <c r="K3" s="499" t="s">
        <v>1687</v>
      </c>
      <c r="L3" s="498" t="s">
        <v>3291</v>
      </c>
      <c r="M3" s="498" t="s">
        <v>1514</v>
      </c>
      <c r="N3" s="498" t="s">
        <v>1515</v>
      </c>
      <c r="O3" s="500" t="s">
        <v>2579</v>
      </c>
      <c r="P3" s="500" t="s">
        <v>2580</v>
      </c>
      <c r="Q3" s="500" t="s">
        <v>2581</v>
      </c>
      <c r="R3" s="500" t="s">
        <v>2582</v>
      </c>
      <c r="S3" s="500" t="s">
        <v>2583</v>
      </c>
      <c r="T3" s="500" t="s">
        <v>2584</v>
      </c>
      <c r="U3" s="500" t="s">
        <v>2585</v>
      </c>
      <c r="V3" s="500" t="s">
        <v>2586</v>
      </c>
      <c r="W3" s="500" t="s">
        <v>2587</v>
      </c>
      <c r="X3" s="500" t="s">
        <v>2588</v>
      </c>
      <c r="Y3" s="500" t="s">
        <v>2589</v>
      </c>
      <c r="Z3" s="500" t="s">
        <v>2590</v>
      </c>
      <c r="AA3" s="500" t="s">
        <v>2578</v>
      </c>
      <c r="AB3" s="501"/>
      <c r="AC3" s="500" t="s">
        <v>2579</v>
      </c>
      <c r="AD3" s="500" t="s">
        <v>2580</v>
      </c>
      <c r="AE3" s="500" t="s">
        <v>2581</v>
      </c>
      <c r="AF3" s="500" t="s">
        <v>2582</v>
      </c>
      <c r="AG3" s="500" t="s">
        <v>2583</v>
      </c>
      <c r="AH3" s="500" t="s">
        <v>2584</v>
      </c>
      <c r="AI3" s="500" t="s">
        <v>2585</v>
      </c>
      <c r="AJ3" s="500" t="s">
        <v>2586</v>
      </c>
      <c r="AK3" s="500" t="s">
        <v>2587</v>
      </c>
      <c r="AL3" s="500" t="s">
        <v>2588</v>
      </c>
      <c r="AM3" s="500" t="s">
        <v>2589</v>
      </c>
      <c r="AN3" s="500" t="s">
        <v>2590</v>
      </c>
      <c r="AO3" s="500" t="s">
        <v>2578</v>
      </c>
      <c r="AP3" s="501"/>
      <c r="AQ3" s="500" t="s">
        <v>2579</v>
      </c>
      <c r="AR3" s="500" t="s">
        <v>2580</v>
      </c>
      <c r="AS3" s="500" t="s">
        <v>2581</v>
      </c>
      <c r="AT3" s="500" t="s">
        <v>2582</v>
      </c>
      <c r="AU3" s="500" t="s">
        <v>2583</v>
      </c>
      <c r="AV3" s="500" t="s">
        <v>2584</v>
      </c>
      <c r="AW3" s="500" t="s">
        <v>2585</v>
      </c>
      <c r="AX3" s="500" t="s">
        <v>2586</v>
      </c>
      <c r="AY3" s="500" t="s">
        <v>2587</v>
      </c>
      <c r="AZ3" s="500" t="s">
        <v>2588</v>
      </c>
      <c r="BA3" s="500" t="s">
        <v>2589</v>
      </c>
      <c r="BB3" s="500" t="s">
        <v>2590</v>
      </c>
      <c r="BC3" s="500" t="s">
        <v>2578</v>
      </c>
      <c r="BD3" s="393" t="s">
        <v>2012</v>
      </c>
      <c r="BE3" s="502" t="s">
        <v>1516</v>
      </c>
      <c r="BF3" s="394" t="s">
        <v>1443</v>
      </c>
      <c r="BG3" s="394" t="s">
        <v>1742</v>
      </c>
      <c r="BH3" s="394" t="s">
        <v>1743</v>
      </c>
      <c r="BI3" s="394" t="s">
        <v>2591</v>
      </c>
      <c r="BJ3" s="502" t="s">
        <v>1734</v>
      </c>
      <c r="BK3" s="503" t="s">
        <v>1518</v>
      </c>
      <c r="BL3" s="503" t="s">
        <v>1519</v>
      </c>
      <c r="BM3" s="503" t="s">
        <v>2644</v>
      </c>
      <c r="BN3" s="503" t="s">
        <v>2054</v>
      </c>
    </row>
    <row r="4" spans="1:66" s="479" customFormat="1" x14ac:dyDescent="0.25">
      <c r="A4" s="462" t="str">
        <f>IF(D4="","",Cover!$D$8)</f>
        <v/>
      </c>
      <c r="B4" s="462" t="str">
        <f>IF(D4="","",Cover!$D$7)</f>
        <v/>
      </c>
      <c r="C4" s="397" t="str">
        <f>IF(F4="","",IFERROR(VLOOKUP(F4,'Master Data'!$E$59:$J$144,6,FALSE),0))</f>
        <v/>
      </c>
      <c r="D4" s="463" t="str">
        <f>IF(F4="","",IFERROR(VLOOKUP(F4,'Master Data'!$E$59:$L$146,8,FALSE),0))</f>
        <v/>
      </c>
      <c r="E4" s="397" t="str">
        <f>IF(D4="","",IFERROR(VLOOKUP(D4,'Master Data'!$D$59:$I$146,6,FALSE),0))</f>
        <v/>
      </c>
      <c r="F4" s="464"/>
      <c r="G4" s="465"/>
      <c r="H4" s="466">
        <f>IFERROR(VLOOKUP(G4,'Master Data'!$C$336:$I$353,7,FALSE),0)</f>
        <v>0</v>
      </c>
      <c r="I4" s="467">
        <f>IFERROR(VLOOKUP(H4,'Master Data'!$B$336:$D$351,3,FALSE),0)</f>
        <v>0</v>
      </c>
      <c r="J4" s="468">
        <f>IFERROR(VLOOKUP(H4,'Master Data'!$B$336:$H$353,7,FALSE),0)</f>
        <v>0</v>
      </c>
      <c r="K4" s="469"/>
      <c r="L4" s="470" t="str">
        <f>IFERROR(IF(I5="FIXED ASSET",J4&amp;E4&amp;K4,VLOOKUP(F4,'Master Data'!$E$59:$H$144,4,FALSE)&amp;"-"&amp;J4&amp;"-"&amp;K4),"-")</f>
        <v>-</v>
      </c>
      <c r="M4" s="464"/>
      <c r="N4" s="471"/>
      <c r="O4" s="405"/>
      <c r="P4" s="405"/>
      <c r="Q4" s="405"/>
      <c r="R4" s="405"/>
      <c r="S4" s="405"/>
      <c r="T4" s="405"/>
      <c r="U4" s="405"/>
      <c r="V4" s="405"/>
      <c r="W4" s="405"/>
      <c r="X4" s="405"/>
      <c r="Y4" s="405"/>
      <c r="Z4" s="405"/>
      <c r="AA4" s="472">
        <f>SUM(O4:Z4)</f>
        <v>0</v>
      </c>
      <c r="AB4" s="473"/>
      <c r="AC4" s="405"/>
      <c r="AD4" s="405"/>
      <c r="AE4" s="405"/>
      <c r="AF4" s="405"/>
      <c r="AG4" s="405"/>
      <c r="AH4" s="405"/>
      <c r="AI4" s="405"/>
      <c r="AJ4" s="405"/>
      <c r="AK4" s="405"/>
      <c r="AL4" s="405"/>
      <c r="AM4" s="405"/>
      <c r="AN4" s="405"/>
      <c r="AO4" s="406">
        <f>SUM(AC4:AN4)</f>
        <v>0</v>
      </c>
      <c r="AP4" s="474"/>
      <c r="AQ4" s="405"/>
      <c r="AR4" s="405"/>
      <c r="AS4" s="405"/>
      <c r="AT4" s="405"/>
      <c r="AU4" s="405"/>
      <c r="AV4" s="405"/>
      <c r="AW4" s="405"/>
      <c r="AX4" s="405"/>
      <c r="AY4" s="405"/>
      <c r="AZ4" s="405"/>
      <c r="BA4" s="405"/>
      <c r="BB4" s="405"/>
      <c r="BC4" s="406">
        <f>SUM(AQ4:BB4)</f>
        <v>0</v>
      </c>
      <c r="BD4" s="475">
        <f>+AA4-BI4</f>
        <v>0</v>
      </c>
      <c r="BE4" s="465"/>
      <c r="BF4" s="476"/>
      <c r="BG4" s="476"/>
      <c r="BH4" s="476"/>
      <c r="BI4" s="410">
        <f t="shared" ref="BI4:BI35" si="0">IF(BG4="USD",BH4*$BH$2,IF(BG4="IDR",BH4,0))</f>
        <v>0</v>
      </c>
      <c r="BJ4" s="476"/>
      <c r="BK4" s="477" t="str">
        <f t="shared" ref="BK4:BK52" si="1">IF($I4="PROJECT","Please Fill Start Date","")</f>
        <v/>
      </c>
      <c r="BL4" s="477" t="str">
        <f>IF($I4="PROJECT","Please Fill Finish Date","")</f>
        <v/>
      </c>
      <c r="BM4" s="477" t="str">
        <f>IF(AA4&gt;0,"Please Fill Remarks","")</f>
        <v/>
      </c>
      <c r="BN4" s="478"/>
    </row>
    <row r="5" spans="1:66" s="479" customFormat="1" x14ac:dyDescent="0.25">
      <c r="A5" s="462" t="str">
        <f>IF(D5="","",Cover!$D$8)</f>
        <v/>
      </c>
      <c r="B5" s="462" t="str">
        <f>IF(D5="","",Cover!$D$7)</f>
        <v/>
      </c>
      <c r="C5" s="397" t="str">
        <f>IF(F5="","",IFERROR(VLOOKUP(F5,'Master Data'!$E$59:$J$144,6,FALSE),0))</f>
        <v/>
      </c>
      <c r="D5" s="463" t="str">
        <f>IF(F5="","",IFERROR(VLOOKUP(F5,'Master Data'!$E$59:$L$146,8,FALSE),0))</f>
        <v/>
      </c>
      <c r="E5" s="397" t="str">
        <f>IF(D5="","",IFERROR(VLOOKUP(D5,'Master Data'!$D$59:$I$146,6,FALSE),0))</f>
        <v/>
      </c>
      <c r="F5" s="464"/>
      <c r="G5" s="465"/>
      <c r="H5" s="466">
        <f>IFERROR(VLOOKUP(G5,'Master Data'!$C$336:$I$353,7,FALSE),0)</f>
        <v>0</v>
      </c>
      <c r="I5" s="467">
        <f>IFERROR(VLOOKUP(H5,'Master Data'!$B$336:$D$351,3,FALSE),0)</f>
        <v>0</v>
      </c>
      <c r="J5" s="468">
        <f>IFERROR(VLOOKUP(H5,'Master Data'!$B$336:$H$353,7,FALSE),0)</f>
        <v>0</v>
      </c>
      <c r="K5" s="469"/>
      <c r="L5" s="470" t="str">
        <f>IFERROR(IF(I6="FIXED ASSET",J5&amp;E5&amp;K5,VLOOKUP(F5,'Master Data'!$E$59:$H$144,4,FALSE)&amp;"-"&amp;J5&amp;"-"&amp;K5),"-")</f>
        <v>-</v>
      </c>
      <c r="M5" s="464"/>
      <c r="N5" s="471"/>
      <c r="O5" s="405"/>
      <c r="P5" s="405"/>
      <c r="Q5" s="405"/>
      <c r="R5" s="405"/>
      <c r="S5" s="405"/>
      <c r="T5" s="405"/>
      <c r="U5" s="405"/>
      <c r="V5" s="405"/>
      <c r="W5" s="405"/>
      <c r="X5" s="405"/>
      <c r="Y5" s="405"/>
      <c r="Z5" s="405"/>
      <c r="AA5" s="480">
        <f t="shared" ref="AA5:AA25" si="2">SUM(O5:Z5)</f>
        <v>0</v>
      </c>
      <c r="AB5" s="473"/>
      <c r="AC5" s="405"/>
      <c r="AD5" s="405"/>
      <c r="AE5" s="405"/>
      <c r="AF5" s="405"/>
      <c r="AG5" s="405"/>
      <c r="AH5" s="405"/>
      <c r="AI5" s="405"/>
      <c r="AJ5" s="405"/>
      <c r="AK5" s="405"/>
      <c r="AL5" s="405"/>
      <c r="AM5" s="405"/>
      <c r="AN5" s="405"/>
      <c r="AO5" s="406">
        <f>SUM(AC5:AN5)</f>
        <v>0</v>
      </c>
      <c r="AP5" s="474"/>
      <c r="AQ5" s="405"/>
      <c r="AR5" s="405"/>
      <c r="AS5" s="405"/>
      <c r="AT5" s="405"/>
      <c r="AU5" s="405"/>
      <c r="AV5" s="405"/>
      <c r="AW5" s="405"/>
      <c r="AX5" s="405"/>
      <c r="AY5" s="405"/>
      <c r="AZ5" s="405"/>
      <c r="BA5" s="405"/>
      <c r="BB5" s="405"/>
      <c r="BC5" s="406">
        <f>SUM(AQ5:BB5)</f>
        <v>0</v>
      </c>
      <c r="BD5" s="475">
        <f t="shared" ref="BD5:BD52" si="3">+AA5-BI5</f>
        <v>0</v>
      </c>
      <c r="BE5" s="465"/>
      <c r="BF5" s="476"/>
      <c r="BG5" s="476"/>
      <c r="BH5" s="476"/>
      <c r="BI5" s="410">
        <f t="shared" si="0"/>
        <v>0</v>
      </c>
      <c r="BJ5" s="476"/>
      <c r="BK5" s="477" t="str">
        <f t="shared" si="1"/>
        <v/>
      </c>
      <c r="BL5" s="477" t="str">
        <f t="shared" ref="BL5:BL52" si="4">IF($I5="PROJECT","Please Fill Finish Date","")</f>
        <v/>
      </c>
      <c r="BM5" s="477" t="str">
        <f t="shared" ref="BM5:BM52" si="5">IF(AA5&gt;0,"Please Fill Remarks","")</f>
        <v/>
      </c>
      <c r="BN5" s="478"/>
    </row>
    <row r="6" spans="1:66" s="479" customFormat="1" x14ac:dyDescent="0.25">
      <c r="A6" s="462" t="str">
        <f>IF(D6="","",Cover!$D$8)</f>
        <v/>
      </c>
      <c r="B6" s="462" t="str">
        <f>IF(D6="","",Cover!$D$7)</f>
        <v/>
      </c>
      <c r="C6" s="397" t="str">
        <f>IF(F6="","",IFERROR(VLOOKUP(F6,'Master Data'!$E$59:$J$144,6,FALSE),0))</f>
        <v/>
      </c>
      <c r="D6" s="463" t="str">
        <f>IF(F6="","",IFERROR(VLOOKUP(F6,'Master Data'!$E$59:$L$146,8,FALSE),0))</f>
        <v/>
      </c>
      <c r="E6" s="397" t="str">
        <f>IF(D6="","",IFERROR(VLOOKUP(D6,'Master Data'!$D$59:$I$146,6,FALSE),0))</f>
        <v/>
      </c>
      <c r="F6" s="464"/>
      <c r="G6" s="465"/>
      <c r="H6" s="466">
        <f>IFERROR(VLOOKUP(G6,'Master Data'!$C$336:$I$353,7,FALSE),0)</f>
        <v>0</v>
      </c>
      <c r="I6" s="467">
        <f>IFERROR(VLOOKUP(H6,'Master Data'!$B$336:$D$351,3,FALSE),0)</f>
        <v>0</v>
      </c>
      <c r="J6" s="468">
        <f>IFERROR(VLOOKUP(H6,'Master Data'!$B$336:$H$353,7,FALSE),0)</f>
        <v>0</v>
      </c>
      <c r="K6" s="469"/>
      <c r="L6" s="470" t="str">
        <f>IFERROR(IF(I7="FIXED ASSET",J6&amp;E6&amp;K6,VLOOKUP(F6,'Master Data'!$E$59:$H$144,4,FALSE)&amp;"-"&amp;J6&amp;"-"&amp;K6),"-")</f>
        <v>-</v>
      </c>
      <c r="M6" s="464"/>
      <c r="N6" s="471"/>
      <c r="O6" s="405"/>
      <c r="P6" s="405"/>
      <c r="Q6" s="405"/>
      <c r="R6" s="405"/>
      <c r="S6" s="405"/>
      <c r="T6" s="405"/>
      <c r="U6" s="405"/>
      <c r="V6" s="405"/>
      <c r="W6" s="405"/>
      <c r="X6" s="405"/>
      <c r="Y6" s="405"/>
      <c r="Z6" s="405"/>
      <c r="AA6" s="480">
        <f t="shared" si="2"/>
        <v>0</v>
      </c>
      <c r="AB6" s="473"/>
      <c r="AC6" s="405"/>
      <c r="AD6" s="405"/>
      <c r="AE6" s="405"/>
      <c r="AF6" s="405"/>
      <c r="AG6" s="405"/>
      <c r="AH6" s="405"/>
      <c r="AI6" s="405"/>
      <c r="AJ6" s="405"/>
      <c r="AK6" s="405"/>
      <c r="AL6" s="405"/>
      <c r="AM6" s="405"/>
      <c r="AN6" s="405"/>
      <c r="AO6" s="406">
        <f t="shared" ref="AO6:AO52" si="6">SUM(AC6:AN6)</f>
        <v>0</v>
      </c>
      <c r="AP6" s="474"/>
      <c r="AQ6" s="405"/>
      <c r="AR6" s="405"/>
      <c r="AS6" s="405"/>
      <c r="AT6" s="405"/>
      <c r="AU6" s="405"/>
      <c r="AV6" s="405"/>
      <c r="AW6" s="405"/>
      <c r="AX6" s="405"/>
      <c r="AY6" s="405"/>
      <c r="AZ6" s="405"/>
      <c r="BA6" s="405"/>
      <c r="BB6" s="405"/>
      <c r="BC6" s="406">
        <f t="shared" ref="BC6:BC52" si="7">SUM(AQ6:BB6)</f>
        <v>0</v>
      </c>
      <c r="BD6" s="475">
        <f t="shared" si="3"/>
        <v>0</v>
      </c>
      <c r="BE6" s="465"/>
      <c r="BF6" s="476"/>
      <c r="BG6" s="476"/>
      <c r="BH6" s="476"/>
      <c r="BI6" s="410">
        <f t="shared" si="0"/>
        <v>0</v>
      </c>
      <c r="BJ6" s="476"/>
      <c r="BK6" s="477" t="str">
        <f t="shared" si="1"/>
        <v/>
      </c>
      <c r="BL6" s="477" t="str">
        <f t="shared" si="4"/>
        <v/>
      </c>
      <c r="BM6" s="477" t="str">
        <f t="shared" si="5"/>
        <v/>
      </c>
      <c r="BN6" s="478"/>
    </row>
    <row r="7" spans="1:66" s="339" customFormat="1" x14ac:dyDescent="0.25">
      <c r="A7" s="462" t="str">
        <f>IF(D7="","",Cover!$D$8)</f>
        <v/>
      </c>
      <c r="B7" s="462" t="str">
        <f>IF(D7="","",Cover!$D$7)</f>
        <v/>
      </c>
      <c r="C7" s="397" t="str">
        <f>IF(F7="","",IFERROR(VLOOKUP(F7,'Master Data'!$E$59:$J$144,6,FALSE),0))</f>
        <v/>
      </c>
      <c r="D7" s="463" t="str">
        <f>IF(F7="","",IFERROR(VLOOKUP(F7,'Master Data'!$E$59:$L$146,8,FALSE),0))</f>
        <v/>
      </c>
      <c r="E7" s="397" t="str">
        <f>IF(D7="","",IFERROR(VLOOKUP(D7,'Master Data'!$D$59:$I$146,6,FALSE),0))</f>
        <v/>
      </c>
      <c r="F7" s="464"/>
      <c r="G7" s="465"/>
      <c r="H7" s="466">
        <f>IFERROR(VLOOKUP(G7,'Master Data'!$C$336:$I$353,7,FALSE),0)</f>
        <v>0</v>
      </c>
      <c r="I7" s="467">
        <f>IFERROR(VLOOKUP(H7,'Master Data'!$B$336:$D$351,3,FALSE),0)</f>
        <v>0</v>
      </c>
      <c r="J7" s="468">
        <f>IFERROR(VLOOKUP(H7,'Master Data'!$B$336:$H$353,7,FALSE),0)</f>
        <v>0</v>
      </c>
      <c r="K7" s="469"/>
      <c r="L7" s="470" t="str">
        <f>IFERROR(IF(I8="FIXED ASSET",J7&amp;E7&amp;K7,VLOOKUP(F7,'Master Data'!$E$59:$H$144,4,FALSE)&amp;"-"&amp;J7&amp;"-"&amp;K7),"-")</f>
        <v>-</v>
      </c>
      <c r="M7" s="464"/>
      <c r="N7" s="471"/>
      <c r="O7" s="481"/>
      <c r="P7" s="481"/>
      <c r="Q7" s="481"/>
      <c r="R7" s="481"/>
      <c r="S7" s="481"/>
      <c r="T7" s="481"/>
      <c r="U7" s="481"/>
      <c r="V7" s="481"/>
      <c r="W7" s="481"/>
      <c r="X7" s="481"/>
      <c r="Y7" s="481"/>
      <c r="Z7" s="481"/>
      <c r="AA7" s="480">
        <f t="shared" si="2"/>
        <v>0</v>
      </c>
      <c r="AB7" s="473"/>
      <c r="AC7" s="405"/>
      <c r="AD7" s="405"/>
      <c r="AE7" s="405"/>
      <c r="AF7" s="405"/>
      <c r="AG7" s="405"/>
      <c r="AH7" s="405"/>
      <c r="AI7" s="405"/>
      <c r="AJ7" s="405"/>
      <c r="AK7" s="405"/>
      <c r="AL7" s="405"/>
      <c r="AM7" s="405"/>
      <c r="AN7" s="405"/>
      <c r="AO7" s="406">
        <f t="shared" si="6"/>
        <v>0</v>
      </c>
      <c r="AP7" s="474"/>
      <c r="AQ7" s="405"/>
      <c r="AR7" s="405"/>
      <c r="AS7" s="405"/>
      <c r="AT7" s="405"/>
      <c r="AU7" s="405"/>
      <c r="AV7" s="405"/>
      <c r="AW7" s="405"/>
      <c r="AX7" s="405"/>
      <c r="AY7" s="405"/>
      <c r="AZ7" s="405"/>
      <c r="BA7" s="405"/>
      <c r="BB7" s="405"/>
      <c r="BC7" s="406">
        <f t="shared" si="7"/>
        <v>0</v>
      </c>
      <c r="BD7" s="475">
        <f t="shared" si="3"/>
        <v>0</v>
      </c>
      <c r="BE7" s="465"/>
      <c r="BF7" s="476"/>
      <c r="BG7" s="476"/>
      <c r="BH7" s="476"/>
      <c r="BI7" s="410">
        <f t="shared" si="0"/>
        <v>0</v>
      </c>
      <c r="BJ7" s="476"/>
      <c r="BK7" s="477" t="str">
        <f t="shared" si="1"/>
        <v/>
      </c>
      <c r="BL7" s="477" t="str">
        <f t="shared" si="4"/>
        <v/>
      </c>
      <c r="BM7" s="477" t="str">
        <f t="shared" si="5"/>
        <v/>
      </c>
      <c r="BN7" s="478"/>
    </row>
    <row r="8" spans="1:66" s="339" customFormat="1" x14ac:dyDescent="0.25">
      <c r="A8" s="462" t="str">
        <f>IF(D8="","",Cover!$D$8)</f>
        <v/>
      </c>
      <c r="B8" s="462" t="str">
        <f>IF(D8="","",Cover!$D$7)</f>
        <v/>
      </c>
      <c r="C8" s="397" t="str">
        <f>IF(F8="","",IFERROR(VLOOKUP(F8,'Master Data'!$E$59:$J$144,6,FALSE),0))</f>
        <v/>
      </c>
      <c r="D8" s="463" t="str">
        <f>IF(F8="","",IFERROR(VLOOKUP(F8,'Master Data'!$E$59:$L$146,8,FALSE),0))</f>
        <v/>
      </c>
      <c r="E8" s="397" t="str">
        <f>IF(D8="","",IFERROR(VLOOKUP(D8,'Master Data'!$D$59:$I$146,6,FALSE),0))</f>
        <v/>
      </c>
      <c r="F8" s="464"/>
      <c r="G8" s="465"/>
      <c r="H8" s="466">
        <f>IFERROR(VLOOKUP(G8,'Master Data'!$C$336:$I$353,7,FALSE),0)</f>
        <v>0</v>
      </c>
      <c r="I8" s="467">
        <f>IFERROR(VLOOKUP(H8,'Master Data'!$B$336:$D$351,3,FALSE),0)</f>
        <v>0</v>
      </c>
      <c r="J8" s="468">
        <f>IFERROR(VLOOKUP(H8,'Master Data'!$B$336:$H$353,7,FALSE),0)</f>
        <v>0</v>
      </c>
      <c r="K8" s="469"/>
      <c r="L8" s="470" t="str">
        <f>IFERROR(IF(I9="FIXED ASSET",J8&amp;E8&amp;K8,VLOOKUP(F8,'Master Data'!$E$59:$H$144,4,FALSE)&amp;"-"&amp;J8&amp;"-"&amp;K8),"-")</f>
        <v>-</v>
      </c>
      <c r="M8" s="464"/>
      <c r="N8" s="471"/>
      <c r="O8" s="481"/>
      <c r="P8" s="481"/>
      <c r="Q8" s="481"/>
      <c r="R8" s="481"/>
      <c r="S8" s="481"/>
      <c r="T8" s="481"/>
      <c r="U8" s="481"/>
      <c r="V8" s="481"/>
      <c r="W8" s="481"/>
      <c r="X8" s="481"/>
      <c r="Y8" s="481"/>
      <c r="Z8" s="481"/>
      <c r="AA8" s="480">
        <f t="shared" si="2"/>
        <v>0</v>
      </c>
      <c r="AB8" s="473"/>
      <c r="AC8" s="405"/>
      <c r="AD8" s="405"/>
      <c r="AE8" s="405"/>
      <c r="AF8" s="405"/>
      <c r="AG8" s="405"/>
      <c r="AH8" s="405"/>
      <c r="AI8" s="405"/>
      <c r="AJ8" s="405"/>
      <c r="AK8" s="405"/>
      <c r="AL8" s="405"/>
      <c r="AM8" s="405"/>
      <c r="AN8" s="405"/>
      <c r="AO8" s="406">
        <f t="shared" si="6"/>
        <v>0</v>
      </c>
      <c r="AP8" s="474"/>
      <c r="AQ8" s="405"/>
      <c r="AR8" s="405"/>
      <c r="AS8" s="405"/>
      <c r="AT8" s="405"/>
      <c r="AU8" s="405"/>
      <c r="AV8" s="405"/>
      <c r="AW8" s="405"/>
      <c r="AX8" s="405"/>
      <c r="AY8" s="405"/>
      <c r="AZ8" s="405"/>
      <c r="BA8" s="405"/>
      <c r="BB8" s="405"/>
      <c r="BC8" s="406">
        <f t="shared" si="7"/>
        <v>0</v>
      </c>
      <c r="BD8" s="475">
        <f t="shared" si="3"/>
        <v>0</v>
      </c>
      <c r="BE8" s="465"/>
      <c r="BF8" s="476"/>
      <c r="BG8" s="476"/>
      <c r="BH8" s="476"/>
      <c r="BI8" s="410">
        <f t="shared" si="0"/>
        <v>0</v>
      </c>
      <c r="BJ8" s="476"/>
      <c r="BK8" s="477" t="str">
        <f t="shared" si="1"/>
        <v/>
      </c>
      <c r="BL8" s="477" t="str">
        <f t="shared" si="4"/>
        <v/>
      </c>
      <c r="BM8" s="477" t="str">
        <f t="shared" si="5"/>
        <v/>
      </c>
      <c r="BN8" s="478"/>
    </row>
    <row r="9" spans="1:66" s="339" customFormat="1" x14ac:dyDescent="0.25">
      <c r="A9" s="462" t="str">
        <f>IF(D9="","",Cover!$D$8)</f>
        <v/>
      </c>
      <c r="B9" s="462" t="str">
        <f>IF(D9="","",Cover!$D$7)</f>
        <v/>
      </c>
      <c r="C9" s="397" t="str">
        <f>IF(F9="","",IFERROR(VLOOKUP(F9,'Master Data'!$E$59:$J$144,6,FALSE),0))</f>
        <v/>
      </c>
      <c r="D9" s="463" t="str">
        <f>IF(F9="","",IFERROR(VLOOKUP(F9,'Master Data'!$E$59:$L$146,8,FALSE),0))</f>
        <v/>
      </c>
      <c r="E9" s="397" t="str">
        <f>IF(D9="","",IFERROR(VLOOKUP(D9,'Master Data'!$D$59:$I$146,6,FALSE),0))</f>
        <v/>
      </c>
      <c r="F9" s="464"/>
      <c r="G9" s="465"/>
      <c r="H9" s="466">
        <f>IFERROR(VLOOKUP(G9,'Master Data'!$C$336:$I$353,7,FALSE),0)</f>
        <v>0</v>
      </c>
      <c r="I9" s="467">
        <f>IFERROR(VLOOKUP(H9,'Master Data'!$B$336:$D$351,3,FALSE),0)</f>
        <v>0</v>
      </c>
      <c r="J9" s="468">
        <f>IFERROR(VLOOKUP(H9,'Master Data'!$B$336:$H$353,7,FALSE),0)</f>
        <v>0</v>
      </c>
      <c r="K9" s="469"/>
      <c r="L9" s="470" t="str">
        <f>IFERROR(IF(I10="FIXED ASSET",J9&amp;E9&amp;K9,VLOOKUP(F9,'Master Data'!$E$59:$H$144,4,FALSE)&amp;"-"&amp;J9&amp;"-"&amp;K9),"-")</f>
        <v>-</v>
      </c>
      <c r="M9" s="464"/>
      <c r="N9" s="471"/>
      <c r="O9" s="481"/>
      <c r="P9" s="481"/>
      <c r="Q9" s="481"/>
      <c r="R9" s="481"/>
      <c r="S9" s="481"/>
      <c r="T9" s="481"/>
      <c r="U9" s="481"/>
      <c r="V9" s="481"/>
      <c r="W9" s="481"/>
      <c r="X9" s="481"/>
      <c r="Y9" s="481"/>
      <c r="Z9" s="481"/>
      <c r="AA9" s="480">
        <f t="shared" si="2"/>
        <v>0</v>
      </c>
      <c r="AB9" s="473"/>
      <c r="AC9" s="405"/>
      <c r="AD9" s="405"/>
      <c r="AE9" s="405"/>
      <c r="AF9" s="405"/>
      <c r="AG9" s="405"/>
      <c r="AH9" s="405"/>
      <c r="AI9" s="405"/>
      <c r="AJ9" s="405"/>
      <c r="AK9" s="405"/>
      <c r="AL9" s="405"/>
      <c r="AM9" s="405"/>
      <c r="AN9" s="405"/>
      <c r="AO9" s="406">
        <f t="shared" si="6"/>
        <v>0</v>
      </c>
      <c r="AP9" s="474"/>
      <c r="AQ9" s="405"/>
      <c r="AR9" s="405"/>
      <c r="AS9" s="405"/>
      <c r="AT9" s="405"/>
      <c r="AU9" s="405"/>
      <c r="AV9" s="405"/>
      <c r="AW9" s="405"/>
      <c r="AX9" s="405"/>
      <c r="AY9" s="405"/>
      <c r="AZ9" s="405"/>
      <c r="BA9" s="405"/>
      <c r="BB9" s="405"/>
      <c r="BC9" s="406">
        <f t="shared" si="7"/>
        <v>0</v>
      </c>
      <c r="BD9" s="475">
        <f t="shared" si="3"/>
        <v>0</v>
      </c>
      <c r="BE9" s="465"/>
      <c r="BF9" s="476"/>
      <c r="BG9" s="476"/>
      <c r="BH9" s="476"/>
      <c r="BI9" s="410">
        <f t="shared" si="0"/>
        <v>0</v>
      </c>
      <c r="BJ9" s="476"/>
      <c r="BK9" s="477" t="str">
        <f t="shared" si="1"/>
        <v/>
      </c>
      <c r="BL9" s="477" t="str">
        <f t="shared" si="4"/>
        <v/>
      </c>
      <c r="BM9" s="477" t="str">
        <f t="shared" si="5"/>
        <v/>
      </c>
      <c r="BN9" s="478"/>
    </row>
    <row r="10" spans="1:66" s="339" customFormat="1" x14ac:dyDescent="0.25">
      <c r="A10" s="462" t="str">
        <f>IF(D10="","",Cover!$D$8)</f>
        <v/>
      </c>
      <c r="B10" s="462" t="str">
        <f>IF(D10="","",Cover!$D$7)</f>
        <v/>
      </c>
      <c r="C10" s="397" t="str">
        <f>IF(F10="","",IFERROR(VLOOKUP(F10,'Master Data'!$E$59:$J$144,6,FALSE),0))</f>
        <v/>
      </c>
      <c r="D10" s="463" t="str">
        <f>IF(F10="","",IFERROR(VLOOKUP(F10,'Master Data'!$E$59:$L$146,8,FALSE),0))</f>
        <v/>
      </c>
      <c r="E10" s="397" t="str">
        <f>IF(D10="","",IFERROR(VLOOKUP(D10,'Master Data'!$D$59:$I$146,6,FALSE),0))</f>
        <v/>
      </c>
      <c r="F10" s="464"/>
      <c r="G10" s="465"/>
      <c r="H10" s="466">
        <f>IFERROR(VLOOKUP(G10,'Master Data'!$C$336:$I$353,7,FALSE),0)</f>
        <v>0</v>
      </c>
      <c r="I10" s="467">
        <f>IFERROR(VLOOKUP(H10,'Master Data'!$B$336:$D$351,3,FALSE),0)</f>
        <v>0</v>
      </c>
      <c r="J10" s="468">
        <f>IFERROR(VLOOKUP(H10,'Master Data'!$B$336:$H$353,7,FALSE),0)</f>
        <v>0</v>
      </c>
      <c r="K10" s="469"/>
      <c r="L10" s="470" t="str">
        <f>IFERROR(IF(I11="FIXED ASSET",J10&amp;E10&amp;K10,VLOOKUP(F10,'Master Data'!$E$59:$H$144,4,FALSE)&amp;"-"&amp;J10&amp;"-"&amp;K10),"-")</f>
        <v>-</v>
      </c>
      <c r="M10" s="464"/>
      <c r="N10" s="471"/>
      <c r="O10" s="481"/>
      <c r="P10" s="481"/>
      <c r="Q10" s="481"/>
      <c r="R10" s="481"/>
      <c r="S10" s="481"/>
      <c r="T10" s="481"/>
      <c r="U10" s="481"/>
      <c r="V10" s="481"/>
      <c r="W10" s="481"/>
      <c r="X10" s="481"/>
      <c r="Y10" s="481"/>
      <c r="Z10" s="481"/>
      <c r="AA10" s="480">
        <f t="shared" si="2"/>
        <v>0</v>
      </c>
      <c r="AB10" s="473"/>
      <c r="AC10" s="405"/>
      <c r="AD10" s="405"/>
      <c r="AE10" s="405"/>
      <c r="AF10" s="405"/>
      <c r="AG10" s="405"/>
      <c r="AH10" s="405"/>
      <c r="AI10" s="405"/>
      <c r="AJ10" s="405"/>
      <c r="AK10" s="405"/>
      <c r="AL10" s="405"/>
      <c r="AM10" s="405"/>
      <c r="AN10" s="405"/>
      <c r="AO10" s="406">
        <f t="shared" si="6"/>
        <v>0</v>
      </c>
      <c r="AP10" s="474"/>
      <c r="AQ10" s="405"/>
      <c r="AR10" s="405"/>
      <c r="AS10" s="405"/>
      <c r="AT10" s="405"/>
      <c r="AU10" s="405"/>
      <c r="AV10" s="405"/>
      <c r="AW10" s="405"/>
      <c r="AX10" s="405"/>
      <c r="AY10" s="405"/>
      <c r="AZ10" s="405"/>
      <c r="BA10" s="405"/>
      <c r="BB10" s="405"/>
      <c r="BC10" s="406">
        <f t="shared" si="7"/>
        <v>0</v>
      </c>
      <c r="BD10" s="475">
        <f t="shared" si="3"/>
        <v>0</v>
      </c>
      <c r="BE10" s="465"/>
      <c r="BF10" s="476"/>
      <c r="BG10" s="476"/>
      <c r="BH10" s="476"/>
      <c r="BI10" s="410">
        <f t="shared" si="0"/>
        <v>0</v>
      </c>
      <c r="BJ10" s="476"/>
      <c r="BK10" s="477" t="str">
        <f t="shared" si="1"/>
        <v/>
      </c>
      <c r="BL10" s="477" t="str">
        <f t="shared" si="4"/>
        <v/>
      </c>
      <c r="BM10" s="477" t="str">
        <f t="shared" si="5"/>
        <v/>
      </c>
      <c r="BN10" s="478"/>
    </row>
    <row r="11" spans="1:66" s="339" customFormat="1" x14ac:dyDescent="0.25">
      <c r="A11" s="462" t="str">
        <f>IF(D11="","",Cover!$D$8)</f>
        <v/>
      </c>
      <c r="B11" s="462" t="str">
        <f>IF(D11="","",Cover!$D$7)</f>
        <v/>
      </c>
      <c r="C11" s="397" t="str">
        <f>IF(F11="","",IFERROR(VLOOKUP(F11,'Master Data'!$E$59:$J$144,6,FALSE),0))</f>
        <v/>
      </c>
      <c r="D11" s="463" t="str">
        <f>IF(F11="","",IFERROR(VLOOKUP(F11,'Master Data'!$E$59:$L$146,8,FALSE),0))</f>
        <v/>
      </c>
      <c r="E11" s="397" t="str">
        <f>IF(D11="","",IFERROR(VLOOKUP(D11,'Master Data'!$D$59:$I$146,6,FALSE),0))</f>
        <v/>
      </c>
      <c r="F11" s="464"/>
      <c r="G11" s="465"/>
      <c r="H11" s="466">
        <f>IFERROR(VLOOKUP(G11,'Master Data'!$C$336:$I$353,7,FALSE),0)</f>
        <v>0</v>
      </c>
      <c r="I11" s="467">
        <f>IFERROR(VLOOKUP(H11,'Master Data'!$B$336:$D$351,3,FALSE),0)</f>
        <v>0</v>
      </c>
      <c r="J11" s="468">
        <f>IFERROR(VLOOKUP(H11,'Master Data'!$B$336:$H$353,7,FALSE),0)</f>
        <v>0</v>
      </c>
      <c r="K11" s="469"/>
      <c r="L11" s="470" t="str">
        <f>IFERROR(IF(I12="FIXED ASSET",J11&amp;E11&amp;K11,VLOOKUP(F11,'Master Data'!$E$59:$H$144,4,FALSE)&amp;"-"&amp;J11&amp;"-"&amp;K11),"-")</f>
        <v>-</v>
      </c>
      <c r="M11" s="464"/>
      <c r="N11" s="471"/>
      <c r="O11" s="481"/>
      <c r="P11" s="481"/>
      <c r="Q11" s="481"/>
      <c r="R11" s="481"/>
      <c r="S11" s="481"/>
      <c r="T11" s="481"/>
      <c r="U11" s="481"/>
      <c r="V11" s="481"/>
      <c r="W11" s="481"/>
      <c r="X11" s="481"/>
      <c r="Y11" s="481"/>
      <c r="Z11" s="481"/>
      <c r="AA11" s="480">
        <f t="shared" si="2"/>
        <v>0</v>
      </c>
      <c r="AB11" s="473"/>
      <c r="AC11" s="405"/>
      <c r="AD11" s="405"/>
      <c r="AE11" s="405"/>
      <c r="AF11" s="405"/>
      <c r="AG11" s="405"/>
      <c r="AH11" s="405"/>
      <c r="AI11" s="405"/>
      <c r="AJ11" s="405"/>
      <c r="AK11" s="405"/>
      <c r="AL11" s="405"/>
      <c r="AM11" s="405"/>
      <c r="AN11" s="405"/>
      <c r="AO11" s="406">
        <f t="shared" si="6"/>
        <v>0</v>
      </c>
      <c r="AP11" s="474"/>
      <c r="AQ11" s="405"/>
      <c r="AR11" s="405"/>
      <c r="AS11" s="405"/>
      <c r="AT11" s="405"/>
      <c r="AU11" s="405"/>
      <c r="AV11" s="405"/>
      <c r="AW11" s="405"/>
      <c r="AX11" s="405"/>
      <c r="AY11" s="405"/>
      <c r="AZ11" s="405"/>
      <c r="BA11" s="405"/>
      <c r="BB11" s="405"/>
      <c r="BC11" s="406">
        <f t="shared" si="7"/>
        <v>0</v>
      </c>
      <c r="BD11" s="475">
        <f t="shared" si="3"/>
        <v>0</v>
      </c>
      <c r="BE11" s="465"/>
      <c r="BF11" s="476"/>
      <c r="BG11" s="476"/>
      <c r="BH11" s="476"/>
      <c r="BI11" s="410">
        <f t="shared" si="0"/>
        <v>0</v>
      </c>
      <c r="BJ11" s="476"/>
      <c r="BK11" s="477" t="str">
        <f t="shared" si="1"/>
        <v/>
      </c>
      <c r="BL11" s="477" t="str">
        <f t="shared" si="4"/>
        <v/>
      </c>
      <c r="BM11" s="477" t="str">
        <f t="shared" si="5"/>
        <v/>
      </c>
      <c r="BN11" s="478"/>
    </row>
    <row r="12" spans="1:66" s="339" customFormat="1" x14ac:dyDescent="0.25">
      <c r="A12" s="462" t="str">
        <f>IF(D12="","",Cover!$D$8)</f>
        <v/>
      </c>
      <c r="B12" s="462" t="str">
        <f>IF(D12="","",Cover!$D$7)</f>
        <v/>
      </c>
      <c r="C12" s="397" t="str">
        <f>IF(F12="","",IFERROR(VLOOKUP(F12,'Master Data'!$E$59:$J$144,6,FALSE),0))</f>
        <v/>
      </c>
      <c r="D12" s="463" t="str">
        <f>IF(F12="","",IFERROR(VLOOKUP(F12,'Master Data'!$E$59:$L$146,8,FALSE),0))</f>
        <v/>
      </c>
      <c r="E12" s="397" t="str">
        <f>IF(D12="","",IFERROR(VLOOKUP(D12,'Master Data'!$D$59:$I$146,6,FALSE),0))</f>
        <v/>
      </c>
      <c r="F12" s="464"/>
      <c r="G12" s="465"/>
      <c r="H12" s="466">
        <f>IFERROR(VLOOKUP(G12,'Master Data'!$C$336:$I$353,7,FALSE),0)</f>
        <v>0</v>
      </c>
      <c r="I12" s="467">
        <f>IFERROR(VLOOKUP(H12,'Master Data'!$B$336:$D$351,3,FALSE),0)</f>
        <v>0</v>
      </c>
      <c r="J12" s="468">
        <f>IFERROR(VLOOKUP(H12,'Master Data'!$B$336:$H$353,7,FALSE),0)</f>
        <v>0</v>
      </c>
      <c r="K12" s="469"/>
      <c r="L12" s="470" t="str">
        <f>IFERROR(IF(I13="FIXED ASSET",J12&amp;E12&amp;K12,VLOOKUP(F12,'Master Data'!$E$59:$H$144,4,FALSE)&amp;"-"&amp;J12&amp;"-"&amp;K12),"-")</f>
        <v>-</v>
      </c>
      <c r="M12" s="464"/>
      <c r="N12" s="471"/>
      <c r="O12" s="481"/>
      <c r="P12" s="481"/>
      <c r="Q12" s="481"/>
      <c r="R12" s="481"/>
      <c r="S12" s="481"/>
      <c r="T12" s="481"/>
      <c r="U12" s="481"/>
      <c r="V12" s="481"/>
      <c r="W12" s="481"/>
      <c r="X12" s="481"/>
      <c r="Y12" s="481"/>
      <c r="Z12" s="481"/>
      <c r="AA12" s="480">
        <f t="shared" si="2"/>
        <v>0</v>
      </c>
      <c r="AB12" s="473"/>
      <c r="AC12" s="405"/>
      <c r="AD12" s="405"/>
      <c r="AE12" s="405"/>
      <c r="AF12" s="405"/>
      <c r="AG12" s="405"/>
      <c r="AH12" s="405"/>
      <c r="AI12" s="405"/>
      <c r="AJ12" s="405"/>
      <c r="AK12" s="405"/>
      <c r="AL12" s="405"/>
      <c r="AM12" s="405"/>
      <c r="AN12" s="405"/>
      <c r="AO12" s="406">
        <f t="shared" si="6"/>
        <v>0</v>
      </c>
      <c r="AP12" s="474"/>
      <c r="AQ12" s="405"/>
      <c r="AR12" s="405"/>
      <c r="AS12" s="405"/>
      <c r="AT12" s="405"/>
      <c r="AU12" s="405"/>
      <c r="AV12" s="405"/>
      <c r="AW12" s="405"/>
      <c r="AX12" s="405"/>
      <c r="AY12" s="405"/>
      <c r="AZ12" s="405"/>
      <c r="BA12" s="405"/>
      <c r="BB12" s="405"/>
      <c r="BC12" s="406">
        <f t="shared" si="7"/>
        <v>0</v>
      </c>
      <c r="BD12" s="475">
        <f t="shared" si="3"/>
        <v>0</v>
      </c>
      <c r="BE12" s="465"/>
      <c r="BF12" s="476"/>
      <c r="BG12" s="476"/>
      <c r="BH12" s="476"/>
      <c r="BI12" s="410">
        <f t="shared" si="0"/>
        <v>0</v>
      </c>
      <c r="BJ12" s="476"/>
      <c r="BK12" s="477" t="str">
        <f t="shared" si="1"/>
        <v/>
      </c>
      <c r="BL12" s="477" t="str">
        <f t="shared" si="4"/>
        <v/>
      </c>
      <c r="BM12" s="477" t="str">
        <f t="shared" si="5"/>
        <v/>
      </c>
      <c r="BN12" s="478"/>
    </row>
    <row r="13" spans="1:66" s="339" customFormat="1" x14ac:dyDescent="0.25">
      <c r="A13" s="462" t="str">
        <f>IF(D13="","",Cover!$D$8)</f>
        <v/>
      </c>
      <c r="B13" s="462" t="str">
        <f>IF(D13="","",Cover!$D$7)</f>
        <v/>
      </c>
      <c r="C13" s="397" t="str">
        <f>IF(F13="","",IFERROR(VLOOKUP(F13,'Master Data'!$E$59:$J$144,6,FALSE),0))</f>
        <v/>
      </c>
      <c r="D13" s="463" t="str">
        <f>IF(F13="","",IFERROR(VLOOKUP(F13,'Master Data'!$E$59:$L$146,8,FALSE),0))</f>
        <v/>
      </c>
      <c r="E13" s="397" t="str">
        <f>IF(D13="","",IFERROR(VLOOKUP(D13,'Master Data'!$D$59:$I$146,6,FALSE),0))</f>
        <v/>
      </c>
      <c r="F13" s="464"/>
      <c r="G13" s="465"/>
      <c r="H13" s="466">
        <f>IFERROR(VLOOKUP(G13,'Master Data'!$C$336:$I$353,7,FALSE),0)</f>
        <v>0</v>
      </c>
      <c r="I13" s="467">
        <f>IFERROR(VLOOKUP(H13,'Master Data'!$B$336:$D$351,3,FALSE),0)</f>
        <v>0</v>
      </c>
      <c r="J13" s="468">
        <f>IFERROR(VLOOKUP(H13,'Master Data'!$B$336:$H$353,7,FALSE),0)</f>
        <v>0</v>
      </c>
      <c r="K13" s="469"/>
      <c r="L13" s="470" t="str">
        <f>IFERROR(IF(I14="FIXED ASSET",J13&amp;E13&amp;K13,VLOOKUP(F13,'Master Data'!$E$59:$H$144,4,FALSE)&amp;"-"&amp;J13&amp;"-"&amp;K13),"-")</f>
        <v>-</v>
      </c>
      <c r="M13" s="464"/>
      <c r="N13" s="471"/>
      <c r="O13" s="481"/>
      <c r="P13" s="481"/>
      <c r="Q13" s="481"/>
      <c r="R13" s="481"/>
      <c r="S13" s="481"/>
      <c r="T13" s="481"/>
      <c r="U13" s="481"/>
      <c r="V13" s="481"/>
      <c r="W13" s="481"/>
      <c r="X13" s="481"/>
      <c r="Y13" s="481"/>
      <c r="Z13" s="481"/>
      <c r="AA13" s="480">
        <f t="shared" si="2"/>
        <v>0</v>
      </c>
      <c r="AB13" s="473"/>
      <c r="AC13" s="405"/>
      <c r="AD13" s="405"/>
      <c r="AE13" s="405"/>
      <c r="AF13" s="405"/>
      <c r="AG13" s="405"/>
      <c r="AH13" s="405"/>
      <c r="AI13" s="405"/>
      <c r="AJ13" s="405"/>
      <c r="AK13" s="405"/>
      <c r="AL13" s="405"/>
      <c r="AM13" s="405"/>
      <c r="AN13" s="405"/>
      <c r="AO13" s="406">
        <f t="shared" si="6"/>
        <v>0</v>
      </c>
      <c r="AP13" s="474"/>
      <c r="AQ13" s="405"/>
      <c r="AR13" s="405"/>
      <c r="AS13" s="405"/>
      <c r="AT13" s="405"/>
      <c r="AU13" s="405"/>
      <c r="AV13" s="405"/>
      <c r="AW13" s="405"/>
      <c r="AX13" s="405"/>
      <c r="AY13" s="405"/>
      <c r="AZ13" s="405"/>
      <c r="BA13" s="405"/>
      <c r="BB13" s="405"/>
      <c r="BC13" s="406">
        <f t="shared" si="7"/>
        <v>0</v>
      </c>
      <c r="BD13" s="475">
        <f t="shared" si="3"/>
        <v>0</v>
      </c>
      <c r="BE13" s="465"/>
      <c r="BF13" s="476"/>
      <c r="BG13" s="476"/>
      <c r="BH13" s="476"/>
      <c r="BI13" s="410">
        <f t="shared" si="0"/>
        <v>0</v>
      </c>
      <c r="BJ13" s="476"/>
      <c r="BK13" s="477" t="str">
        <f t="shared" si="1"/>
        <v/>
      </c>
      <c r="BL13" s="477" t="str">
        <f t="shared" si="4"/>
        <v/>
      </c>
      <c r="BM13" s="477" t="str">
        <f t="shared" si="5"/>
        <v/>
      </c>
      <c r="BN13" s="478"/>
    </row>
    <row r="14" spans="1:66" s="339" customFormat="1" x14ac:dyDescent="0.25">
      <c r="A14" s="462" t="str">
        <f>IF(D14="","",Cover!$D$8)</f>
        <v/>
      </c>
      <c r="B14" s="462" t="str">
        <f>IF(D14="","",Cover!$D$7)</f>
        <v/>
      </c>
      <c r="C14" s="397" t="str">
        <f>IF(F14="","",IFERROR(VLOOKUP(F14,'Master Data'!$E$59:$J$144,6,FALSE),0))</f>
        <v/>
      </c>
      <c r="D14" s="463" t="str">
        <f>IF(F14="","",IFERROR(VLOOKUP(F14,'Master Data'!$E$59:$L$146,8,FALSE),0))</f>
        <v/>
      </c>
      <c r="E14" s="397" t="str">
        <f>IF(D14="","",IFERROR(VLOOKUP(D14,'Master Data'!$D$59:$I$146,6,FALSE),0))</f>
        <v/>
      </c>
      <c r="F14" s="464"/>
      <c r="G14" s="465"/>
      <c r="H14" s="466">
        <f>IFERROR(VLOOKUP(G14,'Master Data'!$C$336:$I$353,7,FALSE),0)</f>
        <v>0</v>
      </c>
      <c r="I14" s="467">
        <f>IFERROR(VLOOKUP(H14,'Master Data'!$B$336:$D$351,3,FALSE),0)</f>
        <v>0</v>
      </c>
      <c r="J14" s="468">
        <f>IFERROR(VLOOKUP(H14,'Master Data'!$B$336:$H$353,7,FALSE),0)</f>
        <v>0</v>
      </c>
      <c r="K14" s="469"/>
      <c r="L14" s="470" t="str">
        <f>IFERROR(IF(I15="FIXED ASSET",J14&amp;E14&amp;K14,VLOOKUP(F14,'Master Data'!$E$59:$H$144,4,FALSE)&amp;"-"&amp;J14&amp;"-"&amp;K14),"-")</f>
        <v>-</v>
      </c>
      <c r="M14" s="464"/>
      <c r="N14" s="471"/>
      <c r="O14" s="481"/>
      <c r="P14" s="481"/>
      <c r="Q14" s="481"/>
      <c r="R14" s="481"/>
      <c r="S14" s="481"/>
      <c r="T14" s="481"/>
      <c r="U14" s="481"/>
      <c r="V14" s="481"/>
      <c r="W14" s="481"/>
      <c r="X14" s="481"/>
      <c r="Y14" s="481"/>
      <c r="Z14" s="481"/>
      <c r="AA14" s="480">
        <f t="shared" si="2"/>
        <v>0</v>
      </c>
      <c r="AB14" s="473"/>
      <c r="AC14" s="405"/>
      <c r="AD14" s="405"/>
      <c r="AE14" s="405"/>
      <c r="AF14" s="405"/>
      <c r="AG14" s="405"/>
      <c r="AH14" s="405"/>
      <c r="AI14" s="405"/>
      <c r="AJ14" s="405"/>
      <c r="AK14" s="405"/>
      <c r="AL14" s="405"/>
      <c r="AM14" s="405"/>
      <c r="AN14" s="405"/>
      <c r="AO14" s="406">
        <f t="shared" si="6"/>
        <v>0</v>
      </c>
      <c r="AP14" s="474"/>
      <c r="AQ14" s="405"/>
      <c r="AR14" s="405"/>
      <c r="AS14" s="405"/>
      <c r="AT14" s="405"/>
      <c r="AU14" s="405"/>
      <c r="AV14" s="405"/>
      <c r="AW14" s="405"/>
      <c r="AX14" s="405"/>
      <c r="AY14" s="405"/>
      <c r="AZ14" s="405"/>
      <c r="BA14" s="405"/>
      <c r="BB14" s="405"/>
      <c r="BC14" s="406">
        <f t="shared" si="7"/>
        <v>0</v>
      </c>
      <c r="BD14" s="475">
        <f t="shared" si="3"/>
        <v>0</v>
      </c>
      <c r="BE14" s="465"/>
      <c r="BF14" s="476"/>
      <c r="BG14" s="476"/>
      <c r="BH14" s="476"/>
      <c r="BI14" s="410">
        <f t="shared" si="0"/>
        <v>0</v>
      </c>
      <c r="BJ14" s="476"/>
      <c r="BK14" s="477" t="str">
        <f t="shared" si="1"/>
        <v/>
      </c>
      <c r="BL14" s="477" t="str">
        <f t="shared" si="4"/>
        <v/>
      </c>
      <c r="BM14" s="477" t="str">
        <f t="shared" si="5"/>
        <v/>
      </c>
      <c r="BN14" s="478"/>
    </row>
    <row r="15" spans="1:66" s="339" customFormat="1" x14ac:dyDescent="0.25">
      <c r="A15" s="462" t="str">
        <f>IF(D15="","",Cover!$D$8)</f>
        <v/>
      </c>
      <c r="B15" s="462" t="str">
        <f>IF(D15="","",Cover!$D$7)</f>
        <v/>
      </c>
      <c r="C15" s="397" t="str">
        <f>IF(F15="","",IFERROR(VLOOKUP(F15,'Master Data'!$E$59:$J$144,6,FALSE),0))</f>
        <v/>
      </c>
      <c r="D15" s="463" t="str">
        <f>IF(F15="","",IFERROR(VLOOKUP(F15,'Master Data'!$E$59:$L$146,8,FALSE),0))</f>
        <v/>
      </c>
      <c r="E15" s="397" t="str">
        <f>IF(D15="","",IFERROR(VLOOKUP(D15,'Master Data'!$D$59:$I$146,6,FALSE),0))</f>
        <v/>
      </c>
      <c r="F15" s="464"/>
      <c r="G15" s="465"/>
      <c r="H15" s="466">
        <f>IFERROR(VLOOKUP(G15,'Master Data'!$C$336:$I$353,7,FALSE),0)</f>
        <v>0</v>
      </c>
      <c r="I15" s="467">
        <f>IFERROR(VLOOKUP(H15,'Master Data'!$B$336:$D$351,3,FALSE),0)</f>
        <v>0</v>
      </c>
      <c r="J15" s="468">
        <f>IFERROR(VLOOKUP(H15,'Master Data'!$B$336:$H$353,7,FALSE),0)</f>
        <v>0</v>
      </c>
      <c r="K15" s="469"/>
      <c r="L15" s="470" t="str">
        <f>IFERROR(IF(I16="FIXED ASSET",J15&amp;E15&amp;K15,VLOOKUP(F15,'Master Data'!$E$59:$H$144,4,FALSE)&amp;"-"&amp;J15&amp;"-"&amp;K15),"-")</f>
        <v>-</v>
      </c>
      <c r="M15" s="464"/>
      <c r="N15" s="471"/>
      <c r="O15" s="481"/>
      <c r="P15" s="481"/>
      <c r="Q15" s="481"/>
      <c r="R15" s="481"/>
      <c r="S15" s="481"/>
      <c r="T15" s="481"/>
      <c r="U15" s="481"/>
      <c r="V15" s="481"/>
      <c r="W15" s="481"/>
      <c r="X15" s="481"/>
      <c r="Y15" s="481"/>
      <c r="Z15" s="481"/>
      <c r="AA15" s="480">
        <f t="shared" si="2"/>
        <v>0</v>
      </c>
      <c r="AB15" s="473"/>
      <c r="AC15" s="405"/>
      <c r="AD15" s="405"/>
      <c r="AE15" s="405"/>
      <c r="AF15" s="405"/>
      <c r="AG15" s="405"/>
      <c r="AH15" s="405"/>
      <c r="AI15" s="405"/>
      <c r="AJ15" s="405"/>
      <c r="AK15" s="405"/>
      <c r="AL15" s="405"/>
      <c r="AM15" s="405"/>
      <c r="AN15" s="405"/>
      <c r="AO15" s="406">
        <f t="shared" si="6"/>
        <v>0</v>
      </c>
      <c r="AP15" s="474"/>
      <c r="AQ15" s="405"/>
      <c r="AR15" s="405"/>
      <c r="AS15" s="405"/>
      <c r="AT15" s="405"/>
      <c r="AU15" s="405"/>
      <c r="AV15" s="405"/>
      <c r="AW15" s="405"/>
      <c r="AX15" s="405"/>
      <c r="AY15" s="405"/>
      <c r="AZ15" s="405"/>
      <c r="BA15" s="405"/>
      <c r="BB15" s="405"/>
      <c r="BC15" s="406">
        <f t="shared" si="7"/>
        <v>0</v>
      </c>
      <c r="BD15" s="475">
        <f t="shared" si="3"/>
        <v>0</v>
      </c>
      <c r="BE15" s="465"/>
      <c r="BF15" s="476"/>
      <c r="BG15" s="476"/>
      <c r="BH15" s="476"/>
      <c r="BI15" s="410">
        <f t="shared" si="0"/>
        <v>0</v>
      </c>
      <c r="BJ15" s="476"/>
      <c r="BK15" s="477" t="str">
        <f t="shared" si="1"/>
        <v/>
      </c>
      <c r="BL15" s="477" t="str">
        <f t="shared" si="4"/>
        <v/>
      </c>
      <c r="BM15" s="477" t="str">
        <f t="shared" si="5"/>
        <v/>
      </c>
      <c r="BN15" s="478"/>
    </row>
    <row r="16" spans="1:66" s="339" customFormat="1" x14ac:dyDescent="0.25">
      <c r="A16" s="462" t="str">
        <f>IF(D16="","",Cover!$D$8)</f>
        <v/>
      </c>
      <c r="B16" s="462" t="str">
        <f>IF(D16="","",Cover!$D$7)</f>
        <v/>
      </c>
      <c r="C16" s="397" t="str">
        <f>IF(F16="","",IFERROR(VLOOKUP(F16,'Master Data'!$E$59:$J$144,6,FALSE),0))</f>
        <v/>
      </c>
      <c r="D16" s="463" t="str">
        <f>IF(F16="","",IFERROR(VLOOKUP(F16,'Master Data'!$E$59:$L$146,8,FALSE),0))</f>
        <v/>
      </c>
      <c r="E16" s="397" t="str">
        <f>IF(D16="","",IFERROR(VLOOKUP(D16,'Master Data'!$D$59:$I$146,6,FALSE),0))</f>
        <v/>
      </c>
      <c r="F16" s="464"/>
      <c r="G16" s="465"/>
      <c r="H16" s="466">
        <f>IFERROR(VLOOKUP(G16,'Master Data'!$C$336:$I$353,7,FALSE),0)</f>
        <v>0</v>
      </c>
      <c r="I16" s="467">
        <f>IFERROR(VLOOKUP(H16,'Master Data'!$B$336:$D$351,3,FALSE),0)</f>
        <v>0</v>
      </c>
      <c r="J16" s="468">
        <f>IFERROR(VLOOKUP(H16,'Master Data'!$B$336:$H$353,7,FALSE),0)</f>
        <v>0</v>
      </c>
      <c r="K16" s="469"/>
      <c r="L16" s="470" t="str">
        <f>IFERROR(IF(I17="FIXED ASSET",J16&amp;E16&amp;K16,VLOOKUP(F16,'Master Data'!$E$59:$H$144,4,FALSE)&amp;"-"&amp;J16&amp;"-"&amp;K16),"-")</f>
        <v>-</v>
      </c>
      <c r="M16" s="464"/>
      <c r="N16" s="471"/>
      <c r="O16" s="481"/>
      <c r="P16" s="481"/>
      <c r="Q16" s="481"/>
      <c r="R16" s="481"/>
      <c r="S16" s="481"/>
      <c r="T16" s="481"/>
      <c r="U16" s="481"/>
      <c r="V16" s="481"/>
      <c r="W16" s="481"/>
      <c r="X16" s="481"/>
      <c r="Y16" s="481"/>
      <c r="Z16" s="481"/>
      <c r="AA16" s="480">
        <f t="shared" si="2"/>
        <v>0</v>
      </c>
      <c r="AB16" s="473"/>
      <c r="AC16" s="405"/>
      <c r="AD16" s="405"/>
      <c r="AE16" s="405"/>
      <c r="AF16" s="405"/>
      <c r="AG16" s="405"/>
      <c r="AH16" s="405"/>
      <c r="AI16" s="405"/>
      <c r="AJ16" s="405"/>
      <c r="AK16" s="405"/>
      <c r="AL16" s="405"/>
      <c r="AM16" s="405"/>
      <c r="AN16" s="405"/>
      <c r="AO16" s="406">
        <f t="shared" si="6"/>
        <v>0</v>
      </c>
      <c r="AP16" s="474"/>
      <c r="AQ16" s="405"/>
      <c r="AR16" s="405"/>
      <c r="AS16" s="405"/>
      <c r="AT16" s="405"/>
      <c r="AU16" s="405"/>
      <c r="AV16" s="405"/>
      <c r="AW16" s="405"/>
      <c r="AX16" s="405"/>
      <c r="AY16" s="405"/>
      <c r="AZ16" s="405"/>
      <c r="BA16" s="405"/>
      <c r="BB16" s="405"/>
      <c r="BC16" s="406">
        <f t="shared" si="7"/>
        <v>0</v>
      </c>
      <c r="BD16" s="475">
        <f t="shared" si="3"/>
        <v>0</v>
      </c>
      <c r="BE16" s="465"/>
      <c r="BF16" s="476"/>
      <c r="BG16" s="476"/>
      <c r="BH16" s="476"/>
      <c r="BI16" s="410">
        <f t="shared" si="0"/>
        <v>0</v>
      </c>
      <c r="BJ16" s="476"/>
      <c r="BK16" s="477" t="str">
        <f t="shared" si="1"/>
        <v/>
      </c>
      <c r="BL16" s="477" t="str">
        <f t="shared" si="4"/>
        <v/>
      </c>
      <c r="BM16" s="477" t="str">
        <f t="shared" si="5"/>
        <v/>
      </c>
      <c r="BN16" s="478"/>
    </row>
    <row r="17" spans="1:66" s="339" customFormat="1" x14ac:dyDescent="0.25">
      <c r="A17" s="462" t="str">
        <f>IF(D17="","",Cover!$D$8)</f>
        <v/>
      </c>
      <c r="B17" s="462" t="str">
        <f>IF(D17="","",Cover!$D$7)</f>
        <v/>
      </c>
      <c r="C17" s="397" t="str">
        <f>IF(F17="","",IFERROR(VLOOKUP(F17,'Master Data'!$E$59:$J$144,6,FALSE),0))</f>
        <v/>
      </c>
      <c r="D17" s="463" t="str">
        <f>IF(F17="","",IFERROR(VLOOKUP(F17,'Master Data'!$E$59:$L$146,8,FALSE),0))</f>
        <v/>
      </c>
      <c r="E17" s="397" t="str">
        <f>IF(D17="","",IFERROR(VLOOKUP(D17,'Master Data'!$D$59:$I$146,6,FALSE),0))</f>
        <v/>
      </c>
      <c r="F17" s="464"/>
      <c r="G17" s="465"/>
      <c r="H17" s="466">
        <f>IFERROR(VLOOKUP(G17,'Master Data'!$C$336:$I$353,7,FALSE),0)</f>
        <v>0</v>
      </c>
      <c r="I17" s="467">
        <f>IFERROR(VLOOKUP(H17,'Master Data'!$B$336:$D$351,3,FALSE),0)</f>
        <v>0</v>
      </c>
      <c r="J17" s="468">
        <f>IFERROR(VLOOKUP(H17,'Master Data'!$B$336:$H$353,7,FALSE),0)</f>
        <v>0</v>
      </c>
      <c r="K17" s="469"/>
      <c r="L17" s="470" t="str">
        <f>IFERROR(IF(I18="FIXED ASSET",J17&amp;E17&amp;K17,VLOOKUP(F17,'Master Data'!$E$59:$H$144,4,FALSE)&amp;"-"&amp;J17&amp;"-"&amp;K17),"-")</f>
        <v>-</v>
      </c>
      <c r="M17" s="464"/>
      <c r="N17" s="471"/>
      <c r="O17" s="481"/>
      <c r="P17" s="481"/>
      <c r="Q17" s="481"/>
      <c r="R17" s="481"/>
      <c r="S17" s="481"/>
      <c r="T17" s="481"/>
      <c r="U17" s="481"/>
      <c r="V17" s="481"/>
      <c r="W17" s="481"/>
      <c r="X17" s="481"/>
      <c r="Y17" s="481"/>
      <c r="Z17" s="481"/>
      <c r="AA17" s="480">
        <f t="shared" si="2"/>
        <v>0</v>
      </c>
      <c r="AB17" s="473"/>
      <c r="AC17" s="405"/>
      <c r="AD17" s="405"/>
      <c r="AE17" s="405"/>
      <c r="AF17" s="405"/>
      <c r="AG17" s="405"/>
      <c r="AH17" s="405"/>
      <c r="AI17" s="405"/>
      <c r="AJ17" s="405"/>
      <c r="AK17" s="405"/>
      <c r="AL17" s="405"/>
      <c r="AM17" s="405"/>
      <c r="AN17" s="405"/>
      <c r="AO17" s="406">
        <f t="shared" si="6"/>
        <v>0</v>
      </c>
      <c r="AP17" s="474"/>
      <c r="AQ17" s="405"/>
      <c r="AR17" s="405"/>
      <c r="AS17" s="405"/>
      <c r="AT17" s="405"/>
      <c r="AU17" s="405"/>
      <c r="AV17" s="405"/>
      <c r="AW17" s="405"/>
      <c r="AX17" s="405"/>
      <c r="AY17" s="405"/>
      <c r="AZ17" s="405"/>
      <c r="BA17" s="405"/>
      <c r="BB17" s="405"/>
      <c r="BC17" s="406">
        <f t="shared" si="7"/>
        <v>0</v>
      </c>
      <c r="BD17" s="475">
        <f t="shared" si="3"/>
        <v>0</v>
      </c>
      <c r="BE17" s="465"/>
      <c r="BF17" s="476"/>
      <c r="BG17" s="476"/>
      <c r="BH17" s="476"/>
      <c r="BI17" s="410">
        <f t="shared" si="0"/>
        <v>0</v>
      </c>
      <c r="BJ17" s="476"/>
      <c r="BK17" s="477" t="str">
        <f t="shared" si="1"/>
        <v/>
      </c>
      <c r="BL17" s="477" t="str">
        <f t="shared" si="4"/>
        <v/>
      </c>
      <c r="BM17" s="477" t="str">
        <f t="shared" si="5"/>
        <v/>
      </c>
      <c r="BN17" s="478"/>
    </row>
    <row r="18" spans="1:66" s="339" customFormat="1" x14ac:dyDescent="0.25">
      <c r="A18" s="462" t="str">
        <f>IF(D18="","",Cover!$D$8)</f>
        <v/>
      </c>
      <c r="B18" s="462" t="str">
        <f>IF(D18="","",Cover!$D$7)</f>
        <v/>
      </c>
      <c r="C18" s="397" t="str">
        <f>IF(F18="","",IFERROR(VLOOKUP(F18,'Master Data'!$E$59:$J$144,6,FALSE),0))</f>
        <v/>
      </c>
      <c r="D18" s="463" t="str">
        <f>IF(F18="","",IFERROR(VLOOKUP(F18,'Master Data'!$E$59:$L$146,8,FALSE),0))</f>
        <v/>
      </c>
      <c r="E18" s="397" t="str">
        <f>IF(D18="","",IFERROR(VLOOKUP(D18,'Master Data'!$D$59:$I$146,6,FALSE),0))</f>
        <v/>
      </c>
      <c r="F18" s="464"/>
      <c r="G18" s="465"/>
      <c r="H18" s="466">
        <f>IFERROR(VLOOKUP(G18,'Master Data'!$C$336:$I$353,7,FALSE),0)</f>
        <v>0</v>
      </c>
      <c r="I18" s="467">
        <f>IFERROR(VLOOKUP(H18,'Master Data'!$B$336:$D$351,3,FALSE),0)</f>
        <v>0</v>
      </c>
      <c r="J18" s="468">
        <f>IFERROR(VLOOKUP(H18,'Master Data'!$B$336:$H$353,7,FALSE),0)</f>
        <v>0</v>
      </c>
      <c r="K18" s="469"/>
      <c r="L18" s="470" t="str">
        <f>IFERROR(IF(I19="FIXED ASSET",J18&amp;E18&amp;K18,VLOOKUP(F18,'Master Data'!$E$59:$H$144,4,FALSE)&amp;"-"&amp;J18&amp;"-"&amp;K18),"-")</f>
        <v>-</v>
      </c>
      <c r="M18" s="464"/>
      <c r="N18" s="471"/>
      <c r="O18" s="481"/>
      <c r="P18" s="481"/>
      <c r="Q18" s="481"/>
      <c r="R18" s="481"/>
      <c r="S18" s="481"/>
      <c r="T18" s="481"/>
      <c r="U18" s="481"/>
      <c r="V18" s="481"/>
      <c r="W18" s="481"/>
      <c r="X18" s="481"/>
      <c r="Y18" s="481"/>
      <c r="Z18" s="481"/>
      <c r="AA18" s="480">
        <f t="shared" si="2"/>
        <v>0</v>
      </c>
      <c r="AB18" s="473"/>
      <c r="AC18" s="405"/>
      <c r="AD18" s="405"/>
      <c r="AE18" s="405"/>
      <c r="AF18" s="405"/>
      <c r="AG18" s="405"/>
      <c r="AH18" s="405"/>
      <c r="AI18" s="405"/>
      <c r="AJ18" s="405"/>
      <c r="AK18" s="405"/>
      <c r="AL18" s="405"/>
      <c r="AM18" s="405"/>
      <c r="AN18" s="405"/>
      <c r="AO18" s="406">
        <f t="shared" si="6"/>
        <v>0</v>
      </c>
      <c r="AP18" s="474"/>
      <c r="AQ18" s="405"/>
      <c r="AR18" s="405"/>
      <c r="AS18" s="405"/>
      <c r="AT18" s="405"/>
      <c r="AU18" s="405"/>
      <c r="AV18" s="405"/>
      <c r="AW18" s="405"/>
      <c r="AX18" s="405"/>
      <c r="AY18" s="405"/>
      <c r="AZ18" s="405"/>
      <c r="BA18" s="405"/>
      <c r="BB18" s="405"/>
      <c r="BC18" s="406">
        <f t="shared" si="7"/>
        <v>0</v>
      </c>
      <c r="BD18" s="475">
        <f t="shared" si="3"/>
        <v>0</v>
      </c>
      <c r="BE18" s="465"/>
      <c r="BF18" s="476"/>
      <c r="BG18" s="476"/>
      <c r="BH18" s="476"/>
      <c r="BI18" s="410">
        <f t="shared" si="0"/>
        <v>0</v>
      </c>
      <c r="BJ18" s="476"/>
      <c r="BK18" s="477" t="str">
        <f t="shared" si="1"/>
        <v/>
      </c>
      <c r="BL18" s="477" t="str">
        <f t="shared" si="4"/>
        <v/>
      </c>
      <c r="BM18" s="477" t="str">
        <f t="shared" si="5"/>
        <v/>
      </c>
      <c r="BN18" s="478"/>
    </row>
    <row r="19" spans="1:66" s="339" customFormat="1" x14ac:dyDescent="0.25">
      <c r="A19" s="462" t="str">
        <f>IF(D19="","",Cover!$D$8)</f>
        <v/>
      </c>
      <c r="B19" s="462" t="str">
        <f>IF(D19="","",Cover!$D$7)</f>
        <v/>
      </c>
      <c r="C19" s="397" t="str">
        <f>IF(F19="","",IFERROR(VLOOKUP(F19,'Master Data'!$E$59:$J$144,6,FALSE),0))</f>
        <v/>
      </c>
      <c r="D19" s="463" t="str">
        <f>IF(F19="","",IFERROR(VLOOKUP(F19,'Master Data'!$E$59:$L$146,8,FALSE),0))</f>
        <v/>
      </c>
      <c r="E19" s="397" t="str">
        <f>IF(D19="","",IFERROR(VLOOKUP(D19,'Master Data'!$D$59:$I$146,6,FALSE),0))</f>
        <v/>
      </c>
      <c r="F19" s="464"/>
      <c r="G19" s="465"/>
      <c r="H19" s="466">
        <f>IFERROR(VLOOKUP(G19,'Master Data'!$C$336:$I$353,7,FALSE),0)</f>
        <v>0</v>
      </c>
      <c r="I19" s="467">
        <f>IFERROR(VLOOKUP(H19,'Master Data'!$B$336:$D$351,3,FALSE),0)</f>
        <v>0</v>
      </c>
      <c r="J19" s="468">
        <f>IFERROR(VLOOKUP(H19,'Master Data'!$B$336:$H$353,7,FALSE),0)</f>
        <v>0</v>
      </c>
      <c r="K19" s="469"/>
      <c r="L19" s="470" t="str">
        <f>IFERROR(IF(I20="FIXED ASSET",J19&amp;E19&amp;K19,VLOOKUP(F19,'Master Data'!$E$59:$H$144,4,FALSE)&amp;"-"&amp;J19&amp;"-"&amp;K19),"-")</f>
        <v>-</v>
      </c>
      <c r="M19" s="464"/>
      <c r="N19" s="471"/>
      <c r="O19" s="481"/>
      <c r="P19" s="481"/>
      <c r="Q19" s="481"/>
      <c r="R19" s="481"/>
      <c r="S19" s="481"/>
      <c r="T19" s="481"/>
      <c r="U19" s="481"/>
      <c r="V19" s="481"/>
      <c r="W19" s="481"/>
      <c r="X19" s="481"/>
      <c r="Y19" s="481"/>
      <c r="Z19" s="481"/>
      <c r="AA19" s="480">
        <f t="shared" si="2"/>
        <v>0</v>
      </c>
      <c r="AB19" s="473"/>
      <c r="AC19" s="405"/>
      <c r="AD19" s="405"/>
      <c r="AE19" s="405"/>
      <c r="AF19" s="405"/>
      <c r="AG19" s="405"/>
      <c r="AH19" s="405"/>
      <c r="AI19" s="405"/>
      <c r="AJ19" s="405"/>
      <c r="AK19" s="405"/>
      <c r="AL19" s="405"/>
      <c r="AM19" s="405"/>
      <c r="AN19" s="405"/>
      <c r="AO19" s="406">
        <f t="shared" si="6"/>
        <v>0</v>
      </c>
      <c r="AP19" s="474"/>
      <c r="AQ19" s="405"/>
      <c r="AR19" s="405"/>
      <c r="AS19" s="405"/>
      <c r="AT19" s="405"/>
      <c r="AU19" s="405"/>
      <c r="AV19" s="405"/>
      <c r="AW19" s="405"/>
      <c r="AX19" s="405"/>
      <c r="AY19" s="405"/>
      <c r="AZ19" s="405"/>
      <c r="BA19" s="405"/>
      <c r="BB19" s="405"/>
      <c r="BC19" s="406">
        <f t="shared" si="7"/>
        <v>0</v>
      </c>
      <c r="BD19" s="475">
        <f t="shared" si="3"/>
        <v>0</v>
      </c>
      <c r="BE19" s="465"/>
      <c r="BF19" s="476"/>
      <c r="BG19" s="476"/>
      <c r="BH19" s="476"/>
      <c r="BI19" s="410">
        <f t="shared" si="0"/>
        <v>0</v>
      </c>
      <c r="BJ19" s="476"/>
      <c r="BK19" s="477" t="str">
        <f t="shared" si="1"/>
        <v/>
      </c>
      <c r="BL19" s="477" t="str">
        <f t="shared" si="4"/>
        <v/>
      </c>
      <c r="BM19" s="477" t="str">
        <f t="shared" si="5"/>
        <v/>
      </c>
      <c r="BN19" s="478"/>
    </row>
    <row r="20" spans="1:66" s="339" customFormat="1" x14ac:dyDescent="0.25">
      <c r="A20" s="462" t="str">
        <f>IF(D20="","",Cover!$D$8)</f>
        <v/>
      </c>
      <c r="B20" s="462" t="str">
        <f>IF(D20="","",Cover!$D$7)</f>
        <v/>
      </c>
      <c r="C20" s="397" t="str">
        <f>IF(F20="","",IFERROR(VLOOKUP(F20,'Master Data'!$E$59:$J$144,6,FALSE),0))</f>
        <v/>
      </c>
      <c r="D20" s="463" t="str">
        <f>IF(F20="","",IFERROR(VLOOKUP(F20,'Master Data'!$E$59:$L$146,8,FALSE),0))</f>
        <v/>
      </c>
      <c r="E20" s="397" t="str">
        <f>IF(D20="","",IFERROR(VLOOKUP(D20,'Master Data'!$D$59:$I$146,6,FALSE),0))</f>
        <v/>
      </c>
      <c r="F20" s="464"/>
      <c r="G20" s="465"/>
      <c r="H20" s="466">
        <f>IFERROR(VLOOKUP(G20,'Master Data'!$C$336:$I$353,7,FALSE),0)</f>
        <v>0</v>
      </c>
      <c r="I20" s="467">
        <f>IFERROR(VLOOKUP(H20,'Master Data'!$B$336:$D$351,3,FALSE),0)</f>
        <v>0</v>
      </c>
      <c r="J20" s="468">
        <f>IFERROR(VLOOKUP(H20,'Master Data'!$B$336:$H$353,7,FALSE),0)</f>
        <v>0</v>
      </c>
      <c r="K20" s="469"/>
      <c r="L20" s="470" t="str">
        <f>IFERROR(IF(I21="FIXED ASSET",J20&amp;E20&amp;K20,VLOOKUP(F20,'Master Data'!$E$59:$H$144,4,FALSE)&amp;"-"&amp;J20&amp;"-"&amp;K20),"-")</f>
        <v>-</v>
      </c>
      <c r="M20" s="464"/>
      <c r="N20" s="471"/>
      <c r="O20" s="481"/>
      <c r="P20" s="481"/>
      <c r="Q20" s="481"/>
      <c r="R20" s="481"/>
      <c r="S20" s="481"/>
      <c r="T20" s="481"/>
      <c r="U20" s="481"/>
      <c r="V20" s="481"/>
      <c r="W20" s="481"/>
      <c r="X20" s="481"/>
      <c r="Y20" s="481"/>
      <c r="Z20" s="481"/>
      <c r="AA20" s="480">
        <f t="shared" si="2"/>
        <v>0</v>
      </c>
      <c r="AB20" s="473"/>
      <c r="AC20" s="405"/>
      <c r="AD20" s="405"/>
      <c r="AE20" s="405"/>
      <c r="AF20" s="405"/>
      <c r="AG20" s="405"/>
      <c r="AH20" s="405"/>
      <c r="AI20" s="405"/>
      <c r="AJ20" s="405"/>
      <c r="AK20" s="405"/>
      <c r="AL20" s="405"/>
      <c r="AM20" s="405"/>
      <c r="AN20" s="405"/>
      <c r="AO20" s="406">
        <f t="shared" si="6"/>
        <v>0</v>
      </c>
      <c r="AP20" s="474"/>
      <c r="AQ20" s="405"/>
      <c r="AR20" s="405"/>
      <c r="AS20" s="405"/>
      <c r="AT20" s="405"/>
      <c r="AU20" s="405"/>
      <c r="AV20" s="405"/>
      <c r="AW20" s="405"/>
      <c r="AX20" s="405"/>
      <c r="AY20" s="405"/>
      <c r="AZ20" s="405"/>
      <c r="BA20" s="405"/>
      <c r="BB20" s="405"/>
      <c r="BC20" s="406">
        <f t="shared" si="7"/>
        <v>0</v>
      </c>
      <c r="BD20" s="475">
        <f t="shared" si="3"/>
        <v>0</v>
      </c>
      <c r="BE20" s="465"/>
      <c r="BF20" s="476"/>
      <c r="BG20" s="476"/>
      <c r="BH20" s="476"/>
      <c r="BI20" s="410">
        <f t="shared" si="0"/>
        <v>0</v>
      </c>
      <c r="BJ20" s="476"/>
      <c r="BK20" s="477" t="str">
        <f t="shared" si="1"/>
        <v/>
      </c>
      <c r="BL20" s="477" t="str">
        <f t="shared" si="4"/>
        <v/>
      </c>
      <c r="BM20" s="477" t="str">
        <f t="shared" si="5"/>
        <v/>
      </c>
      <c r="BN20" s="478"/>
    </row>
    <row r="21" spans="1:66" s="339" customFormat="1" x14ac:dyDescent="0.25">
      <c r="A21" s="462" t="str">
        <f>IF(D21="","",Cover!$D$8)</f>
        <v/>
      </c>
      <c r="B21" s="462" t="str">
        <f>IF(D21="","",Cover!$D$7)</f>
        <v/>
      </c>
      <c r="C21" s="397" t="str">
        <f>IF(F21="","",IFERROR(VLOOKUP(F21,'Master Data'!$E$59:$J$144,6,FALSE),0))</f>
        <v/>
      </c>
      <c r="D21" s="463" t="str">
        <f>IF(F21="","",IFERROR(VLOOKUP(F21,'Master Data'!$E$59:$L$146,8,FALSE),0))</f>
        <v/>
      </c>
      <c r="E21" s="397" t="str">
        <f>IF(D21="","",IFERROR(VLOOKUP(D21,'Master Data'!$D$59:$I$146,6,FALSE),0))</f>
        <v/>
      </c>
      <c r="F21" s="464"/>
      <c r="G21" s="465"/>
      <c r="H21" s="466">
        <f>IFERROR(VLOOKUP(G21,'Master Data'!$C$336:$I$353,7,FALSE),0)</f>
        <v>0</v>
      </c>
      <c r="I21" s="467">
        <f>IFERROR(VLOOKUP(H21,'Master Data'!$B$336:$D$351,3,FALSE),0)</f>
        <v>0</v>
      </c>
      <c r="J21" s="468">
        <f>IFERROR(VLOOKUP(H21,'Master Data'!$B$336:$H$353,7,FALSE),0)</f>
        <v>0</v>
      </c>
      <c r="K21" s="469"/>
      <c r="L21" s="470" t="str">
        <f>IFERROR(IF(I22="FIXED ASSET",J21&amp;E21&amp;K21,VLOOKUP(F21,'Master Data'!$E$59:$H$144,4,FALSE)&amp;"-"&amp;J21&amp;"-"&amp;K21),"-")</f>
        <v>-</v>
      </c>
      <c r="M21" s="464"/>
      <c r="N21" s="471"/>
      <c r="O21" s="481"/>
      <c r="P21" s="481"/>
      <c r="Q21" s="481"/>
      <c r="R21" s="481"/>
      <c r="S21" s="481"/>
      <c r="T21" s="481"/>
      <c r="U21" s="481"/>
      <c r="V21" s="481"/>
      <c r="W21" s="481"/>
      <c r="X21" s="481"/>
      <c r="Y21" s="481"/>
      <c r="Z21" s="481"/>
      <c r="AA21" s="480">
        <f t="shared" si="2"/>
        <v>0</v>
      </c>
      <c r="AB21" s="473"/>
      <c r="AC21" s="405"/>
      <c r="AD21" s="405"/>
      <c r="AE21" s="405"/>
      <c r="AF21" s="405"/>
      <c r="AG21" s="405"/>
      <c r="AH21" s="405"/>
      <c r="AI21" s="405"/>
      <c r="AJ21" s="405"/>
      <c r="AK21" s="405"/>
      <c r="AL21" s="405"/>
      <c r="AM21" s="405"/>
      <c r="AN21" s="405"/>
      <c r="AO21" s="406">
        <f t="shared" si="6"/>
        <v>0</v>
      </c>
      <c r="AP21" s="474"/>
      <c r="AQ21" s="405"/>
      <c r="AR21" s="405"/>
      <c r="AS21" s="405"/>
      <c r="AT21" s="405"/>
      <c r="AU21" s="405"/>
      <c r="AV21" s="405"/>
      <c r="AW21" s="405"/>
      <c r="AX21" s="405"/>
      <c r="AY21" s="405"/>
      <c r="AZ21" s="405"/>
      <c r="BA21" s="405"/>
      <c r="BB21" s="405"/>
      <c r="BC21" s="406">
        <f t="shared" si="7"/>
        <v>0</v>
      </c>
      <c r="BD21" s="475">
        <f t="shared" si="3"/>
        <v>0</v>
      </c>
      <c r="BE21" s="465"/>
      <c r="BF21" s="476"/>
      <c r="BG21" s="476"/>
      <c r="BH21" s="476"/>
      <c r="BI21" s="410">
        <f t="shared" si="0"/>
        <v>0</v>
      </c>
      <c r="BJ21" s="476"/>
      <c r="BK21" s="477" t="str">
        <f t="shared" si="1"/>
        <v/>
      </c>
      <c r="BL21" s="477" t="str">
        <f t="shared" si="4"/>
        <v/>
      </c>
      <c r="BM21" s="477" t="str">
        <f t="shared" si="5"/>
        <v/>
      </c>
      <c r="BN21" s="478"/>
    </row>
    <row r="22" spans="1:66" s="339" customFormat="1" x14ac:dyDescent="0.25">
      <c r="A22" s="462" t="str">
        <f>IF(D22="","",Cover!$D$8)</f>
        <v/>
      </c>
      <c r="B22" s="462" t="str">
        <f>IF(D22="","",Cover!$D$7)</f>
        <v/>
      </c>
      <c r="C22" s="397" t="str">
        <f>IF(F22="","",IFERROR(VLOOKUP(F22,'Master Data'!$E$59:$J$144,6,FALSE),0))</f>
        <v/>
      </c>
      <c r="D22" s="463" t="str">
        <f>IF(F22="","",IFERROR(VLOOKUP(F22,'Master Data'!$E$59:$L$146,8,FALSE),0))</f>
        <v/>
      </c>
      <c r="E22" s="397" t="str">
        <f>IF(D22="","",IFERROR(VLOOKUP(D22,'Master Data'!$D$59:$I$146,6,FALSE),0))</f>
        <v/>
      </c>
      <c r="F22" s="464"/>
      <c r="G22" s="465"/>
      <c r="H22" s="466">
        <f>IFERROR(VLOOKUP(G22,'Master Data'!$C$336:$I$353,7,FALSE),0)</f>
        <v>0</v>
      </c>
      <c r="I22" s="467">
        <f>IFERROR(VLOOKUP(H22,'Master Data'!$B$336:$D$351,3,FALSE),0)</f>
        <v>0</v>
      </c>
      <c r="J22" s="468">
        <f>IFERROR(VLOOKUP(H22,'Master Data'!$B$336:$H$353,7,FALSE),0)</f>
        <v>0</v>
      </c>
      <c r="K22" s="469"/>
      <c r="L22" s="470" t="str">
        <f>IFERROR(IF(I23="FIXED ASSET",J22&amp;E22&amp;K22,VLOOKUP(F22,'Master Data'!$E$59:$H$144,4,FALSE)&amp;"-"&amp;J22&amp;"-"&amp;K22),"-")</f>
        <v>-</v>
      </c>
      <c r="M22" s="464"/>
      <c r="N22" s="471"/>
      <c r="O22" s="481"/>
      <c r="P22" s="481"/>
      <c r="Q22" s="481"/>
      <c r="R22" s="481"/>
      <c r="S22" s="481"/>
      <c r="T22" s="481"/>
      <c r="U22" s="481"/>
      <c r="V22" s="481"/>
      <c r="W22" s="481"/>
      <c r="X22" s="481"/>
      <c r="Y22" s="481"/>
      <c r="Z22" s="481"/>
      <c r="AA22" s="480">
        <f t="shared" si="2"/>
        <v>0</v>
      </c>
      <c r="AB22" s="473"/>
      <c r="AC22" s="405"/>
      <c r="AD22" s="405"/>
      <c r="AE22" s="405"/>
      <c r="AF22" s="405"/>
      <c r="AG22" s="405"/>
      <c r="AH22" s="405"/>
      <c r="AI22" s="405"/>
      <c r="AJ22" s="405"/>
      <c r="AK22" s="405"/>
      <c r="AL22" s="405"/>
      <c r="AM22" s="405"/>
      <c r="AN22" s="405"/>
      <c r="AO22" s="406">
        <f t="shared" si="6"/>
        <v>0</v>
      </c>
      <c r="AP22" s="474"/>
      <c r="AQ22" s="405"/>
      <c r="AR22" s="405"/>
      <c r="AS22" s="405"/>
      <c r="AT22" s="405"/>
      <c r="AU22" s="405"/>
      <c r="AV22" s="405"/>
      <c r="AW22" s="405"/>
      <c r="AX22" s="405"/>
      <c r="AY22" s="405"/>
      <c r="AZ22" s="405"/>
      <c r="BA22" s="405"/>
      <c r="BB22" s="405"/>
      <c r="BC22" s="406">
        <f t="shared" si="7"/>
        <v>0</v>
      </c>
      <c r="BD22" s="475">
        <f t="shared" si="3"/>
        <v>0</v>
      </c>
      <c r="BE22" s="465"/>
      <c r="BF22" s="476"/>
      <c r="BG22" s="476"/>
      <c r="BH22" s="476"/>
      <c r="BI22" s="410">
        <f t="shared" si="0"/>
        <v>0</v>
      </c>
      <c r="BJ22" s="476"/>
      <c r="BK22" s="477" t="str">
        <f t="shared" si="1"/>
        <v/>
      </c>
      <c r="BL22" s="477" t="str">
        <f t="shared" si="4"/>
        <v/>
      </c>
      <c r="BM22" s="477" t="str">
        <f t="shared" si="5"/>
        <v/>
      </c>
      <c r="BN22" s="478"/>
    </row>
    <row r="23" spans="1:66" s="339" customFormat="1" x14ac:dyDescent="0.25">
      <c r="A23" s="462" t="str">
        <f>IF(D23="","",Cover!$D$8)</f>
        <v/>
      </c>
      <c r="B23" s="462" t="str">
        <f>IF(D23="","",Cover!$D$7)</f>
        <v/>
      </c>
      <c r="C23" s="397" t="str">
        <f>IF(F23="","",IFERROR(VLOOKUP(F23,'Master Data'!$E$59:$J$144,6,FALSE),0))</f>
        <v/>
      </c>
      <c r="D23" s="463" t="str">
        <f>IF(F23="","",IFERROR(VLOOKUP(F23,'Master Data'!$E$59:$L$146,8,FALSE),0))</f>
        <v/>
      </c>
      <c r="E23" s="397" t="str">
        <f>IF(D23="","",IFERROR(VLOOKUP(D23,'Master Data'!$D$59:$I$146,6,FALSE),0))</f>
        <v/>
      </c>
      <c r="F23" s="464"/>
      <c r="G23" s="465"/>
      <c r="H23" s="466">
        <f>IFERROR(VLOOKUP(G23,'Master Data'!$C$336:$I$353,7,FALSE),0)</f>
        <v>0</v>
      </c>
      <c r="I23" s="467">
        <f>IFERROR(VLOOKUP(H23,'Master Data'!$B$336:$D$351,3,FALSE),0)</f>
        <v>0</v>
      </c>
      <c r="J23" s="468">
        <f>IFERROR(VLOOKUP(H23,'Master Data'!$B$336:$H$353,7,FALSE),0)</f>
        <v>0</v>
      </c>
      <c r="K23" s="469"/>
      <c r="L23" s="470" t="str">
        <f>IFERROR(IF(I24="FIXED ASSET",J23&amp;E23&amp;K23,VLOOKUP(F23,'Master Data'!$E$59:$H$144,4,FALSE)&amp;"-"&amp;J23&amp;"-"&amp;K23),"-")</f>
        <v>-</v>
      </c>
      <c r="M23" s="464"/>
      <c r="N23" s="471"/>
      <c r="O23" s="481"/>
      <c r="P23" s="481"/>
      <c r="Q23" s="481"/>
      <c r="R23" s="481"/>
      <c r="S23" s="481"/>
      <c r="T23" s="481"/>
      <c r="U23" s="481"/>
      <c r="V23" s="481"/>
      <c r="W23" s="481"/>
      <c r="X23" s="481"/>
      <c r="Y23" s="481"/>
      <c r="Z23" s="481"/>
      <c r="AA23" s="480">
        <f t="shared" si="2"/>
        <v>0</v>
      </c>
      <c r="AB23" s="473"/>
      <c r="AC23" s="405"/>
      <c r="AD23" s="405"/>
      <c r="AE23" s="405"/>
      <c r="AF23" s="405"/>
      <c r="AG23" s="405"/>
      <c r="AH23" s="405"/>
      <c r="AI23" s="405"/>
      <c r="AJ23" s="405"/>
      <c r="AK23" s="405"/>
      <c r="AL23" s="405"/>
      <c r="AM23" s="405"/>
      <c r="AN23" s="405"/>
      <c r="AO23" s="406">
        <f t="shared" si="6"/>
        <v>0</v>
      </c>
      <c r="AP23" s="474"/>
      <c r="AQ23" s="405"/>
      <c r="AR23" s="405"/>
      <c r="AS23" s="405"/>
      <c r="AT23" s="405"/>
      <c r="AU23" s="405"/>
      <c r="AV23" s="405"/>
      <c r="AW23" s="405"/>
      <c r="AX23" s="405"/>
      <c r="AY23" s="405"/>
      <c r="AZ23" s="405"/>
      <c r="BA23" s="405"/>
      <c r="BB23" s="405"/>
      <c r="BC23" s="406">
        <f t="shared" si="7"/>
        <v>0</v>
      </c>
      <c r="BD23" s="475">
        <f t="shared" si="3"/>
        <v>0</v>
      </c>
      <c r="BE23" s="465"/>
      <c r="BF23" s="476"/>
      <c r="BG23" s="476"/>
      <c r="BH23" s="476"/>
      <c r="BI23" s="410">
        <f t="shared" si="0"/>
        <v>0</v>
      </c>
      <c r="BJ23" s="476"/>
      <c r="BK23" s="477" t="str">
        <f t="shared" si="1"/>
        <v/>
      </c>
      <c r="BL23" s="477" t="str">
        <f t="shared" si="4"/>
        <v/>
      </c>
      <c r="BM23" s="477" t="str">
        <f t="shared" si="5"/>
        <v/>
      </c>
      <c r="BN23" s="478"/>
    </row>
    <row r="24" spans="1:66" s="339" customFormat="1" x14ac:dyDescent="0.25">
      <c r="A24" s="462" t="str">
        <f>IF(D24="","",Cover!$D$8)</f>
        <v/>
      </c>
      <c r="B24" s="462" t="str">
        <f>IF(D24="","",Cover!$D$7)</f>
        <v/>
      </c>
      <c r="C24" s="397" t="str">
        <f>IF(F24="","",IFERROR(VLOOKUP(F24,'Master Data'!$E$59:$J$144,6,FALSE),0))</f>
        <v/>
      </c>
      <c r="D24" s="463" t="str">
        <f>IF(F24="","",IFERROR(VLOOKUP(F24,'Master Data'!$E$59:$L$146,8,FALSE),0))</f>
        <v/>
      </c>
      <c r="E24" s="397" t="str">
        <f>IF(D24="","",IFERROR(VLOOKUP(D24,'Master Data'!$D$59:$I$146,6,FALSE),0))</f>
        <v/>
      </c>
      <c r="F24" s="464"/>
      <c r="G24" s="465"/>
      <c r="H24" s="466">
        <f>IFERROR(VLOOKUP(G24,'Master Data'!$C$336:$I$353,7,FALSE),0)</f>
        <v>0</v>
      </c>
      <c r="I24" s="467">
        <f>IFERROR(VLOOKUP(H24,'Master Data'!$B$336:$D$351,3,FALSE),0)</f>
        <v>0</v>
      </c>
      <c r="J24" s="468">
        <f>IFERROR(VLOOKUP(H24,'Master Data'!$B$336:$H$353,7,FALSE),0)</f>
        <v>0</v>
      </c>
      <c r="K24" s="469"/>
      <c r="L24" s="470" t="str">
        <f>IFERROR(IF(I25="FIXED ASSET",J24&amp;E24&amp;K24,VLOOKUP(F24,'Master Data'!$E$59:$H$144,4,FALSE)&amp;"-"&amp;J24&amp;"-"&amp;K24),"-")</f>
        <v>-</v>
      </c>
      <c r="M24" s="464"/>
      <c r="N24" s="471"/>
      <c r="O24" s="481"/>
      <c r="P24" s="481"/>
      <c r="Q24" s="481"/>
      <c r="R24" s="481"/>
      <c r="S24" s="481"/>
      <c r="T24" s="481"/>
      <c r="U24" s="481"/>
      <c r="V24" s="481"/>
      <c r="W24" s="481"/>
      <c r="X24" s="481"/>
      <c r="Y24" s="481"/>
      <c r="Z24" s="481"/>
      <c r="AA24" s="480">
        <f t="shared" si="2"/>
        <v>0</v>
      </c>
      <c r="AB24" s="473"/>
      <c r="AC24" s="405"/>
      <c r="AD24" s="405"/>
      <c r="AE24" s="405"/>
      <c r="AF24" s="405"/>
      <c r="AG24" s="405"/>
      <c r="AH24" s="405"/>
      <c r="AI24" s="405"/>
      <c r="AJ24" s="405"/>
      <c r="AK24" s="405"/>
      <c r="AL24" s="405"/>
      <c r="AM24" s="405"/>
      <c r="AN24" s="405"/>
      <c r="AO24" s="406">
        <f t="shared" si="6"/>
        <v>0</v>
      </c>
      <c r="AP24" s="474"/>
      <c r="AQ24" s="405"/>
      <c r="AR24" s="405"/>
      <c r="AS24" s="405"/>
      <c r="AT24" s="405"/>
      <c r="AU24" s="405"/>
      <c r="AV24" s="405"/>
      <c r="AW24" s="405"/>
      <c r="AX24" s="405"/>
      <c r="AY24" s="405"/>
      <c r="AZ24" s="405"/>
      <c r="BA24" s="405"/>
      <c r="BB24" s="405"/>
      <c r="BC24" s="406">
        <f t="shared" si="7"/>
        <v>0</v>
      </c>
      <c r="BD24" s="475">
        <f t="shared" si="3"/>
        <v>0</v>
      </c>
      <c r="BE24" s="465"/>
      <c r="BF24" s="476"/>
      <c r="BG24" s="476"/>
      <c r="BH24" s="476"/>
      <c r="BI24" s="410">
        <f t="shared" si="0"/>
        <v>0</v>
      </c>
      <c r="BJ24" s="476"/>
      <c r="BK24" s="477" t="str">
        <f t="shared" si="1"/>
        <v/>
      </c>
      <c r="BL24" s="477" t="str">
        <f t="shared" si="4"/>
        <v/>
      </c>
      <c r="BM24" s="477" t="str">
        <f t="shared" si="5"/>
        <v/>
      </c>
      <c r="BN24" s="478"/>
    </row>
    <row r="25" spans="1:66" x14ac:dyDescent="0.25">
      <c r="A25" s="462" t="str">
        <f>IF(D25="","",Cover!$D$8)</f>
        <v/>
      </c>
      <c r="B25" s="462" t="str">
        <f>IF(D25="","",Cover!$D$7)</f>
        <v/>
      </c>
      <c r="C25" s="397" t="str">
        <f>IF(F25="","",IFERROR(VLOOKUP(F25,'Master Data'!$E$59:$J$144,6,FALSE),0))</f>
        <v/>
      </c>
      <c r="D25" s="463" t="str">
        <f>IF(F25="","",IFERROR(VLOOKUP(F25,'Master Data'!$E$59:$L$146,8,FALSE),0))</f>
        <v/>
      </c>
      <c r="E25" s="397" t="str">
        <f>IF(D25="","",IFERROR(VLOOKUP(D25,'Master Data'!$D$59:$I$146,6,FALSE),0))</f>
        <v/>
      </c>
      <c r="F25" s="464"/>
      <c r="G25" s="465"/>
      <c r="H25" s="466">
        <f>IFERROR(VLOOKUP(G25,'Master Data'!$C$336:$I$353,7,FALSE),0)</f>
        <v>0</v>
      </c>
      <c r="I25" s="467">
        <f>IFERROR(VLOOKUP(H25,'Master Data'!$B$336:$D$351,3,FALSE),0)</f>
        <v>0</v>
      </c>
      <c r="J25" s="468">
        <f>IFERROR(VLOOKUP(H25,'Master Data'!$B$336:$H$353,7,FALSE),0)</f>
        <v>0</v>
      </c>
      <c r="K25" s="469"/>
      <c r="L25" s="470" t="str">
        <f>IFERROR(IF(I26="FIXED ASSET",J25&amp;E25&amp;K25,VLOOKUP(F25,'Master Data'!$E$59:$H$144,4,FALSE)&amp;"-"&amp;J25&amp;"-"&amp;K25),"-")</f>
        <v>-</v>
      </c>
      <c r="M25" s="482"/>
      <c r="N25" s="483"/>
      <c r="O25" s="481"/>
      <c r="P25" s="481"/>
      <c r="Q25" s="481"/>
      <c r="R25" s="481"/>
      <c r="S25" s="481"/>
      <c r="T25" s="481"/>
      <c r="U25" s="481"/>
      <c r="V25" s="481"/>
      <c r="W25" s="481"/>
      <c r="X25" s="481"/>
      <c r="Y25" s="481"/>
      <c r="Z25" s="481"/>
      <c r="AA25" s="480">
        <f t="shared" si="2"/>
        <v>0</v>
      </c>
      <c r="AB25" s="473"/>
      <c r="AC25" s="405"/>
      <c r="AD25" s="405"/>
      <c r="AE25" s="405"/>
      <c r="AF25" s="405"/>
      <c r="AG25" s="405"/>
      <c r="AH25" s="405"/>
      <c r="AI25" s="405"/>
      <c r="AJ25" s="405"/>
      <c r="AK25" s="405"/>
      <c r="AL25" s="405"/>
      <c r="AM25" s="405"/>
      <c r="AN25" s="405"/>
      <c r="AO25" s="406">
        <f t="shared" si="6"/>
        <v>0</v>
      </c>
      <c r="AP25" s="474"/>
      <c r="AQ25" s="405"/>
      <c r="AR25" s="405"/>
      <c r="AS25" s="405"/>
      <c r="AT25" s="405"/>
      <c r="AU25" s="405"/>
      <c r="AV25" s="405"/>
      <c r="AW25" s="405"/>
      <c r="AX25" s="405"/>
      <c r="AY25" s="405"/>
      <c r="AZ25" s="405"/>
      <c r="BA25" s="405"/>
      <c r="BB25" s="405"/>
      <c r="BC25" s="406">
        <f t="shared" si="7"/>
        <v>0</v>
      </c>
      <c r="BD25" s="475">
        <f t="shared" si="3"/>
        <v>0</v>
      </c>
      <c r="BE25" s="465"/>
      <c r="BF25" s="476"/>
      <c r="BG25" s="476"/>
      <c r="BH25" s="476"/>
      <c r="BI25" s="410">
        <f t="shared" si="0"/>
        <v>0</v>
      </c>
      <c r="BJ25" s="476"/>
      <c r="BK25" s="477" t="str">
        <f t="shared" si="1"/>
        <v/>
      </c>
      <c r="BL25" s="477" t="str">
        <f t="shared" si="4"/>
        <v/>
      </c>
      <c r="BM25" s="477" t="str">
        <f t="shared" si="5"/>
        <v/>
      </c>
      <c r="BN25" s="478"/>
    </row>
    <row r="26" spans="1:66" x14ac:dyDescent="0.25">
      <c r="A26" s="462" t="str">
        <f>IF(D26="","",Cover!$D$8)</f>
        <v/>
      </c>
      <c r="B26" s="462" t="str">
        <f>IF(D26="","",Cover!$D$7)</f>
        <v/>
      </c>
      <c r="C26" s="397" t="str">
        <f>IF(F26="","",IFERROR(VLOOKUP(F26,'Master Data'!$E$59:$J$144,6,FALSE),0))</f>
        <v/>
      </c>
      <c r="D26" s="463" t="str">
        <f>IF(F26="","",IFERROR(VLOOKUP(F26,'Master Data'!$E$59:$L$146,8,FALSE),0))</f>
        <v/>
      </c>
      <c r="E26" s="397" t="str">
        <f>IF(D26="","",IFERROR(VLOOKUP(D26,'Master Data'!$D$59:$I$146,6,FALSE),0))</f>
        <v/>
      </c>
      <c r="F26" s="464"/>
      <c r="G26" s="465"/>
      <c r="H26" s="466">
        <f>IFERROR(VLOOKUP(G26,'Master Data'!$C$336:$I$353,7,FALSE),0)</f>
        <v>0</v>
      </c>
      <c r="I26" s="467">
        <f>IFERROR(VLOOKUP(H26,'Master Data'!$B$336:$D$351,3,FALSE),0)</f>
        <v>0</v>
      </c>
      <c r="J26" s="468">
        <f>IFERROR(VLOOKUP(H26,'Master Data'!$B$336:$H$353,7,FALSE),0)</f>
        <v>0</v>
      </c>
      <c r="K26" s="469"/>
      <c r="L26" s="470" t="str">
        <f>IFERROR(IF(I27="FIXED ASSET",J26&amp;E26&amp;K26,VLOOKUP(F26,'Master Data'!$E$59:$H$144,4,FALSE)&amp;"-"&amp;J26&amp;"-"&amp;K26),"-")</f>
        <v>-</v>
      </c>
      <c r="M26" s="482"/>
      <c r="N26" s="483"/>
      <c r="O26" s="481"/>
      <c r="P26" s="481"/>
      <c r="Q26" s="481"/>
      <c r="R26" s="481"/>
      <c r="S26" s="481"/>
      <c r="T26" s="481"/>
      <c r="U26" s="481"/>
      <c r="V26" s="481"/>
      <c r="W26" s="481"/>
      <c r="X26" s="481"/>
      <c r="Y26" s="481"/>
      <c r="Z26" s="481"/>
      <c r="AA26" s="480">
        <f t="shared" ref="AA26:AA52" si="8">SUM(O26:Z26)</f>
        <v>0</v>
      </c>
      <c r="AB26" s="473"/>
      <c r="AC26" s="405"/>
      <c r="AD26" s="405"/>
      <c r="AE26" s="405"/>
      <c r="AF26" s="405"/>
      <c r="AG26" s="405"/>
      <c r="AH26" s="405"/>
      <c r="AI26" s="405"/>
      <c r="AJ26" s="405"/>
      <c r="AK26" s="405"/>
      <c r="AL26" s="405"/>
      <c r="AM26" s="405"/>
      <c r="AN26" s="405"/>
      <c r="AO26" s="406">
        <f t="shared" si="6"/>
        <v>0</v>
      </c>
      <c r="AP26" s="474"/>
      <c r="AQ26" s="405"/>
      <c r="AR26" s="405"/>
      <c r="AS26" s="405"/>
      <c r="AT26" s="405"/>
      <c r="AU26" s="405"/>
      <c r="AV26" s="405"/>
      <c r="AW26" s="405"/>
      <c r="AX26" s="405"/>
      <c r="AY26" s="405"/>
      <c r="AZ26" s="405"/>
      <c r="BA26" s="405"/>
      <c r="BB26" s="405"/>
      <c r="BC26" s="406">
        <f t="shared" si="7"/>
        <v>0</v>
      </c>
      <c r="BD26" s="475">
        <f t="shared" si="3"/>
        <v>0</v>
      </c>
      <c r="BE26" s="465"/>
      <c r="BF26" s="476"/>
      <c r="BG26" s="476"/>
      <c r="BH26" s="476"/>
      <c r="BI26" s="410">
        <f t="shared" si="0"/>
        <v>0</v>
      </c>
      <c r="BJ26" s="476"/>
      <c r="BK26" s="477" t="str">
        <f t="shared" si="1"/>
        <v/>
      </c>
      <c r="BL26" s="477" t="str">
        <f t="shared" si="4"/>
        <v/>
      </c>
      <c r="BM26" s="477" t="str">
        <f t="shared" si="5"/>
        <v/>
      </c>
      <c r="BN26" s="478"/>
    </row>
    <row r="27" spans="1:66" x14ac:dyDescent="0.25">
      <c r="A27" s="462" t="str">
        <f>IF(D27="","",Cover!$D$8)</f>
        <v/>
      </c>
      <c r="B27" s="462" t="str">
        <f>IF(D27="","",Cover!$D$7)</f>
        <v/>
      </c>
      <c r="C27" s="397" t="str">
        <f>IF(F27="","",IFERROR(VLOOKUP(F27,'Master Data'!$E$59:$J$144,6,FALSE),0))</f>
        <v/>
      </c>
      <c r="D27" s="463" t="str">
        <f>IF(F27="","",IFERROR(VLOOKUP(F27,'Master Data'!$E$59:$L$146,8,FALSE),0))</f>
        <v/>
      </c>
      <c r="E27" s="397" t="str">
        <f>IF(D27="","",IFERROR(VLOOKUP(D27,'Master Data'!$D$59:$I$146,6,FALSE),0))</f>
        <v/>
      </c>
      <c r="F27" s="464"/>
      <c r="G27" s="465"/>
      <c r="H27" s="466">
        <f>IFERROR(VLOOKUP(G27,'Master Data'!$C$336:$I$353,7,FALSE),0)</f>
        <v>0</v>
      </c>
      <c r="I27" s="467">
        <f>IFERROR(VLOOKUP(H27,'Master Data'!$B$336:$D$351,3,FALSE),0)</f>
        <v>0</v>
      </c>
      <c r="J27" s="468">
        <f>IFERROR(VLOOKUP(H27,'Master Data'!$B$336:$H$353,7,FALSE),0)</f>
        <v>0</v>
      </c>
      <c r="K27" s="469"/>
      <c r="L27" s="470" t="str">
        <f>IFERROR(IF(I28="FIXED ASSET",J27&amp;E27&amp;K27,VLOOKUP(F27,'Master Data'!$E$59:$H$144,4,FALSE)&amp;"-"&amp;J27&amp;"-"&amp;K27),"-")</f>
        <v>-</v>
      </c>
      <c r="M27" s="482"/>
      <c r="N27" s="483"/>
      <c r="O27" s="481"/>
      <c r="P27" s="481"/>
      <c r="Q27" s="481"/>
      <c r="R27" s="481"/>
      <c r="S27" s="481"/>
      <c r="T27" s="481"/>
      <c r="U27" s="481"/>
      <c r="V27" s="481"/>
      <c r="W27" s="481"/>
      <c r="X27" s="481"/>
      <c r="Y27" s="481"/>
      <c r="Z27" s="481"/>
      <c r="AA27" s="480">
        <f t="shared" si="8"/>
        <v>0</v>
      </c>
      <c r="AB27" s="473"/>
      <c r="AC27" s="405"/>
      <c r="AD27" s="405"/>
      <c r="AE27" s="405"/>
      <c r="AF27" s="405"/>
      <c r="AG27" s="405"/>
      <c r="AH27" s="405"/>
      <c r="AI27" s="405"/>
      <c r="AJ27" s="405"/>
      <c r="AK27" s="405"/>
      <c r="AL27" s="405"/>
      <c r="AM27" s="405"/>
      <c r="AN27" s="405"/>
      <c r="AO27" s="406">
        <f t="shared" si="6"/>
        <v>0</v>
      </c>
      <c r="AP27" s="474"/>
      <c r="AQ27" s="405"/>
      <c r="AR27" s="405"/>
      <c r="AS27" s="405"/>
      <c r="AT27" s="405"/>
      <c r="AU27" s="405"/>
      <c r="AV27" s="405"/>
      <c r="AW27" s="405"/>
      <c r="AX27" s="405"/>
      <c r="AY27" s="405"/>
      <c r="AZ27" s="405"/>
      <c r="BA27" s="405"/>
      <c r="BB27" s="405"/>
      <c r="BC27" s="406">
        <f t="shared" si="7"/>
        <v>0</v>
      </c>
      <c r="BD27" s="475">
        <f t="shared" si="3"/>
        <v>0</v>
      </c>
      <c r="BE27" s="465"/>
      <c r="BF27" s="476"/>
      <c r="BG27" s="476"/>
      <c r="BH27" s="476"/>
      <c r="BI27" s="410">
        <f t="shared" si="0"/>
        <v>0</v>
      </c>
      <c r="BJ27" s="476"/>
      <c r="BK27" s="477" t="str">
        <f t="shared" si="1"/>
        <v/>
      </c>
      <c r="BL27" s="477" t="str">
        <f t="shared" si="4"/>
        <v/>
      </c>
      <c r="BM27" s="477" t="str">
        <f t="shared" si="5"/>
        <v/>
      </c>
      <c r="BN27" s="478"/>
    </row>
    <row r="28" spans="1:66" x14ac:dyDescent="0.25">
      <c r="A28" s="462" t="str">
        <f>IF(D28="","",Cover!$D$8)</f>
        <v/>
      </c>
      <c r="B28" s="462" t="str">
        <f>IF(D28="","",Cover!$D$7)</f>
        <v/>
      </c>
      <c r="C28" s="397" t="str">
        <f>IF(F28="","",IFERROR(VLOOKUP(F28,'Master Data'!$E$59:$J$144,6,FALSE),0))</f>
        <v/>
      </c>
      <c r="D28" s="463" t="str">
        <f>IF(F28="","",IFERROR(VLOOKUP(F28,'Master Data'!$E$59:$L$146,8,FALSE),0))</f>
        <v/>
      </c>
      <c r="E28" s="397" t="str">
        <f>IF(D28="","",IFERROR(VLOOKUP(D28,'Master Data'!$D$59:$I$146,6,FALSE),0))</f>
        <v/>
      </c>
      <c r="F28" s="464"/>
      <c r="G28" s="465"/>
      <c r="H28" s="466">
        <f>IFERROR(VLOOKUP(G28,'Master Data'!$C$336:$I$353,7,FALSE),0)</f>
        <v>0</v>
      </c>
      <c r="I28" s="467">
        <f>IFERROR(VLOOKUP(H28,'Master Data'!$B$336:$D$351,3,FALSE),0)</f>
        <v>0</v>
      </c>
      <c r="J28" s="468">
        <f>IFERROR(VLOOKUP(H28,'Master Data'!$B$336:$H$353,7,FALSE),0)</f>
        <v>0</v>
      </c>
      <c r="K28" s="469"/>
      <c r="L28" s="470" t="str">
        <f>IFERROR(IF(I29="FIXED ASSET",J28&amp;E28&amp;K28,VLOOKUP(F28,'Master Data'!$E$59:$H$144,4,FALSE)&amp;"-"&amp;J28&amp;"-"&amp;K28),"-")</f>
        <v>-</v>
      </c>
      <c r="M28" s="482"/>
      <c r="N28" s="483"/>
      <c r="O28" s="481"/>
      <c r="P28" s="481"/>
      <c r="Q28" s="481"/>
      <c r="R28" s="481"/>
      <c r="S28" s="481"/>
      <c r="T28" s="481"/>
      <c r="U28" s="481"/>
      <c r="V28" s="481"/>
      <c r="W28" s="481"/>
      <c r="X28" s="481"/>
      <c r="Y28" s="481"/>
      <c r="Z28" s="481"/>
      <c r="AA28" s="480">
        <f t="shared" si="8"/>
        <v>0</v>
      </c>
      <c r="AB28" s="473"/>
      <c r="AC28" s="405"/>
      <c r="AD28" s="405"/>
      <c r="AE28" s="405"/>
      <c r="AF28" s="405"/>
      <c r="AG28" s="405"/>
      <c r="AH28" s="405"/>
      <c r="AI28" s="405"/>
      <c r="AJ28" s="405"/>
      <c r="AK28" s="405"/>
      <c r="AL28" s="405"/>
      <c r="AM28" s="405"/>
      <c r="AN28" s="405"/>
      <c r="AO28" s="406">
        <f t="shared" si="6"/>
        <v>0</v>
      </c>
      <c r="AP28" s="474"/>
      <c r="AQ28" s="405"/>
      <c r="AR28" s="405"/>
      <c r="AS28" s="405"/>
      <c r="AT28" s="405"/>
      <c r="AU28" s="405"/>
      <c r="AV28" s="405"/>
      <c r="AW28" s="405"/>
      <c r="AX28" s="405"/>
      <c r="AY28" s="405"/>
      <c r="AZ28" s="405"/>
      <c r="BA28" s="405"/>
      <c r="BB28" s="405"/>
      <c r="BC28" s="406">
        <f t="shared" si="7"/>
        <v>0</v>
      </c>
      <c r="BD28" s="475">
        <f t="shared" si="3"/>
        <v>0</v>
      </c>
      <c r="BE28" s="465"/>
      <c r="BF28" s="476"/>
      <c r="BG28" s="476"/>
      <c r="BH28" s="476"/>
      <c r="BI28" s="410">
        <f t="shared" si="0"/>
        <v>0</v>
      </c>
      <c r="BJ28" s="476"/>
      <c r="BK28" s="477" t="str">
        <f t="shared" si="1"/>
        <v/>
      </c>
      <c r="BL28" s="477" t="str">
        <f t="shared" si="4"/>
        <v/>
      </c>
      <c r="BM28" s="477" t="str">
        <f t="shared" si="5"/>
        <v/>
      </c>
      <c r="BN28" s="478"/>
    </row>
    <row r="29" spans="1:66" x14ac:dyDescent="0.25">
      <c r="A29" s="462" t="str">
        <f>IF(D29="","",Cover!$D$8)</f>
        <v/>
      </c>
      <c r="B29" s="462" t="str">
        <f>IF(D29="","",Cover!$D$7)</f>
        <v/>
      </c>
      <c r="C29" s="397" t="str">
        <f>IF(F29="","",IFERROR(VLOOKUP(F29,'Master Data'!$E$59:$J$144,6,FALSE),0))</f>
        <v/>
      </c>
      <c r="D29" s="463" t="str">
        <f>IF(F29="","",IFERROR(VLOOKUP(F29,'Master Data'!$E$59:$L$146,8,FALSE),0))</f>
        <v/>
      </c>
      <c r="E29" s="397" t="str">
        <f>IF(D29="","",IFERROR(VLOOKUP(D29,'Master Data'!$D$59:$I$146,6,FALSE),0))</f>
        <v/>
      </c>
      <c r="F29" s="464"/>
      <c r="G29" s="465"/>
      <c r="H29" s="466">
        <f>IFERROR(VLOOKUP(G29,'Master Data'!$C$336:$I$353,7,FALSE),0)</f>
        <v>0</v>
      </c>
      <c r="I29" s="467">
        <f>IFERROR(VLOOKUP(H29,'Master Data'!$B$336:$D$351,3,FALSE),0)</f>
        <v>0</v>
      </c>
      <c r="J29" s="468">
        <f>IFERROR(VLOOKUP(H29,'Master Data'!$B$336:$H$353,7,FALSE),0)</f>
        <v>0</v>
      </c>
      <c r="K29" s="469"/>
      <c r="L29" s="470" t="str">
        <f>IFERROR(IF(I30="FIXED ASSET",J29&amp;E29&amp;K29,VLOOKUP(F29,'Master Data'!$E$59:$H$144,4,FALSE)&amp;"-"&amp;J29&amp;"-"&amp;K29),"-")</f>
        <v>-</v>
      </c>
      <c r="M29" s="482"/>
      <c r="N29" s="483"/>
      <c r="O29" s="481"/>
      <c r="P29" s="481"/>
      <c r="Q29" s="481"/>
      <c r="R29" s="481"/>
      <c r="S29" s="481"/>
      <c r="T29" s="481"/>
      <c r="U29" s="481"/>
      <c r="V29" s="481"/>
      <c r="W29" s="481"/>
      <c r="X29" s="481"/>
      <c r="Y29" s="481"/>
      <c r="Z29" s="481"/>
      <c r="AA29" s="480">
        <f t="shared" si="8"/>
        <v>0</v>
      </c>
      <c r="AB29" s="473"/>
      <c r="AC29" s="405"/>
      <c r="AD29" s="405"/>
      <c r="AE29" s="405"/>
      <c r="AF29" s="405"/>
      <c r="AG29" s="405"/>
      <c r="AH29" s="405"/>
      <c r="AI29" s="405"/>
      <c r="AJ29" s="405"/>
      <c r="AK29" s="405"/>
      <c r="AL29" s="405"/>
      <c r="AM29" s="405"/>
      <c r="AN29" s="405"/>
      <c r="AO29" s="406">
        <f t="shared" si="6"/>
        <v>0</v>
      </c>
      <c r="AP29" s="474"/>
      <c r="AQ29" s="405"/>
      <c r="AR29" s="405"/>
      <c r="AS29" s="405"/>
      <c r="AT29" s="405"/>
      <c r="AU29" s="405"/>
      <c r="AV29" s="405"/>
      <c r="AW29" s="405"/>
      <c r="AX29" s="405"/>
      <c r="AY29" s="405"/>
      <c r="AZ29" s="405"/>
      <c r="BA29" s="405"/>
      <c r="BB29" s="405"/>
      <c r="BC29" s="406">
        <f t="shared" si="7"/>
        <v>0</v>
      </c>
      <c r="BD29" s="475">
        <f t="shared" si="3"/>
        <v>0</v>
      </c>
      <c r="BE29" s="465"/>
      <c r="BF29" s="476"/>
      <c r="BG29" s="476"/>
      <c r="BH29" s="476"/>
      <c r="BI29" s="410">
        <f t="shared" si="0"/>
        <v>0</v>
      </c>
      <c r="BJ29" s="476"/>
      <c r="BK29" s="477" t="str">
        <f t="shared" si="1"/>
        <v/>
      </c>
      <c r="BL29" s="477" t="str">
        <f t="shared" si="4"/>
        <v/>
      </c>
      <c r="BM29" s="477" t="str">
        <f t="shared" si="5"/>
        <v/>
      </c>
      <c r="BN29" s="478"/>
    </row>
    <row r="30" spans="1:66" x14ac:dyDescent="0.25">
      <c r="A30" s="462" t="str">
        <f>IF(D30="","",Cover!$D$8)</f>
        <v/>
      </c>
      <c r="B30" s="462" t="str">
        <f>IF(D30="","",Cover!$D$7)</f>
        <v/>
      </c>
      <c r="C30" s="397" t="str">
        <f>IF(F30="","",IFERROR(VLOOKUP(F30,'Master Data'!$E$59:$J$144,6,FALSE),0))</f>
        <v/>
      </c>
      <c r="D30" s="463" t="str">
        <f>IF(F30="","",IFERROR(VLOOKUP(F30,'Master Data'!$E$59:$L$146,8,FALSE),0))</f>
        <v/>
      </c>
      <c r="E30" s="397" t="str">
        <f>IF(D30="","",IFERROR(VLOOKUP(D30,'Master Data'!$D$59:$I$146,6,FALSE),0))</f>
        <v/>
      </c>
      <c r="F30" s="464"/>
      <c r="G30" s="465"/>
      <c r="H30" s="466">
        <f>IFERROR(VLOOKUP(G30,'Master Data'!$C$336:$I$353,7,FALSE),0)</f>
        <v>0</v>
      </c>
      <c r="I30" s="467">
        <f>IFERROR(VLOOKUP(H30,'Master Data'!$B$336:$D$351,3,FALSE),0)</f>
        <v>0</v>
      </c>
      <c r="J30" s="468">
        <f>IFERROR(VLOOKUP(H30,'Master Data'!$B$336:$H$353,7,FALSE),0)</f>
        <v>0</v>
      </c>
      <c r="K30" s="469"/>
      <c r="L30" s="470" t="str">
        <f>IFERROR(IF(I31="FIXED ASSET",J30&amp;E30&amp;K30,VLOOKUP(F30,'Master Data'!$E$59:$H$144,4,FALSE)&amp;"-"&amp;J30&amp;"-"&amp;K30),"-")</f>
        <v>-</v>
      </c>
      <c r="M30" s="482"/>
      <c r="N30" s="483"/>
      <c r="O30" s="481"/>
      <c r="P30" s="481"/>
      <c r="Q30" s="481"/>
      <c r="R30" s="481"/>
      <c r="S30" s="481"/>
      <c r="T30" s="481"/>
      <c r="U30" s="481"/>
      <c r="V30" s="481"/>
      <c r="W30" s="481"/>
      <c r="X30" s="481"/>
      <c r="Y30" s="481"/>
      <c r="Z30" s="481"/>
      <c r="AA30" s="480">
        <f t="shared" si="8"/>
        <v>0</v>
      </c>
      <c r="AB30" s="473"/>
      <c r="AC30" s="405"/>
      <c r="AD30" s="405"/>
      <c r="AE30" s="405"/>
      <c r="AF30" s="405"/>
      <c r="AG30" s="405"/>
      <c r="AH30" s="405"/>
      <c r="AI30" s="405"/>
      <c r="AJ30" s="405"/>
      <c r="AK30" s="405"/>
      <c r="AL30" s="405"/>
      <c r="AM30" s="405"/>
      <c r="AN30" s="405"/>
      <c r="AO30" s="406">
        <f t="shared" si="6"/>
        <v>0</v>
      </c>
      <c r="AP30" s="474"/>
      <c r="AQ30" s="405"/>
      <c r="AR30" s="405"/>
      <c r="AS30" s="405"/>
      <c r="AT30" s="405"/>
      <c r="AU30" s="405"/>
      <c r="AV30" s="405"/>
      <c r="AW30" s="405"/>
      <c r="AX30" s="405"/>
      <c r="AY30" s="405"/>
      <c r="AZ30" s="405"/>
      <c r="BA30" s="405"/>
      <c r="BB30" s="405"/>
      <c r="BC30" s="406">
        <f t="shared" si="7"/>
        <v>0</v>
      </c>
      <c r="BD30" s="475">
        <f t="shared" si="3"/>
        <v>0</v>
      </c>
      <c r="BE30" s="465"/>
      <c r="BF30" s="476"/>
      <c r="BG30" s="476"/>
      <c r="BH30" s="476"/>
      <c r="BI30" s="410">
        <f t="shared" si="0"/>
        <v>0</v>
      </c>
      <c r="BJ30" s="476"/>
      <c r="BK30" s="477" t="str">
        <f t="shared" si="1"/>
        <v/>
      </c>
      <c r="BL30" s="477" t="str">
        <f t="shared" si="4"/>
        <v/>
      </c>
      <c r="BM30" s="477" t="str">
        <f t="shared" si="5"/>
        <v/>
      </c>
      <c r="BN30" s="478"/>
    </row>
    <row r="31" spans="1:66" x14ac:dyDescent="0.25">
      <c r="A31" s="462" t="str">
        <f>IF(D31="","",Cover!$D$8)</f>
        <v/>
      </c>
      <c r="B31" s="462" t="str">
        <f>IF(D31="","",Cover!$D$7)</f>
        <v/>
      </c>
      <c r="C31" s="397" t="str">
        <f>IF(F31="","",IFERROR(VLOOKUP(F31,'Master Data'!$E$59:$J$144,6,FALSE),0))</f>
        <v/>
      </c>
      <c r="D31" s="463" t="str">
        <f>IF(F31="","",IFERROR(VLOOKUP(F31,'Master Data'!$E$59:$L$146,8,FALSE),0))</f>
        <v/>
      </c>
      <c r="E31" s="397" t="str">
        <f>IF(D31="","",IFERROR(VLOOKUP(D31,'Master Data'!$D$59:$I$146,6,FALSE),0))</f>
        <v/>
      </c>
      <c r="F31" s="464"/>
      <c r="G31" s="465"/>
      <c r="H31" s="466">
        <f>IFERROR(VLOOKUP(G31,'Master Data'!$C$336:$I$353,7,FALSE),0)</f>
        <v>0</v>
      </c>
      <c r="I31" s="467">
        <f>IFERROR(VLOOKUP(H31,'Master Data'!$B$336:$D$351,3,FALSE),0)</f>
        <v>0</v>
      </c>
      <c r="J31" s="468">
        <f>IFERROR(VLOOKUP(H31,'Master Data'!$B$336:$H$353,7,FALSE),0)</f>
        <v>0</v>
      </c>
      <c r="K31" s="469"/>
      <c r="L31" s="470" t="str">
        <f>IFERROR(IF(I32="FIXED ASSET",J31&amp;E31&amp;K31,VLOOKUP(F31,'Master Data'!$E$59:$H$144,4,FALSE)&amp;"-"&amp;J31&amp;"-"&amp;K31),"-")</f>
        <v>-</v>
      </c>
      <c r="M31" s="482"/>
      <c r="N31" s="483"/>
      <c r="O31" s="481"/>
      <c r="P31" s="481"/>
      <c r="Q31" s="481"/>
      <c r="R31" s="481"/>
      <c r="S31" s="481"/>
      <c r="T31" s="481"/>
      <c r="U31" s="481"/>
      <c r="V31" s="481"/>
      <c r="W31" s="481"/>
      <c r="X31" s="481"/>
      <c r="Y31" s="481"/>
      <c r="Z31" s="481"/>
      <c r="AA31" s="480">
        <f t="shared" si="8"/>
        <v>0</v>
      </c>
      <c r="AB31" s="473"/>
      <c r="AC31" s="405"/>
      <c r="AD31" s="405"/>
      <c r="AE31" s="405"/>
      <c r="AF31" s="405"/>
      <c r="AG31" s="405"/>
      <c r="AH31" s="405"/>
      <c r="AI31" s="405"/>
      <c r="AJ31" s="405"/>
      <c r="AK31" s="405"/>
      <c r="AL31" s="405"/>
      <c r="AM31" s="405"/>
      <c r="AN31" s="405"/>
      <c r="AO31" s="406">
        <f t="shared" si="6"/>
        <v>0</v>
      </c>
      <c r="AP31" s="474"/>
      <c r="AQ31" s="405"/>
      <c r="AR31" s="405"/>
      <c r="AS31" s="405"/>
      <c r="AT31" s="405"/>
      <c r="AU31" s="405"/>
      <c r="AV31" s="405"/>
      <c r="AW31" s="405"/>
      <c r="AX31" s="405"/>
      <c r="AY31" s="405"/>
      <c r="AZ31" s="405"/>
      <c r="BA31" s="405"/>
      <c r="BB31" s="405"/>
      <c r="BC31" s="406">
        <f t="shared" si="7"/>
        <v>0</v>
      </c>
      <c r="BD31" s="475">
        <f t="shared" si="3"/>
        <v>0</v>
      </c>
      <c r="BE31" s="465"/>
      <c r="BF31" s="476"/>
      <c r="BG31" s="476"/>
      <c r="BH31" s="476"/>
      <c r="BI31" s="410">
        <f t="shared" si="0"/>
        <v>0</v>
      </c>
      <c r="BJ31" s="476"/>
      <c r="BK31" s="477" t="str">
        <f t="shared" si="1"/>
        <v/>
      </c>
      <c r="BL31" s="477" t="str">
        <f t="shared" si="4"/>
        <v/>
      </c>
      <c r="BM31" s="477" t="str">
        <f t="shared" si="5"/>
        <v/>
      </c>
      <c r="BN31" s="478"/>
    </row>
    <row r="32" spans="1:66" x14ac:dyDescent="0.25">
      <c r="A32" s="462" t="str">
        <f>IF(D32="","",Cover!$D$8)</f>
        <v/>
      </c>
      <c r="B32" s="462" t="str">
        <f>IF(D32="","",Cover!$D$7)</f>
        <v/>
      </c>
      <c r="C32" s="397" t="str">
        <f>IF(F32="","",IFERROR(VLOOKUP(F32,'Master Data'!$E$59:$J$144,6,FALSE),0))</f>
        <v/>
      </c>
      <c r="D32" s="463" t="str">
        <f>IF(F32="","",IFERROR(VLOOKUP(F32,'Master Data'!$E$59:$L$146,8,FALSE),0))</f>
        <v/>
      </c>
      <c r="E32" s="397" t="str">
        <f>IF(D32="","",IFERROR(VLOOKUP(D32,'Master Data'!$D$59:$I$146,6,FALSE),0))</f>
        <v/>
      </c>
      <c r="F32" s="464"/>
      <c r="G32" s="465"/>
      <c r="H32" s="466">
        <f>IFERROR(VLOOKUP(G32,'Master Data'!$C$336:$I$353,7,FALSE),0)</f>
        <v>0</v>
      </c>
      <c r="I32" s="467">
        <f>IFERROR(VLOOKUP(H32,'Master Data'!$B$336:$D$351,3,FALSE),0)</f>
        <v>0</v>
      </c>
      <c r="J32" s="468">
        <f>IFERROR(VLOOKUP(H32,'Master Data'!$B$336:$H$353,7,FALSE),0)</f>
        <v>0</v>
      </c>
      <c r="K32" s="469"/>
      <c r="L32" s="470" t="str">
        <f>IFERROR(IF(I33="FIXED ASSET",J32&amp;E32&amp;K32,VLOOKUP(F32,'Master Data'!$E$59:$H$144,4,FALSE)&amp;"-"&amp;J32&amp;"-"&amp;K32),"-")</f>
        <v>-</v>
      </c>
      <c r="M32" s="482"/>
      <c r="N32" s="483"/>
      <c r="O32" s="481"/>
      <c r="P32" s="481"/>
      <c r="Q32" s="481"/>
      <c r="R32" s="481"/>
      <c r="S32" s="481"/>
      <c r="T32" s="481"/>
      <c r="U32" s="481"/>
      <c r="V32" s="481"/>
      <c r="W32" s="481"/>
      <c r="X32" s="481"/>
      <c r="Y32" s="481"/>
      <c r="Z32" s="481"/>
      <c r="AA32" s="480">
        <f t="shared" si="8"/>
        <v>0</v>
      </c>
      <c r="AB32" s="473"/>
      <c r="AC32" s="405"/>
      <c r="AD32" s="405"/>
      <c r="AE32" s="405"/>
      <c r="AF32" s="405"/>
      <c r="AG32" s="405"/>
      <c r="AH32" s="405"/>
      <c r="AI32" s="405"/>
      <c r="AJ32" s="405"/>
      <c r="AK32" s="405"/>
      <c r="AL32" s="405"/>
      <c r="AM32" s="405"/>
      <c r="AN32" s="405"/>
      <c r="AO32" s="406">
        <f t="shared" si="6"/>
        <v>0</v>
      </c>
      <c r="AP32" s="474"/>
      <c r="AQ32" s="405"/>
      <c r="AR32" s="405"/>
      <c r="AS32" s="405"/>
      <c r="AT32" s="405"/>
      <c r="AU32" s="405"/>
      <c r="AV32" s="405"/>
      <c r="AW32" s="405"/>
      <c r="AX32" s="405"/>
      <c r="AY32" s="405"/>
      <c r="AZ32" s="405"/>
      <c r="BA32" s="405"/>
      <c r="BB32" s="405"/>
      <c r="BC32" s="406">
        <f t="shared" si="7"/>
        <v>0</v>
      </c>
      <c r="BD32" s="475">
        <f t="shared" si="3"/>
        <v>0</v>
      </c>
      <c r="BE32" s="465"/>
      <c r="BF32" s="476"/>
      <c r="BG32" s="476"/>
      <c r="BH32" s="476"/>
      <c r="BI32" s="410">
        <f t="shared" si="0"/>
        <v>0</v>
      </c>
      <c r="BJ32" s="476"/>
      <c r="BK32" s="477" t="str">
        <f t="shared" si="1"/>
        <v/>
      </c>
      <c r="BL32" s="477" t="str">
        <f t="shared" si="4"/>
        <v/>
      </c>
      <c r="BM32" s="477" t="str">
        <f t="shared" si="5"/>
        <v/>
      </c>
      <c r="BN32" s="478"/>
    </row>
    <row r="33" spans="1:66" x14ac:dyDescent="0.25">
      <c r="A33" s="462" t="str">
        <f>IF(D33="","",Cover!$D$8)</f>
        <v/>
      </c>
      <c r="B33" s="462" t="str">
        <f>IF(D33="","",Cover!$D$7)</f>
        <v/>
      </c>
      <c r="C33" s="397" t="str">
        <f>IF(F33="","",IFERROR(VLOOKUP(F33,'Master Data'!$E$59:$J$144,6,FALSE),0))</f>
        <v/>
      </c>
      <c r="D33" s="463" t="str">
        <f>IF(F33="","",IFERROR(VLOOKUP(F33,'Master Data'!$E$59:$L$146,8,FALSE),0))</f>
        <v/>
      </c>
      <c r="E33" s="397" t="str">
        <f>IF(D33="","",IFERROR(VLOOKUP(D33,'Master Data'!$D$59:$I$146,6,FALSE),0))</f>
        <v/>
      </c>
      <c r="F33" s="464"/>
      <c r="G33" s="465"/>
      <c r="H33" s="466">
        <f>IFERROR(VLOOKUP(G33,'Master Data'!$C$336:$I$353,7,FALSE),0)</f>
        <v>0</v>
      </c>
      <c r="I33" s="467">
        <f>IFERROR(VLOOKUP(H33,'Master Data'!$B$336:$D$351,3,FALSE),0)</f>
        <v>0</v>
      </c>
      <c r="J33" s="468">
        <f>IFERROR(VLOOKUP(H33,'Master Data'!$B$336:$H$353,7,FALSE),0)</f>
        <v>0</v>
      </c>
      <c r="K33" s="469"/>
      <c r="L33" s="470" t="str">
        <f>IFERROR(IF(I34="FIXED ASSET",J33&amp;E33&amp;K33,VLOOKUP(F33,'Master Data'!$E$59:$H$144,4,FALSE)&amp;"-"&amp;J33&amp;"-"&amp;K33),"-")</f>
        <v>-</v>
      </c>
      <c r="M33" s="482"/>
      <c r="N33" s="483"/>
      <c r="O33" s="481"/>
      <c r="P33" s="481"/>
      <c r="Q33" s="481"/>
      <c r="R33" s="481"/>
      <c r="S33" s="481"/>
      <c r="T33" s="481"/>
      <c r="U33" s="481"/>
      <c r="V33" s="481"/>
      <c r="W33" s="481"/>
      <c r="X33" s="481"/>
      <c r="Y33" s="481"/>
      <c r="Z33" s="481"/>
      <c r="AA33" s="480">
        <f t="shared" si="8"/>
        <v>0</v>
      </c>
      <c r="AB33" s="473"/>
      <c r="AC33" s="405"/>
      <c r="AD33" s="405"/>
      <c r="AE33" s="405"/>
      <c r="AF33" s="405"/>
      <c r="AG33" s="405"/>
      <c r="AH33" s="405"/>
      <c r="AI33" s="405"/>
      <c r="AJ33" s="405"/>
      <c r="AK33" s="405"/>
      <c r="AL33" s="405"/>
      <c r="AM33" s="405"/>
      <c r="AN33" s="405"/>
      <c r="AO33" s="406">
        <f t="shared" si="6"/>
        <v>0</v>
      </c>
      <c r="AP33" s="474"/>
      <c r="AQ33" s="405"/>
      <c r="AR33" s="405"/>
      <c r="AS33" s="405"/>
      <c r="AT33" s="405"/>
      <c r="AU33" s="405"/>
      <c r="AV33" s="405"/>
      <c r="AW33" s="405"/>
      <c r="AX33" s="405"/>
      <c r="AY33" s="405"/>
      <c r="AZ33" s="405"/>
      <c r="BA33" s="405"/>
      <c r="BB33" s="405"/>
      <c r="BC33" s="406">
        <f t="shared" si="7"/>
        <v>0</v>
      </c>
      <c r="BD33" s="475">
        <f t="shared" si="3"/>
        <v>0</v>
      </c>
      <c r="BE33" s="465"/>
      <c r="BF33" s="476"/>
      <c r="BG33" s="476"/>
      <c r="BH33" s="476"/>
      <c r="BI33" s="410">
        <f t="shared" si="0"/>
        <v>0</v>
      </c>
      <c r="BJ33" s="476"/>
      <c r="BK33" s="477" t="str">
        <f t="shared" si="1"/>
        <v/>
      </c>
      <c r="BL33" s="477" t="str">
        <f t="shared" si="4"/>
        <v/>
      </c>
      <c r="BM33" s="477" t="str">
        <f t="shared" si="5"/>
        <v/>
      </c>
      <c r="BN33" s="478"/>
    </row>
    <row r="34" spans="1:66" x14ac:dyDescent="0.25">
      <c r="A34" s="462" t="str">
        <f>IF(D34="","",Cover!$D$8)</f>
        <v/>
      </c>
      <c r="B34" s="462" t="str">
        <f>IF(D34="","",Cover!$D$7)</f>
        <v/>
      </c>
      <c r="C34" s="397" t="str">
        <f>IF(F34="","",IFERROR(VLOOKUP(F34,'Master Data'!$E$59:$J$144,6,FALSE),0))</f>
        <v/>
      </c>
      <c r="D34" s="463" t="str">
        <f>IF(F34="","",IFERROR(VLOOKUP(F34,'Master Data'!$E$59:$L$146,8,FALSE),0))</f>
        <v/>
      </c>
      <c r="E34" s="397" t="str">
        <f>IF(D34="","",IFERROR(VLOOKUP(D34,'Master Data'!$D$59:$I$146,6,FALSE),0))</f>
        <v/>
      </c>
      <c r="F34" s="464"/>
      <c r="G34" s="465"/>
      <c r="H34" s="466">
        <f>IFERROR(VLOOKUP(G34,'Master Data'!$C$336:$I$353,7,FALSE),0)</f>
        <v>0</v>
      </c>
      <c r="I34" s="467">
        <f>IFERROR(VLOOKUP(H34,'Master Data'!$B$336:$D$351,3,FALSE),0)</f>
        <v>0</v>
      </c>
      <c r="J34" s="468">
        <f>IFERROR(VLOOKUP(H34,'Master Data'!$B$336:$H$353,7,FALSE),0)</f>
        <v>0</v>
      </c>
      <c r="K34" s="469"/>
      <c r="L34" s="470" t="str">
        <f>IFERROR(IF(I35="FIXED ASSET",J34&amp;E34&amp;K34,VLOOKUP(F34,'Master Data'!$E$59:$H$144,4,FALSE)&amp;"-"&amp;J34&amp;"-"&amp;K34),"-")</f>
        <v>-</v>
      </c>
      <c r="M34" s="482"/>
      <c r="N34" s="483"/>
      <c r="O34" s="481"/>
      <c r="P34" s="481"/>
      <c r="Q34" s="481"/>
      <c r="R34" s="481"/>
      <c r="S34" s="481"/>
      <c r="T34" s="481"/>
      <c r="U34" s="481"/>
      <c r="V34" s="481"/>
      <c r="W34" s="481"/>
      <c r="X34" s="481"/>
      <c r="Y34" s="481"/>
      <c r="Z34" s="481"/>
      <c r="AA34" s="480">
        <f t="shared" si="8"/>
        <v>0</v>
      </c>
      <c r="AB34" s="473"/>
      <c r="AC34" s="405"/>
      <c r="AD34" s="405"/>
      <c r="AE34" s="405"/>
      <c r="AF34" s="405"/>
      <c r="AG34" s="405"/>
      <c r="AH34" s="405"/>
      <c r="AI34" s="405"/>
      <c r="AJ34" s="405"/>
      <c r="AK34" s="405"/>
      <c r="AL34" s="405"/>
      <c r="AM34" s="405"/>
      <c r="AN34" s="405"/>
      <c r="AO34" s="406">
        <f t="shared" si="6"/>
        <v>0</v>
      </c>
      <c r="AP34" s="474"/>
      <c r="AQ34" s="405"/>
      <c r="AR34" s="405"/>
      <c r="AS34" s="405"/>
      <c r="AT34" s="405"/>
      <c r="AU34" s="405"/>
      <c r="AV34" s="405"/>
      <c r="AW34" s="405"/>
      <c r="AX34" s="405"/>
      <c r="AY34" s="405"/>
      <c r="AZ34" s="405"/>
      <c r="BA34" s="405"/>
      <c r="BB34" s="405"/>
      <c r="BC34" s="406">
        <f t="shared" si="7"/>
        <v>0</v>
      </c>
      <c r="BD34" s="475">
        <f t="shared" si="3"/>
        <v>0</v>
      </c>
      <c r="BE34" s="465"/>
      <c r="BF34" s="476"/>
      <c r="BG34" s="476"/>
      <c r="BH34" s="476"/>
      <c r="BI34" s="410">
        <f t="shared" si="0"/>
        <v>0</v>
      </c>
      <c r="BJ34" s="476"/>
      <c r="BK34" s="477" t="str">
        <f t="shared" si="1"/>
        <v/>
      </c>
      <c r="BL34" s="477" t="str">
        <f t="shared" si="4"/>
        <v/>
      </c>
      <c r="BM34" s="477" t="str">
        <f t="shared" si="5"/>
        <v/>
      </c>
      <c r="BN34" s="478"/>
    </row>
    <row r="35" spans="1:66" x14ac:dyDescent="0.25">
      <c r="A35" s="462" t="str">
        <f>IF(D35="","",Cover!$D$8)</f>
        <v/>
      </c>
      <c r="B35" s="462" t="str">
        <f>IF(D35="","",Cover!$D$7)</f>
        <v/>
      </c>
      <c r="C35" s="397" t="str">
        <f>IF(F35="","",IFERROR(VLOOKUP(F35,'Master Data'!$E$59:$J$144,6,FALSE),0))</f>
        <v/>
      </c>
      <c r="D35" s="463" t="str">
        <f>IF(F35="","",IFERROR(VLOOKUP(F35,'Master Data'!$E$59:$L$146,8,FALSE),0))</f>
        <v/>
      </c>
      <c r="E35" s="397" t="str">
        <f>IF(D35="","",IFERROR(VLOOKUP(D35,'Master Data'!$D$59:$I$146,6,FALSE),0))</f>
        <v/>
      </c>
      <c r="F35" s="464"/>
      <c r="G35" s="465"/>
      <c r="H35" s="466">
        <f>IFERROR(VLOOKUP(G35,'Master Data'!$C$336:$I$353,7,FALSE),0)</f>
        <v>0</v>
      </c>
      <c r="I35" s="467">
        <f>IFERROR(VLOOKUP(H35,'Master Data'!$B$336:$D$351,3,FALSE),0)</f>
        <v>0</v>
      </c>
      <c r="J35" s="468">
        <f>IFERROR(VLOOKUP(H35,'Master Data'!$B$336:$H$353,7,FALSE),0)</f>
        <v>0</v>
      </c>
      <c r="K35" s="469"/>
      <c r="L35" s="470" t="str">
        <f>IFERROR(IF(I36="FIXED ASSET",J35&amp;E35&amp;K35,VLOOKUP(F35,'Master Data'!$E$59:$H$144,4,FALSE)&amp;"-"&amp;J35&amp;"-"&amp;K35),"-")</f>
        <v>-</v>
      </c>
      <c r="M35" s="482"/>
      <c r="N35" s="483"/>
      <c r="O35" s="481"/>
      <c r="P35" s="481"/>
      <c r="Q35" s="481"/>
      <c r="R35" s="481"/>
      <c r="S35" s="481"/>
      <c r="T35" s="481"/>
      <c r="U35" s="481"/>
      <c r="V35" s="481"/>
      <c r="W35" s="481"/>
      <c r="X35" s="481"/>
      <c r="Y35" s="481"/>
      <c r="Z35" s="481"/>
      <c r="AA35" s="480">
        <f t="shared" si="8"/>
        <v>0</v>
      </c>
      <c r="AB35" s="473"/>
      <c r="AC35" s="405"/>
      <c r="AD35" s="405"/>
      <c r="AE35" s="405"/>
      <c r="AF35" s="405"/>
      <c r="AG35" s="405"/>
      <c r="AH35" s="405"/>
      <c r="AI35" s="405"/>
      <c r="AJ35" s="405"/>
      <c r="AK35" s="405"/>
      <c r="AL35" s="405"/>
      <c r="AM35" s="405"/>
      <c r="AN35" s="405"/>
      <c r="AO35" s="406">
        <f t="shared" si="6"/>
        <v>0</v>
      </c>
      <c r="AP35" s="474"/>
      <c r="AQ35" s="405"/>
      <c r="AR35" s="405"/>
      <c r="AS35" s="405"/>
      <c r="AT35" s="405"/>
      <c r="AU35" s="405"/>
      <c r="AV35" s="405"/>
      <c r="AW35" s="405"/>
      <c r="AX35" s="405"/>
      <c r="AY35" s="405"/>
      <c r="AZ35" s="405"/>
      <c r="BA35" s="405"/>
      <c r="BB35" s="405"/>
      <c r="BC35" s="406">
        <f t="shared" si="7"/>
        <v>0</v>
      </c>
      <c r="BD35" s="475">
        <f t="shared" si="3"/>
        <v>0</v>
      </c>
      <c r="BE35" s="465"/>
      <c r="BF35" s="476"/>
      <c r="BG35" s="476"/>
      <c r="BH35" s="476"/>
      <c r="BI35" s="410">
        <f t="shared" si="0"/>
        <v>0</v>
      </c>
      <c r="BJ35" s="476"/>
      <c r="BK35" s="477" t="str">
        <f t="shared" si="1"/>
        <v/>
      </c>
      <c r="BL35" s="477" t="str">
        <f t="shared" si="4"/>
        <v/>
      </c>
      <c r="BM35" s="477" t="str">
        <f t="shared" si="5"/>
        <v/>
      </c>
      <c r="BN35" s="478"/>
    </row>
    <row r="36" spans="1:66" x14ac:dyDescent="0.25">
      <c r="A36" s="462" t="str">
        <f>IF(D36="","",Cover!$D$8)</f>
        <v/>
      </c>
      <c r="B36" s="462" t="str">
        <f>IF(D36="","",Cover!$D$7)</f>
        <v/>
      </c>
      <c r="C36" s="397" t="str">
        <f>IF(F36="","",IFERROR(VLOOKUP(F36,'Master Data'!$E$59:$J$144,6,FALSE),0))</f>
        <v/>
      </c>
      <c r="D36" s="463" t="str">
        <f>IF(F36="","",IFERROR(VLOOKUP(F36,'Master Data'!$E$59:$L$146,8,FALSE),0))</f>
        <v/>
      </c>
      <c r="E36" s="397" t="str">
        <f>IF(D36="","",IFERROR(VLOOKUP(D36,'Master Data'!$D$59:$I$146,6,FALSE),0))</f>
        <v/>
      </c>
      <c r="F36" s="464"/>
      <c r="G36" s="465"/>
      <c r="H36" s="466">
        <f>IFERROR(VLOOKUP(G36,'Master Data'!$C$336:$I$353,7,FALSE),0)</f>
        <v>0</v>
      </c>
      <c r="I36" s="467">
        <f>IFERROR(VLOOKUP(H36,'Master Data'!$B$336:$D$351,3,FALSE),0)</f>
        <v>0</v>
      </c>
      <c r="J36" s="468">
        <f>IFERROR(VLOOKUP(H36,'Master Data'!$B$336:$H$353,7,FALSE),0)</f>
        <v>0</v>
      </c>
      <c r="K36" s="469"/>
      <c r="L36" s="470" t="str">
        <f>IFERROR(IF(I37="FIXED ASSET",J36&amp;E36&amp;K36,VLOOKUP(F36,'Master Data'!$E$59:$H$144,4,FALSE)&amp;"-"&amp;J36&amp;"-"&amp;K36),"-")</f>
        <v>-</v>
      </c>
      <c r="M36" s="482"/>
      <c r="N36" s="483"/>
      <c r="O36" s="481"/>
      <c r="P36" s="481"/>
      <c r="Q36" s="481"/>
      <c r="R36" s="481"/>
      <c r="S36" s="481"/>
      <c r="T36" s="481"/>
      <c r="U36" s="481"/>
      <c r="V36" s="481"/>
      <c r="W36" s="481"/>
      <c r="X36" s="481"/>
      <c r="Y36" s="481"/>
      <c r="Z36" s="481"/>
      <c r="AA36" s="480">
        <f t="shared" si="8"/>
        <v>0</v>
      </c>
      <c r="AB36" s="473"/>
      <c r="AC36" s="405"/>
      <c r="AD36" s="405"/>
      <c r="AE36" s="405"/>
      <c r="AF36" s="405"/>
      <c r="AG36" s="405"/>
      <c r="AH36" s="405"/>
      <c r="AI36" s="405"/>
      <c r="AJ36" s="405"/>
      <c r="AK36" s="405"/>
      <c r="AL36" s="405"/>
      <c r="AM36" s="405"/>
      <c r="AN36" s="405"/>
      <c r="AO36" s="406">
        <f t="shared" si="6"/>
        <v>0</v>
      </c>
      <c r="AP36" s="474"/>
      <c r="AQ36" s="405"/>
      <c r="AR36" s="405"/>
      <c r="AS36" s="405"/>
      <c r="AT36" s="405"/>
      <c r="AU36" s="405"/>
      <c r="AV36" s="405"/>
      <c r="AW36" s="405"/>
      <c r="AX36" s="405"/>
      <c r="AY36" s="405"/>
      <c r="AZ36" s="405"/>
      <c r="BA36" s="405"/>
      <c r="BB36" s="405"/>
      <c r="BC36" s="406">
        <f t="shared" si="7"/>
        <v>0</v>
      </c>
      <c r="BD36" s="475">
        <f t="shared" si="3"/>
        <v>0</v>
      </c>
      <c r="BE36" s="465"/>
      <c r="BF36" s="476"/>
      <c r="BG36" s="476"/>
      <c r="BH36" s="476"/>
      <c r="BI36" s="410">
        <f t="shared" ref="BI36:BI52" si="9">IF(BG36="USD",BH36*$BH$2,IF(BG36="IDR",BH36,0))</f>
        <v>0</v>
      </c>
      <c r="BJ36" s="476"/>
      <c r="BK36" s="477" t="str">
        <f t="shared" si="1"/>
        <v/>
      </c>
      <c r="BL36" s="477" t="str">
        <f t="shared" si="4"/>
        <v/>
      </c>
      <c r="BM36" s="477" t="str">
        <f t="shared" si="5"/>
        <v/>
      </c>
      <c r="BN36" s="478"/>
    </row>
    <row r="37" spans="1:66" x14ac:dyDescent="0.25">
      <c r="A37" s="462" t="str">
        <f>IF(D37="","",Cover!$D$8)</f>
        <v/>
      </c>
      <c r="B37" s="462" t="str">
        <f>IF(D37="","",Cover!$D$7)</f>
        <v/>
      </c>
      <c r="C37" s="397" t="str">
        <f>IF(F37="","",IFERROR(VLOOKUP(F37,'Master Data'!$E$59:$J$144,6,FALSE),0))</f>
        <v/>
      </c>
      <c r="D37" s="463" t="str">
        <f>IF(F37="","",IFERROR(VLOOKUP(F37,'Master Data'!$E$59:$L$146,8,FALSE),0))</f>
        <v/>
      </c>
      <c r="E37" s="397" t="str">
        <f>IF(D37="","",IFERROR(VLOOKUP(D37,'Master Data'!$D$59:$I$146,6,FALSE),0))</f>
        <v/>
      </c>
      <c r="F37" s="464"/>
      <c r="G37" s="465"/>
      <c r="H37" s="466">
        <f>IFERROR(VLOOKUP(G37,'Master Data'!$C$336:$I$353,7,FALSE),0)</f>
        <v>0</v>
      </c>
      <c r="I37" s="467">
        <f>IFERROR(VLOOKUP(H37,'Master Data'!$B$336:$D$351,3,FALSE),0)</f>
        <v>0</v>
      </c>
      <c r="J37" s="468">
        <f>IFERROR(VLOOKUP(H37,'Master Data'!$B$336:$H$353,7,FALSE),0)</f>
        <v>0</v>
      </c>
      <c r="K37" s="469"/>
      <c r="L37" s="470" t="str">
        <f>IFERROR(IF(I38="FIXED ASSET",J37&amp;E37&amp;K37,VLOOKUP(F37,'Master Data'!$E$59:$H$144,4,FALSE)&amp;"-"&amp;J37&amp;"-"&amp;K37),"-")</f>
        <v>-</v>
      </c>
      <c r="M37" s="482"/>
      <c r="N37" s="483"/>
      <c r="O37" s="481"/>
      <c r="P37" s="481"/>
      <c r="Q37" s="481"/>
      <c r="R37" s="481"/>
      <c r="S37" s="481"/>
      <c r="T37" s="481"/>
      <c r="U37" s="481"/>
      <c r="V37" s="481"/>
      <c r="W37" s="481"/>
      <c r="X37" s="481"/>
      <c r="Y37" s="481"/>
      <c r="Z37" s="481"/>
      <c r="AA37" s="480">
        <f t="shared" si="8"/>
        <v>0</v>
      </c>
      <c r="AB37" s="473"/>
      <c r="AC37" s="405"/>
      <c r="AD37" s="405"/>
      <c r="AE37" s="405"/>
      <c r="AF37" s="405"/>
      <c r="AG37" s="405"/>
      <c r="AH37" s="405"/>
      <c r="AI37" s="405"/>
      <c r="AJ37" s="405"/>
      <c r="AK37" s="405"/>
      <c r="AL37" s="405"/>
      <c r="AM37" s="405"/>
      <c r="AN37" s="405"/>
      <c r="AO37" s="406">
        <f t="shared" si="6"/>
        <v>0</v>
      </c>
      <c r="AP37" s="474"/>
      <c r="AQ37" s="405"/>
      <c r="AR37" s="405"/>
      <c r="AS37" s="405"/>
      <c r="AT37" s="405"/>
      <c r="AU37" s="405"/>
      <c r="AV37" s="405"/>
      <c r="AW37" s="405"/>
      <c r="AX37" s="405"/>
      <c r="AY37" s="405"/>
      <c r="AZ37" s="405"/>
      <c r="BA37" s="405"/>
      <c r="BB37" s="405"/>
      <c r="BC37" s="406">
        <f t="shared" si="7"/>
        <v>0</v>
      </c>
      <c r="BD37" s="475">
        <f t="shared" si="3"/>
        <v>0</v>
      </c>
      <c r="BE37" s="465"/>
      <c r="BF37" s="476"/>
      <c r="BG37" s="476"/>
      <c r="BH37" s="476"/>
      <c r="BI37" s="410">
        <f t="shared" si="9"/>
        <v>0</v>
      </c>
      <c r="BJ37" s="476"/>
      <c r="BK37" s="477" t="str">
        <f t="shared" si="1"/>
        <v/>
      </c>
      <c r="BL37" s="477" t="str">
        <f t="shared" si="4"/>
        <v/>
      </c>
      <c r="BM37" s="477" t="str">
        <f t="shared" si="5"/>
        <v/>
      </c>
      <c r="BN37" s="478"/>
    </row>
    <row r="38" spans="1:66" x14ac:dyDescent="0.25">
      <c r="A38" s="462" t="str">
        <f>IF(D38="","",Cover!$D$8)</f>
        <v/>
      </c>
      <c r="B38" s="462" t="str">
        <f>IF(D38="","",Cover!$D$7)</f>
        <v/>
      </c>
      <c r="C38" s="397" t="str">
        <f>IF(F38="","",IFERROR(VLOOKUP(F38,'Master Data'!$E$59:$J$144,6,FALSE),0))</f>
        <v/>
      </c>
      <c r="D38" s="463" t="str">
        <f>IF(F38="","",IFERROR(VLOOKUP(F38,'Master Data'!$E$59:$L$146,8,FALSE),0))</f>
        <v/>
      </c>
      <c r="E38" s="397" t="str">
        <f>IF(D38="","",IFERROR(VLOOKUP(D38,'Master Data'!$D$59:$I$146,6,FALSE),0))</f>
        <v/>
      </c>
      <c r="F38" s="464"/>
      <c r="G38" s="465"/>
      <c r="H38" s="466">
        <f>IFERROR(VLOOKUP(G38,'Master Data'!$C$336:$I$353,7,FALSE),0)</f>
        <v>0</v>
      </c>
      <c r="I38" s="467">
        <f>IFERROR(VLOOKUP(H38,'Master Data'!$B$336:$D$351,3,FALSE),0)</f>
        <v>0</v>
      </c>
      <c r="J38" s="468">
        <f>IFERROR(VLOOKUP(H38,'Master Data'!$B$336:$H$353,7,FALSE),0)</f>
        <v>0</v>
      </c>
      <c r="K38" s="469"/>
      <c r="L38" s="470" t="str">
        <f>IFERROR(IF(I39="FIXED ASSET",J38&amp;E38&amp;K38,VLOOKUP(F38,'Master Data'!$E$59:$H$144,4,FALSE)&amp;"-"&amp;J38&amp;"-"&amp;K38),"-")</f>
        <v>-</v>
      </c>
      <c r="M38" s="482"/>
      <c r="N38" s="483"/>
      <c r="O38" s="481"/>
      <c r="P38" s="481"/>
      <c r="Q38" s="481"/>
      <c r="R38" s="481"/>
      <c r="S38" s="481"/>
      <c r="T38" s="481"/>
      <c r="U38" s="481"/>
      <c r="V38" s="481"/>
      <c r="W38" s="481"/>
      <c r="X38" s="481"/>
      <c r="Y38" s="481"/>
      <c r="Z38" s="481"/>
      <c r="AA38" s="480">
        <f t="shared" si="8"/>
        <v>0</v>
      </c>
      <c r="AB38" s="473"/>
      <c r="AC38" s="405"/>
      <c r="AD38" s="405"/>
      <c r="AE38" s="405"/>
      <c r="AF38" s="405"/>
      <c r="AG38" s="405"/>
      <c r="AH38" s="405"/>
      <c r="AI38" s="405"/>
      <c r="AJ38" s="405"/>
      <c r="AK38" s="405"/>
      <c r="AL38" s="405"/>
      <c r="AM38" s="405"/>
      <c r="AN38" s="405"/>
      <c r="AO38" s="406">
        <f t="shared" si="6"/>
        <v>0</v>
      </c>
      <c r="AP38" s="474"/>
      <c r="AQ38" s="405"/>
      <c r="AR38" s="405"/>
      <c r="AS38" s="405"/>
      <c r="AT38" s="405"/>
      <c r="AU38" s="405"/>
      <c r="AV38" s="405"/>
      <c r="AW38" s="405"/>
      <c r="AX38" s="405"/>
      <c r="AY38" s="405"/>
      <c r="AZ38" s="405"/>
      <c r="BA38" s="405"/>
      <c r="BB38" s="405"/>
      <c r="BC38" s="406">
        <f t="shared" si="7"/>
        <v>0</v>
      </c>
      <c r="BD38" s="475">
        <f t="shared" si="3"/>
        <v>0</v>
      </c>
      <c r="BE38" s="465"/>
      <c r="BF38" s="476"/>
      <c r="BG38" s="476"/>
      <c r="BH38" s="476"/>
      <c r="BI38" s="410">
        <f t="shared" si="9"/>
        <v>0</v>
      </c>
      <c r="BJ38" s="476"/>
      <c r="BK38" s="477" t="str">
        <f t="shared" si="1"/>
        <v/>
      </c>
      <c r="BL38" s="477" t="str">
        <f t="shared" si="4"/>
        <v/>
      </c>
      <c r="BM38" s="477" t="str">
        <f t="shared" si="5"/>
        <v/>
      </c>
      <c r="BN38" s="478"/>
    </row>
    <row r="39" spans="1:66" x14ac:dyDescent="0.25">
      <c r="A39" s="462" t="str">
        <f>IF(D39="","",Cover!$D$8)</f>
        <v/>
      </c>
      <c r="B39" s="462" t="str">
        <f>IF(D39="","",Cover!$D$7)</f>
        <v/>
      </c>
      <c r="C39" s="397" t="str">
        <f>IF(F39="","",IFERROR(VLOOKUP(F39,'Master Data'!$E$59:$J$144,6,FALSE),0))</f>
        <v/>
      </c>
      <c r="D39" s="463" t="str">
        <f>IF(F39="","",IFERROR(VLOOKUP(F39,'Master Data'!$E$59:$L$146,8,FALSE),0))</f>
        <v/>
      </c>
      <c r="E39" s="397" t="str">
        <f>IF(D39="","",IFERROR(VLOOKUP(D39,'Master Data'!$D$59:$I$146,6,FALSE),0))</f>
        <v/>
      </c>
      <c r="F39" s="464"/>
      <c r="G39" s="465"/>
      <c r="H39" s="466">
        <f>IFERROR(VLOOKUP(G39,'Master Data'!$C$336:$I$353,7,FALSE),0)</f>
        <v>0</v>
      </c>
      <c r="I39" s="467">
        <f>IFERROR(VLOOKUP(H39,'Master Data'!$B$336:$D$351,3,FALSE),0)</f>
        <v>0</v>
      </c>
      <c r="J39" s="468">
        <f>IFERROR(VLOOKUP(H39,'Master Data'!$B$336:$H$353,7,FALSE),0)</f>
        <v>0</v>
      </c>
      <c r="K39" s="469"/>
      <c r="L39" s="470" t="str">
        <f>IFERROR(IF(I40="FIXED ASSET",J39&amp;E39&amp;K39,VLOOKUP(F39,'Master Data'!$E$59:$H$144,4,FALSE)&amp;"-"&amp;J39&amp;"-"&amp;K39),"-")</f>
        <v>-</v>
      </c>
      <c r="M39" s="482"/>
      <c r="N39" s="483"/>
      <c r="O39" s="481"/>
      <c r="P39" s="481"/>
      <c r="Q39" s="481"/>
      <c r="R39" s="481"/>
      <c r="S39" s="481"/>
      <c r="T39" s="481"/>
      <c r="U39" s="481"/>
      <c r="V39" s="481"/>
      <c r="W39" s="481"/>
      <c r="X39" s="481"/>
      <c r="Y39" s="481"/>
      <c r="Z39" s="481"/>
      <c r="AA39" s="480">
        <f t="shared" si="8"/>
        <v>0</v>
      </c>
      <c r="AB39" s="473"/>
      <c r="AC39" s="405"/>
      <c r="AD39" s="405"/>
      <c r="AE39" s="405"/>
      <c r="AF39" s="405"/>
      <c r="AG39" s="405"/>
      <c r="AH39" s="405"/>
      <c r="AI39" s="405"/>
      <c r="AJ39" s="405"/>
      <c r="AK39" s="405"/>
      <c r="AL39" s="405"/>
      <c r="AM39" s="405"/>
      <c r="AN39" s="405"/>
      <c r="AO39" s="406">
        <f t="shared" si="6"/>
        <v>0</v>
      </c>
      <c r="AP39" s="474"/>
      <c r="AQ39" s="405"/>
      <c r="AR39" s="405"/>
      <c r="AS39" s="405"/>
      <c r="AT39" s="405"/>
      <c r="AU39" s="405"/>
      <c r="AV39" s="405"/>
      <c r="AW39" s="405"/>
      <c r="AX39" s="405"/>
      <c r="AY39" s="405"/>
      <c r="AZ39" s="405"/>
      <c r="BA39" s="405"/>
      <c r="BB39" s="405"/>
      <c r="BC39" s="406">
        <f t="shared" si="7"/>
        <v>0</v>
      </c>
      <c r="BD39" s="475">
        <f t="shared" si="3"/>
        <v>0</v>
      </c>
      <c r="BE39" s="465"/>
      <c r="BF39" s="476"/>
      <c r="BG39" s="476"/>
      <c r="BH39" s="476"/>
      <c r="BI39" s="410">
        <f t="shared" si="9"/>
        <v>0</v>
      </c>
      <c r="BJ39" s="476"/>
      <c r="BK39" s="477" t="str">
        <f t="shared" si="1"/>
        <v/>
      </c>
      <c r="BL39" s="477" t="str">
        <f t="shared" si="4"/>
        <v/>
      </c>
      <c r="BM39" s="477" t="str">
        <f t="shared" si="5"/>
        <v/>
      </c>
      <c r="BN39" s="478"/>
    </row>
    <row r="40" spans="1:66" x14ac:dyDescent="0.25">
      <c r="A40" s="462" t="str">
        <f>IF(D40="","",Cover!$D$8)</f>
        <v/>
      </c>
      <c r="B40" s="462" t="str">
        <f>IF(D40="","",Cover!$D$7)</f>
        <v/>
      </c>
      <c r="C40" s="397" t="str">
        <f>IF(F40="","",IFERROR(VLOOKUP(F40,'Master Data'!$E$59:$J$144,6,FALSE),0))</f>
        <v/>
      </c>
      <c r="D40" s="463" t="str">
        <f>IF(F40="","",IFERROR(VLOOKUP(F40,'Master Data'!$E$59:$L$146,8,FALSE),0))</f>
        <v/>
      </c>
      <c r="E40" s="397" t="str">
        <f>IF(D40="","",IFERROR(VLOOKUP(D40,'Master Data'!$D$59:$I$146,6,FALSE),0))</f>
        <v/>
      </c>
      <c r="F40" s="464"/>
      <c r="G40" s="465"/>
      <c r="H40" s="466">
        <f>IFERROR(VLOOKUP(G40,'Master Data'!$C$336:$I$353,7,FALSE),0)</f>
        <v>0</v>
      </c>
      <c r="I40" s="467">
        <f>IFERROR(VLOOKUP(H40,'Master Data'!$B$336:$D$351,3,FALSE),0)</f>
        <v>0</v>
      </c>
      <c r="J40" s="468">
        <f>IFERROR(VLOOKUP(H40,'Master Data'!$B$336:$H$353,7,FALSE),0)</f>
        <v>0</v>
      </c>
      <c r="K40" s="469"/>
      <c r="L40" s="470" t="str">
        <f>IFERROR(IF(I41="FIXED ASSET",J40&amp;E40&amp;K40,VLOOKUP(F40,'Master Data'!$E$59:$H$144,4,FALSE)&amp;"-"&amp;J40&amp;"-"&amp;K40),"-")</f>
        <v>-</v>
      </c>
      <c r="M40" s="482"/>
      <c r="N40" s="483"/>
      <c r="O40" s="481"/>
      <c r="P40" s="481"/>
      <c r="Q40" s="481"/>
      <c r="R40" s="481"/>
      <c r="S40" s="481"/>
      <c r="T40" s="481"/>
      <c r="U40" s="481"/>
      <c r="V40" s="481"/>
      <c r="W40" s="481"/>
      <c r="X40" s="481"/>
      <c r="Y40" s="481"/>
      <c r="Z40" s="481"/>
      <c r="AA40" s="480">
        <f t="shared" si="8"/>
        <v>0</v>
      </c>
      <c r="AB40" s="473"/>
      <c r="AC40" s="405"/>
      <c r="AD40" s="405"/>
      <c r="AE40" s="405"/>
      <c r="AF40" s="405"/>
      <c r="AG40" s="405"/>
      <c r="AH40" s="405"/>
      <c r="AI40" s="405"/>
      <c r="AJ40" s="405"/>
      <c r="AK40" s="405"/>
      <c r="AL40" s="405"/>
      <c r="AM40" s="405"/>
      <c r="AN40" s="405"/>
      <c r="AO40" s="406">
        <f t="shared" si="6"/>
        <v>0</v>
      </c>
      <c r="AP40" s="474"/>
      <c r="AQ40" s="405"/>
      <c r="AR40" s="405"/>
      <c r="AS40" s="405"/>
      <c r="AT40" s="405"/>
      <c r="AU40" s="405"/>
      <c r="AV40" s="405"/>
      <c r="AW40" s="405"/>
      <c r="AX40" s="405"/>
      <c r="AY40" s="405"/>
      <c r="AZ40" s="405"/>
      <c r="BA40" s="405"/>
      <c r="BB40" s="405"/>
      <c r="BC40" s="406">
        <f t="shared" si="7"/>
        <v>0</v>
      </c>
      <c r="BD40" s="475">
        <f t="shared" si="3"/>
        <v>0</v>
      </c>
      <c r="BE40" s="465"/>
      <c r="BF40" s="476"/>
      <c r="BG40" s="476"/>
      <c r="BH40" s="476"/>
      <c r="BI40" s="410">
        <f t="shared" si="9"/>
        <v>0</v>
      </c>
      <c r="BJ40" s="476"/>
      <c r="BK40" s="477" t="str">
        <f t="shared" si="1"/>
        <v/>
      </c>
      <c r="BL40" s="477" t="str">
        <f t="shared" si="4"/>
        <v/>
      </c>
      <c r="BM40" s="477" t="str">
        <f t="shared" si="5"/>
        <v/>
      </c>
      <c r="BN40" s="478"/>
    </row>
    <row r="41" spans="1:66" x14ac:dyDescent="0.25">
      <c r="A41" s="462" t="str">
        <f>IF(D41="","",Cover!$D$8)</f>
        <v/>
      </c>
      <c r="B41" s="462" t="str">
        <f>IF(D41="","",Cover!$D$7)</f>
        <v/>
      </c>
      <c r="C41" s="397" t="str">
        <f>IF(F41="","",IFERROR(VLOOKUP(F41,'Master Data'!$E$59:$J$144,6,FALSE),0))</f>
        <v/>
      </c>
      <c r="D41" s="463" t="str">
        <f>IF(F41="","",IFERROR(VLOOKUP(F41,'Master Data'!$E$59:$L$146,8,FALSE),0))</f>
        <v/>
      </c>
      <c r="E41" s="397" t="str">
        <f>IF(D41="","",IFERROR(VLOOKUP(D41,'Master Data'!$D$59:$I$146,6,FALSE),0))</f>
        <v/>
      </c>
      <c r="F41" s="464"/>
      <c r="G41" s="465"/>
      <c r="H41" s="466">
        <f>IFERROR(VLOOKUP(G41,'Master Data'!$C$336:$I$353,7,FALSE),0)</f>
        <v>0</v>
      </c>
      <c r="I41" s="467">
        <f>IFERROR(VLOOKUP(H41,'Master Data'!$B$336:$D$351,3,FALSE),0)</f>
        <v>0</v>
      </c>
      <c r="J41" s="468">
        <f>IFERROR(VLOOKUP(H41,'Master Data'!$B$336:$H$353,7,FALSE),0)</f>
        <v>0</v>
      </c>
      <c r="K41" s="469"/>
      <c r="L41" s="470" t="str">
        <f>IFERROR(IF(I42="FIXED ASSET",J41&amp;E41&amp;K41,VLOOKUP(F41,'Master Data'!$E$59:$H$144,4,FALSE)&amp;"-"&amp;J41&amp;"-"&amp;K41),"-")</f>
        <v>-</v>
      </c>
      <c r="M41" s="482"/>
      <c r="N41" s="483"/>
      <c r="O41" s="481"/>
      <c r="P41" s="481"/>
      <c r="Q41" s="481"/>
      <c r="R41" s="481"/>
      <c r="S41" s="481"/>
      <c r="T41" s="481"/>
      <c r="U41" s="481"/>
      <c r="V41" s="481"/>
      <c r="W41" s="481"/>
      <c r="X41" s="481"/>
      <c r="Y41" s="481"/>
      <c r="Z41" s="481"/>
      <c r="AA41" s="480">
        <f t="shared" si="8"/>
        <v>0</v>
      </c>
      <c r="AB41" s="473"/>
      <c r="AC41" s="405"/>
      <c r="AD41" s="405"/>
      <c r="AE41" s="405"/>
      <c r="AF41" s="405"/>
      <c r="AG41" s="405"/>
      <c r="AH41" s="405"/>
      <c r="AI41" s="405"/>
      <c r="AJ41" s="405"/>
      <c r="AK41" s="405"/>
      <c r="AL41" s="405"/>
      <c r="AM41" s="405"/>
      <c r="AN41" s="405"/>
      <c r="AO41" s="406">
        <f t="shared" si="6"/>
        <v>0</v>
      </c>
      <c r="AP41" s="474"/>
      <c r="AQ41" s="405"/>
      <c r="AR41" s="405"/>
      <c r="AS41" s="405"/>
      <c r="AT41" s="405"/>
      <c r="AU41" s="405"/>
      <c r="AV41" s="405"/>
      <c r="AW41" s="405"/>
      <c r="AX41" s="405"/>
      <c r="AY41" s="405"/>
      <c r="AZ41" s="405"/>
      <c r="BA41" s="405"/>
      <c r="BB41" s="405"/>
      <c r="BC41" s="406">
        <f t="shared" si="7"/>
        <v>0</v>
      </c>
      <c r="BD41" s="475">
        <f t="shared" si="3"/>
        <v>0</v>
      </c>
      <c r="BE41" s="465"/>
      <c r="BF41" s="476"/>
      <c r="BG41" s="476"/>
      <c r="BH41" s="476"/>
      <c r="BI41" s="410">
        <f t="shared" si="9"/>
        <v>0</v>
      </c>
      <c r="BJ41" s="476"/>
      <c r="BK41" s="477" t="str">
        <f t="shared" si="1"/>
        <v/>
      </c>
      <c r="BL41" s="477" t="str">
        <f t="shared" si="4"/>
        <v/>
      </c>
      <c r="BM41" s="477" t="str">
        <f t="shared" si="5"/>
        <v/>
      </c>
      <c r="BN41" s="478"/>
    </row>
    <row r="42" spans="1:66" x14ac:dyDescent="0.25">
      <c r="A42" s="462" t="str">
        <f>IF(D42="","",Cover!$D$8)</f>
        <v/>
      </c>
      <c r="B42" s="462" t="str">
        <f>IF(D42="","",Cover!$D$7)</f>
        <v/>
      </c>
      <c r="C42" s="397" t="str">
        <f>IF(F42="","",IFERROR(VLOOKUP(F42,'Master Data'!$E$59:$J$144,6,FALSE),0))</f>
        <v/>
      </c>
      <c r="D42" s="463" t="str">
        <f>IF(F42="","",IFERROR(VLOOKUP(F42,'Master Data'!$E$59:$L$146,8,FALSE),0))</f>
        <v/>
      </c>
      <c r="E42" s="397" t="str">
        <f>IF(D42="","",IFERROR(VLOOKUP(D42,'Master Data'!$D$59:$I$146,6,FALSE),0))</f>
        <v/>
      </c>
      <c r="F42" s="464"/>
      <c r="G42" s="465"/>
      <c r="H42" s="466">
        <f>IFERROR(VLOOKUP(G42,'Master Data'!$C$336:$I$353,7,FALSE),0)</f>
        <v>0</v>
      </c>
      <c r="I42" s="467">
        <f>IFERROR(VLOOKUP(H42,'Master Data'!$B$336:$D$351,3,FALSE),0)</f>
        <v>0</v>
      </c>
      <c r="J42" s="468">
        <f>IFERROR(VLOOKUP(H42,'Master Data'!$B$336:$H$353,7,FALSE),0)</f>
        <v>0</v>
      </c>
      <c r="K42" s="469"/>
      <c r="L42" s="470" t="str">
        <f>IFERROR(IF(I43="FIXED ASSET",J42&amp;E42&amp;K42,VLOOKUP(F42,'Master Data'!$E$59:$H$144,4,FALSE)&amp;"-"&amp;J42&amp;"-"&amp;K42),"-")</f>
        <v>-</v>
      </c>
      <c r="M42" s="482"/>
      <c r="N42" s="483"/>
      <c r="O42" s="481"/>
      <c r="P42" s="481"/>
      <c r="Q42" s="481"/>
      <c r="R42" s="481"/>
      <c r="S42" s="481"/>
      <c r="T42" s="481"/>
      <c r="U42" s="481"/>
      <c r="V42" s="481"/>
      <c r="W42" s="481"/>
      <c r="X42" s="481"/>
      <c r="Y42" s="481"/>
      <c r="Z42" s="481"/>
      <c r="AA42" s="480">
        <f t="shared" si="8"/>
        <v>0</v>
      </c>
      <c r="AB42" s="473"/>
      <c r="AC42" s="405"/>
      <c r="AD42" s="405"/>
      <c r="AE42" s="405"/>
      <c r="AF42" s="405"/>
      <c r="AG42" s="405"/>
      <c r="AH42" s="405"/>
      <c r="AI42" s="405"/>
      <c r="AJ42" s="405"/>
      <c r="AK42" s="405"/>
      <c r="AL42" s="405"/>
      <c r="AM42" s="405"/>
      <c r="AN42" s="405"/>
      <c r="AO42" s="406">
        <f t="shared" si="6"/>
        <v>0</v>
      </c>
      <c r="AP42" s="474"/>
      <c r="AQ42" s="405"/>
      <c r="AR42" s="405"/>
      <c r="AS42" s="405"/>
      <c r="AT42" s="405"/>
      <c r="AU42" s="405"/>
      <c r="AV42" s="405"/>
      <c r="AW42" s="405"/>
      <c r="AX42" s="405"/>
      <c r="AY42" s="405"/>
      <c r="AZ42" s="405"/>
      <c r="BA42" s="405"/>
      <c r="BB42" s="405"/>
      <c r="BC42" s="406">
        <f t="shared" si="7"/>
        <v>0</v>
      </c>
      <c r="BD42" s="475">
        <f t="shared" si="3"/>
        <v>0</v>
      </c>
      <c r="BE42" s="465"/>
      <c r="BF42" s="476"/>
      <c r="BG42" s="476"/>
      <c r="BH42" s="476"/>
      <c r="BI42" s="410">
        <f t="shared" si="9"/>
        <v>0</v>
      </c>
      <c r="BJ42" s="476"/>
      <c r="BK42" s="477" t="str">
        <f t="shared" si="1"/>
        <v/>
      </c>
      <c r="BL42" s="477" t="str">
        <f t="shared" si="4"/>
        <v/>
      </c>
      <c r="BM42" s="477" t="str">
        <f t="shared" si="5"/>
        <v/>
      </c>
      <c r="BN42" s="478"/>
    </row>
    <row r="43" spans="1:66" x14ac:dyDescent="0.25">
      <c r="A43" s="462" t="str">
        <f>IF(D43="","",Cover!$D$8)</f>
        <v/>
      </c>
      <c r="B43" s="462" t="str">
        <f>IF(D43="","",Cover!$D$7)</f>
        <v/>
      </c>
      <c r="C43" s="397" t="str">
        <f>IF(F43="","",IFERROR(VLOOKUP(F43,'Master Data'!$E$59:$J$144,6,FALSE),0))</f>
        <v/>
      </c>
      <c r="D43" s="463" t="str">
        <f>IF(F43="","",IFERROR(VLOOKUP(F43,'Master Data'!$E$59:$L$146,8,FALSE),0))</f>
        <v/>
      </c>
      <c r="E43" s="397" t="str">
        <f>IF(D43="","",IFERROR(VLOOKUP(D43,'Master Data'!$D$59:$I$146,6,FALSE),0))</f>
        <v/>
      </c>
      <c r="F43" s="464"/>
      <c r="G43" s="465"/>
      <c r="H43" s="466">
        <f>IFERROR(VLOOKUP(G43,'Master Data'!$C$336:$I$353,7,FALSE),0)</f>
        <v>0</v>
      </c>
      <c r="I43" s="467">
        <f>IFERROR(VLOOKUP(H43,'Master Data'!$B$336:$D$351,3,FALSE),0)</f>
        <v>0</v>
      </c>
      <c r="J43" s="468">
        <f>IFERROR(VLOOKUP(H43,'Master Data'!$B$336:$H$353,7,FALSE),0)</f>
        <v>0</v>
      </c>
      <c r="K43" s="469"/>
      <c r="L43" s="470" t="str">
        <f>IFERROR(IF(I44="FIXED ASSET",J43&amp;E43&amp;K43,VLOOKUP(F43,'Master Data'!$E$59:$H$144,4,FALSE)&amp;"-"&amp;J43&amp;"-"&amp;K43),"-")</f>
        <v>-</v>
      </c>
      <c r="M43" s="482"/>
      <c r="N43" s="483"/>
      <c r="O43" s="481"/>
      <c r="P43" s="481"/>
      <c r="Q43" s="481"/>
      <c r="R43" s="481"/>
      <c r="S43" s="481"/>
      <c r="T43" s="481"/>
      <c r="U43" s="481"/>
      <c r="V43" s="481"/>
      <c r="W43" s="481"/>
      <c r="X43" s="481"/>
      <c r="Y43" s="481"/>
      <c r="Z43" s="481"/>
      <c r="AA43" s="480">
        <f t="shared" si="8"/>
        <v>0</v>
      </c>
      <c r="AB43" s="473"/>
      <c r="AC43" s="405"/>
      <c r="AD43" s="405"/>
      <c r="AE43" s="405"/>
      <c r="AF43" s="405"/>
      <c r="AG43" s="405"/>
      <c r="AH43" s="405"/>
      <c r="AI43" s="405"/>
      <c r="AJ43" s="405"/>
      <c r="AK43" s="405"/>
      <c r="AL43" s="405"/>
      <c r="AM43" s="405"/>
      <c r="AN43" s="405"/>
      <c r="AO43" s="406">
        <f t="shared" si="6"/>
        <v>0</v>
      </c>
      <c r="AP43" s="474"/>
      <c r="AQ43" s="405"/>
      <c r="AR43" s="405"/>
      <c r="AS43" s="405"/>
      <c r="AT43" s="405"/>
      <c r="AU43" s="405"/>
      <c r="AV43" s="405"/>
      <c r="AW43" s="405"/>
      <c r="AX43" s="405"/>
      <c r="AY43" s="405"/>
      <c r="AZ43" s="405"/>
      <c r="BA43" s="405"/>
      <c r="BB43" s="405"/>
      <c r="BC43" s="406">
        <f t="shared" si="7"/>
        <v>0</v>
      </c>
      <c r="BD43" s="475">
        <f t="shared" si="3"/>
        <v>0</v>
      </c>
      <c r="BE43" s="465"/>
      <c r="BF43" s="476"/>
      <c r="BG43" s="476"/>
      <c r="BH43" s="476"/>
      <c r="BI43" s="410">
        <f t="shared" si="9"/>
        <v>0</v>
      </c>
      <c r="BJ43" s="476"/>
      <c r="BK43" s="477" t="str">
        <f t="shared" si="1"/>
        <v/>
      </c>
      <c r="BL43" s="477" t="str">
        <f t="shared" si="4"/>
        <v/>
      </c>
      <c r="BM43" s="477" t="str">
        <f t="shared" si="5"/>
        <v/>
      </c>
      <c r="BN43" s="478"/>
    </row>
    <row r="44" spans="1:66" x14ac:dyDescent="0.25">
      <c r="A44" s="462" t="str">
        <f>IF(D44="","",Cover!$D$8)</f>
        <v/>
      </c>
      <c r="B44" s="462" t="str">
        <f>IF(D44="","",Cover!$D$7)</f>
        <v/>
      </c>
      <c r="C44" s="397" t="str">
        <f>IF(F44="","",IFERROR(VLOOKUP(F44,'Master Data'!$E$59:$J$144,6,FALSE),0))</f>
        <v/>
      </c>
      <c r="D44" s="463" t="str">
        <f>IF(F44="","",IFERROR(VLOOKUP(F44,'Master Data'!$E$59:$L$146,8,FALSE),0))</f>
        <v/>
      </c>
      <c r="E44" s="397" t="str">
        <f>IF(D44="","",IFERROR(VLOOKUP(D44,'Master Data'!$D$59:$I$146,6,FALSE),0))</f>
        <v/>
      </c>
      <c r="F44" s="464"/>
      <c r="G44" s="465"/>
      <c r="H44" s="466">
        <f>IFERROR(VLOOKUP(G44,'Master Data'!$C$336:$I$353,7,FALSE),0)</f>
        <v>0</v>
      </c>
      <c r="I44" s="467">
        <f>IFERROR(VLOOKUP(H44,'Master Data'!$B$336:$D$351,3,FALSE),0)</f>
        <v>0</v>
      </c>
      <c r="J44" s="468">
        <f>IFERROR(VLOOKUP(H44,'Master Data'!$B$336:$H$353,7,FALSE),0)</f>
        <v>0</v>
      </c>
      <c r="K44" s="469"/>
      <c r="L44" s="470" t="str">
        <f>IFERROR(IF(I45="FIXED ASSET",J44&amp;E44&amp;K44,VLOOKUP(F44,'Master Data'!$E$59:$H$144,4,FALSE)&amp;"-"&amp;J44&amp;"-"&amp;K44),"-")</f>
        <v>-</v>
      </c>
      <c r="M44" s="482"/>
      <c r="N44" s="483"/>
      <c r="O44" s="481"/>
      <c r="P44" s="481"/>
      <c r="Q44" s="481"/>
      <c r="R44" s="481"/>
      <c r="S44" s="481"/>
      <c r="T44" s="481"/>
      <c r="U44" s="481"/>
      <c r="V44" s="481"/>
      <c r="W44" s="481"/>
      <c r="X44" s="481"/>
      <c r="Y44" s="481"/>
      <c r="Z44" s="481"/>
      <c r="AA44" s="480">
        <f t="shared" si="8"/>
        <v>0</v>
      </c>
      <c r="AB44" s="473"/>
      <c r="AC44" s="405"/>
      <c r="AD44" s="405"/>
      <c r="AE44" s="405"/>
      <c r="AF44" s="405"/>
      <c r="AG44" s="405"/>
      <c r="AH44" s="405"/>
      <c r="AI44" s="405"/>
      <c r="AJ44" s="405"/>
      <c r="AK44" s="405"/>
      <c r="AL44" s="405"/>
      <c r="AM44" s="405"/>
      <c r="AN44" s="405"/>
      <c r="AO44" s="406">
        <f t="shared" si="6"/>
        <v>0</v>
      </c>
      <c r="AP44" s="474"/>
      <c r="AQ44" s="405"/>
      <c r="AR44" s="405"/>
      <c r="AS44" s="405"/>
      <c r="AT44" s="405"/>
      <c r="AU44" s="405"/>
      <c r="AV44" s="405"/>
      <c r="AW44" s="405"/>
      <c r="AX44" s="405"/>
      <c r="AY44" s="405"/>
      <c r="AZ44" s="405"/>
      <c r="BA44" s="405"/>
      <c r="BB44" s="405"/>
      <c r="BC44" s="406">
        <f t="shared" si="7"/>
        <v>0</v>
      </c>
      <c r="BD44" s="475">
        <f t="shared" si="3"/>
        <v>0</v>
      </c>
      <c r="BE44" s="465"/>
      <c r="BF44" s="476"/>
      <c r="BG44" s="476"/>
      <c r="BH44" s="476"/>
      <c r="BI44" s="410">
        <f t="shared" si="9"/>
        <v>0</v>
      </c>
      <c r="BJ44" s="476"/>
      <c r="BK44" s="477" t="str">
        <f t="shared" si="1"/>
        <v/>
      </c>
      <c r="BL44" s="477" t="str">
        <f t="shared" si="4"/>
        <v/>
      </c>
      <c r="BM44" s="477" t="str">
        <f t="shared" si="5"/>
        <v/>
      </c>
      <c r="BN44" s="478"/>
    </row>
    <row r="45" spans="1:66" x14ac:dyDescent="0.25">
      <c r="A45" s="462" t="str">
        <f>IF(D45="","",Cover!$D$8)</f>
        <v/>
      </c>
      <c r="B45" s="462" t="str">
        <f>IF(D45="","",Cover!$D$7)</f>
        <v/>
      </c>
      <c r="C45" s="397" t="str">
        <f>IF(F45="","",IFERROR(VLOOKUP(F45,'Master Data'!$E$59:$J$144,6,FALSE),0))</f>
        <v/>
      </c>
      <c r="D45" s="463" t="str">
        <f>IF(F45="","",IFERROR(VLOOKUP(F45,'Master Data'!$E$59:$L$146,8,FALSE),0))</f>
        <v/>
      </c>
      <c r="E45" s="397" t="str">
        <f>IF(D45="","",IFERROR(VLOOKUP(D45,'Master Data'!$D$59:$I$146,6,FALSE),0))</f>
        <v/>
      </c>
      <c r="F45" s="464"/>
      <c r="G45" s="465"/>
      <c r="H45" s="466">
        <f>IFERROR(VLOOKUP(G45,'Master Data'!$C$336:$I$353,7,FALSE),0)</f>
        <v>0</v>
      </c>
      <c r="I45" s="467">
        <f>IFERROR(VLOOKUP(H45,'Master Data'!$B$336:$D$351,3,FALSE),0)</f>
        <v>0</v>
      </c>
      <c r="J45" s="468">
        <f>IFERROR(VLOOKUP(H45,'Master Data'!$B$336:$H$353,7,FALSE),0)</f>
        <v>0</v>
      </c>
      <c r="K45" s="469"/>
      <c r="L45" s="470" t="str">
        <f>IFERROR(IF(I46="FIXED ASSET",J45&amp;E45&amp;K45,VLOOKUP(F45,'Master Data'!$E$59:$H$144,4,FALSE)&amp;"-"&amp;J45&amp;"-"&amp;K45),"-")</f>
        <v>-</v>
      </c>
      <c r="M45" s="482"/>
      <c r="N45" s="483"/>
      <c r="O45" s="481"/>
      <c r="P45" s="481"/>
      <c r="Q45" s="481"/>
      <c r="R45" s="481"/>
      <c r="S45" s="481"/>
      <c r="T45" s="481"/>
      <c r="U45" s="481"/>
      <c r="V45" s="481"/>
      <c r="W45" s="481"/>
      <c r="X45" s="481"/>
      <c r="Y45" s="481"/>
      <c r="Z45" s="481"/>
      <c r="AA45" s="480">
        <f t="shared" si="8"/>
        <v>0</v>
      </c>
      <c r="AB45" s="473"/>
      <c r="AC45" s="405"/>
      <c r="AD45" s="405"/>
      <c r="AE45" s="405"/>
      <c r="AF45" s="405"/>
      <c r="AG45" s="405"/>
      <c r="AH45" s="405"/>
      <c r="AI45" s="405"/>
      <c r="AJ45" s="405"/>
      <c r="AK45" s="405"/>
      <c r="AL45" s="405"/>
      <c r="AM45" s="405"/>
      <c r="AN45" s="405"/>
      <c r="AO45" s="406">
        <f t="shared" si="6"/>
        <v>0</v>
      </c>
      <c r="AP45" s="474"/>
      <c r="AQ45" s="405"/>
      <c r="AR45" s="405"/>
      <c r="AS45" s="405"/>
      <c r="AT45" s="405"/>
      <c r="AU45" s="405"/>
      <c r="AV45" s="405"/>
      <c r="AW45" s="405"/>
      <c r="AX45" s="405"/>
      <c r="AY45" s="405"/>
      <c r="AZ45" s="405"/>
      <c r="BA45" s="405"/>
      <c r="BB45" s="405"/>
      <c r="BC45" s="406">
        <f t="shared" si="7"/>
        <v>0</v>
      </c>
      <c r="BD45" s="475">
        <f t="shared" si="3"/>
        <v>0</v>
      </c>
      <c r="BE45" s="465"/>
      <c r="BF45" s="476"/>
      <c r="BG45" s="476"/>
      <c r="BH45" s="476"/>
      <c r="BI45" s="410">
        <f t="shared" si="9"/>
        <v>0</v>
      </c>
      <c r="BJ45" s="476"/>
      <c r="BK45" s="477" t="str">
        <f t="shared" si="1"/>
        <v/>
      </c>
      <c r="BL45" s="477" t="str">
        <f t="shared" si="4"/>
        <v/>
      </c>
      <c r="BM45" s="477" t="str">
        <f t="shared" si="5"/>
        <v/>
      </c>
      <c r="BN45" s="478"/>
    </row>
    <row r="46" spans="1:66" x14ac:dyDescent="0.25">
      <c r="A46" s="462" t="str">
        <f>IF(D46="","",Cover!$D$8)</f>
        <v/>
      </c>
      <c r="B46" s="462" t="str">
        <f>IF(D46="","",Cover!$D$7)</f>
        <v/>
      </c>
      <c r="C46" s="397" t="str">
        <f>IF(F46="","",IFERROR(VLOOKUP(F46,'Master Data'!$E$59:$J$144,6,FALSE),0))</f>
        <v/>
      </c>
      <c r="D46" s="463" t="str">
        <f>IF(F46="","",IFERROR(VLOOKUP(F46,'Master Data'!$E$59:$L$146,8,FALSE),0))</f>
        <v/>
      </c>
      <c r="E46" s="397" t="str">
        <f>IF(D46="","",IFERROR(VLOOKUP(D46,'Master Data'!$D$59:$I$146,6,FALSE),0))</f>
        <v/>
      </c>
      <c r="F46" s="464"/>
      <c r="G46" s="465"/>
      <c r="H46" s="466">
        <f>IFERROR(VLOOKUP(G46,'Master Data'!$C$336:$I$353,7,FALSE),0)</f>
        <v>0</v>
      </c>
      <c r="I46" s="467">
        <f>IFERROR(VLOOKUP(H46,'Master Data'!$B$336:$D$351,3,FALSE),0)</f>
        <v>0</v>
      </c>
      <c r="J46" s="468">
        <f>IFERROR(VLOOKUP(H46,'Master Data'!$B$336:$H$353,7,FALSE),0)</f>
        <v>0</v>
      </c>
      <c r="K46" s="469"/>
      <c r="L46" s="470" t="str">
        <f>IFERROR(IF(I47="FIXED ASSET",J46&amp;E46&amp;K46,VLOOKUP(F46,'Master Data'!$E$59:$H$144,4,FALSE)&amp;"-"&amp;J46&amp;"-"&amp;K46),"-")</f>
        <v>-</v>
      </c>
      <c r="M46" s="482"/>
      <c r="N46" s="483"/>
      <c r="O46" s="481"/>
      <c r="P46" s="481"/>
      <c r="Q46" s="481"/>
      <c r="R46" s="481"/>
      <c r="S46" s="481"/>
      <c r="T46" s="481"/>
      <c r="U46" s="481"/>
      <c r="V46" s="481"/>
      <c r="W46" s="481"/>
      <c r="X46" s="481"/>
      <c r="Y46" s="481"/>
      <c r="Z46" s="481"/>
      <c r="AA46" s="480">
        <f t="shared" si="8"/>
        <v>0</v>
      </c>
      <c r="AB46" s="473"/>
      <c r="AC46" s="405"/>
      <c r="AD46" s="405"/>
      <c r="AE46" s="405"/>
      <c r="AF46" s="405"/>
      <c r="AG46" s="405"/>
      <c r="AH46" s="405"/>
      <c r="AI46" s="405"/>
      <c r="AJ46" s="405"/>
      <c r="AK46" s="405"/>
      <c r="AL46" s="405"/>
      <c r="AM46" s="405"/>
      <c r="AN46" s="405"/>
      <c r="AO46" s="406">
        <f t="shared" si="6"/>
        <v>0</v>
      </c>
      <c r="AP46" s="474"/>
      <c r="AQ46" s="405"/>
      <c r="AR46" s="405"/>
      <c r="AS46" s="405"/>
      <c r="AT46" s="405"/>
      <c r="AU46" s="405"/>
      <c r="AV46" s="405"/>
      <c r="AW46" s="405"/>
      <c r="AX46" s="405"/>
      <c r="AY46" s="405"/>
      <c r="AZ46" s="405"/>
      <c r="BA46" s="405"/>
      <c r="BB46" s="405"/>
      <c r="BC46" s="406">
        <f t="shared" si="7"/>
        <v>0</v>
      </c>
      <c r="BD46" s="475">
        <f t="shared" si="3"/>
        <v>0</v>
      </c>
      <c r="BE46" s="465"/>
      <c r="BF46" s="476"/>
      <c r="BG46" s="476"/>
      <c r="BH46" s="476"/>
      <c r="BI46" s="410">
        <f t="shared" si="9"/>
        <v>0</v>
      </c>
      <c r="BJ46" s="476"/>
      <c r="BK46" s="477" t="str">
        <f t="shared" si="1"/>
        <v/>
      </c>
      <c r="BL46" s="477" t="str">
        <f t="shared" si="4"/>
        <v/>
      </c>
      <c r="BM46" s="477" t="str">
        <f t="shared" si="5"/>
        <v/>
      </c>
      <c r="BN46" s="478"/>
    </row>
    <row r="47" spans="1:66" x14ac:dyDescent="0.25">
      <c r="A47" s="462" t="str">
        <f>IF(D47="","",Cover!$D$8)</f>
        <v/>
      </c>
      <c r="B47" s="462" t="str">
        <f>IF(D47="","",Cover!$D$7)</f>
        <v/>
      </c>
      <c r="C47" s="397" t="str">
        <f>IF(F47="","",IFERROR(VLOOKUP(F47,'Master Data'!$E$59:$J$144,6,FALSE),0))</f>
        <v/>
      </c>
      <c r="D47" s="463" t="str">
        <f>IF(F47="","",IFERROR(VLOOKUP(F47,'Master Data'!$E$59:$L$146,8,FALSE),0))</f>
        <v/>
      </c>
      <c r="E47" s="397" t="str">
        <f>IF(D47="","",IFERROR(VLOOKUP(D47,'Master Data'!$D$59:$I$146,6,FALSE),0))</f>
        <v/>
      </c>
      <c r="F47" s="464"/>
      <c r="G47" s="465"/>
      <c r="H47" s="466">
        <f>IFERROR(VLOOKUP(G47,'Master Data'!$C$336:$I$353,7,FALSE),0)</f>
        <v>0</v>
      </c>
      <c r="I47" s="467">
        <f>IFERROR(VLOOKUP(H47,'Master Data'!$B$336:$D$351,3,FALSE),0)</f>
        <v>0</v>
      </c>
      <c r="J47" s="468">
        <f>IFERROR(VLOOKUP(H47,'Master Data'!$B$336:$H$353,7,FALSE),0)</f>
        <v>0</v>
      </c>
      <c r="K47" s="469"/>
      <c r="L47" s="470" t="str">
        <f>IFERROR(IF(I48="FIXED ASSET",J47&amp;E47&amp;K47,VLOOKUP(F47,'Master Data'!$E$59:$H$144,4,FALSE)&amp;"-"&amp;J47&amp;"-"&amp;K47),"-")</f>
        <v>-</v>
      </c>
      <c r="M47" s="482"/>
      <c r="N47" s="483"/>
      <c r="O47" s="481"/>
      <c r="P47" s="481"/>
      <c r="Q47" s="481"/>
      <c r="R47" s="481"/>
      <c r="S47" s="481"/>
      <c r="T47" s="481"/>
      <c r="U47" s="481"/>
      <c r="V47" s="481"/>
      <c r="W47" s="481"/>
      <c r="X47" s="481"/>
      <c r="Y47" s="481"/>
      <c r="Z47" s="481"/>
      <c r="AA47" s="480">
        <f t="shared" si="8"/>
        <v>0</v>
      </c>
      <c r="AB47" s="473"/>
      <c r="AC47" s="405"/>
      <c r="AD47" s="405"/>
      <c r="AE47" s="405"/>
      <c r="AF47" s="405"/>
      <c r="AG47" s="405"/>
      <c r="AH47" s="405"/>
      <c r="AI47" s="405"/>
      <c r="AJ47" s="405"/>
      <c r="AK47" s="405"/>
      <c r="AL47" s="405"/>
      <c r="AM47" s="405"/>
      <c r="AN47" s="405"/>
      <c r="AO47" s="406">
        <f t="shared" si="6"/>
        <v>0</v>
      </c>
      <c r="AP47" s="474"/>
      <c r="AQ47" s="405"/>
      <c r="AR47" s="405"/>
      <c r="AS47" s="405"/>
      <c r="AT47" s="405"/>
      <c r="AU47" s="405"/>
      <c r="AV47" s="405"/>
      <c r="AW47" s="405"/>
      <c r="AX47" s="405"/>
      <c r="AY47" s="405"/>
      <c r="AZ47" s="405"/>
      <c r="BA47" s="405"/>
      <c r="BB47" s="405"/>
      <c r="BC47" s="406">
        <f t="shared" si="7"/>
        <v>0</v>
      </c>
      <c r="BD47" s="475">
        <f t="shared" si="3"/>
        <v>0</v>
      </c>
      <c r="BE47" s="465"/>
      <c r="BF47" s="476"/>
      <c r="BG47" s="476"/>
      <c r="BH47" s="476"/>
      <c r="BI47" s="410">
        <f t="shared" si="9"/>
        <v>0</v>
      </c>
      <c r="BJ47" s="476"/>
      <c r="BK47" s="477" t="str">
        <f t="shared" si="1"/>
        <v/>
      </c>
      <c r="BL47" s="477" t="str">
        <f t="shared" si="4"/>
        <v/>
      </c>
      <c r="BM47" s="477" t="str">
        <f t="shared" si="5"/>
        <v/>
      </c>
      <c r="BN47" s="478"/>
    </row>
    <row r="48" spans="1:66" x14ac:dyDescent="0.25">
      <c r="A48" s="462" t="str">
        <f>IF(D48="","",Cover!$D$8)</f>
        <v/>
      </c>
      <c r="B48" s="462" t="str">
        <f>IF(D48="","",Cover!$D$7)</f>
        <v/>
      </c>
      <c r="C48" s="397" t="str">
        <f>IF(F48="","",IFERROR(VLOOKUP(F48,'Master Data'!$E$59:$J$144,6,FALSE),0))</f>
        <v/>
      </c>
      <c r="D48" s="463" t="str">
        <f>IF(F48="","",IFERROR(VLOOKUP(F48,'Master Data'!$E$59:$L$146,8,FALSE),0))</f>
        <v/>
      </c>
      <c r="E48" s="397" t="str">
        <f>IF(D48="","",IFERROR(VLOOKUP(D48,'Master Data'!$D$59:$I$146,6,FALSE),0))</f>
        <v/>
      </c>
      <c r="F48" s="464"/>
      <c r="G48" s="465"/>
      <c r="H48" s="466">
        <f>IFERROR(VLOOKUP(G48,'Master Data'!$C$336:$I$353,7,FALSE),0)</f>
        <v>0</v>
      </c>
      <c r="I48" s="467">
        <f>IFERROR(VLOOKUP(H48,'Master Data'!$B$336:$D$351,3,FALSE),0)</f>
        <v>0</v>
      </c>
      <c r="J48" s="468">
        <f>IFERROR(VLOOKUP(H48,'Master Data'!$B$336:$H$353,7,FALSE),0)</f>
        <v>0</v>
      </c>
      <c r="K48" s="469"/>
      <c r="L48" s="470" t="str">
        <f>IFERROR(IF(I49="FIXED ASSET",J48&amp;E48&amp;K48,VLOOKUP(F48,'Master Data'!$E$59:$H$144,4,FALSE)&amp;"-"&amp;J48&amp;"-"&amp;K48),"-")</f>
        <v>-</v>
      </c>
      <c r="M48" s="482"/>
      <c r="N48" s="483"/>
      <c r="O48" s="481"/>
      <c r="P48" s="481"/>
      <c r="Q48" s="481"/>
      <c r="R48" s="481"/>
      <c r="S48" s="481"/>
      <c r="T48" s="481"/>
      <c r="U48" s="481"/>
      <c r="V48" s="481"/>
      <c r="W48" s="481"/>
      <c r="X48" s="481"/>
      <c r="Y48" s="481"/>
      <c r="Z48" s="481"/>
      <c r="AA48" s="480">
        <f t="shared" si="8"/>
        <v>0</v>
      </c>
      <c r="AB48" s="473"/>
      <c r="AC48" s="405"/>
      <c r="AD48" s="405"/>
      <c r="AE48" s="405"/>
      <c r="AF48" s="405"/>
      <c r="AG48" s="405"/>
      <c r="AH48" s="405"/>
      <c r="AI48" s="405"/>
      <c r="AJ48" s="405"/>
      <c r="AK48" s="405"/>
      <c r="AL48" s="405"/>
      <c r="AM48" s="405"/>
      <c r="AN48" s="405"/>
      <c r="AO48" s="406">
        <f t="shared" si="6"/>
        <v>0</v>
      </c>
      <c r="AP48" s="474"/>
      <c r="AQ48" s="405"/>
      <c r="AR48" s="405"/>
      <c r="AS48" s="405"/>
      <c r="AT48" s="405"/>
      <c r="AU48" s="405"/>
      <c r="AV48" s="405"/>
      <c r="AW48" s="405"/>
      <c r="AX48" s="405"/>
      <c r="AY48" s="405"/>
      <c r="AZ48" s="405"/>
      <c r="BA48" s="405"/>
      <c r="BB48" s="405"/>
      <c r="BC48" s="406">
        <f t="shared" si="7"/>
        <v>0</v>
      </c>
      <c r="BD48" s="475">
        <f t="shared" si="3"/>
        <v>0</v>
      </c>
      <c r="BE48" s="465"/>
      <c r="BF48" s="476"/>
      <c r="BG48" s="476"/>
      <c r="BH48" s="476"/>
      <c r="BI48" s="410">
        <f t="shared" si="9"/>
        <v>0</v>
      </c>
      <c r="BJ48" s="476"/>
      <c r="BK48" s="477" t="str">
        <f t="shared" si="1"/>
        <v/>
      </c>
      <c r="BL48" s="477" t="str">
        <f t="shared" si="4"/>
        <v/>
      </c>
      <c r="BM48" s="477" t="str">
        <f t="shared" si="5"/>
        <v/>
      </c>
      <c r="BN48" s="478"/>
    </row>
    <row r="49" spans="1:66" x14ac:dyDescent="0.25">
      <c r="A49" s="462" t="str">
        <f>IF(D49="","",Cover!$D$8)</f>
        <v/>
      </c>
      <c r="B49" s="462" t="str">
        <f>IF(D49="","",Cover!$D$7)</f>
        <v/>
      </c>
      <c r="C49" s="397" t="str">
        <f>IF(F49="","",IFERROR(VLOOKUP(F49,'Master Data'!$E$59:$J$144,6,FALSE),0))</f>
        <v/>
      </c>
      <c r="D49" s="463" t="str">
        <f>IF(F49="","",IFERROR(VLOOKUP(F49,'Master Data'!$E$59:$L$146,8,FALSE),0))</f>
        <v/>
      </c>
      <c r="E49" s="397" t="str">
        <f>IF(D49="","",IFERROR(VLOOKUP(D49,'Master Data'!$D$59:$I$146,6,FALSE),0))</f>
        <v/>
      </c>
      <c r="F49" s="464"/>
      <c r="G49" s="465"/>
      <c r="H49" s="466">
        <f>IFERROR(VLOOKUP(G49,'Master Data'!$C$336:$I$353,7,FALSE),0)</f>
        <v>0</v>
      </c>
      <c r="I49" s="467">
        <f>IFERROR(VLOOKUP(H49,'Master Data'!$B$336:$D$351,3,FALSE),0)</f>
        <v>0</v>
      </c>
      <c r="J49" s="468">
        <f>IFERROR(VLOOKUP(H49,'Master Data'!$B$336:$H$353,7,FALSE),0)</f>
        <v>0</v>
      </c>
      <c r="K49" s="469"/>
      <c r="L49" s="470" t="str">
        <f>IFERROR(IF(I50="FIXED ASSET",J49&amp;E49&amp;K49,VLOOKUP(F49,'Master Data'!$E$59:$H$144,4,FALSE)&amp;"-"&amp;J49&amp;"-"&amp;K49),"-")</f>
        <v>-</v>
      </c>
      <c r="M49" s="482"/>
      <c r="N49" s="483"/>
      <c r="O49" s="481"/>
      <c r="P49" s="481"/>
      <c r="Q49" s="481"/>
      <c r="R49" s="481"/>
      <c r="S49" s="481"/>
      <c r="T49" s="481"/>
      <c r="U49" s="481"/>
      <c r="V49" s="481"/>
      <c r="W49" s="481"/>
      <c r="X49" s="481"/>
      <c r="Y49" s="481"/>
      <c r="Z49" s="481"/>
      <c r="AA49" s="480">
        <f t="shared" si="8"/>
        <v>0</v>
      </c>
      <c r="AB49" s="473"/>
      <c r="AC49" s="405"/>
      <c r="AD49" s="405"/>
      <c r="AE49" s="405"/>
      <c r="AF49" s="405"/>
      <c r="AG49" s="405"/>
      <c r="AH49" s="405"/>
      <c r="AI49" s="405"/>
      <c r="AJ49" s="405"/>
      <c r="AK49" s="405"/>
      <c r="AL49" s="405"/>
      <c r="AM49" s="405"/>
      <c r="AN49" s="405"/>
      <c r="AO49" s="406">
        <f t="shared" si="6"/>
        <v>0</v>
      </c>
      <c r="AP49" s="474"/>
      <c r="AQ49" s="405"/>
      <c r="AR49" s="405"/>
      <c r="AS49" s="405"/>
      <c r="AT49" s="405"/>
      <c r="AU49" s="405"/>
      <c r="AV49" s="405"/>
      <c r="AW49" s="405"/>
      <c r="AX49" s="405"/>
      <c r="AY49" s="405"/>
      <c r="AZ49" s="405"/>
      <c r="BA49" s="405"/>
      <c r="BB49" s="405"/>
      <c r="BC49" s="406">
        <f t="shared" si="7"/>
        <v>0</v>
      </c>
      <c r="BD49" s="475">
        <f t="shared" si="3"/>
        <v>0</v>
      </c>
      <c r="BE49" s="465"/>
      <c r="BF49" s="476"/>
      <c r="BG49" s="476"/>
      <c r="BH49" s="476"/>
      <c r="BI49" s="410">
        <f t="shared" si="9"/>
        <v>0</v>
      </c>
      <c r="BJ49" s="476"/>
      <c r="BK49" s="477" t="str">
        <f t="shared" si="1"/>
        <v/>
      </c>
      <c r="BL49" s="477" t="str">
        <f t="shared" si="4"/>
        <v/>
      </c>
      <c r="BM49" s="477" t="str">
        <f t="shared" si="5"/>
        <v/>
      </c>
      <c r="BN49" s="478"/>
    </row>
    <row r="50" spans="1:66" x14ac:dyDescent="0.25">
      <c r="A50" s="462" t="str">
        <f>IF(D50="","",Cover!$D$8)</f>
        <v/>
      </c>
      <c r="B50" s="462" t="str">
        <f>IF(D50="","",Cover!$D$7)</f>
        <v/>
      </c>
      <c r="C50" s="397" t="str">
        <f>IF(F50="","",IFERROR(VLOOKUP(F50,'Master Data'!$E$59:$J$144,6,FALSE),0))</f>
        <v/>
      </c>
      <c r="D50" s="463" t="str">
        <f>IF(F50="","",IFERROR(VLOOKUP(F50,'Master Data'!$E$59:$L$146,8,FALSE),0))</f>
        <v/>
      </c>
      <c r="E50" s="397" t="str">
        <f>IF(D50="","",IFERROR(VLOOKUP(D50,'Master Data'!$D$59:$I$146,6,FALSE),0))</f>
        <v/>
      </c>
      <c r="F50" s="464"/>
      <c r="G50" s="465"/>
      <c r="H50" s="466">
        <f>IFERROR(VLOOKUP(G50,'Master Data'!$C$336:$I$353,7,FALSE),0)</f>
        <v>0</v>
      </c>
      <c r="I50" s="467">
        <f>IFERROR(VLOOKUP(H50,'Master Data'!$B$336:$D$351,3,FALSE),0)</f>
        <v>0</v>
      </c>
      <c r="J50" s="468">
        <f>IFERROR(VLOOKUP(H50,'Master Data'!$B$336:$H$353,7,FALSE),0)</f>
        <v>0</v>
      </c>
      <c r="K50" s="469"/>
      <c r="L50" s="470" t="str">
        <f>IFERROR(IF(I51="FIXED ASSET",J50&amp;E50&amp;K50,VLOOKUP(F50,'Master Data'!$E$59:$H$144,4,FALSE)&amp;"-"&amp;J50&amp;"-"&amp;K50),"-")</f>
        <v>-</v>
      </c>
      <c r="M50" s="482"/>
      <c r="N50" s="483"/>
      <c r="O50" s="481"/>
      <c r="P50" s="481"/>
      <c r="Q50" s="481"/>
      <c r="R50" s="481"/>
      <c r="S50" s="481"/>
      <c r="T50" s="481"/>
      <c r="U50" s="481"/>
      <c r="V50" s="481"/>
      <c r="W50" s="481"/>
      <c r="X50" s="481"/>
      <c r="Y50" s="481"/>
      <c r="Z50" s="481"/>
      <c r="AA50" s="480">
        <f t="shared" si="8"/>
        <v>0</v>
      </c>
      <c r="AB50" s="473"/>
      <c r="AC50" s="405"/>
      <c r="AD50" s="405"/>
      <c r="AE50" s="405"/>
      <c r="AF50" s="405"/>
      <c r="AG50" s="405"/>
      <c r="AH50" s="405"/>
      <c r="AI50" s="405"/>
      <c r="AJ50" s="405"/>
      <c r="AK50" s="405"/>
      <c r="AL50" s="405"/>
      <c r="AM50" s="405"/>
      <c r="AN50" s="405"/>
      <c r="AO50" s="406">
        <f t="shared" si="6"/>
        <v>0</v>
      </c>
      <c r="AP50" s="474"/>
      <c r="AQ50" s="405"/>
      <c r="AR50" s="405"/>
      <c r="AS50" s="405"/>
      <c r="AT50" s="405"/>
      <c r="AU50" s="405"/>
      <c r="AV50" s="405"/>
      <c r="AW50" s="405"/>
      <c r="AX50" s="405"/>
      <c r="AY50" s="405"/>
      <c r="AZ50" s="405"/>
      <c r="BA50" s="405"/>
      <c r="BB50" s="405"/>
      <c r="BC50" s="406">
        <f t="shared" si="7"/>
        <v>0</v>
      </c>
      <c r="BD50" s="475">
        <f t="shared" si="3"/>
        <v>0</v>
      </c>
      <c r="BE50" s="465"/>
      <c r="BF50" s="476"/>
      <c r="BG50" s="476"/>
      <c r="BH50" s="476"/>
      <c r="BI50" s="410">
        <f t="shared" si="9"/>
        <v>0</v>
      </c>
      <c r="BJ50" s="476"/>
      <c r="BK50" s="477" t="str">
        <f t="shared" si="1"/>
        <v/>
      </c>
      <c r="BL50" s="477" t="str">
        <f t="shared" si="4"/>
        <v/>
      </c>
      <c r="BM50" s="477" t="str">
        <f t="shared" si="5"/>
        <v/>
      </c>
      <c r="BN50" s="478"/>
    </row>
    <row r="51" spans="1:66" x14ac:dyDescent="0.25">
      <c r="A51" s="462" t="str">
        <f>IF(D51="","",Cover!$D$8)</f>
        <v/>
      </c>
      <c r="B51" s="462" t="str">
        <f>IF(D51="","",Cover!$D$7)</f>
        <v/>
      </c>
      <c r="C51" s="397" t="str">
        <f>IF(F51="","",IFERROR(VLOOKUP(F51,'Master Data'!$E$59:$J$144,6,FALSE),0))</f>
        <v/>
      </c>
      <c r="D51" s="463" t="str">
        <f>IF(F51="","",IFERROR(VLOOKUP(F51,'Master Data'!$E$59:$L$146,8,FALSE),0))</f>
        <v/>
      </c>
      <c r="E51" s="397" t="str">
        <f>IF(D51="","",IFERROR(VLOOKUP(D51,'Master Data'!$D$59:$I$146,6,FALSE),0))</f>
        <v/>
      </c>
      <c r="F51" s="464"/>
      <c r="G51" s="465"/>
      <c r="H51" s="466">
        <f>IFERROR(VLOOKUP(G51,'Master Data'!$C$336:$I$353,7,FALSE),0)</f>
        <v>0</v>
      </c>
      <c r="I51" s="467">
        <f>IFERROR(VLOOKUP(H51,'Master Data'!$B$336:$D$351,3,FALSE),0)</f>
        <v>0</v>
      </c>
      <c r="J51" s="468">
        <f>IFERROR(VLOOKUP(H51,'Master Data'!$B$336:$H$353,7,FALSE),0)</f>
        <v>0</v>
      </c>
      <c r="K51" s="469"/>
      <c r="L51" s="470" t="str">
        <f>IFERROR(IF(I52="FIXED ASSET",J51&amp;E51&amp;K51,VLOOKUP(F51,'Master Data'!$E$59:$H$144,4,FALSE)&amp;"-"&amp;J51&amp;"-"&amp;K51),"-")</f>
        <v>-</v>
      </c>
      <c r="M51" s="482"/>
      <c r="N51" s="483"/>
      <c r="O51" s="481"/>
      <c r="P51" s="481"/>
      <c r="Q51" s="481"/>
      <c r="R51" s="481"/>
      <c r="S51" s="481"/>
      <c r="T51" s="481"/>
      <c r="U51" s="481"/>
      <c r="V51" s="481"/>
      <c r="W51" s="481"/>
      <c r="X51" s="481"/>
      <c r="Y51" s="481"/>
      <c r="Z51" s="481"/>
      <c r="AA51" s="480">
        <f t="shared" si="8"/>
        <v>0</v>
      </c>
      <c r="AB51" s="473"/>
      <c r="AC51" s="405"/>
      <c r="AD51" s="405"/>
      <c r="AE51" s="405"/>
      <c r="AF51" s="405"/>
      <c r="AG51" s="405"/>
      <c r="AH51" s="405"/>
      <c r="AI51" s="405"/>
      <c r="AJ51" s="405"/>
      <c r="AK51" s="405"/>
      <c r="AL51" s="405"/>
      <c r="AM51" s="405"/>
      <c r="AN51" s="405"/>
      <c r="AO51" s="406">
        <f t="shared" si="6"/>
        <v>0</v>
      </c>
      <c r="AP51" s="474"/>
      <c r="AQ51" s="405"/>
      <c r="AR51" s="405"/>
      <c r="AS51" s="405"/>
      <c r="AT51" s="405"/>
      <c r="AU51" s="405"/>
      <c r="AV51" s="405"/>
      <c r="AW51" s="405"/>
      <c r="AX51" s="405"/>
      <c r="AY51" s="405"/>
      <c r="AZ51" s="405"/>
      <c r="BA51" s="405"/>
      <c r="BB51" s="405"/>
      <c r="BC51" s="406">
        <f t="shared" si="7"/>
        <v>0</v>
      </c>
      <c r="BD51" s="475">
        <f t="shared" si="3"/>
        <v>0</v>
      </c>
      <c r="BE51" s="465"/>
      <c r="BF51" s="476"/>
      <c r="BG51" s="476"/>
      <c r="BH51" s="476"/>
      <c r="BI51" s="410">
        <f t="shared" si="9"/>
        <v>0</v>
      </c>
      <c r="BJ51" s="476"/>
      <c r="BK51" s="477" t="str">
        <f t="shared" si="1"/>
        <v/>
      </c>
      <c r="BL51" s="477" t="str">
        <f t="shared" si="4"/>
        <v/>
      </c>
      <c r="BM51" s="477" t="str">
        <f t="shared" si="5"/>
        <v/>
      </c>
      <c r="BN51" s="478"/>
    </row>
    <row r="52" spans="1:66" x14ac:dyDescent="0.25">
      <c r="A52" s="462" t="str">
        <f>IF(D52="","",Cover!$D$8)</f>
        <v/>
      </c>
      <c r="B52" s="462" t="str">
        <f>IF(D52="","",Cover!$D$7)</f>
        <v/>
      </c>
      <c r="C52" s="397" t="str">
        <f>IF(F52="","",IFERROR(VLOOKUP(F52,'Master Data'!$E$59:$J$144,6,FALSE),0))</f>
        <v/>
      </c>
      <c r="D52" s="463" t="str">
        <f>IF(F52="","",IFERROR(VLOOKUP(F52,'Master Data'!$E$59:$L$146,8,FALSE),0))</f>
        <v/>
      </c>
      <c r="E52" s="397" t="str">
        <f>IF(D52="","",IFERROR(VLOOKUP(D52,'Master Data'!$D$59:$I$146,6,FALSE),0))</f>
        <v/>
      </c>
      <c r="F52" s="464"/>
      <c r="G52" s="465"/>
      <c r="H52" s="466">
        <f>IFERROR(VLOOKUP(G52,'Master Data'!$C$336:$I$353,7,FALSE),0)</f>
        <v>0</v>
      </c>
      <c r="I52" s="467">
        <f>IFERROR(VLOOKUP(H52,'Master Data'!$B$336:$D$351,3,FALSE),0)</f>
        <v>0</v>
      </c>
      <c r="J52" s="468">
        <f>IFERROR(VLOOKUP(H52,'Master Data'!$B$336:$H$353,7,FALSE),0)</f>
        <v>0</v>
      </c>
      <c r="K52" s="469"/>
      <c r="L52" s="470" t="str">
        <f>IFERROR(IF(I53="FIXED ASSET",J52&amp;E52&amp;K52,VLOOKUP(F52,'Master Data'!$E$59:$H$144,4,FALSE)&amp;"-"&amp;J52&amp;"-"&amp;K52),"-")</f>
        <v>-</v>
      </c>
      <c r="M52" s="482"/>
      <c r="N52" s="483"/>
      <c r="O52" s="481"/>
      <c r="P52" s="481"/>
      <c r="Q52" s="481"/>
      <c r="R52" s="481"/>
      <c r="S52" s="481"/>
      <c r="T52" s="481"/>
      <c r="U52" s="481"/>
      <c r="V52" s="481"/>
      <c r="W52" s="481"/>
      <c r="X52" s="481"/>
      <c r="Y52" s="481"/>
      <c r="Z52" s="481"/>
      <c r="AA52" s="480">
        <f t="shared" si="8"/>
        <v>0</v>
      </c>
      <c r="AB52" s="473"/>
      <c r="AC52" s="405"/>
      <c r="AD52" s="405"/>
      <c r="AE52" s="405"/>
      <c r="AF52" s="405"/>
      <c r="AG52" s="405"/>
      <c r="AH52" s="405"/>
      <c r="AI52" s="405"/>
      <c r="AJ52" s="405"/>
      <c r="AK52" s="405"/>
      <c r="AL52" s="405"/>
      <c r="AM52" s="405"/>
      <c r="AN52" s="405"/>
      <c r="AO52" s="406">
        <f t="shared" si="6"/>
        <v>0</v>
      </c>
      <c r="AP52" s="474"/>
      <c r="AQ52" s="405"/>
      <c r="AR52" s="405"/>
      <c r="AS52" s="405"/>
      <c r="AT52" s="405"/>
      <c r="AU52" s="405"/>
      <c r="AV52" s="405"/>
      <c r="AW52" s="405"/>
      <c r="AX52" s="405"/>
      <c r="AY52" s="405"/>
      <c r="AZ52" s="405"/>
      <c r="BA52" s="405"/>
      <c r="BB52" s="405"/>
      <c r="BC52" s="406">
        <f t="shared" si="7"/>
        <v>0</v>
      </c>
      <c r="BD52" s="475">
        <f t="shared" si="3"/>
        <v>0</v>
      </c>
      <c r="BE52" s="465"/>
      <c r="BF52" s="476"/>
      <c r="BG52" s="476"/>
      <c r="BH52" s="476"/>
      <c r="BI52" s="410">
        <f t="shared" si="9"/>
        <v>0</v>
      </c>
      <c r="BJ52" s="476"/>
      <c r="BK52" s="477" t="str">
        <f t="shared" si="1"/>
        <v/>
      </c>
      <c r="BL52" s="477" t="str">
        <f t="shared" si="4"/>
        <v/>
      </c>
      <c r="BM52" s="477" t="str">
        <f t="shared" si="5"/>
        <v/>
      </c>
      <c r="BN52" s="478"/>
    </row>
  </sheetData>
  <sheetProtection formatColumns="0" formatRows="0" autoFilter="0"/>
  <autoFilter ref="A3:AK25" xr:uid="{00000000-0009-0000-0000-000003000000}"/>
  <dataConsolidate/>
  <mergeCells count="1">
    <mergeCell ref="D3:E3"/>
  </mergeCells>
  <conditionalFormatting sqref="BK4:BK52">
    <cfRule type="containsText" dxfId="24" priority="7" operator="containsText" text="Please Fill Start Date">
      <formula>NOT(ISERROR(SEARCH("Please Fill Start Date",BK4)))</formula>
    </cfRule>
  </conditionalFormatting>
  <conditionalFormatting sqref="BL4:BL52">
    <cfRule type="containsText" dxfId="23" priority="6" operator="containsText" text="Please Fill Start Date">
      <formula>NOT(ISERROR(SEARCH("Please Fill Start Date",BL4)))</formula>
    </cfRule>
  </conditionalFormatting>
  <conditionalFormatting sqref="BM4:BM52">
    <cfRule type="containsText" dxfId="22" priority="4" operator="containsText" text="Please Fill Remarks">
      <formula>NOT(ISERROR(SEARCH("Please Fill Remarks",BM4)))</formula>
    </cfRule>
    <cfRule type="containsText" dxfId="21" priority="5" operator="containsText" text="Please Fill Start Date">
      <formula>NOT(ISERROR(SEARCH("Please Fill Start Date",BM4)))</formula>
    </cfRule>
  </conditionalFormatting>
  <conditionalFormatting sqref="K4:K52">
    <cfRule type="containsText" dxfId="20"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52" xr:uid="{D150FC0A-B0D7-48B8-B3C8-9A5387442D12}"/>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52" xr:uid="{76EABA48-A144-40C3-8775-57932DBF1A69}"/>
    <dataValidation type="custom" showInputMessage="1" showErrorMessage="1" error="Pastikan Ledger Number dan Cost Center sudah terisi" sqref="AC4:AN52 O4:Z52 AQ4:BB52" xr:uid="{2BA74905-C126-4D70-848D-E0403D5A4B5B}">
      <formula1>AND($A4&lt;&gt;"",$J4&lt;&gt;"")</formula1>
    </dataValidation>
  </dataValidations>
  <pageMargins left="0.27" right="0.28000000000000003" top="0.44" bottom="0.75" header="0" footer="0"/>
  <pageSetup paperSize="9" scale="85" orientation="landscape" r:id="rId1"/>
  <ignoredErrors>
    <ignoredError sqref="BK4:BM52"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xr:uid="{4BE590C3-C6D7-4028-9BC0-C2C451617705}">
          <x14:formula1>
            <xm:f>Reference!$B$903:$B$905</xm:f>
          </x14:formula1>
          <xm:sqref>BE4:BE52</xm:sqref>
        </x14:dataValidation>
        <x14:dataValidation type="list" allowBlank="1" showInputMessage="1" showErrorMessage="1" xr:uid="{A11A81A3-C5F9-46D0-937A-9F3646B8DB76}">
          <x14:formula1>
            <xm:f>Reference!$B$915:$B$916</xm:f>
          </x14:formula1>
          <xm:sqref>BG4:BG52</xm:sqref>
        </x14:dataValidation>
        <x14:dataValidation type="list" allowBlank="1" showInputMessage="1" showErrorMessage="1" xr:uid="{2716F583-7974-4CB2-A7EC-AB2245DA4C6F}">
          <x14:formula1>
            <xm:f>Reference!$B$909:$B$912</xm:f>
          </x14:formula1>
          <xm:sqref>BJ4:BJ52</xm:sqref>
        </x14:dataValidation>
        <x14:dataValidation type="list" allowBlank="1" showInputMessage="1" showErrorMessage="1" xr:uid="{8959B0D6-0D98-4485-A652-017A3D48228E}">
          <x14:formula1>
            <xm:f>'Master Data'!$C$336:$C$353</xm:f>
          </x14:formula1>
          <xm:sqref>G4:G52</xm:sqref>
        </x14:dataValidation>
        <x14:dataValidation type="list" allowBlank="1" showInputMessage="1" showErrorMessage="1" xr:uid="{EB76E055-F7EA-463D-BB7A-65A5443044F8}">
          <x14:formula1>
            <xm:f>'Master Data'!$E$127:$E$130</xm:f>
          </x14:formula1>
          <xm:sqref>F4:F52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52"/>
  <sheetViews>
    <sheetView showGridLines="0" zoomScale="80" zoomScaleNormal="80" workbookViewId="0">
      <pane xSplit="5" ySplit="3" topLeftCell="F18" activePane="bottomRight" state="frozen"/>
      <selection activeCell="F9" sqref="F9"/>
      <selection pane="topRight" activeCell="F9" sqref="F9"/>
      <selection pane="bottomLeft" activeCell="F9" sqref="F9"/>
      <selection pane="bottomRight" activeCell="A36" sqref="A36"/>
    </sheetView>
  </sheetViews>
  <sheetFormatPr defaultColWidth="9.140625" defaultRowHeight="15" outlineLevelCol="1" x14ac:dyDescent="0.25"/>
  <cols>
    <col min="1" max="1" width="21.7109375" style="416" customWidth="1"/>
    <col min="2" max="2" width="22.140625" style="416" customWidth="1"/>
    <col min="3" max="3" width="16.42578125" style="416" customWidth="1"/>
    <col min="4" max="4" width="36.7109375" style="556" customWidth="1"/>
    <col min="5" max="5" width="40.5703125" style="416" customWidth="1"/>
    <col min="6" max="6" width="15.28515625" style="416" customWidth="1" outlineLevel="1"/>
    <col min="7" max="7" width="27.140625" style="416" customWidth="1" outlineLevel="1"/>
    <col min="8" max="8" width="12.85546875" style="416" customWidth="1" outlineLevel="1"/>
    <col min="9" max="9" width="39.5703125" style="416" customWidth="1" outlineLevel="1"/>
    <col min="10" max="10" width="15.85546875" style="416" bestFit="1" customWidth="1"/>
    <col min="11" max="11" width="17.7109375" style="416" bestFit="1" customWidth="1"/>
    <col min="12" max="12" width="8.42578125" style="416" customWidth="1" outlineLevel="1"/>
    <col min="13" max="16" width="9.28515625" style="416" customWidth="1" outlineLevel="1"/>
    <col min="17" max="17" width="9" style="416" customWidth="1" outlineLevel="1"/>
    <col min="18" max="23" width="9.28515625" style="416" customWidth="1" outlineLevel="1"/>
    <col min="24" max="24" width="14.42578125" style="416" customWidth="1"/>
    <col min="25" max="25" width="2.7109375" style="416" customWidth="1"/>
    <col min="26" max="26" width="7.7109375" style="416" customWidth="1" outlineLevel="1"/>
    <col min="27" max="27" width="7.7109375" style="421" customWidth="1" outlineLevel="1"/>
    <col min="28" max="29" width="7.7109375" style="416" customWidth="1" outlineLevel="1"/>
    <col min="30" max="30" width="7.7109375" style="561" customWidth="1" outlineLevel="1"/>
    <col min="31" max="31" width="7.7109375" style="562" customWidth="1" outlineLevel="1"/>
    <col min="32" max="34" width="7.7109375" style="416" customWidth="1" outlineLevel="1"/>
    <col min="35" max="36" width="7.7109375" style="562" customWidth="1" outlineLevel="1"/>
    <col min="37" max="37" width="7.7109375" style="416" customWidth="1" outlineLevel="1"/>
    <col min="38" max="38" width="7.7109375" style="416" customWidth="1"/>
    <col min="39" max="39" width="3.28515625" style="562" customWidth="1"/>
    <col min="40" max="40" width="10.85546875" style="416" customWidth="1" outlineLevel="1"/>
    <col min="41" max="41" width="9.140625" style="563" outlineLevel="1"/>
    <col min="42" max="42" width="29.28515625" style="563" hidden="1" customWidth="1" outlineLevel="1"/>
    <col min="43" max="43" width="35.28515625" style="563" hidden="1" customWidth="1" outlineLevel="1"/>
    <col min="44" max="44" width="30.42578125" style="563" hidden="1" customWidth="1" outlineLevel="1"/>
    <col min="45" max="46" width="9.140625" style="563" outlineLevel="1"/>
    <col min="47" max="47" width="9.85546875" style="563" bestFit="1" customWidth="1" outlineLevel="1"/>
    <col min="48" max="51" width="9.140625" style="563" outlineLevel="1"/>
    <col min="52" max="52" width="9.140625" style="563"/>
    <col min="53" max="53" width="19.28515625" style="563" bestFit="1" customWidth="1"/>
    <col min="54" max="55" width="9.140625" style="563"/>
    <col min="56" max="56" width="11.42578125" style="563" customWidth="1"/>
    <col min="57" max="57" width="13.42578125" style="563" customWidth="1"/>
    <col min="58" max="58" width="15.42578125" style="563" customWidth="1"/>
    <col min="59" max="59" width="11.85546875" style="563" customWidth="1"/>
    <col min="60" max="61" width="17" style="563" customWidth="1"/>
    <col min="62" max="62" width="14.85546875" style="563" customWidth="1"/>
    <col min="63" max="63" width="15" style="563" customWidth="1"/>
    <col min="64" max="64" width="14.42578125" style="563" customWidth="1"/>
    <col min="65" max="65" width="20.7109375" style="563" customWidth="1"/>
    <col min="66" max="66" width="26" style="563" customWidth="1"/>
    <col min="67" max="67" width="27" style="563" customWidth="1"/>
    <col min="68" max="68" width="38.28515625" style="563" customWidth="1"/>
    <col min="69" max="69" width="9.140625" style="563"/>
    <col min="70" max="70" width="30.42578125" style="563" bestFit="1" customWidth="1"/>
    <col min="71" max="71" width="23.85546875" style="563" bestFit="1" customWidth="1"/>
    <col min="72" max="72" width="30.7109375" style="563" bestFit="1" customWidth="1"/>
    <col min="73" max="16384" width="9.140625" style="563"/>
  </cols>
  <sheetData>
    <row r="1" spans="1:72" x14ac:dyDescent="0.25">
      <c r="Y1" s="557"/>
      <c r="Z1" s="558"/>
      <c r="AA1" s="558"/>
      <c r="AB1" s="559"/>
      <c r="AC1" s="559"/>
      <c r="AD1" s="559"/>
      <c r="AE1" s="559"/>
      <c r="AF1" s="559"/>
      <c r="AG1" s="559"/>
      <c r="AH1" s="559"/>
      <c r="AI1" s="559"/>
      <c r="AJ1" s="559"/>
      <c r="AK1" s="559"/>
      <c r="AL1" s="559"/>
      <c r="AM1" s="560"/>
      <c r="AN1" s="558"/>
      <c r="AO1" s="558"/>
      <c r="AP1" s="559"/>
      <c r="AQ1" s="559"/>
      <c r="AR1" s="559"/>
      <c r="AS1" s="559"/>
      <c r="AT1" s="559"/>
      <c r="AU1" s="559"/>
      <c r="AV1" s="559"/>
      <c r="AW1" s="559"/>
      <c r="AX1" s="559"/>
      <c r="AY1" s="559"/>
      <c r="AZ1" s="559"/>
      <c r="BA1" s="416"/>
      <c r="BB1" s="416"/>
      <c r="BC1" s="416"/>
      <c r="BD1" s="416"/>
      <c r="BE1" s="416"/>
      <c r="BF1" s="561"/>
      <c r="BG1" s="562"/>
      <c r="BH1" s="416"/>
      <c r="BI1" s="416"/>
      <c r="BL1" s="562"/>
      <c r="BM1" s="564"/>
      <c r="BN1" s="416"/>
      <c r="BO1" s="562"/>
      <c r="BP1" s="416"/>
    </row>
    <row r="2" spans="1:72" x14ac:dyDescent="0.25">
      <c r="A2" s="565"/>
      <c r="B2" s="565"/>
      <c r="C2" s="565"/>
      <c r="D2" s="566"/>
      <c r="E2" s="565"/>
      <c r="F2" s="565"/>
      <c r="G2" s="565"/>
      <c r="H2" s="565"/>
      <c r="I2" s="565"/>
      <c r="J2" s="565"/>
      <c r="K2" s="565"/>
      <c r="L2" s="567" t="s">
        <v>2783</v>
      </c>
      <c r="M2" s="568"/>
      <c r="N2" s="568"/>
      <c r="O2" s="568"/>
      <c r="P2" s="567"/>
      <c r="Q2" s="568"/>
      <c r="R2" s="568"/>
      <c r="S2" s="568"/>
      <c r="T2" s="568"/>
      <c r="U2" s="568"/>
      <c r="V2" s="568"/>
      <c r="W2" s="568"/>
      <c r="X2" s="568"/>
      <c r="Y2" s="560"/>
      <c r="Z2" s="567" t="s">
        <v>3289</v>
      </c>
      <c r="AA2" s="568"/>
      <c r="AB2" s="568"/>
      <c r="AC2" s="568"/>
      <c r="AD2" s="567"/>
      <c r="AE2" s="568"/>
      <c r="AF2" s="568"/>
      <c r="AG2" s="568"/>
      <c r="AH2" s="568"/>
      <c r="AI2" s="568"/>
      <c r="AJ2" s="568"/>
      <c r="AK2" s="568"/>
      <c r="AL2" s="568"/>
      <c r="AM2" s="560"/>
      <c r="AN2" s="567" t="s">
        <v>3301</v>
      </c>
      <c r="AO2" s="568"/>
      <c r="AP2" s="568"/>
      <c r="AQ2" s="568"/>
      <c r="AR2" s="567"/>
      <c r="AS2" s="568"/>
      <c r="AT2" s="568"/>
      <c r="AU2" s="568"/>
      <c r="AV2" s="568"/>
      <c r="AW2" s="568"/>
      <c r="AX2" s="568"/>
      <c r="AY2" s="568"/>
      <c r="AZ2" s="568"/>
      <c r="BA2" s="565"/>
      <c r="BB2" s="565"/>
      <c r="BC2" s="416"/>
      <c r="BD2" s="416"/>
      <c r="BE2" s="416"/>
      <c r="BF2" s="561"/>
      <c r="BG2" s="562"/>
      <c r="BH2" s="416"/>
      <c r="BI2" s="416"/>
      <c r="BJ2" s="569" t="s">
        <v>3292</v>
      </c>
      <c r="BK2" s="570">
        <v>16500</v>
      </c>
      <c r="BL2" s="562"/>
      <c r="BM2" s="564"/>
      <c r="BN2" s="416"/>
      <c r="BO2" s="562"/>
      <c r="BP2" s="416"/>
    </row>
    <row r="3" spans="1:72" s="396" customFormat="1" ht="54.75" customHeight="1" x14ac:dyDescent="0.25">
      <c r="A3" s="506" t="s">
        <v>234</v>
      </c>
      <c r="B3" s="506" t="s">
        <v>16</v>
      </c>
      <c r="C3" s="506" t="s">
        <v>590</v>
      </c>
      <c r="D3" s="507" t="s">
        <v>593</v>
      </c>
      <c r="E3" s="506" t="s">
        <v>594</v>
      </c>
      <c r="F3" s="506" t="s">
        <v>46</v>
      </c>
      <c r="G3" s="506" t="s">
        <v>392</v>
      </c>
      <c r="H3" s="506" t="s">
        <v>38</v>
      </c>
      <c r="I3" s="506" t="s">
        <v>403</v>
      </c>
      <c r="J3" s="508" t="s">
        <v>2592</v>
      </c>
      <c r="K3" s="509" t="s">
        <v>2593</v>
      </c>
      <c r="L3" s="506" t="s">
        <v>2632</v>
      </c>
      <c r="M3" s="506" t="s">
        <v>2633</v>
      </c>
      <c r="N3" s="506" t="s">
        <v>2634</v>
      </c>
      <c r="O3" s="506" t="s">
        <v>2635</v>
      </c>
      <c r="P3" s="506" t="s">
        <v>2636</v>
      </c>
      <c r="Q3" s="506" t="s">
        <v>2637</v>
      </c>
      <c r="R3" s="506" t="s">
        <v>2638</v>
      </c>
      <c r="S3" s="506" t="s">
        <v>2639</v>
      </c>
      <c r="T3" s="506" t="s">
        <v>2640</v>
      </c>
      <c r="U3" s="506" t="s">
        <v>2641</v>
      </c>
      <c r="V3" s="506" t="s">
        <v>2642</v>
      </c>
      <c r="W3" s="506" t="s">
        <v>2643</v>
      </c>
      <c r="X3" s="506" t="s">
        <v>2645</v>
      </c>
      <c r="Y3" s="510"/>
      <c r="Z3" s="506" t="s">
        <v>2632</v>
      </c>
      <c r="AA3" s="506" t="s">
        <v>2633</v>
      </c>
      <c r="AB3" s="506" t="s">
        <v>2634</v>
      </c>
      <c r="AC3" s="506" t="s">
        <v>2635</v>
      </c>
      <c r="AD3" s="506" t="s">
        <v>2636</v>
      </c>
      <c r="AE3" s="506" t="s">
        <v>2637</v>
      </c>
      <c r="AF3" s="506" t="s">
        <v>2638</v>
      </c>
      <c r="AG3" s="506" t="s">
        <v>2639</v>
      </c>
      <c r="AH3" s="506" t="s">
        <v>2640</v>
      </c>
      <c r="AI3" s="506" t="s">
        <v>2641</v>
      </c>
      <c r="AJ3" s="506" t="s">
        <v>2642</v>
      </c>
      <c r="AK3" s="506" t="s">
        <v>2643</v>
      </c>
      <c r="AL3" s="506" t="s">
        <v>2578</v>
      </c>
      <c r="AM3" s="511"/>
      <c r="AN3" s="506" t="s">
        <v>2632</v>
      </c>
      <c r="AO3" s="506" t="s">
        <v>2633</v>
      </c>
      <c r="AP3" s="506" t="s">
        <v>2634</v>
      </c>
      <c r="AQ3" s="506" t="s">
        <v>2635</v>
      </c>
      <c r="AR3" s="506" t="s">
        <v>2636</v>
      </c>
      <c r="AS3" s="506" t="s">
        <v>2637</v>
      </c>
      <c r="AT3" s="506" t="s">
        <v>2638</v>
      </c>
      <c r="AU3" s="506" t="s">
        <v>2639</v>
      </c>
      <c r="AV3" s="506" t="s">
        <v>2640</v>
      </c>
      <c r="AW3" s="506" t="s">
        <v>2641</v>
      </c>
      <c r="AX3" s="506" t="s">
        <v>2642</v>
      </c>
      <c r="AY3" s="506" t="s">
        <v>2643</v>
      </c>
      <c r="AZ3" s="506" t="s">
        <v>2578</v>
      </c>
      <c r="BA3" s="506" t="s">
        <v>1072</v>
      </c>
      <c r="BB3" s="506" t="s">
        <v>2011</v>
      </c>
      <c r="BC3" s="393" t="s">
        <v>2012</v>
      </c>
      <c r="BD3" s="394" t="s">
        <v>2594</v>
      </c>
      <c r="BE3" s="394" t="s">
        <v>1440</v>
      </c>
      <c r="BF3" s="394" t="s">
        <v>1441</v>
      </c>
      <c r="BG3" s="502" t="s">
        <v>1734</v>
      </c>
      <c r="BH3" s="394" t="s">
        <v>1439</v>
      </c>
      <c r="BI3" s="394" t="s">
        <v>1443</v>
      </c>
      <c r="BJ3" s="394" t="s">
        <v>1742</v>
      </c>
      <c r="BK3" s="394" t="s">
        <v>2595</v>
      </c>
      <c r="BL3" s="394" t="s">
        <v>2596</v>
      </c>
      <c r="BM3" s="394" t="s">
        <v>2597</v>
      </c>
      <c r="BN3" s="394" t="s">
        <v>2598</v>
      </c>
      <c r="BO3" s="394" t="s">
        <v>2599</v>
      </c>
      <c r="BP3" s="395" t="s">
        <v>2854</v>
      </c>
      <c r="BQ3" s="512" t="s">
        <v>596</v>
      </c>
      <c r="BR3" s="505" t="s">
        <v>404</v>
      </c>
      <c r="BS3" s="505" t="s">
        <v>1277</v>
      </c>
      <c r="BT3" s="505" t="s">
        <v>1278</v>
      </c>
    </row>
    <row r="4" spans="1:72" s="412" customFormat="1" ht="14.1" customHeight="1" x14ac:dyDescent="0.25">
      <c r="A4" s="571" t="str">
        <f>IF(D4="","",Cover!$D$8)</f>
        <v>Information Technology</v>
      </c>
      <c r="B4" s="397" t="str">
        <f>IF(D4="","",IFERROR(VLOOKUP(G4,'Master Data'!$E$59:$J$144,6,FALSE),0))</f>
        <v>Information Technology</v>
      </c>
      <c r="C4" s="598" t="str">
        <f>IF(D4="","",_xlfn.XLOOKUP(D4,'Activity Master Opex'!C:C,'Activity Master Opex'!B:B,0,0,1))</f>
        <v>IT001-00001</v>
      </c>
      <c r="D4" s="399" t="s">
        <v>2614</v>
      </c>
      <c r="E4" s="583" t="str">
        <f>IF(D4="","",IFERROR(VLOOKUP(D4,'Activity Master Opex'!$C:$M,6,FALSE),0))</f>
        <v xml:space="preserve">1. Service Printer and Scanner
2. Maintenance Access Control @24 unit 
3. Service Device Laptop 
4. Service Device CCTV + NVR 
5. Maintenance Video Conferance 
6. Service Audio Device 
7. Service UPS 
8. Service Tablet, Handphone 
9. Service Gate Portal / Barrier Gate 
10. Service TV &amp; Monitor 
11. Service Harddisk 
12. Service Projector </v>
      </c>
      <c r="F4" s="400" t="str">
        <f>IF($C4="","",VLOOKUP($C4,'Activity Master Opex'!$B:$I,3,0))</f>
        <v>10301IT001</v>
      </c>
      <c r="G4" s="398" t="str">
        <f>IF($C4="","",VLOOKUP($F4,'Master Data'!$D$59:$E$144,2,FALSE))</f>
        <v>IT INFRASTRUCTURE</v>
      </c>
      <c r="H4" s="401">
        <f>IF($C4="","",VLOOKUP($C4,'Activity Master Opex'!$B:$I,5,0))</f>
        <v>60800060</v>
      </c>
      <c r="I4" s="571" t="str">
        <f>IFERROR(VLOOKUP(H4,'Master Data'!B:C,2,FALSE),"")</f>
        <v>RM Exp - Office and Other Equipment</v>
      </c>
      <c r="J4" s="402">
        <f>12551.3105167742*15500</f>
        <v>194545313.01000008</v>
      </c>
      <c r="K4" s="402">
        <v>2010000</v>
      </c>
      <c r="L4" s="403"/>
      <c r="M4" s="403"/>
      <c r="N4" s="403"/>
      <c r="O4" s="403"/>
      <c r="P4" s="403"/>
      <c r="Q4" s="403"/>
      <c r="R4" s="403"/>
      <c r="S4" s="403"/>
      <c r="T4" s="403"/>
      <c r="U4" s="403"/>
      <c r="V4" s="403"/>
      <c r="W4" s="403"/>
      <c r="X4" s="572">
        <f t="shared" ref="X4:X36" si="0">SUM(L4:W4)</f>
        <v>0</v>
      </c>
      <c r="Y4" s="404"/>
      <c r="Z4" s="405"/>
      <c r="AA4" s="405"/>
      <c r="AB4" s="405"/>
      <c r="AC4" s="405"/>
      <c r="AD4" s="405"/>
      <c r="AE4" s="405"/>
      <c r="AF4" s="405"/>
      <c r="AG4" s="405"/>
      <c r="AH4" s="405"/>
      <c r="AI4" s="405"/>
      <c r="AJ4" s="405"/>
      <c r="AK4" s="405"/>
      <c r="AL4" s="406">
        <f t="shared" ref="AL4:AL52" si="1">SUM(Z4:AK4)</f>
        <v>0</v>
      </c>
      <c r="AM4" s="407"/>
      <c r="AN4" s="405"/>
      <c r="AO4" s="405"/>
      <c r="AP4" s="405"/>
      <c r="AQ4" s="405"/>
      <c r="AR4" s="405"/>
      <c r="AS4" s="405"/>
      <c r="AT4" s="405"/>
      <c r="AU4" s="405"/>
      <c r="AV4" s="405"/>
      <c r="AW4" s="405"/>
      <c r="AX4" s="405"/>
      <c r="AY4" s="405"/>
      <c r="AZ4" s="406">
        <f t="shared" ref="AZ4:AZ45" si="2">SUM(AN4:AY4)</f>
        <v>0</v>
      </c>
      <c r="BA4" s="573">
        <f t="shared" ref="BA4:BA45" si="3">X4-J4</f>
        <v>-194545313.01000008</v>
      </c>
      <c r="BB4" s="574"/>
      <c r="BC4" s="408">
        <f t="shared" ref="BC4:BC45" si="4">X4-BO4</f>
        <v>0</v>
      </c>
      <c r="BD4" s="572" t="str">
        <f>IF('Budget Opex Detail'!C4="","",IF(COUNTIFS('Activity Master Opex'!$B$4:$B$42,'Budget Opex Detail'!$C4)&gt;0,"","New Activity"))</f>
        <v/>
      </c>
      <c r="BE4" s="575"/>
      <c r="BF4" s="576"/>
      <c r="BG4" s="409"/>
      <c r="BH4" s="577"/>
      <c r="BI4" s="578"/>
      <c r="BJ4" s="578"/>
      <c r="BK4" s="579"/>
      <c r="BL4" s="410">
        <f>IF(BJ4="USD",BK4*$BK$2,IF(BJ4="IDR",BK4,0))</f>
        <v>0</v>
      </c>
      <c r="BM4" s="577"/>
      <c r="BN4" s="577"/>
      <c r="BO4" s="411">
        <f t="shared" ref="BO4:BO45" si="5">BL4+BN4</f>
        <v>0</v>
      </c>
      <c r="BP4" s="580"/>
      <c r="BR4" s="581" t="str">
        <f>IF($H4="","",VLOOKUP($H4,'Master Data'!$B:$D,3,FALSE))</f>
        <v>Repairs &amp; Maintenance Expe</v>
      </c>
      <c r="BS4" s="581" t="str">
        <f t="shared" ref="BS4:BS34" si="6">IF(C4="","",IF($A4&lt;&gt;"human resources",IF(LEFT(F4,6)="10301S","Selling","General Administrative"),IFERROR(IF(FIND("Selling",D4)&gt;0,"Selling","General Administrative"),"General Administrative")))</f>
        <v>General Administrative</v>
      </c>
      <c r="BT4" s="581" t="str">
        <f>IF($H4="","",VLOOKUP(VALUE($H4),'Master Data'!B:I,8,FALSE))</f>
        <v>Repairs and maintenance</v>
      </c>
    </row>
    <row r="5" spans="1:72" s="412" customFormat="1" x14ac:dyDescent="0.25">
      <c r="A5" s="571" t="str">
        <f>IF(D5="","",Cover!$D$8)</f>
        <v>Information Technology</v>
      </c>
      <c r="B5" s="397" t="str">
        <f>IF(D5="","",IFERROR(VLOOKUP(G5,'Master Data'!$E$59:$J$144,6,FALSE),0))</f>
        <v>Information Technology</v>
      </c>
      <c r="C5" s="598" t="str">
        <f>IF(D5="","",_xlfn.XLOOKUP(D5,'Activity Master Opex'!C:C,'Activity Master Opex'!B:B,0,0,1))</f>
        <v>IT001-00004</v>
      </c>
      <c r="D5" s="399" t="s">
        <v>3337</v>
      </c>
      <c r="E5" s="583" t="str">
        <f>IF(D5="","",IFERROR(VLOOKUP(D5,'Activity Master Opex'!$C:$M,6,FALSE),0))</f>
        <v xml:space="preserve">1. Service &amp; Maintenance Server 
2. Service &amp; Maintenance Storage 
3. Service &amp; Maintenance Fire alarm, UPS and EMS 
4. Service &amp; Maintenance Backup Infrastructure 
5. Service &amp; Maintenance AD, Office 365 
6.  Service &amp; Maintenance Corporate Websites </v>
      </c>
      <c r="F5" s="400" t="str">
        <f>IF($C5="","",VLOOKUP($C5,'Activity Master Opex'!$B:$I,3,0))</f>
        <v>10301IT001</v>
      </c>
      <c r="G5" s="398" t="str">
        <f>IF($C5="","",VLOOKUP($F5,'Master Data'!$D$59:$E$144,2,FALSE))</f>
        <v>IT INFRASTRUCTURE</v>
      </c>
      <c r="H5" s="401">
        <f>IF($C5="","",VLOOKUP($C5,'Activity Master Opex'!$B:$I,5,0))</f>
        <v>60800060</v>
      </c>
      <c r="I5" s="571" t="str">
        <f>IFERROR(VLOOKUP(H5,'Master Data'!B:C,2,FALSE),"")</f>
        <v>RM Exp - Office and Other Equipment</v>
      </c>
      <c r="J5" s="402">
        <f>53407.7715861291*15500</f>
        <v>827820459.58500099</v>
      </c>
      <c r="K5" s="402">
        <v>52800000</v>
      </c>
      <c r="L5" s="403"/>
      <c r="M5" s="403"/>
      <c r="N5" s="403"/>
      <c r="O5" s="403"/>
      <c r="P5" s="403"/>
      <c r="Q5" s="403"/>
      <c r="R5" s="403"/>
      <c r="S5" s="403"/>
      <c r="T5" s="403"/>
      <c r="U5" s="403"/>
      <c r="V5" s="403"/>
      <c r="W5" s="403"/>
      <c r="X5" s="572">
        <f t="shared" si="0"/>
        <v>0</v>
      </c>
      <c r="Y5" s="404"/>
      <c r="Z5" s="405"/>
      <c r="AA5" s="405"/>
      <c r="AB5" s="405"/>
      <c r="AC5" s="405"/>
      <c r="AD5" s="405"/>
      <c r="AE5" s="405"/>
      <c r="AF5" s="405"/>
      <c r="AG5" s="405"/>
      <c r="AH5" s="405"/>
      <c r="AI5" s="405"/>
      <c r="AJ5" s="405"/>
      <c r="AK5" s="405"/>
      <c r="AL5" s="406">
        <f t="shared" si="1"/>
        <v>0</v>
      </c>
      <c r="AM5" s="407"/>
      <c r="AN5" s="405"/>
      <c r="AO5" s="405"/>
      <c r="AP5" s="405"/>
      <c r="AQ5" s="405"/>
      <c r="AR5" s="405"/>
      <c r="AS5" s="405"/>
      <c r="AT5" s="405"/>
      <c r="AU5" s="405"/>
      <c r="AV5" s="405"/>
      <c r="AW5" s="405"/>
      <c r="AX5" s="405"/>
      <c r="AY5" s="405"/>
      <c r="AZ5" s="406">
        <f t="shared" si="2"/>
        <v>0</v>
      </c>
      <c r="BA5" s="573">
        <f t="shared" si="3"/>
        <v>-827820459.58500099</v>
      </c>
      <c r="BB5" s="574"/>
      <c r="BC5" s="408">
        <f t="shared" si="4"/>
        <v>0</v>
      </c>
      <c r="BD5" s="572" t="str">
        <f>IF('Budget Opex Detail'!C5="","",IF(COUNTIFS('Activity Master Opex'!$B$4:$B$42,'Budget Opex Detail'!$C5)&gt;0,"","New Activity"))</f>
        <v/>
      </c>
      <c r="BE5" s="575"/>
      <c r="BF5" s="576"/>
      <c r="BG5" s="409"/>
      <c r="BH5" s="577"/>
      <c r="BI5" s="578"/>
      <c r="BJ5" s="578"/>
      <c r="BK5" s="579"/>
      <c r="BL5" s="410">
        <f t="shared" ref="BL5:BL52" si="7">IF(BJ5="USD",BK5*$BK$2,IF(BJ5="IDR",BK5,0))</f>
        <v>0</v>
      </c>
      <c r="BM5" s="577"/>
      <c r="BN5" s="577"/>
      <c r="BO5" s="411">
        <f t="shared" si="5"/>
        <v>0</v>
      </c>
      <c r="BP5" s="580"/>
      <c r="BR5" s="581" t="str">
        <f>IF($H5="","",VLOOKUP($H5,'Master Data'!$B:$D,3,FALSE))</f>
        <v>Repairs &amp; Maintenance Expe</v>
      </c>
      <c r="BS5" s="581" t="str">
        <f t="shared" si="6"/>
        <v>General Administrative</v>
      </c>
      <c r="BT5" s="581" t="str">
        <f>IF($H5="","",VLOOKUP(VALUE($H5),'Master Data'!B:I,8,FALSE))</f>
        <v>Repairs and maintenance</v>
      </c>
    </row>
    <row r="6" spans="1:72" s="412" customFormat="1" x14ac:dyDescent="0.25">
      <c r="A6" s="571" t="str">
        <f>IF(D6="","",Cover!$D$8)</f>
        <v>Information Technology</v>
      </c>
      <c r="B6" s="397" t="str">
        <f>IF(D6="","",IFERROR(VLOOKUP(G6,'Master Data'!$E$59:$J$144,6,FALSE),0))</f>
        <v>Information Technology</v>
      </c>
      <c r="C6" s="598" t="str">
        <f>IF(D6="","",_xlfn.XLOOKUP(D6,'Activity Master Opex'!C:C,'Activity Master Opex'!B:B,0,0,1))</f>
        <v>IT001-00011</v>
      </c>
      <c r="D6" s="399" t="s">
        <v>1490</v>
      </c>
      <c r="E6" s="583" t="str">
        <f>IF(D6="","",IFERROR(VLOOKUP(D6,'Activity Master Opex'!$C:$M,6,FALSE),0))</f>
        <v>Seminar dan Training Transport Expense</v>
      </c>
      <c r="F6" s="400" t="str">
        <f>IF($C6="","",VLOOKUP($C6,'Activity Master Opex'!$B:$I,3,0))</f>
        <v>10301IT001</v>
      </c>
      <c r="G6" s="398" t="str">
        <f>IF($C6="","",VLOOKUP($F6,'Master Data'!$D$59:$E$144,2,FALSE))</f>
        <v>IT INFRASTRUCTURE</v>
      </c>
      <c r="H6" s="401">
        <f>IF($C6="","",VLOOKUP($C6,'Activity Master Opex'!$B:$I,5,0))</f>
        <v>62400030</v>
      </c>
      <c r="I6" s="571" t="str">
        <f>IFERROR(VLOOKUP(H6,'Master Data'!B:C,2,FALSE),"")</f>
        <v>Gen. Transp. Travelling Expenses</v>
      </c>
      <c r="J6" s="402">
        <f>4820.19935483871*15500</f>
        <v>74713090</v>
      </c>
      <c r="K6" s="402">
        <v>20590968</v>
      </c>
      <c r="L6" s="403"/>
      <c r="M6" s="403"/>
      <c r="N6" s="403"/>
      <c r="O6" s="403"/>
      <c r="P6" s="403"/>
      <c r="Q6" s="403"/>
      <c r="R6" s="403"/>
      <c r="S6" s="403"/>
      <c r="T6" s="403"/>
      <c r="U6" s="403"/>
      <c r="V6" s="403"/>
      <c r="W6" s="403"/>
      <c r="X6" s="572">
        <f t="shared" si="0"/>
        <v>0</v>
      </c>
      <c r="Y6" s="404"/>
      <c r="Z6" s="405"/>
      <c r="AA6" s="405"/>
      <c r="AB6" s="405"/>
      <c r="AC6" s="405"/>
      <c r="AD6" s="405"/>
      <c r="AE6" s="405"/>
      <c r="AF6" s="405"/>
      <c r="AG6" s="405"/>
      <c r="AH6" s="405"/>
      <c r="AI6" s="405"/>
      <c r="AJ6" s="405"/>
      <c r="AK6" s="405"/>
      <c r="AL6" s="406">
        <f t="shared" si="1"/>
        <v>0</v>
      </c>
      <c r="AM6" s="407"/>
      <c r="AN6" s="405"/>
      <c r="AO6" s="405"/>
      <c r="AP6" s="405"/>
      <c r="AQ6" s="405"/>
      <c r="AR6" s="405"/>
      <c r="AS6" s="405"/>
      <c r="AT6" s="405"/>
      <c r="AU6" s="405"/>
      <c r="AV6" s="405"/>
      <c r="AW6" s="405"/>
      <c r="AX6" s="405"/>
      <c r="AY6" s="405"/>
      <c r="AZ6" s="406">
        <f t="shared" si="2"/>
        <v>0</v>
      </c>
      <c r="BA6" s="573">
        <f t="shared" si="3"/>
        <v>-74713090</v>
      </c>
      <c r="BB6" s="574"/>
      <c r="BC6" s="408">
        <f t="shared" si="4"/>
        <v>0</v>
      </c>
      <c r="BD6" s="572" t="str">
        <f>IF('Budget Opex Detail'!C6="","",IF(COUNTIFS('Activity Master Opex'!$B$4:$B$42,'Budget Opex Detail'!$C6)&gt;0,"","New Activity"))</f>
        <v/>
      </c>
      <c r="BE6" s="575"/>
      <c r="BF6" s="576"/>
      <c r="BG6" s="409"/>
      <c r="BH6" s="577"/>
      <c r="BI6" s="578"/>
      <c r="BJ6" s="578"/>
      <c r="BK6" s="579"/>
      <c r="BL6" s="410">
        <f t="shared" si="7"/>
        <v>0</v>
      </c>
      <c r="BM6" s="577"/>
      <c r="BN6" s="577"/>
      <c r="BO6" s="411">
        <f t="shared" si="5"/>
        <v>0</v>
      </c>
      <c r="BP6" s="580"/>
      <c r="BR6" s="581" t="str">
        <f>IF($H6="","",VLOOKUP($H6,'Master Data'!$B:$D,3,FALSE))</f>
        <v>General Transportation Exp</v>
      </c>
      <c r="BS6" s="581" t="str">
        <f t="shared" si="6"/>
        <v>General Administrative</v>
      </c>
      <c r="BT6" s="581" t="str">
        <f>IF($H6="","",VLOOKUP(VALUE($H6),'Master Data'!B:I,8,FALSE))</f>
        <v>General transportation</v>
      </c>
    </row>
    <row r="7" spans="1:72" s="412" customFormat="1" x14ac:dyDescent="0.25">
      <c r="A7" s="571" t="str">
        <f>IF(D7="","",Cover!$D$8)</f>
        <v>Information Technology</v>
      </c>
      <c r="B7" s="397" t="str">
        <f>IF(D7="","",IFERROR(VLOOKUP(G7,'Master Data'!$E$59:$J$144,6,FALSE),0))</f>
        <v>Information Technology</v>
      </c>
      <c r="C7" s="598" t="str">
        <f>IF(D7="","",_xlfn.XLOOKUP(D7,'Activity Master Opex'!C:C,'Activity Master Opex'!B:B,0,0,1))</f>
        <v>IT001-00012</v>
      </c>
      <c r="D7" s="399" t="s">
        <v>3338</v>
      </c>
      <c r="E7" s="583" t="str">
        <f>IF(D7="","",IFERROR(VLOOKUP(D7,'Activity Master Opex'!$C:$M,6,FALSE),0))</f>
        <v>1. Internet Simcard Telkomsel 4G LTE
2. Internet - Representative Office 
3. Internet - Primary link Head office 
4. Internet - Secondary link Head office 
5. Internet - Backup wireless internet</v>
      </c>
      <c r="F7" s="400" t="str">
        <f>IF($C7="","",VLOOKUP($C7,'Activity Master Opex'!$B:$I,3,0))</f>
        <v>10301IT001</v>
      </c>
      <c r="G7" s="398" t="str">
        <f>IF($C7="","",VLOOKUP($F7,'Master Data'!$D$59:$E$144,2,FALSE))</f>
        <v>IT INFRASTRUCTURE</v>
      </c>
      <c r="H7" s="401">
        <f>IF($C7="","",VLOOKUP($C7,'Activity Master Opex'!$B:$I,5,0))</f>
        <v>61800010</v>
      </c>
      <c r="I7" s="571" t="str">
        <f>IFERROR(VLOOKUP(H7,'Master Data'!B:C,2,FALSE),"")</f>
        <v>PT Exp. - Telecommunication &amp; Internet</v>
      </c>
      <c r="J7" s="402">
        <f>61972.6590967742*15500</f>
        <v>960576216.00000012</v>
      </c>
      <c r="K7" s="402">
        <v>376957276</v>
      </c>
      <c r="L7" s="403"/>
      <c r="M7" s="403"/>
      <c r="N7" s="403"/>
      <c r="O7" s="403"/>
      <c r="P7" s="403"/>
      <c r="Q7" s="403"/>
      <c r="R7" s="403"/>
      <c r="S7" s="403"/>
      <c r="T7" s="403"/>
      <c r="U7" s="403"/>
      <c r="V7" s="403"/>
      <c r="W7" s="403"/>
      <c r="X7" s="572">
        <f t="shared" si="0"/>
        <v>0</v>
      </c>
      <c r="Y7" s="404"/>
      <c r="Z7" s="405"/>
      <c r="AA7" s="405"/>
      <c r="AB7" s="405"/>
      <c r="AC7" s="405"/>
      <c r="AD7" s="405"/>
      <c r="AE7" s="405"/>
      <c r="AF7" s="405"/>
      <c r="AG7" s="405"/>
      <c r="AH7" s="405"/>
      <c r="AI7" s="405"/>
      <c r="AJ7" s="405"/>
      <c r="AK7" s="405"/>
      <c r="AL7" s="406">
        <f t="shared" si="1"/>
        <v>0</v>
      </c>
      <c r="AM7" s="407"/>
      <c r="AN7" s="405"/>
      <c r="AO7" s="405"/>
      <c r="AP7" s="405"/>
      <c r="AQ7" s="405"/>
      <c r="AR7" s="405"/>
      <c r="AS7" s="405"/>
      <c r="AT7" s="405"/>
      <c r="AU7" s="405"/>
      <c r="AV7" s="405"/>
      <c r="AW7" s="405"/>
      <c r="AX7" s="405"/>
      <c r="AY7" s="405"/>
      <c r="AZ7" s="406">
        <f t="shared" si="2"/>
        <v>0</v>
      </c>
      <c r="BA7" s="573">
        <f t="shared" si="3"/>
        <v>-960576216.00000012</v>
      </c>
      <c r="BB7" s="574"/>
      <c r="BC7" s="408">
        <f t="shared" si="4"/>
        <v>0</v>
      </c>
      <c r="BD7" s="572" t="str">
        <f>IF('Budget Opex Detail'!C7="","",IF(COUNTIFS('Activity Master Opex'!$B$4:$B$42,'Budget Opex Detail'!$C7)&gt;0,"","New Activity"))</f>
        <v/>
      </c>
      <c r="BE7" s="575"/>
      <c r="BF7" s="576"/>
      <c r="BG7" s="409"/>
      <c r="BH7" s="577"/>
      <c r="BI7" s="578"/>
      <c r="BJ7" s="578"/>
      <c r="BK7" s="579"/>
      <c r="BL7" s="410">
        <f t="shared" si="7"/>
        <v>0</v>
      </c>
      <c r="BM7" s="577"/>
      <c r="BN7" s="577"/>
      <c r="BO7" s="411">
        <f t="shared" si="5"/>
        <v>0</v>
      </c>
      <c r="BP7" s="580"/>
      <c r="BR7" s="581" t="str">
        <f>IF($H7="","",VLOOKUP($H7,'Master Data'!$B:$D,3,FALSE))</f>
        <v>Postage &amp; Telecom E</v>
      </c>
      <c r="BS7" s="581" t="str">
        <f t="shared" si="6"/>
        <v>General Administrative</v>
      </c>
      <c r="BT7" s="581" t="str">
        <f>IF($H7="","",VLOOKUP(VALUE($H7),'Master Data'!B:I,8,FALSE))</f>
        <v>Postage and telecomunication</v>
      </c>
    </row>
    <row r="8" spans="1:72" s="412" customFormat="1" x14ac:dyDescent="0.25">
      <c r="A8" s="571" t="str">
        <f>IF(D8="","",Cover!$D$8)</f>
        <v>Information Technology</v>
      </c>
      <c r="B8" s="397" t="str">
        <f>IF(D8="","",IFERROR(VLOOKUP(G8,'Master Data'!$E$59:$J$144,6,FALSE),0))</f>
        <v>Information Technology</v>
      </c>
      <c r="C8" s="598" t="str">
        <f>IF(D8="","",_xlfn.XLOOKUP(D8,'Activity Master Opex'!C:C,'Activity Master Opex'!B:B,0,0,1))</f>
        <v>IT001-00015</v>
      </c>
      <c r="D8" s="399" t="s">
        <v>3339</v>
      </c>
      <c r="E8" s="583" t="str">
        <f>IF(D8="","",IFERROR(VLOOKUP(D8,'Activity Master Opex'!$C:$M,6,FALSE),0))</f>
        <v>E-Materai Mekari</v>
      </c>
      <c r="F8" s="400" t="str">
        <f>IF($C8="","",VLOOKUP($C8,'Activity Master Opex'!$B:$I,3,0))</f>
        <v>10301IT001</v>
      </c>
      <c r="G8" s="398" t="str">
        <f>IF($C8="","",VLOOKUP($F8,'Master Data'!$D$59:$E$144,2,FALSE))</f>
        <v>IT INFRASTRUCTURE</v>
      </c>
      <c r="H8" s="401">
        <f>IF($C8="","",VLOOKUP($C8,'Activity Master Opex'!$B:$I,5,0))</f>
        <v>61800010</v>
      </c>
      <c r="I8" s="571" t="str">
        <f>IFERROR(VLOOKUP(H8,'Master Data'!B:C,2,FALSE),"")</f>
        <v>PT Exp. - Telecommunication &amp; Internet</v>
      </c>
      <c r="J8" s="402">
        <f>134*15500</f>
        <v>2077000</v>
      </c>
      <c r="K8" s="402">
        <v>0</v>
      </c>
      <c r="L8" s="403"/>
      <c r="M8" s="403"/>
      <c r="N8" s="403"/>
      <c r="O8" s="403"/>
      <c r="P8" s="403"/>
      <c r="Q8" s="403"/>
      <c r="R8" s="403"/>
      <c r="S8" s="403"/>
      <c r="T8" s="403"/>
      <c r="U8" s="403"/>
      <c r="V8" s="403"/>
      <c r="W8" s="403"/>
      <c r="X8" s="572">
        <f t="shared" si="0"/>
        <v>0</v>
      </c>
      <c r="Y8" s="404"/>
      <c r="Z8" s="405"/>
      <c r="AA8" s="405"/>
      <c r="AB8" s="405"/>
      <c r="AC8" s="405"/>
      <c r="AD8" s="405"/>
      <c r="AE8" s="405"/>
      <c r="AF8" s="405"/>
      <c r="AG8" s="405"/>
      <c r="AH8" s="405"/>
      <c r="AI8" s="405"/>
      <c r="AJ8" s="405"/>
      <c r="AK8" s="405"/>
      <c r="AL8" s="406">
        <f t="shared" si="1"/>
        <v>0</v>
      </c>
      <c r="AM8" s="407"/>
      <c r="AN8" s="405"/>
      <c r="AO8" s="405"/>
      <c r="AP8" s="405"/>
      <c r="AQ8" s="405"/>
      <c r="AR8" s="405"/>
      <c r="AS8" s="405"/>
      <c r="AT8" s="405"/>
      <c r="AU8" s="405"/>
      <c r="AV8" s="405"/>
      <c r="AW8" s="405"/>
      <c r="AX8" s="405"/>
      <c r="AY8" s="405"/>
      <c r="AZ8" s="406">
        <f t="shared" si="2"/>
        <v>0</v>
      </c>
      <c r="BA8" s="573">
        <f t="shared" si="3"/>
        <v>-2077000</v>
      </c>
      <c r="BB8" s="574"/>
      <c r="BC8" s="408">
        <f t="shared" si="4"/>
        <v>0</v>
      </c>
      <c r="BD8" s="572" t="str">
        <f>IF('Budget Opex Detail'!C8="","",IF(COUNTIFS('Activity Master Opex'!$B$4:$B$42,'Budget Opex Detail'!$C8)&gt;0,"","New Activity"))</f>
        <v/>
      </c>
      <c r="BE8" s="575"/>
      <c r="BF8" s="576"/>
      <c r="BG8" s="409"/>
      <c r="BH8" s="577"/>
      <c r="BI8" s="578"/>
      <c r="BJ8" s="578"/>
      <c r="BK8" s="579"/>
      <c r="BL8" s="410">
        <f t="shared" si="7"/>
        <v>0</v>
      </c>
      <c r="BM8" s="577"/>
      <c r="BN8" s="577"/>
      <c r="BO8" s="411">
        <f t="shared" si="5"/>
        <v>0</v>
      </c>
      <c r="BP8" s="580"/>
      <c r="BR8" s="581" t="str">
        <f>IF($H8="","",VLOOKUP($H8,'Master Data'!$B:$D,3,FALSE))</f>
        <v>Postage &amp; Telecom E</v>
      </c>
      <c r="BS8" s="581" t="str">
        <f t="shared" si="6"/>
        <v>General Administrative</v>
      </c>
      <c r="BT8" s="581" t="str">
        <f>IF($H8="","",VLOOKUP(VALUE($H8),'Master Data'!B:I,8,FALSE))</f>
        <v>Postage and telecomunication</v>
      </c>
    </row>
    <row r="9" spans="1:72" s="412" customFormat="1" x14ac:dyDescent="0.25">
      <c r="A9" s="571" t="str">
        <f>IF(D9="","",Cover!$D$8)</f>
        <v>Information Technology</v>
      </c>
      <c r="B9" s="397" t="str">
        <f>IF(D9="","",IFERROR(VLOOKUP(G9,'Master Data'!$E$59:$J$144,6,FALSE),0))</f>
        <v>Information Technology</v>
      </c>
      <c r="C9" s="598" t="str">
        <f>IF(D9="","",_xlfn.XLOOKUP(D9,'Activity Master Opex'!C:C,'Activity Master Opex'!B:B,0,0,1))</f>
        <v>IT001-00019</v>
      </c>
      <c r="D9" s="399" t="s">
        <v>3340</v>
      </c>
      <c r="E9" s="583" t="str">
        <f>IF(D9="","",IFERROR(VLOOKUP(D9,'Activity Master Opex'!$C:$M,6,FALSE),0))</f>
        <v xml:space="preserve">1. PC Pheriperal (Mouse, Keyboard, SSD, RAM, PowerSupply, Fan Cooler)
2.  IT Devices - Office Equipment IT
3.  IT Device - Video &amp; Audio 
4.  IT Device - Pheriperal Printer 
5.  IT Device - CCTV Pheriperal 
6.  Patchcord, UTP Cable, SFP, Konnektor and Injector POE </v>
      </c>
      <c r="F9" s="400" t="str">
        <f>IF($C9="","",VLOOKUP($C9,'Activity Master Opex'!$B:$I,3,0))</f>
        <v>10301IT001</v>
      </c>
      <c r="G9" s="398" t="str">
        <f>IF($C9="","",VLOOKUP($F9,'Master Data'!$D$59:$E$144,2,FALSE))</f>
        <v>IT INFRASTRUCTURE</v>
      </c>
      <c r="H9" s="401">
        <f>IF($C9="","",VLOOKUP($C9,'Activity Master Opex'!$B:$I,5,0))</f>
        <v>62600030</v>
      </c>
      <c r="I9" s="571" t="str">
        <f>IFERROR(VLOOKUP(H9,'Master Data'!B:C,2,FALSE),"")</f>
        <v>Office Equipment Expenses</v>
      </c>
      <c r="J9" s="402">
        <f>2757.19058709677*15500</f>
        <v>42736454.099999934</v>
      </c>
      <c r="K9" s="402">
        <v>37875773</v>
      </c>
      <c r="L9" s="403"/>
      <c r="M9" s="403"/>
      <c r="N9" s="403"/>
      <c r="O9" s="403"/>
      <c r="P9" s="403"/>
      <c r="Q9" s="403"/>
      <c r="R9" s="403"/>
      <c r="S9" s="403"/>
      <c r="T9" s="403"/>
      <c r="U9" s="403"/>
      <c r="V9" s="403"/>
      <c r="W9" s="403"/>
      <c r="X9" s="572">
        <f t="shared" si="0"/>
        <v>0</v>
      </c>
      <c r="Y9" s="404"/>
      <c r="Z9" s="405"/>
      <c r="AA9" s="405"/>
      <c r="AB9" s="405"/>
      <c r="AC9" s="405"/>
      <c r="AD9" s="405"/>
      <c r="AE9" s="405"/>
      <c r="AF9" s="405"/>
      <c r="AG9" s="405"/>
      <c r="AH9" s="405"/>
      <c r="AI9" s="405"/>
      <c r="AJ9" s="405"/>
      <c r="AK9" s="405"/>
      <c r="AL9" s="406">
        <f t="shared" si="1"/>
        <v>0</v>
      </c>
      <c r="AM9" s="407"/>
      <c r="AN9" s="405"/>
      <c r="AO9" s="405"/>
      <c r="AP9" s="405"/>
      <c r="AQ9" s="405"/>
      <c r="AR9" s="405"/>
      <c r="AS9" s="405"/>
      <c r="AT9" s="405"/>
      <c r="AU9" s="405"/>
      <c r="AV9" s="405"/>
      <c r="AW9" s="405"/>
      <c r="AX9" s="405"/>
      <c r="AY9" s="405"/>
      <c r="AZ9" s="406">
        <f t="shared" si="2"/>
        <v>0</v>
      </c>
      <c r="BA9" s="573">
        <f t="shared" si="3"/>
        <v>-42736454.099999934</v>
      </c>
      <c r="BB9" s="574"/>
      <c r="BC9" s="408">
        <f t="shared" si="4"/>
        <v>0</v>
      </c>
      <c r="BD9" s="572" t="str">
        <f>IF('Budget Opex Detail'!C9="","",IF(COUNTIFS('Activity Master Opex'!$B$4:$B$42,'Budget Opex Detail'!$C9)&gt;0,"","New Activity"))</f>
        <v/>
      </c>
      <c r="BE9" s="575"/>
      <c r="BF9" s="576"/>
      <c r="BG9" s="409"/>
      <c r="BH9" s="577"/>
      <c r="BI9" s="578"/>
      <c r="BJ9" s="578"/>
      <c r="BK9" s="579"/>
      <c r="BL9" s="410">
        <f t="shared" si="7"/>
        <v>0</v>
      </c>
      <c r="BM9" s="577"/>
      <c r="BN9" s="577"/>
      <c r="BO9" s="411">
        <f t="shared" si="5"/>
        <v>0</v>
      </c>
      <c r="BP9" s="580"/>
      <c r="BR9" s="581" t="str">
        <f>IF($H9="","",VLOOKUP($H9,'Master Data'!$B:$D,3,FALSE))</f>
        <v>Equipment Expenses</v>
      </c>
      <c r="BS9" s="581" t="str">
        <f t="shared" si="6"/>
        <v>General Administrative</v>
      </c>
      <c r="BT9" s="581" t="str">
        <f>IF($H9="","",VLOOKUP(VALUE($H9),'Master Data'!B:I,8,FALSE))</f>
        <v>Equipment Expenses</v>
      </c>
    </row>
    <row r="10" spans="1:72" s="412" customFormat="1" x14ac:dyDescent="0.25">
      <c r="A10" s="571" t="str">
        <f>IF(D10="","",Cover!$D$8)</f>
        <v>Information Technology</v>
      </c>
      <c r="B10" s="397" t="str">
        <f>IF(D10="","",IFERROR(VLOOKUP(G10,'Master Data'!$E$59:$J$144,6,FALSE),0))</f>
        <v>Information Technology</v>
      </c>
      <c r="C10" s="598" t="str">
        <f>IF(D10="","",_xlfn.XLOOKUP(D10,'Activity Master Opex'!C:C,'Activity Master Opex'!B:B,0,0,1))</f>
        <v>IT001-00028</v>
      </c>
      <c r="D10" s="399" t="s">
        <v>3341</v>
      </c>
      <c r="E10" s="583" t="str">
        <f>IF(D10="","",IFERROR(VLOOKUP(D10,'Activity Master Opex'!$C:$M,6,FALSE),0))</f>
        <v>1. Zoom WorkplaceBusiness : 10, Zoom Rooms : 2, Conference Room Connector : 1
2. Subscription - Trello Management Tools 
3. Subscription - Microsoft Office 365 
4. Subcription - Whatsapp Business for Helpdesk  
5. Whatsapp business for Notification  
6. Autocad for 10 User
7. Renewal Mekari Esign (replace Hellosign)
8. Subscription - Domain, Hosting and SSL certificate 
9. Subscription - Email Security Microsoft Defender for Office 365</v>
      </c>
      <c r="F10" s="400" t="str">
        <f>IF($C10="","",VLOOKUP($C10,'Activity Master Opex'!$B:$I,3,0))</f>
        <v>10301IT001</v>
      </c>
      <c r="G10" s="398" t="str">
        <f>IF($C10="","",VLOOKUP($F10,'Master Data'!$D$59:$E$144,2,FALSE))</f>
        <v>IT INFRASTRUCTURE</v>
      </c>
      <c r="H10" s="401">
        <f>IF($C10="","",VLOOKUP($C10,'Activity Master Opex'!$B:$I,5,0))</f>
        <v>62900020</v>
      </c>
      <c r="I10" s="571" t="str">
        <f>IFERROR(VLOOKUP(H10,'Master Data'!B:C,2,FALSE),"")</f>
        <v>Subscriptions and Periodicals</v>
      </c>
      <c r="J10" s="402">
        <f>71173.3925806452*15500</f>
        <v>1103187585.0000007</v>
      </c>
      <c r="K10" s="402">
        <v>428715531</v>
      </c>
      <c r="L10" s="403"/>
      <c r="M10" s="403"/>
      <c r="N10" s="403"/>
      <c r="O10" s="403"/>
      <c r="P10" s="403"/>
      <c r="Q10" s="403"/>
      <c r="R10" s="403"/>
      <c r="S10" s="403"/>
      <c r="T10" s="403"/>
      <c r="U10" s="403"/>
      <c r="V10" s="403"/>
      <c r="W10" s="403"/>
      <c r="X10" s="572">
        <f t="shared" si="0"/>
        <v>0</v>
      </c>
      <c r="Y10" s="404"/>
      <c r="Z10" s="405"/>
      <c r="AA10" s="405"/>
      <c r="AB10" s="405"/>
      <c r="AC10" s="405"/>
      <c r="AD10" s="405"/>
      <c r="AE10" s="405"/>
      <c r="AF10" s="405"/>
      <c r="AG10" s="405"/>
      <c r="AH10" s="405"/>
      <c r="AI10" s="405"/>
      <c r="AJ10" s="405"/>
      <c r="AK10" s="405"/>
      <c r="AL10" s="406">
        <f t="shared" si="1"/>
        <v>0</v>
      </c>
      <c r="AM10" s="407"/>
      <c r="AN10" s="405"/>
      <c r="AO10" s="405"/>
      <c r="AP10" s="405"/>
      <c r="AQ10" s="405"/>
      <c r="AR10" s="405"/>
      <c r="AS10" s="405"/>
      <c r="AT10" s="405"/>
      <c r="AU10" s="405"/>
      <c r="AV10" s="405"/>
      <c r="AW10" s="405"/>
      <c r="AX10" s="405"/>
      <c r="AY10" s="405"/>
      <c r="AZ10" s="406">
        <f t="shared" si="2"/>
        <v>0</v>
      </c>
      <c r="BA10" s="573">
        <f t="shared" si="3"/>
        <v>-1103187585.0000007</v>
      </c>
      <c r="BB10" s="574"/>
      <c r="BC10" s="408">
        <f t="shared" si="4"/>
        <v>0</v>
      </c>
      <c r="BD10" s="572" t="str">
        <f>IF('Budget Opex Detail'!C10="","",IF(COUNTIFS('Activity Master Opex'!$B$4:$B$42,'Budget Opex Detail'!$C10)&gt;0,"","New Activity"))</f>
        <v/>
      </c>
      <c r="BE10" s="575"/>
      <c r="BF10" s="576"/>
      <c r="BG10" s="409"/>
      <c r="BH10" s="577"/>
      <c r="BI10" s="578"/>
      <c r="BJ10" s="578"/>
      <c r="BK10" s="579"/>
      <c r="BL10" s="410">
        <f t="shared" si="7"/>
        <v>0</v>
      </c>
      <c r="BM10" s="577"/>
      <c r="BN10" s="577"/>
      <c r="BO10" s="411">
        <f t="shared" si="5"/>
        <v>0</v>
      </c>
      <c r="BP10" s="580"/>
      <c r="BR10" s="581" t="str">
        <f>IF($H10="","",VLOOKUP($H10,'Master Data'!$B:$D,3,FALSE))</f>
        <v>Membership &amp; Sponsorship</v>
      </c>
      <c r="BS10" s="581" t="str">
        <f t="shared" si="6"/>
        <v>General Administrative</v>
      </c>
      <c r="BT10" s="581" t="str">
        <f>IF($H10="","",VLOOKUP(VALUE($H10),'Master Data'!B:I,8,FALSE))</f>
        <v>Subscriptions and Periodicals</v>
      </c>
    </row>
    <row r="11" spans="1:72" s="412" customFormat="1" x14ac:dyDescent="0.25">
      <c r="A11" s="571" t="str">
        <f>IF(D11="","",Cover!$D$8)</f>
        <v>Information Technology</v>
      </c>
      <c r="B11" s="397" t="str">
        <f>IF(D11="","",IFERROR(VLOOKUP(G11,'Master Data'!$E$59:$J$144,6,FALSE),0))</f>
        <v>Information Technology</v>
      </c>
      <c r="C11" s="598" t="str">
        <f>IF(D11="","",_xlfn.XLOOKUP(D11,'Activity Master Opex'!C:C,'Activity Master Opex'!B:B,0,0,1))</f>
        <v>IT001-00049</v>
      </c>
      <c r="D11" s="399" t="s">
        <v>3342</v>
      </c>
      <c r="E11" s="583" t="str">
        <f>IF(D11="","",IFERROR(VLOOKUP(D11,'Activity Master Opex'!$C:$M,6,FALSE),0))</f>
        <v xml:space="preserve">1. Subscribtion - Monthly usage AWS disaster recovery
2. Subscription - Failover Disaster  Recovery </v>
      </c>
      <c r="F11" s="400" t="str">
        <f>IF($C11="","",VLOOKUP($C11,'Activity Master Opex'!$B:$I,3,0))</f>
        <v>10301IT001</v>
      </c>
      <c r="G11" s="398" t="str">
        <f>IF($C11="","",VLOOKUP($F11,'Master Data'!$D$59:$E$144,2,FALSE))</f>
        <v>IT INFRASTRUCTURE</v>
      </c>
      <c r="H11" s="401">
        <f>IF($C11="","",VLOOKUP($C11,'Activity Master Opex'!$B:$I,5,0))</f>
        <v>62900020</v>
      </c>
      <c r="I11" s="571" t="str">
        <f>IFERROR(VLOOKUP(H11,'Master Data'!B:C,2,FALSE),"")</f>
        <v>Subscriptions and Periodicals</v>
      </c>
      <c r="J11" s="402">
        <f>37341.8293909678*15500</f>
        <v>578798355.5600009</v>
      </c>
      <c r="K11" s="402">
        <v>222503758</v>
      </c>
      <c r="L11" s="403"/>
      <c r="M11" s="403"/>
      <c r="N11" s="403"/>
      <c r="O11" s="403"/>
      <c r="P11" s="403"/>
      <c r="Q11" s="403"/>
      <c r="R11" s="403"/>
      <c r="S11" s="403"/>
      <c r="T11" s="403"/>
      <c r="U11" s="403"/>
      <c r="V11" s="403"/>
      <c r="W11" s="403"/>
      <c r="X11" s="572">
        <f t="shared" si="0"/>
        <v>0</v>
      </c>
      <c r="Y11" s="404"/>
      <c r="Z11" s="405"/>
      <c r="AA11" s="405"/>
      <c r="AB11" s="405"/>
      <c r="AC11" s="405"/>
      <c r="AD11" s="405"/>
      <c r="AE11" s="405"/>
      <c r="AF11" s="405"/>
      <c r="AG11" s="405"/>
      <c r="AH11" s="405"/>
      <c r="AI11" s="405"/>
      <c r="AJ11" s="405"/>
      <c r="AK11" s="405"/>
      <c r="AL11" s="406">
        <f t="shared" si="1"/>
        <v>0</v>
      </c>
      <c r="AM11" s="407"/>
      <c r="AN11" s="405"/>
      <c r="AO11" s="405"/>
      <c r="AP11" s="405"/>
      <c r="AQ11" s="405"/>
      <c r="AR11" s="405"/>
      <c r="AS11" s="405"/>
      <c r="AT11" s="405"/>
      <c r="AU11" s="405"/>
      <c r="AV11" s="405"/>
      <c r="AW11" s="405"/>
      <c r="AX11" s="405"/>
      <c r="AY11" s="405"/>
      <c r="AZ11" s="406">
        <f t="shared" si="2"/>
        <v>0</v>
      </c>
      <c r="BA11" s="573">
        <f t="shared" si="3"/>
        <v>-578798355.5600009</v>
      </c>
      <c r="BB11" s="574"/>
      <c r="BC11" s="408">
        <f t="shared" si="4"/>
        <v>0</v>
      </c>
      <c r="BD11" s="572" t="str">
        <f>IF('Budget Opex Detail'!C11="","",IF(COUNTIFS('Activity Master Opex'!$B$4:$B$42,'Budget Opex Detail'!$C11)&gt;0,"","New Activity"))</f>
        <v/>
      </c>
      <c r="BE11" s="575"/>
      <c r="BF11" s="576"/>
      <c r="BG11" s="409"/>
      <c r="BH11" s="577"/>
      <c r="BI11" s="578"/>
      <c r="BJ11" s="578"/>
      <c r="BK11" s="579"/>
      <c r="BL11" s="410">
        <f t="shared" si="7"/>
        <v>0</v>
      </c>
      <c r="BM11" s="577"/>
      <c r="BN11" s="577"/>
      <c r="BO11" s="411">
        <f t="shared" si="5"/>
        <v>0</v>
      </c>
      <c r="BP11" s="580"/>
      <c r="BR11" s="581" t="str">
        <f>IF($H11="","",VLOOKUP($H11,'Master Data'!$B:$D,3,FALSE))</f>
        <v>Membership &amp; Sponsorship</v>
      </c>
      <c r="BS11" s="581" t="str">
        <f t="shared" si="6"/>
        <v>General Administrative</v>
      </c>
      <c r="BT11" s="581" t="str">
        <f>IF($H11="","",VLOOKUP(VALUE($H11),'Master Data'!B:I,8,FALSE))</f>
        <v>Subscriptions and Periodicals</v>
      </c>
    </row>
    <row r="12" spans="1:72" s="412" customFormat="1" x14ac:dyDescent="0.25">
      <c r="A12" s="571" t="str">
        <f>IF(D12="","",Cover!$D$8)</f>
        <v>Information Technology</v>
      </c>
      <c r="B12" s="397" t="str">
        <f>IF(D12="","",IFERROR(VLOOKUP(G12,'Master Data'!$E$59:$J$144,6,FALSE),0))</f>
        <v>Information Technology</v>
      </c>
      <c r="C12" s="598" t="str">
        <f>IF(D12="","",_xlfn.XLOOKUP(D12,'Activity Master Opex'!C:C,'Activity Master Opex'!B:B,0,0,1))</f>
        <v>IT001-00050</v>
      </c>
      <c r="D12" s="399" t="s">
        <v>3343</v>
      </c>
      <c r="E12" s="583" t="str">
        <f>IF(D12="","",IFERROR(VLOOKUP(D12,'Activity Master Opex'!$C:$M,6,FALSE),0))</f>
        <v xml:space="preserve">1. Subscription - License &amp; Suppoprt Bandwith Management
2. Subscription - License &amp; Support Aruba </v>
      </c>
      <c r="F12" s="400" t="str">
        <f>IF($C12="","",VLOOKUP($C12,'Activity Master Opex'!$B:$I,3,0))</f>
        <v>10301IT001</v>
      </c>
      <c r="G12" s="398" t="str">
        <f>IF($C12="","",VLOOKUP($F12,'Master Data'!$D$59:$E$144,2,FALSE))</f>
        <v>IT INFRASTRUCTURE</v>
      </c>
      <c r="H12" s="401">
        <f>IF($C12="","",VLOOKUP($C12,'Activity Master Opex'!$B:$I,5,0))</f>
        <v>62900020</v>
      </c>
      <c r="I12" s="571" t="str">
        <f>IFERROR(VLOOKUP(H12,'Master Data'!B:C,2,FALSE),"")</f>
        <v>Subscriptions and Periodicals</v>
      </c>
      <c r="J12" s="402">
        <f>18693.4581067742*15500</f>
        <v>289748600.65500009</v>
      </c>
      <c r="K12" s="402">
        <v>0</v>
      </c>
      <c r="L12" s="403"/>
      <c r="M12" s="403"/>
      <c r="N12" s="403"/>
      <c r="O12" s="403"/>
      <c r="P12" s="403"/>
      <c r="Q12" s="403"/>
      <c r="R12" s="403"/>
      <c r="S12" s="403"/>
      <c r="T12" s="403"/>
      <c r="U12" s="403"/>
      <c r="V12" s="403"/>
      <c r="W12" s="403"/>
      <c r="X12" s="572">
        <f t="shared" si="0"/>
        <v>0</v>
      </c>
      <c r="Y12" s="404"/>
      <c r="Z12" s="405"/>
      <c r="AA12" s="405"/>
      <c r="AB12" s="405"/>
      <c r="AC12" s="405"/>
      <c r="AD12" s="405"/>
      <c r="AE12" s="405"/>
      <c r="AF12" s="405"/>
      <c r="AG12" s="405"/>
      <c r="AH12" s="405"/>
      <c r="AI12" s="405"/>
      <c r="AJ12" s="405"/>
      <c r="AK12" s="405"/>
      <c r="AL12" s="406">
        <f t="shared" si="1"/>
        <v>0</v>
      </c>
      <c r="AM12" s="407"/>
      <c r="AN12" s="405"/>
      <c r="AO12" s="405"/>
      <c r="AP12" s="405"/>
      <c r="AQ12" s="405"/>
      <c r="AR12" s="405"/>
      <c r="AS12" s="405"/>
      <c r="AT12" s="405"/>
      <c r="AU12" s="405"/>
      <c r="AV12" s="405"/>
      <c r="AW12" s="405"/>
      <c r="AX12" s="405"/>
      <c r="AY12" s="405"/>
      <c r="AZ12" s="406">
        <f t="shared" si="2"/>
        <v>0</v>
      </c>
      <c r="BA12" s="573">
        <f t="shared" si="3"/>
        <v>-289748600.65500009</v>
      </c>
      <c r="BB12" s="574"/>
      <c r="BC12" s="408">
        <f t="shared" si="4"/>
        <v>0</v>
      </c>
      <c r="BD12" s="572" t="str">
        <f>IF('Budget Opex Detail'!C12="","",IF(COUNTIFS('Activity Master Opex'!$B$4:$B$42,'Budget Opex Detail'!$C12)&gt;0,"","New Activity"))</f>
        <v/>
      </c>
      <c r="BE12" s="575"/>
      <c r="BF12" s="576"/>
      <c r="BG12" s="409"/>
      <c r="BH12" s="577"/>
      <c r="BI12" s="578"/>
      <c r="BJ12" s="578"/>
      <c r="BK12" s="579"/>
      <c r="BL12" s="410">
        <f t="shared" si="7"/>
        <v>0</v>
      </c>
      <c r="BM12" s="577"/>
      <c r="BN12" s="577"/>
      <c r="BO12" s="411">
        <f t="shared" si="5"/>
        <v>0</v>
      </c>
      <c r="BP12" s="580"/>
      <c r="BR12" s="581" t="str">
        <f>IF($H12="","",VLOOKUP($H12,'Master Data'!$B:$D,3,FALSE))</f>
        <v>Membership &amp; Sponsorship</v>
      </c>
      <c r="BS12" s="581" t="str">
        <f t="shared" si="6"/>
        <v>General Administrative</v>
      </c>
      <c r="BT12" s="581" t="str">
        <f>IF($H12="","",VLOOKUP(VALUE($H12),'Master Data'!B:I,8,FALSE))</f>
        <v>Subscriptions and Periodicals</v>
      </c>
    </row>
    <row r="13" spans="1:72" s="412" customFormat="1" x14ac:dyDescent="0.25">
      <c r="A13" s="571" t="str">
        <f>IF(D13="","",Cover!$D$8)</f>
        <v>Information Technology</v>
      </c>
      <c r="B13" s="397" t="str">
        <f>IF(D13="","",IFERROR(VLOOKUP(G13,'Master Data'!$E$59:$J$144,6,FALSE),0))</f>
        <v>Information Technology</v>
      </c>
      <c r="C13" s="598" t="str">
        <f>IF(D13="","",_xlfn.XLOOKUP(D13,'Activity Master Opex'!C:C,'Activity Master Opex'!B:B,0,0,1))</f>
        <v>IT001-00053</v>
      </c>
      <c r="D13" s="399" t="s">
        <v>1826</v>
      </c>
      <c r="E13" s="583" t="str">
        <f>IF(D13="","",IFERROR(VLOOKUP(D13,'Activity Master Opex'!$C:$M,6,FALSE),0))</f>
        <v xml:space="preserve"> Cable Pulling &amp; Install</v>
      </c>
      <c r="F13" s="400" t="str">
        <f>IF($C13="","",VLOOKUP($C13,'Activity Master Opex'!$B:$I,3,0))</f>
        <v>10301IT001</v>
      </c>
      <c r="G13" s="398" t="str">
        <f>IF($C13="","",VLOOKUP($F13,'Master Data'!$D$59:$E$144,2,FALSE))</f>
        <v>IT INFRASTRUCTURE</v>
      </c>
      <c r="H13" s="401">
        <f>IF($C13="","",VLOOKUP($C13,'Activity Master Opex'!$B:$I,5,0))</f>
        <v>60800010</v>
      </c>
      <c r="I13" s="571" t="str">
        <f>IFERROR(VLOOKUP(H13,'Master Data'!B:C,2,FALSE),"")</f>
        <v>RM Exp - Buidings Services</v>
      </c>
      <c r="J13" s="402">
        <f>6003*15500</f>
        <v>93046500</v>
      </c>
      <c r="K13" s="402">
        <v>0</v>
      </c>
      <c r="L13" s="403"/>
      <c r="M13" s="403"/>
      <c r="N13" s="403"/>
      <c r="O13" s="403"/>
      <c r="P13" s="403"/>
      <c r="Q13" s="403"/>
      <c r="R13" s="403"/>
      <c r="S13" s="403"/>
      <c r="T13" s="403"/>
      <c r="U13" s="403"/>
      <c r="V13" s="403"/>
      <c r="W13" s="403"/>
      <c r="X13" s="572">
        <f t="shared" si="0"/>
        <v>0</v>
      </c>
      <c r="Y13" s="404"/>
      <c r="Z13" s="405"/>
      <c r="AA13" s="405"/>
      <c r="AB13" s="405"/>
      <c r="AC13" s="405"/>
      <c r="AD13" s="405"/>
      <c r="AE13" s="405"/>
      <c r="AF13" s="405"/>
      <c r="AG13" s="405"/>
      <c r="AH13" s="405"/>
      <c r="AI13" s="405"/>
      <c r="AJ13" s="405"/>
      <c r="AK13" s="405"/>
      <c r="AL13" s="406">
        <f t="shared" si="1"/>
        <v>0</v>
      </c>
      <c r="AM13" s="407"/>
      <c r="AN13" s="405"/>
      <c r="AO13" s="405"/>
      <c r="AP13" s="405"/>
      <c r="AQ13" s="405"/>
      <c r="AR13" s="405"/>
      <c r="AS13" s="405"/>
      <c r="AT13" s="405"/>
      <c r="AU13" s="405"/>
      <c r="AV13" s="405"/>
      <c r="AW13" s="405"/>
      <c r="AX13" s="405"/>
      <c r="AY13" s="405"/>
      <c r="AZ13" s="406">
        <f t="shared" si="2"/>
        <v>0</v>
      </c>
      <c r="BA13" s="573">
        <f t="shared" si="3"/>
        <v>-93046500</v>
      </c>
      <c r="BB13" s="574"/>
      <c r="BC13" s="408">
        <f t="shared" si="4"/>
        <v>0</v>
      </c>
      <c r="BD13" s="572" t="str">
        <f>IF('Budget Opex Detail'!C13="","",IF(COUNTIFS('Activity Master Opex'!$B$4:$B$42,'Budget Opex Detail'!$C13)&gt;0,"","New Activity"))</f>
        <v/>
      </c>
      <c r="BE13" s="575"/>
      <c r="BF13" s="576"/>
      <c r="BG13" s="409"/>
      <c r="BH13" s="577"/>
      <c r="BI13" s="578"/>
      <c r="BJ13" s="578"/>
      <c r="BK13" s="579"/>
      <c r="BL13" s="410">
        <f t="shared" si="7"/>
        <v>0</v>
      </c>
      <c r="BM13" s="577"/>
      <c r="BN13" s="577"/>
      <c r="BO13" s="411">
        <f t="shared" si="5"/>
        <v>0</v>
      </c>
      <c r="BP13" s="580"/>
      <c r="BR13" s="581" t="str">
        <f>IF($H13="","",VLOOKUP($H13,'Master Data'!$B:$D,3,FALSE))</f>
        <v>Repairs &amp; Maintenance Expe</v>
      </c>
      <c r="BS13" s="581" t="str">
        <f t="shared" si="6"/>
        <v>General Administrative</v>
      </c>
      <c r="BT13" s="581" t="str">
        <f>IF($H13="","",VLOOKUP(VALUE($H13),'Master Data'!B:I,8,FALSE))</f>
        <v>Repairs and maintenance</v>
      </c>
    </row>
    <row r="14" spans="1:72" s="412" customFormat="1" x14ac:dyDescent="0.25">
      <c r="A14" s="571" t="str">
        <f>IF(D14="","",Cover!$D$8)</f>
        <v>Information Technology</v>
      </c>
      <c r="B14" s="397" t="str">
        <f>IF(D14="","",IFERROR(VLOOKUP(G14,'Master Data'!$E$59:$J$144,6,FALSE),0))</f>
        <v>Information Technology</v>
      </c>
      <c r="C14" s="598" t="str">
        <f>IF(D14="","",_xlfn.XLOOKUP(D14,'Activity Master Opex'!C:C,'Activity Master Opex'!B:B,0,0,1))</f>
        <v>IT001-00054</v>
      </c>
      <c r="D14" s="399" t="s">
        <v>2615</v>
      </c>
      <c r="E14" s="583" t="str">
        <f>IF(D14="","",IFERROR(VLOOKUP(D14,'Activity Master Opex'!$C:$M,6,FALSE),0))</f>
        <v xml:space="preserve">1. IT Event Internal &amp; External
</v>
      </c>
      <c r="F14" s="400" t="str">
        <f>IF($C14="","",VLOOKUP($C14,'Activity Master Opex'!$B:$I,3,0))</f>
        <v>10301IT001</v>
      </c>
      <c r="G14" s="398" t="str">
        <f>IF($C14="","",VLOOKUP($F14,'Master Data'!$D$59:$E$144,2,FALSE))</f>
        <v>IT INFRASTRUCTURE</v>
      </c>
      <c r="H14" s="401">
        <f>IF($C14="","",VLOOKUP($C14,'Activity Master Opex'!$B:$I,5,0))</f>
        <v>62300010</v>
      </c>
      <c r="I14" s="571" t="str">
        <f>IFERROR(VLOOKUP(H14,'Master Data'!B:C,2,FALSE),"")</f>
        <v>Meeting Expenses</v>
      </c>
      <c r="J14" s="402">
        <f>743.196774193548*15500</f>
        <v>11519549.999999994</v>
      </c>
      <c r="K14" s="402">
        <v>0</v>
      </c>
      <c r="L14" s="403"/>
      <c r="M14" s="403"/>
      <c r="N14" s="403"/>
      <c r="O14" s="403"/>
      <c r="P14" s="403"/>
      <c r="Q14" s="403"/>
      <c r="R14" s="403"/>
      <c r="S14" s="403"/>
      <c r="T14" s="403"/>
      <c r="U14" s="403"/>
      <c r="V14" s="403"/>
      <c r="W14" s="403"/>
      <c r="X14" s="572">
        <f t="shared" si="0"/>
        <v>0</v>
      </c>
      <c r="Y14" s="404"/>
      <c r="Z14" s="405"/>
      <c r="AA14" s="405"/>
      <c r="AB14" s="405"/>
      <c r="AC14" s="405"/>
      <c r="AD14" s="405"/>
      <c r="AE14" s="405"/>
      <c r="AF14" s="405"/>
      <c r="AG14" s="405"/>
      <c r="AH14" s="405"/>
      <c r="AI14" s="405"/>
      <c r="AJ14" s="405"/>
      <c r="AK14" s="405"/>
      <c r="AL14" s="406">
        <f t="shared" si="1"/>
        <v>0</v>
      </c>
      <c r="AM14" s="407"/>
      <c r="AN14" s="405"/>
      <c r="AO14" s="405"/>
      <c r="AP14" s="405"/>
      <c r="AQ14" s="405"/>
      <c r="AR14" s="405"/>
      <c r="AS14" s="405"/>
      <c r="AT14" s="405"/>
      <c r="AU14" s="405"/>
      <c r="AV14" s="405"/>
      <c r="AW14" s="405"/>
      <c r="AX14" s="405"/>
      <c r="AY14" s="405"/>
      <c r="AZ14" s="406">
        <f t="shared" si="2"/>
        <v>0</v>
      </c>
      <c r="BA14" s="573">
        <f t="shared" si="3"/>
        <v>-11519549.999999994</v>
      </c>
      <c r="BB14" s="574"/>
      <c r="BC14" s="408">
        <f t="shared" si="4"/>
        <v>0</v>
      </c>
      <c r="BD14" s="572" t="str">
        <f>IF('Budget Opex Detail'!C14="","",IF(COUNTIFS('Activity Master Opex'!$B$4:$B$42,'Budget Opex Detail'!$C14)&gt;0,"","New Activity"))</f>
        <v/>
      </c>
      <c r="BE14" s="575"/>
      <c r="BF14" s="576"/>
      <c r="BG14" s="409"/>
      <c r="BH14" s="577"/>
      <c r="BI14" s="578"/>
      <c r="BJ14" s="578"/>
      <c r="BK14" s="579"/>
      <c r="BL14" s="410">
        <f t="shared" si="7"/>
        <v>0</v>
      </c>
      <c r="BM14" s="577"/>
      <c r="BN14" s="577"/>
      <c r="BO14" s="411">
        <f t="shared" si="5"/>
        <v>0</v>
      </c>
      <c r="BP14" s="580"/>
      <c r="BR14" s="581" t="str">
        <f>IF($H14="","",VLOOKUP($H14,'Master Data'!$B:$D,3,FALSE))</f>
        <v>Meeting &amp; Ceremony Expense</v>
      </c>
      <c r="BS14" s="581" t="str">
        <f t="shared" si="6"/>
        <v>General Administrative</v>
      </c>
      <c r="BT14" s="581" t="str">
        <f>IF($H14="","",VLOOKUP(VALUE($H14),'Master Data'!B:I,8,FALSE))</f>
        <v>Meeting and ceremony</v>
      </c>
    </row>
    <row r="15" spans="1:72" s="412" customFormat="1" ht="31.5" customHeight="1" x14ac:dyDescent="0.25">
      <c r="A15" s="571" t="str">
        <f>IF(D15="","",Cover!$D$8)</f>
        <v>Information Technology</v>
      </c>
      <c r="B15" s="397" t="str">
        <f>IF(D15="","",IFERROR(VLOOKUP(G15,'Master Data'!$E$59:$J$144,6,FALSE),0))</f>
        <v>Information Technology</v>
      </c>
      <c r="C15" s="598" t="str">
        <f>IF(D15="","",_xlfn.XLOOKUP(D15,'Activity Master Opex'!C:C,'Activity Master Opex'!B:B,0,0,1))</f>
        <v>IT001-00056</v>
      </c>
      <c r="D15" s="399" t="s">
        <v>2616</v>
      </c>
      <c r="E15" s="583" t="str">
        <f>IF(D15="","",IFERROR(VLOOKUP(D15,'Activity Master Opex'!$C:$M,6,FALSE),0))</f>
        <v xml:space="preserve">1. Sewa Laptop &amp; PC 
2. Sewa Visual Audio Conference  
</v>
      </c>
      <c r="F15" s="400" t="str">
        <f>IF($C15="","",VLOOKUP($C15,'Activity Master Opex'!$B:$I,3,0))</f>
        <v>10301IT001</v>
      </c>
      <c r="G15" s="398" t="str">
        <f>IF($C15="","",VLOOKUP($F15,'Master Data'!$D$59:$E$144,2,FALSE))</f>
        <v>IT INFRASTRUCTURE</v>
      </c>
      <c r="H15" s="401">
        <f>IF($C15="","",VLOOKUP($C15,'Activity Master Opex'!$B:$I,5,0))</f>
        <v>61700070</v>
      </c>
      <c r="I15" s="571" t="str">
        <f>IFERROR(VLOOKUP(H15,'Master Data'!B:C,2,FALSE),"")</f>
        <v>RE - Rental Other</v>
      </c>
      <c r="J15" s="402">
        <f>5568.96774193548*15500</f>
        <v>86318999.99999994</v>
      </c>
      <c r="K15" s="402">
        <v>1600000</v>
      </c>
      <c r="L15" s="403"/>
      <c r="M15" s="403"/>
      <c r="N15" s="403"/>
      <c r="O15" s="403"/>
      <c r="P15" s="403"/>
      <c r="Q15" s="403"/>
      <c r="R15" s="403"/>
      <c r="S15" s="403"/>
      <c r="T15" s="403"/>
      <c r="U15" s="403"/>
      <c r="V15" s="403"/>
      <c r="W15" s="403"/>
      <c r="X15" s="572">
        <f t="shared" si="0"/>
        <v>0</v>
      </c>
      <c r="Y15" s="404"/>
      <c r="Z15" s="405"/>
      <c r="AA15" s="405"/>
      <c r="AB15" s="405"/>
      <c r="AC15" s="405"/>
      <c r="AD15" s="405"/>
      <c r="AE15" s="405"/>
      <c r="AF15" s="405"/>
      <c r="AG15" s="405"/>
      <c r="AH15" s="405"/>
      <c r="AI15" s="405"/>
      <c r="AJ15" s="405"/>
      <c r="AK15" s="405"/>
      <c r="AL15" s="406">
        <f t="shared" si="1"/>
        <v>0</v>
      </c>
      <c r="AM15" s="407"/>
      <c r="AN15" s="405"/>
      <c r="AO15" s="405"/>
      <c r="AP15" s="405"/>
      <c r="AQ15" s="405"/>
      <c r="AR15" s="405"/>
      <c r="AS15" s="405"/>
      <c r="AT15" s="405"/>
      <c r="AU15" s="405"/>
      <c r="AV15" s="405"/>
      <c r="AW15" s="405"/>
      <c r="AX15" s="405"/>
      <c r="AY15" s="405"/>
      <c r="AZ15" s="406">
        <f t="shared" si="2"/>
        <v>0</v>
      </c>
      <c r="BA15" s="573">
        <f t="shared" si="3"/>
        <v>-86318999.99999994</v>
      </c>
      <c r="BB15" s="574"/>
      <c r="BC15" s="408">
        <f t="shared" si="4"/>
        <v>0</v>
      </c>
      <c r="BD15" s="572" t="str">
        <f>IF('Budget Opex Detail'!C15="","",IF(COUNTIFS('Activity Master Opex'!$B$4:$B$42,'Budget Opex Detail'!$C15)&gt;0,"","New Activity"))</f>
        <v/>
      </c>
      <c r="BE15" s="575"/>
      <c r="BF15" s="576"/>
      <c r="BG15" s="409"/>
      <c r="BH15" s="577"/>
      <c r="BI15" s="578"/>
      <c r="BJ15" s="578"/>
      <c r="BK15" s="579"/>
      <c r="BL15" s="410">
        <f t="shared" si="7"/>
        <v>0</v>
      </c>
      <c r="BM15" s="577"/>
      <c r="BN15" s="577"/>
      <c r="BO15" s="411">
        <f t="shared" si="5"/>
        <v>0</v>
      </c>
      <c r="BP15" s="580"/>
      <c r="BR15" s="581" t="str">
        <f>IF($H15="","",VLOOKUP($H15,'Master Data'!$B:$D,3,FALSE))</f>
        <v>Rental Expenses</v>
      </c>
      <c r="BS15" s="581" t="str">
        <f t="shared" si="6"/>
        <v>General Administrative</v>
      </c>
      <c r="BT15" s="581" t="str">
        <f>IF($H15="","",VLOOKUP(VALUE($H15),'Master Data'!B:I,8,FALSE))</f>
        <v>Rental</v>
      </c>
    </row>
    <row r="16" spans="1:72" s="412" customFormat="1" x14ac:dyDescent="0.25">
      <c r="A16" s="571" t="str">
        <f>IF(D16="","",Cover!$D$8)</f>
        <v>Information Technology</v>
      </c>
      <c r="B16" s="397" t="str">
        <f>IF(D16="","",IFERROR(VLOOKUP(G16,'Master Data'!$E$59:$J$144,6,FALSE),0))</f>
        <v>Information Technology</v>
      </c>
      <c r="C16" s="598" t="str">
        <f>IF(D16="","",_xlfn.XLOOKUP(D16,'Activity Master Opex'!C:C,'Activity Master Opex'!B:B,0,0,1))</f>
        <v>IT001-00062</v>
      </c>
      <c r="D16" s="399" t="s">
        <v>1843</v>
      </c>
      <c r="E16" s="583" t="str">
        <f>IF(D16="","",IFERROR(VLOOKUP(D16,'Activity Master Opex'!$C:$M,6,FALSE),0))</f>
        <v>Refill Toner Corporate</v>
      </c>
      <c r="F16" s="400" t="str">
        <f>IF($C16="","",VLOOKUP($C16,'Activity Master Opex'!$B:$I,3,0))</f>
        <v>10301IT001</v>
      </c>
      <c r="G16" s="398" t="str">
        <f>IF($C16="","",VLOOKUP($F16,'Master Data'!$D$59:$E$144,2,FALSE))</f>
        <v>IT INFRASTRUCTURE</v>
      </c>
      <c r="H16" s="401">
        <f>IF($C16="","",VLOOKUP($C16,'Activity Master Opex'!$B:$I,5,0))</f>
        <v>62200020</v>
      </c>
      <c r="I16" s="571" t="str">
        <f>IFERROR(VLOOKUP(H16,'Master Data'!B:C,2,FALSE),"")</f>
        <v>Printing and Supplies Expenses</v>
      </c>
      <c r="J16" s="402">
        <f>5649.09677419355*15500</f>
        <v>87561000.00000003</v>
      </c>
      <c r="K16" s="402">
        <v>11370000</v>
      </c>
      <c r="L16" s="403"/>
      <c r="M16" s="403"/>
      <c r="N16" s="403"/>
      <c r="O16" s="403"/>
      <c r="P16" s="403"/>
      <c r="Q16" s="403"/>
      <c r="R16" s="403"/>
      <c r="S16" s="403"/>
      <c r="T16" s="403"/>
      <c r="U16" s="403"/>
      <c r="V16" s="403"/>
      <c r="W16" s="403"/>
      <c r="X16" s="572">
        <f t="shared" si="0"/>
        <v>0</v>
      </c>
      <c r="Y16" s="404"/>
      <c r="Z16" s="405"/>
      <c r="AA16" s="405"/>
      <c r="AB16" s="405"/>
      <c r="AC16" s="405"/>
      <c r="AD16" s="405"/>
      <c r="AE16" s="405"/>
      <c r="AF16" s="405"/>
      <c r="AG16" s="405"/>
      <c r="AH16" s="405"/>
      <c r="AI16" s="405"/>
      <c r="AJ16" s="405"/>
      <c r="AK16" s="405"/>
      <c r="AL16" s="406">
        <f t="shared" si="1"/>
        <v>0</v>
      </c>
      <c r="AM16" s="407"/>
      <c r="AN16" s="405"/>
      <c r="AO16" s="405"/>
      <c r="AP16" s="405"/>
      <c r="AQ16" s="405"/>
      <c r="AR16" s="405"/>
      <c r="AS16" s="405"/>
      <c r="AT16" s="405"/>
      <c r="AU16" s="405"/>
      <c r="AV16" s="405"/>
      <c r="AW16" s="405"/>
      <c r="AX16" s="405"/>
      <c r="AY16" s="405"/>
      <c r="AZ16" s="406">
        <f t="shared" si="2"/>
        <v>0</v>
      </c>
      <c r="BA16" s="573">
        <f t="shared" si="3"/>
        <v>-87561000.00000003</v>
      </c>
      <c r="BB16" s="574"/>
      <c r="BC16" s="408">
        <f t="shared" si="4"/>
        <v>0</v>
      </c>
      <c r="BD16" s="572" t="str">
        <f>IF('Budget Opex Detail'!C16="","",IF(COUNTIFS('Activity Master Opex'!$B$4:$B$42,'Budget Opex Detail'!$C16)&gt;0,"","New Activity"))</f>
        <v/>
      </c>
      <c r="BE16" s="575"/>
      <c r="BF16" s="576"/>
      <c r="BG16" s="409"/>
      <c r="BH16" s="577"/>
      <c r="BI16" s="578"/>
      <c r="BJ16" s="578"/>
      <c r="BK16" s="579"/>
      <c r="BL16" s="410">
        <f t="shared" si="7"/>
        <v>0</v>
      </c>
      <c r="BM16" s="577"/>
      <c r="BN16" s="577"/>
      <c r="BO16" s="411">
        <f t="shared" si="5"/>
        <v>0</v>
      </c>
      <c r="BP16" s="580"/>
      <c r="BR16" s="581" t="str">
        <f>IF($H16="","",VLOOKUP($H16,'Master Data'!$B:$D,3,FALSE))</f>
        <v>Stationery &amp; Supplies Expe</v>
      </c>
      <c r="BS16" s="581" t="str">
        <f t="shared" si="6"/>
        <v>General Administrative</v>
      </c>
      <c r="BT16" s="581" t="str">
        <f>IF($H16="","",VLOOKUP(VALUE($H16),'Master Data'!B:I,8,FALSE))</f>
        <v>Stationery and supplies</v>
      </c>
    </row>
    <row r="17" spans="1:72" s="412" customFormat="1" x14ac:dyDescent="0.25">
      <c r="A17" s="571" t="str">
        <f>IF(D17="","",Cover!$D$8)</f>
        <v>Information Technology</v>
      </c>
      <c r="B17" s="397" t="str">
        <f>IF(D17="","",IFERROR(VLOOKUP(G17,'Master Data'!$E$59:$J$144,6,FALSE),0))</f>
        <v>Information Technology</v>
      </c>
      <c r="C17" s="598" t="str">
        <f>IF(D17="","",_xlfn.XLOOKUP(D17,'Activity Master Opex'!C:C,'Activity Master Opex'!B:B,0,0,1))</f>
        <v>IT001-00080</v>
      </c>
      <c r="D17" s="399" t="s">
        <v>3344</v>
      </c>
      <c r="E17" s="583" t="str">
        <f>IF(D17="","",IFERROR(VLOOKUP(D17,'Activity Master Opex'!$C:$M,6,FALSE),0))</f>
        <v>1. Subscription - License &amp; Support Fortigate Internet Firewall
2. Subscription - License &amp; Support Fortigate Farm Firewall 
3. Subscription - License &amp; Support Fortigate 40F Noble House 
4. Subscription - License &amp; Support Vulnarabillity Assesment 
5. Subscription - License &amp; Support Antivirus TrendMicro 
6. Subscription - License &amp; Support Mobile Devices Management 
7. Subscription - License &amp; Support Monitoring tools Solarwinds 
8. Subscription - License &amp; Support Back up infrastructure 
9. Subscription - SIEM ELK Platinum license</v>
      </c>
      <c r="F17" s="400" t="str">
        <f>IF($C17="","",VLOOKUP($C17,'Activity Master Opex'!$B:$I,3,0))</f>
        <v>10301IT001</v>
      </c>
      <c r="G17" s="398" t="str">
        <f>IF($C17="","",VLOOKUP($F17,'Master Data'!$D$59:$E$144,2,FALSE))</f>
        <v>IT INFRASTRUCTURE</v>
      </c>
      <c r="H17" s="401">
        <f>IF($C17="","",VLOOKUP($C17,'Activity Master Opex'!$B:$I,5,0))</f>
        <v>62900020</v>
      </c>
      <c r="I17" s="571" t="str">
        <f>IFERROR(VLOOKUP(H17,'Master Data'!B:C,2,FALSE),"")</f>
        <v>Subscriptions and Periodicals</v>
      </c>
      <c r="J17" s="402">
        <f>91239.1137574194*15500</f>
        <v>1414206263.2400007</v>
      </c>
      <c r="K17" s="402">
        <v>132541665</v>
      </c>
      <c r="L17" s="403"/>
      <c r="M17" s="403"/>
      <c r="N17" s="403"/>
      <c r="O17" s="403"/>
      <c r="P17" s="403"/>
      <c r="Q17" s="403"/>
      <c r="R17" s="403"/>
      <c r="S17" s="403"/>
      <c r="T17" s="403"/>
      <c r="U17" s="403"/>
      <c r="V17" s="403"/>
      <c r="W17" s="403"/>
      <c r="X17" s="572">
        <f t="shared" si="0"/>
        <v>0</v>
      </c>
      <c r="Y17" s="404"/>
      <c r="Z17" s="405"/>
      <c r="AA17" s="405"/>
      <c r="AB17" s="405"/>
      <c r="AC17" s="405"/>
      <c r="AD17" s="405"/>
      <c r="AE17" s="405"/>
      <c r="AF17" s="405"/>
      <c r="AG17" s="405"/>
      <c r="AH17" s="405"/>
      <c r="AI17" s="405"/>
      <c r="AJ17" s="405"/>
      <c r="AK17" s="405"/>
      <c r="AL17" s="406">
        <f t="shared" si="1"/>
        <v>0</v>
      </c>
      <c r="AM17" s="407"/>
      <c r="AN17" s="405"/>
      <c r="AO17" s="405"/>
      <c r="AP17" s="405"/>
      <c r="AQ17" s="405"/>
      <c r="AR17" s="405"/>
      <c r="AS17" s="405"/>
      <c r="AT17" s="405"/>
      <c r="AU17" s="405"/>
      <c r="AV17" s="405"/>
      <c r="AW17" s="405"/>
      <c r="AX17" s="405"/>
      <c r="AY17" s="405"/>
      <c r="AZ17" s="406">
        <f t="shared" si="2"/>
        <v>0</v>
      </c>
      <c r="BA17" s="573">
        <f t="shared" si="3"/>
        <v>-1414206263.2400007</v>
      </c>
      <c r="BB17" s="574"/>
      <c r="BC17" s="408">
        <f t="shared" si="4"/>
        <v>0</v>
      </c>
      <c r="BD17" s="572" t="str">
        <f>IF('Budget Opex Detail'!C17="","",IF(COUNTIFS('Activity Master Opex'!$B$4:$B$42,'Budget Opex Detail'!$C17)&gt;0,"","New Activity"))</f>
        <v/>
      </c>
      <c r="BE17" s="575"/>
      <c r="BF17" s="576"/>
      <c r="BG17" s="409"/>
      <c r="BH17" s="577"/>
      <c r="BI17" s="578"/>
      <c r="BJ17" s="578"/>
      <c r="BK17" s="579"/>
      <c r="BL17" s="410">
        <f t="shared" si="7"/>
        <v>0</v>
      </c>
      <c r="BM17" s="577"/>
      <c r="BN17" s="577"/>
      <c r="BO17" s="411">
        <f t="shared" si="5"/>
        <v>0</v>
      </c>
      <c r="BP17" s="580"/>
      <c r="BR17" s="581" t="str">
        <f>IF($H17="","",VLOOKUP($H17,'Master Data'!$B:$D,3,FALSE))</f>
        <v>Membership &amp; Sponsorship</v>
      </c>
      <c r="BS17" s="581" t="str">
        <f t="shared" si="6"/>
        <v>General Administrative</v>
      </c>
      <c r="BT17" s="581" t="str">
        <f>IF($H17="","",VLOOKUP(VALUE($H17),'Master Data'!B:I,8,FALSE))</f>
        <v>Subscriptions and Periodicals</v>
      </c>
    </row>
    <row r="18" spans="1:72" s="412" customFormat="1" x14ac:dyDescent="0.25">
      <c r="A18" s="571" t="str">
        <f>IF(D18="","",Cover!$D$8)</f>
        <v>Information Technology</v>
      </c>
      <c r="B18" s="397" t="str">
        <f>IF(D18="","",IFERROR(VLOOKUP(G18,'Master Data'!$E$59:$J$144,6,FALSE),0))</f>
        <v>Information Technology</v>
      </c>
      <c r="C18" s="598" t="str">
        <f>IF(D18="","",_xlfn.XLOOKUP(D18,'Activity Master Opex'!C:C,'Activity Master Opex'!B:B,0,0,1))</f>
        <v>IT001-00096</v>
      </c>
      <c r="D18" s="399" t="s">
        <v>3345</v>
      </c>
      <c r="E18" s="583" t="str">
        <f>IF(D18="","",IFERROR(VLOOKUP(D18,'Activity Master Opex'!$C:$M,6,FALSE),0))</f>
        <v>1. IT Helpdesk &amp; Support: 2 person
2. IT Security: 1  person
3. IT Sysadmin and DBA: 1 person</v>
      </c>
      <c r="F18" s="400" t="str">
        <f>IF($C18="","",VLOOKUP($C18,'Activity Master Opex'!$B:$I,3,0))</f>
        <v>10301IT001</v>
      </c>
      <c r="G18" s="398" t="str">
        <f>IF($C18="","",VLOOKUP($F18,'Master Data'!$D$59:$E$144,2,FALSE))</f>
        <v>IT INFRASTRUCTURE</v>
      </c>
      <c r="H18" s="401">
        <f>IF($C18="","",VLOOKUP($C18,'Activity Master Opex'!$B:$I,5,0))</f>
        <v>60300010</v>
      </c>
      <c r="I18" s="571" t="str">
        <f>IFERROR(VLOOKUP(H18,'Master Data'!B:C,2,FALSE),"")</f>
        <v>Outsourcing Services</v>
      </c>
      <c r="J18" s="402">
        <f>42966.1935483871*15500</f>
        <v>665976000</v>
      </c>
      <c r="K18" s="402">
        <v>273258740</v>
      </c>
      <c r="L18" s="403"/>
      <c r="M18" s="403"/>
      <c r="N18" s="403"/>
      <c r="O18" s="403"/>
      <c r="P18" s="403"/>
      <c r="Q18" s="403"/>
      <c r="R18" s="403"/>
      <c r="S18" s="403"/>
      <c r="T18" s="403"/>
      <c r="U18" s="403"/>
      <c r="V18" s="403"/>
      <c r="W18" s="403"/>
      <c r="X18" s="572">
        <f t="shared" si="0"/>
        <v>0</v>
      </c>
      <c r="Y18" s="404"/>
      <c r="Z18" s="405"/>
      <c r="AA18" s="405"/>
      <c r="AB18" s="405"/>
      <c r="AC18" s="405"/>
      <c r="AD18" s="405"/>
      <c r="AE18" s="405"/>
      <c r="AF18" s="405"/>
      <c r="AG18" s="405"/>
      <c r="AH18" s="405"/>
      <c r="AI18" s="405"/>
      <c r="AJ18" s="405"/>
      <c r="AK18" s="405"/>
      <c r="AL18" s="406">
        <f t="shared" si="1"/>
        <v>0</v>
      </c>
      <c r="AM18" s="407"/>
      <c r="AN18" s="405"/>
      <c r="AO18" s="405"/>
      <c r="AP18" s="405"/>
      <c r="AQ18" s="405"/>
      <c r="AR18" s="405"/>
      <c r="AS18" s="405"/>
      <c r="AT18" s="405"/>
      <c r="AU18" s="405"/>
      <c r="AV18" s="405"/>
      <c r="AW18" s="405"/>
      <c r="AX18" s="405"/>
      <c r="AY18" s="405"/>
      <c r="AZ18" s="406">
        <f t="shared" si="2"/>
        <v>0</v>
      </c>
      <c r="BA18" s="573">
        <f t="shared" si="3"/>
        <v>-665976000</v>
      </c>
      <c r="BB18" s="574"/>
      <c r="BC18" s="408">
        <f t="shared" si="4"/>
        <v>0</v>
      </c>
      <c r="BD18" s="572" t="str">
        <f>IF('Budget Opex Detail'!C18="","",IF(COUNTIFS('Activity Master Opex'!$B$4:$B$42,'Budget Opex Detail'!$C18)&gt;0,"","New Activity"))</f>
        <v/>
      </c>
      <c r="BE18" s="575"/>
      <c r="BF18" s="576"/>
      <c r="BG18" s="409"/>
      <c r="BH18" s="577"/>
      <c r="BI18" s="578"/>
      <c r="BJ18" s="578"/>
      <c r="BK18" s="579"/>
      <c r="BL18" s="410">
        <f t="shared" si="7"/>
        <v>0</v>
      </c>
      <c r="BM18" s="577"/>
      <c r="BN18" s="577"/>
      <c r="BO18" s="411">
        <f t="shared" si="5"/>
        <v>0</v>
      </c>
      <c r="BP18" s="580"/>
      <c r="BR18" s="581" t="str">
        <f>IF($H18="","",VLOOKUP($H18,'Master Data'!$B:$D,3,FALSE))</f>
        <v>Services Expense</v>
      </c>
      <c r="BS18" s="581" t="str">
        <f t="shared" si="6"/>
        <v>General Administrative</v>
      </c>
      <c r="BT18" s="581" t="str">
        <f>IF($H18="","",VLOOKUP(VALUE($H18),'Master Data'!B:I,8,FALSE))</f>
        <v>Third Parties Services</v>
      </c>
    </row>
    <row r="19" spans="1:72" s="412" customFormat="1" x14ac:dyDescent="0.25">
      <c r="A19" s="571" t="str">
        <f>IF(D19="","",Cover!$D$8)</f>
        <v>Information Technology</v>
      </c>
      <c r="B19" s="397" t="str">
        <f>IF(D19="","",IFERROR(VLOOKUP(G19,'Master Data'!$E$59:$J$144,6,FALSE),0))</f>
        <v>Information Technology</v>
      </c>
      <c r="C19" s="598" t="str">
        <f>IF(D19="","",_xlfn.XLOOKUP(D19,'Activity Master Opex'!C:C,'Activity Master Opex'!B:B,0,0,1))</f>
        <v>IT001-00098</v>
      </c>
      <c r="D19" s="399" t="s">
        <v>2617</v>
      </c>
      <c r="E19" s="583" t="str">
        <f>IF(D19="","",IFERROR(VLOOKUP(D19,'Activity Master Opex'!$C:$M,6,FALSE),0))</f>
        <v xml:space="preserve">1. Global Service Application (helpdesk system)
2.  Development, AI, IOT, Design, Editing &amp; Other Services 
3. Cyber Security Assessment </v>
      </c>
      <c r="F19" s="400" t="str">
        <f>IF($C19="","",VLOOKUP($C19,'Activity Master Opex'!$B:$I,3,0))</f>
        <v>10301IT001</v>
      </c>
      <c r="G19" s="398" t="str">
        <f>IF($C19="","",VLOOKUP($F19,'Master Data'!$D$59:$E$144,2,FALSE))</f>
        <v>IT INFRASTRUCTURE</v>
      </c>
      <c r="H19" s="401">
        <f>IF($C19="","",VLOOKUP($C19,'Activity Master Opex'!$B:$I,5,0))</f>
        <v>61900090</v>
      </c>
      <c r="I19" s="571" t="str">
        <f>IFERROR(VLOOKUP(H19,'Master Data'!B:C,2,FALSE),"")</f>
        <v>PF - Other Professional Fees</v>
      </c>
      <c r="J19" s="402">
        <f>26173.0967741936*15500</f>
        <v>405683000.00000077</v>
      </c>
      <c r="K19" s="402">
        <v>0</v>
      </c>
      <c r="L19" s="403"/>
      <c r="M19" s="403"/>
      <c r="N19" s="403"/>
      <c r="O19" s="403"/>
      <c r="P19" s="403"/>
      <c r="Q19" s="403"/>
      <c r="R19" s="403"/>
      <c r="S19" s="403"/>
      <c r="T19" s="403"/>
      <c r="U19" s="403"/>
      <c r="V19" s="403"/>
      <c r="W19" s="403"/>
      <c r="X19" s="572">
        <f t="shared" si="0"/>
        <v>0</v>
      </c>
      <c r="Y19" s="404"/>
      <c r="Z19" s="405"/>
      <c r="AA19" s="405"/>
      <c r="AB19" s="405"/>
      <c r="AC19" s="405"/>
      <c r="AD19" s="405"/>
      <c r="AE19" s="405"/>
      <c r="AF19" s="405"/>
      <c r="AG19" s="405"/>
      <c r="AH19" s="405"/>
      <c r="AI19" s="405"/>
      <c r="AJ19" s="405"/>
      <c r="AK19" s="405"/>
      <c r="AL19" s="406">
        <f t="shared" si="1"/>
        <v>0</v>
      </c>
      <c r="AM19" s="407"/>
      <c r="AN19" s="405"/>
      <c r="AO19" s="405"/>
      <c r="AP19" s="405"/>
      <c r="AQ19" s="405"/>
      <c r="AR19" s="405"/>
      <c r="AS19" s="405"/>
      <c r="AT19" s="405"/>
      <c r="AU19" s="405"/>
      <c r="AV19" s="405"/>
      <c r="AW19" s="405"/>
      <c r="AX19" s="405"/>
      <c r="AY19" s="405"/>
      <c r="AZ19" s="406">
        <f t="shared" si="2"/>
        <v>0</v>
      </c>
      <c r="BA19" s="573">
        <f t="shared" si="3"/>
        <v>-405683000.00000077</v>
      </c>
      <c r="BB19" s="574"/>
      <c r="BC19" s="408">
        <f t="shared" si="4"/>
        <v>0</v>
      </c>
      <c r="BD19" s="572" t="str">
        <f>IF('Budget Opex Detail'!C19="","",IF(COUNTIFS('Activity Master Opex'!$B$4:$B$42,'Budget Opex Detail'!$C19)&gt;0,"","New Activity"))</f>
        <v/>
      </c>
      <c r="BE19" s="575"/>
      <c r="BF19" s="576"/>
      <c r="BG19" s="409"/>
      <c r="BH19" s="577"/>
      <c r="BI19" s="578"/>
      <c r="BJ19" s="578"/>
      <c r="BK19" s="579"/>
      <c r="BL19" s="410">
        <f t="shared" si="7"/>
        <v>0</v>
      </c>
      <c r="BM19" s="577"/>
      <c r="BN19" s="577"/>
      <c r="BO19" s="411">
        <f t="shared" si="5"/>
        <v>0</v>
      </c>
      <c r="BP19" s="580"/>
      <c r="BR19" s="581" t="str">
        <f>IF($H19="","",VLOOKUP($H19,'Master Data'!$B:$D,3,FALSE))</f>
        <v>Professional Fees</v>
      </c>
      <c r="BS19" s="581" t="str">
        <f t="shared" si="6"/>
        <v>General Administrative</v>
      </c>
      <c r="BT19" s="581" t="str">
        <f>IF($H19="","",VLOOKUP(VALUE($H19),'Master Data'!B:I,8,FALSE))</f>
        <v>Professional fees</v>
      </c>
    </row>
    <row r="20" spans="1:72" s="412" customFormat="1" x14ac:dyDescent="0.25">
      <c r="A20" s="571" t="str">
        <f>IF(D20="","",Cover!$D$8)</f>
        <v>Information Technology</v>
      </c>
      <c r="B20" s="397" t="str">
        <f>IF(D20="","",IFERROR(VLOOKUP(G20,'Master Data'!$E$59:$J$144,6,FALSE),0))</f>
        <v>Information Technology</v>
      </c>
      <c r="C20" s="598" t="str">
        <f>IF(D20="","",_xlfn.XLOOKUP(D20,'Activity Master Opex'!C:C,'Activity Master Opex'!B:B,0,0,1))</f>
        <v>IT001-00100</v>
      </c>
      <c r="D20" s="399" t="s">
        <v>2618</v>
      </c>
      <c r="E20" s="583" t="str">
        <f>IF(D20="","",IFERROR(VLOOKUP(D20,'Activity Master Opex'!$C:$M,6,FALSE),0))</f>
        <v>Lenna.ai, ChatGPT API and Chatgpt 4.0 subscribtion</v>
      </c>
      <c r="F20" s="400" t="str">
        <f>IF($C20="","",VLOOKUP($C20,'Activity Master Opex'!$B:$I,3,0))</f>
        <v>10301IT001</v>
      </c>
      <c r="G20" s="398" t="str">
        <f>IF($C20="","",VLOOKUP($F20,'Master Data'!$D$59:$E$144,2,FALSE))</f>
        <v>IT INFRASTRUCTURE</v>
      </c>
      <c r="H20" s="401">
        <f>IF($C20="","",VLOOKUP($C20,'Activity Master Opex'!$B:$I,5,0))</f>
        <v>62900020</v>
      </c>
      <c r="I20" s="571" t="str">
        <f>IFERROR(VLOOKUP(H20,'Master Data'!B:C,2,FALSE),"")</f>
        <v>Subscriptions and Periodicals</v>
      </c>
      <c r="J20" s="402">
        <f>11425.9064051613*15500</f>
        <v>177101549.28000015</v>
      </c>
      <c r="K20" s="402">
        <v>42759126</v>
      </c>
      <c r="L20" s="403"/>
      <c r="M20" s="403"/>
      <c r="N20" s="403"/>
      <c r="O20" s="403"/>
      <c r="P20" s="403"/>
      <c r="Q20" s="403"/>
      <c r="R20" s="403"/>
      <c r="S20" s="403"/>
      <c r="T20" s="403"/>
      <c r="U20" s="403"/>
      <c r="V20" s="403"/>
      <c r="W20" s="403"/>
      <c r="X20" s="572">
        <f t="shared" si="0"/>
        <v>0</v>
      </c>
      <c r="Y20" s="404"/>
      <c r="Z20" s="405"/>
      <c r="AA20" s="405"/>
      <c r="AB20" s="405"/>
      <c r="AC20" s="405"/>
      <c r="AD20" s="405"/>
      <c r="AE20" s="405"/>
      <c r="AF20" s="405"/>
      <c r="AG20" s="405"/>
      <c r="AH20" s="405"/>
      <c r="AI20" s="405"/>
      <c r="AJ20" s="405"/>
      <c r="AK20" s="405"/>
      <c r="AL20" s="406">
        <f t="shared" si="1"/>
        <v>0</v>
      </c>
      <c r="AM20" s="407"/>
      <c r="AN20" s="405"/>
      <c r="AO20" s="405"/>
      <c r="AP20" s="405"/>
      <c r="AQ20" s="405"/>
      <c r="AR20" s="405"/>
      <c r="AS20" s="405"/>
      <c r="AT20" s="405"/>
      <c r="AU20" s="405"/>
      <c r="AV20" s="405"/>
      <c r="AW20" s="405"/>
      <c r="AX20" s="405"/>
      <c r="AY20" s="405"/>
      <c r="AZ20" s="406">
        <f t="shared" si="2"/>
        <v>0</v>
      </c>
      <c r="BA20" s="573">
        <f t="shared" si="3"/>
        <v>-177101549.28000015</v>
      </c>
      <c r="BB20" s="574"/>
      <c r="BC20" s="408">
        <f t="shared" si="4"/>
        <v>0</v>
      </c>
      <c r="BD20" s="572" t="str">
        <f>IF('Budget Opex Detail'!C20="","",IF(COUNTIFS('Activity Master Opex'!$B$4:$B$42,'Budget Opex Detail'!$C20)&gt;0,"","New Activity"))</f>
        <v/>
      </c>
      <c r="BE20" s="575"/>
      <c r="BF20" s="576"/>
      <c r="BG20" s="409"/>
      <c r="BH20" s="577"/>
      <c r="BI20" s="578"/>
      <c r="BJ20" s="578"/>
      <c r="BK20" s="579"/>
      <c r="BL20" s="410">
        <f t="shared" si="7"/>
        <v>0</v>
      </c>
      <c r="BM20" s="577"/>
      <c r="BN20" s="577"/>
      <c r="BO20" s="411">
        <f t="shared" si="5"/>
        <v>0</v>
      </c>
      <c r="BP20" s="580"/>
      <c r="BR20" s="581" t="str">
        <f>IF($H20="","",VLOOKUP($H20,'Master Data'!$B:$D,3,FALSE))</f>
        <v>Membership &amp; Sponsorship</v>
      </c>
      <c r="BS20" s="581" t="str">
        <f t="shared" si="6"/>
        <v>General Administrative</v>
      </c>
      <c r="BT20" s="581" t="str">
        <f>IF($H20="","",VLOOKUP(VALUE($H20),'Master Data'!B:I,8,FALSE))</f>
        <v>Subscriptions and Periodicals</v>
      </c>
    </row>
    <row r="21" spans="1:72" s="412" customFormat="1" x14ac:dyDescent="0.25">
      <c r="A21" s="571" t="str">
        <f>IF(D21="","",Cover!$D$8)</f>
        <v>Information Technology</v>
      </c>
      <c r="B21" s="397" t="str">
        <f>IF(D21="","",IFERROR(VLOOKUP(G21,'Master Data'!$E$59:$J$144,6,FALSE),0))</f>
        <v>Information Technology</v>
      </c>
      <c r="C21" s="598" t="str">
        <f>IF(D21="","",_xlfn.XLOOKUP(D21,'Activity Master Opex'!C:C,'Activity Master Opex'!B:B,0,0,1))</f>
        <v>IT002-00001</v>
      </c>
      <c r="D21" s="399" t="s">
        <v>2619</v>
      </c>
      <c r="E21" s="583" t="str">
        <f>IF(D21="","",IFERROR(VLOOKUP(D21,'Activity Master Opex'!$C:$M,6,FALSE),0))</f>
        <v>Service that provides access to analytical tools and insights for IT operations, often on a subscription basis, helping businesses optimize their IT performance and decision-making.</v>
      </c>
      <c r="F21" s="400" t="str">
        <f>IF($C21="","",VLOOKUP($C21,'Activity Master Opex'!$B:$I,3,0))</f>
        <v>10301IT002</v>
      </c>
      <c r="G21" s="398" t="str">
        <f>IF($C21="","",VLOOKUP($F21,'Master Data'!$D$59:$E$144,2,FALSE))</f>
        <v>IT ANALYTICS</v>
      </c>
      <c r="H21" s="401">
        <f>IF($C21="","",VLOOKUP($C21,'Activity Master Opex'!$B:$I,5,0))</f>
        <v>62900020</v>
      </c>
      <c r="I21" s="571" t="str">
        <f>IFERROR(VLOOKUP(H21,'Master Data'!B:C,2,FALSE),"")</f>
        <v>Subscriptions and Periodicals</v>
      </c>
      <c r="J21" s="402">
        <f>10775.024516129*15500</f>
        <v>167012879.99999949</v>
      </c>
      <c r="K21" s="402">
        <v>35485689</v>
      </c>
      <c r="L21" s="403"/>
      <c r="M21" s="403"/>
      <c r="N21" s="403"/>
      <c r="O21" s="403"/>
      <c r="P21" s="403"/>
      <c r="Q21" s="403"/>
      <c r="R21" s="403"/>
      <c r="S21" s="403"/>
      <c r="T21" s="403"/>
      <c r="U21" s="403"/>
      <c r="V21" s="403"/>
      <c r="W21" s="403"/>
      <c r="X21" s="572">
        <f t="shared" si="0"/>
        <v>0</v>
      </c>
      <c r="Y21" s="404"/>
      <c r="Z21" s="405"/>
      <c r="AA21" s="405"/>
      <c r="AB21" s="405"/>
      <c r="AC21" s="405"/>
      <c r="AD21" s="405"/>
      <c r="AE21" s="405"/>
      <c r="AF21" s="405"/>
      <c r="AG21" s="405"/>
      <c r="AH21" s="405"/>
      <c r="AI21" s="405"/>
      <c r="AJ21" s="405"/>
      <c r="AK21" s="405"/>
      <c r="AL21" s="406">
        <f t="shared" si="1"/>
        <v>0</v>
      </c>
      <c r="AM21" s="407"/>
      <c r="AN21" s="405"/>
      <c r="AO21" s="405"/>
      <c r="AP21" s="405"/>
      <c r="AQ21" s="405"/>
      <c r="AR21" s="405"/>
      <c r="AS21" s="405"/>
      <c r="AT21" s="405"/>
      <c r="AU21" s="405"/>
      <c r="AV21" s="405"/>
      <c r="AW21" s="405"/>
      <c r="AX21" s="405"/>
      <c r="AY21" s="405"/>
      <c r="AZ21" s="406">
        <f t="shared" si="2"/>
        <v>0</v>
      </c>
      <c r="BA21" s="573">
        <f t="shared" si="3"/>
        <v>-167012879.99999949</v>
      </c>
      <c r="BB21" s="574"/>
      <c r="BC21" s="408">
        <f t="shared" si="4"/>
        <v>0</v>
      </c>
      <c r="BD21" s="572" t="str">
        <f>IF('Budget Opex Detail'!C21="","",IF(COUNTIFS('Activity Master Opex'!$B$4:$B$42,'Budget Opex Detail'!$C21)&gt;0,"","New Activity"))</f>
        <v/>
      </c>
      <c r="BE21" s="575"/>
      <c r="BF21" s="576"/>
      <c r="BG21" s="409"/>
      <c r="BH21" s="577"/>
      <c r="BI21" s="578"/>
      <c r="BJ21" s="578"/>
      <c r="BK21" s="579"/>
      <c r="BL21" s="410">
        <f t="shared" si="7"/>
        <v>0</v>
      </c>
      <c r="BM21" s="577"/>
      <c r="BN21" s="577"/>
      <c r="BO21" s="411">
        <f t="shared" si="5"/>
        <v>0</v>
      </c>
      <c r="BP21" s="580"/>
      <c r="BR21" s="581" t="str">
        <f>IF($H21="","",VLOOKUP($H21,'Master Data'!$B:$D,3,FALSE))</f>
        <v>Membership &amp; Sponsorship</v>
      </c>
      <c r="BS21" s="581" t="str">
        <f t="shared" si="6"/>
        <v>General Administrative</v>
      </c>
      <c r="BT21" s="581" t="str">
        <f>IF($H21="","",VLOOKUP(VALUE($H21),'Master Data'!B:I,8,FALSE))</f>
        <v>Subscriptions and Periodicals</v>
      </c>
    </row>
    <row r="22" spans="1:72" s="412" customFormat="1" x14ac:dyDescent="0.25">
      <c r="A22" s="571" t="str">
        <f>IF(D22="","",Cover!$D$8)</f>
        <v>Information Technology</v>
      </c>
      <c r="B22" s="397" t="str">
        <f>IF(D22="","",IFERROR(VLOOKUP(G22,'Master Data'!$E$59:$J$144,6,FALSE),0))</f>
        <v>Information Technology</v>
      </c>
      <c r="C22" s="598" t="str">
        <f>IF(D22="","",_xlfn.XLOOKUP(D22,'Activity Master Opex'!C:C,'Activity Master Opex'!B:B,0,0,1))</f>
        <v>IT002-00002</v>
      </c>
      <c r="D22" s="399" t="s">
        <v>2620</v>
      </c>
      <c r="E22" s="583" t="str">
        <f>IF(D22="","",IFERROR(VLOOKUP(D22,'Activity Master Opex'!$C:$M,6,FALSE),0))</f>
        <v>DWH &amp; Report Annual Maintenance Support ensures the continuous operation and updates of data warehouses and reporting systems.</v>
      </c>
      <c r="F22" s="400" t="str">
        <f>IF($C22="","",VLOOKUP($C22,'Activity Master Opex'!$B:$I,3,0))</f>
        <v>10301IT002</v>
      </c>
      <c r="G22" s="398" t="str">
        <f>IF($C22="","",VLOOKUP($F22,'Master Data'!$D$59:$E$144,2,FALSE))</f>
        <v>IT ANALYTICS</v>
      </c>
      <c r="H22" s="401">
        <f>IF($C22="","",VLOOKUP($C22,'Activity Master Opex'!$B:$I,5,0))</f>
        <v>61900090</v>
      </c>
      <c r="I22" s="571" t="str">
        <f>IFERROR(VLOOKUP(H22,'Master Data'!B:C,2,FALSE),"")</f>
        <v>PF - Other Professional Fees</v>
      </c>
      <c r="J22" s="402">
        <f>23419.3548387097*15500</f>
        <v>363000000.00000036</v>
      </c>
      <c r="K22" s="402">
        <v>0</v>
      </c>
      <c r="L22" s="403"/>
      <c r="M22" s="403"/>
      <c r="N22" s="403"/>
      <c r="O22" s="403"/>
      <c r="P22" s="403"/>
      <c r="Q22" s="403"/>
      <c r="R22" s="403"/>
      <c r="S22" s="403"/>
      <c r="T22" s="403"/>
      <c r="U22" s="403"/>
      <c r="V22" s="403"/>
      <c r="W22" s="403"/>
      <c r="X22" s="572">
        <f t="shared" si="0"/>
        <v>0</v>
      </c>
      <c r="Y22" s="404"/>
      <c r="Z22" s="405"/>
      <c r="AA22" s="405"/>
      <c r="AB22" s="405"/>
      <c r="AC22" s="405"/>
      <c r="AD22" s="405"/>
      <c r="AE22" s="405"/>
      <c r="AF22" s="405"/>
      <c r="AG22" s="405"/>
      <c r="AH22" s="405"/>
      <c r="AI22" s="405"/>
      <c r="AJ22" s="405"/>
      <c r="AK22" s="405"/>
      <c r="AL22" s="406">
        <f t="shared" si="1"/>
        <v>0</v>
      </c>
      <c r="AM22" s="407"/>
      <c r="AN22" s="405"/>
      <c r="AO22" s="405"/>
      <c r="AP22" s="405"/>
      <c r="AQ22" s="405"/>
      <c r="AR22" s="405"/>
      <c r="AS22" s="405"/>
      <c r="AT22" s="405"/>
      <c r="AU22" s="405"/>
      <c r="AV22" s="405"/>
      <c r="AW22" s="405"/>
      <c r="AX22" s="405"/>
      <c r="AY22" s="405"/>
      <c r="AZ22" s="406">
        <f t="shared" si="2"/>
        <v>0</v>
      </c>
      <c r="BA22" s="573">
        <f t="shared" si="3"/>
        <v>-363000000.00000036</v>
      </c>
      <c r="BB22" s="574"/>
      <c r="BC22" s="408">
        <f t="shared" si="4"/>
        <v>0</v>
      </c>
      <c r="BD22" s="572" t="str">
        <f>IF('Budget Opex Detail'!C22="","",IF(COUNTIFS('Activity Master Opex'!$B$4:$B$42,'Budget Opex Detail'!$C22)&gt;0,"","New Activity"))</f>
        <v/>
      </c>
      <c r="BE22" s="575"/>
      <c r="BF22" s="576"/>
      <c r="BG22" s="409"/>
      <c r="BH22" s="577"/>
      <c r="BI22" s="578"/>
      <c r="BJ22" s="578"/>
      <c r="BK22" s="579"/>
      <c r="BL22" s="410">
        <f t="shared" si="7"/>
        <v>0</v>
      </c>
      <c r="BM22" s="577"/>
      <c r="BN22" s="577"/>
      <c r="BO22" s="411">
        <f t="shared" si="5"/>
        <v>0</v>
      </c>
      <c r="BP22" s="580"/>
      <c r="BR22" s="581" t="str">
        <f>IF($H22="","",VLOOKUP($H22,'Master Data'!$B:$D,3,FALSE))</f>
        <v>Professional Fees</v>
      </c>
      <c r="BS22" s="581" t="str">
        <f t="shared" si="6"/>
        <v>General Administrative</v>
      </c>
      <c r="BT22" s="581" t="str">
        <f>IF($H22="","",VLOOKUP(VALUE($H22),'Master Data'!B:I,8,FALSE))</f>
        <v>Professional fees</v>
      </c>
    </row>
    <row r="23" spans="1:72" s="412" customFormat="1" x14ac:dyDescent="0.25">
      <c r="A23" s="571" t="str">
        <f>IF(D23="","",Cover!$D$8)</f>
        <v>Information Technology</v>
      </c>
      <c r="B23" s="397" t="str">
        <f>IF(D23="","",IFERROR(VLOOKUP(G23,'Master Data'!$E$59:$J$144,6,FALSE),0))</f>
        <v>Information Technology</v>
      </c>
      <c r="C23" s="598" t="str">
        <f>IF(D23="","",_xlfn.XLOOKUP(D23,'Activity Master Opex'!C:C,'Activity Master Opex'!B:B,0,0,1))</f>
        <v>IT002-00003</v>
      </c>
      <c r="D23" s="399" t="s">
        <v>2621</v>
      </c>
      <c r="E23" s="583" t="str">
        <f>IF(D23="","",IFERROR(VLOOKUP(D23,'Activity Master Opex'!$C:$M,6,FALSE),0))</f>
        <v>The analysis of data related to business trips, such as costs, travel patterns, and employee productivity, to optimize travel policies and improve decision-making.</v>
      </c>
      <c r="F23" s="400" t="str">
        <f>IF($C23="","",VLOOKUP($C23,'Activity Master Opex'!$B:$I,3,0))</f>
        <v>10301IT002</v>
      </c>
      <c r="G23" s="398" t="str">
        <f>IF($C23="","",VLOOKUP($F23,'Master Data'!$D$59:$E$144,2,FALSE))</f>
        <v>IT ANALYTICS</v>
      </c>
      <c r="H23" s="401">
        <f>IF($C23="","",VLOOKUP($C23,'Activity Master Opex'!$B:$I,5,0))</f>
        <v>62400030</v>
      </c>
      <c r="I23" s="571" t="str">
        <f>IFERROR(VLOOKUP(H23,'Master Data'!B:C,2,FALSE),"")</f>
        <v>Gen. Transp. Travelling Expenses</v>
      </c>
      <c r="J23" s="402">
        <f>14851.5024516129*15500</f>
        <v>230198287.99999994</v>
      </c>
      <c r="K23" s="402">
        <v>16605000</v>
      </c>
      <c r="L23" s="403"/>
      <c r="M23" s="403"/>
      <c r="N23" s="403"/>
      <c r="O23" s="403"/>
      <c r="P23" s="403"/>
      <c r="Q23" s="403"/>
      <c r="R23" s="403"/>
      <c r="S23" s="403"/>
      <c r="T23" s="403"/>
      <c r="U23" s="403"/>
      <c r="V23" s="403"/>
      <c r="W23" s="403"/>
      <c r="X23" s="572">
        <f t="shared" si="0"/>
        <v>0</v>
      </c>
      <c r="Y23" s="404"/>
      <c r="Z23" s="405"/>
      <c r="AA23" s="405"/>
      <c r="AB23" s="405"/>
      <c r="AC23" s="405"/>
      <c r="AD23" s="405"/>
      <c r="AE23" s="405"/>
      <c r="AF23" s="405"/>
      <c r="AG23" s="405"/>
      <c r="AH23" s="405"/>
      <c r="AI23" s="405"/>
      <c r="AJ23" s="405"/>
      <c r="AK23" s="405"/>
      <c r="AL23" s="406">
        <f t="shared" si="1"/>
        <v>0</v>
      </c>
      <c r="AM23" s="407"/>
      <c r="AN23" s="405"/>
      <c r="AO23" s="405"/>
      <c r="AP23" s="405"/>
      <c r="AQ23" s="405"/>
      <c r="AR23" s="405"/>
      <c r="AS23" s="405"/>
      <c r="AT23" s="405"/>
      <c r="AU23" s="405"/>
      <c r="AV23" s="405"/>
      <c r="AW23" s="405"/>
      <c r="AX23" s="405"/>
      <c r="AY23" s="405"/>
      <c r="AZ23" s="406">
        <f t="shared" si="2"/>
        <v>0</v>
      </c>
      <c r="BA23" s="573">
        <f t="shared" si="3"/>
        <v>-230198287.99999994</v>
      </c>
      <c r="BB23" s="574"/>
      <c r="BC23" s="408">
        <f t="shared" si="4"/>
        <v>0</v>
      </c>
      <c r="BD23" s="572" t="str">
        <f>IF('Budget Opex Detail'!C23="","",IF(COUNTIFS('Activity Master Opex'!$B$4:$B$42,'Budget Opex Detail'!$C23)&gt;0,"","New Activity"))</f>
        <v/>
      </c>
      <c r="BE23" s="575"/>
      <c r="BF23" s="576"/>
      <c r="BG23" s="409"/>
      <c r="BH23" s="577"/>
      <c r="BI23" s="578"/>
      <c r="BJ23" s="578"/>
      <c r="BK23" s="579"/>
      <c r="BL23" s="410">
        <f t="shared" si="7"/>
        <v>0</v>
      </c>
      <c r="BM23" s="577"/>
      <c r="BN23" s="577"/>
      <c r="BO23" s="411">
        <f t="shared" si="5"/>
        <v>0</v>
      </c>
      <c r="BP23" s="580"/>
      <c r="BR23" s="581" t="str">
        <f>IF($H23="","",VLOOKUP($H23,'Master Data'!$B:$D,3,FALSE))</f>
        <v>General Transportation Exp</v>
      </c>
      <c r="BS23" s="581" t="str">
        <f t="shared" si="6"/>
        <v>General Administrative</v>
      </c>
      <c r="BT23" s="581" t="str">
        <f>IF($H23="","",VLOOKUP(VALUE($H23),'Master Data'!B:I,8,FALSE))</f>
        <v>General transportation</v>
      </c>
    </row>
    <row r="24" spans="1:72" s="412" customFormat="1" x14ac:dyDescent="0.25">
      <c r="A24" s="571" t="str">
        <f>IF(D24="","",Cover!$D$8)</f>
        <v>Information Technology</v>
      </c>
      <c r="B24" s="397" t="str">
        <f>IF(D24="","",IFERROR(VLOOKUP(G24,'Master Data'!$E$59:$J$144,6,FALSE),0))</f>
        <v>Information Technology</v>
      </c>
      <c r="C24" s="598" t="str">
        <f>IF(D24="","",_xlfn.XLOOKUP(D24,'Activity Master Opex'!C:C,'Activity Master Opex'!B:B,0,0,1))</f>
        <v>IT002-00004</v>
      </c>
      <c r="D24" s="399" t="s">
        <v>2622</v>
      </c>
      <c r="E24" s="583" t="str">
        <f>IF(D24="","",IFERROR(VLOOKUP(D24,'Activity Master Opex'!$C:$M,6,FALSE),0))</f>
        <v>The process of analyzing data related to outsourced manpower, such as performance metrics, cost efficiency, and workforce utilization, to enhance business operations.</v>
      </c>
      <c r="F24" s="400" t="str">
        <f>IF($C24="","",VLOOKUP($C24,'Activity Master Opex'!$B:$I,3,0))</f>
        <v>10301IT002</v>
      </c>
      <c r="G24" s="398" t="str">
        <f>IF($C24="","",VLOOKUP($F24,'Master Data'!$D$59:$E$144,2,FALSE))</f>
        <v>IT ANALYTICS</v>
      </c>
      <c r="H24" s="401">
        <f>IF($C24="","",VLOOKUP($C24,'Activity Master Opex'!$B:$I,5,0))</f>
        <v>60300010</v>
      </c>
      <c r="I24" s="571" t="str">
        <f>IFERROR(VLOOKUP(H24,'Master Data'!B:C,2,FALSE),"")</f>
        <v>Outsourcing Services</v>
      </c>
      <c r="J24" s="402">
        <f>27096.7741935484*15500</f>
        <v>420000000.00000024</v>
      </c>
      <c r="K24" s="402">
        <v>159500000</v>
      </c>
      <c r="L24" s="403"/>
      <c r="M24" s="403"/>
      <c r="N24" s="403"/>
      <c r="O24" s="403"/>
      <c r="P24" s="403"/>
      <c r="Q24" s="403"/>
      <c r="R24" s="403"/>
      <c r="S24" s="403"/>
      <c r="T24" s="403"/>
      <c r="U24" s="403"/>
      <c r="V24" s="403"/>
      <c r="W24" s="403"/>
      <c r="X24" s="572">
        <f t="shared" si="0"/>
        <v>0</v>
      </c>
      <c r="Y24" s="404"/>
      <c r="Z24" s="405"/>
      <c r="AA24" s="405"/>
      <c r="AB24" s="405"/>
      <c r="AC24" s="405"/>
      <c r="AD24" s="405"/>
      <c r="AE24" s="405"/>
      <c r="AF24" s="405"/>
      <c r="AG24" s="405"/>
      <c r="AH24" s="405"/>
      <c r="AI24" s="405"/>
      <c r="AJ24" s="405"/>
      <c r="AK24" s="405"/>
      <c r="AL24" s="406">
        <f t="shared" si="1"/>
        <v>0</v>
      </c>
      <c r="AM24" s="407"/>
      <c r="AN24" s="405"/>
      <c r="AO24" s="405"/>
      <c r="AP24" s="405"/>
      <c r="AQ24" s="405"/>
      <c r="AR24" s="405"/>
      <c r="AS24" s="405"/>
      <c r="AT24" s="405"/>
      <c r="AU24" s="405"/>
      <c r="AV24" s="405"/>
      <c r="AW24" s="405"/>
      <c r="AX24" s="405"/>
      <c r="AY24" s="405"/>
      <c r="AZ24" s="406">
        <f t="shared" si="2"/>
        <v>0</v>
      </c>
      <c r="BA24" s="573">
        <f t="shared" si="3"/>
        <v>-420000000.00000024</v>
      </c>
      <c r="BB24" s="574"/>
      <c r="BC24" s="408">
        <f t="shared" si="4"/>
        <v>0</v>
      </c>
      <c r="BD24" s="572" t="str">
        <f>IF('Budget Opex Detail'!C24="","",IF(COUNTIFS('Activity Master Opex'!$B$4:$B$42,'Budget Opex Detail'!$C24)&gt;0,"","New Activity"))</f>
        <v/>
      </c>
      <c r="BE24" s="575"/>
      <c r="BF24" s="576"/>
      <c r="BG24" s="409"/>
      <c r="BH24" s="577"/>
      <c r="BI24" s="578"/>
      <c r="BJ24" s="578"/>
      <c r="BK24" s="579"/>
      <c r="BL24" s="410">
        <f t="shared" si="7"/>
        <v>0</v>
      </c>
      <c r="BM24" s="577"/>
      <c r="BN24" s="577"/>
      <c r="BO24" s="411">
        <f t="shared" si="5"/>
        <v>0</v>
      </c>
      <c r="BP24" s="580"/>
      <c r="BR24" s="581" t="str">
        <f>IF($H24="","",VLOOKUP($H24,'Master Data'!$B:$D,3,FALSE))</f>
        <v>Services Expense</v>
      </c>
      <c r="BS24" s="581" t="str">
        <f t="shared" si="6"/>
        <v>General Administrative</v>
      </c>
      <c r="BT24" s="581" t="str">
        <f>IF($H24="","",VLOOKUP(VALUE($H24),'Master Data'!B:I,8,FALSE))</f>
        <v>Third Parties Services</v>
      </c>
    </row>
    <row r="25" spans="1:72" s="412" customFormat="1" x14ac:dyDescent="0.25">
      <c r="A25" s="571" t="str">
        <f>IF(D25="","",Cover!$D$8)</f>
        <v>Information Technology</v>
      </c>
      <c r="B25" s="397" t="str">
        <f>IF(D25="","",IFERROR(VLOOKUP(G25,'Master Data'!$E$59:$J$144,6,FALSE),0))</f>
        <v>Information Technology</v>
      </c>
      <c r="C25" s="598" t="str">
        <f>IF(D25="","",_xlfn.XLOOKUP(D25,'Activity Master Opex'!C:C,'Activity Master Opex'!B:B,0,0,1))</f>
        <v>IT002-00005</v>
      </c>
      <c r="D25" s="399" t="s">
        <v>2623</v>
      </c>
      <c r="E25" s="583" t="str">
        <f>IF(D25="","",IFERROR(VLOOKUP(D25,'Activity Master Opex'!$C:$M,6,FALSE),0))</f>
        <v>The analysis of data concerning the rental of IT devices, including usage patterns, cost-effectiveness, and device performance, to inform rental strategies and improve asset management.</v>
      </c>
      <c r="F25" s="400" t="str">
        <f>IF($C25="","",VLOOKUP($C25,'Activity Master Opex'!$B:$I,3,0))</f>
        <v>10301IT002</v>
      </c>
      <c r="G25" s="398" t="str">
        <f>IF($C25="","",VLOOKUP($F25,'Master Data'!$D$59:$E$144,2,FALSE))</f>
        <v>IT ANALYTICS</v>
      </c>
      <c r="H25" s="401">
        <f>IF($C25="","",VLOOKUP($C25,'Activity Master Opex'!$B:$I,5,0))</f>
        <v>61700070</v>
      </c>
      <c r="I25" s="571" t="str">
        <f>IFERROR(VLOOKUP(H25,'Master Data'!B:C,2,FALSE),"")</f>
        <v>RE - Rental Other</v>
      </c>
      <c r="J25" s="402">
        <f>5419.35483870968*15500</f>
        <v>84000000.000000045</v>
      </c>
      <c r="K25" s="402">
        <v>2700000</v>
      </c>
      <c r="L25" s="403"/>
      <c r="M25" s="403"/>
      <c r="N25" s="403"/>
      <c r="O25" s="403"/>
      <c r="P25" s="403"/>
      <c r="Q25" s="403"/>
      <c r="R25" s="403"/>
      <c r="S25" s="403"/>
      <c r="T25" s="403"/>
      <c r="U25" s="403"/>
      <c r="V25" s="403"/>
      <c r="W25" s="403"/>
      <c r="X25" s="572">
        <f t="shared" si="0"/>
        <v>0</v>
      </c>
      <c r="Y25" s="404"/>
      <c r="Z25" s="405"/>
      <c r="AA25" s="405"/>
      <c r="AB25" s="405"/>
      <c r="AC25" s="405"/>
      <c r="AD25" s="405"/>
      <c r="AE25" s="405"/>
      <c r="AF25" s="405"/>
      <c r="AG25" s="405"/>
      <c r="AH25" s="405"/>
      <c r="AI25" s="405"/>
      <c r="AJ25" s="405"/>
      <c r="AK25" s="405"/>
      <c r="AL25" s="406">
        <f t="shared" si="1"/>
        <v>0</v>
      </c>
      <c r="AM25" s="407"/>
      <c r="AN25" s="405"/>
      <c r="AO25" s="405"/>
      <c r="AP25" s="405"/>
      <c r="AQ25" s="405"/>
      <c r="AR25" s="405"/>
      <c r="AS25" s="405"/>
      <c r="AT25" s="405"/>
      <c r="AU25" s="405"/>
      <c r="AV25" s="405"/>
      <c r="AW25" s="405"/>
      <c r="AX25" s="405"/>
      <c r="AY25" s="405"/>
      <c r="AZ25" s="406">
        <f t="shared" si="2"/>
        <v>0</v>
      </c>
      <c r="BA25" s="573">
        <f t="shared" si="3"/>
        <v>-84000000.000000045</v>
      </c>
      <c r="BB25" s="574"/>
      <c r="BC25" s="408">
        <f t="shared" si="4"/>
        <v>0</v>
      </c>
      <c r="BD25" s="572" t="str">
        <f>IF('Budget Opex Detail'!C25="","",IF(COUNTIFS('Activity Master Opex'!$B$4:$B$42,'Budget Opex Detail'!$C25)&gt;0,"","New Activity"))</f>
        <v/>
      </c>
      <c r="BE25" s="575"/>
      <c r="BF25" s="576"/>
      <c r="BG25" s="409"/>
      <c r="BH25" s="577"/>
      <c r="BI25" s="578"/>
      <c r="BJ25" s="578"/>
      <c r="BK25" s="579"/>
      <c r="BL25" s="410">
        <f t="shared" si="7"/>
        <v>0</v>
      </c>
      <c r="BM25" s="577"/>
      <c r="BN25" s="577"/>
      <c r="BO25" s="411">
        <f t="shared" si="5"/>
        <v>0</v>
      </c>
      <c r="BP25" s="580"/>
      <c r="BR25" s="581" t="str">
        <f>IF($H25="","",VLOOKUP($H25,'Master Data'!$B:$D,3,FALSE))</f>
        <v>Rental Expenses</v>
      </c>
      <c r="BS25" s="581" t="str">
        <f t="shared" si="6"/>
        <v>General Administrative</v>
      </c>
      <c r="BT25" s="581" t="str">
        <f>IF($H25="","",VLOOKUP(VALUE($H25),'Master Data'!B:I,8,FALSE))</f>
        <v>Rental</v>
      </c>
    </row>
    <row r="26" spans="1:72" s="412" customFormat="1" x14ac:dyDescent="0.25">
      <c r="A26" s="571" t="str">
        <f>IF(D26="","",Cover!$D$8)</f>
        <v>Information Technology</v>
      </c>
      <c r="B26" s="397" t="str">
        <f>IF(D26="","",IFERROR(VLOOKUP(G26,'Master Data'!$E$59:$J$144,6,FALSE),0))</f>
        <v>Information Technology</v>
      </c>
      <c r="C26" s="598" t="str">
        <f>IF(D26="","",_xlfn.XLOOKUP(D26,'Activity Master Opex'!C:C,'Activity Master Opex'!B:B,0,0,1))</f>
        <v>IT003-00022</v>
      </c>
      <c r="D26" s="399" t="s">
        <v>2013</v>
      </c>
      <c r="E26" s="583" t="str">
        <f>IF(D26="","",IFERROR(VLOOKUP(D26,'Activity Master Opex'!$C:$M,6,FALSE),0))</f>
        <v>The Meeting with External Parties ERP facilitates discussions and collaborations with external stakeholders regarding ERP system.</v>
      </c>
      <c r="F26" s="400" t="str">
        <f>IF($C26="","",VLOOKUP($C26,'Activity Master Opex'!$B:$I,3,0))</f>
        <v>10301IT003</v>
      </c>
      <c r="G26" s="398" t="str">
        <f>IF($C26="","",VLOOKUP($F26,'Master Data'!$D$59:$E$144,2,FALSE))</f>
        <v>IT BUSINESS SOLUTION</v>
      </c>
      <c r="H26" s="401">
        <f>IF($C26="","",VLOOKUP($C26,'Activity Master Opex'!$B:$I,5,0))</f>
        <v>62300010</v>
      </c>
      <c r="I26" s="571" t="str">
        <f>IFERROR(VLOOKUP(H26,'Master Data'!B:C,2,FALSE),"")</f>
        <v>Meeting Expenses</v>
      </c>
      <c r="J26" s="402">
        <f>2765.24090322581*15500</f>
        <v>42861234.00000006</v>
      </c>
      <c r="K26" s="402">
        <v>2667700</v>
      </c>
      <c r="L26" s="403"/>
      <c r="M26" s="403"/>
      <c r="N26" s="403"/>
      <c r="O26" s="403"/>
      <c r="P26" s="403"/>
      <c r="Q26" s="403"/>
      <c r="R26" s="403"/>
      <c r="S26" s="403"/>
      <c r="T26" s="403"/>
      <c r="U26" s="403"/>
      <c r="V26" s="403"/>
      <c r="W26" s="403"/>
      <c r="X26" s="572">
        <f t="shared" si="0"/>
        <v>0</v>
      </c>
      <c r="Y26" s="404"/>
      <c r="Z26" s="405"/>
      <c r="AA26" s="405"/>
      <c r="AB26" s="405"/>
      <c r="AC26" s="405"/>
      <c r="AD26" s="405"/>
      <c r="AE26" s="405"/>
      <c r="AF26" s="405"/>
      <c r="AG26" s="405"/>
      <c r="AH26" s="405"/>
      <c r="AI26" s="405"/>
      <c r="AJ26" s="405"/>
      <c r="AK26" s="405"/>
      <c r="AL26" s="406">
        <f t="shared" si="1"/>
        <v>0</v>
      </c>
      <c r="AM26" s="407"/>
      <c r="AN26" s="405"/>
      <c r="AO26" s="405"/>
      <c r="AP26" s="405"/>
      <c r="AQ26" s="405"/>
      <c r="AR26" s="405"/>
      <c r="AS26" s="405"/>
      <c r="AT26" s="405"/>
      <c r="AU26" s="405"/>
      <c r="AV26" s="405"/>
      <c r="AW26" s="405"/>
      <c r="AX26" s="405"/>
      <c r="AY26" s="405"/>
      <c r="AZ26" s="406">
        <f t="shared" si="2"/>
        <v>0</v>
      </c>
      <c r="BA26" s="573">
        <f t="shared" si="3"/>
        <v>-42861234.00000006</v>
      </c>
      <c r="BB26" s="574"/>
      <c r="BC26" s="408">
        <f t="shared" si="4"/>
        <v>0</v>
      </c>
      <c r="BD26" s="572" t="str">
        <f>IF('Budget Opex Detail'!C26="","",IF(COUNTIFS('Activity Master Opex'!$B$4:$B$42,'Budget Opex Detail'!$C26)&gt;0,"","New Activity"))</f>
        <v/>
      </c>
      <c r="BE26" s="575"/>
      <c r="BF26" s="576"/>
      <c r="BG26" s="409"/>
      <c r="BH26" s="577"/>
      <c r="BI26" s="578"/>
      <c r="BJ26" s="578"/>
      <c r="BK26" s="579"/>
      <c r="BL26" s="410">
        <f t="shared" si="7"/>
        <v>0</v>
      </c>
      <c r="BM26" s="577"/>
      <c r="BN26" s="577"/>
      <c r="BO26" s="411">
        <f t="shared" si="5"/>
        <v>0</v>
      </c>
      <c r="BP26" s="580"/>
      <c r="BR26" s="581" t="str">
        <f>IF($H26="","",VLOOKUP($H26,'Master Data'!$B:$D,3,FALSE))</f>
        <v>Meeting &amp; Ceremony Expense</v>
      </c>
      <c r="BS26" s="581" t="str">
        <f t="shared" si="6"/>
        <v>General Administrative</v>
      </c>
      <c r="BT26" s="581" t="str">
        <f>IF($H26="","",VLOOKUP(VALUE($H26),'Master Data'!B:I,8,FALSE))</f>
        <v>Meeting and ceremony</v>
      </c>
    </row>
    <row r="27" spans="1:72" s="412" customFormat="1" x14ac:dyDescent="0.25">
      <c r="A27" s="571" t="str">
        <f>IF(D27="","",Cover!$D$8)</f>
        <v>Information Technology</v>
      </c>
      <c r="B27" s="397" t="str">
        <f>IF(D27="","",IFERROR(VLOOKUP(G27,'Master Data'!$E$59:$J$144,6,FALSE),0))</f>
        <v>Information Technology</v>
      </c>
      <c r="C27" s="598" t="str">
        <f>IF(D27="","",_xlfn.XLOOKUP(D27,'Activity Master Opex'!C:C,'Activity Master Opex'!B:B,0,0,1))</f>
        <v>IT003-00032</v>
      </c>
      <c r="D27" s="399" t="s">
        <v>1897</v>
      </c>
      <c r="E27" s="583" t="str">
        <f>IF(D27="","",IFERROR(VLOOKUP(D27,'Activity Master Opex'!$C:$M,6,FALSE),0))</f>
        <v>SAP RISE licenses offer comprehensive cloud-based ERP solutions to streamline and innovate business operations.</v>
      </c>
      <c r="F27" s="400" t="str">
        <f>IF($C27="","",VLOOKUP($C27,'Activity Master Opex'!$B:$I,3,0))</f>
        <v>10301IT003</v>
      </c>
      <c r="G27" s="398" t="str">
        <f>IF($C27="","",VLOOKUP($F27,'Master Data'!$D$59:$E$144,2,FALSE))</f>
        <v>IT BUSINESS SOLUTION</v>
      </c>
      <c r="H27" s="401">
        <f>IF($C27="","",VLOOKUP($C27,'Activity Master Opex'!$B:$I,5,0))</f>
        <v>62900020</v>
      </c>
      <c r="I27" s="571" t="str">
        <f>IFERROR(VLOOKUP(H27,'Master Data'!B:C,2,FALSE),"")</f>
        <v>Subscriptions and Periodicals</v>
      </c>
      <c r="J27" s="402">
        <f>331829.590322581*15500</f>
        <v>5143358650.0000057</v>
      </c>
      <c r="K27" s="402">
        <v>2887691799</v>
      </c>
      <c r="L27" s="403"/>
      <c r="M27" s="403"/>
      <c r="N27" s="403"/>
      <c r="O27" s="403"/>
      <c r="P27" s="403"/>
      <c r="Q27" s="403"/>
      <c r="R27" s="403"/>
      <c r="S27" s="403"/>
      <c r="T27" s="403"/>
      <c r="U27" s="403"/>
      <c r="V27" s="403"/>
      <c r="W27" s="403"/>
      <c r="X27" s="572">
        <f t="shared" si="0"/>
        <v>0</v>
      </c>
      <c r="Y27" s="404"/>
      <c r="Z27" s="405"/>
      <c r="AA27" s="405"/>
      <c r="AB27" s="405"/>
      <c r="AC27" s="405"/>
      <c r="AD27" s="405"/>
      <c r="AE27" s="405"/>
      <c r="AF27" s="405"/>
      <c r="AG27" s="405"/>
      <c r="AH27" s="405"/>
      <c r="AI27" s="405"/>
      <c r="AJ27" s="405"/>
      <c r="AK27" s="405"/>
      <c r="AL27" s="406">
        <f t="shared" si="1"/>
        <v>0</v>
      </c>
      <c r="AM27" s="407"/>
      <c r="AN27" s="405"/>
      <c r="AO27" s="405"/>
      <c r="AP27" s="405"/>
      <c r="AQ27" s="405"/>
      <c r="AR27" s="405"/>
      <c r="AS27" s="405"/>
      <c r="AT27" s="405"/>
      <c r="AU27" s="405"/>
      <c r="AV27" s="405"/>
      <c r="AW27" s="405"/>
      <c r="AX27" s="405"/>
      <c r="AY27" s="405"/>
      <c r="AZ27" s="406">
        <f t="shared" si="2"/>
        <v>0</v>
      </c>
      <c r="BA27" s="573">
        <f t="shared" si="3"/>
        <v>-5143358650.0000057</v>
      </c>
      <c r="BB27" s="574"/>
      <c r="BC27" s="408">
        <f t="shared" si="4"/>
        <v>0</v>
      </c>
      <c r="BD27" s="572" t="str">
        <f>IF('Budget Opex Detail'!C27="","",IF(COUNTIFS('Activity Master Opex'!$B$4:$B$42,'Budget Opex Detail'!$C27)&gt;0,"","New Activity"))</f>
        <v/>
      </c>
      <c r="BE27" s="575"/>
      <c r="BF27" s="576"/>
      <c r="BG27" s="409"/>
      <c r="BH27" s="577"/>
      <c r="BI27" s="578"/>
      <c r="BJ27" s="578"/>
      <c r="BK27" s="579"/>
      <c r="BL27" s="410">
        <f t="shared" si="7"/>
        <v>0</v>
      </c>
      <c r="BM27" s="577"/>
      <c r="BN27" s="577"/>
      <c r="BO27" s="411">
        <f t="shared" si="5"/>
        <v>0</v>
      </c>
      <c r="BP27" s="580"/>
      <c r="BR27" s="581" t="str">
        <f>IF($H27="","",VLOOKUP($H27,'Master Data'!$B:$D,3,FALSE))</f>
        <v>Membership &amp; Sponsorship</v>
      </c>
      <c r="BS27" s="581" t="str">
        <f t="shared" si="6"/>
        <v>General Administrative</v>
      </c>
      <c r="BT27" s="581" t="str">
        <f>IF($H27="","",VLOOKUP(VALUE($H27),'Master Data'!B:I,8,FALSE))</f>
        <v>Subscriptions and Periodicals</v>
      </c>
    </row>
    <row r="28" spans="1:72" s="412" customFormat="1" x14ac:dyDescent="0.25">
      <c r="A28" s="571" t="str">
        <f>IF(D28="","",Cover!$D$8)</f>
        <v>Information Technology</v>
      </c>
      <c r="B28" s="397" t="str">
        <f>IF(D28="","",IFERROR(VLOOKUP(G28,'Master Data'!$E$59:$J$144,6,FALSE),0))</f>
        <v>Information Technology</v>
      </c>
      <c r="C28" s="598" t="str">
        <f>IF(D28="","",_xlfn.XLOOKUP(D28,'Activity Master Opex'!C:C,'Activity Master Opex'!B:B,0,0,1))</f>
        <v>IT003-00033</v>
      </c>
      <c r="D28" s="399" t="s">
        <v>2624</v>
      </c>
      <c r="E28" s="583" t="str">
        <f>IF(D28="","",IFERROR(VLOOKUP(D28,'Activity Master Opex'!$C:$M,6,FALSE),0))</f>
        <v>SAP Annual Maintenance Support ensures continuous system performance and updates through regular maintenance and expert assistance.</v>
      </c>
      <c r="F28" s="400" t="str">
        <f>IF($C28="","",VLOOKUP($C28,'Activity Master Opex'!$B:$I,3,0))</f>
        <v>10301IT003</v>
      </c>
      <c r="G28" s="398" t="str">
        <f>IF($C28="","",VLOOKUP($F28,'Master Data'!$D$59:$E$144,2,FALSE))</f>
        <v>IT BUSINESS SOLUTION</v>
      </c>
      <c r="H28" s="401">
        <f>IF($C28="","",VLOOKUP($C28,'Activity Master Opex'!$B:$I,5,0))</f>
        <v>61900090</v>
      </c>
      <c r="I28" s="571" t="str">
        <f>IFERROR(VLOOKUP(H28,'Master Data'!B:C,2,FALSE),"")</f>
        <v>PF - Other Professional Fees</v>
      </c>
      <c r="J28" s="402">
        <f>32051.6129032258*15500</f>
        <v>496799999.99999988</v>
      </c>
      <c r="K28" s="402">
        <v>130772265</v>
      </c>
      <c r="L28" s="403"/>
      <c r="M28" s="403"/>
      <c r="N28" s="403"/>
      <c r="O28" s="403"/>
      <c r="P28" s="403"/>
      <c r="Q28" s="403"/>
      <c r="R28" s="403"/>
      <c r="S28" s="403"/>
      <c r="T28" s="403"/>
      <c r="U28" s="403"/>
      <c r="V28" s="403"/>
      <c r="W28" s="403"/>
      <c r="X28" s="572">
        <f t="shared" si="0"/>
        <v>0</v>
      </c>
      <c r="Y28" s="404"/>
      <c r="Z28" s="405"/>
      <c r="AA28" s="405"/>
      <c r="AB28" s="405"/>
      <c r="AC28" s="405"/>
      <c r="AD28" s="405"/>
      <c r="AE28" s="405"/>
      <c r="AF28" s="405"/>
      <c r="AG28" s="405"/>
      <c r="AH28" s="405"/>
      <c r="AI28" s="405"/>
      <c r="AJ28" s="405"/>
      <c r="AK28" s="405"/>
      <c r="AL28" s="406">
        <f t="shared" si="1"/>
        <v>0</v>
      </c>
      <c r="AM28" s="407"/>
      <c r="AN28" s="405"/>
      <c r="AO28" s="405"/>
      <c r="AP28" s="405"/>
      <c r="AQ28" s="405"/>
      <c r="AR28" s="405"/>
      <c r="AS28" s="405"/>
      <c r="AT28" s="405"/>
      <c r="AU28" s="405"/>
      <c r="AV28" s="405"/>
      <c r="AW28" s="405"/>
      <c r="AX28" s="405"/>
      <c r="AY28" s="405"/>
      <c r="AZ28" s="406">
        <f t="shared" si="2"/>
        <v>0</v>
      </c>
      <c r="BA28" s="573">
        <f t="shared" si="3"/>
        <v>-496799999.99999988</v>
      </c>
      <c r="BB28" s="574"/>
      <c r="BC28" s="408">
        <f t="shared" si="4"/>
        <v>0</v>
      </c>
      <c r="BD28" s="572" t="str">
        <f>IF('Budget Opex Detail'!C28="","",IF(COUNTIFS('Activity Master Opex'!$B$4:$B$42,'Budget Opex Detail'!$C28)&gt;0,"","New Activity"))</f>
        <v/>
      </c>
      <c r="BE28" s="575"/>
      <c r="BF28" s="576"/>
      <c r="BG28" s="409"/>
      <c r="BH28" s="577"/>
      <c r="BI28" s="578"/>
      <c r="BJ28" s="578"/>
      <c r="BK28" s="579"/>
      <c r="BL28" s="410">
        <f t="shared" si="7"/>
        <v>0</v>
      </c>
      <c r="BM28" s="577"/>
      <c r="BN28" s="577"/>
      <c r="BO28" s="411">
        <f t="shared" si="5"/>
        <v>0</v>
      </c>
      <c r="BP28" s="580"/>
      <c r="BR28" s="581" t="str">
        <f>IF($H28="","",VLOOKUP($H28,'Master Data'!$B:$D,3,FALSE))</f>
        <v>Professional Fees</v>
      </c>
      <c r="BS28" s="581" t="str">
        <f t="shared" si="6"/>
        <v>General Administrative</v>
      </c>
      <c r="BT28" s="581" t="str">
        <f>IF($H28="","",VLOOKUP(VALUE($H28),'Master Data'!B:I,8,FALSE))</f>
        <v>Professional fees</v>
      </c>
    </row>
    <row r="29" spans="1:72" s="412" customFormat="1" x14ac:dyDescent="0.25">
      <c r="A29" s="571" t="str">
        <f>IF(D29="","",Cover!$D$8)</f>
        <v>Information Technology</v>
      </c>
      <c r="B29" s="397" t="str">
        <f>IF(D29="","",IFERROR(VLOOKUP(G29,'Master Data'!$E$59:$J$144,6,FALSE),0))</f>
        <v>Information Technology</v>
      </c>
      <c r="C29" s="598" t="str">
        <f>IF(D29="","",_xlfn.XLOOKUP(D29,'Activity Master Opex'!C:C,'Activity Master Opex'!B:B,0,0,1))</f>
        <v>IT003-00040</v>
      </c>
      <c r="D29" s="399" t="s">
        <v>2625</v>
      </c>
      <c r="E29" s="583" t="str">
        <f>IF(D29="","",IFERROR(VLOOKUP(D29,'Activity Master Opex'!$C:$M,6,FALSE),0))</f>
        <v>Satellite App Annual Maintenance Support ensures the ongoing functionality and updates of satellite applications.</v>
      </c>
      <c r="F29" s="400" t="str">
        <f>IF($C29="","",VLOOKUP($C29,'Activity Master Opex'!$B:$I,3,0))</f>
        <v>10301IT003</v>
      </c>
      <c r="G29" s="398" t="str">
        <f>IF($C29="","",VLOOKUP($F29,'Master Data'!$D$59:$E$144,2,FALSE))</f>
        <v>IT BUSINESS SOLUTION</v>
      </c>
      <c r="H29" s="401">
        <f>IF($C29="","",VLOOKUP($C29,'Activity Master Opex'!$B:$I,5,0))</f>
        <v>61900090</v>
      </c>
      <c r="I29" s="571" t="str">
        <f>IFERROR(VLOOKUP(H29,'Master Data'!B:C,2,FALSE),"")</f>
        <v>PF - Other Professional Fees</v>
      </c>
      <c r="J29" s="402">
        <f>90596.7741935484*15500</f>
        <v>1404250000</v>
      </c>
      <c r="K29" s="402">
        <v>212386750</v>
      </c>
      <c r="L29" s="403"/>
      <c r="M29" s="403"/>
      <c r="N29" s="403"/>
      <c r="O29" s="403"/>
      <c r="P29" s="403"/>
      <c r="Q29" s="403"/>
      <c r="R29" s="403"/>
      <c r="S29" s="403"/>
      <c r="T29" s="403"/>
      <c r="U29" s="403"/>
      <c r="V29" s="403"/>
      <c r="W29" s="403"/>
      <c r="X29" s="572">
        <f t="shared" si="0"/>
        <v>0</v>
      </c>
      <c r="Y29" s="404"/>
      <c r="Z29" s="405"/>
      <c r="AA29" s="405"/>
      <c r="AB29" s="405"/>
      <c r="AC29" s="405"/>
      <c r="AD29" s="405"/>
      <c r="AE29" s="405"/>
      <c r="AF29" s="405"/>
      <c r="AG29" s="405"/>
      <c r="AH29" s="405"/>
      <c r="AI29" s="405"/>
      <c r="AJ29" s="405"/>
      <c r="AK29" s="405"/>
      <c r="AL29" s="406">
        <f t="shared" si="1"/>
        <v>0</v>
      </c>
      <c r="AM29" s="407"/>
      <c r="AN29" s="405"/>
      <c r="AO29" s="405"/>
      <c r="AP29" s="405"/>
      <c r="AQ29" s="405"/>
      <c r="AR29" s="405"/>
      <c r="AS29" s="405"/>
      <c r="AT29" s="405"/>
      <c r="AU29" s="405"/>
      <c r="AV29" s="405"/>
      <c r="AW29" s="405"/>
      <c r="AX29" s="405"/>
      <c r="AY29" s="405"/>
      <c r="AZ29" s="406">
        <f t="shared" si="2"/>
        <v>0</v>
      </c>
      <c r="BA29" s="573">
        <f t="shared" si="3"/>
        <v>-1404250000</v>
      </c>
      <c r="BB29" s="574"/>
      <c r="BC29" s="408">
        <f t="shared" si="4"/>
        <v>0</v>
      </c>
      <c r="BD29" s="572" t="str">
        <f>IF('Budget Opex Detail'!C29="","",IF(COUNTIFS('Activity Master Opex'!$B$4:$B$42,'Budget Opex Detail'!$C29)&gt;0,"","New Activity"))</f>
        <v/>
      </c>
      <c r="BE29" s="575"/>
      <c r="BF29" s="576"/>
      <c r="BG29" s="409"/>
      <c r="BH29" s="577"/>
      <c r="BI29" s="578"/>
      <c r="BJ29" s="578"/>
      <c r="BK29" s="579"/>
      <c r="BL29" s="410">
        <f t="shared" si="7"/>
        <v>0</v>
      </c>
      <c r="BM29" s="577"/>
      <c r="BN29" s="577"/>
      <c r="BO29" s="411">
        <f t="shared" si="5"/>
        <v>0</v>
      </c>
      <c r="BP29" s="580"/>
      <c r="BR29" s="581" t="str">
        <f>IF($H29="","",VLOOKUP($H29,'Master Data'!$B:$D,3,FALSE))</f>
        <v>Professional Fees</v>
      </c>
      <c r="BS29" s="581" t="str">
        <f t="shared" si="6"/>
        <v>General Administrative</v>
      </c>
      <c r="BT29" s="581" t="str">
        <f>IF($H29="","",VLOOKUP(VALUE($H29),'Master Data'!B:I,8,FALSE))</f>
        <v>Professional fees</v>
      </c>
    </row>
    <row r="30" spans="1:72" s="412" customFormat="1" x14ac:dyDescent="0.25">
      <c r="A30" s="571" t="str">
        <f>IF(D30="","",Cover!$D$8)</f>
        <v>Information Technology</v>
      </c>
      <c r="B30" s="397" t="str">
        <f>IF(D30="","",IFERROR(VLOOKUP(G30,'Master Data'!$E$59:$J$144,6,FALSE),0))</f>
        <v>Information Technology</v>
      </c>
      <c r="C30" s="598" t="str">
        <f>IF(D30="","",_xlfn.XLOOKUP(D30,'Activity Master Opex'!C:C,'Activity Master Opex'!B:B,0,0,1))</f>
        <v>IT003-00047</v>
      </c>
      <c r="D30" s="399" t="s">
        <v>2626</v>
      </c>
      <c r="E30" s="583" t="str">
        <f>IF(D30="","",IFERROR(VLOOKUP(D30,'Activity Master Opex'!$C:$M,6,FALSE),0))</f>
        <v>Service that provides external personnel to handle specific tasks or roles, offering flexibility and cost savings for businesses.</v>
      </c>
      <c r="F30" s="400" t="str">
        <f>IF($C30="","",VLOOKUP($C30,'Activity Master Opex'!$B:$I,3,0))</f>
        <v>10301IT003</v>
      </c>
      <c r="G30" s="398" t="str">
        <f>IF($C30="","",VLOOKUP($F30,'Master Data'!$D$59:$E$144,2,FALSE))</f>
        <v>IT BUSINESS SOLUTION</v>
      </c>
      <c r="H30" s="401">
        <f>IF($C30="","",VLOOKUP($C30,'Activity Master Opex'!$B:$I,5,0))</f>
        <v>60300010</v>
      </c>
      <c r="I30" s="571" t="str">
        <f>IFERROR(VLOOKUP(H30,'Master Data'!B:C,2,FALSE),"")</f>
        <v>Outsourcing Services</v>
      </c>
      <c r="J30" s="402">
        <f>49290.3225806452*15500</f>
        <v>764000000.0000006</v>
      </c>
      <c r="K30" s="402">
        <v>374215318</v>
      </c>
      <c r="L30" s="403"/>
      <c r="M30" s="403"/>
      <c r="N30" s="403"/>
      <c r="O30" s="403"/>
      <c r="P30" s="403"/>
      <c r="Q30" s="403"/>
      <c r="R30" s="403"/>
      <c r="S30" s="403"/>
      <c r="T30" s="403"/>
      <c r="U30" s="403"/>
      <c r="V30" s="403"/>
      <c r="W30" s="403"/>
      <c r="X30" s="572">
        <f t="shared" si="0"/>
        <v>0</v>
      </c>
      <c r="Y30" s="404"/>
      <c r="Z30" s="405"/>
      <c r="AA30" s="405"/>
      <c r="AB30" s="405"/>
      <c r="AC30" s="405"/>
      <c r="AD30" s="405"/>
      <c r="AE30" s="405"/>
      <c r="AF30" s="405"/>
      <c r="AG30" s="405"/>
      <c r="AH30" s="405"/>
      <c r="AI30" s="405"/>
      <c r="AJ30" s="405"/>
      <c r="AK30" s="405"/>
      <c r="AL30" s="406">
        <f t="shared" si="1"/>
        <v>0</v>
      </c>
      <c r="AM30" s="407"/>
      <c r="AN30" s="405"/>
      <c r="AO30" s="405"/>
      <c r="AP30" s="405"/>
      <c r="AQ30" s="405"/>
      <c r="AR30" s="405"/>
      <c r="AS30" s="405"/>
      <c r="AT30" s="405"/>
      <c r="AU30" s="405"/>
      <c r="AV30" s="405"/>
      <c r="AW30" s="405"/>
      <c r="AX30" s="405"/>
      <c r="AY30" s="405"/>
      <c r="AZ30" s="406">
        <f t="shared" si="2"/>
        <v>0</v>
      </c>
      <c r="BA30" s="573">
        <f t="shared" si="3"/>
        <v>-764000000.0000006</v>
      </c>
      <c r="BB30" s="574"/>
      <c r="BC30" s="408">
        <f t="shared" si="4"/>
        <v>0</v>
      </c>
      <c r="BD30" s="572" t="str">
        <f>IF('Budget Opex Detail'!C30="","",IF(COUNTIFS('Activity Master Opex'!$B$4:$B$42,'Budget Opex Detail'!$C30)&gt;0,"","New Activity"))</f>
        <v/>
      </c>
      <c r="BE30" s="575"/>
      <c r="BF30" s="576"/>
      <c r="BG30" s="409"/>
      <c r="BH30" s="577"/>
      <c r="BI30" s="578"/>
      <c r="BJ30" s="578"/>
      <c r="BK30" s="579"/>
      <c r="BL30" s="410">
        <f t="shared" si="7"/>
        <v>0</v>
      </c>
      <c r="BM30" s="577"/>
      <c r="BN30" s="577"/>
      <c r="BO30" s="411">
        <f t="shared" si="5"/>
        <v>0</v>
      </c>
      <c r="BP30" s="580"/>
      <c r="BR30" s="581" t="str">
        <f>IF($H30="","",VLOOKUP($H30,'Master Data'!$B:$D,3,FALSE))</f>
        <v>Services Expense</v>
      </c>
      <c r="BS30" s="581" t="str">
        <f t="shared" si="6"/>
        <v>General Administrative</v>
      </c>
      <c r="BT30" s="581" t="str">
        <f>IF($H30="","",VLOOKUP(VALUE($H30),'Master Data'!B:I,8,FALSE))</f>
        <v>Third Parties Services</v>
      </c>
    </row>
    <row r="31" spans="1:72" s="412" customFormat="1" x14ac:dyDescent="0.25">
      <c r="A31" s="571" t="str">
        <f>IF(D31="","",Cover!$D$8)</f>
        <v>Information Technology</v>
      </c>
      <c r="B31" s="397" t="str">
        <f>IF(D31="","",IFERROR(VLOOKUP(G31,'Master Data'!$E$59:$J$144,6,FALSE),0))</f>
        <v>Information Technology</v>
      </c>
      <c r="C31" s="598" t="str">
        <f>IF(D31="","",_xlfn.XLOOKUP(D31,'Activity Master Opex'!C:C,'Activity Master Opex'!B:B,0,0,1))</f>
        <v>IT003-00048</v>
      </c>
      <c r="D31" s="399" t="s">
        <v>2627</v>
      </c>
      <c r="E31" s="583" t="str">
        <f>IF(D31="","",IFERROR(VLOOKUP(D31,'Activity Master Opex'!$C:$M,6,FALSE),0))</f>
        <v>Service offering businesses the ability to rent IT equipment, such as laptops, servers, and other devices, instead of purchasing them outright.</v>
      </c>
      <c r="F31" s="400" t="str">
        <f>IF($C31="","",VLOOKUP($C31,'Activity Master Opex'!$B:$I,3,0))</f>
        <v>10301IT003</v>
      </c>
      <c r="G31" s="398" t="str">
        <f>IF($C31="","",VLOOKUP($F31,'Master Data'!$D$59:$E$144,2,FALSE))</f>
        <v>IT BUSINESS SOLUTION</v>
      </c>
      <c r="H31" s="401">
        <f>IF($C31="","",VLOOKUP($C31,'Activity Master Opex'!$B:$I,5,0))</f>
        <v>61700070</v>
      </c>
      <c r="I31" s="571" t="str">
        <f>IFERROR(VLOOKUP(H31,'Master Data'!B:C,2,FALSE),"")</f>
        <v>RE - Rental Other</v>
      </c>
      <c r="J31" s="402">
        <f>4354.83870967742*15500</f>
        <v>67500000.000000015</v>
      </c>
      <c r="K31" s="402">
        <v>10700000</v>
      </c>
      <c r="L31" s="403"/>
      <c r="M31" s="403"/>
      <c r="N31" s="403"/>
      <c r="O31" s="403"/>
      <c r="P31" s="403"/>
      <c r="Q31" s="403"/>
      <c r="R31" s="403"/>
      <c r="S31" s="403"/>
      <c r="T31" s="403"/>
      <c r="U31" s="403"/>
      <c r="V31" s="403"/>
      <c r="W31" s="403"/>
      <c r="X31" s="572">
        <f t="shared" si="0"/>
        <v>0</v>
      </c>
      <c r="Y31" s="404"/>
      <c r="Z31" s="405"/>
      <c r="AA31" s="405"/>
      <c r="AB31" s="405"/>
      <c r="AC31" s="405"/>
      <c r="AD31" s="405"/>
      <c r="AE31" s="405"/>
      <c r="AF31" s="405"/>
      <c r="AG31" s="405"/>
      <c r="AH31" s="405"/>
      <c r="AI31" s="405"/>
      <c r="AJ31" s="405"/>
      <c r="AK31" s="405"/>
      <c r="AL31" s="406">
        <f t="shared" si="1"/>
        <v>0</v>
      </c>
      <c r="AM31" s="407"/>
      <c r="AN31" s="405"/>
      <c r="AO31" s="405"/>
      <c r="AP31" s="405"/>
      <c r="AQ31" s="405"/>
      <c r="AR31" s="405"/>
      <c r="AS31" s="405"/>
      <c r="AT31" s="405"/>
      <c r="AU31" s="405"/>
      <c r="AV31" s="405"/>
      <c r="AW31" s="405"/>
      <c r="AX31" s="405"/>
      <c r="AY31" s="405"/>
      <c r="AZ31" s="406">
        <f t="shared" si="2"/>
        <v>0</v>
      </c>
      <c r="BA31" s="573">
        <f t="shared" si="3"/>
        <v>-67500000.000000015</v>
      </c>
      <c r="BB31" s="574"/>
      <c r="BC31" s="408">
        <f t="shared" si="4"/>
        <v>0</v>
      </c>
      <c r="BD31" s="572" t="str">
        <f>IF('Budget Opex Detail'!C31="","",IF(COUNTIFS('Activity Master Opex'!$B$4:$B$42,'Budget Opex Detail'!$C31)&gt;0,"","New Activity"))</f>
        <v/>
      </c>
      <c r="BE31" s="575"/>
      <c r="BF31" s="576"/>
      <c r="BG31" s="409"/>
      <c r="BH31" s="577"/>
      <c r="BI31" s="578"/>
      <c r="BJ31" s="578"/>
      <c r="BK31" s="579"/>
      <c r="BL31" s="410">
        <f t="shared" si="7"/>
        <v>0</v>
      </c>
      <c r="BM31" s="577"/>
      <c r="BN31" s="577"/>
      <c r="BO31" s="411">
        <f t="shared" si="5"/>
        <v>0</v>
      </c>
      <c r="BP31" s="580"/>
      <c r="BR31" s="581" t="str">
        <f>IF($H31="","",VLOOKUP($H31,'Master Data'!$B:$D,3,FALSE))</f>
        <v>Rental Expenses</v>
      </c>
      <c r="BS31" s="581" t="str">
        <f t="shared" si="6"/>
        <v>General Administrative</v>
      </c>
      <c r="BT31" s="581" t="str">
        <f>IF($H31="","",VLOOKUP(VALUE($H31),'Master Data'!B:I,8,FALSE))</f>
        <v>Rental</v>
      </c>
    </row>
    <row r="32" spans="1:72" s="412" customFormat="1" x14ac:dyDescent="0.25">
      <c r="A32" s="571" t="str">
        <f>IF(D32="","",Cover!$D$8)</f>
        <v>Information Technology</v>
      </c>
      <c r="B32" s="397" t="str">
        <f>IF(D32="","",IFERROR(VLOOKUP(G32,'Master Data'!$E$59:$J$144,6,FALSE),0))</f>
        <v>Information Technology</v>
      </c>
      <c r="C32" s="598" t="str">
        <f>IF(D32="","",_xlfn.XLOOKUP(D32,'Activity Master Opex'!C:C,'Activity Master Opex'!B:B,0,0,1))</f>
        <v>IT003-00049</v>
      </c>
      <c r="D32" s="399" t="s">
        <v>2628</v>
      </c>
      <c r="E32" s="583" t="str">
        <f>IF(D32="","",IFERROR(VLOOKUP(D32,'Activity Master Opex'!$C:$M,6,FALSE),0))</f>
        <v>Subscription-based service that provides access to satellite-based applications, often used for data transmission, communication, and remote sensing.</v>
      </c>
      <c r="F32" s="400" t="str">
        <f>IF($C32="","",VLOOKUP($C32,'Activity Master Opex'!$B:$I,3,0))</f>
        <v>10301IT003</v>
      </c>
      <c r="G32" s="398" t="str">
        <f>IF($C32="","",VLOOKUP($F32,'Master Data'!$D$59:$E$144,2,FALSE))</f>
        <v>IT BUSINESS SOLUTION</v>
      </c>
      <c r="H32" s="401">
        <f>IF($C32="","",VLOOKUP($C32,'Activity Master Opex'!$B:$I,5,0))</f>
        <v>62900020</v>
      </c>
      <c r="I32" s="571" t="str">
        <f>IFERROR(VLOOKUP(H32,'Master Data'!B:C,2,FALSE),"")</f>
        <v>Subscriptions and Periodicals</v>
      </c>
      <c r="J32" s="402">
        <f>118693.303225806*15500</f>
        <v>1839746199.9999928</v>
      </c>
      <c r="K32" s="402">
        <v>262155126</v>
      </c>
      <c r="L32" s="403"/>
      <c r="M32" s="403"/>
      <c r="N32" s="403"/>
      <c r="O32" s="403"/>
      <c r="P32" s="403"/>
      <c r="Q32" s="403"/>
      <c r="R32" s="403"/>
      <c r="S32" s="403"/>
      <c r="T32" s="403"/>
      <c r="U32" s="403"/>
      <c r="V32" s="403"/>
      <c r="W32" s="403"/>
      <c r="X32" s="572">
        <f t="shared" si="0"/>
        <v>0</v>
      </c>
      <c r="Y32" s="404"/>
      <c r="Z32" s="405"/>
      <c r="AA32" s="405"/>
      <c r="AB32" s="405"/>
      <c r="AC32" s="405"/>
      <c r="AD32" s="405"/>
      <c r="AE32" s="405"/>
      <c r="AF32" s="405"/>
      <c r="AG32" s="405"/>
      <c r="AH32" s="405"/>
      <c r="AI32" s="405"/>
      <c r="AJ32" s="405"/>
      <c r="AK32" s="405"/>
      <c r="AL32" s="406">
        <f t="shared" si="1"/>
        <v>0</v>
      </c>
      <c r="AM32" s="407"/>
      <c r="AN32" s="405"/>
      <c r="AO32" s="405"/>
      <c r="AP32" s="405"/>
      <c r="AQ32" s="405"/>
      <c r="AR32" s="405"/>
      <c r="AS32" s="405"/>
      <c r="AT32" s="405"/>
      <c r="AU32" s="405"/>
      <c r="AV32" s="405"/>
      <c r="AW32" s="405"/>
      <c r="AX32" s="405"/>
      <c r="AY32" s="405"/>
      <c r="AZ32" s="406">
        <f t="shared" si="2"/>
        <v>0</v>
      </c>
      <c r="BA32" s="573">
        <f t="shared" si="3"/>
        <v>-1839746199.9999928</v>
      </c>
      <c r="BB32" s="574"/>
      <c r="BC32" s="408">
        <f t="shared" si="4"/>
        <v>0</v>
      </c>
      <c r="BD32" s="572" t="str">
        <f>IF('Budget Opex Detail'!C32="","",IF(COUNTIFS('Activity Master Opex'!$B$4:$B$42,'Budget Opex Detail'!$C32)&gt;0,"","New Activity"))</f>
        <v/>
      </c>
      <c r="BE32" s="575"/>
      <c r="BF32" s="576"/>
      <c r="BG32" s="409"/>
      <c r="BH32" s="577"/>
      <c r="BI32" s="578"/>
      <c r="BJ32" s="578"/>
      <c r="BK32" s="579"/>
      <c r="BL32" s="410">
        <f t="shared" si="7"/>
        <v>0</v>
      </c>
      <c r="BM32" s="577"/>
      <c r="BN32" s="577"/>
      <c r="BO32" s="411">
        <f t="shared" si="5"/>
        <v>0</v>
      </c>
      <c r="BP32" s="580"/>
      <c r="BR32" s="581" t="str">
        <f>IF($H32="","",VLOOKUP($H32,'Master Data'!$B:$D,3,FALSE))</f>
        <v>Membership &amp; Sponsorship</v>
      </c>
      <c r="BS32" s="581" t="str">
        <f t="shared" si="6"/>
        <v>General Administrative</v>
      </c>
      <c r="BT32" s="581" t="str">
        <f>IF($H32="","",VLOOKUP(VALUE($H32),'Master Data'!B:I,8,FALSE))</f>
        <v>Subscriptions and Periodicals</v>
      </c>
    </row>
    <row r="33" spans="1:72" s="412" customFormat="1" x14ac:dyDescent="0.25">
      <c r="A33" s="571" t="str">
        <f>IF(D33="","",Cover!$D$8)</f>
        <v>Information Technology</v>
      </c>
      <c r="B33" s="397" t="str">
        <f>IF(D33="","",IFERROR(VLOOKUP(G33,'Master Data'!$E$59:$J$144,6,FALSE),0))</f>
        <v>Information Technology</v>
      </c>
      <c r="C33" s="598" t="str">
        <f>IF(D33="","",_xlfn.XLOOKUP(D33,'Activity Master Opex'!C:C,'Activity Master Opex'!B:B,0,0,1))</f>
        <v>IT003-00050</v>
      </c>
      <c r="D33" s="399" t="s">
        <v>2629</v>
      </c>
      <c r="E33" s="583" t="str">
        <f>IF(D33="","",IFERROR(VLOOKUP(D33,'Activity Master Opex'!$C:$M,6,FALSE),0))</f>
        <v xml:space="preserve"> Services and solutions that involve the transmission of information over various types of networks, including voice, data, and video communications.</v>
      </c>
      <c r="F33" s="400" t="str">
        <f>IF($C33="","",VLOOKUP($C33,'Activity Master Opex'!$B:$I,3,0))</f>
        <v>10301IT003</v>
      </c>
      <c r="G33" s="398" t="str">
        <f>IF($C33="","",VLOOKUP($F33,'Master Data'!$D$59:$E$144,2,FALSE))</f>
        <v>IT BUSINESS SOLUTION</v>
      </c>
      <c r="H33" s="401">
        <f>IF($C33="","",VLOOKUP($C33,'Activity Master Opex'!$B:$I,5,0))</f>
        <v>61800010</v>
      </c>
      <c r="I33" s="571" t="str">
        <f>IFERROR(VLOOKUP(H33,'Master Data'!B:C,2,FALSE),"")</f>
        <v>PT Exp. - Telecommunication &amp; Internet</v>
      </c>
      <c r="J33" s="402">
        <f>1031.6451483871*15500</f>
        <v>15990499.800000051</v>
      </c>
      <c r="K33" s="402">
        <v>4476069</v>
      </c>
      <c r="L33" s="403"/>
      <c r="M33" s="403"/>
      <c r="N33" s="403"/>
      <c r="O33" s="403"/>
      <c r="P33" s="403"/>
      <c r="Q33" s="403"/>
      <c r="R33" s="403"/>
      <c r="S33" s="403"/>
      <c r="T33" s="403"/>
      <c r="U33" s="403"/>
      <c r="V33" s="403"/>
      <c r="W33" s="403"/>
      <c r="X33" s="572">
        <f t="shared" si="0"/>
        <v>0</v>
      </c>
      <c r="Y33" s="404"/>
      <c r="Z33" s="405"/>
      <c r="AA33" s="405"/>
      <c r="AB33" s="405"/>
      <c r="AC33" s="405"/>
      <c r="AD33" s="405"/>
      <c r="AE33" s="405"/>
      <c r="AF33" s="405"/>
      <c r="AG33" s="405"/>
      <c r="AH33" s="405"/>
      <c r="AI33" s="405"/>
      <c r="AJ33" s="405"/>
      <c r="AK33" s="405"/>
      <c r="AL33" s="406">
        <f t="shared" si="1"/>
        <v>0</v>
      </c>
      <c r="AM33" s="407"/>
      <c r="AN33" s="405"/>
      <c r="AO33" s="405"/>
      <c r="AP33" s="405"/>
      <c r="AQ33" s="405"/>
      <c r="AR33" s="405"/>
      <c r="AS33" s="405"/>
      <c r="AT33" s="405"/>
      <c r="AU33" s="405"/>
      <c r="AV33" s="405"/>
      <c r="AW33" s="405"/>
      <c r="AX33" s="405"/>
      <c r="AY33" s="405"/>
      <c r="AZ33" s="406">
        <f t="shared" si="2"/>
        <v>0</v>
      </c>
      <c r="BA33" s="573">
        <f t="shared" si="3"/>
        <v>-15990499.800000051</v>
      </c>
      <c r="BB33" s="574"/>
      <c r="BC33" s="408">
        <f t="shared" si="4"/>
        <v>0</v>
      </c>
      <c r="BD33" s="572" t="str">
        <f>IF('Budget Opex Detail'!C33="","",IF(COUNTIFS('Activity Master Opex'!$B$4:$B$42,'Budget Opex Detail'!$C33)&gt;0,"","New Activity"))</f>
        <v/>
      </c>
      <c r="BE33" s="575"/>
      <c r="BF33" s="576"/>
      <c r="BG33" s="409"/>
      <c r="BH33" s="577"/>
      <c r="BI33" s="578"/>
      <c r="BJ33" s="578"/>
      <c r="BK33" s="579"/>
      <c r="BL33" s="410">
        <f t="shared" si="7"/>
        <v>0</v>
      </c>
      <c r="BM33" s="577"/>
      <c r="BN33" s="577"/>
      <c r="BO33" s="411">
        <f t="shared" si="5"/>
        <v>0</v>
      </c>
      <c r="BP33" s="580"/>
      <c r="BR33" s="581" t="str">
        <f>IF($H33="","",VLOOKUP($H33,'Master Data'!$B:$D,3,FALSE))</f>
        <v>Postage &amp; Telecom E</v>
      </c>
      <c r="BS33" s="581" t="str">
        <f t="shared" si="6"/>
        <v>General Administrative</v>
      </c>
      <c r="BT33" s="581" t="str">
        <f>IF($H33="","",VLOOKUP(VALUE($H33),'Master Data'!B:I,8,FALSE))</f>
        <v>Postage and telecomunication</v>
      </c>
    </row>
    <row r="34" spans="1:72" s="412" customFormat="1" x14ac:dyDescent="0.25">
      <c r="A34" s="571" t="str">
        <f>IF(D34="","",Cover!$D$8)</f>
        <v>Information Technology</v>
      </c>
      <c r="B34" s="397" t="str">
        <f>IF(D34="","",IFERROR(VLOOKUP(G34,'Master Data'!$E$59:$J$144,6,FALSE),0))</f>
        <v>Information Technology</v>
      </c>
      <c r="C34" s="598" t="str">
        <f>IF(D34="","",_xlfn.XLOOKUP(D34,'Activity Master Opex'!C:C,'Activity Master Opex'!B:B,0,0,1))</f>
        <v>IT003-00051</v>
      </c>
      <c r="D34" s="399" t="s">
        <v>2630</v>
      </c>
      <c r="E34" s="583" t="str">
        <f>IF(D34="","",IFERROR(VLOOKUP(D34,'Activity Master Opex'!$C:$M,6,FALSE),0))</f>
        <v>Service designed to manage and streamline the process of planning, booking, and managing business trips, ensuring efficiency and cost-effectiveness.</v>
      </c>
      <c r="F34" s="400" t="str">
        <f>IF($C34="","",VLOOKUP($C34,'Activity Master Opex'!$B:$I,3,0))</f>
        <v>10301IT003</v>
      </c>
      <c r="G34" s="398" t="str">
        <f>IF($C34="","",VLOOKUP($F34,'Master Data'!$D$59:$E$144,2,FALSE))</f>
        <v>IT BUSINESS SOLUTION</v>
      </c>
      <c r="H34" s="401">
        <f>IF($C34="","",VLOOKUP($C34,'Activity Master Opex'!$B:$I,5,0))</f>
        <v>62400030</v>
      </c>
      <c r="I34" s="571" t="str">
        <f>IFERROR(VLOOKUP(H34,'Master Data'!B:C,2,FALSE),"")</f>
        <v>Gen. Transp. Travelling Expenses</v>
      </c>
      <c r="J34" s="402">
        <f>10372.4838709677*15500</f>
        <v>160773499.99999934</v>
      </c>
      <c r="K34" s="402">
        <v>39340952</v>
      </c>
      <c r="L34" s="403"/>
      <c r="M34" s="403"/>
      <c r="N34" s="403"/>
      <c r="O34" s="403"/>
      <c r="P34" s="403"/>
      <c r="Q34" s="403"/>
      <c r="R34" s="403"/>
      <c r="S34" s="403"/>
      <c r="T34" s="403"/>
      <c r="U34" s="403"/>
      <c r="V34" s="403"/>
      <c r="W34" s="403"/>
      <c r="X34" s="572">
        <f t="shared" si="0"/>
        <v>0</v>
      </c>
      <c r="Y34" s="404"/>
      <c r="Z34" s="405"/>
      <c r="AA34" s="405"/>
      <c r="AB34" s="405"/>
      <c r="AC34" s="405"/>
      <c r="AD34" s="405"/>
      <c r="AE34" s="405"/>
      <c r="AF34" s="405"/>
      <c r="AG34" s="405"/>
      <c r="AH34" s="405"/>
      <c r="AI34" s="405"/>
      <c r="AJ34" s="405"/>
      <c r="AK34" s="405"/>
      <c r="AL34" s="406">
        <f t="shared" si="1"/>
        <v>0</v>
      </c>
      <c r="AM34" s="407"/>
      <c r="AN34" s="405"/>
      <c r="AO34" s="405"/>
      <c r="AP34" s="405"/>
      <c r="AQ34" s="405"/>
      <c r="AR34" s="405"/>
      <c r="AS34" s="405"/>
      <c r="AT34" s="405"/>
      <c r="AU34" s="405"/>
      <c r="AV34" s="405"/>
      <c r="AW34" s="405"/>
      <c r="AX34" s="405"/>
      <c r="AY34" s="405"/>
      <c r="AZ34" s="406">
        <f t="shared" si="2"/>
        <v>0</v>
      </c>
      <c r="BA34" s="573">
        <f t="shared" si="3"/>
        <v>-160773499.99999934</v>
      </c>
      <c r="BB34" s="574"/>
      <c r="BC34" s="408">
        <f t="shared" si="4"/>
        <v>0</v>
      </c>
      <c r="BD34" s="572" t="str">
        <f>IF('Budget Opex Detail'!C34="","",IF(COUNTIFS('Activity Master Opex'!$B$4:$B$42,'Budget Opex Detail'!$C34)&gt;0,"","New Activity"))</f>
        <v/>
      </c>
      <c r="BE34" s="575"/>
      <c r="BF34" s="576"/>
      <c r="BG34" s="409"/>
      <c r="BH34" s="577"/>
      <c r="BI34" s="578"/>
      <c r="BJ34" s="578"/>
      <c r="BK34" s="579"/>
      <c r="BL34" s="410">
        <f t="shared" si="7"/>
        <v>0</v>
      </c>
      <c r="BM34" s="577"/>
      <c r="BN34" s="577"/>
      <c r="BO34" s="411">
        <f t="shared" si="5"/>
        <v>0</v>
      </c>
      <c r="BP34" s="580"/>
      <c r="BR34" s="581" t="str">
        <f>IF($H34="","",VLOOKUP($H34,'Master Data'!$B:$D,3,FALSE))</f>
        <v>General Transportation Exp</v>
      </c>
      <c r="BS34" s="581" t="str">
        <f t="shared" si="6"/>
        <v>General Administrative</v>
      </c>
      <c r="BT34" s="581" t="str">
        <f>IF($H34="","",VLOOKUP(VALUE($H34),'Master Data'!B:I,8,FALSE))</f>
        <v>General transportation</v>
      </c>
    </row>
    <row r="35" spans="1:72" s="412" customFormat="1" x14ac:dyDescent="0.25">
      <c r="A35" s="571" t="str">
        <f>IF(D35="","",Cover!$D$8)</f>
        <v>Information Technology</v>
      </c>
      <c r="B35" s="397" t="str">
        <f>IF(D35="","",IFERROR(VLOOKUP(G35,'Master Data'!$E$59:$J$144,6,FALSE),0))</f>
        <v>Information Technology</v>
      </c>
      <c r="C35" s="598" t="str">
        <f>IF(D35="","",_xlfn.XLOOKUP(D35,'Activity Master Opex'!C:C,'Activity Master Opex'!B:B,0,0,1))</f>
        <v>IT004-00001</v>
      </c>
      <c r="D35" s="399" t="s">
        <v>2631</v>
      </c>
      <c r="E35" s="583" t="str">
        <f>IF(D35="","",IFERROR(VLOOKUP(D35,'Activity Master Opex'!$C:$M,6,FALSE),0))</f>
        <v>Travelling exp Head of IT</v>
      </c>
      <c r="F35" s="400" t="str">
        <f>IF($C35="","",VLOOKUP($C35,'Activity Master Opex'!$B:$I,3,0))</f>
        <v>10301IT004</v>
      </c>
      <c r="G35" s="398" t="str">
        <f>IF($C35="","",VLOOKUP($F35,'Master Data'!$D$59:$E$144,2,FALSE))</f>
        <v>HEAD OF IT EXPENSES</v>
      </c>
      <c r="H35" s="401">
        <f>IF($C35="","",VLOOKUP($C35,'Activity Master Opex'!$B:$I,5,0))</f>
        <v>62400030</v>
      </c>
      <c r="I35" s="571" t="str">
        <f>IFERROR(VLOOKUP(H35,'Master Data'!B:C,2,FALSE),"")</f>
        <v>Gen. Transp. Travelling Expenses</v>
      </c>
      <c r="J35" s="402">
        <f>34884.4316774194*15500</f>
        <v>540708691.00000072</v>
      </c>
      <c r="K35" s="402">
        <v>31820968</v>
      </c>
      <c r="L35" s="403"/>
      <c r="M35" s="403"/>
      <c r="N35" s="403"/>
      <c r="O35" s="403"/>
      <c r="P35" s="403"/>
      <c r="Q35" s="403"/>
      <c r="R35" s="403"/>
      <c r="S35" s="403"/>
      <c r="T35" s="403"/>
      <c r="U35" s="403"/>
      <c r="V35" s="403"/>
      <c r="W35" s="403"/>
      <c r="X35" s="572">
        <f t="shared" si="0"/>
        <v>0</v>
      </c>
      <c r="Y35" s="404"/>
      <c r="Z35" s="405"/>
      <c r="AA35" s="405"/>
      <c r="AB35" s="405"/>
      <c r="AC35" s="405"/>
      <c r="AD35" s="405"/>
      <c r="AE35" s="405"/>
      <c r="AF35" s="405"/>
      <c r="AG35" s="405"/>
      <c r="AH35" s="405"/>
      <c r="AI35" s="405"/>
      <c r="AJ35" s="405"/>
      <c r="AK35" s="405"/>
      <c r="AL35" s="406">
        <f t="shared" si="1"/>
        <v>0</v>
      </c>
      <c r="AM35" s="407"/>
      <c r="AN35" s="405"/>
      <c r="AO35" s="405"/>
      <c r="AP35" s="405"/>
      <c r="AQ35" s="405"/>
      <c r="AR35" s="405"/>
      <c r="AS35" s="405"/>
      <c r="AT35" s="405"/>
      <c r="AU35" s="405"/>
      <c r="AV35" s="405"/>
      <c r="AW35" s="405"/>
      <c r="AX35" s="405"/>
      <c r="AY35" s="405"/>
      <c r="AZ35" s="406">
        <f t="shared" si="2"/>
        <v>0</v>
      </c>
      <c r="BA35" s="573">
        <f t="shared" si="3"/>
        <v>-540708691.00000072</v>
      </c>
      <c r="BB35" s="574"/>
      <c r="BC35" s="408">
        <f t="shared" si="4"/>
        <v>0</v>
      </c>
      <c r="BD35" s="572" t="str">
        <f>IF('Budget Opex Detail'!C35="","",IF(COUNTIFS('Activity Master Opex'!$B$4:$B$42,'Budget Opex Detail'!$C35)&gt;0,"","New Activity"))</f>
        <v/>
      </c>
      <c r="BE35" s="575"/>
      <c r="BF35" s="576"/>
      <c r="BG35" s="409"/>
      <c r="BH35" s="577"/>
      <c r="BI35" s="578"/>
      <c r="BJ35" s="578"/>
      <c r="BK35" s="579"/>
      <c r="BL35" s="410">
        <f t="shared" si="7"/>
        <v>0</v>
      </c>
      <c r="BM35" s="577"/>
      <c r="BN35" s="577"/>
      <c r="BO35" s="411">
        <f t="shared" si="5"/>
        <v>0</v>
      </c>
      <c r="BP35" s="580"/>
      <c r="BR35" s="581" t="str">
        <f>IF($H35="","",VLOOKUP($H35,'Master Data'!$B:$D,3,FALSE))</f>
        <v>General Transportation Exp</v>
      </c>
      <c r="BS35" s="581" t="str">
        <f t="shared" ref="BS35:BS52" si="8">IF(C35="","",IF($A35&lt;&gt;"human resources",IF(LEFT(F35,6)="10301S","Selling","General Administrative"),IFERROR(IF(FIND("Selling",D35)&gt;0,"Selling","General Administrative"),"General Administrative")))</f>
        <v>General Administrative</v>
      </c>
      <c r="BT35" s="581" t="str">
        <f>IF($H35="","",VLOOKUP(VALUE($H35),'Master Data'!B:I,8,FALSE))</f>
        <v>General transportation</v>
      </c>
    </row>
    <row r="36" spans="1:72" s="412" customFormat="1" x14ac:dyDescent="0.25">
      <c r="A36" s="571" t="str">
        <f>IF(D36="","",Cover!$D$8)</f>
        <v/>
      </c>
      <c r="B36" s="397" t="str">
        <f>IF(D36="","",IFERROR(VLOOKUP(G36,'Master Data'!$E$59:$J$144,6,FALSE),0))</f>
        <v/>
      </c>
      <c r="C36" s="598" t="str">
        <f>IF(D36="","",_xlfn.XLOOKUP(D36,'Activity Master Opex'!C:C,'Activity Master Opex'!B:B,0,0,1))</f>
        <v/>
      </c>
      <c r="D36" s="399"/>
      <c r="E36" s="583" t="str">
        <f>IF(D36="","",IFERROR(VLOOKUP(D36,'Activity Master Opex'!$C:$M,6,FALSE),0))</f>
        <v/>
      </c>
      <c r="F36" s="400" t="str">
        <f>IF($C36="","",VLOOKUP($C36,'Activity Master Opex'!$B:$I,3,0))</f>
        <v/>
      </c>
      <c r="G36" s="398" t="str">
        <f>IF($C36="","",VLOOKUP($F36,'Master Data'!$D$59:$E$144,2,FALSE))</f>
        <v/>
      </c>
      <c r="H36" s="401" t="str">
        <f>IF($C36="","",VLOOKUP($C36,'Activity Master Opex'!$B:$I,5,0))</f>
        <v/>
      </c>
      <c r="I36" s="571" t="str">
        <f>IFERROR(VLOOKUP(H36,'Master Data'!B:C,2,FALSE),"")</f>
        <v/>
      </c>
      <c r="J36" s="402">
        <v>0</v>
      </c>
      <c r="K36" s="402">
        <v>0</v>
      </c>
      <c r="L36" s="403"/>
      <c r="M36" s="403"/>
      <c r="N36" s="403"/>
      <c r="O36" s="403"/>
      <c r="P36" s="403"/>
      <c r="Q36" s="403"/>
      <c r="R36" s="403"/>
      <c r="S36" s="403"/>
      <c r="T36" s="403"/>
      <c r="U36" s="403"/>
      <c r="V36" s="403"/>
      <c r="W36" s="403"/>
      <c r="X36" s="572">
        <f t="shared" si="0"/>
        <v>0</v>
      </c>
      <c r="Y36" s="404"/>
      <c r="Z36" s="405"/>
      <c r="AA36" s="405"/>
      <c r="AB36" s="405"/>
      <c r="AC36" s="405"/>
      <c r="AD36" s="405"/>
      <c r="AE36" s="405"/>
      <c r="AF36" s="405"/>
      <c r="AG36" s="405"/>
      <c r="AH36" s="405"/>
      <c r="AI36" s="405"/>
      <c r="AJ36" s="405"/>
      <c r="AK36" s="405"/>
      <c r="AL36" s="406">
        <f t="shared" si="1"/>
        <v>0</v>
      </c>
      <c r="AM36" s="407"/>
      <c r="AN36" s="405"/>
      <c r="AO36" s="405"/>
      <c r="AP36" s="405"/>
      <c r="AQ36" s="405"/>
      <c r="AR36" s="405"/>
      <c r="AS36" s="405"/>
      <c r="AT36" s="405"/>
      <c r="AU36" s="405"/>
      <c r="AV36" s="405"/>
      <c r="AW36" s="405"/>
      <c r="AX36" s="405"/>
      <c r="AY36" s="405"/>
      <c r="AZ36" s="406">
        <f t="shared" si="2"/>
        <v>0</v>
      </c>
      <c r="BA36" s="573">
        <f t="shared" si="3"/>
        <v>0</v>
      </c>
      <c r="BB36" s="574"/>
      <c r="BC36" s="408">
        <f t="shared" si="4"/>
        <v>0</v>
      </c>
      <c r="BD36" s="572" t="str">
        <f>IF('Budget Opex Detail'!C36="","",IF(COUNTIFS('Activity Master Opex'!$B$4:$B$42,'Budget Opex Detail'!$C36)&gt;0,"","New Activity"))</f>
        <v/>
      </c>
      <c r="BE36" s="575"/>
      <c r="BF36" s="576"/>
      <c r="BG36" s="409"/>
      <c r="BH36" s="577"/>
      <c r="BI36" s="578"/>
      <c r="BJ36" s="578"/>
      <c r="BK36" s="579"/>
      <c r="BL36" s="410">
        <f t="shared" si="7"/>
        <v>0</v>
      </c>
      <c r="BM36" s="577"/>
      <c r="BN36" s="577"/>
      <c r="BO36" s="411">
        <f t="shared" si="5"/>
        <v>0</v>
      </c>
      <c r="BP36" s="580"/>
      <c r="BR36" s="581" t="str">
        <f>IF($H36="","",VLOOKUP($H36,'Master Data'!$B:$D,3,FALSE))</f>
        <v/>
      </c>
      <c r="BS36" s="581" t="str">
        <f t="shared" si="8"/>
        <v/>
      </c>
      <c r="BT36" s="581" t="str">
        <f>IF($H36="","",VLOOKUP(VALUE($H36),'Master Data'!B:I,8,FALSE))</f>
        <v/>
      </c>
    </row>
    <row r="37" spans="1:72" s="412" customFormat="1" x14ac:dyDescent="0.25">
      <c r="A37" s="571" t="str">
        <f>IF(D37="","",Cover!$D$8)</f>
        <v/>
      </c>
      <c r="B37" s="397" t="str">
        <f>IF(D37="","",IFERROR(VLOOKUP(G37,'Master Data'!$E$59:$J$144,6,FALSE),0))</f>
        <v/>
      </c>
      <c r="C37" s="598" t="str">
        <f>IF(D37="","",_xlfn.XLOOKUP(D37,'Activity Master Opex'!C:C,'Activity Master Opex'!B:B,0,0,1))</f>
        <v/>
      </c>
      <c r="D37" s="399"/>
      <c r="E37" s="583" t="str">
        <f>IF(D37="","",IFERROR(VLOOKUP(D37,'Activity Master Opex'!$C:$M,6,FALSE),0))</f>
        <v/>
      </c>
      <c r="F37" s="400" t="str">
        <f>IF($C37="","",VLOOKUP($C37,'Activity Master Opex'!$B:$I,3,0))</f>
        <v/>
      </c>
      <c r="G37" s="398" t="str">
        <f>IF($C37="","",VLOOKUP($F37,'Master Data'!$D$59:$E$144,2,FALSE))</f>
        <v/>
      </c>
      <c r="H37" s="401" t="str">
        <f>IF($C37="","",VLOOKUP($C37,'Activity Master Opex'!$B:$I,5,0))</f>
        <v/>
      </c>
      <c r="I37" s="571" t="str">
        <f>IFERROR(VLOOKUP(H37,'Master Data'!B:C,2,FALSE),"")</f>
        <v/>
      </c>
      <c r="J37" s="402">
        <v>0</v>
      </c>
      <c r="K37" s="402">
        <v>0</v>
      </c>
      <c r="L37" s="403"/>
      <c r="M37" s="403"/>
      <c r="N37" s="403"/>
      <c r="O37" s="403"/>
      <c r="P37" s="403"/>
      <c r="Q37" s="403"/>
      <c r="R37" s="403"/>
      <c r="S37" s="403"/>
      <c r="T37" s="403"/>
      <c r="U37" s="403"/>
      <c r="V37" s="403"/>
      <c r="W37" s="403"/>
      <c r="X37" s="582">
        <f t="shared" ref="X37:X52" si="9">SUM(L37:W37)</f>
        <v>0</v>
      </c>
      <c r="Y37" s="404"/>
      <c r="Z37" s="405"/>
      <c r="AA37" s="405"/>
      <c r="AB37" s="405"/>
      <c r="AC37" s="405"/>
      <c r="AD37" s="405"/>
      <c r="AE37" s="405"/>
      <c r="AF37" s="405"/>
      <c r="AG37" s="405"/>
      <c r="AH37" s="405"/>
      <c r="AI37" s="405"/>
      <c r="AJ37" s="405"/>
      <c r="AK37" s="405"/>
      <c r="AL37" s="406">
        <f t="shared" si="1"/>
        <v>0</v>
      </c>
      <c r="AM37" s="407"/>
      <c r="AN37" s="405"/>
      <c r="AO37" s="405"/>
      <c r="AP37" s="405"/>
      <c r="AQ37" s="405"/>
      <c r="AR37" s="405"/>
      <c r="AS37" s="405"/>
      <c r="AT37" s="405"/>
      <c r="AU37" s="405"/>
      <c r="AV37" s="405"/>
      <c r="AW37" s="405"/>
      <c r="AX37" s="405"/>
      <c r="AY37" s="405"/>
      <c r="AZ37" s="406">
        <f t="shared" si="2"/>
        <v>0</v>
      </c>
      <c r="BA37" s="573">
        <f t="shared" si="3"/>
        <v>0</v>
      </c>
      <c r="BB37" s="574"/>
      <c r="BC37" s="408">
        <f t="shared" si="4"/>
        <v>0</v>
      </c>
      <c r="BD37" s="572" t="str">
        <f>IF('Budget Opex Detail'!C37="","",IF(COUNTIFS('Activity Master Opex'!$B$4:$B$42,'Budget Opex Detail'!$C37)&gt;0,"","New Activity"))</f>
        <v/>
      </c>
      <c r="BE37" s="575"/>
      <c r="BF37" s="576"/>
      <c r="BG37" s="409"/>
      <c r="BH37" s="577"/>
      <c r="BI37" s="578"/>
      <c r="BJ37" s="578"/>
      <c r="BK37" s="579"/>
      <c r="BL37" s="410">
        <f t="shared" si="7"/>
        <v>0</v>
      </c>
      <c r="BM37" s="577"/>
      <c r="BN37" s="577"/>
      <c r="BO37" s="411">
        <f t="shared" si="5"/>
        <v>0</v>
      </c>
      <c r="BP37" s="580"/>
      <c r="BR37" s="581" t="str">
        <f>IF($H37="","",VLOOKUP($H37,'Master Data'!$B:$D,3,FALSE))</f>
        <v/>
      </c>
      <c r="BS37" s="581" t="str">
        <f t="shared" si="8"/>
        <v/>
      </c>
      <c r="BT37" s="581" t="str">
        <f>IF($H37="","",VLOOKUP(VALUE($H37),'Master Data'!B:I,8,FALSE))</f>
        <v/>
      </c>
    </row>
    <row r="38" spans="1:72" s="412" customFormat="1" x14ac:dyDescent="0.25">
      <c r="A38" s="571" t="str">
        <f>IF(D38="","",Cover!$D$8)</f>
        <v/>
      </c>
      <c r="B38" s="397" t="str">
        <f>IF(D38="","",IFERROR(VLOOKUP(G38,'Master Data'!$E$59:$J$144,6,FALSE),0))</f>
        <v/>
      </c>
      <c r="C38" s="598" t="str">
        <f>IF(D38="","",_xlfn.XLOOKUP(D38,'Activity Master Opex'!C:C,'Activity Master Opex'!B:B,0,0,1))</f>
        <v/>
      </c>
      <c r="D38" s="399"/>
      <c r="E38" s="583" t="str">
        <f>IF(D38="","",IFERROR(VLOOKUP(D38,'Activity Master Opex'!$C:$M,6,FALSE),0))</f>
        <v/>
      </c>
      <c r="F38" s="400" t="str">
        <f>IF($C38="","",VLOOKUP($C38,'Activity Master Opex'!$B:$I,3,0))</f>
        <v/>
      </c>
      <c r="G38" s="398" t="str">
        <f>IF($C38="","",VLOOKUP($F38,'Master Data'!$D$59:$E$144,2,FALSE))</f>
        <v/>
      </c>
      <c r="H38" s="401" t="str">
        <f>IF($C38="","",VLOOKUP($C38,'Activity Master Opex'!$B:$I,5,0))</f>
        <v/>
      </c>
      <c r="I38" s="571" t="str">
        <f>IFERROR(VLOOKUP(H38,'Master Data'!B:C,2,FALSE),"")</f>
        <v/>
      </c>
      <c r="J38" s="402">
        <v>0</v>
      </c>
      <c r="K38" s="402">
        <v>0</v>
      </c>
      <c r="L38" s="403"/>
      <c r="M38" s="403"/>
      <c r="N38" s="403"/>
      <c r="O38" s="403"/>
      <c r="P38" s="403"/>
      <c r="Q38" s="403"/>
      <c r="R38" s="403"/>
      <c r="S38" s="403"/>
      <c r="T38" s="403"/>
      <c r="U38" s="403"/>
      <c r="V38" s="403"/>
      <c r="W38" s="403"/>
      <c r="X38" s="582">
        <f t="shared" si="9"/>
        <v>0</v>
      </c>
      <c r="Y38" s="404"/>
      <c r="Z38" s="405"/>
      <c r="AA38" s="405"/>
      <c r="AB38" s="405"/>
      <c r="AC38" s="405"/>
      <c r="AD38" s="405"/>
      <c r="AE38" s="405"/>
      <c r="AF38" s="405"/>
      <c r="AG38" s="405"/>
      <c r="AH38" s="405"/>
      <c r="AI38" s="405"/>
      <c r="AJ38" s="405"/>
      <c r="AK38" s="405"/>
      <c r="AL38" s="406">
        <f t="shared" si="1"/>
        <v>0</v>
      </c>
      <c r="AM38" s="407"/>
      <c r="AN38" s="405"/>
      <c r="AO38" s="405"/>
      <c r="AP38" s="405"/>
      <c r="AQ38" s="405"/>
      <c r="AR38" s="405"/>
      <c r="AS38" s="405"/>
      <c r="AT38" s="405"/>
      <c r="AU38" s="405"/>
      <c r="AV38" s="405"/>
      <c r="AW38" s="405"/>
      <c r="AX38" s="405"/>
      <c r="AY38" s="405"/>
      <c r="AZ38" s="406">
        <f t="shared" si="2"/>
        <v>0</v>
      </c>
      <c r="BA38" s="573">
        <f t="shared" si="3"/>
        <v>0</v>
      </c>
      <c r="BB38" s="574"/>
      <c r="BC38" s="408">
        <f t="shared" si="4"/>
        <v>0</v>
      </c>
      <c r="BD38" s="572" t="str">
        <f>IF('Budget Opex Detail'!C38="","",IF(COUNTIFS('Activity Master Opex'!$B$4:$B$42,'Budget Opex Detail'!$C38)&gt;0,"","New Activity"))</f>
        <v/>
      </c>
      <c r="BE38" s="575"/>
      <c r="BF38" s="576"/>
      <c r="BG38" s="409"/>
      <c r="BH38" s="577"/>
      <c r="BI38" s="578"/>
      <c r="BJ38" s="578"/>
      <c r="BK38" s="579"/>
      <c r="BL38" s="410">
        <f t="shared" si="7"/>
        <v>0</v>
      </c>
      <c r="BM38" s="577"/>
      <c r="BN38" s="577"/>
      <c r="BO38" s="411">
        <f t="shared" si="5"/>
        <v>0</v>
      </c>
      <c r="BP38" s="580"/>
      <c r="BR38" s="581" t="str">
        <f>IF($H38="","",VLOOKUP($H38,'Master Data'!$B:$D,3,FALSE))</f>
        <v/>
      </c>
      <c r="BS38" s="581" t="str">
        <f t="shared" si="8"/>
        <v/>
      </c>
      <c r="BT38" s="581" t="str">
        <f>IF($H38="","",VLOOKUP(VALUE($H38),'Master Data'!B:I,8,FALSE))</f>
        <v/>
      </c>
    </row>
    <row r="39" spans="1:72" s="412" customFormat="1" x14ac:dyDescent="0.25">
      <c r="A39" s="571" t="str">
        <f>IF(D39="","",Cover!$D$8)</f>
        <v/>
      </c>
      <c r="B39" s="397" t="str">
        <f>IF(D39="","",IFERROR(VLOOKUP(G39,'Master Data'!$E$59:$J$144,6,FALSE),0))</f>
        <v/>
      </c>
      <c r="C39" s="598" t="str">
        <f>IF(D39="","",_xlfn.XLOOKUP(D39,'Activity Master Opex'!C:C,'Activity Master Opex'!B:B,0,0,1))</f>
        <v/>
      </c>
      <c r="D39" s="399"/>
      <c r="E39" s="583" t="str">
        <f>IF(D39="","",IFERROR(VLOOKUP(D39,'Activity Master Opex'!$C:$M,6,FALSE),0))</f>
        <v/>
      </c>
      <c r="F39" s="400" t="str">
        <f>IF($C39="","",VLOOKUP($C39,'Activity Master Opex'!$B:$I,3,0))</f>
        <v/>
      </c>
      <c r="G39" s="398" t="str">
        <f>IF($C39="","",VLOOKUP($F39,'Master Data'!$D$59:$E$144,2,FALSE))</f>
        <v/>
      </c>
      <c r="H39" s="401" t="str">
        <f>IF($C39="","",VLOOKUP($C39,'Activity Master Opex'!$B:$I,5,0))</f>
        <v/>
      </c>
      <c r="I39" s="571" t="str">
        <f>IFERROR(VLOOKUP(H39,'Master Data'!B:C,2,FALSE),"")</f>
        <v/>
      </c>
      <c r="J39" s="402">
        <v>0</v>
      </c>
      <c r="K39" s="402">
        <v>0</v>
      </c>
      <c r="L39" s="403"/>
      <c r="M39" s="403"/>
      <c r="N39" s="403"/>
      <c r="O39" s="403"/>
      <c r="P39" s="403"/>
      <c r="Q39" s="403"/>
      <c r="R39" s="403"/>
      <c r="S39" s="403"/>
      <c r="T39" s="403"/>
      <c r="U39" s="403"/>
      <c r="V39" s="403"/>
      <c r="W39" s="403"/>
      <c r="X39" s="582">
        <f t="shared" si="9"/>
        <v>0</v>
      </c>
      <c r="Y39" s="404"/>
      <c r="Z39" s="405"/>
      <c r="AA39" s="405"/>
      <c r="AB39" s="405"/>
      <c r="AC39" s="405"/>
      <c r="AD39" s="405"/>
      <c r="AE39" s="405"/>
      <c r="AF39" s="405"/>
      <c r="AG39" s="405"/>
      <c r="AH39" s="405"/>
      <c r="AI39" s="405"/>
      <c r="AJ39" s="405"/>
      <c r="AK39" s="405"/>
      <c r="AL39" s="406">
        <f t="shared" si="1"/>
        <v>0</v>
      </c>
      <c r="AM39" s="407"/>
      <c r="AN39" s="405"/>
      <c r="AO39" s="405"/>
      <c r="AP39" s="405"/>
      <c r="AQ39" s="405"/>
      <c r="AR39" s="405"/>
      <c r="AS39" s="405"/>
      <c r="AT39" s="405"/>
      <c r="AU39" s="405"/>
      <c r="AV39" s="405"/>
      <c r="AW39" s="405"/>
      <c r="AX39" s="405"/>
      <c r="AY39" s="405"/>
      <c r="AZ39" s="406">
        <f t="shared" si="2"/>
        <v>0</v>
      </c>
      <c r="BA39" s="573">
        <f t="shared" si="3"/>
        <v>0</v>
      </c>
      <c r="BB39" s="574"/>
      <c r="BC39" s="408">
        <f t="shared" si="4"/>
        <v>0</v>
      </c>
      <c r="BD39" s="572" t="str">
        <f>IF('Budget Opex Detail'!C39="","",IF(COUNTIFS('Activity Master Opex'!$B$4:$B$42,'Budget Opex Detail'!$C39)&gt;0,"","New Activity"))</f>
        <v/>
      </c>
      <c r="BE39" s="575"/>
      <c r="BF39" s="576"/>
      <c r="BG39" s="409"/>
      <c r="BH39" s="577"/>
      <c r="BI39" s="578"/>
      <c r="BJ39" s="578"/>
      <c r="BK39" s="579"/>
      <c r="BL39" s="410">
        <f t="shared" si="7"/>
        <v>0</v>
      </c>
      <c r="BM39" s="577"/>
      <c r="BN39" s="577"/>
      <c r="BO39" s="411">
        <f t="shared" si="5"/>
        <v>0</v>
      </c>
      <c r="BP39" s="580"/>
      <c r="BR39" s="581" t="str">
        <f>IF($H39="","",VLOOKUP($H39,'Master Data'!$B:$D,3,FALSE))</f>
        <v/>
      </c>
      <c r="BS39" s="581" t="str">
        <f t="shared" si="8"/>
        <v/>
      </c>
      <c r="BT39" s="581" t="str">
        <f>IF($H39="","",VLOOKUP(VALUE($H39),'Master Data'!B:I,8,FALSE))</f>
        <v/>
      </c>
    </row>
    <row r="40" spans="1:72" s="412" customFormat="1" x14ac:dyDescent="0.25">
      <c r="A40" s="571" t="str">
        <f>IF(D40="","",Cover!$D$8)</f>
        <v/>
      </c>
      <c r="B40" s="397" t="str">
        <f>IF(D40="","",IFERROR(VLOOKUP(G40,'Master Data'!$E$59:$J$144,6,FALSE),0))</f>
        <v/>
      </c>
      <c r="C40" s="598" t="str">
        <f>IF(D40="","",_xlfn.XLOOKUP(D40,'Activity Master Opex'!C:C,'Activity Master Opex'!B:B,0,0,1))</f>
        <v/>
      </c>
      <c r="D40" s="399"/>
      <c r="E40" s="583" t="str">
        <f>IF(D40="","",IFERROR(VLOOKUP(D40,'Activity Master Opex'!$C:$M,6,FALSE),0))</f>
        <v/>
      </c>
      <c r="F40" s="400" t="str">
        <f>IF($C40="","",VLOOKUP($C40,'Activity Master Opex'!$B:$I,3,0))</f>
        <v/>
      </c>
      <c r="G40" s="398" t="str">
        <f>IF($C40="","",VLOOKUP($F40,'Master Data'!$D$59:$E$144,2,FALSE))</f>
        <v/>
      </c>
      <c r="H40" s="401" t="str">
        <f>IF($C40="","",VLOOKUP($C40,'Activity Master Opex'!$B:$I,5,0))</f>
        <v/>
      </c>
      <c r="I40" s="571" t="str">
        <f>IFERROR(VLOOKUP(H40,'Master Data'!B:C,2,FALSE),"")</f>
        <v/>
      </c>
      <c r="J40" s="402">
        <v>0</v>
      </c>
      <c r="K40" s="402">
        <v>0</v>
      </c>
      <c r="L40" s="403"/>
      <c r="M40" s="403"/>
      <c r="N40" s="403"/>
      <c r="O40" s="403"/>
      <c r="P40" s="403"/>
      <c r="Q40" s="403"/>
      <c r="R40" s="403"/>
      <c r="S40" s="403"/>
      <c r="T40" s="403"/>
      <c r="U40" s="403"/>
      <c r="V40" s="403"/>
      <c r="W40" s="403"/>
      <c r="X40" s="582">
        <f t="shared" si="9"/>
        <v>0</v>
      </c>
      <c r="Y40" s="404"/>
      <c r="Z40" s="405"/>
      <c r="AA40" s="405"/>
      <c r="AB40" s="405"/>
      <c r="AC40" s="405"/>
      <c r="AD40" s="405"/>
      <c r="AE40" s="405"/>
      <c r="AF40" s="405"/>
      <c r="AG40" s="405"/>
      <c r="AH40" s="405"/>
      <c r="AI40" s="405"/>
      <c r="AJ40" s="405"/>
      <c r="AK40" s="405"/>
      <c r="AL40" s="406">
        <f t="shared" si="1"/>
        <v>0</v>
      </c>
      <c r="AM40" s="407"/>
      <c r="AN40" s="405"/>
      <c r="AO40" s="405"/>
      <c r="AP40" s="405"/>
      <c r="AQ40" s="405"/>
      <c r="AR40" s="405"/>
      <c r="AS40" s="405"/>
      <c r="AT40" s="405"/>
      <c r="AU40" s="405"/>
      <c r="AV40" s="405"/>
      <c r="AW40" s="405"/>
      <c r="AX40" s="405"/>
      <c r="AY40" s="405"/>
      <c r="AZ40" s="406">
        <f t="shared" si="2"/>
        <v>0</v>
      </c>
      <c r="BA40" s="573">
        <f t="shared" si="3"/>
        <v>0</v>
      </c>
      <c r="BB40" s="574"/>
      <c r="BC40" s="408">
        <f t="shared" si="4"/>
        <v>0</v>
      </c>
      <c r="BD40" s="572" t="str">
        <f>IF('Budget Opex Detail'!C40="","",IF(COUNTIFS('Activity Master Opex'!$B$4:$B$42,'Budget Opex Detail'!$C40)&gt;0,"","New Activity"))</f>
        <v/>
      </c>
      <c r="BE40" s="575"/>
      <c r="BF40" s="576"/>
      <c r="BG40" s="409"/>
      <c r="BH40" s="577"/>
      <c r="BI40" s="578"/>
      <c r="BJ40" s="578"/>
      <c r="BK40" s="579"/>
      <c r="BL40" s="410">
        <f t="shared" si="7"/>
        <v>0</v>
      </c>
      <c r="BM40" s="577"/>
      <c r="BN40" s="577"/>
      <c r="BO40" s="411">
        <f t="shared" si="5"/>
        <v>0</v>
      </c>
      <c r="BP40" s="580"/>
      <c r="BR40" s="581" t="str">
        <f>IF($H40="","",VLOOKUP($H40,'Master Data'!$B:$D,3,FALSE))</f>
        <v/>
      </c>
      <c r="BS40" s="581" t="str">
        <f t="shared" si="8"/>
        <v/>
      </c>
      <c r="BT40" s="581" t="str">
        <f>IF($H40="","",VLOOKUP(VALUE($H40),'Master Data'!B:I,8,FALSE))</f>
        <v/>
      </c>
    </row>
    <row r="41" spans="1:72" s="412" customFormat="1" x14ac:dyDescent="0.25">
      <c r="A41" s="571" t="str">
        <f>IF(D41="","",Cover!$D$8)</f>
        <v/>
      </c>
      <c r="B41" s="397" t="str">
        <f>IF(D41="","",IFERROR(VLOOKUP(G41,'Master Data'!$E$59:$J$144,6,FALSE),0))</f>
        <v/>
      </c>
      <c r="C41" s="598" t="str">
        <f>IF(D41="","",_xlfn.XLOOKUP(D41,'Activity Master Opex'!C:C,'Activity Master Opex'!B:B,0,0,1))</f>
        <v/>
      </c>
      <c r="D41" s="399"/>
      <c r="E41" s="583" t="str">
        <f>IF(D41="","",IFERROR(VLOOKUP(D41,'Activity Master Opex'!$C:$M,6,FALSE),0))</f>
        <v/>
      </c>
      <c r="F41" s="400" t="str">
        <f>IF($C41="","",VLOOKUP($C41,'Activity Master Opex'!$B:$I,3,0))</f>
        <v/>
      </c>
      <c r="G41" s="398" t="str">
        <f>IF($C41="","",VLOOKUP($F41,'Master Data'!$D$59:$E$144,2,FALSE))</f>
        <v/>
      </c>
      <c r="H41" s="401" t="str">
        <f>IF($C41="","",VLOOKUP($C41,'Activity Master Opex'!$B:$I,5,0))</f>
        <v/>
      </c>
      <c r="I41" s="571" t="str">
        <f>IFERROR(VLOOKUP(H41,'Master Data'!B:C,2,FALSE),"")</f>
        <v/>
      </c>
      <c r="J41" s="402">
        <v>0</v>
      </c>
      <c r="K41" s="402">
        <v>0</v>
      </c>
      <c r="L41" s="403"/>
      <c r="M41" s="403"/>
      <c r="N41" s="403"/>
      <c r="O41" s="403"/>
      <c r="P41" s="403"/>
      <c r="Q41" s="403"/>
      <c r="R41" s="403"/>
      <c r="S41" s="403"/>
      <c r="T41" s="403"/>
      <c r="U41" s="403"/>
      <c r="V41" s="403"/>
      <c r="W41" s="403"/>
      <c r="X41" s="582">
        <f t="shared" si="9"/>
        <v>0</v>
      </c>
      <c r="Y41" s="404"/>
      <c r="Z41" s="405"/>
      <c r="AA41" s="405"/>
      <c r="AB41" s="405"/>
      <c r="AC41" s="405"/>
      <c r="AD41" s="405"/>
      <c r="AE41" s="405"/>
      <c r="AF41" s="405"/>
      <c r="AG41" s="405"/>
      <c r="AH41" s="405"/>
      <c r="AI41" s="405"/>
      <c r="AJ41" s="405"/>
      <c r="AK41" s="405"/>
      <c r="AL41" s="406">
        <f t="shared" si="1"/>
        <v>0</v>
      </c>
      <c r="AM41" s="407"/>
      <c r="AN41" s="405"/>
      <c r="AO41" s="405"/>
      <c r="AP41" s="405"/>
      <c r="AQ41" s="405"/>
      <c r="AR41" s="405"/>
      <c r="AS41" s="405"/>
      <c r="AT41" s="405"/>
      <c r="AU41" s="405"/>
      <c r="AV41" s="405"/>
      <c r="AW41" s="405"/>
      <c r="AX41" s="405"/>
      <c r="AY41" s="405"/>
      <c r="AZ41" s="406">
        <f t="shared" si="2"/>
        <v>0</v>
      </c>
      <c r="BA41" s="573">
        <f t="shared" si="3"/>
        <v>0</v>
      </c>
      <c r="BB41" s="574"/>
      <c r="BC41" s="408">
        <f t="shared" si="4"/>
        <v>0</v>
      </c>
      <c r="BD41" s="572" t="str">
        <f>IF('Budget Opex Detail'!C41="","",IF(COUNTIFS('Activity Master Opex'!$B$4:$B$42,'Budget Opex Detail'!$C41)&gt;0,"","New Activity"))</f>
        <v/>
      </c>
      <c r="BE41" s="575"/>
      <c r="BF41" s="576"/>
      <c r="BG41" s="409"/>
      <c r="BH41" s="577"/>
      <c r="BI41" s="578"/>
      <c r="BJ41" s="578"/>
      <c r="BK41" s="579"/>
      <c r="BL41" s="410">
        <f t="shared" si="7"/>
        <v>0</v>
      </c>
      <c r="BM41" s="577"/>
      <c r="BN41" s="577"/>
      <c r="BO41" s="411">
        <f t="shared" si="5"/>
        <v>0</v>
      </c>
      <c r="BP41" s="580"/>
      <c r="BR41" s="581" t="str">
        <f>IF($H41="","",VLOOKUP($H41,'Master Data'!$B:$D,3,FALSE))</f>
        <v/>
      </c>
      <c r="BS41" s="581" t="str">
        <f t="shared" si="8"/>
        <v/>
      </c>
      <c r="BT41" s="581" t="str">
        <f>IF($H41="","",VLOOKUP(VALUE($H41),'Master Data'!B:I,8,FALSE))</f>
        <v/>
      </c>
    </row>
    <row r="42" spans="1:72" s="412" customFormat="1" x14ac:dyDescent="0.25">
      <c r="A42" s="571" t="str">
        <f>IF(D42="","",Cover!$D$8)</f>
        <v/>
      </c>
      <c r="B42" s="397" t="str">
        <f>IF(D42="","",IFERROR(VLOOKUP(G42,'Master Data'!$E$59:$J$144,6,FALSE),0))</f>
        <v/>
      </c>
      <c r="C42" s="598" t="str">
        <f>IF(D42="","",_xlfn.XLOOKUP(D42,'Activity Master Opex'!C:C,'Activity Master Opex'!B:B,0,0,1))</f>
        <v/>
      </c>
      <c r="D42" s="399"/>
      <c r="E42" s="583" t="str">
        <f>IF(D42="","",IFERROR(VLOOKUP(D42,'Activity Master Opex'!$C:$M,6,FALSE),0))</f>
        <v/>
      </c>
      <c r="F42" s="400" t="str">
        <f>IF($C42="","",VLOOKUP($C42,'Activity Master Opex'!$B:$I,3,0))</f>
        <v/>
      </c>
      <c r="G42" s="398" t="str">
        <f>IF($C42="","",VLOOKUP($F42,'Master Data'!$D$59:$E$144,2,FALSE))</f>
        <v/>
      </c>
      <c r="H42" s="401" t="str">
        <f>IF($C42="","",VLOOKUP($C42,'Activity Master Opex'!$B:$I,5,0))</f>
        <v/>
      </c>
      <c r="I42" s="571" t="str">
        <f>IFERROR(VLOOKUP(H42,'Master Data'!B:C,2,FALSE),"")</f>
        <v/>
      </c>
      <c r="J42" s="402">
        <v>0</v>
      </c>
      <c r="K42" s="402">
        <v>0</v>
      </c>
      <c r="L42" s="403"/>
      <c r="M42" s="403"/>
      <c r="N42" s="403"/>
      <c r="O42" s="403"/>
      <c r="P42" s="403"/>
      <c r="Q42" s="403"/>
      <c r="R42" s="403"/>
      <c r="S42" s="403"/>
      <c r="T42" s="403"/>
      <c r="U42" s="403"/>
      <c r="V42" s="403"/>
      <c r="W42" s="403"/>
      <c r="X42" s="582">
        <f t="shared" si="9"/>
        <v>0</v>
      </c>
      <c r="Y42" s="404"/>
      <c r="Z42" s="405"/>
      <c r="AA42" s="405"/>
      <c r="AB42" s="405"/>
      <c r="AC42" s="405"/>
      <c r="AD42" s="405"/>
      <c r="AE42" s="405"/>
      <c r="AF42" s="405"/>
      <c r="AG42" s="405"/>
      <c r="AH42" s="405"/>
      <c r="AI42" s="405"/>
      <c r="AJ42" s="405"/>
      <c r="AK42" s="405"/>
      <c r="AL42" s="406">
        <f t="shared" si="1"/>
        <v>0</v>
      </c>
      <c r="AM42" s="407"/>
      <c r="AN42" s="405"/>
      <c r="AO42" s="405"/>
      <c r="AP42" s="405"/>
      <c r="AQ42" s="405"/>
      <c r="AR42" s="405"/>
      <c r="AS42" s="405"/>
      <c r="AT42" s="405"/>
      <c r="AU42" s="405"/>
      <c r="AV42" s="405"/>
      <c r="AW42" s="405"/>
      <c r="AX42" s="405"/>
      <c r="AY42" s="405"/>
      <c r="AZ42" s="406">
        <f t="shared" si="2"/>
        <v>0</v>
      </c>
      <c r="BA42" s="573">
        <f t="shared" si="3"/>
        <v>0</v>
      </c>
      <c r="BB42" s="574"/>
      <c r="BC42" s="408">
        <f t="shared" si="4"/>
        <v>0</v>
      </c>
      <c r="BD42" s="572" t="str">
        <f>IF('Budget Opex Detail'!C42="","",IF(COUNTIFS('Activity Master Opex'!$B$4:$B$42,'Budget Opex Detail'!$C42)&gt;0,"","New Activity"))</f>
        <v/>
      </c>
      <c r="BE42" s="575"/>
      <c r="BF42" s="576"/>
      <c r="BG42" s="409"/>
      <c r="BH42" s="577"/>
      <c r="BI42" s="578"/>
      <c r="BJ42" s="578"/>
      <c r="BK42" s="579"/>
      <c r="BL42" s="410">
        <f t="shared" si="7"/>
        <v>0</v>
      </c>
      <c r="BM42" s="577"/>
      <c r="BN42" s="577"/>
      <c r="BO42" s="411">
        <f t="shared" si="5"/>
        <v>0</v>
      </c>
      <c r="BP42" s="580"/>
      <c r="BR42" s="581" t="str">
        <f>IF($H42="","",VLOOKUP($H42,'Master Data'!$B:$D,3,FALSE))</f>
        <v/>
      </c>
      <c r="BS42" s="581" t="str">
        <f t="shared" si="8"/>
        <v/>
      </c>
      <c r="BT42" s="581" t="str">
        <f>IF($H42="","",VLOOKUP(VALUE($H42),'Master Data'!B:I,8,FALSE))</f>
        <v/>
      </c>
    </row>
    <row r="43" spans="1:72" s="412" customFormat="1" x14ac:dyDescent="0.25">
      <c r="A43" s="571" t="str">
        <f>IF(D43="","",Cover!$D$8)</f>
        <v/>
      </c>
      <c r="B43" s="397" t="str">
        <f>IF(D43="","",IFERROR(VLOOKUP(G43,'Master Data'!$E$59:$J$144,6,FALSE),0))</f>
        <v/>
      </c>
      <c r="C43" s="598" t="str">
        <f>IF(D43="","",_xlfn.XLOOKUP(D43,'Activity Master Opex'!C:C,'Activity Master Opex'!B:B,0,0,1))</f>
        <v/>
      </c>
      <c r="D43" s="399"/>
      <c r="E43" s="583" t="str">
        <f>IF(D43="","",IFERROR(VLOOKUP(D43,'Activity Master Opex'!$C:$M,6,FALSE),0))</f>
        <v/>
      </c>
      <c r="F43" s="400" t="str">
        <f>IF($C43="","",VLOOKUP($C43,'Activity Master Opex'!$B:$I,3,0))</f>
        <v/>
      </c>
      <c r="G43" s="398" t="str">
        <f>IF($C43="","",VLOOKUP($F43,'Master Data'!$D$59:$E$144,2,FALSE))</f>
        <v/>
      </c>
      <c r="H43" s="401" t="str">
        <f>IF($C43="","",VLOOKUP($C43,'Activity Master Opex'!$B:$I,5,0))</f>
        <v/>
      </c>
      <c r="I43" s="571" t="str">
        <f>IFERROR(VLOOKUP(H43,'Master Data'!B:C,2,FALSE),"")</f>
        <v/>
      </c>
      <c r="J43" s="402">
        <v>0</v>
      </c>
      <c r="K43" s="402">
        <v>0</v>
      </c>
      <c r="L43" s="403"/>
      <c r="M43" s="403"/>
      <c r="N43" s="403"/>
      <c r="O43" s="403"/>
      <c r="P43" s="403"/>
      <c r="Q43" s="403"/>
      <c r="R43" s="403"/>
      <c r="S43" s="403"/>
      <c r="T43" s="403"/>
      <c r="U43" s="403"/>
      <c r="V43" s="403"/>
      <c r="W43" s="403"/>
      <c r="X43" s="582">
        <f t="shared" si="9"/>
        <v>0</v>
      </c>
      <c r="Y43" s="404"/>
      <c r="Z43" s="405"/>
      <c r="AA43" s="405"/>
      <c r="AB43" s="405"/>
      <c r="AC43" s="405"/>
      <c r="AD43" s="405"/>
      <c r="AE43" s="405"/>
      <c r="AF43" s="405"/>
      <c r="AG43" s="405"/>
      <c r="AH43" s="405"/>
      <c r="AI43" s="405"/>
      <c r="AJ43" s="405"/>
      <c r="AK43" s="405"/>
      <c r="AL43" s="406">
        <f t="shared" si="1"/>
        <v>0</v>
      </c>
      <c r="AM43" s="407"/>
      <c r="AN43" s="405"/>
      <c r="AO43" s="405"/>
      <c r="AP43" s="405"/>
      <c r="AQ43" s="405"/>
      <c r="AR43" s="405"/>
      <c r="AS43" s="405"/>
      <c r="AT43" s="405"/>
      <c r="AU43" s="405"/>
      <c r="AV43" s="405"/>
      <c r="AW43" s="405"/>
      <c r="AX43" s="405"/>
      <c r="AY43" s="405"/>
      <c r="AZ43" s="406">
        <f t="shared" si="2"/>
        <v>0</v>
      </c>
      <c r="BA43" s="573">
        <f t="shared" si="3"/>
        <v>0</v>
      </c>
      <c r="BB43" s="574"/>
      <c r="BC43" s="408">
        <f t="shared" si="4"/>
        <v>0</v>
      </c>
      <c r="BD43" s="572" t="str">
        <f>IF('Budget Opex Detail'!C43="","",IF(COUNTIFS('Activity Master Opex'!$B$4:$B$42,'Budget Opex Detail'!$C43)&gt;0,"","New Activity"))</f>
        <v/>
      </c>
      <c r="BE43" s="575"/>
      <c r="BF43" s="576"/>
      <c r="BG43" s="409"/>
      <c r="BH43" s="577"/>
      <c r="BI43" s="578"/>
      <c r="BJ43" s="578"/>
      <c r="BK43" s="579"/>
      <c r="BL43" s="410">
        <f t="shared" si="7"/>
        <v>0</v>
      </c>
      <c r="BM43" s="577"/>
      <c r="BN43" s="577"/>
      <c r="BO43" s="411">
        <f t="shared" si="5"/>
        <v>0</v>
      </c>
      <c r="BP43" s="580"/>
      <c r="BR43" s="581" t="str">
        <f>IF($H43="","",VLOOKUP($H43,'Master Data'!$B:$D,3,FALSE))</f>
        <v/>
      </c>
      <c r="BS43" s="581" t="str">
        <f t="shared" si="8"/>
        <v/>
      </c>
      <c r="BT43" s="581" t="str">
        <f>IF($H43="","",VLOOKUP(VALUE($H43),'Master Data'!B:I,8,FALSE))</f>
        <v/>
      </c>
    </row>
    <row r="44" spans="1:72" s="412" customFormat="1" x14ac:dyDescent="0.25">
      <c r="A44" s="571" t="str">
        <f>IF(D44="","",Cover!$D$8)</f>
        <v/>
      </c>
      <c r="B44" s="397" t="str">
        <f>IF(D44="","",IFERROR(VLOOKUP(G44,'Master Data'!$E$59:$J$144,6,FALSE),0))</f>
        <v/>
      </c>
      <c r="C44" s="598" t="str">
        <f>IF(D44="","",_xlfn.XLOOKUP(D44,'Activity Master Opex'!C:C,'Activity Master Opex'!B:B,0,0,1))</f>
        <v/>
      </c>
      <c r="D44" s="399"/>
      <c r="E44" s="583" t="str">
        <f>IF(D44="","",IFERROR(VLOOKUP(D44,'Activity Master Opex'!$C:$M,6,FALSE),0))</f>
        <v/>
      </c>
      <c r="F44" s="400" t="str">
        <f>IF($C44="","",VLOOKUP($C44,'Activity Master Opex'!$B:$I,3,0))</f>
        <v/>
      </c>
      <c r="G44" s="398" t="str">
        <f>IF($C44="","",VLOOKUP($F44,'Master Data'!$D$59:$E$144,2,FALSE))</f>
        <v/>
      </c>
      <c r="H44" s="401" t="str">
        <f>IF($C44="","",VLOOKUP($C44,'Activity Master Opex'!$B:$I,5,0))</f>
        <v/>
      </c>
      <c r="I44" s="571" t="str">
        <f>IFERROR(VLOOKUP(H44,'Master Data'!B:C,2,FALSE),"")</f>
        <v/>
      </c>
      <c r="J44" s="402">
        <v>0</v>
      </c>
      <c r="K44" s="402">
        <v>0</v>
      </c>
      <c r="L44" s="403"/>
      <c r="M44" s="403"/>
      <c r="N44" s="403"/>
      <c r="O44" s="403"/>
      <c r="P44" s="403"/>
      <c r="Q44" s="403"/>
      <c r="R44" s="403"/>
      <c r="S44" s="403"/>
      <c r="T44" s="403"/>
      <c r="U44" s="403"/>
      <c r="V44" s="403"/>
      <c r="W44" s="403"/>
      <c r="X44" s="582">
        <f t="shared" si="9"/>
        <v>0</v>
      </c>
      <c r="Y44" s="404"/>
      <c r="Z44" s="405"/>
      <c r="AA44" s="405"/>
      <c r="AB44" s="405"/>
      <c r="AC44" s="405"/>
      <c r="AD44" s="405"/>
      <c r="AE44" s="405"/>
      <c r="AF44" s="405"/>
      <c r="AG44" s="405"/>
      <c r="AH44" s="405"/>
      <c r="AI44" s="405"/>
      <c r="AJ44" s="405"/>
      <c r="AK44" s="405"/>
      <c r="AL44" s="406">
        <f t="shared" si="1"/>
        <v>0</v>
      </c>
      <c r="AM44" s="407"/>
      <c r="AN44" s="405"/>
      <c r="AO44" s="405"/>
      <c r="AP44" s="405"/>
      <c r="AQ44" s="405"/>
      <c r="AR44" s="405"/>
      <c r="AS44" s="405"/>
      <c r="AT44" s="405"/>
      <c r="AU44" s="405"/>
      <c r="AV44" s="405"/>
      <c r="AW44" s="405"/>
      <c r="AX44" s="405"/>
      <c r="AY44" s="405"/>
      <c r="AZ44" s="406">
        <f t="shared" si="2"/>
        <v>0</v>
      </c>
      <c r="BA44" s="573">
        <f t="shared" si="3"/>
        <v>0</v>
      </c>
      <c r="BB44" s="574"/>
      <c r="BC44" s="408">
        <f t="shared" si="4"/>
        <v>0</v>
      </c>
      <c r="BD44" s="572" t="str">
        <f>IF('Budget Opex Detail'!C44="","",IF(COUNTIFS('Activity Master Opex'!$B$4:$B$42,'Budget Opex Detail'!$C44)&gt;0,"","New Activity"))</f>
        <v/>
      </c>
      <c r="BE44" s="575"/>
      <c r="BF44" s="576"/>
      <c r="BG44" s="409"/>
      <c r="BH44" s="577"/>
      <c r="BI44" s="578"/>
      <c r="BJ44" s="578"/>
      <c r="BK44" s="579"/>
      <c r="BL44" s="410">
        <f t="shared" si="7"/>
        <v>0</v>
      </c>
      <c r="BM44" s="577"/>
      <c r="BN44" s="577"/>
      <c r="BO44" s="411">
        <f t="shared" si="5"/>
        <v>0</v>
      </c>
      <c r="BP44" s="580"/>
      <c r="BR44" s="581" t="str">
        <f>IF($H44="","",VLOOKUP($H44,'Master Data'!$B:$D,3,FALSE))</f>
        <v/>
      </c>
      <c r="BS44" s="581" t="str">
        <f t="shared" si="8"/>
        <v/>
      </c>
      <c r="BT44" s="581" t="str">
        <f>IF($H44="","",VLOOKUP(VALUE($H44),'Master Data'!B:I,8,FALSE))</f>
        <v/>
      </c>
    </row>
    <row r="45" spans="1:72" s="412" customFormat="1" x14ac:dyDescent="0.25">
      <c r="A45" s="571" t="str">
        <f>IF(D45="","",Cover!$D$8)</f>
        <v/>
      </c>
      <c r="B45" s="397" t="str">
        <f>IF(D45="","",IFERROR(VLOOKUP(G45,'Master Data'!$E$59:$J$144,6,FALSE),0))</f>
        <v/>
      </c>
      <c r="C45" s="598" t="str">
        <f>IF(D45="","",_xlfn.XLOOKUP(D45,'Activity Master Opex'!C:C,'Activity Master Opex'!B:B,0,0,1))</f>
        <v/>
      </c>
      <c r="D45" s="399"/>
      <c r="E45" s="583" t="str">
        <f>IF(D45="","",IFERROR(VLOOKUP(D45,'Activity Master Opex'!$C:$M,6,FALSE),0))</f>
        <v/>
      </c>
      <c r="F45" s="400" t="str">
        <f>IF($C45="","",VLOOKUP($C45,'Activity Master Opex'!$B:$I,3,0))</f>
        <v/>
      </c>
      <c r="G45" s="398" t="str">
        <f>IF($C45="","",VLOOKUP($F45,'Master Data'!$D$59:$E$144,2,FALSE))</f>
        <v/>
      </c>
      <c r="H45" s="401" t="str">
        <f>IF($C45="","",VLOOKUP($C45,'Activity Master Opex'!$B:$I,5,0))</f>
        <v/>
      </c>
      <c r="I45" s="571" t="str">
        <f>IFERROR(VLOOKUP(H45,'Master Data'!B:C,2,FALSE),"")</f>
        <v/>
      </c>
      <c r="J45" s="402">
        <v>0</v>
      </c>
      <c r="K45" s="402">
        <v>0</v>
      </c>
      <c r="L45" s="403"/>
      <c r="M45" s="403"/>
      <c r="N45" s="403"/>
      <c r="O45" s="403"/>
      <c r="P45" s="403"/>
      <c r="Q45" s="403"/>
      <c r="R45" s="403"/>
      <c r="S45" s="403"/>
      <c r="T45" s="403"/>
      <c r="U45" s="403"/>
      <c r="V45" s="403"/>
      <c r="W45" s="403"/>
      <c r="X45" s="582">
        <f t="shared" si="9"/>
        <v>0</v>
      </c>
      <c r="Y45" s="404"/>
      <c r="Z45" s="405"/>
      <c r="AA45" s="405"/>
      <c r="AB45" s="405"/>
      <c r="AC45" s="405"/>
      <c r="AD45" s="405"/>
      <c r="AE45" s="405"/>
      <c r="AF45" s="405"/>
      <c r="AG45" s="405"/>
      <c r="AH45" s="405"/>
      <c r="AI45" s="405"/>
      <c r="AJ45" s="405"/>
      <c r="AK45" s="405"/>
      <c r="AL45" s="406">
        <f t="shared" si="1"/>
        <v>0</v>
      </c>
      <c r="AM45" s="407"/>
      <c r="AN45" s="405"/>
      <c r="AO45" s="405"/>
      <c r="AP45" s="405"/>
      <c r="AQ45" s="405"/>
      <c r="AR45" s="405"/>
      <c r="AS45" s="405"/>
      <c r="AT45" s="405"/>
      <c r="AU45" s="405"/>
      <c r="AV45" s="405"/>
      <c r="AW45" s="405"/>
      <c r="AX45" s="405"/>
      <c r="AY45" s="405"/>
      <c r="AZ45" s="406">
        <f t="shared" si="2"/>
        <v>0</v>
      </c>
      <c r="BA45" s="573">
        <f t="shared" si="3"/>
        <v>0</v>
      </c>
      <c r="BB45" s="574"/>
      <c r="BC45" s="408">
        <f t="shared" si="4"/>
        <v>0</v>
      </c>
      <c r="BD45" s="572" t="str">
        <f>IF('Budget Opex Detail'!C45="","",IF(COUNTIFS('Activity Master Opex'!$B$4:$B$42,'Budget Opex Detail'!$C45)&gt;0,"","New Activity"))</f>
        <v/>
      </c>
      <c r="BE45" s="575"/>
      <c r="BF45" s="576"/>
      <c r="BG45" s="409"/>
      <c r="BH45" s="577"/>
      <c r="BI45" s="578"/>
      <c r="BJ45" s="578"/>
      <c r="BK45" s="579"/>
      <c r="BL45" s="410">
        <f t="shared" si="7"/>
        <v>0</v>
      </c>
      <c r="BM45" s="577"/>
      <c r="BN45" s="577"/>
      <c r="BO45" s="411">
        <f t="shared" si="5"/>
        <v>0</v>
      </c>
      <c r="BP45" s="580"/>
      <c r="BR45" s="581" t="str">
        <f>IF($H45="","",VLOOKUP($H45,'Master Data'!$B:$D,3,FALSE))</f>
        <v/>
      </c>
      <c r="BS45" s="581" t="str">
        <f t="shared" si="8"/>
        <v/>
      </c>
      <c r="BT45" s="581" t="str">
        <f>IF($H45="","",VLOOKUP(VALUE($H45),'Master Data'!B:I,8,FALSE))</f>
        <v/>
      </c>
    </row>
    <row r="46" spans="1:72" x14ac:dyDescent="0.25">
      <c r="A46" s="571" t="str">
        <f>IF(D46="","",Cover!$D$8)</f>
        <v/>
      </c>
      <c r="B46" s="397" t="str">
        <f>IF(D46="","",IFERROR(VLOOKUP(G46,'Master Data'!$E$59:$J$144,6,FALSE),0))</f>
        <v/>
      </c>
      <c r="C46" s="598" t="str">
        <f>IF(D46="","",_xlfn.XLOOKUP(D46,'Activity Master Opex'!C:C,'Activity Master Opex'!B:B,0,0,1))</f>
        <v/>
      </c>
      <c r="D46" s="399"/>
      <c r="E46" s="583" t="str">
        <f>IF(D46="","",IFERROR(VLOOKUP(D46,'Activity Master Opex'!$C:$M,6,FALSE),0))</f>
        <v/>
      </c>
      <c r="F46" s="400" t="str">
        <f>IF($C46="","",VLOOKUP($C46,'Activity Master Opex'!$B:$I,3,0))</f>
        <v/>
      </c>
      <c r="G46" s="398" t="str">
        <f>IF($C46="","",VLOOKUP($F46,'Master Data'!$D$59:$E$144,2,FALSE))</f>
        <v/>
      </c>
      <c r="H46" s="401" t="str">
        <f>IF($C46="","",VLOOKUP($C46,'Activity Master Opex'!$B:$I,5,0))</f>
        <v/>
      </c>
      <c r="I46" s="571" t="str">
        <f>IFERROR(VLOOKUP(H46,'Master Data'!B:C,2,FALSE),"")</f>
        <v/>
      </c>
      <c r="J46" s="402">
        <v>0</v>
      </c>
      <c r="K46" s="402">
        <v>0</v>
      </c>
      <c r="L46" s="403"/>
      <c r="M46" s="403"/>
      <c r="N46" s="403"/>
      <c r="O46" s="403"/>
      <c r="P46" s="403"/>
      <c r="Q46" s="403"/>
      <c r="R46" s="403"/>
      <c r="S46" s="403"/>
      <c r="T46" s="403"/>
      <c r="U46" s="403"/>
      <c r="V46" s="403"/>
      <c r="W46" s="403"/>
      <c r="X46" s="582">
        <f t="shared" si="9"/>
        <v>0</v>
      </c>
      <c r="Y46" s="404"/>
      <c r="Z46" s="403"/>
      <c r="AA46" s="403"/>
      <c r="AB46" s="403"/>
      <c r="AC46" s="403"/>
      <c r="AD46" s="403"/>
      <c r="AE46" s="403"/>
      <c r="AF46" s="403"/>
      <c r="AG46" s="403"/>
      <c r="AH46" s="403"/>
      <c r="AI46" s="403"/>
      <c r="AJ46" s="403"/>
      <c r="AK46" s="403"/>
      <c r="AL46" s="406">
        <f t="shared" si="1"/>
        <v>0</v>
      </c>
      <c r="AM46" s="599"/>
      <c r="AN46" s="403"/>
      <c r="AO46" s="403"/>
      <c r="AP46" s="403"/>
      <c r="AQ46" s="403"/>
      <c r="AR46" s="403"/>
      <c r="AS46" s="403"/>
      <c r="AT46" s="403"/>
      <c r="AU46" s="403"/>
      <c r="AV46" s="403"/>
      <c r="AW46" s="403"/>
      <c r="AX46" s="403"/>
      <c r="AY46" s="403"/>
      <c r="AZ46" s="406">
        <f t="shared" ref="AZ46:AZ52" si="10">SUM(AN46:AY46)</f>
        <v>0</v>
      </c>
      <c r="BA46" s="573">
        <f t="shared" ref="BA46:BA52" si="11">X46-J46</f>
        <v>0</v>
      </c>
      <c r="BB46" s="403"/>
      <c r="BD46" s="572" t="str">
        <f>IF('Budget Opex Detail'!C46="","",IF(COUNTIFS('Activity Master Opex'!$B$4:$B$42,'Budget Opex Detail'!$C46)&gt;0,"","New Activity"))</f>
        <v/>
      </c>
      <c r="BE46" s="575"/>
      <c r="BF46" s="576"/>
      <c r="BG46" s="409"/>
      <c r="BH46" s="577"/>
      <c r="BI46" s="578"/>
      <c r="BJ46" s="578"/>
      <c r="BK46" s="579"/>
      <c r="BL46" s="410">
        <f t="shared" si="7"/>
        <v>0</v>
      </c>
      <c r="BM46" s="577"/>
      <c r="BN46" s="577"/>
      <c r="BO46" s="411">
        <f t="shared" ref="BO46:BO52" si="12">BL46+BN46</f>
        <v>0</v>
      </c>
      <c r="BP46" s="580"/>
      <c r="BR46" s="581" t="str">
        <f>IF($H46="","",VLOOKUP($H46,'Master Data'!$B:$D,3,FALSE))</f>
        <v/>
      </c>
      <c r="BS46" s="581" t="str">
        <f t="shared" si="8"/>
        <v/>
      </c>
      <c r="BT46" s="581" t="str">
        <f>IF($H46="","",VLOOKUP(VALUE($H46),'Master Data'!B:I,8,FALSE))</f>
        <v/>
      </c>
    </row>
    <row r="47" spans="1:72" x14ac:dyDescent="0.25">
      <c r="A47" s="571" t="str">
        <f>IF(D47="","",Cover!$D$8)</f>
        <v/>
      </c>
      <c r="B47" s="397" t="str">
        <f>IF(D47="","",IFERROR(VLOOKUP(G47,'Master Data'!$E$59:$J$144,6,FALSE),0))</f>
        <v/>
      </c>
      <c r="C47" s="598" t="str">
        <f>IF(D47="","",_xlfn.XLOOKUP(D47,'Activity Master Opex'!C:C,'Activity Master Opex'!B:B,0,0,1))</f>
        <v/>
      </c>
      <c r="D47" s="399"/>
      <c r="E47" s="583" t="str">
        <f>IF(D47="","",IFERROR(VLOOKUP(D47,'Activity Master Opex'!$C:$M,6,FALSE),0))</f>
        <v/>
      </c>
      <c r="F47" s="400" t="str">
        <f>IF($C47="","",VLOOKUP($C47,'Activity Master Opex'!$B:$I,3,0))</f>
        <v/>
      </c>
      <c r="G47" s="398" t="str">
        <f>IF($C47="","",VLOOKUP($F47,'Master Data'!$D$59:$E$144,2,FALSE))</f>
        <v/>
      </c>
      <c r="H47" s="401" t="str">
        <f>IF($C47="","",VLOOKUP($C47,'Activity Master Opex'!$B:$I,5,0))</f>
        <v/>
      </c>
      <c r="I47" s="571" t="str">
        <f>IFERROR(VLOOKUP(H47,'Master Data'!B:C,2,FALSE),"")</f>
        <v/>
      </c>
      <c r="J47" s="402">
        <v>0</v>
      </c>
      <c r="K47" s="402">
        <v>0</v>
      </c>
      <c r="L47" s="403"/>
      <c r="M47" s="403"/>
      <c r="N47" s="403"/>
      <c r="O47" s="403"/>
      <c r="P47" s="403"/>
      <c r="Q47" s="403"/>
      <c r="R47" s="403"/>
      <c r="S47" s="403"/>
      <c r="T47" s="403"/>
      <c r="U47" s="403"/>
      <c r="V47" s="403"/>
      <c r="W47" s="403"/>
      <c r="X47" s="582">
        <f t="shared" si="9"/>
        <v>0</v>
      </c>
      <c r="Y47" s="404"/>
      <c r="Z47" s="403"/>
      <c r="AA47" s="403"/>
      <c r="AB47" s="403"/>
      <c r="AC47" s="403"/>
      <c r="AD47" s="403"/>
      <c r="AE47" s="403"/>
      <c r="AF47" s="403"/>
      <c r="AG47" s="403"/>
      <c r="AH47" s="403"/>
      <c r="AI47" s="403"/>
      <c r="AJ47" s="403"/>
      <c r="AK47" s="403"/>
      <c r="AL47" s="406">
        <f t="shared" si="1"/>
        <v>0</v>
      </c>
      <c r="AM47" s="599"/>
      <c r="AN47" s="403"/>
      <c r="AO47" s="403"/>
      <c r="AP47" s="403"/>
      <c r="AQ47" s="403"/>
      <c r="AR47" s="403"/>
      <c r="AS47" s="403"/>
      <c r="AT47" s="403"/>
      <c r="AU47" s="403"/>
      <c r="AV47" s="403"/>
      <c r="AW47" s="403"/>
      <c r="AX47" s="403"/>
      <c r="AY47" s="403"/>
      <c r="AZ47" s="406">
        <f t="shared" si="10"/>
        <v>0</v>
      </c>
      <c r="BA47" s="573">
        <f t="shared" si="11"/>
        <v>0</v>
      </c>
      <c r="BB47" s="403"/>
      <c r="BD47" s="572" t="str">
        <f>IF('Budget Opex Detail'!C47="","",IF(COUNTIFS('Activity Master Opex'!$B$4:$B$42,'Budget Opex Detail'!$C47)&gt;0,"","New Activity"))</f>
        <v/>
      </c>
      <c r="BE47" s="575"/>
      <c r="BF47" s="576"/>
      <c r="BG47" s="409"/>
      <c r="BH47" s="577"/>
      <c r="BI47" s="578"/>
      <c r="BJ47" s="578"/>
      <c r="BK47" s="579"/>
      <c r="BL47" s="410">
        <f t="shared" si="7"/>
        <v>0</v>
      </c>
      <c r="BM47" s="577"/>
      <c r="BN47" s="577"/>
      <c r="BO47" s="411">
        <f t="shared" si="12"/>
        <v>0</v>
      </c>
      <c r="BP47" s="580"/>
      <c r="BR47" s="581" t="str">
        <f>IF($H47="","",VLOOKUP($H47,'Master Data'!$B:$D,3,FALSE))</f>
        <v/>
      </c>
      <c r="BS47" s="581" t="str">
        <f t="shared" si="8"/>
        <v/>
      </c>
      <c r="BT47" s="581" t="str">
        <f>IF($H47="","",VLOOKUP(VALUE($H47),'Master Data'!B:I,8,FALSE))</f>
        <v/>
      </c>
    </row>
    <row r="48" spans="1:72" x14ac:dyDescent="0.25">
      <c r="A48" s="571" t="str">
        <f>IF(D48="","",Cover!$D$8)</f>
        <v/>
      </c>
      <c r="B48" s="397" t="str">
        <f>IF(D48="","",IFERROR(VLOOKUP(G48,'Master Data'!$E$59:$J$144,6,FALSE),0))</f>
        <v/>
      </c>
      <c r="C48" s="598" t="str">
        <f>IF(D48="","",_xlfn.XLOOKUP(D48,'Activity Master Opex'!C:C,'Activity Master Opex'!B:B,0,0,1))</f>
        <v/>
      </c>
      <c r="D48" s="399"/>
      <c r="E48" s="583" t="str">
        <f>IF(D48="","",IFERROR(VLOOKUP(D48,'Activity Master Opex'!$C:$M,6,FALSE),0))</f>
        <v/>
      </c>
      <c r="F48" s="400" t="str">
        <f>IF($C48="","",VLOOKUP($C48,'Activity Master Opex'!$B:$I,3,0))</f>
        <v/>
      </c>
      <c r="G48" s="398" t="str">
        <f>IF($C48="","",VLOOKUP($F48,'Master Data'!$D$59:$E$144,2,FALSE))</f>
        <v/>
      </c>
      <c r="H48" s="401" t="str">
        <f>IF($C48="","",VLOOKUP($C48,'Activity Master Opex'!$B:$I,5,0))</f>
        <v/>
      </c>
      <c r="I48" s="571" t="str">
        <f>IFERROR(VLOOKUP(H48,'Master Data'!B:C,2,FALSE),"")</f>
        <v/>
      </c>
      <c r="J48" s="402">
        <v>0</v>
      </c>
      <c r="K48" s="402">
        <v>0</v>
      </c>
      <c r="L48" s="403"/>
      <c r="M48" s="403"/>
      <c r="N48" s="403"/>
      <c r="O48" s="403"/>
      <c r="P48" s="403"/>
      <c r="Q48" s="403"/>
      <c r="R48" s="403"/>
      <c r="S48" s="403"/>
      <c r="T48" s="403"/>
      <c r="U48" s="403"/>
      <c r="V48" s="403"/>
      <c r="W48" s="403"/>
      <c r="X48" s="582">
        <f t="shared" si="9"/>
        <v>0</v>
      </c>
      <c r="Y48" s="404"/>
      <c r="Z48" s="403"/>
      <c r="AA48" s="403"/>
      <c r="AB48" s="403"/>
      <c r="AC48" s="403"/>
      <c r="AD48" s="403"/>
      <c r="AE48" s="403"/>
      <c r="AF48" s="403"/>
      <c r="AG48" s="403"/>
      <c r="AH48" s="403"/>
      <c r="AI48" s="403"/>
      <c r="AJ48" s="403"/>
      <c r="AK48" s="403"/>
      <c r="AL48" s="406">
        <f t="shared" si="1"/>
        <v>0</v>
      </c>
      <c r="AM48" s="599"/>
      <c r="AN48" s="403"/>
      <c r="AO48" s="403"/>
      <c r="AP48" s="403"/>
      <c r="AQ48" s="403"/>
      <c r="AR48" s="403"/>
      <c r="AS48" s="403"/>
      <c r="AT48" s="403"/>
      <c r="AU48" s="403"/>
      <c r="AV48" s="403"/>
      <c r="AW48" s="403"/>
      <c r="AX48" s="403"/>
      <c r="AY48" s="403"/>
      <c r="AZ48" s="406">
        <f t="shared" si="10"/>
        <v>0</v>
      </c>
      <c r="BA48" s="573">
        <f t="shared" si="11"/>
        <v>0</v>
      </c>
      <c r="BB48" s="403"/>
      <c r="BD48" s="572" t="str">
        <f>IF('Budget Opex Detail'!C48="","",IF(COUNTIFS('Activity Master Opex'!$B$4:$B$42,'Budget Opex Detail'!$C48)&gt;0,"","New Activity"))</f>
        <v/>
      </c>
      <c r="BE48" s="575"/>
      <c r="BF48" s="576"/>
      <c r="BG48" s="409"/>
      <c r="BH48" s="577"/>
      <c r="BI48" s="578"/>
      <c r="BJ48" s="578"/>
      <c r="BK48" s="579"/>
      <c r="BL48" s="410">
        <f t="shared" si="7"/>
        <v>0</v>
      </c>
      <c r="BM48" s="577"/>
      <c r="BN48" s="577"/>
      <c r="BO48" s="411">
        <f t="shared" si="12"/>
        <v>0</v>
      </c>
      <c r="BP48" s="580"/>
      <c r="BR48" s="581" t="str">
        <f>IF($H48="","",VLOOKUP($H48,'Master Data'!$B:$D,3,FALSE))</f>
        <v/>
      </c>
      <c r="BS48" s="581" t="str">
        <f t="shared" si="8"/>
        <v/>
      </c>
      <c r="BT48" s="581" t="str">
        <f>IF($H48="","",VLOOKUP(VALUE($H48),'Master Data'!B:I,8,FALSE))</f>
        <v/>
      </c>
    </row>
    <row r="49" spans="1:72" x14ac:dyDescent="0.25">
      <c r="A49" s="571" t="str">
        <f>IF(D49="","",Cover!$D$8)</f>
        <v/>
      </c>
      <c r="B49" s="397" t="str">
        <f>IF(D49="","",IFERROR(VLOOKUP(G49,'Master Data'!$E$59:$J$144,6,FALSE),0))</f>
        <v/>
      </c>
      <c r="C49" s="598" t="str">
        <f>IF(D49="","",_xlfn.XLOOKUP(D49,'Activity Master Opex'!C:C,'Activity Master Opex'!B:B,0,0,1))</f>
        <v/>
      </c>
      <c r="D49" s="399"/>
      <c r="E49" s="583" t="str">
        <f>IF(D49="","",IFERROR(VLOOKUP(D49,'Activity Master Opex'!$C:$M,6,FALSE),0))</f>
        <v/>
      </c>
      <c r="F49" s="400" t="str">
        <f>IF($C49="","",VLOOKUP($C49,'Activity Master Opex'!$B:$I,3,0))</f>
        <v/>
      </c>
      <c r="G49" s="398" t="str">
        <f>IF($C49="","",VLOOKUP($F49,'Master Data'!$D$59:$E$144,2,FALSE))</f>
        <v/>
      </c>
      <c r="H49" s="401" t="str">
        <f>IF($C49="","",VLOOKUP($C49,'Activity Master Opex'!$B:$I,5,0))</f>
        <v/>
      </c>
      <c r="I49" s="571" t="str">
        <f>IFERROR(VLOOKUP(H49,'Master Data'!B:C,2,FALSE),"")</f>
        <v/>
      </c>
      <c r="J49" s="402">
        <v>0</v>
      </c>
      <c r="K49" s="402">
        <v>0</v>
      </c>
      <c r="L49" s="403"/>
      <c r="M49" s="403"/>
      <c r="N49" s="403"/>
      <c r="O49" s="403"/>
      <c r="P49" s="403"/>
      <c r="Q49" s="403"/>
      <c r="R49" s="403"/>
      <c r="S49" s="403"/>
      <c r="T49" s="403"/>
      <c r="U49" s="403"/>
      <c r="V49" s="403"/>
      <c r="W49" s="403"/>
      <c r="X49" s="582">
        <f t="shared" si="9"/>
        <v>0</v>
      </c>
      <c r="Y49" s="404"/>
      <c r="Z49" s="403"/>
      <c r="AA49" s="403"/>
      <c r="AB49" s="403"/>
      <c r="AC49" s="403"/>
      <c r="AD49" s="403"/>
      <c r="AE49" s="403"/>
      <c r="AF49" s="403"/>
      <c r="AG49" s="403"/>
      <c r="AH49" s="403"/>
      <c r="AI49" s="403"/>
      <c r="AJ49" s="403"/>
      <c r="AK49" s="403"/>
      <c r="AL49" s="406">
        <f t="shared" si="1"/>
        <v>0</v>
      </c>
      <c r="AM49" s="599"/>
      <c r="AN49" s="403"/>
      <c r="AO49" s="403"/>
      <c r="AP49" s="403"/>
      <c r="AQ49" s="403"/>
      <c r="AR49" s="403"/>
      <c r="AS49" s="403"/>
      <c r="AT49" s="403"/>
      <c r="AU49" s="403"/>
      <c r="AV49" s="403"/>
      <c r="AW49" s="403"/>
      <c r="AX49" s="403"/>
      <c r="AY49" s="403"/>
      <c r="AZ49" s="406">
        <f t="shared" si="10"/>
        <v>0</v>
      </c>
      <c r="BA49" s="573">
        <f t="shared" si="11"/>
        <v>0</v>
      </c>
      <c r="BB49" s="403"/>
      <c r="BD49" s="572" t="str">
        <f>IF('Budget Opex Detail'!C49="","",IF(COUNTIFS('Activity Master Opex'!$B$4:$B$42,'Budget Opex Detail'!$C49)&gt;0,"","New Activity"))</f>
        <v/>
      </c>
      <c r="BE49" s="575"/>
      <c r="BF49" s="576"/>
      <c r="BG49" s="409"/>
      <c r="BH49" s="577"/>
      <c r="BI49" s="578"/>
      <c r="BJ49" s="578"/>
      <c r="BK49" s="579"/>
      <c r="BL49" s="410">
        <f t="shared" si="7"/>
        <v>0</v>
      </c>
      <c r="BM49" s="577"/>
      <c r="BN49" s="577"/>
      <c r="BO49" s="411">
        <f t="shared" si="12"/>
        <v>0</v>
      </c>
      <c r="BP49" s="580"/>
      <c r="BR49" s="581" t="str">
        <f>IF($H49="","",VLOOKUP($H49,'Master Data'!$B:$D,3,FALSE))</f>
        <v/>
      </c>
      <c r="BS49" s="581" t="str">
        <f t="shared" si="8"/>
        <v/>
      </c>
      <c r="BT49" s="581" t="str">
        <f>IF($H49="","",VLOOKUP(VALUE($H49),'Master Data'!B:I,8,FALSE))</f>
        <v/>
      </c>
    </row>
    <row r="50" spans="1:72" x14ac:dyDescent="0.25">
      <c r="A50" s="571" t="str">
        <f>IF(D50="","",Cover!$D$8)</f>
        <v/>
      </c>
      <c r="B50" s="397" t="str">
        <f>IF(D50="","",IFERROR(VLOOKUP(G50,'Master Data'!$E$59:$J$144,6,FALSE),0))</f>
        <v/>
      </c>
      <c r="C50" s="598" t="str">
        <f>IF(D50="","",_xlfn.XLOOKUP(D50,'Activity Master Opex'!C:C,'Activity Master Opex'!B:B,0,0,1))</f>
        <v/>
      </c>
      <c r="D50" s="399"/>
      <c r="E50" s="583" t="str">
        <f>IF(D50="","",IFERROR(VLOOKUP(D50,'Activity Master Opex'!$C:$M,6,FALSE),0))</f>
        <v/>
      </c>
      <c r="F50" s="400" t="str">
        <f>IF($C50="","",VLOOKUP($C50,'Activity Master Opex'!$B:$I,3,0))</f>
        <v/>
      </c>
      <c r="G50" s="398" t="str">
        <f>IF($C50="","",VLOOKUP($F50,'Master Data'!$D$59:$E$144,2,FALSE))</f>
        <v/>
      </c>
      <c r="H50" s="401" t="str">
        <f>IF($C50="","",VLOOKUP($C50,'Activity Master Opex'!$B:$I,5,0))</f>
        <v/>
      </c>
      <c r="I50" s="571" t="str">
        <f>IFERROR(VLOOKUP(H50,'Master Data'!B:C,2,FALSE),"")</f>
        <v/>
      </c>
      <c r="J50" s="402">
        <v>0</v>
      </c>
      <c r="K50" s="402">
        <v>0</v>
      </c>
      <c r="L50" s="403"/>
      <c r="M50" s="403"/>
      <c r="N50" s="403"/>
      <c r="O50" s="403"/>
      <c r="P50" s="403"/>
      <c r="Q50" s="403"/>
      <c r="R50" s="403"/>
      <c r="S50" s="403"/>
      <c r="T50" s="403"/>
      <c r="U50" s="403"/>
      <c r="V50" s="403"/>
      <c r="W50" s="403"/>
      <c r="X50" s="582">
        <f t="shared" si="9"/>
        <v>0</v>
      </c>
      <c r="Y50" s="404"/>
      <c r="Z50" s="403"/>
      <c r="AA50" s="403"/>
      <c r="AB50" s="403"/>
      <c r="AC50" s="403"/>
      <c r="AD50" s="403"/>
      <c r="AE50" s="403"/>
      <c r="AF50" s="403"/>
      <c r="AG50" s="403"/>
      <c r="AH50" s="403"/>
      <c r="AI50" s="403"/>
      <c r="AJ50" s="403"/>
      <c r="AK50" s="403"/>
      <c r="AL50" s="406">
        <f t="shared" si="1"/>
        <v>0</v>
      </c>
      <c r="AM50" s="599"/>
      <c r="AN50" s="403"/>
      <c r="AO50" s="403"/>
      <c r="AP50" s="403"/>
      <c r="AQ50" s="403"/>
      <c r="AR50" s="403"/>
      <c r="AS50" s="403"/>
      <c r="AT50" s="403"/>
      <c r="AU50" s="403"/>
      <c r="AV50" s="403"/>
      <c r="AW50" s="403"/>
      <c r="AX50" s="403"/>
      <c r="AY50" s="403"/>
      <c r="AZ50" s="406">
        <f t="shared" si="10"/>
        <v>0</v>
      </c>
      <c r="BA50" s="573">
        <f t="shared" si="11"/>
        <v>0</v>
      </c>
      <c r="BB50" s="403"/>
      <c r="BD50" s="572" t="str">
        <f>IF('Budget Opex Detail'!C50="","",IF(COUNTIFS('Activity Master Opex'!$B$4:$B$42,'Budget Opex Detail'!$C50)&gt;0,"","New Activity"))</f>
        <v/>
      </c>
      <c r="BE50" s="575"/>
      <c r="BF50" s="576"/>
      <c r="BG50" s="409"/>
      <c r="BH50" s="577"/>
      <c r="BI50" s="578"/>
      <c r="BJ50" s="578"/>
      <c r="BK50" s="579"/>
      <c r="BL50" s="410">
        <f t="shared" si="7"/>
        <v>0</v>
      </c>
      <c r="BM50" s="577"/>
      <c r="BN50" s="577"/>
      <c r="BO50" s="411">
        <f t="shared" si="12"/>
        <v>0</v>
      </c>
      <c r="BP50" s="580"/>
      <c r="BR50" s="581" t="str">
        <f>IF($H50="","",VLOOKUP($H50,'Master Data'!$B:$D,3,FALSE))</f>
        <v/>
      </c>
      <c r="BS50" s="581" t="str">
        <f t="shared" si="8"/>
        <v/>
      </c>
      <c r="BT50" s="581" t="str">
        <f>IF($H50="","",VLOOKUP(VALUE($H50),'Master Data'!B:I,8,FALSE))</f>
        <v/>
      </c>
    </row>
    <row r="51" spans="1:72" x14ac:dyDescent="0.25">
      <c r="A51" s="571" t="str">
        <f>IF(D51="","",Cover!$D$8)</f>
        <v/>
      </c>
      <c r="B51" s="397" t="str">
        <f>IF(D51="","",IFERROR(VLOOKUP(G51,'Master Data'!$E$59:$J$144,6,FALSE),0))</f>
        <v/>
      </c>
      <c r="C51" s="598" t="str">
        <f>IF(D51="","",_xlfn.XLOOKUP(D51,'Activity Master Opex'!C:C,'Activity Master Opex'!B:B,0,0,1))</f>
        <v/>
      </c>
      <c r="D51" s="399"/>
      <c r="E51" s="583" t="str">
        <f>IF(D51="","",IFERROR(VLOOKUP(D51,'Activity Master Opex'!$C:$M,6,FALSE),0))</f>
        <v/>
      </c>
      <c r="F51" s="400" t="str">
        <f>IF($C51="","",VLOOKUP($C51,'Activity Master Opex'!$B:$I,3,0))</f>
        <v/>
      </c>
      <c r="G51" s="398" t="str">
        <f>IF($C51="","",VLOOKUP($F51,'Master Data'!$D$59:$E$144,2,FALSE))</f>
        <v/>
      </c>
      <c r="H51" s="401" t="str">
        <f>IF($C51="","",VLOOKUP($C51,'Activity Master Opex'!$B:$I,5,0))</f>
        <v/>
      </c>
      <c r="I51" s="571" t="str">
        <f>IFERROR(VLOOKUP(H51,'Master Data'!B:C,2,FALSE),"")</f>
        <v/>
      </c>
      <c r="J51" s="402">
        <v>0</v>
      </c>
      <c r="K51" s="402">
        <v>0</v>
      </c>
      <c r="L51" s="403"/>
      <c r="M51" s="403"/>
      <c r="N51" s="403"/>
      <c r="O51" s="403"/>
      <c r="P51" s="403"/>
      <c r="Q51" s="403"/>
      <c r="R51" s="403"/>
      <c r="S51" s="403"/>
      <c r="T51" s="403"/>
      <c r="U51" s="403"/>
      <c r="V51" s="403"/>
      <c r="W51" s="403"/>
      <c r="X51" s="582">
        <f t="shared" si="9"/>
        <v>0</v>
      </c>
      <c r="Y51" s="404"/>
      <c r="Z51" s="403"/>
      <c r="AA51" s="403"/>
      <c r="AB51" s="403"/>
      <c r="AC51" s="403"/>
      <c r="AD51" s="403"/>
      <c r="AE51" s="403"/>
      <c r="AF51" s="403"/>
      <c r="AG51" s="403"/>
      <c r="AH51" s="403"/>
      <c r="AI51" s="403"/>
      <c r="AJ51" s="403"/>
      <c r="AK51" s="403"/>
      <c r="AL51" s="406">
        <f t="shared" si="1"/>
        <v>0</v>
      </c>
      <c r="AM51" s="599"/>
      <c r="AN51" s="403"/>
      <c r="AO51" s="403"/>
      <c r="AP51" s="403"/>
      <c r="AQ51" s="403"/>
      <c r="AR51" s="403"/>
      <c r="AS51" s="403"/>
      <c r="AT51" s="403"/>
      <c r="AU51" s="403"/>
      <c r="AV51" s="403"/>
      <c r="AW51" s="403"/>
      <c r="AX51" s="403"/>
      <c r="AY51" s="403"/>
      <c r="AZ51" s="406">
        <f t="shared" si="10"/>
        <v>0</v>
      </c>
      <c r="BA51" s="573">
        <f t="shared" si="11"/>
        <v>0</v>
      </c>
      <c r="BB51" s="403"/>
      <c r="BD51" s="572" t="str">
        <f>IF('Budget Opex Detail'!C51="","",IF(COUNTIFS('Activity Master Opex'!$B$4:$B$42,'Budget Opex Detail'!$C51)&gt;0,"","New Activity"))</f>
        <v/>
      </c>
      <c r="BE51" s="575"/>
      <c r="BF51" s="576"/>
      <c r="BG51" s="409"/>
      <c r="BH51" s="577"/>
      <c r="BI51" s="578"/>
      <c r="BJ51" s="578"/>
      <c r="BK51" s="579"/>
      <c r="BL51" s="410">
        <f t="shared" si="7"/>
        <v>0</v>
      </c>
      <c r="BM51" s="577"/>
      <c r="BN51" s="577"/>
      <c r="BO51" s="411">
        <f t="shared" si="12"/>
        <v>0</v>
      </c>
      <c r="BP51" s="580"/>
      <c r="BR51" s="581" t="str">
        <f>IF($H51="","",VLOOKUP($H51,'Master Data'!$B:$D,3,FALSE))</f>
        <v/>
      </c>
      <c r="BS51" s="581" t="str">
        <f t="shared" si="8"/>
        <v/>
      </c>
      <c r="BT51" s="581" t="str">
        <f>IF($H51="","",VLOOKUP(VALUE($H51),'Master Data'!B:I,8,FALSE))</f>
        <v/>
      </c>
    </row>
    <row r="52" spans="1:72" x14ac:dyDescent="0.25">
      <c r="A52" s="571" t="str">
        <f>IF(D52="","",Cover!$D$8)</f>
        <v/>
      </c>
      <c r="B52" s="397" t="str">
        <f>IF(D52="","",IFERROR(VLOOKUP(G52,'Master Data'!$E$59:$J$144,6,FALSE),0))</f>
        <v/>
      </c>
      <c r="C52" s="598" t="str">
        <f>IF(D52="","",_xlfn.XLOOKUP(D52,'Activity Master Opex'!C:C,'Activity Master Opex'!B:B,0,0,1))</f>
        <v/>
      </c>
      <c r="D52" s="399"/>
      <c r="E52" s="583" t="str">
        <f>IF(D52="","",IFERROR(VLOOKUP(D52,'Activity Master Opex'!$C:$M,6,FALSE),0))</f>
        <v/>
      </c>
      <c r="F52" s="400" t="str">
        <f>IF($C52="","",VLOOKUP($C52,'Activity Master Opex'!$B:$I,3,0))</f>
        <v/>
      </c>
      <c r="G52" s="398" t="str">
        <f>IF($C52="","",VLOOKUP($F52,'Master Data'!$D$59:$E$144,2,FALSE))</f>
        <v/>
      </c>
      <c r="H52" s="401" t="str">
        <f>IF($C52="","",VLOOKUP($C52,'Activity Master Opex'!$B:$I,5,0))</f>
        <v/>
      </c>
      <c r="I52" s="571" t="str">
        <f>IFERROR(VLOOKUP(H52,'Master Data'!B:C,2,FALSE),"")</f>
        <v/>
      </c>
      <c r="J52" s="402">
        <v>0</v>
      </c>
      <c r="K52" s="402">
        <v>0</v>
      </c>
      <c r="L52" s="403"/>
      <c r="M52" s="403"/>
      <c r="N52" s="403"/>
      <c r="O52" s="403"/>
      <c r="P52" s="403"/>
      <c r="Q52" s="403"/>
      <c r="R52" s="403"/>
      <c r="S52" s="403"/>
      <c r="T52" s="403"/>
      <c r="U52" s="403"/>
      <c r="V52" s="403"/>
      <c r="W52" s="403"/>
      <c r="X52" s="582">
        <f t="shared" si="9"/>
        <v>0</v>
      </c>
      <c r="Y52" s="404"/>
      <c r="Z52" s="403"/>
      <c r="AA52" s="403"/>
      <c r="AB52" s="403"/>
      <c r="AC52" s="403"/>
      <c r="AD52" s="403"/>
      <c r="AE52" s="403"/>
      <c r="AF52" s="403"/>
      <c r="AG52" s="403"/>
      <c r="AH52" s="403"/>
      <c r="AI52" s="403"/>
      <c r="AJ52" s="403"/>
      <c r="AK52" s="403"/>
      <c r="AL52" s="406">
        <f t="shared" si="1"/>
        <v>0</v>
      </c>
      <c r="AM52" s="599"/>
      <c r="AN52" s="403"/>
      <c r="AO52" s="403"/>
      <c r="AP52" s="403"/>
      <c r="AQ52" s="403"/>
      <c r="AR52" s="403"/>
      <c r="AS52" s="403"/>
      <c r="AT52" s="403"/>
      <c r="AU52" s="403"/>
      <c r="AV52" s="403"/>
      <c r="AW52" s="403"/>
      <c r="AX52" s="403"/>
      <c r="AY52" s="403"/>
      <c r="AZ52" s="406">
        <f t="shared" si="10"/>
        <v>0</v>
      </c>
      <c r="BA52" s="573">
        <f t="shared" si="11"/>
        <v>0</v>
      </c>
      <c r="BB52" s="403"/>
      <c r="BD52" s="572" t="str">
        <f>IF('Budget Opex Detail'!C52="","",IF(COUNTIFS('Activity Master Opex'!$B$4:$B$42,'Budget Opex Detail'!$C52)&gt;0,"","New Activity"))</f>
        <v/>
      </c>
      <c r="BE52" s="575"/>
      <c r="BF52" s="576"/>
      <c r="BG52" s="409"/>
      <c r="BH52" s="577"/>
      <c r="BI52" s="578"/>
      <c r="BJ52" s="578"/>
      <c r="BK52" s="579"/>
      <c r="BL52" s="410">
        <f t="shared" si="7"/>
        <v>0</v>
      </c>
      <c r="BM52" s="577"/>
      <c r="BN52" s="577"/>
      <c r="BO52" s="411">
        <f t="shared" si="12"/>
        <v>0</v>
      </c>
      <c r="BP52" s="580"/>
      <c r="BR52" s="581" t="str">
        <f>IF($H52="","",VLOOKUP($H52,'Master Data'!$B:$D,3,FALSE))</f>
        <v/>
      </c>
      <c r="BS52" s="581" t="str">
        <f t="shared" si="8"/>
        <v/>
      </c>
      <c r="BT52" s="581" t="str">
        <f>IF($H52="","",VLOOKUP(VALUE($H52),'Master Data'!B:I,8,FALSE))</f>
        <v/>
      </c>
    </row>
  </sheetData>
  <sheetProtection formatColumns="0" formatRows="0" sort="0" autoFilter="0" pivotTables="0"/>
  <autoFilter ref="A3:AR52" xr:uid="{00000000-0009-0000-0000-000003000000}"/>
  <dataValidations count="4">
    <dataValidation type="list" allowBlank="1" showInputMessage="1" showErrorMessage="1" sqref="BH4:BH52" xr:uid="{00000000-0002-0000-0300-000000000000}">
      <formula1>"Essentials, Moderate, Not Essentials"</formula1>
    </dataValidation>
    <dataValidation type="list" allowBlank="1" showInputMessage="1" showErrorMessage="1" sqref="BE4:BE52" xr:uid="{00000000-0002-0000-0300-000001000000}">
      <formula1>"Monthly Recurring, Periodically (Quarterly/Yearly) Recurring, One Off, Conditional"</formula1>
    </dataValidation>
    <dataValidation type="custom" showInputMessage="1" showErrorMessage="1" error="Pastikan Master Activity Number sudah terisi dan format isian adalah angka_x000a_" sqref="BB46:BB52 L4:W52 Z46:AK52 AM46:AY52" xr:uid="{00000000-0002-0000-0300-000003000000}">
      <formula1>AND(ISNUMBER(L4),$C4&lt;&gt;"")</formula1>
    </dataValidation>
    <dataValidation type="custom" showInputMessage="1" showErrorMessage="1" error="Pastikan Ledger Number dan Cost Center sudah terisi" sqref="Z4:AK45 AN4:AY45" xr:uid="{9DA027D2-E91F-4A23-A7A3-8B5F6A3DE62D}">
      <formula1>AND($A4&lt;&gt;"",$J4&lt;&gt;"")</formula1>
    </dataValidation>
  </dataValidations>
  <pageMargins left="0.7" right="0.7" top="0.75" bottom="0.75" header="0.3" footer="0.3"/>
  <pageSetup orientation="portrait" r:id="rId1"/>
  <ignoredErrors>
    <ignoredError sqref="X4:X52" formulaRange="1"/>
  </ignoredErrors>
  <legacyDrawing r:id="rId2"/>
  <extLst>
    <ext xmlns:x14="http://schemas.microsoft.com/office/spreadsheetml/2009/9/main" uri="{78C0D931-6437-407d-A8EE-F0AAD7539E65}">
      <x14:conditionalFormattings>
        <x14:conditionalFormatting xmlns:xm="http://schemas.microsoft.com/office/excel/2006/main">
          <x14:cfRule type="iconSet" priority="12" id="{07C5B583-5990-4697-A877-10766E39DB89}">
            <x14:iconSet iconSet="3Triangles">
              <x14:cfvo type="percent">
                <xm:f>0</xm:f>
              </x14:cfvo>
              <x14:cfvo type="num">
                <xm:f>0</xm:f>
              </x14:cfvo>
              <x14:cfvo type="num" gte="0">
                <xm:f>0</xm:f>
              </x14:cfvo>
            </x14:iconSet>
          </x14:cfRule>
          <xm:sqref>BA4:BA52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7B15AFE-F1B1-451B-A0D1-E85726C85C13}">
          <x14:formula1>
            <xm:f>'Master Data'!$C$365:$C$367</xm:f>
          </x14:formula1>
          <xm:sqref>BG4:BG52</xm:sqref>
        </x14:dataValidation>
        <x14:dataValidation type="list" allowBlank="1" showInputMessage="1" showErrorMessage="1" xr:uid="{D02B4BBD-95C2-4AEB-9B56-96FFB113F890}">
          <x14:formula1>
            <xm:f>'Master Data'!$B$372:$B$373</xm:f>
          </x14:formula1>
          <xm:sqref>BJ4:BJ52</xm:sqref>
        </x14:dataValidation>
        <x14:dataValidation type="list" allowBlank="1" showInputMessage="1" showErrorMessage="1" xr:uid="{1DBF8FCD-156F-436E-8B82-4D9D89F6DA1B}">
          <x14:formula1>
            <xm:f>'Activity Master Opex'!$C:$C</xm:f>
          </x14:formula1>
          <xm:sqref>D4:D52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4A2F-8795-4885-BB80-DA5F20D6EAEB}">
  <sheetPr codeName="Sheet6"/>
  <dimension ref="A1:BA916"/>
  <sheetViews>
    <sheetView showGridLines="0" topLeftCell="A895" zoomScale="70" zoomScaleNormal="70" workbookViewId="0">
      <selection activeCell="AO113" sqref="AO113"/>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39" customFormat="1" ht="27.75" customHeight="1" outlineLevel="1" x14ac:dyDescent="0.25">
      <c r="B1" s="38" t="s">
        <v>234</v>
      </c>
    </row>
    <row r="2" spans="2:18" outlineLevel="1" x14ac:dyDescent="0.25">
      <c r="E2" s="36"/>
    </row>
    <row r="3" spans="2:18" outlineLevel="2" x14ac:dyDescent="0.25">
      <c r="B3" s="41" t="s">
        <v>234</v>
      </c>
      <c r="C3" s="37" t="s">
        <v>254</v>
      </c>
      <c r="E3" s="36"/>
      <c r="G3" t="s">
        <v>30</v>
      </c>
      <c r="H3" t="s">
        <v>29</v>
      </c>
      <c r="I3" t="s">
        <v>1509</v>
      </c>
      <c r="J3" t="s">
        <v>2646</v>
      </c>
      <c r="K3" t="s">
        <v>2647</v>
      </c>
      <c r="L3" t="s">
        <v>238</v>
      </c>
      <c r="M3" t="s">
        <v>239</v>
      </c>
      <c r="N3" t="s">
        <v>237</v>
      </c>
      <c r="O3" t="s">
        <v>2648</v>
      </c>
      <c r="P3" t="s">
        <v>2649</v>
      </c>
      <c r="Q3" t="s">
        <v>2650</v>
      </c>
      <c r="R3" t="s">
        <v>2651</v>
      </c>
    </row>
    <row r="4" spans="2:18" outlineLevel="2" x14ac:dyDescent="0.25">
      <c r="B4" s="42" t="s">
        <v>2652</v>
      </c>
      <c r="C4" s="253" t="s">
        <v>2652</v>
      </c>
      <c r="E4" s="36"/>
      <c r="G4" t="s">
        <v>30</v>
      </c>
      <c r="H4" t="s">
        <v>29</v>
      </c>
      <c r="I4" t="s">
        <v>236</v>
      </c>
      <c r="J4" t="s">
        <v>2653</v>
      </c>
      <c r="K4" t="s">
        <v>2654</v>
      </c>
      <c r="L4" t="s">
        <v>28</v>
      </c>
      <c r="M4" t="s">
        <v>2655</v>
      </c>
      <c r="N4" t="s">
        <v>237</v>
      </c>
      <c r="O4" t="s">
        <v>2656</v>
      </c>
      <c r="P4" t="s">
        <v>327</v>
      </c>
      <c r="Q4" t="s">
        <v>1684</v>
      </c>
      <c r="R4" t="s">
        <v>2657</v>
      </c>
    </row>
    <row r="5" spans="2:18" outlineLevel="2" x14ac:dyDescent="0.25">
      <c r="B5" s="42" t="s">
        <v>1509</v>
      </c>
      <c r="C5" s="253" t="s">
        <v>1509</v>
      </c>
      <c r="E5" s="36"/>
      <c r="I5" t="s">
        <v>32</v>
      </c>
      <c r="J5" t="s">
        <v>20</v>
      </c>
      <c r="K5" t="s">
        <v>2658</v>
      </c>
      <c r="L5" t="s">
        <v>25</v>
      </c>
      <c r="M5" t="s">
        <v>2659</v>
      </c>
      <c r="P5" t="s">
        <v>329</v>
      </c>
      <c r="Q5" t="s">
        <v>2660</v>
      </c>
      <c r="R5" t="s">
        <v>2661</v>
      </c>
    </row>
    <row r="6" spans="2:18" outlineLevel="2" x14ac:dyDescent="0.25">
      <c r="B6" s="42" t="s">
        <v>2649</v>
      </c>
      <c r="C6" s="253" t="s">
        <v>2649</v>
      </c>
      <c r="E6" s="36"/>
      <c r="J6" t="s">
        <v>24</v>
      </c>
      <c r="K6" t="s">
        <v>2662</v>
      </c>
      <c r="L6" t="s">
        <v>26</v>
      </c>
      <c r="M6" t="s">
        <v>2663</v>
      </c>
      <c r="Q6" t="s">
        <v>1689</v>
      </c>
      <c r="R6" t="s">
        <v>1622</v>
      </c>
    </row>
    <row r="7" spans="2:18" outlineLevel="2" x14ac:dyDescent="0.25">
      <c r="B7" s="42" t="s">
        <v>2646</v>
      </c>
      <c r="C7" s="253" t="s">
        <v>2646</v>
      </c>
      <c r="E7" s="36"/>
      <c r="J7" s="44" t="s">
        <v>21</v>
      </c>
      <c r="K7" s="44"/>
      <c r="L7" t="s">
        <v>252</v>
      </c>
      <c r="R7" t="s">
        <v>1745</v>
      </c>
    </row>
    <row r="8" spans="2:18" outlineLevel="2" x14ac:dyDescent="0.25">
      <c r="B8" s="42" t="s">
        <v>2647</v>
      </c>
      <c r="C8" s="253" t="s">
        <v>2647</v>
      </c>
      <c r="E8" s="36"/>
      <c r="L8" t="s">
        <v>27</v>
      </c>
      <c r="R8" t="s">
        <v>2664</v>
      </c>
    </row>
    <row r="9" spans="2:18" outlineLevel="2" x14ac:dyDescent="0.25">
      <c r="B9" s="42" t="s">
        <v>2648</v>
      </c>
      <c r="C9" s="253" t="s">
        <v>2648</v>
      </c>
      <c r="E9" s="36"/>
      <c r="R9" t="s">
        <v>1691</v>
      </c>
    </row>
    <row r="10" spans="2:18" outlineLevel="2" x14ac:dyDescent="0.25">
      <c r="B10" s="42" t="s">
        <v>237</v>
      </c>
      <c r="C10" s="253" t="s">
        <v>31</v>
      </c>
      <c r="E10" s="36"/>
    </row>
    <row r="11" spans="2:18" outlineLevel="2" x14ac:dyDescent="0.25">
      <c r="B11" s="42" t="s">
        <v>1510</v>
      </c>
      <c r="C11" s="253" t="s">
        <v>1510</v>
      </c>
      <c r="E11" s="36"/>
    </row>
    <row r="12" spans="2:18" outlineLevel="2" x14ac:dyDescent="0.25">
      <c r="B12" s="42" t="s">
        <v>239</v>
      </c>
      <c r="C12" s="253" t="s">
        <v>250</v>
      </c>
      <c r="E12" s="36"/>
      <c r="J12" s="44"/>
    </row>
    <row r="13" spans="2:18" outlineLevel="2" x14ac:dyDescent="0.25">
      <c r="B13" s="42" t="s">
        <v>2665</v>
      </c>
      <c r="C13" s="253" t="s">
        <v>2666</v>
      </c>
      <c r="E13" s="36"/>
      <c r="J13" s="44"/>
    </row>
    <row r="14" spans="2:18" outlineLevel="2" x14ac:dyDescent="0.25">
      <c r="B14" s="42" t="s">
        <v>2650</v>
      </c>
      <c r="C14" s="253" t="s">
        <v>2650</v>
      </c>
      <c r="E14" s="36"/>
      <c r="J14" s="44"/>
    </row>
    <row r="15" spans="2:18" ht="15.75" outlineLevel="2" thickBot="1" x14ac:dyDescent="0.3">
      <c r="B15" s="42" t="s">
        <v>2651</v>
      </c>
      <c r="C15" s="254" t="s">
        <v>2651</v>
      </c>
      <c r="E15" s="36"/>
      <c r="J15" s="44"/>
    </row>
    <row r="16" spans="2:18" outlineLevel="2" x14ac:dyDescent="0.25">
      <c r="E16" s="36"/>
    </row>
    <row r="17" spans="2:16" outlineLevel="2" x14ac:dyDescent="0.25">
      <c r="E17" s="36"/>
    </row>
    <row r="18" spans="2:16" outlineLevel="2" x14ac:dyDescent="0.25">
      <c r="E18" s="36"/>
    </row>
    <row r="19" spans="2:16" s="39" customFormat="1" ht="27.75" customHeight="1" outlineLevel="1" x14ac:dyDescent="0.25">
      <c r="B19" s="38" t="s">
        <v>242</v>
      </c>
      <c r="E19" s="36"/>
    </row>
    <row r="20" spans="2:16" outlineLevel="1" x14ac:dyDescent="0.25">
      <c r="E20" s="36"/>
    </row>
    <row r="21" spans="2:16" outlineLevel="1" x14ac:dyDescent="0.25">
      <c r="B21" t="s">
        <v>242</v>
      </c>
      <c r="C21" s="40" t="s">
        <v>254</v>
      </c>
      <c r="E21" s="36"/>
      <c r="G21" t="s">
        <v>50</v>
      </c>
      <c r="H21" t="s">
        <v>106</v>
      </c>
      <c r="I21" t="s">
        <v>236</v>
      </c>
      <c r="J21" t="s">
        <v>19</v>
      </c>
      <c r="K21" t="s">
        <v>176</v>
      </c>
      <c r="L21" t="s">
        <v>99</v>
      </c>
      <c r="M21" t="s">
        <v>255</v>
      </c>
      <c r="N21" t="s">
        <v>31</v>
      </c>
      <c r="O21" t="s">
        <v>246</v>
      </c>
      <c r="P21" t="s">
        <v>247</v>
      </c>
    </row>
    <row r="22" spans="2:16" outlineLevel="1" x14ac:dyDescent="0.25">
      <c r="B22" t="s">
        <v>2653</v>
      </c>
      <c r="C22" s="43" t="s">
        <v>314</v>
      </c>
      <c r="D22">
        <f>COUNTIFS($F$4:$R$15,Division36[[#This Row],[Division / Department]])</f>
        <v>1</v>
      </c>
      <c r="E22" s="36"/>
      <c r="G22" t="s">
        <v>266</v>
      </c>
      <c r="H22" t="s">
        <v>264</v>
      </c>
      <c r="I22" t="s">
        <v>257</v>
      </c>
      <c r="J22" t="s">
        <v>261</v>
      </c>
      <c r="K22" t="s">
        <v>269</v>
      </c>
      <c r="L22" t="s">
        <v>260</v>
      </c>
      <c r="M22" t="s">
        <v>258</v>
      </c>
      <c r="N22" t="s">
        <v>268</v>
      </c>
      <c r="O22" t="s">
        <v>274</v>
      </c>
      <c r="P22" t="s">
        <v>275</v>
      </c>
    </row>
    <row r="23" spans="2:16" outlineLevel="1" x14ac:dyDescent="0.25">
      <c r="B23" t="s">
        <v>24</v>
      </c>
      <c r="C23" s="43" t="s">
        <v>318</v>
      </c>
      <c r="D23">
        <f>COUNTIFS($F$4:$R$15,Division36[[#This Row],[Division / Department]])</f>
        <v>1</v>
      </c>
      <c r="E23" s="36"/>
      <c r="G23" t="s">
        <v>282</v>
      </c>
      <c r="H23" t="s">
        <v>280</v>
      </c>
      <c r="I23" t="s">
        <v>276</v>
      </c>
      <c r="K23" t="s">
        <v>284</v>
      </c>
      <c r="N23" t="s">
        <v>283</v>
      </c>
      <c r="O23" t="s">
        <v>287</v>
      </c>
    </row>
    <row r="24" spans="2:16" outlineLevel="1" x14ac:dyDescent="0.25">
      <c r="B24" t="s">
        <v>21</v>
      </c>
      <c r="C24" s="43" t="s">
        <v>312</v>
      </c>
      <c r="D24">
        <f>COUNTIFS($F$4:$R$15,Division36[[#This Row],[Division / Department]])</f>
        <v>1</v>
      </c>
      <c r="E24" s="36"/>
      <c r="G24" t="s">
        <v>291</v>
      </c>
      <c r="H24" t="s">
        <v>290</v>
      </c>
      <c r="I24" t="s">
        <v>288</v>
      </c>
      <c r="K24" t="s">
        <v>292</v>
      </c>
      <c r="O24" t="s">
        <v>294</v>
      </c>
    </row>
    <row r="25" spans="2:16" outlineLevel="1" x14ac:dyDescent="0.25">
      <c r="B25" t="s">
        <v>20</v>
      </c>
      <c r="C25" s="43" t="s">
        <v>313</v>
      </c>
      <c r="D25">
        <f>COUNTIFS($F$4:$R$15,Division36[[#This Row],[Division / Department]])</f>
        <v>1</v>
      </c>
      <c r="E25" s="36"/>
      <c r="G25" t="s">
        <v>297</v>
      </c>
      <c r="H25" t="s">
        <v>296</v>
      </c>
      <c r="J25" t="s">
        <v>248</v>
      </c>
      <c r="K25" t="s">
        <v>298</v>
      </c>
      <c r="L25" t="s">
        <v>256</v>
      </c>
      <c r="M25" t="s">
        <v>35</v>
      </c>
      <c r="O25" t="s">
        <v>300</v>
      </c>
      <c r="P25" t="s">
        <v>251</v>
      </c>
    </row>
    <row r="26" spans="2:16" outlineLevel="1" x14ac:dyDescent="0.25">
      <c r="B26" t="s">
        <v>2654</v>
      </c>
      <c r="C26" s="43" t="s">
        <v>2667</v>
      </c>
      <c r="D26">
        <f>COUNTIFS($F$4:$R$15,Division36[[#This Row],[Division / Department]])</f>
        <v>1</v>
      </c>
      <c r="E26" s="36"/>
      <c r="G26" t="s">
        <v>302</v>
      </c>
      <c r="H26" t="s">
        <v>301</v>
      </c>
      <c r="J26" t="s">
        <v>262</v>
      </c>
      <c r="L26" t="s">
        <v>272</v>
      </c>
      <c r="M26" t="s">
        <v>259</v>
      </c>
      <c r="P26" t="s">
        <v>273</v>
      </c>
    </row>
    <row r="27" spans="2:16" outlineLevel="1" x14ac:dyDescent="0.25">
      <c r="B27" t="s">
        <v>2658</v>
      </c>
      <c r="C27" s="43" t="s">
        <v>2668</v>
      </c>
      <c r="D27">
        <f>COUNTIFS($F$4:$R$15,Division36[[#This Row],[Division / Department]])</f>
        <v>1</v>
      </c>
      <c r="E27" s="36"/>
      <c r="G27" t="s">
        <v>305</v>
      </c>
      <c r="H27" t="s">
        <v>304</v>
      </c>
      <c r="L27" t="s">
        <v>286</v>
      </c>
      <c r="M27" t="s">
        <v>277</v>
      </c>
    </row>
    <row r="28" spans="2:16" outlineLevel="1" x14ac:dyDescent="0.25">
      <c r="B28" t="s">
        <v>2662</v>
      </c>
      <c r="C28" s="43" t="s">
        <v>2669</v>
      </c>
      <c r="D28">
        <f>COUNTIFS($F$4:$R$15,Division36[[#This Row],[Division / Department]])</f>
        <v>1</v>
      </c>
      <c r="E28" s="36"/>
      <c r="G28" t="s">
        <v>308</v>
      </c>
      <c r="H28" t="s">
        <v>307</v>
      </c>
      <c r="K28" t="s">
        <v>249</v>
      </c>
      <c r="M28" t="s">
        <v>289</v>
      </c>
    </row>
    <row r="29" spans="2:16" outlineLevel="1" x14ac:dyDescent="0.25">
      <c r="B29" t="s">
        <v>2662</v>
      </c>
      <c r="C29" s="43" t="s">
        <v>2670</v>
      </c>
      <c r="D29">
        <f>COUNTIFS($F$4:$R$15,Division36[[#This Row],[Division / Department]])</f>
        <v>1</v>
      </c>
      <c r="E29" s="36"/>
      <c r="G29" t="s">
        <v>310</v>
      </c>
      <c r="J29" t="s">
        <v>244</v>
      </c>
      <c r="K29" t="s">
        <v>270</v>
      </c>
      <c r="M29" t="s">
        <v>295</v>
      </c>
    </row>
    <row r="30" spans="2:16" outlineLevel="1" x14ac:dyDescent="0.25">
      <c r="B30" t="s">
        <v>28</v>
      </c>
      <c r="C30" s="43" t="s">
        <v>322</v>
      </c>
      <c r="D30">
        <f>COUNTIFS($F$4:$R$15,Division36[[#This Row],[Division / Department]])</f>
        <v>1</v>
      </c>
      <c r="E30" s="36"/>
      <c r="J30" t="s">
        <v>267</v>
      </c>
      <c r="K30" t="s">
        <v>285</v>
      </c>
      <c r="L30" t="s">
        <v>245</v>
      </c>
      <c r="M30" t="s">
        <v>380</v>
      </c>
    </row>
    <row r="31" spans="2:16" outlineLevel="1" x14ac:dyDescent="0.25">
      <c r="B31" t="s">
        <v>25</v>
      </c>
      <c r="C31" s="43" t="s">
        <v>319</v>
      </c>
      <c r="D31">
        <f>COUNTIFS($F$4:$R$15,Division36[[#This Row],[Division / Department]])</f>
        <v>1</v>
      </c>
      <c r="E31" s="36"/>
      <c r="K31" t="s">
        <v>293</v>
      </c>
      <c r="L31" t="s">
        <v>263</v>
      </c>
      <c r="M31" t="s">
        <v>383</v>
      </c>
    </row>
    <row r="32" spans="2:16" outlineLevel="1" x14ac:dyDescent="0.25">
      <c r="B32" t="s">
        <v>27</v>
      </c>
      <c r="C32" s="43" t="s">
        <v>321</v>
      </c>
      <c r="D32">
        <f>COUNTIFS($F$4:$R$15,Division36[[#This Row],[Division / Department]])</f>
        <v>1</v>
      </c>
      <c r="E32" s="36"/>
      <c r="K32" t="s">
        <v>299</v>
      </c>
      <c r="L32" t="s">
        <v>279</v>
      </c>
    </row>
    <row r="33" spans="2:12" outlineLevel="1" x14ac:dyDescent="0.25">
      <c r="B33" t="s">
        <v>26</v>
      </c>
      <c r="C33" s="43" t="s">
        <v>320</v>
      </c>
      <c r="D33">
        <f>COUNTIFS($F$4:$R$15,Division36[[#This Row],[Division / Department]])</f>
        <v>1</v>
      </c>
      <c r="E33" s="36"/>
      <c r="J33" t="s">
        <v>22</v>
      </c>
      <c r="K33" t="s">
        <v>306</v>
      </c>
    </row>
    <row r="34" spans="2:12" outlineLevel="1" x14ac:dyDescent="0.25">
      <c r="B34" t="s">
        <v>252</v>
      </c>
      <c r="C34" s="43" t="s">
        <v>323</v>
      </c>
      <c r="D34">
        <f>COUNTIFS($F$4:$R$15,Division36[[#This Row],[Division / Department]])</f>
        <v>1</v>
      </c>
      <c r="E34" s="36"/>
      <c r="J34" t="s">
        <v>265</v>
      </c>
      <c r="K34" t="s">
        <v>309</v>
      </c>
    </row>
    <row r="35" spans="2:12" outlineLevel="1" x14ac:dyDescent="0.25">
      <c r="B35" t="s">
        <v>29</v>
      </c>
      <c r="C35" s="43" t="s">
        <v>315</v>
      </c>
      <c r="D35">
        <f>COUNTIFS($F$4:$R$15,Division36[[#This Row],[Division / Department]])</f>
        <v>1</v>
      </c>
      <c r="E35" s="36"/>
      <c r="J35" t="s">
        <v>281</v>
      </c>
      <c r="L35" t="s">
        <v>253</v>
      </c>
    </row>
    <row r="36" spans="2:12" outlineLevel="1" x14ac:dyDescent="0.25">
      <c r="B36" t="s">
        <v>30</v>
      </c>
      <c r="C36" s="43" t="s">
        <v>317</v>
      </c>
      <c r="D36">
        <f>COUNTIFS($F$4:$R$15,Division36[[#This Row],[Division / Department]])</f>
        <v>1</v>
      </c>
      <c r="E36" s="36"/>
      <c r="L36" t="s">
        <v>278</v>
      </c>
    </row>
    <row r="37" spans="2:12" outlineLevel="1" x14ac:dyDescent="0.25">
      <c r="B37" t="s">
        <v>327</v>
      </c>
      <c r="C37" s="43" t="s">
        <v>328</v>
      </c>
      <c r="D37">
        <f>COUNTIFS($F$4:$R$15,Division36[[#This Row],[Division / Department]])</f>
        <v>1</v>
      </c>
      <c r="E37" s="36"/>
      <c r="K37" t="s">
        <v>329</v>
      </c>
    </row>
    <row r="38" spans="2:12" outlineLevel="1" x14ac:dyDescent="0.25">
      <c r="B38" t="s">
        <v>329</v>
      </c>
      <c r="C38" s="43" t="s">
        <v>330</v>
      </c>
      <c r="D38">
        <f>COUNTIFS($F$4:$R$15,Division36[[#This Row],[Division / Department]])</f>
        <v>1</v>
      </c>
      <c r="E38" s="36"/>
      <c r="K38" t="s">
        <v>303</v>
      </c>
    </row>
    <row r="39" spans="2:12" outlineLevel="1" x14ac:dyDescent="0.25">
      <c r="B39" t="s">
        <v>237</v>
      </c>
      <c r="C39" s="43" t="s">
        <v>324</v>
      </c>
      <c r="D39">
        <f>COUNTIFS($F$4:$R$15,Division36[[#This Row],[Division / Department]])</f>
        <v>1</v>
      </c>
      <c r="E39" s="36"/>
      <c r="L39" t="s">
        <v>179</v>
      </c>
    </row>
    <row r="40" spans="2:12" outlineLevel="1" x14ac:dyDescent="0.25">
      <c r="B40" t="s">
        <v>2656</v>
      </c>
      <c r="C40" s="43" t="s">
        <v>2671</v>
      </c>
      <c r="D40">
        <f>COUNTIFS($F$4:$R$15,Division36[[#This Row],[Division / Department]])</f>
        <v>1</v>
      </c>
      <c r="E40" s="36"/>
      <c r="L40" t="s">
        <v>271</v>
      </c>
    </row>
    <row r="41" spans="2:12" outlineLevel="1" x14ac:dyDescent="0.25">
      <c r="B41" t="s">
        <v>2656</v>
      </c>
      <c r="C41" s="43" t="s">
        <v>1512</v>
      </c>
      <c r="D41">
        <f>COUNTIFS($F$4:$R$15,Division36[[#This Row],[Division / Department]])</f>
        <v>1</v>
      </c>
      <c r="E41" s="36"/>
      <c r="K41" s="45" t="s">
        <v>23</v>
      </c>
    </row>
    <row r="42" spans="2:12" outlineLevel="1" x14ac:dyDescent="0.25">
      <c r="B42" t="s">
        <v>2656</v>
      </c>
      <c r="C42" s="43" t="s">
        <v>2672</v>
      </c>
      <c r="D42">
        <f>COUNTIFS($F$4:$R$15,Division36[[#This Row],[Division / Department]])</f>
        <v>1</v>
      </c>
      <c r="E42" s="36"/>
    </row>
    <row r="43" spans="2:12" outlineLevel="1" x14ac:dyDescent="0.25">
      <c r="B43" t="s">
        <v>2656</v>
      </c>
      <c r="C43" s="43" t="s">
        <v>2673</v>
      </c>
      <c r="D43">
        <f>COUNTIFS($F$4:$R$15,Division36[[#This Row],[Division / Department]])</f>
        <v>1</v>
      </c>
      <c r="E43" s="36"/>
    </row>
    <row r="44" spans="2:12" outlineLevel="1" x14ac:dyDescent="0.25">
      <c r="B44" t="s">
        <v>2655</v>
      </c>
      <c r="C44" s="43" t="s">
        <v>2674</v>
      </c>
      <c r="D44">
        <f>COUNTIFS($F$4:$R$15,Division36[[#This Row],[Division / Department]])</f>
        <v>1</v>
      </c>
      <c r="E44" s="36"/>
    </row>
    <row r="45" spans="2:12" outlineLevel="1" x14ac:dyDescent="0.25">
      <c r="B45" t="s">
        <v>2659</v>
      </c>
      <c r="C45" s="43" t="s">
        <v>326</v>
      </c>
      <c r="D45">
        <f>COUNTIFS($F$4:$R$15,Division36[[#This Row],[Division / Department]])</f>
        <v>1</v>
      </c>
      <c r="E45" s="36"/>
    </row>
    <row r="46" spans="2:12" outlineLevel="1" x14ac:dyDescent="0.25">
      <c r="B46" t="s">
        <v>2663</v>
      </c>
      <c r="C46" s="43" t="s">
        <v>2675</v>
      </c>
      <c r="D46">
        <f>COUNTIFS($F$4:$R$15,Division36[[#This Row],[Division / Department]])</f>
        <v>1</v>
      </c>
      <c r="E46" s="36"/>
    </row>
    <row r="47" spans="2:12" outlineLevel="1" x14ac:dyDescent="0.25">
      <c r="B47" t="s">
        <v>236</v>
      </c>
      <c r="C47" s="43" t="s">
        <v>316</v>
      </c>
      <c r="D47">
        <f>COUNTIFS($F$4:$R$15,Division36[[#This Row],[Division / Department]])</f>
        <v>1</v>
      </c>
      <c r="E47" s="36"/>
    </row>
    <row r="48" spans="2:12" outlineLevel="1" x14ac:dyDescent="0.25">
      <c r="B48" t="s">
        <v>32</v>
      </c>
      <c r="C48" s="43" t="s">
        <v>325</v>
      </c>
      <c r="D48">
        <f>COUNTIFS($F$4:$R$15,Division36[[#This Row],[Division / Department]])</f>
        <v>1</v>
      </c>
      <c r="E48" s="36"/>
    </row>
    <row r="49" spans="2:50" outlineLevel="1" x14ac:dyDescent="0.25">
      <c r="B49" t="s">
        <v>1684</v>
      </c>
      <c r="C49" s="43" t="s">
        <v>2676</v>
      </c>
      <c r="D49">
        <f>COUNTIFS($F$4:$R$15,Division36[[#This Row],[Division / Department]])</f>
        <v>1</v>
      </c>
      <c r="E49" s="36"/>
    </row>
    <row r="50" spans="2:50" outlineLevel="1" x14ac:dyDescent="0.25">
      <c r="B50" t="s">
        <v>2660</v>
      </c>
      <c r="C50" s="43" t="s">
        <v>2677</v>
      </c>
      <c r="D50">
        <f>COUNTIFS($F$4:$R$15,Division36[[#This Row],[Division / Department]])</f>
        <v>1</v>
      </c>
      <c r="E50" s="36"/>
    </row>
    <row r="51" spans="2:50" outlineLevel="1" x14ac:dyDescent="0.25">
      <c r="B51" t="s">
        <v>1689</v>
      </c>
      <c r="C51" s="43" t="s">
        <v>2678</v>
      </c>
      <c r="D51">
        <f>COUNTIFS($F$4:$R$15,Division36[[#This Row],[Division / Department]])</f>
        <v>1</v>
      </c>
      <c r="E51" s="36"/>
    </row>
    <row r="52" spans="2:50" outlineLevel="1" x14ac:dyDescent="0.25">
      <c r="B52" t="s">
        <v>1691</v>
      </c>
      <c r="C52" s="43" t="s">
        <v>2679</v>
      </c>
      <c r="D52">
        <f>COUNTIFS($F$4:$R$15,Division36[[#This Row],[Division / Department]])</f>
        <v>1</v>
      </c>
      <c r="E52" s="36"/>
    </row>
    <row r="53" spans="2:50" outlineLevel="1" x14ac:dyDescent="0.25">
      <c r="B53" t="s">
        <v>2657</v>
      </c>
      <c r="C53" s="43" t="s">
        <v>2680</v>
      </c>
      <c r="D53">
        <f>COUNTIFS($F$4:$R$15,Division36[[#This Row],[Division / Department]])</f>
        <v>1</v>
      </c>
      <c r="E53" s="36"/>
    </row>
    <row r="54" spans="2:50" outlineLevel="1" collapsed="1" x14ac:dyDescent="0.25">
      <c r="B54" t="s">
        <v>2661</v>
      </c>
      <c r="C54" s="43" t="s">
        <v>2681</v>
      </c>
      <c r="D54">
        <f>COUNTIFS($F$4:$R$15,Division36[[#This Row],[Division / Department]])</f>
        <v>1</v>
      </c>
      <c r="E54" s="36"/>
    </row>
    <row r="55" spans="2:50" outlineLevel="1" x14ac:dyDescent="0.25">
      <c r="B55" t="s">
        <v>1622</v>
      </c>
      <c r="C55" s="43" t="s">
        <v>2682</v>
      </c>
      <c r="D55">
        <f>COUNTIFS($F$4:$R$15,Division36[[#This Row],[Division / Department]])</f>
        <v>1</v>
      </c>
      <c r="E55" s="36"/>
    </row>
    <row r="56" spans="2:50" outlineLevel="1" x14ac:dyDescent="0.25">
      <c r="B56" t="s">
        <v>1745</v>
      </c>
      <c r="C56" s="43" t="s">
        <v>2683</v>
      </c>
      <c r="D56">
        <f>COUNTIFS($F$4:$R$15,Division36[[#This Row],[Division / Department]])</f>
        <v>1</v>
      </c>
      <c r="E56" s="36"/>
    </row>
    <row r="57" spans="2:50" outlineLevel="1" x14ac:dyDescent="0.25">
      <c r="B57" t="s">
        <v>2664</v>
      </c>
      <c r="C57" s="43" t="s">
        <v>2684</v>
      </c>
      <c r="D57">
        <f>COUNTIFS($F$4:$R$15,Division36[[#This Row],[Division / Department]])</f>
        <v>1</v>
      </c>
      <c r="E57" s="36"/>
    </row>
    <row r="58" spans="2:50" outlineLevel="1" x14ac:dyDescent="0.25">
      <c r="E58" s="36"/>
    </row>
    <row r="59" spans="2:50" outlineLevel="1" x14ac:dyDescent="0.25">
      <c r="E59" s="36"/>
    </row>
    <row r="60" spans="2:50" s="39" customFormat="1" ht="27.75" customHeight="1" x14ac:dyDescent="0.25">
      <c r="B60" s="38" t="s">
        <v>331</v>
      </c>
      <c r="E60" s="36"/>
    </row>
    <row r="62" spans="2:50" outlineLevel="1" x14ac:dyDescent="0.25">
      <c r="B62" s="47" t="s">
        <v>391</v>
      </c>
      <c r="C62" s="47" t="s">
        <v>46</v>
      </c>
      <c r="D62" s="47" t="s">
        <v>392</v>
      </c>
      <c r="E62" s="47"/>
      <c r="F62" s="47" t="s">
        <v>393</v>
      </c>
      <c r="G62" s="47" t="s">
        <v>394</v>
      </c>
      <c r="H62" s="47" t="s">
        <v>234</v>
      </c>
      <c r="I62" s="47" t="s">
        <v>395</v>
      </c>
      <c r="J62" s="47" t="s">
        <v>396</v>
      </c>
      <c r="K62" s="47" t="s">
        <v>397</v>
      </c>
      <c r="L62" s="48" t="s">
        <v>402</v>
      </c>
      <c r="AX62" s="255" t="s">
        <v>242</v>
      </c>
    </row>
    <row r="63" spans="2:50" outlineLevel="1" x14ac:dyDescent="0.25">
      <c r="B63" s="46">
        <v>103010</v>
      </c>
      <c r="C63" s="46" t="s">
        <v>261</v>
      </c>
      <c r="D63" s="46" t="s">
        <v>335</v>
      </c>
      <c r="E63" s="46"/>
      <c r="F63" s="46" t="s">
        <v>1522</v>
      </c>
      <c r="G63" s="46" t="s">
        <v>332</v>
      </c>
      <c r="H63" s="46" t="s">
        <v>2685</v>
      </c>
      <c r="I63" s="46" t="s">
        <v>333</v>
      </c>
      <c r="J63" s="46" t="s">
        <v>334</v>
      </c>
      <c r="K63" s="46" t="s">
        <v>398</v>
      </c>
      <c r="L63" s="46"/>
      <c r="M63">
        <f t="shared" ref="M63:M133" si="0">COUNTIFS($F$22:$Q$44,C63)</f>
        <v>1</v>
      </c>
      <c r="N63">
        <f t="shared" ref="N63" si="1">COUNTIFS($J$20:$J$36,C63)</f>
        <v>1</v>
      </c>
      <c r="AT63" t="str">
        <f t="shared" ref="AT63:AT126" si="2">C63</f>
        <v>10301BD001</v>
      </c>
      <c r="AU63" t="str">
        <f t="shared" ref="AU63:AU126" si="3">RIGHT(C63,5)</f>
        <v>BD001</v>
      </c>
      <c r="AX63" t="s">
        <v>2653</v>
      </c>
    </row>
    <row r="64" spans="2:50" outlineLevel="1" x14ac:dyDescent="0.25">
      <c r="B64" s="46">
        <v>103010</v>
      </c>
      <c r="C64" s="46" t="s">
        <v>2545</v>
      </c>
      <c r="D64" s="46" t="s">
        <v>2546</v>
      </c>
      <c r="E64" s="46"/>
      <c r="F64" s="46" t="s">
        <v>2547</v>
      </c>
      <c r="G64" s="46" t="s">
        <v>332</v>
      </c>
      <c r="H64" s="46" t="s">
        <v>2685</v>
      </c>
      <c r="I64" s="46" t="s">
        <v>333</v>
      </c>
      <c r="J64" s="46" t="s">
        <v>334</v>
      </c>
      <c r="K64" s="46" t="s">
        <v>398</v>
      </c>
      <c r="L64" s="46"/>
      <c r="M64">
        <f t="shared" si="0"/>
        <v>0</v>
      </c>
      <c r="N64">
        <f>COUNTIFS($K$20:$K$59,C64)</f>
        <v>0</v>
      </c>
      <c r="AT64" t="str">
        <f t="shared" si="2"/>
        <v>10301BD002</v>
      </c>
      <c r="AU64" t="str">
        <f t="shared" si="3"/>
        <v>BD002</v>
      </c>
      <c r="AX64" t="s">
        <v>2653</v>
      </c>
    </row>
    <row r="65" spans="2:50" outlineLevel="1" x14ac:dyDescent="0.25">
      <c r="B65" s="46">
        <v>103010</v>
      </c>
      <c r="C65" s="46" t="s">
        <v>306</v>
      </c>
      <c r="D65" s="46" t="s">
        <v>376</v>
      </c>
      <c r="E65" s="46"/>
      <c r="F65" s="46" t="s">
        <v>1522</v>
      </c>
      <c r="G65" s="46" t="s">
        <v>332</v>
      </c>
      <c r="H65" s="46" t="s">
        <v>2685</v>
      </c>
      <c r="I65" s="46" t="s">
        <v>333</v>
      </c>
      <c r="J65" s="46" t="s">
        <v>334</v>
      </c>
      <c r="K65" s="46" t="s">
        <v>398</v>
      </c>
      <c r="L65" s="46"/>
      <c r="M65">
        <f t="shared" si="0"/>
        <v>1</v>
      </c>
      <c r="N65">
        <f>COUNTIFS($J$20:$J$36,C65)</f>
        <v>0</v>
      </c>
      <c r="AT65" t="str">
        <f t="shared" si="2"/>
        <v>10301PR001</v>
      </c>
      <c r="AU65" t="str">
        <f t="shared" si="3"/>
        <v>PR001</v>
      </c>
      <c r="AX65" t="s">
        <v>24</v>
      </c>
    </row>
    <row r="66" spans="2:50" outlineLevel="1" x14ac:dyDescent="0.25">
      <c r="B66" s="46">
        <v>103010</v>
      </c>
      <c r="C66" s="46" t="s">
        <v>309</v>
      </c>
      <c r="D66" s="46" t="s">
        <v>378</v>
      </c>
      <c r="E66" s="46"/>
      <c r="F66" s="46" t="s">
        <v>1522</v>
      </c>
      <c r="G66" s="46" t="s">
        <v>332</v>
      </c>
      <c r="H66" s="46" t="s">
        <v>2685</v>
      </c>
      <c r="I66" s="46" t="s">
        <v>333</v>
      </c>
      <c r="J66" s="46" t="s">
        <v>334</v>
      </c>
      <c r="K66" s="46" t="s">
        <v>398</v>
      </c>
      <c r="L66" s="46"/>
      <c r="M66">
        <f t="shared" si="0"/>
        <v>1</v>
      </c>
      <c r="N66">
        <f>COUNTIFS($K$20:$K$59,C66)</f>
        <v>1</v>
      </c>
      <c r="AT66" t="str">
        <f t="shared" si="2"/>
        <v>10301PR002</v>
      </c>
      <c r="AU66" t="str">
        <f t="shared" si="3"/>
        <v>PR002</v>
      </c>
      <c r="AX66" t="s">
        <v>24</v>
      </c>
    </row>
    <row r="67" spans="2:50" outlineLevel="1" x14ac:dyDescent="0.25">
      <c r="B67" s="46">
        <v>103010</v>
      </c>
      <c r="C67" s="46" t="s">
        <v>267</v>
      </c>
      <c r="D67" s="46" t="s">
        <v>366</v>
      </c>
      <c r="E67" s="46"/>
      <c r="F67" s="46" t="s">
        <v>1522</v>
      </c>
      <c r="G67" s="46" t="s">
        <v>332</v>
      </c>
      <c r="H67" s="46" t="s">
        <v>2685</v>
      </c>
      <c r="I67" s="46" t="s">
        <v>333</v>
      </c>
      <c r="J67" s="46" t="s">
        <v>334</v>
      </c>
      <c r="K67" s="46" t="s">
        <v>398</v>
      </c>
      <c r="L67" s="46"/>
      <c r="M67">
        <f t="shared" si="0"/>
        <v>1</v>
      </c>
      <c r="N67">
        <f>+COUNTIFS( $L$21:$L$40,C67)</f>
        <v>0</v>
      </c>
      <c r="AT67" t="str">
        <f t="shared" si="2"/>
        <v>10301IA001</v>
      </c>
      <c r="AU67" t="str">
        <f t="shared" si="3"/>
        <v>IA001</v>
      </c>
      <c r="AX67" t="s">
        <v>21</v>
      </c>
    </row>
    <row r="68" spans="2:50" outlineLevel="1" x14ac:dyDescent="0.25">
      <c r="B68" s="46">
        <v>103010</v>
      </c>
      <c r="C68" s="46" t="s">
        <v>262</v>
      </c>
      <c r="D68" s="46" t="s">
        <v>338</v>
      </c>
      <c r="E68" s="46"/>
      <c r="F68" s="46" t="s">
        <v>1522</v>
      </c>
      <c r="G68" s="46" t="s">
        <v>332</v>
      </c>
      <c r="H68" s="46" t="s">
        <v>2685</v>
      </c>
      <c r="I68" s="46" t="s">
        <v>333</v>
      </c>
      <c r="J68" s="46" t="s">
        <v>334</v>
      </c>
      <c r="K68" s="46" t="s">
        <v>398</v>
      </c>
      <c r="L68" s="46"/>
      <c r="M68">
        <f t="shared" si="0"/>
        <v>1</v>
      </c>
      <c r="N68">
        <f t="shared" ref="N68:N73" si="4">+COUNTIFS( $L$21:$L$40,C68)</f>
        <v>0</v>
      </c>
      <c r="AT68" t="str">
        <f t="shared" si="2"/>
        <v>10301CP001</v>
      </c>
      <c r="AU68" t="str">
        <f t="shared" si="3"/>
        <v>CP001</v>
      </c>
      <c r="AX68" t="s">
        <v>20</v>
      </c>
    </row>
    <row r="69" spans="2:50" outlineLevel="1" x14ac:dyDescent="0.25">
      <c r="B69" s="46">
        <v>103010</v>
      </c>
      <c r="C69" s="46" t="s">
        <v>269</v>
      </c>
      <c r="D69" s="46" t="s">
        <v>336</v>
      </c>
      <c r="E69" s="46"/>
      <c r="F69" s="46" t="s">
        <v>1522</v>
      </c>
      <c r="G69" s="46" t="s">
        <v>332</v>
      </c>
      <c r="H69" s="46" t="s">
        <v>2686</v>
      </c>
      <c r="I69" s="46" t="s">
        <v>333</v>
      </c>
      <c r="J69" s="46" t="s">
        <v>334</v>
      </c>
      <c r="K69" s="46" t="s">
        <v>398</v>
      </c>
      <c r="L69" s="46"/>
      <c r="M69">
        <f t="shared" si="0"/>
        <v>1</v>
      </c>
      <c r="N69">
        <f t="shared" si="4"/>
        <v>0</v>
      </c>
      <c r="AT69" t="str">
        <f t="shared" si="2"/>
        <v>10301CL001</v>
      </c>
      <c r="AU69" t="str">
        <f t="shared" si="3"/>
        <v>CL001</v>
      </c>
      <c r="AX69" t="s">
        <v>2654</v>
      </c>
    </row>
    <row r="70" spans="2:50" outlineLevel="1" x14ac:dyDescent="0.25">
      <c r="B70" s="46">
        <v>103010</v>
      </c>
      <c r="C70" s="46" t="s">
        <v>284</v>
      </c>
      <c r="D70" s="46" t="s">
        <v>339</v>
      </c>
      <c r="E70" s="46"/>
      <c r="F70" s="46" t="s">
        <v>1522</v>
      </c>
      <c r="G70" s="46" t="s">
        <v>332</v>
      </c>
      <c r="H70" s="46" t="s">
        <v>2686</v>
      </c>
      <c r="I70" s="46" t="s">
        <v>333</v>
      </c>
      <c r="J70" s="46" t="s">
        <v>334</v>
      </c>
      <c r="K70" s="46" t="s">
        <v>398</v>
      </c>
      <c r="L70" s="46"/>
      <c r="M70">
        <f t="shared" si="0"/>
        <v>1</v>
      </c>
      <c r="N70">
        <f t="shared" si="4"/>
        <v>0</v>
      </c>
      <c r="AT70" t="str">
        <f t="shared" si="2"/>
        <v>10301CS001</v>
      </c>
      <c r="AU70" t="str">
        <f t="shared" si="3"/>
        <v>CS001</v>
      </c>
      <c r="AX70" t="s">
        <v>2658</v>
      </c>
    </row>
    <row r="71" spans="2:50" outlineLevel="1" x14ac:dyDescent="0.25">
      <c r="B71" s="46">
        <v>103010</v>
      </c>
      <c r="C71" s="46" t="s">
        <v>292</v>
      </c>
      <c r="D71" s="46" t="s">
        <v>372</v>
      </c>
      <c r="E71" s="46"/>
      <c r="F71" s="46" t="s">
        <v>1522</v>
      </c>
      <c r="G71" s="46" t="s">
        <v>332</v>
      </c>
      <c r="H71" s="46" t="s">
        <v>2686</v>
      </c>
      <c r="I71" s="46" t="s">
        <v>333</v>
      </c>
      <c r="J71" s="46" t="s">
        <v>334</v>
      </c>
      <c r="K71" s="46" t="s">
        <v>398</v>
      </c>
      <c r="L71" s="46"/>
      <c r="M71">
        <f t="shared" si="0"/>
        <v>1</v>
      </c>
      <c r="N71">
        <f t="shared" si="4"/>
        <v>0</v>
      </c>
      <c r="AT71" t="str">
        <f t="shared" si="2"/>
        <v>10301MS005</v>
      </c>
      <c r="AU71" t="str">
        <f t="shared" si="3"/>
        <v>MS005</v>
      </c>
      <c r="AX71" t="s">
        <v>2662</v>
      </c>
    </row>
    <row r="72" spans="2:50" outlineLevel="1" x14ac:dyDescent="0.25">
      <c r="B72" s="46">
        <v>103010</v>
      </c>
      <c r="C72" s="46" t="s">
        <v>270</v>
      </c>
      <c r="D72" s="46" t="s">
        <v>375</v>
      </c>
      <c r="E72" s="46"/>
      <c r="F72" s="46" t="s">
        <v>1522</v>
      </c>
      <c r="G72" s="46" t="s">
        <v>332</v>
      </c>
      <c r="H72" s="46" t="s">
        <v>2686</v>
      </c>
      <c r="I72" s="46" t="s">
        <v>333</v>
      </c>
      <c r="J72" s="46" t="s">
        <v>334</v>
      </c>
      <c r="K72" s="46" t="s">
        <v>398</v>
      </c>
      <c r="L72" s="46"/>
      <c r="M72">
        <f t="shared" si="0"/>
        <v>1</v>
      </c>
      <c r="N72">
        <f t="shared" si="4"/>
        <v>0</v>
      </c>
      <c r="AT72" t="str">
        <f t="shared" si="2"/>
        <v>10301MS008</v>
      </c>
      <c r="AU72" t="str">
        <f t="shared" si="3"/>
        <v>MS008</v>
      </c>
      <c r="AX72" t="s">
        <v>2662</v>
      </c>
    </row>
    <row r="73" spans="2:50" outlineLevel="1" x14ac:dyDescent="0.25">
      <c r="B73" s="46">
        <v>103010</v>
      </c>
      <c r="C73" s="46" t="s">
        <v>272</v>
      </c>
      <c r="D73" s="46" t="s">
        <v>340</v>
      </c>
      <c r="E73" s="46"/>
      <c r="F73" s="46" t="s">
        <v>1522</v>
      </c>
      <c r="G73" s="46" t="s">
        <v>332</v>
      </c>
      <c r="H73" s="46" t="s">
        <v>341</v>
      </c>
      <c r="I73" s="46" t="s">
        <v>333</v>
      </c>
      <c r="J73" s="46" t="s">
        <v>334</v>
      </c>
      <c r="K73" s="46" t="s">
        <v>398</v>
      </c>
      <c r="M73">
        <f t="shared" si="0"/>
        <v>1</v>
      </c>
      <c r="N73">
        <f t="shared" si="4"/>
        <v>1</v>
      </c>
      <c r="AT73" t="str">
        <f t="shared" si="2"/>
        <v>10301FA001</v>
      </c>
      <c r="AU73" t="str">
        <f t="shared" si="3"/>
        <v>FA001</v>
      </c>
      <c r="AX73" t="s">
        <v>28</v>
      </c>
    </row>
    <row r="74" spans="2:50" outlineLevel="1" x14ac:dyDescent="0.25">
      <c r="B74" s="46">
        <v>103010</v>
      </c>
      <c r="C74" s="46" t="s">
        <v>260</v>
      </c>
      <c r="D74" s="46" t="s">
        <v>342</v>
      </c>
      <c r="E74" s="46"/>
      <c r="F74" s="46" t="s">
        <v>1522</v>
      </c>
      <c r="G74" s="46" t="s">
        <v>332</v>
      </c>
      <c r="H74" s="46" t="s">
        <v>341</v>
      </c>
      <c r="I74" s="46" t="s">
        <v>333</v>
      </c>
      <c r="J74" s="46" t="s">
        <v>334</v>
      </c>
      <c r="K74" s="46" t="s">
        <v>398</v>
      </c>
      <c r="L74" s="46"/>
      <c r="M74">
        <f t="shared" si="0"/>
        <v>1</v>
      </c>
      <c r="N74">
        <f>COUNTIFS($H$20:$H$59,C74)</f>
        <v>0</v>
      </c>
      <c r="AT74" t="str">
        <f t="shared" si="2"/>
        <v>10301FA002</v>
      </c>
      <c r="AU74" t="str">
        <f t="shared" si="3"/>
        <v>FA002</v>
      </c>
      <c r="AX74" t="s">
        <v>25</v>
      </c>
    </row>
    <row r="75" spans="2:50" outlineLevel="1" x14ac:dyDescent="0.25">
      <c r="B75" s="46">
        <v>103010</v>
      </c>
      <c r="C75" s="46" t="s">
        <v>271</v>
      </c>
      <c r="D75" s="46" t="s">
        <v>343</v>
      </c>
      <c r="E75" s="46"/>
      <c r="F75" s="46" t="s">
        <v>1522</v>
      </c>
      <c r="G75" s="46" t="s">
        <v>332</v>
      </c>
      <c r="H75" s="46" t="s">
        <v>341</v>
      </c>
      <c r="I75" s="46" t="s">
        <v>333</v>
      </c>
      <c r="J75" s="46" t="s">
        <v>334</v>
      </c>
      <c r="K75" s="46" t="s">
        <v>398</v>
      </c>
      <c r="L75" s="46"/>
      <c r="M75">
        <f t="shared" si="0"/>
        <v>1</v>
      </c>
      <c r="N75">
        <f t="shared" ref="N75:N83" si="5">COUNTIFS($H$20:$H$59,C75)</f>
        <v>0</v>
      </c>
      <c r="AT75" t="str">
        <f t="shared" si="2"/>
        <v>10301FA003</v>
      </c>
      <c r="AU75" t="str">
        <f t="shared" si="3"/>
        <v>FA003</v>
      </c>
      <c r="AX75" t="s">
        <v>27</v>
      </c>
    </row>
    <row r="76" spans="2:50" outlineLevel="1" x14ac:dyDescent="0.25">
      <c r="B76" s="46">
        <v>103010</v>
      </c>
      <c r="C76" s="46" t="s">
        <v>263</v>
      </c>
      <c r="D76" s="46" t="s">
        <v>344</v>
      </c>
      <c r="E76" s="46"/>
      <c r="F76" s="46" t="s">
        <v>1522</v>
      </c>
      <c r="G76" s="46" t="s">
        <v>332</v>
      </c>
      <c r="H76" s="46" t="s">
        <v>341</v>
      </c>
      <c r="I76" s="46" t="s">
        <v>333</v>
      </c>
      <c r="J76" s="46" t="s">
        <v>334</v>
      </c>
      <c r="K76" s="46" t="s">
        <v>398</v>
      </c>
      <c r="L76" s="46"/>
      <c r="M76">
        <f t="shared" si="0"/>
        <v>1</v>
      </c>
      <c r="N76">
        <f t="shared" si="5"/>
        <v>0</v>
      </c>
      <c r="AT76" t="str">
        <f t="shared" si="2"/>
        <v>10301FA004</v>
      </c>
      <c r="AU76" t="str">
        <f t="shared" si="3"/>
        <v>FA004</v>
      </c>
      <c r="AX76" t="s">
        <v>26</v>
      </c>
    </row>
    <row r="77" spans="2:50" outlineLevel="1" x14ac:dyDescent="0.25">
      <c r="B77" s="46">
        <v>103010</v>
      </c>
      <c r="C77" s="46" t="s">
        <v>279</v>
      </c>
      <c r="D77" s="46" t="s">
        <v>345</v>
      </c>
      <c r="E77" s="46"/>
      <c r="F77" s="46" t="s">
        <v>1522</v>
      </c>
      <c r="G77" s="46" t="s">
        <v>332</v>
      </c>
      <c r="H77" s="46" t="s">
        <v>341</v>
      </c>
      <c r="I77" s="46" t="s">
        <v>333</v>
      </c>
      <c r="J77" s="46" t="s">
        <v>334</v>
      </c>
      <c r="K77" s="46" t="s">
        <v>398</v>
      </c>
      <c r="L77" s="46"/>
      <c r="M77">
        <f t="shared" si="0"/>
        <v>1</v>
      </c>
      <c r="N77">
        <f t="shared" si="5"/>
        <v>0</v>
      </c>
      <c r="AT77" t="str">
        <f t="shared" si="2"/>
        <v>10301FA005</v>
      </c>
      <c r="AU77" t="str">
        <f t="shared" si="3"/>
        <v>FA005</v>
      </c>
    </row>
    <row r="78" spans="2:50" outlineLevel="1" x14ac:dyDescent="0.25">
      <c r="B78" s="46">
        <v>103010</v>
      </c>
      <c r="C78" s="46" t="s">
        <v>286</v>
      </c>
      <c r="D78" s="46" t="s">
        <v>346</v>
      </c>
      <c r="E78" s="46"/>
      <c r="F78" s="46" t="s">
        <v>1522</v>
      </c>
      <c r="G78" s="46" t="s">
        <v>332</v>
      </c>
      <c r="H78" s="46" t="s">
        <v>341</v>
      </c>
      <c r="I78" s="46" t="s">
        <v>333</v>
      </c>
      <c r="J78" s="46" t="s">
        <v>334</v>
      </c>
      <c r="K78" s="46" t="s">
        <v>398</v>
      </c>
      <c r="L78" s="46"/>
      <c r="M78">
        <f t="shared" si="0"/>
        <v>1</v>
      </c>
      <c r="N78">
        <f t="shared" si="5"/>
        <v>0</v>
      </c>
      <c r="AT78" t="str">
        <f t="shared" si="2"/>
        <v>10301FA006</v>
      </c>
      <c r="AU78" t="str">
        <f t="shared" si="3"/>
        <v>FA006</v>
      </c>
      <c r="AX78" t="s">
        <v>28</v>
      </c>
    </row>
    <row r="79" spans="2:50" outlineLevel="1" x14ac:dyDescent="0.25">
      <c r="B79" s="46">
        <v>103010</v>
      </c>
      <c r="C79" s="46" t="s">
        <v>278</v>
      </c>
      <c r="D79" s="46" t="s">
        <v>347</v>
      </c>
      <c r="E79" s="46"/>
      <c r="F79" s="46" t="s">
        <v>348</v>
      </c>
      <c r="G79" s="46" t="s">
        <v>332</v>
      </c>
      <c r="H79" s="46" t="s">
        <v>341</v>
      </c>
      <c r="I79" s="46" t="s">
        <v>333</v>
      </c>
      <c r="J79" s="46" t="s">
        <v>334</v>
      </c>
      <c r="K79" s="46" t="s">
        <v>398</v>
      </c>
      <c r="L79" s="46"/>
      <c r="M79">
        <f t="shared" si="0"/>
        <v>1</v>
      </c>
      <c r="N79">
        <f t="shared" si="5"/>
        <v>0</v>
      </c>
      <c r="AT79" t="str">
        <f t="shared" si="2"/>
        <v>10301FA007</v>
      </c>
      <c r="AU79" t="str">
        <f t="shared" si="3"/>
        <v>FA007</v>
      </c>
      <c r="AX79" t="s">
        <v>252</v>
      </c>
    </row>
    <row r="80" spans="2:50" outlineLevel="1" x14ac:dyDescent="0.25">
      <c r="B80" s="46">
        <v>103010</v>
      </c>
      <c r="C80" s="46" t="s">
        <v>2549</v>
      </c>
      <c r="D80" s="46" t="s">
        <v>2550</v>
      </c>
      <c r="E80" s="46"/>
      <c r="F80" s="46" t="s">
        <v>2551</v>
      </c>
      <c r="G80" s="46" t="s">
        <v>332</v>
      </c>
      <c r="H80" s="46" t="s">
        <v>341</v>
      </c>
      <c r="I80" s="46" t="s">
        <v>333</v>
      </c>
      <c r="J80" s="46" t="s">
        <v>334</v>
      </c>
      <c r="K80" s="46" t="s">
        <v>398</v>
      </c>
      <c r="L80" s="46"/>
      <c r="M80">
        <f t="shared" si="0"/>
        <v>0</v>
      </c>
      <c r="N80">
        <f t="shared" si="5"/>
        <v>0</v>
      </c>
      <c r="AT80" t="str">
        <f t="shared" si="2"/>
        <v>10301FA008</v>
      </c>
      <c r="AU80" t="str">
        <f t="shared" si="3"/>
        <v>FA008</v>
      </c>
      <c r="AX80" t="s">
        <v>25</v>
      </c>
    </row>
    <row r="81" spans="2:50" outlineLevel="1" x14ac:dyDescent="0.25">
      <c r="B81" s="46">
        <v>103010</v>
      </c>
      <c r="C81" s="46" t="s">
        <v>349</v>
      </c>
      <c r="D81" s="46" t="s">
        <v>350</v>
      </c>
      <c r="E81" s="46"/>
      <c r="F81" s="46" t="s">
        <v>1522</v>
      </c>
      <c r="G81" s="46" t="s">
        <v>332</v>
      </c>
      <c r="H81" s="46" t="s">
        <v>341</v>
      </c>
      <c r="I81" s="46" t="s">
        <v>333</v>
      </c>
      <c r="J81" s="46" t="s">
        <v>334</v>
      </c>
      <c r="K81" s="46" t="s">
        <v>398</v>
      </c>
      <c r="L81" s="49" t="s">
        <v>401</v>
      </c>
      <c r="M81">
        <f t="shared" si="0"/>
        <v>0</v>
      </c>
      <c r="N81">
        <f t="shared" si="5"/>
        <v>0</v>
      </c>
      <c r="AT81" t="str">
        <f t="shared" si="2"/>
        <v>10301FA999</v>
      </c>
      <c r="AU81" t="str">
        <f t="shared" si="3"/>
        <v>FA999</v>
      </c>
    </row>
    <row r="82" spans="2:50" outlineLevel="1" x14ac:dyDescent="0.25">
      <c r="B82" s="46">
        <v>103010</v>
      </c>
      <c r="C82" s="46" t="s">
        <v>264</v>
      </c>
      <c r="D82" s="46" t="s">
        <v>351</v>
      </c>
      <c r="E82" s="46"/>
      <c r="F82" s="46" t="s">
        <v>1522</v>
      </c>
      <c r="G82" s="46" t="s">
        <v>332</v>
      </c>
      <c r="H82" s="46" t="s">
        <v>2652</v>
      </c>
      <c r="I82" s="46" t="s">
        <v>333</v>
      </c>
      <c r="J82" s="46" t="s">
        <v>334</v>
      </c>
      <c r="K82" s="46" t="s">
        <v>398</v>
      </c>
      <c r="L82" s="46"/>
      <c r="M82">
        <f t="shared" si="0"/>
        <v>1</v>
      </c>
      <c r="N82">
        <f t="shared" si="5"/>
        <v>1</v>
      </c>
      <c r="AT82" t="str">
        <f t="shared" si="2"/>
        <v>10301GA001</v>
      </c>
      <c r="AU82" t="str">
        <f t="shared" si="3"/>
        <v>GA001</v>
      </c>
      <c r="AX82" t="s">
        <v>29</v>
      </c>
    </row>
    <row r="83" spans="2:50" outlineLevel="1" x14ac:dyDescent="0.25">
      <c r="B83" s="46">
        <v>103010</v>
      </c>
      <c r="C83" s="46" t="s">
        <v>280</v>
      </c>
      <c r="D83" s="46" t="s">
        <v>352</v>
      </c>
      <c r="E83" s="46"/>
      <c r="F83" s="46" t="s">
        <v>1522</v>
      </c>
      <c r="G83" s="46" t="s">
        <v>332</v>
      </c>
      <c r="H83" s="46" t="s">
        <v>2652</v>
      </c>
      <c r="I83" s="46" t="s">
        <v>333</v>
      </c>
      <c r="J83" s="46" t="s">
        <v>334</v>
      </c>
      <c r="K83" s="46" t="s">
        <v>398</v>
      </c>
      <c r="L83" s="46"/>
      <c r="M83">
        <f t="shared" si="0"/>
        <v>1</v>
      </c>
      <c r="N83">
        <f t="shared" si="5"/>
        <v>1</v>
      </c>
      <c r="AT83" t="str">
        <f t="shared" si="2"/>
        <v>10301GA002</v>
      </c>
      <c r="AU83" t="str">
        <f t="shared" si="3"/>
        <v>GA002</v>
      </c>
      <c r="AX83" t="s">
        <v>29</v>
      </c>
    </row>
    <row r="84" spans="2:50" outlineLevel="1" x14ac:dyDescent="0.25">
      <c r="B84" s="46">
        <v>103010</v>
      </c>
      <c r="C84" s="46" t="s">
        <v>290</v>
      </c>
      <c r="D84" s="46" t="s">
        <v>353</v>
      </c>
      <c r="E84" s="46"/>
      <c r="F84" s="46" t="s">
        <v>1522</v>
      </c>
      <c r="G84" s="46" t="s">
        <v>332</v>
      </c>
      <c r="H84" s="46" t="s">
        <v>2652</v>
      </c>
      <c r="I84" s="46" t="s">
        <v>333</v>
      </c>
      <c r="J84" s="46" t="s">
        <v>334</v>
      </c>
      <c r="K84" s="46" t="s">
        <v>398</v>
      </c>
      <c r="L84" s="46"/>
      <c r="M84">
        <f t="shared" si="0"/>
        <v>1</v>
      </c>
      <c r="N84">
        <f t="shared" ref="N84:N91" si="6">COUNTIFS($G$20:$G$59,C84)</f>
        <v>0</v>
      </c>
      <c r="AT84" t="str">
        <f t="shared" si="2"/>
        <v>10301GA003</v>
      </c>
      <c r="AU84" t="str">
        <f t="shared" si="3"/>
        <v>GA003</v>
      </c>
      <c r="AX84" t="s">
        <v>29</v>
      </c>
    </row>
    <row r="85" spans="2:50" outlineLevel="1" x14ac:dyDescent="0.25">
      <c r="B85" s="46">
        <v>103010</v>
      </c>
      <c r="C85" s="46" t="s">
        <v>296</v>
      </c>
      <c r="D85" s="46" t="s">
        <v>354</v>
      </c>
      <c r="E85" s="46"/>
      <c r="F85" s="46" t="s">
        <v>1522</v>
      </c>
      <c r="G85" s="46" t="s">
        <v>332</v>
      </c>
      <c r="H85" s="46" t="s">
        <v>2652</v>
      </c>
      <c r="I85" s="46" t="s">
        <v>333</v>
      </c>
      <c r="J85" s="46" t="s">
        <v>334</v>
      </c>
      <c r="K85" s="46" t="s">
        <v>398</v>
      </c>
      <c r="L85" s="46"/>
      <c r="M85">
        <f t="shared" si="0"/>
        <v>1</v>
      </c>
      <c r="N85">
        <f t="shared" si="6"/>
        <v>0</v>
      </c>
      <c r="AT85" t="str">
        <f t="shared" si="2"/>
        <v>10301GA004</v>
      </c>
      <c r="AU85" t="str">
        <f t="shared" si="3"/>
        <v>GA004</v>
      </c>
      <c r="AX85" t="s">
        <v>29</v>
      </c>
    </row>
    <row r="86" spans="2:50" outlineLevel="1" x14ac:dyDescent="0.25">
      <c r="B86" s="46">
        <v>103010</v>
      </c>
      <c r="C86" s="46" t="s">
        <v>301</v>
      </c>
      <c r="D86" s="46" t="s">
        <v>355</v>
      </c>
      <c r="E86" s="46"/>
      <c r="F86" s="46" t="s">
        <v>1522</v>
      </c>
      <c r="G86" s="46" t="s">
        <v>332</v>
      </c>
      <c r="H86" s="46" t="s">
        <v>2652</v>
      </c>
      <c r="I86" s="46" t="s">
        <v>333</v>
      </c>
      <c r="J86" s="46" t="s">
        <v>334</v>
      </c>
      <c r="K86" s="46" t="s">
        <v>398</v>
      </c>
      <c r="L86" s="46"/>
      <c r="M86">
        <f t="shared" si="0"/>
        <v>1</v>
      </c>
      <c r="N86">
        <f t="shared" si="6"/>
        <v>0</v>
      </c>
      <c r="AT86" t="str">
        <f t="shared" si="2"/>
        <v>10301GA005</v>
      </c>
      <c r="AU86" t="str">
        <f t="shared" si="3"/>
        <v>GA005</v>
      </c>
      <c r="AX86" t="s">
        <v>29</v>
      </c>
    </row>
    <row r="87" spans="2:50" outlineLevel="1" x14ac:dyDescent="0.25">
      <c r="B87" s="46">
        <v>103010</v>
      </c>
      <c r="C87" s="46" t="s">
        <v>304</v>
      </c>
      <c r="D87" s="46" t="s">
        <v>356</v>
      </c>
      <c r="E87" s="46"/>
      <c r="F87" s="46" t="s">
        <v>1522</v>
      </c>
      <c r="G87" s="46" t="s">
        <v>332</v>
      </c>
      <c r="H87" s="46" t="s">
        <v>2652</v>
      </c>
      <c r="I87" s="46" t="s">
        <v>333</v>
      </c>
      <c r="J87" s="46" t="s">
        <v>334</v>
      </c>
      <c r="K87" s="46" t="s">
        <v>398</v>
      </c>
      <c r="L87" s="46"/>
      <c r="M87">
        <f t="shared" si="0"/>
        <v>1</v>
      </c>
      <c r="N87">
        <f t="shared" si="6"/>
        <v>0</v>
      </c>
      <c r="AT87" t="str">
        <f t="shared" si="2"/>
        <v>10301GA008</v>
      </c>
      <c r="AU87" t="str">
        <f t="shared" si="3"/>
        <v>GA008</v>
      </c>
      <c r="AX87" t="s">
        <v>29</v>
      </c>
    </row>
    <row r="88" spans="2:50" outlineLevel="1" x14ac:dyDescent="0.25">
      <c r="B88" s="46">
        <v>103010</v>
      </c>
      <c r="C88" s="46" t="s">
        <v>311</v>
      </c>
      <c r="D88" s="46" t="s">
        <v>2552</v>
      </c>
      <c r="E88" s="46"/>
      <c r="F88" s="46" t="s">
        <v>2551</v>
      </c>
      <c r="G88" s="46" t="s">
        <v>332</v>
      </c>
      <c r="H88" s="46" t="s">
        <v>106</v>
      </c>
      <c r="I88" s="46" t="s">
        <v>333</v>
      </c>
      <c r="J88" s="46" t="s">
        <v>334</v>
      </c>
      <c r="K88" s="46" t="s">
        <v>398</v>
      </c>
      <c r="L88" s="46"/>
      <c r="M88">
        <f t="shared" si="0"/>
        <v>0</v>
      </c>
      <c r="N88">
        <f t="shared" si="6"/>
        <v>0</v>
      </c>
      <c r="AT88" t="str">
        <f t="shared" si="2"/>
        <v>10301GA009</v>
      </c>
      <c r="AU88" t="str">
        <f t="shared" si="3"/>
        <v>GA009</v>
      </c>
      <c r="AX88" t="s">
        <v>29</v>
      </c>
    </row>
    <row r="89" spans="2:50" outlineLevel="1" x14ac:dyDescent="0.25">
      <c r="B89" s="46">
        <v>103010</v>
      </c>
      <c r="C89" s="46" t="s">
        <v>307</v>
      </c>
      <c r="D89" s="46" t="s">
        <v>370</v>
      </c>
      <c r="E89" s="46"/>
      <c r="F89" s="46" t="s">
        <v>1522</v>
      </c>
      <c r="G89" s="46" t="s">
        <v>332</v>
      </c>
      <c r="H89" s="46" t="s">
        <v>106</v>
      </c>
      <c r="I89" s="46" t="s">
        <v>333</v>
      </c>
      <c r="J89" s="46" t="s">
        <v>334</v>
      </c>
      <c r="K89" s="46" t="s">
        <v>398</v>
      </c>
      <c r="L89" s="46"/>
      <c r="M89">
        <f t="shared" si="0"/>
        <v>1</v>
      </c>
      <c r="N89">
        <f t="shared" si="6"/>
        <v>0</v>
      </c>
      <c r="AT89" t="str">
        <f t="shared" si="2"/>
        <v>10301MS001</v>
      </c>
      <c r="AU89" t="str">
        <f t="shared" si="3"/>
        <v>MS001</v>
      </c>
      <c r="AX89" t="s">
        <v>29</v>
      </c>
    </row>
    <row r="90" spans="2:50" outlineLevel="1" x14ac:dyDescent="0.25">
      <c r="B90" s="46">
        <v>103010</v>
      </c>
      <c r="C90" s="46" t="s">
        <v>266</v>
      </c>
      <c r="D90" s="46" t="s">
        <v>357</v>
      </c>
      <c r="E90" s="46"/>
      <c r="F90" s="46" t="s">
        <v>1522</v>
      </c>
      <c r="G90" s="46" t="s">
        <v>332</v>
      </c>
      <c r="H90" s="46" t="s">
        <v>2652</v>
      </c>
      <c r="I90" s="46" t="s">
        <v>333</v>
      </c>
      <c r="J90" s="46" t="s">
        <v>334</v>
      </c>
      <c r="K90" s="46" t="s">
        <v>398</v>
      </c>
      <c r="L90" s="46"/>
      <c r="M90">
        <f t="shared" si="0"/>
        <v>1</v>
      </c>
      <c r="N90">
        <f t="shared" si="6"/>
        <v>1</v>
      </c>
      <c r="AT90" t="str">
        <f t="shared" si="2"/>
        <v>10301HR001</v>
      </c>
      <c r="AU90" t="str">
        <f t="shared" si="3"/>
        <v>HR001</v>
      </c>
      <c r="AX90" t="s">
        <v>30</v>
      </c>
    </row>
    <row r="91" spans="2:50" outlineLevel="1" x14ac:dyDescent="0.25">
      <c r="B91" s="46">
        <v>103010</v>
      </c>
      <c r="C91" s="46" t="s">
        <v>282</v>
      </c>
      <c r="D91" s="46" t="s">
        <v>358</v>
      </c>
      <c r="E91" s="46"/>
      <c r="F91" s="46" t="s">
        <v>1522</v>
      </c>
      <c r="G91" s="46" t="s">
        <v>332</v>
      </c>
      <c r="H91" s="46" t="s">
        <v>2652</v>
      </c>
      <c r="I91" s="46" t="s">
        <v>333</v>
      </c>
      <c r="J91" s="46" t="s">
        <v>334</v>
      </c>
      <c r="K91" s="46" t="s">
        <v>398</v>
      </c>
      <c r="L91" s="46"/>
      <c r="M91">
        <f t="shared" si="0"/>
        <v>1</v>
      </c>
      <c r="N91">
        <f t="shared" si="6"/>
        <v>1</v>
      </c>
      <c r="AT91" t="str">
        <f t="shared" si="2"/>
        <v>10301HR002</v>
      </c>
      <c r="AU91" t="str">
        <f t="shared" si="3"/>
        <v>HR002</v>
      </c>
      <c r="AX91" t="s">
        <v>30</v>
      </c>
    </row>
    <row r="92" spans="2:50" outlineLevel="1" x14ac:dyDescent="0.25">
      <c r="B92" s="46">
        <v>103010</v>
      </c>
      <c r="C92" s="46" t="s">
        <v>291</v>
      </c>
      <c r="D92" s="46" t="s">
        <v>359</v>
      </c>
      <c r="E92" s="46"/>
      <c r="F92" s="46" t="s">
        <v>1522</v>
      </c>
      <c r="G92" s="46" t="s">
        <v>332</v>
      </c>
      <c r="H92" s="46" t="s">
        <v>2652</v>
      </c>
      <c r="I92" s="46" t="s">
        <v>333</v>
      </c>
      <c r="J92" s="46" t="s">
        <v>334</v>
      </c>
      <c r="K92" s="46" t="s">
        <v>398</v>
      </c>
      <c r="L92" s="46"/>
      <c r="M92">
        <f t="shared" si="0"/>
        <v>1</v>
      </c>
      <c r="N92">
        <f>COUNTIFS($J$20:$J$36,C92)</f>
        <v>0</v>
      </c>
      <c r="AT92" t="str">
        <f t="shared" si="2"/>
        <v>10301HR003</v>
      </c>
      <c r="AU92" t="str">
        <f t="shared" si="3"/>
        <v>HR003</v>
      </c>
      <c r="AX92" t="s">
        <v>30</v>
      </c>
    </row>
    <row r="93" spans="2:50" outlineLevel="1" x14ac:dyDescent="0.25">
      <c r="B93" s="46">
        <v>103010</v>
      </c>
      <c r="C93" s="46" t="s">
        <v>297</v>
      </c>
      <c r="D93" s="46" t="s">
        <v>360</v>
      </c>
      <c r="E93" s="46"/>
      <c r="F93" s="46" t="s">
        <v>1522</v>
      </c>
      <c r="G93" s="46" t="s">
        <v>332</v>
      </c>
      <c r="H93" s="46" t="s">
        <v>2652</v>
      </c>
      <c r="I93" s="46" t="s">
        <v>333</v>
      </c>
      <c r="J93" s="46" t="s">
        <v>334</v>
      </c>
      <c r="K93" s="46" t="s">
        <v>398</v>
      </c>
      <c r="L93" s="46"/>
      <c r="M93">
        <f t="shared" si="0"/>
        <v>1</v>
      </c>
      <c r="N93">
        <f>COUNTIFS($K$20:$K$59,C93)</f>
        <v>0</v>
      </c>
      <c r="AT93" t="str">
        <f t="shared" si="2"/>
        <v>10301HR004</v>
      </c>
      <c r="AU93" t="str">
        <f t="shared" si="3"/>
        <v>HR004</v>
      </c>
      <c r="AX93" t="s">
        <v>30</v>
      </c>
    </row>
    <row r="94" spans="2:50" outlineLevel="1" x14ac:dyDescent="0.25">
      <c r="B94" s="46">
        <v>103010</v>
      </c>
      <c r="C94" s="46" t="s">
        <v>302</v>
      </c>
      <c r="D94" s="46" t="s">
        <v>361</v>
      </c>
      <c r="E94" s="46"/>
      <c r="F94" s="46" t="s">
        <v>1522</v>
      </c>
      <c r="G94" s="46" t="s">
        <v>332</v>
      </c>
      <c r="H94" s="46" t="s">
        <v>2652</v>
      </c>
      <c r="I94" s="46" t="s">
        <v>333</v>
      </c>
      <c r="J94" s="46" t="s">
        <v>334</v>
      </c>
      <c r="K94" s="46" t="s">
        <v>398</v>
      </c>
      <c r="L94" s="46"/>
      <c r="M94">
        <f t="shared" si="0"/>
        <v>1</v>
      </c>
      <c r="N94">
        <f>COUNTIFS($J$20:$J$36,C94)</f>
        <v>0</v>
      </c>
      <c r="AT94" t="str">
        <f t="shared" si="2"/>
        <v>10301HR005</v>
      </c>
      <c r="AU94" t="str">
        <f t="shared" si="3"/>
        <v>HR005</v>
      </c>
      <c r="AX94" t="s">
        <v>30</v>
      </c>
    </row>
    <row r="95" spans="2:50" outlineLevel="1" x14ac:dyDescent="0.25">
      <c r="B95" s="46">
        <v>103010</v>
      </c>
      <c r="C95" s="46" t="s">
        <v>305</v>
      </c>
      <c r="D95" s="46" t="s">
        <v>362</v>
      </c>
      <c r="E95" s="46"/>
      <c r="F95" s="46" t="s">
        <v>1522</v>
      </c>
      <c r="G95" s="46" t="s">
        <v>332</v>
      </c>
      <c r="H95" s="46" t="s">
        <v>2652</v>
      </c>
      <c r="I95" s="46" t="s">
        <v>333</v>
      </c>
      <c r="J95" s="46" t="s">
        <v>334</v>
      </c>
      <c r="K95" s="46" t="s">
        <v>398</v>
      </c>
      <c r="L95" s="46"/>
      <c r="M95">
        <f t="shared" si="0"/>
        <v>1</v>
      </c>
      <c r="N95">
        <f>COUNTIFS($N$21:$N$58,C95)</f>
        <v>0</v>
      </c>
      <c r="AT95" t="str">
        <f t="shared" si="2"/>
        <v>10301HR007</v>
      </c>
      <c r="AU95" t="str">
        <f t="shared" si="3"/>
        <v>HR007</v>
      </c>
      <c r="AX95" t="s">
        <v>30</v>
      </c>
    </row>
    <row r="96" spans="2:50" outlineLevel="1" x14ac:dyDescent="0.25">
      <c r="B96" s="46">
        <v>103010</v>
      </c>
      <c r="C96" s="46" t="s">
        <v>265</v>
      </c>
      <c r="D96" s="46" t="s">
        <v>363</v>
      </c>
      <c r="E96" s="46"/>
      <c r="F96" s="46" t="s">
        <v>1522</v>
      </c>
      <c r="G96" s="46" t="s">
        <v>332</v>
      </c>
      <c r="H96" s="46" t="s">
        <v>2649</v>
      </c>
      <c r="I96" s="46" t="s">
        <v>333</v>
      </c>
      <c r="J96" s="46" t="s">
        <v>334</v>
      </c>
      <c r="K96" s="46" t="s">
        <v>398</v>
      </c>
      <c r="L96" s="46"/>
      <c r="M96">
        <f t="shared" si="0"/>
        <v>1</v>
      </c>
      <c r="N96">
        <f>COUNTIFS($N$21:$N$58,C96)</f>
        <v>0</v>
      </c>
      <c r="AT96" t="str">
        <f t="shared" si="2"/>
        <v>10301HS001</v>
      </c>
      <c r="AU96" t="str">
        <f t="shared" si="3"/>
        <v>HS001</v>
      </c>
      <c r="AX96" t="s">
        <v>327</v>
      </c>
    </row>
    <row r="97" spans="2:53" outlineLevel="1" x14ac:dyDescent="0.25">
      <c r="B97" s="46">
        <v>103010</v>
      </c>
      <c r="C97" s="46" t="s">
        <v>303</v>
      </c>
      <c r="D97" s="46" t="s">
        <v>365</v>
      </c>
      <c r="E97" s="46"/>
      <c r="F97" s="46" t="s">
        <v>1522</v>
      </c>
      <c r="G97" s="46" t="s">
        <v>332</v>
      </c>
      <c r="H97" s="46" t="s">
        <v>2649</v>
      </c>
      <c r="I97" s="46" t="s">
        <v>333</v>
      </c>
      <c r="J97" s="46" t="s">
        <v>334</v>
      </c>
      <c r="K97" s="46" t="s">
        <v>398</v>
      </c>
      <c r="L97" s="46"/>
      <c r="M97">
        <f t="shared" si="0"/>
        <v>1</v>
      </c>
      <c r="N97">
        <f>COUNTIFS($N$21:$N$58,C97)</f>
        <v>0</v>
      </c>
      <c r="AT97" t="str">
        <f t="shared" si="2"/>
        <v>10301HS002</v>
      </c>
      <c r="AU97" t="str">
        <f t="shared" si="3"/>
        <v>HS002</v>
      </c>
      <c r="AX97" t="s">
        <v>329</v>
      </c>
    </row>
    <row r="98" spans="2:53" outlineLevel="1" x14ac:dyDescent="0.25">
      <c r="B98" s="46">
        <v>103010</v>
      </c>
      <c r="C98" s="46" t="s">
        <v>268</v>
      </c>
      <c r="D98" s="46" t="s">
        <v>367</v>
      </c>
      <c r="E98" s="46"/>
      <c r="F98" s="46" t="s">
        <v>1522</v>
      </c>
      <c r="G98" s="46" t="s">
        <v>332</v>
      </c>
      <c r="H98" s="46" t="s">
        <v>31</v>
      </c>
      <c r="I98" s="46" t="s">
        <v>333</v>
      </c>
      <c r="J98" s="46" t="s">
        <v>334</v>
      </c>
      <c r="K98" s="46" t="s">
        <v>398</v>
      </c>
      <c r="L98" s="46"/>
      <c r="M98">
        <f t="shared" si="0"/>
        <v>1</v>
      </c>
      <c r="N98">
        <f>COUNTIFS($H$20:$H$59,C98)</f>
        <v>0</v>
      </c>
      <c r="AT98" t="str">
        <f t="shared" si="2"/>
        <v>10301IT001</v>
      </c>
      <c r="AU98" t="str">
        <f t="shared" si="3"/>
        <v>IT001</v>
      </c>
      <c r="AX98" t="s">
        <v>237</v>
      </c>
    </row>
    <row r="99" spans="2:53" outlineLevel="1" x14ac:dyDescent="0.25">
      <c r="B99" s="46">
        <v>103010</v>
      </c>
      <c r="C99" s="46" t="s">
        <v>368</v>
      </c>
      <c r="D99" s="46" t="s">
        <v>2053</v>
      </c>
      <c r="E99" s="46"/>
      <c r="F99" s="46" t="s">
        <v>1522</v>
      </c>
      <c r="G99" s="46" t="s">
        <v>332</v>
      </c>
      <c r="H99" s="46" t="s">
        <v>31</v>
      </c>
      <c r="I99" s="46" t="s">
        <v>333</v>
      </c>
      <c r="J99" s="46" t="s">
        <v>334</v>
      </c>
      <c r="K99" s="46" t="s">
        <v>398</v>
      </c>
      <c r="L99" s="46"/>
      <c r="M99">
        <f t="shared" si="0"/>
        <v>0</v>
      </c>
      <c r="N99">
        <f>COUNTIFS($K$20:$K$59,C99)</f>
        <v>0</v>
      </c>
      <c r="AT99" t="str">
        <f t="shared" si="2"/>
        <v>10301IT002</v>
      </c>
      <c r="AU99" t="str">
        <f t="shared" si="3"/>
        <v>IT002</v>
      </c>
      <c r="AX99" t="s">
        <v>237</v>
      </c>
    </row>
    <row r="100" spans="2:53" outlineLevel="1" x14ac:dyDescent="0.25">
      <c r="B100" s="46">
        <v>103010</v>
      </c>
      <c r="C100" s="46" t="s">
        <v>283</v>
      </c>
      <c r="D100" s="46" t="s">
        <v>2687</v>
      </c>
      <c r="E100" s="46"/>
      <c r="F100" s="46" t="s">
        <v>1522</v>
      </c>
      <c r="G100" s="46" t="s">
        <v>332</v>
      </c>
      <c r="H100" s="46" t="s">
        <v>31</v>
      </c>
      <c r="I100" s="46" t="s">
        <v>333</v>
      </c>
      <c r="J100" s="46" t="s">
        <v>334</v>
      </c>
      <c r="K100" s="46" t="s">
        <v>398</v>
      </c>
      <c r="L100" s="46"/>
      <c r="M100">
        <f t="shared" si="0"/>
        <v>1</v>
      </c>
      <c r="N100">
        <f>COUNTIFS($J$20:$J$36,C100)</f>
        <v>0</v>
      </c>
      <c r="AT100" t="str">
        <f t="shared" si="2"/>
        <v>10301IT003</v>
      </c>
      <c r="AU100" t="str">
        <f t="shared" si="3"/>
        <v>IT003</v>
      </c>
      <c r="AX100" t="s">
        <v>237</v>
      </c>
    </row>
    <row r="101" spans="2:53" outlineLevel="1" x14ac:dyDescent="0.25">
      <c r="B101" s="46">
        <v>103010</v>
      </c>
      <c r="C101" s="46" t="s">
        <v>2553</v>
      </c>
      <c r="D101" s="46" t="s">
        <v>2554</v>
      </c>
      <c r="E101" s="46"/>
      <c r="F101" s="46" t="s">
        <v>2551</v>
      </c>
      <c r="G101" s="46" t="s">
        <v>332</v>
      </c>
      <c r="H101" s="46" t="s">
        <v>31</v>
      </c>
      <c r="I101" s="46" t="s">
        <v>333</v>
      </c>
      <c r="J101" s="46" t="s">
        <v>334</v>
      </c>
      <c r="K101" s="46" t="s">
        <v>398</v>
      </c>
      <c r="L101" s="46"/>
      <c r="M101">
        <f t="shared" si="0"/>
        <v>0</v>
      </c>
      <c r="N101">
        <f t="shared" ref="N101:N106" si="7">COUNTIFS($K$20:$K$59,C101)</f>
        <v>0</v>
      </c>
      <c r="AT101" t="str">
        <f t="shared" si="2"/>
        <v>10301IT004</v>
      </c>
      <c r="AU101" t="str">
        <f t="shared" si="3"/>
        <v>IT004</v>
      </c>
      <c r="AX101" t="s">
        <v>237</v>
      </c>
    </row>
    <row r="102" spans="2:53" outlineLevel="1" x14ac:dyDescent="0.25">
      <c r="B102" s="46">
        <v>103010</v>
      </c>
      <c r="C102" s="46" t="s">
        <v>285</v>
      </c>
      <c r="D102" s="46" t="s">
        <v>371</v>
      </c>
      <c r="E102" s="46"/>
      <c r="F102" s="46" t="s">
        <v>1522</v>
      </c>
      <c r="G102" s="46" t="s">
        <v>332</v>
      </c>
      <c r="H102" s="46" t="s">
        <v>2688</v>
      </c>
      <c r="I102" s="46" t="s">
        <v>333</v>
      </c>
      <c r="J102" s="46" t="s">
        <v>334</v>
      </c>
      <c r="K102" s="46" t="s">
        <v>398</v>
      </c>
      <c r="L102" s="46"/>
      <c r="M102">
        <f t="shared" si="0"/>
        <v>1</v>
      </c>
      <c r="N102">
        <f t="shared" si="7"/>
        <v>1</v>
      </c>
      <c r="AT102" t="str">
        <f t="shared" si="2"/>
        <v>10301MS002</v>
      </c>
      <c r="AU102" t="str">
        <f t="shared" si="3"/>
        <v>MS002</v>
      </c>
      <c r="AX102" s="256" t="s">
        <v>2656</v>
      </c>
      <c r="AY102" s="256"/>
      <c r="AZ102" s="256"/>
      <c r="BA102" s="256" t="s">
        <v>2689</v>
      </c>
    </row>
    <row r="103" spans="2:53" outlineLevel="1" x14ac:dyDescent="0.25">
      <c r="B103" s="46">
        <v>103010</v>
      </c>
      <c r="C103" s="46" t="s">
        <v>293</v>
      </c>
      <c r="D103" s="46" t="s">
        <v>373</v>
      </c>
      <c r="E103" s="46"/>
      <c r="F103" s="46" t="s">
        <v>1522</v>
      </c>
      <c r="G103" s="46" t="s">
        <v>332</v>
      </c>
      <c r="H103" s="46" t="s">
        <v>2688</v>
      </c>
      <c r="I103" s="46" t="s">
        <v>333</v>
      </c>
      <c r="J103" s="46" t="s">
        <v>334</v>
      </c>
      <c r="K103" s="46" t="s">
        <v>398</v>
      </c>
      <c r="L103" s="46"/>
      <c r="M103">
        <f t="shared" si="0"/>
        <v>1</v>
      </c>
      <c r="N103">
        <f t="shared" si="7"/>
        <v>1</v>
      </c>
      <c r="AT103" t="str">
        <f t="shared" si="2"/>
        <v>10301MS006</v>
      </c>
      <c r="AU103" t="str">
        <f t="shared" si="3"/>
        <v>MS006</v>
      </c>
      <c r="AX103" t="s">
        <v>2656</v>
      </c>
    </row>
    <row r="104" spans="2:53" outlineLevel="1" x14ac:dyDescent="0.25">
      <c r="B104" s="46">
        <v>103010</v>
      </c>
      <c r="C104" s="46" t="s">
        <v>299</v>
      </c>
      <c r="D104" s="46" t="s">
        <v>374</v>
      </c>
      <c r="E104" s="46"/>
      <c r="F104" s="46" t="s">
        <v>1522</v>
      </c>
      <c r="G104" s="46" t="s">
        <v>332</v>
      </c>
      <c r="H104" s="46" t="s">
        <v>2688</v>
      </c>
      <c r="I104" s="46" t="s">
        <v>333</v>
      </c>
      <c r="J104" s="46" t="s">
        <v>334</v>
      </c>
      <c r="K104" s="46" t="s">
        <v>398</v>
      </c>
      <c r="L104" s="46"/>
      <c r="M104">
        <f t="shared" si="0"/>
        <v>1</v>
      </c>
      <c r="N104">
        <f t="shared" si="7"/>
        <v>1</v>
      </c>
      <c r="AT104" t="str">
        <f t="shared" si="2"/>
        <v>10301MS007</v>
      </c>
      <c r="AU104" t="str">
        <f t="shared" si="3"/>
        <v>MS007</v>
      </c>
      <c r="AX104" t="s">
        <v>2656</v>
      </c>
    </row>
    <row r="105" spans="2:53" outlineLevel="1" x14ac:dyDescent="0.25">
      <c r="B105" s="46">
        <v>103010</v>
      </c>
      <c r="C105" s="46" t="s">
        <v>2690</v>
      </c>
      <c r="D105" s="46" t="s">
        <v>2691</v>
      </c>
      <c r="E105" s="46"/>
      <c r="F105" s="46" t="s">
        <v>1522</v>
      </c>
      <c r="G105" s="46" t="s">
        <v>332</v>
      </c>
      <c r="H105" s="46" t="s">
        <v>2688</v>
      </c>
      <c r="I105" s="46" t="s">
        <v>333</v>
      </c>
      <c r="J105" s="46" t="s">
        <v>334</v>
      </c>
      <c r="K105" s="46" t="s">
        <v>398</v>
      </c>
      <c r="L105" s="46"/>
      <c r="M105">
        <f>COUNTIFS($F$22:$Q$44,C105)</f>
        <v>0</v>
      </c>
      <c r="N105">
        <f>+COUNTIFS( $L$21:$L$40,C105)</f>
        <v>0</v>
      </c>
      <c r="AT105" t="str">
        <f t="shared" si="2"/>
        <v>10301MS010</v>
      </c>
      <c r="AU105" t="str">
        <f t="shared" si="3"/>
        <v>MS010</v>
      </c>
      <c r="AX105" t="s">
        <v>2656</v>
      </c>
    </row>
    <row r="106" spans="2:53" outlineLevel="1" x14ac:dyDescent="0.25">
      <c r="B106" s="46">
        <v>103010</v>
      </c>
      <c r="C106" s="46" t="s">
        <v>295</v>
      </c>
      <c r="D106" s="46" t="s">
        <v>2692</v>
      </c>
      <c r="E106" s="46"/>
      <c r="F106" s="46" t="s">
        <v>1522</v>
      </c>
      <c r="G106" s="46" t="s">
        <v>332</v>
      </c>
      <c r="H106" s="46" t="s">
        <v>250</v>
      </c>
      <c r="I106" s="46" t="s">
        <v>333</v>
      </c>
      <c r="J106" s="46" t="s">
        <v>334</v>
      </c>
      <c r="K106" s="46" t="s">
        <v>398</v>
      </c>
      <c r="L106" s="46"/>
      <c r="M106">
        <f t="shared" si="0"/>
        <v>1</v>
      </c>
      <c r="N106">
        <f t="shared" si="7"/>
        <v>0</v>
      </c>
      <c r="AT106" t="str">
        <f t="shared" si="2"/>
        <v>10301SC002</v>
      </c>
      <c r="AU106" t="str">
        <f t="shared" si="3"/>
        <v>SC002</v>
      </c>
      <c r="AX106" t="s">
        <v>2655</v>
      </c>
    </row>
    <row r="107" spans="2:53" outlineLevel="1" x14ac:dyDescent="0.25">
      <c r="B107" s="46">
        <v>103010</v>
      </c>
      <c r="C107" s="46" t="s">
        <v>259</v>
      </c>
      <c r="D107" s="46" t="s">
        <v>2693</v>
      </c>
      <c r="E107" s="46"/>
      <c r="F107" s="46" t="s">
        <v>1522</v>
      </c>
      <c r="G107" s="46" t="s">
        <v>332</v>
      </c>
      <c r="H107" s="46" t="s">
        <v>250</v>
      </c>
      <c r="I107" s="46" t="s">
        <v>333</v>
      </c>
      <c r="J107" s="46" t="s">
        <v>334</v>
      </c>
      <c r="K107" s="46" t="s">
        <v>398</v>
      </c>
      <c r="L107" s="46"/>
      <c r="M107">
        <f t="shared" si="0"/>
        <v>1</v>
      </c>
      <c r="N107">
        <f>+COUNTIFS( $L$21:$L$40,C107)</f>
        <v>0</v>
      </c>
      <c r="AT107" t="str">
        <f t="shared" si="2"/>
        <v>10301SC004</v>
      </c>
      <c r="AU107" t="str">
        <f t="shared" si="3"/>
        <v>SC004</v>
      </c>
      <c r="AX107" t="s">
        <v>2659</v>
      </c>
    </row>
    <row r="108" spans="2:53" outlineLevel="1" x14ac:dyDescent="0.25">
      <c r="B108" s="46">
        <v>103010</v>
      </c>
      <c r="C108" s="46" t="s">
        <v>289</v>
      </c>
      <c r="D108" s="46" t="s">
        <v>2694</v>
      </c>
      <c r="E108" s="46"/>
      <c r="F108" s="46" t="s">
        <v>1522</v>
      </c>
      <c r="G108" s="46" t="s">
        <v>332</v>
      </c>
      <c r="H108" s="46" t="s">
        <v>250</v>
      </c>
      <c r="I108" s="46"/>
      <c r="J108" s="46"/>
      <c r="K108" s="46"/>
      <c r="L108" s="46"/>
      <c r="AT108" t="str">
        <f t="shared" si="2"/>
        <v>10301SC005</v>
      </c>
      <c r="AU108" t="str">
        <f t="shared" si="3"/>
        <v>SC005</v>
      </c>
      <c r="AX108" t="s">
        <v>2663</v>
      </c>
    </row>
    <row r="109" spans="2:53" outlineLevel="1" x14ac:dyDescent="0.25">
      <c r="B109" s="46">
        <v>103010</v>
      </c>
      <c r="C109" s="46" t="s">
        <v>380</v>
      </c>
      <c r="D109" s="46" t="s">
        <v>381</v>
      </c>
      <c r="E109" s="46"/>
      <c r="F109" s="46" t="s">
        <v>382</v>
      </c>
      <c r="G109" s="46" t="s">
        <v>332</v>
      </c>
      <c r="H109" s="46" t="s">
        <v>250</v>
      </c>
      <c r="I109" s="46" t="s">
        <v>333</v>
      </c>
      <c r="J109" s="46" t="s">
        <v>334</v>
      </c>
      <c r="K109" s="46" t="s">
        <v>398</v>
      </c>
      <c r="L109" s="46"/>
      <c r="M109">
        <f t="shared" si="0"/>
        <v>1</v>
      </c>
      <c r="N109">
        <f t="shared" ref="N109:N110" si="8">COUNTIFS($K$20:$K$59,C109)</f>
        <v>0</v>
      </c>
      <c r="AT109" t="str">
        <f t="shared" si="2"/>
        <v>10301SC006</v>
      </c>
      <c r="AU109" t="str">
        <f t="shared" si="3"/>
        <v>SC006</v>
      </c>
      <c r="AX109" t="s">
        <v>2659</v>
      </c>
    </row>
    <row r="110" spans="2:53" outlineLevel="1" x14ac:dyDescent="0.25">
      <c r="B110" s="46">
        <v>103010</v>
      </c>
      <c r="C110" s="46" t="s">
        <v>383</v>
      </c>
      <c r="D110" s="46" t="s">
        <v>384</v>
      </c>
      <c r="E110" s="46"/>
      <c r="F110" s="46" t="s">
        <v>385</v>
      </c>
      <c r="G110" s="46" t="s">
        <v>332</v>
      </c>
      <c r="H110" s="46" t="s">
        <v>250</v>
      </c>
      <c r="I110" s="46" t="s">
        <v>333</v>
      </c>
      <c r="J110" s="46" t="s">
        <v>334</v>
      </c>
      <c r="K110" s="46" t="s">
        <v>398</v>
      </c>
      <c r="L110" s="46"/>
      <c r="M110">
        <f t="shared" si="0"/>
        <v>1</v>
      </c>
      <c r="N110">
        <f t="shared" si="8"/>
        <v>0</v>
      </c>
      <c r="AT110" t="str">
        <f t="shared" si="2"/>
        <v>10301SC007</v>
      </c>
      <c r="AU110" t="str">
        <f t="shared" si="3"/>
        <v>SC007</v>
      </c>
      <c r="AX110" t="s">
        <v>2659</v>
      </c>
    </row>
    <row r="111" spans="2:53" outlineLevel="1" x14ac:dyDescent="0.25">
      <c r="B111" s="46">
        <v>103010</v>
      </c>
      <c r="C111" s="46" t="s">
        <v>2557</v>
      </c>
      <c r="D111" s="46" t="s">
        <v>2558</v>
      </c>
      <c r="E111" s="46"/>
      <c r="F111" s="46" t="s">
        <v>2547</v>
      </c>
      <c r="G111" s="46" t="s">
        <v>332</v>
      </c>
      <c r="H111" s="46" t="s">
        <v>250</v>
      </c>
      <c r="I111" s="46" t="s">
        <v>333</v>
      </c>
      <c r="J111" s="46" t="s">
        <v>334</v>
      </c>
      <c r="K111" s="46" t="s">
        <v>398</v>
      </c>
      <c r="L111" s="46"/>
      <c r="M111">
        <f t="shared" si="0"/>
        <v>0</v>
      </c>
      <c r="N111">
        <f t="shared" ref="N111:N116" si="9">COUNTIF($M$20:$M$59,C111)</f>
        <v>0</v>
      </c>
      <c r="AT111" t="str">
        <f t="shared" si="2"/>
        <v>10301SC009</v>
      </c>
      <c r="AU111" t="str">
        <f t="shared" si="3"/>
        <v>SC009</v>
      </c>
      <c r="AX111" t="s">
        <v>2659</v>
      </c>
    </row>
    <row r="112" spans="2:53" outlineLevel="1" x14ac:dyDescent="0.25">
      <c r="B112" s="46">
        <v>103010</v>
      </c>
      <c r="C112" s="46" t="s">
        <v>257</v>
      </c>
      <c r="D112" s="46" t="s">
        <v>386</v>
      </c>
      <c r="E112" s="46"/>
      <c r="F112" s="46" t="s">
        <v>1522</v>
      </c>
      <c r="G112" s="46" t="s">
        <v>332</v>
      </c>
      <c r="H112" s="46" t="s">
        <v>2695</v>
      </c>
      <c r="I112" s="46" t="s">
        <v>333</v>
      </c>
      <c r="J112" s="46" t="s">
        <v>334</v>
      </c>
      <c r="K112" s="46" t="s">
        <v>398</v>
      </c>
      <c r="L112" s="46"/>
      <c r="M112">
        <f t="shared" si="0"/>
        <v>1</v>
      </c>
      <c r="N112">
        <f t="shared" si="9"/>
        <v>0</v>
      </c>
      <c r="AT112" t="str">
        <f t="shared" si="2"/>
        <v>10301SM001</v>
      </c>
      <c r="AU112" t="str">
        <f t="shared" si="3"/>
        <v>SM001</v>
      </c>
      <c r="AX112" t="s">
        <v>236</v>
      </c>
    </row>
    <row r="113" spans="2:50" outlineLevel="1" x14ac:dyDescent="0.25">
      <c r="B113" s="46">
        <v>103010</v>
      </c>
      <c r="C113" s="46" t="s">
        <v>288</v>
      </c>
      <c r="D113" s="46" t="s">
        <v>389</v>
      </c>
      <c r="E113" s="46"/>
      <c r="F113" s="46" t="s">
        <v>1522</v>
      </c>
      <c r="G113" s="46" t="s">
        <v>332</v>
      </c>
      <c r="H113" s="46" t="s">
        <v>2695</v>
      </c>
      <c r="I113" s="46" t="s">
        <v>333</v>
      </c>
      <c r="J113" s="46" t="s">
        <v>334</v>
      </c>
      <c r="K113" s="46" t="s">
        <v>398</v>
      </c>
      <c r="L113" s="46"/>
      <c r="M113">
        <f t="shared" si="0"/>
        <v>1</v>
      </c>
      <c r="N113">
        <f t="shared" si="9"/>
        <v>0</v>
      </c>
      <c r="AT113" t="str">
        <f t="shared" si="2"/>
        <v>10301SM002</v>
      </c>
      <c r="AU113" t="str">
        <f t="shared" si="3"/>
        <v>SM002</v>
      </c>
      <c r="AX113" t="s">
        <v>236</v>
      </c>
    </row>
    <row r="114" spans="2:50" outlineLevel="1" x14ac:dyDescent="0.25">
      <c r="B114" s="46">
        <v>103010</v>
      </c>
      <c r="C114" s="46" t="s">
        <v>276</v>
      </c>
      <c r="D114" s="46" t="s">
        <v>390</v>
      </c>
      <c r="E114" s="46"/>
      <c r="F114" s="46" t="s">
        <v>1522</v>
      </c>
      <c r="G114" s="46" t="s">
        <v>332</v>
      </c>
      <c r="H114" s="46" t="s">
        <v>2695</v>
      </c>
      <c r="I114" s="46" t="s">
        <v>333</v>
      </c>
      <c r="J114" s="46" t="s">
        <v>334</v>
      </c>
      <c r="K114" s="46" t="s">
        <v>398</v>
      </c>
      <c r="L114" s="46"/>
      <c r="M114">
        <f t="shared" si="0"/>
        <v>1</v>
      </c>
      <c r="N114">
        <f t="shared" si="9"/>
        <v>0</v>
      </c>
      <c r="AT114" t="str">
        <f t="shared" si="2"/>
        <v>10301SM003</v>
      </c>
      <c r="AU114" t="str">
        <f t="shared" si="3"/>
        <v>SM003</v>
      </c>
      <c r="AX114" t="s">
        <v>236</v>
      </c>
    </row>
    <row r="115" spans="2:50" outlineLevel="1" x14ac:dyDescent="0.25">
      <c r="B115" s="46">
        <v>103010</v>
      </c>
      <c r="C115" s="46" t="s">
        <v>2559</v>
      </c>
      <c r="D115" s="46" t="s">
        <v>2560</v>
      </c>
      <c r="E115" s="46"/>
      <c r="F115" s="46" t="s">
        <v>2551</v>
      </c>
      <c r="G115" s="46" t="s">
        <v>332</v>
      </c>
      <c r="H115" s="46" t="s">
        <v>387</v>
      </c>
      <c r="I115" s="46" t="s">
        <v>333</v>
      </c>
      <c r="J115" s="46" t="s">
        <v>334</v>
      </c>
      <c r="K115" s="46" t="s">
        <v>398</v>
      </c>
      <c r="L115" s="46"/>
      <c r="M115">
        <f t="shared" si="0"/>
        <v>0</v>
      </c>
      <c r="N115">
        <f t="shared" si="9"/>
        <v>0</v>
      </c>
      <c r="AT115" t="str">
        <f t="shared" si="2"/>
        <v>10301SM004</v>
      </c>
      <c r="AU115" t="str">
        <f t="shared" si="3"/>
        <v>SM004</v>
      </c>
      <c r="AX115" t="s">
        <v>236</v>
      </c>
    </row>
    <row r="116" spans="2:50" outlineLevel="1" x14ac:dyDescent="0.25">
      <c r="B116" s="46">
        <v>103010</v>
      </c>
      <c r="C116" s="46" t="s">
        <v>258</v>
      </c>
      <c r="D116" s="46" t="s">
        <v>379</v>
      </c>
      <c r="E116" s="46"/>
      <c r="F116" s="46" t="s">
        <v>1522</v>
      </c>
      <c r="G116" s="46" t="s">
        <v>332</v>
      </c>
      <c r="H116" s="46" t="s">
        <v>2695</v>
      </c>
      <c r="I116" s="46" t="s">
        <v>333</v>
      </c>
      <c r="J116" s="46" t="s">
        <v>334</v>
      </c>
      <c r="K116" s="46" t="s">
        <v>398</v>
      </c>
      <c r="L116" s="46"/>
      <c r="M116">
        <f t="shared" si="0"/>
        <v>1</v>
      </c>
      <c r="N116">
        <f t="shared" si="9"/>
        <v>1</v>
      </c>
      <c r="AT116" t="str">
        <f t="shared" si="2"/>
        <v>10301SC001</v>
      </c>
      <c r="AU116" t="str">
        <f t="shared" si="3"/>
        <v>SC001</v>
      </c>
      <c r="AX116" t="s">
        <v>32</v>
      </c>
    </row>
    <row r="117" spans="2:50" outlineLevel="1" x14ac:dyDescent="0.25">
      <c r="B117" s="46">
        <v>103010</v>
      </c>
      <c r="C117" s="46" t="s">
        <v>2555</v>
      </c>
      <c r="D117" s="46" t="s">
        <v>2556</v>
      </c>
      <c r="E117" s="46"/>
      <c r="F117" s="46" t="s">
        <v>1522</v>
      </c>
      <c r="G117" s="46" t="s">
        <v>332</v>
      </c>
      <c r="H117" s="46" t="s">
        <v>2695</v>
      </c>
      <c r="I117" s="46" t="s">
        <v>333</v>
      </c>
      <c r="J117" s="46" t="s">
        <v>334</v>
      </c>
      <c r="K117" s="46" t="s">
        <v>398</v>
      </c>
      <c r="L117" s="46"/>
      <c r="M117">
        <f t="shared" si="0"/>
        <v>0</v>
      </c>
      <c r="N117">
        <f>COUNTIF($M$20:$M$59,C117)</f>
        <v>0</v>
      </c>
      <c r="AT117" t="str">
        <f t="shared" si="2"/>
        <v>10301SC008</v>
      </c>
      <c r="AU117" t="str">
        <f t="shared" si="3"/>
        <v>SC008</v>
      </c>
      <c r="AX117" t="s">
        <v>32</v>
      </c>
    </row>
    <row r="118" spans="2:50" outlineLevel="1" x14ac:dyDescent="0.25">
      <c r="B118" s="46">
        <v>103020</v>
      </c>
      <c r="C118" s="46" t="s">
        <v>1523</v>
      </c>
      <c r="D118" s="46" t="s">
        <v>1524</v>
      </c>
      <c r="E118" s="46"/>
      <c r="F118" s="46" t="s">
        <v>1522</v>
      </c>
      <c r="G118" s="46" t="s">
        <v>332</v>
      </c>
      <c r="H118" s="46" t="s">
        <v>247</v>
      </c>
      <c r="I118" s="46" t="s">
        <v>388</v>
      </c>
      <c r="J118" s="46" t="s">
        <v>334</v>
      </c>
      <c r="K118" s="46" t="s">
        <v>398</v>
      </c>
      <c r="L118" s="46"/>
      <c r="M118">
        <f t="shared" si="0"/>
        <v>0</v>
      </c>
      <c r="N118">
        <f>COUNTIFS($I$20:$I$59,C118)</f>
        <v>0</v>
      </c>
      <c r="AT118" t="str">
        <f t="shared" si="2"/>
        <v>10131PP001</v>
      </c>
      <c r="AU118" t="str">
        <f t="shared" si="3"/>
        <v>PP001</v>
      </c>
      <c r="AX118" t="s">
        <v>1684</v>
      </c>
    </row>
    <row r="119" spans="2:50" outlineLevel="1" x14ac:dyDescent="0.25">
      <c r="B119" s="46">
        <v>101310</v>
      </c>
      <c r="C119" s="46" t="s">
        <v>1525</v>
      </c>
      <c r="D119" s="46" t="s">
        <v>1526</v>
      </c>
      <c r="E119" s="46"/>
      <c r="F119" s="46" t="s">
        <v>1522</v>
      </c>
      <c r="G119" s="46" t="s">
        <v>332</v>
      </c>
      <c r="H119" s="46" t="s">
        <v>1684</v>
      </c>
      <c r="I119" s="46" t="s">
        <v>388</v>
      </c>
      <c r="J119" s="46" t="s">
        <v>334</v>
      </c>
      <c r="K119" s="46" t="s">
        <v>398</v>
      </c>
      <c r="L119" s="46"/>
      <c r="M119">
        <f t="shared" si="0"/>
        <v>0</v>
      </c>
      <c r="N119">
        <f t="shared" ref="N119:N120" si="10">COUNTIFS($I$20:$I$59,C119)</f>
        <v>0</v>
      </c>
      <c r="AT119" t="str">
        <f t="shared" si="2"/>
        <v>10131PP009</v>
      </c>
      <c r="AU119" t="str">
        <f t="shared" si="3"/>
        <v>PP009</v>
      </c>
      <c r="AX119" t="s">
        <v>1684</v>
      </c>
    </row>
    <row r="120" spans="2:50" outlineLevel="1" x14ac:dyDescent="0.25">
      <c r="B120" s="46">
        <v>101310</v>
      </c>
      <c r="C120" s="46" t="s">
        <v>1527</v>
      </c>
      <c r="D120" s="46" t="s">
        <v>1528</v>
      </c>
      <c r="E120" s="46"/>
      <c r="F120" s="46" t="s">
        <v>1522</v>
      </c>
      <c r="G120" s="46" t="s">
        <v>332</v>
      </c>
      <c r="H120" s="46" t="s">
        <v>1684</v>
      </c>
      <c r="I120" s="46" t="s">
        <v>388</v>
      </c>
      <c r="J120" s="46" t="s">
        <v>334</v>
      </c>
      <c r="K120" s="46" t="s">
        <v>398</v>
      </c>
      <c r="L120" s="46"/>
      <c r="M120">
        <f t="shared" si="0"/>
        <v>0</v>
      </c>
      <c r="N120">
        <f t="shared" si="10"/>
        <v>0</v>
      </c>
      <c r="AT120" t="str">
        <f t="shared" si="2"/>
        <v>10131PP010</v>
      </c>
      <c r="AU120" t="str">
        <f t="shared" si="3"/>
        <v>PP010</v>
      </c>
      <c r="AX120" t="s">
        <v>1684</v>
      </c>
    </row>
    <row r="121" spans="2:50" outlineLevel="1" x14ac:dyDescent="0.25">
      <c r="B121" s="46">
        <v>101310</v>
      </c>
      <c r="C121" s="46" t="s">
        <v>1537</v>
      </c>
      <c r="D121" s="46" t="s">
        <v>1538</v>
      </c>
      <c r="E121" s="46"/>
      <c r="F121" s="46" t="s">
        <v>1522</v>
      </c>
      <c r="G121" s="46" t="s">
        <v>332</v>
      </c>
      <c r="H121" s="46" t="s">
        <v>1684</v>
      </c>
      <c r="I121" s="46" t="s">
        <v>333</v>
      </c>
      <c r="J121" s="46" t="s">
        <v>334</v>
      </c>
      <c r="K121" s="46" t="s">
        <v>398</v>
      </c>
      <c r="L121" s="46"/>
      <c r="M121">
        <f t="shared" si="0"/>
        <v>0</v>
      </c>
      <c r="N121">
        <f>COUNTIFS(O20:$O$59,C121)</f>
        <v>0</v>
      </c>
      <c r="AT121" t="str">
        <f t="shared" si="2"/>
        <v>10131PS006</v>
      </c>
      <c r="AU121" t="str">
        <f t="shared" si="3"/>
        <v>PS006</v>
      </c>
      <c r="AX121" t="s">
        <v>1684</v>
      </c>
    </row>
    <row r="122" spans="2:50" outlineLevel="1" x14ac:dyDescent="0.25">
      <c r="B122" s="46">
        <v>101010</v>
      </c>
      <c r="C122" s="46" t="s">
        <v>1539</v>
      </c>
      <c r="D122" s="46" t="s">
        <v>1540</v>
      </c>
      <c r="E122" s="46"/>
      <c r="F122" s="46" t="s">
        <v>1522</v>
      </c>
      <c r="G122" s="46" t="s">
        <v>332</v>
      </c>
      <c r="H122" s="46" t="s">
        <v>1685</v>
      </c>
      <c r="I122" s="46" t="s">
        <v>333</v>
      </c>
      <c r="J122" s="46" t="s">
        <v>334</v>
      </c>
      <c r="K122" s="46" t="s">
        <v>398</v>
      </c>
      <c r="L122" s="46"/>
      <c r="M122">
        <f t="shared" si="0"/>
        <v>0</v>
      </c>
      <c r="N122">
        <f>COUNTIFS(O21:$O$59,C122)</f>
        <v>0</v>
      </c>
      <c r="AT122" t="str">
        <f t="shared" si="2"/>
        <v>10101PP001</v>
      </c>
      <c r="AU122" t="str">
        <f t="shared" si="3"/>
        <v>PP001</v>
      </c>
      <c r="AX122" t="s">
        <v>2660</v>
      </c>
    </row>
    <row r="123" spans="2:50" outlineLevel="1" x14ac:dyDescent="0.25">
      <c r="B123" s="46">
        <v>101010</v>
      </c>
      <c r="C123" s="46" t="s">
        <v>1541</v>
      </c>
      <c r="D123" s="46" t="s">
        <v>1542</v>
      </c>
      <c r="E123" s="46"/>
      <c r="F123" s="46" t="s">
        <v>1522</v>
      </c>
      <c r="G123" s="46" t="s">
        <v>332</v>
      </c>
      <c r="H123" s="46" t="s">
        <v>1685</v>
      </c>
      <c r="I123" s="46" t="s">
        <v>333</v>
      </c>
      <c r="J123" s="46" t="s">
        <v>334</v>
      </c>
      <c r="K123" s="46" t="s">
        <v>398</v>
      </c>
      <c r="L123" s="46"/>
      <c r="M123">
        <f t="shared" si="0"/>
        <v>0</v>
      </c>
      <c r="N123">
        <f>COUNTIFS(O22:$O$59,C123)</f>
        <v>0</v>
      </c>
      <c r="AT123" t="str">
        <f t="shared" si="2"/>
        <v>10101PP002</v>
      </c>
      <c r="AU123" t="str">
        <f t="shared" si="3"/>
        <v>PP002</v>
      </c>
      <c r="AX123" t="s">
        <v>2660</v>
      </c>
    </row>
    <row r="124" spans="2:50" outlineLevel="1" x14ac:dyDescent="0.25">
      <c r="B124" s="46">
        <v>101010</v>
      </c>
      <c r="C124" s="46" t="s">
        <v>1543</v>
      </c>
      <c r="D124" s="46" t="s">
        <v>1544</v>
      </c>
      <c r="E124" s="46"/>
      <c r="F124" s="46" t="s">
        <v>1522</v>
      </c>
      <c r="G124" s="46" t="s">
        <v>332</v>
      </c>
      <c r="H124" s="46" t="s">
        <v>1685</v>
      </c>
      <c r="I124" s="46" t="s">
        <v>333</v>
      </c>
      <c r="J124" s="46" t="s">
        <v>334</v>
      </c>
      <c r="K124" s="46" t="s">
        <v>398</v>
      </c>
      <c r="L124" s="46"/>
      <c r="M124">
        <f t="shared" si="0"/>
        <v>0</v>
      </c>
      <c r="N124">
        <f>COUNTIFS(O23:$O$59,C124)</f>
        <v>0</v>
      </c>
      <c r="AT124" t="str">
        <f t="shared" si="2"/>
        <v>10101PP003</v>
      </c>
      <c r="AU124" t="str">
        <f t="shared" si="3"/>
        <v>PP003</v>
      </c>
      <c r="AX124" t="s">
        <v>2660</v>
      </c>
    </row>
    <row r="125" spans="2:50" outlineLevel="1" x14ac:dyDescent="0.25">
      <c r="B125" s="46">
        <v>101010</v>
      </c>
      <c r="C125" s="46" t="s">
        <v>1545</v>
      </c>
      <c r="D125" s="46" t="s">
        <v>1546</v>
      </c>
      <c r="E125" s="46"/>
      <c r="F125" s="46" t="s">
        <v>1522</v>
      </c>
      <c r="G125" s="46" t="s">
        <v>332</v>
      </c>
      <c r="H125" s="46" t="s">
        <v>1685</v>
      </c>
      <c r="I125" s="46" t="s">
        <v>333</v>
      </c>
      <c r="J125" s="46" t="s">
        <v>334</v>
      </c>
      <c r="K125" s="46" t="s">
        <v>398</v>
      </c>
      <c r="L125" s="49" t="s">
        <v>399</v>
      </c>
      <c r="M125">
        <f t="shared" si="0"/>
        <v>0</v>
      </c>
      <c r="N125">
        <f>COUNTIFS(O24:$O$59,C125)</f>
        <v>0</v>
      </c>
      <c r="AT125" t="str">
        <f t="shared" si="2"/>
        <v>10101PP004</v>
      </c>
      <c r="AU125" t="str">
        <f t="shared" si="3"/>
        <v>PP004</v>
      </c>
      <c r="AX125" t="s">
        <v>2660</v>
      </c>
    </row>
    <row r="126" spans="2:50" outlineLevel="1" x14ac:dyDescent="0.25">
      <c r="B126" s="46">
        <v>101010</v>
      </c>
      <c r="C126" s="46" t="s">
        <v>1547</v>
      </c>
      <c r="D126" s="46" t="s">
        <v>1548</v>
      </c>
      <c r="E126" s="46"/>
      <c r="F126" s="46" t="s">
        <v>1522</v>
      </c>
      <c r="G126" s="46" t="s">
        <v>332</v>
      </c>
      <c r="H126" s="46" t="s">
        <v>1685</v>
      </c>
      <c r="I126" s="46"/>
      <c r="J126" s="46"/>
      <c r="K126" s="46"/>
      <c r="L126" s="46"/>
      <c r="AT126" t="str">
        <f t="shared" si="2"/>
        <v>10101PP005</v>
      </c>
      <c r="AU126" t="str">
        <f t="shared" si="3"/>
        <v>PP005</v>
      </c>
      <c r="AX126" t="s">
        <v>2660</v>
      </c>
    </row>
    <row r="127" spans="2:50" outlineLevel="1" x14ac:dyDescent="0.25">
      <c r="B127" s="46">
        <v>101010</v>
      </c>
      <c r="C127" s="46" t="s">
        <v>1549</v>
      </c>
      <c r="D127" s="46" t="s">
        <v>1550</v>
      </c>
      <c r="E127" s="46"/>
      <c r="F127" s="46" t="s">
        <v>1522</v>
      </c>
      <c r="G127" s="46" t="s">
        <v>332</v>
      </c>
      <c r="H127" s="46" t="s">
        <v>1685</v>
      </c>
      <c r="I127" s="46"/>
      <c r="J127" s="46"/>
      <c r="K127" s="46"/>
      <c r="L127" s="46"/>
      <c r="AT127" t="str">
        <f t="shared" ref="AT127:AT159" si="11">C127</f>
        <v>10101PP006</v>
      </c>
      <c r="AU127" t="str">
        <f t="shared" ref="AU127:AU160" si="12">RIGHT(C127,5)</f>
        <v>PP006</v>
      </c>
      <c r="AX127" t="s">
        <v>2660</v>
      </c>
    </row>
    <row r="128" spans="2:50" outlineLevel="1" x14ac:dyDescent="0.25">
      <c r="B128" s="46">
        <v>101010</v>
      </c>
      <c r="C128" s="46" t="s">
        <v>1551</v>
      </c>
      <c r="D128" s="46" t="s">
        <v>1552</v>
      </c>
      <c r="E128" s="46"/>
      <c r="F128" s="46" t="s">
        <v>1522</v>
      </c>
      <c r="G128" s="46" t="s">
        <v>332</v>
      </c>
      <c r="H128" s="46" t="s">
        <v>1685</v>
      </c>
      <c r="I128" s="46"/>
      <c r="J128" s="46"/>
      <c r="K128" s="46"/>
      <c r="L128" s="46"/>
      <c r="AT128" t="str">
        <f t="shared" si="11"/>
        <v>10101PP007</v>
      </c>
      <c r="AU128" t="str">
        <f t="shared" si="12"/>
        <v>PP007</v>
      </c>
      <c r="AX128" t="s">
        <v>2660</v>
      </c>
    </row>
    <row r="129" spans="2:50" outlineLevel="1" x14ac:dyDescent="0.25">
      <c r="B129" s="46">
        <v>101010</v>
      </c>
      <c r="C129" s="46" t="s">
        <v>1561</v>
      </c>
      <c r="D129" s="46" t="s">
        <v>1562</v>
      </c>
      <c r="E129" s="46"/>
      <c r="F129" s="46" t="s">
        <v>1522</v>
      </c>
      <c r="G129" s="46" t="s">
        <v>332</v>
      </c>
      <c r="H129" s="46" t="s">
        <v>1685</v>
      </c>
      <c r="I129" s="46"/>
      <c r="J129" s="46"/>
      <c r="K129" s="46"/>
      <c r="L129" s="46"/>
      <c r="AT129" t="str">
        <f t="shared" si="11"/>
        <v>10101PS005</v>
      </c>
      <c r="AU129" t="str">
        <f t="shared" si="12"/>
        <v>PS005</v>
      </c>
      <c r="AX129" t="s">
        <v>2660</v>
      </c>
    </row>
    <row r="130" spans="2:50" outlineLevel="1" x14ac:dyDescent="0.25">
      <c r="B130" s="46">
        <v>101010</v>
      </c>
      <c r="C130" s="46" t="s">
        <v>1563</v>
      </c>
      <c r="D130" s="46" t="s">
        <v>1564</v>
      </c>
      <c r="E130" s="46"/>
      <c r="F130" s="46" t="s">
        <v>1522</v>
      </c>
      <c r="G130" s="46" t="s">
        <v>332</v>
      </c>
      <c r="H130" s="46" t="s">
        <v>1685</v>
      </c>
      <c r="I130" s="46"/>
      <c r="J130" s="46"/>
      <c r="K130" s="46"/>
      <c r="L130" s="46"/>
      <c r="AT130" t="str">
        <f t="shared" si="11"/>
        <v>10101PS006</v>
      </c>
      <c r="AU130" t="str">
        <f t="shared" si="12"/>
        <v>PS006</v>
      </c>
      <c r="AX130" t="s">
        <v>2660</v>
      </c>
    </row>
    <row r="131" spans="2:50" outlineLevel="1" x14ac:dyDescent="0.25">
      <c r="B131" s="46">
        <v>101010</v>
      </c>
      <c r="C131" s="46" t="s">
        <v>1565</v>
      </c>
      <c r="D131" s="46" t="s">
        <v>1566</v>
      </c>
      <c r="E131" s="46"/>
      <c r="F131" s="46" t="s">
        <v>1522</v>
      </c>
      <c r="G131" s="46" t="s">
        <v>332</v>
      </c>
      <c r="H131" s="46" t="s">
        <v>1685</v>
      </c>
      <c r="I131" s="46"/>
      <c r="J131" s="46"/>
      <c r="K131" s="46"/>
      <c r="L131" s="46"/>
      <c r="AT131" t="str">
        <f t="shared" si="11"/>
        <v>10101PS007</v>
      </c>
      <c r="AU131" t="str">
        <f t="shared" si="12"/>
        <v>PS007</v>
      </c>
      <c r="AX131" t="s">
        <v>2660</v>
      </c>
    </row>
    <row r="132" spans="2:50" outlineLevel="1" x14ac:dyDescent="0.25">
      <c r="B132" s="46">
        <v>101010</v>
      </c>
      <c r="C132" s="46" t="s">
        <v>1567</v>
      </c>
      <c r="D132" s="46" t="s">
        <v>1568</v>
      </c>
      <c r="E132" s="46"/>
      <c r="F132" s="46" t="s">
        <v>1522</v>
      </c>
      <c r="G132" s="46" t="s">
        <v>332</v>
      </c>
      <c r="H132" s="46" t="s">
        <v>1685</v>
      </c>
      <c r="I132" s="46"/>
      <c r="J132" s="46"/>
      <c r="K132" s="46"/>
      <c r="L132" s="46"/>
      <c r="AT132" t="str">
        <f t="shared" si="11"/>
        <v>10101PS008</v>
      </c>
      <c r="AU132" t="str">
        <f t="shared" si="12"/>
        <v>PS008</v>
      </c>
      <c r="AX132" t="s">
        <v>2660</v>
      </c>
    </row>
    <row r="133" spans="2:50" outlineLevel="1" x14ac:dyDescent="0.25">
      <c r="B133" s="46">
        <v>101030</v>
      </c>
      <c r="C133" s="46" t="s">
        <v>1569</v>
      </c>
      <c r="D133" s="46" t="s">
        <v>2696</v>
      </c>
      <c r="E133" s="46"/>
      <c r="F133" s="46" t="s">
        <v>1522</v>
      </c>
      <c r="G133" s="46" t="s">
        <v>332</v>
      </c>
      <c r="H133" s="46" t="s">
        <v>1689</v>
      </c>
      <c r="I133" s="46" t="s">
        <v>333</v>
      </c>
      <c r="J133" s="46" t="s">
        <v>334</v>
      </c>
      <c r="K133" s="46" t="s">
        <v>398</v>
      </c>
      <c r="L133" s="46"/>
      <c r="M133">
        <f t="shared" si="0"/>
        <v>0</v>
      </c>
      <c r="N133">
        <f>COUNTIFS($P$20:$P$24,C133)</f>
        <v>0</v>
      </c>
      <c r="AT133" t="str">
        <f t="shared" si="11"/>
        <v>10103PP001</v>
      </c>
      <c r="AU133" t="str">
        <f t="shared" si="12"/>
        <v>PP001</v>
      </c>
      <c r="AX133" t="s">
        <v>1689</v>
      </c>
    </row>
    <row r="134" spans="2:50" outlineLevel="1" x14ac:dyDescent="0.25">
      <c r="B134" s="46">
        <v>101030</v>
      </c>
      <c r="C134" s="46" t="s">
        <v>1571</v>
      </c>
      <c r="D134" s="46" t="s">
        <v>2697</v>
      </c>
      <c r="E134" s="46"/>
      <c r="F134" s="46" t="s">
        <v>1522</v>
      </c>
      <c r="G134" s="46" t="s">
        <v>332</v>
      </c>
      <c r="H134" s="46" t="s">
        <v>1689</v>
      </c>
      <c r="I134" s="46"/>
      <c r="J134" s="46"/>
      <c r="K134" s="46"/>
      <c r="L134" s="46"/>
      <c r="AT134" t="str">
        <f t="shared" si="11"/>
        <v>10103PP009</v>
      </c>
      <c r="AU134" t="str">
        <f t="shared" si="12"/>
        <v>PP009</v>
      </c>
      <c r="AX134" t="s">
        <v>1689</v>
      </c>
    </row>
    <row r="135" spans="2:50" outlineLevel="1" x14ac:dyDescent="0.25">
      <c r="B135" s="46">
        <v>101030</v>
      </c>
      <c r="C135" s="46" t="s">
        <v>1573</v>
      </c>
      <c r="D135" s="46" t="s">
        <v>2698</v>
      </c>
      <c r="E135" s="46"/>
      <c r="F135" s="46" t="s">
        <v>1522</v>
      </c>
      <c r="G135" s="46" t="s">
        <v>332</v>
      </c>
      <c r="H135" s="46" t="s">
        <v>1689</v>
      </c>
      <c r="I135" s="46"/>
      <c r="J135" s="46"/>
      <c r="K135" s="46"/>
      <c r="L135" s="46"/>
      <c r="AT135" t="str">
        <f t="shared" si="11"/>
        <v>10103PP010</v>
      </c>
      <c r="AU135" t="str">
        <f t="shared" si="12"/>
        <v>PP010</v>
      </c>
      <c r="AX135" t="s">
        <v>1689</v>
      </c>
    </row>
    <row r="136" spans="2:50" outlineLevel="1" x14ac:dyDescent="0.25">
      <c r="B136" s="46">
        <v>101030</v>
      </c>
      <c r="C136" s="46" t="s">
        <v>1582</v>
      </c>
      <c r="D136" s="46" t="s">
        <v>2699</v>
      </c>
      <c r="E136" s="46"/>
      <c r="F136" s="46" t="s">
        <v>1522</v>
      </c>
      <c r="G136" s="46" t="s">
        <v>332</v>
      </c>
      <c r="H136" s="46" t="s">
        <v>1689</v>
      </c>
      <c r="I136" s="46"/>
      <c r="J136" s="46"/>
      <c r="K136" s="46"/>
      <c r="L136" s="46"/>
      <c r="AT136" t="str">
        <f t="shared" si="11"/>
        <v>10103PS006</v>
      </c>
      <c r="AU136" t="str">
        <f t="shared" si="12"/>
        <v>PS006</v>
      </c>
      <c r="AX136" t="s">
        <v>1689</v>
      </c>
    </row>
    <row r="137" spans="2:50" outlineLevel="1" x14ac:dyDescent="0.25">
      <c r="B137" s="46">
        <v>101030</v>
      </c>
      <c r="C137" s="46" t="s">
        <v>1584</v>
      </c>
      <c r="D137" s="46" t="s">
        <v>2700</v>
      </c>
      <c r="E137" s="46"/>
      <c r="F137" s="46" t="s">
        <v>1522</v>
      </c>
      <c r="G137" s="46" t="s">
        <v>332</v>
      </c>
      <c r="H137" s="46" t="s">
        <v>1689</v>
      </c>
      <c r="I137" s="46"/>
      <c r="J137" s="46"/>
      <c r="K137" s="46"/>
      <c r="L137" s="46"/>
      <c r="AT137" t="str">
        <f t="shared" si="11"/>
        <v>10103PS007</v>
      </c>
      <c r="AU137" t="str">
        <f t="shared" si="12"/>
        <v>PS007</v>
      </c>
      <c r="AX137" t="s">
        <v>1689</v>
      </c>
    </row>
    <row r="138" spans="2:50" outlineLevel="1" x14ac:dyDescent="0.25">
      <c r="B138" s="46">
        <v>101030</v>
      </c>
      <c r="C138" s="46" t="s">
        <v>1585</v>
      </c>
      <c r="D138" s="46" t="s">
        <v>2701</v>
      </c>
      <c r="E138" s="46"/>
      <c r="F138" s="46" t="s">
        <v>1522</v>
      </c>
      <c r="G138" s="46" t="s">
        <v>332</v>
      </c>
      <c r="H138" s="46" t="s">
        <v>1689</v>
      </c>
      <c r="I138" s="46"/>
      <c r="J138" s="46"/>
      <c r="K138" s="46"/>
      <c r="L138" s="46"/>
      <c r="AT138" t="str">
        <f t="shared" si="11"/>
        <v>10103PS008</v>
      </c>
      <c r="AU138" t="str">
        <f t="shared" si="12"/>
        <v>PS008</v>
      </c>
      <c r="AX138" t="s">
        <v>1689</v>
      </c>
    </row>
    <row r="139" spans="2:50" outlineLevel="1" x14ac:dyDescent="0.25">
      <c r="B139" s="46" t="s">
        <v>2702</v>
      </c>
      <c r="C139" s="46" t="s">
        <v>2703</v>
      </c>
      <c r="D139" s="46" t="s">
        <v>2704</v>
      </c>
      <c r="E139" s="46"/>
      <c r="F139" s="46" t="s">
        <v>1522</v>
      </c>
      <c r="G139" s="46" t="s">
        <v>332</v>
      </c>
      <c r="H139" s="46" t="s">
        <v>1691</v>
      </c>
      <c r="I139" s="46"/>
      <c r="J139" s="46"/>
      <c r="K139" s="46"/>
      <c r="L139" s="46"/>
      <c r="AT139" t="str">
        <f t="shared" si="11"/>
        <v>10202SU001</v>
      </c>
      <c r="AU139" t="str">
        <f t="shared" si="12"/>
        <v>SU001</v>
      </c>
      <c r="AX139" t="s">
        <v>1691</v>
      </c>
    </row>
    <row r="140" spans="2:50" outlineLevel="1" x14ac:dyDescent="0.25">
      <c r="B140" s="46">
        <v>101030</v>
      </c>
      <c r="C140" s="46" t="s">
        <v>1574</v>
      </c>
      <c r="D140" s="46" t="s">
        <v>1575</v>
      </c>
      <c r="E140" s="46"/>
      <c r="F140" s="46" t="s">
        <v>1522</v>
      </c>
      <c r="G140" s="46" t="s">
        <v>332</v>
      </c>
      <c r="H140" s="46" t="s">
        <v>2657</v>
      </c>
      <c r="I140" s="46"/>
      <c r="J140" s="46"/>
      <c r="K140" s="46"/>
      <c r="L140" s="46"/>
      <c r="AT140" t="str">
        <f t="shared" si="11"/>
        <v>10103PS001</v>
      </c>
      <c r="AU140" t="str">
        <f t="shared" si="12"/>
        <v>PS001</v>
      </c>
      <c r="AX140" t="s">
        <v>2657</v>
      </c>
    </row>
    <row r="141" spans="2:50" outlineLevel="1" x14ac:dyDescent="0.25">
      <c r="B141" s="46">
        <v>101310</v>
      </c>
      <c r="C141" s="46" t="s">
        <v>1529</v>
      </c>
      <c r="D141" s="46" t="s">
        <v>1530</v>
      </c>
      <c r="E141" s="46"/>
      <c r="F141" s="46" t="s">
        <v>1522</v>
      </c>
      <c r="G141" s="46" t="s">
        <v>332</v>
      </c>
      <c r="H141" s="46" t="s">
        <v>2657</v>
      </c>
      <c r="I141" s="46"/>
      <c r="J141" s="46"/>
      <c r="K141" s="46"/>
      <c r="L141" s="46"/>
      <c r="AT141" t="str">
        <f t="shared" si="11"/>
        <v>10131PS001</v>
      </c>
      <c r="AU141" t="str">
        <f t="shared" si="12"/>
        <v>PS001</v>
      </c>
      <c r="AX141" t="s">
        <v>2657</v>
      </c>
    </row>
    <row r="142" spans="2:50" outlineLevel="1" x14ac:dyDescent="0.25">
      <c r="B142" s="46">
        <v>101010</v>
      </c>
      <c r="C142" s="46" t="s">
        <v>1553</v>
      </c>
      <c r="D142" s="46" t="s">
        <v>1554</v>
      </c>
      <c r="E142" s="46"/>
      <c r="F142" s="46" t="s">
        <v>1522</v>
      </c>
      <c r="G142" s="46" t="s">
        <v>332</v>
      </c>
      <c r="H142" s="46" t="s">
        <v>2657</v>
      </c>
      <c r="I142" s="46"/>
      <c r="J142" s="46"/>
      <c r="K142" s="46"/>
      <c r="L142" s="46"/>
      <c r="AT142" t="str">
        <f t="shared" si="11"/>
        <v>10101PS001</v>
      </c>
      <c r="AU142" t="str">
        <f t="shared" si="12"/>
        <v>PS001</v>
      </c>
      <c r="AX142" t="s">
        <v>2657</v>
      </c>
    </row>
    <row r="143" spans="2:50" outlineLevel="1" x14ac:dyDescent="0.25">
      <c r="B143" s="46">
        <v>102010</v>
      </c>
      <c r="C143" s="257" t="s">
        <v>1586</v>
      </c>
      <c r="D143" s="46" t="s">
        <v>1587</v>
      </c>
      <c r="E143" s="46"/>
      <c r="F143" s="46" t="s">
        <v>1522</v>
      </c>
      <c r="G143" s="46" t="s">
        <v>332</v>
      </c>
      <c r="H143" s="46" t="s">
        <v>2657</v>
      </c>
      <c r="I143" s="46"/>
      <c r="J143" s="46"/>
      <c r="K143" s="46"/>
      <c r="L143" s="46"/>
      <c r="AT143" t="str">
        <f t="shared" si="11"/>
        <v>10201PS001</v>
      </c>
      <c r="AU143" t="str">
        <f t="shared" si="12"/>
        <v>PS001</v>
      </c>
      <c r="AX143" t="s">
        <v>2657</v>
      </c>
    </row>
    <row r="144" spans="2:50" outlineLevel="1" x14ac:dyDescent="0.25">
      <c r="B144" s="46">
        <v>102020</v>
      </c>
      <c r="C144" s="257" t="s">
        <v>2705</v>
      </c>
      <c r="D144" s="46" t="s">
        <v>2706</v>
      </c>
      <c r="E144" s="46"/>
      <c r="F144" s="46" t="s">
        <v>1522</v>
      </c>
      <c r="G144" s="46" t="s">
        <v>332</v>
      </c>
      <c r="H144" s="46" t="s">
        <v>2657</v>
      </c>
      <c r="I144" s="46"/>
      <c r="J144" s="46"/>
      <c r="K144" s="46"/>
      <c r="L144" s="46"/>
      <c r="AT144" t="str">
        <f t="shared" si="11"/>
        <v>10202SU009</v>
      </c>
      <c r="AU144" t="str">
        <f t="shared" si="12"/>
        <v>SU009</v>
      </c>
      <c r="AX144" t="s">
        <v>2657</v>
      </c>
    </row>
    <row r="145" spans="2:50" outlineLevel="1" x14ac:dyDescent="0.25">
      <c r="B145" s="46">
        <v>101030</v>
      </c>
      <c r="C145" s="46" t="s">
        <v>1576</v>
      </c>
      <c r="D145" s="46" t="s">
        <v>1577</v>
      </c>
      <c r="E145" s="46"/>
      <c r="F145" s="46" t="s">
        <v>1522</v>
      </c>
      <c r="G145" s="46" t="s">
        <v>332</v>
      </c>
      <c r="H145" s="46" t="s">
        <v>2661</v>
      </c>
      <c r="I145" s="46"/>
      <c r="J145" s="46"/>
      <c r="K145" s="46"/>
      <c r="L145" s="46"/>
      <c r="AT145" t="str">
        <f t="shared" si="11"/>
        <v>10103PS002</v>
      </c>
      <c r="AU145" t="str">
        <f t="shared" si="12"/>
        <v>PS002</v>
      </c>
      <c r="AX145" t="s">
        <v>2661</v>
      </c>
    </row>
    <row r="146" spans="2:50" outlineLevel="1" x14ac:dyDescent="0.25">
      <c r="B146" s="46">
        <v>101310</v>
      </c>
      <c r="C146" s="46" t="s">
        <v>1531</v>
      </c>
      <c r="D146" s="46" t="s">
        <v>1532</v>
      </c>
      <c r="E146" s="46"/>
      <c r="F146" s="46" t="s">
        <v>1522</v>
      </c>
      <c r="G146" s="46" t="s">
        <v>332</v>
      </c>
      <c r="H146" s="46" t="s">
        <v>2661</v>
      </c>
      <c r="I146" s="46"/>
      <c r="J146" s="46"/>
      <c r="K146" s="46"/>
      <c r="L146" s="46"/>
      <c r="AT146" t="str">
        <f t="shared" si="11"/>
        <v>10131PS002</v>
      </c>
      <c r="AU146" t="str">
        <f t="shared" si="12"/>
        <v>PS002</v>
      </c>
      <c r="AX146" t="s">
        <v>2661</v>
      </c>
    </row>
    <row r="147" spans="2:50" outlineLevel="1" x14ac:dyDescent="0.25">
      <c r="B147" s="46">
        <v>101010</v>
      </c>
      <c r="C147" s="46" t="s">
        <v>1555</v>
      </c>
      <c r="D147" s="46" t="s">
        <v>1556</v>
      </c>
      <c r="E147" s="46"/>
      <c r="F147" s="46" t="s">
        <v>1522</v>
      </c>
      <c r="G147" s="46" t="s">
        <v>332</v>
      </c>
      <c r="H147" s="46" t="s">
        <v>2661</v>
      </c>
      <c r="I147" s="46"/>
      <c r="J147" s="46"/>
      <c r="K147" s="46"/>
      <c r="L147" s="46"/>
      <c r="AT147" t="str">
        <f t="shared" si="11"/>
        <v>10101PS002</v>
      </c>
      <c r="AU147" t="str">
        <f t="shared" si="12"/>
        <v>PS002</v>
      </c>
      <c r="AX147" t="s">
        <v>2661</v>
      </c>
    </row>
    <row r="148" spans="2:50" outlineLevel="1" x14ac:dyDescent="0.25">
      <c r="B148" s="46">
        <v>102010</v>
      </c>
      <c r="C148" s="46" t="s">
        <v>1588</v>
      </c>
      <c r="D148" s="46" t="s">
        <v>1589</v>
      </c>
      <c r="E148" s="46"/>
      <c r="F148" s="46" t="s">
        <v>1522</v>
      </c>
      <c r="G148" s="46" t="s">
        <v>332</v>
      </c>
      <c r="H148" s="46" t="s">
        <v>2661</v>
      </c>
      <c r="I148" s="46"/>
      <c r="J148" s="46"/>
      <c r="K148" s="46"/>
      <c r="L148" s="46"/>
      <c r="AT148" t="str">
        <f t="shared" si="11"/>
        <v>10201PS002</v>
      </c>
      <c r="AU148" t="str">
        <f t="shared" si="12"/>
        <v>PS002</v>
      </c>
      <c r="AX148" t="s">
        <v>2661</v>
      </c>
    </row>
    <row r="149" spans="2:50" outlineLevel="1" x14ac:dyDescent="0.25">
      <c r="B149" s="46">
        <v>101030</v>
      </c>
      <c r="C149" s="46" t="s">
        <v>1578</v>
      </c>
      <c r="D149" s="46" t="s">
        <v>1579</v>
      </c>
      <c r="E149" s="46"/>
      <c r="F149" s="46" t="s">
        <v>1522</v>
      </c>
      <c r="G149" s="46" t="s">
        <v>332</v>
      </c>
      <c r="H149" s="46" t="s">
        <v>1622</v>
      </c>
      <c r="I149" s="46"/>
      <c r="J149" s="46"/>
      <c r="K149" s="46"/>
      <c r="L149" s="46"/>
      <c r="AT149" t="str">
        <f t="shared" si="11"/>
        <v>10103PS003</v>
      </c>
      <c r="AU149" t="str">
        <f t="shared" si="12"/>
        <v>PS003</v>
      </c>
      <c r="AX149" t="s">
        <v>1622</v>
      </c>
    </row>
    <row r="150" spans="2:50" outlineLevel="1" x14ac:dyDescent="0.25">
      <c r="B150" s="46">
        <v>101310</v>
      </c>
      <c r="C150" s="46" t="s">
        <v>1533</v>
      </c>
      <c r="D150" s="46" t="s">
        <v>1534</v>
      </c>
      <c r="E150" s="46"/>
      <c r="F150" s="46" t="s">
        <v>1522</v>
      </c>
      <c r="G150" s="46" t="s">
        <v>332</v>
      </c>
      <c r="H150" s="46" t="s">
        <v>1622</v>
      </c>
      <c r="I150" s="46"/>
      <c r="J150" s="46"/>
      <c r="K150" s="46"/>
      <c r="L150" s="46"/>
      <c r="AT150" t="str">
        <f t="shared" si="11"/>
        <v>10131PS003</v>
      </c>
      <c r="AU150" t="str">
        <f t="shared" si="12"/>
        <v>PS003</v>
      </c>
      <c r="AX150" t="s">
        <v>1622</v>
      </c>
    </row>
    <row r="151" spans="2:50" outlineLevel="1" x14ac:dyDescent="0.25">
      <c r="B151" s="46">
        <v>101010</v>
      </c>
      <c r="C151" s="46" t="s">
        <v>1557</v>
      </c>
      <c r="D151" s="46" t="s">
        <v>1558</v>
      </c>
      <c r="E151" s="46"/>
      <c r="F151" s="46" t="s">
        <v>1522</v>
      </c>
      <c r="G151" s="46" t="s">
        <v>332</v>
      </c>
      <c r="H151" s="46" t="s">
        <v>1622</v>
      </c>
      <c r="I151" s="46"/>
      <c r="J151" s="46"/>
      <c r="K151" s="46"/>
      <c r="L151" s="46"/>
      <c r="AT151" t="str">
        <f t="shared" si="11"/>
        <v>10101PS003</v>
      </c>
      <c r="AU151" t="str">
        <f t="shared" si="12"/>
        <v>PS003</v>
      </c>
      <c r="AX151" t="s">
        <v>1622</v>
      </c>
    </row>
    <row r="152" spans="2:50" outlineLevel="1" x14ac:dyDescent="0.25">
      <c r="B152" s="46">
        <v>102010</v>
      </c>
      <c r="C152" s="46" t="s">
        <v>1590</v>
      </c>
      <c r="D152" s="46" t="s">
        <v>1591</v>
      </c>
      <c r="E152" s="46"/>
      <c r="F152" s="46" t="s">
        <v>1522</v>
      </c>
      <c r="G152" s="46" t="s">
        <v>332</v>
      </c>
      <c r="H152" s="46" t="s">
        <v>1622</v>
      </c>
      <c r="I152" s="46"/>
      <c r="J152" s="46"/>
      <c r="K152" s="46"/>
      <c r="L152" s="46"/>
      <c r="AT152" t="str">
        <f t="shared" si="11"/>
        <v>10201PS003</v>
      </c>
      <c r="AU152" t="str">
        <f t="shared" si="12"/>
        <v>PS003</v>
      </c>
      <c r="AX152" t="s">
        <v>1622</v>
      </c>
    </row>
    <row r="153" spans="2:50" outlineLevel="1" x14ac:dyDescent="0.25">
      <c r="B153" s="46">
        <v>102020</v>
      </c>
      <c r="C153" s="46" t="s">
        <v>1623</v>
      </c>
      <c r="D153" s="46" t="s">
        <v>2707</v>
      </c>
      <c r="E153" s="46"/>
      <c r="F153" s="46" t="s">
        <v>1522</v>
      </c>
      <c r="G153" s="46" t="s">
        <v>332</v>
      </c>
      <c r="H153" s="46" t="s">
        <v>1622</v>
      </c>
      <c r="I153" s="46"/>
      <c r="J153" s="46"/>
      <c r="K153" s="46"/>
      <c r="L153" s="46"/>
      <c r="AT153" t="str">
        <f t="shared" si="11"/>
        <v>10202SU006</v>
      </c>
      <c r="AU153" t="str">
        <f t="shared" si="12"/>
        <v>SU006</v>
      </c>
      <c r="AX153" t="s">
        <v>1622</v>
      </c>
    </row>
    <row r="154" spans="2:50" outlineLevel="1" x14ac:dyDescent="0.25">
      <c r="B154" s="46">
        <v>101030</v>
      </c>
      <c r="C154" s="46" t="s">
        <v>1580</v>
      </c>
      <c r="D154" s="46" t="s">
        <v>1581</v>
      </c>
      <c r="E154" s="46"/>
      <c r="F154" s="46" t="s">
        <v>1522</v>
      </c>
      <c r="G154" s="46" t="s">
        <v>332</v>
      </c>
      <c r="H154" s="46" t="s">
        <v>1745</v>
      </c>
      <c r="I154" s="46"/>
      <c r="J154" s="46"/>
      <c r="K154" s="46"/>
      <c r="L154" s="46"/>
      <c r="AT154" t="str">
        <f t="shared" si="11"/>
        <v>10103PS004</v>
      </c>
      <c r="AU154" t="str">
        <f t="shared" si="12"/>
        <v>PS004</v>
      </c>
      <c r="AX154" t="s">
        <v>1745</v>
      </c>
    </row>
    <row r="155" spans="2:50" outlineLevel="1" x14ac:dyDescent="0.25">
      <c r="B155" s="46">
        <v>101310</v>
      </c>
      <c r="C155" s="46" t="s">
        <v>1535</v>
      </c>
      <c r="D155" s="46" t="s">
        <v>1536</v>
      </c>
      <c r="E155" s="46"/>
      <c r="F155" s="46" t="s">
        <v>1522</v>
      </c>
      <c r="G155" s="46" t="s">
        <v>332</v>
      </c>
      <c r="H155" s="46" t="s">
        <v>1745</v>
      </c>
      <c r="I155" s="46"/>
      <c r="J155" s="46"/>
      <c r="K155" s="46"/>
      <c r="L155" s="46"/>
      <c r="AT155" t="str">
        <f t="shared" si="11"/>
        <v>10131PS004</v>
      </c>
      <c r="AU155" t="str">
        <f t="shared" si="12"/>
        <v>PS004</v>
      </c>
      <c r="AX155" t="s">
        <v>1745</v>
      </c>
    </row>
    <row r="156" spans="2:50" outlineLevel="1" x14ac:dyDescent="0.25">
      <c r="B156" s="46">
        <v>101010</v>
      </c>
      <c r="C156" s="46" t="s">
        <v>1559</v>
      </c>
      <c r="D156" s="46" t="s">
        <v>1560</v>
      </c>
      <c r="E156" s="46"/>
      <c r="F156" s="46" t="s">
        <v>1522</v>
      </c>
      <c r="G156" s="46" t="s">
        <v>332</v>
      </c>
      <c r="H156" s="46" t="s">
        <v>1745</v>
      </c>
      <c r="I156" s="46"/>
      <c r="J156" s="46"/>
      <c r="K156" s="46"/>
      <c r="L156" s="46"/>
      <c r="AT156" t="str">
        <f t="shared" si="11"/>
        <v>10101PS004</v>
      </c>
      <c r="AU156" t="str">
        <f t="shared" si="12"/>
        <v>PS004</v>
      </c>
      <c r="AX156" t="s">
        <v>1745</v>
      </c>
    </row>
    <row r="157" spans="2:50" outlineLevel="1" x14ac:dyDescent="0.25">
      <c r="B157" s="46">
        <v>102010</v>
      </c>
      <c r="C157" s="46" t="s">
        <v>1592</v>
      </c>
      <c r="D157" s="46" t="s">
        <v>1593</v>
      </c>
      <c r="E157" s="46"/>
      <c r="F157" s="46" t="s">
        <v>1522</v>
      </c>
      <c r="G157" s="46" t="s">
        <v>332</v>
      </c>
      <c r="H157" s="46" t="s">
        <v>1745</v>
      </c>
      <c r="I157" s="46"/>
      <c r="J157" s="46"/>
      <c r="K157" s="46"/>
      <c r="L157" s="46"/>
      <c r="AT157" t="str">
        <f t="shared" si="11"/>
        <v>10201PS004</v>
      </c>
      <c r="AU157" t="str">
        <f t="shared" si="12"/>
        <v>PS004</v>
      </c>
      <c r="AX157" t="s">
        <v>1745</v>
      </c>
    </row>
    <row r="158" spans="2:50" outlineLevel="1" x14ac:dyDescent="0.25">
      <c r="B158" s="46">
        <v>102020</v>
      </c>
      <c r="C158" s="46" t="s">
        <v>1624</v>
      </c>
      <c r="D158" s="46" t="s">
        <v>2708</v>
      </c>
      <c r="E158" s="46"/>
      <c r="F158" s="46" t="s">
        <v>1522</v>
      </c>
      <c r="G158" s="46" t="s">
        <v>332</v>
      </c>
      <c r="H158" s="46" t="s">
        <v>1745</v>
      </c>
      <c r="I158" s="46"/>
      <c r="J158" s="46"/>
      <c r="K158" s="46"/>
      <c r="L158" s="46"/>
      <c r="AT158" t="str">
        <f t="shared" si="11"/>
        <v>10202SU007</v>
      </c>
      <c r="AU158" t="str">
        <f t="shared" si="12"/>
        <v>SU007</v>
      </c>
      <c r="AX158" t="s">
        <v>1745</v>
      </c>
    </row>
    <row r="159" spans="2:50" outlineLevel="1" x14ac:dyDescent="0.25">
      <c r="B159" s="46">
        <v>102020</v>
      </c>
      <c r="C159" s="46" t="s">
        <v>2709</v>
      </c>
      <c r="D159" s="46" t="s">
        <v>2710</v>
      </c>
      <c r="E159" s="46"/>
      <c r="F159" s="46" t="s">
        <v>1522</v>
      </c>
      <c r="G159" s="46" t="s">
        <v>332</v>
      </c>
      <c r="H159" s="46" t="s">
        <v>2664</v>
      </c>
      <c r="I159" s="46"/>
      <c r="J159" s="46"/>
      <c r="K159" s="46"/>
      <c r="L159" s="46"/>
      <c r="AT159" t="str">
        <f t="shared" si="11"/>
        <v>10202SU017</v>
      </c>
      <c r="AU159" t="str">
        <f t="shared" si="12"/>
        <v>SU017</v>
      </c>
      <c r="AX159" t="s">
        <v>2664</v>
      </c>
    </row>
    <row r="160" spans="2:50" outlineLevel="1" x14ac:dyDescent="0.25">
      <c r="B160" s="46"/>
      <c r="C160" s="46"/>
      <c r="D160" s="46"/>
      <c r="E160" s="46"/>
      <c r="F160" s="46"/>
      <c r="G160" s="46"/>
      <c r="H160" s="46"/>
      <c r="I160" s="46"/>
      <c r="J160" s="46"/>
      <c r="K160" s="46"/>
      <c r="L160" s="46"/>
      <c r="AU160" t="str">
        <f t="shared" si="12"/>
        <v/>
      </c>
    </row>
    <row r="161" spans="2:12" outlineLevel="1" x14ac:dyDescent="0.25">
      <c r="B161" s="46"/>
      <c r="C161" s="46"/>
      <c r="D161" s="46"/>
      <c r="E161" s="46"/>
      <c r="F161" s="46"/>
      <c r="G161" s="46"/>
      <c r="H161" s="46"/>
      <c r="I161" s="46"/>
      <c r="J161" s="46"/>
      <c r="K161" s="46"/>
      <c r="L161" s="46"/>
    </row>
    <row r="162" spans="2:12" outlineLevel="1" x14ac:dyDescent="0.25"/>
    <row r="163" spans="2:12" outlineLevel="1" x14ac:dyDescent="0.25"/>
    <row r="164" spans="2:12" s="39" customFormat="1" ht="27.75" customHeight="1" x14ac:dyDescent="0.25">
      <c r="B164" s="38" t="s">
        <v>400</v>
      </c>
      <c r="E164" s="36"/>
    </row>
    <row r="166" spans="2:12" outlineLevel="1" x14ac:dyDescent="0.25">
      <c r="B166" s="66" t="s">
        <v>407</v>
      </c>
      <c r="C166" s="50" t="s">
        <v>589</v>
      </c>
    </row>
    <row r="167" spans="2:12" outlineLevel="1" x14ac:dyDescent="0.25">
      <c r="B167" s="81" t="s">
        <v>658</v>
      </c>
      <c r="C167" s="82" t="s">
        <v>1625</v>
      </c>
      <c r="D167">
        <f>COUNTIFS(GLLIST67[G/L account],B167)</f>
        <v>1</v>
      </c>
      <c r="F167" t="s">
        <v>1668</v>
      </c>
      <c r="G167" s="111" t="s">
        <v>658</v>
      </c>
    </row>
    <row r="168" spans="2:12" outlineLevel="1" x14ac:dyDescent="0.25">
      <c r="B168" s="81" t="s">
        <v>1626</v>
      </c>
      <c r="C168" s="82" t="s">
        <v>1627</v>
      </c>
      <c r="D168">
        <f>COUNTIFS(GLLIST67[G/L account],B168)</f>
        <v>1</v>
      </c>
      <c r="F168" t="s">
        <v>1668</v>
      </c>
      <c r="G168" s="111" t="s">
        <v>1626</v>
      </c>
    </row>
    <row r="169" spans="2:12" outlineLevel="1" x14ac:dyDescent="0.25">
      <c r="B169" s="81" t="s">
        <v>1628</v>
      </c>
      <c r="C169" s="82" t="s">
        <v>1629</v>
      </c>
      <c r="D169">
        <f>COUNTIFS(GLLIST67[G/L account],B169)</f>
        <v>1</v>
      </c>
      <c r="F169" t="s">
        <v>1668</v>
      </c>
      <c r="G169" s="111" t="s">
        <v>1628</v>
      </c>
    </row>
    <row r="170" spans="2:12" outlineLevel="1" x14ac:dyDescent="0.25">
      <c r="B170" s="81" t="s">
        <v>1630</v>
      </c>
      <c r="C170" s="82" t="s">
        <v>1631</v>
      </c>
      <c r="D170">
        <f>COUNTIFS(GLLIST67[G/L account],B170)</f>
        <v>1</v>
      </c>
      <c r="F170" t="s">
        <v>1668</v>
      </c>
      <c r="G170" s="111" t="s">
        <v>1630</v>
      </c>
    </row>
    <row r="171" spans="2:12" outlineLevel="1" x14ac:dyDescent="0.25">
      <c r="B171" s="81" t="s">
        <v>1632</v>
      </c>
      <c r="C171" s="82" t="s">
        <v>1633</v>
      </c>
      <c r="D171">
        <f>COUNTIFS(GLLIST67[G/L account],B171)</f>
        <v>1</v>
      </c>
      <c r="F171" t="s">
        <v>1668</v>
      </c>
      <c r="G171" s="111" t="s">
        <v>1632</v>
      </c>
    </row>
    <row r="172" spans="2:12" outlineLevel="1" x14ac:dyDescent="0.25">
      <c r="B172" s="81" t="s">
        <v>1634</v>
      </c>
      <c r="C172" s="82" t="s">
        <v>1635</v>
      </c>
      <c r="D172">
        <f>COUNTIFS(GLLIST67[G/L account],B172)</f>
        <v>1</v>
      </c>
      <c r="F172" t="s">
        <v>1668</v>
      </c>
      <c r="G172" s="111" t="s">
        <v>1634</v>
      </c>
    </row>
    <row r="173" spans="2:12" outlineLevel="1" x14ac:dyDescent="0.25">
      <c r="B173" s="81" t="s">
        <v>1636</v>
      </c>
      <c r="C173" s="82" t="s">
        <v>1637</v>
      </c>
      <c r="D173">
        <f>COUNTIFS(GLLIST67[G/L account],B173)</f>
        <v>1</v>
      </c>
      <c r="F173" t="s">
        <v>1668</v>
      </c>
      <c r="G173" s="111" t="s">
        <v>1636</v>
      </c>
    </row>
    <row r="174" spans="2:12" outlineLevel="1" x14ac:dyDescent="0.25">
      <c r="B174" s="81" t="s">
        <v>1638</v>
      </c>
      <c r="C174" s="82" t="s">
        <v>1639</v>
      </c>
      <c r="D174">
        <f>COUNTIFS(GLLIST67[G/L account],B174)</f>
        <v>1</v>
      </c>
      <c r="F174" t="s">
        <v>1668</v>
      </c>
      <c r="G174" s="111" t="s">
        <v>1638</v>
      </c>
    </row>
    <row r="175" spans="2:12" outlineLevel="1" x14ac:dyDescent="0.25">
      <c r="B175" s="81" t="s">
        <v>1640</v>
      </c>
      <c r="C175" s="82" t="s">
        <v>1641</v>
      </c>
      <c r="D175">
        <f>COUNTIFS(GLLIST67[G/L account],B175)</f>
        <v>1</v>
      </c>
      <c r="F175" t="s">
        <v>1668</v>
      </c>
      <c r="G175" s="111" t="s">
        <v>1640</v>
      </c>
    </row>
    <row r="176" spans="2:12" outlineLevel="1" x14ac:dyDescent="0.25">
      <c r="B176" s="81" t="s">
        <v>1642</v>
      </c>
      <c r="C176" s="82" t="s">
        <v>1643</v>
      </c>
      <c r="D176">
        <f>COUNTIFS(GLLIST67[G/L account],B176)</f>
        <v>1</v>
      </c>
      <c r="F176" t="s">
        <v>1668</v>
      </c>
      <c r="G176" s="111" t="s">
        <v>1642</v>
      </c>
    </row>
    <row r="177" spans="2:7" outlineLevel="1" x14ac:dyDescent="0.25">
      <c r="B177" s="81" t="s">
        <v>668</v>
      </c>
      <c r="C177" s="82" t="s">
        <v>1644</v>
      </c>
      <c r="D177">
        <f>COUNTIFS(GLLIST67[G/L account],B177)</f>
        <v>1</v>
      </c>
      <c r="F177" t="s">
        <v>1668</v>
      </c>
      <c r="G177" s="111" t="s">
        <v>668</v>
      </c>
    </row>
    <row r="178" spans="2:7" outlineLevel="1" x14ac:dyDescent="0.25">
      <c r="B178" s="83">
        <v>15000250</v>
      </c>
      <c r="C178" s="82" t="s">
        <v>1645</v>
      </c>
      <c r="D178">
        <f>COUNTIFS(GLLIST67[G/L account],B178)</f>
        <v>1</v>
      </c>
      <c r="F178" t="s">
        <v>1668</v>
      </c>
      <c r="G178" s="111">
        <v>15000250</v>
      </c>
    </row>
    <row r="179" spans="2:7" outlineLevel="1" x14ac:dyDescent="0.25">
      <c r="B179" s="81" t="s">
        <v>1646</v>
      </c>
      <c r="C179" s="82" t="s">
        <v>1647</v>
      </c>
      <c r="D179">
        <f>COUNTIFS(GLLIST67[G/L account],B179)</f>
        <v>1</v>
      </c>
      <c r="F179" t="s">
        <v>345</v>
      </c>
      <c r="G179" s="111" t="s">
        <v>1646</v>
      </c>
    </row>
    <row r="180" spans="2:7" outlineLevel="1" x14ac:dyDescent="0.25">
      <c r="B180" s="81" t="s">
        <v>1648</v>
      </c>
      <c r="C180" s="82" t="s">
        <v>1649</v>
      </c>
      <c r="D180">
        <f>COUNTIFS(GLLIST67[G/L account],B180)</f>
        <v>1</v>
      </c>
      <c r="F180" t="s">
        <v>345</v>
      </c>
      <c r="G180" s="111" t="s">
        <v>1648</v>
      </c>
    </row>
    <row r="181" spans="2:7" outlineLevel="1" x14ac:dyDescent="0.25">
      <c r="B181" s="81" t="s">
        <v>1650</v>
      </c>
      <c r="C181" s="82" t="s">
        <v>1651</v>
      </c>
      <c r="D181">
        <f>COUNTIFS(GLLIST67[G/L account],B181)</f>
        <v>1</v>
      </c>
      <c r="F181" t="s">
        <v>345</v>
      </c>
      <c r="G181" s="111" t="s">
        <v>1650</v>
      </c>
    </row>
    <row r="182" spans="2:7" outlineLevel="1" x14ac:dyDescent="0.25">
      <c r="B182" s="81" t="s">
        <v>1652</v>
      </c>
      <c r="C182" s="82" t="s">
        <v>1653</v>
      </c>
      <c r="D182">
        <f>COUNTIFS(GLLIST67[G/L account],B182)</f>
        <v>1</v>
      </c>
      <c r="F182" t="s">
        <v>345</v>
      </c>
      <c r="G182" s="111" t="s">
        <v>1652</v>
      </c>
    </row>
    <row r="183" spans="2:7" outlineLevel="1" x14ac:dyDescent="0.25">
      <c r="B183" s="81" t="s">
        <v>1654</v>
      </c>
      <c r="C183" s="82" t="s">
        <v>1655</v>
      </c>
      <c r="D183">
        <f>COUNTIFS(GLLIST67[G/L account],B183)</f>
        <v>1</v>
      </c>
      <c r="F183" t="s">
        <v>345</v>
      </c>
      <c r="G183" s="111" t="s">
        <v>1654</v>
      </c>
    </row>
    <row r="184" spans="2:7" outlineLevel="1" x14ac:dyDescent="0.25">
      <c r="B184" s="81"/>
      <c r="C184" s="82"/>
      <c r="D184">
        <f>COUNTIFS(GLLIST67[G/L account],B184)</f>
        <v>0</v>
      </c>
    </row>
    <row r="185" spans="2:7" outlineLevel="1" x14ac:dyDescent="0.25">
      <c r="B185" s="65" t="s">
        <v>408</v>
      </c>
      <c r="C185" s="51" t="s">
        <v>73</v>
      </c>
      <c r="D185">
        <f>COUNTIFS(GLLIST67[G/L account],B185)</f>
        <v>1</v>
      </c>
    </row>
    <row r="186" spans="2:7" outlineLevel="1" x14ac:dyDescent="0.25">
      <c r="B186" s="65" t="s">
        <v>409</v>
      </c>
      <c r="C186" s="51" t="s">
        <v>75</v>
      </c>
      <c r="D186">
        <f>COUNTIFS(GLLIST67[G/L account],B186)</f>
        <v>1</v>
      </c>
    </row>
    <row r="187" spans="2:7" outlineLevel="1" x14ac:dyDescent="0.25">
      <c r="B187" s="65" t="s">
        <v>410</v>
      </c>
      <c r="C187" s="51" t="s">
        <v>77</v>
      </c>
      <c r="D187">
        <f>COUNTIFS(GLLIST67[G/L account],B187)</f>
        <v>1</v>
      </c>
    </row>
    <row r="188" spans="2:7" outlineLevel="1" x14ac:dyDescent="0.25">
      <c r="B188" s="65" t="s">
        <v>411</v>
      </c>
      <c r="C188" s="51" t="s">
        <v>79</v>
      </c>
      <c r="D188">
        <f>COUNTIFS(GLLIST67[G/L account],B188)</f>
        <v>1</v>
      </c>
    </row>
    <row r="189" spans="2:7" outlineLevel="1" x14ac:dyDescent="0.25">
      <c r="B189" s="65" t="s">
        <v>412</v>
      </c>
      <c r="C189" s="51" t="s">
        <v>81</v>
      </c>
      <c r="D189">
        <f>COUNTIFS(GLLIST67[G/L account],B189)</f>
        <v>1</v>
      </c>
    </row>
    <row r="190" spans="2:7" outlineLevel="1" x14ac:dyDescent="0.25">
      <c r="B190" s="65" t="s">
        <v>413</v>
      </c>
      <c r="C190" s="51" t="s">
        <v>83</v>
      </c>
      <c r="D190">
        <f>COUNTIFS(GLLIST67[G/L account],B190)</f>
        <v>1</v>
      </c>
    </row>
    <row r="191" spans="2:7" outlineLevel="1" x14ac:dyDescent="0.25">
      <c r="B191" s="65" t="s">
        <v>414</v>
      </c>
      <c r="C191" s="51" t="s">
        <v>85</v>
      </c>
      <c r="D191">
        <f>COUNTIFS(GLLIST67[G/L account],B191)</f>
        <v>1</v>
      </c>
    </row>
    <row r="192" spans="2:7" outlineLevel="1" x14ac:dyDescent="0.25">
      <c r="B192" s="65" t="s">
        <v>415</v>
      </c>
      <c r="C192" s="51" t="s">
        <v>87</v>
      </c>
      <c r="D192">
        <f>COUNTIFS(GLLIST67[G/L account],B192)</f>
        <v>1</v>
      </c>
    </row>
    <row r="193" spans="2:4" outlineLevel="1" x14ac:dyDescent="0.25">
      <c r="B193" s="65" t="s">
        <v>416</v>
      </c>
      <c r="C193" s="51" t="s">
        <v>89</v>
      </c>
      <c r="D193">
        <f>COUNTIFS(GLLIST67[G/L account],B193)</f>
        <v>1</v>
      </c>
    </row>
    <row r="194" spans="2:4" outlineLevel="1" x14ac:dyDescent="0.25">
      <c r="B194" s="65" t="s">
        <v>417</v>
      </c>
      <c r="C194" s="51" t="s">
        <v>91</v>
      </c>
      <c r="D194">
        <f>COUNTIFS(GLLIST67[G/L account],B194)</f>
        <v>1</v>
      </c>
    </row>
    <row r="195" spans="2:4" outlineLevel="1" x14ac:dyDescent="0.25">
      <c r="B195" s="65" t="s">
        <v>418</v>
      </c>
      <c r="C195" s="51" t="s">
        <v>93</v>
      </c>
      <c r="D195">
        <f>COUNTIFS(GLLIST67[G/L account],B195)</f>
        <v>1</v>
      </c>
    </row>
    <row r="196" spans="2:4" outlineLevel="1" x14ac:dyDescent="0.25">
      <c r="B196" s="65" t="s">
        <v>419</v>
      </c>
      <c r="C196" s="51" t="s">
        <v>95</v>
      </c>
      <c r="D196">
        <f>COUNTIFS(GLLIST67[G/L account],B196)</f>
        <v>1</v>
      </c>
    </row>
    <row r="197" spans="2:4" outlineLevel="1" x14ac:dyDescent="0.25">
      <c r="B197" s="65" t="s">
        <v>420</v>
      </c>
      <c r="C197" s="51" t="s">
        <v>97</v>
      </c>
      <c r="D197">
        <f>COUNTIFS(GLLIST67[G/L account],B197)</f>
        <v>1</v>
      </c>
    </row>
    <row r="198" spans="2:4" outlineLevel="1" x14ac:dyDescent="0.25">
      <c r="B198" s="65" t="s">
        <v>421</v>
      </c>
      <c r="C198" s="51" t="s">
        <v>100</v>
      </c>
      <c r="D198">
        <f>COUNTIFS(GLLIST67[G/L account],B198)</f>
        <v>1</v>
      </c>
    </row>
    <row r="199" spans="2:4" outlineLevel="1" x14ac:dyDescent="0.25">
      <c r="B199" s="65" t="s">
        <v>422</v>
      </c>
      <c r="C199" s="51" t="s">
        <v>102</v>
      </c>
      <c r="D199">
        <f>COUNTIFS(GLLIST67[G/L account],B199)</f>
        <v>1</v>
      </c>
    </row>
    <row r="200" spans="2:4" outlineLevel="1" x14ac:dyDescent="0.25">
      <c r="B200" s="65" t="s">
        <v>423</v>
      </c>
      <c r="C200" s="51" t="s">
        <v>104</v>
      </c>
      <c r="D200">
        <f>COUNTIFS(GLLIST67[G/L account],B200)</f>
        <v>1</v>
      </c>
    </row>
    <row r="201" spans="2:4" outlineLevel="1" x14ac:dyDescent="0.25">
      <c r="B201" s="65" t="s">
        <v>424</v>
      </c>
      <c r="C201" s="51" t="s">
        <v>107</v>
      </c>
      <c r="D201">
        <f>COUNTIFS(GLLIST67[G/L account],B201)</f>
        <v>1</v>
      </c>
    </row>
    <row r="202" spans="2:4" outlineLevel="1" x14ac:dyDescent="0.25">
      <c r="B202" s="65" t="s">
        <v>425</v>
      </c>
      <c r="C202" s="51" t="s">
        <v>109</v>
      </c>
      <c r="D202">
        <f>COUNTIFS(GLLIST67[G/L account],B202)</f>
        <v>1</v>
      </c>
    </row>
    <row r="203" spans="2:4" outlineLevel="1" x14ac:dyDescent="0.25">
      <c r="B203" s="65" t="s">
        <v>426</v>
      </c>
      <c r="C203" s="51" t="s">
        <v>111</v>
      </c>
      <c r="D203">
        <f>COUNTIFS(GLLIST67[G/L account],B203)</f>
        <v>1</v>
      </c>
    </row>
    <row r="204" spans="2:4" outlineLevel="1" x14ac:dyDescent="0.25">
      <c r="B204" s="67" t="s">
        <v>427</v>
      </c>
      <c r="C204" s="68" t="s">
        <v>535</v>
      </c>
      <c r="D204">
        <f>COUNTIFS(GLLIST67[G/L account],B204)</f>
        <v>1</v>
      </c>
    </row>
    <row r="205" spans="2:4" outlineLevel="1" x14ac:dyDescent="0.25">
      <c r="B205" s="67" t="s">
        <v>428</v>
      </c>
      <c r="C205" s="68" t="s">
        <v>536</v>
      </c>
      <c r="D205">
        <f>COUNTIFS(GLLIST67[G/L account],B205)</f>
        <v>1</v>
      </c>
    </row>
    <row r="206" spans="2:4" outlineLevel="1" x14ac:dyDescent="0.25">
      <c r="B206" s="67" t="s">
        <v>429</v>
      </c>
      <c r="C206" s="68" t="s">
        <v>537</v>
      </c>
      <c r="D206">
        <f>COUNTIFS(GLLIST67[G/L account],B206)</f>
        <v>1</v>
      </c>
    </row>
    <row r="207" spans="2:4" outlineLevel="1" x14ac:dyDescent="0.25">
      <c r="B207" s="67" t="s">
        <v>430</v>
      </c>
      <c r="C207" s="68" t="s">
        <v>538</v>
      </c>
      <c r="D207">
        <f>COUNTIFS(GLLIST67[G/L account],B207)</f>
        <v>1</v>
      </c>
    </row>
    <row r="208" spans="2:4" outlineLevel="1" x14ac:dyDescent="0.25">
      <c r="B208" s="65" t="s">
        <v>431</v>
      </c>
      <c r="C208" s="51" t="s">
        <v>113</v>
      </c>
      <c r="D208">
        <f>COUNTIFS(GLLIST67[G/L account],B208)</f>
        <v>1</v>
      </c>
    </row>
    <row r="209" spans="2:4" outlineLevel="1" x14ac:dyDescent="0.25">
      <c r="B209" s="65" t="s">
        <v>432</v>
      </c>
      <c r="C209" s="51" t="s">
        <v>115</v>
      </c>
      <c r="D209">
        <f>COUNTIFS(GLLIST67[G/L account],B209)</f>
        <v>1</v>
      </c>
    </row>
    <row r="210" spans="2:4" outlineLevel="1" x14ac:dyDescent="0.25">
      <c r="B210" s="65" t="s">
        <v>433</v>
      </c>
      <c r="C210" s="51" t="s">
        <v>117</v>
      </c>
      <c r="D210">
        <f>COUNTIFS(GLLIST67[G/L account],B210)</f>
        <v>1</v>
      </c>
    </row>
    <row r="211" spans="2:4" outlineLevel="1" x14ac:dyDescent="0.25">
      <c r="B211" s="65" t="s">
        <v>434</v>
      </c>
      <c r="C211" s="51" t="s">
        <v>119</v>
      </c>
      <c r="D211">
        <f>COUNTIFS(GLLIST67[G/L account],B211)</f>
        <v>1</v>
      </c>
    </row>
    <row r="212" spans="2:4" outlineLevel="1" x14ac:dyDescent="0.25">
      <c r="B212" s="65" t="s">
        <v>435</v>
      </c>
      <c r="C212" s="51" t="s">
        <v>122</v>
      </c>
      <c r="D212">
        <f>COUNTIFS(GLLIST67[G/L account],B212)</f>
        <v>1</v>
      </c>
    </row>
    <row r="213" spans="2:4" outlineLevel="1" x14ac:dyDescent="0.25">
      <c r="B213" s="65" t="s">
        <v>436</v>
      </c>
      <c r="C213" s="51" t="s">
        <v>124</v>
      </c>
      <c r="D213">
        <f>COUNTIFS(GLLIST67[G/L account],B213)</f>
        <v>1</v>
      </c>
    </row>
    <row r="214" spans="2:4" outlineLevel="1" x14ac:dyDescent="0.25">
      <c r="B214" s="65" t="s">
        <v>437</v>
      </c>
      <c r="C214" s="51" t="s">
        <v>126</v>
      </c>
      <c r="D214">
        <f>COUNTIFS(GLLIST67[G/L account],B214)</f>
        <v>1</v>
      </c>
    </row>
    <row r="215" spans="2:4" outlineLevel="1" x14ac:dyDescent="0.25">
      <c r="B215" s="65" t="s">
        <v>438</v>
      </c>
      <c r="C215" s="51" t="s">
        <v>128</v>
      </c>
      <c r="D215">
        <f>COUNTIFS(GLLIST67[G/L account],B215)</f>
        <v>1</v>
      </c>
    </row>
    <row r="216" spans="2:4" outlineLevel="1" x14ac:dyDescent="0.25">
      <c r="B216" s="65" t="s">
        <v>439</v>
      </c>
      <c r="C216" s="51" t="s">
        <v>131</v>
      </c>
      <c r="D216">
        <f>COUNTIFS(GLLIST67[G/L account],B216)</f>
        <v>1</v>
      </c>
    </row>
    <row r="217" spans="2:4" outlineLevel="1" x14ac:dyDescent="0.25">
      <c r="B217" s="69" t="s">
        <v>440</v>
      </c>
      <c r="C217" s="70" t="s">
        <v>133</v>
      </c>
      <c r="D217">
        <f>COUNTIFS(GLLIST67[G/L account],B217)</f>
        <v>1</v>
      </c>
    </row>
    <row r="218" spans="2:4" outlineLevel="1" x14ac:dyDescent="0.25">
      <c r="B218" s="69" t="s">
        <v>441</v>
      </c>
      <c r="C218" s="70" t="s">
        <v>539</v>
      </c>
      <c r="D218">
        <f>COUNTIFS(GLLIST67[G/L account],B218)</f>
        <v>1</v>
      </c>
    </row>
    <row r="219" spans="2:4" outlineLevel="1" x14ac:dyDescent="0.25">
      <c r="B219" s="69" t="s">
        <v>442</v>
      </c>
      <c r="C219" s="70" t="s">
        <v>540</v>
      </c>
      <c r="D219">
        <f>COUNTIFS(GLLIST67[G/L account],B219)</f>
        <v>1</v>
      </c>
    </row>
    <row r="220" spans="2:4" outlineLevel="1" x14ac:dyDescent="0.25">
      <c r="B220" s="69" t="s">
        <v>443</v>
      </c>
      <c r="C220" s="70" t="s">
        <v>541</v>
      </c>
      <c r="D220">
        <f>COUNTIFS(GLLIST67[G/L account],B220)</f>
        <v>1</v>
      </c>
    </row>
    <row r="221" spans="2:4" outlineLevel="1" x14ac:dyDescent="0.25">
      <c r="B221" s="69" t="s">
        <v>444</v>
      </c>
      <c r="C221" s="70" t="s">
        <v>542</v>
      </c>
      <c r="D221">
        <f>COUNTIFS(GLLIST67[G/L account],B221)</f>
        <v>1</v>
      </c>
    </row>
    <row r="222" spans="2:4" outlineLevel="1" x14ac:dyDescent="0.25">
      <c r="B222" s="69" t="s">
        <v>445</v>
      </c>
      <c r="C222" s="70" t="s">
        <v>543</v>
      </c>
      <c r="D222">
        <f>COUNTIFS(GLLIST67[G/L account],B222)</f>
        <v>1</v>
      </c>
    </row>
    <row r="223" spans="2:4" outlineLevel="1" x14ac:dyDescent="0.25">
      <c r="B223" s="69" t="s">
        <v>446</v>
      </c>
      <c r="C223" s="70" t="s">
        <v>544</v>
      </c>
      <c r="D223">
        <f>COUNTIFS(GLLIST67[G/L account],B223)</f>
        <v>1</v>
      </c>
    </row>
    <row r="224" spans="2:4" outlineLevel="1" x14ac:dyDescent="0.25">
      <c r="B224" s="69" t="s">
        <v>447</v>
      </c>
      <c r="C224" s="70" t="s">
        <v>545</v>
      </c>
      <c r="D224">
        <f>COUNTIFS(GLLIST67[G/L account],B224)</f>
        <v>1</v>
      </c>
    </row>
    <row r="225" spans="2:4" outlineLevel="1" x14ac:dyDescent="0.25">
      <c r="B225" s="69" t="s">
        <v>448</v>
      </c>
      <c r="C225" s="70" t="s">
        <v>546</v>
      </c>
      <c r="D225">
        <f>COUNTIFS(GLLIST67[G/L account],B225)</f>
        <v>1</v>
      </c>
    </row>
    <row r="226" spans="2:4" outlineLevel="1" x14ac:dyDescent="0.25">
      <c r="B226" s="69" t="s">
        <v>449</v>
      </c>
      <c r="C226" s="70" t="s">
        <v>547</v>
      </c>
      <c r="D226">
        <f>COUNTIFS(GLLIST67[G/L account],B226)</f>
        <v>1</v>
      </c>
    </row>
    <row r="227" spans="2:4" outlineLevel="1" x14ac:dyDescent="0.25">
      <c r="B227" s="69" t="s">
        <v>450</v>
      </c>
      <c r="C227" s="70" t="s">
        <v>548</v>
      </c>
      <c r="D227">
        <f>COUNTIFS(GLLIST67[G/L account],B227)</f>
        <v>1</v>
      </c>
    </row>
    <row r="228" spans="2:4" outlineLevel="1" x14ac:dyDescent="0.25">
      <c r="B228" s="69" t="s">
        <v>451</v>
      </c>
      <c r="C228" s="70" t="s">
        <v>549</v>
      </c>
      <c r="D228">
        <f>COUNTIFS(GLLIST67[G/L account],B228)</f>
        <v>1</v>
      </c>
    </row>
    <row r="229" spans="2:4" outlineLevel="1" x14ac:dyDescent="0.25">
      <c r="B229" s="69" t="s">
        <v>452</v>
      </c>
      <c r="C229" s="70" t="s">
        <v>550</v>
      </c>
      <c r="D229">
        <f>COUNTIFS(GLLIST67[G/L account],B229)</f>
        <v>1</v>
      </c>
    </row>
    <row r="230" spans="2:4" outlineLevel="1" x14ac:dyDescent="0.25">
      <c r="B230" s="69" t="s">
        <v>453</v>
      </c>
      <c r="C230" s="70" t="s">
        <v>551</v>
      </c>
      <c r="D230">
        <f>COUNTIFS(GLLIST67[G/L account],B230)</f>
        <v>1</v>
      </c>
    </row>
    <row r="231" spans="2:4" outlineLevel="1" x14ac:dyDescent="0.25">
      <c r="B231" s="69" t="s">
        <v>454</v>
      </c>
      <c r="C231" s="70" t="s">
        <v>552</v>
      </c>
      <c r="D231">
        <f>COUNTIFS(GLLIST67[G/L account],B231)</f>
        <v>1</v>
      </c>
    </row>
    <row r="232" spans="2:4" outlineLevel="1" x14ac:dyDescent="0.25">
      <c r="B232" s="69" t="s">
        <v>455</v>
      </c>
      <c r="C232" s="70" t="s">
        <v>553</v>
      </c>
      <c r="D232">
        <f>COUNTIFS(GLLIST67[G/L account],B232)</f>
        <v>1</v>
      </c>
    </row>
    <row r="233" spans="2:4" outlineLevel="1" x14ac:dyDescent="0.25">
      <c r="B233" s="67" t="s">
        <v>456</v>
      </c>
      <c r="C233" s="68" t="s">
        <v>554</v>
      </c>
      <c r="D233">
        <f>COUNTIFS(GLLIST67[G/L account],B233)</f>
        <v>1</v>
      </c>
    </row>
    <row r="234" spans="2:4" outlineLevel="1" x14ac:dyDescent="0.25">
      <c r="B234" s="67" t="s">
        <v>457</v>
      </c>
      <c r="C234" s="68" t="s">
        <v>555</v>
      </c>
      <c r="D234">
        <f>COUNTIFS(GLLIST67[G/L account],B234)</f>
        <v>1</v>
      </c>
    </row>
    <row r="235" spans="2:4" outlineLevel="1" x14ac:dyDescent="0.25">
      <c r="B235" s="67" t="s">
        <v>458</v>
      </c>
      <c r="C235" s="68" t="s">
        <v>556</v>
      </c>
      <c r="D235">
        <f>COUNTIFS(GLLIST67[G/L account],B235)</f>
        <v>1</v>
      </c>
    </row>
    <row r="236" spans="2:4" outlineLevel="1" x14ac:dyDescent="0.25">
      <c r="B236" s="67" t="s">
        <v>459</v>
      </c>
      <c r="C236" s="68" t="s">
        <v>557</v>
      </c>
      <c r="D236">
        <f>COUNTIFS(GLLIST67[G/L account],B236)</f>
        <v>1</v>
      </c>
    </row>
    <row r="237" spans="2:4" outlineLevel="1" x14ac:dyDescent="0.25">
      <c r="B237" s="67" t="s">
        <v>460</v>
      </c>
      <c r="C237" s="68" t="s">
        <v>558</v>
      </c>
      <c r="D237">
        <f>COUNTIFS(GLLIST67[G/L account],B237)</f>
        <v>1</v>
      </c>
    </row>
    <row r="238" spans="2:4" outlineLevel="1" x14ac:dyDescent="0.25">
      <c r="B238" s="67" t="s">
        <v>461</v>
      </c>
      <c r="C238" s="68" t="s">
        <v>559</v>
      </c>
      <c r="D238">
        <f>COUNTIFS(GLLIST67[G/L account],B238)</f>
        <v>1</v>
      </c>
    </row>
    <row r="239" spans="2:4" outlineLevel="1" x14ac:dyDescent="0.25">
      <c r="B239" s="67" t="s">
        <v>462</v>
      </c>
      <c r="C239" s="68" t="s">
        <v>560</v>
      </c>
      <c r="D239">
        <f>COUNTIFS(GLLIST67[G/L account],B239)</f>
        <v>1</v>
      </c>
    </row>
    <row r="240" spans="2:4" outlineLevel="1" x14ac:dyDescent="0.25">
      <c r="B240" s="67" t="s">
        <v>463</v>
      </c>
      <c r="C240" s="68" t="s">
        <v>561</v>
      </c>
      <c r="D240">
        <f>COUNTIFS(GLLIST67[G/L account],B240)</f>
        <v>1</v>
      </c>
    </row>
    <row r="241" spans="2:5" outlineLevel="1" x14ac:dyDescent="0.25">
      <c r="B241" s="67" t="s">
        <v>464</v>
      </c>
      <c r="C241" s="68" t="s">
        <v>562</v>
      </c>
      <c r="D241">
        <f>COUNTIFS(GLLIST67[G/L account],B241)</f>
        <v>1</v>
      </c>
    </row>
    <row r="242" spans="2:5" outlineLevel="1" x14ac:dyDescent="0.25">
      <c r="B242" s="67" t="s">
        <v>465</v>
      </c>
      <c r="C242" s="68" t="s">
        <v>563</v>
      </c>
      <c r="D242">
        <f>COUNTIFS(GLLIST67[G/L account],B242)</f>
        <v>1</v>
      </c>
    </row>
    <row r="243" spans="2:5" outlineLevel="1" x14ac:dyDescent="0.25">
      <c r="B243" s="67" t="s">
        <v>466</v>
      </c>
      <c r="C243" s="68" t="s">
        <v>564</v>
      </c>
      <c r="D243">
        <f>COUNTIFS(GLLIST67[G/L account],B243)</f>
        <v>1</v>
      </c>
      <c r="E243" t="s">
        <v>1477</v>
      </c>
    </row>
    <row r="244" spans="2:5" outlineLevel="1" x14ac:dyDescent="0.25">
      <c r="B244" s="67" t="s">
        <v>467</v>
      </c>
      <c r="C244" s="68" t="s">
        <v>565</v>
      </c>
      <c r="D244">
        <f>COUNTIFS(GLLIST67[G/L account],B244)</f>
        <v>1</v>
      </c>
    </row>
    <row r="245" spans="2:5" outlineLevel="1" x14ac:dyDescent="0.25">
      <c r="B245" s="67" t="s">
        <v>468</v>
      </c>
      <c r="C245" s="68" t="s">
        <v>566</v>
      </c>
      <c r="D245">
        <f>COUNTIFS(GLLIST67[G/L account],B245)</f>
        <v>1</v>
      </c>
    </row>
    <row r="246" spans="2:5" outlineLevel="1" x14ac:dyDescent="0.25">
      <c r="B246" s="67" t="s">
        <v>469</v>
      </c>
      <c r="C246" s="68" t="s">
        <v>567</v>
      </c>
      <c r="D246">
        <f>COUNTIFS(GLLIST67[G/L account],B246)</f>
        <v>1</v>
      </c>
      <c r="E246" t="s">
        <v>1477</v>
      </c>
    </row>
    <row r="247" spans="2:5" outlineLevel="1" x14ac:dyDescent="0.25">
      <c r="B247" s="67" t="s">
        <v>470</v>
      </c>
      <c r="C247" s="68" t="s">
        <v>568</v>
      </c>
      <c r="D247">
        <f>COUNTIFS(GLLIST67[G/L account],B247)</f>
        <v>1</v>
      </c>
      <c r="E247" t="s">
        <v>1477</v>
      </c>
    </row>
    <row r="248" spans="2:5" outlineLevel="1" x14ac:dyDescent="0.25">
      <c r="B248" s="67" t="s">
        <v>471</v>
      </c>
      <c r="C248" s="68" t="s">
        <v>569</v>
      </c>
      <c r="D248">
        <f>COUNTIFS(GLLIST67[G/L account],B248)</f>
        <v>1</v>
      </c>
      <c r="E248" t="s">
        <v>1477</v>
      </c>
    </row>
    <row r="249" spans="2:5" outlineLevel="1" x14ac:dyDescent="0.25">
      <c r="B249" s="67" t="s">
        <v>472</v>
      </c>
      <c r="C249" s="68" t="s">
        <v>570</v>
      </c>
      <c r="D249">
        <f>COUNTIFS(GLLIST67[G/L account],B249)</f>
        <v>1</v>
      </c>
    </row>
    <row r="250" spans="2:5" outlineLevel="1" x14ac:dyDescent="0.25">
      <c r="B250" s="67" t="s">
        <v>473</v>
      </c>
      <c r="C250" s="68" t="s">
        <v>571</v>
      </c>
      <c r="D250">
        <f>COUNTIFS(GLLIST67[G/L account],B250)</f>
        <v>1</v>
      </c>
    </row>
    <row r="251" spans="2:5" outlineLevel="1" x14ac:dyDescent="0.25">
      <c r="B251" s="67" t="s">
        <v>474</v>
      </c>
      <c r="C251" s="68" t="s">
        <v>572</v>
      </c>
      <c r="D251">
        <f>COUNTIFS(GLLIST67[G/L account],B251)</f>
        <v>1</v>
      </c>
      <c r="E251" t="s">
        <v>1477</v>
      </c>
    </row>
    <row r="252" spans="2:5" outlineLevel="1" x14ac:dyDescent="0.25">
      <c r="B252" s="65" t="s">
        <v>475</v>
      </c>
      <c r="C252" s="51" t="s">
        <v>135</v>
      </c>
      <c r="D252">
        <f>COUNTIFS(GLLIST67[G/L account],B252)</f>
        <v>1</v>
      </c>
    </row>
    <row r="253" spans="2:5" outlineLevel="1" x14ac:dyDescent="0.25">
      <c r="B253" s="65" t="s">
        <v>476</v>
      </c>
      <c r="C253" s="51" t="s">
        <v>573</v>
      </c>
      <c r="D253">
        <f>COUNTIFS(GLLIST67[G/L account],B253)</f>
        <v>1</v>
      </c>
    </row>
    <row r="254" spans="2:5" outlineLevel="1" x14ac:dyDescent="0.25">
      <c r="B254" s="65" t="s">
        <v>477</v>
      </c>
      <c r="C254" s="51" t="s">
        <v>574</v>
      </c>
      <c r="D254">
        <f>COUNTIFS(GLLIST67[G/L account],B254)</f>
        <v>1</v>
      </c>
    </row>
    <row r="255" spans="2:5" outlineLevel="1" x14ac:dyDescent="0.25">
      <c r="B255" s="65" t="s">
        <v>478</v>
      </c>
      <c r="C255" s="51" t="s">
        <v>141</v>
      </c>
      <c r="D255">
        <f>COUNTIFS(GLLIST67[G/L account],B255)</f>
        <v>1</v>
      </c>
    </row>
    <row r="256" spans="2:5" outlineLevel="1" x14ac:dyDescent="0.25">
      <c r="B256" s="65" t="s">
        <v>479</v>
      </c>
      <c r="C256" s="51" t="s">
        <v>143</v>
      </c>
      <c r="D256">
        <f>COUNTIFS(GLLIST67[G/L account],B256)</f>
        <v>1</v>
      </c>
    </row>
    <row r="257" spans="2:4" outlineLevel="1" x14ac:dyDescent="0.25">
      <c r="B257" s="65" t="s">
        <v>480</v>
      </c>
      <c r="C257" s="51" t="s">
        <v>145</v>
      </c>
      <c r="D257">
        <f>COUNTIFS(GLLIST67[G/L account],B257)</f>
        <v>1</v>
      </c>
    </row>
    <row r="258" spans="2:4" outlineLevel="1" x14ac:dyDescent="0.25">
      <c r="B258" s="65" t="s">
        <v>481</v>
      </c>
      <c r="C258" s="51" t="s">
        <v>147</v>
      </c>
      <c r="D258">
        <f>COUNTIFS(GLLIST67[G/L account],B258)</f>
        <v>1</v>
      </c>
    </row>
    <row r="259" spans="2:4" outlineLevel="1" x14ac:dyDescent="0.25">
      <c r="B259" s="65" t="s">
        <v>482</v>
      </c>
      <c r="C259" s="51" t="s">
        <v>148</v>
      </c>
      <c r="D259">
        <f>COUNTIFS(GLLIST67[G/L account],B259)</f>
        <v>1</v>
      </c>
    </row>
    <row r="260" spans="2:4" outlineLevel="1" x14ac:dyDescent="0.25">
      <c r="B260" s="65" t="s">
        <v>483</v>
      </c>
      <c r="C260" s="51" t="s">
        <v>150</v>
      </c>
      <c r="D260">
        <f>COUNTIFS(GLLIST67[G/L account],B260)</f>
        <v>1</v>
      </c>
    </row>
    <row r="261" spans="2:4" outlineLevel="1" x14ac:dyDescent="0.25">
      <c r="B261" s="65" t="s">
        <v>484</v>
      </c>
      <c r="C261" s="51" t="s">
        <v>151</v>
      </c>
      <c r="D261">
        <f>COUNTIFS(GLLIST67[G/L account],B261)</f>
        <v>1</v>
      </c>
    </row>
    <row r="262" spans="2:4" outlineLevel="1" x14ac:dyDescent="0.25">
      <c r="B262" s="65" t="s">
        <v>485</v>
      </c>
      <c r="C262" s="51" t="s">
        <v>575</v>
      </c>
      <c r="D262">
        <f>COUNTIFS(GLLIST67[G/L account],B262)</f>
        <v>1</v>
      </c>
    </row>
    <row r="263" spans="2:4" outlineLevel="1" x14ac:dyDescent="0.25">
      <c r="B263" s="65" t="s">
        <v>486</v>
      </c>
      <c r="C263" s="51" t="s">
        <v>576</v>
      </c>
      <c r="D263">
        <f>COUNTIFS(GLLIST67[G/L account],B263)</f>
        <v>1</v>
      </c>
    </row>
    <row r="264" spans="2:4" outlineLevel="1" x14ac:dyDescent="0.25">
      <c r="B264" s="65" t="s">
        <v>487</v>
      </c>
      <c r="C264" s="51" t="s">
        <v>152</v>
      </c>
      <c r="D264">
        <f>COUNTIFS(GLLIST67[G/L account],B264)</f>
        <v>1</v>
      </c>
    </row>
    <row r="265" spans="2:4" outlineLevel="1" x14ac:dyDescent="0.25">
      <c r="B265" s="65" t="s">
        <v>488</v>
      </c>
      <c r="C265" s="51" t="s">
        <v>153</v>
      </c>
      <c r="D265">
        <f>COUNTIFS(GLLIST67[G/L account],B265)</f>
        <v>1</v>
      </c>
    </row>
    <row r="266" spans="2:4" outlineLevel="1" x14ac:dyDescent="0.25">
      <c r="B266" s="65" t="s">
        <v>489</v>
      </c>
      <c r="C266" s="51" t="s">
        <v>155</v>
      </c>
      <c r="D266">
        <f>COUNTIFS(GLLIST67[G/L account],B266)</f>
        <v>1</v>
      </c>
    </row>
    <row r="267" spans="2:4" outlineLevel="1" x14ac:dyDescent="0.25">
      <c r="B267" s="65" t="s">
        <v>490</v>
      </c>
      <c r="C267" s="51" t="s">
        <v>157</v>
      </c>
      <c r="D267">
        <f>COUNTIFS(GLLIST67[G/L account],B267)</f>
        <v>1</v>
      </c>
    </row>
    <row r="268" spans="2:4" outlineLevel="1" x14ac:dyDescent="0.25">
      <c r="B268" s="65" t="s">
        <v>491</v>
      </c>
      <c r="C268" s="51" t="s">
        <v>159</v>
      </c>
      <c r="D268">
        <f>COUNTIFS(GLLIST67[G/L account],B268)</f>
        <v>1</v>
      </c>
    </row>
    <row r="269" spans="2:4" outlineLevel="1" x14ac:dyDescent="0.25">
      <c r="B269" s="65" t="s">
        <v>492</v>
      </c>
      <c r="C269" s="51" t="s">
        <v>161</v>
      </c>
      <c r="D269">
        <f>COUNTIFS(GLLIST67[G/L account],B269)</f>
        <v>1</v>
      </c>
    </row>
    <row r="270" spans="2:4" outlineLevel="1" x14ac:dyDescent="0.25">
      <c r="B270" s="65" t="s">
        <v>493</v>
      </c>
      <c r="C270" s="51" t="s">
        <v>163</v>
      </c>
      <c r="D270">
        <f>COUNTIFS(GLLIST67[G/L account],B270)</f>
        <v>1</v>
      </c>
    </row>
    <row r="271" spans="2:4" outlineLevel="1" x14ac:dyDescent="0.25">
      <c r="B271" s="65" t="s">
        <v>494</v>
      </c>
      <c r="C271" s="51" t="s">
        <v>165</v>
      </c>
      <c r="D271">
        <f>COUNTIFS(GLLIST67[G/L account],B271)</f>
        <v>1</v>
      </c>
    </row>
    <row r="272" spans="2:4" outlineLevel="1" x14ac:dyDescent="0.25">
      <c r="B272" s="65" t="s">
        <v>495</v>
      </c>
      <c r="C272" s="51" t="s">
        <v>168</v>
      </c>
      <c r="D272">
        <f>COUNTIFS(GLLIST67[G/L account],B272)</f>
        <v>1</v>
      </c>
    </row>
    <row r="273" spans="2:4" outlineLevel="1" x14ac:dyDescent="0.25">
      <c r="B273" s="65" t="s">
        <v>496</v>
      </c>
      <c r="C273" s="51" t="s">
        <v>170</v>
      </c>
      <c r="D273">
        <f>COUNTIFS(GLLIST67[G/L account],B273)</f>
        <v>1</v>
      </c>
    </row>
    <row r="274" spans="2:4" outlineLevel="1" x14ac:dyDescent="0.25">
      <c r="B274" s="65" t="s">
        <v>497</v>
      </c>
      <c r="C274" s="51" t="s">
        <v>172</v>
      </c>
      <c r="D274">
        <f>COUNTIFS(GLLIST67[G/L account],B274)</f>
        <v>1</v>
      </c>
    </row>
    <row r="275" spans="2:4" outlineLevel="1" x14ac:dyDescent="0.25">
      <c r="B275" s="65" t="s">
        <v>498</v>
      </c>
      <c r="C275" s="51" t="s">
        <v>174</v>
      </c>
      <c r="D275">
        <f>COUNTIFS(GLLIST67[G/L account],B275)</f>
        <v>1</v>
      </c>
    </row>
    <row r="276" spans="2:4" outlineLevel="1" x14ac:dyDescent="0.25">
      <c r="B276" s="65" t="s">
        <v>499</v>
      </c>
      <c r="C276" s="51" t="s">
        <v>177</v>
      </c>
      <c r="D276">
        <f>COUNTIFS(GLLIST67[G/L account],B276)</f>
        <v>1</v>
      </c>
    </row>
    <row r="277" spans="2:4" outlineLevel="1" x14ac:dyDescent="0.25">
      <c r="B277" s="65" t="s">
        <v>500</v>
      </c>
      <c r="C277" s="51" t="s">
        <v>180</v>
      </c>
      <c r="D277">
        <f>COUNTIFS(GLLIST67[G/L account],B277)</f>
        <v>1</v>
      </c>
    </row>
    <row r="278" spans="2:4" outlineLevel="1" x14ac:dyDescent="0.25">
      <c r="B278" s="65" t="s">
        <v>501</v>
      </c>
      <c r="C278" s="51" t="s">
        <v>182</v>
      </c>
      <c r="D278">
        <f>COUNTIFS(GLLIST67[G/L account],B278)</f>
        <v>1</v>
      </c>
    </row>
    <row r="279" spans="2:4" outlineLevel="1" x14ac:dyDescent="0.25">
      <c r="B279" s="80">
        <v>61900050</v>
      </c>
      <c r="C279" s="51" t="s">
        <v>1507</v>
      </c>
      <c r="D279">
        <f>COUNTIFS(GLLIST67[G/L account],B279)</f>
        <v>1</v>
      </c>
    </row>
    <row r="280" spans="2:4" outlineLevel="1" x14ac:dyDescent="0.25">
      <c r="B280" s="65" t="s">
        <v>502</v>
      </c>
      <c r="C280" s="51" t="s">
        <v>184</v>
      </c>
      <c r="D280">
        <f>COUNTIFS(GLLIST67[G/L account],B280)</f>
        <v>1</v>
      </c>
    </row>
    <row r="281" spans="2:4" outlineLevel="1" x14ac:dyDescent="0.25">
      <c r="B281" s="65" t="s">
        <v>503</v>
      </c>
      <c r="C281" s="51" t="s">
        <v>186</v>
      </c>
      <c r="D281">
        <f>COUNTIFS(GLLIST67[G/L account],B281)</f>
        <v>1</v>
      </c>
    </row>
    <row r="282" spans="2:4" outlineLevel="1" x14ac:dyDescent="0.25">
      <c r="B282" s="65" t="s">
        <v>504</v>
      </c>
      <c r="C282" s="51" t="s">
        <v>189</v>
      </c>
      <c r="D282">
        <f>COUNTIFS(GLLIST67[G/L account],B282)</f>
        <v>1</v>
      </c>
    </row>
    <row r="283" spans="2:4" outlineLevel="1" x14ac:dyDescent="0.25">
      <c r="B283" s="65" t="s">
        <v>505</v>
      </c>
      <c r="C283" s="51" t="s">
        <v>192</v>
      </c>
      <c r="D283">
        <f>COUNTIFS(GLLIST67[G/L account],B283)</f>
        <v>1</v>
      </c>
    </row>
    <row r="284" spans="2:4" outlineLevel="1" x14ac:dyDescent="0.25">
      <c r="B284" s="65" t="s">
        <v>506</v>
      </c>
      <c r="C284" s="51" t="s">
        <v>195</v>
      </c>
      <c r="D284">
        <f>COUNTIFS(GLLIST67[G/L account],B284)</f>
        <v>1</v>
      </c>
    </row>
    <row r="285" spans="2:4" outlineLevel="1" x14ac:dyDescent="0.25">
      <c r="B285" s="65" t="s">
        <v>507</v>
      </c>
      <c r="C285" s="51" t="s">
        <v>198</v>
      </c>
      <c r="D285">
        <f>COUNTIFS(GLLIST67[G/L account],B285)</f>
        <v>1</v>
      </c>
    </row>
    <row r="286" spans="2:4" outlineLevel="1" x14ac:dyDescent="0.25">
      <c r="B286" s="65" t="s">
        <v>508</v>
      </c>
      <c r="C286" s="51" t="s">
        <v>200</v>
      </c>
      <c r="D286">
        <f>COUNTIFS(GLLIST67[G/L account],B286)</f>
        <v>1</v>
      </c>
    </row>
    <row r="287" spans="2:4" outlineLevel="1" x14ac:dyDescent="0.25">
      <c r="B287" s="65" t="s">
        <v>509</v>
      </c>
      <c r="C287" s="51" t="s">
        <v>202</v>
      </c>
      <c r="D287">
        <f>COUNTIFS(GLLIST67[G/L account],B287)</f>
        <v>1</v>
      </c>
    </row>
    <row r="288" spans="2:4" outlineLevel="1" x14ac:dyDescent="0.25">
      <c r="B288" s="65" t="s">
        <v>510</v>
      </c>
      <c r="C288" s="51" t="s">
        <v>577</v>
      </c>
      <c r="D288">
        <f>COUNTIFS(GLLIST67[G/L account],B288)</f>
        <v>1</v>
      </c>
    </row>
    <row r="289" spans="2:4" outlineLevel="1" x14ac:dyDescent="0.25">
      <c r="B289" s="65" t="s">
        <v>511</v>
      </c>
      <c r="C289" s="51" t="s">
        <v>206</v>
      </c>
      <c r="D289">
        <f>COUNTIFS(GLLIST67[G/L account],B289)</f>
        <v>1</v>
      </c>
    </row>
    <row r="290" spans="2:4" outlineLevel="1" x14ac:dyDescent="0.25">
      <c r="B290" s="65" t="s">
        <v>512</v>
      </c>
      <c r="C290" s="51" t="s">
        <v>208</v>
      </c>
      <c r="D290">
        <f>COUNTIFS(GLLIST67[G/L account],B290)</f>
        <v>1</v>
      </c>
    </row>
    <row r="291" spans="2:4" outlineLevel="1" x14ac:dyDescent="0.25">
      <c r="B291" s="65" t="s">
        <v>513</v>
      </c>
      <c r="C291" s="51" t="s">
        <v>210</v>
      </c>
      <c r="D291">
        <f>COUNTIFS(GLLIST67[G/L account],B291)</f>
        <v>1</v>
      </c>
    </row>
    <row r="292" spans="2:4" outlineLevel="1" x14ac:dyDescent="0.25">
      <c r="B292" s="65" t="s">
        <v>514</v>
      </c>
      <c r="C292" s="51" t="s">
        <v>212</v>
      </c>
      <c r="D292">
        <f>COUNTIFS(GLLIST67[G/L account],B292)</f>
        <v>1</v>
      </c>
    </row>
    <row r="293" spans="2:4" outlineLevel="1" x14ac:dyDescent="0.25">
      <c r="B293" s="65" t="s">
        <v>515</v>
      </c>
      <c r="C293" s="51" t="s">
        <v>214</v>
      </c>
      <c r="D293">
        <f>COUNTIFS(GLLIST67[G/L account],B293)</f>
        <v>1</v>
      </c>
    </row>
    <row r="294" spans="2:4" outlineLevel="1" x14ac:dyDescent="0.25">
      <c r="B294" s="65" t="s">
        <v>516</v>
      </c>
      <c r="C294" s="51" t="s">
        <v>216</v>
      </c>
      <c r="D294">
        <f>COUNTIFS(GLLIST67[G/L account],B294)</f>
        <v>1</v>
      </c>
    </row>
    <row r="295" spans="2:4" outlineLevel="1" x14ac:dyDescent="0.25">
      <c r="B295" s="65" t="s">
        <v>517</v>
      </c>
      <c r="C295" s="51" t="s">
        <v>578</v>
      </c>
      <c r="D295">
        <f>COUNTIFS(GLLIST67[G/L account],B295)</f>
        <v>1</v>
      </c>
    </row>
    <row r="296" spans="2:4" outlineLevel="1" x14ac:dyDescent="0.25">
      <c r="B296" s="65" t="s">
        <v>518</v>
      </c>
      <c r="C296" s="51" t="s">
        <v>218</v>
      </c>
      <c r="D296">
        <f>COUNTIFS(GLLIST67[G/L account],B296)</f>
        <v>1</v>
      </c>
    </row>
    <row r="297" spans="2:4" outlineLevel="1" x14ac:dyDescent="0.25">
      <c r="B297" s="65" t="s">
        <v>519</v>
      </c>
      <c r="C297" s="51" t="s">
        <v>221</v>
      </c>
      <c r="D297">
        <f>COUNTIFS(GLLIST67[G/L account],B297)</f>
        <v>1</v>
      </c>
    </row>
    <row r="298" spans="2:4" outlineLevel="1" x14ac:dyDescent="0.25">
      <c r="B298" s="65" t="s">
        <v>520</v>
      </c>
      <c r="C298" s="51" t="s">
        <v>223</v>
      </c>
      <c r="D298">
        <f>COUNTIFS(GLLIST67[G/L account],B298)</f>
        <v>1</v>
      </c>
    </row>
    <row r="299" spans="2:4" outlineLevel="1" x14ac:dyDescent="0.25">
      <c r="B299" s="65" t="s">
        <v>521</v>
      </c>
      <c r="C299" s="51" t="s">
        <v>226</v>
      </c>
      <c r="D299">
        <f>COUNTIFS(GLLIST67[G/L account],B299)</f>
        <v>1</v>
      </c>
    </row>
    <row r="300" spans="2:4" outlineLevel="1" x14ac:dyDescent="0.25">
      <c r="B300" s="67" t="s">
        <v>522</v>
      </c>
      <c r="C300" s="68" t="s">
        <v>579</v>
      </c>
      <c r="D300">
        <f>COUNTIFS(GLLIST67[G/L account],B300)</f>
        <v>1</v>
      </c>
    </row>
    <row r="301" spans="2:4" outlineLevel="1" x14ac:dyDescent="0.25">
      <c r="B301" s="65" t="s">
        <v>524</v>
      </c>
      <c r="C301" s="51" t="s">
        <v>228</v>
      </c>
      <c r="D301">
        <f>COUNTIFS(GLLIST67[G/L account],B301)</f>
        <v>1</v>
      </c>
    </row>
    <row r="302" spans="2:4" outlineLevel="1" x14ac:dyDescent="0.25">
      <c r="B302" s="65" t="s">
        <v>525</v>
      </c>
      <c r="C302" s="51" t="s">
        <v>230</v>
      </c>
      <c r="D302">
        <f>COUNTIFS(GLLIST67[G/L account],B302)</f>
        <v>1</v>
      </c>
    </row>
    <row r="303" spans="2:4" outlineLevel="1" x14ac:dyDescent="0.25">
      <c r="B303" s="67" t="s">
        <v>526</v>
      </c>
      <c r="C303" s="68" t="s">
        <v>581</v>
      </c>
      <c r="D303">
        <f>COUNTIFS(GLLIST67[G/L account],B303)</f>
        <v>1</v>
      </c>
    </row>
    <row r="304" spans="2:4" outlineLevel="1" x14ac:dyDescent="0.25">
      <c r="B304" s="67" t="s">
        <v>527</v>
      </c>
      <c r="C304" s="68" t="s">
        <v>582</v>
      </c>
      <c r="D304">
        <f>COUNTIFS(GLLIST67[G/L account],B304)</f>
        <v>1</v>
      </c>
    </row>
    <row r="305" spans="2:7" outlineLevel="1" x14ac:dyDescent="0.25">
      <c r="B305" s="67" t="s">
        <v>528</v>
      </c>
      <c r="C305" s="68" t="s">
        <v>583</v>
      </c>
      <c r="D305">
        <f>COUNTIFS(GLLIST67[G/L account],B305)</f>
        <v>1</v>
      </c>
    </row>
    <row r="306" spans="2:7" outlineLevel="1" x14ac:dyDescent="0.25">
      <c r="B306" s="67" t="s">
        <v>529</v>
      </c>
      <c r="C306" s="68" t="s">
        <v>584</v>
      </c>
      <c r="D306">
        <f>COUNTIFS(GLLIST67[G/L account],B306)</f>
        <v>1</v>
      </c>
    </row>
    <row r="307" spans="2:7" outlineLevel="1" x14ac:dyDescent="0.25">
      <c r="B307" s="67" t="s">
        <v>530</v>
      </c>
      <c r="C307" s="68" t="s">
        <v>585</v>
      </c>
      <c r="D307">
        <f>COUNTIFS(GLLIST67[G/L account],B307)</f>
        <v>1</v>
      </c>
    </row>
    <row r="308" spans="2:7" outlineLevel="1" x14ac:dyDescent="0.25">
      <c r="B308" s="65" t="s">
        <v>531</v>
      </c>
      <c r="C308" s="51" t="s">
        <v>232</v>
      </c>
      <c r="D308">
        <f>COUNTIFS(GLLIST67[G/L account],B308)</f>
        <v>1</v>
      </c>
    </row>
    <row r="309" spans="2:7" outlineLevel="1" x14ac:dyDescent="0.25">
      <c r="B309" s="67" t="s">
        <v>532</v>
      </c>
      <c r="C309" s="68" t="s">
        <v>586</v>
      </c>
      <c r="D309">
        <f>COUNTIFS(GLLIST67[G/L account],B309)</f>
        <v>1</v>
      </c>
    </row>
    <row r="310" spans="2:7" outlineLevel="1" x14ac:dyDescent="0.25">
      <c r="B310" s="67" t="s">
        <v>533</v>
      </c>
      <c r="C310" s="68" t="s">
        <v>587</v>
      </c>
      <c r="D310">
        <f>COUNTIFS(GLLIST67[G/L account],B310)</f>
        <v>1</v>
      </c>
    </row>
    <row r="311" spans="2:7" outlineLevel="1" x14ac:dyDescent="0.25">
      <c r="B311" s="71" t="s">
        <v>534</v>
      </c>
      <c r="C311" s="68" t="s">
        <v>588</v>
      </c>
      <c r="D311">
        <f>COUNTIFS(GLLIST67[G/L account],B311)</f>
        <v>1</v>
      </c>
    </row>
    <row r="313" spans="2:7" hidden="1" outlineLevel="1" x14ac:dyDescent="0.25">
      <c r="B313" s="67" t="s">
        <v>523</v>
      </c>
      <c r="C313" s="68" t="s">
        <v>580</v>
      </c>
      <c r="D313" s="44" t="e">
        <f>COUNTIFS(#REF!,B313)</f>
        <v>#REF!</v>
      </c>
      <c r="E313" t="s">
        <v>1486</v>
      </c>
    </row>
    <row r="314" spans="2:7" collapsed="1" x14ac:dyDescent="0.25"/>
    <row r="315" spans="2:7" s="39" customFormat="1" ht="27.75" hidden="1" customHeight="1" outlineLevel="1" x14ac:dyDescent="0.25">
      <c r="B315" s="38" t="s">
        <v>1279</v>
      </c>
      <c r="E315" s="36"/>
    </row>
    <row r="316" spans="2:7" hidden="1" outlineLevel="1" x14ac:dyDescent="0.25"/>
    <row r="317" spans="2:7" hidden="1" outlineLevel="2" x14ac:dyDescent="0.25">
      <c r="B317" s="50" t="s">
        <v>598</v>
      </c>
      <c r="C317" s="50" t="s">
        <v>599</v>
      </c>
      <c r="D317" s="50" t="s">
        <v>600</v>
      </c>
      <c r="E317" s="50"/>
      <c r="F317" s="50" t="s">
        <v>601</v>
      </c>
      <c r="G317" s="50" t="s">
        <v>601</v>
      </c>
    </row>
    <row r="318" spans="2:7" hidden="1" outlineLevel="2" x14ac:dyDescent="0.25">
      <c r="B318" s="51" t="s">
        <v>602</v>
      </c>
      <c r="C318" s="51" t="s">
        <v>603</v>
      </c>
      <c r="D318" s="51" t="s">
        <v>604</v>
      </c>
      <c r="E318" s="51"/>
      <c r="F318" s="51" t="s">
        <v>605</v>
      </c>
      <c r="G318" s="51" t="s">
        <v>606</v>
      </c>
    </row>
    <row r="319" spans="2:7" hidden="1" outlineLevel="2" x14ac:dyDescent="0.25">
      <c r="B319" s="51" t="s">
        <v>607</v>
      </c>
      <c r="C319" s="51" t="s">
        <v>608</v>
      </c>
      <c r="D319" s="51" t="s">
        <v>609</v>
      </c>
      <c r="E319" s="51"/>
      <c r="F319" s="51" t="s">
        <v>610</v>
      </c>
      <c r="G319" s="51" t="s">
        <v>611</v>
      </c>
    </row>
    <row r="320" spans="2:7" hidden="1" outlineLevel="2" x14ac:dyDescent="0.25">
      <c r="B320" s="51" t="s">
        <v>612</v>
      </c>
      <c r="C320" s="51" t="s">
        <v>613</v>
      </c>
      <c r="D320" s="51" t="s">
        <v>614</v>
      </c>
      <c r="E320" s="51"/>
      <c r="F320" s="51" t="s">
        <v>615</v>
      </c>
      <c r="G320" s="51" t="s">
        <v>616</v>
      </c>
    </row>
    <row r="321" spans="2:7" hidden="1" outlineLevel="2" x14ac:dyDescent="0.25">
      <c r="B321" s="51" t="s">
        <v>617</v>
      </c>
      <c r="C321" s="51" t="s">
        <v>618</v>
      </c>
      <c r="D321" s="51" t="s">
        <v>619</v>
      </c>
      <c r="E321" s="51"/>
      <c r="F321" s="51" t="s">
        <v>620</v>
      </c>
      <c r="G321" s="51" t="s">
        <v>621</v>
      </c>
    </row>
    <row r="322" spans="2:7" hidden="1" outlineLevel="2" x14ac:dyDescent="0.25">
      <c r="B322" s="51" t="s">
        <v>622</v>
      </c>
      <c r="C322" s="51" t="s">
        <v>623</v>
      </c>
      <c r="D322" s="51" t="s">
        <v>624</v>
      </c>
      <c r="E322" s="51"/>
      <c r="F322" s="51" t="s">
        <v>625</v>
      </c>
      <c r="G322" s="51" t="s">
        <v>626</v>
      </c>
    </row>
    <row r="323" spans="2:7" hidden="1" outlineLevel="2" x14ac:dyDescent="0.25">
      <c r="B323" s="51" t="s">
        <v>627</v>
      </c>
      <c r="C323" s="51" t="s">
        <v>628</v>
      </c>
      <c r="D323" s="51" t="s">
        <v>629</v>
      </c>
      <c r="E323" s="51"/>
      <c r="F323" s="51" t="s">
        <v>630</v>
      </c>
      <c r="G323" s="51" t="s">
        <v>631</v>
      </c>
    </row>
    <row r="324" spans="2:7" hidden="1" outlineLevel="2" x14ac:dyDescent="0.25">
      <c r="B324" s="51" t="s">
        <v>632</v>
      </c>
      <c r="C324" s="51" t="s">
        <v>633</v>
      </c>
      <c r="D324" s="51" t="s">
        <v>634</v>
      </c>
      <c r="E324" s="51"/>
      <c r="F324" s="51" t="s">
        <v>635</v>
      </c>
      <c r="G324" s="51" t="s">
        <v>636</v>
      </c>
    </row>
    <row r="325" spans="2:7" hidden="1" outlineLevel="2" x14ac:dyDescent="0.25">
      <c r="B325" s="51" t="s">
        <v>637</v>
      </c>
      <c r="C325" s="51" t="s">
        <v>638</v>
      </c>
      <c r="D325" s="51" t="s">
        <v>639</v>
      </c>
      <c r="E325" s="51"/>
      <c r="F325" s="51" t="s">
        <v>640</v>
      </c>
      <c r="G325" s="51" t="s">
        <v>641</v>
      </c>
    </row>
    <row r="326" spans="2:7" hidden="1" outlineLevel="2" x14ac:dyDescent="0.25">
      <c r="B326" s="51" t="s">
        <v>642</v>
      </c>
      <c r="C326" s="51" t="s">
        <v>643</v>
      </c>
      <c r="D326" s="51" t="s">
        <v>644</v>
      </c>
      <c r="E326" s="51"/>
      <c r="F326" s="51" t="s">
        <v>645</v>
      </c>
      <c r="G326" s="51" t="s">
        <v>646</v>
      </c>
    </row>
    <row r="327" spans="2:7" hidden="1" outlineLevel="2" x14ac:dyDescent="0.25">
      <c r="B327" s="51" t="s">
        <v>647</v>
      </c>
      <c r="C327" s="51" t="s">
        <v>648</v>
      </c>
      <c r="D327" s="51" t="s">
        <v>649</v>
      </c>
      <c r="E327" s="51"/>
      <c r="F327" s="51" t="s">
        <v>650</v>
      </c>
      <c r="G327" s="51" t="s">
        <v>651</v>
      </c>
    </row>
    <row r="328" spans="2:7" hidden="1" outlineLevel="2" x14ac:dyDescent="0.25">
      <c r="B328" s="51" t="s">
        <v>652</v>
      </c>
      <c r="C328" s="51" t="s">
        <v>653</v>
      </c>
      <c r="D328" s="51" t="s">
        <v>654</v>
      </c>
      <c r="E328" s="51"/>
      <c r="F328" s="51" t="s">
        <v>655</v>
      </c>
      <c r="G328" s="51" t="s">
        <v>656</v>
      </c>
    </row>
    <row r="329" spans="2:7" hidden="1" outlineLevel="2" x14ac:dyDescent="0.25">
      <c r="B329" s="51" t="s">
        <v>657</v>
      </c>
      <c r="C329" s="51" t="s">
        <v>658</v>
      </c>
      <c r="D329" s="51" t="s">
        <v>659</v>
      </c>
      <c r="E329" s="51"/>
      <c r="F329" s="51" t="s">
        <v>660</v>
      </c>
      <c r="G329" s="51" t="s">
        <v>661</v>
      </c>
    </row>
    <row r="330" spans="2:7" hidden="1" outlineLevel="2" x14ac:dyDescent="0.25">
      <c r="B330" s="51" t="s">
        <v>662</v>
      </c>
      <c r="C330" s="51" t="s">
        <v>663</v>
      </c>
      <c r="D330" s="51" t="s">
        <v>664</v>
      </c>
      <c r="E330" s="51"/>
      <c r="F330" s="51" t="s">
        <v>665</v>
      </c>
      <c r="G330" s="51" t="s">
        <v>666</v>
      </c>
    </row>
    <row r="331" spans="2:7" hidden="1" outlineLevel="2" x14ac:dyDescent="0.25">
      <c r="B331" s="51" t="s">
        <v>667</v>
      </c>
      <c r="C331" s="51" t="s">
        <v>668</v>
      </c>
      <c r="D331" s="51" t="s">
        <v>669</v>
      </c>
      <c r="E331" s="51"/>
      <c r="F331" s="51" t="s">
        <v>670</v>
      </c>
      <c r="G331" s="51" t="s">
        <v>671</v>
      </c>
    </row>
    <row r="332" spans="2:7" hidden="1" outlineLevel="2" x14ac:dyDescent="0.25">
      <c r="B332" s="51" t="s">
        <v>672</v>
      </c>
      <c r="C332" s="51" t="s">
        <v>673</v>
      </c>
      <c r="D332" s="51" t="s">
        <v>674</v>
      </c>
      <c r="E332" s="51"/>
      <c r="F332" s="51" t="s">
        <v>675</v>
      </c>
      <c r="G332" s="51" t="s">
        <v>676</v>
      </c>
    </row>
    <row r="333" spans="2:7" hidden="1" outlineLevel="2" x14ac:dyDescent="0.25">
      <c r="B333" s="51" t="s">
        <v>677</v>
      </c>
      <c r="C333" s="51" t="s">
        <v>678</v>
      </c>
      <c r="D333" s="51" t="s">
        <v>679</v>
      </c>
      <c r="E333" s="51"/>
      <c r="F333" s="51" t="s">
        <v>680</v>
      </c>
      <c r="G333" s="51" t="s">
        <v>681</v>
      </c>
    </row>
    <row r="334" spans="2:7" hidden="1" outlineLevel="2" x14ac:dyDescent="0.25">
      <c r="B334" s="51" t="s">
        <v>682</v>
      </c>
      <c r="C334" s="51" t="s">
        <v>683</v>
      </c>
      <c r="D334" s="51" t="s">
        <v>684</v>
      </c>
      <c r="E334" s="51"/>
      <c r="F334" s="51" t="s">
        <v>685</v>
      </c>
      <c r="G334" s="51" t="s">
        <v>686</v>
      </c>
    </row>
    <row r="335" spans="2:7" hidden="1" outlineLevel="2" x14ac:dyDescent="0.25">
      <c r="B335" s="51" t="s">
        <v>687</v>
      </c>
      <c r="C335" s="51" t="s">
        <v>688</v>
      </c>
      <c r="D335" s="51" t="s">
        <v>689</v>
      </c>
      <c r="E335" s="51"/>
      <c r="F335" s="51" t="s">
        <v>690</v>
      </c>
      <c r="G335" s="51" t="s">
        <v>691</v>
      </c>
    </row>
    <row r="336" spans="2:7" hidden="1" outlineLevel="2" x14ac:dyDescent="0.25">
      <c r="B336" s="51" t="s">
        <v>692</v>
      </c>
      <c r="C336" s="51" t="s">
        <v>693</v>
      </c>
      <c r="D336" s="51" t="s">
        <v>694</v>
      </c>
      <c r="E336" s="51"/>
      <c r="F336" s="51" t="s">
        <v>695</v>
      </c>
      <c r="G336" s="51" t="s">
        <v>696</v>
      </c>
    </row>
    <row r="337" spans="2:7" hidden="1" outlineLevel="2" x14ac:dyDescent="0.25">
      <c r="B337" s="51" t="s">
        <v>697</v>
      </c>
      <c r="C337" s="51" t="s">
        <v>698</v>
      </c>
      <c r="D337" s="51" t="s">
        <v>699</v>
      </c>
      <c r="E337" s="51"/>
      <c r="F337" s="51" t="s">
        <v>700</v>
      </c>
      <c r="G337" s="51" t="s">
        <v>701</v>
      </c>
    </row>
    <row r="338" spans="2:7" hidden="1" outlineLevel="2" x14ac:dyDescent="0.25">
      <c r="B338" s="51" t="s">
        <v>702</v>
      </c>
      <c r="C338" s="51" t="s">
        <v>703</v>
      </c>
      <c r="D338" s="51" t="s">
        <v>704</v>
      </c>
      <c r="E338" s="51"/>
      <c r="F338" s="51" t="s">
        <v>705</v>
      </c>
      <c r="G338" s="51" t="s">
        <v>706</v>
      </c>
    </row>
    <row r="339" spans="2:7" hidden="1" outlineLevel="2" x14ac:dyDescent="0.25">
      <c r="B339" s="51" t="s">
        <v>707</v>
      </c>
      <c r="C339" s="51" t="s">
        <v>708</v>
      </c>
      <c r="D339" s="51" t="s">
        <v>709</v>
      </c>
      <c r="E339" s="51"/>
      <c r="F339" s="51" t="s">
        <v>710</v>
      </c>
      <c r="G339" s="51" t="s">
        <v>711</v>
      </c>
    </row>
    <row r="340" spans="2:7" hidden="1" outlineLevel="2" x14ac:dyDescent="0.25">
      <c r="B340" s="51" t="s">
        <v>712</v>
      </c>
      <c r="C340" s="51" t="s">
        <v>713</v>
      </c>
      <c r="D340" s="51" t="s">
        <v>714</v>
      </c>
      <c r="E340" s="51"/>
      <c r="F340" s="51" t="s">
        <v>715</v>
      </c>
      <c r="G340" s="51" t="s">
        <v>716</v>
      </c>
    </row>
    <row r="341" spans="2:7" hidden="1" outlineLevel="2" x14ac:dyDescent="0.25">
      <c r="B341" s="51" t="s">
        <v>717</v>
      </c>
      <c r="C341" s="51" t="s">
        <v>718</v>
      </c>
      <c r="D341" s="51" t="s">
        <v>719</v>
      </c>
      <c r="E341" s="51"/>
      <c r="F341" s="51" t="s">
        <v>720</v>
      </c>
      <c r="G341" s="51" t="s">
        <v>721</v>
      </c>
    </row>
    <row r="342" spans="2:7" hidden="1" outlineLevel="2" x14ac:dyDescent="0.25">
      <c r="B342" s="51" t="s">
        <v>722</v>
      </c>
      <c r="C342" s="51" t="s">
        <v>723</v>
      </c>
      <c r="D342" s="51" t="s">
        <v>724</v>
      </c>
      <c r="E342" s="51"/>
      <c r="F342" s="51" t="s">
        <v>725</v>
      </c>
      <c r="G342" s="51" t="s">
        <v>726</v>
      </c>
    </row>
    <row r="343" spans="2:7" hidden="1" outlineLevel="2" x14ac:dyDescent="0.25">
      <c r="B343" s="51" t="s">
        <v>727</v>
      </c>
      <c r="C343" s="51" t="s">
        <v>728</v>
      </c>
      <c r="D343" s="51" t="s">
        <v>729</v>
      </c>
      <c r="E343" s="51"/>
      <c r="F343" s="51" t="s">
        <v>730</v>
      </c>
      <c r="G343" s="51" t="s">
        <v>731</v>
      </c>
    </row>
    <row r="344" spans="2:7" hidden="1" outlineLevel="2" x14ac:dyDescent="0.25">
      <c r="B344" s="51" t="s">
        <v>732</v>
      </c>
      <c r="C344" s="51" t="s">
        <v>733</v>
      </c>
      <c r="D344" s="51" t="s">
        <v>734</v>
      </c>
      <c r="E344" s="51"/>
      <c r="F344" s="51" t="s">
        <v>735</v>
      </c>
      <c r="G344" s="51" t="s">
        <v>736</v>
      </c>
    </row>
    <row r="345" spans="2:7" hidden="1" outlineLevel="2" x14ac:dyDescent="0.25">
      <c r="B345" s="51" t="s">
        <v>737</v>
      </c>
      <c r="C345" s="51" t="s">
        <v>738</v>
      </c>
      <c r="D345" s="51" t="s">
        <v>739</v>
      </c>
      <c r="E345" s="51"/>
      <c r="F345" s="51" t="s">
        <v>740</v>
      </c>
      <c r="G345" s="51" t="s">
        <v>741</v>
      </c>
    </row>
    <row r="346" spans="2:7" hidden="1" outlineLevel="2" x14ac:dyDescent="0.25">
      <c r="B346" s="51" t="s">
        <v>742</v>
      </c>
      <c r="C346" s="51" t="s">
        <v>743</v>
      </c>
      <c r="D346" s="51" t="s">
        <v>744</v>
      </c>
      <c r="E346" s="51"/>
      <c r="F346" s="51" t="s">
        <v>745</v>
      </c>
      <c r="G346" s="51" t="s">
        <v>746</v>
      </c>
    </row>
    <row r="347" spans="2:7" hidden="1" outlineLevel="2" x14ac:dyDescent="0.25">
      <c r="B347" s="51" t="s">
        <v>747</v>
      </c>
      <c r="C347" s="51" t="s">
        <v>748</v>
      </c>
      <c r="D347" s="51" t="s">
        <v>749</v>
      </c>
      <c r="E347" s="51"/>
      <c r="F347" s="51" t="s">
        <v>750</v>
      </c>
      <c r="G347" s="51" t="s">
        <v>751</v>
      </c>
    </row>
    <row r="348" spans="2:7" hidden="1" outlineLevel="2" x14ac:dyDescent="0.25">
      <c r="B348" s="51" t="s">
        <v>752</v>
      </c>
      <c r="C348" s="51" t="s">
        <v>753</v>
      </c>
      <c r="D348" s="51" t="s">
        <v>754</v>
      </c>
      <c r="E348" s="51"/>
      <c r="F348" s="51" t="s">
        <v>755</v>
      </c>
      <c r="G348" s="51" t="s">
        <v>756</v>
      </c>
    </row>
    <row r="349" spans="2:7" hidden="1" outlineLevel="2" x14ac:dyDescent="0.25">
      <c r="B349" s="51" t="s">
        <v>757</v>
      </c>
      <c r="C349" s="51" t="s">
        <v>758</v>
      </c>
      <c r="D349" s="51" t="s">
        <v>759</v>
      </c>
      <c r="E349" s="51"/>
      <c r="F349" s="51" t="s">
        <v>760</v>
      </c>
      <c r="G349" s="51" t="s">
        <v>761</v>
      </c>
    </row>
    <row r="350" spans="2:7" hidden="1" outlineLevel="2" x14ac:dyDescent="0.25">
      <c r="B350" s="51" t="s">
        <v>762</v>
      </c>
      <c r="C350" s="51" t="s">
        <v>763</v>
      </c>
      <c r="D350" s="51" t="s">
        <v>764</v>
      </c>
      <c r="E350" s="51"/>
      <c r="F350" s="51" t="s">
        <v>765</v>
      </c>
      <c r="G350" s="51" t="s">
        <v>766</v>
      </c>
    </row>
    <row r="351" spans="2:7" hidden="1" outlineLevel="2" x14ac:dyDescent="0.25">
      <c r="B351" s="51" t="s">
        <v>767</v>
      </c>
      <c r="C351" s="51" t="s">
        <v>768</v>
      </c>
      <c r="D351" s="51" t="s">
        <v>769</v>
      </c>
      <c r="E351" s="51"/>
      <c r="F351" s="51" t="s">
        <v>770</v>
      </c>
      <c r="G351" s="51" t="s">
        <v>771</v>
      </c>
    </row>
    <row r="352" spans="2:7" hidden="1" outlineLevel="2" x14ac:dyDescent="0.25">
      <c r="B352" s="51" t="s">
        <v>772</v>
      </c>
      <c r="C352" s="51" t="s">
        <v>773</v>
      </c>
      <c r="D352" s="51" t="s">
        <v>764</v>
      </c>
      <c r="E352" s="51"/>
      <c r="F352" s="51" t="s">
        <v>774</v>
      </c>
      <c r="G352" s="51" t="s">
        <v>651</v>
      </c>
    </row>
    <row r="353" spans="2:7" hidden="1" outlineLevel="2" x14ac:dyDescent="0.25">
      <c r="B353" s="51" t="s">
        <v>775</v>
      </c>
      <c r="C353" s="51" t="s">
        <v>776</v>
      </c>
      <c r="D353" s="51" t="s">
        <v>777</v>
      </c>
      <c r="E353" s="51"/>
      <c r="F353" s="51" t="s">
        <v>778</v>
      </c>
      <c r="G353" s="51" t="s">
        <v>779</v>
      </c>
    </row>
    <row r="354" spans="2:7" hidden="1" outlineLevel="2" x14ac:dyDescent="0.25">
      <c r="B354" s="51" t="s">
        <v>780</v>
      </c>
      <c r="C354" s="51" t="s">
        <v>781</v>
      </c>
      <c r="D354" s="51" t="s">
        <v>782</v>
      </c>
      <c r="E354" s="51"/>
      <c r="F354" s="51" t="s">
        <v>783</v>
      </c>
      <c r="G354" s="51" t="s">
        <v>784</v>
      </c>
    </row>
    <row r="355" spans="2:7" hidden="1" outlineLevel="2" x14ac:dyDescent="0.25">
      <c r="B355" s="51" t="s">
        <v>785</v>
      </c>
      <c r="C355" s="51" t="s">
        <v>786</v>
      </c>
      <c r="D355" s="51" t="s">
        <v>787</v>
      </c>
      <c r="E355" s="51"/>
      <c r="F355" s="51" t="s">
        <v>788</v>
      </c>
      <c r="G355" s="51" t="s">
        <v>789</v>
      </c>
    </row>
    <row r="356" spans="2:7" hidden="1" outlineLevel="2" x14ac:dyDescent="0.25">
      <c r="B356" s="51" t="s">
        <v>790</v>
      </c>
      <c r="C356" s="51" t="s">
        <v>791</v>
      </c>
      <c r="D356" s="51" t="s">
        <v>792</v>
      </c>
      <c r="E356" s="51"/>
      <c r="F356" s="51" t="s">
        <v>793</v>
      </c>
      <c r="G356" s="51" t="s">
        <v>794</v>
      </c>
    </row>
    <row r="357" spans="2:7" hidden="1" outlineLevel="2" x14ac:dyDescent="0.25">
      <c r="B357" s="51" t="s">
        <v>795</v>
      </c>
      <c r="C357" s="51" t="s">
        <v>796</v>
      </c>
      <c r="D357" s="51" t="s">
        <v>797</v>
      </c>
      <c r="E357" s="51"/>
      <c r="F357" s="51" t="s">
        <v>798</v>
      </c>
      <c r="G357" s="51" t="s">
        <v>799</v>
      </c>
    </row>
    <row r="358" spans="2:7" hidden="1" outlineLevel="2" x14ac:dyDescent="0.25">
      <c r="B358" s="51" t="s">
        <v>800</v>
      </c>
      <c r="C358" s="51" t="s">
        <v>801</v>
      </c>
      <c r="D358" s="51" t="s">
        <v>802</v>
      </c>
      <c r="E358" s="51"/>
      <c r="F358" s="51" t="s">
        <v>803</v>
      </c>
      <c r="G358" s="51" t="s">
        <v>696</v>
      </c>
    </row>
    <row r="359" spans="2:7" hidden="1" outlineLevel="2" x14ac:dyDescent="0.25">
      <c r="B359" s="51" t="s">
        <v>804</v>
      </c>
      <c r="C359" s="51" t="s">
        <v>805</v>
      </c>
      <c r="D359" s="51" t="s">
        <v>806</v>
      </c>
      <c r="E359" s="51"/>
      <c r="F359" s="51" t="s">
        <v>807</v>
      </c>
      <c r="G359" s="51" t="s">
        <v>808</v>
      </c>
    </row>
    <row r="360" spans="2:7" hidden="1" outlineLevel="2" x14ac:dyDescent="0.25">
      <c r="B360" s="51" t="s">
        <v>809</v>
      </c>
      <c r="C360" s="51" t="s">
        <v>810</v>
      </c>
      <c r="D360" s="51" t="s">
        <v>811</v>
      </c>
      <c r="E360" s="51"/>
      <c r="F360" s="51" t="s">
        <v>812</v>
      </c>
      <c r="G360" s="51" t="s">
        <v>813</v>
      </c>
    </row>
    <row r="361" spans="2:7" hidden="1" outlineLevel="2" x14ac:dyDescent="0.25">
      <c r="B361" s="51" t="s">
        <v>814</v>
      </c>
      <c r="C361" s="51" t="s">
        <v>815</v>
      </c>
      <c r="D361" s="51" t="s">
        <v>816</v>
      </c>
      <c r="E361" s="51"/>
      <c r="F361" s="51" t="s">
        <v>817</v>
      </c>
      <c r="G361" s="51" t="s">
        <v>818</v>
      </c>
    </row>
    <row r="362" spans="2:7" hidden="1" outlineLevel="2" x14ac:dyDescent="0.25">
      <c r="B362" s="51" t="s">
        <v>819</v>
      </c>
      <c r="C362" s="51" t="s">
        <v>820</v>
      </c>
      <c r="D362" s="51" t="s">
        <v>821</v>
      </c>
      <c r="E362" s="51"/>
      <c r="F362" s="51" t="s">
        <v>822</v>
      </c>
      <c r="G362" s="51" t="s">
        <v>823</v>
      </c>
    </row>
    <row r="363" spans="2:7" hidden="1" outlineLevel="2" x14ac:dyDescent="0.25">
      <c r="B363" s="51" t="s">
        <v>824</v>
      </c>
      <c r="C363" s="51" t="s">
        <v>825</v>
      </c>
      <c r="D363" s="51" t="s">
        <v>826</v>
      </c>
      <c r="E363" s="51"/>
      <c r="F363" s="51" t="s">
        <v>827</v>
      </c>
      <c r="G363" s="51" t="s">
        <v>828</v>
      </c>
    </row>
    <row r="364" spans="2:7" hidden="1" outlineLevel="2" x14ac:dyDescent="0.25">
      <c r="B364" s="51" t="s">
        <v>829</v>
      </c>
      <c r="C364" s="51" t="s">
        <v>830</v>
      </c>
      <c r="D364" s="51" t="s">
        <v>831</v>
      </c>
      <c r="E364" s="51"/>
      <c r="F364" s="51" t="s">
        <v>832</v>
      </c>
      <c r="G364" s="51" t="s">
        <v>833</v>
      </c>
    </row>
    <row r="365" spans="2:7" hidden="1" outlineLevel="2" x14ac:dyDescent="0.25">
      <c r="B365" s="51" t="s">
        <v>834</v>
      </c>
      <c r="C365" s="51" t="s">
        <v>835</v>
      </c>
      <c r="D365" s="51" t="s">
        <v>836</v>
      </c>
      <c r="E365" s="51"/>
      <c r="F365" s="51" t="s">
        <v>837</v>
      </c>
      <c r="G365" s="51" t="s">
        <v>838</v>
      </c>
    </row>
    <row r="366" spans="2:7" hidden="1" outlineLevel="2" x14ac:dyDescent="0.25">
      <c r="B366" s="51" t="s">
        <v>839</v>
      </c>
      <c r="C366" s="51" t="s">
        <v>840</v>
      </c>
      <c r="D366" s="51" t="s">
        <v>841</v>
      </c>
      <c r="E366" s="51"/>
      <c r="F366" s="51" t="s">
        <v>842</v>
      </c>
      <c r="G366" s="51" t="s">
        <v>843</v>
      </c>
    </row>
    <row r="367" spans="2:7" hidden="1" outlineLevel="2" x14ac:dyDescent="0.25">
      <c r="B367" s="51" t="s">
        <v>844</v>
      </c>
      <c r="C367" s="51" t="s">
        <v>845</v>
      </c>
      <c r="D367" s="51" t="s">
        <v>846</v>
      </c>
      <c r="E367" s="51"/>
      <c r="F367" s="51" t="s">
        <v>847</v>
      </c>
      <c r="G367" s="51" t="s">
        <v>848</v>
      </c>
    </row>
    <row r="368" spans="2:7" hidden="1" outlineLevel="2" x14ac:dyDescent="0.25">
      <c r="B368" s="51" t="s">
        <v>849</v>
      </c>
      <c r="C368" s="51" t="s">
        <v>850</v>
      </c>
      <c r="D368" s="51" t="s">
        <v>851</v>
      </c>
      <c r="E368" s="51"/>
      <c r="F368" s="51" t="s">
        <v>852</v>
      </c>
      <c r="G368" s="51" t="s">
        <v>853</v>
      </c>
    </row>
    <row r="369" spans="2:7" hidden="1" outlineLevel="2" x14ac:dyDescent="0.25">
      <c r="B369" s="51" t="s">
        <v>854</v>
      </c>
      <c r="C369" s="51" t="s">
        <v>855</v>
      </c>
      <c r="D369" s="51" t="s">
        <v>856</v>
      </c>
      <c r="E369" s="51"/>
      <c r="F369" s="51" t="s">
        <v>857</v>
      </c>
      <c r="G369" s="51" t="s">
        <v>858</v>
      </c>
    </row>
    <row r="370" spans="2:7" hidden="1" outlineLevel="2" x14ac:dyDescent="0.25">
      <c r="B370" s="51" t="s">
        <v>859</v>
      </c>
      <c r="C370" s="51" t="s">
        <v>860</v>
      </c>
      <c r="D370" s="51" t="s">
        <v>861</v>
      </c>
      <c r="E370" s="51"/>
      <c r="F370" s="51" t="s">
        <v>862</v>
      </c>
      <c r="G370" s="51" t="s">
        <v>863</v>
      </c>
    </row>
    <row r="371" spans="2:7" hidden="1" outlineLevel="2" x14ac:dyDescent="0.25">
      <c r="B371" s="51" t="s">
        <v>864</v>
      </c>
      <c r="C371" s="51" t="s">
        <v>865</v>
      </c>
      <c r="D371" s="51" t="s">
        <v>866</v>
      </c>
      <c r="E371" s="51"/>
      <c r="F371" s="51" t="s">
        <v>867</v>
      </c>
      <c r="G371" s="51" t="s">
        <v>868</v>
      </c>
    </row>
    <row r="372" spans="2:7" hidden="1" outlineLevel="2" x14ac:dyDescent="0.25">
      <c r="B372" s="51" t="s">
        <v>869</v>
      </c>
      <c r="C372" s="51" t="s">
        <v>870</v>
      </c>
      <c r="D372" s="51" t="s">
        <v>871</v>
      </c>
      <c r="E372" s="51"/>
      <c r="F372" s="51" t="s">
        <v>872</v>
      </c>
      <c r="G372" s="51" t="s">
        <v>873</v>
      </c>
    </row>
    <row r="373" spans="2:7" hidden="1" outlineLevel="2" x14ac:dyDescent="0.25">
      <c r="B373" s="51" t="s">
        <v>874</v>
      </c>
      <c r="C373" s="51" t="s">
        <v>875</v>
      </c>
      <c r="D373" s="51" t="s">
        <v>876</v>
      </c>
      <c r="E373" s="51"/>
      <c r="F373" s="51" t="s">
        <v>877</v>
      </c>
      <c r="G373" s="51" t="s">
        <v>878</v>
      </c>
    </row>
    <row r="374" spans="2:7" hidden="1" outlineLevel="2" x14ac:dyDescent="0.25">
      <c r="B374" s="51" t="s">
        <v>879</v>
      </c>
      <c r="C374" s="51" t="s">
        <v>880</v>
      </c>
      <c r="D374" s="51" t="s">
        <v>881</v>
      </c>
      <c r="E374" s="51"/>
      <c r="F374" s="51" t="s">
        <v>882</v>
      </c>
      <c r="G374" s="51" t="s">
        <v>883</v>
      </c>
    </row>
    <row r="375" spans="2:7" hidden="1" outlineLevel="2" x14ac:dyDescent="0.25">
      <c r="B375" s="51" t="s">
        <v>884</v>
      </c>
      <c r="C375" s="51" t="s">
        <v>885</v>
      </c>
      <c r="D375" s="51" t="s">
        <v>886</v>
      </c>
      <c r="E375" s="51"/>
      <c r="F375" s="51" t="s">
        <v>887</v>
      </c>
      <c r="G375" s="51" t="s">
        <v>888</v>
      </c>
    </row>
    <row r="376" spans="2:7" hidden="1" outlineLevel="2" x14ac:dyDescent="0.25">
      <c r="B376" s="51" t="s">
        <v>889</v>
      </c>
      <c r="C376" s="51" t="s">
        <v>890</v>
      </c>
      <c r="D376" s="51" t="s">
        <v>891</v>
      </c>
      <c r="E376" s="51"/>
      <c r="F376" s="51" t="s">
        <v>892</v>
      </c>
      <c r="G376" s="51" t="s">
        <v>893</v>
      </c>
    </row>
    <row r="377" spans="2:7" hidden="1" outlineLevel="2" x14ac:dyDescent="0.25">
      <c r="B377" s="51" t="s">
        <v>894</v>
      </c>
      <c r="C377" s="51" t="s">
        <v>895</v>
      </c>
      <c r="D377" s="51" t="s">
        <v>896</v>
      </c>
      <c r="E377" s="51"/>
      <c r="F377" s="51" t="s">
        <v>897</v>
      </c>
      <c r="G377" s="51" t="s">
        <v>898</v>
      </c>
    </row>
    <row r="378" spans="2:7" hidden="1" outlineLevel="2" x14ac:dyDescent="0.25">
      <c r="B378" s="51" t="s">
        <v>899</v>
      </c>
      <c r="C378" s="51" t="s">
        <v>900</v>
      </c>
      <c r="D378" s="51" t="s">
        <v>901</v>
      </c>
      <c r="E378" s="51"/>
      <c r="F378" s="51" t="s">
        <v>902</v>
      </c>
      <c r="G378" s="51" t="s">
        <v>903</v>
      </c>
    </row>
    <row r="379" spans="2:7" hidden="1" outlineLevel="2" x14ac:dyDescent="0.25">
      <c r="B379" s="51" t="s">
        <v>904</v>
      </c>
      <c r="C379" s="51" t="s">
        <v>905</v>
      </c>
      <c r="D379" s="51" t="s">
        <v>906</v>
      </c>
      <c r="E379" s="51"/>
      <c r="F379" s="51" t="s">
        <v>907</v>
      </c>
      <c r="G379" s="51" t="s">
        <v>908</v>
      </c>
    </row>
    <row r="380" spans="2:7" hidden="1" outlineLevel="2" x14ac:dyDescent="0.25">
      <c r="B380" s="51" t="s">
        <v>909</v>
      </c>
      <c r="C380" s="51" t="s">
        <v>910</v>
      </c>
      <c r="D380" s="51" t="s">
        <v>911</v>
      </c>
      <c r="E380" s="51"/>
      <c r="F380" s="51" t="s">
        <v>912</v>
      </c>
      <c r="G380" s="51" t="s">
        <v>913</v>
      </c>
    </row>
    <row r="381" spans="2:7" hidden="1" outlineLevel="2" x14ac:dyDescent="0.25">
      <c r="B381" s="51" t="s">
        <v>914</v>
      </c>
      <c r="C381" s="51" t="s">
        <v>915</v>
      </c>
      <c r="D381" s="51" t="s">
        <v>916</v>
      </c>
      <c r="E381" s="51"/>
      <c r="F381" s="51" t="s">
        <v>917</v>
      </c>
      <c r="G381" s="51" t="s">
        <v>918</v>
      </c>
    </row>
    <row r="382" spans="2:7" hidden="1" outlineLevel="2" x14ac:dyDescent="0.25">
      <c r="B382" s="51" t="s">
        <v>919</v>
      </c>
      <c r="C382" s="51" t="s">
        <v>920</v>
      </c>
      <c r="D382" s="51" t="s">
        <v>921</v>
      </c>
      <c r="E382" s="51"/>
      <c r="F382" s="51" t="s">
        <v>922</v>
      </c>
      <c r="G382" s="51" t="s">
        <v>923</v>
      </c>
    </row>
    <row r="383" spans="2:7" hidden="1" outlineLevel="2" x14ac:dyDescent="0.25">
      <c r="B383" s="51" t="s">
        <v>924</v>
      </c>
      <c r="C383" s="51" t="s">
        <v>925</v>
      </c>
      <c r="D383" s="51" t="s">
        <v>926</v>
      </c>
      <c r="E383" s="51"/>
      <c r="F383" s="51" t="s">
        <v>927</v>
      </c>
      <c r="G383" s="51" t="s">
        <v>928</v>
      </c>
    </row>
    <row r="384" spans="2:7" hidden="1" outlineLevel="2" x14ac:dyDescent="0.25">
      <c r="B384" s="51" t="s">
        <v>929</v>
      </c>
      <c r="C384" s="51" t="s">
        <v>930</v>
      </c>
      <c r="D384" s="51" t="s">
        <v>931</v>
      </c>
      <c r="E384" s="51"/>
      <c r="F384" s="51" t="s">
        <v>932</v>
      </c>
      <c r="G384" s="51" t="s">
        <v>933</v>
      </c>
    </row>
    <row r="385" spans="2:7" hidden="1" outlineLevel="2" x14ac:dyDescent="0.25">
      <c r="B385" s="51" t="s">
        <v>934</v>
      </c>
      <c r="C385" s="51" t="s">
        <v>935</v>
      </c>
      <c r="D385" s="51" t="s">
        <v>936</v>
      </c>
      <c r="E385" s="51"/>
      <c r="F385" s="51" t="s">
        <v>937</v>
      </c>
      <c r="G385" s="51" t="s">
        <v>938</v>
      </c>
    </row>
    <row r="386" spans="2:7" hidden="1" outlineLevel="2" x14ac:dyDescent="0.25">
      <c r="B386" s="51" t="s">
        <v>939</v>
      </c>
      <c r="C386" s="51" t="s">
        <v>940</v>
      </c>
      <c r="D386" s="51" t="s">
        <v>941</v>
      </c>
      <c r="E386" s="51"/>
      <c r="F386" s="51" t="s">
        <v>942</v>
      </c>
      <c r="G386" s="51" t="s">
        <v>943</v>
      </c>
    </row>
    <row r="387" spans="2:7" hidden="1" outlineLevel="2" x14ac:dyDescent="0.25">
      <c r="B387" s="51" t="s">
        <v>944</v>
      </c>
      <c r="C387" s="51" t="s">
        <v>945</v>
      </c>
      <c r="D387" s="51" t="s">
        <v>946</v>
      </c>
      <c r="E387" s="51"/>
      <c r="F387" s="51" t="s">
        <v>947</v>
      </c>
      <c r="G387" s="51" t="s">
        <v>948</v>
      </c>
    </row>
    <row r="388" spans="2:7" hidden="1" outlineLevel="2" x14ac:dyDescent="0.25">
      <c r="B388" s="51" t="s">
        <v>949</v>
      </c>
      <c r="C388" s="51" t="s">
        <v>950</v>
      </c>
      <c r="D388" s="51" t="s">
        <v>951</v>
      </c>
      <c r="E388" s="51"/>
      <c r="F388" s="51" t="s">
        <v>952</v>
      </c>
      <c r="G388" s="51" t="s">
        <v>953</v>
      </c>
    </row>
    <row r="389" spans="2:7" hidden="1" outlineLevel="2" x14ac:dyDescent="0.25">
      <c r="B389" s="51" t="s">
        <v>954</v>
      </c>
      <c r="C389" s="51" t="s">
        <v>955</v>
      </c>
      <c r="D389" s="51" t="s">
        <v>956</v>
      </c>
      <c r="E389" s="51"/>
      <c r="F389" s="51" t="s">
        <v>957</v>
      </c>
      <c r="G389" s="51" t="s">
        <v>958</v>
      </c>
    </row>
    <row r="390" spans="2:7" hidden="1" outlineLevel="2" x14ac:dyDescent="0.25">
      <c r="B390" s="51" t="s">
        <v>959</v>
      </c>
      <c r="C390" s="51" t="s">
        <v>960</v>
      </c>
      <c r="D390" s="51" t="s">
        <v>961</v>
      </c>
      <c r="E390" s="51"/>
      <c r="F390" s="51" t="s">
        <v>962</v>
      </c>
      <c r="G390" s="51" t="s">
        <v>963</v>
      </c>
    </row>
    <row r="391" spans="2:7" hidden="1" outlineLevel="2" x14ac:dyDescent="0.25">
      <c r="B391" s="51" t="s">
        <v>964</v>
      </c>
      <c r="C391" s="51" t="s">
        <v>965</v>
      </c>
      <c r="D391" s="51" t="s">
        <v>966</v>
      </c>
      <c r="E391" s="51"/>
      <c r="F391" s="51" t="s">
        <v>967</v>
      </c>
      <c r="G391" s="51" t="s">
        <v>968</v>
      </c>
    </row>
    <row r="392" spans="2:7" hidden="1" outlineLevel="2" x14ac:dyDescent="0.25">
      <c r="B392" s="51" t="s">
        <v>969</v>
      </c>
      <c r="C392" s="51" t="s">
        <v>970</v>
      </c>
      <c r="D392" s="51" t="s">
        <v>971</v>
      </c>
      <c r="E392" s="51"/>
      <c r="F392" s="51" t="s">
        <v>972</v>
      </c>
      <c r="G392" s="51" t="s">
        <v>973</v>
      </c>
    </row>
    <row r="393" spans="2:7" hidden="1" outlineLevel="2" x14ac:dyDescent="0.25">
      <c r="B393" s="51" t="s">
        <v>974</v>
      </c>
      <c r="C393" s="51" t="s">
        <v>975</v>
      </c>
      <c r="D393" s="51" t="s">
        <v>976</v>
      </c>
      <c r="E393" s="51"/>
      <c r="F393" s="51" t="s">
        <v>977</v>
      </c>
      <c r="G393" s="51" t="s">
        <v>406</v>
      </c>
    </row>
    <row r="394" spans="2:7" hidden="1" outlineLevel="2" x14ac:dyDescent="0.25">
      <c r="B394" s="51" t="s">
        <v>978</v>
      </c>
      <c r="C394" s="51" t="s">
        <v>979</v>
      </c>
      <c r="D394" s="51" t="s">
        <v>980</v>
      </c>
      <c r="E394" s="51"/>
      <c r="F394" s="51" t="s">
        <v>981</v>
      </c>
      <c r="G394" s="51" t="s">
        <v>982</v>
      </c>
    </row>
    <row r="395" spans="2:7" hidden="1" outlineLevel="2" x14ac:dyDescent="0.25">
      <c r="B395" s="51" t="s">
        <v>983</v>
      </c>
      <c r="C395" s="51" t="s">
        <v>984</v>
      </c>
      <c r="D395" s="51" t="s">
        <v>985</v>
      </c>
      <c r="E395" s="51"/>
      <c r="F395" s="51" t="s">
        <v>986</v>
      </c>
      <c r="G395" s="51" t="s">
        <v>987</v>
      </c>
    </row>
    <row r="396" spans="2:7" hidden="1" outlineLevel="2" x14ac:dyDescent="0.25">
      <c r="B396" s="51" t="s">
        <v>988</v>
      </c>
      <c r="C396" s="51" t="s">
        <v>989</v>
      </c>
      <c r="D396" s="51" t="s">
        <v>990</v>
      </c>
      <c r="E396" s="51"/>
      <c r="F396" s="51" t="s">
        <v>991</v>
      </c>
      <c r="G396" s="51" t="s">
        <v>992</v>
      </c>
    </row>
    <row r="397" spans="2:7" hidden="1" outlineLevel="2" x14ac:dyDescent="0.25">
      <c r="B397" s="51" t="s">
        <v>993</v>
      </c>
      <c r="C397" s="51" t="s">
        <v>994</v>
      </c>
      <c r="D397" s="51" t="s">
        <v>995</v>
      </c>
      <c r="E397" s="51"/>
      <c r="F397" s="51" t="s">
        <v>996</v>
      </c>
      <c r="G397" s="51" t="s">
        <v>997</v>
      </c>
    </row>
    <row r="398" spans="2:7" hidden="1" outlineLevel="2" x14ac:dyDescent="0.25">
      <c r="B398" s="51" t="s">
        <v>998</v>
      </c>
      <c r="C398" s="51" t="s">
        <v>999</v>
      </c>
      <c r="D398" s="51" t="s">
        <v>1000</v>
      </c>
      <c r="E398" s="51"/>
      <c r="F398" s="51" t="s">
        <v>1001</v>
      </c>
      <c r="G398" s="51" t="s">
        <v>1002</v>
      </c>
    </row>
    <row r="399" spans="2:7" hidden="1" outlineLevel="2" x14ac:dyDescent="0.25">
      <c r="B399" s="51" t="s">
        <v>1003</v>
      </c>
      <c r="C399" s="51" t="s">
        <v>1004</v>
      </c>
      <c r="D399" s="51" t="s">
        <v>1005</v>
      </c>
      <c r="E399" s="51"/>
      <c r="F399" s="51" t="s">
        <v>1006</v>
      </c>
      <c r="G399" s="51" t="s">
        <v>218</v>
      </c>
    </row>
    <row r="400" spans="2:7" hidden="1" outlineLevel="2" x14ac:dyDescent="0.25">
      <c r="B400" s="51" t="s">
        <v>1007</v>
      </c>
      <c r="C400" s="51" t="s">
        <v>1008</v>
      </c>
      <c r="D400" s="51" t="s">
        <v>1009</v>
      </c>
      <c r="E400" s="51"/>
      <c r="F400" s="51" t="s">
        <v>1010</v>
      </c>
      <c r="G400" s="51" t="s">
        <v>1011</v>
      </c>
    </row>
    <row r="401" spans="2:7" hidden="1" outlineLevel="2" x14ac:dyDescent="0.25">
      <c r="B401" s="51" t="s">
        <v>1012</v>
      </c>
      <c r="C401" s="51" t="s">
        <v>1013</v>
      </c>
      <c r="D401" s="51" t="s">
        <v>1014</v>
      </c>
      <c r="E401" s="51"/>
      <c r="F401" s="51" t="s">
        <v>1015</v>
      </c>
      <c r="G401" s="51" t="s">
        <v>1016</v>
      </c>
    </row>
    <row r="402" spans="2:7" hidden="1" outlineLevel="2" x14ac:dyDescent="0.25">
      <c r="B402" s="51" t="s">
        <v>1017</v>
      </c>
      <c r="C402" s="51" t="s">
        <v>1018</v>
      </c>
      <c r="D402" s="51" t="s">
        <v>1019</v>
      </c>
      <c r="E402" s="51"/>
      <c r="F402" s="51" t="s">
        <v>1020</v>
      </c>
      <c r="G402" s="51" t="s">
        <v>580</v>
      </c>
    </row>
    <row r="403" spans="2:7" hidden="1" outlineLevel="2" x14ac:dyDescent="0.25">
      <c r="B403" s="51" t="s">
        <v>1021</v>
      </c>
      <c r="C403" s="51" t="s">
        <v>1022</v>
      </c>
      <c r="D403" s="51" t="s">
        <v>1023</v>
      </c>
      <c r="E403" s="51"/>
      <c r="F403" s="51" t="s">
        <v>1024</v>
      </c>
      <c r="G403" s="51" t="s">
        <v>1025</v>
      </c>
    </row>
    <row r="404" spans="2:7" hidden="1" outlineLevel="2" x14ac:dyDescent="0.25">
      <c r="B404" s="51" t="s">
        <v>1026</v>
      </c>
      <c r="C404" s="51" t="s">
        <v>1027</v>
      </c>
      <c r="D404" s="51" t="s">
        <v>1028</v>
      </c>
      <c r="E404" s="51"/>
      <c r="F404" s="51" t="s">
        <v>1029</v>
      </c>
      <c r="G404" s="51" t="s">
        <v>581</v>
      </c>
    </row>
    <row r="405" spans="2:7" hidden="1" outlineLevel="2" x14ac:dyDescent="0.25">
      <c r="B405" s="51" t="s">
        <v>1030</v>
      </c>
      <c r="C405" s="51" t="s">
        <v>1031</v>
      </c>
      <c r="D405" s="51" t="s">
        <v>1032</v>
      </c>
      <c r="E405" s="51"/>
      <c r="F405" s="51" t="s">
        <v>1033</v>
      </c>
      <c r="G405" s="51" t="s">
        <v>584</v>
      </c>
    </row>
    <row r="406" spans="2:7" hidden="1" outlineLevel="2" x14ac:dyDescent="0.25">
      <c r="B406" s="51" t="s">
        <v>1034</v>
      </c>
      <c r="C406" s="51" t="s">
        <v>1035</v>
      </c>
      <c r="D406" s="51" t="s">
        <v>1036</v>
      </c>
      <c r="E406" s="51"/>
      <c r="F406" s="51" t="s">
        <v>1037</v>
      </c>
      <c r="G406" s="51" t="s">
        <v>1038</v>
      </c>
    </row>
    <row r="407" spans="2:7" hidden="1" outlineLevel="2" x14ac:dyDescent="0.25">
      <c r="B407" s="51" t="s">
        <v>1039</v>
      </c>
      <c r="C407" s="51" t="s">
        <v>1040</v>
      </c>
      <c r="D407" s="51" t="s">
        <v>1041</v>
      </c>
      <c r="E407" s="51"/>
      <c r="F407" s="51" t="s">
        <v>1042</v>
      </c>
      <c r="G407" s="51" t="s">
        <v>1043</v>
      </c>
    </row>
    <row r="408" spans="2:7" hidden="1" outlineLevel="2" x14ac:dyDescent="0.25">
      <c r="B408" s="51" t="s">
        <v>1044</v>
      </c>
      <c r="C408" s="51" t="s">
        <v>1045</v>
      </c>
      <c r="D408" s="51" t="s">
        <v>1046</v>
      </c>
      <c r="E408" s="51"/>
      <c r="F408" s="51" t="s">
        <v>1047</v>
      </c>
      <c r="G408" s="51" t="s">
        <v>232</v>
      </c>
    </row>
    <row r="409" spans="2:7" hidden="1" outlineLevel="2" x14ac:dyDescent="0.25">
      <c r="B409" s="51" t="s">
        <v>1048</v>
      </c>
      <c r="C409" s="51" t="s">
        <v>1049</v>
      </c>
      <c r="D409" s="51" t="s">
        <v>1050</v>
      </c>
      <c r="E409" s="51"/>
      <c r="F409" s="51" t="s">
        <v>1051</v>
      </c>
      <c r="G409" s="51" t="s">
        <v>1052</v>
      </c>
    </row>
    <row r="410" spans="2:7" hidden="1" outlineLevel="2" x14ac:dyDescent="0.25">
      <c r="B410" s="51" t="s">
        <v>1053</v>
      </c>
      <c r="C410" s="51" t="s">
        <v>1054</v>
      </c>
      <c r="D410" s="51" t="s">
        <v>1055</v>
      </c>
      <c r="E410" s="51"/>
      <c r="F410" s="51" t="s">
        <v>1056</v>
      </c>
      <c r="G410" s="51" t="s">
        <v>1057</v>
      </c>
    </row>
    <row r="411" spans="2:7" hidden="1" outlineLevel="2" x14ac:dyDescent="0.25">
      <c r="B411" s="51" t="s">
        <v>1058</v>
      </c>
      <c r="C411" s="51" t="s">
        <v>1059</v>
      </c>
      <c r="D411" s="51" t="s">
        <v>1060</v>
      </c>
      <c r="E411" s="51"/>
      <c r="F411" s="51" t="s">
        <v>1061</v>
      </c>
      <c r="G411" s="51" t="s">
        <v>1062</v>
      </c>
    </row>
    <row r="412" spans="2:7" hidden="1" outlineLevel="2" x14ac:dyDescent="0.25">
      <c r="B412" s="51" t="s">
        <v>1063</v>
      </c>
      <c r="C412" s="51" t="s">
        <v>1064</v>
      </c>
      <c r="D412" s="51" t="s">
        <v>1065</v>
      </c>
      <c r="E412" s="51"/>
      <c r="F412" s="51" t="s">
        <v>1066</v>
      </c>
      <c r="G412" s="51" t="s">
        <v>1067</v>
      </c>
    </row>
    <row r="413" spans="2:7" hidden="1" outlineLevel="2" x14ac:dyDescent="0.25">
      <c r="B413" s="51" t="s">
        <v>1068</v>
      </c>
      <c r="C413" s="51" t="s">
        <v>1069</v>
      </c>
      <c r="D413" s="51" t="s">
        <v>1070</v>
      </c>
      <c r="E413" s="51"/>
      <c r="F413" s="51" t="s">
        <v>1071</v>
      </c>
      <c r="G413" s="51" t="s">
        <v>1072</v>
      </c>
    </row>
    <row r="414" spans="2:7" hidden="1" outlineLevel="2" x14ac:dyDescent="0.25">
      <c r="B414" s="51" t="s">
        <v>1073</v>
      </c>
      <c r="C414" s="51" t="s">
        <v>1074</v>
      </c>
      <c r="D414" s="51" t="s">
        <v>1075</v>
      </c>
      <c r="E414" s="51"/>
      <c r="F414" s="51" t="s">
        <v>1076</v>
      </c>
      <c r="G414" s="51" t="s">
        <v>1077</v>
      </c>
    </row>
    <row r="415" spans="2:7" hidden="1" outlineLevel="2" x14ac:dyDescent="0.25">
      <c r="B415" s="51" t="s">
        <v>1078</v>
      </c>
      <c r="C415" s="51" t="s">
        <v>1079</v>
      </c>
      <c r="D415" s="51" t="s">
        <v>1080</v>
      </c>
      <c r="E415" s="51"/>
      <c r="F415" s="51" t="s">
        <v>1081</v>
      </c>
      <c r="G415" s="51" t="s">
        <v>1082</v>
      </c>
    </row>
    <row r="416" spans="2:7" hidden="1" outlineLevel="2" x14ac:dyDescent="0.25">
      <c r="B416" s="51" t="s">
        <v>1083</v>
      </c>
      <c r="C416" s="51" t="s">
        <v>1084</v>
      </c>
      <c r="D416" s="51" t="s">
        <v>1085</v>
      </c>
      <c r="E416" s="51"/>
      <c r="F416" s="51" t="s">
        <v>1086</v>
      </c>
      <c r="G416" s="51" t="s">
        <v>1087</v>
      </c>
    </row>
    <row r="417" spans="2:7" hidden="1" outlineLevel="2" x14ac:dyDescent="0.25">
      <c r="B417" s="51" t="s">
        <v>1088</v>
      </c>
      <c r="C417" s="51" t="s">
        <v>1089</v>
      </c>
      <c r="D417" s="51" t="s">
        <v>1090</v>
      </c>
      <c r="E417" s="51"/>
      <c r="F417" s="51" t="s">
        <v>1091</v>
      </c>
      <c r="G417" s="51" t="s">
        <v>903</v>
      </c>
    </row>
    <row r="418" spans="2:7" hidden="1" outlineLevel="2" x14ac:dyDescent="0.25">
      <c r="B418" s="51" t="s">
        <v>1092</v>
      </c>
      <c r="C418" s="51" t="s">
        <v>1093</v>
      </c>
      <c r="D418" s="51" t="s">
        <v>1094</v>
      </c>
      <c r="E418" s="51"/>
      <c r="F418" s="51" t="s">
        <v>1095</v>
      </c>
      <c r="G418" s="51" t="s">
        <v>1096</v>
      </c>
    </row>
    <row r="419" spans="2:7" hidden="1" outlineLevel="2" x14ac:dyDescent="0.25">
      <c r="B419" s="51" t="s">
        <v>1097</v>
      </c>
      <c r="C419" s="51" t="s">
        <v>1098</v>
      </c>
      <c r="D419" s="51" t="s">
        <v>1099</v>
      </c>
      <c r="E419" s="51"/>
      <c r="F419" s="51" t="s">
        <v>1100</v>
      </c>
      <c r="G419" s="51" t="s">
        <v>913</v>
      </c>
    </row>
    <row r="420" spans="2:7" hidden="1" outlineLevel="2" x14ac:dyDescent="0.25">
      <c r="B420" s="51" t="s">
        <v>1101</v>
      </c>
      <c r="C420" s="51" t="s">
        <v>1102</v>
      </c>
      <c r="D420" s="51" t="s">
        <v>1103</v>
      </c>
      <c r="E420" s="51"/>
      <c r="F420" s="51" t="s">
        <v>1104</v>
      </c>
      <c r="G420" s="51" t="s">
        <v>918</v>
      </c>
    </row>
    <row r="421" spans="2:7" hidden="1" outlineLevel="2" x14ac:dyDescent="0.25">
      <c r="B421" s="51" t="s">
        <v>1105</v>
      </c>
      <c r="C421" s="51" t="s">
        <v>1106</v>
      </c>
      <c r="D421" s="51" t="s">
        <v>1107</v>
      </c>
      <c r="E421" s="51"/>
      <c r="F421" s="51" t="s">
        <v>1108</v>
      </c>
      <c r="G421" s="51" t="s">
        <v>1109</v>
      </c>
    </row>
    <row r="422" spans="2:7" hidden="1" outlineLevel="2" x14ac:dyDescent="0.25">
      <c r="B422" s="51" t="s">
        <v>1110</v>
      </c>
      <c r="C422" s="51" t="s">
        <v>1111</v>
      </c>
      <c r="D422" s="51" t="s">
        <v>1112</v>
      </c>
      <c r="E422" s="51"/>
      <c r="F422" s="51" t="s">
        <v>1113</v>
      </c>
      <c r="G422" s="51" t="s">
        <v>1114</v>
      </c>
    </row>
    <row r="423" spans="2:7" hidden="1" outlineLevel="2" x14ac:dyDescent="0.25">
      <c r="B423" s="51" t="s">
        <v>1115</v>
      </c>
      <c r="C423" s="51" t="s">
        <v>1116</v>
      </c>
      <c r="D423" s="51" t="s">
        <v>1117</v>
      </c>
      <c r="E423" s="51"/>
      <c r="F423" s="51" t="s">
        <v>1118</v>
      </c>
      <c r="G423" s="51" t="s">
        <v>1119</v>
      </c>
    </row>
    <row r="424" spans="2:7" hidden="1" outlineLevel="2" x14ac:dyDescent="0.25">
      <c r="B424" s="51" t="s">
        <v>1120</v>
      </c>
      <c r="C424" s="51" t="s">
        <v>1121</v>
      </c>
      <c r="D424" s="51" t="s">
        <v>1122</v>
      </c>
      <c r="E424" s="51"/>
      <c r="F424" s="51" t="s">
        <v>1123</v>
      </c>
      <c r="G424" s="51" t="s">
        <v>938</v>
      </c>
    </row>
    <row r="425" spans="2:7" hidden="1" outlineLevel="2" x14ac:dyDescent="0.25">
      <c r="B425" s="51" t="s">
        <v>1124</v>
      </c>
      <c r="C425" s="51" t="s">
        <v>1125</v>
      </c>
      <c r="D425" s="51" t="s">
        <v>1126</v>
      </c>
      <c r="E425" s="51"/>
      <c r="F425" s="51" t="s">
        <v>1127</v>
      </c>
      <c r="G425" s="51" t="s">
        <v>943</v>
      </c>
    </row>
    <row r="426" spans="2:7" hidden="1" outlineLevel="2" x14ac:dyDescent="0.25">
      <c r="B426" s="51" t="s">
        <v>1128</v>
      </c>
      <c r="C426" s="51" t="s">
        <v>1129</v>
      </c>
      <c r="D426" s="51" t="s">
        <v>1130</v>
      </c>
      <c r="E426" s="51"/>
      <c r="F426" s="51" t="s">
        <v>1131</v>
      </c>
      <c r="G426" s="51" t="s">
        <v>948</v>
      </c>
    </row>
    <row r="427" spans="2:7" hidden="1" outlineLevel="2" x14ac:dyDescent="0.25">
      <c r="B427" s="51" t="s">
        <v>1132</v>
      </c>
      <c r="C427" s="51" t="s">
        <v>1133</v>
      </c>
      <c r="D427" s="51" t="s">
        <v>1134</v>
      </c>
      <c r="E427" s="51"/>
      <c r="F427" s="51" t="s">
        <v>1135</v>
      </c>
      <c r="G427" s="51" t="s">
        <v>953</v>
      </c>
    </row>
    <row r="428" spans="2:7" hidden="1" outlineLevel="2" x14ac:dyDescent="0.25">
      <c r="B428" s="51" t="s">
        <v>1136</v>
      </c>
      <c r="C428" s="51" t="s">
        <v>1137</v>
      </c>
      <c r="D428" s="51" t="s">
        <v>1138</v>
      </c>
      <c r="E428" s="51"/>
      <c r="F428" s="51" t="s">
        <v>1139</v>
      </c>
      <c r="G428" s="51" t="s">
        <v>958</v>
      </c>
    </row>
    <row r="429" spans="2:7" hidden="1" outlineLevel="2" x14ac:dyDescent="0.25">
      <c r="B429" s="51" t="s">
        <v>1140</v>
      </c>
      <c r="C429" s="51" t="s">
        <v>1141</v>
      </c>
      <c r="D429" s="51" t="s">
        <v>1142</v>
      </c>
      <c r="E429" s="51"/>
      <c r="F429" s="51" t="s">
        <v>1143</v>
      </c>
      <c r="G429" s="51" t="s">
        <v>963</v>
      </c>
    </row>
    <row r="430" spans="2:7" hidden="1" outlineLevel="2" x14ac:dyDescent="0.25">
      <c r="B430" s="51" t="s">
        <v>1144</v>
      </c>
      <c r="C430" s="51" t="s">
        <v>1145</v>
      </c>
      <c r="D430" s="51" t="s">
        <v>1146</v>
      </c>
      <c r="E430" s="51"/>
      <c r="F430" s="51" t="s">
        <v>1147</v>
      </c>
      <c r="G430" s="51" t="s">
        <v>968</v>
      </c>
    </row>
    <row r="431" spans="2:7" hidden="1" outlineLevel="2" x14ac:dyDescent="0.25">
      <c r="B431" s="51" t="s">
        <v>1148</v>
      </c>
      <c r="C431" s="51" t="s">
        <v>1149</v>
      </c>
      <c r="D431" s="51" t="s">
        <v>1150</v>
      </c>
      <c r="E431" s="51"/>
      <c r="F431" s="51" t="s">
        <v>1151</v>
      </c>
      <c r="G431" s="51" t="s">
        <v>1152</v>
      </c>
    </row>
    <row r="432" spans="2:7" hidden="1" outlineLevel="2" x14ac:dyDescent="0.25">
      <c r="B432" s="51" t="s">
        <v>1153</v>
      </c>
      <c r="C432" s="51" t="s">
        <v>1154</v>
      </c>
      <c r="D432" s="51" t="s">
        <v>1155</v>
      </c>
      <c r="E432" s="51"/>
      <c r="F432" s="51" t="s">
        <v>1156</v>
      </c>
      <c r="G432" s="51" t="s">
        <v>406</v>
      </c>
    </row>
    <row r="433" spans="2:7" hidden="1" outlineLevel="2" x14ac:dyDescent="0.25">
      <c r="B433" s="51" t="s">
        <v>1157</v>
      </c>
      <c r="C433" s="51" t="s">
        <v>1158</v>
      </c>
      <c r="D433" s="51" t="s">
        <v>1159</v>
      </c>
      <c r="E433" s="51"/>
      <c r="F433" s="51" t="s">
        <v>1160</v>
      </c>
      <c r="G433" s="51" t="s">
        <v>982</v>
      </c>
    </row>
    <row r="434" spans="2:7" hidden="1" outlineLevel="2" x14ac:dyDescent="0.25">
      <c r="B434" s="51" t="s">
        <v>1161</v>
      </c>
      <c r="C434" s="51" t="s">
        <v>1162</v>
      </c>
      <c r="D434" s="51" t="s">
        <v>1163</v>
      </c>
      <c r="E434" s="51"/>
      <c r="F434" s="51" t="s">
        <v>1164</v>
      </c>
      <c r="G434" s="51" t="s">
        <v>987</v>
      </c>
    </row>
    <row r="435" spans="2:7" hidden="1" outlineLevel="2" x14ac:dyDescent="0.25">
      <c r="B435" s="51" t="s">
        <v>1165</v>
      </c>
      <c r="C435" s="51" t="s">
        <v>1166</v>
      </c>
      <c r="D435" s="51" t="s">
        <v>1167</v>
      </c>
      <c r="E435" s="51"/>
      <c r="F435" s="51" t="s">
        <v>1168</v>
      </c>
      <c r="G435" s="51" t="s">
        <v>992</v>
      </c>
    </row>
    <row r="436" spans="2:7" hidden="1" outlineLevel="2" x14ac:dyDescent="0.25">
      <c r="B436" s="51" t="s">
        <v>1169</v>
      </c>
      <c r="C436" s="51" t="s">
        <v>1170</v>
      </c>
      <c r="D436" s="51" t="s">
        <v>1171</v>
      </c>
      <c r="E436" s="51"/>
      <c r="F436" s="51" t="s">
        <v>1172</v>
      </c>
      <c r="G436" s="51" t="s">
        <v>997</v>
      </c>
    </row>
    <row r="437" spans="2:7" hidden="1" outlineLevel="2" x14ac:dyDescent="0.25">
      <c r="B437" s="51" t="s">
        <v>1173</v>
      </c>
      <c r="C437" s="51" t="s">
        <v>1174</v>
      </c>
      <c r="D437" s="51" t="s">
        <v>1175</v>
      </c>
      <c r="E437" s="51"/>
      <c r="F437" s="51" t="s">
        <v>1176</v>
      </c>
      <c r="G437" s="51" t="s">
        <v>1002</v>
      </c>
    </row>
    <row r="438" spans="2:7" hidden="1" outlineLevel="2" x14ac:dyDescent="0.25">
      <c r="B438" s="51" t="s">
        <v>1177</v>
      </c>
      <c r="C438" s="51" t="s">
        <v>1178</v>
      </c>
      <c r="D438" s="51" t="s">
        <v>1179</v>
      </c>
      <c r="E438" s="51"/>
      <c r="F438" s="51" t="s">
        <v>1180</v>
      </c>
      <c r="G438" s="51" t="s">
        <v>218</v>
      </c>
    </row>
    <row r="439" spans="2:7" hidden="1" outlineLevel="2" x14ac:dyDescent="0.25">
      <c r="B439" s="51" t="s">
        <v>1181</v>
      </c>
      <c r="C439" s="51" t="s">
        <v>1182</v>
      </c>
      <c r="D439" s="51" t="s">
        <v>1183</v>
      </c>
      <c r="E439" s="51"/>
      <c r="F439" s="51" t="s">
        <v>1184</v>
      </c>
      <c r="G439" s="51" t="s">
        <v>1011</v>
      </c>
    </row>
    <row r="440" spans="2:7" hidden="1" outlineLevel="2" x14ac:dyDescent="0.25">
      <c r="B440" s="51" t="s">
        <v>1185</v>
      </c>
      <c r="C440" s="51" t="s">
        <v>1186</v>
      </c>
      <c r="D440" s="51" t="s">
        <v>1187</v>
      </c>
      <c r="E440" s="51"/>
      <c r="F440" s="51" t="s">
        <v>1188</v>
      </c>
      <c r="G440" s="51" t="s">
        <v>579</v>
      </c>
    </row>
    <row r="441" spans="2:7" hidden="1" outlineLevel="2" x14ac:dyDescent="0.25">
      <c r="B441" s="51" t="s">
        <v>1189</v>
      </c>
      <c r="C441" s="51" t="s">
        <v>1190</v>
      </c>
      <c r="D441" s="51" t="s">
        <v>1191</v>
      </c>
      <c r="E441" s="51"/>
      <c r="F441" s="51" t="s">
        <v>1020</v>
      </c>
      <c r="G441" s="51" t="s">
        <v>580</v>
      </c>
    </row>
    <row r="442" spans="2:7" hidden="1" outlineLevel="2" x14ac:dyDescent="0.25">
      <c r="B442" s="51" t="s">
        <v>1192</v>
      </c>
      <c r="C442" s="51" t="s">
        <v>1193</v>
      </c>
      <c r="D442" s="51" t="s">
        <v>1194</v>
      </c>
      <c r="E442" s="51"/>
      <c r="F442" s="51" t="s">
        <v>1195</v>
      </c>
      <c r="G442" s="51" t="s">
        <v>1025</v>
      </c>
    </row>
    <row r="443" spans="2:7" hidden="1" outlineLevel="2" x14ac:dyDescent="0.25">
      <c r="B443" s="51" t="s">
        <v>1196</v>
      </c>
      <c r="C443" s="51" t="s">
        <v>1197</v>
      </c>
      <c r="D443" s="51" t="s">
        <v>1198</v>
      </c>
      <c r="E443" s="51"/>
      <c r="F443" s="51" t="s">
        <v>1199</v>
      </c>
      <c r="G443" s="51" t="s">
        <v>581</v>
      </c>
    </row>
    <row r="444" spans="2:7" hidden="1" outlineLevel="2" x14ac:dyDescent="0.25">
      <c r="B444" s="51" t="s">
        <v>1200</v>
      </c>
      <c r="C444" s="51" t="s">
        <v>1201</v>
      </c>
      <c r="D444" s="51" t="s">
        <v>1202</v>
      </c>
      <c r="E444" s="51"/>
      <c r="F444" s="51" t="s">
        <v>1203</v>
      </c>
      <c r="G444" s="51" t="s">
        <v>1204</v>
      </c>
    </row>
    <row r="445" spans="2:7" hidden="1" outlineLevel="2" x14ac:dyDescent="0.25">
      <c r="B445" s="51" t="s">
        <v>1205</v>
      </c>
      <c r="C445" s="51" t="s">
        <v>1206</v>
      </c>
      <c r="D445" s="51" t="s">
        <v>1207</v>
      </c>
      <c r="E445" s="51"/>
      <c r="F445" s="51" t="s">
        <v>1208</v>
      </c>
      <c r="G445" s="51" t="s">
        <v>585</v>
      </c>
    </row>
    <row r="446" spans="2:7" hidden="1" outlineLevel="2" x14ac:dyDescent="0.25">
      <c r="B446" s="51" t="s">
        <v>1209</v>
      </c>
      <c r="C446" s="51" t="s">
        <v>1210</v>
      </c>
      <c r="D446" s="51" t="s">
        <v>1211</v>
      </c>
      <c r="E446" s="51"/>
      <c r="F446" s="51" t="s">
        <v>1047</v>
      </c>
      <c r="G446" s="51" t="s">
        <v>232</v>
      </c>
    </row>
    <row r="447" spans="2:7" hidden="1" outlineLevel="2" x14ac:dyDescent="0.25">
      <c r="B447" s="51" t="s">
        <v>1212</v>
      </c>
      <c r="C447" s="51" t="s">
        <v>1213</v>
      </c>
      <c r="D447" s="51" t="s">
        <v>1214</v>
      </c>
      <c r="E447" s="51"/>
      <c r="F447" s="51" t="s">
        <v>1215</v>
      </c>
      <c r="G447" s="51" t="s">
        <v>1216</v>
      </c>
    </row>
    <row r="448" spans="2:7" hidden="1" outlineLevel="2" x14ac:dyDescent="0.25">
      <c r="B448" s="51" t="s">
        <v>1217</v>
      </c>
      <c r="C448" s="51" t="s">
        <v>1218</v>
      </c>
      <c r="D448" s="51" t="s">
        <v>1219</v>
      </c>
      <c r="E448" s="51"/>
      <c r="F448" s="51" t="s">
        <v>1220</v>
      </c>
      <c r="G448" s="51" t="s">
        <v>1221</v>
      </c>
    </row>
    <row r="449" spans="2:7" hidden="1" outlineLevel="2" x14ac:dyDescent="0.25">
      <c r="B449" s="51" t="s">
        <v>1222</v>
      </c>
      <c r="C449" s="51" t="s">
        <v>1223</v>
      </c>
      <c r="D449" s="51" t="s">
        <v>1224</v>
      </c>
      <c r="E449" s="51"/>
      <c r="F449" s="51" t="s">
        <v>1225</v>
      </c>
      <c r="G449" s="51" t="s">
        <v>1226</v>
      </c>
    </row>
    <row r="450" spans="2:7" hidden="1" outlineLevel="2" x14ac:dyDescent="0.25">
      <c r="B450" s="51" t="s">
        <v>1227</v>
      </c>
      <c r="C450" s="51" t="s">
        <v>1228</v>
      </c>
      <c r="D450" s="51" t="s">
        <v>1229</v>
      </c>
      <c r="E450" s="51"/>
      <c r="F450" s="51" t="s">
        <v>1230</v>
      </c>
      <c r="G450" s="51" t="s">
        <v>1231</v>
      </c>
    </row>
    <row r="451" spans="2:7" hidden="1" outlineLevel="2" x14ac:dyDescent="0.25">
      <c r="B451" s="51" t="s">
        <v>1232</v>
      </c>
      <c r="C451" s="51" t="s">
        <v>1233</v>
      </c>
      <c r="D451" s="51" t="s">
        <v>1234</v>
      </c>
      <c r="E451" s="51"/>
      <c r="F451" s="51" t="s">
        <v>1235</v>
      </c>
      <c r="G451" s="51" t="s">
        <v>1236</v>
      </c>
    </row>
    <row r="452" spans="2:7" hidden="1" outlineLevel="2" x14ac:dyDescent="0.25">
      <c r="B452" s="51" t="s">
        <v>1237</v>
      </c>
      <c r="C452" s="51" t="s">
        <v>1238</v>
      </c>
      <c r="D452" s="51" t="s">
        <v>1239</v>
      </c>
      <c r="E452" s="51"/>
      <c r="F452" s="51" t="s">
        <v>1240</v>
      </c>
      <c r="G452" s="51" t="s">
        <v>1241</v>
      </c>
    </row>
    <row r="453" spans="2:7" hidden="1" outlineLevel="2" x14ac:dyDescent="0.25">
      <c r="B453" s="51" t="s">
        <v>1242</v>
      </c>
      <c r="C453" s="51" t="s">
        <v>1243</v>
      </c>
      <c r="D453" s="51" t="s">
        <v>1244</v>
      </c>
      <c r="E453" s="51"/>
      <c r="F453" s="51" t="s">
        <v>1245</v>
      </c>
      <c r="G453" s="51" t="s">
        <v>1246</v>
      </c>
    </row>
    <row r="454" spans="2:7" hidden="1" outlineLevel="2" x14ac:dyDescent="0.25">
      <c r="B454" s="51" t="s">
        <v>1247</v>
      </c>
      <c r="C454" s="51" t="s">
        <v>1248</v>
      </c>
      <c r="D454" s="51" t="s">
        <v>1249</v>
      </c>
      <c r="E454" s="51"/>
      <c r="F454" s="51" t="s">
        <v>1250</v>
      </c>
      <c r="G454" s="51" t="s">
        <v>1251</v>
      </c>
    </row>
    <row r="455" spans="2:7" hidden="1" outlineLevel="2" x14ac:dyDescent="0.25">
      <c r="B455" s="51" t="s">
        <v>1252</v>
      </c>
      <c r="C455" s="51" t="s">
        <v>1253</v>
      </c>
      <c r="D455" s="51" t="s">
        <v>1254</v>
      </c>
      <c r="E455" s="51"/>
      <c r="F455" s="51" t="s">
        <v>1255</v>
      </c>
      <c r="G455" s="51" t="s">
        <v>1256</v>
      </c>
    </row>
    <row r="456" spans="2:7" hidden="1" outlineLevel="2" x14ac:dyDescent="0.25">
      <c r="B456" s="51" t="s">
        <v>1257</v>
      </c>
      <c r="C456" s="51" t="s">
        <v>1258</v>
      </c>
      <c r="D456" s="51" t="s">
        <v>1259</v>
      </c>
      <c r="E456" s="51"/>
      <c r="F456" s="51" t="s">
        <v>1260</v>
      </c>
      <c r="G456" s="51" t="s">
        <v>1261</v>
      </c>
    </row>
    <row r="457" spans="2:7" hidden="1" outlineLevel="2" x14ac:dyDescent="0.25">
      <c r="B457" s="51" t="s">
        <v>1262</v>
      </c>
      <c r="C457" s="51" t="s">
        <v>1263</v>
      </c>
      <c r="D457" s="51" t="s">
        <v>1264</v>
      </c>
      <c r="E457" s="51"/>
      <c r="F457" s="51" t="s">
        <v>1265</v>
      </c>
      <c r="G457" s="51" t="s">
        <v>1266</v>
      </c>
    </row>
    <row r="458" spans="2:7" hidden="1" outlineLevel="2" x14ac:dyDescent="0.25">
      <c r="B458" s="51" t="s">
        <v>1267</v>
      </c>
      <c r="C458" s="51" t="s">
        <v>1268</v>
      </c>
      <c r="D458" s="51" t="s">
        <v>1269</v>
      </c>
      <c r="E458" s="51"/>
      <c r="F458" s="51" t="s">
        <v>1270</v>
      </c>
      <c r="G458" s="51" t="s">
        <v>1271</v>
      </c>
    </row>
    <row r="459" spans="2:7" hidden="1" outlineLevel="2" x14ac:dyDescent="0.25">
      <c r="B459" s="51" t="s">
        <v>1272</v>
      </c>
      <c r="C459" s="51" t="s">
        <v>1273</v>
      </c>
      <c r="D459" s="51" t="s">
        <v>1274</v>
      </c>
      <c r="E459" s="51"/>
      <c r="F459" s="51" t="s">
        <v>1275</v>
      </c>
      <c r="G459" s="51" t="s">
        <v>1276</v>
      </c>
    </row>
    <row r="460" spans="2:7" hidden="1" outlineLevel="2" x14ac:dyDescent="0.25"/>
    <row r="461" spans="2:7" s="39" customFormat="1" ht="27.75" hidden="1" customHeight="1" outlineLevel="1" x14ac:dyDescent="0.25">
      <c r="B461" s="38" t="s">
        <v>1278</v>
      </c>
    </row>
    <row r="462" spans="2:7" hidden="1" outlineLevel="1" x14ac:dyDescent="0.25"/>
    <row r="463" spans="2:7" hidden="1" outlineLevel="2" x14ac:dyDescent="0.25">
      <c r="B463" s="58" t="s">
        <v>592</v>
      </c>
      <c r="C463" s="59" t="s">
        <v>1309</v>
      </c>
      <c r="D463" s="55" t="s">
        <v>1280</v>
      </c>
    </row>
    <row r="464" spans="2:7" hidden="1" outlineLevel="2" x14ac:dyDescent="0.25">
      <c r="B464" s="60">
        <v>40100100</v>
      </c>
      <c r="C464" s="60" t="s">
        <v>1310</v>
      </c>
      <c r="D464" s="56"/>
    </row>
    <row r="465" spans="2:4" hidden="1" outlineLevel="2" x14ac:dyDescent="0.25">
      <c r="B465" s="60">
        <v>40100110</v>
      </c>
      <c r="C465" s="60" t="s">
        <v>1311</v>
      </c>
      <c r="D465" s="56"/>
    </row>
    <row r="466" spans="2:4" hidden="1" outlineLevel="2" x14ac:dyDescent="0.25">
      <c r="B466" s="60">
        <v>40100120</v>
      </c>
      <c r="C466" s="60" t="s">
        <v>1312</v>
      </c>
      <c r="D466" s="56"/>
    </row>
    <row r="467" spans="2:4" hidden="1" outlineLevel="2" x14ac:dyDescent="0.25">
      <c r="B467" s="60">
        <v>40100200</v>
      </c>
      <c r="C467" s="60" t="s">
        <v>1313</v>
      </c>
      <c r="D467" s="56"/>
    </row>
    <row r="468" spans="2:4" hidden="1" outlineLevel="2" x14ac:dyDescent="0.25">
      <c r="B468" s="60">
        <v>40100220</v>
      </c>
      <c r="C468" s="60" t="s">
        <v>1314</v>
      </c>
      <c r="D468" s="56"/>
    </row>
    <row r="469" spans="2:4" hidden="1" outlineLevel="2" x14ac:dyDescent="0.25">
      <c r="B469" s="60">
        <v>41000100</v>
      </c>
      <c r="C469" s="60" t="s">
        <v>1315</v>
      </c>
      <c r="D469" s="56"/>
    </row>
    <row r="470" spans="2:4" hidden="1" outlineLevel="2" x14ac:dyDescent="0.25">
      <c r="B470" s="60">
        <v>50000100</v>
      </c>
      <c r="C470" s="60" t="s">
        <v>1316</v>
      </c>
      <c r="D470" s="56"/>
    </row>
    <row r="471" spans="2:4" hidden="1" outlineLevel="2" x14ac:dyDescent="0.25">
      <c r="B471" s="60">
        <v>50000109</v>
      </c>
      <c r="C471" s="60" t="s">
        <v>1317</v>
      </c>
      <c r="D471" s="56"/>
    </row>
    <row r="472" spans="2:4" hidden="1" outlineLevel="2" x14ac:dyDescent="0.25">
      <c r="B472" s="60">
        <v>50000200</v>
      </c>
      <c r="C472" s="60" t="s">
        <v>1318</v>
      </c>
      <c r="D472" s="56"/>
    </row>
    <row r="473" spans="2:4" hidden="1" outlineLevel="2" x14ac:dyDescent="0.25">
      <c r="B473" s="60">
        <v>50000209</v>
      </c>
      <c r="C473" s="60" t="s">
        <v>1319</v>
      </c>
      <c r="D473" s="56"/>
    </row>
    <row r="474" spans="2:4" hidden="1" outlineLevel="2" x14ac:dyDescent="0.25">
      <c r="B474" s="60">
        <v>50000300</v>
      </c>
      <c r="C474" s="60" t="s">
        <v>1320</v>
      </c>
      <c r="D474" s="56"/>
    </row>
    <row r="475" spans="2:4" hidden="1" outlineLevel="2" x14ac:dyDescent="0.25">
      <c r="B475" s="60">
        <v>50000309</v>
      </c>
      <c r="C475" s="60" t="s">
        <v>1321</v>
      </c>
      <c r="D475" s="56"/>
    </row>
    <row r="476" spans="2:4" hidden="1" outlineLevel="2" x14ac:dyDescent="0.25">
      <c r="B476" s="60">
        <v>50010100</v>
      </c>
      <c r="C476" s="60" t="s">
        <v>1322</v>
      </c>
      <c r="D476" s="56" t="s">
        <v>1281</v>
      </c>
    </row>
    <row r="477" spans="2:4" hidden="1" outlineLevel="2" x14ac:dyDescent="0.25">
      <c r="B477" s="60">
        <v>50010200</v>
      </c>
      <c r="C477" s="60" t="s">
        <v>1323</v>
      </c>
      <c r="D477" s="56" t="s">
        <v>1281</v>
      </c>
    </row>
    <row r="478" spans="2:4" hidden="1" outlineLevel="2" x14ac:dyDescent="0.25">
      <c r="B478" s="60">
        <v>50010300</v>
      </c>
      <c r="C478" s="60" t="s">
        <v>1324</v>
      </c>
      <c r="D478" s="56" t="s">
        <v>1281</v>
      </c>
    </row>
    <row r="479" spans="2:4" hidden="1" outlineLevel="2" x14ac:dyDescent="0.25">
      <c r="B479" s="60">
        <v>50010400</v>
      </c>
      <c r="C479" s="60" t="s">
        <v>1325</v>
      </c>
      <c r="D479" s="56" t="s">
        <v>1281</v>
      </c>
    </row>
    <row r="480" spans="2:4" hidden="1" outlineLevel="2" x14ac:dyDescent="0.25">
      <c r="B480" s="60">
        <v>50010500</v>
      </c>
      <c r="C480" s="60" t="s">
        <v>1326</v>
      </c>
      <c r="D480" s="56" t="s">
        <v>1281</v>
      </c>
    </row>
    <row r="481" spans="2:4" hidden="1" outlineLevel="2" x14ac:dyDescent="0.25">
      <c r="B481" s="60">
        <v>50010600</v>
      </c>
      <c r="C481" s="60" t="s">
        <v>1327</v>
      </c>
      <c r="D481" s="56" t="s">
        <v>1281</v>
      </c>
    </row>
    <row r="482" spans="2:4" hidden="1" outlineLevel="2" x14ac:dyDescent="0.25">
      <c r="B482" s="60">
        <v>50010700</v>
      </c>
      <c r="C482" s="60" t="s">
        <v>1328</v>
      </c>
      <c r="D482" s="56" t="s">
        <v>1281</v>
      </c>
    </row>
    <row r="483" spans="2:4" hidden="1" outlineLevel="2" x14ac:dyDescent="0.25">
      <c r="B483" s="60">
        <v>50010800</v>
      </c>
      <c r="C483" s="60" t="s">
        <v>1329</v>
      </c>
      <c r="D483" s="56" t="s">
        <v>1281</v>
      </c>
    </row>
    <row r="484" spans="2:4" hidden="1" outlineLevel="2" x14ac:dyDescent="0.25">
      <c r="B484" s="60">
        <v>50010900</v>
      </c>
      <c r="C484" s="60" t="s">
        <v>1330</v>
      </c>
      <c r="D484" s="56" t="s">
        <v>1281</v>
      </c>
    </row>
    <row r="485" spans="2:4" hidden="1" outlineLevel="2" x14ac:dyDescent="0.25">
      <c r="B485" s="60">
        <v>50011000</v>
      </c>
      <c r="C485" s="60" t="s">
        <v>1331</v>
      </c>
      <c r="D485" s="56" t="s">
        <v>1281</v>
      </c>
    </row>
    <row r="486" spans="2:4" hidden="1" outlineLevel="2" x14ac:dyDescent="0.25">
      <c r="B486" s="60">
        <v>50011100</v>
      </c>
      <c r="C486" s="60" t="s">
        <v>1332</v>
      </c>
      <c r="D486" s="56" t="s">
        <v>1281</v>
      </c>
    </row>
    <row r="487" spans="2:4" hidden="1" outlineLevel="2" x14ac:dyDescent="0.25">
      <c r="B487" s="60">
        <v>50011200</v>
      </c>
      <c r="C487" s="60" t="s">
        <v>1333</v>
      </c>
      <c r="D487" s="56" t="s">
        <v>1281</v>
      </c>
    </row>
    <row r="488" spans="2:4" hidden="1" outlineLevel="2" x14ac:dyDescent="0.25">
      <c r="B488" s="60">
        <v>50100010</v>
      </c>
      <c r="C488" s="60" t="s">
        <v>1334</v>
      </c>
      <c r="D488" s="56" t="s">
        <v>1281</v>
      </c>
    </row>
    <row r="489" spans="2:4" hidden="1" outlineLevel="2" x14ac:dyDescent="0.25">
      <c r="B489" s="60">
        <v>50100020</v>
      </c>
      <c r="C489" s="60" t="s">
        <v>582</v>
      </c>
      <c r="D489" s="56"/>
    </row>
    <row r="490" spans="2:4" hidden="1" outlineLevel="2" x14ac:dyDescent="0.25">
      <c r="B490" s="60">
        <v>50100030</v>
      </c>
      <c r="C490" s="60" t="s">
        <v>1335</v>
      </c>
      <c r="D490" s="56" t="s">
        <v>1281</v>
      </c>
    </row>
    <row r="491" spans="2:4" hidden="1" outlineLevel="2" x14ac:dyDescent="0.25">
      <c r="B491" s="60">
        <v>50200010</v>
      </c>
      <c r="C491" s="60" t="s">
        <v>1336</v>
      </c>
      <c r="D491" s="56" t="s">
        <v>1281</v>
      </c>
    </row>
    <row r="492" spans="2:4" hidden="1" outlineLevel="2" x14ac:dyDescent="0.25">
      <c r="B492" s="61">
        <v>50300010</v>
      </c>
      <c r="C492" s="61" t="s">
        <v>48</v>
      </c>
      <c r="D492" s="56" t="s">
        <v>1281</v>
      </c>
    </row>
    <row r="493" spans="2:4" hidden="1" outlineLevel="2" x14ac:dyDescent="0.25">
      <c r="B493" s="61">
        <v>50300020</v>
      </c>
      <c r="C493" s="61" t="s">
        <v>51</v>
      </c>
      <c r="D493" s="56" t="s">
        <v>1281</v>
      </c>
    </row>
    <row r="494" spans="2:4" hidden="1" outlineLevel="2" x14ac:dyDescent="0.25">
      <c r="B494" s="62">
        <v>50300030</v>
      </c>
      <c r="C494" s="62" t="s">
        <v>53</v>
      </c>
      <c r="D494" s="56" t="s">
        <v>1281</v>
      </c>
    </row>
    <row r="495" spans="2:4" hidden="1" outlineLevel="2" x14ac:dyDescent="0.25">
      <c r="B495" s="61">
        <v>50300040</v>
      </c>
      <c r="C495" s="61" t="s">
        <v>55</v>
      </c>
      <c r="D495" s="56" t="s">
        <v>1281</v>
      </c>
    </row>
    <row r="496" spans="2:4" hidden="1" outlineLevel="2" x14ac:dyDescent="0.25">
      <c r="B496" s="62">
        <v>50300050</v>
      </c>
      <c r="C496" s="62" t="s">
        <v>57</v>
      </c>
      <c r="D496" s="56"/>
    </row>
    <row r="497" spans="2:4" hidden="1" outlineLevel="2" x14ac:dyDescent="0.25">
      <c r="B497" s="61">
        <v>50300070</v>
      </c>
      <c r="C497" s="61" t="s">
        <v>1337</v>
      </c>
      <c r="D497" s="56" t="s">
        <v>1281</v>
      </c>
    </row>
    <row r="498" spans="2:4" hidden="1" outlineLevel="2" x14ac:dyDescent="0.25">
      <c r="B498" s="62">
        <v>50300080</v>
      </c>
      <c r="C498" s="62" t="s">
        <v>1338</v>
      </c>
      <c r="D498" s="56" t="s">
        <v>1281</v>
      </c>
    </row>
    <row r="499" spans="2:4" hidden="1" outlineLevel="2" x14ac:dyDescent="0.25">
      <c r="B499" s="62">
        <v>50300090</v>
      </c>
      <c r="C499" s="62" t="s">
        <v>65</v>
      </c>
      <c r="D499" s="56" t="s">
        <v>1281</v>
      </c>
    </row>
    <row r="500" spans="2:4" hidden="1" outlineLevel="2" x14ac:dyDescent="0.25">
      <c r="B500" s="62">
        <v>50300100</v>
      </c>
      <c r="C500" s="62" t="s">
        <v>67</v>
      </c>
      <c r="D500" s="56" t="s">
        <v>1282</v>
      </c>
    </row>
    <row r="501" spans="2:4" hidden="1" outlineLevel="2" x14ac:dyDescent="0.25">
      <c r="B501" s="61">
        <v>50300990</v>
      </c>
      <c r="C501" s="61" t="s">
        <v>71</v>
      </c>
      <c r="D501" s="56" t="s">
        <v>1281</v>
      </c>
    </row>
    <row r="502" spans="2:4" hidden="1" outlineLevel="2" x14ac:dyDescent="0.25">
      <c r="B502" s="60">
        <v>50500010</v>
      </c>
      <c r="C502" s="60" t="s">
        <v>1339</v>
      </c>
      <c r="D502" s="56" t="s">
        <v>1283</v>
      </c>
    </row>
    <row r="503" spans="2:4" hidden="1" outlineLevel="2" x14ac:dyDescent="0.25">
      <c r="B503" s="60">
        <v>50500020</v>
      </c>
      <c r="C503" s="60" t="s">
        <v>1340</v>
      </c>
      <c r="D503" s="56" t="s">
        <v>1281</v>
      </c>
    </row>
    <row r="504" spans="2:4" hidden="1" outlineLevel="2" x14ac:dyDescent="0.25">
      <c r="B504" s="60">
        <v>50500030</v>
      </c>
      <c r="C504" s="60" t="s">
        <v>1341</v>
      </c>
      <c r="D504" s="56" t="s">
        <v>1281</v>
      </c>
    </row>
    <row r="505" spans="2:4" hidden="1" outlineLevel="2" x14ac:dyDescent="0.25">
      <c r="B505" s="60">
        <v>50500040</v>
      </c>
      <c r="C505" s="60" t="s">
        <v>111</v>
      </c>
      <c r="D505" s="56" t="s">
        <v>1281</v>
      </c>
    </row>
    <row r="506" spans="2:4" hidden="1" outlineLevel="2" x14ac:dyDescent="0.25">
      <c r="B506" s="60">
        <v>50600010</v>
      </c>
      <c r="C506" s="60" t="s">
        <v>1342</v>
      </c>
      <c r="D506" s="56" t="s">
        <v>913</v>
      </c>
    </row>
    <row r="507" spans="2:4" hidden="1" outlineLevel="2" x14ac:dyDescent="0.25">
      <c r="B507" s="60">
        <v>50600030</v>
      </c>
      <c r="C507" s="60" t="s">
        <v>1343</v>
      </c>
      <c r="D507" s="56" t="s">
        <v>913</v>
      </c>
    </row>
    <row r="508" spans="2:4" hidden="1" outlineLevel="2" x14ac:dyDescent="0.25">
      <c r="B508" s="60">
        <v>50600040</v>
      </c>
      <c r="C508" s="60" t="s">
        <v>1344</v>
      </c>
      <c r="D508" s="56" t="s">
        <v>913</v>
      </c>
    </row>
    <row r="509" spans="2:4" hidden="1" outlineLevel="2" x14ac:dyDescent="0.25">
      <c r="B509" s="60">
        <v>50600050</v>
      </c>
      <c r="C509" s="60" t="s">
        <v>1345</v>
      </c>
      <c r="D509" s="56" t="s">
        <v>913</v>
      </c>
    </row>
    <row r="510" spans="2:4" hidden="1" outlineLevel="2" x14ac:dyDescent="0.25">
      <c r="B510" s="60">
        <v>50700010</v>
      </c>
      <c r="C510" s="60" t="s">
        <v>115</v>
      </c>
      <c r="D510" s="56" t="s">
        <v>1281</v>
      </c>
    </row>
    <row r="511" spans="2:4" hidden="1" outlineLevel="2" x14ac:dyDescent="0.25">
      <c r="B511" s="60">
        <v>50800010</v>
      </c>
      <c r="C511" s="60" t="s">
        <v>1346</v>
      </c>
      <c r="D511" s="56"/>
    </row>
    <row r="512" spans="2:4" hidden="1" outlineLevel="2" x14ac:dyDescent="0.25">
      <c r="B512" s="60">
        <v>50800020</v>
      </c>
      <c r="C512" s="60" t="s">
        <v>1347</v>
      </c>
      <c r="D512" s="56" t="s">
        <v>1281</v>
      </c>
    </row>
    <row r="513" spans="2:4" hidden="1" outlineLevel="2" x14ac:dyDescent="0.25">
      <c r="B513" s="60">
        <v>50800030</v>
      </c>
      <c r="C513" s="60" t="s">
        <v>1347</v>
      </c>
      <c r="D513" s="56" t="s">
        <v>1281</v>
      </c>
    </row>
    <row r="514" spans="2:4" hidden="1" outlineLevel="2" x14ac:dyDescent="0.25">
      <c r="B514" s="60">
        <v>50800060</v>
      </c>
      <c r="C514" s="60" t="s">
        <v>1348</v>
      </c>
      <c r="D514" s="56" t="s">
        <v>1281</v>
      </c>
    </row>
    <row r="515" spans="2:4" hidden="1" outlineLevel="2" x14ac:dyDescent="0.25">
      <c r="B515" s="60">
        <v>50800070</v>
      </c>
      <c r="C515" s="60" t="s">
        <v>1349</v>
      </c>
      <c r="D515" s="56" t="s">
        <v>1281</v>
      </c>
    </row>
    <row r="516" spans="2:4" hidden="1" outlineLevel="2" x14ac:dyDescent="0.25">
      <c r="B516" s="60">
        <v>50900000</v>
      </c>
      <c r="C516" s="60" t="s">
        <v>1350</v>
      </c>
      <c r="D516" s="56" t="s">
        <v>1284</v>
      </c>
    </row>
    <row r="517" spans="2:4" hidden="1" outlineLevel="2" x14ac:dyDescent="0.25">
      <c r="B517" s="60">
        <v>50900010</v>
      </c>
      <c r="C517" s="60" t="s">
        <v>1351</v>
      </c>
      <c r="D517" s="56" t="s">
        <v>1284</v>
      </c>
    </row>
    <row r="518" spans="2:4" hidden="1" outlineLevel="2" x14ac:dyDescent="0.25">
      <c r="B518" s="60">
        <v>50900020</v>
      </c>
      <c r="C518" s="60" t="s">
        <v>1352</v>
      </c>
      <c r="D518" s="56" t="s">
        <v>1284</v>
      </c>
    </row>
    <row r="519" spans="2:4" hidden="1" outlineLevel="2" x14ac:dyDescent="0.25">
      <c r="B519" s="60">
        <v>50900030</v>
      </c>
      <c r="C519" s="60" t="s">
        <v>1353</v>
      </c>
      <c r="D519" s="56" t="s">
        <v>1281</v>
      </c>
    </row>
    <row r="520" spans="2:4" hidden="1" outlineLevel="2" x14ac:dyDescent="0.25">
      <c r="B520" s="60">
        <v>50900050</v>
      </c>
      <c r="C520" s="60" t="s">
        <v>1354</v>
      </c>
      <c r="D520" s="56" t="s">
        <v>1284</v>
      </c>
    </row>
    <row r="521" spans="2:4" hidden="1" outlineLevel="2" x14ac:dyDescent="0.25">
      <c r="B521" s="60">
        <v>50900060</v>
      </c>
      <c r="C521" s="60" t="s">
        <v>1355</v>
      </c>
      <c r="D521" s="56" t="s">
        <v>1284</v>
      </c>
    </row>
    <row r="522" spans="2:4" hidden="1" outlineLevel="2" x14ac:dyDescent="0.25">
      <c r="B522" s="60">
        <v>50900070</v>
      </c>
      <c r="C522" s="60" t="s">
        <v>1356</v>
      </c>
      <c r="D522" s="56" t="s">
        <v>1284</v>
      </c>
    </row>
    <row r="523" spans="2:4" hidden="1" outlineLevel="2" x14ac:dyDescent="0.25">
      <c r="B523" s="60">
        <v>51000000</v>
      </c>
      <c r="C523" s="60" t="s">
        <v>1357</v>
      </c>
      <c r="D523" s="56" t="s">
        <v>1284</v>
      </c>
    </row>
    <row r="524" spans="2:4" hidden="1" outlineLevel="2" x14ac:dyDescent="0.25">
      <c r="B524" s="60">
        <v>51000020</v>
      </c>
      <c r="C524" s="60" t="s">
        <v>1358</v>
      </c>
      <c r="D524" s="56" t="s">
        <v>1284</v>
      </c>
    </row>
    <row r="525" spans="2:4" hidden="1" outlineLevel="2" x14ac:dyDescent="0.25">
      <c r="B525" s="60">
        <v>50900090</v>
      </c>
      <c r="C525" s="60" t="s">
        <v>1359</v>
      </c>
      <c r="D525" s="56" t="s">
        <v>1284</v>
      </c>
    </row>
    <row r="526" spans="2:4" hidden="1" outlineLevel="2" x14ac:dyDescent="0.25">
      <c r="B526" s="60">
        <v>51300010</v>
      </c>
      <c r="C526" s="60" t="s">
        <v>564</v>
      </c>
      <c r="D526" s="56" t="s">
        <v>1281</v>
      </c>
    </row>
    <row r="527" spans="2:4" hidden="1" outlineLevel="2" x14ac:dyDescent="0.25">
      <c r="B527" s="60">
        <v>51300030</v>
      </c>
      <c r="C527" s="60" t="s">
        <v>566</v>
      </c>
      <c r="D527" s="56" t="s">
        <v>1281</v>
      </c>
    </row>
    <row r="528" spans="2:4" hidden="1" outlineLevel="2" x14ac:dyDescent="0.25">
      <c r="B528" s="60">
        <v>51300040</v>
      </c>
      <c r="C528" s="60" t="s">
        <v>567</v>
      </c>
      <c r="D528" s="56" t="s">
        <v>1281</v>
      </c>
    </row>
    <row r="529" spans="2:4" hidden="1" outlineLevel="2" x14ac:dyDescent="0.25">
      <c r="B529" s="60">
        <v>51300060</v>
      </c>
      <c r="C529" s="60" t="s">
        <v>569</v>
      </c>
      <c r="D529" s="56" t="s">
        <v>1281</v>
      </c>
    </row>
    <row r="530" spans="2:4" hidden="1" outlineLevel="2" x14ac:dyDescent="0.25">
      <c r="B530" s="60">
        <v>51300070</v>
      </c>
      <c r="C530" s="60" t="s">
        <v>1360</v>
      </c>
      <c r="D530" s="56"/>
    </row>
    <row r="531" spans="2:4" hidden="1" outlineLevel="2" x14ac:dyDescent="0.25">
      <c r="B531" s="60">
        <v>51300080</v>
      </c>
      <c r="C531" s="60" t="s">
        <v>571</v>
      </c>
      <c r="D531" s="56" t="s">
        <v>1281</v>
      </c>
    </row>
    <row r="532" spans="2:4" hidden="1" outlineLevel="2" x14ac:dyDescent="0.25">
      <c r="B532" s="60">
        <v>51300090</v>
      </c>
      <c r="C532" s="60" t="s">
        <v>572</v>
      </c>
      <c r="D532" s="56" t="s">
        <v>1281</v>
      </c>
    </row>
    <row r="533" spans="2:4" hidden="1" outlineLevel="2" x14ac:dyDescent="0.25">
      <c r="B533" s="60">
        <v>51600020</v>
      </c>
      <c r="C533" s="60" t="s">
        <v>1361</v>
      </c>
      <c r="D533" s="56" t="s">
        <v>1281</v>
      </c>
    </row>
    <row r="534" spans="2:4" hidden="1" outlineLevel="2" x14ac:dyDescent="0.25">
      <c r="B534" s="60">
        <v>51600050</v>
      </c>
      <c r="C534" s="60" t="s">
        <v>1362</v>
      </c>
      <c r="D534" s="56" t="s">
        <v>1281</v>
      </c>
    </row>
    <row r="535" spans="2:4" hidden="1" outlineLevel="2" x14ac:dyDescent="0.25">
      <c r="B535" s="60">
        <v>51700030</v>
      </c>
      <c r="C535" s="60" t="s">
        <v>1363</v>
      </c>
      <c r="D535" s="56" t="s">
        <v>1281</v>
      </c>
    </row>
    <row r="536" spans="2:4" hidden="1" outlineLevel="2" x14ac:dyDescent="0.25">
      <c r="B536" s="60">
        <v>51800010</v>
      </c>
      <c r="C536" s="60" t="s">
        <v>1364</v>
      </c>
      <c r="D536" s="56" t="s">
        <v>1281</v>
      </c>
    </row>
    <row r="537" spans="2:4" hidden="1" outlineLevel="2" x14ac:dyDescent="0.25">
      <c r="B537" s="60">
        <v>51800030</v>
      </c>
      <c r="C537" s="60" t="s">
        <v>170</v>
      </c>
      <c r="D537" s="56" t="s">
        <v>1281</v>
      </c>
    </row>
    <row r="538" spans="2:4" hidden="1" outlineLevel="2" x14ac:dyDescent="0.25">
      <c r="B538" s="60">
        <v>51900030</v>
      </c>
      <c r="C538" s="60" t="s">
        <v>180</v>
      </c>
      <c r="D538" s="56"/>
    </row>
    <row r="539" spans="2:4" hidden="1" outlineLevel="2" x14ac:dyDescent="0.25">
      <c r="B539" s="60">
        <v>52000040</v>
      </c>
      <c r="C539" s="60" t="s">
        <v>1365</v>
      </c>
      <c r="D539" s="56"/>
    </row>
    <row r="540" spans="2:4" hidden="1" outlineLevel="2" x14ac:dyDescent="0.25">
      <c r="B540" s="60">
        <v>52200010</v>
      </c>
      <c r="C540" s="60" t="s">
        <v>206</v>
      </c>
      <c r="D540" s="56" t="s">
        <v>1281</v>
      </c>
    </row>
    <row r="541" spans="2:4" hidden="1" outlineLevel="2" x14ac:dyDescent="0.25">
      <c r="B541" s="60">
        <v>52200020</v>
      </c>
      <c r="C541" s="60" t="s">
        <v>1366</v>
      </c>
      <c r="D541" s="56" t="s">
        <v>1281</v>
      </c>
    </row>
    <row r="542" spans="2:4" hidden="1" outlineLevel="2" x14ac:dyDescent="0.25">
      <c r="B542" s="60">
        <v>52300010</v>
      </c>
      <c r="C542" s="60" t="s">
        <v>1367</v>
      </c>
      <c r="D542" s="56"/>
    </row>
    <row r="543" spans="2:4" hidden="1" outlineLevel="2" x14ac:dyDescent="0.25">
      <c r="B543" s="60">
        <v>52400030</v>
      </c>
      <c r="C543" s="60" t="s">
        <v>1368</v>
      </c>
      <c r="D543" s="56" t="s">
        <v>1281</v>
      </c>
    </row>
    <row r="544" spans="2:4" hidden="1" outlineLevel="2" x14ac:dyDescent="0.25">
      <c r="B544" s="60">
        <v>52400060</v>
      </c>
      <c r="C544" s="60" t="s">
        <v>1369</v>
      </c>
      <c r="D544" s="56" t="s">
        <v>1281</v>
      </c>
    </row>
    <row r="545" spans="2:4" hidden="1" outlineLevel="2" x14ac:dyDescent="0.25">
      <c r="B545" s="60">
        <v>52600020</v>
      </c>
      <c r="C545" s="60" t="s">
        <v>1370</v>
      </c>
      <c r="D545" s="56" t="s">
        <v>1281</v>
      </c>
    </row>
    <row r="546" spans="2:4" hidden="1" outlineLevel="2" x14ac:dyDescent="0.25">
      <c r="B546" s="60">
        <v>52600030</v>
      </c>
      <c r="C546" s="60" t="s">
        <v>1371</v>
      </c>
      <c r="D546" s="56" t="s">
        <v>1281</v>
      </c>
    </row>
    <row r="547" spans="2:4" hidden="1" outlineLevel="2" x14ac:dyDescent="0.25">
      <c r="B547" s="60">
        <v>52800010</v>
      </c>
      <c r="C547" s="60" t="s">
        <v>580</v>
      </c>
      <c r="D547" s="56" t="s">
        <v>1281</v>
      </c>
    </row>
    <row r="548" spans="2:4" hidden="1" outlineLevel="2" x14ac:dyDescent="0.25">
      <c r="B548" s="60">
        <v>53000010</v>
      </c>
      <c r="C548" s="60" t="s">
        <v>581</v>
      </c>
      <c r="D548" s="56" t="s">
        <v>1281</v>
      </c>
    </row>
    <row r="549" spans="2:4" hidden="1" outlineLevel="2" x14ac:dyDescent="0.25">
      <c r="B549" s="60">
        <v>53100010</v>
      </c>
      <c r="C549" s="60" t="s">
        <v>1372</v>
      </c>
      <c r="D549" s="56"/>
    </row>
    <row r="550" spans="2:4" hidden="1" outlineLevel="2" x14ac:dyDescent="0.25">
      <c r="B550" s="60">
        <v>53900010</v>
      </c>
      <c r="C550" s="60" t="s">
        <v>1373</v>
      </c>
      <c r="D550" s="56" t="s">
        <v>1281</v>
      </c>
    </row>
    <row r="551" spans="2:4" hidden="1" outlineLevel="2" x14ac:dyDescent="0.25">
      <c r="B551" s="60">
        <v>53900020</v>
      </c>
      <c r="C551" s="60" t="s">
        <v>1374</v>
      </c>
      <c r="D551" s="56"/>
    </row>
    <row r="552" spans="2:4" hidden="1" outlineLevel="2" x14ac:dyDescent="0.25">
      <c r="B552" s="60">
        <v>55100040</v>
      </c>
      <c r="C552" s="60" t="s">
        <v>1375</v>
      </c>
      <c r="D552" s="56" t="s">
        <v>1281</v>
      </c>
    </row>
    <row r="553" spans="2:4" hidden="1" outlineLevel="2" x14ac:dyDescent="0.25">
      <c r="B553" s="60">
        <v>59000010</v>
      </c>
      <c r="C553" s="60" t="s">
        <v>1376</v>
      </c>
      <c r="D553" s="56"/>
    </row>
    <row r="554" spans="2:4" hidden="1" outlineLevel="2" x14ac:dyDescent="0.25">
      <c r="B554" s="60">
        <v>59100000</v>
      </c>
      <c r="C554" s="60" t="s">
        <v>1377</v>
      </c>
      <c r="D554" s="56" t="s">
        <v>1281</v>
      </c>
    </row>
    <row r="555" spans="2:4" hidden="1" outlineLevel="2" x14ac:dyDescent="0.25">
      <c r="B555" s="60">
        <v>59900010</v>
      </c>
      <c r="C555" s="60" t="s">
        <v>1378</v>
      </c>
      <c r="D555" s="57" t="s">
        <v>1281</v>
      </c>
    </row>
    <row r="556" spans="2:4" hidden="1" outlineLevel="2" x14ac:dyDescent="0.25">
      <c r="B556" s="60">
        <v>59900020</v>
      </c>
      <c r="C556" s="60" t="s">
        <v>1379</v>
      </c>
      <c r="D556" s="57"/>
    </row>
    <row r="557" spans="2:4" hidden="1" outlineLevel="2" x14ac:dyDescent="0.25">
      <c r="B557" s="60">
        <v>59922010</v>
      </c>
      <c r="C557" s="60" t="s">
        <v>1380</v>
      </c>
      <c r="D557" s="57" t="s">
        <v>1281</v>
      </c>
    </row>
    <row r="558" spans="2:4" hidden="1" outlineLevel="2" x14ac:dyDescent="0.25">
      <c r="B558" s="61">
        <v>60100010</v>
      </c>
      <c r="C558" s="61" t="s">
        <v>73</v>
      </c>
      <c r="D558" s="57" t="s">
        <v>1282</v>
      </c>
    </row>
    <row r="559" spans="2:4" hidden="1" outlineLevel="2" x14ac:dyDescent="0.25">
      <c r="B559" s="61">
        <v>60100020</v>
      </c>
      <c r="C559" s="61" t="s">
        <v>75</v>
      </c>
      <c r="D559" s="57" t="s">
        <v>1282</v>
      </c>
    </row>
    <row r="560" spans="2:4" hidden="1" outlineLevel="2" x14ac:dyDescent="0.25">
      <c r="B560" s="62">
        <v>60100030</v>
      </c>
      <c r="C560" s="62" t="s">
        <v>77</v>
      </c>
      <c r="D560" s="57" t="s">
        <v>1282</v>
      </c>
    </row>
    <row r="561" spans="2:4" hidden="1" outlineLevel="2" x14ac:dyDescent="0.25">
      <c r="B561" s="61">
        <v>60100040</v>
      </c>
      <c r="C561" s="61" t="s">
        <v>79</v>
      </c>
      <c r="D561" s="57" t="s">
        <v>1282</v>
      </c>
    </row>
    <row r="562" spans="2:4" hidden="1" outlineLevel="2" x14ac:dyDescent="0.25">
      <c r="B562" s="62">
        <v>60100050</v>
      </c>
      <c r="C562" s="62" t="s">
        <v>81</v>
      </c>
      <c r="D562" s="57" t="s">
        <v>1282</v>
      </c>
    </row>
    <row r="563" spans="2:4" hidden="1" outlineLevel="2" x14ac:dyDescent="0.25">
      <c r="B563" s="62">
        <v>60100060</v>
      </c>
      <c r="C563" s="62" t="s">
        <v>1381</v>
      </c>
      <c r="D563" s="57" t="s">
        <v>1282</v>
      </c>
    </row>
    <row r="564" spans="2:4" hidden="1" outlineLevel="2" x14ac:dyDescent="0.25">
      <c r="B564" s="61">
        <v>60100070</v>
      </c>
      <c r="C564" s="61" t="s">
        <v>85</v>
      </c>
      <c r="D564" s="57" t="s">
        <v>1282</v>
      </c>
    </row>
    <row r="565" spans="2:4" hidden="1" outlineLevel="2" x14ac:dyDescent="0.25">
      <c r="B565" s="62">
        <v>60100080</v>
      </c>
      <c r="C565" s="62" t="s">
        <v>1382</v>
      </c>
      <c r="D565" s="57" t="s">
        <v>1282</v>
      </c>
    </row>
    <row r="566" spans="2:4" hidden="1" outlineLevel="2" x14ac:dyDescent="0.25">
      <c r="B566" s="62">
        <v>60100090</v>
      </c>
      <c r="C566" s="62" t="s">
        <v>89</v>
      </c>
      <c r="D566" s="57" t="s">
        <v>1282</v>
      </c>
    </row>
    <row r="567" spans="2:4" hidden="1" outlineLevel="2" x14ac:dyDescent="0.25">
      <c r="B567" s="62">
        <v>60100100</v>
      </c>
      <c r="C567" s="62" t="s">
        <v>91</v>
      </c>
      <c r="D567" s="57" t="s">
        <v>1282</v>
      </c>
    </row>
    <row r="568" spans="2:4" hidden="1" outlineLevel="2" x14ac:dyDescent="0.25">
      <c r="B568" s="61">
        <v>60100120</v>
      </c>
      <c r="C568" s="61" t="s">
        <v>95</v>
      </c>
      <c r="D568" s="57" t="s">
        <v>1282</v>
      </c>
    </row>
    <row r="569" spans="2:4" hidden="1" outlineLevel="2" x14ac:dyDescent="0.25">
      <c r="B569" s="60">
        <v>60200010</v>
      </c>
      <c r="C569" s="60" t="s">
        <v>1383</v>
      </c>
      <c r="D569" s="57" t="s">
        <v>1285</v>
      </c>
    </row>
    <row r="570" spans="2:4" hidden="1" outlineLevel="2" x14ac:dyDescent="0.25">
      <c r="B570" s="60">
        <v>60300010</v>
      </c>
      <c r="C570" s="60" t="s">
        <v>100</v>
      </c>
      <c r="D570" s="57" t="s">
        <v>908</v>
      </c>
    </row>
    <row r="571" spans="2:4" hidden="1" outlineLevel="2" x14ac:dyDescent="0.25">
      <c r="B571" s="60">
        <v>60600010</v>
      </c>
      <c r="C571" s="60" t="s">
        <v>1342</v>
      </c>
      <c r="D571" s="57" t="s">
        <v>913</v>
      </c>
    </row>
    <row r="572" spans="2:4" hidden="1" outlineLevel="2" x14ac:dyDescent="0.25">
      <c r="B572" s="60">
        <v>60600020</v>
      </c>
      <c r="C572" s="60" t="s">
        <v>1384</v>
      </c>
      <c r="D572" s="57" t="s">
        <v>913</v>
      </c>
    </row>
    <row r="573" spans="2:4" hidden="1" outlineLevel="2" x14ac:dyDescent="0.25">
      <c r="B573" s="60">
        <v>60600040</v>
      </c>
      <c r="C573" s="60" t="s">
        <v>1344</v>
      </c>
      <c r="D573" s="57" t="s">
        <v>913</v>
      </c>
    </row>
    <row r="574" spans="2:4" hidden="1" outlineLevel="2" x14ac:dyDescent="0.25">
      <c r="B574" s="60">
        <v>60600050</v>
      </c>
      <c r="C574" s="60" t="s">
        <v>1345</v>
      </c>
      <c r="D574" s="57" t="s">
        <v>913</v>
      </c>
    </row>
    <row r="575" spans="2:4" hidden="1" outlineLevel="2" x14ac:dyDescent="0.25">
      <c r="B575" s="60">
        <v>60700010</v>
      </c>
      <c r="C575" s="60" t="s">
        <v>115</v>
      </c>
      <c r="D575" s="57" t="s">
        <v>115</v>
      </c>
    </row>
    <row r="576" spans="2:4" hidden="1" outlineLevel="2" x14ac:dyDescent="0.25">
      <c r="B576" s="60">
        <v>60800010</v>
      </c>
      <c r="C576" s="60" t="s">
        <v>1385</v>
      </c>
      <c r="D576" s="57" t="s">
        <v>1286</v>
      </c>
    </row>
    <row r="577" spans="2:4" hidden="1" outlineLevel="2" x14ac:dyDescent="0.25">
      <c r="B577" s="60">
        <v>60800020</v>
      </c>
      <c r="C577" s="60" t="s">
        <v>1347</v>
      </c>
      <c r="D577" s="57" t="s">
        <v>1286</v>
      </c>
    </row>
    <row r="578" spans="2:4" hidden="1" outlineLevel="2" x14ac:dyDescent="0.25">
      <c r="B578" s="60">
        <v>60800040</v>
      </c>
      <c r="C578" s="60" t="s">
        <v>124</v>
      </c>
      <c r="D578" s="57" t="s">
        <v>1286</v>
      </c>
    </row>
    <row r="579" spans="2:4" hidden="1" outlineLevel="2" x14ac:dyDescent="0.25">
      <c r="B579" s="60">
        <v>60800050</v>
      </c>
      <c r="C579" s="60" t="s">
        <v>1386</v>
      </c>
      <c r="D579" s="57" t="s">
        <v>1286</v>
      </c>
    </row>
    <row r="580" spans="2:4" hidden="1" outlineLevel="2" x14ac:dyDescent="0.25">
      <c r="B580" s="60">
        <v>60800060</v>
      </c>
      <c r="C580" s="60" t="s">
        <v>1348</v>
      </c>
      <c r="D580" s="57" t="s">
        <v>1286</v>
      </c>
    </row>
    <row r="581" spans="2:4" hidden="1" outlineLevel="2" x14ac:dyDescent="0.25">
      <c r="B581" s="60">
        <v>60800070</v>
      </c>
      <c r="C581" s="60" t="s">
        <v>1349</v>
      </c>
      <c r="D581" s="57" t="s">
        <v>1286</v>
      </c>
    </row>
    <row r="582" spans="2:4" hidden="1" outlineLevel="2" x14ac:dyDescent="0.25">
      <c r="B582" s="60">
        <v>60800080</v>
      </c>
      <c r="C582" s="60" t="s">
        <v>1387</v>
      </c>
      <c r="D582" s="57" t="s">
        <v>1286</v>
      </c>
    </row>
    <row r="583" spans="2:4" hidden="1" outlineLevel="2" x14ac:dyDescent="0.25">
      <c r="B583" s="60">
        <v>60900010</v>
      </c>
      <c r="C583" s="60" t="s">
        <v>1350</v>
      </c>
      <c r="D583" s="57" t="s">
        <v>1284</v>
      </c>
    </row>
    <row r="584" spans="2:4" hidden="1" outlineLevel="2" x14ac:dyDescent="0.25">
      <c r="B584" s="60">
        <v>60900020</v>
      </c>
      <c r="C584" s="60" t="s">
        <v>1351</v>
      </c>
      <c r="D584" s="57" t="s">
        <v>1284</v>
      </c>
    </row>
    <row r="585" spans="2:4" hidden="1" outlineLevel="2" x14ac:dyDescent="0.25">
      <c r="B585" s="60">
        <v>60900030</v>
      </c>
      <c r="C585" s="60" t="s">
        <v>1352</v>
      </c>
      <c r="D585" s="57" t="s">
        <v>1284</v>
      </c>
    </row>
    <row r="586" spans="2:4" hidden="1" outlineLevel="2" x14ac:dyDescent="0.25">
      <c r="B586" s="60">
        <v>60900050</v>
      </c>
      <c r="C586" s="60" t="s">
        <v>543</v>
      </c>
      <c r="D586" s="57" t="s">
        <v>1284</v>
      </c>
    </row>
    <row r="587" spans="2:4" hidden="1" outlineLevel="2" x14ac:dyDescent="0.25">
      <c r="B587" s="60">
        <v>60900060</v>
      </c>
      <c r="C587" s="60" t="s">
        <v>1354</v>
      </c>
      <c r="D587" s="57" t="s">
        <v>1284</v>
      </c>
    </row>
    <row r="588" spans="2:4" hidden="1" outlineLevel="2" x14ac:dyDescent="0.25">
      <c r="B588" s="60">
        <v>60900070</v>
      </c>
      <c r="C588" s="60" t="s">
        <v>1355</v>
      </c>
      <c r="D588" s="57" t="s">
        <v>1284</v>
      </c>
    </row>
    <row r="589" spans="2:4" hidden="1" outlineLevel="2" x14ac:dyDescent="0.25">
      <c r="B589" s="60">
        <v>60900080</v>
      </c>
      <c r="C589" s="60" t="s">
        <v>1356</v>
      </c>
      <c r="D589" s="57" t="s">
        <v>1284</v>
      </c>
    </row>
    <row r="590" spans="2:4" hidden="1" outlineLevel="2" x14ac:dyDescent="0.25">
      <c r="B590" s="60">
        <v>60900100</v>
      </c>
      <c r="C590" s="60" t="s">
        <v>1388</v>
      </c>
      <c r="D590" s="57" t="s">
        <v>1284</v>
      </c>
    </row>
    <row r="591" spans="2:4" hidden="1" outlineLevel="2" x14ac:dyDescent="0.25">
      <c r="B591" s="60">
        <v>60900190</v>
      </c>
      <c r="C591" s="60" t="s">
        <v>1359</v>
      </c>
      <c r="D591" s="57" t="s">
        <v>1284</v>
      </c>
    </row>
    <row r="592" spans="2:4" hidden="1" outlineLevel="2" x14ac:dyDescent="0.25">
      <c r="B592" s="60">
        <v>61000010</v>
      </c>
      <c r="C592" s="60" t="s">
        <v>1357</v>
      </c>
      <c r="D592" s="57" t="s">
        <v>1284</v>
      </c>
    </row>
    <row r="593" spans="2:4" hidden="1" outlineLevel="2" x14ac:dyDescent="0.25">
      <c r="B593" s="60">
        <v>61000040</v>
      </c>
      <c r="C593" s="60" t="s">
        <v>1389</v>
      </c>
      <c r="D593" s="57" t="s">
        <v>1284</v>
      </c>
    </row>
    <row r="594" spans="2:4" hidden="1" outlineLevel="2" x14ac:dyDescent="0.25">
      <c r="B594" s="60">
        <v>61200010</v>
      </c>
      <c r="C594" s="60" t="s">
        <v>555</v>
      </c>
      <c r="D594" s="57" t="s">
        <v>1287</v>
      </c>
    </row>
    <row r="595" spans="2:4" hidden="1" outlineLevel="2" x14ac:dyDescent="0.25">
      <c r="B595" s="60">
        <v>61200050</v>
      </c>
      <c r="C595" s="60" t="s">
        <v>1390</v>
      </c>
      <c r="D595" s="57" t="s">
        <v>1287</v>
      </c>
    </row>
    <row r="596" spans="2:4" hidden="1" outlineLevel="2" x14ac:dyDescent="0.25">
      <c r="B596" s="60">
        <v>61200020</v>
      </c>
      <c r="C596" s="60" t="s">
        <v>1391</v>
      </c>
      <c r="D596" s="57" t="s">
        <v>1287</v>
      </c>
    </row>
    <row r="597" spans="2:4" hidden="1" outlineLevel="2" x14ac:dyDescent="0.25">
      <c r="B597" s="60">
        <v>61200030</v>
      </c>
      <c r="C597" s="60" t="s">
        <v>557</v>
      </c>
      <c r="D597" s="57" t="s">
        <v>1287</v>
      </c>
    </row>
    <row r="598" spans="2:4" hidden="1" outlineLevel="2" x14ac:dyDescent="0.25">
      <c r="B598" s="60">
        <v>61200090</v>
      </c>
      <c r="C598" s="60" t="s">
        <v>563</v>
      </c>
      <c r="D598" s="57" t="s">
        <v>1287</v>
      </c>
    </row>
    <row r="599" spans="2:4" hidden="1" outlineLevel="2" x14ac:dyDescent="0.25">
      <c r="B599" s="60">
        <v>61300010</v>
      </c>
      <c r="C599" s="60" t="s">
        <v>564</v>
      </c>
      <c r="D599" s="57" t="s">
        <v>1288</v>
      </c>
    </row>
    <row r="600" spans="2:4" hidden="1" outlineLevel="2" x14ac:dyDescent="0.25">
      <c r="B600" s="60">
        <v>61300050</v>
      </c>
      <c r="C600" s="60" t="s">
        <v>1392</v>
      </c>
      <c r="D600" s="57" t="s">
        <v>1288</v>
      </c>
    </row>
    <row r="601" spans="2:4" hidden="1" outlineLevel="2" x14ac:dyDescent="0.25">
      <c r="B601" s="60">
        <v>61300060</v>
      </c>
      <c r="C601" s="60" t="s">
        <v>569</v>
      </c>
      <c r="D601" s="57" t="s">
        <v>1288</v>
      </c>
    </row>
    <row r="602" spans="2:4" hidden="1" outlineLevel="2" x14ac:dyDescent="0.25">
      <c r="B602" s="60">
        <v>61300040</v>
      </c>
      <c r="C602" s="60" t="s">
        <v>567</v>
      </c>
      <c r="D602" s="57" t="s">
        <v>1288</v>
      </c>
    </row>
    <row r="603" spans="2:4" hidden="1" outlineLevel="2" x14ac:dyDescent="0.25">
      <c r="B603" s="60">
        <v>61300090</v>
      </c>
      <c r="C603" s="60" t="s">
        <v>572</v>
      </c>
      <c r="D603" s="57" t="s">
        <v>1288</v>
      </c>
    </row>
    <row r="604" spans="2:4" hidden="1" outlineLevel="2" x14ac:dyDescent="0.25">
      <c r="B604" s="60">
        <v>61400010</v>
      </c>
      <c r="C604" s="60" t="s">
        <v>1393</v>
      </c>
      <c r="D604" s="57" t="s">
        <v>1289</v>
      </c>
    </row>
    <row r="605" spans="2:4" hidden="1" outlineLevel="2" x14ac:dyDescent="0.25">
      <c r="B605" s="60">
        <v>61400020</v>
      </c>
      <c r="C605" s="60" t="s">
        <v>137</v>
      </c>
      <c r="D605" s="57" t="s">
        <v>1289</v>
      </c>
    </row>
    <row r="606" spans="2:4" hidden="1" outlineLevel="2" x14ac:dyDescent="0.25">
      <c r="B606" s="60">
        <v>61400030</v>
      </c>
      <c r="C606" s="60" t="s">
        <v>139</v>
      </c>
      <c r="D606" s="57" t="s">
        <v>1289</v>
      </c>
    </row>
    <row r="607" spans="2:4" hidden="1" outlineLevel="2" x14ac:dyDescent="0.25">
      <c r="B607" s="60">
        <v>61500010</v>
      </c>
      <c r="C607" s="60" t="s">
        <v>141</v>
      </c>
      <c r="D607" s="57" t="s">
        <v>1290</v>
      </c>
    </row>
    <row r="608" spans="2:4" hidden="1" outlineLevel="2" x14ac:dyDescent="0.25">
      <c r="B608" s="60">
        <v>61500020</v>
      </c>
      <c r="C608" s="60" t="s">
        <v>143</v>
      </c>
      <c r="D608" s="57" t="s">
        <v>1290</v>
      </c>
    </row>
    <row r="609" spans="2:4" hidden="1" outlineLevel="2" x14ac:dyDescent="0.25">
      <c r="B609" s="60">
        <v>61600010</v>
      </c>
      <c r="C609" s="60" t="s">
        <v>1394</v>
      </c>
      <c r="D609" s="57" t="s">
        <v>1291</v>
      </c>
    </row>
    <row r="610" spans="2:4" hidden="1" outlineLevel="2" x14ac:dyDescent="0.25">
      <c r="B610" s="60">
        <v>61600040</v>
      </c>
      <c r="C610" s="60" t="s">
        <v>1395</v>
      </c>
      <c r="D610" s="57" t="s">
        <v>1291</v>
      </c>
    </row>
    <row r="611" spans="2:4" hidden="1" outlineLevel="2" x14ac:dyDescent="0.25">
      <c r="B611" s="60">
        <v>61600070</v>
      </c>
      <c r="C611" s="60" t="s">
        <v>1396</v>
      </c>
      <c r="D611" s="57" t="s">
        <v>1291</v>
      </c>
    </row>
    <row r="612" spans="2:4" hidden="1" outlineLevel="2" x14ac:dyDescent="0.25">
      <c r="B612" s="60">
        <v>61600020</v>
      </c>
      <c r="C612" s="60" t="s">
        <v>1361</v>
      </c>
      <c r="D612" s="57" t="s">
        <v>1291</v>
      </c>
    </row>
    <row r="613" spans="2:4" hidden="1" outlineLevel="2" x14ac:dyDescent="0.25">
      <c r="B613" s="60">
        <v>61600060</v>
      </c>
      <c r="C613" s="60" t="s">
        <v>1397</v>
      </c>
      <c r="D613" s="57" t="s">
        <v>1291</v>
      </c>
    </row>
    <row r="614" spans="2:4" hidden="1" outlineLevel="2" x14ac:dyDescent="0.25">
      <c r="B614" s="60">
        <v>61700030</v>
      </c>
      <c r="C614" s="60" t="s">
        <v>1363</v>
      </c>
      <c r="D614" s="57" t="s">
        <v>1292</v>
      </c>
    </row>
    <row r="615" spans="2:4" hidden="1" outlineLevel="2" x14ac:dyDescent="0.25">
      <c r="B615" s="60">
        <v>61700050</v>
      </c>
      <c r="C615" s="60" t="s">
        <v>1398</v>
      </c>
      <c r="D615" s="57" t="s">
        <v>1292</v>
      </c>
    </row>
    <row r="616" spans="2:4" hidden="1" outlineLevel="2" x14ac:dyDescent="0.25">
      <c r="B616" s="60">
        <v>61700070</v>
      </c>
      <c r="C616" s="60" t="s">
        <v>1399</v>
      </c>
      <c r="D616" s="57" t="s">
        <v>1292</v>
      </c>
    </row>
    <row r="617" spans="2:4" hidden="1" outlineLevel="2" x14ac:dyDescent="0.25">
      <c r="B617" s="60">
        <v>61800010</v>
      </c>
      <c r="C617" s="60" t="s">
        <v>1364</v>
      </c>
      <c r="D617" s="57" t="s">
        <v>1293</v>
      </c>
    </row>
    <row r="618" spans="2:4" hidden="1" outlineLevel="2" x14ac:dyDescent="0.25">
      <c r="B618" s="60">
        <v>61800020</v>
      </c>
      <c r="C618" s="60" t="s">
        <v>1400</v>
      </c>
      <c r="D618" s="57" t="s">
        <v>1293</v>
      </c>
    </row>
    <row r="619" spans="2:4" hidden="1" outlineLevel="2" x14ac:dyDescent="0.25">
      <c r="B619" s="60">
        <v>61800030</v>
      </c>
      <c r="C619" s="60" t="s">
        <v>170</v>
      </c>
      <c r="D619" s="57" t="s">
        <v>1293</v>
      </c>
    </row>
    <row r="620" spans="2:4" hidden="1" outlineLevel="2" x14ac:dyDescent="0.25">
      <c r="B620" s="60">
        <v>61900010</v>
      </c>
      <c r="C620" s="60" t="s">
        <v>174</v>
      </c>
      <c r="D620" s="57" t="s">
        <v>1294</v>
      </c>
    </row>
    <row r="621" spans="2:4" hidden="1" outlineLevel="2" x14ac:dyDescent="0.25">
      <c r="B621" s="60">
        <v>61900020</v>
      </c>
      <c r="C621" s="60" t="s">
        <v>1401</v>
      </c>
      <c r="D621" s="57" t="s">
        <v>1294</v>
      </c>
    </row>
    <row r="622" spans="2:4" hidden="1" outlineLevel="2" x14ac:dyDescent="0.25">
      <c r="B622" s="60">
        <v>61900030</v>
      </c>
      <c r="C622" s="60" t="s">
        <v>180</v>
      </c>
      <c r="D622" s="57" t="s">
        <v>1294</v>
      </c>
    </row>
    <row r="623" spans="2:4" hidden="1" outlineLevel="2" x14ac:dyDescent="0.25">
      <c r="B623" s="60">
        <v>61900040</v>
      </c>
      <c r="C623" s="60" t="s">
        <v>182</v>
      </c>
      <c r="D623" s="57" t="s">
        <v>1294</v>
      </c>
    </row>
    <row r="624" spans="2:4" hidden="1" outlineLevel="2" x14ac:dyDescent="0.25">
      <c r="B624" s="60">
        <v>61900090</v>
      </c>
      <c r="C624" s="60" t="s">
        <v>1402</v>
      </c>
      <c r="D624" s="57" t="s">
        <v>1294</v>
      </c>
    </row>
    <row r="625" spans="2:4" hidden="1" outlineLevel="2" x14ac:dyDescent="0.25">
      <c r="B625" s="60">
        <v>62000020</v>
      </c>
      <c r="C625" s="60" t="s">
        <v>1403</v>
      </c>
      <c r="D625" s="57" t="s">
        <v>1295</v>
      </c>
    </row>
    <row r="626" spans="2:4" hidden="1" outlineLevel="2" x14ac:dyDescent="0.25">
      <c r="B626" s="60">
        <v>62000040</v>
      </c>
      <c r="C626" s="60" t="s">
        <v>1365</v>
      </c>
      <c r="D626" s="57" t="s">
        <v>1295</v>
      </c>
    </row>
    <row r="627" spans="2:4" hidden="1" outlineLevel="2" x14ac:dyDescent="0.25">
      <c r="B627" s="60">
        <v>62100010</v>
      </c>
      <c r="C627" s="60" t="s">
        <v>1404</v>
      </c>
      <c r="D627" s="57" t="s">
        <v>1296</v>
      </c>
    </row>
    <row r="628" spans="2:4" hidden="1" outlineLevel="2" x14ac:dyDescent="0.25">
      <c r="B628" s="60">
        <v>62100030</v>
      </c>
      <c r="C628" s="60" t="s">
        <v>200</v>
      </c>
      <c r="D628" s="57" t="s">
        <v>1296</v>
      </c>
    </row>
    <row r="629" spans="2:4" hidden="1" outlineLevel="2" x14ac:dyDescent="0.25">
      <c r="B629" s="60">
        <v>62100040</v>
      </c>
      <c r="C629" s="60" t="s">
        <v>202</v>
      </c>
      <c r="D629" s="57" t="s">
        <v>1296</v>
      </c>
    </row>
    <row r="630" spans="2:4" hidden="1" outlineLevel="2" x14ac:dyDescent="0.25">
      <c r="B630" s="60">
        <v>62100050</v>
      </c>
      <c r="C630" s="60" t="s">
        <v>1405</v>
      </c>
      <c r="D630" s="57" t="s">
        <v>1296</v>
      </c>
    </row>
    <row r="631" spans="2:4" hidden="1" outlineLevel="2" x14ac:dyDescent="0.25">
      <c r="B631" s="60">
        <v>62200010</v>
      </c>
      <c r="C631" s="60" t="s">
        <v>206</v>
      </c>
      <c r="D631" s="57" t="s">
        <v>1297</v>
      </c>
    </row>
    <row r="632" spans="2:4" hidden="1" outlineLevel="2" x14ac:dyDescent="0.25">
      <c r="B632" s="60">
        <v>62200020</v>
      </c>
      <c r="C632" s="60" t="s">
        <v>1366</v>
      </c>
      <c r="D632" s="57" t="s">
        <v>1297</v>
      </c>
    </row>
    <row r="633" spans="2:4" hidden="1" outlineLevel="2" x14ac:dyDescent="0.25">
      <c r="B633" s="60">
        <v>62300010</v>
      </c>
      <c r="C633" s="60" t="s">
        <v>1367</v>
      </c>
      <c r="D633" s="57" t="s">
        <v>1298</v>
      </c>
    </row>
    <row r="634" spans="2:4" hidden="1" outlineLevel="2" x14ac:dyDescent="0.25">
      <c r="B634" s="60">
        <v>62300020</v>
      </c>
      <c r="C634" s="60" t="s">
        <v>212</v>
      </c>
      <c r="D634" s="57" t="s">
        <v>1298</v>
      </c>
    </row>
    <row r="635" spans="2:4" hidden="1" outlineLevel="2" x14ac:dyDescent="0.25">
      <c r="B635" s="60">
        <v>62400030</v>
      </c>
      <c r="C635" s="60" t="s">
        <v>1368</v>
      </c>
      <c r="D635" s="57" t="s">
        <v>1299</v>
      </c>
    </row>
    <row r="636" spans="2:4" hidden="1" outlineLevel="2" x14ac:dyDescent="0.25">
      <c r="B636" s="60">
        <v>62400040</v>
      </c>
      <c r="C636" s="60" t="s">
        <v>216</v>
      </c>
      <c r="D636" s="57" t="s">
        <v>1299</v>
      </c>
    </row>
    <row r="637" spans="2:4" hidden="1" outlineLevel="2" x14ac:dyDescent="0.25">
      <c r="B637" s="60">
        <v>62400060</v>
      </c>
      <c r="C637" s="60" t="s">
        <v>1369</v>
      </c>
      <c r="D637" s="57" t="s">
        <v>1299</v>
      </c>
    </row>
    <row r="638" spans="2:4" hidden="1" outlineLevel="2" x14ac:dyDescent="0.25">
      <c r="B638" s="60">
        <v>62500010</v>
      </c>
      <c r="C638" s="60" t="s">
        <v>1406</v>
      </c>
      <c r="D638" s="57" t="s">
        <v>1011</v>
      </c>
    </row>
    <row r="639" spans="2:4" hidden="1" outlineLevel="2" x14ac:dyDescent="0.25">
      <c r="B639" s="60">
        <v>62600010</v>
      </c>
      <c r="C639" s="60" t="s">
        <v>1407</v>
      </c>
      <c r="D639" s="57" t="s">
        <v>1011</v>
      </c>
    </row>
    <row r="640" spans="2:4" hidden="1" outlineLevel="2" x14ac:dyDescent="0.25">
      <c r="B640" s="60">
        <v>62600020</v>
      </c>
      <c r="C640" s="60" t="s">
        <v>1370</v>
      </c>
      <c r="D640" s="57" t="s">
        <v>1011</v>
      </c>
    </row>
    <row r="641" spans="2:4" hidden="1" outlineLevel="2" x14ac:dyDescent="0.25">
      <c r="B641" s="60">
        <v>62600030</v>
      </c>
      <c r="C641" s="60" t="s">
        <v>1371</v>
      </c>
      <c r="D641" s="57" t="s">
        <v>1011</v>
      </c>
    </row>
    <row r="642" spans="2:4" hidden="1" outlineLevel="2" x14ac:dyDescent="0.25">
      <c r="B642" s="60">
        <v>62700010</v>
      </c>
      <c r="C642" s="60" t="s">
        <v>579</v>
      </c>
      <c r="D642" s="57" t="s">
        <v>1300</v>
      </c>
    </row>
    <row r="643" spans="2:4" hidden="1" outlineLevel="2" x14ac:dyDescent="0.25">
      <c r="B643" s="60">
        <v>62800010</v>
      </c>
      <c r="C643" s="60" t="s">
        <v>580</v>
      </c>
      <c r="D643" s="57" t="s">
        <v>580</v>
      </c>
    </row>
    <row r="644" spans="2:4" hidden="1" outlineLevel="2" x14ac:dyDescent="0.25">
      <c r="B644" s="60">
        <v>62900010</v>
      </c>
      <c r="C644" s="60" t="s">
        <v>1408</v>
      </c>
      <c r="D644" s="57" t="s">
        <v>228</v>
      </c>
    </row>
    <row r="645" spans="2:4" hidden="1" outlineLevel="2" x14ac:dyDescent="0.25">
      <c r="B645" s="60">
        <v>62900020</v>
      </c>
      <c r="C645" s="60" t="s">
        <v>1409</v>
      </c>
      <c r="D645" s="57" t="s">
        <v>230</v>
      </c>
    </row>
    <row r="646" spans="2:4" hidden="1" outlineLevel="2" x14ac:dyDescent="0.25">
      <c r="B646" s="60">
        <v>63000010</v>
      </c>
      <c r="C646" s="60" t="s">
        <v>581</v>
      </c>
      <c r="D646" s="57" t="s">
        <v>1283</v>
      </c>
    </row>
    <row r="647" spans="2:4" hidden="1" outlineLevel="2" x14ac:dyDescent="0.25">
      <c r="B647" s="60">
        <v>63100020</v>
      </c>
      <c r="C647" s="60" t="s">
        <v>583</v>
      </c>
      <c r="D647" s="57" t="s">
        <v>1283</v>
      </c>
    </row>
    <row r="648" spans="2:4" hidden="1" outlineLevel="2" x14ac:dyDescent="0.25">
      <c r="B648" s="60">
        <v>63100030</v>
      </c>
      <c r="C648" s="60" t="s">
        <v>1372</v>
      </c>
      <c r="D648" s="57" t="s">
        <v>1283</v>
      </c>
    </row>
    <row r="649" spans="2:4" hidden="1" outlineLevel="2" x14ac:dyDescent="0.25">
      <c r="B649" s="60">
        <v>63900010</v>
      </c>
      <c r="C649" s="60" t="s">
        <v>1373</v>
      </c>
      <c r="D649" s="57" t="s">
        <v>1283</v>
      </c>
    </row>
    <row r="650" spans="2:4" hidden="1" outlineLevel="2" x14ac:dyDescent="0.25">
      <c r="B650" s="60">
        <v>63900020</v>
      </c>
      <c r="C650" s="60" t="s">
        <v>1410</v>
      </c>
      <c r="D650" s="57" t="s">
        <v>1283</v>
      </c>
    </row>
    <row r="651" spans="2:4" hidden="1" outlineLevel="2" x14ac:dyDescent="0.25">
      <c r="B651" s="60">
        <v>69922010</v>
      </c>
      <c r="C651" s="60" t="s">
        <v>1380</v>
      </c>
      <c r="D651" s="57" t="s">
        <v>1283</v>
      </c>
    </row>
    <row r="652" spans="2:4" hidden="1" outlineLevel="2" x14ac:dyDescent="0.25">
      <c r="B652" s="60">
        <v>70100010</v>
      </c>
      <c r="C652" s="60" t="s">
        <v>1411</v>
      </c>
      <c r="D652" s="57" t="s">
        <v>1301</v>
      </c>
    </row>
    <row r="653" spans="2:4" hidden="1" outlineLevel="2" x14ac:dyDescent="0.25">
      <c r="B653" s="60">
        <v>70200010</v>
      </c>
      <c r="C653" s="60" t="s">
        <v>1412</v>
      </c>
      <c r="D653" s="57" t="s">
        <v>1302</v>
      </c>
    </row>
    <row r="654" spans="2:4" hidden="1" outlineLevel="2" x14ac:dyDescent="0.25">
      <c r="B654" s="60">
        <v>70200030</v>
      </c>
      <c r="C654" s="60" t="s">
        <v>1413</v>
      </c>
      <c r="D654" s="57" t="s">
        <v>1303</v>
      </c>
    </row>
    <row r="655" spans="2:4" hidden="1" outlineLevel="2" x14ac:dyDescent="0.25">
      <c r="B655" s="60">
        <v>70200050</v>
      </c>
      <c r="C655" s="60" t="s">
        <v>1414</v>
      </c>
      <c r="D655" s="57" t="s">
        <v>1303</v>
      </c>
    </row>
    <row r="656" spans="2:4" hidden="1" outlineLevel="2" x14ac:dyDescent="0.25">
      <c r="B656" s="60">
        <v>70200060</v>
      </c>
      <c r="C656" s="60" t="s">
        <v>1415</v>
      </c>
      <c r="D656" s="57" t="s">
        <v>1303</v>
      </c>
    </row>
    <row r="657" spans="2:4" hidden="1" outlineLevel="2" x14ac:dyDescent="0.25">
      <c r="B657" s="60">
        <v>70200061</v>
      </c>
      <c r="C657" s="60" t="s">
        <v>1416</v>
      </c>
      <c r="D657" s="57" t="s">
        <v>1301</v>
      </c>
    </row>
    <row r="658" spans="2:4" hidden="1" outlineLevel="2" x14ac:dyDescent="0.25">
      <c r="B658" s="60">
        <v>70200062</v>
      </c>
      <c r="C658" s="60" t="s">
        <v>1417</v>
      </c>
      <c r="D658" s="57" t="s">
        <v>1301</v>
      </c>
    </row>
    <row r="659" spans="2:4" hidden="1" outlineLevel="2" x14ac:dyDescent="0.25">
      <c r="B659" s="60">
        <v>70200080</v>
      </c>
      <c r="C659" s="60" t="s">
        <v>1418</v>
      </c>
      <c r="D659" s="57" t="s">
        <v>1303</v>
      </c>
    </row>
    <row r="660" spans="2:4" hidden="1" outlineLevel="2" x14ac:dyDescent="0.25">
      <c r="B660" s="60">
        <v>70200090</v>
      </c>
      <c r="C660" s="60" t="s">
        <v>1413</v>
      </c>
      <c r="D660" s="57" t="s">
        <v>1303</v>
      </c>
    </row>
    <row r="661" spans="2:4" hidden="1" outlineLevel="2" x14ac:dyDescent="0.25">
      <c r="B661" s="60">
        <v>70500010</v>
      </c>
      <c r="C661" s="60" t="s">
        <v>1419</v>
      </c>
      <c r="D661" s="57" t="s">
        <v>1304</v>
      </c>
    </row>
    <row r="662" spans="2:4" hidden="1" outlineLevel="2" x14ac:dyDescent="0.25">
      <c r="B662" s="60">
        <v>70600010</v>
      </c>
      <c r="C662" s="60" t="s">
        <v>1420</v>
      </c>
      <c r="D662" s="57" t="s">
        <v>1305</v>
      </c>
    </row>
    <row r="663" spans="2:4" hidden="1" outlineLevel="2" x14ac:dyDescent="0.25">
      <c r="B663" s="60">
        <v>70900010</v>
      </c>
      <c r="C663" s="60" t="s">
        <v>1421</v>
      </c>
      <c r="D663" s="57" t="s">
        <v>1303</v>
      </c>
    </row>
    <row r="664" spans="2:4" hidden="1" outlineLevel="2" x14ac:dyDescent="0.25">
      <c r="B664" s="60">
        <v>72000000</v>
      </c>
      <c r="C664" s="60" t="s">
        <v>1246</v>
      </c>
      <c r="D664" s="57" t="s">
        <v>1306</v>
      </c>
    </row>
    <row r="665" spans="2:4" hidden="1" outlineLevel="2" x14ac:dyDescent="0.25">
      <c r="B665" s="60">
        <v>73000010</v>
      </c>
      <c r="C665" s="60" t="s">
        <v>1422</v>
      </c>
      <c r="D665" s="57" t="s">
        <v>1307</v>
      </c>
    </row>
    <row r="666" spans="2:4" hidden="1" outlineLevel="2" x14ac:dyDescent="0.25">
      <c r="B666" s="60">
        <v>73100010</v>
      </c>
      <c r="C666" s="60" t="s">
        <v>1423</v>
      </c>
      <c r="D666" s="57" t="s">
        <v>1307</v>
      </c>
    </row>
    <row r="667" spans="2:4" hidden="1" outlineLevel="2" x14ac:dyDescent="0.25">
      <c r="B667" s="60">
        <v>73200010</v>
      </c>
      <c r="C667" s="60" t="s">
        <v>1424</v>
      </c>
      <c r="D667" s="57" t="s">
        <v>1308</v>
      </c>
    </row>
    <row r="668" spans="2:4" hidden="1" outlineLevel="2" x14ac:dyDescent="0.25">
      <c r="B668" s="60">
        <v>99921010</v>
      </c>
      <c r="C668" s="60" t="s">
        <v>1425</v>
      </c>
      <c r="D668" s="57" t="s">
        <v>1067</v>
      </c>
    </row>
    <row r="669" spans="2:4" hidden="1" outlineLevel="2" x14ac:dyDescent="0.25">
      <c r="B669" s="60">
        <v>99942010</v>
      </c>
      <c r="C669" s="60" t="s">
        <v>1426</v>
      </c>
      <c r="D669" s="57" t="s">
        <v>1067</v>
      </c>
    </row>
    <row r="670" spans="2:4" hidden="1" outlineLevel="2" x14ac:dyDescent="0.25">
      <c r="B670" s="60">
        <v>99942020</v>
      </c>
      <c r="C670" s="60" t="s">
        <v>1427</v>
      </c>
      <c r="D670" s="57" t="s">
        <v>1067</v>
      </c>
    </row>
    <row r="671" spans="2:4" hidden="1" outlineLevel="2" x14ac:dyDescent="0.25">
      <c r="B671" s="60">
        <v>99942140</v>
      </c>
      <c r="C671" s="60" t="s">
        <v>1428</v>
      </c>
      <c r="D671" s="57" t="s">
        <v>1067</v>
      </c>
    </row>
    <row r="672" spans="2:4" hidden="1" outlineLevel="2" x14ac:dyDescent="0.25">
      <c r="B672" s="60">
        <v>99942150</v>
      </c>
      <c r="C672" s="60" t="s">
        <v>1429</v>
      </c>
      <c r="D672" s="57" t="s">
        <v>1067</v>
      </c>
    </row>
    <row r="673" spans="1:36" hidden="1" outlineLevel="2" x14ac:dyDescent="0.25">
      <c r="B673" s="60">
        <v>99943010</v>
      </c>
      <c r="C673" s="60" t="s">
        <v>1430</v>
      </c>
      <c r="D673" s="57" t="s">
        <v>1067</v>
      </c>
    </row>
    <row r="674" spans="1:36" hidden="1" outlineLevel="2" x14ac:dyDescent="0.25">
      <c r="B674" s="60">
        <v>99943020</v>
      </c>
      <c r="C674" s="60" t="s">
        <v>1431</v>
      </c>
      <c r="D674" s="57" t="s">
        <v>1067</v>
      </c>
    </row>
    <row r="675" spans="1:36" hidden="1" outlineLevel="2" x14ac:dyDescent="0.25">
      <c r="B675" s="60">
        <v>99943030</v>
      </c>
      <c r="C675" s="60" t="s">
        <v>1432</v>
      </c>
      <c r="D675" s="57" t="s">
        <v>1067</v>
      </c>
    </row>
    <row r="676" spans="1:36" hidden="1" outlineLevel="2" x14ac:dyDescent="0.25">
      <c r="B676" s="60">
        <v>99943040</v>
      </c>
      <c r="C676" s="60" t="s">
        <v>1433</v>
      </c>
      <c r="D676" s="57" t="s">
        <v>1067</v>
      </c>
    </row>
    <row r="677" spans="1:36" hidden="1" outlineLevel="2" x14ac:dyDescent="0.25">
      <c r="B677" s="60">
        <v>99943050</v>
      </c>
      <c r="C677" s="60" t="s">
        <v>1434</v>
      </c>
      <c r="D677" s="57" t="s">
        <v>1067</v>
      </c>
    </row>
    <row r="678" spans="1:36" hidden="1" outlineLevel="2" x14ac:dyDescent="0.25">
      <c r="B678" s="60">
        <v>99943060</v>
      </c>
      <c r="C678" s="60" t="s">
        <v>1435</v>
      </c>
      <c r="D678" s="57" t="s">
        <v>1067</v>
      </c>
    </row>
    <row r="679" spans="1:36" hidden="1" outlineLevel="2" x14ac:dyDescent="0.25">
      <c r="B679" s="60">
        <v>99943070</v>
      </c>
      <c r="C679" s="60" t="s">
        <v>1429</v>
      </c>
      <c r="D679" s="57" t="s">
        <v>1067</v>
      </c>
    </row>
    <row r="680" spans="1:36" hidden="1" outlineLevel="2" x14ac:dyDescent="0.25">
      <c r="B680" s="60">
        <v>99943080</v>
      </c>
      <c r="C680" s="60" t="s">
        <v>1436</v>
      </c>
      <c r="D680" s="57" t="s">
        <v>1067</v>
      </c>
    </row>
    <row r="681" spans="1:36" hidden="1" outlineLevel="2" x14ac:dyDescent="0.25">
      <c r="B681" s="60">
        <v>99943090</v>
      </c>
      <c r="C681" s="60" t="s">
        <v>1437</v>
      </c>
      <c r="D681" s="57" t="s">
        <v>1067</v>
      </c>
    </row>
    <row r="682" spans="1:36" hidden="1" outlineLevel="2" x14ac:dyDescent="0.25">
      <c r="B682" s="60">
        <v>99943510</v>
      </c>
      <c r="C682" s="60" t="s">
        <v>1438</v>
      </c>
      <c r="D682" s="57" t="s">
        <v>1067</v>
      </c>
    </row>
    <row r="683" spans="1:36" hidden="1" outlineLevel="2" x14ac:dyDescent="0.25"/>
    <row r="684" spans="1:36" hidden="1" outlineLevel="2" x14ac:dyDescent="0.25"/>
    <row r="685" spans="1:36" hidden="1" outlineLevel="1" x14ac:dyDescent="0.25"/>
    <row r="686" spans="1:36" collapsed="1" x14ac:dyDescent="0.25"/>
    <row r="688" spans="1:36" s="261" customFormat="1" ht="14.25" x14ac:dyDescent="0.2">
      <c r="A688" s="258"/>
      <c r="B688" s="259" t="s">
        <v>2711</v>
      </c>
      <c r="C688" s="258"/>
      <c r="D688" s="260"/>
      <c r="F688" s="258"/>
      <c r="G688" s="258"/>
      <c r="H688" s="258"/>
      <c r="I688" s="258"/>
      <c r="J688" s="262"/>
      <c r="K688" s="258"/>
      <c r="N688" s="263"/>
      <c r="O688" s="263"/>
      <c r="P688" s="263"/>
      <c r="Q688" s="263"/>
      <c r="R688" s="263"/>
      <c r="S688" s="263"/>
      <c r="T688" s="263"/>
      <c r="U688" s="263"/>
      <c r="V688" s="263"/>
      <c r="W688" s="263"/>
      <c r="X688" s="263"/>
      <c r="Y688" s="263"/>
      <c r="Z688" s="263"/>
      <c r="AA688" s="263"/>
      <c r="AH688" s="264"/>
      <c r="AI688" s="264"/>
      <c r="AJ688" s="264"/>
    </row>
    <row r="689" spans="1:36" s="115" customFormat="1" ht="14.25" x14ac:dyDescent="0.2">
      <c r="A689" s="117"/>
      <c r="B689" s="265"/>
      <c r="C689" s="117"/>
      <c r="D689" s="172"/>
      <c r="F689" s="117"/>
      <c r="G689" s="117"/>
      <c r="H689" s="117"/>
      <c r="I689" s="117"/>
      <c r="J689" s="173"/>
      <c r="K689" s="117"/>
      <c r="N689" s="118"/>
      <c r="O689" s="118"/>
      <c r="P689" s="118"/>
      <c r="Q689" s="118"/>
      <c r="R689" s="118"/>
      <c r="S689" s="118"/>
      <c r="T689" s="118"/>
      <c r="U689" s="118"/>
      <c r="V689" s="118"/>
      <c r="W689" s="118"/>
      <c r="X689" s="118"/>
      <c r="Y689" s="118"/>
      <c r="Z689" s="118"/>
      <c r="AA689" s="118"/>
      <c r="AH689" s="266"/>
      <c r="AI689" s="266"/>
      <c r="AJ689" s="266"/>
    </row>
    <row r="690" spans="1:36" s="115" customFormat="1" ht="15" customHeight="1" x14ac:dyDescent="0.2">
      <c r="A690" s="117"/>
      <c r="B690" s="117" t="s">
        <v>2712</v>
      </c>
      <c r="C690" s="117"/>
      <c r="D690" s="172"/>
      <c r="F690" s="117"/>
      <c r="G690" s="117"/>
      <c r="H690" s="117"/>
      <c r="I690" s="117"/>
      <c r="J690" s="173"/>
      <c r="K690" s="117"/>
      <c r="N690" s="118"/>
      <c r="O690" s="118"/>
      <c r="P690" s="118"/>
      <c r="Q690" s="118"/>
      <c r="R690" s="118"/>
      <c r="S690" s="118"/>
      <c r="T690" s="118"/>
      <c r="U690" s="118"/>
      <c r="V690" s="118"/>
      <c r="W690" s="118"/>
      <c r="X690" s="118"/>
      <c r="Y690" s="118"/>
      <c r="Z690" s="118"/>
      <c r="AA690" s="118"/>
      <c r="AH690" s="266"/>
      <c r="AI690" s="266"/>
      <c r="AJ690" s="266"/>
    </row>
    <row r="691" spans="1:36" s="115" customFormat="1" ht="15" customHeight="1" x14ac:dyDescent="0.2">
      <c r="A691" s="117"/>
      <c r="B691" s="267" t="s">
        <v>1669</v>
      </c>
      <c r="C691" s="267" t="s">
        <v>1670</v>
      </c>
      <c r="D691" s="267" t="s">
        <v>2713</v>
      </c>
      <c r="F691" s="117"/>
      <c r="G691" s="117"/>
      <c r="H691" s="117"/>
      <c r="I691" s="117"/>
      <c r="J691" s="173"/>
      <c r="K691" s="117"/>
      <c r="N691" s="118"/>
      <c r="O691" s="118"/>
      <c r="P691" s="118"/>
      <c r="Q691" s="118"/>
      <c r="R691" s="118"/>
      <c r="S691" s="118"/>
      <c r="T691" s="118"/>
      <c r="U691" s="118"/>
      <c r="V691" s="118"/>
      <c r="W691" s="118"/>
      <c r="X691" s="118"/>
      <c r="Y691" s="118"/>
      <c r="Z691" s="118"/>
      <c r="AA691" s="118"/>
      <c r="AH691" s="266"/>
      <c r="AI691" s="266"/>
      <c r="AJ691" s="266"/>
    </row>
    <row r="692" spans="1:36" s="115" customFormat="1" ht="15" customHeight="1" x14ac:dyDescent="0.2">
      <c r="A692" s="117"/>
      <c r="B692" s="268" t="s">
        <v>1646</v>
      </c>
      <c r="C692" s="269" t="s">
        <v>1647</v>
      </c>
      <c r="D692" s="270">
        <v>6025</v>
      </c>
      <c r="F692" s="117"/>
      <c r="G692" s="117"/>
      <c r="H692" s="117"/>
      <c r="I692" s="117"/>
      <c r="J692" s="173"/>
      <c r="K692" s="117"/>
      <c r="N692" s="118"/>
      <c r="O692" s="118"/>
      <c r="P692" s="118"/>
      <c r="Q692" s="118"/>
      <c r="R692" s="118"/>
      <c r="S692" s="118"/>
      <c r="T692" s="118"/>
      <c r="U692" s="118"/>
      <c r="V692" s="118"/>
      <c r="W692" s="118"/>
      <c r="X692" s="118"/>
      <c r="Y692" s="118"/>
      <c r="Z692" s="118"/>
      <c r="AA692" s="118"/>
      <c r="AH692" s="266"/>
      <c r="AI692" s="266"/>
      <c r="AJ692" s="266"/>
    </row>
    <row r="693" spans="1:36" s="115" customFormat="1" ht="15" customHeight="1" x14ac:dyDescent="0.2">
      <c r="A693" s="117"/>
      <c r="B693" s="268" t="s">
        <v>1648</v>
      </c>
      <c r="C693" s="269" t="s">
        <v>1649</v>
      </c>
      <c r="D693" s="270">
        <v>6125</v>
      </c>
      <c r="F693" s="117"/>
      <c r="G693" s="117"/>
      <c r="H693" s="117"/>
      <c r="I693" s="117"/>
      <c r="J693" s="173"/>
      <c r="K693" s="117"/>
      <c r="N693" s="118"/>
      <c r="O693" s="118"/>
      <c r="P693" s="118"/>
      <c r="Q693" s="118"/>
      <c r="R693" s="118"/>
      <c r="S693" s="118"/>
      <c r="T693" s="118"/>
      <c r="U693" s="118"/>
      <c r="V693" s="118"/>
      <c r="W693" s="118"/>
      <c r="X693" s="118"/>
      <c r="Y693" s="118"/>
      <c r="Z693" s="118"/>
      <c r="AA693" s="118"/>
      <c r="AH693" s="266"/>
      <c r="AI693" s="266"/>
      <c r="AJ693" s="266"/>
    </row>
    <row r="694" spans="1:36" s="115" customFormat="1" ht="15" customHeight="1" x14ac:dyDescent="0.2">
      <c r="A694" s="117"/>
      <c r="B694" s="268" t="s">
        <v>1650</v>
      </c>
      <c r="C694" s="269" t="s">
        <v>1651</v>
      </c>
      <c r="D694" s="270">
        <v>6225</v>
      </c>
      <c r="F694" s="117"/>
      <c r="G694" s="117"/>
      <c r="H694" s="117"/>
      <c r="I694" s="117"/>
      <c r="J694" s="173"/>
      <c r="K694" s="117"/>
      <c r="N694" s="118"/>
      <c r="O694" s="118"/>
      <c r="P694" s="118"/>
      <c r="Q694" s="118"/>
      <c r="R694" s="118"/>
      <c r="S694" s="118"/>
      <c r="T694" s="118"/>
      <c r="U694" s="118"/>
      <c r="V694" s="118"/>
      <c r="W694" s="118"/>
      <c r="X694" s="118"/>
      <c r="Y694" s="118"/>
      <c r="Z694" s="118"/>
      <c r="AA694" s="118"/>
      <c r="AH694" s="266"/>
      <c r="AI694" s="266"/>
      <c r="AJ694" s="266"/>
    </row>
    <row r="695" spans="1:36" s="115" customFormat="1" ht="15" customHeight="1" x14ac:dyDescent="0.2">
      <c r="A695" s="117"/>
      <c r="B695" s="268" t="s">
        <v>1652</v>
      </c>
      <c r="C695" s="269" t="s">
        <v>1653</v>
      </c>
      <c r="D695" s="270">
        <v>6325</v>
      </c>
      <c r="F695" s="117"/>
      <c r="G695" s="117"/>
      <c r="H695" s="117"/>
      <c r="I695" s="117"/>
      <c r="J695" s="173"/>
      <c r="K695" s="117"/>
      <c r="N695" s="118"/>
      <c r="O695" s="118"/>
      <c r="P695" s="118"/>
      <c r="Q695" s="118"/>
      <c r="R695" s="118"/>
      <c r="S695" s="118"/>
      <c r="T695" s="118"/>
      <c r="U695" s="118"/>
      <c r="V695" s="118"/>
      <c r="W695" s="118"/>
      <c r="X695" s="118"/>
      <c r="Y695" s="118"/>
      <c r="Z695" s="118"/>
      <c r="AA695" s="118"/>
      <c r="AH695" s="266"/>
      <c r="AI695" s="266"/>
      <c r="AJ695" s="266"/>
    </row>
    <row r="696" spans="1:36" s="115" customFormat="1" ht="15" customHeight="1" x14ac:dyDescent="0.2">
      <c r="A696" s="117"/>
      <c r="B696" s="268" t="s">
        <v>1654</v>
      </c>
      <c r="C696" s="269" t="s">
        <v>1655</v>
      </c>
      <c r="D696" s="270">
        <v>6425</v>
      </c>
      <c r="F696" s="116" t="s">
        <v>2714</v>
      </c>
      <c r="G696" s="116" t="s">
        <v>2715</v>
      </c>
      <c r="H696" s="117"/>
      <c r="I696" s="117"/>
      <c r="J696" s="173"/>
      <c r="K696" s="117"/>
      <c r="N696" s="118"/>
      <c r="O696" s="118"/>
      <c r="P696" s="118"/>
      <c r="Q696" s="118"/>
      <c r="R696" s="118"/>
      <c r="S696" s="118"/>
      <c r="T696" s="118"/>
      <c r="U696" s="118"/>
      <c r="V696" s="118"/>
      <c r="W696" s="118"/>
      <c r="X696" s="118"/>
      <c r="Y696" s="118"/>
      <c r="Z696" s="118"/>
      <c r="AA696" s="118"/>
      <c r="AH696" s="266"/>
      <c r="AI696" s="266"/>
      <c r="AJ696" s="266"/>
    </row>
    <row r="697" spans="1:36" s="115" customFormat="1" ht="15" customHeight="1" x14ac:dyDescent="0.2">
      <c r="A697" s="117"/>
      <c r="B697" s="271">
        <v>15020090</v>
      </c>
      <c r="C697" s="269" t="s">
        <v>1720</v>
      </c>
      <c r="D697" s="270">
        <v>6525</v>
      </c>
      <c r="F697" s="117"/>
      <c r="G697" s="117"/>
      <c r="J697" s="173"/>
      <c r="K697" s="117"/>
      <c r="N697" s="118"/>
      <c r="O697" s="118"/>
      <c r="P697" s="118"/>
      <c r="Q697" s="118"/>
      <c r="R697" s="118"/>
      <c r="S697" s="118"/>
      <c r="T697" s="118"/>
      <c r="U697" s="118"/>
      <c r="V697" s="118"/>
      <c r="W697" s="118"/>
      <c r="X697" s="118"/>
      <c r="Y697" s="118"/>
      <c r="Z697" s="118"/>
      <c r="AA697" s="118"/>
      <c r="AH697" s="266"/>
      <c r="AI697" s="266"/>
      <c r="AJ697" s="266"/>
    </row>
    <row r="700" spans="1:36" x14ac:dyDescent="0.25">
      <c r="A700" s="117" t="s">
        <v>2716</v>
      </c>
      <c r="B700" s="265" t="s">
        <v>2717</v>
      </c>
    </row>
    <row r="708" spans="2:6" x14ac:dyDescent="0.25">
      <c r="B708" s="272" t="s">
        <v>2718</v>
      </c>
      <c r="C708" s="117"/>
      <c r="D708" s="172"/>
      <c r="E708" s="117"/>
    </row>
    <row r="709" spans="2:6" x14ac:dyDescent="0.25">
      <c r="B709" s="273" t="s">
        <v>2719</v>
      </c>
      <c r="C709" s="274" t="s">
        <v>234</v>
      </c>
      <c r="D709" s="274" t="s">
        <v>242</v>
      </c>
      <c r="F709" s="274" t="s">
        <v>2720</v>
      </c>
    </row>
    <row r="710" spans="2:6" x14ac:dyDescent="0.25">
      <c r="B710" s="275" t="s">
        <v>1690</v>
      </c>
      <c r="C710" s="276" t="s">
        <v>1686</v>
      </c>
      <c r="D710" s="276" t="s">
        <v>1689</v>
      </c>
      <c r="F710" s="277" t="s">
        <v>1689</v>
      </c>
    </row>
    <row r="711" spans="2:6" x14ac:dyDescent="0.25">
      <c r="B711" s="275" t="s">
        <v>1690</v>
      </c>
      <c r="C711" s="276" t="s">
        <v>1684</v>
      </c>
      <c r="D711" s="276" t="s">
        <v>1684</v>
      </c>
      <c r="F711" s="277" t="s">
        <v>1684</v>
      </c>
    </row>
    <row r="712" spans="2:6" x14ac:dyDescent="0.25">
      <c r="B712" s="275" t="s">
        <v>1690</v>
      </c>
      <c r="C712" s="276" t="s">
        <v>2660</v>
      </c>
      <c r="D712" s="276" t="s">
        <v>2660</v>
      </c>
      <c r="F712" s="277" t="s">
        <v>2660</v>
      </c>
    </row>
    <row r="713" spans="2:6" x14ac:dyDescent="0.25">
      <c r="B713" s="275" t="s">
        <v>1692</v>
      </c>
      <c r="C713" s="276" t="s">
        <v>2657</v>
      </c>
      <c r="D713" s="276" t="s">
        <v>2657</v>
      </c>
      <c r="F713" s="277" t="s">
        <v>1621</v>
      </c>
    </row>
    <row r="714" spans="2:6" x14ac:dyDescent="0.25">
      <c r="B714" s="275" t="s">
        <v>1692</v>
      </c>
      <c r="C714" s="276" t="s">
        <v>2661</v>
      </c>
      <c r="D714" s="276" t="s">
        <v>2661</v>
      </c>
      <c r="F714" s="277" t="s">
        <v>2721</v>
      </c>
    </row>
    <row r="715" spans="2:6" x14ac:dyDescent="0.25">
      <c r="B715" s="275" t="s">
        <v>1692</v>
      </c>
      <c r="C715" s="276" t="s">
        <v>2664</v>
      </c>
      <c r="D715" s="276" t="s">
        <v>2664</v>
      </c>
      <c r="F715" s="277" t="s">
        <v>2664</v>
      </c>
    </row>
    <row r="716" spans="2:6" x14ac:dyDescent="0.25">
      <c r="B716" s="275" t="s">
        <v>1692</v>
      </c>
      <c r="C716" s="276" t="s">
        <v>1622</v>
      </c>
      <c r="D716" s="276" t="s">
        <v>1622</v>
      </c>
      <c r="F716" s="277" t="s">
        <v>1622</v>
      </c>
    </row>
    <row r="717" spans="2:6" x14ac:dyDescent="0.25">
      <c r="B717" s="275" t="s">
        <v>1692</v>
      </c>
      <c r="C717" s="276" t="s">
        <v>1745</v>
      </c>
      <c r="D717" s="276" t="s">
        <v>1745</v>
      </c>
      <c r="F717" s="277" t="s">
        <v>1745</v>
      </c>
    </row>
    <row r="718" spans="2:6" x14ac:dyDescent="0.25">
      <c r="B718" s="275" t="s">
        <v>1692</v>
      </c>
      <c r="C718" s="276" t="s">
        <v>1691</v>
      </c>
      <c r="D718" s="276" t="s">
        <v>1691</v>
      </c>
      <c r="F718" s="277" t="s">
        <v>1691</v>
      </c>
    </row>
    <row r="719" spans="2:6" x14ac:dyDescent="0.25">
      <c r="B719" s="278" t="s">
        <v>18</v>
      </c>
      <c r="C719" s="278" t="s">
        <v>2652</v>
      </c>
      <c r="D719" s="278" t="s">
        <v>30</v>
      </c>
      <c r="F719" s="279" t="s">
        <v>50</v>
      </c>
    </row>
    <row r="720" spans="2:6" x14ac:dyDescent="0.25">
      <c r="B720" s="278" t="s">
        <v>18</v>
      </c>
      <c r="C720" s="278" t="s">
        <v>2652</v>
      </c>
      <c r="D720" s="278" t="s">
        <v>29</v>
      </c>
      <c r="F720" s="279" t="s">
        <v>106</v>
      </c>
    </row>
    <row r="721" spans="2:6" x14ac:dyDescent="0.25">
      <c r="B721" s="278" t="s">
        <v>18</v>
      </c>
      <c r="C721" s="278" t="s">
        <v>2649</v>
      </c>
      <c r="D721" s="278" t="s">
        <v>327</v>
      </c>
      <c r="F721" s="279" t="s">
        <v>364</v>
      </c>
    </row>
    <row r="722" spans="2:6" x14ac:dyDescent="0.25">
      <c r="B722" s="278" t="s">
        <v>18</v>
      </c>
      <c r="C722" s="278" t="str">
        <f>C721</f>
        <v>QHSE</v>
      </c>
      <c r="D722" s="278" t="s">
        <v>329</v>
      </c>
      <c r="F722" s="279" t="s">
        <v>364</v>
      </c>
    </row>
    <row r="723" spans="2:6" x14ac:dyDescent="0.25">
      <c r="B723" s="278" t="s">
        <v>18</v>
      </c>
      <c r="C723" s="278" t="s">
        <v>1509</v>
      </c>
      <c r="D723" s="278" t="s">
        <v>236</v>
      </c>
      <c r="F723" s="279" t="s">
        <v>2722</v>
      </c>
    </row>
    <row r="724" spans="2:6" x14ac:dyDescent="0.25">
      <c r="B724" s="278" t="s">
        <v>18</v>
      </c>
      <c r="C724" s="278" t="s">
        <v>1509</v>
      </c>
      <c r="D724" s="278" t="s">
        <v>32</v>
      </c>
      <c r="F724" s="279" t="s">
        <v>2723</v>
      </c>
    </row>
    <row r="725" spans="2:6" x14ac:dyDescent="0.25">
      <c r="B725" s="278" t="s">
        <v>18</v>
      </c>
      <c r="C725" s="278" t="s">
        <v>2646</v>
      </c>
      <c r="D725" s="278" t="s">
        <v>2653</v>
      </c>
      <c r="F725" s="279" t="s">
        <v>2548</v>
      </c>
    </row>
    <row r="726" spans="2:6" x14ac:dyDescent="0.25">
      <c r="B726" s="278" t="s">
        <v>18</v>
      </c>
      <c r="C726" s="278" t="s">
        <v>2646</v>
      </c>
      <c r="D726" s="278" t="s">
        <v>24</v>
      </c>
      <c r="F726" s="279" t="s">
        <v>377</v>
      </c>
    </row>
    <row r="727" spans="2:6" x14ac:dyDescent="0.25">
      <c r="B727" s="278" t="s">
        <v>18</v>
      </c>
      <c r="C727" s="278" t="s">
        <v>2646</v>
      </c>
      <c r="D727" s="278" t="s">
        <v>2724</v>
      </c>
      <c r="F727" s="279" t="s">
        <v>2725</v>
      </c>
    </row>
    <row r="728" spans="2:6" x14ac:dyDescent="0.25">
      <c r="B728" s="278" t="s">
        <v>18</v>
      </c>
      <c r="C728" s="278" t="s">
        <v>2646</v>
      </c>
      <c r="D728" s="278" t="s">
        <v>21</v>
      </c>
      <c r="F728" s="279" t="s">
        <v>244</v>
      </c>
    </row>
    <row r="729" spans="2:6" x14ac:dyDescent="0.25">
      <c r="B729" s="278" t="s">
        <v>18</v>
      </c>
      <c r="C729" s="278" t="s">
        <v>2647</v>
      </c>
      <c r="D729" s="278" t="s">
        <v>2654</v>
      </c>
      <c r="F729" s="279" t="s">
        <v>337</v>
      </c>
    </row>
    <row r="730" spans="2:6" x14ac:dyDescent="0.25">
      <c r="B730" s="278" t="s">
        <v>18</v>
      </c>
      <c r="C730" s="278" t="s">
        <v>2647</v>
      </c>
      <c r="D730" s="278" t="s">
        <v>2658</v>
      </c>
      <c r="F730" s="279" t="s">
        <v>2726</v>
      </c>
    </row>
    <row r="731" spans="2:6" x14ac:dyDescent="0.25">
      <c r="B731" s="278" t="s">
        <v>18</v>
      </c>
      <c r="C731" s="278" t="s">
        <v>2647</v>
      </c>
      <c r="D731" s="278" t="s">
        <v>2662</v>
      </c>
      <c r="F731" s="279" t="s">
        <v>2727</v>
      </c>
    </row>
    <row r="732" spans="2:6" x14ac:dyDescent="0.25">
      <c r="B732" s="278" t="s">
        <v>18</v>
      </c>
      <c r="C732" s="278" t="s">
        <v>2648</v>
      </c>
      <c r="D732" s="278" t="s">
        <v>2656</v>
      </c>
      <c r="F732" s="279" t="s">
        <v>2728</v>
      </c>
    </row>
    <row r="733" spans="2:6" x14ac:dyDescent="0.25">
      <c r="B733" s="278" t="s">
        <v>18</v>
      </c>
      <c r="C733" s="278" t="s">
        <v>2665</v>
      </c>
      <c r="D733" s="278" t="s">
        <v>2729</v>
      </c>
      <c r="F733" s="279" t="s">
        <v>2730</v>
      </c>
    </row>
    <row r="734" spans="2:6" x14ac:dyDescent="0.25">
      <c r="B734" s="278" t="s">
        <v>18</v>
      </c>
      <c r="C734" s="278" t="s">
        <v>237</v>
      </c>
      <c r="D734" s="278" t="s">
        <v>237</v>
      </c>
      <c r="F734" s="279" t="s">
        <v>31</v>
      </c>
    </row>
    <row r="735" spans="2:6" x14ac:dyDescent="0.25">
      <c r="B735" s="278" t="s">
        <v>18</v>
      </c>
      <c r="C735" s="278" t="s">
        <v>1510</v>
      </c>
      <c r="D735" s="278" t="s">
        <v>25</v>
      </c>
      <c r="F735" s="279" t="s">
        <v>341</v>
      </c>
    </row>
    <row r="736" spans="2:6" x14ac:dyDescent="0.25">
      <c r="B736" s="278" t="s">
        <v>18</v>
      </c>
      <c r="C736" s="278" t="s">
        <v>1510</v>
      </c>
      <c r="D736" s="278" t="s">
        <v>26</v>
      </c>
      <c r="F736" s="279" t="s">
        <v>341</v>
      </c>
    </row>
    <row r="737" spans="1:36" x14ac:dyDescent="0.25">
      <c r="B737" s="278" t="s">
        <v>18</v>
      </c>
      <c r="C737" s="278" t="s">
        <v>1510</v>
      </c>
      <c r="D737" s="278" t="s">
        <v>27</v>
      </c>
      <c r="F737" s="279" t="s">
        <v>341</v>
      </c>
    </row>
    <row r="738" spans="1:36" x14ac:dyDescent="0.25">
      <c r="B738" s="278" t="s">
        <v>18</v>
      </c>
      <c r="C738" s="278" t="s">
        <v>1510</v>
      </c>
      <c r="D738" s="278" t="s">
        <v>28</v>
      </c>
      <c r="F738" s="279" t="s">
        <v>341</v>
      </c>
    </row>
    <row r="739" spans="1:36" x14ac:dyDescent="0.25">
      <c r="B739" s="278" t="s">
        <v>18</v>
      </c>
      <c r="C739" s="278" t="s">
        <v>1510</v>
      </c>
      <c r="D739" s="278" t="s">
        <v>252</v>
      </c>
      <c r="F739" s="279" t="s">
        <v>341</v>
      </c>
    </row>
    <row r="740" spans="1:36" x14ac:dyDescent="0.25">
      <c r="B740" s="278" t="s">
        <v>18</v>
      </c>
      <c r="C740" s="278" t="s">
        <v>239</v>
      </c>
      <c r="D740" s="278" t="s">
        <v>2655</v>
      </c>
      <c r="F740" s="279" t="s">
        <v>2731</v>
      </c>
    </row>
    <row r="741" spans="1:36" x14ac:dyDescent="0.25">
      <c r="B741" s="278" t="s">
        <v>18</v>
      </c>
      <c r="C741" s="278" t="s">
        <v>239</v>
      </c>
      <c r="D741" s="278" t="s">
        <v>2663</v>
      </c>
      <c r="F741" s="279" t="s">
        <v>2731</v>
      </c>
    </row>
    <row r="742" spans="1:36" x14ac:dyDescent="0.25">
      <c r="B742" s="278" t="s">
        <v>18</v>
      </c>
      <c r="C742" s="278" t="s">
        <v>239</v>
      </c>
      <c r="D742" s="278" t="s">
        <v>2659</v>
      </c>
      <c r="F742" s="279" t="s">
        <v>2731</v>
      </c>
    </row>
    <row r="745" spans="1:36" s="261" customFormat="1" ht="14.25" x14ac:dyDescent="0.2">
      <c r="A745" s="258"/>
      <c r="B745" s="259" t="s">
        <v>2732</v>
      </c>
      <c r="D745" s="258"/>
      <c r="E745" s="260"/>
      <c r="F745" s="258"/>
      <c r="G745" s="258"/>
      <c r="H745" s="258"/>
      <c r="I745" s="258"/>
      <c r="J745" s="262"/>
      <c r="K745" s="258"/>
      <c r="N745" s="263"/>
      <c r="O745" s="263"/>
      <c r="P745" s="263"/>
      <c r="Q745" s="263"/>
      <c r="R745" s="263"/>
      <c r="S745" s="263"/>
      <c r="T745" s="263"/>
      <c r="U745" s="263"/>
      <c r="V745" s="263"/>
      <c r="W745" s="263"/>
      <c r="X745" s="263"/>
      <c r="Y745" s="263"/>
      <c r="Z745" s="263"/>
      <c r="AA745" s="263"/>
      <c r="AH745" s="264"/>
      <c r="AI745" s="264"/>
      <c r="AJ745" s="264"/>
    </row>
    <row r="747" spans="1:36" x14ac:dyDescent="0.25">
      <c r="B747" s="267" t="s">
        <v>1669</v>
      </c>
      <c r="C747" s="267" t="s">
        <v>1670</v>
      </c>
      <c r="D747" s="267" t="s">
        <v>1671</v>
      </c>
    </row>
    <row r="748" spans="1:36" x14ac:dyDescent="0.25">
      <c r="B748" s="269" t="s">
        <v>658</v>
      </c>
      <c r="C748" s="269" t="s">
        <v>1625</v>
      </c>
      <c r="D748" s="280" t="s">
        <v>1672</v>
      </c>
    </row>
    <row r="749" spans="1:36" x14ac:dyDescent="0.25">
      <c r="B749" s="269" t="s">
        <v>1626</v>
      </c>
      <c r="C749" s="269" t="s">
        <v>1627</v>
      </c>
      <c r="D749" s="280" t="s">
        <v>1673</v>
      </c>
    </row>
    <row r="750" spans="1:36" x14ac:dyDescent="0.25">
      <c r="B750" s="269" t="s">
        <v>1628</v>
      </c>
      <c r="C750" s="269" t="s">
        <v>1629</v>
      </c>
      <c r="D750" s="280" t="s">
        <v>1674</v>
      </c>
    </row>
    <row r="751" spans="1:36" x14ac:dyDescent="0.25">
      <c r="B751" s="269" t="s">
        <v>1630</v>
      </c>
      <c r="C751" s="269" t="s">
        <v>1631</v>
      </c>
      <c r="D751" s="280" t="s">
        <v>1675</v>
      </c>
    </row>
    <row r="752" spans="1:36" x14ac:dyDescent="0.25">
      <c r="B752" s="269" t="s">
        <v>1632</v>
      </c>
      <c r="C752" s="269" t="s">
        <v>1633</v>
      </c>
      <c r="D752" s="280" t="s">
        <v>1676</v>
      </c>
    </row>
    <row r="753" spans="2:4" x14ac:dyDescent="0.25">
      <c r="B753" s="269" t="s">
        <v>1634</v>
      </c>
      <c r="C753" s="269" t="s">
        <v>1635</v>
      </c>
      <c r="D753" s="280" t="s">
        <v>1677</v>
      </c>
    </row>
    <row r="754" spans="2:4" x14ac:dyDescent="0.25">
      <c r="B754" s="269" t="s">
        <v>1636</v>
      </c>
      <c r="C754" s="269" t="s">
        <v>1637</v>
      </c>
      <c r="D754" s="280" t="s">
        <v>1678</v>
      </c>
    </row>
    <row r="755" spans="2:4" x14ac:dyDescent="0.25">
      <c r="B755" s="269" t="s">
        <v>1638</v>
      </c>
      <c r="C755" s="269" t="s">
        <v>1639</v>
      </c>
      <c r="D755" s="280" t="s">
        <v>1679</v>
      </c>
    </row>
    <row r="756" spans="2:4" x14ac:dyDescent="0.25">
      <c r="B756" s="269" t="s">
        <v>1640</v>
      </c>
      <c r="C756" s="269" t="s">
        <v>1641</v>
      </c>
      <c r="D756" s="280" t="s">
        <v>1680</v>
      </c>
    </row>
    <row r="757" spans="2:4" x14ac:dyDescent="0.25">
      <c r="B757" s="269" t="s">
        <v>1642</v>
      </c>
      <c r="C757" s="269" t="s">
        <v>1643</v>
      </c>
      <c r="D757" s="280" t="s">
        <v>1681</v>
      </c>
    </row>
    <row r="758" spans="2:4" x14ac:dyDescent="0.25">
      <c r="B758" s="269" t="s">
        <v>668</v>
      </c>
      <c r="C758" s="269" t="s">
        <v>1644</v>
      </c>
      <c r="D758" s="280" t="s">
        <v>1682</v>
      </c>
    </row>
    <row r="759" spans="2:4" x14ac:dyDescent="0.25">
      <c r="B759" s="281">
        <v>15000250</v>
      </c>
      <c r="C759" s="268" t="s">
        <v>1645</v>
      </c>
      <c r="D759" s="280" t="s">
        <v>1683</v>
      </c>
    </row>
    <row r="760" spans="2:4" x14ac:dyDescent="0.25">
      <c r="B760" s="282"/>
      <c r="C760" s="283"/>
      <c r="D760" s="53"/>
    </row>
    <row r="761" spans="2:4" x14ac:dyDescent="0.25">
      <c r="B761" s="282"/>
      <c r="C761" s="283"/>
      <c r="D761" s="53"/>
    </row>
    <row r="762" spans="2:4" x14ac:dyDescent="0.25">
      <c r="B762" s="282"/>
      <c r="C762" s="283"/>
      <c r="D762" s="53"/>
    </row>
    <row r="763" spans="2:4" x14ac:dyDescent="0.25">
      <c r="B763" s="282"/>
      <c r="C763" s="283"/>
      <c r="D763" s="53"/>
    </row>
    <row r="764" spans="2:4" x14ac:dyDescent="0.25">
      <c r="B764" s="282"/>
      <c r="C764" s="283"/>
      <c r="D764" s="53"/>
    </row>
    <row r="765" spans="2:4" x14ac:dyDescent="0.25">
      <c r="B765" s="282"/>
      <c r="C765" s="283"/>
      <c r="D765" s="53"/>
    </row>
    <row r="766" spans="2:4" x14ac:dyDescent="0.25">
      <c r="B766" s="282"/>
      <c r="C766" s="283"/>
      <c r="D766" s="53"/>
    </row>
    <row r="767" spans="2:4" x14ac:dyDescent="0.25">
      <c r="B767" s="282"/>
      <c r="C767" s="283"/>
      <c r="D767" s="53"/>
    </row>
    <row r="768" spans="2:4" x14ac:dyDescent="0.25">
      <c r="B768" s="282"/>
      <c r="C768" s="283"/>
      <c r="D768" s="53"/>
    </row>
    <row r="769" spans="2:4" x14ac:dyDescent="0.25">
      <c r="B769" s="282"/>
      <c r="C769" s="283"/>
      <c r="D769" s="53"/>
    </row>
    <row r="770" spans="2:4" x14ac:dyDescent="0.25">
      <c r="B770" s="284" t="s">
        <v>1918</v>
      </c>
      <c r="C770" s="284" t="s">
        <v>46</v>
      </c>
      <c r="D770" s="284" t="s">
        <v>2720</v>
      </c>
    </row>
    <row r="771" spans="2:4" x14ac:dyDescent="0.25">
      <c r="B771" s="268" t="s">
        <v>335</v>
      </c>
      <c r="C771" s="268" t="s">
        <v>261</v>
      </c>
      <c r="D771" s="285" t="str">
        <f>RIGHT(C771,5)</f>
        <v>BD001</v>
      </c>
    </row>
    <row r="772" spans="2:4" x14ac:dyDescent="0.25">
      <c r="B772" s="268" t="s">
        <v>2546</v>
      </c>
      <c r="C772" s="268" t="s">
        <v>2545</v>
      </c>
      <c r="D772" s="285" t="str">
        <f t="shared" ref="D772:D823" si="13">RIGHT(C772,5)</f>
        <v>BD002</v>
      </c>
    </row>
    <row r="773" spans="2:4" x14ac:dyDescent="0.25">
      <c r="B773" s="268" t="s">
        <v>336</v>
      </c>
      <c r="C773" s="268" t="s">
        <v>269</v>
      </c>
      <c r="D773" s="285" t="str">
        <f t="shared" si="13"/>
        <v>CL001</v>
      </c>
    </row>
    <row r="774" spans="2:4" x14ac:dyDescent="0.25">
      <c r="B774" s="268" t="s">
        <v>338</v>
      </c>
      <c r="C774" s="268" t="s">
        <v>262</v>
      </c>
      <c r="D774" s="285" t="str">
        <f t="shared" si="13"/>
        <v>CP001</v>
      </c>
    </row>
    <row r="775" spans="2:4" x14ac:dyDescent="0.25">
      <c r="B775" s="268" t="s">
        <v>339</v>
      </c>
      <c r="C775" s="268" t="s">
        <v>284</v>
      </c>
      <c r="D775" s="285" t="str">
        <f t="shared" si="13"/>
        <v>CS001</v>
      </c>
    </row>
    <row r="776" spans="2:4" x14ac:dyDescent="0.25">
      <c r="B776" s="268" t="s">
        <v>340</v>
      </c>
      <c r="C776" s="268" t="s">
        <v>272</v>
      </c>
      <c r="D776" s="285" t="str">
        <f t="shared" si="13"/>
        <v>FA001</v>
      </c>
    </row>
    <row r="777" spans="2:4" x14ac:dyDescent="0.25">
      <c r="B777" s="268" t="s">
        <v>342</v>
      </c>
      <c r="C777" s="268" t="s">
        <v>260</v>
      </c>
      <c r="D777" s="285" t="str">
        <f t="shared" si="13"/>
        <v>FA002</v>
      </c>
    </row>
    <row r="778" spans="2:4" x14ac:dyDescent="0.25">
      <c r="B778" s="268" t="s">
        <v>343</v>
      </c>
      <c r="C778" s="268" t="s">
        <v>271</v>
      </c>
      <c r="D778" s="285" t="str">
        <f t="shared" si="13"/>
        <v>FA003</v>
      </c>
    </row>
    <row r="779" spans="2:4" x14ac:dyDescent="0.25">
      <c r="B779" s="268" t="s">
        <v>344</v>
      </c>
      <c r="C779" s="268" t="s">
        <v>263</v>
      </c>
      <c r="D779" s="285" t="str">
        <f t="shared" si="13"/>
        <v>FA004</v>
      </c>
    </row>
    <row r="780" spans="2:4" x14ac:dyDescent="0.25">
      <c r="B780" s="268" t="s">
        <v>346</v>
      </c>
      <c r="C780" s="268" t="s">
        <v>286</v>
      </c>
      <c r="D780" s="285" t="str">
        <f t="shared" si="13"/>
        <v>FA006</v>
      </c>
    </row>
    <row r="781" spans="2:4" x14ac:dyDescent="0.25">
      <c r="B781" s="268" t="s">
        <v>347</v>
      </c>
      <c r="C781" s="268" t="s">
        <v>278</v>
      </c>
      <c r="D781" s="285" t="str">
        <f t="shared" si="13"/>
        <v>FA007</v>
      </c>
    </row>
    <row r="782" spans="2:4" x14ac:dyDescent="0.25">
      <c r="B782" s="268" t="s">
        <v>2550</v>
      </c>
      <c r="C782" s="268" t="s">
        <v>2549</v>
      </c>
      <c r="D782" s="285" t="str">
        <f t="shared" si="13"/>
        <v>FA008</v>
      </c>
    </row>
    <row r="783" spans="2:4" x14ac:dyDescent="0.25">
      <c r="B783" s="268" t="s">
        <v>351</v>
      </c>
      <c r="C783" s="268" t="s">
        <v>264</v>
      </c>
      <c r="D783" s="285" t="str">
        <f t="shared" si="13"/>
        <v>GA001</v>
      </c>
    </row>
    <row r="784" spans="2:4" x14ac:dyDescent="0.25">
      <c r="B784" s="268" t="s">
        <v>352</v>
      </c>
      <c r="C784" s="268" t="s">
        <v>280</v>
      </c>
      <c r="D784" s="285" t="str">
        <f t="shared" si="13"/>
        <v>GA002</v>
      </c>
    </row>
    <row r="785" spans="2:4" x14ac:dyDescent="0.25">
      <c r="B785" s="268" t="s">
        <v>353</v>
      </c>
      <c r="C785" s="268" t="s">
        <v>290</v>
      </c>
      <c r="D785" s="285" t="str">
        <f t="shared" si="13"/>
        <v>GA003</v>
      </c>
    </row>
    <row r="786" spans="2:4" x14ac:dyDescent="0.25">
      <c r="B786" s="268" t="s">
        <v>354</v>
      </c>
      <c r="C786" s="268" t="s">
        <v>296</v>
      </c>
      <c r="D786" s="285" t="str">
        <f t="shared" si="13"/>
        <v>GA004</v>
      </c>
    </row>
    <row r="787" spans="2:4" x14ac:dyDescent="0.25">
      <c r="B787" s="268" t="s">
        <v>355</v>
      </c>
      <c r="C787" s="268" t="s">
        <v>301</v>
      </c>
      <c r="D787" s="285" t="str">
        <f t="shared" si="13"/>
        <v>GA005</v>
      </c>
    </row>
    <row r="788" spans="2:4" x14ac:dyDescent="0.25">
      <c r="B788" s="268" t="s">
        <v>356</v>
      </c>
      <c r="C788" s="268" t="s">
        <v>304</v>
      </c>
      <c r="D788" s="285" t="str">
        <f t="shared" si="13"/>
        <v>GA008</v>
      </c>
    </row>
    <row r="789" spans="2:4" x14ac:dyDescent="0.25">
      <c r="B789" s="268" t="s">
        <v>2552</v>
      </c>
      <c r="C789" s="268" t="s">
        <v>311</v>
      </c>
      <c r="D789" s="285" t="str">
        <f t="shared" si="13"/>
        <v>GA009</v>
      </c>
    </row>
    <row r="790" spans="2:4" x14ac:dyDescent="0.25">
      <c r="B790" s="268" t="s">
        <v>357</v>
      </c>
      <c r="C790" s="268" t="s">
        <v>266</v>
      </c>
      <c r="D790" s="285" t="str">
        <f t="shared" si="13"/>
        <v>HR001</v>
      </c>
    </row>
    <row r="791" spans="2:4" x14ac:dyDescent="0.25">
      <c r="B791" s="268" t="s">
        <v>358</v>
      </c>
      <c r="C791" s="268" t="s">
        <v>282</v>
      </c>
      <c r="D791" s="285" t="str">
        <f t="shared" si="13"/>
        <v>HR002</v>
      </c>
    </row>
    <row r="792" spans="2:4" x14ac:dyDescent="0.25">
      <c r="B792" s="268" t="s">
        <v>359</v>
      </c>
      <c r="C792" s="268" t="s">
        <v>291</v>
      </c>
      <c r="D792" s="285" t="str">
        <f t="shared" si="13"/>
        <v>HR003</v>
      </c>
    </row>
    <row r="793" spans="2:4" x14ac:dyDescent="0.25">
      <c r="B793" s="268" t="s">
        <v>360</v>
      </c>
      <c r="C793" s="268" t="s">
        <v>297</v>
      </c>
      <c r="D793" s="285" t="str">
        <f t="shared" si="13"/>
        <v>HR004</v>
      </c>
    </row>
    <row r="794" spans="2:4" x14ac:dyDescent="0.25">
      <c r="B794" s="268" t="s">
        <v>361</v>
      </c>
      <c r="C794" s="268" t="s">
        <v>302</v>
      </c>
      <c r="D794" s="285" t="str">
        <f t="shared" si="13"/>
        <v>HR005</v>
      </c>
    </row>
    <row r="795" spans="2:4" x14ac:dyDescent="0.25">
      <c r="B795" s="268" t="s">
        <v>362</v>
      </c>
      <c r="C795" s="268" t="s">
        <v>305</v>
      </c>
      <c r="D795" s="285" t="str">
        <f t="shared" si="13"/>
        <v>HR007</v>
      </c>
    </row>
    <row r="796" spans="2:4" x14ac:dyDescent="0.25">
      <c r="B796" s="268" t="s">
        <v>363</v>
      </c>
      <c r="C796" s="268" t="s">
        <v>265</v>
      </c>
      <c r="D796" s="285" t="str">
        <f t="shared" si="13"/>
        <v>HS001</v>
      </c>
    </row>
    <row r="797" spans="2:4" x14ac:dyDescent="0.25">
      <c r="B797" s="268" t="s">
        <v>365</v>
      </c>
      <c r="C797" s="268" t="s">
        <v>303</v>
      </c>
      <c r="D797" s="285" t="str">
        <f t="shared" si="13"/>
        <v>HS002</v>
      </c>
    </row>
    <row r="798" spans="2:4" x14ac:dyDescent="0.25">
      <c r="B798" s="268" t="s">
        <v>366</v>
      </c>
      <c r="C798" s="268" t="s">
        <v>267</v>
      </c>
      <c r="D798" s="285" t="str">
        <f t="shared" si="13"/>
        <v>IA001</v>
      </c>
    </row>
    <row r="799" spans="2:4" x14ac:dyDescent="0.25">
      <c r="B799" s="268" t="s">
        <v>367</v>
      </c>
      <c r="C799" s="268" t="s">
        <v>268</v>
      </c>
      <c r="D799" s="285" t="str">
        <f t="shared" si="13"/>
        <v>IT001</v>
      </c>
    </row>
    <row r="800" spans="2:4" x14ac:dyDescent="0.25">
      <c r="B800" s="268" t="s">
        <v>2053</v>
      </c>
      <c r="C800" s="268" t="s">
        <v>368</v>
      </c>
      <c r="D800" s="285" t="str">
        <f t="shared" si="13"/>
        <v>IT002</v>
      </c>
    </row>
    <row r="801" spans="2:4" x14ac:dyDescent="0.25">
      <c r="B801" s="268" t="s">
        <v>369</v>
      </c>
      <c r="C801" s="268" t="s">
        <v>283</v>
      </c>
      <c r="D801" s="285" t="str">
        <f t="shared" si="13"/>
        <v>IT003</v>
      </c>
    </row>
    <row r="802" spans="2:4" x14ac:dyDescent="0.25">
      <c r="B802" s="268" t="s">
        <v>2554</v>
      </c>
      <c r="C802" s="268" t="s">
        <v>2553</v>
      </c>
      <c r="D802" s="285" t="str">
        <f t="shared" si="13"/>
        <v>IT004</v>
      </c>
    </row>
    <row r="803" spans="2:4" x14ac:dyDescent="0.25">
      <c r="B803" s="268" t="s">
        <v>370</v>
      </c>
      <c r="C803" s="268" t="s">
        <v>307</v>
      </c>
      <c r="D803" s="285" t="str">
        <f t="shared" si="13"/>
        <v>MS001</v>
      </c>
    </row>
    <row r="804" spans="2:4" x14ac:dyDescent="0.25">
      <c r="B804" s="268" t="s">
        <v>371</v>
      </c>
      <c r="C804" s="268" t="s">
        <v>285</v>
      </c>
      <c r="D804" s="285" t="str">
        <f t="shared" si="13"/>
        <v>MS002</v>
      </c>
    </row>
    <row r="805" spans="2:4" x14ac:dyDescent="0.25">
      <c r="B805" s="268" t="s">
        <v>372</v>
      </c>
      <c r="C805" s="268" t="s">
        <v>292</v>
      </c>
      <c r="D805" s="285" t="str">
        <f t="shared" si="13"/>
        <v>MS005</v>
      </c>
    </row>
    <row r="806" spans="2:4" x14ac:dyDescent="0.25">
      <c r="B806" s="268" t="s">
        <v>373</v>
      </c>
      <c r="C806" s="268" t="s">
        <v>293</v>
      </c>
      <c r="D806" s="285" t="str">
        <f t="shared" si="13"/>
        <v>MS006</v>
      </c>
    </row>
    <row r="807" spans="2:4" x14ac:dyDescent="0.25">
      <c r="B807" s="268" t="s">
        <v>374</v>
      </c>
      <c r="C807" s="268" t="s">
        <v>299</v>
      </c>
      <c r="D807" s="285" t="str">
        <f t="shared" si="13"/>
        <v>MS007</v>
      </c>
    </row>
    <row r="808" spans="2:4" x14ac:dyDescent="0.25">
      <c r="B808" s="268" t="s">
        <v>375</v>
      </c>
      <c r="C808" s="268" t="s">
        <v>270</v>
      </c>
      <c r="D808" s="285" t="str">
        <f t="shared" si="13"/>
        <v>MS008</v>
      </c>
    </row>
    <row r="809" spans="2:4" x14ac:dyDescent="0.25">
      <c r="B809" s="268" t="s">
        <v>2691</v>
      </c>
      <c r="C809" s="268" t="s">
        <v>2690</v>
      </c>
      <c r="D809" s="285" t="str">
        <f t="shared" si="13"/>
        <v>MS010</v>
      </c>
    </row>
    <row r="810" spans="2:4" x14ac:dyDescent="0.25">
      <c r="B810" s="268" t="s">
        <v>376</v>
      </c>
      <c r="C810" s="268" t="s">
        <v>306</v>
      </c>
      <c r="D810" s="285" t="str">
        <f t="shared" si="13"/>
        <v>PR001</v>
      </c>
    </row>
    <row r="811" spans="2:4" x14ac:dyDescent="0.25">
      <c r="B811" s="268" t="s">
        <v>378</v>
      </c>
      <c r="C811" s="268" t="s">
        <v>309</v>
      </c>
      <c r="D811" s="285" t="str">
        <f t="shared" si="13"/>
        <v>PR002</v>
      </c>
    </row>
    <row r="812" spans="2:4" x14ac:dyDescent="0.25">
      <c r="B812" s="268" t="s">
        <v>2733</v>
      </c>
      <c r="C812" s="268" t="s">
        <v>2734</v>
      </c>
      <c r="D812" s="285" t="str">
        <f t="shared" si="13"/>
        <v>PR003</v>
      </c>
    </row>
    <row r="813" spans="2:4" x14ac:dyDescent="0.25">
      <c r="B813" s="268" t="s">
        <v>379</v>
      </c>
      <c r="C813" s="268" t="s">
        <v>258</v>
      </c>
      <c r="D813" s="285" t="str">
        <f t="shared" si="13"/>
        <v>SC001</v>
      </c>
    </row>
    <row r="814" spans="2:4" x14ac:dyDescent="0.25">
      <c r="B814" s="268" t="s">
        <v>2692</v>
      </c>
      <c r="C814" s="268" t="s">
        <v>295</v>
      </c>
      <c r="D814" s="285" t="str">
        <f t="shared" si="13"/>
        <v>SC002</v>
      </c>
    </row>
    <row r="815" spans="2:4" x14ac:dyDescent="0.25">
      <c r="B815" s="268" t="s">
        <v>2693</v>
      </c>
      <c r="C815" s="268" t="s">
        <v>259</v>
      </c>
      <c r="D815" s="285" t="str">
        <f t="shared" si="13"/>
        <v>SC004</v>
      </c>
    </row>
    <row r="816" spans="2:4" x14ac:dyDescent="0.25">
      <c r="B816" s="268" t="s">
        <v>2694</v>
      </c>
      <c r="C816" s="268" t="s">
        <v>289</v>
      </c>
      <c r="D816" s="285" t="str">
        <f t="shared" si="13"/>
        <v>SC005</v>
      </c>
    </row>
    <row r="817" spans="2:6" x14ac:dyDescent="0.25">
      <c r="B817" s="268" t="s">
        <v>381</v>
      </c>
      <c r="C817" s="268" t="s">
        <v>380</v>
      </c>
      <c r="D817" s="285" t="str">
        <f t="shared" si="13"/>
        <v>SC006</v>
      </c>
    </row>
    <row r="818" spans="2:6" x14ac:dyDescent="0.25">
      <c r="B818" s="268" t="s">
        <v>384</v>
      </c>
      <c r="C818" s="268" t="s">
        <v>383</v>
      </c>
      <c r="D818" s="285" t="str">
        <f t="shared" si="13"/>
        <v>SC007</v>
      </c>
    </row>
    <row r="819" spans="2:6" x14ac:dyDescent="0.25">
      <c r="B819" s="268" t="s">
        <v>2556</v>
      </c>
      <c r="C819" s="268" t="s">
        <v>2555</v>
      </c>
      <c r="D819" s="285" t="str">
        <f t="shared" si="13"/>
        <v>SC008</v>
      </c>
    </row>
    <row r="820" spans="2:6" x14ac:dyDescent="0.25">
      <c r="B820" s="268" t="s">
        <v>2558</v>
      </c>
      <c r="C820" s="268" t="s">
        <v>2557</v>
      </c>
      <c r="D820" s="285" t="str">
        <f t="shared" si="13"/>
        <v>SC009</v>
      </c>
    </row>
    <row r="821" spans="2:6" x14ac:dyDescent="0.25">
      <c r="B821" s="268" t="s">
        <v>386</v>
      </c>
      <c r="C821" s="268" t="s">
        <v>257</v>
      </c>
      <c r="D821" s="285" t="str">
        <f t="shared" si="13"/>
        <v>SM001</v>
      </c>
    </row>
    <row r="822" spans="2:6" x14ac:dyDescent="0.25">
      <c r="B822" s="268" t="s">
        <v>390</v>
      </c>
      <c r="C822" s="268" t="s">
        <v>276</v>
      </c>
      <c r="D822" s="285" t="str">
        <f t="shared" si="13"/>
        <v>SM003</v>
      </c>
    </row>
    <row r="823" spans="2:6" x14ac:dyDescent="0.25">
      <c r="B823" s="268" t="s">
        <v>2560</v>
      </c>
      <c r="C823" s="268" t="s">
        <v>2559</v>
      </c>
      <c r="D823" s="285" t="str">
        <f t="shared" si="13"/>
        <v>SM004</v>
      </c>
    </row>
    <row r="824" spans="2:6" x14ac:dyDescent="0.25">
      <c r="B824" s="282"/>
      <c r="C824" s="283"/>
      <c r="D824" s="53"/>
    </row>
    <row r="825" spans="2:6" x14ac:dyDescent="0.25">
      <c r="B825" s="282"/>
      <c r="C825" s="283"/>
      <c r="D825" s="53"/>
    </row>
    <row r="826" spans="2:6" x14ac:dyDescent="0.25">
      <c r="B826" s="282"/>
      <c r="C826" s="283"/>
      <c r="D826" s="53"/>
    </row>
    <row r="827" spans="2:6" x14ac:dyDescent="0.25">
      <c r="B827" s="282"/>
      <c r="C827" s="283"/>
      <c r="D827" s="53"/>
    </row>
    <row r="828" spans="2:6" x14ac:dyDescent="0.25">
      <c r="B828" s="282"/>
      <c r="C828" s="283"/>
      <c r="D828" s="53"/>
    </row>
    <row r="829" spans="2:6" x14ac:dyDescent="0.25">
      <c r="B829" s="282"/>
      <c r="C829" s="283"/>
      <c r="D829" s="53"/>
    </row>
    <row r="830" spans="2:6" x14ac:dyDescent="0.25">
      <c r="B830" s="282"/>
      <c r="C830" s="283"/>
      <c r="D830" s="53"/>
      <c r="F830" s="286"/>
    </row>
    <row r="831" spans="2:6" x14ac:dyDescent="0.25">
      <c r="B831" s="282"/>
      <c r="C831" s="283"/>
      <c r="D831" s="53"/>
      <c r="F831" s="286"/>
    </row>
    <row r="832" spans="2:6" x14ac:dyDescent="0.25">
      <c r="B832" s="282"/>
      <c r="C832" s="283"/>
      <c r="D832" s="53"/>
    </row>
    <row r="833" spans="2:6" x14ac:dyDescent="0.25">
      <c r="B833" s="282"/>
      <c r="C833" s="283"/>
      <c r="D833" s="53"/>
    </row>
    <row r="834" spans="2:6" x14ac:dyDescent="0.25">
      <c r="B834" s="50" t="s">
        <v>1918</v>
      </c>
      <c r="C834" s="50" t="s">
        <v>46</v>
      </c>
      <c r="D834" s="50" t="s">
        <v>2720</v>
      </c>
      <c r="F834" s="50"/>
    </row>
    <row r="835" spans="2:6" x14ac:dyDescent="0.25">
      <c r="B835" s="287" t="s">
        <v>1540</v>
      </c>
      <c r="C835" s="287" t="s">
        <v>1539</v>
      </c>
      <c r="D835" s="287" t="s">
        <v>2660</v>
      </c>
      <c r="F835" s="288" t="str">
        <f t="shared" ref="F835:F841" si="14">IF(MID(C835,6,2)="PP",_xlfn.CONCAT(D835,RIGHT(C835,2)),IF(MID(C835,6,2)="SU",RIGHT(C835,5),_xlfn.CONCAT(D835,"01",RIGHT(C835,1))))</f>
        <v>SMS01</v>
      </c>
    </row>
    <row r="836" spans="2:6" x14ac:dyDescent="0.25">
      <c r="B836" s="287" t="s">
        <v>1542</v>
      </c>
      <c r="C836" s="287" t="s">
        <v>1541</v>
      </c>
      <c r="D836" s="287" t="s">
        <v>2660</v>
      </c>
      <c r="F836" s="288" t="str">
        <f t="shared" si="14"/>
        <v>SMS02</v>
      </c>
    </row>
    <row r="837" spans="2:6" x14ac:dyDescent="0.25">
      <c r="B837" s="287" t="s">
        <v>1544</v>
      </c>
      <c r="C837" s="287" t="s">
        <v>1543</v>
      </c>
      <c r="D837" s="287" t="s">
        <v>2660</v>
      </c>
      <c r="F837" s="288" t="str">
        <f t="shared" si="14"/>
        <v>SMS03</v>
      </c>
    </row>
    <row r="838" spans="2:6" x14ac:dyDescent="0.25">
      <c r="B838" s="287" t="s">
        <v>1546</v>
      </c>
      <c r="C838" s="287" t="s">
        <v>1545</v>
      </c>
      <c r="D838" s="287" t="s">
        <v>2660</v>
      </c>
      <c r="F838" s="288" t="str">
        <f t="shared" si="14"/>
        <v>SMS04</v>
      </c>
    </row>
    <row r="839" spans="2:6" x14ac:dyDescent="0.25">
      <c r="B839" s="287" t="s">
        <v>1548</v>
      </c>
      <c r="C839" s="287" t="s">
        <v>1547</v>
      </c>
      <c r="D839" s="287" t="s">
        <v>2660</v>
      </c>
      <c r="F839" s="288" t="str">
        <f t="shared" si="14"/>
        <v>SMS05</v>
      </c>
    </row>
    <row r="840" spans="2:6" x14ac:dyDescent="0.25">
      <c r="B840" s="287" t="s">
        <v>1550</v>
      </c>
      <c r="C840" s="287" t="s">
        <v>1549</v>
      </c>
      <c r="D840" s="287" t="s">
        <v>2660</v>
      </c>
      <c r="F840" s="288" t="str">
        <f t="shared" si="14"/>
        <v>SMS06</v>
      </c>
    </row>
    <row r="841" spans="2:6" x14ac:dyDescent="0.25">
      <c r="B841" s="287" t="s">
        <v>1552</v>
      </c>
      <c r="C841" s="287" t="s">
        <v>1551</v>
      </c>
      <c r="D841" s="287" t="s">
        <v>2660</v>
      </c>
      <c r="F841" s="288" t="str">
        <f t="shared" si="14"/>
        <v>SMS07</v>
      </c>
    </row>
    <row r="842" spans="2:6" x14ac:dyDescent="0.25">
      <c r="B842" s="287" t="s">
        <v>2735</v>
      </c>
      <c r="C842" s="287" t="s">
        <v>1553</v>
      </c>
      <c r="D842" s="287" t="s">
        <v>2660</v>
      </c>
      <c r="F842" s="288" t="str">
        <f t="shared" ref="F842:F856" si="15">IF(MID(C842,6,2)="PP",_xlfn.CONCAT(D842,RIGHT(C842,2)),IF(MID(C842,6,2)="SU",RIGHT(C842,5),_xlfn.CONCAT(D842,"1",RIGHT(C842,1))))</f>
        <v>SMS11</v>
      </c>
    </row>
    <row r="843" spans="2:6" x14ac:dyDescent="0.25">
      <c r="B843" s="287" t="s">
        <v>2736</v>
      </c>
      <c r="C843" s="287" t="s">
        <v>1555</v>
      </c>
      <c r="D843" s="287" t="s">
        <v>2660</v>
      </c>
      <c r="F843" s="288" t="str">
        <f t="shared" si="15"/>
        <v>SMS12</v>
      </c>
    </row>
    <row r="844" spans="2:6" x14ac:dyDescent="0.25">
      <c r="B844" s="287" t="s">
        <v>2737</v>
      </c>
      <c r="C844" s="287" t="s">
        <v>1557</v>
      </c>
      <c r="D844" s="287" t="s">
        <v>2660</v>
      </c>
      <c r="F844" s="288" t="str">
        <f t="shared" si="15"/>
        <v>SMS13</v>
      </c>
    </row>
    <row r="845" spans="2:6" x14ac:dyDescent="0.25">
      <c r="B845" s="287" t="s">
        <v>2738</v>
      </c>
      <c r="C845" s="287" t="s">
        <v>1559</v>
      </c>
      <c r="D845" s="287" t="s">
        <v>2660</v>
      </c>
      <c r="F845" s="288" t="str">
        <f t="shared" si="15"/>
        <v>SMS14</v>
      </c>
    </row>
    <row r="846" spans="2:6" x14ac:dyDescent="0.25">
      <c r="B846" s="287" t="s">
        <v>2739</v>
      </c>
      <c r="C846" s="287" t="s">
        <v>1561</v>
      </c>
      <c r="D846" s="287" t="s">
        <v>2660</v>
      </c>
      <c r="F846" s="288" t="str">
        <f t="shared" si="15"/>
        <v>SMS15</v>
      </c>
    </row>
    <row r="847" spans="2:6" x14ac:dyDescent="0.25">
      <c r="B847" s="287" t="s">
        <v>2740</v>
      </c>
      <c r="C847" s="287" t="s">
        <v>1563</v>
      </c>
      <c r="D847" s="287" t="s">
        <v>2660</v>
      </c>
      <c r="F847" s="288" t="str">
        <f t="shared" si="15"/>
        <v>SMS16</v>
      </c>
    </row>
    <row r="848" spans="2:6" x14ac:dyDescent="0.25">
      <c r="B848" s="287" t="s">
        <v>2741</v>
      </c>
      <c r="C848" s="287" t="s">
        <v>1565</v>
      </c>
      <c r="D848" s="287" t="s">
        <v>2660</v>
      </c>
      <c r="F848" s="288" t="str">
        <f t="shared" si="15"/>
        <v>SMS17</v>
      </c>
    </row>
    <row r="849" spans="2:6" x14ac:dyDescent="0.25">
      <c r="B849" s="287" t="s">
        <v>2742</v>
      </c>
      <c r="C849" s="287" t="s">
        <v>1567</v>
      </c>
      <c r="D849" s="287" t="s">
        <v>2660</v>
      </c>
      <c r="F849" s="288" t="str">
        <f t="shared" si="15"/>
        <v>SMS18</v>
      </c>
    </row>
    <row r="850" spans="2:6" x14ac:dyDescent="0.25">
      <c r="B850" s="287" t="s">
        <v>2743</v>
      </c>
      <c r="C850" s="287" t="s">
        <v>1523</v>
      </c>
      <c r="D850" s="287" t="s">
        <v>1684</v>
      </c>
      <c r="F850" s="288" t="str">
        <f t="shared" si="15"/>
        <v>LSM01</v>
      </c>
    </row>
    <row r="851" spans="2:6" x14ac:dyDescent="0.25">
      <c r="B851" s="287" t="s">
        <v>2744</v>
      </c>
      <c r="C851" s="287" t="s">
        <v>1525</v>
      </c>
      <c r="D851" s="287" t="s">
        <v>1684</v>
      </c>
      <c r="F851" s="288" t="str">
        <f t="shared" si="15"/>
        <v>LSM09</v>
      </c>
    </row>
    <row r="852" spans="2:6" x14ac:dyDescent="0.25">
      <c r="B852" s="287" t="s">
        <v>2745</v>
      </c>
      <c r="C852" s="287" t="s">
        <v>1529</v>
      </c>
      <c r="D852" s="287" t="s">
        <v>1684</v>
      </c>
      <c r="F852" s="288" t="str">
        <f t="shared" si="15"/>
        <v>LSM11</v>
      </c>
    </row>
    <row r="853" spans="2:6" x14ac:dyDescent="0.25">
      <c r="B853" s="287" t="s">
        <v>2746</v>
      </c>
      <c r="C853" s="287" t="s">
        <v>1531</v>
      </c>
      <c r="D853" s="287" t="s">
        <v>1684</v>
      </c>
      <c r="F853" s="288" t="str">
        <f t="shared" si="15"/>
        <v>LSM12</v>
      </c>
    </row>
    <row r="854" spans="2:6" x14ac:dyDescent="0.25">
      <c r="B854" s="287" t="s">
        <v>2747</v>
      </c>
      <c r="C854" s="287" t="s">
        <v>1533</v>
      </c>
      <c r="D854" s="287" t="s">
        <v>1684</v>
      </c>
      <c r="F854" s="288" t="str">
        <f t="shared" si="15"/>
        <v>LSM13</v>
      </c>
    </row>
    <row r="855" spans="2:6" x14ac:dyDescent="0.25">
      <c r="B855" s="287" t="s">
        <v>2748</v>
      </c>
      <c r="C855" s="287" t="s">
        <v>1535</v>
      </c>
      <c r="D855" s="287" t="s">
        <v>1684</v>
      </c>
      <c r="F855" s="288" t="str">
        <f t="shared" si="15"/>
        <v>LSM14</v>
      </c>
    </row>
    <row r="856" spans="2:6" x14ac:dyDescent="0.25">
      <c r="B856" s="287" t="s">
        <v>2749</v>
      </c>
      <c r="C856" s="287" t="s">
        <v>1537</v>
      </c>
      <c r="D856" s="287" t="s">
        <v>1684</v>
      </c>
      <c r="F856" s="288" t="str">
        <f t="shared" si="15"/>
        <v>LSM16</v>
      </c>
    </row>
    <row r="857" spans="2:6" x14ac:dyDescent="0.25">
      <c r="B857" s="287" t="s">
        <v>2750</v>
      </c>
      <c r="C857" s="287" t="s">
        <v>1586</v>
      </c>
      <c r="D857" s="287" t="s">
        <v>1691</v>
      </c>
      <c r="F857" s="288" t="str">
        <f>IF(MID(C857,6,2)="PP",_xlfn.CONCAT(D857,RIGHT(C857,2)),IF(MID(C857,6,2)="SU",RIGHT(C857,5),_xlfn.CONCAT(D857,"2",RIGHT(C857,1))))</f>
        <v>SSC21</v>
      </c>
    </row>
    <row r="858" spans="2:6" x14ac:dyDescent="0.25">
      <c r="B858" s="287" t="s">
        <v>2751</v>
      </c>
      <c r="C858" s="287" t="s">
        <v>1588</v>
      </c>
      <c r="D858" s="287" t="s">
        <v>1691</v>
      </c>
      <c r="F858" s="288" t="str">
        <f t="shared" ref="F858:F863" si="16">IF(MID(C858,6,2)="PP",_xlfn.CONCAT(D858,RIGHT(C858,2)),IF(MID(C858,6,2)="SU",RIGHT(C858,5),_xlfn.CONCAT(D858,"2",RIGHT(C858,1))))</f>
        <v>SSC22</v>
      </c>
    </row>
    <row r="859" spans="2:6" x14ac:dyDescent="0.25">
      <c r="B859" s="287" t="s">
        <v>2752</v>
      </c>
      <c r="C859" s="287" t="s">
        <v>1590</v>
      </c>
      <c r="D859" s="287" t="s">
        <v>1691</v>
      </c>
      <c r="F859" s="288" t="str">
        <f t="shared" si="16"/>
        <v>SSC23</v>
      </c>
    </row>
    <row r="860" spans="2:6" x14ac:dyDescent="0.25">
      <c r="B860" s="287" t="s">
        <v>2753</v>
      </c>
      <c r="C860" s="287" t="s">
        <v>1592</v>
      </c>
      <c r="D860" s="287" t="s">
        <v>1691</v>
      </c>
      <c r="F860" s="288" t="str">
        <f t="shared" si="16"/>
        <v>SSC24</v>
      </c>
    </row>
    <row r="861" spans="2:6" x14ac:dyDescent="0.25">
      <c r="B861" s="287" t="s">
        <v>2754</v>
      </c>
      <c r="C861" s="287" t="s">
        <v>1594</v>
      </c>
      <c r="D861" s="287" t="s">
        <v>1691</v>
      </c>
      <c r="F861" s="288" t="str">
        <f t="shared" si="16"/>
        <v>SSC25</v>
      </c>
    </row>
    <row r="862" spans="2:6" x14ac:dyDescent="0.25">
      <c r="B862" s="287" t="s">
        <v>1596</v>
      </c>
      <c r="C862" s="287" t="s">
        <v>1595</v>
      </c>
      <c r="D862" s="287" t="s">
        <v>1691</v>
      </c>
      <c r="F862" s="288" t="str">
        <f t="shared" si="16"/>
        <v>SSC26</v>
      </c>
    </row>
    <row r="863" spans="2:6" x14ac:dyDescent="0.25">
      <c r="B863" s="287" t="s">
        <v>2755</v>
      </c>
      <c r="C863" s="287" t="s">
        <v>1597</v>
      </c>
      <c r="D863" s="287" t="s">
        <v>1691</v>
      </c>
      <c r="F863" s="288" t="str">
        <f t="shared" si="16"/>
        <v>SSC27</v>
      </c>
    </row>
    <row r="864" spans="2:6" x14ac:dyDescent="0.25">
      <c r="B864" s="287" t="s">
        <v>2756</v>
      </c>
      <c r="C864" s="287" t="s">
        <v>1598</v>
      </c>
      <c r="D864" s="287" t="s">
        <v>1691</v>
      </c>
      <c r="F864" s="288" t="str">
        <f>IF(MID(C864,6,2)="PP",_xlfn.CONCAT(D864,RIGHT(C864,2)),IF(MID(C864,6,2)="SU",RIGHT(C864,5),_xlfn.CONCAT(D864,"2",RIGHT(C864,1))))</f>
        <v>SSC28</v>
      </c>
    </row>
    <row r="865" spans="2:6" x14ac:dyDescent="0.25">
      <c r="B865" s="287" t="s">
        <v>1600</v>
      </c>
      <c r="C865" s="287" t="s">
        <v>1599</v>
      </c>
      <c r="D865" s="287" t="s">
        <v>1691</v>
      </c>
      <c r="F865" s="288" t="str">
        <f t="shared" ref="F865:F884" si="17">_xlfn.CONCAT(D865,RIGHT(C865,2))</f>
        <v>SSC01</v>
      </c>
    </row>
    <row r="866" spans="2:6" x14ac:dyDescent="0.25">
      <c r="B866" s="287" t="s">
        <v>2757</v>
      </c>
      <c r="C866" s="287" t="s">
        <v>1601</v>
      </c>
      <c r="D866" s="287" t="s">
        <v>1691</v>
      </c>
      <c r="F866" s="288" t="str">
        <f t="shared" si="17"/>
        <v>SSC02</v>
      </c>
    </row>
    <row r="867" spans="2:6" x14ac:dyDescent="0.25">
      <c r="B867" s="287" t="s">
        <v>2758</v>
      </c>
      <c r="C867" s="287" t="s">
        <v>1602</v>
      </c>
      <c r="D867" s="287" t="s">
        <v>1691</v>
      </c>
      <c r="F867" s="288" t="str">
        <f t="shared" si="17"/>
        <v>SSC03</v>
      </c>
    </row>
    <row r="868" spans="2:6" x14ac:dyDescent="0.25">
      <c r="B868" s="287" t="s">
        <v>2759</v>
      </c>
      <c r="C868" s="287" t="s">
        <v>1603</v>
      </c>
      <c r="D868" s="287" t="s">
        <v>1691</v>
      </c>
      <c r="F868" s="288" t="str">
        <f t="shared" si="17"/>
        <v>SSC04</v>
      </c>
    </row>
    <row r="869" spans="2:6" x14ac:dyDescent="0.25">
      <c r="B869" s="287" t="s">
        <v>2760</v>
      </c>
      <c r="C869" s="287" t="s">
        <v>1604</v>
      </c>
      <c r="D869" s="287" t="s">
        <v>1691</v>
      </c>
      <c r="F869" s="288" t="str">
        <f t="shared" si="17"/>
        <v>SSC05</v>
      </c>
    </row>
    <row r="870" spans="2:6" x14ac:dyDescent="0.25">
      <c r="B870" s="287" t="s">
        <v>2761</v>
      </c>
      <c r="C870" s="287" t="s">
        <v>1605</v>
      </c>
      <c r="D870" s="287" t="s">
        <v>1691</v>
      </c>
      <c r="F870" s="288" t="str">
        <f t="shared" si="17"/>
        <v>SSC06</v>
      </c>
    </row>
    <row r="871" spans="2:6" x14ac:dyDescent="0.25">
      <c r="B871" s="287" t="s">
        <v>2762</v>
      </c>
      <c r="C871" s="287" t="s">
        <v>1606</v>
      </c>
      <c r="D871" s="287" t="s">
        <v>1691</v>
      </c>
      <c r="F871" s="288" t="str">
        <f t="shared" si="17"/>
        <v>SSC07</v>
      </c>
    </row>
    <row r="872" spans="2:6" x14ac:dyDescent="0.25">
      <c r="B872" s="287" t="s">
        <v>2763</v>
      </c>
      <c r="C872" s="287" t="s">
        <v>1607</v>
      </c>
      <c r="D872" s="287" t="s">
        <v>1691</v>
      </c>
      <c r="F872" s="288" t="str">
        <f t="shared" si="17"/>
        <v>SSC08</v>
      </c>
    </row>
    <row r="873" spans="2:6" x14ac:dyDescent="0.25">
      <c r="B873" s="287" t="s">
        <v>2764</v>
      </c>
      <c r="C873" s="287" t="s">
        <v>1608</v>
      </c>
      <c r="D873" s="287" t="s">
        <v>1691</v>
      </c>
      <c r="F873" s="288" t="str">
        <f t="shared" si="17"/>
        <v>SSC09</v>
      </c>
    </row>
    <row r="874" spans="2:6" x14ac:dyDescent="0.25">
      <c r="B874" s="287" t="s">
        <v>2765</v>
      </c>
      <c r="C874" s="287" t="s">
        <v>1609</v>
      </c>
      <c r="D874" s="287" t="s">
        <v>1691</v>
      </c>
      <c r="F874" s="288" t="str">
        <f t="shared" si="17"/>
        <v>SSC10</v>
      </c>
    </row>
    <row r="875" spans="2:6" x14ac:dyDescent="0.25">
      <c r="B875" s="287" t="s">
        <v>2766</v>
      </c>
      <c r="C875" s="287" t="s">
        <v>1610</v>
      </c>
      <c r="D875" s="287" t="s">
        <v>1691</v>
      </c>
      <c r="F875" s="288" t="str">
        <f t="shared" si="17"/>
        <v>SSC11</v>
      </c>
    </row>
    <row r="876" spans="2:6" x14ac:dyDescent="0.25">
      <c r="B876" s="287" t="s">
        <v>2767</v>
      </c>
      <c r="C876" s="287" t="s">
        <v>1611</v>
      </c>
      <c r="D876" s="287" t="s">
        <v>1691</v>
      </c>
      <c r="F876" s="288" t="str">
        <f t="shared" si="17"/>
        <v>SSC12</v>
      </c>
    </row>
    <row r="877" spans="2:6" x14ac:dyDescent="0.25">
      <c r="B877" s="287" t="s">
        <v>2768</v>
      </c>
      <c r="C877" s="287" t="s">
        <v>1612</v>
      </c>
      <c r="D877" s="287" t="s">
        <v>1691</v>
      </c>
      <c r="F877" s="288" t="str">
        <f t="shared" si="17"/>
        <v>SSC13</v>
      </c>
    </row>
    <row r="878" spans="2:6" x14ac:dyDescent="0.25">
      <c r="B878" s="287" t="s">
        <v>2769</v>
      </c>
      <c r="C878" s="287" t="s">
        <v>1613</v>
      </c>
      <c r="D878" s="287" t="s">
        <v>1691</v>
      </c>
      <c r="F878" s="288" t="str">
        <f t="shared" si="17"/>
        <v>SSC14</v>
      </c>
    </row>
    <row r="879" spans="2:6" x14ac:dyDescent="0.25">
      <c r="B879" s="287" t="s">
        <v>2770</v>
      </c>
      <c r="C879" s="287" t="s">
        <v>1614</v>
      </c>
      <c r="D879" s="287" t="s">
        <v>1691</v>
      </c>
      <c r="F879" s="288" t="str">
        <f t="shared" si="17"/>
        <v>SSC15</v>
      </c>
    </row>
    <row r="880" spans="2:6" x14ac:dyDescent="0.25">
      <c r="B880" s="287" t="s">
        <v>2771</v>
      </c>
      <c r="C880" s="287" t="s">
        <v>1615</v>
      </c>
      <c r="D880" s="287" t="s">
        <v>1691</v>
      </c>
      <c r="F880" s="288" t="str">
        <f t="shared" si="17"/>
        <v>SSC16</v>
      </c>
    </row>
    <row r="881" spans="2:6" x14ac:dyDescent="0.25">
      <c r="B881" s="287" t="s">
        <v>2772</v>
      </c>
      <c r="C881" s="287" t="s">
        <v>1616</v>
      </c>
      <c r="D881" s="287" t="s">
        <v>1691</v>
      </c>
      <c r="F881" s="288" t="str">
        <f t="shared" si="17"/>
        <v>SSC17</v>
      </c>
    </row>
    <row r="882" spans="2:6" x14ac:dyDescent="0.25">
      <c r="B882" s="287" t="s">
        <v>2773</v>
      </c>
      <c r="C882" s="287" t="s">
        <v>1617</v>
      </c>
      <c r="D882" s="287" t="s">
        <v>1691</v>
      </c>
      <c r="F882" s="288" t="str">
        <f t="shared" si="17"/>
        <v>SSC18</v>
      </c>
    </row>
    <row r="883" spans="2:6" x14ac:dyDescent="0.25">
      <c r="B883" s="287" t="s">
        <v>1619</v>
      </c>
      <c r="C883" s="287" t="s">
        <v>1618</v>
      </c>
      <c r="D883" s="287" t="s">
        <v>1691</v>
      </c>
      <c r="F883" s="288" t="str">
        <f t="shared" si="17"/>
        <v>SSC19</v>
      </c>
    </row>
    <row r="884" spans="2:6" x14ac:dyDescent="0.25">
      <c r="B884" s="287" t="s">
        <v>2774</v>
      </c>
      <c r="C884" s="287" t="s">
        <v>1620</v>
      </c>
      <c r="D884" s="287" t="s">
        <v>1691</v>
      </c>
      <c r="F884" s="288" t="str">
        <f t="shared" si="17"/>
        <v>SSC20</v>
      </c>
    </row>
    <row r="885" spans="2:6" x14ac:dyDescent="0.25">
      <c r="B885" s="287" t="s">
        <v>2707</v>
      </c>
      <c r="C885" s="287" t="s">
        <v>1623</v>
      </c>
      <c r="D885" s="287" t="s">
        <v>2775</v>
      </c>
      <c r="F885" s="288" t="str">
        <f>IF(MID(C885,6,2)="PP",_xlfn.CONCAT(D885,RIGHT(C885,2)),IF(MID(C885,6,2)="SU",RIGHT(C885,5),_xlfn.CONCAT(D885,"1",RIGHT(C885,1))))</f>
        <v>SU006</v>
      </c>
    </row>
    <row r="886" spans="2:6" x14ac:dyDescent="0.25">
      <c r="B886" s="287" t="s">
        <v>2708</v>
      </c>
      <c r="C886" s="287" t="s">
        <v>1624</v>
      </c>
      <c r="D886" s="287" t="s">
        <v>2776</v>
      </c>
      <c r="F886" s="288" t="str">
        <f t="shared" ref="F886:F896" si="18">IF(MID(C886,6,2)="PP",_xlfn.CONCAT(D886,RIGHT(C886,2)),IF(MID(C886,6,2)="SU",RIGHT(C886,5),_xlfn.CONCAT(D886,"1",RIGHT(C886,1))))</f>
        <v>SU007</v>
      </c>
    </row>
    <row r="887" spans="2:6" x14ac:dyDescent="0.25">
      <c r="B887" s="287" t="s">
        <v>2706</v>
      </c>
      <c r="C887" s="287" t="s">
        <v>2705</v>
      </c>
      <c r="D887" s="287" t="s">
        <v>1621</v>
      </c>
      <c r="F887" s="288" t="str">
        <f t="shared" si="18"/>
        <v>SU009</v>
      </c>
    </row>
    <row r="888" spans="2:6" x14ac:dyDescent="0.25">
      <c r="B888" s="287" t="s">
        <v>2710</v>
      </c>
      <c r="C888" s="287" t="s">
        <v>2709</v>
      </c>
      <c r="D888" s="287" t="s">
        <v>2664</v>
      </c>
      <c r="F888" s="288" t="str">
        <f t="shared" si="18"/>
        <v>SU017</v>
      </c>
    </row>
    <row r="889" spans="2:6" x14ac:dyDescent="0.25">
      <c r="B889" t="s">
        <v>1570</v>
      </c>
      <c r="C889" t="s">
        <v>1569</v>
      </c>
      <c r="D889" s="287" t="s">
        <v>1689</v>
      </c>
      <c r="F889" s="288" t="str">
        <f t="shared" si="18"/>
        <v>BP01</v>
      </c>
    </row>
    <row r="890" spans="2:6" x14ac:dyDescent="0.25">
      <c r="B890" t="s">
        <v>1572</v>
      </c>
      <c r="C890" t="s">
        <v>1571</v>
      </c>
      <c r="D890" s="287" t="s">
        <v>1689</v>
      </c>
      <c r="F890" s="288" t="str">
        <f t="shared" si="18"/>
        <v>BP09</v>
      </c>
    </row>
    <row r="891" spans="2:6" x14ac:dyDescent="0.25">
      <c r="B891" t="s">
        <v>2698</v>
      </c>
      <c r="C891" t="s">
        <v>1573</v>
      </c>
      <c r="D891" s="287" t="s">
        <v>1689</v>
      </c>
      <c r="F891" s="288" t="str">
        <f t="shared" si="18"/>
        <v>BP10</v>
      </c>
    </row>
    <row r="892" spans="2:6" x14ac:dyDescent="0.25">
      <c r="B892" t="s">
        <v>2777</v>
      </c>
      <c r="C892" t="s">
        <v>1574</v>
      </c>
      <c r="D892" s="287" t="s">
        <v>1689</v>
      </c>
      <c r="F892" s="288" t="str">
        <f t="shared" si="18"/>
        <v>BP11</v>
      </c>
    </row>
    <row r="893" spans="2:6" x14ac:dyDescent="0.25">
      <c r="B893" t="s">
        <v>2778</v>
      </c>
      <c r="C893" t="s">
        <v>1576</v>
      </c>
      <c r="D893" s="287" t="s">
        <v>1689</v>
      </c>
      <c r="F893" s="288" t="str">
        <f t="shared" si="18"/>
        <v>BP12</v>
      </c>
    </row>
    <row r="894" spans="2:6" x14ac:dyDescent="0.25">
      <c r="B894" t="s">
        <v>2779</v>
      </c>
      <c r="C894" t="s">
        <v>1578</v>
      </c>
      <c r="D894" s="287" t="s">
        <v>1689</v>
      </c>
      <c r="F894" s="288" t="str">
        <f t="shared" si="18"/>
        <v>BP13</v>
      </c>
    </row>
    <row r="895" spans="2:6" x14ac:dyDescent="0.25">
      <c r="B895" t="s">
        <v>2780</v>
      </c>
      <c r="C895" t="s">
        <v>1580</v>
      </c>
      <c r="D895" s="287" t="s">
        <v>1689</v>
      </c>
      <c r="F895" s="288" t="str">
        <f t="shared" si="18"/>
        <v>BP14</v>
      </c>
    </row>
    <row r="896" spans="2:6" x14ac:dyDescent="0.25">
      <c r="B896" t="s">
        <v>1583</v>
      </c>
      <c r="C896" t="s">
        <v>1582</v>
      </c>
      <c r="D896" s="287" t="s">
        <v>1689</v>
      </c>
      <c r="F896" s="288" t="str">
        <f t="shared" si="18"/>
        <v>BP16</v>
      </c>
    </row>
    <row r="897" spans="1:6" x14ac:dyDescent="0.25">
      <c r="D897" s="287"/>
      <c r="F897" s="288"/>
    </row>
    <row r="898" spans="1:6" x14ac:dyDescent="0.25">
      <c r="B898" s="282"/>
      <c r="C898" s="283"/>
      <c r="D898" s="53"/>
    </row>
    <row r="899" spans="1:6" x14ac:dyDescent="0.25">
      <c r="A899" s="286"/>
      <c r="B899" s="286"/>
      <c r="C899" s="286"/>
      <c r="D899" s="286"/>
    </row>
    <row r="900" spans="1:6" s="88" customFormat="1" ht="29.1" customHeight="1" x14ac:dyDescent="0.25">
      <c r="A900" s="89"/>
      <c r="B900" s="38" t="s">
        <v>1726</v>
      </c>
    </row>
    <row r="902" spans="1:6" x14ac:dyDescent="0.25">
      <c r="B902" s="90" t="s">
        <v>1516</v>
      </c>
      <c r="C902" s="90" t="s">
        <v>1727</v>
      </c>
    </row>
    <row r="903" spans="1:6" x14ac:dyDescent="0.25">
      <c r="B903" s="82" t="s">
        <v>1728</v>
      </c>
      <c r="C903" s="82" t="s">
        <v>1731</v>
      </c>
    </row>
    <row r="904" spans="1:6" x14ac:dyDescent="0.25">
      <c r="B904" s="82" t="s">
        <v>1729</v>
      </c>
      <c r="C904" s="82" t="s">
        <v>1732</v>
      </c>
    </row>
    <row r="905" spans="1:6" x14ac:dyDescent="0.25">
      <c r="B905" s="82" t="s">
        <v>1730</v>
      </c>
      <c r="C905" s="82" t="s">
        <v>1733</v>
      </c>
    </row>
    <row r="907" spans="1:6" s="88" customFormat="1" ht="29.1" customHeight="1" x14ac:dyDescent="0.25">
      <c r="A907" s="89"/>
      <c r="B907" s="38" t="s">
        <v>1735</v>
      </c>
      <c r="D907" s="89" t="s">
        <v>1744</v>
      </c>
    </row>
    <row r="909" spans="1:6" x14ac:dyDescent="0.25">
      <c r="B909" t="s">
        <v>1739</v>
      </c>
      <c r="D909" t="s">
        <v>1739</v>
      </c>
    </row>
    <row r="910" spans="1:6" x14ac:dyDescent="0.25">
      <c r="B910" t="s">
        <v>1738</v>
      </c>
      <c r="D910" t="s">
        <v>1736</v>
      </c>
    </row>
    <row r="911" spans="1:6" x14ac:dyDescent="0.25">
      <c r="B911" t="s">
        <v>1736</v>
      </c>
      <c r="D911" t="s">
        <v>1737</v>
      </c>
    </row>
    <row r="912" spans="1:6" x14ac:dyDescent="0.25">
      <c r="B912" t="s">
        <v>1737</v>
      </c>
    </row>
    <row r="914" spans="2:2" s="36" customFormat="1" x14ac:dyDescent="0.25">
      <c r="B914" s="119" t="s">
        <v>1741</v>
      </c>
    </row>
    <row r="915" spans="2:2" x14ac:dyDescent="0.25">
      <c r="B915" t="s">
        <v>334</v>
      </c>
    </row>
    <row r="916" spans="2:2" x14ac:dyDescent="0.25">
      <c r="B916" t="s">
        <v>1740</v>
      </c>
    </row>
  </sheetData>
  <conditionalFormatting sqref="B464:B682">
    <cfRule type="duplicateValues" dxfId="19" priority="6"/>
  </conditionalFormatting>
  <conditionalFormatting sqref="C771:C823">
    <cfRule type="duplicateValues" dxfId="18" priority="7"/>
  </conditionalFormatting>
  <conditionalFormatting sqref="D771:D823">
    <cfRule type="duplicateValues" dxfId="17" priority="8"/>
  </conditionalFormatting>
  <conditionalFormatting sqref="C835:C888">
    <cfRule type="duplicateValues" dxfId="16" priority="5"/>
  </conditionalFormatting>
  <conditionalFormatting sqref="F857:F884">
    <cfRule type="duplicateValues" dxfId="15" priority="3"/>
  </conditionalFormatting>
  <conditionalFormatting sqref="F857:F884">
    <cfRule type="duplicateValues" dxfId="14" priority="4"/>
  </conditionalFormatting>
  <conditionalFormatting sqref="F885:F897">
    <cfRule type="duplicateValues" dxfId="13" priority="1"/>
  </conditionalFormatting>
  <conditionalFormatting sqref="F885:F897">
    <cfRule type="duplicateValues" dxfId="12" priority="2"/>
  </conditionalFormatting>
  <conditionalFormatting sqref="F835:F856">
    <cfRule type="duplicateValues" dxfId="11" priority="9"/>
  </conditionalFormatting>
  <conditionalFormatting sqref="F842:F856">
    <cfRule type="duplicateValues" dxfId="10" priority="10"/>
  </conditionalFormatting>
  <pageMargins left="0.7" right="0.7" top="0.75" bottom="0.75" header="0.3" footer="0.3"/>
  <pageSetup orientation="portrait" r:id="rId1"/>
  <drawing r:id="rId2"/>
  <tableParts count="34">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M64"/>
  <sheetViews>
    <sheetView showGridLines="0" zoomScale="80" zoomScaleNormal="80" workbookViewId="0">
      <selection activeCell="B4" sqref="B4"/>
    </sheetView>
  </sheetViews>
  <sheetFormatPr defaultColWidth="8.7109375" defaultRowHeight="15" x14ac:dyDescent="0.25"/>
  <cols>
    <col min="1" max="1" width="4.5703125" style="413" customWidth="1"/>
    <col min="2" max="2" width="30.140625" style="371" bestFit="1" customWidth="1"/>
    <col min="3" max="3" width="38.28515625" style="371" bestFit="1" customWidth="1"/>
    <col min="4" max="4" width="14.5703125" style="371" customWidth="1"/>
    <col min="5" max="5" width="31.85546875" style="371" bestFit="1" customWidth="1"/>
    <col min="6" max="6" width="14.7109375" style="371" customWidth="1"/>
    <col min="7" max="7" width="56.28515625" style="371" customWidth="1"/>
    <col min="8" max="8" width="79.7109375" style="585" customWidth="1"/>
    <col min="9" max="9" width="19.28515625" style="371" customWidth="1"/>
    <col min="10" max="12" width="8.7109375" style="371"/>
    <col min="13" max="13" width="8.7109375" style="413"/>
    <col min="14" max="16384" width="8.7109375" style="371"/>
  </cols>
  <sheetData>
    <row r="1" spans="1:13" x14ac:dyDescent="0.25">
      <c r="A1" s="414"/>
      <c r="F1" s="415" t="s">
        <v>1444</v>
      </c>
    </row>
    <row r="2" spans="1:13" ht="21" x14ac:dyDescent="0.35">
      <c r="B2" s="639" t="s">
        <v>595</v>
      </c>
      <c r="C2" s="640"/>
      <c r="D2" s="640"/>
      <c r="E2" s="640"/>
      <c r="F2" s="640"/>
      <c r="G2" s="640"/>
      <c r="H2" s="640"/>
    </row>
    <row r="3" spans="1:13" s="416" customFormat="1" x14ac:dyDescent="0.25">
      <c r="A3" s="421"/>
      <c r="B3" s="417" t="s">
        <v>1472</v>
      </c>
      <c r="C3" s="418" t="s">
        <v>593</v>
      </c>
      <c r="D3" s="418" t="s">
        <v>46</v>
      </c>
      <c r="E3" s="418" t="s">
        <v>591</v>
      </c>
      <c r="F3" s="418" t="s">
        <v>592</v>
      </c>
      <c r="G3" s="418" t="s">
        <v>592</v>
      </c>
      <c r="H3" s="419" t="s">
        <v>402</v>
      </c>
      <c r="I3" s="420" t="s">
        <v>3277</v>
      </c>
      <c r="M3" s="421"/>
    </row>
    <row r="4" spans="1:13" s="416" customFormat="1" x14ac:dyDescent="0.25">
      <c r="A4" s="421"/>
      <c r="B4" s="422" t="s">
        <v>1746</v>
      </c>
      <c r="C4" s="423" t="s">
        <v>2614</v>
      </c>
      <c r="D4" s="423" t="s">
        <v>268</v>
      </c>
      <c r="E4" s="423" t="str">
        <f>VLOOKUP(D4,'Master Data'!D:E,2,0)</f>
        <v>IT INFRASTRUCTURE</v>
      </c>
      <c r="F4" s="424">
        <v>60800060</v>
      </c>
      <c r="G4" s="423" t="str">
        <f>VLOOKUP(F4,'Master Data'!$B$232:$C$331,2,0)</f>
        <v>RM Exp - Office and Other Equipment</v>
      </c>
      <c r="H4" s="586" t="s">
        <v>3355</v>
      </c>
      <c r="I4" s="425">
        <f>IFERROR(VLOOKUP(F4,'Master Data'!B:B,1,FALSE),0)</f>
        <v>60800060</v>
      </c>
      <c r="M4" s="421"/>
    </row>
    <row r="5" spans="1:13" s="416" customFormat="1" x14ac:dyDescent="0.25">
      <c r="A5" s="421"/>
      <c r="B5" s="422" t="s">
        <v>1752</v>
      </c>
      <c r="C5" s="423" t="s">
        <v>3337</v>
      </c>
      <c r="D5" s="423" t="s">
        <v>268</v>
      </c>
      <c r="E5" s="423" t="str">
        <f>VLOOKUP(D5,'Master Data'!D:E,2,0)</f>
        <v>IT INFRASTRUCTURE</v>
      </c>
      <c r="F5" s="424">
        <v>60800060</v>
      </c>
      <c r="G5" s="423" t="str">
        <f>VLOOKUP(F5,'Master Data'!$B$232:$C$331,2,0)</f>
        <v>RM Exp - Office and Other Equipment</v>
      </c>
      <c r="H5" s="586" t="s">
        <v>3356</v>
      </c>
      <c r="I5" s="425">
        <f>IFERROR(VLOOKUP(F5,'Master Data'!B:B,1,FALSE),0)</f>
        <v>60800060</v>
      </c>
      <c r="M5" s="421"/>
    </row>
    <row r="6" spans="1:13" s="416" customFormat="1" x14ac:dyDescent="0.25">
      <c r="A6" s="421"/>
      <c r="B6" s="422" t="s">
        <v>1766</v>
      </c>
      <c r="C6" s="423" t="s">
        <v>1490</v>
      </c>
      <c r="D6" s="423" t="s">
        <v>268</v>
      </c>
      <c r="E6" s="423" t="str">
        <f>VLOOKUP(D6,'Master Data'!D:E,2,0)</f>
        <v>IT INFRASTRUCTURE</v>
      </c>
      <c r="F6" s="424">
        <v>62400030</v>
      </c>
      <c r="G6" s="423" t="str">
        <f>VLOOKUP(F6,'Master Data'!$B$232:$C$331,2,0)</f>
        <v>Gen. Transp. Travelling Expenses</v>
      </c>
      <c r="H6" s="586" t="s">
        <v>2161</v>
      </c>
      <c r="I6" s="425">
        <f>IFERROR(VLOOKUP(F6,'Master Data'!B:B,1,FALSE),0)</f>
        <v>62400030</v>
      </c>
      <c r="M6" s="421"/>
    </row>
    <row r="7" spans="1:13" s="416" customFormat="1" x14ac:dyDescent="0.25">
      <c r="A7" s="421"/>
      <c r="B7" s="422" t="s">
        <v>1767</v>
      </c>
      <c r="C7" s="423" t="s">
        <v>3338</v>
      </c>
      <c r="D7" s="423" t="s">
        <v>268</v>
      </c>
      <c r="E7" s="423" t="str">
        <f>VLOOKUP(D7,'Master Data'!D:E,2,0)</f>
        <v>IT INFRASTRUCTURE</v>
      </c>
      <c r="F7" s="424">
        <v>61800010</v>
      </c>
      <c r="G7" s="423" t="str">
        <f>VLOOKUP(F7,'Master Data'!$B$232:$C$331,2,0)</f>
        <v>PT Exp. - Telecommunication &amp; Internet</v>
      </c>
      <c r="H7" s="586" t="s">
        <v>3357</v>
      </c>
      <c r="I7" s="425">
        <f>IFERROR(VLOOKUP(F7,'Master Data'!B:B,1,FALSE),0)</f>
        <v>61800010</v>
      </c>
      <c r="M7" s="421"/>
    </row>
    <row r="8" spans="1:13" s="416" customFormat="1" x14ac:dyDescent="0.25">
      <c r="A8" s="421"/>
      <c r="B8" s="422" t="s">
        <v>2175</v>
      </c>
      <c r="C8" s="423" t="s">
        <v>3339</v>
      </c>
      <c r="D8" s="423" t="s">
        <v>268</v>
      </c>
      <c r="E8" s="423" t="str">
        <f>VLOOKUP(D8,'Master Data'!D:E,2,0)</f>
        <v>IT INFRASTRUCTURE</v>
      </c>
      <c r="F8" s="424">
        <v>61800010</v>
      </c>
      <c r="G8" s="423" t="str">
        <f>VLOOKUP(F8,'Master Data'!$B$232:$C$331,2,0)</f>
        <v>PT Exp. - Telecommunication &amp; Internet</v>
      </c>
      <c r="H8" s="586" t="s">
        <v>3339</v>
      </c>
      <c r="I8" s="425">
        <f>IFERROR(VLOOKUP(F8,'Master Data'!B:B,1,FALSE),0)</f>
        <v>61800010</v>
      </c>
      <c r="M8" s="421"/>
    </row>
    <row r="9" spans="1:13" s="416" customFormat="1" x14ac:dyDescent="0.25">
      <c r="A9" s="421"/>
      <c r="B9" s="422" t="s">
        <v>1779</v>
      </c>
      <c r="C9" s="423" t="s">
        <v>3340</v>
      </c>
      <c r="D9" s="423" t="s">
        <v>268</v>
      </c>
      <c r="E9" s="423" t="str">
        <f>VLOOKUP(D9,'Master Data'!D:E,2,0)</f>
        <v>IT INFRASTRUCTURE</v>
      </c>
      <c r="F9" s="424">
        <v>62600030</v>
      </c>
      <c r="G9" s="423" t="str">
        <f>VLOOKUP(F9,'Master Data'!$B$232:$C$331,2,0)</f>
        <v>Office Equipment Expenses</v>
      </c>
      <c r="H9" s="586" t="s">
        <v>3358</v>
      </c>
      <c r="I9" s="425">
        <f>IFERROR(VLOOKUP(F9,'Master Data'!B:B,1,FALSE),0)</f>
        <v>62600030</v>
      </c>
      <c r="M9" s="421"/>
    </row>
    <row r="10" spans="1:13" s="416" customFormat="1" x14ac:dyDescent="0.25">
      <c r="A10" s="421"/>
      <c r="B10" s="422" t="s">
        <v>2241</v>
      </c>
      <c r="C10" s="423" t="s">
        <v>3341</v>
      </c>
      <c r="D10" s="423" t="s">
        <v>268</v>
      </c>
      <c r="E10" s="423" t="str">
        <f>VLOOKUP(D10,'Master Data'!D:E,2,0)</f>
        <v>IT INFRASTRUCTURE</v>
      </c>
      <c r="F10" s="424">
        <v>62900020</v>
      </c>
      <c r="G10" s="423" t="str">
        <f>VLOOKUP(F10,'Master Data'!$B$232:$C$331,2,0)</f>
        <v>Subscriptions and Periodicals</v>
      </c>
      <c r="H10" s="586" t="s">
        <v>3359</v>
      </c>
      <c r="I10" s="425">
        <f>IFERROR(VLOOKUP(F10,'Master Data'!B:B,1,FALSE),0)</f>
        <v>62900020</v>
      </c>
      <c r="M10" s="421"/>
    </row>
    <row r="11" spans="1:13" s="416" customFormat="1" x14ac:dyDescent="0.25">
      <c r="A11" s="421"/>
      <c r="B11" s="422" t="s">
        <v>1817</v>
      </c>
      <c r="C11" s="423" t="s">
        <v>3342</v>
      </c>
      <c r="D11" s="423" t="s">
        <v>268</v>
      </c>
      <c r="E11" s="423" t="str">
        <f>VLOOKUP(D11,'Master Data'!D:E,2,0)</f>
        <v>IT INFRASTRUCTURE</v>
      </c>
      <c r="F11" s="424">
        <v>62900020</v>
      </c>
      <c r="G11" s="423" t="str">
        <f>VLOOKUP(F11,'Master Data'!$B$232:$C$331,2,0)</f>
        <v>Subscriptions and Periodicals</v>
      </c>
      <c r="H11" s="586" t="s">
        <v>3360</v>
      </c>
      <c r="I11" s="425">
        <f>IFERROR(VLOOKUP(F11,'Master Data'!B:B,1,FALSE),0)</f>
        <v>62900020</v>
      </c>
      <c r="M11" s="421"/>
    </row>
    <row r="12" spans="1:13" s="416" customFormat="1" x14ac:dyDescent="0.25">
      <c r="A12" s="421"/>
      <c r="B12" s="422" t="s">
        <v>1819</v>
      </c>
      <c r="C12" s="423" t="s">
        <v>3343</v>
      </c>
      <c r="D12" s="423" t="s">
        <v>268</v>
      </c>
      <c r="E12" s="423" t="str">
        <f>VLOOKUP(D12,'Master Data'!D:E,2,0)</f>
        <v>IT INFRASTRUCTURE</v>
      </c>
      <c r="F12" s="424">
        <v>62900020</v>
      </c>
      <c r="G12" s="423" t="str">
        <f>VLOOKUP(F12,'Master Data'!$B$232:$C$331,2,0)</f>
        <v>Subscriptions and Periodicals</v>
      </c>
      <c r="H12" s="586" t="s">
        <v>3361</v>
      </c>
      <c r="I12" s="425">
        <f>IFERROR(VLOOKUP(F12,'Master Data'!B:B,1,FALSE),0)</f>
        <v>62900020</v>
      </c>
      <c r="M12" s="421"/>
    </row>
    <row r="13" spans="1:13" s="416" customFormat="1" x14ac:dyDescent="0.25">
      <c r="A13" s="421"/>
      <c r="B13" s="422" t="s">
        <v>1825</v>
      </c>
      <c r="C13" s="423" t="s">
        <v>1826</v>
      </c>
      <c r="D13" s="423" t="s">
        <v>268</v>
      </c>
      <c r="E13" s="423" t="str">
        <f>VLOOKUP(D13,'Master Data'!D:E,2,0)</f>
        <v>IT INFRASTRUCTURE</v>
      </c>
      <c r="F13" s="424">
        <v>60800010</v>
      </c>
      <c r="G13" s="423" t="str">
        <f>VLOOKUP(F13,'Master Data'!$B$232:$C$331,2,0)</f>
        <v>RM Exp - Buidings Services</v>
      </c>
      <c r="H13" s="586" t="s">
        <v>3362</v>
      </c>
      <c r="I13" s="425">
        <f>IFERROR(VLOOKUP(F13,'Master Data'!B:B,1,FALSE),0)</f>
        <v>60800010</v>
      </c>
      <c r="M13" s="421"/>
    </row>
    <row r="14" spans="1:13" s="416" customFormat="1" x14ac:dyDescent="0.25">
      <c r="A14" s="421"/>
      <c r="B14" s="422" t="s">
        <v>1827</v>
      </c>
      <c r="C14" s="423" t="s">
        <v>2615</v>
      </c>
      <c r="D14" s="423" t="s">
        <v>268</v>
      </c>
      <c r="E14" s="423" t="str">
        <f>VLOOKUP(D14,'Master Data'!D:E,2,0)</f>
        <v>IT INFRASTRUCTURE</v>
      </c>
      <c r="F14" s="424">
        <v>62300010</v>
      </c>
      <c r="G14" s="423" t="str">
        <f>VLOOKUP(F14,'Master Data'!$B$232:$C$331,2,0)</f>
        <v>Meeting Expenses</v>
      </c>
      <c r="H14" s="586" t="s">
        <v>3363</v>
      </c>
      <c r="I14" s="425">
        <f>IFERROR(VLOOKUP(F14,'Master Data'!B:B,1,FALSE),0)</f>
        <v>62300010</v>
      </c>
      <c r="M14" s="421"/>
    </row>
    <row r="15" spans="1:13" s="416" customFormat="1" x14ac:dyDescent="0.25">
      <c r="A15" s="421"/>
      <c r="B15" s="422" t="s">
        <v>1830</v>
      </c>
      <c r="C15" s="423" t="s">
        <v>2616</v>
      </c>
      <c r="D15" s="423" t="s">
        <v>268</v>
      </c>
      <c r="E15" s="423" t="str">
        <f>VLOOKUP(D15,'Master Data'!D:E,2,0)</f>
        <v>IT INFRASTRUCTURE</v>
      </c>
      <c r="F15" s="424">
        <v>61700070</v>
      </c>
      <c r="G15" s="423" t="str">
        <f>VLOOKUP(F15,'Master Data'!$B$232:$C$331,2,0)</f>
        <v>RE - Rental Other</v>
      </c>
      <c r="H15" s="586" t="s">
        <v>3364</v>
      </c>
      <c r="I15" s="425">
        <f>IFERROR(VLOOKUP(F15,'Master Data'!B:B,1,FALSE),0)</f>
        <v>61700070</v>
      </c>
      <c r="M15" s="421"/>
    </row>
    <row r="16" spans="1:13" s="416" customFormat="1" x14ac:dyDescent="0.25">
      <c r="A16" s="421"/>
      <c r="B16" s="422" t="s">
        <v>1842</v>
      </c>
      <c r="C16" s="423" t="s">
        <v>1843</v>
      </c>
      <c r="D16" s="423" t="s">
        <v>268</v>
      </c>
      <c r="E16" s="423" t="str">
        <f>VLOOKUP(D16,'Master Data'!D:E,2,0)</f>
        <v>IT INFRASTRUCTURE</v>
      </c>
      <c r="F16" s="424">
        <v>62200020</v>
      </c>
      <c r="G16" s="423" t="str">
        <f>VLOOKUP(F16,'Master Data'!$B$232:$C$331,2,0)</f>
        <v>Printing and Supplies Expenses</v>
      </c>
      <c r="H16" s="586" t="s">
        <v>3365</v>
      </c>
      <c r="I16" s="425">
        <f>IFERROR(VLOOKUP(F16,'Master Data'!B:B,1,FALSE),0)</f>
        <v>62200020</v>
      </c>
      <c r="M16" s="421"/>
    </row>
    <row r="17" spans="1:13" s="416" customFormat="1" x14ac:dyDescent="0.25">
      <c r="A17" s="421"/>
      <c r="B17" s="422" t="s">
        <v>1860</v>
      </c>
      <c r="C17" s="423" t="s">
        <v>3344</v>
      </c>
      <c r="D17" s="423" t="s">
        <v>268</v>
      </c>
      <c r="E17" s="423" t="str">
        <f>VLOOKUP(D17,'Master Data'!D:E,2,0)</f>
        <v>IT INFRASTRUCTURE</v>
      </c>
      <c r="F17" s="424">
        <v>62900020</v>
      </c>
      <c r="G17" s="423" t="str">
        <f>VLOOKUP(F17,'Master Data'!$B$232:$C$331,2,0)</f>
        <v>Subscriptions and Periodicals</v>
      </c>
      <c r="H17" s="586" t="s">
        <v>3366</v>
      </c>
      <c r="I17" s="425">
        <f>IFERROR(VLOOKUP(F17,'Master Data'!B:B,1,FALSE),0)</f>
        <v>62900020</v>
      </c>
      <c r="M17" s="421"/>
    </row>
    <row r="18" spans="1:13" s="416" customFormat="1" x14ac:dyDescent="0.25">
      <c r="A18" s="421"/>
      <c r="B18" s="422" t="s">
        <v>1880</v>
      </c>
      <c r="C18" s="423" t="s">
        <v>3345</v>
      </c>
      <c r="D18" s="423" t="s">
        <v>268</v>
      </c>
      <c r="E18" s="423" t="str">
        <f>VLOOKUP(D18,'Master Data'!D:E,2,0)</f>
        <v>IT INFRASTRUCTURE</v>
      </c>
      <c r="F18" s="424">
        <v>60300010</v>
      </c>
      <c r="G18" s="423" t="str">
        <f>VLOOKUP(F18,'Master Data'!$B$232:$C$331,2,0)</f>
        <v>Outsourcing Services</v>
      </c>
      <c r="H18" s="586" t="s">
        <v>3367</v>
      </c>
      <c r="I18" s="425">
        <f>IFERROR(VLOOKUP(F18,'Master Data'!B:B,1,FALSE),0)</f>
        <v>60300010</v>
      </c>
      <c r="M18" s="421"/>
    </row>
    <row r="19" spans="1:13" s="416" customFormat="1" x14ac:dyDescent="0.25">
      <c r="A19" s="421"/>
      <c r="B19" s="422" t="s">
        <v>2601</v>
      </c>
      <c r="C19" s="423" t="s">
        <v>2617</v>
      </c>
      <c r="D19" s="423" t="s">
        <v>268</v>
      </c>
      <c r="E19" s="423" t="str">
        <f>VLOOKUP(D19,'Master Data'!D:E,2,0)</f>
        <v>IT INFRASTRUCTURE</v>
      </c>
      <c r="F19" s="424">
        <v>61900090</v>
      </c>
      <c r="G19" s="423" t="str">
        <f>VLOOKUP(F19,'Master Data'!$B$232:$C$331,2,0)</f>
        <v>PF - Other Professional Fees</v>
      </c>
      <c r="H19" s="586" t="s">
        <v>3368</v>
      </c>
      <c r="I19" s="425">
        <f>IFERROR(VLOOKUP(F19,'Master Data'!B:B,1,FALSE),0)</f>
        <v>61900090</v>
      </c>
      <c r="M19" s="421"/>
    </row>
    <row r="20" spans="1:13" s="416" customFormat="1" x14ac:dyDescent="0.25">
      <c r="A20" s="421"/>
      <c r="B20" s="422" t="s">
        <v>2602</v>
      </c>
      <c r="C20" s="423" t="s">
        <v>2618</v>
      </c>
      <c r="D20" s="423" t="s">
        <v>268</v>
      </c>
      <c r="E20" s="423" t="str">
        <f>VLOOKUP(D20,'Master Data'!D:E,2,0)</f>
        <v>IT INFRASTRUCTURE</v>
      </c>
      <c r="F20" s="424">
        <v>62900020</v>
      </c>
      <c r="G20" s="423" t="str">
        <f>VLOOKUP(F20,'Master Data'!$B$232:$C$331,2,0)</f>
        <v>Subscriptions and Periodicals</v>
      </c>
      <c r="H20" s="586" t="s">
        <v>3369</v>
      </c>
      <c r="I20" s="425">
        <f>IFERROR(VLOOKUP(F20,'Master Data'!B:B,1,FALSE),0)</f>
        <v>62900020</v>
      </c>
      <c r="M20" s="421"/>
    </row>
    <row r="21" spans="1:13" s="416" customFormat="1" x14ac:dyDescent="0.25">
      <c r="A21" s="421"/>
      <c r="B21" s="422" t="s">
        <v>2603</v>
      </c>
      <c r="C21" s="423" t="s">
        <v>2619</v>
      </c>
      <c r="D21" s="423" t="s">
        <v>368</v>
      </c>
      <c r="E21" s="423" t="str">
        <f>VLOOKUP(D21,'Master Data'!D:E,2,0)</f>
        <v>IT ANALYTICS</v>
      </c>
      <c r="F21" s="424">
        <v>62900020</v>
      </c>
      <c r="G21" s="423" t="str">
        <f>VLOOKUP(F21,'Master Data'!$B$232:$C$331,2,0)</f>
        <v>Subscriptions and Periodicals</v>
      </c>
      <c r="H21" s="586" t="s">
        <v>3370</v>
      </c>
      <c r="I21" s="425">
        <f>IFERROR(VLOOKUP(F21,'Master Data'!B:B,1,FALSE),0)</f>
        <v>62900020</v>
      </c>
      <c r="M21" s="421"/>
    </row>
    <row r="22" spans="1:13" s="416" customFormat="1" x14ac:dyDescent="0.25">
      <c r="A22" s="421"/>
      <c r="B22" s="422" t="s">
        <v>2604</v>
      </c>
      <c r="C22" s="423" t="s">
        <v>2620</v>
      </c>
      <c r="D22" s="423" t="s">
        <v>368</v>
      </c>
      <c r="E22" s="423" t="str">
        <f>VLOOKUP(D22,'Master Data'!D:E,2,0)</f>
        <v>IT ANALYTICS</v>
      </c>
      <c r="F22" s="424">
        <v>61900090</v>
      </c>
      <c r="G22" s="423" t="str">
        <f>VLOOKUP(F22,'Master Data'!$B$232:$C$331,2,0)</f>
        <v>PF - Other Professional Fees</v>
      </c>
      <c r="H22" s="586" t="s">
        <v>3371</v>
      </c>
      <c r="I22" s="425">
        <f>IFERROR(VLOOKUP(F22,'Master Data'!B:B,1,FALSE),0)</f>
        <v>61900090</v>
      </c>
      <c r="M22" s="421"/>
    </row>
    <row r="23" spans="1:13" s="416" customFormat="1" x14ac:dyDescent="0.25">
      <c r="A23" s="421"/>
      <c r="B23" s="422" t="s">
        <v>2605</v>
      </c>
      <c r="C23" s="423" t="s">
        <v>2621</v>
      </c>
      <c r="D23" s="423" t="s">
        <v>368</v>
      </c>
      <c r="E23" s="423" t="str">
        <f>VLOOKUP(D23,'Master Data'!D:E,2,0)</f>
        <v>IT ANALYTICS</v>
      </c>
      <c r="F23" s="424">
        <v>62400030</v>
      </c>
      <c r="G23" s="423" t="str">
        <f>VLOOKUP(F23,'Master Data'!$B$232:$C$331,2,0)</f>
        <v>Gen. Transp. Travelling Expenses</v>
      </c>
      <c r="H23" s="586" t="s">
        <v>3372</v>
      </c>
      <c r="I23" s="425">
        <f>IFERROR(VLOOKUP(F23,'Master Data'!B:B,1,FALSE),0)</f>
        <v>62400030</v>
      </c>
      <c r="M23" s="421"/>
    </row>
    <row r="24" spans="1:13" s="416" customFormat="1" x14ac:dyDescent="0.25">
      <c r="A24" s="421"/>
      <c r="B24" s="422" t="s">
        <v>2606</v>
      </c>
      <c r="C24" s="423" t="s">
        <v>2622</v>
      </c>
      <c r="D24" s="423" t="s">
        <v>368</v>
      </c>
      <c r="E24" s="423" t="str">
        <f>VLOOKUP(D24,'Master Data'!D:E,2,0)</f>
        <v>IT ANALYTICS</v>
      </c>
      <c r="F24" s="424">
        <v>60300010</v>
      </c>
      <c r="G24" s="423" t="str">
        <f>VLOOKUP(F24,'Master Data'!$B$232:$C$331,2,0)</f>
        <v>Outsourcing Services</v>
      </c>
      <c r="H24" s="586" t="s">
        <v>3373</v>
      </c>
      <c r="I24" s="425">
        <f>IFERROR(VLOOKUP(F24,'Master Data'!B:B,1,FALSE),0)</f>
        <v>60300010</v>
      </c>
      <c r="M24" s="421"/>
    </row>
    <row r="25" spans="1:13" s="416" customFormat="1" x14ac:dyDescent="0.25">
      <c r="A25" s="421"/>
      <c r="B25" s="422" t="s">
        <v>2607</v>
      </c>
      <c r="C25" s="423" t="s">
        <v>2623</v>
      </c>
      <c r="D25" s="423" t="s">
        <v>368</v>
      </c>
      <c r="E25" s="423" t="str">
        <f>VLOOKUP(D25,'Master Data'!D:E,2,0)</f>
        <v>IT ANALYTICS</v>
      </c>
      <c r="F25" s="424">
        <v>61700070</v>
      </c>
      <c r="G25" s="423" t="str">
        <f>VLOOKUP(F25,'Master Data'!$B$232:$C$331,2,0)</f>
        <v>RE - Rental Other</v>
      </c>
      <c r="H25" s="586" t="s">
        <v>3374</v>
      </c>
      <c r="I25" s="425">
        <f>IFERROR(VLOOKUP(F25,'Master Data'!B:B,1,FALSE),0)</f>
        <v>61700070</v>
      </c>
      <c r="M25" s="421"/>
    </row>
    <row r="26" spans="1:13" s="416" customFormat="1" x14ac:dyDescent="0.25">
      <c r="A26" s="421"/>
      <c r="B26" s="422" t="s">
        <v>1888</v>
      </c>
      <c r="C26" s="423" t="s">
        <v>2013</v>
      </c>
      <c r="D26" s="423" t="s">
        <v>283</v>
      </c>
      <c r="E26" s="423" t="str">
        <f>VLOOKUP(D26,'Master Data'!D:E,2,0)</f>
        <v>IT BUSINESS SOLUTION</v>
      </c>
      <c r="F26" s="424">
        <v>62300010</v>
      </c>
      <c r="G26" s="423" t="str">
        <f>VLOOKUP(F26,'Master Data'!$B$232:$C$331,2,0)</f>
        <v>Meeting Expenses</v>
      </c>
      <c r="H26" s="586" t="s">
        <v>3346</v>
      </c>
      <c r="I26" s="425">
        <f>IFERROR(VLOOKUP(F26,'Master Data'!B:B,1,FALSE),0)</f>
        <v>62300010</v>
      </c>
      <c r="M26" s="421"/>
    </row>
    <row r="27" spans="1:13" s="416" customFormat="1" x14ac:dyDescent="0.25">
      <c r="A27" s="421"/>
      <c r="B27" s="422" t="s">
        <v>1896</v>
      </c>
      <c r="C27" s="423" t="s">
        <v>1897</v>
      </c>
      <c r="D27" s="423" t="s">
        <v>283</v>
      </c>
      <c r="E27" s="423" t="str">
        <f>VLOOKUP(D27,'Master Data'!D:E,2,0)</f>
        <v>IT BUSINESS SOLUTION</v>
      </c>
      <c r="F27" s="424">
        <v>62900020</v>
      </c>
      <c r="G27" s="423" t="str">
        <f>VLOOKUP(F27,'Master Data'!$B$232:$C$331,2,0)</f>
        <v>Subscriptions and Periodicals</v>
      </c>
      <c r="H27" s="586" t="s">
        <v>3347</v>
      </c>
      <c r="I27" s="425">
        <f>IFERROR(VLOOKUP(F27,'Master Data'!B:B,1,FALSE),0)</f>
        <v>62900020</v>
      </c>
      <c r="M27" s="421"/>
    </row>
    <row r="28" spans="1:13" s="416" customFormat="1" x14ac:dyDescent="0.25">
      <c r="A28" s="421"/>
      <c r="B28" s="422" t="s">
        <v>1898</v>
      </c>
      <c r="C28" s="423" t="s">
        <v>2624</v>
      </c>
      <c r="D28" s="423" t="s">
        <v>283</v>
      </c>
      <c r="E28" s="423" t="str">
        <f>VLOOKUP(D28,'Master Data'!D:E,2,0)</f>
        <v>IT BUSINESS SOLUTION</v>
      </c>
      <c r="F28" s="424">
        <v>61900090</v>
      </c>
      <c r="G28" s="423" t="str">
        <f>VLOOKUP(F28,'Master Data'!$B$232:$C$331,2,0)</f>
        <v>PF - Other Professional Fees</v>
      </c>
      <c r="H28" s="586" t="s">
        <v>3348</v>
      </c>
      <c r="I28" s="425">
        <f>IFERROR(VLOOKUP(F28,'Master Data'!B:B,1,FALSE),0)</f>
        <v>61900090</v>
      </c>
      <c r="M28" s="421"/>
    </row>
    <row r="29" spans="1:13" s="416" customFormat="1" x14ac:dyDescent="0.25">
      <c r="A29" s="421"/>
      <c r="B29" s="422" t="s">
        <v>1902</v>
      </c>
      <c r="C29" s="423" t="s">
        <v>2625</v>
      </c>
      <c r="D29" s="423" t="s">
        <v>283</v>
      </c>
      <c r="E29" s="423" t="str">
        <f>VLOOKUP(D29,'Master Data'!D:E,2,0)</f>
        <v>IT BUSINESS SOLUTION</v>
      </c>
      <c r="F29" s="424">
        <v>61900090</v>
      </c>
      <c r="G29" s="423" t="str">
        <f>VLOOKUP(F29,'Master Data'!$B$232:$C$331,2,0)</f>
        <v>PF - Other Professional Fees</v>
      </c>
      <c r="H29" s="586" t="s">
        <v>3349</v>
      </c>
      <c r="I29" s="425">
        <f>IFERROR(VLOOKUP(F29,'Master Data'!B:B,1,FALSE),0)</f>
        <v>61900090</v>
      </c>
      <c r="M29" s="421"/>
    </row>
    <row r="30" spans="1:13" s="416" customFormat="1" x14ac:dyDescent="0.25">
      <c r="A30" s="421"/>
      <c r="B30" s="422" t="s">
        <v>2608</v>
      </c>
      <c r="C30" s="423" t="s">
        <v>2626</v>
      </c>
      <c r="D30" s="423" t="s">
        <v>283</v>
      </c>
      <c r="E30" s="423" t="str">
        <f>VLOOKUP(D30,'Master Data'!D:E,2,0)</f>
        <v>IT BUSINESS SOLUTION</v>
      </c>
      <c r="F30" s="424">
        <v>60300010</v>
      </c>
      <c r="G30" s="423" t="str">
        <f>VLOOKUP(F30,'Master Data'!$B$232:$C$331,2,0)</f>
        <v>Outsourcing Services</v>
      </c>
      <c r="H30" s="586" t="s">
        <v>3350</v>
      </c>
      <c r="I30" s="425">
        <f>IFERROR(VLOOKUP(F30,'Master Data'!B:B,1,FALSE),0)</f>
        <v>60300010</v>
      </c>
      <c r="M30" s="421"/>
    </row>
    <row r="31" spans="1:13" s="416" customFormat="1" x14ac:dyDescent="0.25">
      <c r="A31" s="421"/>
      <c r="B31" s="422" t="s">
        <v>2609</v>
      </c>
      <c r="C31" s="423" t="s">
        <v>2627</v>
      </c>
      <c r="D31" s="423" t="s">
        <v>283</v>
      </c>
      <c r="E31" s="423" t="str">
        <f>VLOOKUP(D31,'Master Data'!D:E,2,0)</f>
        <v>IT BUSINESS SOLUTION</v>
      </c>
      <c r="F31" s="424">
        <v>61700070</v>
      </c>
      <c r="G31" s="423" t="str">
        <f>VLOOKUP(F31,'Master Data'!$B$232:$C$331,2,0)</f>
        <v>RE - Rental Other</v>
      </c>
      <c r="H31" s="586" t="s">
        <v>3351</v>
      </c>
      <c r="I31" s="425">
        <f>IFERROR(VLOOKUP(F31,'Master Data'!B:B,1,FALSE),0)</f>
        <v>61700070</v>
      </c>
      <c r="M31" s="421"/>
    </row>
    <row r="32" spans="1:13" s="416" customFormat="1" x14ac:dyDescent="0.25">
      <c r="A32" s="421"/>
      <c r="B32" s="422" t="s">
        <v>2610</v>
      </c>
      <c r="C32" s="423" t="s">
        <v>2628</v>
      </c>
      <c r="D32" s="423" t="s">
        <v>283</v>
      </c>
      <c r="E32" s="423" t="str">
        <f>VLOOKUP(D32,'Master Data'!D:E,2,0)</f>
        <v>IT BUSINESS SOLUTION</v>
      </c>
      <c r="F32" s="424">
        <v>62900020</v>
      </c>
      <c r="G32" s="423" t="str">
        <f>VLOOKUP(F32,'Master Data'!$B$232:$C$331,2,0)</f>
        <v>Subscriptions and Periodicals</v>
      </c>
      <c r="H32" s="586" t="s">
        <v>3352</v>
      </c>
      <c r="I32" s="425">
        <f>IFERROR(VLOOKUP(F32,'Master Data'!B:B,1,FALSE),0)</f>
        <v>62900020</v>
      </c>
      <c r="M32" s="421"/>
    </row>
    <row r="33" spans="1:13" s="416" customFormat="1" x14ac:dyDescent="0.25">
      <c r="A33" s="421"/>
      <c r="B33" s="422" t="s">
        <v>2611</v>
      </c>
      <c r="C33" s="423" t="s">
        <v>2629</v>
      </c>
      <c r="D33" s="423" t="s">
        <v>283</v>
      </c>
      <c r="E33" s="423" t="str">
        <f>VLOOKUP(D33,'Master Data'!D:E,2,0)</f>
        <v>IT BUSINESS SOLUTION</v>
      </c>
      <c r="F33" s="424">
        <v>61800010</v>
      </c>
      <c r="G33" s="423" t="str">
        <f>VLOOKUP(F33,'Master Data'!$B$232:$C$331,2,0)</f>
        <v>PT Exp. - Telecommunication &amp; Internet</v>
      </c>
      <c r="H33" s="586" t="s">
        <v>3353</v>
      </c>
      <c r="I33" s="425">
        <f>IFERROR(VLOOKUP(F33,'Master Data'!B:B,1,FALSE),0)</f>
        <v>61800010</v>
      </c>
      <c r="M33" s="421"/>
    </row>
    <row r="34" spans="1:13" s="416" customFormat="1" x14ac:dyDescent="0.25">
      <c r="A34" s="421"/>
      <c r="B34" s="422" t="s">
        <v>2612</v>
      </c>
      <c r="C34" s="423" t="s">
        <v>2630</v>
      </c>
      <c r="D34" s="423" t="s">
        <v>283</v>
      </c>
      <c r="E34" s="423" t="str">
        <f>VLOOKUP(D34,'Master Data'!D:E,2,0)</f>
        <v>IT BUSINESS SOLUTION</v>
      </c>
      <c r="F34" s="424">
        <v>62400030</v>
      </c>
      <c r="G34" s="423" t="str">
        <f>VLOOKUP(F34,'Master Data'!$B$232:$C$331,2,0)</f>
        <v>Gen. Transp. Travelling Expenses</v>
      </c>
      <c r="H34" s="586" t="s">
        <v>3354</v>
      </c>
      <c r="I34" s="425">
        <f>IFERROR(VLOOKUP(F34,'Master Data'!B:B,1,FALSE),0)</f>
        <v>62400030</v>
      </c>
      <c r="M34" s="421"/>
    </row>
    <row r="35" spans="1:13" s="416" customFormat="1" x14ac:dyDescent="0.25">
      <c r="A35" s="421"/>
      <c r="B35" s="422" t="s">
        <v>2613</v>
      </c>
      <c r="C35" s="423" t="s">
        <v>2631</v>
      </c>
      <c r="D35" s="423" t="s">
        <v>2553</v>
      </c>
      <c r="E35" s="423" t="str">
        <f>VLOOKUP(D35,'Master Data'!D:E,2,0)</f>
        <v>HEAD OF IT EXPENSES</v>
      </c>
      <c r="F35" s="424">
        <v>62400030</v>
      </c>
      <c r="G35" s="423" t="str">
        <f>VLOOKUP(F35,'Master Data'!$B$232:$C$331,2,0)</f>
        <v>Gen. Transp. Travelling Expenses</v>
      </c>
      <c r="H35" s="586" t="s">
        <v>3391</v>
      </c>
      <c r="I35" s="425">
        <f>IFERROR(VLOOKUP(F35,'Master Data'!B:B,1,FALSE),0)</f>
        <v>62400030</v>
      </c>
      <c r="M35" s="421"/>
    </row>
    <row r="36" spans="1:13" x14ac:dyDescent="0.25">
      <c r="B36" s="426"/>
      <c r="C36" s="427"/>
      <c r="D36" s="428"/>
      <c r="E36" s="428"/>
      <c r="F36" s="427"/>
      <c r="G36" s="428" t="str">
        <f>IF(B36="","",VLOOKUP(F36,#REF!,2,0))</f>
        <v/>
      </c>
      <c r="H36" s="586"/>
      <c r="I36" s="425"/>
      <c r="M36" s="421"/>
    </row>
    <row r="37" spans="1:13" ht="15.75" thickBot="1" x14ac:dyDescent="0.3">
      <c r="B37" s="429"/>
      <c r="C37" s="430"/>
      <c r="D37" s="430"/>
      <c r="E37" s="430"/>
      <c r="F37" s="430"/>
      <c r="G37" s="430"/>
      <c r="H37" s="587"/>
      <c r="M37" s="421"/>
    </row>
    <row r="38" spans="1:13" ht="15.75" thickBot="1" x14ac:dyDescent="0.3">
      <c r="M38" s="421"/>
    </row>
    <row r="39" spans="1:13" ht="21" x14ac:dyDescent="0.35">
      <c r="B39" s="641" t="s">
        <v>2600</v>
      </c>
      <c r="C39" s="642"/>
      <c r="D39" s="642"/>
      <c r="E39" s="642"/>
      <c r="F39" s="642"/>
      <c r="G39" s="643"/>
      <c r="H39" s="644"/>
      <c r="I39" s="637" t="s">
        <v>1489</v>
      </c>
      <c r="M39" s="421"/>
    </row>
    <row r="40" spans="1:13" ht="15.75" thickBot="1" x14ac:dyDescent="0.3">
      <c r="B40" s="431" t="s">
        <v>1472</v>
      </c>
      <c r="C40" s="432" t="s">
        <v>593</v>
      </c>
      <c r="D40" s="432" t="s">
        <v>46</v>
      </c>
      <c r="E40" s="432" t="s">
        <v>591</v>
      </c>
      <c r="F40" s="432" t="s">
        <v>592</v>
      </c>
      <c r="G40" s="432" t="s">
        <v>592</v>
      </c>
      <c r="H40" s="584" t="s">
        <v>402</v>
      </c>
      <c r="I40" s="638"/>
      <c r="M40" s="421"/>
    </row>
    <row r="41" spans="1:13" x14ac:dyDescent="0.25">
      <c r="B41" s="433"/>
      <c r="C41" s="388"/>
      <c r="D41" s="434">
        <f>IFERROR(VLOOKUP(E41,'Master Data'!$E$59:$L$144,8,FALSE),0)</f>
        <v>0</v>
      </c>
      <c r="E41" s="435"/>
      <c r="F41" s="436">
        <f>IFERROR(VLOOKUP(G41,'Master Data'!$C$233:$H$327,6,FALSE),0)</f>
        <v>0</v>
      </c>
      <c r="G41" s="437"/>
      <c r="H41" s="588"/>
      <c r="I41" s="438" t="str">
        <f t="shared" ref="I41:I50" si="0">IF(B41="","",IF(AND(RIGHT(D41,5)=LEFT(B41,5),MID(B41,6,1)="-",COUNTIFS(B:B,B41)=1),"Benar","Salah"))</f>
        <v/>
      </c>
      <c r="M41" s="421"/>
    </row>
    <row r="42" spans="1:13" x14ac:dyDescent="0.25">
      <c r="B42" s="433"/>
      <c r="C42" s="388"/>
      <c r="D42" s="439">
        <f>IFERROR(VLOOKUP(E42,'Master Data'!$E$59:$L$144,8,FALSE),0)</f>
        <v>0</v>
      </c>
      <c r="E42" s="440"/>
      <c r="F42" s="441">
        <f>IFERROR(VLOOKUP(G42,'Master Data'!$C$233:$H$327,6,FALSE),0)</f>
        <v>0</v>
      </c>
      <c r="H42" s="589"/>
      <c r="I42" s="438" t="str">
        <f t="shared" si="0"/>
        <v/>
      </c>
      <c r="M42" s="421"/>
    </row>
    <row r="43" spans="1:13" x14ac:dyDescent="0.25">
      <c r="B43" s="433"/>
      <c r="C43" s="388"/>
      <c r="D43" s="439">
        <f>IFERROR(VLOOKUP(E43,'Master Data'!$E$59:$L$144,8,FALSE),0)</f>
        <v>0</v>
      </c>
      <c r="E43" s="440"/>
      <c r="F43" s="441">
        <f>IFERROR(VLOOKUP(G43,'Master Data'!$C$233:$H$327,6,FALSE),0)</f>
        <v>0</v>
      </c>
      <c r="H43" s="589"/>
      <c r="I43" s="438" t="str">
        <f t="shared" si="0"/>
        <v/>
      </c>
      <c r="M43" s="421"/>
    </row>
    <row r="44" spans="1:13" x14ac:dyDescent="0.25">
      <c r="B44" s="433"/>
      <c r="C44" s="388"/>
      <c r="D44" s="439">
        <f>IFERROR(VLOOKUP(E44,'Master Data'!$E$59:$L$144,8,FALSE),0)</f>
        <v>0</v>
      </c>
      <c r="E44" s="440"/>
      <c r="F44" s="441">
        <f>IFERROR(VLOOKUP(G44,'Master Data'!$C$233:$H$327,6,FALSE),0)</f>
        <v>0</v>
      </c>
      <c r="H44" s="589"/>
      <c r="I44" s="438" t="str">
        <f t="shared" si="0"/>
        <v/>
      </c>
      <c r="M44" s="421"/>
    </row>
    <row r="45" spans="1:13" x14ac:dyDescent="0.25">
      <c r="B45" s="433"/>
      <c r="C45" s="388"/>
      <c r="D45" s="439">
        <f>IFERROR(VLOOKUP(E45,'Master Data'!$E$59:$L$144,8,FALSE),0)</f>
        <v>0</v>
      </c>
      <c r="E45" s="440"/>
      <c r="F45" s="441">
        <f>IFERROR(VLOOKUP(G45,'Master Data'!$C$233:$H$327,6,FALSE),0)</f>
        <v>0</v>
      </c>
      <c r="H45" s="589"/>
      <c r="I45" s="438" t="str">
        <f t="shared" si="0"/>
        <v/>
      </c>
      <c r="M45" s="421"/>
    </row>
    <row r="46" spans="1:13" x14ac:dyDescent="0.25">
      <c r="B46" s="433"/>
      <c r="C46" s="388"/>
      <c r="D46" s="439">
        <f>IFERROR(VLOOKUP(E46,'Master Data'!$E$59:$L$144,8,FALSE),0)</f>
        <v>0</v>
      </c>
      <c r="E46" s="440"/>
      <c r="F46" s="441">
        <f>IFERROR(VLOOKUP(G46,'Master Data'!$C$233:$H$327,6,FALSE),0)</f>
        <v>0</v>
      </c>
      <c r="H46" s="589"/>
      <c r="I46" s="438" t="str">
        <f t="shared" si="0"/>
        <v/>
      </c>
      <c r="M46" s="421"/>
    </row>
    <row r="47" spans="1:13" x14ac:dyDescent="0.25">
      <c r="B47" s="433"/>
      <c r="C47" s="388"/>
      <c r="D47" s="439">
        <f>IFERROR(VLOOKUP(E47,'Master Data'!$E$59:$L$144,8,FALSE),0)</f>
        <v>0</v>
      </c>
      <c r="E47" s="440"/>
      <c r="F47" s="441">
        <f>IFERROR(VLOOKUP(G47,'Master Data'!$C$233:$H$327,6,FALSE),0)</f>
        <v>0</v>
      </c>
      <c r="H47" s="589"/>
      <c r="I47" s="438" t="str">
        <f t="shared" si="0"/>
        <v/>
      </c>
      <c r="M47" s="421"/>
    </row>
    <row r="48" spans="1:13" x14ac:dyDescent="0.25">
      <c r="B48" s="433"/>
      <c r="C48" s="388"/>
      <c r="D48" s="439">
        <f>IFERROR(VLOOKUP(E48,'Master Data'!$E$59:$L$144,8,FALSE),0)</f>
        <v>0</v>
      </c>
      <c r="E48" s="440"/>
      <c r="F48" s="441">
        <f>IFERROR(VLOOKUP(G48,'Master Data'!$C$233:$H$327,6,FALSE),0)</f>
        <v>0</v>
      </c>
      <c r="H48" s="589"/>
      <c r="I48" s="438" t="str">
        <f t="shared" si="0"/>
        <v/>
      </c>
      <c r="M48" s="421"/>
    </row>
    <row r="49" spans="2:13" x14ac:dyDescent="0.25">
      <c r="B49" s="433"/>
      <c r="C49" s="388"/>
      <c r="D49" s="439">
        <f>IFERROR(VLOOKUP(E49,'Master Data'!$E$59:$L$144,8,FALSE),0)</f>
        <v>0</v>
      </c>
      <c r="E49" s="440"/>
      <c r="F49" s="441">
        <f>IFERROR(VLOOKUP(G49,'Master Data'!$C$233:$H$327,6,FALSE),0)</f>
        <v>0</v>
      </c>
      <c r="H49" s="589"/>
      <c r="I49" s="438" t="str">
        <f t="shared" si="0"/>
        <v/>
      </c>
      <c r="M49" s="421"/>
    </row>
    <row r="50" spans="2:13" ht="15.75" thickBot="1" x14ac:dyDescent="0.3">
      <c r="B50" s="442"/>
      <c r="C50" s="443"/>
      <c r="D50" s="444">
        <f>IFERROR(VLOOKUP(E50,'Master Data'!$E$59:$L$144,8,FALSE),0)</f>
        <v>0</v>
      </c>
      <c r="E50" s="445"/>
      <c r="F50" s="555">
        <f>IFERROR(VLOOKUP(G50,'Master Data'!$C$233:$H$327,6,FALSE),0)</f>
        <v>0</v>
      </c>
      <c r="G50" s="447"/>
      <c r="H50" s="590"/>
      <c r="I50" s="448" t="str">
        <f t="shared" si="0"/>
        <v/>
      </c>
      <c r="M50" s="421"/>
    </row>
    <row r="52" spans="2:13" ht="15.75" thickBot="1" x14ac:dyDescent="0.3"/>
    <row r="53" spans="2:13" ht="21" x14ac:dyDescent="0.35">
      <c r="B53" s="641" t="s">
        <v>2782</v>
      </c>
      <c r="C53" s="642"/>
      <c r="D53" s="642"/>
      <c r="E53" s="642"/>
      <c r="F53" s="642"/>
      <c r="G53" s="642"/>
      <c r="H53" s="644"/>
      <c r="I53" s="637" t="s">
        <v>1489</v>
      </c>
    </row>
    <row r="54" spans="2:13" ht="15.75" thickBot="1" x14ac:dyDescent="0.3">
      <c r="B54" s="431" t="s">
        <v>1472</v>
      </c>
      <c r="C54" s="432" t="s">
        <v>593</v>
      </c>
      <c r="D54" s="432" t="s">
        <v>46</v>
      </c>
      <c r="E54" s="432" t="s">
        <v>591</v>
      </c>
      <c r="F54" s="432" t="s">
        <v>592</v>
      </c>
      <c r="G54" s="432" t="s">
        <v>592</v>
      </c>
      <c r="H54" s="584" t="s">
        <v>402</v>
      </c>
      <c r="I54" s="638"/>
    </row>
    <row r="55" spans="2:13" x14ac:dyDescent="0.25">
      <c r="B55" s="433"/>
      <c r="C55" s="388"/>
      <c r="D55" s="434">
        <f>IFERROR(VLOOKUP(E55,'Master Data'!$E$59:$L$144,8,FALSE),0)</f>
        <v>0</v>
      </c>
      <c r="E55" s="435"/>
      <c r="F55" s="436">
        <f>IFERROR(VLOOKUP(G55,'Master Data'!$C$233:$H$327,6,FALSE),0)</f>
        <v>0</v>
      </c>
      <c r="G55" s="437"/>
      <c r="H55" s="588"/>
      <c r="I55" s="438" t="str">
        <f t="shared" ref="I55:I64" si="1">IF(B55="","",IF(AND(RIGHT(D55,5)=LEFT(B55,5),MID(B55,6,1)="-",COUNTIFS(B:B,B55)=1),"Benar","Salah"))</f>
        <v/>
      </c>
      <c r="M55" s="421"/>
    </row>
    <row r="56" spans="2:13" x14ac:dyDescent="0.25">
      <c r="B56" s="433"/>
      <c r="C56" s="388"/>
      <c r="D56" s="439">
        <f>IFERROR(VLOOKUP(E56,'Master Data'!$E$59:$L$144,8,FALSE),0)</f>
        <v>0</v>
      </c>
      <c r="E56" s="449"/>
      <c r="F56" s="441">
        <f>IFERROR(VLOOKUP(G56,'Master Data'!$C$233:$H$327,6,FALSE),0)</f>
        <v>0</v>
      </c>
      <c r="H56" s="589"/>
      <c r="I56" s="438" t="str">
        <f t="shared" si="1"/>
        <v/>
      </c>
      <c r="M56" s="421"/>
    </row>
    <row r="57" spans="2:13" x14ac:dyDescent="0.25">
      <c r="B57" s="433"/>
      <c r="C57" s="388"/>
      <c r="D57" s="439">
        <f>IFERROR(VLOOKUP(E57,'Master Data'!$E$59:$L$144,8,FALSE),0)</f>
        <v>0</v>
      </c>
      <c r="E57" s="449"/>
      <c r="F57" s="441">
        <f>IFERROR(VLOOKUP(G57,'Master Data'!$C$233:$H$327,6,FALSE),0)</f>
        <v>0</v>
      </c>
      <c r="H57" s="589"/>
      <c r="I57" s="438" t="str">
        <f t="shared" si="1"/>
        <v/>
      </c>
      <c r="M57" s="421"/>
    </row>
    <row r="58" spans="2:13" x14ac:dyDescent="0.25">
      <c r="B58" s="433"/>
      <c r="C58" s="388"/>
      <c r="D58" s="439">
        <f>IFERROR(VLOOKUP(E58,'Master Data'!$E$59:$L$144,8,FALSE),0)</f>
        <v>0</v>
      </c>
      <c r="E58" s="449"/>
      <c r="F58" s="441">
        <f>IFERROR(VLOOKUP(G58,'Master Data'!$C$233:$H$327,6,FALSE),0)</f>
        <v>0</v>
      </c>
      <c r="H58" s="589"/>
      <c r="I58" s="438" t="str">
        <f t="shared" si="1"/>
        <v/>
      </c>
      <c r="M58" s="421"/>
    </row>
    <row r="59" spans="2:13" x14ac:dyDescent="0.25">
      <c r="B59" s="433"/>
      <c r="C59" s="388"/>
      <c r="D59" s="439">
        <f>IFERROR(VLOOKUP(E59,'Master Data'!$E$59:$L$144,8,FALSE),0)</f>
        <v>0</v>
      </c>
      <c r="E59" s="449"/>
      <c r="F59" s="441">
        <f>IFERROR(VLOOKUP(G59,'Master Data'!$C$233:$H$327,6,FALSE),0)</f>
        <v>0</v>
      </c>
      <c r="H59" s="589"/>
      <c r="I59" s="438" t="str">
        <f t="shared" si="1"/>
        <v/>
      </c>
      <c r="M59" s="421"/>
    </row>
    <row r="60" spans="2:13" x14ac:dyDescent="0.25">
      <c r="B60" s="433"/>
      <c r="C60" s="388"/>
      <c r="D60" s="439">
        <f>IFERROR(VLOOKUP(E60,'Master Data'!$E$59:$L$144,8,FALSE),0)</f>
        <v>0</v>
      </c>
      <c r="E60" s="449"/>
      <c r="F60" s="441">
        <f>IFERROR(VLOOKUP(G60,'Master Data'!$C$233:$H$327,6,FALSE),0)</f>
        <v>0</v>
      </c>
      <c r="H60" s="589"/>
      <c r="I60" s="438" t="str">
        <f t="shared" si="1"/>
        <v/>
      </c>
      <c r="M60" s="421"/>
    </row>
    <row r="61" spans="2:13" x14ac:dyDescent="0.25">
      <c r="B61" s="433"/>
      <c r="C61" s="388"/>
      <c r="D61" s="439">
        <f>IFERROR(VLOOKUP(E61,'Master Data'!$E$59:$L$144,8,FALSE),0)</f>
        <v>0</v>
      </c>
      <c r="E61" s="449"/>
      <c r="F61" s="441">
        <f>IFERROR(VLOOKUP(G61,'Master Data'!$C$233:$H$327,6,FALSE),0)</f>
        <v>0</v>
      </c>
      <c r="H61" s="589"/>
      <c r="I61" s="438" t="str">
        <f t="shared" si="1"/>
        <v/>
      </c>
      <c r="M61" s="421"/>
    </row>
    <row r="62" spans="2:13" x14ac:dyDescent="0.25">
      <c r="B62" s="433"/>
      <c r="C62" s="388"/>
      <c r="D62" s="439">
        <f>IFERROR(VLOOKUP(E62,'Master Data'!$E$59:$L$144,8,FALSE),0)</f>
        <v>0</v>
      </c>
      <c r="E62" s="449"/>
      <c r="F62" s="441">
        <f>IFERROR(VLOOKUP(G62,'Master Data'!$C$233:$H$327,6,FALSE),0)</f>
        <v>0</v>
      </c>
      <c r="H62" s="589"/>
      <c r="I62" s="438" t="str">
        <f t="shared" si="1"/>
        <v/>
      </c>
      <c r="M62" s="421"/>
    </row>
    <row r="63" spans="2:13" x14ac:dyDescent="0.25">
      <c r="B63" s="433"/>
      <c r="C63" s="388"/>
      <c r="D63" s="439">
        <f>IFERROR(VLOOKUP(E63,'Master Data'!$E$59:$L$144,8,FALSE),0)</f>
        <v>0</v>
      </c>
      <c r="E63" s="449"/>
      <c r="F63" s="441">
        <f>IFERROR(VLOOKUP(G63,'Master Data'!$C$233:$H$327,6,FALSE),0)</f>
        <v>0</v>
      </c>
      <c r="H63" s="589"/>
      <c r="I63" s="438" t="str">
        <f t="shared" si="1"/>
        <v/>
      </c>
      <c r="M63" s="421"/>
    </row>
    <row r="64" spans="2:13" ht="15.75" thickBot="1" x14ac:dyDescent="0.3">
      <c r="B64" s="442"/>
      <c r="C64" s="443"/>
      <c r="D64" s="444">
        <f>IFERROR(VLOOKUP(E64,'Master Data'!$E$59:$L$144,8,FALSE),0)</f>
        <v>0</v>
      </c>
      <c r="E64" s="450"/>
      <c r="F64" s="446">
        <f>IFERROR(VLOOKUP(G64,'Master Data'!$C$233:$H$327,6,FALSE),0)</f>
        <v>0</v>
      </c>
      <c r="G64" s="447"/>
      <c r="H64" s="590"/>
      <c r="I64" s="448" t="str">
        <f t="shared" si="1"/>
        <v/>
      </c>
      <c r="M64" s="421"/>
    </row>
  </sheetData>
  <sheetProtection autoFilter="0"/>
  <autoFilter ref="A3:H37" xr:uid="{00000000-0001-0000-0400-000000000000}"/>
  <mergeCells count="5">
    <mergeCell ref="I39:I40"/>
    <mergeCell ref="B2:H2"/>
    <mergeCell ref="B39:H39"/>
    <mergeCell ref="B53:H53"/>
    <mergeCell ref="I53:I54"/>
  </mergeCells>
  <pageMargins left="0.7" right="0.7" top="0.75" bottom="0.75" header="0.3" footer="0.3"/>
  <pageSetup orientation="portrait" r:id="rId1"/>
  <ignoredErrors>
    <ignoredError sqref="D41:D50 D55:D64 F55:F64 F41:F50"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425487DE-0750-49B0-8FCE-DE48420FA6D1}">
          <x14:formula1>
            <xm:f>'Master Data'!$E$125:$E$128</xm:f>
          </x14:formula1>
          <xm:sqref>E41:E50 E55:E64</xm:sqref>
        </x14:dataValidation>
        <x14:dataValidation type="list" allowBlank="1" showInputMessage="1" showErrorMessage="1" xr:uid="{77140CBB-6136-4E66-B3A1-DB3FF31550A6}">
          <x14:formula1>
            <xm:f>'Master Data'!$C$233:$C$327</xm:f>
          </x14:formula1>
          <xm:sqref>G41:G50 G55:G64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9913C-6FC8-4989-8032-30A18A423BCA}">
  <dimension ref="B2:L373"/>
  <sheetViews>
    <sheetView zoomScale="80" zoomScaleNormal="80" workbookViewId="0">
      <selection activeCell="B2" sqref="B2"/>
    </sheetView>
  </sheetViews>
  <sheetFormatPr defaultColWidth="9.140625" defaultRowHeight="15" outlineLevelRow="1" x14ac:dyDescent="0.25"/>
  <cols>
    <col min="1" max="1" width="4.140625" style="371" customWidth="1"/>
    <col min="2" max="2" width="26.5703125" style="371" bestFit="1" customWidth="1"/>
    <col min="3" max="3" width="30.85546875" style="371" bestFit="1" customWidth="1"/>
    <col min="4" max="4" width="39.5703125" style="371" customWidth="1"/>
    <col min="5" max="5" width="24.42578125" style="371" bestFit="1" customWidth="1"/>
    <col min="6" max="6" width="30.28515625" style="371" bestFit="1" customWidth="1"/>
    <col min="7" max="7" width="3.42578125" style="371" customWidth="1"/>
    <col min="8" max="8" width="20.42578125" style="372" customWidth="1"/>
    <col min="9" max="9" width="27.5703125" style="372" customWidth="1"/>
    <col min="10" max="10" width="32.85546875" style="371" bestFit="1" customWidth="1"/>
    <col min="11" max="11" width="9.140625" style="371"/>
    <col min="12" max="12" width="16.5703125" style="371" customWidth="1"/>
    <col min="13" max="14" width="9.140625" style="371"/>
    <col min="15" max="15" width="30.85546875" style="371" bestFit="1" customWidth="1"/>
    <col min="16" max="16" width="25.85546875" style="371" bestFit="1" customWidth="1"/>
    <col min="17" max="16384" width="9.140625" style="371"/>
  </cols>
  <sheetData>
    <row r="2" spans="2:9" s="368" customFormat="1" x14ac:dyDescent="0.25">
      <c r="B2" s="367" t="s">
        <v>234</v>
      </c>
      <c r="H2" s="369"/>
      <c r="I2" s="369"/>
    </row>
    <row r="4" spans="2:9" outlineLevel="1" x14ac:dyDescent="0.25">
      <c r="B4" s="370" t="s">
        <v>234</v>
      </c>
      <c r="C4" s="370" t="s">
        <v>254</v>
      </c>
    </row>
    <row r="5" spans="2:9" outlineLevel="1" x14ac:dyDescent="0.25">
      <c r="B5" s="373" t="s">
        <v>2650</v>
      </c>
      <c r="C5" s="373" t="s">
        <v>1690</v>
      </c>
    </row>
    <row r="6" spans="2:9" outlineLevel="1" x14ac:dyDescent="0.25">
      <c r="B6" s="373" t="s">
        <v>2651</v>
      </c>
      <c r="C6" s="373" t="s">
        <v>1692</v>
      </c>
    </row>
    <row r="7" spans="2:9" outlineLevel="1" x14ac:dyDescent="0.25">
      <c r="B7" s="373" t="s">
        <v>2801</v>
      </c>
      <c r="C7" s="373" t="s">
        <v>2652</v>
      </c>
    </row>
    <row r="8" spans="2:9" outlineLevel="1" x14ac:dyDescent="0.25">
      <c r="B8" s="373" t="s">
        <v>22</v>
      </c>
      <c r="C8" s="373" t="s">
        <v>22</v>
      </c>
    </row>
    <row r="9" spans="2:9" outlineLevel="1" x14ac:dyDescent="0.25">
      <c r="B9" s="373" t="s">
        <v>1509</v>
      </c>
      <c r="C9" s="373" t="s">
        <v>1509</v>
      </c>
    </row>
    <row r="10" spans="2:9" outlineLevel="1" x14ac:dyDescent="0.25">
      <c r="B10" s="373" t="s">
        <v>2646</v>
      </c>
      <c r="C10" s="373" t="s">
        <v>2646</v>
      </c>
    </row>
    <row r="11" spans="2:9" outlineLevel="1" x14ac:dyDescent="0.25">
      <c r="B11" s="373" t="s">
        <v>2647</v>
      </c>
      <c r="C11" s="373" t="s">
        <v>2647</v>
      </c>
    </row>
    <row r="12" spans="2:9" outlineLevel="1" x14ac:dyDescent="0.25">
      <c r="B12" s="373" t="s">
        <v>3295</v>
      </c>
      <c r="C12" s="373" t="s">
        <v>3295</v>
      </c>
    </row>
    <row r="13" spans="2:9" outlineLevel="1" x14ac:dyDescent="0.25">
      <c r="B13" s="373" t="s">
        <v>237</v>
      </c>
      <c r="C13" s="373" t="s">
        <v>31</v>
      </c>
    </row>
    <row r="14" spans="2:9" outlineLevel="1" x14ac:dyDescent="0.25">
      <c r="B14" s="373" t="s">
        <v>1510</v>
      </c>
      <c r="C14" s="373" t="s">
        <v>341</v>
      </c>
    </row>
    <row r="15" spans="2:9" outlineLevel="1" x14ac:dyDescent="0.25">
      <c r="B15" s="373" t="s">
        <v>239</v>
      </c>
      <c r="C15" s="373" t="s">
        <v>250</v>
      </c>
    </row>
    <row r="16" spans="2:9" outlineLevel="1" x14ac:dyDescent="0.25">
      <c r="B16"/>
    </row>
    <row r="17" spans="2:9" s="368" customFormat="1" x14ac:dyDescent="0.25">
      <c r="B17" s="367" t="s">
        <v>2794</v>
      </c>
      <c r="H17" s="369"/>
      <c r="I17" s="369"/>
    </row>
    <row r="18" spans="2:9" x14ac:dyDescent="0.25">
      <c r="B18"/>
    </row>
    <row r="19" spans="2:9" outlineLevel="1" x14ac:dyDescent="0.25">
      <c r="B19" s="304" t="s">
        <v>2798</v>
      </c>
      <c r="C19" s="304" t="s">
        <v>2794</v>
      </c>
    </row>
    <row r="20" spans="2:9" outlineLevel="1" x14ac:dyDescent="0.25">
      <c r="B20" s="305" t="s">
        <v>2650</v>
      </c>
      <c r="C20" s="305" t="s">
        <v>1689</v>
      </c>
    </row>
    <row r="21" spans="2:9" outlineLevel="1" x14ac:dyDescent="0.25">
      <c r="B21" s="305" t="s">
        <v>2650</v>
      </c>
      <c r="C21" s="305" t="s">
        <v>1684</v>
      </c>
    </row>
    <row r="22" spans="2:9" outlineLevel="1" x14ac:dyDescent="0.25">
      <c r="B22" s="305" t="s">
        <v>2650</v>
      </c>
      <c r="C22" s="305" t="s">
        <v>1685</v>
      </c>
    </row>
    <row r="23" spans="2:9" outlineLevel="1" x14ac:dyDescent="0.25">
      <c r="B23" s="305" t="s">
        <v>2651</v>
      </c>
      <c r="C23" s="305" t="s">
        <v>2799</v>
      </c>
    </row>
    <row r="24" spans="2:9" outlineLevel="1" x14ac:dyDescent="0.25">
      <c r="B24" s="305" t="s">
        <v>2651</v>
      </c>
      <c r="C24" s="305" t="s">
        <v>2800</v>
      </c>
    </row>
    <row r="25" spans="2:9" outlineLevel="1" x14ac:dyDescent="0.25">
      <c r="B25" s="305" t="s">
        <v>2651</v>
      </c>
      <c r="C25" s="305" t="s">
        <v>1622</v>
      </c>
    </row>
    <row r="26" spans="2:9" outlineLevel="1" x14ac:dyDescent="0.25">
      <c r="B26" s="305" t="s">
        <v>2651</v>
      </c>
      <c r="C26" s="305" t="s">
        <v>1745</v>
      </c>
    </row>
    <row r="27" spans="2:9" outlineLevel="1" x14ac:dyDescent="0.25">
      <c r="B27" s="305" t="s">
        <v>2651</v>
      </c>
      <c r="C27" s="305" t="s">
        <v>1691</v>
      </c>
    </row>
    <row r="28" spans="2:9" outlineLevel="1" x14ac:dyDescent="0.25">
      <c r="B28" s="300" t="s">
        <v>2801</v>
      </c>
      <c r="C28" s="300" t="s">
        <v>30</v>
      </c>
    </row>
    <row r="29" spans="2:9" outlineLevel="1" x14ac:dyDescent="0.25">
      <c r="B29" s="300" t="s">
        <v>2801</v>
      </c>
      <c r="C29" s="300" t="s">
        <v>29</v>
      </c>
    </row>
    <row r="30" spans="2:9" outlineLevel="1" x14ac:dyDescent="0.25">
      <c r="B30" s="300" t="s">
        <v>22</v>
      </c>
      <c r="C30" s="300" t="s">
        <v>327</v>
      </c>
    </row>
    <row r="31" spans="2:9" outlineLevel="1" x14ac:dyDescent="0.25">
      <c r="B31" s="300" t="str">
        <f>B30</f>
        <v>HSE</v>
      </c>
      <c r="C31" s="300" t="s">
        <v>329</v>
      </c>
    </row>
    <row r="32" spans="2:9" outlineLevel="1" x14ac:dyDescent="0.25">
      <c r="B32" s="300" t="s">
        <v>1509</v>
      </c>
      <c r="C32" s="300" t="s">
        <v>236</v>
      </c>
    </row>
    <row r="33" spans="2:3" outlineLevel="1" x14ac:dyDescent="0.25">
      <c r="B33" s="300" t="s">
        <v>1509</v>
      </c>
      <c r="C33" s="300" t="s">
        <v>32</v>
      </c>
    </row>
    <row r="34" spans="2:3" outlineLevel="1" x14ac:dyDescent="0.25">
      <c r="B34" s="300" t="s">
        <v>2646</v>
      </c>
      <c r="C34" s="300" t="s">
        <v>243</v>
      </c>
    </row>
    <row r="35" spans="2:3" outlineLevel="1" x14ac:dyDescent="0.25">
      <c r="B35" s="300" t="s">
        <v>2646</v>
      </c>
      <c r="C35" s="300" t="s">
        <v>24</v>
      </c>
    </row>
    <row r="36" spans="2:3" outlineLevel="1" x14ac:dyDescent="0.25">
      <c r="B36" s="300" t="s">
        <v>2646</v>
      </c>
      <c r="C36" s="300" t="s">
        <v>20</v>
      </c>
    </row>
    <row r="37" spans="2:3" outlineLevel="1" x14ac:dyDescent="0.25">
      <c r="B37" s="300" t="s">
        <v>2646</v>
      </c>
      <c r="C37" s="300" t="s">
        <v>21</v>
      </c>
    </row>
    <row r="38" spans="2:3" outlineLevel="1" x14ac:dyDescent="0.25">
      <c r="B38" s="300" t="s">
        <v>2646</v>
      </c>
      <c r="C38" s="300" t="s">
        <v>2665</v>
      </c>
    </row>
    <row r="39" spans="2:3" outlineLevel="1" x14ac:dyDescent="0.25">
      <c r="B39" s="300" t="s">
        <v>2646</v>
      </c>
      <c r="C39" s="300" t="s">
        <v>3376</v>
      </c>
    </row>
    <row r="40" spans="2:3" outlineLevel="1" x14ac:dyDescent="0.25">
      <c r="B40" s="300" t="s">
        <v>2647</v>
      </c>
      <c r="C40" s="300" t="s">
        <v>2658</v>
      </c>
    </row>
    <row r="41" spans="2:3" outlineLevel="1" x14ac:dyDescent="0.25">
      <c r="B41" s="300" t="s">
        <v>2647</v>
      </c>
      <c r="C41" s="300" t="s">
        <v>3293</v>
      </c>
    </row>
    <row r="42" spans="2:3" outlineLevel="1" x14ac:dyDescent="0.25">
      <c r="B42" s="300" t="s">
        <v>2647</v>
      </c>
      <c r="C42" s="300" t="s">
        <v>3294</v>
      </c>
    </row>
    <row r="43" spans="2:3" outlineLevel="1" x14ac:dyDescent="0.25">
      <c r="B43" s="300" t="s">
        <v>3295</v>
      </c>
      <c r="C43" s="300" t="s">
        <v>3010</v>
      </c>
    </row>
    <row r="44" spans="2:3" outlineLevel="1" x14ac:dyDescent="0.25">
      <c r="B44" s="300" t="s">
        <v>3295</v>
      </c>
      <c r="C44" s="300" t="s">
        <v>1513</v>
      </c>
    </row>
    <row r="45" spans="2:3" outlineLevel="1" x14ac:dyDescent="0.25">
      <c r="B45" s="300" t="s">
        <v>237</v>
      </c>
      <c r="C45" s="300" t="s">
        <v>3377</v>
      </c>
    </row>
    <row r="46" spans="2:3" outlineLevel="1" x14ac:dyDescent="0.25">
      <c r="B46" s="300" t="s">
        <v>237</v>
      </c>
      <c r="C46" s="300" t="s">
        <v>2802</v>
      </c>
    </row>
    <row r="47" spans="2:3" outlineLevel="1" x14ac:dyDescent="0.25">
      <c r="B47" s="300" t="s">
        <v>237</v>
      </c>
      <c r="C47" s="300" t="s">
        <v>3378</v>
      </c>
    </row>
    <row r="48" spans="2:3" outlineLevel="1" x14ac:dyDescent="0.25">
      <c r="B48" s="300" t="s">
        <v>1510</v>
      </c>
      <c r="C48" s="300" t="s">
        <v>3271</v>
      </c>
    </row>
    <row r="49" spans="2:12" outlineLevel="1" x14ac:dyDescent="0.25">
      <c r="B49" s="300" t="s">
        <v>1510</v>
      </c>
      <c r="C49" s="300" t="s">
        <v>26</v>
      </c>
    </row>
    <row r="50" spans="2:12" outlineLevel="1" x14ac:dyDescent="0.25">
      <c r="B50" s="300" t="s">
        <v>1510</v>
      </c>
      <c r="C50" s="300" t="s">
        <v>27</v>
      </c>
    </row>
    <row r="51" spans="2:12" outlineLevel="1" x14ac:dyDescent="0.25">
      <c r="B51" s="300" t="s">
        <v>1510</v>
      </c>
      <c r="C51" s="300" t="s">
        <v>28</v>
      </c>
    </row>
    <row r="52" spans="2:12" outlineLevel="1" x14ac:dyDescent="0.25">
      <c r="B52" s="306" t="s">
        <v>239</v>
      </c>
      <c r="C52" s="300" t="s">
        <v>1511</v>
      </c>
    </row>
    <row r="53" spans="2:12" outlineLevel="1" x14ac:dyDescent="0.25">
      <c r="B53" s="300" t="s">
        <v>239</v>
      </c>
      <c r="C53" s="300" t="s">
        <v>34</v>
      </c>
    </row>
    <row r="54" spans="2:12" outlineLevel="1" x14ac:dyDescent="0.25">
      <c r="B54" s="300" t="s">
        <v>239</v>
      </c>
      <c r="C54" s="300" t="s">
        <v>35</v>
      </c>
    </row>
    <row r="55" spans="2:12" outlineLevel="1" x14ac:dyDescent="0.25"/>
    <row r="56" spans="2:12" s="368" customFormat="1" x14ac:dyDescent="0.25">
      <c r="B56" s="367" t="s">
        <v>3263</v>
      </c>
      <c r="H56" s="374"/>
      <c r="I56" s="374"/>
    </row>
    <row r="58" spans="2:12" outlineLevel="1" x14ac:dyDescent="0.25">
      <c r="B58" s="370" t="s">
        <v>234</v>
      </c>
      <c r="C58" s="370" t="s">
        <v>2794</v>
      </c>
      <c r="D58" s="370" t="s">
        <v>3264</v>
      </c>
      <c r="E58" s="370" t="s">
        <v>3265</v>
      </c>
      <c r="H58" s="370" t="s">
        <v>3266</v>
      </c>
      <c r="I58" s="370" t="s">
        <v>3267</v>
      </c>
      <c r="J58" s="370" t="s">
        <v>2794</v>
      </c>
      <c r="L58" s="370" t="s">
        <v>3264</v>
      </c>
    </row>
    <row r="59" spans="2:12" outlineLevel="1" x14ac:dyDescent="0.25">
      <c r="B59" s="373" t="s">
        <v>2660</v>
      </c>
      <c r="C59" s="373" t="s">
        <v>2660</v>
      </c>
      <c r="D59" s="373" t="s">
        <v>1539</v>
      </c>
      <c r="E59" s="373" t="s">
        <v>1540</v>
      </c>
      <c r="H59" s="375" t="s">
        <v>2660</v>
      </c>
      <c r="I59" s="375" t="str">
        <f>IF(MID(D59,6,2)="PP",_xlfn.CONCAT(H59,RIGHT(D59,2)),IF(MID(D59,6,2)="SU",RIGHT(D59,5),_xlfn.CONCAT(H59,"01",RIGHT(D59,1))))</f>
        <v>SMS01</v>
      </c>
      <c r="J59" s="373" t="str">
        <f>C59</f>
        <v>SMS</v>
      </c>
      <c r="L59" s="371" t="str">
        <f>D59</f>
        <v>10101PP001</v>
      </c>
    </row>
    <row r="60" spans="2:12" outlineLevel="1" x14ac:dyDescent="0.25">
      <c r="B60" s="373" t="s">
        <v>2660</v>
      </c>
      <c r="C60" s="373" t="s">
        <v>2660</v>
      </c>
      <c r="D60" s="373" t="s">
        <v>1541</v>
      </c>
      <c r="E60" s="373" t="s">
        <v>1542</v>
      </c>
      <c r="H60" s="375" t="s">
        <v>2660</v>
      </c>
      <c r="I60" s="375" t="str">
        <f t="shared" ref="I60:I84" si="0">IF(MID(D60,6,2)="PP",_xlfn.CONCAT(H60,RIGHT(D60,2)),IF(MID(D60,6,2)="SU",RIGHT(D60,5),_xlfn.CONCAT(H60,"01",RIGHT(D60,1))))</f>
        <v>SMS02</v>
      </c>
      <c r="J60" s="373" t="str">
        <f t="shared" ref="J60:J123" si="1">C60</f>
        <v>SMS</v>
      </c>
      <c r="L60" s="371" t="str">
        <f t="shared" ref="L60:L123" si="2">D60</f>
        <v>10101PP002</v>
      </c>
    </row>
    <row r="61" spans="2:12" outlineLevel="1" x14ac:dyDescent="0.25">
      <c r="B61" s="373" t="s">
        <v>2660</v>
      </c>
      <c r="C61" s="373" t="s">
        <v>2660</v>
      </c>
      <c r="D61" s="373" t="s">
        <v>1543</v>
      </c>
      <c r="E61" s="373" t="s">
        <v>1544</v>
      </c>
      <c r="H61" s="375" t="s">
        <v>2660</v>
      </c>
      <c r="I61" s="375" t="str">
        <f t="shared" si="0"/>
        <v>SMS03</v>
      </c>
      <c r="J61" s="373" t="str">
        <f t="shared" si="1"/>
        <v>SMS</v>
      </c>
      <c r="L61" s="371" t="str">
        <f t="shared" si="2"/>
        <v>10101PP003</v>
      </c>
    </row>
    <row r="62" spans="2:12" outlineLevel="1" x14ac:dyDescent="0.25">
      <c r="B62" s="373" t="s">
        <v>2660</v>
      </c>
      <c r="C62" s="373" t="s">
        <v>2660</v>
      </c>
      <c r="D62" s="373" t="s">
        <v>1545</v>
      </c>
      <c r="E62" s="373" t="s">
        <v>1546</v>
      </c>
      <c r="H62" s="375" t="s">
        <v>2660</v>
      </c>
      <c r="I62" s="375" t="str">
        <f t="shared" si="0"/>
        <v>SMS04</v>
      </c>
      <c r="J62" s="373" t="str">
        <f t="shared" si="1"/>
        <v>SMS</v>
      </c>
      <c r="L62" s="371" t="str">
        <f t="shared" si="2"/>
        <v>10101PP004</v>
      </c>
    </row>
    <row r="63" spans="2:12" outlineLevel="1" x14ac:dyDescent="0.25">
      <c r="B63" s="373" t="s">
        <v>2660</v>
      </c>
      <c r="C63" s="373" t="s">
        <v>2660</v>
      </c>
      <c r="D63" s="373" t="s">
        <v>1547</v>
      </c>
      <c r="E63" s="373" t="s">
        <v>1548</v>
      </c>
      <c r="H63" s="375" t="s">
        <v>2660</v>
      </c>
      <c r="I63" s="375" t="str">
        <f t="shared" si="0"/>
        <v>SMS05</v>
      </c>
      <c r="J63" s="373" t="str">
        <f t="shared" si="1"/>
        <v>SMS</v>
      </c>
      <c r="L63" s="371" t="str">
        <f t="shared" si="2"/>
        <v>10101PP005</v>
      </c>
    </row>
    <row r="64" spans="2:12" outlineLevel="1" x14ac:dyDescent="0.25">
      <c r="B64" s="373" t="s">
        <v>2660</v>
      </c>
      <c r="C64" s="373" t="s">
        <v>2660</v>
      </c>
      <c r="D64" s="373" t="s">
        <v>1549</v>
      </c>
      <c r="E64" s="373" t="s">
        <v>1550</v>
      </c>
      <c r="H64" s="375" t="s">
        <v>2660</v>
      </c>
      <c r="I64" s="375" t="str">
        <f t="shared" si="0"/>
        <v>SMS06</v>
      </c>
      <c r="J64" s="373" t="str">
        <f t="shared" si="1"/>
        <v>SMS</v>
      </c>
      <c r="L64" s="371" t="str">
        <f t="shared" si="2"/>
        <v>10101PP006</v>
      </c>
    </row>
    <row r="65" spans="2:12" outlineLevel="1" x14ac:dyDescent="0.25">
      <c r="B65" s="373" t="s">
        <v>2660</v>
      </c>
      <c r="C65" s="373" t="s">
        <v>2660</v>
      </c>
      <c r="D65" s="373" t="s">
        <v>1551</v>
      </c>
      <c r="E65" s="373" t="s">
        <v>1552</v>
      </c>
      <c r="H65" s="375" t="s">
        <v>2660</v>
      </c>
      <c r="I65" s="375" t="str">
        <f t="shared" si="0"/>
        <v>SMS07</v>
      </c>
      <c r="J65" s="373" t="str">
        <f t="shared" si="1"/>
        <v>SMS</v>
      </c>
      <c r="L65" s="371" t="str">
        <f t="shared" si="2"/>
        <v>10101PP007</v>
      </c>
    </row>
    <row r="66" spans="2:12" outlineLevel="1" x14ac:dyDescent="0.25">
      <c r="B66" s="373" t="s">
        <v>2657</v>
      </c>
      <c r="C66" s="373" t="s">
        <v>2657</v>
      </c>
      <c r="D66" s="373" t="s">
        <v>1553</v>
      </c>
      <c r="E66" s="373" t="s">
        <v>2735</v>
      </c>
      <c r="H66" s="375" t="s">
        <v>2660</v>
      </c>
      <c r="I66" s="375" t="str">
        <f>IF(MID(D66,6,2)="PP",_xlfn.CONCAT(H66,RIGHT(D66,2)),IF(MID(D66,6,2)="SU",RIGHT(D66,5),_xlfn.CONCAT(H66,"1",RIGHT(D66,1))))</f>
        <v>SMS11</v>
      </c>
      <c r="J66" s="373" t="str">
        <f t="shared" si="1"/>
        <v>ELECTRICAL</v>
      </c>
      <c r="L66" s="371" t="str">
        <f t="shared" si="2"/>
        <v>10101PS001</v>
      </c>
    </row>
    <row r="67" spans="2:12" outlineLevel="1" x14ac:dyDescent="0.25">
      <c r="B67" s="373" t="s">
        <v>2661</v>
      </c>
      <c r="C67" s="373" t="s">
        <v>2661</v>
      </c>
      <c r="D67" s="373" t="s">
        <v>1555</v>
      </c>
      <c r="E67" s="373" t="s">
        <v>2736</v>
      </c>
      <c r="H67" s="375" t="s">
        <v>2660</v>
      </c>
      <c r="I67" s="375" t="str">
        <f t="shared" ref="I67:I73" si="3">IF(MID(D67,6,2)="PP",_xlfn.CONCAT(H67,RIGHT(D67,2)),IF(MID(D67,6,2)="SU",RIGHT(D67,5),_xlfn.CONCAT(H67,"1",RIGHT(D67,1))))</f>
        <v>SMS12</v>
      </c>
      <c r="J67" s="373" t="str">
        <f t="shared" si="1"/>
        <v>MECHANICAL</v>
      </c>
      <c r="L67" s="371" t="str">
        <f t="shared" si="2"/>
        <v>10101PS002</v>
      </c>
    </row>
    <row r="68" spans="2:12" outlineLevel="1" x14ac:dyDescent="0.25">
      <c r="B68" s="373" t="s">
        <v>1622</v>
      </c>
      <c r="C68" s="373" t="s">
        <v>1622</v>
      </c>
      <c r="D68" s="373" t="s">
        <v>1557</v>
      </c>
      <c r="E68" s="373" t="s">
        <v>2737</v>
      </c>
      <c r="H68" s="375" t="s">
        <v>2660</v>
      </c>
      <c r="I68" s="375" t="str">
        <f t="shared" si="3"/>
        <v>SMS13</v>
      </c>
      <c r="J68" s="373" t="str">
        <f t="shared" si="1"/>
        <v>PPIC</v>
      </c>
      <c r="L68" s="371" t="str">
        <f t="shared" si="2"/>
        <v>10101PS003</v>
      </c>
    </row>
    <row r="69" spans="2:12" outlineLevel="1" x14ac:dyDescent="0.25">
      <c r="B69" s="373" t="s">
        <v>1745</v>
      </c>
      <c r="C69" s="373" t="s">
        <v>1745</v>
      </c>
      <c r="D69" s="373" t="s">
        <v>1559</v>
      </c>
      <c r="E69" s="373" t="s">
        <v>2738</v>
      </c>
      <c r="H69" s="375" t="s">
        <v>2660</v>
      </c>
      <c r="I69" s="375" t="str">
        <f t="shared" si="3"/>
        <v>SMS14</v>
      </c>
      <c r="J69" s="373" t="str">
        <f t="shared" si="1"/>
        <v>QAQC</v>
      </c>
      <c r="L69" s="371" t="str">
        <f t="shared" si="2"/>
        <v>10101PS004</v>
      </c>
    </row>
    <row r="70" spans="2:12" outlineLevel="1" x14ac:dyDescent="0.25">
      <c r="B70" s="373" t="s">
        <v>2660</v>
      </c>
      <c r="C70" s="373" t="s">
        <v>2660</v>
      </c>
      <c r="D70" s="373" t="s">
        <v>1561</v>
      </c>
      <c r="E70" s="373" t="s">
        <v>2739</v>
      </c>
      <c r="H70" s="375" t="s">
        <v>2660</v>
      </c>
      <c r="I70" s="375" t="str">
        <f t="shared" si="3"/>
        <v>SMS15</v>
      </c>
      <c r="J70" s="373" t="str">
        <f t="shared" si="1"/>
        <v>SMS</v>
      </c>
      <c r="L70" s="371" t="str">
        <f t="shared" si="2"/>
        <v>10101PS005</v>
      </c>
    </row>
    <row r="71" spans="2:12" outlineLevel="1" x14ac:dyDescent="0.25">
      <c r="B71" s="373" t="s">
        <v>2660</v>
      </c>
      <c r="C71" s="373" t="s">
        <v>2660</v>
      </c>
      <c r="D71" s="373" t="s">
        <v>1563</v>
      </c>
      <c r="E71" s="373" t="s">
        <v>2740</v>
      </c>
      <c r="H71" s="375" t="s">
        <v>2660</v>
      </c>
      <c r="I71" s="375" t="str">
        <f t="shared" si="3"/>
        <v>SMS16</v>
      </c>
      <c r="J71" s="373" t="str">
        <f t="shared" si="1"/>
        <v>SMS</v>
      </c>
      <c r="L71" s="371" t="str">
        <f t="shared" si="2"/>
        <v>10101PS006</v>
      </c>
    </row>
    <row r="72" spans="2:12" outlineLevel="1" x14ac:dyDescent="0.25">
      <c r="B72" s="373" t="s">
        <v>2660</v>
      </c>
      <c r="C72" s="373" t="s">
        <v>2660</v>
      </c>
      <c r="D72" s="373" t="s">
        <v>1565</v>
      </c>
      <c r="E72" s="373" t="s">
        <v>2741</v>
      </c>
      <c r="H72" s="375" t="s">
        <v>2660</v>
      </c>
      <c r="I72" s="375" t="str">
        <f t="shared" si="3"/>
        <v>SMS17</v>
      </c>
      <c r="J72" s="373" t="str">
        <f t="shared" si="1"/>
        <v>SMS</v>
      </c>
      <c r="L72" s="371" t="str">
        <f t="shared" si="2"/>
        <v>10101PS007</v>
      </c>
    </row>
    <row r="73" spans="2:12" outlineLevel="1" x14ac:dyDescent="0.25">
      <c r="B73" s="373" t="s">
        <v>2660</v>
      </c>
      <c r="C73" s="373" t="s">
        <v>2660</v>
      </c>
      <c r="D73" s="373" t="s">
        <v>1567</v>
      </c>
      <c r="E73" s="373" t="s">
        <v>2742</v>
      </c>
      <c r="H73" s="375" t="s">
        <v>2660</v>
      </c>
      <c r="I73" s="375" t="str">
        <f t="shared" si="3"/>
        <v>SMS18</v>
      </c>
      <c r="J73" s="373" t="str">
        <f t="shared" si="1"/>
        <v>SMS</v>
      </c>
      <c r="L73" s="371" t="str">
        <f t="shared" si="2"/>
        <v>10101PS008</v>
      </c>
    </row>
    <row r="74" spans="2:12" outlineLevel="1" x14ac:dyDescent="0.25">
      <c r="B74" s="373" t="s">
        <v>1689</v>
      </c>
      <c r="C74" s="373" t="s">
        <v>1689</v>
      </c>
      <c r="D74" s="373" t="s">
        <v>1569</v>
      </c>
      <c r="E74" s="373" t="s">
        <v>1570</v>
      </c>
      <c r="H74" s="375" t="s">
        <v>1689</v>
      </c>
      <c r="I74" s="375" t="str">
        <f>IF(MID(D74,6,2)="PP",_xlfn.CONCAT(H74,RIGHT(D74,3)),IF(MID(D74,6,2)="SU",RIGHT(D74,5),_xlfn.CONCAT(H74,"01",RIGHT(D74,1))))</f>
        <v>BP001</v>
      </c>
      <c r="J74" s="373" t="str">
        <f t="shared" si="1"/>
        <v>BP</v>
      </c>
      <c r="L74" s="371" t="str">
        <f t="shared" si="2"/>
        <v>10103PP001</v>
      </c>
    </row>
    <row r="75" spans="2:12" outlineLevel="1" x14ac:dyDescent="0.25">
      <c r="B75" s="373" t="s">
        <v>1689</v>
      </c>
      <c r="C75" s="373" t="s">
        <v>1689</v>
      </c>
      <c r="D75" s="373" t="s">
        <v>1571</v>
      </c>
      <c r="E75" s="373" t="s">
        <v>1572</v>
      </c>
      <c r="H75" s="375" t="s">
        <v>1689</v>
      </c>
      <c r="I75" s="375" t="str">
        <f t="shared" ref="I75:I76" si="4">IF(MID(D75,6,2)="PP",_xlfn.CONCAT(H75,RIGHT(D75,3)),IF(MID(D75,6,2)="SU",RIGHT(D75,5),_xlfn.CONCAT(H75,"01",RIGHT(D75,1))))</f>
        <v>BP009</v>
      </c>
      <c r="J75" s="373" t="str">
        <f t="shared" si="1"/>
        <v>BP</v>
      </c>
      <c r="L75" s="371" t="str">
        <f t="shared" si="2"/>
        <v>10103PP009</v>
      </c>
    </row>
    <row r="76" spans="2:12" outlineLevel="1" x14ac:dyDescent="0.25">
      <c r="B76" s="373" t="s">
        <v>1689</v>
      </c>
      <c r="C76" s="373" t="s">
        <v>1689</v>
      </c>
      <c r="D76" s="373" t="s">
        <v>1573</v>
      </c>
      <c r="E76" s="373" t="s">
        <v>3268</v>
      </c>
      <c r="H76" s="375" t="s">
        <v>1689</v>
      </c>
      <c r="I76" s="375" t="str">
        <f t="shared" si="4"/>
        <v>BP010</v>
      </c>
      <c r="J76" s="373" t="str">
        <f t="shared" si="1"/>
        <v>BP</v>
      </c>
      <c r="L76" s="371" t="str">
        <f t="shared" si="2"/>
        <v>10103PP010</v>
      </c>
    </row>
    <row r="77" spans="2:12" outlineLevel="1" x14ac:dyDescent="0.25">
      <c r="B77" s="373" t="s">
        <v>2657</v>
      </c>
      <c r="C77" s="373" t="s">
        <v>2657</v>
      </c>
      <c r="D77" s="373" t="s">
        <v>1574</v>
      </c>
      <c r="E77" s="373" t="s">
        <v>2777</v>
      </c>
      <c r="H77" s="375" t="s">
        <v>1689</v>
      </c>
      <c r="I77" s="375" t="str">
        <f>IF(MID(D77,6,2)="PP",_xlfn.CONCAT(H77,RIGHT(D77,2)),IF(MID(D77,6,2)="SU",RIGHT(D77,5),_xlfn.CONCAT(H77,"01",RIGHT(D77,1))))</f>
        <v>BP011</v>
      </c>
      <c r="J77" s="373" t="str">
        <f t="shared" si="1"/>
        <v>ELECTRICAL</v>
      </c>
      <c r="L77" s="371" t="str">
        <f t="shared" si="2"/>
        <v>10103PS001</v>
      </c>
    </row>
    <row r="78" spans="2:12" outlineLevel="1" x14ac:dyDescent="0.25">
      <c r="B78" s="373" t="s">
        <v>2661</v>
      </c>
      <c r="C78" s="373" t="s">
        <v>2661</v>
      </c>
      <c r="D78" s="373" t="s">
        <v>1576</v>
      </c>
      <c r="E78" s="373" t="s">
        <v>2778</v>
      </c>
      <c r="H78" s="375" t="s">
        <v>1689</v>
      </c>
      <c r="I78" s="375" t="str">
        <f t="shared" si="0"/>
        <v>BP012</v>
      </c>
      <c r="J78" s="373" t="str">
        <f t="shared" si="1"/>
        <v>MECHANICAL</v>
      </c>
      <c r="L78" s="371" t="str">
        <f t="shared" si="2"/>
        <v>10103PS002</v>
      </c>
    </row>
    <row r="79" spans="2:12" outlineLevel="1" x14ac:dyDescent="0.25">
      <c r="B79" s="373" t="s">
        <v>1622</v>
      </c>
      <c r="C79" s="373" t="s">
        <v>1622</v>
      </c>
      <c r="D79" s="373" t="s">
        <v>1578</v>
      </c>
      <c r="E79" s="373" t="s">
        <v>2779</v>
      </c>
      <c r="H79" s="375" t="s">
        <v>1689</v>
      </c>
      <c r="I79" s="375" t="str">
        <f t="shared" si="0"/>
        <v>BP013</v>
      </c>
      <c r="J79" s="373" t="str">
        <f t="shared" si="1"/>
        <v>PPIC</v>
      </c>
      <c r="L79" s="371" t="str">
        <f t="shared" si="2"/>
        <v>10103PS003</v>
      </c>
    </row>
    <row r="80" spans="2:12" outlineLevel="1" x14ac:dyDescent="0.25">
      <c r="B80" s="373" t="s">
        <v>1745</v>
      </c>
      <c r="C80" s="373" t="s">
        <v>1745</v>
      </c>
      <c r="D80" s="373" t="s">
        <v>1580</v>
      </c>
      <c r="E80" s="373" t="s">
        <v>2780</v>
      </c>
      <c r="H80" s="375" t="s">
        <v>1689</v>
      </c>
      <c r="I80" s="375" t="str">
        <f t="shared" si="0"/>
        <v>BP014</v>
      </c>
      <c r="J80" s="373" t="str">
        <f t="shared" si="1"/>
        <v>QAQC</v>
      </c>
      <c r="L80" s="371" t="str">
        <f t="shared" si="2"/>
        <v>10103PS004</v>
      </c>
    </row>
    <row r="81" spans="2:12" outlineLevel="1" x14ac:dyDescent="0.25">
      <c r="B81" s="373" t="s">
        <v>1689</v>
      </c>
      <c r="C81" s="373" t="s">
        <v>1689</v>
      </c>
      <c r="D81" s="373" t="s">
        <v>1582</v>
      </c>
      <c r="E81" s="373" t="s">
        <v>1583</v>
      </c>
      <c r="H81" s="375" t="s">
        <v>1689</v>
      </c>
      <c r="I81" s="375" t="str">
        <f t="shared" si="0"/>
        <v>BP016</v>
      </c>
      <c r="J81" s="373" t="str">
        <f t="shared" si="1"/>
        <v>BP</v>
      </c>
      <c r="L81" s="371" t="str">
        <f t="shared" si="2"/>
        <v>10103PS006</v>
      </c>
    </row>
    <row r="82" spans="2:12" outlineLevel="1" x14ac:dyDescent="0.25">
      <c r="B82" s="373" t="s">
        <v>247</v>
      </c>
      <c r="C82" s="373" t="s">
        <v>1684</v>
      </c>
      <c r="D82" s="373" t="s">
        <v>1523</v>
      </c>
      <c r="E82" s="373" t="s">
        <v>2743</v>
      </c>
      <c r="H82" s="375" t="s">
        <v>1684</v>
      </c>
      <c r="I82" s="375" t="str">
        <f t="shared" si="0"/>
        <v>LSM01</v>
      </c>
      <c r="J82" s="373" t="str">
        <f t="shared" si="1"/>
        <v>LSM</v>
      </c>
      <c r="L82" s="371" t="str">
        <f t="shared" si="2"/>
        <v>10131PP001</v>
      </c>
    </row>
    <row r="83" spans="2:12" outlineLevel="1" x14ac:dyDescent="0.25">
      <c r="B83" s="373" t="s">
        <v>1684</v>
      </c>
      <c r="C83" s="373" t="s">
        <v>1684</v>
      </c>
      <c r="D83" s="373" t="s">
        <v>1525</v>
      </c>
      <c r="E83" s="373" t="s">
        <v>2744</v>
      </c>
      <c r="H83" s="375" t="s">
        <v>1684</v>
      </c>
      <c r="I83" s="375" t="str">
        <f t="shared" si="0"/>
        <v>LSM09</v>
      </c>
      <c r="J83" s="373" t="str">
        <f t="shared" si="1"/>
        <v>LSM</v>
      </c>
      <c r="L83" s="371" t="str">
        <f t="shared" si="2"/>
        <v>10131PP009</v>
      </c>
    </row>
    <row r="84" spans="2:12" outlineLevel="1" x14ac:dyDescent="0.25">
      <c r="B84" s="513" t="s">
        <v>1684</v>
      </c>
      <c r="C84" s="513" t="s">
        <v>1684</v>
      </c>
      <c r="D84" s="513" t="s">
        <v>1527</v>
      </c>
      <c r="E84" s="513" t="s">
        <v>3278</v>
      </c>
      <c r="F84" s="371" t="s">
        <v>3296</v>
      </c>
      <c r="H84" s="375" t="s">
        <v>1684</v>
      </c>
      <c r="I84" s="375" t="str">
        <f t="shared" si="0"/>
        <v>LSM10</v>
      </c>
      <c r="J84" s="373" t="str">
        <f t="shared" si="1"/>
        <v>LSM</v>
      </c>
      <c r="L84" s="371" t="str">
        <f t="shared" si="2"/>
        <v>10131PP010</v>
      </c>
    </row>
    <row r="85" spans="2:12" outlineLevel="1" x14ac:dyDescent="0.25">
      <c r="B85" s="373" t="s">
        <v>2657</v>
      </c>
      <c r="C85" s="373" t="s">
        <v>2657</v>
      </c>
      <c r="D85" s="373" t="s">
        <v>1529</v>
      </c>
      <c r="E85" s="373" t="s">
        <v>2745</v>
      </c>
      <c r="H85" s="375" t="s">
        <v>1684</v>
      </c>
      <c r="I85" s="375" t="str">
        <f>IF(MID(D85,6,2)="PP",_xlfn.CONCAT(H85,RIGHT(D85,2)),IF(MID(D85,6,2)="SU",RIGHT(D85,5),_xlfn.CONCAT(H85,"1",RIGHT(D85,1))))</f>
        <v>LSM11</v>
      </c>
      <c r="J85" s="373" t="str">
        <f t="shared" si="1"/>
        <v>ELECTRICAL</v>
      </c>
      <c r="L85" s="371" t="str">
        <f t="shared" si="2"/>
        <v>10131PS001</v>
      </c>
    </row>
    <row r="86" spans="2:12" outlineLevel="1" x14ac:dyDescent="0.25">
      <c r="B86" s="373" t="s">
        <v>2661</v>
      </c>
      <c r="C86" s="373" t="s">
        <v>2661</v>
      </c>
      <c r="D86" s="373" t="s">
        <v>1531</v>
      </c>
      <c r="E86" s="373" t="s">
        <v>2746</v>
      </c>
      <c r="H86" s="375" t="s">
        <v>1684</v>
      </c>
      <c r="I86" s="375" t="str">
        <f>IF(MID(D86,6,2)="PP",_xlfn.CONCAT(H86,RIGHT(D86,2)),IF(MID(D86,6,2)="SU",RIGHT(D86,5),_xlfn.CONCAT(H86,"1",RIGHT(D86,1))))</f>
        <v>LSM12</v>
      </c>
      <c r="J86" s="373" t="str">
        <f t="shared" si="1"/>
        <v>MECHANICAL</v>
      </c>
      <c r="L86" s="371" t="str">
        <f t="shared" si="2"/>
        <v>10131PS002</v>
      </c>
    </row>
    <row r="87" spans="2:12" outlineLevel="1" x14ac:dyDescent="0.25">
      <c r="B87" s="373" t="s">
        <v>1622</v>
      </c>
      <c r="C87" s="373" t="s">
        <v>1622</v>
      </c>
      <c r="D87" s="373" t="s">
        <v>1533</v>
      </c>
      <c r="E87" s="373" t="s">
        <v>2747</v>
      </c>
      <c r="H87" s="375" t="s">
        <v>1684</v>
      </c>
      <c r="I87" s="375" t="str">
        <f>IF(MID(D87,6,2)="PP",_xlfn.CONCAT(H87,RIGHT(D87,2)),IF(MID(D87,6,2)="SU",RIGHT(D87,5),_xlfn.CONCAT(H87,"1",RIGHT(D87,1))))</f>
        <v>LSM13</v>
      </c>
      <c r="J87" s="373" t="str">
        <f t="shared" si="1"/>
        <v>PPIC</v>
      </c>
      <c r="L87" s="371" t="str">
        <f t="shared" si="2"/>
        <v>10131PS003</v>
      </c>
    </row>
    <row r="88" spans="2:12" outlineLevel="1" x14ac:dyDescent="0.25">
      <c r="B88" s="373" t="s">
        <v>1745</v>
      </c>
      <c r="C88" s="373" t="s">
        <v>1745</v>
      </c>
      <c r="D88" s="373" t="s">
        <v>1535</v>
      </c>
      <c r="E88" s="373" t="s">
        <v>2748</v>
      </c>
      <c r="H88" s="375" t="s">
        <v>1684</v>
      </c>
      <c r="I88" s="375" t="str">
        <f>IF(MID(D88,6,2)="PP",_xlfn.CONCAT(H88,RIGHT(D88,2)),IF(MID(D88,6,2)="SU",RIGHT(D88,5),_xlfn.CONCAT(H88,"1",RIGHT(D88,1))))</f>
        <v>LSM14</v>
      </c>
      <c r="J88" s="373" t="str">
        <f t="shared" si="1"/>
        <v>QAQC</v>
      </c>
      <c r="L88" s="371" t="str">
        <f t="shared" si="2"/>
        <v>10131PS004</v>
      </c>
    </row>
    <row r="89" spans="2:12" outlineLevel="1" x14ac:dyDescent="0.25">
      <c r="B89" s="373" t="s">
        <v>1684</v>
      </c>
      <c r="C89" s="373" t="s">
        <v>1684</v>
      </c>
      <c r="D89" s="373" t="s">
        <v>1537</v>
      </c>
      <c r="E89" s="373" t="s">
        <v>2749</v>
      </c>
      <c r="H89" s="375" t="s">
        <v>1684</v>
      </c>
      <c r="I89" s="375" t="str">
        <f>IF(MID(D89,6,2)="PP",_xlfn.CONCAT(H89,RIGHT(D89,2)),IF(MID(D89,6,2)="SU",RIGHT(D89,5),_xlfn.CONCAT(H89,"1",RIGHT(D89,1))))</f>
        <v>LSM16</v>
      </c>
      <c r="J89" s="373" t="str">
        <f t="shared" si="1"/>
        <v>LSM</v>
      </c>
      <c r="L89" s="371" t="str">
        <f t="shared" si="2"/>
        <v>10131PS006</v>
      </c>
    </row>
    <row r="90" spans="2:12" outlineLevel="1" x14ac:dyDescent="0.25">
      <c r="B90" s="373" t="s">
        <v>1691</v>
      </c>
      <c r="C90" s="373" t="s">
        <v>1691</v>
      </c>
      <c r="D90" s="373" t="s">
        <v>2703</v>
      </c>
      <c r="E90" s="373" t="s">
        <v>1691</v>
      </c>
      <c r="H90" s="375" t="s">
        <v>1691</v>
      </c>
      <c r="I90" s="375" t="str">
        <f>IF(MID(D90,6,2)="PP",_xlfn.CONCAT(H90,RIGHT(D90,2)),IF(MID(D90,6,2)="SU",RIGHT(D90,5),_xlfn.CONCAT(H90,"01",RIGHT(D90,1))))</f>
        <v>SU001</v>
      </c>
      <c r="J90" s="373" t="str">
        <f t="shared" si="1"/>
        <v>SSC</v>
      </c>
      <c r="L90" s="371" t="str">
        <f t="shared" si="2"/>
        <v>10202SU001</v>
      </c>
    </row>
    <row r="91" spans="2:12" outlineLevel="1" x14ac:dyDescent="0.25">
      <c r="B91" s="373" t="s">
        <v>1622</v>
      </c>
      <c r="C91" s="373" t="s">
        <v>1622</v>
      </c>
      <c r="D91" s="373" t="s">
        <v>1623</v>
      </c>
      <c r="E91" s="373" t="s">
        <v>2707</v>
      </c>
      <c r="H91" s="375" t="s">
        <v>1622</v>
      </c>
      <c r="I91" s="375" t="str">
        <f>IF(MID(D91,6,2)="PP",_xlfn.CONCAT(H91,RIGHT(D91,2)),IF(MID(D91,6,2)="SU",RIGHT(D91,5),_xlfn.CONCAT(H91,"01",RIGHT(D91,1))))</f>
        <v>SU006</v>
      </c>
      <c r="J91" s="373" t="str">
        <f t="shared" si="1"/>
        <v>PPIC</v>
      </c>
      <c r="L91" s="371" t="str">
        <f t="shared" si="2"/>
        <v>10202SU006</v>
      </c>
    </row>
    <row r="92" spans="2:12" outlineLevel="1" x14ac:dyDescent="0.25">
      <c r="B92" s="373" t="s">
        <v>1745</v>
      </c>
      <c r="C92" s="373" t="s">
        <v>1745</v>
      </c>
      <c r="D92" s="373" t="s">
        <v>1624</v>
      </c>
      <c r="E92" s="373" t="s">
        <v>2708</v>
      </c>
      <c r="H92" s="375" t="s">
        <v>1745</v>
      </c>
      <c r="I92" s="375" t="str">
        <f>IF(MID(D92,6,2)="PP",_xlfn.CONCAT(H92,RIGHT(D92,2)),IF(MID(D92,6,2)="SU",RIGHT(D92,5),_xlfn.CONCAT(H92,"01",RIGHT(D92,1))))</f>
        <v>SU007</v>
      </c>
      <c r="J92" s="373" t="str">
        <f t="shared" si="1"/>
        <v>QAQC</v>
      </c>
      <c r="L92" s="371" t="str">
        <f t="shared" si="2"/>
        <v>10202SU007</v>
      </c>
    </row>
    <row r="93" spans="2:12" outlineLevel="1" x14ac:dyDescent="0.25">
      <c r="B93" s="373" t="s">
        <v>2657</v>
      </c>
      <c r="C93" s="373" t="s">
        <v>2657</v>
      </c>
      <c r="D93" s="373" t="s">
        <v>2705</v>
      </c>
      <c r="E93" s="373" t="s">
        <v>2706</v>
      </c>
      <c r="H93" s="375" t="s">
        <v>1621</v>
      </c>
      <c r="I93" s="375" t="str">
        <f>IF(MID(D93,6,2)="PP",_xlfn.CONCAT(H93,RIGHT(D93,2)),IF(MID(D93,6,2)="SU",RIGHT(D93,5),_xlfn.CONCAT(H93,"01",RIGHT(D93,1))))</f>
        <v>SU009</v>
      </c>
      <c r="J93" s="373" t="str">
        <f t="shared" si="1"/>
        <v>ELECTRICAL</v>
      </c>
      <c r="L93" s="371" t="str">
        <f t="shared" si="2"/>
        <v>10202SU009</v>
      </c>
    </row>
    <row r="94" spans="2:12" outlineLevel="1" x14ac:dyDescent="0.25">
      <c r="B94" s="373" t="s">
        <v>2664</v>
      </c>
      <c r="C94" s="373" t="s">
        <v>2664</v>
      </c>
      <c r="D94" s="373" t="s">
        <v>2709</v>
      </c>
      <c r="E94" s="373" t="s">
        <v>2710</v>
      </c>
      <c r="H94" s="375" t="s">
        <v>2664</v>
      </c>
      <c r="I94" s="375" t="str">
        <f>IF(MID(D94,6,2)="PP",_xlfn.CONCAT(H94,RIGHT(D94,2)),IF(MID(D94,6,2)="SU",RIGHT(D94,5),_xlfn.CONCAT(H94,"01",RIGHT(D94,1))))</f>
        <v>SU017</v>
      </c>
      <c r="J94" s="373" t="str">
        <f t="shared" si="1"/>
        <v>MSN</v>
      </c>
      <c r="L94" s="371" t="str">
        <f t="shared" si="2"/>
        <v>10202SU017</v>
      </c>
    </row>
    <row r="95" spans="2:12" outlineLevel="1" x14ac:dyDescent="0.25">
      <c r="B95" s="373" t="s">
        <v>2685</v>
      </c>
      <c r="C95" s="373" t="s">
        <v>2653</v>
      </c>
      <c r="D95" s="373" t="s">
        <v>261</v>
      </c>
      <c r="E95" s="373" t="s">
        <v>335</v>
      </c>
      <c r="H95" s="375" t="s">
        <v>3269</v>
      </c>
      <c r="I95" s="375" t="str">
        <f>RIGHT(D95,5)</f>
        <v>BD001</v>
      </c>
      <c r="J95" s="373" t="str">
        <f t="shared" si="1"/>
        <v>Board of Directors</v>
      </c>
      <c r="L95" s="371" t="str">
        <f t="shared" si="2"/>
        <v>10301BD001</v>
      </c>
    </row>
    <row r="96" spans="2:12" outlineLevel="1" x14ac:dyDescent="0.25">
      <c r="B96" s="373" t="s">
        <v>2685</v>
      </c>
      <c r="C96" s="373" t="s">
        <v>2653</v>
      </c>
      <c r="D96" s="373" t="s">
        <v>2545</v>
      </c>
      <c r="E96" s="373" t="s">
        <v>2546</v>
      </c>
      <c r="H96" s="375" t="s">
        <v>3269</v>
      </c>
      <c r="I96" s="375" t="str">
        <f t="shared" ref="I96:I144" si="5">RIGHT(D96,5)</f>
        <v>BD002</v>
      </c>
      <c r="J96" s="373" t="str">
        <f t="shared" si="1"/>
        <v>Board of Directors</v>
      </c>
      <c r="L96" s="371" t="str">
        <f t="shared" si="2"/>
        <v>10301BD002</v>
      </c>
    </row>
    <row r="97" spans="2:12" outlineLevel="1" x14ac:dyDescent="0.25">
      <c r="B97" s="373" t="s">
        <v>2685</v>
      </c>
      <c r="C97" s="373" t="s">
        <v>20</v>
      </c>
      <c r="D97" s="373" t="s">
        <v>262</v>
      </c>
      <c r="E97" s="373" t="s">
        <v>338</v>
      </c>
      <c r="H97" s="375" t="s">
        <v>3269</v>
      </c>
      <c r="I97" s="375" t="str">
        <f t="shared" si="5"/>
        <v>CP001</v>
      </c>
      <c r="J97" s="373" t="str">
        <f t="shared" si="1"/>
        <v>Corp. Planning &amp; Sustainability</v>
      </c>
      <c r="L97" s="371" t="str">
        <f t="shared" si="2"/>
        <v>10301CP001</v>
      </c>
    </row>
    <row r="98" spans="2:12" outlineLevel="1" x14ac:dyDescent="0.25">
      <c r="B98" s="373" t="s">
        <v>2685</v>
      </c>
      <c r="C98" s="373" t="s">
        <v>21</v>
      </c>
      <c r="D98" s="373" t="s">
        <v>267</v>
      </c>
      <c r="E98" s="373" t="s">
        <v>366</v>
      </c>
      <c r="H98" s="375" t="s">
        <v>3269</v>
      </c>
      <c r="I98" s="375" t="str">
        <f t="shared" si="5"/>
        <v>IA001</v>
      </c>
      <c r="J98" s="373" t="str">
        <f t="shared" si="1"/>
        <v>Internal Audit</v>
      </c>
      <c r="L98" s="371" t="str">
        <f t="shared" si="2"/>
        <v>10301IA001</v>
      </c>
    </row>
    <row r="99" spans="2:12" outlineLevel="1" x14ac:dyDescent="0.25">
      <c r="B99" s="513" t="s">
        <v>2685</v>
      </c>
      <c r="C99" s="513" t="s">
        <v>2665</v>
      </c>
      <c r="D99" s="513"/>
      <c r="E99" s="513" t="s">
        <v>3300</v>
      </c>
      <c r="F99" s="371" t="s">
        <v>3296</v>
      </c>
      <c r="H99" s="375" t="s">
        <v>3269</v>
      </c>
      <c r="I99" s="375" t="str">
        <f t="shared" si="5"/>
        <v/>
      </c>
      <c r="J99" s="373" t="str">
        <f t="shared" si="1"/>
        <v>Sustainability</v>
      </c>
      <c r="L99" s="371">
        <f t="shared" si="2"/>
        <v>0</v>
      </c>
    </row>
    <row r="100" spans="2:12" outlineLevel="1" x14ac:dyDescent="0.25">
      <c r="B100" s="513" t="s">
        <v>2685</v>
      </c>
      <c r="C100" s="513" t="s">
        <v>3376</v>
      </c>
      <c r="D100" s="513"/>
      <c r="E100" s="513" t="s">
        <v>3387</v>
      </c>
      <c r="F100" s="371" t="s">
        <v>3296</v>
      </c>
      <c r="H100" s="375" t="s">
        <v>3269</v>
      </c>
      <c r="I100" s="375" t="str">
        <f t="shared" si="5"/>
        <v/>
      </c>
      <c r="J100" s="373" t="str">
        <f t="shared" si="1"/>
        <v>Project Management</v>
      </c>
      <c r="L100" s="371">
        <f t="shared" si="2"/>
        <v>0</v>
      </c>
    </row>
    <row r="101" spans="2:12" outlineLevel="1" x14ac:dyDescent="0.25">
      <c r="B101" s="373" t="s">
        <v>2686</v>
      </c>
      <c r="C101" s="373" t="s">
        <v>2654</v>
      </c>
      <c r="D101" s="373" t="s">
        <v>269</v>
      </c>
      <c r="E101" s="373" t="s">
        <v>336</v>
      </c>
      <c r="H101" s="375" t="s">
        <v>3270</v>
      </c>
      <c r="I101" s="375" t="str">
        <f t="shared" si="5"/>
        <v>CL001</v>
      </c>
      <c r="J101" s="373" t="str">
        <f t="shared" si="1"/>
        <v>General Counsel</v>
      </c>
      <c r="L101" s="371" t="str">
        <f t="shared" si="2"/>
        <v>10301CL001</v>
      </c>
    </row>
    <row r="102" spans="2:12" outlineLevel="1" x14ac:dyDescent="0.25">
      <c r="B102" s="373" t="s">
        <v>2686</v>
      </c>
      <c r="C102" s="373" t="s">
        <v>2658</v>
      </c>
      <c r="D102" s="373" t="s">
        <v>284</v>
      </c>
      <c r="E102" s="373" t="s">
        <v>339</v>
      </c>
      <c r="H102" s="375" t="s">
        <v>3270</v>
      </c>
      <c r="I102" s="375" t="str">
        <f t="shared" si="5"/>
        <v>CS001</v>
      </c>
      <c r="J102" s="373" t="str">
        <f t="shared" si="1"/>
        <v>Compliance &amp; Governance</v>
      </c>
      <c r="L102" s="371" t="str">
        <f t="shared" si="2"/>
        <v>10301CS001</v>
      </c>
    </row>
    <row r="103" spans="2:12" outlineLevel="1" x14ac:dyDescent="0.25">
      <c r="B103" s="373" t="s">
        <v>2686</v>
      </c>
      <c r="C103" s="373" t="s">
        <v>2662</v>
      </c>
      <c r="D103" s="373" t="s">
        <v>292</v>
      </c>
      <c r="E103" s="373" t="s">
        <v>372</v>
      </c>
      <c r="H103" s="375" t="s">
        <v>3270</v>
      </c>
      <c r="I103" s="375" t="str">
        <f t="shared" si="5"/>
        <v>MS005</v>
      </c>
      <c r="J103" s="373" t="str">
        <f t="shared" si="1"/>
        <v>Permit &amp; Licensing</v>
      </c>
      <c r="L103" s="371" t="str">
        <f t="shared" si="2"/>
        <v>10301MS005</v>
      </c>
    </row>
    <row r="104" spans="2:12" outlineLevel="1" x14ac:dyDescent="0.25">
      <c r="B104" s="373" t="s">
        <v>2686</v>
      </c>
      <c r="C104" s="373" t="s">
        <v>2662</v>
      </c>
      <c r="D104" s="373" t="s">
        <v>270</v>
      </c>
      <c r="E104" s="373" t="s">
        <v>375</v>
      </c>
      <c r="H104" s="375" t="s">
        <v>3270</v>
      </c>
      <c r="I104" s="375" t="str">
        <f t="shared" si="5"/>
        <v>MS008</v>
      </c>
      <c r="J104" s="373" t="str">
        <f t="shared" si="1"/>
        <v>Permit &amp; Licensing</v>
      </c>
      <c r="L104" s="371" t="str">
        <f t="shared" si="2"/>
        <v>10301MS008</v>
      </c>
    </row>
    <row r="105" spans="2:12" outlineLevel="1" x14ac:dyDescent="0.25">
      <c r="B105" s="373" t="s">
        <v>341</v>
      </c>
      <c r="C105" s="373" t="s">
        <v>28</v>
      </c>
      <c r="D105" s="373" t="s">
        <v>272</v>
      </c>
      <c r="E105" s="373" t="s">
        <v>340</v>
      </c>
      <c r="H105" s="375" t="s">
        <v>341</v>
      </c>
      <c r="I105" s="375" t="str">
        <f t="shared" si="5"/>
        <v>FA001</v>
      </c>
      <c r="J105" s="373" t="str">
        <f t="shared" si="1"/>
        <v>Treasury &amp; Finance</v>
      </c>
      <c r="L105" s="371" t="str">
        <f t="shared" si="2"/>
        <v>10301FA001</v>
      </c>
    </row>
    <row r="106" spans="2:12" outlineLevel="1" x14ac:dyDescent="0.25">
      <c r="B106" s="373" t="s">
        <v>341</v>
      </c>
      <c r="C106" s="373" t="s">
        <v>3271</v>
      </c>
      <c r="D106" s="373" t="s">
        <v>260</v>
      </c>
      <c r="E106" s="373" t="s">
        <v>342</v>
      </c>
      <c r="H106" s="375" t="s">
        <v>341</v>
      </c>
      <c r="I106" s="375" t="str">
        <f t="shared" si="5"/>
        <v>FA002</v>
      </c>
      <c r="J106" s="373" t="str">
        <f t="shared" si="1"/>
        <v>Accounting &amp; Fixed Asset Management</v>
      </c>
      <c r="L106" s="371" t="str">
        <f t="shared" si="2"/>
        <v>10301FA002</v>
      </c>
    </row>
    <row r="107" spans="2:12" outlineLevel="1" x14ac:dyDescent="0.25">
      <c r="B107" s="373" t="s">
        <v>341</v>
      </c>
      <c r="C107" s="373" t="s">
        <v>27</v>
      </c>
      <c r="D107" s="373" t="s">
        <v>271</v>
      </c>
      <c r="E107" s="373" t="s">
        <v>343</v>
      </c>
      <c r="H107" s="375" t="s">
        <v>341</v>
      </c>
      <c r="I107" s="375" t="str">
        <f t="shared" si="5"/>
        <v>FA003</v>
      </c>
      <c r="J107" s="373" t="str">
        <f t="shared" si="1"/>
        <v>Taxation</v>
      </c>
      <c r="L107" s="371" t="str">
        <f t="shared" si="2"/>
        <v>10301FA003</v>
      </c>
    </row>
    <row r="108" spans="2:12" outlineLevel="1" x14ac:dyDescent="0.25">
      <c r="B108" s="373" t="s">
        <v>341</v>
      </c>
      <c r="C108" s="373" t="s">
        <v>26</v>
      </c>
      <c r="D108" s="373" t="s">
        <v>263</v>
      </c>
      <c r="E108" s="373" t="s">
        <v>344</v>
      </c>
      <c r="H108" s="375" t="s">
        <v>341</v>
      </c>
      <c r="I108" s="375" t="str">
        <f t="shared" si="5"/>
        <v>FA004</v>
      </c>
      <c r="J108" s="373" t="str">
        <f t="shared" si="1"/>
        <v>Financial Planning &amp; Analysis</v>
      </c>
      <c r="L108" s="371" t="str">
        <f t="shared" si="2"/>
        <v>10301FA004</v>
      </c>
    </row>
    <row r="109" spans="2:12" outlineLevel="1" x14ac:dyDescent="0.25">
      <c r="B109" s="373" t="s">
        <v>341</v>
      </c>
      <c r="C109" s="373" t="s">
        <v>28</v>
      </c>
      <c r="D109" s="373" t="s">
        <v>286</v>
      </c>
      <c r="E109" s="373" t="s">
        <v>346</v>
      </c>
      <c r="H109" s="375" t="s">
        <v>341</v>
      </c>
      <c r="I109" s="375" t="str">
        <f t="shared" si="5"/>
        <v>FA006</v>
      </c>
      <c r="J109" s="373" t="str">
        <f t="shared" si="1"/>
        <v>Treasury &amp; Finance</v>
      </c>
      <c r="L109" s="371" t="str">
        <f t="shared" si="2"/>
        <v>10301FA006</v>
      </c>
    </row>
    <row r="110" spans="2:12" outlineLevel="1" x14ac:dyDescent="0.25">
      <c r="B110" s="373" t="s">
        <v>341</v>
      </c>
      <c r="C110" s="373" t="s">
        <v>3271</v>
      </c>
      <c r="D110" s="373" t="s">
        <v>278</v>
      </c>
      <c r="E110" s="373" t="s">
        <v>347</v>
      </c>
      <c r="H110" s="375" t="s">
        <v>341</v>
      </c>
      <c r="I110" s="375" t="str">
        <f t="shared" si="5"/>
        <v>FA007</v>
      </c>
      <c r="J110" s="373" t="str">
        <f t="shared" si="1"/>
        <v>Accounting &amp; Fixed Asset Management</v>
      </c>
      <c r="L110" s="371" t="str">
        <f t="shared" si="2"/>
        <v>10301FA007</v>
      </c>
    </row>
    <row r="111" spans="2:12" outlineLevel="1" x14ac:dyDescent="0.25">
      <c r="B111" s="373" t="s">
        <v>341</v>
      </c>
      <c r="C111" s="373" t="s">
        <v>3271</v>
      </c>
      <c r="D111" s="373" t="s">
        <v>2549</v>
      </c>
      <c r="E111" s="373" t="s">
        <v>2550</v>
      </c>
      <c r="H111" s="375" t="s">
        <v>341</v>
      </c>
      <c r="I111" s="375" t="str">
        <f t="shared" si="5"/>
        <v>FA008</v>
      </c>
      <c r="J111" s="373" t="str">
        <f t="shared" si="1"/>
        <v>Accounting &amp; Fixed Asset Management</v>
      </c>
      <c r="L111" s="371" t="str">
        <f t="shared" si="2"/>
        <v>10301FA008</v>
      </c>
    </row>
    <row r="112" spans="2:12" outlineLevel="1" x14ac:dyDescent="0.25">
      <c r="B112" s="373" t="s">
        <v>2652</v>
      </c>
      <c r="C112" s="373" t="s">
        <v>29</v>
      </c>
      <c r="D112" s="373" t="s">
        <v>264</v>
      </c>
      <c r="E112" s="373" t="s">
        <v>351</v>
      </c>
      <c r="H112" s="375" t="s">
        <v>106</v>
      </c>
      <c r="I112" s="375" t="str">
        <f t="shared" si="5"/>
        <v>GA001</v>
      </c>
      <c r="J112" s="373" t="str">
        <f t="shared" si="1"/>
        <v>General Affairs</v>
      </c>
      <c r="L112" s="371" t="str">
        <f t="shared" si="2"/>
        <v>10301GA001</v>
      </c>
    </row>
    <row r="113" spans="2:12" outlineLevel="1" x14ac:dyDescent="0.25">
      <c r="B113" s="373" t="s">
        <v>2652</v>
      </c>
      <c r="C113" s="373" t="s">
        <v>29</v>
      </c>
      <c r="D113" s="373" t="s">
        <v>280</v>
      </c>
      <c r="E113" s="373" t="s">
        <v>352</v>
      </c>
      <c r="H113" s="375" t="s">
        <v>106</v>
      </c>
      <c r="I113" s="375" t="str">
        <f t="shared" si="5"/>
        <v>GA002</v>
      </c>
      <c r="J113" s="373" t="str">
        <f t="shared" si="1"/>
        <v>General Affairs</v>
      </c>
      <c r="L113" s="371" t="str">
        <f t="shared" si="2"/>
        <v>10301GA002</v>
      </c>
    </row>
    <row r="114" spans="2:12" outlineLevel="1" x14ac:dyDescent="0.25">
      <c r="B114" s="373" t="s">
        <v>2652</v>
      </c>
      <c r="C114" s="373" t="s">
        <v>29</v>
      </c>
      <c r="D114" s="373" t="s">
        <v>290</v>
      </c>
      <c r="E114" s="373" t="s">
        <v>353</v>
      </c>
      <c r="H114" s="375" t="s">
        <v>106</v>
      </c>
      <c r="I114" s="375" t="str">
        <f t="shared" si="5"/>
        <v>GA003</v>
      </c>
      <c r="J114" s="373" t="str">
        <f t="shared" si="1"/>
        <v>General Affairs</v>
      </c>
      <c r="L114" s="371" t="str">
        <f t="shared" si="2"/>
        <v>10301GA003</v>
      </c>
    </row>
    <row r="115" spans="2:12" outlineLevel="1" x14ac:dyDescent="0.25">
      <c r="B115" s="373" t="s">
        <v>2652</v>
      </c>
      <c r="C115" s="373" t="s">
        <v>29</v>
      </c>
      <c r="D115" s="373" t="s">
        <v>296</v>
      </c>
      <c r="E115" s="373" t="s">
        <v>354</v>
      </c>
      <c r="H115" s="375" t="s">
        <v>106</v>
      </c>
      <c r="I115" s="375" t="str">
        <f t="shared" si="5"/>
        <v>GA004</v>
      </c>
      <c r="J115" s="373" t="str">
        <f t="shared" si="1"/>
        <v>General Affairs</v>
      </c>
      <c r="L115" s="371" t="str">
        <f t="shared" si="2"/>
        <v>10301GA004</v>
      </c>
    </row>
    <row r="116" spans="2:12" outlineLevel="1" x14ac:dyDescent="0.25">
      <c r="B116" s="373" t="s">
        <v>2652</v>
      </c>
      <c r="C116" s="373" t="s">
        <v>29</v>
      </c>
      <c r="D116" s="373" t="s">
        <v>301</v>
      </c>
      <c r="E116" s="373" t="s">
        <v>355</v>
      </c>
      <c r="H116" s="375" t="s">
        <v>106</v>
      </c>
      <c r="I116" s="375" t="str">
        <f t="shared" si="5"/>
        <v>GA005</v>
      </c>
      <c r="J116" s="373" t="str">
        <f t="shared" si="1"/>
        <v>General Affairs</v>
      </c>
      <c r="L116" s="371" t="str">
        <f t="shared" si="2"/>
        <v>10301GA005</v>
      </c>
    </row>
    <row r="117" spans="2:12" outlineLevel="1" x14ac:dyDescent="0.25">
      <c r="B117" s="373" t="s">
        <v>2652</v>
      </c>
      <c r="C117" s="373" t="s">
        <v>29</v>
      </c>
      <c r="D117" s="373" t="s">
        <v>304</v>
      </c>
      <c r="E117" s="373" t="s">
        <v>356</v>
      </c>
      <c r="H117" s="375" t="s">
        <v>106</v>
      </c>
      <c r="I117" s="375" t="str">
        <f t="shared" si="5"/>
        <v>GA008</v>
      </c>
      <c r="J117" s="373" t="str">
        <f t="shared" si="1"/>
        <v>General Affairs</v>
      </c>
      <c r="L117" s="371" t="str">
        <f t="shared" si="2"/>
        <v>10301GA008</v>
      </c>
    </row>
    <row r="118" spans="2:12" outlineLevel="1" x14ac:dyDescent="0.25">
      <c r="B118" s="373" t="s">
        <v>2652</v>
      </c>
      <c r="C118" s="373" t="s">
        <v>30</v>
      </c>
      <c r="D118" s="373" t="s">
        <v>266</v>
      </c>
      <c r="E118" s="373" t="s">
        <v>357</v>
      </c>
      <c r="H118" s="375" t="s">
        <v>50</v>
      </c>
      <c r="I118" s="375" t="str">
        <f t="shared" si="5"/>
        <v>HR001</v>
      </c>
      <c r="J118" s="373" t="str">
        <f t="shared" si="1"/>
        <v>Human Resources</v>
      </c>
      <c r="L118" s="371" t="str">
        <f t="shared" si="2"/>
        <v>10301HR001</v>
      </c>
    </row>
    <row r="119" spans="2:12" outlineLevel="1" x14ac:dyDescent="0.25">
      <c r="B119" s="373" t="s">
        <v>2652</v>
      </c>
      <c r="C119" s="373" t="s">
        <v>30</v>
      </c>
      <c r="D119" s="373" t="s">
        <v>282</v>
      </c>
      <c r="E119" s="373" t="s">
        <v>358</v>
      </c>
      <c r="H119" s="375" t="s">
        <v>50</v>
      </c>
      <c r="I119" s="375" t="str">
        <f t="shared" si="5"/>
        <v>HR002</v>
      </c>
      <c r="J119" s="373" t="str">
        <f t="shared" si="1"/>
        <v>Human Resources</v>
      </c>
      <c r="L119" s="371" t="str">
        <f t="shared" si="2"/>
        <v>10301HR002</v>
      </c>
    </row>
    <row r="120" spans="2:12" outlineLevel="1" x14ac:dyDescent="0.25">
      <c r="B120" s="373" t="s">
        <v>2652</v>
      </c>
      <c r="C120" s="373" t="s">
        <v>30</v>
      </c>
      <c r="D120" s="373" t="s">
        <v>291</v>
      </c>
      <c r="E120" s="373" t="s">
        <v>359</v>
      </c>
      <c r="H120" s="375" t="s">
        <v>50</v>
      </c>
      <c r="I120" s="375" t="str">
        <f t="shared" si="5"/>
        <v>HR003</v>
      </c>
      <c r="J120" s="373" t="str">
        <f t="shared" si="1"/>
        <v>Human Resources</v>
      </c>
      <c r="L120" s="371" t="str">
        <f t="shared" si="2"/>
        <v>10301HR003</v>
      </c>
    </row>
    <row r="121" spans="2:12" outlineLevel="1" x14ac:dyDescent="0.25">
      <c r="B121" s="373" t="s">
        <v>2652</v>
      </c>
      <c r="C121" s="373" t="s">
        <v>30</v>
      </c>
      <c r="D121" s="373" t="s">
        <v>297</v>
      </c>
      <c r="E121" s="373" t="s">
        <v>360</v>
      </c>
      <c r="H121" s="375" t="s">
        <v>50</v>
      </c>
      <c r="I121" s="375" t="str">
        <f t="shared" si="5"/>
        <v>HR004</v>
      </c>
      <c r="J121" s="373" t="str">
        <f t="shared" si="1"/>
        <v>Human Resources</v>
      </c>
      <c r="L121" s="371" t="str">
        <f t="shared" si="2"/>
        <v>10301HR004</v>
      </c>
    </row>
    <row r="122" spans="2:12" outlineLevel="1" x14ac:dyDescent="0.25">
      <c r="B122" s="373" t="s">
        <v>2652</v>
      </c>
      <c r="C122" s="373" t="s">
        <v>30</v>
      </c>
      <c r="D122" s="373" t="s">
        <v>302</v>
      </c>
      <c r="E122" s="373" t="s">
        <v>361</v>
      </c>
      <c r="H122" s="375" t="s">
        <v>50</v>
      </c>
      <c r="I122" s="375" t="str">
        <f t="shared" si="5"/>
        <v>HR005</v>
      </c>
      <c r="J122" s="373" t="str">
        <f t="shared" si="1"/>
        <v>Human Resources</v>
      </c>
      <c r="L122" s="371" t="str">
        <f t="shared" si="2"/>
        <v>10301HR005</v>
      </c>
    </row>
    <row r="123" spans="2:12" outlineLevel="1" x14ac:dyDescent="0.25">
      <c r="B123" s="373" t="s">
        <v>2652</v>
      </c>
      <c r="C123" s="373" t="s">
        <v>30</v>
      </c>
      <c r="D123" s="373" t="s">
        <v>305</v>
      </c>
      <c r="E123" s="373" t="s">
        <v>362</v>
      </c>
      <c r="H123" s="375" t="s">
        <v>50</v>
      </c>
      <c r="I123" s="375" t="str">
        <f t="shared" si="5"/>
        <v>HR007</v>
      </c>
      <c r="J123" s="373" t="str">
        <f t="shared" si="1"/>
        <v>Human Resources</v>
      </c>
      <c r="L123" s="371" t="str">
        <f t="shared" si="2"/>
        <v>10301HR007</v>
      </c>
    </row>
    <row r="124" spans="2:12" outlineLevel="1" x14ac:dyDescent="0.25">
      <c r="B124" s="373" t="s">
        <v>2652</v>
      </c>
      <c r="C124" s="373" t="s">
        <v>29</v>
      </c>
      <c r="D124" s="373" t="s">
        <v>307</v>
      </c>
      <c r="E124" s="373" t="s">
        <v>370</v>
      </c>
      <c r="H124" s="375" t="s">
        <v>106</v>
      </c>
      <c r="I124" s="375" t="str">
        <f t="shared" si="5"/>
        <v>MS001</v>
      </c>
      <c r="J124" s="373" t="str">
        <f t="shared" ref="J124:J144" si="6">C124</f>
        <v>General Affairs</v>
      </c>
      <c r="L124" s="371" t="str">
        <f t="shared" ref="L124:L144" si="7">D124</f>
        <v>10301MS001</v>
      </c>
    </row>
    <row r="125" spans="2:12" outlineLevel="1" x14ac:dyDescent="0.25">
      <c r="B125" s="373" t="s">
        <v>22</v>
      </c>
      <c r="C125" s="373" t="s">
        <v>327</v>
      </c>
      <c r="D125" s="373" t="s">
        <v>265</v>
      </c>
      <c r="E125" s="373" t="s">
        <v>363</v>
      </c>
      <c r="H125" s="375" t="s">
        <v>22</v>
      </c>
      <c r="I125" s="375" t="str">
        <f t="shared" si="5"/>
        <v>HS001</v>
      </c>
      <c r="J125" s="373" t="str">
        <f t="shared" si="6"/>
        <v>Health &amp; Safety</v>
      </c>
      <c r="L125" s="371" t="str">
        <f t="shared" si="7"/>
        <v>10301HS001</v>
      </c>
    </row>
    <row r="126" spans="2:12" outlineLevel="1" x14ac:dyDescent="0.25">
      <c r="B126" s="373" t="s">
        <v>22</v>
      </c>
      <c r="C126" s="373" t="s">
        <v>329</v>
      </c>
      <c r="D126" s="373" t="s">
        <v>303</v>
      </c>
      <c r="E126" s="373" t="s">
        <v>365</v>
      </c>
      <c r="H126" s="375" t="s">
        <v>22</v>
      </c>
      <c r="I126" s="375" t="str">
        <f t="shared" si="5"/>
        <v>HS002</v>
      </c>
      <c r="J126" s="373" t="str">
        <f t="shared" si="6"/>
        <v>Environment</v>
      </c>
      <c r="L126" s="371" t="str">
        <f t="shared" si="7"/>
        <v>10301HS002</v>
      </c>
    </row>
    <row r="127" spans="2:12" outlineLevel="1" x14ac:dyDescent="0.25">
      <c r="B127" s="373" t="s">
        <v>31</v>
      </c>
      <c r="C127" s="373" t="s">
        <v>237</v>
      </c>
      <c r="D127" s="373" t="s">
        <v>268</v>
      </c>
      <c r="E127" s="373" t="s">
        <v>367</v>
      </c>
      <c r="H127" s="375" t="s">
        <v>31</v>
      </c>
      <c r="I127" s="375" t="str">
        <f t="shared" si="5"/>
        <v>IT001</v>
      </c>
      <c r="J127" s="373" t="str">
        <f t="shared" si="6"/>
        <v>Information Technology</v>
      </c>
      <c r="L127" s="371" t="str">
        <f t="shared" si="7"/>
        <v>10301IT001</v>
      </c>
    </row>
    <row r="128" spans="2:12" outlineLevel="1" x14ac:dyDescent="0.25">
      <c r="B128" s="373" t="s">
        <v>31</v>
      </c>
      <c r="C128" s="373" t="s">
        <v>237</v>
      </c>
      <c r="D128" s="373" t="s">
        <v>368</v>
      </c>
      <c r="E128" s="373" t="s">
        <v>2053</v>
      </c>
      <c r="H128" s="375" t="s">
        <v>31</v>
      </c>
      <c r="I128" s="375" t="str">
        <f t="shared" si="5"/>
        <v>IT002</v>
      </c>
      <c r="J128" s="373" t="str">
        <f t="shared" si="6"/>
        <v>Information Technology</v>
      </c>
      <c r="L128" s="371" t="str">
        <f t="shared" si="7"/>
        <v>10301IT002</v>
      </c>
    </row>
    <row r="129" spans="2:12" outlineLevel="1" x14ac:dyDescent="0.25">
      <c r="B129" s="373" t="s">
        <v>31</v>
      </c>
      <c r="C129" s="373" t="s">
        <v>237</v>
      </c>
      <c r="D129" s="373" t="s">
        <v>283</v>
      </c>
      <c r="E129" s="300" t="s">
        <v>2687</v>
      </c>
      <c r="H129" s="375" t="s">
        <v>31</v>
      </c>
      <c r="I129" s="375" t="str">
        <f t="shared" si="5"/>
        <v>IT003</v>
      </c>
      <c r="J129" s="373" t="str">
        <f t="shared" si="6"/>
        <v>Information Technology</v>
      </c>
      <c r="L129" s="371" t="str">
        <f t="shared" si="7"/>
        <v>10301IT003</v>
      </c>
    </row>
    <row r="130" spans="2:12" outlineLevel="1" x14ac:dyDescent="0.25">
      <c r="B130" s="373" t="s">
        <v>31</v>
      </c>
      <c r="C130" s="373" t="s">
        <v>237</v>
      </c>
      <c r="D130" s="373" t="s">
        <v>2553</v>
      </c>
      <c r="E130" s="373" t="s">
        <v>2554</v>
      </c>
      <c r="H130" s="375" t="s">
        <v>31</v>
      </c>
      <c r="I130" s="375" t="str">
        <f t="shared" si="5"/>
        <v>IT004</v>
      </c>
      <c r="J130" s="373" t="str">
        <f t="shared" si="6"/>
        <v>Information Technology</v>
      </c>
      <c r="L130" s="371" t="str">
        <f t="shared" si="7"/>
        <v>10301IT004</v>
      </c>
    </row>
    <row r="131" spans="2:12" outlineLevel="1" x14ac:dyDescent="0.25">
      <c r="B131" s="373" t="s">
        <v>2688</v>
      </c>
      <c r="C131" s="373" t="s">
        <v>2656</v>
      </c>
      <c r="D131" s="373" t="s">
        <v>285</v>
      </c>
      <c r="E131" s="373" t="s">
        <v>3388</v>
      </c>
      <c r="H131" s="375" t="s">
        <v>2728</v>
      </c>
      <c r="I131" s="375" t="str">
        <f t="shared" si="5"/>
        <v>MS002</v>
      </c>
      <c r="J131" s="373" t="str">
        <f t="shared" si="6"/>
        <v>Government Relation &amp; EA</v>
      </c>
      <c r="L131" s="371" t="str">
        <f t="shared" si="7"/>
        <v>10301MS002</v>
      </c>
    </row>
    <row r="132" spans="2:12" outlineLevel="1" x14ac:dyDescent="0.25">
      <c r="B132" s="373" t="s">
        <v>2688</v>
      </c>
      <c r="C132" s="373" t="s">
        <v>2656</v>
      </c>
      <c r="D132" s="373" t="s">
        <v>293</v>
      </c>
      <c r="E132" s="373" t="s">
        <v>3389</v>
      </c>
      <c r="H132" s="375" t="s">
        <v>2728</v>
      </c>
      <c r="I132" s="375" t="str">
        <f t="shared" si="5"/>
        <v>MS006</v>
      </c>
      <c r="J132" s="373" t="str">
        <f t="shared" si="6"/>
        <v>Government Relation &amp; EA</v>
      </c>
      <c r="L132" s="371" t="str">
        <f t="shared" si="7"/>
        <v>10301MS006</v>
      </c>
    </row>
    <row r="133" spans="2:12" outlineLevel="1" x14ac:dyDescent="0.25">
      <c r="B133" s="373" t="s">
        <v>2688</v>
      </c>
      <c r="C133" s="373" t="s">
        <v>2656</v>
      </c>
      <c r="D133" s="373" t="s">
        <v>299</v>
      </c>
      <c r="E133" s="373" t="s">
        <v>374</v>
      </c>
      <c r="H133" s="375" t="s">
        <v>2728</v>
      </c>
      <c r="I133" s="375" t="str">
        <f t="shared" si="5"/>
        <v>MS007</v>
      </c>
      <c r="J133" s="373" t="str">
        <f t="shared" si="6"/>
        <v>Government Relation &amp; EA</v>
      </c>
      <c r="L133" s="371" t="str">
        <f t="shared" si="7"/>
        <v>10301MS007</v>
      </c>
    </row>
    <row r="134" spans="2:12" outlineLevel="1" x14ac:dyDescent="0.25">
      <c r="B134" s="373" t="s">
        <v>2688</v>
      </c>
      <c r="C134" s="373" t="s">
        <v>2656</v>
      </c>
      <c r="D134" s="373" t="s">
        <v>2690</v>
      </c>
      <c r="E134" s="373" t="s">
        <v>3390</v>
      </c>
      <c r="H134" s="375" t="s">
        <v>2728</v>
      </c>
      <c r="I134" s="375" t="str">
        <f t="shared" si="5"/>
        <v>MS010</v>
      </c>
      <c r="J134" s="373" t="str">
        <f t="shared" si="6"/>
        <v>Government Relation &amp; EA</v>
      </c>
      <c r="L134" s="371" t="str">
        <f t="shared" si="7"/>
        <v>10301MS010</v>
      </c>
    </row>
    <row r="135" spans="2:12" outlineLevel="1" x14ac:dyDescent="0.25">
      <c r="B135" s="373" t="s">
        <v>2685</v>
      </c>
      <c r="C135" s="373" t="s">
        <v>24</v>
      </c>
      <c r="D135" s="373" t="s">
        <v>306</v>
      </c>
      <c r="E135" s="373" t="s">
        <v>376</v>
      </c>
      <c r="H135" s="375" t="s">
        <v>3269</v>
      </c>
      <c r="I135" s="375" t="str">
        <f t="shared" si="5"/>
        <v>PR001</v>
      </c>
      <c r="J135" s="373" t="str">
        <f t="shared" si="6"/>
        <v>Corporate Communication</v>
      </c>
      <c r="L135" s="371" t="str">
        <f t="shared" si="7"/>
        <v>10301PR001</v>
      </c>
    </row>
    <row r="136" spans="2:12" outlineLevel="1" x14ac:dyDescent="0.25">
      <c r="B136" s="373" t="s">
        <v>2685</v>
      </c>
      <c r="C136" s="373" t="s">
        <v>24</v>
      </c>
      <c r="D136" s="373" t="s">
        <v>309</v>
      </c>
      <c r="E136" s="373" t="s">
        <v>378</v>
      </c>
      <c r="H136" s="375" t="s">
        <v>3269</v>
      </c>
      <c r="I136" s="375" t="str">
        <f t="shared" si="5"/>
        <v>PR002</v>
      </c>
      <c r="J136" s="373" t="str">
        <f t="shared" si="6"/>
        <v>Corporate Communication</v>
      </c>
      <c r="L136" s="371" t="str">
        <f t="shared" si="7"/>
        <v>10301PR002</v>
      </c>
    </row>
    <row r="137" spans="2:12" outlineLevel="1" x14ac:dyDescent="0.25">
      <c r="B137" s="373" t="s">
        <v>250</v>
      </c>
      <c r="C137" s="373" t="s">
        <v>2655</v>
      </c>
      <c r="D137" s="373" t="s">
        <v>295</v>
      </c>
      <c r="E137" s="373" t="s">
        <v>2692</v>
      </c>
      <c r="H137" s="375" t="s">
        <v>250</v>
      </c>
      <c r="I137" s="375" t="str">
        <f t="shared" si="5"/>
        <v>SC002</v>
      </c>
      <c r="J137" s="373" t="str">
        <f t="shared" si="6"/>
        <v>SCM Logistics</v>
      </c>
      <c r="L137" s="371" t="str">
        <f t="shared" si="7"/>
        <v>10301SC002</v>
      </c>
    </row>
    <row r="138" spans="2:12" outlineLevel="1" x14ac:dyDescent="0.25">
      <c r="B138" s="373" t="s">
        <v>250</v>
      </c>
      <c r="C138" s="373" t="s">
        <v>2659</v>
      </c>
      <c r="D138" s="373" t="s">
        <v>259</v>
      </c>
      <c r="E138" s="373" t="s">
        <v>2693</v>
      </c>
      <c r="H138" s="375" t="s">
        <v>250</v>
      </c>
      <c r="I138" s="375" t="str">
        <f t="shared" si="5"/>
        <v>SC004</v>
      </c>
      <c r="J138" s="373" t="str">
        <f t="shared" si="6"/>
        <v>SCM Warehouse &amp; Inventory</v>
      </c>
      <c r="L138" s="371" t="str">
        <f t="shared" si="7"/>
        <v>10301SC004</v>
      </c>
    </row>
    <row r="139" spans="2:12" outlineLevel="1" x14ac:dyDescent="0.25">
      <c r="B139" s="373" t="s">
        <v>250</v>
      </c>
      <c r="C139" s="373" t="s">
        <v>2663</v>
      </c>
      <c r="D139" s="373" t="s">
        <v>289</v>
      </c>
      <c r="E139" s="373" t="s">
        <v>2694</v>
      </c>
      <c r="H139" s="375" t="s">
        <v>250</v>
      </c>
      <c r="I139" s="375" t="str">
        <f t="shared" si="5"/>
        <v>SC005</v>
      </c>
      <c r="J139" s="373" t="str">
        <f t="shared" si="6"/>
        <v>SCM Grader</v>
      </c>
      <c r="L139" s="371" t="str">
        <f t="shared" si="7"/>
        <v>10301SC005</v>
      </c>
    </row>
    <row r="140" spans="2:12" outlineLevel="1" x14ac:dyDescent="0.25">
      <c r="B140" s="373" t="s">
        <v>250</v>
      </c>
      <c r="C140" s="373" t="s">
        <v>2659</v>
      </c>
      <c r="D140" s="373" t="s">
        <v>380</v>
      </c>
      <c r="E140" s="373" t="s">
        <v>381</v>
      </c>
      <c r="H140" s="375" t="s">
        <v>250</v>
      </c>
      <c r="I140" s="375" t="str">
        <f t="shared" si="5"/>
        <v>SC006</v>
      </c>
      <c r="J140" s="373" t="str">
        <f t="shared" si="6"/>
        <v>SCM Warehouse &amp; Inventory</v>
      </c>
      <c r="L140" s="371" t="str">
        <f t="shared" si="7"/>
        <v>10301SC006</v>
      </c>
    </row>
    <row r="141" spans="2:12" outlineLevel="1" x14ac:dyDescent="0.25">
      <c r="B141" s="373" t="s">
        <v>250</v>
      </c>
      <c r="C141" s="373" t="s">
        <v>2659</v>
      </c>
      <c r="D141" s="373" t="s">
        <v>383</v>
      </c>
      <c r="E141" s="373" t="s">
        <v>384</v>
      </c>
      <c r="H141" s="375" t="s">
        <v>250</v>
      </c>
      <c r="I141" s="375" t="str">
        <f t="shared" si="5"/>
        <v>SC007</v>
      </c>
      <c r="J141" s="373" t="str">
        <f t="shared" si="6"/>
        <v>SCM Warehouse &amp; Inventory</v>
      </c>
      <c r="L141" s="371" t="str">
        <f t="shared" si="7"/>
        <v>10301SC007</v>
      </c>
    </row>
    <row r="142" spans="2:12" outlineLevel="1" x14ac:dyDescent="0.25">
      <c r="B142" s="373" t="s">
        <v>250</v>
      </c>
      <c r="C142" s="373" t="s">
        <v>2659</v>
      </c>
      <c r="D142" s="373" t="s">
        <v>2557</v>
      </c>
      <c r="E142" s="373" t="s">
        <v>2558</v>
      </c>
      <c r="H142" s="375" t="s">
        <v>250</v>
      </c>
      <c r="I142" s="375" t="str">
        <f t="shared" si="5"/>
        <v>SC009</v>
      </c>
      <c r="J142" s="373" t="str">
        <f t="shared" si="6"/>
        <v>SCM Warehouse &amp; Inventory</v>
      </c>
      <c r="L142" s="371" t="str">
        <f t="shared" si="7"/>
        <v>10301SC009</v>
      </c>
    </row>
    <row r="143" spans="2:12" outlineLevel="1" x14ac:dyDescent="0.25">
      <c r="B143" s="373" t="s">
        <v>2695</v>
      </c>
      <c r="C143" s="373" t="s">
        <v>32</v>
      </c>
      <c r="D143" s="373" t="s">
        <v>258</v>
      </c>
      <c r="E143" s="373" t="s">
        <v>379</v>
      </c>
      <c r="H143" s="375" t="s">
        <v>2723</v>
      </c>
      <c r="I143" s="375" t="str">
        <f t="shared" si="5"/>
        <v>SC001</v>
      </c>
      <c r="J143" s="373" t="str">
        <f t="shared" si="6"/>
        <v>Strategic Sourcing &amp; Procurement</v>
      </c>
      <c r="L143" s="371" t="str">
        <f t="shared" si="7"/>
        <v>10301SC001</v>
      </c>
    </row>
    <row r="144" spans="2:12" outlineLevel="1" x14ac:dyDescent="0.25">
      <c r="B144" s="373" t="s">
        <v>2695</v>
      </c>
      <c r="C144" s="373" t="s">
        <v>32</v>
      </c>
      <c r="D144" s="373" t="s">
        <v>2555</v>
      </c>
      <c r="E144" s="373" t="s">
        <v>2556</v>
      </c>
      <c r="H144" s="375" t="s">
        <v>2723</v>
      </c>
      <c r="I144" s="375" t="str">
        <f t="shared" si="5"/>
        <v>SC008</v>
      </c>
      <c r="J144" s="373" t="str">
        <f t="shared" si="6"/>
        <v>Strategic Sourcing &amp; Procurement</v>
      </c>
      <c r="L144" s="371" t="str">
        <f t="shared" si="7"/>
        <v>10301SC008</v>
      </c>
    </row>
    <row r="145" spans="2:12" outlineLevel="1" x14ac:dyDescent="0.25">
      <c r="B145" s="373" t="s">
        <v>2695</v>
      </c>
      <c r="C145" s="373" t="s">
        <v>236</v>
      </c>
      <c r="D145" s="373" t="s">
        <v>257</v>
      </c>
      <c r="E145" s="373" t="s">
        <v>386</v>
      </c>
      <c r="H145" s="375" t="s">
        <v>2722</v>
      </c>
      <c r="I145" s="375" t="str">
        <f t="shared" ref="I145:I146" si="8">RIGHT(D145,5)</f>
        <v>SM001</v>
      </c>
      <c r="J145" s="373" t="str">
        <f t="shared" ref="J145:J146" si="9">C145</f>
        <v>Sales</v>
      </c>
      <c r="L145" s="371" t="str">
        <f t="shared" ref="L145:L146" si="10">D145</f>
        <v>10301SM001</v>
      </c>
    </row>
    <row r="146" spans="2:12" outlineLevel="1" x14ac:dyDescent="0.25">
      <c r="B146" s="373" t="s">
        <v>2695</v>
      </c>
      <c r="C146" s="373" t="s">
        <v>236</v>
      </c>
      <c r="D146" s="373" t="s">
        <v>2559</v>
      </c>
      <c r="E146" s="373" t="s">
        <v>2560</v>
      </c>
      <c r="H146" s="375" t="s">
        <v>2722</v>
      </c>
      <c r="I146" s="375" t="str">
        <f t="shared" si="8"/>
        <v>SM004</v>
      </c>
      <c r="J146" s="373" t="str">
        <f t="shared" si="9"/>
        <v>Sales</v>
      </c>
      <c r="L146" s="371" t="str">
        <f t="shared" si="10"/>
        <v>10301SM004</v>
      </c>
    </row>
    <row r="147" spans="2:12" outlineLevel="1" x14ac:dyDescent="0.25"/>
    <row r="148" spans="2:12" s="368" customFormat="1" x14ac:dyDescent="0.25">
      <c r="B148" s="367" t="s">
        <v>3272</v>
      </c>
      <c r="H148" s="369"/>
      <c r="I148" s="369"/>
    </row>
    <row r="150" spans="2:12" s="290" customFormat="1" x14ac:dyDescent="0.25">
      <c r="B150" s="324" t="s">
        <v>2866</v>
      </c>
      <c r="H150" s="376"/>
      <c r="I150" s="376"/>
    </row>
    <row r="151" spans="2:12" s="290" customFormat="1" outlineLevel="1" x14ac:dyDescent="0.25">
      <c r="B151" s="304" t="s">
        <v>2867</v>
      </c>
      <c r="C151" s="304" t="s">
        <v>2868</v>
      </c>
      <c r="D151" s="326" t="s">
        <v>2870</v>
      </c>
      <c r="E151" s="326" t="s">
        <v>2871</v>
      </c>
      <c r="H151" s="304" t="s">
        <v>2867</v>
      </c>
    </row>
    <row r="152" spans="2:12" s="290" customFormat="1" outlineLevel="1" x14ac:dyDescent="0.25">
      <c r="B152" s="355">
        <v>50200010</v>
      </c>
      <c r="C152" s="338" t="s">
        <v>2872</v>
      </c>
      <c r="D152" s="356" t="s">
        <v>893</v>
      </c>
      <c r="E152" s="356" t="s">
        <v>2874</v>
      </c>
      <c r="H152" s="376">
        <f t="shared" ref="H152:H215" si="11">B152</f>
        <v>50200010</v>
      </c>
    </row>
    <row r="153" spans="2:12" s="290" customFormat="1" outlineLevel="1" x14ac:dyDescent="0.25">
      <c r="B153" s="355">
        <v>50300010</v>
      </c>
      <c r="C153" s="338" t="s">
        <v>48</v>
      </c>
      <c r="D153" s="357" t="s">
        <v>898</v>
      </c>
      <c r="E153" s="357" t="s">
        <v>50</v>
      </c>
      <c r="H153" s="376">
        <f t="shared" si="11"/>
        <v>50300010</v>
      </c>
    </row>
    <row r="154" spans="2:12" s="290" customFormat="1" outlineLevel="1" x14ac:dyDescent="0.25">
      <c r="B154" s="355">
        <v>50300020</v>
      </c>
      <c r="C154" s="338" t="s">
        <v>51</v>
      </c>
      <c r="D154" s="338" t="s">
        <v>898</v>
      </c>
      <c r="E154" s="357" t="s">
        <v>50</v>
      </c>
      <c r="H154" s="376">
        <f t="shared" si="11"/>
        <v>50300020</v>
      </c>
    </row>
    <row r="155" spans="2:12" s="290" customFormat="1" outlineLevel="1" x14ac:dyDescent="0.25">
      <c r="B155" s="355">
        <v>50300030</v>
      </c>
      <c r="C155" s="338" t="s">
        <v>53</v>
      </c>
      <c r="D155" s="338" t="s">
        <v>898</v>
      </c>
      <c r="E155" s="357" t="s">
        <v>50</v>
      </c>
      <c r="H155" s="376">
        <f t="shared" si="11"/>
        <v>50300030</v>
      </c>
    </row>
    <row r="156" spans="2:12" s="290" customFormat="1" outlineLevel="1" x14ac:dyDescent="0.25">
      <c r="B156" s="355">
        <v>50300040</v>
      </c>
      <c r="C156" s="338" t="s">
        <v>55</v>
      </c>
      <c r="D156" s="338" t="s">
        <v>898</v>
      </c>
      <c r="E156" s="357" t="s">
        <v>50</v>
      </c>
      <c r="H156" s="376">
        <f t="shared" si="11"/>
        <v>50300040</v>
      </c>
    </row>
    <row r="157" spans="2:12" s="290" customFormat="1" outlineLevel="1" x14ac:dyDescent="0.25">
      <c r="B157" s="355">
        <v>50300050</v>
      </c>
      <c r="C157" s="338" t="s">
        <v>57</v>
      </c>
      <c r="D157" s="338" t="s">
        <v>898</v>
      </c>
      <c r="E157" s="357" t="s">
        <v>50</v>
      </c>
      <c r="H157" s="376">
        <f t="shared" si="11"/>
        <v>50300050</v>
      </c>
    </row>
    <row r="158" spans="2:12" s="290" customFormat="1" outlineLevel="1" x14ac:dyDescent="0.25">
      <c r="B158" s="355">
        <v>50300060</v>
      </c>
      <c r="C158" s="338" t="s">
        <v>2880</v>
      </c>
      <c r="D158" s="338" t="s">
        <v>898</v>
      </c>
      <c r="E158" s="357" t="s">
        <v>50</v>
      </c>
      <c r="H158" s="376">
        <f t="shared" si="11"/>
        <v>50300060</v>
      </c>
    </row>
    <row r="159" spans="2:12" s="290" customFormat="1" outlineLevel="1" x14ac:dyDescent="0.25">
      <c r="B159" s="355">
        <v>50300070</v>
      </c>
      <c r="C159" s="338" t="s">
        <v>1337</v>
      </c>
      <c r="D159" s="342" t="s">
        <v>898</v>
      </c>
      <c r="E159" s="357" t="s">
        <v>50</v>
      </c>
      <c r="H159" s="376">
        <f t="shared" si="11"/>
        <v>50300070</v>
      </c>
    </row>
    <row r="160" spans="2:12" s="290" customFormat="1" outlineLevel="1" x14ac:dyDescent="0.25">
      <c r="B160" s="355">
        <v>50300080</v>
      </c>
      <c r="C160" s="338" t="s">
        <v>63</v>
      </c>
      <c r="D160" s="342" t="s">
        <v>898</v>
      </c>
      <c r="E160" s="357" t="s">
        <v>50</v>
      </c>
      <c r="H160" s="376">
        <f t="shared" si="11"/>
        <v>50300080</v>
      </c>
    </row>
    <row r="161" spans="2:8" s="290" customFormat="1" outlineLevel="1" x14ac:dyDescent="0.25">
      <c r="B161" s="355">
        <v>50300090</v>
      </c>
      <c r="C161" s="338" t="s">
        <v>65</v>
      </c>
      <c r="D161" s="342" t="s">
        <v>898</v>
      </c>
      <c r="E161" s="357" t="s">
        <v>50</v>
      </c>
      <c r="H161" s="376">
        <f t="shared" si="11"/>
        <v>50300090</v>
      </c>
    </row>
    <row r="162" spans="2:8" s="290" customFormat="1" outlineLevel="1" x14ac:dyDescent="0.25">
      <c r="B162" s="355">
        <v>50300100</v>
      </c>
      <c r="C162" s="338" t="s">
        <v>67</v>
      </c>
      <c r="D162" s="342" t="s">
        <v>898</v>
      </c>
      <c r="E162" s="357" t="s">
        <v>50</v>
      </c>
      <c r="H162" s="376">
        <f t="shared" si="11"/>
        <v>50300100</v>
      </c>
    </row>
    <row r="163" spans="2:8" s="290" customFormat="1" outlineLevel="1" x14ac:dyDescent="0.25">
      <c r="B163" s="355">
        <v>50300110</v>
      </c>
      <c r="C163" s="338" t="s">
        <v>2886</v>
      </c>
      <c r="D163" s="342" t="s">
        <v>898</v>
      </c>
      <c r="E163" s="357" t="s">
        <v>50</v>
      </c>
      <c r="H163" s="376">
        <f t="shared" si="11"/>
        <v>50300110</v>
      </c>
    </row>
    <row r="164" spans="2:8" s="290" customFormat="1" outlineLevel="1" x14ac:dyDescent="0.25">
      <c r="B164" s="355">
        <v>50300120</v>
      </c>
      <c r="C164" s="338" t="s">
        <v>2888</v>
      </c>
      <c r="D164" s="342" t="s">
        <v>898</v>
      </c>
      <c r="E164" s="357" t="s">
        <v>50</v>
      </c>
      <c r="H164" s="376">
        <f t="shared" si="11"/>
        <v>50300120</v>
      </c>
    </row>
    <row r="165" spans="2:8" s="290" customFormat="1" outlineLevel="1" x14ac:dyDescent="0.25">
      <c r="B165" s="355">
        <v>50300990</v>
      </c>
      <c r="C165" s="338" t="s">
        <v>71</v>
      </c>
      <c r="D165" s="342" t="s">
        <v>898</v>
      </c>
      <c r="E165" s="357" t="s">
        <v>50</v>
      </c>
      <c r="H165" s="376">
        <f t="shared" si="11"/>
        <v>50300990</v>
      </c>
    </row>
    <row r="166" spans="2:8" s="290" customFormat="1" ht="30" outlineLevel="1" x14ac:dyDescent="0.25">
      <c r="B166" s="355">
        <v>50400010</v>
      </c>
      <c r="C166" s="338" t="s">
        <v>2891</v>
      </c>
      <c r="D166" s="342" t="s">
        <v>903</v>
      </c>
      <c r="E166" s="357" t="s">
        <v>50</v>
      </c>
      <c r="H166" s="376">
        <f t="shared" si="11"/>
        <v>50400010</v>
      </c>
    </row>
    <row r="167" spans="2:8" s="290" customFormat="1" outlineLevel="1" x14ac:dyDescent="0.25">
      <c r="B167" s="355">
        <v>50500010</v>
      </c>
      <c r="C167" s="338" t="s">
        <v>2893</v>
      </c>
      <c r="D167" s="342" t="s">
        <v>908</v>
      </c>
      <c r="E167" s="356" t="s">
        <v>2874</v>
      </c>
      <c r="H167" s="376">
        <f t="shared" si="11"/>
        <v>50500010</v>
      </c>
    </row>
    <row r="168" spans="2:8" s="290" customFormat="1" outlineLevel="1" x14ac:dyDescent="0.25">
      <c r="B168" s="355">
        <v>50500020</v>
      </c>
      <c r="C168" s="338" t="s">
        <v>1340</v>
      </c>
      <c r="D168" s="342" t="s">
        <v>908</v>
      </c>
      <c r="E168" s="356" t="s">
        <v>2874</v>
      </c>
      <c r="H168" s="376">
        <f t="shared" si="11"/>
        <v>50500020</v>
      </c>
    </row>
    <row r="169" spans="2:8" s="290" customFormat="1" outlineLevel="1" x14ac:dyDescent="0.25">
      <c r="B169" s="355">
        <v>50500030</v>
      </c>
      <c r="C169" s="338" t="s">
        <v>2896</v>
      </c>
      <c r="D169" s="342" t="s">
        <v>908</v>
      </c>
      <c r="E169" s="356" t="s">
        <v>2874</v>
      </c>
      <c r="H169" s="376">
        <f t="shared" si="11"/>
        <v>50500030</v>
      </c>
    </row>
    <row r="170" spans="2:8" s="290" customFormat="1" outlineLevel="1" x14ac:dyDescent="0.25">
      <c r="B170" s="355">
        <v>50500040</v>
      </c>
      <c r="C170" s="338" t="s">
        <v>111</v>
      </c>
      <c r="D170" s="342" t="s">
        <v>908</v>
      </c>
      <c r="E170" s="356" t="s">
        <v>2874</v>
      </c>
      <c r="H170" s="376">
        <f t="shared" si="11"/>
        <v>50500040</v>
      </c>
    </row>
    <row r="171" spans="2:8" s="290" customFormat="1" outlineLevel="1" x14ac:dyDescent="0.25">
      <c r="B171" s="355">
        <v>50600010</v>
      </c>
      <c r="C171" s="338" t="s">
        <v>535</v>
      </c>
      <c r="D171" s="342" t="s">
        <v>913</v>
      </c>
      <c r="E171" s="356" t="s">
        <v>2874</v>
      </c>
      <c r="H171" s="376">
        <f t="shared" si="11"/>
        <v>50600010</v>
      </c>
    </row>
    <row r="172" spans="2:8" s="290" customFormat="1" outlineLevel="1" x14ac:dyDescent="0.25">
      <c r="B172" s="355">
        <v>50600020</v>
      </c>
      <c r="C172" s="338" t="s">
        <v>536</v>
      </c>
      <c r="D172" s="342" t="s">
        <v>913</v>
      </c>
      <c r="E172" s="356" t="s">
        <v>2874</v>
      </c>
      <c r="H172" s="376">
        <f t="shared" si="11"/>
        <v>50600020</v>
      </c>
    </row>
    <row r="173" spans="2:8" s="290" customFormat="1" outlineLevel="1" x14ac:dyDescent="0.25">
      <c r="B173" s="355">
        <v>50600030</v>
      </c>
      <c r="C173" s="338" t="s">
        <v>2900</v>
      </c>
      <c r="D173" s="342" t="s">
        <v>913</v>
      </c>
      <c r="E173" s="356" t="s">
        <v>2874</v>
      </c>
      <c r="H173" s="376">
        <f t="shared" si="11"/>
        <v>50600030</v>
      </c>
    </row>
    <row r="174" spans="2:8" s="290" customFormat="1" ht="30" outlineLevel="1" x14ac:dyDescent="0.25">
      <c r="B174" s="355">
        <v>50600040</v>
      </c>
      <c r="C174" s="338" t="s">
        <v>538</v>
      </c>
      <c r="D174" s="342" t="s">
        <v>913</v>
      </c>
      <c r="E174" s="356" t="s">
        <v>2874</v>
      </c>
      <c r="H174" s="376">
        <f t="shared" si="11"/>
        <v>50600040</v>
      </c>
    </row>
    <row r="175" spans="2:8" s="290" customFormat="1" outlineLevel="1" x14ac:dyDescent="0.25">
      <c r="B175" s="355">
        <v>50800010</v>
      </c>
      <c r="C175" s="338" t="s">
        <v>2903</v>
      </c>
      <c r="D175" s="342" t="s">
        <v>923</v>
      </c>
      <c r="E175" s="356" t="s">
        <v>2874</v>
      </c>
      <c r="H175" s="376">
        <f t="shared" si="11"/>
        <v>50800010</v>
      </c>
    </row>
    <row r="176" spans="2:8" s="290" customFormat="1" ht="30" outlineLevel="1" x14ac:dyDescent="0.25">
      <c r="B176" s="355">
        <v>50800020</v>
      </c>
      <c r="C176" s="338" t="s">
        <v>119</v>
      </c>
      <c r="D176" s="342" t="s">
        <v>923</v>
      </c>
      <c r="E176" s="356" t="s">
        <v>2874</v>
      </c>
      <c r="H176" s="376">
        <f t="shared" si="11"/>
        <v>50800020</v>
      </c>
    </row>
    <row r="177" spans="2:8" s="290" customFormat="1" outlineLevel="1" x14ac:dyDescent="0.25">
      <c r="B177" s="355">
        <v>50800030</v>
      </c>
      <c r="C177" s="338" t="s">
        <v>122</v>
      </c>
      <c r="D177" s="342" t="s">
        <v>923</v>
      </c>
      <c r="E177" s="356" t="s">
        <v>2874</v>
      </c>
      <c r="H177" s="376">
        <f t="shared" si="11"/>
        <v>50800030</v>
      </c>
    </row>
    <row r="178" spans="2:8" s="290" customFormat="1" outlineLevel="1" x14ac:dyDescent="0.25">
      <c r="B178" s="355">
        <v>50800040</v>
      </c>
      <c r="C178" s="338" t="s">
        <v>124</v>
      </c>
      <c r="D178" s="342" t="s">
        <v>923</v>
      </c>
      <c r="E178" s="356" t="s">
        <v>2874</v>
      </c>
      <c r="H178" s="376">
        <f t="shared" si="11"/>
        <v>50800040</v>
      </c>
    </row>
    <row r="179" spans="2:8" s="290" customFormat="1" outlineLevel="1" x14ac:dyDescent="0.25">
      <c r="B179" s="355">
        <v>50800050</v>
      </c>
      <c r="C179" s="338" t="s">
        <v>126</v>
      </c>
      <c r="D179" s="342" t="s">
        <v>923</v>
      </c>
      <c r="E179" s="356" t="s">
        <v>2874</v>
      </c>
      <c r="H179" s="376">
        <f t="shared" si="11"/>
        <v>50800050</v>
      </c>
    </row>
    <row r="180" spans="2:8" s="290" customFormat="1" ht="30" outlineLevel="1" x14ac:dyDescent="0.25">
      <c r="B180" s="355">
        <v>50800060</v>
      </c>
      <c r="C180" s="338" t="s">
        <v>128</v>
      </c>
      <c r="D180" s="342" t="s">
        <v>923</v>
      </c>
      <c r="E180" s="356" t="s">
        <v>2874</v>
      </c>
      <c r="H180" s="376">
        <f t="shared" si="11"/>
        <v>50800060</v>
      </c>
    </row>
    <row r="181" spans="2:8" s="290" customFormat="1" outlineLevel="1" x14ac:dyDescent="0.25">
      <c r="B181" s="355">
        <v>50800070</v>
      </c>
      <c r="C181" s="338" t="s">
        <v>131</v>
      </c>
      <c r="D181" s="342" t="s">
        <v>923</v>
      </c>
      <c r="E181" s="356" t="s">
        <v>2874</v>
      </c>
      <c r="H181" s="376">
        <f t="shared" si="11"/>
        <v>50800070</v>
      </c>
    </row>
    <row r="182" spans="2:8" s="290" customFormat="1" outlineLevel="1" x14ac:dyDescent="0.25">
      <c r="B182" s="355">
        <v>51100000</v>
      </c>
      <c r="C182" s="338" t="s">
        <v>554</v>
      </c>
      <c r="D182" s="342" t="s">
        <v>938</v>
      </c>
      <c r="E182" s="356" t="s">
        <v>2874</v>
      </c>
      <c r="H182" s="376">
        <f t="shared" si="11"/>
        <v>51100000</v>
      </c>
    </row>
    <row r="183" spans="2:8" s="290" customFormat="1" outlineLevel="1" x14ac:dyDescent="0.25">
      <c r="B183" s="355">
        <v>51300010</v>
      </c>
      <c r="C183" s="338" t="s">
        <v>564</v>
      </c>
      <c r="D183" s="342" t="s">
        <v>948</v>
      </c>
      <c r="E183" s="342" t="s">
        <v>255</v>
      </c>
      <c r="H183" s="376">
        <f t="shared" si="11"/>
        <v>51300010</v>
      </c>
    </row>
    <row r="184" spans="2:8" s="290" customFormat="1" outlineLevel="1" x14ac:dyDescent="0.25">
      <c r="B184" s="355">
        <v>51300040</v>
      </c>
      <c r="C184" s="338" t="s">
        <v>567</v>
      </c>
      <c r="D184" s="342" t="s">
        <v>948</v>
      </c>
      <c r="E184" s="342" t="s">
        <v>255</v>
      </c>
      <c r="H184" s="376">
        <f t="shared" si="11"/>
        <v>51300040</v>
      </c>
    </row>
    <row r="185" spans="2:8" s="290" customFormat="1" outlineLevel="1" x14ac:dyDescent="0.25">
      <c r="B185" s="355">
        <v>51300050</v>
      </c>
      <c r="C185" s="338" t="s">
        <v>568</v>
      </c>
      <c r="D185" s="342" t="s">
        <v>948</v>
      </c>
      <c r="E185" s="342" t="s">
        <v>255</v>
      </c>
      <c r="H185" s="376">
        <f t="shared" si="11"/>
        <v>51300050</v>
      </c>
    </row>
    <row r="186" spans="2:8" s="290" customFormat="1" outlineLevel="1" x14ac:dyDescent="0.25">
      <c r="B186" s="355">
        <v>51300060</v>
      </c>
      <c r="C186" s="338" t="s">
        <v>569</v>
      </c>
      <c r="D186" s="342" t="s">
        <v>948</v>
      </c>
      <c r="E186" s="342" t="s">
        <v>255</v>
      </c>
      <c r="H186" s="376">
        <f t="shared" si="11"/>
        <v>51300060</v>
      </c>
    </row>
    <row r="187" spans="2:8" s="290" customFormat="1" outlineLevel="1" x14ac:dyDescent="0.25">
      <c r="B187" s="355">
        <v>51300090</v>
      </c>
      <c r="C187" s="338" t="s">
        <v>572</v>
      </c>
      <c r="D187" s="342" t="s">
        <v>948</v>
      </c>
      <c r="E187" s="342" t="s">
        <v>255</v>
      </c>
      <c r="H187" s="376">
        <f t="shared" si="11"/>
        <v>51300090</v>
      </c>
    </row>
    <row r="188" spans="2:8" s="290" customFormat="1" outlineLevel="1" x14ac:dyDescent="0.25">
      <c r="B188" s="355">
        <v>51500010</v>
      </c>
      <c r="C188" s="338" t="s">
        <v>2917</v>
      </c>
      <c r="D188" s="342" t="s">
        <v>958</v>
      </c>
      <c r="E188" s="356" t="s">
        <v>2874</v>
      </c>
      <c r="H188" s="376">
        <f t="shared" si="11"/>
        <v>51500010</v>
      </c>
    </row>
    <row r="189" spans="2:8" s="290" customFormat="1" outlineLevel="1" x14ac:dyDescent="0.25">
      <c r="B189" s="355">
        <v>51600010</v>
      </c>
      <c r="C189" s="338" t="s">
        <v>147</v>
      </c>
      <c r="D189" s="342" t="s">
        <v>963</v>
      </c>
      <c r="E189" s="356" t="s">
        <v>2874</v>
      </c>
      <c r="H189" s="376">
        <f t="shared" si="11"/>
        <v>51600010</v>
      </c>
    </row>
    <row r="190" spans="2:8" s="290" customFormat="1" ht="30" outlineLevel="1" x14ac:dyDescent="0.25">
      <c r="B190" s="355">
        <v>51600020</v>
      </c>
      <c r="C190" s="338" t="s">
        <v>148</v>
      </c>
      <c r="D190" s="342" t="s">
        <v>963</v>
      </c>
      <c r="E190" s="356" t="s">
        <v>2874</v>
      </c>
      <c r="H190" s="376">
        <f t="shared" si="11"/>
        <v>51600020</v>
      </c>
    </row>
    <row r="191" spans="2:8" s="290" customFormat="1" outlineLevel="1" x14ac:dyDescent="0.25">
      <c r="B191" s="355">
        <v>51600030</v>
      </c>
      <c r="C191" s="338" t="s">
        <v>150</v>
      </c>
      <c r="D191" s="342" t="s">
        <v>963</v>
      </c>
      <c r="E191" s="356" t="s">
        <v>2874</v>
      </c>
      <c r="H191" s="376">
        <f t="shared" si="11"/>
        <v>51600030</v>
      </c>
    </row>
    <row r="192" spans="2:8" s="290" customFormat="1" ht="30" outlineLevel="1" x14ac:dyDescent="0.25">
      <c r="B192" s="355">
        <v>51600040</v>
      </c>
      <c r="C192" s="338" t="s">
        <v>151</v>
      </c>
      <c r="D192" s="342" t="s">
        <v>963</v>
      </c>
      <c r="E192" s="356" t="s">
        <v>2874</v>
      </c>
      <c r="H192" s="376">
        <f t="shared" si="11"/>
        <v>51600040</v>
      </c>
    </row>
    <row r="193" spans="2:8" s="290" customFormat="1" ht="30" outlineLevel="1" x14ac:dyDescent="0.25">
      <c r="B193" s="355">
        <v>51600050</v>
      </c>
      <c r="C193" s="338" t="s">
        <v>575</v>
      </c>
      <c r="D193" s="342" t="s">
        <v>963</v>
      </c>
      <c r="E193" s="356" t="s">
        <v>2874</v>
      </c>
      <c r="H193" s="376">
        <f t="shared" si="11"/>
        <v>51600050</v>
      </c>
    </row>
    <row r="194" spans="2:8" s="290" customFormat="1" outlineLevel="1" x14ac:dyDescent="0.25">
      <c r="B194" s="355">
        <v>51600070</v>
      </c>
      <c r="C194" s="338" t="s">
        <v>152</v>
      </c>
      <c r="D194" s="342" t="s">
        <v>963</v>
      </c>
      <c r="E194" s="356" t="s">
        <v>2874</v>
      </c>
      <c r="H194" s="376">
        <f t="shared" si="11"/>
        <v>51600070</v>
      </c>
    </row>
    <row r="195" spans="2:8" s="290" customFormat="1" outlineLevel="1" x14ac:dyDescent="0.25">
      <c r="B195" s="355">
        <v>51700010</v>
      </c>
      <c r="C195" s="338" t="s">
        <v>153</v>
      </c>
      <c r="D195" s="342" t="s">
        <v>968</v>
      </c>
      <c r="E195" s="356" t="s">
        <v>2874</v>
      </c>
      <c r="H195" s="376">
        <f t="shared" si="11"/>
        <v>51700010</v>
      </c>
    </row>
    <row r="196" spans="2:8" s="290" customFormat="1" outlineLevel="1" x14ac:dyDescent="0.25">
      <c r="B196" s="355">
        <v>51700030</v>
      </c>
      <c r="C196" s="338" t="s">
        <v>155</v>
      </c>
      <c r="D196" s="342" t="s">
        <v>968</v>
      </c>
      <c r="E196" s="356" t="s">
        <v>2874</v>
      </c>
      <c r="H196" s="376">
        <f t="shared" si="11"/>
        <v>51700030</v>
      </c>
    </row>
    <row r="197" spans="2:8" s="290" customFormat="1" outlineLevel="1" x14ac:dyDescent="0.25">
      <c r="B197" s="355">
        <v>51700040</v>
      </c>
      <c r="C197" s="338" t="s">
        <v>157</v>
      </c>
      <c r="D197" s="342" t="s">
        <v>968</v>
      </c>
      <c r="E197" s="356" t="s">
        <v>2874</v>
      </c>
      <c r="H197" s="376">
        <f t="shared" si="11"/>
        <v>51700040</v>
      </c>
    </row>
    <row r="198" spans="2:8" s="290" customFormat="1" outlineLevel="1" x14ac:dyDescent="0.25">
      <c r="B198" s="355">
        <v>51700050</v>
      </c>
      <c r="C198" s="338" t="s">
        <v>159</v>
      </c>
      <c r="D198" s="342" t="s">
        <v>968</v>
      </c>
      <c r="E198" s="356" t="s">
        <v>2874</v>
      </c>
      <c r="H198" s="376">
        <f t="shared" si="11"/>
        <v>51700050</v>
      </c>
    </row>
    <row r="199" spans="2:8" s="290" customFormat="1" outlineLevel="1" x14ac:dyDescent="0.25">
      <c r="B199" s="355">
        <v>51700060</v>
      </c>
      <c r="C199" s="338" t="s">
        <v>161</v>
      </c>
      <c r="D199" s="342" t="s">
        <v>968</v>
      </c>
      <c r="E199" s="356" t="s">
        <v>2874</v>
      </c>
      <c r="H199" s="376">
        <f t="shared" si="11"/>
        <v>51700060</v>
      </c>
    </row>
    <row r="200" spans="2:8" s="290" customFormat="1" outlineLevel="1" x14ac:dyDescent="0.25">
      <c r="B200" s="355">
        <v>51700070</v>
      </c>
      <c r="C200" s="338" t="s">
        <v>163</v>
      </c>
      <c r="D200" s="342" t="s">
        <v>968</v>
      </c>
      <c r="E200" s="356" t="s">
        <v>2874</v>
      </c>
      <c r="H200" s="376">
        <f t="shared" si="11"/>
        <v>51700070</v>
      </c>
    </row>
    <row r="201" spans="2:8" s="290" customFormat="1" ht="30" outlineLevel="1" x14ac:dyDescent="0.25">
      <c r="B201" s="355">
        <v>51800010</v>
      </c>
      <c r="C201" s="338" t="s">
        <v>165</v>
      </c>
      <c r="D201" s="342" t="s">
        <v>973</v>
      </c>
      <c r="E201" s="356" t="s">
        <v>2874</v>
      </c>
      <c r="H201" s="376">
        <f t="shared" si="11"/>
        <v>51800010</v>
      </c>
    </row>
    <row r="202" spans="2:8" s="290" customFormat="1" outlineLevel="1" x14ac:dyDescent="0.25">
      <c r="B202" s="355">
        <v>51800020</v>
      </c>
      <c r="C202" s="338" t="s">
        <v>168</v>
      </c>
      <c r="D202" s="342" t="s">
        <v>973</v>
      </c>
      <c r="E202" s="356" t="s">
        <v>2874</v>
      </c>
      <c r="H202" s="376">
        <f t="shared" si="11"/>
        <v>51800020</v>
      </c>
    </row>
    <row r="203" spans="2:8" s="290" customFormat="1" outlineLevel="1" x14ac:dyDescent="0.25">
      <c r="B203" s="355">
        <v>51800030</v>
      </c>
      <c r="C203" s="338" t="s">
        <v>170</v>
      </c>
      <c r="D203" s="342" t="s">
        <v>973</v>
      </c>
      <c r="E203" s="356" t="s">
        <v>2874</v>
      </c>
      <c r="H203" s="376">
        <f t="shared" si="11"/>
        <v>51800030</v>
      </c>
    </row>
    <row r="204" spans="2:8" s="290" customFormat="1" outlineLevel="1" x14ac:dyDescent="0.25">
      <c r="B204" s="355">
        <v>51800090</v>
      </c>
      <c r="C204" s="338" t="s">
        <v>172</v>
      </c>
      <c r="D204" s="342" t="s">
        <v>973</v>
      </c>
      <c r="E204" s="356" t="s">
        <v>2874</v>
      </c>
      <c r="H204" s="376">
        <f t="shared" si="11"/>
        <v>51800090</v>
      </c>
    </row>
    <row r="205" spans="2:8" s="290" customFormat="1" outlineLevel="1" x14ac:dyDescent="0.25">
      <c r="B205" s="355">
        <v>51900010</v>
      </c>
      <c r="C205" s="338" t="s">
        <v>174</v>
      </c>
      <c r="D205" s="342" t="s">
        <v>406</v>
      </c>
      <c r="E205" s="356" t="s">
        <v>2874</v>
      </c>
      <c r="H205" s="376">
        <f t="shared" si="11"/>
        <v>51900010</v>
      </c>
    </row>
    <row r="206" spans="2:8" s="290" customFormat="1" outlineLevel="1" x14ac:dyDescent="0.25">
      <c r="B206" s="355">
        <v>51900020</v>
      </c>
      <c r="C206" s="338" t="s">
        <v>177</v>
      </c>
      <c r="D206" s="342" t="s">
        <v>406</v>
      </c>
      <c r="E206" s="356" t="s">
        <v>2874</v>
      </c>
      <c r="H206" s="376">
        <f t="shared" si="11"/>
        <v>51900020</v>
      </c>
    </row>
    <row r="207" spans="2:8" s="290" customFormat="1" outlineLevel="1" x14ac:dyDescent="0.25">
      <c r="B207" s="355">
        <v>51900030</v>
      </c>
      <c r="C207" s="338" t="s">
        <v>180</v>
      </c>
      <c r="D207" s="342" t="s">
        <v>406</v>
      </c>
      <c r="E207" s="356" t="s">
        <v>2874</v>
      </c>
      <c r="H207" s="376">
        <f t="shared" si="11"/>
        <v>51900030</v>
      </c>
    </row>
    <row r="208" spans="2:8" s="290" customFormat="1" outlineLevel="1" x14ac:dyDescent="0.25">
      <c r="B208" s="355">
        <v>51900040</v>
      </c>
      <c r="C208" s="338" t="s">
        <v>182</v>
      </c>
      <c r="D208" s="342" t="s">
        <v>406</v>
      </c>
      <c r="E208" s="356" t="s">
        <v>2874</v>
      </c>
      <c r="H208" s="376">
        <f t="shared" si="11"/>
        <v>51900040</v>
      </c>
    </row>
    <row r="209" spans="2:8" s="290" customFormat="1" outlineLevel="1" x14ac:dyDescent="0.25">
      <c r="B209" s="355">
        <v>51900090</v>
      </c>
      <c r="C209" s="338" t="s">
        <v>184</v>
      </c>
      <c r="D209" s="342" t="s">
        <v>406</v>
      </c>
      <c r="E209" s="356" t="s">
        <v>2874</v>
      </c>
      <c r="H209" s="376">
        <f t="shared" si="11"/>
        <v>51900090</v>
      </c>
    </row>
    <row r="210" spans="2:8" s="290" customFormat="1" outlineLevel="1" x14ac:dyDescent="0.25">
      <c r="B210" s="355">
        <v>52100010</v>
      </c>
      <c r="C210" s="338" t="s">
        <v>195</v>
      </c>
      <c r="D210" s="342" t="s">
        <v>987</v>
      </c>
      <c r="E210" s="356" t="s">
        <v>2874</v>
      </c>
      <c r="H210" s="376">
        <f t="shared" si="11"/>
        <v>52100010</v>
      </c>
    </row>
    <row r="211" spans="2:8" s="290" customFormat="1" outlineLevel="1" x14ac:dyDescent="0.25">
      <c r="B211" s="355">
        <v>52100020</v>
      </c>
      <c r="C211" s="338" t="s">
        <v>198</v>
      </c>
      <c r="D211" s="342" t="s">
        <v>987</v>
      </c>
      <c r="E211" s="356" t="s">
        <v>2874</v>
      </c>
      <c r="H211" s="376">
        <f t="shared" si="11"/>
        <v>52100020</v>
      </c>
    </row>
    <row r="212" spans="2:8" s="290" customFormat="1" outlineLevel="1" x14ac:dyDescent="0.25">
      <c r="B212" s="355">
        <v>52100030</v>
      </c>
      <c r="C212" s="338" t="s">
        <v>200</v>
      </c>
      <c r="D212" s="342" t="s">
        <v>987</v>
      </c>
      <c r="E212" s="356" t="s">
        <v>2874</v>
      </c>
      <c r="H212" s="376">
        <f t="shared" si="11"/>
        <v>52100030</v>
      </c>
    </row>
    <row r="213" spans="2:8" s="290" customFormat="1" outlineLevel="1" x14ac:dyDescent="0.25">
      <c r="B213" s="355">
        <v>52100040</v>
      </c>
      <c r="C213" s="338" t="s">
        <v>202</v>
      </c>
      <c r="D213" s="342" t="s">
        <v>987</v>
      </c>
      <c r="E213" s="356" t="s">
        <v>2874</v>
      </c>
      <c r="H213" s="376">
        <f t="shared" si="11"/>
        <v>52100040</v>
      </c>
    </row>
    <row r="214" spans="2:8" s="290" customFormat="1" outlineLevel="1" x14ac:dyDescent="0.25">
      <c r="B214" s="355">
        <v>52100050</v>
      </c>
      <c r="C214" s="338" t="s">
        <v>204</v>
      </c>
      <c r="D214" s="342" t="s">
        <v>987</v>
      </c>
      <c r="E214" s="356" t="s">
        <v>2874</v>
      </c>
      <c r="H214" s="376">
        <f t="shared" si="11"/>
        <v>52100050</v>
      </c>
    </row>
    <row r="215" spans="2:8" s="290" customFormat="1" outlineLevel="1" x14ac:dyDescent="0.25">
      <c r="B215" s="355">
        <v>52200010</v>
      </c>
      <c r="C215" s="338" t="s">
        <v>206</v>
      </c>
      <c r="D215" s="342" t="s">
        <v>992</v>
      </c>
      <c r="E215" s="356" t="s">
        <v>2874</v>
      </c>
      <c r="H215" s="376">
        <f t="shared" si="11"/>
        <v>52200010</v>
      </c>
    </row>
    <row r="216" spans="2:8" s="290" customFormat="1" outlineLevel="1" x14ac:dyDescent="0.25">
      <c r="B216" s="355">
        <v>52200020</v>
      </c>
      <c r="C216" s="338" t="s">
        <v>208</v>
      </c>
      <c r="D216" s="342" t="s">
        <v>992</v>
      </c>
      <c r="E216" s="356" t="s">
        <v>2874</v>
      </c>
      <c r="H216" s="376">
        <f t="shared" ref="H216:H227" si="12">B216</f>
        <v>52200020</v>
      </c>
    </row>
    <row r="217" spans="2:8" s="290" customFormat="1" outlineLevel="1" x14ac:dyDescent="0.25">
      <c r="B217" s="355">
        <v>52300010</v>
      </c>
      <c r="C217" s="338" t="s">
        <v>210</v>
      </c>
      <c r="D217" s="342" t="s">
        <v>997</v>
      </c>
      <c r="E217" s="356" t="s">
        <v>2874</v>
      </c>
      <c r="H217" s="376">
        <f t="shared" si="12"/>
        <v>52300010</v>
      </c>
    </row>
    <row r="218" spans="2:8" s="290" customFormat="1" outlineLevel="1" x14ac:dyDescent="0.25">
      <c r="B218" s="355">
        <v>52300020</v>
      </c>
      <c r="C218" s="338" t="s">
        <v>212</v>
      </c>
      <c r="D218" s="342" t="s">
        <v>997</v>
      </c>
      <c r="E218" s="356" t="s">
        <v>2874</v>
      </c>
      <c r="H218" s="376">
        <f t="shared" si="12"/>
        <v>52300020</v>
      </c>
    </row>
    <row r="219" spans="2:8" s="290" customFormat="1" outlineLevel="1" x14ac:dyDescent="0.25">
      <c r="B219" s="355">
        <v>52400030</v>
      </c>
      <c r="C219" s="338" t="s">
        <v>214</v>
      </c>
      <c r="D219" s="342" t="s">
        <v>1002</v>
      </c>
      <c r="E219" s="356" t="s">
        <v>2874</v>
      </c>
      <c r="H219" s="376">
        <f t="shared" si="12"/>
        <v>52400030</v>
      </c>
    </row>
    <row r="220" spans="2:8" s="290" customFormat="1" outlineLevel="1" x14ac:dyDescent="0.25">
      <c r="B220" s="355">
        <v>52400040</v>
      </c>
      <c r="C220" s="338" t="s">
        <v>216</v>
      </c>
      <c r="D220" s="342" t="s">
        <v>1002</v>
      </c>
      <c r="E220" s="356" t="s">
        <v>2874</v>
      </c>
      <c r="H220" s="376">
        <f t="shared" si="12"/>
        <v>52400040</v>
      </c>
    </row>
    <row r="221" spans="2:8" s="290" customFormat="1" outlineLevel="1" x14ac:dyDescent="0.25">
      <c r="B221" s="355">
        <v>52400060</v>
      </c>
      <c r="C221" s="338" t="s">
        <v>578</v>
      </c>
      <c r="D221" s="342" t="s">
        <v>1002</v>
      </c>
      <c r="E221" s="356" t="s">
        <v>2874</v>
      </c>
      <c r="H221" s="376">
        <f t="shared" si="12"/>
        <v>52400060</v>
      </c>
    </row>
    <row r="222" spans="2:8" s="290" customFormat="1" outlineLevel="1" x14ac:dyDescent="0.25">
      <c r="B222" s="355">
        <v>52500010</v>
      </c>
      <c r="C222" s="338" t="s">
        <v>218</v>
      </c>
      <c r="D222" s="342" t="s">
        <v>218</v>
      </c>
      <c r="E222" s="356" t="s">
        <v>2874</v>
      </c>
      <c r="H222" s="376">
        <f t="shared" si="12"/>
        <v>52500010</v>
      </c>
    </row>
    <row r="223" spans="2:8" s="290" customFormat="1" outlineLevel="1" x14ac:dyDescent="0.25">
      <c r="B223" s="355">
        <v>52600020</v>
      </c>
      <c r="C223" s="338" t="s">
        <v>223</v>
      </c>
      <c r="D223" s="342" t="s">
        <v>1011</v>
      </c>
      <c r="E223" s="356" t="s">
        <v>2874</v>
      </c>
      <c r="H223" s="376">
        <f t="shared" si="12"/>
        <v>52600020</v>
      </c>
    </row>
    <row r="224" spans="2:8" s="290" customFormat="1" outlineLevel="1" x14ac:dyDescent="0.25">
      <c r="B224" s="355">
        <v>52600030</v>
      </c>
      <c r="C224" s="338" t="s">
        <v>226</v>
      </c>
      <c r="D224" s="342" t="s">
        <v>1011</v>
      </c>
      <c r="E224" s="356" t="s">
        <v>2874</v>
      </c>
      <c r="H224" s="376">
        <f t="shared" si="12"/>
        <v>52600030</v>
      </c>
    </row>
    <row r="225" spans="2:9" s="290" customFormat="1" outlineLevel="1" x14ac:dyDescent="0.25">
      <c r="B225" s="355">
        <v>52900010</v>
      </c>
      <c r="C225" s="338" t="s">
        <v>228</v>
      </c>
      <c r="D225" s="342" t="s">
        <v>1025</v>
      </c>
      <c r="E225" s="356" t="s">
        <v>2874</v>
      </c>
      <c r="H225" s="376">
        <f t="shared" si="12"/>
        <v>52900010</v>
      </c>
    </row>
    <row r="226" spans="2:9" s="290" customFormat="1" outlineLevel="1" x14ac:dyDescent="0.25">
      <c r="B226" s="355">
        <v>52900020</v>
      </c>
      <c r="C226" s="338" t="s">
        <v>230</v>
      </c>
      <c r="D226" s="342" t="s">
        <v>1025</v>
      </c>
      <c r="E226" s="356" t="s">
        <v>2874</v>
      </c>
      <c r="H226" s="376">
        <f t="shared" si="12"/>
        <v>52900020</v>
      </c>
    </row>
    <row r="227" spans="2:9" s="290" customFormat="1" outlineLevel="1" x14ac:dyDescent="0.25">
      <c r="B227" s="355">
        <v>53100010</v>
      </c>
      <c r="C227" s="338" t="s">
        <v>584</v>
      </c>
      <c r="D227" s="342" t="s">
        <v>584</v>
      </c>
      <c r="E227" s="356" t="s">
        <v>2874</v>
      </c>
      <c r="H227" s="376">
        <f t="shared" si="12"/>
        <v>53100010</v>
      </c>
    </row>
    <row r="228" spans="2:9" s="290" customFormat="1" outlineLevel="1" x14ac:dyDescent="0.25">
      <c r="B228" s="358"/>
      <c r="C228" s="347"/>
      <c r="D228" s="348"/>
      <c r="E228" s="348"/>
      <c r="H228" s="376"/>
      <c r="I228" s="376"/>
    </row>
    <row r="229" spans="2:9" s="290" customFormat="1" outlineLevel="1" x14ac:dyDescent="0.25">
      <c r="H229" s="376"/>
      <c r="I229" s="376"/>
    </row>
    <row r="230" spans="2:9" s="290" customFormat="1" outlineLevel="1" x14ac:dyDescent="0.25">
      <c r="H230" s="376"/>
      <c r="I230" s="376"/>
    </row>
    <row r="231" spans="2:9" s="290" customFormat="1" x14ac:dyDescent="0.25">
      <c r="B231" s="324" t="s">
        <v>2953</v>
      </c>
      <c r="H231" s="376"/>
      <c r="I231" s="376"/>
    </row>
    <row r="232" spans="2:9" s="290" customFormat="1" outlineLevel="1" x14ac:dyDescent="0.25">
      <c r="B232" s="304" t="s">
        <v>2867</v>
      </c>
      <c r="C232" s="304" t="s">
        <v>2868</v>
      </c>
      <c r="D232" s="326" t="s">
        <v>2870</v>
      </c>
      <c r="E232" s="326" t="s">
        <v>2871</v>
      </c>
      <c r="H232" s="304" t="s">
        <v>2867</v>
      </c>
      <c r="I232" s="304" t="s">
        <v>1278</v>
      </c>
    </row>
    <row r="233" spans="2:9" s="290" customFormat="1" outlineLevel="1" x14ac:dyDescent="0.25">
      <c r="B233" s="355">
        <v>60100010</v>
      </c>
      <c r="C233" s="338" t="s">
        <v>73</v>
      </c>
      <c r="D233" s="356" t="s">
        <v>1087</v>
      </c>
      <c r="E233" s="356" t="s">
        <v>50</v>
      </c>
      <c r="H233" s="376">
        <f t="shared" ref="H233:H296" si="13">B233</f>
        <v>60100010</v>
      </c>
      <c r="I233" s="290" t="s">
        <v>1282</v>
      </c>
    </row>
    <row r="234" spans="2:9" s="290" customFormat="1" outlineLevel="1" x14ac:dyDescent="0.25">
      <c r="B234" s="355">
        <v>60100020</v>
      </c>
      <c r="C234" s="338" t="s">
        <v>75</v>
      </c>
      <c r="D234" s="357" t="s">
        <v>1087</v>
      </c>
      <c r="E234" s="357" t="s">
        <v>50</v>
      </c>
      <c r="H234" s="376">
        <f t="shared" si="13"/>
        <v>60100020</v>
      </c>
      <c r="I234" s="290" t="s">
        <v>1282</v>
      </c>
    </row>
    <row r="235" spans="2:9" s="290" customFormat="1" outlineLevel="1" x14ac:dyDescent="0.25">
      <c r="B235" s="355">
        <v>60100030</v>
      </c>
      <c r="C235" s="338" t="s">
        <v>77</v>
      </c>
      <c r="D235" s="338" t="s">
        <v>1087</v>
      </c>
      <c r="E235" s="357" t="s">
        <v>50</v>
      </c>
      <c r="H235" s="376">
        <f t="shared" si="13"/>
        <v>60100030</v>
      </c>
      <c r="I235" s="290" t="s">
        <v>1282</v>
      </c>
    </row>
    <row r="236" spans="2:9" s="290" customFormat="1" outlineLevel="1" x14ac:dyDescent="0.25">
      <c r="B236" s="355">
        <v>60100040</v>
      </c>
      <c r="C236" s="338" t="s">
        <v>79</v>
      </c>
      <c r="D236" s="338" t="s">
        <v>1087</v>
      </c>
      <c r="E236" s="357" t="s">
        <v>50</v>
      </c>
      <c r="H236" s="376">
        <f t="shared" si="13"/>
        <v>60100040</v>
      </c>
      <c r="I236" s="290" t="s">
        <v>1282</v>
      </c>
    </row>
    <row r="237" spans="2:9" s="290" customFormat="1" outlineLevel="1" x14ac:dyDescent="0.25">
      <c r="B237" s="355">
        <v>60100050</v>
      </c>
      <c r="C237" s="338" t="s">
        <v>81</v>
      </c>
      <c r="D237" s="338" t="s">
        <v>1087</v>
      </c>
      <c r="E237" s="357" t="s">
        <v>50</v>
      </c>
      <c r="H237" s="376">
        <f t="shared" si="13"/>
        <v>60100050</v>
      </c>
      <c r="I237" s="290" t="s">
        <v>1282</v>
      </c>
    </row>
    <row r="238" spans="2:9" s="290" customFormat="1" outlineLevel="1" x14ac:dyDescent="0.25">
      <c r="B238" s="355">
        <v>60100060</v>
      </c>
      <c r="C238" s="338" t="s">
        <v>83</v>
      </c>
      <c r="D238" s="338" t="s">
        <v>1087</v>
      </c>
      <c r="E238" s="357" t="s">
        <v>50</v>
      </c>
      <c r="H238" s="376">
        <f t="shared" si="13"/>
        <v>60100060</v>
      </c>
      <c r="I238" s="290" t="s">
        <v>1282</v>
      </c>
    </row>
    <row r="239" spans="2:9" s="290" customFormat="1" outlineLevel="1" x14ac:dyDescent="0.25">
      <c r="B239" s="355">
        <v>60100070</v>
      </c>
      <c r="C239" s="338" t="s">
        <v>85</v>
      </c>
      <c r="D239" s="338" t="s">
        <v>1087</v>
      </c>
      <c r="E239" s="357" t="s">
        <v>50</v>
      </c>
      <c r="H239" s="376">
        <f t="shared" si="13"/>
        <v>60100070</v>
      </c>
      <c r="I239" s="290" t="s">
        <v>1282</v>
      </c>
    </row>
    <row r="240" spans="2:9" s="290" customFormat="1" outlineLevel="1" x14ac:dyDescent="0.25">
      <c r="B240" s="355">
        <v>60100080</v>
      </c>
      <c r="C240" s="338" t="s">
        <v>87</v>
      </c>
      <c r="D240" s="342" t="s">
        <v>1087</v>
      </c>
      <c r="E240" s="357" t="s">
        <v>50</v>
      </c>
      <c r="H240" s="376">
        <f t="shared" si="13"/>
        <v>60100080</v>
      </c>
      <c r="I240" s="290" t="s">
        <v>1282</v>
      </c>
    </row>
    <row r="241" spans="2:9" s="290" customFormat="1" outlineLevel="1" x14ac:dyDescent="0.25">
      <c r="B241" s="355">
        <v>60100090</v>
      </c>
      <c r="C241" s="338" t="s">
        <v>89</v>
      </c>
      <c r="D241" s="342" t="s">
        <v>1087</v>
      </c>
      <c r="E241" s="357" t="s">
        <v>50</v>
      </c>
      <c r="H241" s="376">
        <f t="shared" si="13"/>
        <v>60100090</v>
      </c>
      <c r="I241" s="290" t="s">
        <v>1282</v>
      </c>
    </row>
    <row r="242" spans="2:9" s="290" customFormat="1" outlineLevel="1" x14ac:dyDescent="0.25">
      <c r="B242" s="355">
        <v>60100100</v>
      </c>
      <c r="C242" s="338" t="s">
        <v>91</v>
      </c>
      <c r="D242" s="342" t="s">
        <v>1087</v>
      </c>
      <c r="E242" s="357" t="s">
        <v>50</v>
      </c>
      <c r="H242" s="376">
        <f t="shared" si="13"/>
        <v>60100100</v>
      </c>
      <c r="I242" s="290" t="s">
        <v>1282</v>
      </c>
    </row>
    <row r="243" spans="2:9" s="290" customFormat="1" outlineLevel="1" x14ac:dyDescent="0.25">
      <c r="B243" s="355">
        <v>60100110</v>
      </c>
      <c r="C243" s="338" t="s">
        <v>93</v>
      </c>
      <c r="D243" s="342" t="s">
        <v>1087</v>
      </c>
      <c r="E243" s="357" t="s">
        <v>50</v>
      </c>
      <c r="H243" s="376">
        <f t="shared" si="13"/>
        <v>60100110</v>
      </c>
      <c r="I243" s="290" t="s">
        <v>1282</v>
      </c>
    </row>
    <row r="244" spans="2:9" s="290" customFormat="1" outlineLevel="1" x14ac:dyDescent="0.25">
      <c r="B244" s="355">
        <v>60100120</v>
      </c>
      <c r="C244" s="338" t="s">
        <v>2965</v>
      </c>
      <c r="D244" s="342" t="s">
        <v>1087</v>
      </c>
      <c r="E244" s="357" t="s">
        <v>50</v>
      </c>
      <c r="H244" s="376">
        <f t="shared" si="13"/>
        <v>60100120</v>
      </c>
      <c r="I244" s="290" t="s">
        <v>1282</v>
      </c>
    </row>
    <row r="245" spans="2:9" s="290" customFormat="1" outlineLevel="1" x14ac:dyDescent="0.25">
      <c r="B245" s="355">
        <v>60100990</v>
      </c>
      <c r="C245" s="338" t="s">
        <v>95</v>
      </c>
      <c r="D245" s="342" t="s">
        <v>1087</v>
      </c>
      <c r="E245" s="357" t="s">
        <v>50</v>
      </c>
      <c r="H245" s="376">
        <f t="shared" si="13"/>
        <v>60100990</v>
      </c>
      <c r="I245" s="290" t="s">
        <v>1282</v>
      </c>
    </row>
    <row r="246" spans="2:9" s="290" customFormat="1" outlineLevel="1" x14ac:dyDescent="0.25">
      <c r="B246" s="355">
        <v>60200010</v>
      </c>
      <c r="C246" s="338" t="s">
        <v>97</v>
      </c>
      <c r="D246" s="342" t="s">
        <v>903</v>
      </c>
      <c r="E246" s="357" t="s">
        <v>50</v>
      </c>
      <c r="H246" s="376">
        <f t="shared" si="13"/>
        <v>60200010</v>
      </c>
      <c r="I246" s="290" t="s">
        <v>1285</v>
      </c>
    </row>
    <row r="247" spans="2:9" s="290" customFormat="1" outlineLevel="1" x14ac:dyDescent="0.25">
      <c r="B247" s="355">
        <v>60300010</v>
      </c>
      <c r="C247" s="338" t="s">
        <v>100</v>
      </c>
      <c r="D247" s="342" t="s">
        <v>1096</v>
      </c>
      <c r="E247" s="357" t="s">
        <v>50</v>
      </c>
      <c r="H247" s="376">
        <f t="shared" si="13"/>
        <v>60300010</v>
      </c>
      <c r="I247" s="290" t="s">
        <v>908</v>
      </c>
    </row>
    <row r="248" spans="2:9" s="290" customFormat="1" outlineLevel="1" x14ac:dyDescent="0.25">
      <c r="B248" s="355">
        <v>60600010</v>
      </c>
      <c r="C248" s="338" t="s">
        <v>535</v>
      </c>
      <c r="D248" s="342" t="s">
        <v>913</v>
      </c>
      <c r="E248" s="356" t="s">
        <v>106</v>
      </c>
      <c r="H248" s="376">
        <f t="shared" si="13"/>
        <v>60600010</v>
      </c>
      <c r="I248" s="290" t="s">
        <v>913</v>
      </c>
    </row>
    <row r="249" spans="2:9" s="290" customFormat="1" outlineLevel="1" x14ac:dyDescent="0.25">
      <c r="B249" s="355">
        <v>60600020</v>
      </c>
      <c r="C249" s="338" t="s">
        <v>536</v>
      </c>
      <c r="D249" s="342" t="s">
        <v>913</v>
      </c>
      <c r="E249" s="356" t="s">
        <v>106</v>
      </c>
      <c r="H249" s="376">
        <f t="shared" si="13"/>
        <v>60600020</v>
      </c>
      <c r="I249" s="290" t="s">
        <v>913</v>
      </c>
    </row>
    <row r="250" spans="2:9" s="290" customFormat="1" ht="30" outlineLevel="1" x14ac:dyDescent="0.25">
      <c r="B250" s="355">
        <v>60600030</v>
      </c>
      <c r="C250" s="338" t="s">
        <v>537</v>
      </c>
      <c r="D250" s="342" t="s">
        <v>913</v>
      </c>
      <c r="E250" s="356" t="s">
        <v>106</v>
      </c>
      <c r="H250" s="376">
        <f t="shared" si="13"/>
        <v>60600030</v>
      </c>
      <c r="I250" s="290" t="s">
        <v>913</v>
      </c>
    </row>
    <row r="251" spans="2:9" s="290" customFormat="1" outlineLevel="1" x14ac:dyDescent="0.25">
      <c r="B251" s="355">
        <v>60600050</v>
      </c>
      <c r="C251" s="338" t="s">
        <v>113</v>
      </c>
      <c r="D251" s="342" t="s">
        <v>913</v>
      </c>
      <c r="E251" s="356" t="s">
        <v>2874</v>
      </c>
      <c r="H251" s="376">
        <f t="shared" si="13"/>
        <v>60600050</v>
      </c>
      <c r="I251" s="290" t="s">
        <v>913</v>
      </c>
    </row>
    <row r="252" spans="2:9" s="290" customFormat="1" outlineLevel="1" x14ac:dyDescent="0.25">
      <c r="B252" s="355">
        <v>60700010</v>
      </c>
      <c r="C252" s="338" t="s">
        <v>115</v>
      </c>
      <c r="D252" s="342" t="s">
        <v>115</v>
      </c>
      <c r="E252" s="356" t="s">
        <v>106</v>
      </c>
      <c r="H252" s="376">
        <f t="shared" si="13"/>
        <v>60700010</v>
      </c>
      <c r="I252" s="290" t="s">
        <v>115</v>
      </c>
    </row>
    <row r="253" spans="2:9" s="290" customFormat="1" outlineLevel="1" x14ac:dyDescent="0.25">
      <c r="B253" s="355">
        <v>60800010</v>
      </c>
      <c r="C253" s="338" t="s">
        <v>117</v>
      </c>
      <c r="D253" s="342" t="s">
        <v>1109</v>
      </c>
      <c r="E253" s="356" t="s">
        <v>2874</v>
      </c>
      <c r="H253" s="376">
        <f t="shared" si="13"/>
        <v>60800010</v>
      </c>
      <c r="I253" s="290" t="s">
        <v>1286</v>
      </c>
    </row>
    <row r="254" spans="2:9" s="290" customFormat="1" ht="30" outlineLevel="1" x14ac:dyDescent="0.25">
      <c r="B254" s="355">
        <v>60800020</v>
      </c>
      <c r="C254" s="338" t="s">
        <v>119</v>
      </c>
      <c r="D254" s="342" t="s">
        <v>1109</v>
      </c>
      <c r="E254" s="356" t="s">
        <v>2874</v>
      </c>
      <c r="H254" s="376">
        <f t="shared" si="13"/>
        <v>60800020</v>
      </c>
      <c r="I254" s="290" t="s">
        <v>1286</v>
      </c>
    </row>
    <row r="255" spans="2:9" s="290" customFormat="1" outlineLevel="1" x14ac:dyDescent="0.25">
      <c r="B255" s="355">
        <v>60800030</v>
      </c>
      <c r="C255" s="338" t="s">
        <v>122</v>
      </c>
      <c r="D255" s="342" t="s">
        <v>1109</v>
      </c>
      <c r="E255" s="356" t="s">
        <v>2874</v>
      </c>
      <c r="H255" s="376">
        <f t="shared" si="13"/>
        <v>60800030</v>
      </c>
      <c r="I255" s="290" t="s">
        <v>1286</v>
      </c>
    </row>
    <row r="256" spans="2:9" s="290" customFormat="1" outlineLevel="1" x14ac:dyDescent="0.25">
      <c r="B256" s="355">
        <v>60800040</v>
      </c>
      <c r="C256" s="338" t="s">
        <v>124</v>
      </c>
      <c r="D256" s="342" t="s">
        <v>1109</v>
      </c>
      <c r="E256" s="356" t="s">
        <v>2874</v>
      </c>
      <c r="H256" s="376">
        <f t="shared" si="13"/>
        <v>60800040</v>
      </c>
      <c r="I256" s="290" t="s">
        <v>1286</v>
      </c>
    </row>
    <row r="257" spans="2:9" s="290" customFormat="1" outlineLevel="1" x14ac:dyDescent="0.25">
      <c r="B257" s="355">
        <v>60800050</v>
      </c>
      <c r="C257" s="338" t="s">
        <v>126</v>
      </c>
      <c r="D257" s="342" t="s">
        <v>1109</v>
      </c>
      <c r="E257" s="356" t="s">
        <v>2874</v>
      </c>
      <c r="H257" s="376">
        <f t="shared" si="13"/>
        <v>60800050</v>
      </c>
      <c r="I257" s="290" t="s">
        <v>1286</v>
      </c>
    </row>
    <row r="258" spans="2:9" s="290" customFormat="1" ht="30" outlineLevel="1" x14ac:dyDescent="0.25">
      <c r="B258" s="355">
        <v>60800060</v>
      </c>
      <c r="C258" s="338" t="s">
        <v>128</v>
      </c>
      <c r="D258" s="342" t="s">
        <v>1109</v>
      </c>
      <c r="E258" s="356" t="s">
        <v>2874</v>
      </c>
      <c r="H258" s="376">
        <f t="shared" si="13"/>
        <v>60800060</v>
      </c>
      <c r="I258" s="290" t="s">
        <v>1286</v>
      </c>
    </row>
    <row r="259" spans="2:9" s="290" customFormat="1" outlineLevel="1" x14ac:dyDescent="0.25">
      <c r="B259" s="355">
        <v>60800070</v>
      </c>
      <c r="C259" s="338" t="s">
        <v>131</v>
      </c>
      <c r="D259" s="342" t="s">
        <v>1109</v>
      </c>
      <c r="E259" s="356" t="s">
        <v>2874</v>
      </c>
      <c r="H259" s="376">
        <f t="shared" si="13"/>
        <v>60800070</v>
      </c>
      <c r="I259" s="290" t="s">
        <v>1286</v>
      </c>
    </row>
    <row r="260" spans="2:9" s="290" customFormat="1" outlineLevel="1" x14ac:dyDescent="0.25">
      <c r="B260" s="355">
        <v>60800080</v>
      </c>
      <c r="C260" s="338" t="s">
        <v>133</v>
      </c>
      <c r="D260" s="342" t="s">
        <v>1109</v>
      </c>
      <c r="E260" s="356" t="s">
        <v>2874</v>
      </c>
      <c r="H260" s="376">
        <f t="shared" si="13"/>
        <v>60800080</v>
      </c>
      <c r="I260" s="290" t="s">
        <v>1286</v>
      </c>
    </row>
    <row r="261" spans="2:9" s="290" customFormat="1" outlineLevel="1" x14ac:dyDescent="0.25">
      <c r="B261" s="355">
        <v>61100010</v>
      </c>
      <c r="C261" s="338" t="s">
        <v>554</v>
      </c>
      <c r="D261" s="342" t="s">
        <v>938</v>
      </c>
      <c r="E261" s="356" t="s">
        <v>2724</v>
      </c>
      <c r="H261" s="376">
        <f t="shared" si="13"/>
        <v>61100010</v>
      </c>
      <c r="I261" s="290" t="s">
        <v>938</v>
      </c>
    </row>
    <row r="262" spans="2:9" s="290" customFormat="1" outlineLevel="1" x14ac:dyDescent="0.25">
      <c r="B262" s="355">
        <v>61200010</v>
      </c>
      <c r="C262" s="338" t="s">
        <v>555</v>
      </c>
      <c r="D262" s="342" t="s">
        <v>943</v>
      </c>
      <c r="E262" s="356" t="s">
        <v>2972</v>
      </c>
      <c r="H262" s="376">
        <f t="shared" si="13"/>
        <v>61200010</v>
      </c>
      <c r="I262" s="290" t="s">
        <v>1287</v>
      </c>
    </row>
    <row r="263" spans="2:9" s="290" customFormat="1" outlineLevel="1" x14ac:dyDescent="0.25">
      <c r="B263" s="355">
        <v>61200020</v>
      </c>
      <c r="C263" s="338" t="s">
        <v>556</v>
      </c>
      <c r="D263" s="342" t="s">
        <v>943</v>
      </c>
      <c r="E263" s="356" t="s">
        <v>2972</v>
      </c>
      <c r="H263" s="376">
        <f t="shared" si="13"/>
        <v>61200020</v>
      </c>
      <c r="I263" s="290" t="s">
        <v>1287</v>
      </c>
    </row>
    <row r="264" spans="2:9" s="290" customFormat="1" outlineLevel="1" x14ac:dyDescent="0.25">
      <c r="B264" s="355">
        <v>61200030</v>
      </c>
      <c r="C264" s="338" t="s">
        <v>557</v>
      </c>
      <c r="D264" s="342" t="s">
        <v>943</v>
      </c>
      <c r="E264" s="356" t="s">
        <v>2972</v>
      </c>
      <c r="H264" s="376">
        <f t="shared" si="13"/>
        <v>61200030</v>
      </c>
      <c r="I264" s="290" t="s">
        <v>1287</v>
      </c>
    </row>
    <row r="265" spans="2:9" s="290" customFormat="1" outlineLevel="1" x14ac:dyDescent="0.25">
      <c r="B265" s="355">
        <v>61200040</v>
      </c>
      <c r="C265" s="338" t="s">
        <v>558</v>
      </c>
      <c r="D265" s="342" t="s">
        <v>943</v>
      </c>
      <c r="E265" s="356" t="s">
        <v>2972</v>
      </c>
      <c r="H265" s="376">
        <f t="shared" si="13"/>
        <v>61200040</v>
      </c>
      <c r="I265" s="290" t="s">
        <v>1287</v>
      </c>
    </row>
    <row r="266" spans="2:9" s="290" customFormat="1" outlineLevel="1" x14ac:dyDescent="0.25">
      <c r="B266" s="355">
        <v>61200050</v>
      </c>
      <c r="C266" s="338" t="s">
        <v>559</v>
      </c>
      <c r="D266" s="342" t="s">
        <v>943</v>
      </c>
      <c r="E266" s="356" t="s">
        <v>2972</v>
      </c>
      <c r="H266" s="376">
        <f t="shared" si="13"/>
        <v>61200050</v>
      </c>
      <c r="I266" s="290" t="s">
        <v>1287</v>
      </c>
    </row>
    <row r="267" spans="2:9" s="290" customFormat="1" outlineLevel="1" x14ac:dyDescent="0.25">
      <c r="B267" s="355">
        <v>61200060</v>
      </c>
      <c r="C267" s="338" t="s">
        <v>560</v>
      </c>
      <c r="D267" s="342" t="s">
        <v>943</v>
      </c>
      <c r="E267" s="356" t="s">
        <v>2972</v>
      </c>
      <c r="H267" s="376">
        <f t="shared" si="13"/>
        <v>61200060</v>
      </c>
      <c r="I267" s="290" t="s">
        <v>1287</v>
      </c>
    </row>
    <row r="268" spans="2:9" s="290" customFormat="1" outlineLevel="1" x14ac:dyDescent="0.25">
      <c r="B268" s="355">
        <v>61200070</v>
      </c>
      <c r="C268" s="338" t="s">
        <v>561</v>
      </c>
      <c r="D268" s="342" t="s">
        <v>943</v>
      </c>
      <c r="E268" s="356" t="s">
        <v>2972</v>
      </c>
      <c r="H268" s="376">
        <f t="shared" si="13"/>
        <v>61200070</v>
      </c>
      <c r="I268" s="290" t="s">
        <v>1287</v>
      </c>
    </row>
    <row r="269" spans="2:9" s="290" customFormat="1" outlineLevel="1" x14ac:dyDescent="0.25">
      <c r="B269" s="355">
        <v>61200080</v>
      </c>
      <c r="C269" s="338" t="s">
        <v>562</v>
      </c>
      <c r="D269" s="342" t="s">
        <v>943</v>
      </c>
      <c r="E269" s="356" t="s">
        <v>2972</v>
      </c>
      <c r="H269" s="376">
        <f t="shared" si="13"/>
        <v>61200080</v>
      </c>
      <c r="I269" s="290" t="s">
        <v>1287</v>
      </c>
    </row>
    <row r="270" spans="2:9" s="290" customFormat="1" outlineLevel="1" x14ac:dyDescent="0.25">
      <c r="B270" s="355">
        <v>61200090</v>
      </c>
      <c r="C270" s="338" t="s">
        <v>563</v>
      </c>
      <c r="D270" s="342" t="s">
        <v>943</v>
      </c>
      <c r="E270" s="356" t="s">
        <v>2972</v>
      </c>
      <c r="H270" s="376">
        <f t="shared" si="13"/>
        <v>61200090</v>
      </c>
      <c r="I270" s="290" t="s">
        <v>1287</v>
      </c>
    </row>
    <row r="271" spans="2:9" s="290" customFormat="1" outlineLevel="1" x14ac:dyDescent="0.25">
      <c r="B271" s="355">
        <v>61300010</v>
      </c>
      <c r="C271" s="338" t="s">
        <v>564</v>
      </c>
      <c r="D271" s="342" t="s">
        <v>948</v>
      </c>
      <c r="E271" s="356" t="s">
        <v>2972</v>
      </c>
      <c r="H271" s="376">
        <f t="shared" si="13"/>
        <v>61300010</v>
      </c>
      <c r="I271" s="290" t="s">
        <v>1288</v>
      </c>
    </row>
    <row r="272" spans="2:9" s="290" customFormat="1" outlineLevel="1" x14ac:dyDescent="0.25">
      <c r="B272" s="355">
        <v>61300020</v>
      </c>
      <c r="C272" s="338" t="s">
        <v>565</v>
      </c>
      <c r="D272" s="342" t="s">
        <v>948</v>
      </c>
      <c r="E272" s="356" t="s">
        <v>2972</v>
      </c>
      <c r="H272" s="376">
        <f t="shared" si="13"/>
        <v>61300020</v>
      </c>
      <c r="I272" s="290" t="s">
        <v>1288</v>
      </c>
    </row>
    <row r="273" spans="2:9" s="290" customFormat="1" outlineLevel="1" x14ac:dyDescent="0.25">
      <c r="B273" s="355">
        <v>61300030</v>
      </c>
      <c r="C273" s="338" t="s">
        <v>566</v>
      </c>
      <c r="D273" s="342" t="s">
        <v>948</v>
      </c>
      <c r="E273" s="356" t="s">
        <v>2972</v>
      </c>
      <c r="H273" s="376">
        <f t="shared" si="13"/>
        <v>61300030</v>
      </c>
      <c r="I273" s="290" t="s">
        <v>1288</v>
      </c>
    </row>
    <row r="274" spans="2:9" s="290" customFormat="1" outlineLevel="1" x14ac:dyDescent="0.25">
      <c r="B274" s="355">
        <v>61300040</v>
      </c>
      <c r="C274" s="338" t="s">
        <v>567</v>
      </c>
      <c r="D274" s="342" t="s">
        <v>948</v>
      </c>
      <c r="E274" s="356" t="s">
        <v>2972</v>
      </c>
      <c r="H274" s="376">
        <f t="shared" si="13"/>
        <v>61300040</v>
      </c>
      <c r="I274" s="290" t="s">
        <v>1288</v>
      </c>
    </row>
    <row r="275" spans="2:9" s="290" customFormat="1" outlineLevel="1" x14ac:dyDescent="0.25">
      <c r="B275" s="355">
        <v>61300050</v>
      </c>
      <c r="C275" s="338" t="s">
        <v>568</v>
      </c>
      <c r="D275" s="342" t="s">
        <v>948</v>
      </c>
      <c r="E275" s="356" t="s">
        <v>2972</v>
      </c>
      <c r="H275" s="376">
        <f t="shared" si="13"/>
        <v>61300050</v>
      </c>
      <c r="I275" s="290" t="s">
        <v>1288</v>
      </c>
    </row>
    <row r="276" spans="2:9" s="290" customFormat="1" outlineLevel="1" x14ac:dyDescent="0.25">
      <c r="B276" s="355">
        <v>61300060</v>
      </c>
      <c r="C276" s="338" t="s">
        <v>569</v>
      </c>
      <c r="D276" s="342" t="s">
        <v>948</v>
      </c>
      <c r="E276" s="356" t="s">
        <v>2972</v>
      </c>
      <c r="H276" s="376">
        <f t="shared" si="13"/>
        <v>61300060</v>
      </c>
      <c r="I276" s="290" t="s">
        <v>1288</v>
      </c>
    </row>
    <row r="277" spans="2:9" s="290" customFormat="1" outlineLevel="1" x14ac:dyDescent="0.25">
      <c r="B277" s="355">
        <v>61300070</v>
      </c>
      <c r="C277" s="338" t="s">
        <v>570</v>
      </c>
      <c r="D277" s="342" t="s">
        <v>948</v>
      </c>
      <c r="E277" s="356" t="s">
        <v>2972</v>
      </c>
      <c r="H277" s="376">
        <f t="shared" si="13"/>
        <v>61300070</v>
      </c>
      <c r="I277" s="290" t="s">
        <v>1288</v>
      </c>
    </row>
    <row r="278" spans="2:9" s="290" customFormat="1" outlineLevel="1" x14ac:dyDescent="0.25">
      <c r="B278" s="355">
        <v>61300080</v>
      </c>
      <c r="C278" s="338" t="s">
        <v>571</v>
      </c>
      <c r="D278" s="342" t="s">
        <v>948</v>
      </c>
      <c r="E278" s="356" t="s">
        <v>2972</v>
      </c>
      <c r="H278" s="376">
        <f t="shared" si="13"/>
        <v>61300080</v>
      </c>
      <c r="I278" s="290" t="s">
        <v>1288</v>
      </c>
    </row>
    <row r="279" spans="2:9" s="290" customFormat="1" outlineLevel="1" x14ac:dyDescent="0.25">
      <c r="B279" s="355">
        <v>61300090</v>
      </c>
      <c r="C279" s="338" t="s">
        <v>572</v>
      </c>
      <c r="D279" s="342" t="s">
        <v>948</v>
      </c>
      <c r="E279" s="356" t="s">
        <v>2972</v>
      </c>
      <c r="H279" s="376">
        <f t="shared" si="13"/>
        <v>61300090</v>
      </c>
      <c r="I279" s="290" t="s">
        <v>1288</v>
      </c>
    </row>
    <row r="280" spans="2:9" s="290" customFormat="1" ht="30" outlineLevel="1" x14ac:dyDescent="0.25">
      <c r="B280" s="355">
        <v>61400010</v>
      </c>
      <c r="C280" s="338" t="s">
        <v>135</v>
      </c>
      <c r="D280" s="342" t="s">
        <v>953</v>
      </c>
      <c r="E280" s="356" t="s">
        <v>2991</v>
      </c>
      <c r="H280" s="376">
        <f t="shared" si="13"/>
        <v>61400010</v>
      </c>
      <c r="I280" s="290" t="s">
        <v>1289</v>
      </c>
    </row>
    <row r="281" spans="2:9" s="290" customFormat="1" outlineLevel="1" x14ac:dyDescent="0.25">
      <c r="B281" s="355">
        <v>61400020</v>
      </c>
      <c r="C281" s="338" t="s">
        <v>573</v>
      </c>
      <c r="D281" s="342" t="s">
        <v>953</v>
      </c>
      <c r="E281" s="356" t="s">
        <v>2991</v>
      </c>
      <c r="H281" s="376">
        <f t="shared" si="13"/>
        <v>61400020</v>
      </c>
      <c r="I281" s="290" t="s">
        <v>1289</v>
      </c>
    </row>
    <row r="282" spans="2:9" s="290" customFormat="1" outlineLevel="1" x14ac:dyDescent="0.25">
      <c r="B282" s="355">
        <v>61400030</v>
      </c>
      <c r="C282" s="338" t="s">
        <v>574</v>
      </c>
      <c r="D282" s="342" t="s">
        <v>953</v>
      </c>
      <c r="E282" s="356" t="s">
        <v>2991</v>
      </c>
      <c r="H282" s="376">
        <f t="shared" si="13"/>
        <v>61400030</v>
      </c>
      <c r="I282" s="290" t="s">
        <v>1289</v>
      </c>
    </row>
    <row r="283" spans="2:9" s="290" customFormat="1" outlineLevel="1" x14ac:dyDescent="0.25">
      <c r="B283" s="355">
        <v>61500010</v>
      </c>
      <c r="C283" s="338" t="s">
        <v>141</v>
      </c>
      <c r="D283" s="342" t="s">
        <v>958</v>
      </c>
      <c r="E283" s="356" t="s">
        <v>2874</v>
      </c>
      <c r="H283" s="376">
        <f t="shared" si="13"/>
        <v>61500010</v>
      </c>
      <c r="I283" s="290" t="s">
        <v>1290</v>
      </c>
    </row>
    <row r="284" spans="2:9" s="290" customFormat="1" outlineLevel="1" x14ac:dyDescent="0.25">
      <c r="B284" s="355">
        <v>61500020</v>
      </c>
      <c r="C284" s="338" t="s">
        <v>143</v>
      </c>
      <c r="D284" s="342" t="s">
        <v>958</v>
      </c>
      <c r="E284" s="356" t="s">
        <v>50</v>
      </c>
      <c r="H284" s="376">
        <f t="shared" si="13"/>
        <v>61500020</v>
      </c>
      <c r="I284" s="290" t="s">
        <v>1290</v>
      </c>
    </row>
    <row r="285" spans="2:9" s="290" customFormat="1" ht="30" outlineLevel="1" x14ac:dyDescent="0.25">
      <c r="B285" s="355">
        <v>61600010</v>
      </c>
      <c r="C285" s="338" t="s">
        <v>2994</v>
      </c>
      <c r="D285" s="342" t="s">
        <v>963</v>
      </c>
      <c r="E285" s="356" t="s">
        <v>106</v>
      </c>
      <c r="H285" s="376">
        <f t="shared" si="13"/>
        <v>61600010</v>
      </c>
      <c r="I285" s="290" t="s">
        <v>1291</v>
      </c>
    </row>
    <row r="286" spans="2:9" s="290" customFormat="1" outlineLevel="1" x14ac:dyDescent="0.25">
      <c r="B286" s="355">
        <v>61600030</v>
      </c>
      <c r="C286" s="338" t="s">
        <v>150</v>
      </c>
      <c r="D286" s="342" t="s">
        <v>963</v>
      </c>
      <c r="E286" s="356" t="s">
        <v>106</v>
      </c>
      <c r="H286" s="376">
        <f t="shared" si="13"/>
        <v>61600030</v>
      </c>
      <c r="I286" s="290" t="s">
        <v>1291</v>
      </c>
    </row>
    <row r="287" spans="2:9" s="290" customFormat="1" ht="30" outlineLevel="1" x14ac:dyDescent="0.25">
      <c r="B287" s="355">
        <v>61600040</v>
      </c>
      <c r="C287" s="338" t="s">
        <v>151</v>
      </c>
      <c r="D287" s="342" t="s">
        <v>963</v>
      </c>
      <c r="E287" s="356" t="s">
        <v>176</v>
      </c>
      <c r="H287" s="376">
        <f t="shared" si="13"/>
        <v>61600040</v>
      </c>
      <c r="I287" s="290" t="s">
        <v>1291</v>
      </c>
    </row>
    <row r="288" spans="2:9" s="290" customFormat="1" ht="30" outlineLevel="1" x14ac:dyDescent="0.25">
      <c r="B288" s="355">
        <v>61600050</v>
      </c>
      <c r="C288" s="338" t="s">
        <v>2998</v>
      </c>
      <c r="D288" s="342" t="s">
        <v>963</v>
      </c>
      <c r="E288" s="356" t="s">
        <v>176</v>
      </c>
      <c r="H288" s="376">
        <f t="shared" si="13"/>
        <v>61600050</v>
      </c>
      <c r="I288" s="290" t="s">
        <v>1291</v>
      </c>
    </row>
    <row r="289" spans="2:9" s="290" customFormat="1" outlineLevel="1" x14ac:dyDescent="0.25">
      <c r="B289" s="355">
        <v>61600060</v>
      </c>
      <c r="C289" s="338" t="s">
        <v>3000</v>
      </c>
      <c r="D289" s="342" t="s">
        <v>963</v>
      </c>
      <c r="E289" s="356" t="s">
        <v>50</v>
      </c>
      <c r="H289" s="376">
        <f t="shared" si="13"/>
        <v>61600060</v>
      </c>
      <c r="I289" s="290" t="s">
        <v>1291</v>
      </c>
    </row>
    <row r="290" spans="2:9" s="290" customFormat="1" outlineLevel="1" x14ac:dyDescent="0.25">
      <c r="B290" s="355">
        <v>61600070</v>
      </c>
      <c r="C290" s="338" t="s">
        <v>152</v>
      </c>
      <c r="D290" s="342" t="s">
        <v>963</v>
      </c>
      <c r="E290" s="356" t="s">
        <v>106</v>
      </c>
      <c r="H290" s="376">
        <f t="shared" si="13"/>
        <v>61600070</v>
      </c>
      <c r="I290" s="290" t="s">
        <v>1291</v>
      </c>
    </row>
    <row r="291" spans="2:9" s="290" customFormat="1" outlineLevel="1" x14ac:dyDescent="0.25">
      <c r="B291" s="355">
        <v>61700010</v>
      </c>
      <c r="C291" s="338" t="s">
        <v>153</v>
      </c>
      <c r="D291" s="342" t="s">
        <v>968</v>
      </c>
      <c r="E291" s="356" t="s">
        <v>3002</v>
      </c>
      <c r="H291" s="376">
        <f t="shared" si="13"/>
        <v>61700010</v>
      </c>
      <c r="I291" s="290" t="s">
        <v>1292</v>
      </c>
    </row>
    <row r="292" spans="2:9" s="290" customFormat="1" outlineLevel="1" x14ac:dyDescent="0.25">
      <c r="B292" s="355">
        <v>61700030</v>
      </c>
      <c r="C292" s="338" t="s">
        <v>155</v>
      </c>
      <c r="D292" s="342" t="s">
        <v>968</v>
      </c>
      <c r="E292" s="356" t="s">
        <v>106</v>
      </c>
      <c r="H292" s="376">
        <f t="shared" si="13"/>
        <v>61700030</v>
      </c>
      <c r="I292" s="290" t="s">
        <v>1292</v>
      </c>
    </row>
    <row r="293" spans="2:9" s="290" customFormat="1" outlineLevel="1" x14ac:dyDescent="0.25">
      <c r="B293" s="355">
        <v>61700040</v>
      </c>
      <c r="C293" s="338" t="s">
        <v>157</v>
      </c>
      <c r="D293" s="342" t="s">
        <v>968</v>
      </c>
      <c r="E293" s="356" t="s">
        <v>106</v>
      </c>
      <c r="H293" s="376">
        <f t="shared" si="13"/>
        <v>61700040</v>
      </c>
      <c r="I293" s="290" t="s">
        <v>1292</v>
      </c>
    </row>
    <row r="294" spans="2:9" s="290" customFormat="1" outlineLevel="1" x14ac:dyDescent="0.25">
      <c r="B294" s="355">
        <v>61700050</v>
      </c>
      <c r="C294" s="338" t="s">
        <v>159</v>
      </c>
      <c r="D294" s="342" t="s">
        <v>968</v>
      </c>
      <c r="E294" s="356" t="s">
        <v>106</v>
      </c>
      <c r="H294" s="376">
        <f t="shared" si="13"/>
        <v>61700050</v>
      </c>
      <c r="I294" s="290" t="s">
        <v>1292</v>
      </c>
    </row>
    <row r="295" spans="2:9" s="290" customFormat="1" outlineLevel="1" x14ac:dyDescent="0.25">
      <c r="B295" s="355">
        <v>61700060</v>
      </c>
      <c r="C295" s="338" t="s">
        <v>3003</v>
      </c>
      <c r="D295" s="342" t="s">
        <v>968</v>
      </c>
      <c r="E295" s="356" t="s">
        <v>106</v>
      </c>
      <c r="H295" s="376">
        <f t="shared" si="13"/>
        <v>61700060</v>
      </c>
      <c r="I295" s="290" t="s">
        <v>1292</v>
      </c>
    </row>
    <row r="296" spans="2:9" s="290" customFormat="1" outlineLevel="1" x14ac:dyDescent="0.25">
      <c r="B296" s="355">
        <v>61700070</v>
      </c>
      <c r="C296" s="338" t="s">
        <v>163</v>
      </c>
      <c r="D296" s="342" t="s">
        <v>968</v>
      </c>
      <c r="E296" s="356" t="s">
        <v>2874</v>
      </c>
      <c r="H296" s="376">
        <f t="shared" si="13"/>
        <v>61700070</v>
      </c>
      <c r="I296" s="290" t="s">
        <v>1292</v>
      </c>
    </row>
    <row r="297" spans="2:9" s="290" customFormat="1" ht="30" outlineLevel="1" x14ac:dyDescent="0.25">
      <c r="B297" s="355">
        <v>61800010</v>
      </c>
      <c r="C297" s="338" t="s">
        <v>165</v>
      </c>
      <c r="D297" s="342" t="s">
        <v>1152</v>
      </c>
      <c r="E297" s="356" t="s">
        <v>2874</v>
      </c>
      <c r="H297" s="376">
        <f t="shared" ref="H297:H330" si="14">B297</f>
        <v>61800010</v>
      </c>
      <c r="I297" s="290" t="s">
        <v>1293</v>
      </c>
    </row>
    <row r="298" spans="2:9" s="290" customFormat="1" outlineLevel="1" x14ac:dyDescent="0.25">
      <c r="B298" s="355">
        <v>61800020</v>
      </c>
      <c r="C298" s="355" t="s">
        <v>168</v>
      </c>
      <c r="D298" s="355" t="s">
        <v>1152</v>
      </c>
      <c r="E298" s="356" t="s">
        <v>2874</v>
      </c>
      <c r="H298" s="376">
        <f t="shared" si="14"/>
        <v>61800020</v>
      </c>
      <c r="I298" s="290" t="s">
        <v>1293</v>
      </c>
    </row>
    <row r="299" spans="2:9" s="290" customFormat="1" outlineLevel="1" x14ac:dyDescent="0.25">
      <c r="B299" s="355">
        <v>61800030</v>
      </c>
      <c r="C299" s="355" t="s">
        <v>170</v>
      </c>
      <c r="D299" s="355" t="s">
        <v>1152</v>
      </c>
      <c r="E299" s="356" t="s">
        <v>2874</v>
      </c>
      <c r="H299" s="376">
        <f t="shared" si="14"/>
        <v>61800030</v>
      </c>
      <c r="I299" s="290" t="s">
        <v>1293</v>
      </c>
    </row>
    <row r="300" spans="2:9" s="290" customFormat="1" outlineLevel="1" x14ac:dyDescent="0.25">
      <c r="B300" s="355">
        <v>61800090</v>
      </c>
      <c r="C300" s="355" t="s">
        <v>172</v>
      </c>
      <c r="D300" s="355" t="s">
        <v>1152</v>
      </c>
      <c r="E300" s="356" t="s">
        <v>2874</v>
      </c>
      <c r="H300" s="376">
        <f t="shared" si="14"/>
        <v>61800090</v>
      </c>
      <c r="I300" s="290" t="s">
        <v>1293</v>
      </c>
    </row>
    <row r="301" spans="2:9" s="290" customFormat="1" outlineLevel="1" x14ac:dyDescent="0.25">
      <c r="B301" s="355">
        <v>61900010</v>
      </c>
      <c r="C301" s="355" t="s">
        <v>174</v>
      </c>
      <c r="D301" s="355" t="s">
        <v>406</v>
      </c>
      <c r="E301" s="356" t="s">
        <v>2874</v>
      </c>
      <c r="H301" s="376">
        <f t="shared" si="14"/>
        <v>61900010</v>
      </c>
      <c r="I301" s="290" t="s">
        <v>1294</v>
      </c>
    </row>
    <row r="302" spans="2:9" s="290" customFormat="1" outlineLevel="1" x14ac:dyDescent="0.25">
      <c r="B302" s="355">
        <v>61900020</v>
      </c>
      <c r="C302" s="355" t="s">
        <v>177</v>
      </c>
      <c r="D302" s="355" t="s">
        <v>406</v>
      </c>
      <c r="E302" s="356" t="s">
        <v>2874</v>
      </c>
      <c r="H302" s="376">
        <f t="shared" si="14"/>
        <v>61900020</v>
      </c>
      <c r="I302" s="290" t="s">
        <v>1294</v>
      </c>
    </row>
    <row r="303" spans="2:9" s="290" customFormat="1" outlineLevel="1" x14ac:dyDescent="0.25">
      <c r="B303" s="355">
        <v>61900030</v>
      </c>
      <c r="C303" s="355" t="s">
        <v>180</v>
      </c>
      <c r="D303" s="355" t="s">
        <v>406</v>
      </c>
      <c r="E303" s="356" t="s">
        <v>2874</v>
      </c>
      <c r="H303" s="376">
        <f t="shared" si="14"/>
        <v>61900030</v>
      </c>
      <c r="I303" s="290" t="s">
        <v>1294</v>
      </c>
    </row>
    <row r="304" spans="2:9" s="290" customFormat="1" outlineLevel="1" x14ac:dyDescent="0.25">
      <c r="B304" s="355">
        <v>61900040</v>
      </c>
      <c r="C304" s="355" t="s">
        <v>182</v>
      </c>
      <c r="D304" s="355" t="s">
        <v>406</v>
      </c>
      <c r="E304" s="356" t="s">
        <v>2874</v>
      </c>
      <c r="H304" s="376">
        <f t="shared" si="14"/>
        <v>61900040</v>
      </c>
      <c r="I304" s="290" t="s">
        <v>1294</v>
      </c>
    </row>
    <row r="305" spans="2:9" s="290" customFormat="1" outlineLevel="1" x14ac:dyDescent="0.25">
      <c r="B305" s="355">
        <v>61900050</v>
      </c>
      <c r="C305" s="355" t="s">
        <v>1507</v>
      </c>
      <c r="D305" s="355" t="s">
        <v>406</v>
      </c>
      <c r="E305" s="356" t="s">
        <v>2874</v>
      </c>
      <c r="H305" s="376">
        <f t="shared" si="14"/>
        <v>61900050</v>
      </c>
      <c r="I305" s="290" t="s">
        <v>1294</v>
      </c>
    </row>
    <row r="306" spans="2:9" s="290" customFormat="1" outlineLevel="1" x14ac:dyDescent="0.25">
      <c r="B306" s="355">
        <v>61900090</v>
      </c>
      <c r="C306" s="355" t="s">
        <v>184</v>
      </c>
      <c r="D306" s="355" t="s">
        <v>406</v>
      </c>
      <c r="E306" s="356" t="s">
        <v>2874</v>
      </c>
      <c r="H306" s="376">
        <f t="shared" si="14"/>
        <v>61900090</v>
      </c>
      <c r="I306" s="290" t="s">
        <v>1294</v>
      </c>
    </row>
    <row r="307" spans="2:9" s="290" customFormat="1" outlineLevel="1" x14ac:dyDescent="0.25">
      <c r="B307" s="355">
        <v>62000010</v>
      </c>
      <c r="C307" s="355" t="s">
        <v>186</v>
      </c>
      <c r="D307" s="355" t="s">
        <v>982</v>
      </c>
      <c r="E307" s="355" t="s">
        <v>236</v>
      </c>
      <c r="H307" s="376">
        <f t="shared" si="14"/>
        <v>62000010</v>
      </c>
      <c r="I307" s="290" t="s">
        <v>1295</v>
      </c>
    </row>
    <row r="308" spans="2:9" s="290" customFormat="1" ht="30" outlineLevel="1" x14ac:dyDescent="0.25">
      <c r="B308" s="355">
        <v>62000020</v>
      </c>
      <c r="C308" s="355" t="s">
        <v>189</v>
      </c>
      <c r="D308" s="355" t="s">
        <v>982</v>
      </c>
      <c r="E308" s="355" t="s">
        <v>3010</v>
      </c>
      <c r="H308" s="376">
        <f t="shared" si="14"/>
        <v>62000020</v>
      </c>
      <c r="I308" s="290" t="s">
        <v>1295</v>
      </c>
    </row>
    <row r="309" spans="2:9" s="290" customFormat="1" outlineLevel="1" x14ac:dyDescent="0.25">
      <c r="B309" s="355">
        <v>62000040</v>
      </c>
      <c r="C309" s="355" t="s">
        <v>192</v>
      </c>
      <c r="D309" s="355" t="s">
        <v>982</v>
      </c>
      <c r="E309" s="356" t="s">
        <v>2874</v>
      </c>
      <c r="H309" s="376">
        <f t="shared" si="14"/>
        <v>62000040</v>
      </c>
      <c r="I309" s="290" t="s">
        <v>1295</v>
      </c>
    </row>
    <row r="310" spans="2:9" s="290" customFormat="1" outlineLevel="1" x14ac:dyDescent="0.25">
      <c r="B310" s="355">
        <v>62100010</v>
      </c>
      <c r="C310" s="355" t="s">
        <v>195</v>
      </c>
      <c r="D310" s="355" t="s">
        <v>987</v>
      </c>
      <c r="E310" s="355" t="s">
        <v>176</v>
      </c>
      <c r="H310" s="376">
        <f t="shared" si="14"/>
        <v>62100010</v>
      </c>
      <c r="I310" s="290" t="s">
        <v>1296</v>
      </c>
    </row>
    <row r="311" spans="2:9" s="290" customFormat="1" outlineLevel="1" x14ac:dyDescent="0.25">
      <c r="B311" s="355">
        <v>62100020</v>
      </c>
      <c r="C311" s="355" t="s">
        <v>198</v>
      </c>
      <c r="D311" s="355" t="s">
        <v>987</v>
      </c>
      <c r="E311" s="355" t="s">
        <v>176</v>
      </c>
      <c r="H311" s="376">
        <f t="shared" si="14"/>
        <v>62100020</v>
      </c>
      <c r="I311" s="290" t="s">
        <v>1296</v>
      </c>
    </row>
    <row r="312" spans="2:9" s="290" customFormat="1" outlineLevel="1" x14ac:dyDescent="0.25">
      <c r="B312" s="355">
        <v>62100030</v>
      </c>
      <c r="C312" s="355" t="s">
        <v>200</v>
      </c>
      <c r="D312" s="355" t="s">
        <v>987</v>
      </c>
      <c r="E312" s="355" t="s">
        <v>176</v>
      </c>
      <c r="H312" s="376">
        <f t="shared" si="14"/>
        <v>62100030</v>
      </c>
      <c r="I312" s="290" t="s">
        <v>1296</v>
      </c>
    </row>
    <row r="313" spans="2:9" s="290" customFormat="1" outlineLevel="1" x14ac:dyDescent="0.25">
      <c r="B313" s="355">
        <v>62100040</v>
      </c>
      <c r="C313" s="355" t="s">
        <v>202</v>
      </c>
      <c r="D313" s="355" t="s">
        <v>987</v>
      </c>
      <c r="E313" s="355" t="s">
        <v>176</v>
      </c>
      <c r="H313" s="376">
        <f t="shared" si="14"/>
        <v>62100040</v>
      </c>
      <c r="I313" s="290" t="s">
        <v>1296</v>
      </c>
    </row>
    <row r="314" spans="2:9" s="290" customFormat="1" outlineLevel="1" x14ac:dyDescent="0.25">
      <c r="B314" s="355">
        <v>62100050</v>
      </c>
      <c r="C314" s="355" t="s">
        <v>577</v>
      </c>
      <c r="D314" s="355" t="s">
        <v>987</v>
      </c>
      <c r="E314" s="355" t="s">
        <v>176</v>
      </c>
      <c r="H314" s="376">
        <f t="shared" si="14"/>
        <v>62100050</v>
      </c>
      <c r="I314" s="290" t="s">
        <v>1296</v>
      </c>
    </row>
    <row r="315" spans="2:9" s="290" customFormat="1" outlineLevel="1" x14ac:dyDescent="0.25">
      <c r="B315" s="355">
        <v>62200010</v>
      </c>
      <c r="C315" s="355" t="s">
        <v>206</v>
      </c>
      <c r="D315" s="355" t="s">
        <v>992</v>
      </c>
      <c r="E315" s="356" t="s">
        <v>2874</v>
      </c>
      <c r="H315" s="376">
        <f t="shared" si="14"/>
        <v>62200010</v>
      </c>
      <c r="I315" s="290" t="s">
        <v>1297</v>
      </c>
    </row>
    <row r="316" spans="2:9" s="290" customFormat="1" outlineLevel="1" x14ac:dyDescent="0.25">
      <c r="B316" s="355">
        <v>62200020</v>
      </c>
      <c r="C316" s="355" t="s">
        <v>208</v>
      </c>
      <c r="D316" s="355" t="s">
        <v>992</v>
      </c>
      <c r="E316" s="356" t="s">
        <v>2874</v>
      </c>
      <c r="H316" s="376">
        <f t="shared" si="14"/>
        <v>62200020</v>
      </c>
      <c r="I316" s="290" t="s">
        <v>1297</v>
      </c>
    </row>
    <row r="317" spans="2:9" s="290" customFormat="1" outlineLevel="1" x14ac:dyDescent="0.25">
      <c r="B317" s="355">
        <v>62300010</v>
      </c>
      <c r="C317" s="355" t="s">
        <v>210</v>
      </c>
      <c r="D317" s="355" t="s">
        <v>997</v>
      </c>
      <c r="E317" s="356" t="s">
        <v>2874</v>
      </c>
      <c r="H317" s="376">
        <f t="shared" si="14"/>
        <v>62300010</v>
      </c>
      <c r="I317" s="290" t="s">
        <v>1298</v>
      </c>
    </row>
    <row r="318" spans="2:9" s="290" customFormat="1" outlineLevel="1" x14ac:dyDescent="0.25">
      <c r="B318" s="355">
        <v>62300020</v>
      </c>
      <c r="C318" s="355" t="s">
        <v>212</v>
      </c>
      <c r="D318" s="355" t="s">
        <v>997</v>
      </c>
      <c r="E318" s="356" t="s">
        <v>2874</v>
      </c>
      <c r="H318" s="376">
        <f t="shared" si="14"/>
        <v>62300020</v>
      </c>
      <c r="I318" s="290" t="s">
        <v>1298</v>
      </c>
    </row>
    <row r="319" spans="2:9" s="290" customFormat="1" outlineLevel="1" x14ac:dyDescent="0.25">
      <c r="B319" s="355">
        <v>62400030</v>
      </c>
      <c r="C319" s="355" t="s">
        <v>214</v>
      </c>
      <c r="D319" s="355" t="s">
        <v>1002</v>
      </c>
      <c r="E319" s="356" t="s">
        <v>2874</v>
      </c>
      <c r="H319" s="376">
        <f t="shared" si="14"/>
        <v>62400030</v>
      </c>
      <c r="I319" s="290" t="s">
        <v>1299</v>
      </c>
    </row>
    <row r="320" spans="2:9" s="290" customFormat="1" outlineLevel="1" x14ac:dyDescent="0.25">
      <c r="B320" s="355">
        <v>62400040</v>
      </c>
      <c r="C320" s="355" t="s">
        <v>216</v>
      </c>
      <c r="D320" s="355" t="s">
        <v>1002</v>
      </c>
      <c r="E320" s="356" t="s">
        <v>2874</v>
      </c>
      <c r="H320" s="376">
        <f t="shared" si="14"/>
        <v>62400040</v>
      </c>
      <c r="I320" s="290" t="s">
        <v>1299</v>
      </c>
    </row>
    <row r="321" spans="2:9" s="290" customFormat="1" outlineLevel="1" x14ac:dyDescent="0.25">
      <c r="B321" s="355">
        <v>62400060</v>
      </c>
      <c r="C321" s="355" t="s">
        <v>578</v>
      </c>
      <c r="D321" s="355" t="s">
        <v>1002</v>
      </c>
      <c r="E321" s="355" t="s">
        <v>236</v>
      </c>
      <c r="H321" s="376">
        <f t="shared" si="14"/>
        <v>62400060</v>
      </c>
      <c r="I321" s="290" t="s">
        <v>1299</v>
      </c>
    </row>
    <row r="322" spans="2:9" s="290" customFormat="1" outlineLevel="1" x14ac:dyDescent="0.25">
      <c r="B322" s="355">
        <v>62500010</v>
      </c>
      <c r="C322" s="355" t="s">
        <v>218</v>
      </c>
      <c r="D322" s="355" t="s">
        <v>218</v>
      </c>
      <c r="E322" s="355" t="s">
        <v>22</v>
      </c>
      <c r="H322" s="376">
        <f t="shared" si="14"/>
        <v>62500010</v>
      </c>
      <c r="I322" s="290" t="s">
        <v>1011</v>
      </c>
    </row>
    <row r="323" spans="2:9" s="290" customFormat="1" outlineLevel="1" x14ac:dyDescent="0.25">
      <c r="B323" s="355">
        <v>62600010</v>
      </c>
      <c r="C323" s="355" t="s">
        <v>221</v>
      </c>
      <c r="D323" s="355" t="s">
        <v>1011</v>
      </c>
      <c r="E323" s="356" t="s">
        <v>2874</v>
      </c>
      <c r="H323" s="376">
        <f t="shared" si="14"/>
        <v>62600010</v>
      </c>
      <c r="I323" s="290" t="s">
        <v>1011</v>
      </c>
    </row>
    <row r="324" spans="2:9" s="290" customFormat="1" outlineLevel="1" x14ac:dyDescent="0.25">
      <c r="B324" s="355">
        <v>62600020</v>
      </c>
      <c r="C324" s="355" t="s">
        <v>223</v>
      </c>
      <c r="D324" s="355" t="s">
        <v>1011</v>
      </c>
      <c r="E324" s="356" t="s">
        <v>2874</v>
      </c>
      <c r="H324" s="376">
        <f t="shared" si="14"/>
        <v>62600020</v>
      </c>
      <c r="I324" s="290" t="s">
        <v>1011</v>
      </c>
    </row>
    <row r="325" spans="2:9" s="290" customFormat="1" outlineLevel="1" x14ac:dyDescent="0.25">
      <c r="B325" s="355">
        <v>62600030</v>
      </c>
      <c r="C325" s="355" t="s">
        <v>226</v>
      </c>
      <c r="D325" s="355" t="s">
        <v>1011</v>
      </c>
      <c r="E325" s="356" t="s">
        <v>2874</v>
      </c>
      <c r="H325" s="376">
        <f t="shared" si="14"/>
        <v>62600030</v>
      </c>
      <c r="I325" s="290" t="s">
        <v>1011</v>
      </c>
    </row>
    <row r="326" spans="2:9" s="290" customFormat="1" outlineLevel="1" x14ac:dyDescent="0.25">
      <c r="B326" s="355">
        <v>62700010</v>
      </c>
      <c r="C326" s="355" t="s">
        <v>579</v>
      </c>
      <c r="D326" s="355" t="s">
        <v>579</v>
      </c>
      <c r="E326" s="355" t="s">
        <v>236</v>
      </c>
      <c r="H326" s="376">
        <f t="shared" si="14"/>
        <v>62700010</v>
      </c>
      <c r="I326" s="290" t="s">
        <v>1300</v>
      </c>
    </row>
    <row r="327" spans="2:9" s="290" customFormat="1" outlineLevel="1" x14ac:dyDescent="0.25">
      <c r="B327" s="355">
        <v>62800010</v>
      </c>
      <c r="C327" s="355" t="s">
        <v>580</v>
      </c>
      <c r="D327" s="355" t="s">
        <v>580</v>
      </c>
      <c r="E327" s="355" t="s">
        <v>238</v>
      </c>
      <c r="H327" s="376">
        <f t="shared" si="14"/>
        <v>62800010</v>
      </c>
      <c r="I327" s="290" t="s">
        <v>580</v>
      </c>
    </row>
    <row r="328" spans="2:9" outlineLevel="1" x14ac:dyDescent="0.25">
      <c r="B328" s="355">
        <v>62900010</v>
      </c>
      <c r="C328" s="355" t="s">
        <v>228</v>
      </c>
      <c r="D328" s="355" t="s">
        <v>1025</v>
      </c>
      <c r="E328" s="356" t="s">
        <v>2874</v>
      </c>
      <c r="F328" s="290"/>
      <c r="G328" s="290"/>
      <c r="H328" s="376">
        <f t="shared" si="14"/>
        <v>62900010</v>
      </c>
      <c r="I328" s="290" t="s">
        <v>228</v>
      </c>
    </row>
    <row r="329" spans="2:9" outlineLevel="1" x14ac:dyDescent="0.25">
      <c r="B329" s="355">
        <v>62900020</v>
      </c>
      <c r="C329" s="355" t="s">
        <v>230</v>
      </c>
      <c r="D329" s="355" t="s">
        <v>1025</v>
      </c>
      <c r="E329" s="356" t="s">
        <v>2874</v>
      </c>
      <c r="F329" s="290"/>
      <c r="G329" s="290"/>
      <c r="H329" s="376">
        <f t="shared" si="14"/>
        <v>62900020</v>
      </c>
      <c r="I329" s="290" t="s">
        <v>230</v>
      </c>
    </row>
    <row r="330" spans="2:9" outlineLevel="1" x14ac:dyDescent="0.25">
      <c r="B330" s="355">
        <v>63300010</v>
      </c>
      <c r="C330" s="355" t="s">
        <v>3018</v>
      </c>
      <c r="D330" s="355" t="s">
        <v>406</v>
      </c>
      <c r="E330" s="355"/>
      <c r="F330" s="290"/>
      <c r="G330" s="290"/>
      <c r="H330" s="376">
        <f t="shared" si="14"/>
        <v>63300010</v>
      </c>
      <c r="I330" s="290" t="s">
        <v>1294</v>
      </c>
    </row>
    <row r="331" spans="2:9" outlineLevel="1" x14ac:dyDescent="0.25">
      <c r="B331" s="534">
        <v>63900010</v>
      </c>
      <c r="C331" s="535" t="s">
        <v>232</v>
      </c>
      <c r="D331" s="535" t="s">
        <v>1283</v>
      </c>
      <c r="E331" s="536" t="s">
        <v>2874</v>
      </c>
      <c r="F331" s="290"/>
      <c r="G331" s="290"/>
      <c r="H331" s="376">
        <f>B331</f>
        <v>63900010</v>
      </c>
      <c r="I331" s="290" t="s">
        <v>1283</v>
      </c>
    </row>
    <row r="332" spans="2:9" outlineLevel="1" x14ac:dyDescent="0.25">
      <c r="B332" s="537"/>
      <c r="C332" s="538"/>
      <c r="D332" s="538"/>
      <c r="E332" s="539"/>
    </row>
    <row r="333" spans="2:9" outlineLevel="1" x14ac:dyDescent="0.25"/>
    <row r="334" spans="2:9" outlineLevel="1" x14ac:dyDescent="0.25">
      <c r="B334" s="324" t="s">
        <v>3273</v>
      </c>
      <c r="C334" s="290"/>
      <c r="D334" s="290"/>
      <c r="E334" s="290"/>
      <c r="F334" s="290"/>
    </row>
    <row r="335" spans="2:9" x14ac:dyDescent="0.25">
      <c r="B335" s="377" t="s">
        <v>2867</v>
      </c>
      <c r="C335" s="377" t="s">
        <v>2868</v>
      </c>
      <c r="D335" s="377" t="s">
        <v>2870</v>
      </c>
      <c r="E335" s="377" t="s">
        <v>2871</v>
      </c>
      <c r="H335" s="377" t="s">
        <v>3274</v>
      </c>
      <c r="I335" s="377" t="s">
        <v>2867</v>
      </c>
    </row>
    <row r="336" spans="2:9" x14ac:dyDescent="0.25">
      <c r="B336" s="356">
        <v>15000000</v>
      </c>
      <c r="C336" s="378" t="s">
        <v>1625</v>
      </c>
      <c r="D336" s="356" t="s">
        <v>1668</v>
      </c>
      <c r="E336" s="356" t="s">
        <v>44</v>
      </c>
      <c r="H336" s="379" t="s">
        <v>3279</v>
      </c>
      <c r="I336" s="356">
        <v>15000000</v>
      </c>
    </row>
    <row r="337" spans="2:9" x14ac:dyDescent="0.25">
      <c r="B337" s="356">
        <v>15000010</v>
      </c>
      <c r="C337" s="378" t="s">
        <v>1627</v>
      </c>
      <c r="D337" s="356" t="s">
        <v>1668</v>
      </c>
      <c r="E337" s="356" t="s">
        <v>44</v>
      </c>
      <c r="H337" s="379" t="s">
        <v>3280</v>
      </c>
      <c r="I337" s="356">
        <v>15000010</v>
      </c>
    </row>
    <row r="338" spans="2:9" x14ac:dyDescent="0.25">
      <c r="B338" s="356">
        <v>15000020</v>
      </c>
      <c r="C338" s="378" t="s">
        <v>1629</v>
      </c>
      <c r="D338" s="356" t="s">
        <v>1668</v>
      </c>
      <c r="E338" s="356" t="s">
        <v>44</v>
      </c>
      <c r="H338" s="379" t="s">
        <v>3281</v>
      </c>
      <c r="I338" s="356">
        <v>15000020</v>
      </c>
    </row>
    <row r="339" spans="2:9" x14ac:dyDescent="0.25">
      <c r="B339" s="356">
        <v>15000030</v>
      </c>
      <c r="C339" s="378" t="s">
        <v>1631</v>
      </c>
      <c r="D339" s="356" t="s">
        <v>1668</v>
      </c>
      <c r="E339" s="356" t="s">
        <v>44</v>
      </c>
      <c r="H339" s="379" t="s">
        <v>3282</v>
      </c>
      <c r="I339" s="356">
        <v>15000030</v>
      </c>
    </row>
    <row r="340" spans="2:9" x14ac:dyDescent="0.25">
      <c r="B340" s="356">
        <v>15000040</v>
      </c>
      <c r="C340" s="378" t="s">
        <v>1633</v>
      </c>
      <c r="D340" s="356" t="s">
        <v>1668</v>
      </c>
      <c r="E340" s="356" t="s">
        <v>44</v>
      </c>
      <c r="H340" s="379" t="s">
        <v>3283</v>
      </c>
      <c r="I340" s="356">
        <v>15000040</v>
      </c>
    </row>
    <row r="341" spans="2:9" x14ac:dyDescent="0.25">
      <c r="B341" s="356">
        <v>15000050</v>
      </c>
      <c r="C341" s="378" t="s">
        <v>1635</v>
      </c>
      <c r="D341" s="356" t="s">
        <v>1668</v>
      </c>
      <c r="E341" s="356" t="s">
        <v>44</v>
      </c>
      <c r="H341" s="379" t="s">
        <v>3284</v>
      </c>
      <c r="I341" s="356">
        <v>15000050</v>
      </c>
    </row>
    <row r="342" spans="2:9" x14ac:dyDescent="0.25">
      <c r="B342" s="356">
        <v>15000060</v>
      </c>
      <c r="C342" s="378" t="s">
        <v>1637</v>
      </c>
      <c r="D342" s="356" t="s">
        <v>1668</v>
      </c>
      <c r="E342" s="356" t="s">
        <v>44</v>
      </c>
      <c r="H342" s="379" t="s">
        <v>3285</v>
      </c>
      <c r="I342" s="356">
        <v>15000060</v>
      </c>
    </row>
    <row r="343" spans="2:9" x14ac:dyDescent="0.25">
      <c r="B343" s="356">
        <v>15000070</v>
      </c>
      <c r="C343" s="378" t="s">
        <v>1639</v>
      </c>
      <c r="D343" s="356" t="s">
        <v>1668</v>
      </c>
      <c r="E343" s="356" t="s">
        <v>44</v>
      </c>
      <c r="H343" s="379" t="s">
        <v>3286</v>
      </c>
      <c r="I343" s="356">
        <v>15000070</v>
      </c>
    </row>
    <row r="344" spans="2:9" x14ac:dyDescent="0.25">
      <c r="B344" s="356">
        <v>15000080</v>
      </c>
      <c r="C344" s="378" t="s">
        <v>1641</v>
      </c>
      <c r="D344" s="356" t="s">
        <v>1668</v>
      </c>
      <c r="E344" s="356" t="s">
        <v>44</v>
      </c>
      <c r="H344" s="379" t="s">
        <v>3287</v>
      </c>
      <c r="I344" s="356">
        <v>15000080</v>
      </c>
    </row>
    <row r="345" spans="2:9" x14ac:dyDescent="0.25">
      <c r="B345" s="356">
        <v>15200000</v>
      </c>
      <c r="C345" s="378" t="s">
        <v>1644</v>
      </c>
      <c r="D345" s="356" t="s">
        <v>1668</v>
      </c>
      <c r="E345" s="356" t="s">
        <v>44</v>
      </c>
      <c r="H345" s="379" t="s">
        <v>3288</v>
      </c>
      <c r="I345" s="356">
        <v>15200000</v>
      </c>
    </row>
    <row r="346" spans="2:9" ht="30" x14ac:dyDescent="0.25">
      <c r="B346" s="356">
        <v>15020010</v>
      </c>
      <c r="C346" s="378" t="s">
        <v>1647</v>
      </c>
      <c r="D346" s="356" t="s">
        <v>345</v>
      </c>
      <c r="E346" s="356" t="s">
        <v>44</v>
      </c>
      <c r="H346" s="379">
        <v>6026</v>
      </c>
      <c r="I346" s="356">
        <v>15020010</v>
      </c>
    </row>
    <row r="347" spans="2:9" ht="30" x14ac:dyDescent="0.25">
      <c r="B347" s="356">
        <v>15020020</v>
      </c>
      <c r="C347" s="378" t="s">
        <v>1649</v>
      </c>
      <c r="D347" s="356" t="s">
        <v>345</v>
      </c>
      <c r="E347" s="356" t="s">
        <v>44</v>
      </c>
      <c r="H347" s="379">
        <v>6126</v>
      </c>
      <c r="I347" s="356">
        <v>15020020</v>
      </c>
    </row>
    <row r="348" spans="2:9" ht="30" x14ac:dyDescent="0.25">
      <c r="B348" s="356">
        <v>15020030</v>
      </c>
      <c r="C348" s="378" t="s">
        <v>1651</v>
      </c>
      <c r="D348" s="356" t="s">
        <v>345</v>
      </c>
      <c r="E348" s="356" t="s">
        <v>44</v>
      </c>
      <c r="H348" s="379">
        <v>6226</v>
      </c>
      <c r="I348" s="356">
        <v>15020030</v>
      </c>
    </row>
    <row r="349" spans="2:9" ht="30" x14ac:dyDescent="0.25">
      <c r="B349" s="356">
        <v>15020040</v>
      </c>
      <c r="C349" s="378" t="s">
        <v>1653</v>
      </c>
      <c r="D349" s="356" t="s">
        <v>345</v>
      </c>
      <c r="E349" s="356" t="s">
        <v>44</v>
      </c>
      <c r="H349" s="379">
        <v>6326</v>
      </c>
      <c r="I349" s="356">
        <v>15020040</v>
      </c>
    </row>
    <row r="350" spans="2:9" ht="30" x14ac:dyDescent="0.25">
      <c r="B350" s="356">
        <v>15020080</v>
      </c>
      <c r="C350" s="378" t="s">
        <v>1655</v>
      </c>
      <c r="D350" s="356" t="s">
        <v>345</v>
      </c>
      <c r="E350" s="356" t="s">
        <v>44</v>
      </c>
      <c r="H350" s="379">
        <v>6426</v>
      </c>
      <c r="I350" s="356">
        <v>15020080</v>
      </c>
    </row>
    <row r="351" spans="2:9" ht="30" x14ac:dyDescent="0.25">
      <c r="B351" s="380">
        <v>15020090</v>
      </c>
      <c r="C351" s="381" t="s">
        <v>1720</v>
      </c>
      <c r="D351" s="356" t="s">
        <v>345</v>
      </c>
      <c r="E351" s="380" t="s">
        <v>44</v>
      </c>
      <c r="H351" s="382">
        <v>6526</v>
      </c>
      <c r="I351" s="380">
        <v>15020090</v>
      </c>
    </row>
    <row r="354" spans="2:9" s="368" customFormat="1" x14ac:dyDescent="0.25">
      <c r="B354" s="367" t="s">
        <v>3275</v>
      </c>
      <c r="H354" s="369"/>
      <c r="I354" s="369"/>
    </row>
    <row r="356" spans="2:9" x14ac:dyDescent="0.25">
      <c r="B356" s="90" t="s">
        <v>1516</v>
      </c>
      <c r="C356" s="90" t="s">
        <v>1727</v>
      </c>
    </row>
    <row r="357" spans="2:9" x14ac:dyDescent="0.25">
      <c r="B357" s="82" t="s">
        <v>1728</v>
      </c>
      <c r="C357" s="82" t="s">
        <v>1731</v>
      </c>
    </row>
    <row r="358" spans="2:9" x14ac:dyDescent="0.25">
      <c r="B358" s="82" t="s">
        <v>1729</v>
      </c>
      <c r="C358" s="82" t="s">
        <v>1732</v>
      </c>
    </row>
    <row r="359" spans="2:9" x14ac:dyDescent="0.25">
      <c r="B359" s="82" t="s">
        <v>1730</v>
      </c>
      <c r="C359" s="82" t="s">
        <v>1733</v>
      </c>
    </row>
    <row r="362" spans="2:9" s="368" customFormat="1" x14ac:dyDescent="0.25">
      <c r="B362" s="367" t="s">
        <v>1734</v>
      </c>
      <c r="H362" s="369"/>
      <c r="I362" s="369"/>
    </row>
    <row r="364" spans="2:9" x14ac:dyDescent="0.25">
      <c r="B364" s="383" t="s">
        <v>1667</v>
      </c>
      <c r="C364" s="383" t="s">
        <v>3276</v>
      </c>
    </row>
    <row r="365" spans="2:9" x14ac:dyDescent="0.25">
      <c r="B365" t="s">
        <v>1739</v>
      </c>
      <c r="C365" t="s">
        <v>1739</v>
      </c>
    </row>
    <row r="366" spans="2:9" x14ac:dyDescent="0.25">
      <c r="B366" t="s">
        <v>1738</v>
      </c>
      <c r="C366" t="s">
        <v>1736</v>
      </c>
    </row>
    <row r="367" spans="2:9" x14ac:dyDescent="0.25">
      <c r="B367" t="s">
        <v>1736</v>
      </c>
      <c r="C367" t="s">
        <v>1737</v>
      </c>
    </row>
    <row r="368" spans="2:9" x14ac:dyDescent="0.25">
      <c r="B368" t="s">
        <v>1737</v>
      </c>
    </row>
    <row r="371" spans="2:9" s="368" customFormat="1" x14ac:dyDescent="0.25">
      <c r="B371" s="367" t="s">
        <v>2046</v>
      </c>
      <c r="H371" s="369"/>
      <c r="I371" s="369"/>
    </row>
    <row r="372" spans="2:9" x14ac:dyDescent="0.25">
      <c r="B372" s="371" t="s">
        <v>334</v>
      </c>
    </row>
    <row r="373" spans="2:9" x14ac:dyDescent="0.25">
      <c r="B373" s="371" t="s">
        <v>1740</v>
      </c>
    </row>
  </sheetData>
  <conditionalFormatting sqref="I133">
    <cfRule type="duplicateValues" dxfId="1" priority="1"/>
  </conditionalFormatting>
  <conditionalFormatting sqref="I59:I132 I134:I146">
    <cfRule type="duplicateValues" dxfId="0" priority="15"/>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718D2-7491-4D98-898B-496D2ACD419C}">
  <dimension ref="A1:Q50"/>
  <sheetViews>
    <sheetView showGridLines="0" zoomScale="70" zoomScaleNormal="70" workbookViewId="0">
      <selection activeCell="E15" sqref="E15"/>
    </sheetView>
  </sheetViews>
  <sheetFormatPr defaultRowHeight="15" x14ac:dyDescent="0.25"/>
  <cols>
    <col min="1" max="1" width="12" customWidth="1"/>
    <col min="2" max="2" width="40.28515625" bestFit="1" customWidth="1"/>
    <col min="3" max="3" width="15.42578125" bestFit="1" customWidth="1"/>
    <col min="4" max="4" width="13.5703125" style="133" customWidth="1"/>
    <col min="5" max="5" width="40.28515625" bestFit="1" customWidth="1"/>
    <col min="6" max="6" width="12.42578125" bestFit="1" customWidth="1"/>
    <col min="7" max="7" width="16.28515625" customWidth="1"/>
    <col min="9" max="9" width="12.42578125" bestFit="1" customWidth="1"/>
    <col min="10" max="10" width="13.5703125" bestFit="1" customWidth="1"/>
    <col min="11" max="11" width="12.42578125" bestFit="1" customWidth="1"/>
    <col min="13" max="13" width="19.5703125" style="133" bestFit="1" customWidth="1"/>
    <col min="14" max="15" width="45.42578125" bestFit="1" customWidth="1"/>
    <col min="16" max="16" width="31.140625" customWidth="1"/>
    <col min="17" max="17" width="72" bestFit="1" customWidth="1"/>
  </cols>
  <sheetData>
    <row r="1" spans="1:17" x14ac:dyDescent="0.25">
      <c r="A1" s="645" t="s">
        <v>1903</v>
      </c>
      <c r="B1" s="645"/>
      <c r="C1" s="645"/>
      <c r="D1" s="645"/>
      <c r="E1" s="645"/>
      <c r="F1" s="645"/>
      <c r="G1" s="645"/>
      <c r="H1" s="645"/>
      <c r="I1" s="645"/>
      <c r="J1" s="645"/>
      <c r="K1" s="645"/>
      <c r="L1" s="645"/>
      <c r="M1" s="645"/>
      <c r="N1" s="645"/>
      <c r="O1" s="645"/>
      <c r="P1" s="645"/>
    </row>
    <row r="2" spans="1:17" x14ac:dyDescent="0.25">
      <c r="D2" s="131">
        <f>SUBTOTAL(9,D4:D24)</f>
        <v>143435.19000000003</v>
      </c>
      <c r="F2" s="120"/>
      <c r="M2" s="131">
        <f>SUBTOTAL(9,M4:M24)</f>
        <v>2258878214</v>
      </c>
      <c r="N2" s="120"/>
      <c r="O2" s="120"/>
      <c r="P2" s="120"/>
    </row>
    <row r="3" spans="1:17" ht="45" x14ac:dyDescent="0.25">
      <c r="A3" s="154" t="s">
        <v>1904</v>
      </c>
      <c r="B3" s="154" t="s">
        <v>1905</v>
      </c>
      <c r="C3" s="154" t="s">
        <v>1906</v>
      </c>
      <c r="D3" s="155" t="s">
        <v>1907</v>
      </c>
      <c r="E3" s="154" t="s">
        <v>1908</v>
      </c>
      <c r="F3" s="154" t="s">
        <v>1909</v>
      </c>
      <c r="G3" s="154" t="s">
        <v>1910</v>
      </c>
      <c r="H3" s="154" t="s">
        <v>1911</v>
      </c>
      <c r="I3" s="154" t="s">
        <v>1912</v>
      </c>
      <c r="J3" s="154" t="s">
        <v>1913</v>
      </c>
      <c r="K3" s="154" t="s">
        <v>1914</v>
      </c>
      <c r="L3" s="154" t="s">
        <v>1915</v>
      </c>
      <c r="M3" s="155" t="s">
        <v>1916</v>
      </c>
      <c r="N3" s="154" t="s">
        <v>2020</v>
      </c>
      <c r="O3" s="154" t="s">
        <v>1917</v>
      </c>
      <c r="P3" s="154" t="s">
        <v>1918</v>
      </c>
      <c r="Q3" s="156" t="s">
        <v>1919</v>
      </c>
    </row>
    <row r="4" spans="1:17" x14ac:dyDescent="0.25">
      <c r="A4" s="121" t="s">
        <v>1926</v>
      </c>
      <c r="B4" s="125">
        <v>1</v>
      </c>
      <c r="C4" s="121" t="s">
        <v>1927</v>
      </c>
      <c r="D4" s="132">
        <v>1457.73</v>
      </c>
      <c r="E4" s="121" t="s">
        <v>1928</v>
      </c>
      <c r="F4" s="122">
        <v>45335</v>
      </c>
      <c r="G4" s="121" t="s">
        <v>1929</v>
      </c>
      <c r="H4" s="121" t="s">
        <v>1930</v>
      </c>
      <c r="I4" s="122">
        <v>45335</v>
      </c>
      <c r="J4" s="121" t="s">
        <v>1931</v>
      </c>
      <c r="K4" s="121" t="s">
        <v>1932</v>
      </c>
      <c r="L4" s="121" t="s">
        <v>1740</v>
      </c>
      <c r="M4" s="132">
        <v>23000000</v>
      </c>
      <c r="N4" s="121"/>
      <c r="O4" s="121" t="s">
        <v>1933</v>
      </c>
      <c r="P4" s="123"/>
      <c r="Q4" s="123" t="s">
        <v>1934</v>
      </c>
    </row>
    <row r="5" spans="1:17" x14ac:dyDescent="0.25">
      <c r="A5" s="121" t="s">
        <v>1926</v>
      </c>
      <c r="B5" s="125">
        <v>1</v>
      </c>
      <c r="C5" s="121" t="s">
        <v>1935</v>
      </c>
      <c r="D5" s="132">
        <v>106.85</v>
      </c>
      <c r="E5" s="121" t="s">
        <v>1936</v>
      </c>
      <c r="F5" s="122">
        <v>45400</v>
      </c>
      <c r="G5" s="121" t="s">
        <v>1937</v>
      </c>
      <c r="H5" s="121" t="s">
        <v>1938</v>
      </c>
      <c r="I5" s="122">
        <v>45400</v>
      </c>
      <c r="J5" s="121" t="s">
        <v>1939</v>
      </c>
      <c r="K5" s="121" t="s">
        <v>1932</v>
      </c>
      <c r="L5" s="121" t="s">
        <v>1740</v>
      </c>
      <c r="M5" s="132">
        <v>1700000</v>
      </c>
      <c r="N5" s="121"/>
      <c r="O5" s="121" t="s">
        <v>1940</v>
      </c>
      <c r="P5" s="123"/>
      <c r="Q5" s="123" t="s">
        <v>1934</v>
      </c>
    </row>
    <row r="6" spans="1:17" x14ac:dyDescent="0.25">
      <c r="A6" s="121" t="s">
        <v>1926</v>
      </c>
      <c r="B6" s="125">
        <v>1</v>
      </c>
      <c r="C6" s="121" t="s">
        <v>1935</v>
      </c>
      <c r="D6" s="132">
        <v>106.85</v>
      </c>
      <c r="E6" s="121" t="s">
        <v>1936</v>
      </c>
      <c r="F6" s="122">
        <v>45400</v>
      </c>
      <c r="G6" s="121" t="s">
        <v>1937</v>
      </c>
      <c r="H6" s="121" t="s">
        <v>1938</v>
      </c>
      <c r="I6" s="122">
        <v>45400</v>
      </c>
      <c r="J6" s="121" t="s">
        <v>1939</v>
      </c>
      <c r="K6" s="121" t="s">
        <v>1932</v>
      </c>
      <c r="L6" s="121" t="s">
        <v>1740</v>
      </c>
      <c r="M6" s="132">
        <v>1700000</v>
      </c>
      <c r="N6" s="121"/>
      <c r="O6" s="121" t="s">
        <v>1940</v>
      </c>
      <c r="P6" s="123"/>
      <c r="Q6" s="123" t="s">
        <v>1934</v>
      </c>
    </row>
    <row r="7" spans="1:17" x14ac:dyDescent="0.25">
      <c r="A7" s="121" t="s">
        <v>1926</v>
      </c>
      <c r="B7" s="125">
        <v>1</v>
      </c>
      <c r="C7" s="121" t="s">
        <v>1941</v>
      </c>
      <c r="D7" s="132">
        <v>9201.65</v>
      </c>
      <c r="E7" s="121" t="s">
        <v>1942</v>
      </c>
      <c r="F7" s="122">
        <v>45382</v>
      </c>
      <c r="G7" s="121" t="s">
        <v>1943</v>
      </c>
      <c r="H7" s="121" t="s">
        <v>1944</v>
      </c>
      <c r="I7" s="122">
        <v>45382</v>
      </c>
      <c r="J7" s="121" t="s">
        <v>1945</v>
      </c>
      <c r="K7" s="121" t="s">
        <v>1932</v>
      </c>
      <c r="L7" s="121" t="s">
        <v>1740</v>
      </c>
      <c r="M7" s="132">
        <v>144557950</v>
      </c>
      <c r="N7" s="121"/>
      <c r="O7" s="121"/>
      <c r="P7" s="121" t="s">
        <v>1946</v>
      </c>
      <c r="Q7" s="123" t="s">
        <v>1947</v>
      </c>
    </row>
    <row r="8" spans="1:17" x14ac:dyDescent="0.25">
      <c r="A8" s="121" t="s">
        <v>1926</v>
      </c>
      <c r="B8" s="125">
        <v>1</v>
      </c>
      <c r="C8" s="121" t="s">
        <v>1941</v>
      </c>
      <c r="D8" s="132">
        <v>81477.22</v>
      </c>
      <c r="E8" s="121" t="s">
        <v>1948</v>
      </c>
      <c r="F8" s="122">
        <v>45382</v>
      </c>
      <c r="G8" s="121" t="s">
        <v>1949</v>
      </c>
      <c r="H8" s="121" t="s">
        <v>1944</v>
      </c>
      <c r="I8" s="122">
        <v>45382</v>
      </c>
      <c r="J8" s="121" t="s">
        <v>1945</v>
      </c>
      <c r="K8" s="121" t="s">
        <v>1932</v>
      </c>
      <c r="L8" s="121" t="s">
        <v>1740</v>
      </c>
      <c r="M8" s="132">
        <v>1280007264</v>
      </c>
      <c r="N8" s="121"/>
      <c r="O8" s="121" t="s">
        <v>1941</v>
      </c>
      <c r="P8" s="121" t="s">
        <v>1946</v>
      </c>
      <c r="Q8" s="123" t="s">
        <v>1947</v>
      </c>
    </row>
    <row r="9" spans="1:17" x14ac:dyDescent="0.25">
      <c r="A9" s="121" t="s">
        <v>1926</v>
      </c>
      <c r="B9" s="125">
        <v>1</v>
      </c>
      <c r="C9" s="121" t="s">
        <v>1941</v>
      </c>
      <c r="D9" s="132">
        <v>7919.1</v>
      </c>
      <c r="E9" s="121" t="s">
        <v>1950</v>
      </c>
      <c r="F9" s="122">
        <v>45382</v>
      </c>
      <c r="G9" s="121" t="s">
        <v>1951</v>
      </c>
      <c r="H9" s="121" t="s">
        <v>1944</v>
      </c>
      <c r="I9" s="122">
        <v>45382</v>
      </c>
      <c r="J9" s="121" t="s">
        <v>1945</v>
      </c>
      <c r="K9" s="121" t="s">
        <v>1932</v>
      </c>
      <c r="L9" s="121" t="s">
        <v>1740</v>
      </c>
      <c r="M9" s="132">
        <v>124409000</v>
      </c>
      <c r="N9" s="121"/>
      <c r="O9" s="121" t="s">
        <v>1941</v>
      </c>
      <c r="P9" s="121" t="s">
        <v>1946</v>
      </c>
      <c r="Q9" s="123" t="s">
        <v>1947</v>
      </c>
    </row>
    <row r="10" spans="1:17" x14ac:dyDescent="0.25">
      <c r="A10" s="121" t="s">
        <v>1926</v>
      </c>
      <c r="B10" s="125">
        <v>1</v>
      </c>
      <c r="C10" s="121" t="s">
        <v>1941</v>
      </c>
      <c r="D10" s="132">
        <v>17199.240000000002</v>
      </c>
      <c r="E10" s="121" t="s">
        <v>1952</v>
      </c>
      <c r="F10" s="122">
        <v>45382</v>
      </c>
      <c r="G10" s="121" t="s">
        <v>1953</v>
      </c>
      <c r="H10" s="121" t="s">
        <v>1944</v>
      </c>
      <c r="I10" s="122">
        <v>45382</v>
      </c>
      <c r="J10" s="121" t="s">
        <v>1945</v>
      </c>
      <c r="K10" s="121" t="s">
        <v>1932</v>
      </c>
      <c r="L10" s="121" t="s">
        <v>1740</v>
      </c>
      <c r="M10" s="132">
        <v>270200000</v>
      </c>
      <c r="N10" s="121"/>
      <c r="O10" s="121" t="s">
        <v>1941</v>
      </c>
      <c r="P10" s="121" t="s">
        <v>1946</v>
      </c>
      <c r="Q10" s="123" t="s">
        <v>1947</v>
      </c>
    </row>
    <row r="11" spans="1:17" x14ac:dyDescent="0.25">
      <c r="A11" s="121" t="s">
        <v>1926</v>
      </c>
      <c r="B11" s="125">
        <v>1</v>
      </c>
      <c r="C11" s="121" t="s">
        <v>1941</v>
      </c>
      <c r="D11" s="132">
        <v>5996.18</v>
      </c>
      <c r="E11" s="121" t="s">
        <v>1954</v>
      </c>
      <c r="F11" s="122">
        <v>45382</v>
      </c>
      <c r="G11" s="121" t="s">
        <v>1955</v>
      </c>
      <c r="H11" s="121" t="s">
        <v>1944</v>
      </c>
      <c r="I11" s="122">
        <v>45382</v>
      </c>
      <c r="J11" s="121" t="s">
        <v>1945</v>
      </c>
      <c r="K11" s="121" t="s">
        <v>1932</v>
      </c>
      <c r="L11" s="121" t="s">
        <v>1740</v>
      </c>
      <c r="M11" s="132">
        <v>94200000</v>
      </c>
      <c r="N11" s="121"/>
      <c r="O11" s="121" t="s">
        <v>1941</v>
      </c>
      <c r="P11" s="121" t="s">
        <v>1946</v>
      </c>
      <c r="Q11" s="123" t="s">
        <v>1947</v>
      </c>
    </row>
    <row r="12" spans="1:17" x14ac:dyDescent="0.25">
      <c r="A12" s="121" t="s">
        <v>1926</v>
      </c>
      <c r="B12" s="125">
        <v>1</v>
      </c>
      <c r="C12" s="121" t="s">
        <v>1941</v>
      </c>
      <c r="D12" s="132">
        <v>8313.18</v>
      </c>
      <c r="E12" s="121" t="s">
        <v>1956</v>
      </c>
      <c r="F12" s="122">
        <v>45382</v>
      </c>
      <c r="G12" s="121" t="s">
        <v>1957</v>
      </c>
      <c r="H12" s="121" t="s">
        <v>1944</v>
      </c>
      <c r="I12" s="122">
        <v>45382</v>
      </c>
      <c r="J12" s="121" t="s">
        <v>1945</v>
      </c>
      <c r="K12" s="121" t="s">
        <v>1932</v>
      </c>
      <c r="L12" s="121" t="s">
        <v>1740</v>
      </c>
      <c r="M12" s="132">
        <v>130600000</v>
      </c>
      <c r="N12" s="121"/>
      <c r="O12" s="121" t="s">
        <v>1941</v>
      </c>
      <c r="P12" s="121" t="s">
        <v>1946</v>
      </c>
      <c r="Q12" s="123" t="s">
        <v>1947</v>
      </c>
    </row>
    <row r="13" spans="1:17" x14ac:dyDescent="0.25">
      <c r="A13" s="121" t="s">
        <v>1646</v>
      </c>
      <c r="B13" s="125">
        <v>1</v>
      </c>
      <c r="C13" s="121" t="s">
        <v>1941</v>
      </c>
      <c r="D13" s="132">
        <v>3570.08</v>
      </c>
      <c r="E13" s="121" t="s">
        <v>1958</v>
      </c>
      <c r="F13" s="122">
        <v>45401</v>
      </c>
      <c r="G13" s="121" t="s">
        <v>1959</v>
      </c>
      <c r="H13" s="121" t="s">
        <v>1938</v>
      </c>
      <c r="I13" s="122">
        <v>45401</v>
      </c>
      <c r="J13" s="121" t="s">
        <v>1961</v>
      </c>
      <c r="K13" s="121" t="s">
        <v>1932</v>
      </c>
      <c r="L13" s="121" t="s">
        <v>1740</v>
      </c>
      <c r="M13" s="132">
        <v>56800000</v>
      </c>
      <c r="N13" s="121"/>
      <c r="O13" s="121" t="s">
        <v>1964</v>
      </c>
      <c r="P13" s="123"/>
      <c r="Q13" s="123" t="s">
        <v>2040</v>
      </c>
    </row>
    <row r="14" spans="1:17" x14ac:dyDescent="0.25">
      <c r="A14" s="121" t="s">
        <v>1646</v>
      </c>
      <c r="B14" s="125">
        <v>1</v>
      </c>
      <c r="C14" s="121" t="s">
        <v>1941</v>
      </c>
      <c r="D14" s="132">
        <v>489.51</v>
      </c>
      <c r="E14" s="121" t="s">
        <v>1958</v>
      </c>
      <c r="F14" s="122">
        <v>45472</v>
      </c>
      <c r="G14" s="121" t="s">
        <v>1959</v>
      </c>
      <c r="H14" s="121" t="s">
        <v>1960</v>
      </c>
      <c r="I14" s="122">
        <v>45472</v>
      </c>
      <c r="J14" s="121" t="s">
        <v>1962</v>
      </c>
      <c r="K14" s="121" t="s">
        <v>1932</v>
      </c>
      <c r="L14" s="121" t="s">
        <v>1740</v>
      </c>
      <c r="M14" s="132">
        <v>8000000</v>
      </c>
      <c r="N14" s="121"/>
      <c r="O14" s="121" t="s">
        <v>1965</v>
      </c>
      <c r="P14" s="123"/>
      <c r="Q14" s="123" t="s">
        <v>2040</v>
      </c>
    </row>
    <row r="15" spans="1:17" x14ac:dyDescent="0.25">
      <c r="A15" s="121" t="s">
        <v>1646</v>
      </c>
      <c r="B15" s="125">
        <v>1</v>
      </c>
      <c r="C15" s="121" t="s">
        <v>1941</v>
      </c>
      <c r="D15" s="132">
        <v>305.94</v>
      </c>
      <c r="E15" s="121" t="s">
        <v>1958</v>
      </c>
      <c r="F15" s="122">
        <v>45472</v>
      </c>
      <c r="G15" s="121" t="s">
        <v>1959</v>
      </c>
      <c r="H15" s="121" t="s">
        <v>1960</v>
      </c>
      <c r="I15" s="122">
        <v>45472</v>
      </c>
      <c r="J15" s="121" t="s">
        <v>1963</v>
      </c>
      <c r="K15" s="121" t="s">
        <v>1932</v>
      </c>
      <c r="L15" s="121" t="s">
        <v>1740</v>
      </c>
      <c r="M15" s="132">
        <v>5000000</v>
      </c>
      <c r="N15" s="121"/>
      <c r="O15" s="121" t="s">
        <v>1966</v>
      </c>
      <c r="P15" s="123"/>
      <c r="Q15" s="123" t="s">
        <v>2040</v>
      </c>
    </row>
    <row r="16" spans="1:17" x14ac:dyDescent="0.25">
      <c r="A16" s="121" t="s">
        <v>1646</v>
      </c>
      <c r="B16" s="125">
        <v>1</v>
      </c>
      <c r="C16" s="121" t="s">
        <v>1941</v>
      </c>
      <c r="D16" s="132">
        <v>795.45</v>
      </c>
      <c r="E16" s="121" t="s">
        <v>1958</v>
      </c>
      <c r="F16" s="122">
        <v>45472</v>
      </c>
      <c r="G16" s="121" t="s">
        <v>1959</v>
      </c>
      <c r="H16" s="121" t="s">
        <v>1960</v>
      </c>
      <c r="I16" s="122">
        <v>45472</v>
      </c>
      <c r="J16" s="121" t="s">
        <v>1963</v>
      </c>
      <c r="K16" s="121" t="s">
        <v>1932</v>
      </c>
      <c r="L16" s="121" t="s">
        <v>1740</v>
      </c>
      <c r="M16" s="132">
        <v>13000000</v>
      </c>
      <c r="N16" s="121"/>
      <c r="O16" s="121" t="s">
        <v>1967</v>
      </c>
      <c r="P16" s="123"/>
      <c r="Q16" s="123" t="s">
        <v>2040</v>
      </c>
    </row>
    <row r="17" spans="1:17" x14ac:dyDescent="0.25">
      <c r="A17" s="121" t="s">
        <v>1968</v>
      </c>
      <c r="B17" s="125">
        <v>1</v>
      </c>
      <c r="C17" s="121" t="s">
        <v>1941</v>
      </c>
      <c r="D17" s="132">
        <v>228.31</v>
      </c>
      <c r="E17" s="121" t="s">
        <v>1969</v>
      </c>
      <c r="F17" s="122">
        <v>45422</v>
      </c>
      <c r="G17" s="121" t="s">
        <v>1970</v>
      </c>
      <c r="H17" s="121" t="s">
        <v>1971</v>
      </c>
      <c r="I17" s="122">
        <v>45422</v>
      </c>
      <c r="J17" s="121" t="s">
        <v>1972</v>
      </c>
      <c r="K17" s="121" t="s">
        <v>1932</v>
      </c>
      <c r="L17" s="121" t="s">
        <v>1740</v>
      </c>
      <c r="M17" s="132">
        <v>3700000</v>
      </c>
      <c r="N17" s="121"/>
      <c r="O17" s="121" t="s">
        <v>1974</v>
      </c>
      <c r="P17" s="123"/>
      <c r="Q17" s="123" t="s">
        <v>2040</v>
      </c>
    </row>
    <row r="18" spans="1:17" x14ac:dyDescent="0.25">
      <c r="A18" s="121" t="s">
        <v>1968</v>
      </c>
      <c r="B18" s="125">
        <v>1</v>
      </c>
      <c r="C18" s="121" t="s">
        <v>1941</v>
      </c>
      <c r="D18" s="132">
        <v>84.54</v>
      </c>
      <c r="E18" s="121" t="s">
        <v>1969</v>
      </c>
      <c r="F18" s="122">
        <v>45426</v>
      </c>
      <c r="G18" s="121" t="s">
        <v>1970</v>
      </c>
      <c r="H18" s="121" t="s">
        <v>1971</v>
      </c>
      <c r="I18" s="122">
        <v>45426</v>
      </c>
      <c r="J18" s="121" t="s">
        <v>1973</v>
      </c>
      <c r="K18" s="121" t="s">
        <v>1932</v>
      </c>
      <c r="L18" s="121" t="s">
        <v>1740</v>
      </c>
      <c r="M18" s="132">
        <v>1370000</v>
      </c>
      <c r="N18" s="121"/>
      <c r="O18" s="121" t="s">
        <v>1975</v>
      </c>
      <c r="P18" s="123"/>
      <c r="Q18" s="123" t="s">
        <v>2040</v>
      </c>
    </row>
    <row r="19" spans="1:17" x14ac:dyDescent="0.25">
      <c r="A19" s="121" t="s">
        <v>1926</v>
      </c>
      <c r="B19" s="125">
        <v>1</v>
      </c>
      <c r="C19" s="121" t="s">
        <v>1927</v>
      </c>
      <c r="D19" s="132">
        <v>1345.03</v>
      </c>
      <c r="E19" s="121" t="s">
        <v>1976</v>
      </c>
      <c r="F19" s="122">
        <v>45468</v>
      </c>
      <c r="G19" s="121" t="s">
        <v>1977</v>
      </c>
      <c r="H19" s="121" t="s">
        <v>1960</v>
      </c>
      <c r="I19" s="122">
        <v>45468</v>
      </c>
      <c r="J19" s="121" t="s">
        <v>1978</v>
      </c>
      <c r="K19" s="121" t="s">
        <v>1932</v>
      </c>
      <c r="L19" s="121" t="s">
        <v>1740</v>
      </c>
      <c r="M19" s="132">
        <v>21850000</v>
      </c>
      <c r="N19" s="121"/>
      <c r="O19" s="121" t="s">
        <v>1979</v>
      </c>
      <c r="P19" s="123"/>
      <c r="Q19" s="123" t="s">
        <v>1934</v>
      </c>
    </row>
    <row r="20" spans="1:17" x14ac:dyDescent="0.25">
      <c r="A20" s="121" t="s">
        <v>1926</v>
      </c>
      <c r="B20" s="125">
        <v>1</v>
      </c>
      <c r="C20" s="121" t="s">
        <v>1927</v>
      </c>
      <c r="D20" s="132">
        <v>101.57</v>
      </c>
      <c r="E20" s="121" t="s">
        <v>1976</v>
      </c>
      <c r="F20" s="122">
        <v>45468</v>
      </c>
      <c r="G20" s="121" t="s">
        <v>1977</v>
      </c>
      <c r="H20" s="121" t="s">
        <v>1960</v>
      </c>
      <c r="I20" s="122">
        <v>45468</v>
      </c>
      <c r="J20" s="121" t="s">
        <v>1978</v>
      </c>
      <c r="K20" s="121" t="s">
        <v>1932</v>
      </c>
      <c r="L20" s="121" t="s">
        <v>1740</v>
      </c>
      <c r="M20" s="132">
        <v>1650000</v>
      </c>
      <c r="N20" s="121"/>
      <c r="O20" s="121" t="s">
        <v>1980</v>
      </c>
      <c r="P20" s="123"/>
      <c r="Q20" s="123" t="s">
        <v>1934</v>
      </c>
    </row>
    <row r="21" spans="1:17" x14ac:dyDescent="0.25">
      <c r="A21" s="121" t="s">
        <v>1926</v>
      </c>
      <c r="B21" s="125">
        <v>1</v>
      </c>
      <c r="C21" s="121" t="s">
        <v>1927</v>
      </c>
      <c r="D21" s="132">
        <v>1813.91</v>
      </c>
      <c r="E21" s="121" t="s">
        <v>1976</v>
      </c>
      <c r="F21" s="122">
        <v>45468</v>
      </c>
      <c r="G21" s="121" t="s">
        <v>1977</v>
      </c>
      <c r="H21" s="121" t="s">
        <v>1960</v>
      </c>
      <c r="I21" s="122">
        <v>45468</v>
      </c>
      <c r="J21" s="121" t="s">
        <v>1981</v>
      </c>
      <c r="K21" s="121" t="s">
        <v>1932</v>
      </c>
      <c r="L21" s="121" t="s">
        <v>1740</v>
      </c>
      <c r="M21" s="132">
        <v>29467000</v>
      </c>
      <c r="N21" s="121"/>
      <c r="O21" s="121" t="s">
        <v>1982</v>
      </c>
      <c r="P21" s="123"/>
      <c r="Q21" s="123" t="s">
        <v>1934</v>
      </c>
    </row>
    <row r="22" spans="1:17" x14ac:dyDescent="0.25">
      <c r="A22" s="121" t="s">
        <v>1926</v>
      </c>
      <c r="B22" s="125">
        <v>1</v>
      </c>
      <c r="C22" s="121" t="s">
        <v>1927</v>
      </c>
      <c r="D22" s="132">
        <v>1813.91</v>
      </c>
      <c r="E22" s="121" t="s">
        <v>1976</v>
      </c>
      <c r="F22" s="122">
        <v>45468</v>
      </c>
      <c r="G22" s="121" t="s">
        <v>1977</v>
      </c>
      <c r="H22" s="121" t="s">
        <v>1960</v>
      </c>
      <c r="I22" s="122">
        <v>45468</v>
      </c>
      <c r="J22" s="121" t="s">
        <v>1981</v>
      </c>
      <c r="K22" s="121" t="s">
        <v>1932</v>
      </c>
      <c r="L22" s="121" t="s">
        <v>1740</v>
      </c>
      <c r="M22" s="132">
        <v>29467000</v>
      </c>
      <c r="N22" s="121"/>
      <c r="O22" s="121" t="s">
        <v>1982</v>
      </c>
      <c r="P22" s="123"/>
      <c r="Q22" s="123" t="s">
        <v>1934</v>
      </c>
    </row>
    <row r="23" spans="1:17" x14ac:dyDescent="0.25">
      <c r="A23" s="121" t="s">
        <v>1926</v>
      </c>
      <c r="B23" s="125">
        <v>1</v>
      </c>
      <c r="C23" s="121" t="s">
        <v>1927</v>
      </c>
      <c r="D23" s="126">
        <v>1108.94</v>
      </c>
      <c r="E23" s="121" t="s">
        <v>1983</v>
      </c>
      <c r="F23" s="122">
        <v>45481</v>
      </c>
      <c r="G23" s="121" t="s">
        <v>1984</v>
      </c>
      <c r="H23" s="121" t="s">
        <v>1985</v>
      </c>
      <c r="I23" s="122">
        <v>45481</v>
      </c>
      <c r="J23" s="121" t="s">
        <v>2021</v>
      </c>
      <c r="K23" s="121" t="s">
        <v>1932</v>
      </c>
      <c r="L23" s="121" t="s">
        <v>1740</v>
      </c>
      <c r="M23" s="125">
        <v>18200000</v>
      </c>
      <c r="N23" s="121" t="s">
        <v>1987</v>
      </c>
      <c r="O23" s="121" t="s">
        <v>1988</v>
      </c>
      <c r="P23" s="123"/>
      <c r="Q23" s="123" t="s">
        <v>1934</v>
      </c>
    </row>
    <row r="24" spans="1:17" x14ac:dyDescent="0.25">
      <c r="A24" s="121"/>
      <c r="B24" s="135"/>
      <c r="C24" s="121"/>
      <c r="D24" s="132"/>
      <c r="E24" s="121"/>
      <c r="F24" s="122"/>
      <c r="G24" s="121"/>
      <c r="H24" s="121"/>
      <c r="I24" s="122"/>
      <c r="J24" s="121"/>
      <c r="K24" s="121"/>
      <c r="L24" s="121"/>
      <c r="M24" s="132"/>
      <c r="N24" s="121"/>
      <c r="O24" s="121"/>
      <c r="P24" s="123"/>
      <c r="Q24" s="123"/>
    </row>
    <row r="25" spans="1:17" x14ac:dyDescent="0.25">
      <c r="F25" s="124"/>
    </row>
    <row r="26" spans="1:17" x14ac:dyDescent="0.25">
      <c r="A26" s="645" t="s">
        <v>1920</v>
      </c>
      <c r="B26" s="645"/>
      <c r="C26" s="645"/>
      <c r="D26" s="645"/>
      <c r="E26" s="645"/>
      <c r="F26" s="645"/>
      <c r="G26" s="645"/>
      <c r="H26" s="645"/>
      <c r="I26" s="645"/>
      <c r="J26" s="645"/>
      <c r="K26" s="645"/>
      <c r="L26" s="645"/>
      <c r="M26" s="645"/>
      <c r="N26" s="645"/>
      <c r="O26" s="645"/>
      <c r="P26" s="645"/>
    </row>
    <row r="27" spans="1:17" x14ac:dyDescent="0.25">
      <c r="D27" s="131">
        <f>SUBTOTAL(9,D28:D36)</f>
        <v>3465.4799999999996</v>
      </c>
      <c r="F27" s="120"/>
      <c r="M27" s="131">
        <f>SUBTOTAL(9,M28:M36)</f>
        <v>55936000</v>
      </c>
      <c r="P27" s="120">
        <f>SUBTOTAL(9,P28:P30)</f>
        <v>0</v>
      </c>
    </row>
    <row r="28" spans="1:17" ht="45" x14ac:dyDescent="0.25">
      <c r="A28" s="136" t="s">
        <v>1921</v>
      </c>
      <c r="B28" s="137" t="s">
        <v>1922</v>
      </c>
      <c r="C28" s="137" t="s">
        <v>1923</v>
      </c>
      <c r="D28" s="153" t="s">
        <v>1907</v>
      </c>
      <c r="E28" s="137" t="s">
        <v>1908</v>
      </c>
      <c r="F28" s="137" t="s">
        <v>1909</v>
      </c>
      <c r="G28" s="137" t="s">
        <v>1910</v>
      </c>
      <c r="H28" s="137" t="s">
        <v>1911</v>
      </c>
      <c r="I28" s="137" t="s">
        <v>1924</v>
      </c>
      <c r="J28" s="137" t="s">
        <v>1925</v>
      </c>
      <c r="K28" s="137" t="s">
        <v>1913</v>
      </c>
      <c r="L28" s="137" t="s">
        <v>1915</v>
      </c>
      <c r="M28" s="153" t="s">
        <v>1916</v>
      </c>
      <c r="N28" s="137" t="s">
        <v>2018</v>
      </c>
      <c r="O28" s="137" t="s">
        <v>2019</v>
      </c>
      <c r="P28" s="137" t="s">
        <v>1918</v>
      </c>
      <c r="Q28" s="138" t="s">
        <v>1919</v>
      </c>
    </row>
    <row r="29" spans="1:17" x14ac:dyDescent="0.25">
      <c r="A29" s="139" t="s">
        <v>1926</v>
      </c>
      <c r="B29" s="140">
        <v>1</v>
      </c>
      <c r="C29" s="141" t="s">
        <v>1927</v>
      </c>
      <c r="D29" s="142">
        <v>840.85</v>
      </c>
      <c r="E29" s="141" t="s">
        <v>2014</v>
      </c>
      <c r="F29" s="143">
        <v>45478</v>
      </c>
      <c r="G29" s="141" t="s">
        <v>2015</v>
      </c>
      <c r="H29" s="141" t="s">
        <v>1985</v>
      </c>
      <c r="I29" s="141" t="s">
        <v>1986</v>
      </c>
      <c r="J29" s="143">
        <v>45478</v>
      </c>
      <c r="K29" s="143" t="s">
        <v>2016</v>
      </c>
      <c r="L29" s="141" t="s">
        <v>1740</v>
      </c>
      <c r="M29" s="142">
        <v>13800000</v>
      </c>
      <c r="N29" s="141"/>
      <c r="O29" s="141"/>
      <c r="P29" s="144" t="s">
        <v>2017</v>
      </c>
      <c r="Q29" s="145" t="s">
        <v>1934</v>
      </c>
    </row>
    <row r="30" spans="1:17" x14ac:dyDescent="0.25">
      <c r="A30" s="139" t="s">
        <v>1926</v>
      </c>
      <c r="B30" s="140">
        <v>1</v>
      </c>
      <c r="C30" s="141" t="s">
        <v>1927</v>
      </c>
      <c r="D30" s="142">
        <v>420.95</v>
      </c>
      <c r="E30" s="141" t="s">
        <v>1989</v>
      </c>
      <c r="F30" s="143">
        <v>45429</v>
      </c>
      <c r="G30" s="141" t="s">
        <v>1990</v>
      </c>
      <c r="H30" s="141" t="s">
        <v>1985</v>
      </c>
      <c r="I30" s="141" t="s">
        <v>1992</v>
      </c>
      <c r="J30" s="143">
        <v>45488</v>
      </c>
      <c r="K30" s="143" t="s">
        <v>1993</v>
      </c>
      <c r="L30" s="141" t="s">
        <v>1740</v>
      </c>
      <c r="M30" s="142">
        <v>6758000</v>
      </c>
      <c r="N30" s="141" t="s">
        <v>1941</v>
      </c>
      <c r="O30" s="141" t="s">
        <v>1941</v>
      </c>
      <c r="P30" s="144" t="s">
        <v>1994</v>
      </c>
      <c r="Q30" s="145" t="s">
        <v>2001</v>
      </c>
    </row>
    <row r="31" spans="1:17" x14ac:dyDescent="0.25">
      <c r="A31" s="146" t="s">
        <v>1926</v>
      </c>
      <c r="B31" s="144">
        <v>1</v>
      </c>
      <c r="C31" s="144" t="s">
        <v>1927</v>
      </c>
      <c r="D31" s="147">
        <v>361.9</v>
      </c>
      <c r="E31" s="144" t="s">
        <v>1989</v>
      </c>
      <c r="F31" s="143">
        <v>45429</v>
      </c>
      <c r="G31" s="144" t="s">
        <v>1990</v>
      </c>
      <c r="H31" s="144" t="s">
        <v>1985</v>
      </c>
      <c r="I31" s="144" t="s">
        <v>1992</v>
      </c>
      <c r="J31" s="143">
        <v>45488</v>
      </c>
      <c r="K31" s="144" t="s">
        <v>1993</v>
      </c>
      <c r="L31" s="144" t="s">
        <v>1740</v>
      </c>
      <c r="M31" s="147">
        <v>5810000</v>
      </c>
      <c r="N31" s="144" t="s">
        <v>1941</v>
      </c>
      <c r="O31" s="144" t="s">
        <v>1941</v>
      </c>
      <c r="P31" s="144" t="s">
        <v>1995</v>
      </c>
      <c r="Q31" s="145" t="s">
        <v>2001</v>
      </c>
    </row>
    <row r="32" spans="1:17" x14ac:dyDescent="0.25">
      <c r="A32" s="146" t="s">
        <v>1926</v>
      </c>
      <c r="B32" s="144">
        <v>1</v>
      </c>
      <c r="C32" s="144" t="s">
        <v>1927</v>
      </c>
      <c r="D32" s="147">
        <v>60.98</v>
      </c>
      <c r="E32" s="144" t="s">
        <v>1989</v>
      </c>
      <c r="F32" s="143">
        <v>45429</v>
      </c>
      <c r="G32" s="144" t="s">
        <v>1990</v>
      </c>
      <c r="H32" s="144" t="s">
        <v>1985</v>
      </c>
      <c r="I32" s="144" t="s">
        <v>1992</v>
      </c>
      <c r="J32" s="143">
        <v>45488</v>
      </c>
      <c r="K32" s="144" t="s">
        <v>1993</v>
      </c>
      <c r="L32" s="144" t="s">
        <v>1740</v>
      </c>
      <c r="M32" s="147">
        <v>979000</v>
      </c>
      <c r="N32" s="144" t="s">
        <v>1941</v>
      </c>
      <c r="O32" s="144" t="s">
        <v>1941</v>
      </c>
      <c r="P32" s="144" t="s">
        <v>1996</v>
      </c>
      <c r="Q32" s="145" t="s">
        <v>2001</v>
      </c>
    </row>
    <row r="33" spans="1:17" x14ac:dyDescent="0.25">
      <c r="A33" s="146" t="s">
        <v>1926</v>
      </c>
      <c r="B33" s="144">
        <v>3</v>
      </c>
      <c r="C33" s="144" t="s">
        <v>1927</v>
      </c>
      <c r="D33" s="147">
        <v>704.12</v>
      </c>
      <c r="E33" s="144" t="s">
        <v>1989</v>
      </c>
      <c r="F33" s="143">
        <v>45429</v>
      </c>
      <c r="G33" s="144" t="s">
        <v>1990</v>
      </c>
      <c r="H33" s="144" t="s">
        <v>1985</v>
      </c>
      <c r="I33" s="144" t="s">
        <v>1992</v>
      </c>
      <c r="J33" s="143">
        <v>45488</v>
      </c>
      <c r="K33" s="144" t="s">
        <v>1993</v>
      </c>
      <c r="L33" s="144" t="s">
        <v>1740</v>
      </c>
      <c r="M33" s="147">
        <v>11304000</v>
      </c>
      <c r="N33" s="144" t="s">
        <v>1941</v>
      </c>
      <c r="O33" s="144" t="s">
        <v>1941</v>
      </c>
      <c r="P33" s="144" t="s">
        <v>1997</v>
      </c>
      <c r="Q33" s="145" t="s">
        <v>2001</v>
      </c>
    </row>
    <row r="34" spans="1:17" x14ac:dyDescent="0.25">
      <c r="A34" s="146" t="s">
        <v>1926</v>
      </c>
      <c r="B34" s="144">
        <v>3</v>
      </c>
      <c r="C34" s="144" t="s">
        <v>1927</v>
      </c>
      <c r="D34" s="147">
        <v>68.77</v>
      </c>
      <c r="E34" s="144" t="s">
        <v>1989</v>
      </c>
      <c r="F34" s="143">
        <v>45429</v>
      </c>
      <c r="G34" s="144" t="s">
        <v>1990</v>
      </c>
      <c r="H34" s="144" t="s">
        <v>1985</v>
      </c>
      <c r="I34" s="144" t="s">
        <v>1992</v>
      </c>
      <c r="J34" s="143">
        <v>45488</v>
      </c>
      <c r="K34" s="144" t="s">
        <v>1993</v>
      </c>
      <c r="L34" s="144" t="s">
        <v>1740</v>
      </c>
      <c r="M34" s="147">
        <v>1104000</v>
      </c>
      <c r="N34" s="144" t="s">
        <v>1941</v>
      </c>
      <c r="O34" s="144" t="s">
        <v>1941</v>
      </c>
      <c r="P34" s="144" t="s">
        <v>1998</v>
      </c>
      <c r="Q34" s="145" t="s">
        <v>2001</v>
      </c>
    </row>
    <row r="35" spans="1:17" x14ac:dyDescent="0.25">
      <c r="A35" s="146" t="s">
        <v>1926</v>
      </c>
      <c r="B35" s="144">
        <v>3</v>
      </c>
      <c r="C35" s="144" t="s">
        <v>1927</v>
      </c>
      <c r="D35" s="147">
        <v>135.85</v>
      </c>
      <c r="E35" s="144" t="s">
        <v>1989</v>
      </c>
      <c r="F35" s="143">
        <v>45429</v>
      </c>
      <c r="G35" s="144" t="s">
        <v>1990</v>
      </c>
      <c r="H35" s="144" t="s">
        <v>1985</v>
      </c>
      <c r="I35" s="144" t="s">
        <v>1992</v>
      </c>
      <c r="J35" s="143">
        <v>45488</v>
      </c>
      <c r="K35" s="144" t="s">
        <v>1993</v>
      </c>
      <c r="L35" s="144" t="s">
        <v>1740</v>
      </c>
      <c r="M35" s="147">
        <v>2181000</v>
      </c>
      <c r="N35" s="144" t="s">
        <v>1941</v>
      </c>
      <c r="O35" s="144" t="s">
        <v>1941</v>
      </c>
      <c r="P35" s="144" t="s">
        <v>1999</v>
      </c>
      <c r="Q35" s="145" t="s">
        <v>2001</v>
      </c>
    </row>
    <row r="36" spans="1:17" x14ac:dyDescent="0.25">
      <c r="A36" s="148" t="s">
        <v>1926</v>
      </c>
      <c r="B36" s="149">
        <v>1</v>
      </c>
      <c r="C36" s="149" t="s">
        <v>1991</v>
      </c>
      <c r="D36" s="150">
        <v>872.06</v>
      </c>
      <c r="E36" s="149" t="s">
        <v>1989</v>
      </c>
      <c r="F36" s="151">
        <v>45429</v>
      </c>
      <c r="G36" s="149" t="s">
        <v>1990</v>
      </c>
      <c r="H36" s="149" t="s">
        <v>1985</v>
      </c>
      <c r="I36" s="149" t="s">
        <v>1992</v>
      </c>
      <c r="J36" s="151">
        <v>45488</v>
      </c>
      <c r="K36" s="149" t="s">
        <v>1993</v>
      </c>
      <c r="L36" s="149" t="s">
        <v>1740</v>
      </c>
      <c r="M36" s="150">
        <v>14000000</v>
      </c>
      <c r="N36" s="149" t="s">
        <v>1941</v>
      </c>
      <c r="O36" s="149" t="s">
        <v>1941</v>
      </c>
      <c r="P36" s="149" t="s">
        <v>2000</v>
      </c>
      <c r="Q36" s="152" t="s">
        <v>2001</v>
      </c>
    </row>
    <row r="37" spans="1:17" x14ac:dyDescent="0.25">
      <c r="F37" s="134"/>
    </row>
    <row r="39" spans="1:17" x14ac:dyDescent="0.25">
      <c r="A39" s="157"/>
      <c r="D39" s="124"/>
      <c r="F39" s="124"/>
    </row>
    <row r="40" spans="1:17" x14ac:dyDescent="0.25">
      <c r="A40" s="157" t="s">
        <v>2033</v>
      </c>
      <c r="D40" s="124"/>
      <c r="F40" s="124"/>
    </row>
    <row r="41" spans="1:17" x14ac:dyDescent="0.25">
      <c r="A41" s="158" t="s">
        <v>2022</v>
      </c>
      <c r="B41" s="158" t="s">
        <v>2023</v>
      </c>
      <c r="C41" s="158" t="s">
        <v>1727</v>
      </c>
      <c r="D41" s="158" t="s">
        <v>2024</v>
      </c>
      <c r="E41" s="158" t="s">
        <v>2025</v>
      </c>
      <c r="F41" s="158" t="s">
        <v>2026</v>
      </c>
      <c r="G41" s="158" t="s">
        <v>2027</v>
      </c>
      <c r="H41" s="158" t="s">
        <v>2028</v>
      </c>
      <c r="I41" s="158" t="s">
        <v>2029</v>
      </c>
      <c r="J41" s="158" t="s">
        <v>2030</v>
      </c>
      <c r="K41" s="158" t="s">
        <v>2031</v>
      </c>
    </row>
    <row r="42" spans="1:17" x14ac:dyDescent="0.25">
      <c r="A42" s="167">
        <v>1</v>
      </c>
      <c r="B42" s="168" t="s">
        <v>2034</v>
      </c>
      <c r="C42" s="168" t="s">
        <v>2035</v>
      </c>
      <c r="D42" s="169">
        <v>22258</v>
      </c>
      <c r="E42" s="169">
        <v>15991.39</v>
      </c>
      <c r="F42" s="169">
        <v>0</v>
      </c>
      <c r="G42" s="169">
        <v>0</v>
      </c>
      <c r="H42" s="170">
        <f>+E42+F42+G42</f>
        <v>15991.39</v>
      </c>
      <c r="I42" s="170">
        <f>+D42-H42</f>
        <v>6266.6100000000006</v>
      </c>
      <c r="J42" s="171">
        <f>+H42/D42</f>
        <v>0.71845583610387276</v>
      </c>
      <c r="K42" s="123" t="s">
        <v>2032</v>
      </c>
    </row>
    <row r="43" spans="1:17" x14ac:dyDescent="0.25">
      <c r="A43" s="167">
        <v>2</v>
      </c>
      <c r="B43" s="123" t="s">
        <v>2036</v>
      </c>
      <c r="C43" s="123" t="s">
        <v>2037</v>
      </c>
      <c r="D43" s="170">
        <v>20000</v>
      </c>
      <c r="E43" s="170">
        <v>0</v>
      </c>
      <c r="F43" s="170">
        <v>14003.82</v>
      </c>
      <c r="G43" s="170">
        <v>0</v>
      </c>
      <c r="H43" s="170">
        <f>+E43+F43+G43</f>
        <v>14003.82</v>
      </c>
      <c r="I43" s="170">
        <f>+D43-H43</f>
        <v>5996.18</v>
      </c>
      <c r="J43" s="171">
        <f t="shared" ref="J43:J44" si="0">+H43/D43</f>
        <v>0.70019100000000001</v>
      </c>
      <c r="K43" s="123" t="s">
        <v>2032</v>
      </c>
    </row>
    <row r="44" spans="1:17" x14ac:dyDescent="0.25">
      <c r="A44" s="167">
        <v>3</v>
      </c>
      <c r="B44" s="123" t="s">
        <v>2038</v>
      </c>
      <c r="C44" s="123" t="s">
        <v>2039</v>
      </c>
      <c r="D44" s="170">
        <v>4533</v>
      </c>
      <c r="E44" s="170">
        <v>0</v>
      </c>
      <c r="F44" s="170">
        <v>4360.6499999999996</v>
      </c>
      <c r="G44" s="170">
        <v>0</v>
      </c>
      <c r="H44" s="170">
        <f>+E44+F44+G44</f>
        <v>4360.6499999999996</v>
      </c>
      <c r="I44" s="170">
        <f>+D44-H44</f>
        <v>172.35000000000036</v>
      </c>
      <c r="J44" s="171">
        <f t="shared" si="0"/>
        <v>0.96197882197220375</v>
      </c>
      <c r="K44" s="123" t="s">
        <v>2032</v>
      </c>
    </row>
    <row r="48" spans="1:17" x14ac:dyDescent="0.25">
      <c r="B48" s="159"/>
      <c r="C48" s="159"/>
      <c r="D48" s="160"/>
      <c r="E48" s="160"/>
      <c r="F48" s="160"/>
      <c r="G48" s="160"/>
      <c r="H48" s="161"/>
      <c r="I48" s="162"/>
      <c r="J48" s="163"/>
      <c r="K48" s="163"/>
    </row>
    <row r="49" spans="2:11" x14ac:dyDescent="0.25">
      <c r="B49" s="159"/>
      <c r="C49" s="164"/>
      <c r="D49" s="160"/>
      <c r="E49" s="160"/>
      <c r="F49" s="160"/>
      <c r="G49" s="160"/>
      <c r="H49" s="165"/>
      <c r="I49" s="159"/>
      <c r="J49" s="166"/>
      <c r="K49" s="166"/>
    </row>
    <row r="50" spans="2:11" x14ac:dyDescent="0.25">
      <c r="B50" s="159"/>
      <c r="C50" s="164"/>
      <c r="D50" s="160"/>
      <c r="E50" s="160"/>
      <c r="F50" s="160"/>
      <c r="G50" s="160"/>
      <c r="H50" s="165"/>
      <c r="I50" s="159"/>
      <c r="J50" s="166"/>
      <c r="K50" s="166"/>
    </row>
  </sheetData>
  <mergeCells count="2">
    <mergeCell ref="A1:P1"/>
    <mergeCell ref="A26:P26"/>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BDE42-7F5E-4844-B3A0-1C4DE20BCE19}">
  <sheetPr filterMode="1">
    <tabColor theme="7" tint="0.59999389629810485"/>
  </sheetPr>
  <dimension ref="A1:AJ150"/>
  <sheetViews>
    <sheetView showGridLines="0" zoomScale="70" zoomScaleNormal="70" workbookViewId="0">
      <pane xSplit="2" ySplit="1" topLeftCell="C2" activePane="bottomRight" state="frozen"/>
      <selection activeCell="B1" sqref="B1"/>
      <selection pane="topRight" activeCell="B1" sqref="B1"/>
      <selection pane="bottomLeft" activeCell="B1" sqref="B1"/>
      <selection pane="bottomRight" activeCell="E6" sqref="E6"/>
    </sheetView>
  </sheetViews>
  <sheetFormatPr defaultColWidth="24.5703125" defaultRowHeight="14.25" outlineLevelCol="1" x14ac:dyDescent="0.2"/>
  <cols>
    <col min="1" max="1" width="18" style="53" customWidth="1"/>
    <col min="2" max="2" width="28.85546875" style="53" customWidth="1"/>
    <col min="3" max="3" width="34.28515625" style="53" customWidth="1"/>
    <col min="4" max="4" width="13.85546875" style="53" customWidth="1" outlineLevel="1"/>
    <col min="5" max="5" width="22.7109375" style="53" customWidth="1" outlineLevel="1"/>
    <col min="6" max="6" width="11.42578125" style="53" customWidth="1" outlineLevel="1"/>
    <col min="7" max="7" width="30.85546875" style="53" customWidth="1" outlineLevel="1"/>
    <col min="8" max="8" width="24.5703125" style="53" hidden="1" customWidth="1"/>
    <col min="9" max="9" width="28.28515625" style="53" hidden="1" customWidth="1"/>
    <col min="10" max="10" width="12.7109375" style="53" customWidth="1" outlineLevel="1"/>
    <col min="11" max="21" width="11.7109375" style="53" customWidth="1" outlineLevel="1"/>
    <col min="22" max="22" width="13" style="53" customWidth="1"/>
    <col min="23" max="23" width="8.5703125" style="53" customWidth="1"/>
    <col min="24" max="24" width="14.85546875" style="53" customWidth="1"/>
    <col min="25" max="25" width="12.7109375" style="53" customWidth="1"/>
    <col min="26" max="26" width="15.5703125" style="53" customWidth="1"/>
    <col min="27" max="27" width="38.140625" style="53" customWidth="1"/>
    <col min="28" max="28" width="30.140625" style="54" customWidth="1"/>
    <col min="29" max="29" width="12.85546875" style="252" customWidth="1"/>
    <col min="30" max="30" width="10.7109375" style="53" customWidth="1"/>
    <col min="31" max="31" width="18.5703125" style="247" customWidth="1"/>
    <col min="32" max="32" width="128.85546875" style="244" customWidth="1"/>
    <col min="33" max="33" width="19.85546875" style="64" customWidth="1"/>
    <col min="34" max="37" width="24.5703125" style="64" customWidth="1"/>
    <col min="38" max="16384" width="24.5703125" style="64"/>
  </cols>
  <sheetData>
    <row r="1" spans="1:36" s="188" customFormat="1" ht="54.75" customHeight="1" x14ac:dyDescent="0.25">
      <c r="A1" s="175" t="s">
        <v>590</v>
      </c>
      <c r="B1" s="176" t="s">
        <v>593</v>
      </c>
      <c r="C1" s="176" t="s">
        <v>594</v>
      </c>
      <c r="D1" s="176" t="s">
        <v>46</v>
      </c>
      <c r="E1" s="176" t="s">
        <v>392</v>
      </c>
      <c r="F1" s="177" t="s">
        <v>38</v>
      </c>
      <c r="G1" s="177" t="s">
        <v>403</v>
      </c>
      <c r="H1" s="178" t="s">
        <v>2056</v>
      </c>
      <c r="I1" s="178" t="s">
        <v>2057</v>
      </c>
      <c r="J1" s="179" t="s">
        <v>2058</v>
      </c>
      <c r="K1" s="180" t="s">
        <v>2059</v>
      </c>
      <c r="L1" s="180" t="s">
        <v>2060</v>
      </c>
      <c r="M1" s="180" t="s">
        <v>2061</v>
      </c>
      <c r="N1" s="180" t="s">
        <v>2062</v>
      </c>
      <c r="O1" s="178" t="s">
        <v>2063</v>
      </c>
      <c r="P1" s="178" t="s">
        <v>2064</v>
      </c>
      <c r="Q1" s="178" t="s">
        <v>2065</v>
      </c>
      <c r="R1" s="178" t="s">
        <v>2066</v>
      </c>
      <c r="S1" s="178" t="s">
        <v>2067</v>
      </c>
      <c r="T1" s="178" t="s">
        <v>2068</v>
      </c>
      <c r="U1" s="178" t="s">
        <v>2069</v>
      </c>
      <c r="V1" s="181" t="s">
        <v>2070</v>
      </c>
      <c r="W1" s="182" t="s">
        <v>2071</v>
      </c>
      <c r="X1" s="183" t="s">
        <v>2072</v>
      </c>
      <c r="Y1" s="183" t="s">
        <v>2073</v>
      </c>
      <c r="Z1" s="183" t="s">
        <v>1439</v>
      </c>
      <c r="AA1" s="183" t="s">
        <v>1440</v>
      </c>
      <c r="AB1" s="183" t="s">
        <v>1441</v>
      </c>
      <c r="AC1" s="183" t="s">
        <v>1443</v>
      </c>
      <c r="AD1" s="183" t="s">
        <v>405</v>
      </c>
      <c r="AE1" s="184" t="s">
        <v>1442</v>
      </c>
      <c r="AF1" s="183" t="s">
        <v>597</v>
      </c>
      <c r="AG1" s="185" t="s">
        <v>596</v>
      </c>
      <c r="AH1" s="186" t="s">
        <v>404</v>
      </c>
      <c r="AI1" s="187" t="s">
        <v>1277</v>
      </c>
      <c r="AJ1" s="187" t="s">
        <v>1278</v>
      </c>
    </row>
    <row r="2" spans="1:36" s="63" customFormat="1" ht="30" customHeight="1" x14ac:dyDescent="0.25">
      <c r="A2" s="189" t="s">
        <v>1746</v>
      </c>
      <c r="B2" s="190" t="s">
        <v>1747</v>
      </c>
      <c r="C2" s="191" t="s">
        <v>2074</v>
      </c>
      <c r="D2" s="192" t="s">
        <v>268</v>
      </c>
      <c r="E2" s="193" t="s">
        <v>367</v>
      </c>
      <c r="F2" s="192" t="s">
        <v>438</v>
      </c>
      <c r="G2" s="194" t="s">
        <v>128</v>
      </c>
      <c r="H2" s="195"/>
      <c r="I2" s="195"/>
      <c r="J2" s="196">
        <v>152.027027027027</v>
      </c>
      <c r="K2" s="52">
        <v>0</v>
      </c>
      <c r="L2" s="52">
        <v>0</v>
      </c>
      <c r="M2" s="52">
        <v>152.027027027027</v>
      </c>
      <c r="N2" s="52">
        <v>0</v>
      </c>
      <c r="O2" s="52">
        <v>0</v>
      </c>
      <c r="P2" s="52">
        <v>152.027027027027</v>
      </c>
      <c r="Q2" s="52">
        <v>0</v>
      </c>
      <c r="R2" s="52">
        <v>0</v>
      </c>
      <c r="S2" s="52">
        <v>152.027027027027</v>
      </c>
      <c r="T2" s="52">
        <v>0</v>
      </c>
      <c r="U2" s="52">
        <v>0</v>
      </c>
      <c r="V2" s="197">
        <f>SUM(J2:U2)</f>
        <v>608.10810810810801</v>
      </c>
      <c r="W2" s="198"/>
      <c r="X2" s="199" t="s">
        <v>1941</v>
      </c>
      <c r="Y2" s="200"/>
      <c r="Z2" s="200" t="s">
        <v>2075</v>
      </c>
      <c r="AA2" s="201" t="s">
        <v>2076</v>
      </c>
      <c r="AB2" s="113" t="s">
        <v>2077</v>
      </c>
      <c r="AC2" s="202" t="s">
        <v>2078</v>
      </c>
      <c r="AD2" s="203"/>
      <c r="AE2" s="203" t="s">
        <v>2079</v>
      </c>
      <c r="AF2" s="204" t="s">
        <v>2080</v>
      </c>
      <c r="AH2" s="205" t="s">
        <v>1109</v>
      </c>
      <c r="AI2" s="205" t="e">
        <f>IF(A2="","",IF(#REF!="human resources",IFERROR(IF(FIND("Selling",B2)&gt;0,"Selling","General Administrative"),"General Administrative"),IF(D2="10301S","Selling","General Administrative")))</f>
        <v>#REF!</v>
      </c>
      <c r="AJ2" s="205" t="s">
        <v>1286</v>
      </c>
    </row>
    <row r="3" spans="1:36" s="63" customFormat="1" ht="30" customHeight="1" x14ac:dyDescent="0.25">
      <c r="A3" s="189" t="s">
        <v>1748</v>
      </c>
      <c r="B3" s="190" t="s">
        <v>1749</v>
      </c>
      <c r="C3" s="191" t="s">
        <v>2081</v>
      </c>
      <c r="D3" s="192" t="s">
        <v>268</v>
      </c>
      <c r="E3" s="193" t="s">
        <v>367</v>
      </c>
      <c r="F3" s="192" t="s">
        <v>438</v>
      </c>
      <c r="G3" s="194" t="s">
        <v>128</v>
      </c>
      <c r="H3" s="195"/>
      <c r="I3" s="195"/>
      <c r="J3" s="196">
        <v>0</v>
      </c>
      <c r="K3" s="52">
        <v>72.972972972973196</v>
      </c>
      <c r="L3" s="52">
        <v>0</v>
      </c>
      <c r="M3" s="52">
        <v>0</v>
      </c>
      <c r="N3" s="52">
        <v>0</v>
      </c>
      <c r="O3" s="52">
        <v>72.972972972973196</v>
      </c>
      <c r="P3" s="52">
        <v>0</v>
      </c>
      <c r="Q3" s="52">
        <v>72.972972972973196</v>
      </c>
      <c r="R3" s="52">
        <v>0</v>
      </c>
      <c r="S3" s="52">
        <v>72.972972972973196</v>
      </c>
      <c r="T3" s="52">
        <v>0</v>
      </c>
      <c r="U3" s="52">
        <v>72.972972972973196</v>
      </c>
      <c r="V3" s="197">
        <f>SUM(J3:U3)</f>
        <v>364.86486486486598</v>
      </c>
      <c r="W3" s="198"/>
      <c r="X3" s="199" t="s">
        <v>1941</v>
      </c>
      <c r="Y3" s="200"/>
      <c r="Z3" s="200" t="s">
        <v>2075</v>
      </c>
      <c r="AA3" s="201" t="s">
        <v>2076</v>
      </c>
      <c r="AB3" s="113" t="s">
        <v>2082</v>
      </c>
      <c r="AC3" s="202" t="s">
        <v>2083</v>
      </c>
      <c r="AD3" s="203"/>
      <c r="AE3" s="203" t="s">
        <v>2084</v>
      </c>
      <c r="AF3" s="204" t="s">
        <v>2085</v>
      </c>
      <c r="AH3" s="205" t="s">
        <v>1109</v>
      </c>
      <c r="AI3" s="205" t="e">
        <f>IF(A3="","",IF(#REF!="human resources",IFERROR(IF(FIND("Selling",B3)&gt;0,"Selling","General Administrative"),"General Administrative"),IF(D3="10301S","Selling","General Administrative")))</f>
        <v>#REF!</v>
      </c>
      <c r="AJ3" s="205" t="s">
        <v>1286</v>
      </c>
    </row>
    <row r="4" spans="1:36" s="63" customFormat="1" ht="30" customHeight="1" x14ac:dyDescent="0.25">
      <c r="A4" s="189" t="s">
        <v>1746</v>
      </c>
      <c r="B4" s="190" t="s">
        <v>1747</v>
      </c>
      <c r="C4" s="191" t="s">
        <v>2086</v>
      </c>
      <c r="D4" s="192" t="s">
        <v>268</v>
      </c>
      <c r="E4" s="193" t="s">
        <v>367</v>
      </c>
      <c r="F4" s="192" t="s">
        <v>438</v>
      </c>
      <c r="G4" s="194" t="s">
        <v>128</v>
      </c>
      <c r="H4" s="195"/>
      <c r="I4" s="195"/>
      <c r="J4" s="196">
        <v>152</v>
      </c>
      <c r="K4" s="52">
        <v>0</v>
      </c>
      <c r="L4" s="52">
        <v>0</v>
      </c>
      <c r="M4" s="52">
        <v>152</v>
      </c>
      <c r="N4" s="52">
        <v>0</v>
      </c>
      <c r="O4" s="52">
        <v>0</v>
      </c>
      <c r="P4" s="52">
        <v>152</v>
      </c>
      <c r="Q4" s="52">
        <v>0</v>
      </c>
      <c r="R4" s="52">
        <v>0</v>
      </c>
      <c r="S4" s="52">
        <v>152</v>
      </c>
      <c r="T4" s="52">
        <v>0</v>
      </c>
      <c r="U4" s="52">
        <v>0</v>
      </c>
      <c r="V4" s="197">
        <f>SUM(J4:U4)</f>
        <v>608</v>
      </c>
      <c r="W4" s="206"/>
      <c r="X4" s="199" t="s">
        <v>1941</v>
      </c>
      <c r="Y4" s="200"/>
      <c r="Z4" s="200" t="s">
        <v>2075</v>
      </c>
      <c r="AA4" s="201" t="s">
        <v>2076</v>
      </c>
      <c r="AB4" s="113"/>
      <c r="AC4" s="202" t="s">
        <v>2087</v>
      </c>
      <c r="AD4" s="203"/>
      <c r="AE4" s="203" t="s">
        <v>2079</v>
      </c>
      <c r="AF4" s="204" t="s">
        <v>2088</v>
      </c>
      <c r="AH4" s="205" t="s">
        <v>1109</v>
      </c>
      <c r="AI4" s="205" t="e">
        <f>IF(A4="","",IF(#REF!="human resources",IFERROR(IF(FIND("Selling",B4)&gt;0,"Selling","General Administrative"),"General Administrative"),IF(D4="10301S","Selling","General Administrative")))</f>
        <v>#REF!</v>
      </c>
      <c r="AJ4" s="205" t="s">
        <v>1286</v>
      </c>
    </row>
    <row r="5" spans="1:36" s="63" customFormat="1" ht="30" customHeight="1" x14ac:dyDescent="0.25">
      <c r="A5" s="189" t="s">
        <v>1750</v>
      </c>
      <c r="B5" s="190" t="s">
        <v>1751</v>
      </c>
      <c r="C5" s="191" t="s">
        <v>2089</v>
      </c>
      <c r="D5" s="192" t="s">
        <v>268</v>
      </c>
      <c r="E5" s="193" t="s">
        <v>367</v>
      </c>
      <c r="F5" s="192" t="s">
        <v>438</v>
      </c>
      <c r="G5" s="194" t="s">
        <v>128</v>
      </c>
      <c r="H5" s="195"/>
      <c r="I5" s="195"/>
      <c r="J5" s="196">
        <v>0</v>
      </c>
      <c r="K5" s="52">
        <v>0</v>
      </c>
      <c r="L5" s="52">
        <v>126.68918918918899</v>
      </c>
      <c r="M5" s="52">
        <v>0</v>
      </c>
      <c r="N5" s="52">
        <v>0</v>
      </c>
      <c r="O5" s="52">
        <v>127</v>
      </c>
      <c r="P5" s="52">
        <v>0</v>
      </c>
      <c r="Q5" s="52">
        <v>0</v>
      </c>
      <c r="R5" s="52">
        <v>0</v>
      </c>
      <c r="S5" s="52">
        <v>126.68918918918899</v>
      </c>
      <c r="T5" s="52">
        <v>0</v>
      </c>
      <c r="U5" s="52">
        <v>126.68918918918899</v>
      </c>
      <c r="V5" s="197">
        <f>SUM(J5:U5)</f>
        <v>507.06756756756698</v>
      </c>
      <c r="W5" s="207"/>
      <c r="X5" s="199" t="s">
        <v>1941</v>
      </c>
      <c r="Y5" s="200"/>
      <c r="Z5" s="200" t="s">
        <v>2075</v>
      </c>
      <c r="AA5" s="201" t="s">
        <v>2076</v>
      </c>
      <c r="AB5" s="113"/>
      <c r="AC5" s="202" t="s">
        <v>2090</v>
      </c>
      <c r="AD5" s="203"/>
      <c r="AE5" s="203" t="s">
        <v>2091</v>
      </c>
      <c r="AF5" s="204" t="s">
        <v>2092</v>
      </c>
      <c r="AH5" s="205" t="s">
        <v>1109</v>
      </c>
      <c r="AI5" s="205" t="e">
        <f>IF(A5="","",IF(#REF!="human resources",IFERROR(IF(FIND("Selling",B5)&gt;0,"Selling","General Administrative"),"General Administrative"),IF(D5="10301S","Selling","General Administrative")))</f>
        <v>#REF!</v>
      </c>
      <c r="AJ5" s="205" t="s">
        <v>1286</v>
      </c>
    </row>
    <row r="6" spans="1:36" s="63" customFormat="1" ht="30" customHeight="1" x14ac:dyDescent="0.25">
      <c r="A6" s="189" t="s">
        <v>1752</v>
      </c>
      <c r="B6" s="190" t="s">
        <v>1753</v>
      </c>
      <c r="C6" s="191" t="s">
        <v>2093</v>
      </c>
      <c r="D6" s="192" t="s">
        <v>268</v>
      </c>
      <c r="E6" s="193" t="s">
        <v>367</v>
      </c>
      <c r="F6" s="192" t="s">
        <v>438</v>
      </c>
      <c r="G6" s="194" t="s">
        <v>128</v>
      </c>
      <c r="H6" s="195"/>
      <c r="I6" s="195"/>
      <c r="J6" s="196">
        <v>280.416666666666</v>
      </c>
      <c r="K6" s="52">
        <v>280.416666666666</v>
      </c>
      <c r="L6" s="52">
        <v>280.416666666666</v>
      </c>
      <c r="M6" s="52">
        <v>280.416666666666</v>
      </c>
      <c r="N6" s="52">
        <v>280.416666666666</v>
      </c>
      <c r="O6" s="52">
        <v>280.416666666666</v>
      </c>
      <c r="P6" s="52">
        <v>280.416666666666</v>
      </c>
      <c r="Q6" s="52">
        <v>280.416666666666</v>
      </c>
      <c r="R6" s="52">
        <v>280.416666666666</v>
      </c>
      <c r="S6" s="52">
        <v>280.416666666666</v>
      </c>
      <c r="T6" s="52">
        <v>280.416666666666</v>
      </c>
      <c r="U6" s="52">
        <v>280.416666666666</v>
      </c>
      <c r="V6" s="197">
        <f t="shared" ref="V6:V8" si="0">SUM(J6:U6)</f>
        <v>3364.9999999999923</v>
      </c>
      <c r="W6" s="207"/>
      <c r="X6" s="199" t="s">
        <v>1941</v>
      </c>
      <c r="Y6" s="200"/>
      <c r="Z6" s="200" t="s">
        <v>2075</v>
      </c>
      <c r="AA6" s="201" t="s">
        <v>2076</v>
      </c>
      <c r="AB6" s="113"/>
      <c r="AC6" s="202" t="s">
        <v>2087</v>
      </c>
      <c r="AD6" s="203"/>
      <c r="AE6" s="203" t="s">
        <v>2094</v>
      </c>
      <c r="AF6" s="204" t="s">
        <v>2095</v>
      </c>
      <c r="AH6" s="205" t="s">
        <v>1109</v>
      </c>
      <c r="AI6" s="205" t="e">
        <f>IF(A6="","",IF(#REF!="human resources",IFERROR(IF(FIND("Selling",B6)&gt;0,"Selling","General Administrative"),"General Administrative"),IF(D6="10301S","Selling","General Administrative")))</f>
        <v>#REF!</v>
      </c>
      <c r="AJ6" s="205" t="s">
        <v>1286</v>
      </c>
    </row>
    <row r="7" spans="1:36" s="63" customFormat="1" ht="30" customHeight="1" x14ac:dyDescent="0.25">
      <c r="A7" s="189" t="s">
        <v>1752</v>
      </c>
      <c r="B7" s="190" t="s">
        <v>1753</v>
      </c>
      <c r="C7" s="191" t="s">
        <v>2096</v>
      </c>
      <c r="D7" s="192" t="s">
        <v>268</v>
      </c>
      <c r="E7" s="193" t="s">
        <v>367</v>
      </c>
      <c r="F7" s="192" t="s">
        <v>438</v>
      </c>
      <c r="G7" s="194" t="s">
        <v>128</v>
      </c>
      <c r="H7" s="195"/>
      <c r="I7" s="195"/>
      <c r="J7" s="196">
        <v>0</v>
      </c>
      <c r="K7" s="52">
        <v>0</v>
      </c>
      <c r="L7" s="52">
        <v>1121.6666666666599</v>
      </c>
      <c r="M7" s="52">
        <v>0</v>
      </c>
      <c r="N7" s="52">
        <v>0</v>
      </c>
      <c r="O7" s="52">
        <v>0</v>
      </c>
      <c r="P7" s="52">
        <v>0</v>
      </c>
      <c r="Q7" s="52">
        <v>1121.6666666666599</v>
      </c>
      <c r="R7" s="52">
        <v>0</v>
      </c>
      <c r="S7" s="52">
        <v>0</v>
      </c>
      <c r="T7" s="52">
        <v>0</v>
      </c>
      <c r="U7" s="52">
        <v>1121.6666666666599</v>
      </c>
      <c r="V7" s="197">
        <f t="shared" si="0"/>
        <v>3364.99999999998</v>
      </c>
      <c r="W7" s="207"/>
      <c r="X7" s="199"/>
      <c r="Y7" s="200"/>
      <c r="Z7" s="200"/>
      <c r="AA7" s="201"/>
      <c r="AB7" s="113"/>
      <c r="AC7" s="202" t="s">
        <v>2097</v>
      </c>
      <c r="AD7" s="203"/>
      <c r="AE7" s="203" t="s">
        <v>2098</v>
      </c>
      <c r="AF7" s="204" t="s">
        <v>2099</v>
      </c>
      <c r="AH7" s="205" t="s">
        <v>1109</v>
      </c>
      <c r="AI7" s="205" t="e">
        <f>IF(A7="","",IF(#REF!="human resources",IFERROR(IF(FIND("Selling",B7)&gt;0,"Selling","General Administrative"),"General Administrative"),IF(D7="10301S","Selling","General Administrative")))</f>
        <v>#REF!</v>
      </c>
      <c r="AJ7" s="205" t="s">
        <v>1286</v>
      </c>
    </row>
    <row r="8" spans="1:36" s="63" customFormat="1" ht="30" customHeight="1" x14ac:dyDescent="0.25">
      <c r="A8" s="189" t="s">
        <v>1746</v>
      </c>
      <c r="B8" s="190" t="s">
        <v>1747</v>
      </c>
      <c r="C8" s="191" t="s">
        <v>2100</v>
      </c>
      <c r="D8" s="192" t="s">
        <v>268</v>
      </c>
      <c r="E8" s="193" t="s">
        <v>367</v>
      </c>
      <c r="F8" s="192" t="s">
        <v>438</v>
      </c>
      <c r="G8" s="194" t="s">
        <v>128</v>
      </c>
      <c r="H8" s="195"/>
      <c r="I8" s="195"/>
      <c r="J8" s="196">
        <v>80.270270270270203</v>
      </c>
      <c r="K8" s="52">
        <v>0</v>
      </c>
      <c r="L8" s="52">
        <v>0</v>
      </c>
      <c r="M8" s="52">
        <v>80.270270270270203</v>
      </c>
      <c r="N8" s="52">
        <v>0</v>
      </c>
      <c r="O8" s="52">
        <v>0</v>
      </c>
      <c r="P8" s="52">
        <v>80.270270270270203</v>
      </c>
      <c r="Q8" s="52">
        <v>0</v>
      </c>
      <c r="R8" s="52">
        <v>80.270270270270203</v>
      </c>
      <c r="S8" s="52">
        <v>0</v>
      </c>
      <c r="T8" s="52">
        <v>80.270270270270203</v>
      </c>
      <c r="U8" s="52">
        <v>0</v>
      </c>
      <c r="V8" s="197">
        <f t="shared" si="0"/>
        <v>401.35135135135101</v>
      </c>
      <c r="W8" s="207"/>
      <c r="X8" s="199" t="s">
        <v>1941</v>
      </c>
      <c r="Y8" s="200"/>
      <c r="Z8" s="200" t="s">
        <v>2075</v>
      </c>
      <c r="AA8" s="201" t="s">
        <v>2076</v>
      </c>
      <c r="AB8" s="113" t="s">
        <v>2101</v>
      </c>
      <c r="AC8" s="202"/>
      <c r="AD8" s="203"/>
      <c r="AE8" s="203" t="s">
        <v>2102</v>
      </c>
      <c r="AF8" s="204" t="s">
        <v>2103</v>
      </c>
      <c r="AH8" s="205" t="s">
        <v>1109</v>
      </c>
      <c r="AI8" s="205" t="e">
        <f>IF(A8="","",IF(#REF!="human resources",IFERROR(IF(FIND("Selling",B8)&gt;0,"Selling","General Administrative"),"General Administrative"),IF(D8="10301S","Selling","General Administrative")))</f>
        <v>#REF!</v>
      </c>
      <c r="AJ8" s="205" t="s">
        <v>1286</v>
      </c>
    </row>
    <row r="9" spans="1:36" s="63" customFormat="1" ht="30" customHeight="1" x14ac:dyDescent="0.25">
      <c r="A9" s="189" t="s">
        <v>1754</v>
      </c>
      <c r="B9" s="190" t="s">
        <v>1755</v>
      </c>
      <c r="C9" s="191" t="s">
        <v>2104</v>
      </c>
      <c r="D9" s="192" t="s">
        <v>268</v>
      </c>
      <c r="E9" s="193" t="s">
        <v>367</v>
      </c>
      <c r="F9" s="192" t="s">
        <v>438</v>
      </c>
      <c r="G9" s="194" t="s">
        <v>128</v>
      </c>
      <c r="H9" s="195"/>
      <c r="I9" s="195"/>
      <c r="J9" s="208">
        <v>0</v>
      </c>
      <c r="K9" s="52">
        <v>0</v>
      </c>
      <c r="L9" s="52">
        <v>1807.6666666666599</v>
      </c>
      <c r="M9" s="52">
        <v>0</v>
      </c>
      <c r="N9" s="52">
        <v>0</v>
      </c>
      <c r="O9" s="52">
        <v>0</v>
      </c>
      <c r="P9" s="52">
        <v>0</v>
      </c>
      <c r="Q9" s="52">
        <v>1807.6666666666599</v>
      </c>
      <c r="R9" s="52">
        <v>0</v>
      </c>
      <c r="S9" s="52">
        <v>0</v>
      </c>
      <c r="T9" s="52">
        <v>0</v>
      </c>
      <c r="U9" s="52">
        <v>1807.6666666666599</v>
      </c>
      <c r="V9" s="197">
        <f>SUM(K9:U9)</f>
        <v>5422.99999999998</v>
      </c>
      <c r="W9" s="207"/>
      <c r="X9" s="199" t="s">
        <v>1941</v>
      </c>
      <c r="Y9" s="200"/>
      <c r="Z9" s="200" t="s">
        <v>2105</v>
      </c>
      <c r="AA9" s="201" t="s">
        <v>2076</v>
      </c>
      <c r="AB9" s="113"/>
      <c r="AC9" s="209"/>
      <c r="AD9" s="203"/>
      <c r="AE9" s="203" t="s">
        <v>2106</v>
      </c>
      <c r="AF9" s="204" t="s">
        <v>2107</v>
      </c>
      <c r="AH9" s="205" t="s">
        <v>1109</v>
      </c>
      <c r="AI9" s="205" t="e">
        <f>IF(A9="","",IF(#REF!="human resources",IFERROR(IF(FIND("Selling",B9)&gt;0,"Selling","General Administrative"),"General Administrative"),IF(D9="10301S","Selling","General Administrative")))</f>
        <v>#REF!</v>
      </c>
      <c r="AJ9" s="205" t="s">
        <v>1286</v>
      </c>
    </row>
    <row r="10" spans="1:36" s="63" customFormat="1" ht="30" customHeight="1" x14ac:dyDescent="0.25">
      <c r="A10" s="189" t="s">
        <v>1754</v>
      </c>
      <c r="B10" s="190" t="s">
        <v>1755</v>
      </c>
      <c r="C10" s="191" t="s">
        <v>2108</v>
      </c>
      <c r="D10" s="192" t="s">
        <v>268</v>
      </c>
      <c r="E10" s="193" t="s">
        <v>367</v>
      </c>
      <c r="F10" s="192" t="s">
        <v>438</v>
      </c>
      <c r="G10" s="194" t="s">
        <v>128</v>
      </c>
      <c r="H10" s="195"/>
      <c r="I10" s="195"/>
      <c r="J10" s="196">
        <v>841.25</v>
      </c>
      <c r="K10" s="52">
        <v>0</v>
      </c>
      <c r="L10" s="52">
        <v>0</v>
      </c>
      <c r="M10" s="52">
        <v>0</v>
      </c>
      <c r="N10" s="52">
        <v>841.25</v>
      </c>
      <c r="O10" s="52">
        <v>0</v>
      </c>
      <c r="P10" s="52">
        <v>0</v>
      </c>
      <c r="Q10" s="52">
        <v>841.25</v>
      </c>
      <c r="R10" s="52">
        <v>0</v>
      </c>
      <c r="S10" s="52">
        <v>0</v>
      </c>
      <c r="T10" s="52">
        <v>0</v>
      </c>
      <c r="U10" s="52">
        <v>841.25</v>
      </c>
      <c r="V10" s="197">
        <f t="shared" ref="V10:V73" si="1">SUM(J10:U10)</f>
        <v>3365</v>
      </c>
      <c r="W10" s="207"/>
      <c r="X10" s="199" t="s">
        <v>1941</v>
      </c>
      <c r="Y10" s="200"/>
      <c r="Z10" s="200" t="s">
        <v>2075</v>
      </c>
      <c r="AA10" s="200" t="s">
        <v>2076</v>
      </c>
      <c r="AB10" s="113"/>
      <c r="AC10" s="209" t="s">
        <v>2109</v>
      </c>
      <c r="AD10" s="203"/>
      <c r="AE10" s="203" t="s">
        <v>2110</v>
      </c>
      <c r="AF10" s="204" t="s">
        <v>2111</v>
      </c>
      <c r="AH10" s="205" t="s">
        <v>1109</v>
      </c>
      <c r="AI10" s="205" t="e">
        <f>IF(A10="","",IF(#REF!="human resources",IFERROR(IF(FIND("Selling",B10)&gt;0,"Selling","General Administrative"),"General Administrative"),IF(D10="10301S","Selling","General Administrative")))</f>
        <v>#REF!</v>
      </c>
      <c r="AJ10" s="205" t="s">
        <v>1286</v>
      </c>
    </row>
    <row r="11" spans="1:36" s="63" customFormat="1" ht="30" customHeight="1" x14ac:dyDescent="0.25">
      <c r="A11" s="189" t="s">
        <v>1756</v>
      </c>
      <c r="B11" s="190" t="s">
        <v>1757</v>
      </c>
      <c r="C11" s="191" t="s">
        <v>2112</v>
      </c>
      <c r="D11" s="192" t="s">
        <v>268</v>
      </c>
      <c r="E11" s="193" t="s">
        <v>367</v>
      </c>
      <c r="F11" s="192" t="s">
        <v>438</v>
      </c>
      <c r="G11" s="194" t="s">
        <v>128</v>
      </c>
      <c r="H11" s="195"/>
      <c r="I11" s="195"/>
      <c r="J11" s="196">
        <v>1041.5</v>
      </c>
      <c r="K11" s="52">
        <v>0</v>
      </c>
      <c r="L11" s="52">
        <v>0</v>
      </c>
      <c r="M11" s="52">
        <v>0</v>
      </c>
      <c r="N11" s="52">
        <v>1041.5</v>
      </c>
      <c r="O11" s="52">
        <v>0</v>
      </c>
      <c r="P11" s="52">
        <v>0</v>
      </c>
      <c r="Q11" s="52">
        <v>1041.5</v>
      </c>
      <c r="R11" s="52">
        <v>0</v>
      </c>
      <c r="S11" s="52">
        <v>0</v>
      </c>
      <c r="T11" s="52">
        <v>1041.5</v>
      </c>
      <c r="U11" s="52">
        <v>0</v>
      </c>
      <c r="V11" s="197">
        <f t="shared" si="1"/>
        <v>4166</v>
      </c>
      <c r="W11" s="207"/>
      <c r="X11" s="199" t="s">
        <v>1941</v>
      </c>
      <c r="Y11" s="200"/>
      <c r="Z11" s="200" t="s">
        <v>2105</v>
      </c>
      <c r="AA11" s="200" t="s">
        <v>2076</v>
      </c>
      <c r="AB11" s="113"/>
      <c r="AC11" s="202" t="s">
        <v>2113</v>
      </c>
      <c r="AD11" s="203"/>
      <c r="AE11" s="203" t="s">
        <v>2114</v>
      </c>
      <c r="AF11" s="204" t="s">
        <v>2115</v>
      </c>
      <c r="AH11" s="205" t="s">
        <v>1109</v>
      </c>
      <c r="AI11" s="205" t="e">
        <f>IF(A11="","",IF(#REF!="human resources",IFERROR(IF(FIND("Selling",B11)&gt;0,"Selling","General Administrative"),"General Administrative"),IF(D11="10301S","Selling","General Administrative")))</f>
        <v>#REF!</v>
      </c>
      <c r="AJ11" s="205" t="s">
        <v>1286</v>
      </c>
    </row>
    <row r="12" spans="1:36" s="63" customFormat="1" ht="30" customHeight="1" x14ac:dyDescent="0.25">
      <c r="A12" s="189" t="s">
        <v>1748</v>
      </c>
      <c r="B12" s="190" t="s">
        <v>1749</v>
      </c>
      <c r="C12" s="191" t="s">
        <v>2116</v>
      </c>
      <c r="D12" s="192" t="s">
        <v>268</v>
      </c>
      <c r="E12" s="193" t="s">
        <v>367</v>
      </c>
      <c r="F12" s="192" t="s">
        <v>438</v>
      </c>
      <c r="G12" s="194" t="s">
        <v>128</v>
      </c>
      <c r="H12" s="195"/>
      <c r="I12" s="195"/>
      <c r="J12" s="196">
        <v>80.2</v>
      </c>
      <c r="K12" s="52">
        <v>0</v>
      </c>
      <c r="L12" s="52">
        <v>80.2</v>
      </c>
      <c r="M12" s="52">
        <v>0</v>
      </c>
      <c r="N12" s="52">
        <v>80.2</v>
      </c>
      <c r="O12" s="52">
        <v>0</v>
      </c>
      <c r="P12" s="52">
        <v>0</v>
      </c>
      <c r="Q12" s="52">
        <v>80.2</v>
      </c>
      <c r="R12" s="52">
        <v>0</v>
      </c>
      <c r="S12" s="52">
        <v>0</v>
      </c>
      <c r="T12" s="52">
        <v>80.2</v>
      </c>
      <c r="U12" s="52">
        <v>0</v>
      </c>
      <c r="V12" s="197">
        <f t="shared" si="1"/>
        <v>401</v>
      </c>
      <c r="W12" s="207"/>
      <c r="X12" s="199" t="s">
        <v>1941</v>
      </c>
      <c r="Y12" s="200"/>
      <c r="Z12" s="200" t="s">
        <v>2075</v>
      </c>
      <c r="AA12" s="200" t="s">
        <v>2076</v>
      </c>
      <c r="AB12" s="113" t="s">
        <v>2117</v>
      </c>
      <c r="AC12" s="202"/>
      <c r="AD12" s="203"/>
      <c r="AE12" s="203" t="s">
        <v>2118</v>
      </c>
      <c r="AF12" s="204" t="s">
        <v>2119</v>
      </c>
      <c r="AH12" s="205" t="s">
        <v>1109</v>
      </c>
      <c r="AI12" s="205" t="e">
        <f>IF(A12="","",IF(#REF!="human resources",IFERROR(IF(FIND("Selling",B12)&gt;0,"Selling","General Administrative"),"General Administrative"),IF(D12="10301S","Selling","General Administrative")))</f>
        <v>#REF!</v>
      </c>
      <c r="AJ12" s="205" t="s">
        <v>1286</v>
      </c>
    </row>
    <row r="13" spans="1:36" s="63" customFormat="1" ht="30" customHeight="1" x14ac:dyDescent="0.25">
      <c r="A13" s="189" t="s">
        <v>1756</v>
      </c>
      <c r="B13" s="190" t="s">
        <v>1757</v>
      </c>
      <c r="C13" s="191" t="s">
        <v>2120</v>
      </c>
      <c r="D13" s="192" t="s">
        <v>268</v>
      </c>
      <c r="E13" s="193" t="s">
        <v>367</v>
      </c>
      <c r="F13" s="192" t="s">
        <v>438</v>
      </c>
      <c r="G13" s="194" t="s">
        <v>128</v>
      </c>
      <c r="H13" s="195"/>
      <c r="I13" s="195"/>
      <c r="J13" s="196">
        <v>0</v>
      </c>
      <c r="K13" s="52">
        <v>0</v>
      </c>
      <c r="L13" s="52">
        <v>641</v>
      </c>
      <c r="M13" s="52">
        <v>0</v>
      </c>
      <c r="N13" s="52">
        <v>0</v>
      </c>
      <c r="O13" s="52">
        <v>641</v>
      </c>
      <c r="P13" s="52">
        <v>0</v>
      </c>
      <c r="Q13" s="52">
        <v>0</v>
      </c>
      <c r="R13" s="52">
        <v>641</v>
      </c>
      <c r="S13" s="52">
        <v>0</v>
      </c>
      <c r="T13" s="52">
        <v>0</v>
      </c>
      <c r="U13" s="52">
        <v>641</v>
      </c>
      <c r="V13" s="197">
        <f t="shared" si="1"/>
        <v>2564</v>
      </c>
      <c r="W13" s="207"/>
      <c r="X13" s="199" t="s">
        <v>1941</v>
      </c>
      <c r="Y13" s="200"/>
      <c r="Z13" s="200" t="s">
        <v>2105</v>
      </c>
      <c r="AA13" s="200" t="s">
        <v>2076</v>
      </c>
      <c r="AB13" s="113"/>
      <c r="AC13" s="202"/>
      <c r="AD13" s="203"/>
      <c r="AE13" s="203" t="s">
        <v>2121</v>
      </c>
      <c r="AF13" s="204" t="s">
        <v>2122</v>
      </c>
      <c r="AH13" s="205" t="s">
        <v>1109</v>
      </c>
      <c r="AI13" s="205" t="e">
        <f>IF(A13="","",IF(#REF!="human resources",IFERROR(IF(FIND("Selling",B13)&gt;0,"Selling","General Administrative"),"General Administrative"),IF(D13="10301S","Selling","General Administrative")))</f>
        <v>#REF!</v>
      </c>
      <c r="AJ13" s="205" t="s">
        <v>1286</v>
      </c>
    </row>
    <row r="14" spans="1:36" s="63" customFormat="1" ht="30" customHeight="1" x14ac:dyDescent="0.25">
      <c r="A14" s="189" t="s">
        <v>1752</v>
      </c>
      <c r="B14" s="190" t="s">
        <v>1753</v>
      </c>
      <c r="C14" s="191" t="s">
        <v>2123</v>
      </c>
      <c r="D14" s="192" t="s">
        <v>268</v>
      </c>
      <c r="E14" s="193" t="s">
        <v>367</v>
      </c>
      <c r="F14" s="192" t="s">
        <v>438</v>
      </c>
      <c r="G14" s="194" t="s">
        <v>128</v>
      </c>
      <c r="H14" s="195"/>
      <c r="I14" s="195"/>
      <c r="J14" s="196">
        <v>675</v>
      </c>
      <c r="K14" s="52">
        <v>0</v>
      </c>
      <c r="L14" s="52">
        <v>0</v>
      </c>
      <c r="M14" s="52">
        <v>0</v>
      </c>
      <c r="N14" s="52">
        <v>0</v>
      </c>
      <c r="O14" s="52">
        <v>0</v>
      </c>
      <c r="P14" s="52">
        <v>675</v>
      </c>
      <c r="Q14" s="52">
        <v>0</v>
      </c>
      <c r="R14" s="52">
        <v>0</v>
      </c>
      <c r="S14" s="52">
        <v>0</v>
      </c>
      <c r="T14" s="52">
        <v>675</v>
      </c>
      <c r="U14" s="52">
        <v>0</v>
      </c>
      <c r="V14" s="197">
        <f t="shared" si="1"/>
        <v>2025</v>
      </c>
      <c r="W14" s="207"/>
      <c r="X14" s="199" t="s">
        <v>1941</v>
      </c>
      <c r="Y14" s="200"/>
      <c r="Z14" s="200" t="s">
        <v>2105</v>
      </c>
      <c r="AA14" s="200" t="s">
        <v>2076</v>
      </c>
      <c r="AB14" s="113" t="s">
        <v>2124</v>
      </c>
      <c r="AC14" s="202" t="s">
        <v>2087</v>
      </c>
      <c r="AD14" s="203"/>
      <c r="AE14" s="210" t="s">
        <v>2125</v>
      </c>
      <c r="AF14" s="204" t="s">
        <v>2126</v>
      </c>
      <c r="AH14" s="205" t="s">
        <v>1109</v>
      </c>
      <c r="AI14" s="205" t="e">
        <f>IF(A14="","",IF(#REF!="human resources",IFERROR(IF(FIND("Selling",B14)&gt;0,"Selling","General Administrative"),"General Administrative"),IF(D14="10301S","Selling","General Administrative")))</f>
        <v>#REF!</v>
      </c>
      <c r="AJ14" s="205" t="s">
        <v>1286</v>
      </c>
    </row>
    <row r="15" spans="1:36" s="63" customFormat="1" ht="30" customHeight="1" x14ac:dyDescent="0.25">
      <c r="A15" s="189" t="s">
        <v>1754</v>
      </c>
      <c r="B15" s="190" t="s">
        <v>1755</v>
      </c>
      <c r="C15" s="191" t="s">
        <v>2127</v>
      </c>
      <c r="D15" s="192" t="s">
        <v>268</v>
      </c>
      <c r="E15" s="193" t="s">
        <v>367</v>
      </c>
      <c r="F15" s="192" t="s">
        <v>438</v>
      </c>
      <c r="G15" s="194" t="s">
        <v>128</v>
      </c>
      <c r="H15" s="195"/>
      <c r="I15" s="195"/>
      <c r="J15" s="196">
        <v>0</v>
      </c>
      <c r="K15" s="52">
        <v>0</v>
      </c>
      <c r="L15" s="52">
        <v>338</v>
      </c>
      <c r="M15" s="52">
        <v>0</v>
      </c>
      <c r="N15" s="52">
        <v>0</v>
      </c>
      <c r="O15" s="52">
        <v>0</v>
      </c>
      <c r="P15" s="52">
        <v>338</v>
      </c>
      <c r="Q15" s="52">
        <v>0</v>
      </c>
      <c r="R15" s="52">
        <v>0</v>
      </c>
      <c r="S15" s="52">
        <v>0</v>
      </c>
      <c r="T15" s="52">
        <v>338</v>
      </c>
      <c r="U15" s="52">
        <v>0</v>
      </c>
      <c r="V15" s="197">
        <f t="shared" si="1"/>
        <v>1014</v>
      </c>
      <c r="W15" s="207"/>
      <c r="X15" s="199" t="s">
        <v>1941</v>
      </c>
      <c r="Y15" s="200"/>
      <c r="Z15" s="200" t="s">
        <v>2075</v>
      </c>
      <c r="AA15" s="200" t="s">
        <v>2076</v>
      </c>
      <c r="AB15" s="113"/>
      <c r="AC15" s="202"/>
      <c r="AD15" s="203"/>
      <c r="AE15" s="203" t="s">
        <v>2128</v>
      </c>
      <c r="AF15" s="204" t="s">
        <v>2129</v>
      </c>
      <c r="AH15" s="205" t="s">
        <v>1109</v>
      </c>
      <c r="AI15" s="205" t="e">
        <f>IF(A15="","",IF(#REF!="human resources",IFERROR(IF(FIND("Selling",B15)&gt;0,"Selling","General Administrative"),"General Administrative"),IF(D15="10301S","Selling","General Administrative")))</f>
        <v>#REF!</v>
      </c>
      <c r="AJ15" s="205" t="s">
        <v>1286</v>
      </c>
    </row>
    <row r="16" spans="1:36" s="63" customFormat="1" ht="30" customHeight="1" x14ac:dyDescent="0.25">
      <c r="A16" s="189" t="s">
        <v>1746</v>
      </c>
      <c r="B16" s="190" t="s">
        <v>1747</v>
      </c>
      <c r="C16" s="191" t="s">
        <v>2130</v>
      </c>
      <c r="D16" s="192" t="s">
        <v>268</v>
      </c>
      <c r="E16" s="193" t="s">
        <v>367</v>
      </c>
      <c r="F16" s="192" t="s">
        <v>438</v>
      </c>
      <c r="G16" s="194" t="s">
        <v>128</v>
      </c>
      <c r="H16" s="195"/>
      <c r="I16" s="195"/>
      <c r="J16" s="196">
        <v>504.72972972973002</v>
      </c>
      <c r="K16" s="52">
        <v>0</v>
      </c>
      <c r="L16" s="52">
        <v>0</v>
      </c>
      <c r="M16" s="52">
        <v>504.72972972973002</v>
      </c>
      <c r="N16" s="52">
        <v>0</v>
      </c>
      <c r="O16" s="52">
        <v>0</v>
      </c>
      <c r="P16" s="52">
        <v>504.72972972973002</v>
      </c>
      <c r="Q16" s="52">
        <v>0</v>
      </c>
      <c r="R16" s="52">
        <v>0</v>
      </c>
      <c r="S16" s="52">
        <v>504.72972972973002</v>
      </c>
      <c r="T16" s="52">
        <v>0</v>
      </c>
      <c r="U16" s="52">
        <v>0</v>
      </c>
      <c r="V16" s="197">
        <f t="shared" si="1"/>
        <v>2018.9189189189201</v>
      </c>
      <c r="W16" s="207"/>
      <c r="X16" s="199" t="s">
        <v>1941</v>
      </c>
      <c r="Y16" s="200"/>
      <c r="Z16" s="200" t="s">
        <v>2075</v>
      </c>
      <c r="AA16" s="200" t="s">
        <v>2076</v>
      </c>
      <c r="AB16" s="113"/>
      <c r="AC16" s="202" t="s">
        <v>2131</v>
      </c>
      <c r="AD16" s="203"/>
      <c r="AE16" s="203" t="s">
        <v>2132</v>
      </c>
      <c r="AF16" s="204" t="s">
        <v>2133</v>
      </c>
      <c r="AH16" s="205" t="s">
        <v>1109</v>
      </c>
      <c r="AI16" s="205" t="e">
        <f>IF(A16="","",IF(#REF!="human resources",IFERROR(IF(FIND("Selling",B16)&gt;0,"Selling","General Administrative"),"General Administrative"),IF(D16="10301S","Selling","General Administrative")))</f>
        <v>#REF!</v>
      </c>
      <c r="AJ16" s="205" t="s">
        <v>1286</v>
      </c>
    </row>
    <row r="17" spans="1:36" s="63" customFormat="1" ht="30" customHeight="1" x14ac:dyDescent="0.25">
      <c r="A17" s="189" t="s">
        <v>1748</v>
      </c>
      <c r="B17" s="190" t="s">
        <v>1749</v>
      </c>
      <c r="C17" s="191" t="s">
        <v>2134</v>
      </c>
      <c r="D17" s="192" t="s">
        <v>268</v>
      </c>
      <c r="E17" s="193" t="s">
        <v>367</v>
      </c>
      <c r="F17" s="192" t="s">
        <v>438</v>
      </c>
      <c r="G17" s="194" t="s">
        <v>128</v>
      </c>
      <c r="H17" s="195"/>
      <c r="I17" s="195"/>
      <c r="J17" s="196">
        <v>0</v>
      </c>
      <c r="K17" s="52">
        <v>0</v>
      </c>
      <c r="L17" s="52">
        <v>168.25</v>
      </c>
      <c r="M17" s="52">
        <v>0</v>
      </c>
      <c r="N17" s="52">
        <v>0</v>
      </c>
      <c r="O17" s="52">
        <v>168.25</v>
      </c>
      <c r="P17" s="52">
        <v>0</v>
      </c>
      <c r="Q17" s="52">
        <v>0</v>
      </c>
      <c r="R17" s="52">
        <v>168.25</v>
      </c>
      <c r="S17" s="52">
        <v>0</v>
      </c>
      <c r="T17" s="52">
        <v>0</v>
      </c>
      <c r="U17" s="52">
        <v>168.25</v>
      </c>
      <c r="V17" s="197">
        <f t="shared" si="1"/>
        <v>673</v>
      </c>
      <c r="W17" s="207"/>
      <c r="X17" s="199" t="s">
        <v>1941</v>
      </c>
      <c r="Y17" s="200"/>
      <c r="Z17" s="200" t="s">
        <v>2075</v>
      </c>
      <c r="AA17" s="200" t="s">
        <v>2076</v>
      </c>
      <c r="AB17" s="113"/>
      <c r="AC17" s="202"/>
      <c r="AD17" s="203"/>
      <c r="AE17" s="203" t="s">
        <v>2135</v>
      </c>
      <c r="AF17" s="204" t="s">
        <v>2136</v>
      </c>
      <c r="AH17" s="205" t="s">
        <v>1109</v>
      </c>
      <c r="AI17" s="205" t="e">
        <f>IF(A17="","",IF(#REF!="human resources",IFERROR(IF(FIND("Selling",B17)&gt;0,"Selling","General Administrative"),"General Administrative"),IF(D17="10301S","Selling","General Administrative")))</f>
        <v>#REF!</v>
      </c>
      <c r="AJ17" s="205" t="s">
        <v>1286</v>
      </c>
    </row>
    <row r="18" spans="1:36" s="63" customFormat="1" ht="30" customHeight="1" x14ac:dyDescent="0.25">
      <c r="A18" s="189" t="s">
        <v>1758</v>
      </c>
      <c r="B18" s="190" t="s">
        <v>1759</v>
      </c>
      <c r="C18" s="191" t="s">
        <v>2137</v>
      </c>
      <c r="D18" s="192" t="s">
        <v>268</v>
      </c>
      <c r="E18" s="193" t="s">
        <v>367</v>
      </c>
      <c r="F18" s="192" t="s">
        <v>438</v>
      </c>
      <c r="G18" s="194" t="s">
        <v>128</v>
      </c>
      <c r="H18" s="195"/>
      <c r="I18" s="195"/>
      <c r="J18" s="196">
        <v>1783.8</v>
      </c>
      <c r="K18" s="52">
        <v>0</v>
      </c>
      <c r="L18" s="52">
        <v>1783.8</v>
      </c>
      <c r="M18" s="52">
        <v>0</v>
      </c>
      <c r="N18" s="52">
        <v>0</v>
      </c>
      <c r="O18" s="52">
        <v>1783.8</v>
      </c>
      <c r="P18" s="52">
        <v>0</v>
      </c>
      <c r="Q18" s="52">
        <v>0</v>
      </c>
      <c r="R18" s="52">
        <v>1783.8</v>
      </c>
      <c r="S18" s="52">
        <v>0</v>
      </c>
      <c r="T18" s="52">
        <v>0</v>
      </c>
      <c r="U18" s="52">
        <v>1783.8</v>
      </c>
      <c r="V18" s="197">
        <f t="shared" si="1"/>
        <v>8919</v>
      </c>
      <c r="W18" s="207"/>
      <c r="X18" s="199" t="s">
        <v>1941</v>
      </c>
      <c r="Y18" s="200"/>
      <c r="Z18" s="200" t="s">
        <v>2105</v>
      </c>
      <c r="AA18" s="200" t="s">
        <v>2076</v>
      </c>
      <c r="AB18" s="113"/>
      <c r="AC18" s="202"/>
      <c r="AD18" s="203"/>
      <c r="AE18" s="203" t="s">
        <v>2138</v>
      </c>
      <c r="AF18" s="204" t="s">
        <v>2139</v>
      </c>
      <c r="AH18" s="205" t="s">
        <v>1109</v>
      </c>
      <c r="AI18" s="205" t="e">
        <f>IF(A18="","",IF(#REF!="human resources",IFERROR(IF(FIND("Selling",B18)&gt;0,"Selling","General Administrative"),"General Administrative"),IF(D18="10301S","Selling","General Administrative")))</f>
        <v>#REF!</v>
      </c>
      <c r="AJ18" s="205" t="s">
        <v>1286</v>
      </c>
    </row>
    <row r="19" spans="1:36" s="63" customFormat="1" ht="30" customHeight="1" x14ac:dyDescent="0.25">
      <c r="A19" s="189" t="s">
        <v>1760</v>
      </c>
      <c r="B19" s="190" t="s">
        <v>1761</v>
      </c>
      <c r="C19" s="191" t="s">
        <v>2140</v>
      </c>
      <c r="D19" s="192" t="s">
        <v>268</v>
      </c>
      <c r="E19" s="193" t="s">
        <v>367</v>
      </c>
      <c r="F19" s="192" t="s">
        <v>438</v>
      </c>
      <c r="G19" s="194" t="s">
        <v>128</v>
      </c>
      <c r="H19" s="195"/>
      <c r="I19" s="195"/>
      <c r="J19" s="196">
        <v>84</v>
      </c>
      <c r="K19" s="52">
        <v>0</v>
      </c>
      <c r="L19" s="52">
        <v>84</v>
      </c>
      <c r="M19" s="52">
        <v>0</v>
      </c>
      <c r="N19" s="52">
        <v>0</v>
      </c>
      <c r="O19" s="52">
        <v>0</v>
      </c>
      <c r="P19" s="52">
        <v>84</v>
      </c>
      <c r="Q19" s="52">
        <v>0</v>
      </c>
      <c r="R19" s="52">
        <v>0</v>
      </c>
      <c r="S19" s="52">
        <v>84</v>
      </c>
      <c r="T19" s="52">
        <v>0</v>
      </c>
      <c r="U19" s="52">
        <v>0</v>
      </c>
      <c r="V19" s="197">
        <f t="shared" si="1"/>
        <v>336</v>
      </c>
      <c r="W19" s="207"/>
      <c r="X19" s="199" t="s">
        <v>1941</v>
      </c>
      <c r="Y19" s="200"/>
      <c r="Z19" s="200" t="s">
        <v>2075</v>
      </c>
      <c r="AA19" s="200" t="s">
        <v>2076</v>
      </c>
      <c r="AB19" s="113"/>
      <c r="AC19" s="202" t="s">
        <v>2141</v>
      </c>
      <c r="AD19" s="203"/>
      <c r="AE19" s="203" t="s">
        <v>2142</v>
      </c>
      <c r="AF19" s="204" t="s">
        <v>2143</v>
      </c>
      <c r="AH19" s="205" t="s">
        <v>1109</v>
      </c>
      <c r="AI19" s="205" t="e">
        <f>IF(A19="","",IF(#REF!="human resources",IFERROR(IF(FIND("Selling",B19)&gt;0,"Selling","General Administrative"),"General Administrative"),IF(D19="10301S","Selling","General Administrative")))</f>
        <v>#REF!</v>
      </c>
      <c r="AJ19" s="205" t="s">
        <v>1286</v>
      </c>
    </row>
    <row r="20" spans="1:36" s="63" customFormat="1" ht="30" hidden="1" customHeight="1" x14ac:dyDescent="0.25">
      <c r="A20" s="174" t="s">
        <v>1752</v>
      </c>
      <c r="B20" s="190" t="s">
        <v>1753</v>
      </c>
      <c r="C20" s="191" t="s">
        <v>2144</v>
      </c>
      <c r="D20" s="192" t="s">
        <v>268</v>
      </c>
      <c r="E20" s="193" t="s">
        <v>367</v>
      </c>
      <c r="F20" s="192" t="s">
        <v>438</v>
      </c>
      <c r="G20" s="194" t="s">
        <v>128</v>
      </c>
      <c r="H20" s="195"/>
      <c r="I20" s="195"/>
      <c r="J20" s="196">
        <v>0</v>
      </c>
      <c r="K20" s="52">
        <v>0</v>
      </c>
      <c r="L20" s="52">
        <v>0</v>
      </c>
      <c r="M20" s="52">
        <v>0</v>
      </c>
      <c r="N20" s="52">
        <v>0</v>
      </c>
      <c r="O20" s="52">
        <v>0</v>
      </c>
      <c r="P20" s="52">
        <v>0</v>
      </c>
      <c r="Q20" s="52">
        <v>0</v>
      </c>
      <c r="R20" s="52">
        <v>0</v>
      </c>
      <c r="S20" s="52">
        <v>0</v>
      </c>
      <c r="T20" s="52">
        <v>0</v>
      </c>
      <c r="U20" s="52">
        <v>0</v>
      </c>
      <c r="V20" s="197">
        <f t="shared" si="1"/>
        <v>0</v>
      </c>
      <c r="W20" s="207"/>
      <c r="X20" s="199" t="s">
        <v>1941</v>
      </c>
      <c r="Y20" s="200"/>
      <c r="Z20" s="200"/>
      <c r="AA20" s="200"/>
      <c r="AB20" s="113"/>
      <c r="AC20" s="203"/>
      <c r="AD20" s="203"/>
      <c r="AE20" s="210"/>
      <c r="AF20" s="201" t="s">
        <v>2077</v>
      </c>
      <c r="AH20" s="205" t="s">
        <v>1109</v>
      </c>
      <c r="AI20" s="205" t="e">
        <f>IF(A20="","",IF(#REF!="human resources",IFERROR(IF(FIND("Selling",B20)&gt;0,"Selling","General Administrative"),"General Administrative"),IF(D20="10301S","Selling","General Administrative")))</f>
        <v>#REF!</v>
      </c>
      <c r="AJ20" s="205" t="s">
        <v>1286</v>
      </c>
    </row>
    <row r="21" spans="1:36" s="63" customFormat="1" ht="30" customHeight="1" x14ac:dyDescent="0.25">
      <c r="A21" s="189" t="s">
        <v>1752</v>
      </c>
      <c r="B21" s="190" t="s">
        <v>1753</v>
      </c>
      <c r="C21" s="191" t="s">
        <v>2145</v>
      </c>
      <c r="D21" s="192" t="s">
        <v>268</v>
      </c>
      <c r="E21" s="193" t="s">
        <v>367</v>
      </c>
      <c r="F21" s="192" t="s">
        <v>438</v>
      </c>
      <c r="G21" s="194" t="s">
        <v>128</v>
      </c>
      <c r="H21" s="195"/>
      <c r="I21" s="195"/>
      <c r="J21" s="196">
        <v>0</v>
      </c>
      <c r="K21" s="52">
        <v>1600</v>
      </c>
      <c r="L21" s="52">
        <v>0</v>
      </c>
      <c r="M21" s="52">
        <v>1600</v>
      </c>
      <c r="N21" s="52">
        <v>0</v>
      </c>
      <c r="O21" s="52">
        <v>1600</v>
      </c>
      <c r="P21" s="52">
        <v>1600</v>
      </c>
      <c r="Q21" s="52">
        <v>0</v>
      </c>
      <c r="R21" s="52">
        <v>0</v>
      </c>
      <c r="S21" s="52">
        <v>1600</v>
      </c>
      <c r="T21" s="52">
        <v>0</v>
      </c>
      <c r="U21" s="52">
        <v>0</v>
      </c>
      <c r="V21" s="197">
        <f t="shared" si="1"/>
        <v>8000</v>
      </c>
      <c r="W21" s="207"/>
      <c r="X21" s="199" t="s">
        <v>1941</v>
      </c>
      <c r="Y21" s="200"/>
      <c r="Z21" s="200" t="s">
        <v>2105</v>
      </c>
      <c r="AA21" s="200" t="s">
        <v>2076</v>
      </c>
      <c r="AB21" s="113"/>
      <c r="AC21" s="202" t="s">
        <v>2090</v>
      </c>
      <c r="AD21" s="203"/>
      <c r="AE21" s="203" t="s">
        <v>2146</v>
      </c>
      <c r="AF21" s="204" t="s">
        <v>2147</v>
      </c>
      <c r="AH21" s="205" t="s">
        <v>1109</v>
      </c>
      <c r="AI21" s="205" t="e">
        <f>IF(A21="","",IF(#REF!="human resources",IFERROR(IF(FIND("Selling",B21)&gt;0,"Selling","General Administrative"),"General Administrative"),IF(D21="10301S","Selling","General Administrative")))</f>
        <v>#REF!</v>
      </c>
      <c r="AJ21" s="205" t="s">
        <v>1286</v>
      </c>
    </row>
    <row r="22" spans="1:36" s="63" customFormat="1" ht="30" hidden="1" customHeight="1" x14ac:dyDescent="0.25">
      <c r="A22" s="174" t="s">
        <v>1756</v>
      </c>
      <c r="B22" s="190" t="s">
        <v>1757</v>
      </c>
      <c r="C22" s="191" t="s">
        <v>2148</v>
      </c>
      <c r="D22" s="192" t="s">
        <v>268</v>
      </c>
      <c r="E22" s="193" t="s">
        <v>367</v>
      </c>
      <c r="F22" s="192" t="s">
        <v>438</v>
      </c>
      <c r="G22" s="194" t="s">
        <v>128</v>
      </c>
      <c r="H22" s="195"/>
      <c r="I22" s="195"/>
      <c r="J22" s="196">
        <v>0</v>
      </c>
      <c r="K22" s="52">
        <v>0</v>
      </c>
      <c r="L22" s="52">
        <v>0</v>
      </c>
      <c r="M22" s="52">
        <v>0</v>
      </c>
      <c r="N22" s="52">
        <v>0</v>
      </c>
      <c r="O22" s="52">
        <v>0</v>
      </c>
      <c r="P22" s="52">
        <v>0</v>
      </c>
      <c r="Q22" s="52">
        <v>0</v>
      </c>
      <c r="R22" s="52">
        <v>0</v>
      </c>
      <c r="S22" s="52">
        <v>0</v>
      </c>
      <c r="T22" s="52">
        <v>0</v>
      </c>
      <c r="U22" s="52">
        <v>0</v>
      </c>
      <c r="V22" s="197">
        <f t="shared" si="1"/>
        <v>0</v>
      </c>
      <c r="W22" s="207"/>
      <c r="X22" s="199" t="s">
        <v>1941</v>
      </c>
      <c r="Y22" s="200"/>
      <c r="Z22" s="200"/>
      <c r="AA22" s="200"/>
      <c r="AB22" s="113"/>
      <c r="AC22" s="203"/>
      <c r="AD22" s="203"/>
      <c r="AE22" s="210"/>
      <c r="AF22" s="201" t="s">
        <v>2077</v>
      </c>
      <c r="AH22" s="205" t="s">
        <v>1109</v>
      </c>
      <c r="AI22" s="205" t="e">
        <f>IF(A22="","",IF(#REF!="human resources",IFERROR(IF(FIND("Selling",B22)&gt;0,"Selling","General Administrative"),"General Administrative"),IF(D22="10301S","Selling","General Administrative")))</f>
        <v>#REF!</v>
      </c>
      <c r="AJ22" s="205" t="s">
        <v>1286</v>
      </c>
    </row>
    <row r="23" spans="1:36" s="63" customFormat="1" ht="30" hidden="1" customHeight="1" x14ac:dyDescent="0.25">
      <c r="A23" s="174" t="s">
        <v>1756</v>
      </c>
      <c r="B23" s="190" t="s">
        <v>1757</v>
      </c>
      <c r="C23" s="191" t="s">
        <v>2149</v>
      </c>
      <c r="D23" s="192" t="s">
        <v>268</v>
      </c>
      <c r="E23" s="193" t="s">
        <v>367</v>
      </c>
      <c r="F23" s="192" t="s">
        <v>438</v>
      </c>
      <c r="G23" s="194" t="s">
        <v>128</v>
      </c>
      <c r="H23" s="195"/>
      <c r="I23" s="195"/>
      <c r="J23" s="196">
        <v>0</v>
      </c>
      <c r="K23" s="52">
        <v>0</v>
      </c>
      <c r="L23" s="52">
        <v>0</v>
      </c>
      <c r="M23" s="52">
        <v>0</v>
      </c>
      <c r="N23" s="52">
        <v>0</v>
      </c>
      <c r="O23" s="52">
        <v>0</v>
      </c>
      <c r="P23" s="52">
        <v>0</v>
      </c>
      <c r="Q23" s="52">
        <v>0</v>
      </c>
      <c r="R23" s="52">
        <v>0</v>
      </c>
      <c r="S23" s="52">
        <v>0</v>
      </c>
      <c r="T23" s="52">
        <v>0</v>
      </c>
      <c r="U23" s="52">
        <v>0</v>
      </c>
      <c r="V23" s="197">
        <f t="shared" si="1"/>
        <v>0</v>
      </c>
      <c r="W23" s="207"/>
      <c r="X23" s="199" t="s">
        <v>1941</v>
      </c>
      <c r="Y23" s="200"/>
      <c r="Z23" s="200"/>
      <c r="AA23" s="200"/>
      <c r="AB23" s="113"/>
      <c r="AC23" s="203"/>
      <c r="AD23" s="203"/>
      <c r="AE23" s="210"/>
      <c r="AF23" s="201" t="s">
        <v>2077</v>
      </c>
      <c r="AH23" s="205" t="s">
        <v>1109</v>
      </c>
      <c r="AI23" s="205" t="e">
        <f>IF(A23="","",IF(#REF!="human resources",IFERROR(IF(FIND("Selling",B23)&gt;0,"Selling","General Administrative"),"General Administrative"),IF(D23="10301S","Selling","General Administrative")))</f>
        <v>#REF!</v>
      </c>
      <c r="AJ23" s="205" t="s">
        <v>1286</v>
      </c>
    </row>
    <row r="24" spans="1:36" s="63" customFormat="1" ht="30" customHeight="1" x14ac:dyDescent="0.25">
      <c r="A24" s="189" t="s">
        <v>1752</v>
      </c>
      <c r="B24" s="190" t="s">
        <v>1753</v>
      </c>
      <c r="C24" s="191" t="s">
        <v>2150</v>
      </c>
      <c r="D24" s="192" t="s">
        <v>268</v>
      </c>
      <c r="E24" s="193" t="s">
        <v>367</v>
      </c>
      <c r="F24" s="192" t="s">
        <v>438</v>
      </c>
      <c r="G24" s="194" t="s">
        <v>128</v>
      </c>
      <c r="H24" s="195"/>
      <c r="I24" s="195"/>
      <c r="J24" s="196">
        <v>0</v>
      </c>
      <c r="K24" s="52">
        <v>0</v>
      </c>
      <c r="L24" s="52">
        <v>0</v>
      </c>
      <c r="M24" s="52">
        <v>0</v>
      </c>
      <c r="N24" s="52">
        <v>2703</v>
      </c>
      <c r="O24" s="52">
        <v>0</v>
      </c>
      <c r="P24" s="52">
        <v>0</v>
      </c>
      <c r="Q24" s="52">
        <v>0</v>
      </c>
      <c r="R24" s="52">
        <v>0</v>
      </c>
      <c r="S24" s="52">
        <v>0</v>
      </c>
      <c r="T24" s="52">
        <v>0</v>
      </c>
      <c r="U24" s="52">
        <v>0</v>
      </c>
      <c r="V24" s="197">
        <f t="shared" si="1"/>
        <v>2703</v>
      </c>
      <c r="W24" s="207"/>
      <c r="X24" s="199" t="s">
        <v>1941</v>
      </c>
      <c r="Y24" s="200"/>
      <c r="Z24" s="200" t="s">
        <v>2105</v>
      </c>
      <c r="AA24" s="200" t="s">
        <v>2076</v>
      </c>
      <c r="AB24" s="113"/>
      <c r="AC24" s="202" t="s">
        <v>2087</v>
      </c>
      <c r="AD24" s="203"/>
      <c r="AE24" s="203" t="s">
        <v>2151</v>
      </c>
      <c r="AF24" s="204" t="s">
        <v>2152</v>
      </c>
      <c r="AH24" s="205" t="s">
        <v>1109</v>
      </c>
      <c r="AI24" s="205" t="e">
        <f>IF(A24="","",IF(#REF!="human resources",IFERROR(IF(FIND("Selling",B24)&gt;0,"Selling","General Administrative"),"General Administrative"),IF(D24="10301S","Selling","General Administrative")))</f>
        <v>#REF!</v>
      </c>
      <c r="AJ24" s="205" t="s">
        <v>1286</v>
      </c>
    </row>
    <row r="25" spans="1:36" s="63" customFormat="1" ht="30" customHeight="1" x14ac:dyDescent="0.25">
      <c r="A25" s="189" t="s">
        <v>1762</v>
      </c>
      <c r="B25" s="190" t="s">
        <v>1763</v>
      </c>
      <c r="C25" s="191" t="s">
        <v>2153</v>
      </c>
      <c r="D25" s="192" t="s">
        <v>268</v>
      </c>
      <c r="E25" s="193" t="s">
        <v>367</v>
      </c>
      <c r="F25" s="192" t="s">
        <v>438</v>
      </c>
      <c r="G25" s="194" t="s">
        <v>128</v>
      </c>
      <c r="H25" s="195"/>
      <c r="I25" s="195"/>
      <c r="J25" s="196">
        <v>0</v>
      </c>
      <c r="K25" s="52">
        <v>389.18918918918803</v>
      </c>
      <c r="L25" s="52">
        <v>0</v>
      </c>
      <c r="M25" s="52">
        <v>389.2</v>
      </c>
      <c r="N25" s="52">
        <v>0</v>
      </c>
      <c r="O25" s="52">
        <v>0</v>
      </c>
      <c r="P25" s="52">
        <v>389.18918918918803</v>
      </c>
      <c r="Q25" s="52">
        <v>0</v>
      </c>
      <c r="R25" s="52">
        <v>0</v>
      </c>
      <c r="S25" s="52">
        <v>389.18918918918803</v>
      </c>
      <c r="T25" s="52">
        <v>0</v>
      </c>
      <c r="U25" s="52">
        <v>389.18918918918803</v>
      </c>
      <c r="V25" s="197">
        <f t="shared" si="1"/>
        <v>1945.9567567567522</v>
      </c>
      <c r="W25" s="207"/>
      <c r="X25" s="199" t="s">
        <v>1941</v>
      </c>
      <c r="Y25" s="200"/>
      <c r="Z25" s="200" t="s">
        <v>2105</v>
      </c>
      <c r="AA25" s="200" t="s">
        <v>2076</v>
      </c>
      <c r="AB25" s="113"/>
      <c r="AC25" s="202" t="s">
        <v>2154</v>
      </c>
      <c r="AD25" s="203"/>
      <c r="AE25" s="203" t="s">
        <v>2155</v>
      </c>
      <c r="AF25" s="204" t="s">
        <v>2156</v>
      </c>
      <c r="AH25" s="205" t="s">
        <v>1109</v>
      </c>
      <c r="AI25" s="205" t="e">
        <f>IF(A25="","",IF(#REF!="human resources",IFERROR(IF(FIND("Selling",B25)&gt;0,"Selling","General Administrative"),"General Administrative"),IF(D25="10301S","Selling","General Administrative")))</f>
        <v>#REF!</v>
      </c>
      <c r="AJ25" s="205" t="s">
        <v>1286</v>
      </c>
    </row>
    <row r="26" spans="1:36" s="63" customFormat="1" ht="30" hidden="1" customHeight="1" x14ac:dyDescent="0.25">
      <c r="A26" s="174" t="s">
        <v>1762</v>
      </c>
      <c r="B26" s="190" t="s">
        <v>1763</v>
      </c>
      <c r="C26" s="191" t="s">
        <v>2157</v>
      </c>
      <c r="D26" s="192" t="s">
        <v>268</v>
      </c>
      <c r="E26" s="193" t="s">
        <v>367</v>
      </c>
      <c r="F26" s="192" t="s">
        <v>438</v>
      </c>
      <c r="G26" s="194" t="s">
        <v>128</v>
      </c>
      <c r="H26" s="195"/>
      <c r="I26" s="195"/>
      <c r="J26" s="196">
        <v>0</v>
      </c>
      <c r="K26" s="52">
        <v>0</v>
      </c>
      <c r="L26" s="52">
        <v>0</v>
      </c>
      <c r="M26" s="52">
        <v>0</v>
      </c>
      <c r="N26" s="52">
        <v>0</v>
      </c>
      <c r="O26" s="52">
        <v>0</v>
      </c>
      <c r="P26" s="52">
        <v>0</v>
      </c>
      <c r="Q26" s="52">
        <v>0</v>
      </c>
      <c r="R26" s="52">
        <v>0</v>
      </c>
      <c r="S26" s="52">
        <v>0</v>
      </c>
      <c r="T26" s="52">
        <v>0</v>
      </c>
      <c r="U26" s="52">
        <v>0</v>
      </c>
      <c r="V26" s="197">
        <f t="shared" si="1"/>
        <v>0</v>
      </c>
      <c r="W26" s="207"/>
      <c r="X26" s="199" t="s">
        <v>1941</v>
      </c>
      <c r="Y26" s="200"/>
      <c r="Z26" s="200"/>
      <c r="AA26" s="200"/>
      <c r="AB26" s="113"/>
      <c r="AC26" s="203"/>
      <c r="AD26" s="203"/>
      <c r="AE26" s="210"/>
      <c r="AF26" s="201" t="s">
        <v>2077</v>
      </c>
      <c r="AH26" s="205" t="s">
        <v>1109</v>
      </c>
      <c r="AI26" s="205" t="e">
        <f>IF(A26="","",IF(#REF!="human resources",IFERROR(IF(FIND("Selling",B26)&gt;0,"Selling","General Administrative"),"General Administrative"),IF(D26="10301S","Selling","General Administrative")))</f>
        <v>#REF!</v>
      </c>
      <c r="AJ26" s="205" t="s">
        <v>1286</v>
      </c>
    </row>
    <row r="27" spans="1:36" s="63" customFormat="1" ht="30" hidden="1" customHeight="1" x14ac:dyDescent="0.25">
      <c r="A27" s="174" t="s">
        <v>1752</v>
      </c>
      <c r="B27" s="190" t="s">
        <v>1753</v>
      </c>
      <c r="C27" s="191" t="s">
        <v>2158</v>
      </c>
      <c r="D27" s="192" t="s">
        <v>268</v>
      </c>
      <c r="E27" s="193" t="s">
        <v>367</v>
      </c>
      <c r="F27" s="192" t="s">
        <v>438</v>
      </c>
      <c r="G27" s="194" t="s">
        <v>128</v>
      </c>
      <c r="H27" s="195"/>
      <c r="I27" s="195"/>
      <c r="J27" s="196">
        <v>0</v>
      </c>
      <c r="K27" s="52">
        <v>0</v>
      </c>
      <c r="L27" s="52">
        <v>0</v>
      </c>
      <c r="M27" s="52">
        <v>0</v>
      </c>
      <c r="N27" s="52">
        <v>0</v>
      </c>
      <c r="O27" s="52">
        <v>0</v>
      </c>
      <c r="P27" s="52">
        <v>0</v>
      </c>
      <c r="Q27" s="52">
        <v>0</v>
      </c>
      <c r="R27" s="52">
        <v>0</v>
      </c>
      <c r="S27" s="52">
        <v>0</v>
      </c>
      <c r="T27" s="52">
        <v>0</v>
      </c>
      <c r="U27" s="52">
        <v>0</v>
      </c>
      <c r="V27" s="197">
        <f t="shared" si="1"/>
        <v>0</v>
      </c>
      <c r="W27" s="207"/>
      <c r="X27" s="199" t="s">
        <v>1941</v>
      </c>
      <c r="Y27" s="200"/>
      <c r="Z27" s="200"/>
      <c r="AA27" s="200"/>
      <c r="AB27" s="113"/>
      <c r="AC27" s="203"/>
      <c r="AD27" s="203"/>
      <c r="AE27" s="210"/>
      <c r="AF27" s="201" t="s">
        <v>2077</v>
      </c>
      <c r="AH27" s="205" t="s">
        <v>1109</v>
      </c>
      <c r="AI27" s="205" t="e">
        <f>IF(A27="","",IF(#REF!="human resources",IFERROR(IF(FIND("Selling",B27)&gt;0,"Selling","General Administrative"),"General Administrative"),IF(D27="10301S","Selling","General Administrative")))</f>
        <v>#REF!</v>
      </c>
      <c r="AJ27" s="205" t="s">
        <v>1286</v>
      </c>
    </row>
    <row r="28" spans="1:36" s="63" customFormat="1" ht="30" customHeight="1" x14ac:dyDescent="0.25">
      <c r="A28" s="189" t="s">
        <v>1764</v>
      </c>
      <c r="B28" s="190" t="s">
        <v>1765</v>
      </c>
      <c r="C28" s="191" t="s">
        <v>2159</v>
      </c>
      <c r="D28" s="192" t="s">
        <v>268</v>
      </c>
      <c r="E28" s="193" t="s">
        <v>367</v>
      </c>
      <c r="F28" s="192" t="s">
        <v>438</v>
      </c>
      <c r="G28" s="194" t="s">
        <v>128</v>
      </c>
      <c r="H28" s="195"/>
      <c r="I28" s="195"/>
      <c r="J28" s="196">
        <v>1230.4000000000001</v>
      </c>
      <c r="K28" s="52">
        <v>0</v>
      </c>
      <c r="L28" s="52">
        <v>1230.4000000000001</v>
      </c>
      <c r="M28" s="52">
        <v>0</v>
      </c>
      <c r="N28" s="52">
        <v>0</v>
      </c>
      <c r="O28" s="52">
        <v>1230.4000000000001</v>
      </c>
      <c r="P28" s="52">
        <v>0</v>
      </c>
      <c r="Q28" s="52">
        <v>0</v>
      </c>
      <c r="R28" s="52">
        <v>1230.4000000000001</v>
      </c>
      <c r="S28" s="52">
        <v>0</v>
      </c>
      <c r="T28" s="52">
        <v>0</v>
      </c>
      <c r="U28" s="52">
        <v>1230.4000000000001</v>
      </c>
      <c r="V28" s="197">
        <f t="shared" si="1"/>
        <v>6152</v>
      </c>
      <c r="W28" s="207"/>
      <c r="X28" s="199" t="s">
        <v>1941</v>
      </c>
      <c r="Y28" s="200"/>
      <c r="Z28" s="200" t="s">
        <v>2105</v>
      </c>
      <c r="AA28" s="200" t="s">
        <v>2076</v>
      </c>
      <c r="AB28" s="113"/>
      <c r="AC28" s="202" t="s">
        <v>2101</v>
      </c>
      <c r="AD28" s="203"/>
      <c r="AE28" s="203" t="s">
        <v>2128</v>
      </c>
      <c r="AF28" s="204" t="s">
        <v>2160</v>
      </c>
      <c r="AH28" s="205" t="s">
        <v>1109</v>
      </c>
      <c r="AI28" s="205" t="e">
        <f>IF(A28="","",IF(#REF!="human resources",IFERROR(IF(FIND("Selling",B28)&gt;0,"Selling","General Administrative"),"General Administrative"),IF(D28="10301S","Selling","General Administrative")))</f>
        <v>#REF!</v>
      </c>
      <c r="AJ28" s="205" t="s">
        <v>1286</v>
      </c>
    </row>
    <row r="29" spans="1:36" s="63" customFormat="1" ht="30" customHeight="1" x14ac:dyDescent="0.25">
      <c r="A29" s="189" t="s">
        <v>1766</v>
      </c>
      <c r="B29" s="190" t="s">
        <v>1490</v>
      </c>
      <c r="C29" s="191" t="s">
        <v>2161</v>
      </c>
      <c r="D29" s="192" t="s">
        <v>268</v>
      </c>
      <c r="E29" s="193" t="s">
        <v>367</v>
      </c>
      <c r="F29" s="192" t="s">
        <v>515</v>
      </c>
      <c r="G29" s="194" t="s">
        <v>214</v>
      </c>
      <c r="H29" s="195"/>
      <c r="I29" s="195"/>
      <c r="J29" s="196">
        <v>0</v>
      </c>
      <c r="K29" s="52">
        <v>2064</v>
      </c>
      <c r="L29" s="52">
        <v>0</v>
      </c>
      <c r="M29" s="52">
        <v>0</v>
      </c>
      <c r="N29" s="52">
        <v>2064</v>
      </c>
      <c r="O29" s="52">
        <v>0</v>
      </c>
      <c r="P29" s="52">
        <v>0</v>
      </c>
      <c r="Q29" s="52">
        <v>2064</v>
      </c>
      <c r="R29" s="52">
        <v>0</v>
      </c>
      <c r="S29" s="52">
        <v>0</v>
      </c>
      <c r="T29" s="52">
        <v>2064</v>
      </c>
      <c r="U29" s="52">
        <v>0</v>
      </c>
      <c r="V29" s="197">
        <f t="shared" si="1"/>
        <v>8256</v>
      </c>
      <c r="W29" s="207"/>
      <c r="X29" s="199" t="s">
        <v>1941</v>
      </c>
      <c r="Y29" s="200"/>
      <c r="Z29" s="200" t="s">
        <v>2105</v>
      </c>
      <c r="AA29" s="200" t="s">
        <v>2076</v>
      </c>
      <c r="AB29" s="113"/>
      <c r="AC29" s="202"/>
      <c r="AD29" s="203"/>
      <c r="AE29" s="203" t="s">
        <v>2162</v>
      </c>
      <c r="AF29" s="211" t="s">
        <v>2163</v>
      </c>
      <c r="AH29" s="205" t="s">
        <v>1002</v>
      </c>
      <c r="AI29" s="205" t="e">
        <f>IF(A29="","",IF(#REF!="human resources",IFERROR(IF(FIND("Selling",B29)&gt;0,"Selling","General Administrative"),"General Administrative"),IF(D29="10301S","Selling","General Administrative")))</f>
        <v>#REF!</v>
      </c>
      <c r="AJ29" s="205" t="s">
        <v>1299</v>
      </c>
    </row>
    <row r="30" spans="1:36" s="63" customFormat="1" ht="30" hidden="1" customHeight="1" x14ac:dyDescent="0.25">
      <c r="A30" s="174" t="s">
        <v>1767</v>
      </c>
      <c r="B30" s="190" t="s">
        <v>1768</v>
      </c>
      <c r="C30" s="191" t="s">
        <v>2164</v>
      </c>
      <c r="D30" s="192" t="s">
        <v>268</v>
      </c>
      <c r="E30" s="193" t="s">
        <v>367</v>
      </c>
      <c r="F30" s="192" t="s">
        <v>494</v>
      </c>
      <c r="G30" s="194" t="s">
        <v>165</v>
      </c>
      <c r="H30" s="195"/>
      <c r="I30" s="195"/>
      <c r="J30" s="196">
        <v>0</v>
      </c>
      <c r="K30" s="52">
        <v>0</v>
      </c>
      <c r="L30" s="52">
        <v>0</v>
      </c>
      <c r="M30" s="52">
        <v>0</v>
      </c>
      <c r="N30" s="52">
        <v>0</v>
      </c>
      <c r="O30" s="52">
        <v>0</v>
      </c>
      <c r="P30" s="52">
        <v>0</v>
      </c>
      <c r="Q30" s="52">
        <v>0</v>
      </c>
      <c r="R30" s="52">
        <v>0</v>
      </c>
      <c r="S30" s="52">
        <v>0</v>
      </c>
      <c r="T30" s="52">
        <v>0</v>
      </c>
      <c r="U30" s="52">
        <v>0</v>
      </c>
      <c r="V30" s="197">
        <f t="shared" si="1"/>
        <v>0</v>
      </c>
      <c r="W30" s="207"/>
      <c r="X30" s="199" t="s">
        <v>1941</v>
      </c>
      <c r="Y30" s="200"/>
      <c r="Z30" s="200"/>
      <c r="AA30" s="200"/>
      <c r="AB30" s="113"/>
      <c r="AC30" s="203"/>
      <c r="AD30" s="203"/>
      <c r="AE30" s="210"/>
      <c r="AF30" s="201" t="s">
        <v>2077</v>
      </c>
      <c r="AH30" s="205" t="s">
        <v>1152</v>
      </c>
      <c r="AI30" s="205" t="e">
        <f>IF(A30="","",IF(#REF!="human resources",IFERROR(IF(FIND("Selling",B30)&gt;0,"Selling","General Administrative"),"General Administrative"),IF(D30="10301S","Selling","General Administrative")))</f>
        <v>#REF!</v>
      </c>
      <c r="AJ30" s="205" t="s">
        <v>1293</v>
      </c>
    </row>
    <row r="31" spans="1:36" s="63" customFormat="1" ht="30" customHeight="1" x14ac:dyDescent="0.25">
      <c r="A31" s="189" t="s">
        <v>1769</v>
      </c>
      <c r="B31" s="190" t="s">
        <v>1770</v>
      </c>
      <c r="C31" s="191" t="s">
        <v>2165</v>
      </c>
      <c r="D31" s="192" t="s">
        <v>268</v>
      </c>
      <c r="E31" s="193" t="s">
        <v>367</v>
      </c>
      <c r="F31" s="192" t="s">
        <v>494</v>
      </c>
      <c r="G31" s="194" t="s">
        <v>165</v>
      </c>
      <c r="H31" s="195"/>
      <c r="I31" s="195"/>
      <c r="J31" s="196">
        <v>3766</v>
      </c>
      <c r="K31" s="52">
        <v>3766</v>
      </c>
      <c r="L31" s="52">
        <v>3766</v>
      </c>
      <c r="M31" s="52">
        <v>3766</v>
      </c>
      <c r="N31" s="52">
        <v>3766</v>
      </c>
      <c r="O31" s="52">
        <v>3766</v>
      </c>
      <c r="P31" s="52">
        <v>3766</v>
      </c>
      <c r="Q31" s="52">
        <v>3766</v>
      </c>
      <c r="R31" s="52">
        <v>3766</v>
      </c>
      <c r="S31" s="52">
        <v>3766</v>
      </c>
      <c r="T31" s="52">
        <v>3766</v>
      </c>
      <c r="U31" s="52">
        <v>3766</v>
      </c>
      <c r="V31" s="197">
        <f t="shared" si="1"/>
        <v>45192</v>
      </c>
      <c r="W31" s="207"/>
      <c r="X31" s="199" t="s">
        <v>1941</v>
      </c>
      <c r="Y31" s="200"/>
      <c r="Z31" s="200" t="s">
        <v>2075</v>
      </c>
      <c r="AA31" s="200" t="s">
        <v>2166</v>
      </c>
      <c r="AB31" s="113" t="s">
        <v>2167</v>
      </c>
      <c r="AC31" s="202" t="s">
        <v>2168</v>
      </c>
      <c r="AD31" s="203"/>
      <c r="AE31" s="203" t="s">
        <v>2169</v>
      </c>
      <c r="AF31" s="204" t="s">
        <v>2170</v>
      </c>
      <c r="AH31" s="205" t="s">
        <v>1152</v>
      </c>
      <c r="AI31" s="205" t="e">
        <f>IF(A31="","",IF(#REF!="human resources",IFERROR(IF(FIND("Selling",B31)&gt;0,"Selling","General Administrative"),"General Administrative"),IF(D31="10301S","Selling","General Administrative")))</f>
        <v>#REF!</v>
      </c>
      <c r="AJ31" s="205" t="s">
        <v>1293</v>
      </c>
    </row>
    <row r="32" spans="1:36" s="63" customFormat="1" ht="30" customHeight="1" x14ac:dyDescent="0.25">
      <c r="A32" s="189" t="s">
        <v>1771</v>
      </c>
      <c r="B32" s="190" t="s">
        <v>1772</v>
      </c>
      <c r="C32" s="191" t="s">
        <v>2171</v>
      </c>
      <c r="D32" s="192" t="s">
        <v>268</v>
      </c>
      <c r="E32" s="193" t="s">
        <v>367</v>
      </c>
      <c r="F32" s="192" t="s">
        <v>494</v>
      </c>
      <c r="G32" s="194" t="s">
        <v>165</v>
      </c>
      <c r="H32" s="195"/>
      <c r="I32" s="195"/>
      <c r="J32" s="196">
        <v>1234</v>
      </c>
      <c r="K32" s="52">
        <v>1234</v>
      </c>
      <c r="L32" s="52">
        <v>1234</v>
      </c>
      <c r="M32" s="52">
        <v>1234</v>
      </c>
      <c r="N32" s="52">
        <v>1233</v>
      </c>
      <c r="O32" s="52">
        <v>1233</v>
      </c>
      <c r="P32" s="52">
        <v>1233</v>
      </c>
      <c r="Q32" s="52">
        <v>1233</v>
      </c>
      <c r="R32" s="52">
        <v>1233</v>
      </c>
      <c r="S32" s="52">
        <v>1233</v>
      </c>
      <c r="T32" s="52">
        <v>1233</v>
      </c>
      <c r="U32" s="52">
        <v>1233</v>
      </c>
      <c r="V32" s="197">
        <f t="shared" si="1"/>
        <v>14800</v>
      </c>
      <c r="W32" s="207"/>
      <c r="X32" s="199" t="s">
        <v>1941</v>
      </c>
      <c r="Y32" s="200"/>
      <c r="Z32" s="200" t="s">
        <v>2075</v>
      </c>
      <c r="AA32" s="200" t="s">
        <v>2166</v>
      </c>
      <c r="AB32" s="113" t="s">
        <v>2172</v>
      </c>
      <c r="AC32" s="202" t="s">
        <v>2168</v>
      </c>
      <c r="AD32" s="203"/>
      <c r="AE32" s="203" t="s">
        <v>2173</v>
      </c>
      <c r="AF32" s="204" t="s">
        <v>2174</v>
      </c>
      <c r="AH32" s="205" t="s">
        <v>1152</v>
      </c>
      <c r="AI32" s="205" t="e">
        <f>IF(A32="","",IF(#REF!="human resources",IFERROR(IF(FIND("Selling",B32)&gt;0,"Selling","General Administrative"),"General Administrative"),IF(D32="10301S","Selling","General Administrative")))</f>
        <v>#REF!</v>
      </c>
      <c r="AJ32" s="205" t="s">
        <v>1293</v>
      </c>
    </row>
    <row r="33" spans="1:36" s="63" customFormat="1" ht="30" hidden="1" customHeight="1" x14ac:dyDescent="0.25">
      <c r="A33" s="174" t="s">
        <v>2175</v>
      </c>
      <c r="B33" s="190" t="s">
        <v>2512</v>
      </c>
      <c r="C33" s="191" t="s">
        <v>2176</v>
      </c>
      <c r="D33" s="192" t="s">
        <v>268</v>
      </c>
      <c r="E33" s="193" t="s">
        <v>367</v>
      </c>
      <c r="F33" s="192" t="s">
        <v>494</v>
      </c>
      <c r="G33" s="194" t="s">
        <v>165</v>
      </c>
      <c r="H33" s="195"/>
      <c r="I33" s="195"/>
      <c r="J33" s="196">
        <v>0</v>
      </c>
      <c r="K33" s="52">
        <v>0</v>
      </c>
      <c r="L33" s="52">
        <v>0</v>
      </c>
      <c r="M33" s="52">
        <v>0</v>
      </c>
      <c r="N33" s="52">
        <v>0</v>
      </c>
      <c r="O33" s="52">
        <v>0</v>
      </c>
      <c r="P33" s="52">
        <v>0</v>
      </c>
      <c r="Q33" s="52">
        <v>0</v>
      </c>
      <c r="R33" s="52">
        <v>0</v>
      </c>
      <c r="S33" s="52">
        <v>0</v>
      </c>
      <c r="T33" s="52">
        <v>0</v>
      </c>
      <c r="U33" s="52">
        <v>0</v>
      </c>
      <c r="V33" s="197">
        <f t="shared" si="1"/>
        <v>0</v>
      </c>
      <c r="W33" s="207"/>
      <c r="X33" s="199" t="s">
        <v>1941</v>
      </c>
      <c r="Y33" s="200"/>
      <c r="Z33" s="200"/>
      <c r="AA33" s="200"/>
      <c r="AB33" s="113"/>
      <c r="AC33" s="203"/>
      <c r="AD33" s="203"/>
      <c r="AE33" s="210"/>
      <c r="AF33" s="201" t="s">
        <v>2077</v>
      </c>
      <c r="AH33" s="205" t="s">
        <v>1152</v>
      </c>
      <c r="AI33" s="205" t="e">
        <f>IF(A33="","",IF(#REF!="human resources",IFERROR(IF(FIND("Selling",B33)&gt;0,"Selling","General Administrative"),"General Administrative"),IF(D33="10301S","Selling","General Administrative")))</f>
        <v>#REF!</v>
      </c>
      <c r="AJ33" s="205" t="s">
        <v>1293</v>
      </c>
    </row>
    <row r="34" spans="1:36" s="63" customFormat="1" ht="30" customHeight="1" x14ac:dyDescent="0.25">
      <c r="A34" s="189" t="s">
        <v>1773</v>
      </c>
      <c r="B34" s="190" t="s">
        <v>1774</v>
      </c>
      <c r="C34" s="191" t="s">
        <v>2177</v>
      </c>
      <c r="D34" s="192" t="s">
        <v>268</v>
      </c>
      <c r="E34" s="193" t="s">
        <v>367</v>
      </c>
      <c r="F34" s="192" t="s">
        <v>494</v>
      </c>
      <c r="G34" s="194" t="s">
        <v>165</v>
      </c>
      <c r="H34" s="195"/>
      <c r="I34" s="195"/>
      <c r="J34" s="196">
        <v>762</v>
      </c>
      <c r="K34" s="52">
        <v>762</v>
      </c>
      <c r="L34" s="52">
        <v>762</v>
      </c>
      <c r="M34" s="52">
        <v>762</v>
      </c>
      <c r="N34" s="52">
        <v>762</v>
      </c>
      <c r="O34" s="52">
        <v>762</v>
      </c>
      <c r="P34" s="52">
        <v>762</v>
      </c>
      <c r="Q34" s="52">
        <v>762</v>
      </c>
      <c r="R34" s="52">
        <v>762</v>
      </c>
      <c r="S34" s="52">
        <v>762</v>
      </c>
      <c r="T34" s="52">
        <v>762</v>
      </c>
      <c r="U34" s="52">
        <v>762</v>
      </c>
      <c r="V34" s="197">
        <f t="shared" si="1"/>
        <v>9144</v>
      </c>
      <c r="W34" s="207"/>
      <c r="X34" s="199" t="s">
        <v>1941</v>
      </c>
      <c r="Y34" s="200"/>
      <c r="Z34" s="200" t="s">
        <v>2075</v>
      </c>
      <c r="AA34" s="200" t="s">
        <v>2166</v>
      </c>
      <c r="AB34" s="113" t="s">
        <v>2178</v>
      </c>
      <c r="AC34" s="202" t="s">
        <v>2168</v>
      </c>
      <c r="AD34" s="203"/>
      <c r="AE34" s="203" t="s">
        <v>2179</v>
      </c>
      <c r="AF34" s="201" t="s">
        <v>2180</v>
      </c>
      <c r="AH34" s="205" t="s">
        <v>1152</v>
      </c>
      <c r="AI34" s="205" t="e">
        <f>IF(A34="","",IF(#REF!="human resources",IFERROR(IF(FIND("Selling",B34)&gt;0,"Selling","General Administrative"),"General Administrative"),IF(D34="10301S","Selling","General Administrative")))</f>
        <v>#REF!</v>
      </c>
      <c r="AJ34" s="205" t="s">
        <v>1293</v>
      </c>
    </row>
    <row r="35" spans="1:36" s="63" customFormat="1" ht="30" customHeight="1" x14ac:dyDescent="0.25">
      <c r="A35" s="189" t="s">
        <v>1775</v>
      </c>
      <c r="B35" s="190" t="s">
        <v>1776</v>
      </c>
      <c r="C35" s="191" t="s">
        <v>2181</v>
      </c>
      <c r="D35" s="192" t="s">
        <v>268</v>
      </c>
      <c r="E35" s="193" t="s">
        <v>367</v>
      </c>
      <c r="F35" s="192" t="s">
        <v>494</v>
      </c>
      <c r="G35" s="194" t="s">
        <v>165</v>
      </c>
      <c r="H35" s="195"/>
      <c r="I35" s="195"/>
      <c r="J35" s="196">
        <v>560</v>
      </c>
      <c r="K35" s="52">
        <v>0</v>
      </c>
      <c r="L35" s="52">
        <v>0</v>
      </c>
      <c r="M35" s="52">
        <v>0</v>
      </c>
      <c r="N35" s="52">
        <v>0</v>
      </c>
      <c r="O35" s="52">
        <v>560</v>
      </c>
      <c r="P35" s="52">
        <v>0</v>
      </c>
      <c r="Q35" s="52">
        <v>0</v>
      </c>
      <c r="R35" s="52">
        <v>0</v>
      </c>
      <c r="S35" s="52">
        <v>0</v>
      </c>
      <c r="T35" s="52">
        <v>0</v>
      </c>
      <c r="U35" s="52">
        <v>0</v>
      </c>
      <c r="V35" s="197">
        <f t="shared" si="1"/>
        <v>1120</v>
      </c>
      <c r="W35" s="207"/>
      <c r="X35" s="199" t="s">
        <v>1941</v>
      </c>
      <c r="Y35" s="200"/>
      <c r="Z35" s="200" t="s">
        <v>2075</v>
      </c>
      <c r="AA35" s="200" t="s">
        <v>2076</v>
      </c>
      <c r="AB35" s="113" t="s">
        <v>2182</v>
      </c>
      <c r="AC35" s="202"/>
      <c r="AD35" s="203"/>
      <c r="AE35" s="203" t="s">
        <v>2183</v>
      </c>
      <c r="AF35" s="201" t="s">
        <v>2184</v>
      </c>
      <c r="AH35" s="205" t="s">
        <v>1152</v>
      </c>
      <c r="AI35" s="205" t="e">
        <f>IF(A35="","",IF(#REF!="human resources",IFERROR(IF(FIND("Selling",B35)&gt;0,"Selling","General Administrative"),"General Administrative"),IF(D35="10301S","Selling","General Administrative")))</f>
        <v>#REF!</v>
      </c>
      <c r="AJ35" s="205" t="s">
        <v>1293</v>
      </c>
    </row>
    <row r="36" spans="1:36" s="63" customFormat="1" ht="30" hidden="1" customHeight="1" x14ac:dyDescent="0.25">
      <c r="A36" s="174" t="s">
        <v>1777</v>
      </c>
      <c r="B36" s="190" t="s">
        <v>1778</v>
      </c>
      <c r="C36" s="191" t="s">
        <v>2185</v>
      </c>
      <c r="D36" s="192" t="s">
        <v>268</v>
      </c>
      <c r="E36" s="193" t="s">
        <v>367</v>
      </c>
      <c r="F36" s="192" t="s">
        <v>512</v>
      </c>
      <c r="G36" s="194" t="s">
        <v>208</v>
      </c>
      <c r="H36" s="195"/>
      <c r="I36" s="195"/>
      <c r="J36" s="196">
        <v>0</v>
      </c>
      <c r="K36" s="52">
        <v>0</v>
      </c>
      <c r="L36" s="52">
        <v>0</v>
      </c>
      <c r="M36" s="52">
        <v>0</v>
      </c>
      <c r="N36" s="52">
        <v>0</v>
      </c>
      <c r="O36" s="52">
        <v>0</v>
      </c>
      <c r="P36" s="52">
        <v>0</v>
      </c>
      <c r="Q36" s="52">
        <v>0</v>
      </c>
      <c r="R36" s="52">
        <v>0</v>
      </c>
      <c r="S36" s="52">
        <v>0</v>
      </c>
      <c r="T36" s="52">
        <v>0</v>
      </c>
      <c r="U36" s="52">
        <v>0</v>
      </c>
      <c r="V36" s="197">
        <f t="shared" si="1"/>
        <v>0</v>
      </c>
      <c r="W36" s="207"/>
      <c r="X36" s="199" t="s">
        <v>1941</v>
      </c>
      <c r="Y36" s="200"/>
      <c r="Z36" s="200"/>
      <c r="AA36" s="200"/>
      <c r="AB36" s="113"/>
      <c r="AC36" s="203"/>
      <c r="AD36" s="203"/>
      <c r="AE36" s="210"/>
      <c r="AF36" s="201" t="s">
        <v>2077</v>
      </c>
      <c r="AH36" s="205" t="s">
        <v>992</v>
      </c>
      <c r="AI36" s="205" t="e">
        <f>IF(A36="","",IF(#REF!="human resources",IFERROR(IF(FIND("Selling",B36)&gt;0,"Selling","General Administrative"),"General Administrative"),IF(D36="10301S","Selling","General Administrative")))</f>
        <v>#REF!</v>
      </c>
      <c r="AJ36" s="205" t="s">
        <v>1297</v>
      </c>
    </row>
    <row r="37" spans="1:36" s="63" customFormat="1" ht="30" customHeight="1" x14ac:dyDescent="0.25">
      <c r="A37" s="189" t="s">
        <v>1779</v>
      </c>
      <c r="B37" s="190" t="s">
        <v>1780</v>
      </c>
      <c r="C37" s="191" t="s">
        <v>2186</v>
      </c>
      <c r="D37" s="192" t="s">
        <v>268</v>
      </c>
      <c r="E37" s="193" t="s">
        <v>367</v>
      </c>
      <c r="F37" s="192" t="s">
        <v>521</v>
      </c>
      <c r="G37" s="194" t="s">
        <v>226</v>
      </c>
      <c r="H37" s="195"/>
      <c r="I37" s="195"/>
      <c r="J37" s="196">
        <v>30.25</v>
      </c>
      <c r="K37" s="52">
        <v>0</v>
      </c>
      <c r="L37" s="52">
        <v>0</v>
      </c>
      <c r="M37" s="52">
        <v>30.25</v>
      </c>
      <c r="N37" s="52">
        <v>0</v>
      </c>
      <c r="O37" s="52">
        <v>0</v>
      </c>
      <c r="P37" s="52">
        <v>30.25</v>
      </c>
      <c r="Q37" s="52">
        <v>0</v>
      </c>
      <c r="R37" s="52">
        <v>0</v>
      </c>
      <c r="S37" s="52">
        <v>30.25</v>
      </c>
      <c r="T37" s="52">
        <v>0</v>
      </c>
      <c r="U37" s="52">
        <v>0</v>
      </c>
      <c r="V37" s="197">
        <f t="shared" si="1"/>
        <v>121</v>
      </c>
      <c r="W37" s="207"/>
      <c r="X37" s="199" t="s">
        <v>1941</v>
      </c>
      <c r="Y37" s="200"/>
      <c r="Z37" s="200" t="s">
        <v>2105</v>
      </c>
      <c r="AA37" s="200" t="s">
        <v>2076</v>
      </c>
      <c r="AB37" s="113" t="s">
        <v>2187</v>
      </c>
      <c r="AC37" s="202" t="s">
        <v>2188</v>
      </c>
      <c r="AD37" s="203"/>
      <c r="AE37" s="203" t="s">
        <v>2189</v>
      </c>
      <c r="AF37" s="204" t="s">
        <v>2190</v>
      </c>
      <c r="AH37" s="205" t="s">
        <v>1011</v>
      </c>
      <c r="AI37" s="205" t="e">
        <f>IF(A37="","",IF(#REF!="human resources",IFERROR(IF(FIND("Selling",B37)&gt;0,"Selling","General Administrative"),"General Administrative"),IF(D37="10301S","Selling","General Administrative")))</f>
        <v>#REF!</v>
      </c>
      <c r="AJ37" s="205" t="s">
        <v>1011</v>
      </c>
    </row>
    <row r="38" spans="1:36" s="63" customFormat="1" ht="30" hidden="1" customHeight="1" x14ac:dyDescent="0.25">
      <c r="A38" s="174" t="s">
        <v>1781</v>
      </c>
      <c r="B38" s="190" t="s">
        <v>1782</v>
      </c>
      <c r="C38" s="191" t="s">
        <v>2191</v>
      </c>
      <c r="D38" s="192" t="s">
        <v>268</v>
      </c>
      <c r="E38" s="193" t="s">
        <v>367</v>
      </c>
      <c r="F38" s="192" t="s">
        <v>521</v>
      </c>
      <c r="G38" s="194" t="s">
        <v>226</v>
      </c>
      <c r="H38" s="195"/>
      <c r="I38" s="195"/>
      <c r="J38" s="196">
        <v>0</v>
      </c>
      <c r="K38" s="52">
        <v>0</v>
      </c>
      <c r="L38" s="52">
        <v>0</v>
      </c>
      <c r="M38" s="52">
        <v>0</v>
      </c>
      <c r="N38" s="52">
        <v>0</v>
      </c>
      <c r="O38" s="52">
        <v>0</v>
      </c>
      <c r="P38" s="52">
        <v>0</v>
      </c>
      <c r="Q38" s="52">
        <v>0</v>
      </c>
      <c r="R38" s="52">
        <v>0</v>
      </c>
      <c r="S38" s="52">
        <v>0</v>
      </c>
      <c r="T38" s="52">
        <v>0</v>
      </c>
      <c r="U38" s="52">
        <v>0</v>
      </c>
      <c r="V38" s="197">
        <f t="shared" si="1"/>
        <v>0</v>
      </c>
      <c r="W38" s="207"/>
      <c r="X38" s="199" t="s">
        <v>1941</v>
      </c>
      <c r="Y38" s="200"/>
      <c r="Z38" s="200"/>
      <c r="AA38" s="200"/>
      <c r="AB38" s="113"/>
      <c r="AC38" s="203"/>
      <c r="AD38" s="203"/>
      <c r="AE38" s="210"/>
      <c r="AF38" s="201" t="s">
        <v>2077</v>
      </c>
      <c r="AH38" s="205" t="s">
        <v>1011</v>
      </c>
      <c r="AI38" s="205" t="e">
        <f>IF(A38="","",IF(#REF!="human resources",IFERROR(IF(FIND("Selling",B38)&gt;0,"Selling","General Administrative"),"General Administrative"),IF(D38="10301S","Selling","General Administrative")))</f>
        <v>#REF!</v>
      </c>
      <c r="AJ38" s="205" t="s">
        <v>1011</v>
      </c>
    </row>
    <row r="39" spans="1:36" s="63" customFormat="1" ht="30" customHeight="1" x14ac:dyDescent="0.25">
      <c r="A39" s="189" t="s">
        <v>1783</v>
      </c>
      <c r="B39" s="190" t="s">
        <v>1784</v>
      </c>
      <c r="C39" s="191" t="s">
        <v>2192</v>
      </c>
      <c r="D39" s="192" t="s">
        <v>268</v>
      </c>
      <c r="E39" s="193" t="s">
        <v>367</v>
      </c>
      <c r="F39" s="192" t="s">
        <v>521</v>
      </c>
      <c r="G39" s="194" t="s">
        <v>226</v>
      </c>
      <c r="H39" s="195"/>
      <c r="I39" s="195"/>
      <c r="J39" s="196">
        <v>0</v>
      </c>
      <c r="K39" s="52">
        <v>1760</v>
      </c>
      <c r="L39" s="52">
        <v>0</v>
      </c>
      <c r="M39" s="52">
        <v>0</v>
      </c>
      <c r="N39" s="52">
        <v>1760</v>
      </c>
      <c r="O39" s="52">
        <v>0</v>
      </c>
      <c r="P39" s="52">
        <v>0</v>
      </c>
      <c r="Q39" s="52">
        <v>1760</v>
      </c>
      <c r="R39" s="52">
        <v>1760</v>
      </c>
      <c r="S39" s="52">
        <v>0</v>
      </c>
      <c r="T39" s="52">
        <v>1760</v>
      </c>
      <c r="U39" s="52">
        <v>0</v>
      </c>
      <c r="V39" s="197">
        <f t="shared" si="1"/>
        <v>8800</v>
      </c>
      <c r="W39" s="207"/>
      <c r="X39" s="199" t="s">
        <v>1941</v>
      </c>
      <c r="Y39" s="200"/>
      <c r="Z39" s="200" t="s">
        <v>2105</v>
      </c>
      <c r="AA39" s="200" t="s">
        <v>2076</v>
      </c>
      <c r="AB39" s="113" t="s">
        <v>2187</v>
      </c>
      <c r="AC39" s="202" t="s">
        <v>2193</v>
      </c>
      <c r="AD39" s="203"/>
      <c r="AE39" s="210" t="s">
        <v>2194</v>
      </c>
      <c r="AF39" s="204" t="s">
        <v>2195</v>
      </c>
      <c r="AH39" s="205" t="s">
        <v>1011</v>
      </c>
      <c r="AI39" s="205" t="e">
        <f>IF(A39="","",IF(#REF!="human resources",IFERROR(IF(FIND("Selling",B39)&gt;0,"Selling","General Administrative"),"General Administrative"),IF(D39="10301S","Selling","General Administrative")))</f>
        <v>#REF!</v>
      </c>
      <c r="AJ39" s="205" t="s">
        <v>1011</v>
      </c>
    </row>
    <row r="40" spans="1:36" s="63" customFormat="1" ht="40.5" customHeight="1" x14ac:dyDescent="0.25">
      <c r="A40" s="189" t="s">
        <v>1779</v>
      </c>
      <c r="B40" s="190" t="s">
        <v>1780</v>
      </c>
      <c r="C40" s="191" t="s">
        <v>2196</v>
      </c>
      <c r="D40" s="192" t="s">
        <v>268</v>
      </c>
      <c r="E40" s="193" t="s">
        <v>367</v>
      </c>
      <c r="F40" s="192" t="s">
        <v>521</v>
      </c>
      <c r="G40" s="194" t="s">
        <v>226</v>
      </c>
      <c r="H40" s="195"/>
      <c r="I40" s="195"/>
      <c r="J40" s="196">
        <v>660</v>
      </c>
      <c r="K40" s="52">
        <v>0</v>
      </c>
      <c r="L40" s="52">
        <v>0</v>
      </c>
      <c r="M40" s="52">
        <v>660</v>
      </c>
      <c r="N40" s="52">
        <v>0</v>
      </c>
      <c r="O40" s="52">
        <v>660</v>
      </c>
      <c r="P40" s="52">
        <v>0</v>
      </c>
      <c r="Q40" s="52">
        <v>0</v>
      </c>
      <c r="R40" s="52">
        <v>660</v>
      </c>
      <c r="S40" s="52">
        <v>0</v>
      </c>
      <c r="T40" s="52">
        <v>0</v>
      </c>
      <c r="U40" s="52">
        <v>660</v>
      </c>
      <c r="V40" s="197">
        <f t="shared" si="1"/>
        <v>3300</v>
      </c>
      <c r="W40" s="207"/>
      <c r="X40" s="199" t="s">
        <v>1941</v>
      </c>
      <c r="Y40" s="200"/>
      <c r="Z40" s="200" t="s">
        <v>2105</v>
      </c>
      <c r="AA40" s="200" t="s">
        <v>2076</v>
      </c>
      <c r="AB40" s="113" t="s">
        <v>2187</v>
      </c>
      <c r="AC40" s="202"/>
      <c r="AD40" s="203"/>
      <c r="AE40" s="210" t="s">
        <v>2197</v>
      </c>
      <c r="AF40" s="204" t="s">
        <v>2198</v>
      </c>
      <c r="AH40" s="205" t="s">
        <v>1011</v>
      </c>
      <c r="AI40" s="205" t="e">
        <f>IF(A40="","",IF(#REF!="human resources",IFERROR(IF(FIND("Selling",B40)&gt;0,"Selling","General Administrative"),"General Administrative"),IF(D40="10301S","Selling","General Administrative")))</f>
        <v>#REF!</v>
      </c>
      <c r="AJ40" s="205" t="s">
        <v>1011</v>
      </c>
    </row>
    <row r="41" spans="1:36" s="63" customFormat="1" ht="30" customHeight="1" x14ac:dyDescent="0.25">
      <c r="A41" s="189" t="s">
        <v>1783</v>
      </c>
      <c r="B41" s="190" t="s">
        <v>1784</v>
      </c>
      <c r="C41" s="191" t="s">
        <v>2199</v>
      </c>
      <c r="D41" s="192" t="s">
        <v>268</v>
      </c>
      <c r="E41" s="193" t="s">
        <v>367</v>
      </c>
      <c r="F41" s="192" t="s">
        <v>521</v>
      </c>
      <c r="G41" s="194" t="s">
        <v>226</v>
      </c>
      <c r="H41" s="195"/>
      <c r="I41" s="195"/>
      <c r="J41" s="196">
        <v>1351.25</v>
      </c>
      <c r="K41" s="52">
        <v>0</v>
      </c>
      <c r="L41" s="52">
        <v>0</v>
      </c>
      <c r="M41" s="52">
        <v>0</v>
      </c>
      <c r="N41" s="52">
        <v>0</v>
      </c>
      <c r="O41" s="52">
        <v>1351.25</v>
      </c>
      <c r="P41" s="52">
        <v>0</v>
      </c>
      <c r="Q41" s="52">
        <v>0</v>
      </c>
      <c r="R41" s="52">
        <v>1351.25</v>
      </c>
      <c r="S41" s="52">
        <v>0</v>
      </c>
      <c r="T41" s="52">
        <v>1351.25</v>
      </c>
      <c r="U41" s="52">
        <v>0</v>
      </c>
      <c r="V41" s="197">
        <f t="shared" si="1"/>
        <v>5405</v>
      </c>
      <c r="W41" s="207"/>
      <c r="X41" s="199" t="s">
        <v>1941</v>
      </c>
      <c r="Y41" s="200"/>
      <c r="Z41" s="200" t="s">
        <v>2105</v>
      </c>
      <c r="AA41" s="200" t="s">
        <v>2076</v>
      </c>
      <c r="AB41" s="113" t="s">
        <v>2187</v>
      </c>
      <c r="AC41" s="202" t="s">
        <v>2200</v>
      </c>
      <c r="AD41" s="203"/>
      <c r="AE41" s="210" t="s">
        <v>2201</v>
      </c>
      <c r="AF41" s="204" t="s">
        <v>2202</v>
      </c>
      <c r="AH41" s="205" t="s">
        <v>1011</v>
      </c>
      <c r="AI41" s="205" t="e">
        <f>IF(A41="","",IF(#REF!="human resources",IFERROR(IF(FIND("Selling",B41)&gt;0,"Selling","General Administrative"),"General Administrative"),IF(D41="10301S","Selling","General Administrative")))</f>
        <v>#REF!</v>
      </c>
      <c r="AJ41" s="205" t="s">
        <v>1011</v>
      </c>
    </row>
    <row r="42" spans="1:36" s="63" customFormat="1" ht="30" hidden="1" customHeight="1" x14ac:dyDescent="0.25">
      <c r="A42" s="174" t="s">
        <v>1779</v>
      </c>
      <c r="B42" s="190" t="s">
        <v>1780</v>
      </c>
      <c r="C42" s="191" t="s">
        <v>2203</v>
      </c>
      <c r="D42" s="192" t="s">
        <v>268</v>
      </c>
      <c r="E42" s="193" t="s">
        <v>367</v>
      </c>
      <c r="F42" s="192" t="s">
        <v>521</v>
      </c>
      <c r="G42" s="194" t="s">
        <v>226</v>
      </c>
      <c r="H42" s="195"/>
      <c r="I42" s="195"/>
      <c r="J42" s="196">
        <v>0</v>
      </c>
      <c r="K42" s="52">
        <v>0</v>
      </c>
      <c r="L42" s="52">
        <v>0</v>
      </c>
      <c r="M42" s="52">
        <v>0</v>
      </c>
      <c r="N42" s="52">
        <v>0</v>
      </c>
      <c r="O42" s="52">
        <v>0</v>
      </c>
      <c r="P42" s="52">
        <v>0</v>
      </c>
      <c r="Q42" s="52">
        <v>0</v>
      </c>
      <c r="R42" s="52">
        <v>0</v>
      </c>
      <c r="S42" s="52">
        <v>0</v>
      </c>
      <c r="T42" s="52">
        <v>0</v>
      </c>
      <c r="U42" s="52">
        <v>0</v>
      </c>
      <c r="V42" s="197">
        <f t="shared" si="1"/>
        <v>0</v>
      </c>
      <c r="W42" s="207"/>
      <c r="X42" s="199" t="s">
        <v>1941</v>
      </c>
      <c r="Y42" s="200"/>
      <c r="Z42" s="200"/>
      <c r="AA42" s="200"/>
      <c r="AB42" s="113"/>
      <c r="AC42" s="203"/>
      <c r="AD42" s="203"/>
      <c r="AE42" s="210"/>
      <c r="AF42" s="201" t="s">
        <v>2077</v>
      </c>
      <c r="AH42" s="205" t="s">
        <v>1011</v>
      </c>
      <c r="AI42" s="205" t="e">
        <f>IF(A42="","",IF(#REF!="human resources",IFERROR(IF(FIND("Selling",B42)&gt;0,"Selling","General Administrative"),"General Administrative"),IF(D42="10301S","Selling","General Administrative")))</f>
        <v>#REF!</v>
      </c>
      <c r="AJ42" s="205" t="s">
        <v>1011</v>
      </c>
    </row>
    <row r="43" spans="1:36" s="63" customFormat="1" ht="45" customHeight="1" x14ac:dyDescent="0.25">
      <c r="A43" s="189" t="s">
        <v>1785</v>
      </c>
      <c r="B43" s="190" t="s">
        <v>1786</v>
      </c>
      <c r="C43" s="191" t="s">
        <v>2204</v>
      </c>
      <c r="D43" s="192" t="s">
        <v>268</v>
      </c>
      <c r="E43" s="193" t="s">
        <v>367</v>
      </c>
      <c r="F43" s="192" t="s">
        <v>521</v>
      </c>
      <c r="G43" s="194" t="s">
        <v>226</v>
      </c>
      <c r="H43" s="195"/>
      <c r="I43" s="195"/>
      <c r="J43" s="196">
        <v>419.5</v>
      </c>
      <c r="K43" s="52">
        <v>0</v>
      </c>
      <c r="L43" s="52">
        <v>0</v>
      </c>
      <c r="M43" s="52">
        <v>0</v>
      </c>
      <c r="N43" s="52">
        <v>419.5</v>
      </c>
      <c r="O43" s="212">
        <v>0</v>
      </c>
      <c r="P43" s="52">
        <v>0</v>
      </c>
      <c r="Q43" s="52">
        <v>0</v>
      </c>
      <c r="R43" s="52">
        <v>419.5</v>
      </c>
      <c r="S43" s="52">
        <v>0</v>
      </c>
      <c r="T43" s="52">
        <v>0</v>
      </c>
      <c r="U43" s="52">
        <v>419.5</v>
      </c>
      <c r="V43" s="197">
        <f t="shared" si="1"/>
        <v>1678</v>
      </c>
      <c r="W43" s="207"/>
      <c r="X43" s="199" t="s">
        <v>1941</v>
      </c>
      <c r="Y43" s="200"/>
      <c r="Z43" s="200" t="s">
        <v>2105</v>
      </c>
      <c r="AA43" s="200" t="s">
        <v>2076</v>
      </c>
      <c r="AB43" s="113" t="s">
        <v>2205</v>
      </c>
      <c r="AC43" s="202" t="s">
        <v>2097</v>
      </c>
      <c r="AD43" s="203"/>
      <c r="AE43" s="203" t="s">
        <v>2206</v>
      </c>
      <c r="AF43" s="204" t="s">
        <v>2207</v>
      </c>
      <c r="AH43" s="205" t="s">
        <v>1011</v>
      </c>
      <c r="AI43" s="205" t="e">
        <f>IF(A43="","",IF(#REF!="human resources",IFERROR(IF(FIND("Selling",B43)&gt;0,"Selling","General Administrative"),"General Administrative"),IF(D43="10301S","Selling","General Administrative")))</f>
        <v>#REF!</v>
      </c>
      <c r="AJ43" s="205" t="s">
        <v>1011</v>
      </c>
    </row>
    <row r="44" spans="1:36" s="63" customFormat="1" ht="30" customHeight="1" x14ac:dyDescent="0.25">
      <c r="A44" s="189" t="s">
        <v>1781</v>
      </c>
      <c r="B44" s="190" t="s">
        <v>1782</v>
      </c>
      <c r="C44" s="191" t="s">
        <v>2208</v>
      </c>
      <c r="D44" s="192" t="s">
        <v>268</v>
      </c>
      <c r="E44" s="193" t="s">
        <v>367</v>
      </c>
      <c r="F44" s="192" t="s">
        <v>521</v>
      </c>
      <c r="G44" s="194" t="s">
        <v>226</v>
      </c>
      <c r="H44" s="195"/>
      <c r="I44" s="195"/>
      <c r="J44" s="196">
        <v>1000</v>
      </c>
      <c r="K44" s="52">
        <v>0</v>
      </c>
      <c r="L44" s="52">
        <v>0</v>
      </c>
      <c r="M44" s="52">
        <v>1000</v>
      </c>
      <c r="N44" s="52">
        <v>0</v>
      </c>
      <c r="O44" s="52">
        <v>0</v>
      </c>
      <c r="P44" s="52">
        <v>0</v>
      </c>
      <c r="Q44" s="52">
        <v>1000</v>
      </c>
      <c r="R44" s="52">
        <v>0</v>
      </c>
      <c r="S44" s="52">
        <v>0</v>
      </c>
      <c r="T44" s="52">
        <v>0</v>
      </c>
      <c r="U44" s="52">
        <v>1000</v>
      </c>
      <c r="V44" s="197">
        <f t="shared" si="1"/>
        <v>4000</v>
      </c>
      <c r="W44" s="207"/>
      <c r="X44" s="199" t="s">
        <v>1941</v>
      </c>
      <c r="Y44" s="200"/>
      <c r="Z44" s="200" t="s">
        <v>2105</v>
      </c>
      <c r="AA44" s="200" t="s">
        <v>2076</v>
      </c>
      <c r="AB44" s="113" t="s">
        <v>2187</v>
      </c>
      <c r="AC44" s="202" t="s">
        <v>2209</v>
      </c>
      <c r="AD44" s="203"/>
      <c r="AE44" s="213" t="s">
        <v>2210</v>
      </c>
      <c r="AF44" s="204" t="s">
        <v>2211</v>
      </c>
      <c r="AH44" s="205" t="s">
        <v>1011</v>
      </c>
      <c r="AI44" s="205" t="e">
        <f>IF(A44="","",IF(#REF!="human resources",IFERROR(IF(FIND("Selling",B44)&gt;0,"Selling","General Administrative"),"General Administrative"),IF(D44="10301S","Selling","General Administrative")))</f>
        <v>#REF!</v>
      </c>
      <c r="AJ44" s="205" t="s">
        <v>1011</v>
      </c>
    </row>
    <row r="45" spans="1:36" s="63" customFormat="1" ht="30" hidden="1" customHeight="1" x14ac:dyDescent="0.25">
      <c r="A45" s="174" t="s">
        <v>1787</v>
      </c>
      <c r="B45" s="190" t="s">
        <v>1788</v>
      </c>
      <c r="C45" s="191" t="s">
        <v>2212</v>
      </c>
      <c r="D45" s="192" t="s">
        <v>268</v>
      </c>
      <c r="E45" s="193" t="s">
        <v>367</v>
      </c>
      <c r="F45" s="192" t="s">
        <v>521</v>
      </c>
      <c r="G45" s="194" t="s">
        <v>226</v>
      </c>
      <c r="H45" s="195"/>
      <c r="I45" s="195"/>
      <c r="J45" s="196">
        <v>0</v>
      </c>
      <c r="K45" s="52">
        <v>0</v>
      </c>
      <c r="L45" s="52">
        <v>0</v>
      </c>
      <c r="M45" s="52">
        <v>0</v>
      </c>
      <c r="N45" s="52">
        <v>0</v>
      </c>
      <c r="O45" s="52">
        <v>0</v>
      </c>
      <c r="P45" s="52">
        <v>0</v>
      </c>
      <c r="Q45" s="52">
        <v>0</v>
      </c>
      <c r="R45" s="52">
        <v>0</v>
      </c>
      <c r="S45" s="52">
        <v>0</v>
      </c>
      <c r="T45" s="52">
        <v>0</v>
      </c>
      <c r="U45" s="52">
        <v>0</v>
      </c>
      <c r="V45" s="197">
        <f t="shared" si="1"/>
        <v>0</v>
      </c>
      <c r="W45" s="207"/>
      <c r="X45" s="199" t="s">
        <v>1941</v>
      </c>
      <c r="Y45" s="200"/>
      <c r="Z45" s="200"/>
      <c r="AA45" s="200"/>
      <c r="AB45" s="113"/>
      <c r="AC45" s="203"/>
      <c r="AD45" s="203"/>
      <c r="AE45" s="210"/>
      <c r="AF45" s="201" t="s">
        <v>2077</v>
      </c>
      <c r="AH45" s="205" t="s">
        <v>1011</v>
      </c>
      <c r="AI45" s="205" t="e">
        <f>IF(A45="","",IF(#REF!="human resources",IFERROR(IF(FIND("Selling",B45)&gt;0,"Selling","General Administrative"),"General Administrative"),IF(D45="10301S","Selling","General Administrative")))</f>
        <v>#REF!</v>
      </c>
      <c r="AJ45" s="205" t="s">
        <v>1011</v>
      </c>
    </row>
    <row r="46" spans="1:36" s="63" customFormat="1" ht="44.25" customHeight="1" x14ac:dyDescent="0.25">
      <c r="A46" s="189" t="s">
        <v>1789</v>
      </c>
      <c r="B46" s="190" t="s">
        <v>1790</v>
      </c>
      <c r="C46" s="191" t="s">
        <v>2213</v>
      </c>
      <c r="D46" s="192" t="s">
        <v>268</v>
      </c>
      <c r="E46" s="193" t="s">
        <v>367</v>
      </c>
      <c r="F46" s="192" t="s">
        <v>521</v>
      </c>
      <c r="G46" s="194" t="s">
        <v>226</v>
      </c>
      <c r="H46" s="195"/>
      <c r="I46" s="195"/>
      <c r="J46" s="196">
        <v>268.39999999999998</v>
      </c>
      <c r="K46" s="52">
        <v>0</v>
      </c>
      <c r="L46" s="52">
        <v>268.39999999999998</v>
      </c>
      <c r="M46" s="52">
        <v>0</v>
      </c>
      <c r="N46" s="52">
        <v>0</v>
      </c>
      <c r="O46" s="52">
        <v>268.39999999999998</v>
      </c>
      <c r="P46" s="52">
        <v>0</v>
      </c>
      <c r="Q46" s="52">
        <v>0</v>
      </c>
      <c r="R46" s="52">
        <v>268.39999999999998</v>
      </c>
      <c r="S46" s="52">
        <v>0</v>
      </c>
      <c r="T46" s="52">
        <v>0</v>
      </c>
      <c r="U46" s="52">
        <v>268.39999999999998</v>
      </c>
      <c r="V46" s="197">
        <f t="shared" si="1"/>
        <v>1342</v>
      </c>
      <c r="W46" s="207"/>
      <c r="X46" s="199" t="s">
        <v>1941</v>
      </c>
      <c r="Y46" s="200"/>
      <c r="Z46" s="200" t="s">
        <v>2105</v>
      </c>
      <c r="AA46" s="200" t="s">
        <v>2076</v>
      </c>
      <c r="AB46" s="113" t="s">
        <v>2187</v>
      </c>
      <c r="AC46" s="202" t="s">
        <v>2097</v>
      </c>
      <c r="AD46" s="203"/>
      <c r="AE46" s="203" t="s">
        <v>2214</v>
      </c>
      <c r="AF46" s="204" t="s">
        <v>2215</v>
      </c>
      <c r="AH46" s="205" t="s">
        <v>1011</v>
      </c>
      <c r="AI46" s="205" t="e">
        <f>IF(A46="","",IF(#REF!="human resources",IFERROR(IF(FIND("Selling",B46)&gt;0,"Selling","General Administrative"),"General Administrative"),IF(D46="10301S","Selling","General Administrative")))</f>
        <v>#REF!</v>
      </c>
      <c r="AJ46" s="205" t="s">
        <v>1011</v>
      </c>
    </row>
    <row r="47" spans="1:36" s="63" customFormat="1" ht="30" customHeight="1" x14ac:dyDescent="0.25">
      <c r="A47" s="189" t="s">
        <v>1785</v>
      </c>
      <c r="B47" s="190" t="s">
        <v>1786</v>
      </c>
      <c r="C47" s="191" t="s">
        <v>2216</v>
      </c>
      <c r="D47" s="192" t="s">
        <v>268</v>
      </c>
      <c r="E47" s="193" t="s">
        <v>367</v>
      </c>
      <c r="F47" s="192" t="s">
        <v>521</v>
      </c>
      <c r="G47" s="194" t="s">
        <v>226</v>
      </c>
      <c r="H47" s="195"/>
      <c r="I47" s="195"/>
      <c r="J47" s="196">
        <v>1006.5</v>
      </c>
      <c r="K47" s="52">
        <v>0</v>
      </c>
      <c r="L47" s="52">
        <v>0</v>
      </c>
      <c r="M47" s="52">
        <v>0</v>
      </c>
      <c r="N47" s="52">
        <v>1006.5</v>
      </c>
      <c r="O47" s="52">
        <v>0</v>
      </c>
      <c r="P47" s="52">
        <v>0</v>
      </c>
      <c r="Q47" s="52">
        <v>1006.5</v>
      </c>
      <c r="R47" s="52">
        <v>0</v>
      </c>
      <c r="S47" s="52">
        <v>0</v>
      </c>
      <c r="T47" s="52">
        <v>0</v>
      </c>
      <c r="U47" s="52">
        <v>1006.5</v>
      </c>
      <c r="V47" s="197">
        <f t="shared" si="1"/>
        <v>4026</v>
      </c>
      <c r="W47" s="207"/>
      <c r="X47" s="199" t="s">
        <v>1941</v>
      </c>
      <c r="Y47" s="200"/>
      <c r="Z47" s="200" t="s">
        <v>2105</v>
      </c>
      <c r="AA47" s="200" t="s">
        <v>2076</v>
      </c>
      <c r="AB47" s="113" t="s">
        <v>2217</v>
      </c>
      <c r="AC47" s="202" t="s">
        <v>2218</v>
      </c>
      <c r="AD47" s="203"/>
      <c r="AE47" s="210" t="s">
        <v>2219</v>
      </c>
      <c r="AF47" s="204" t="s">
        <v>2220</v>
      </c>
      <c r="AH47" s="205" t="s">
        <v>1011</v>
      </c>
      <c r="AI47" s="205" t="e">
        <f>IF(A47="","",IF(#REF!="human resources",IFERROR(IF(FIND("Selling",B47)&gt;0,"Selling","General Administrative"),"General Administrative"),IF(D47="10301S","Selling","General Administrative")))</f>
        <v>#REF!</v>
      </c>
      <c r="AJ47" s="205" t="s">
        <v>1011</v>
      </c>
    </row>
    <row r="48" spans="1:36" s="63" customFormat="1" ht="30" customHeight="1" x14ac:dyDescent="0.25">
      <c r="A48" s="189" t="s">
        <v>1785</v>
      </c>
      <c r="B48" s="190" t="s">
        <v>1786</v>
      </c>
      <c r="C48" s="191" t="s">
        <v>2221</v>
      </c>
      <c r="D48" s="192" t="s">
        <v>268</v>
      </c>
      <c r="E48" s="193" t="s">
        <v>367</v>
      </c>
      <c r="F48" s="192" t="s">
        <v>521</v>
      </c>
      <c r="G48" s="194" t="s">
        <v>226</v>
      </c>
      <c r="H48" s="195"/>
      <c r="I48" s="195"/>
      <c r="J48" s="196">
        <v>503.25</v>
      </c>
      <c r="K48" s="52">
        <v>0</v>
      </c>
      <c r="L48" s="52">
        <v>0</v>
      </c>
      <c r="M48" s="52">
        <v>503.25</v>
      </c>
      <c r="N48" s="52">
        <v>0</v>
      </c>
      <c r="O48" s="52">
        <v>0</v>
      </c>
      <c r="P48" s="52">
        <v>503.25</v>
      </c>
      <c r="Q48" s="52">
        <v>0</v>
      </c>
      <c r="R48" s="52">
        <v>0</v>
      </c>
      <c r="S48" s="52">
        <v>503.25</v>
      </c>
      <c r="T48" s="52">
        <v>0</v>
      </c>
      <c r="U48" s="52">
        <v>0</v>
      </c>
      <c r="V48" s="197">
        <f t="shared" si="1"/>
        <v>2013</v>
      </c>
      <c r="W48" s="207"/>
      <c r="X48" s="199" t="s">
        <v>1941</v>
      </c>
      <c r="Y48" s="200"/>
      <c r="Z48" s="200" t="s">
        <v>2105</v>
      </c>
      <c r="AA48" s="200" t="s">
        <v>2076</v>
      </c>
      <c r="AB48" s="113" t="s">
        <v>2217</v>
      </c>
      <c r="AC48" s="202" t="s">
        <v>2222</v>
      </c>
      <c r="AD48" s="203"/>
      <c r="AE48" s="210" t="s">
        <v>2223</v>
      </c>
      <c r="AF48" s="204" t="s">
        <v>2224</v>
      </c>
      <c r="AH48" s="205" t="s">
        <v>1011</v>
      </c>
      <c r="AI48" s="205" t="e">
        <f>IF(A48="","",IF(#REF!="human resources",IFERROR(IF(FIND("Selling",B48)&gt;0,"Selling","General Administrative"),"General Administrative"),IF(D48="10301S","Selling","General Administrative")))</f>
        <v>#REF!</v>
      </c>
      <c r="AJ48" s="205" t="s">
        <v>1011</v>
      </c>
    </row>
    <row r="49" spans="1:36" s="63" customFormat="1" ht="30" customHeight="1" x14ac:dyDescent="0.25">
      <c r="A49" s="189" t="s">
        <v>1785</v>
      </c>
      <c r="B49" s="190" t="s">
        <v>1786</v>
      </c>
      <c r="C49" s="191" t="s">
        <v>2225</v>
      </c>
      <c r="D49" s="192" t="s">
        <v>268</v>
      </c>
      <c r="E49" s="193" t="s">
        <v>367</v>
      </c>
      <c r="F49" s="192" t="s">
        <v>521</v>
      </c>
      <c r="G49" s="194" t="s">
        <v>226</v>
      </c>
      <c r="H49" s="195"/>
      <c r="I49" s="195"/>
      <c r="J49" s="196">
        <v>644.20000000000005</v>
      </c>
      <c r="K49" s="52">
        <v>644.20000000000005</v>
      </c>
      <c r="L49" s="52">
        <v>0</v>
      </c>
      <c r="M49" s="52">
        <v>0</v>
      </c>
      <c r="N49" s="52">
        <v>644.20000000000005</v>
      </c>
      <c r="O49" s="52">
        <v>0</v>
      </c>
      <c r="P49" s="52">
        <v>0</v>
      </c>
      <c r="Q49" s="52">
        <v>644.20000000000005</v>
      </c>
      <c r="R49" s="52">
        <v>0</v>
      </c>
      <c r="S49" s="52">
        <v>644.20000000000005</v>
      </c>
      <c r="T49" s="52">
        <v>0</v>
      </c>
      <c r="U49" s="52">
        <v>0</v>
      </c>
      <c r="V49" s="197">
        <f t="shared" si="1"/>
        <v>3221</v>
      </c>
      <c r="W49" s="207"/>
      <c r="X49" s="199" t="s">
        <v>1941</v>
      </c>
      <c r="Y49" s="200"/>
      <c r="Z49" s="200" t="s">
        <v>2105</v>
      </c>
      <c r="AA49" s="200" t="s">
        <v>2076</v>
      </c>
      <c r="AB49" s="113" t="s">
        <v>2217</v>
      </c>
      <c r="AC49" s="202" t="s">
        <v>2226</v>
      </c>
      <c r="AD49" s="203"/>
      <c r="AE49" s="210" t="s">
        <v>2227</v>
      </c>
      <c r="AF49" s="204" t="s">
        <v>2228</v>
      </c>
      <c r="AH49" s="205" t="s">
        <v>1011</v>
      </c>
      <c r="AI49" s="205" t="e">
        <f>IF(A49="","",IF(#REF!="human resources",IFERROR(IF(FIND("Selling",B49)&gt;0,"Selling","General Administrative"),"General Administrative"),IF(D49="10301S","Selling","General Administrative")))</f>
        <v>#REF!</v>
      </c>
      <c r="AJ49" s="205" t="s">
        <v>1011</v>
      </c>
    </row>
    <row r="50" spans="1:36" s="63" customFormat="1" ht="30" hidden="1" customHeight="1" x14ac:dyDescent="0.25">
      <c r="A50" s="174" t="s">
        <v>1785</v>
      </c>
      <c r="B50" s="190" t="s">
        <v>1786</v>
      </c>
      <c r="C50" s="191" t="s">
        <v>2229</v>
      </c>
      <c r="D50" s="192" t="s">
        <v>268</v>
      </c>
      <c r="E50" s="193" t="s">
        <v>367</v>
      </c>
      <c r="F50" s="192" t="s">
        <v>521</v>
      </c>
      <c r="G50" s="194" t="s">
        <v>226</v>
      </c>
      <c r="H50" s="195"/>
      <c r="I50" s="195"/>
      <c r="J50" s="196">
        <v>0</v>
      </c>
      <c r="K50" s="52">
        <v>0</v>
      </c>
      <c r="L50" s="52">
        <v>0</v>
      </c>
      <c r="M50" s="52">
        <v>0</v>
      </c>
      <c r="N50" s="52">
        <v>0</v>
      </c>
      <c r="O50" s="52">
        <v>0</v>
      </c>
      <c r="P50" s="52">
        <v>0</v>
      </c>
      <c r="Q50" s="52">
        <v>0</v>
      </c>
      <c r="R50" s="52">
        <v>0</v>
      </c>
      <c r="S50" s="52">
        <v>0</v>
      </c>
      <c r="T50" s="52">
        <v>0</v>
      </c>
      <c r="U50" s="52">
        <v>0</v>
      </c>
      <c r="V50" s="197">
        <f t="shared" si="1"/>
        <v>0</v>
      </c>
      <c r="W50" s="207"/>
      <c r="X50" s="199" t="s">
        <v>1941</v>
      </c>
      <c r="Y50" s="200"/>
      <c r="Z50" s="200"/>
      <c r="AA50" s="200"/>
      <c r="AB50" s="113"/>
      <c r="AC50" s="203"/>
      <c r="AD50" s="203"/>
      <c r="AE50" s="210"/>
      <c r="AF50" s="201" t="s">
        <v>2077</v>
      </c>
      <c r="AH50" s="205" t="s">
        <v>1011</v>
      </c>
      <c r="AI50" s="205" t="e">
        <f>IF(A50="","",IF(#REF!="human resources",IFERROR(IF(FIND("Selling",B50)&gt;0,"Selling","General Administrative"),"General Administrative"),IF(D50="10301S","Selling","General Administrative")))</f>
        <v>#REF!</v>
      </c>
      <c r="AJ50" s="205" t="s">
        <v>1011</v>
      </c>
    </row>
    <row r="51" spans="1:36" s="63" customFormat="1" ht="30" hidden="1" customHeight="1" x14ac:dyDescent="0.25">
      <c r="A51" s="174" t="s">
        <v>1787</v>
      </c>
      <c r="B51" s="190" t="s">
        <v>1788</v>
      </c>
      <c r="C51" s="191" t="s">
        <v>2230</v>
      </c>
      <c r="D51" s="192" t="s">
        <v>268</v>
      </c>
      <c r="E51" s="193" t="s">
        <v>367</v>
      </c>
      <c r="F51" s="192" t="s">
        <v>521</v>
      </c>
      <c r="G51" s="194" t="s">
        <v>226</v>
      </c>
      <c r="H51" s="195"/>
      <c r="I51" s="195"/>
      <c r="J51" s="196">
        <v>0</v>
      </c>
      <c r="K51" s="52">
        <v>0</v>
      </c>
      <c r="L51" s="52">
        <v>0</v>
      </c>
      <c r="M51" s="52">
        <v>0</v>
      </c>
      <c r="N51" s="52">
        <v>0</v>
      </c>
      <c r="O51" s="52">
        <v>0</v>
      </c>
      <c r="P51" s="52">
        <v>0</v>
      </c>
      <c r="Q51" s="52">
        <v>0</v>
      </c>
      <c r="R51" s="52">
        <v>0</v>
      </c>
      <c r="S51" s="52">
        <v>0</v>
      </c>
      <c r="T51" s="52">
        <v>0</v>
      </c>
      <c r="U51" s="52">
        <v>0</v>
      </c>
      <c r="V51" s="197">
        <f t="shared" si="1"/>
        <v>0</v>
      </c>
      <c r="W51" s="207"/>
      <c r="X51" s="199" t="s">
        <v>1941</v>
      </c>
      <c r="Y51" s="200"/>
      <c r="Z51" s="200"/>
      <c r="AA51" s="200"/>
      <c r="AB51" s="113"/>
      <c r="AC51" s="203"/>
      <c r="AD51" s="203"/>
      <c r="AE51" s="210"/>
      <c r="AF51" s="201" t="s">
        <v>2077</v>
      </c>
      <c r="AH51" s="205" t="s">
        <v>1011</v>
      </c>
      <c r="AI51" s="205" t="e">
        <f>IF(A51="","",IF(#REF!="human resources",IFERROR(IF(FIND("Selling",B51)&gt;0,"Selling","General Administrative"),"General Administrative"),IF(D51="10301S","Selling","General Administrative")))</f>
        <v>#REF!</v>
      </c>
      <c r="AJ51" s="205" t="s">
        <v>1011</v>
      </c>
    </row>
    <row r="52" spans="1:36" s="63" customFormat="1" ht="42.75" x14ac:dyDescent="0.25">
      <c r="A52" s="189" t="s">
        <v>1791</v>
      </c>
      <c r="B52" s="190" t="s">
        <v>2513</v>
      </c>
      <c r="C52" s="191" t="s">
        <v>2231</v>
      </c>
      <c r="D52" s="192" t="s">
        <v>268</v>
      </c>
      <c r="E52" s="193" t="s">
        <v>367</v>
      </c>
      <c r="F52" s="192" t="s">
        <v>525</v>
      </c>
      <c r="G52" s="194" t="s">
        <v>230</v>
      </c>
      <c r="H52" s="195"/>
      <c r="I52" s="195"/>
      <c r="J52" s="196">
        <v>1667</v>
      </c>
      <c r="K52" s="52">
        <v>0</v>
      </c>
      <c r="L52" s="52">
        <v>0</v>
      </c>
      <c r="M52" s="52">
        <v>0</v>
      </c>
      <c r="N52" s="52">
        <v>0</v>
      </c>
      <c r="O52" s="52">
        <v>0</v>
      </c>
      <c r="P52" s="52">
        <v>0</v>
      </c>
      <c r="Q52" s="52">
        <v>0</v>
      </c>
      <c r="R52" s="52">
        <v>0</v>
      </c>
      <c r="S52" s="52">
        <v>0</v>
      </c>
      <c r="T52" s="214">
        <v>0</v>
      </c>
      <c r="U52" s="52">
        <v>0</v>
      </c>
      <c r="V52" s="197">
        <f>SUM(J52:U52)</f>
        <v>1667</v>
      </c>
      <c r="W52" s="207"/>
      <c r="X52" s="199" t="s">
        <v>1941</v>
      </c>
      <c r="Y52" s="200"/>
      <c r="Z52" s="200" t="s">
        <v>2075</v>
      </c>
      <c r="AA52" s="200" t="s">
        <v>2076</v>
      </c>
      <c r="AB52" s="113" t="s">
        <v>2232</v>
      </c>
      <c r="AC52" s="202" t="s">
        <v>2233</v>
      </c>
      <c r="AD52" s="203"/>
      <c r="AE52" s="203" t="s">
        <v>2234</v>
      </c>
      <c r="AF52" s="204" t="s">
        <v>2235</v>
      </c>
      <c r="AH52" s="205" t="s">
        <v>1025</v>
      </c>
      <c r="AI52" s="205" t="e">
        <f>IF(A52="","",IF(#REF!="human resources",IFERROR(IF(FIND("Selling",B52)&gt;0,"Selling","General Administrative"),"General Administrative"),IF(D52="10301S","Selling","General Administrative")))</f>
        <v>#REF!</v>
      </c>
      <c r="AJ52" s="205" t="s">
        <v>230</v>
      </c>
    </row>
    <row r="53" spans="1:36" s="63" customFormat="1" ht="42.75" x14ac:dyDescent="0.25">
      <c r="A53" s="189" t="s">
        <v>1792</v>
      </c>
      <c r="B53" s="190" t="s">
        <v>1793</v>
      </c>
      <c r="C53" s="191" t="s">
        <v>2236</v>
      </c>
      <c r="D53" s="192" t="s">
        <v>268</v>
      </c>
      <c r="E53" s="193" t="s">
        <v>367</v>
      </c>
      <c r="F53" s="192" t="s">
        <v>525</v>
      </c>
      <c r="G53" s="194" t="s">
        <v>230</v>
      </c>
      <c r="H53" s="195"/>
      <c r="I53" s="195"/>
      <c r="J53" s="196">
        <v>643</v>
      </c>
      <c r="K53" s="52">
        <v>643</v>
      </c>
      <c r="L53" s="52">
        <v>643</v>
      </c>
      <c r="M53" s="52">
        <v>643</v>
      </c>
      <c r="N53" s="52">
        <v>643</v>
      </c>
      <c r="O53" s="52">
        <v>643</v>
      </c>
      <c r="P53" s="52">
        <v>643</v>
      </c>
      <c r="Q53" s="52">
        <v>643</v>
      </c>
      <c r="R53" s="52">
        <v>643</v>
      </c>
      <c r="S53" s="52">
        <v>643</v>
      </c>
      <c r="T53" s="52">
        <v>643</v>
      </c>
      <c r="U53" s="52">
        <v>643</v>
      </c>
      <c r="V53" s="197">
        <f t="shared" si="1"/>
        <v>7716</v>
      </c>
      <c r="W53" s="207"/>
      <c r="X53" s="199" t="s">
        <v>1941</v>
      </c>
      <c r="Y53" s="200"/>
      <c r="Z53" s="200" t="s">
        <v>2075</v>
      </c>
      <c r="AA53" s="200" t="s">
        <v>2166</v>
      </c>
      <c r="AB53" s="113" t="s">
        <v>2237</v>
      </c>
      <c r="AC53" s="202"/>
      <c r="AD53" s="203"/>
      <c r="AE53" s="203" t="s">
        <v>2238</v>
      </c>
      <c r="AF53" s="204" t="s">
        <v>2239</v>
      </c>
      <c r="AH53" s="205" t="s">
        <v>1025</v>
      </c>
      <c r="AI53" s="205" t="e">
        <f>IF(A53="","",IF(#REF!="human resources",IFERROR(IF(FIND("Selling",B53)&gt;0,"Selling","General Administrative"),"General Administrative"),IF(D53="10301S","Selling","General Administrative")))</f>
        <v>#REF!</v>
      </c>
      <c r="AJ53" s="205" t="s">
        <v>230</v>
      </c>
    </row>
    <row r="54" spans="1:36" s="63" customFormat="1" ht="30" hidden="1" customHeight="1" x14ac:dyDescent="0.25">
      <c r="A54" s="174" t="s">
        <v>1794</v>
      </c>
      <c r="B54" s="190" t="s">
        <v>2514</v>
      </c>
      <c r="C54" s="191" t="s">
        <v>2240</v>
      </c>
      <c r="D54" s="192" t="s">
        <v>268</v>
      </c>
      <c r="E54" s="193" t="s">
        <v>367</v>
      </c>
      <c r="F54" s="192" t="s">
        <v>525</v>
      </c>
      <c r="G54" s="194" t="s">
        <v>230</v>
      </c>
      <c r="H54" s="195"/>
      <c r="I54" s="195"/>
      <c r="J54" s="196">
        <v>0</v>
      </c>
      <c r="K54" s="52">
        <v>0</v>
      </c>
      <c r="L54" s="52">
        <v>0</v>
      </c>
      <c r="M54" s="52">
        <v>0</v>
      </c>
      <c r="N54" s="52">
        <v>0</v>
      </c>
      <c r="O54" s="52">
        <v>0</v>
      </c>
      <c r="P54" s="52">
        <v>0</v>
      </c>
      <c r="Q54" s="52">
        <v>0</v>
      </c>
      <c r="R54" s="52">
        <v>0</v>
      </c>
      <c r="S54" s="52">
        <v>0</v>
      </c>
      <c r="T54" s="52">
        <v>0</v>
      </c>
      <c r="U54" s="52">
        <v>0</v>
      </c>
      <c r="V54" s="197">
        <f t="shared" si="1"/>
        <v>0</v>
      </c>
      <c r="W54" s="207"/>
      <c r="X54" s="199" t="s">
        <v>1941</v>
      </c>
      <c r="Y54" s="200"/>
      <c r="Z54" s="200"/>
      <c r="AA54" s="200"/>
      <c r="AB54" s="113"/>
      <c r="AC54" s="203"/>
      <c r="AD54" s="203"/>
      <c r="AE54" s="210"/>
      <c r="AF54" s="201" t="s">
        <v>2077</v>
      </c>
      <c r="AH54" s="205" t="s">
        <v>1025</v>
      </c>
      <c r="AI54" s="205" t="e">
        <f>IF(A54="","",IF(#REF!="human resources",IFERROR(IF(FIND("Selling",B54)&gt;0,"Selling","General Administrative"),"General Administrative"),IF(D54="10301S","Selling","General Administrative")))</f>
        <v>#REF!</v>
      </c>
      <c r="AJ54" s="205" t="s">
        <v>230</v>
      </c>
    </row>
    <row r="55" spans="1:36" s="63" customFormat="1" ht="30" hidden="1" customHeight="1" x14ac:dyDescent="0.25">
      <c r="A55" s="189" t="s">
        <v>2241</v>
      </c>
      <c r="B55" s="190" t="s">
        <v>2515</v>
      </c>
      <c r="C55" s="191" t="s">
        <v>2242</v>
      </c>
      <c r="D55" s="192" t="s">
        <v>268</v>
      </c>
      <c r="E55" s="193" t="s">
        <v>367</v>
      </c>
      <c r="F55" s="192" t="s">
        <v>525</v>
      </c>
      <c r="G55" s="194" t="s">
        <v>230</v>
      </c>
      <c r="H55" s="195"/>
      <c r="I55" s="195"/>
      <c r="J55" s="196">
        <v>0</v>
      </c>
      <c r="K55" s="52">
        <v>0</v>
      </c>
      <c r="L55" s="52">
        <v>0</v>
      </c>
      <c r="M55" s="52">
        <v>0</v>
      </c>
      <c r="N55" s="52">
        <v>0</v>
      </c>
      <c r="O55" s="52">
        <v>0</v>
      </c>
      <c r="P55" s="52">
        <v>0</v>
      </c>
      <c r="Q55" s="52">
        <v>0</v>
      </c>
      <c r="R55" s="52">
        <v>0</v>
      </c>
      <c r="S55" s="52">
        <v>0</v>
      </c>
      <c r="T55" s="52">
        <v>0</v>
      </c>
      <c r="U55" s="52">
        <v>0</v>
      </c>
      <c r="V55" s="197">
        <f t="shared" si="1"/>
        <v>0</v>
      </c>
      <c r="W55" s="207"/>
      <c r="X55" s="199" t="s">
        <v>1941</v>
      </c>
      <c r="Y55" s="200"/>
      <c r="Z55" s="200" t="s">
        <v>2075</v>
      </c>
      <c r="AA55" s="200" t="s">
        <v>2076</v>
      </c>
      <c r="AB55" s="113" t="s">
        <v>2243</v>
      </c>
      <c r="AC55" s="202"/>
      <c r="AD55" s="203"/>
      <c r="AE55" s="203"/>
      <c r="AF55" s="204" t="s">
        <v>2244</v>
      </c>
      <c r="AH55" s="205" t="s">
        <v>1025</v>
      </c>
      <c r="AI55" s="205" t="e">
        <f>IF(A55="","",IF(#REF!="human resources",IFERROR(IF(FIND("Selling",B55)&gt;0,"Selling","General Administrative"),"General Administrative"),IF(D55="10301S","Selling","General Administrative")))</f>
        <v>#REF!</v>
      </c>
      <c r="AJ55" s="205" t="s">
        <v>230</v>
      </c>
    </row>
    <row r="56" spans="1:36" s="63" customFormat="1" ht="85.5" x14ac:dyDescent="0.25">
      <c r="A56" s="189" t="s">
        <v>1795</v>
      </c>
      <c r="B56" s="190" t="s">
        <v>1796</v>
      </c>
      <c r="C56" s="191" t="s">
        <v>2245</v>
      </c>
      <c r="D56" s="192" t="s">
        <v>268</v>
      </c>
      <c r="E56" s="193" t="s">
        <v>367</v>
      </c>
      <c r="F56" s="192" t="s">
        <v>525</v>
      </c>
      <c r="G56" s="194" t="s">
        <v>230</v>
      </c>
      <c r="H56" s="195"/>
      <c r="I56" s="195"/>
      <c r="J56" s="196">
        <v>0</v>
      </c>
      <c r="K56" s="52">
        <v>0</v>
      </c>
      <c r="L56" s="52">
        <v>0</v>
      </c>
      <c r="M56" s="52">
        <v>0</v>
      </c>
      <c r="N56" s="52">
        <v>0</v>
      </c>
      <c r="O56" s="52">
        <v>0</v>
      </c>
      <c r="P56" s="52">
        <v>0</v>
      </c>
      <c r="Q56" s="52">
        <v>0</v>
      </c>
      <c r="R56" s="52">
        <v>3497</v>
      </c>
      <c r="S56" s="52">
        <v>0</v>
      </c>
      <c r="T56" s="52">
        <v>0</v>
      </c>
      <c r="U56" s="52">
        <v>0</v>
      </c>
      <c r="V56" s="197">
        <f t="shared" si="1"/>
        <v>3497</v>
      </c>
      <c r="W56" s="207"/>
      <c r="X56" s="199" t="s">
        <v>1941</v>
      </c>
      <c r="Y56" s="200"/>
      <c r="Z56" s="200" t="s">
        <v>2075</v>
      </c>
      <c r="AA56" s="200" t="s">
        <v>2076</v>
      </c>
      <c r="AB56" s="113" t="s">
        <v>2232</v>
      </c>
      <c r="AC56" s="202" t="s">
        <v>2246</v>
      </c>
      <c r="AD56" s="114"/>
      <c r="AE56" s="114" t="s">
        <v>2247</v>
      </c>
      <c r="AF56" s="204" t="s">
        <v>2248</v>
      </c>
      <c r="AH56" s="205" t="s">
        <v>1025</v>
      </c>
      <c r="AI56" s="205" t="e">
        <f>IF(A56="","",IF(#REF!="human resources",IFERROR(IF(FIND("Selling",B56)&gt;0,"Selling","General Administrative"),"General Administrative"),IF(D56="10301S","Selling","General Administrative")))</f>
        <v>#REF!</v>
      </c>
      <c r="AJ56" s="205" t="s">
        <v>230</v>
      </c>
    </row>
    <row r="57" spans="1:36" s="63" customFormat="1" ht="30" hidden="1" customHeight="1" x14ac:dyDescent="0.25">
      <c r="A57" s="174" t="s">
        <v>2249</v>
      </c>
      <c r="B57" s="190" t="s">
        <v>2516</v>
      </c>
      <c r="C57" s="191" t="s">
        <v>2250</v>
      </c>
      <c r="D57" s="192" t="s">
        <v>268</v>
      </c>
      <c r="E57" s="193" t="s">
        <v>367</v>
      </c>
      <c r="F57" s="192" t="s">
        <v>525</v>
      </c>
      <c r="G57" s="194" t="s">
        <v>230</v>
      </c>
      <c r="H57" s="195"/>
      <c r="I57" s="195"/>
      <c r="J57" s="196">
        <v>0</v>
      </c>
      <c r="K57" s="52">
        <v>0</v>
      </c>
      <c r="L57" s="52">
        <v>0</v>
      </c>
      <c r="M57" s="52">
        <v>0</v>
      </c>
      <c r="N57" s="52">
        <v>0</v>
      </c>
      <c r="O57" s="52">
        <v>0</v>
      </c>
      <c r="P57" s="52">
        <v>0</v>
      </c>
      <c r="Q57" s="52">
        <v>0</v>
      </c>
      <c r="R57" s="52">
        <v>0</v>
      </c>
      <c r="S57" s="52">
        <v>0</v>
      </c>
      <c r="T57" s="52">
        <v>0</v>
      </c>
      <c r="U57" s="52">
        <v>0</v>
      </c>
      <c r="V57" s="197">
        <f t="shared" si="1"/>
        <v>0</v>
      </c>
      <c r="W57" s="207"/>
      <c r="X57" s="199" t="s">
        <v>1941</v>
      </c>
      <c r="Y57" s="200"/>
      <c r="Z57" s="200"/>
      <c r="AA57" s="200"/>
      <c r="AB57" s="113"/>
      <c r="AC57" s="203"/>
      <c r="AD57" s="203"/>
      <c r="AE57" s="210"/>
      <c r="AF57" s="201" t="s">
        <v>2077</v>
      </c>
      <c r="AH57" s="205" t="s">
        <v>1025</v>
      </c>
      <c r="AI57" s="205" t="e">
        <f>IF(A57="","",IF(#REF!="human resources",IFERROR(IF(FIND("Selling",B57)&gt;0,"Selling","General Administrative"),"General Administrative"),IF(D57="10301S","Selling","General Administrative")))</f>
        <v>#REF!</v>
      </c>
      <c r="AJ57" s="205" t="s">
        <v>230</v>
      </c>
    </row>
    <row r="58" spans="1:36" s="63" customFormat="1" ht="30" hidden="1" customHeight="1" x14ac:dyDescent="0.25">
      <c r="A58" s="174" t="s">
        <v>2251</v>
      </c>
      <c r="B58" s="190" t="s">
        <v>2517</v>
      </c>
      <c r="C58" s="191" t="s">
        <v>2252</v>
      </c>
      <c r="D58" s="192" t="s">
        <v>268</v>
      </c>
      <c r="E58" s="193" t="s">
        <v>367</v>
      </c>
      <c r="F58" s="192" t="s">
        <v>525</v>
      </c>
      <c r="G58" s="194" t="s">
        <v>230</v>
      </c>
      <c r="H58" s="195"/>
      <c r="I58" s="195"/>
      <c r="J58" s="196">
        <v>0</v>
      </c>
      <c r="K58" s="52">
        <v>0</v>
      </c>
      <c r="L58" s="52">
        <v>0</v>
      </c>
      <c r="M58" s="52">
        <v>0</v>
      </c>
      <c r="N58" s="52">
        <v>0</v>
      </c>
      <c r="O58" s="52">
        <v>0</v>
      </c>
      <c r="P58" s="52">
        <v>0</v>
      </c>
      <c r="Q58" s="52">
        <v>0</v>
      </c>
      <c r="R58" s="52">
        <v>0</v>
      </c>
      <c r="S58" s="52">
        <v>0</v>
      </c>
      <c r="T58" s="52">
        <v>0</v>
      </c>
      <c r="U58" s="52">
        <v>0</v>
      </c>
      <c r="V58" s="197">
        <f t="shared" si="1"/>
        <v>0</v>
      </c>
      <c r="W58" s="207"/>
      <c r="X58" s="199" t="s">
        <v>1941</v>
      </c>
      <c r="Y58" s="200"/>
      <c r="Z58" s="200"/>
      <c r="AA58" s="200"/>
      <c r="AB58" s="113"/>
      <c r="AC58" s="203"/>
      <c r="AD58" s="203"/>
      <c r="AE58" s="210"/>
      <c r="AF58" s="201" t="s">
        <v>2077</v>
      </c>
      <c r="AH58" s="205" t="s">
        <v>1025</v>
      </c>
      <c r="AI58" s="205" t="e">
        <f>IF(A58="","",IF(#REF!="human resources",IFERROR(IF(FIND("Selling",B58)&gt;0,"Selling","General Administrative"),"General Administrative"),IF(D58="10301S","Selling","General Administrative")))</f>
        <v>#REF!</v>
      </c>
      <c r="AJ58" s="205" t="s">
        <v>230</v>
      </c>
    </row>
    <row r="59" spans="1:36" s="63" customFormat="1" ht="30" hidden="1" customHeight="1" x14ac:dyDescent="0.25">
      <c r="A59" s="174" t="s">
        <v>2253</v>
      </c>
      <c r="B59" s="190" t="s">
        <v>2518</v>
      </c>
      <c r="C59" s="191" t="s">
        <v>2254</v>
      </c>
      <c r="D59" s="192" t="s">
        <v>268</v>
      </c>
      <c r="E59" s="193" t="s">
        <v>367</v>
      </c>
      <c r="F59" s="192" t="s">
        <v>525</v>
      </c>
      <c r="G59" s="194" t="s">
        <v>230</v>
      </c>
      <c r="H59" s="195"/>
      <c r="I59" s="195"/>
      <c r="J59" s="196">
        <v>0</v>
      </c>
      <c r="K59" s="52">
        <v>0</v>
      </c>
      <c r="L59" s="52">
        <v>0</v>
      </c>
      <c r="M59" s="52">
        <v>0</v>
      </c>
      <c r="N59" s="52">
        <v>0</v>
      </c>
      <c r="O59" s="52">
        <v>0</v>
      </c>
      <c r="P59" s="52">
        <v>0</v>
      </c>
      <c r="Q59" s="52">
        <v>0</v>
      </c>
      <c r="R59" s="52">
        <v>0</v>
      </c>
      <c r="S59" s="52">
        <v>0</v>
      </c>
      <c r="T59" s="52">
        <v>0</v>
      </c>
      <c r="U59" s="52">
        <v>0</v>
      </c>
      <c r="V59" s="197">
        <f t="shared" si="1"/>
        <v>0</v>
      </c>
      <c r="W59" s="207"/>
      <c r="X59" s="199" t="s">
        <v>1941</v>
      </c>
      <c r="Y59" s="200"/>
      <c r="Z59" s="200"/>
      <c r="AA59" s="200"/>
      <c r="AB59" s="113"/>
      <c r="AC59" s="203"/>
      <c r="AD59" s="203"/>
      <c r="AE59" s="210"/>
      <c r="AF59" s="201" t="s">
        <v>2077</v>
      </c>
      <c r="AH59" s="205" t="s">
        <v>1025</v>
      </c>
      <c r="AI59" s="205" t="e">
        <f>IF(A59="","",IF(#REF!="human resources",IFERROR(IF(FIND("Selling",B59)&gt;0,"Selling","General Administrative"),"General Administrative"),IF(D59="10301S","Selling","General Administrative")))</f>
        <v>#REF!</v>
      </c>
      <c r="AJ59" s="205" t="s">
        <v>230</v>
      </c>
    </row>
    <row r="60" spans="1:36" s="63" customFormat="1" ht="30" customHeight="1" x14ac:dyDescent="0.25">
      <c r="A60" s="189" t="s">
        <v>1797</v>
      </c>
      <c r="B60" s="190" t="s">
        <v>1798</v>
      </c>
      <c r="C60" s="191" t="s">
        <v>2255</v>
      </c>
      <c r="D60" s="192" t="s">
        <v>268</v>
      </c>
      <c r="E60" s="193" t="s">
        <v>367</v>
      </c>
      <c r="F60" s="192" t="s">
        <v>525</v>
      </c>
      <c r="G60" s="194" t="s">
        <v>230</v>
      </c>
      <c r="H60" s="195"/>
      <c r="I60" s="195"/>
      <c r="J60" s="196">
        <v>0</v>
      </c>
      <c r="K60" s="52">
        <v>0</v>
      </c>
      <c r="L60" s="52">
        <v>0</v>
      </c>
      <c r="M60" s="52">
        <v>0</v>
      </c>
      <c r="N60" s="52">
        <v>0</v>
      </c>
      <c r="O60" s="52">
        <v>0</v>
      </c>
      <c r="P60" s="52">
        <v>0</v>
      </c>
      <c r="Q60" s="52">
        <v>16</v>
      </c>
      <c r="R60" s="52">
        <v>0</v>
      </c>
      <c r="S60" s="52">
        <v>0</v>
      </c>
      <c r="T60" s="52">
        <v>0</v>
      </c>
      <c r="U60" s="52">
        <v>0</v>
      </c>
      <c r="V60" s="197">
        <f t="shared" si="1"/>
        <v>16</v>
      </c>
      <c r="W60" s="207"/>
      <c r="X60" s="199" t="s">
        <v>1941</v>
      </c>
      <c r="Y60" s="200"/>
      <c r="Z60" s="200" t="s">
        <v>2075</v>
      </c>
      <c r="AA60" s="200" t="s">
        <v>2076</v>
      </c>
      <c r="AB60" s="113" t="s">
        <v>2256</v>
      </c>
      <c r="AC60" s="202" t="s">
        <v>2257</v>
      </c>
      <c r="AD60" s="203"/>
      <c r="AE60" s="203" t="s">
        <v>2258</v>
      </c>
      <c r="AF60" s="204" t="s">
        <v>2259</v>
      </c>
      <c r="AH60" s="205" t="s">
        <v>1025</v>
      </c>
      <c r="AI60" s="205" t="e">
        <f>IF(A60="","",IF(#REF!="human resources",IFERROR(IF(FIND("Selling",B60)&gt;0,"Selling","General Administrative"),"General Administrative"),IF(D60="10301S","Selling","General Administrative")))</f>
        <v>#REF!</v>
      </c>
      <c r="AJ60" s="205" t="s">
        <v>230</v>
      </c>
    </row>
    <row r="61" spans="1:36" s="63" customFormat="1" ht="30" customHeight="1" x14ac:dyDescent="0.25">
      <c r="A61" s="189" t="s">
        <v>1799</v>
      </c>
      <c r="B61" s="190" t="s">
        <v>1800</v>
      </c>
      <c r="C61" s="191" t="s">
        <v>2260</v>
      </c>
      <c r="D61" s="192" t="s">
        <v>268</v>
      </c>
      <c r="E61" s="193" t="s">
        <v>367</v>
      </c>
      <c r="F61" s="192" t="s">
        <v>525</v>
      </c>
      <c r="G61" s="194" t="s">
        <v>230</v>
      </c>
      <c r="H61" s="195"/>
      <c r="I61" s="195"/>
      <c r="J61" s="196">
        <v>72</v>
      </c>
      <c r="K61" s="52">
        <v>72</v>
      </c>
      <c r="L61" s="52">
        <v>72</v>
      </c>
      <c r="M61" s="52">
        <v>72</v>
      </c>
      <c r="N61" s="52">
        <v>72</v>
      </c>
      <c r="O61" s="52">
        <v>72</v>
      </c>
      <c r="P61" s="52">
        <v>72</v>
      </c>
      <c r="Q61" s="52">
        <v>72</v>
      </c>
      <c r="R61" s="52">
        <v>72</v>
      </c>
      <c r="S61" s="52">
        <v>72</v>
      </c>
      <c r="T61" s="52">
        <v>72</v>
      </c>
      <c r="U61" s="52">
        <v>71</v>
      </c>
      <c r="V61" s="197">
        <f t="shared" si="1"/>
        <v>863</v>
      </c>
      <c r="W61" s="207"/>
      <c r="X61" s="199" t="s">
        <v>1941</v>
      </c>
      <c r="Y61" s="200"/>
      <c r="Z61" s="200" t="s">
        <v>2075</v>
      </c>
      <c r="AA61" s="200" t="s">
        <v>2166</v>
      </c>
      <c r="AB61" s="211" t="s">
        <v>2261</v>
      </c>
      <c r="AC61" s="202" t="s">
        <v>2257</v>
      </c>
      <c r="AD61" s="203"/>
      <c r="AE61" s="203" t="s">
        <v>2262</v>
      </c>
      <c r="AF61" s="215" t="s">
        <v>2263</v>
      </c>
      <c r="AH61" s="205" t="s">
        <v>1025</v>
      </c>
      <c r="AI61" s="205" t="e">
        <f>IF(A61="","",IF(#REF!="human resources",IFERROR(IF(FIND("Selling",B61)&gt;0,"Selling","General Administrative"),"General Administrative"),IF(D61="10301S","Selling","General Administrative")))</f>
        <v>#REF!</v>
      </c>
      <c r="AJ61" s="205" t="s">
        <v>230</v>
      </c>
    </row>
    <row r="62" spans="1:36" s="63" customFormat="1" ht="30" customHeight="1" x14ac:dyDescent="0.25">
      <c r="A62" s="189" t="s">
        <v>1801</v>
      </c>
      <c r="B62" s="190" t="s">
        <v>1802</v>
      </c>
      <c r="C62" s="191" t="s">
        <v>2264</v>
      </c>
      <c r="D62" s="192" t="s">
        <v>268</v>
      </c>
      <c r="E62" s="193" t="s">
        <v>367</v>
      </c>
      <c r="F62" s="192" t="s">
        <v>525</v>
      </c>
      <c r="G62" s="194" t="s">
        <v>230</v>
      </c>
      <c r="H62" s="195"/>
      <c r="I62" s="195"/>
      <c r="J62" s="196">
        <v>10</v>
      </c>
      <c r="K62" s="52">
        <v>10</v>
      </c>
      <c r="L62" s="52">
        <v>10</v>
      </c>
      <c r="M62" s="52">
        <v>10</v>
      </c>
      <c r="N62" s="52">
        <v>10</v>
      </c>
      <c r="O62" s="52">
        <v>10</v>
      </c>
      <c r="P62" s="52">
        <v>10</v>
      </c>
      <c r="Q62" s="52">
        <v>10</v>
      </c>
      <c r="R62" s="52">
        <v>10</v>
      </c>
      <c r="S62" s="52">
        <v>10</v>
      </c>
      <c r="T62" s="52">
        <v>10</v>
      </c>
      <c r="U62" s="52">
        <v>11</v>
      </c>
      <c r="V62" s="197">
        <f t="shared" si="1"/>
        <v>121</v>
      </c>
      <c r="W62" s="207"/>
      <c r="X62" s="199" t="s">
        <v>1941</v>
      </c>
      <c r="Y62" s="200"/>
      <c r="Z62" s="200" t="s">
        <v>2075</v>
      </c>
      <c r="AA62" s="200" t="s">
        <v>2166</v>
      </c>
      <c r="AB62" s="113" t="s">
        <v>2261</v>
      </c>
      <c r="AC62" s="202" t="s">
        <v>2257</v>
      </c>
      <c r="AD62" s="203"/>
      <c r="AE62" s="203" t="s">
        <v>2265</v>
      </c>
      <c r="AF62" s="201" t="s">
        <v>2266</v>
      </c>
      <c r="AH62" s="205" t="s">
        <v>1025</v>
      </c>
      <c r="AI62" s="205" t="e">
        <f>IF(A62="","",IF(#REF!="human resources",IFERROR(IF(FIND("Selling",B62)&gt;0,"Selling","General Administrative"),"General Administrative"),IF(D62="10301S","Selling","General Administrative")))</f>
        <v>#REF!</v>
      </c>
      <c r="AJ62" s="205" t="s">
        <v>230</v>
      </c>
    </row>
    <row r="63" spans="1:36" s="63" customFormat="1" ht="30" hidden="1" customHeight="1" x14ac:dyDescent="0.25">
      <c r="A63" s="174" t="s">
        <v>1803</v>
      </c>
      <c r="B63" s="190" t="s">
        <v>1804</v>
      </c>
      <c r="C63" s="191" t="s">
        <v>2267</v>
      </c>
      <c r="D63" s="192" t="s">
        <v>268</v>
      </c>
      <c r="E63" s="193" t="s">
        <v>367</v>
      </c>
      <c r="F63" s="192" t="s">
        <v>525</v>
      </c>
      <c r="G63" s="194" t="s">
        <v>230</v>
      </c>
      <c r="H63" s="195"/>
      <c r="I63" s="195"/>
      <c r="J63" s="196">
        <v>0</v>
      </c>
      <c r="K63" s="52">
        <v>0</v>
      </c>
      <c r="L63" s="52">
        <v>0</v>
      </c>
      <c r="M63" s="52">
        <v>0</v>
      </c>
      <c r="N63" s="52">
        <v>0</v>
      </c>
      <c r="O63" s="52">
        <v>0</v>
      </c>
      <c r="P63" s="52">
        <v>0</v>
      </c>
      <c r="Q63" s="52">
        <v>0</v>
      </c>
      <c r="R63" s="52">
        <v>0</v>
      </c>
      <c r="S63" s="52">
        <v>0</v>
      </c>
      <c r="T63" s="52">
        <v>0</v>
      </c>
      <c r="U63" s="52">
        <v>0</v>
      </c>
      <c r="V63" s="197">
        <f t="shared" si="1"/>
        <v>0</v>
      </c>
      <c r="W63" s="207"/>
      <c r="X63" s="199" t="s">
        <v>1941</v>
      </c>
      <c r="Y63" s="200"/>
      <c r="Z63" s="200"/>
      <c r="AA63" s="200"/>
      <c r="AB63" s="113"/>
      <c r="AC63" s="203"/>
      <c r="AD63" s="203"/>
      <c r="AE63" s="210"/>
      <c r="AF63" s="201" t="s">
        <v>2077</v>
      </c>
      <c r="AH63" s="205" t="s">
        <v>1025</v>
      </c>
      <c r="AI63" s="205" t="e">
        <f>IF(A63="","",IF(#REF!="human resources",IFERROR(IF(FIND("Selling",B63)&gt;0,"Selling","General Administrative"),"General Administrative"),IF(D63="10301S","Selling","General Administrative")))</f>
        <v>#REF!</v>
      </c>
      <c r="AJ63" s="205" t="s">
        <v>230</v>
      </c>
    </row>
    <row r="64" spans="1:36" s="63" customFormat="1" ht="30" hidden="1" customHeight="1" x14ac:dyDescent="0.25">
      <c r="A64" s="174" t="s">
        <v>2268</v>
      </c>
      <c r="B64" s="190" t="s">
        <v>2519</v>
      </c>
      <c r="C64" s="191" t="s">
        <v>2269</v>
      </c>
      <c r="D64" s="192" t="s">
        <v>268</v>
      </c>
      <c r="E64" s="193" t="s">
        <v>367</v>
      </c>
      <c r="F64" s="192" t="s">
        <v>525</v>
      </c>
      <c r="G64" s="194" t="s">
        <v>230</v>
      </c>
      <c r="H64" s="195"/>
      <c r="I64" s="195"/>
      <c r="J64" s="196">
        <v>0</v>
      </c>
      <c r="K64" s="52">
        <v>0</v>
      </c>
      <c r="L64" s="52">
        <v>0</v>
      </c>
      <c r="M64" s="52">
        <v>0</v>
      </c>
      <c r="N64" s="52">
        <v>0</v>
      </c>
      <c r="O64" s="52">
        <v>0</v>
      </c>
      <c r="P64" s="52">
        <v>0</v>
      </c>
      <c r="Q64" s="52">
        <v>0</v>
      </c>
      <c r="R64" s="52">
        <v>0</v>
      </c>
      <c r="S64" s="52">
        <v>0</v>
      </c>
      <c r="T64" s="52">
        <v>0</v>
      </c>
      <c r="U64" s="52">
        <v>0</v>
      </c>
      <c r="V64" s="197">
        <f t="shared" si="1"/>
        <v>0</v>
      </c>
      <c r="W64" s="207"/>
      <c r="X64" s="199" t="s">
        <v>1941</v>
      </c>
      <c r="Y64" s="200"/>
      <c r="Z64" s="200"/>
      <c r="AA64" s="200"/>
      <c r="AB64" s="113"/>
      <c r="AC64" s="203"/>
      <c r="AD64" s="203"/>
      <c r="AE64" s="210"/>
      <c r="AF64" s="201" t="s">
        <v>2077</v>
      </c>
      <c r="AH64" s="205" t="s">
        <v>1025</v>
      </c>
      <c r="AI64" s="205" t="e">
        <f>IF(A64="","",IF(#REF!="human resources",IFERROR(IF(FIND("Selling",B64)&gt;0,"Selling","General Administrative"),"General Administrative"),IF(D64="10301S","Selling","General Administrative")))</f>
        <v>#REF!</v>
      </c>
      <c r="AJ64" s="205" t="s">
        <v>230</v>
      </c>
    </row>
    <row r="65" spans="1:36" s="63" customFormat="1" ht="30" customHeight="1" x14ac:dyDescent="0.25">
      <c r="A65" s="189" t="s">
        <v>1805</v>
      </c>
      <c r="B65" s="190" t="s">
        <v>1806</v>
      </c>
      <c r="C65" s="191" t="s">
        <v>2270</v>
      </c>
      <c r="D65" s="192" t="s">
        <v>268</v>
      </c>
      <c r="E65" s="193" t="s">
        <v>367</v>
      </c>
      <c r="F65" s="192" t="s">
        <v>525</v>
      </c>
      <c r="G65" s="194" t="s">
        <v>230</v>
      </c>
      <c r="H65" s="195"/>
      <c r="I65" s="195"/>
      <c r="J65" s="196">
        <v>0</v>
      </c>
      <c r="K65" s="52">
        <v>0</v>
      </c>
      <c r="L65" s="52">
        <v>864</v>
      </c>
      <c r="M65" s="52">
        <v>0</v>
      </c>
      <c r="N65" s="52">
        <v>0</v>
      </c>
      <c r="O65" s="52">
        <v>0</v>
      </c>
      <c r="P65" s="52">
        <v>0</v>
      </c>
      <c r="Q65" s="52">
        <v>0</v>
      </c>
      <c r="R65" s="52">
        <v>0</v>
      </c>
      <c r="S65" s="52">
        <v>0</v>
      </c>
      <c r="T65" s="52">
        <v>0</v>
      </c>
      <c r="U65" s="52">
        <v>0</v>
      </c>
      <c r="V65" s="197">
        <f t="shared" si="1"/>
        <v>864</v>
      </c>
      <c r="W65" s="207"/>
      <c r="X65" s="199" t="s">
        <v>1941</v>
      </c>
      <c r="Y65" s="200"/>
      <c r="Z65" s="200" t="s">
        <v>2075</v>
      </c>
      <c r="AA65" s="200" t="s">
        <v>2076</v>
      </c>
      <c r="AB65" s="113" t="s">
        <v>2271</v>
      </c>
      <c r="AC65" s="202" t="s">
        <v>2218</v>
      </c>
      <c r="AD65" s="203"/>
      <c r="AE65" s="203" t="s">
        <v>2272</v>
      </c>
      <c r="AF65" s="201" t="s">
        <v>2273</v>
      </c>
      <c r="AH65" s="205" t="s">
        <v>1025</v>
      </c>
      <c r="AI65" s="205" t="e">
        <f>IF(A65="","",IF(#REF!="human resources",IFERROR(IF(FIND("Selling",B65)&gt;0,"Selling","General Administrative"),"General Administrative"),IF(D65="10301S","Selling","General Administrative")))</f>
        <v>#REF!</v>
      </c>
      <c r="AJ65" s="205" t="s">
        <v>230</v>
      </c>
    </row>
    <row r="66" spans="1:36" s="63" customFormat="1" ht="30" customHeight="1" x14ac:dyDescent="0.25">
      <c r="A66" s="189" t="s">
        <v>1805</v>
      </c>
      <c r="B66" s="190" t="s">
        <v>1806</v>
      </c>
      <c r="C66" s="191" t="s">
        <v>2274</v>
      </c>
      <c r="D66" s="192" t="s">
        <v>268</v>
      </c>
      <c r="E66" s="193" t="s">
        <v>367</v>
      </c>
      <c r="F66" s="192" t="s">
        <v>525</v>
      </c>
      <c r="G66" s="194" t="s">
        <v>230</v>
      </c>
      <c r="H66" s="195"/>
      <c r="I66" s="195"/>
      <c r="J66" s="196">
        <v>0</v>
      </c>
      <c r="K66" s="52">
        <v>0</v>
      </c>
      <c r="L66" s="212">
        <v>0</v>
      </c>
      <c r="M66" s="52">
        <v>0</v>
      </c>
      <c r="N66" s="52">
        <v>0</v>
      </c>
      <c r="O66" s="52">
        <v>0</v>
      </c>
      <c r="P66" s="52">
        <v>0</v>
      </c>
      <c r="Q66" s="52">
        <v>0</v>
      </c>
      <c r="R66" s="52">
        <v>18333</v>
      </c>
      <c r="S66" s="52">
        <v>0</v>
      </c>
      <c r="T66" s="52">
        <v>0</v>
      </c>
      <c r="U66" s="52">
        <v>0</v>
      </c>
      <c r="V66" s="197">
        <f t="shared" si="1"/>
        <v>18333</v>
      </c>
      <c r="W66" s="207"/>
      <c r="X66" s="199" t="s">
        <v>1941</v>
      </c>
      <c r="Y66" s="200"/>
      <c r="Z66" s="200" t="s">
        <v>2075</v>
      </c>
      <c r="AA66" s="200" t="s">
        <v>2076</v>
      </c>
      <c r="AB66" s="113" t="s">
        <v>2243</v>
      </c>
      <c r="AC66" s="202" t="s">
        <v>2275</v>
      </c>
      <c r="AD66" s="113"/>
      <c r="AE66" s="113" t="s">
        <v>2276</v>
      </c>
      <c r="AF66" s="204" t="s">
        <v>2277</v>
      </c>
      <c r="AH66" s="205" t="s">
        <v>1025</v>
      </c>
      <c r="AI66" s="205" t="e">
        <f>IF(A66="","",IF(#REF!="human resources",IFERROR(IF(FIND("Selling",B66)&gt;0,"Selling","General Administrative"),"General Administrative"),IF(D66="10301S","Selling","General Administrative")))</f>
        <v>#REF!</v>
      </c>
      <c r="AJ66" s="205" t="s">
        <v>230</v>
      </c>
    </row>
    <row r="67" spans="1:36" s="63" customFormat="1" ht="30" customHeight="1" x14ac:dyDescent="0.25">
      <c r="A67" s="189" t="s">
        <v>1807</v>
      </c>
      <c r="B67" s="190" t="s">
        <v>1808</v>
      </c>
      <c r="C67" s="191" t="s">
        <v>2278</v>
      </c>
      <c r="D67" s="192" t="s">
        <v>268</v>
      </c>
      <c r="E67" s="193" t="s">
        <v>367</v>
      </c>
      <c r="F67" s="192" t="s">
        <v>525</v>
      </c>
      <c r="G67" s="194" t="s">
        <v>230</v>
      </c>
      <c r="H67" s="195"/>
      <c r="I67" s="195"/>
      <c r="J67" s="196">
        <v>275</v>
      </c>
      <c r="K67" s="52">
        <v>275</v>
      </c>
      <c r="L67" s="52">
        <v>275</v>
      </c>
      <c r="M67" s="52">
        <v>275</v>
      </c>
      <c r="N67" s="52">
        <v>275</v>
      </c>
      <c r="O67" s="52">
        <v>275</v>
      </c>
      <c r="P67" s="52">
        <v>275</v>
      </c>
      <c r="Q67" s="52">
        <v>275</v>
      </c>
      <c r="R67" s="52">
        <v>275</v>
      </c>
      <c r="S67" s="52">
        <v>275</v>
      </c>
      <c r="T67" s="52">
        <v>275</v>
      </c>
      <c r="U67" s="52">
        <v>275</v>
      </c>
      <c r="V67" s="197">
        <f t="shared" si="1"/>
        <v>3300</v>
      </c>
      <c r="W67" s="207"/>
      <c r="X67" s="199" t="s">
        <v>1941</v>
      </c>
      <c r="Y67" s="200"/>
      <c r="Z67" s="200" t="s">
        <v>2075</v>
      </c>
      <c r="AA67" s="200" t="s">
        <v>2166</v>
      </c>
      <c r="AB67" s="113" t="s">
        <v>2279</v>
      </c>
      <c r="AC67" s="202" t="s">
        <v>2280</v>
      </c>
      <c r="AD67" s="203"/>
      <c r="AE67" s="203" t="s">
        <v>2281</v>
      </c>
      <c r="AF67" s="215" t="s">
        <v>2282</v>
      </c>
      <c r="AH67" s="205" t="s">
        <v>1025</v>
      </c>
      <c r="AI67" s="205" t="e">
        <f>IF(A67="","",IF(#REF!="human resources",IFERROR(IF(FIND("Selling",B67)&gt;0,"Selling","General Administrative"),"General Administrative"),IF(D67="10301S","Selling","General Administrative")))</f>
        <v>#REF!</v>
      </c>
      <c r="AJ67" s="205" t="s">
        <v>230</v>
      </c>
    </row>
    <row r="68" spans="1:36" s="63" customFormat="1" ht="30" customHeight="1" x14ac:dyDescent="0.25">
      <c r="A68" s="189" t="s">
        <v>1809</v>
      </c>
      <c r="B68" s="190" t="s">
        <v>1810</v>
      </c>
      <c r="C68" s="191" t="s">
        <v>2283</v>
      </c>
      <c r="D68" s="192" t="s">
        <v>268</v>
      </c>
      <c r="E68" s="193" t="s">
        <v>367</v>
      </c>
      <c r="F68" s="192" t="s">
        <v>525</v>
      </c>
      <c r="G68" s="194" t="s">
        <v>230</v>
      </c>
      <c r="H68" s="195"/>
      <c r="I68" s="195"/>
      <c r="J68" s="196">
        <v>0</v>
      </c>
      <c r="K68" s="52">
        <v>0</v>
      </c>
      <c r="L68" s="52">
        <v>0</v>
      </c>
      <c r="M68" s="52">
        <v>0</v>
      </c>
      <c r="N68" s="52">
        <v>0</v>
      </c>
      <c r="O68" s="52">
        <v>0</v>
      </c>
      <c r="P68" s="52">
        <v>0</v>
      </c>
      <c r="Q68" s="52">
        <v>0</v>
      </c>
      <c r="R68" s="52">
        <v>286</v>
      </c>
      <c r="S68" s="52">
        <v>0</v>
      </c>
      <c r="T68" s="52">
        <v>0</v>
      </c>
      <c r="U68" s="52">
        <v>0</v>
      </c>
      <c r="V68" s="197">
        <f t="shared" si="1"/>
        <v>286</v>
      </c>
      <c r="W68" s="207"/>
      <c r="X68" s="199" t="s">
        <v>1941</v>
      </c>
      <c r="Y68" s="200"/>
      <c r="Z68" s="200" t="s">
        <v>2075</v>
      </c>
      <c r="AA68" s="200" t="s">
        <v>2076</v>
      </c>
      <c r="AB68" s="113" t="s">
        <v>2284</v>
      </c>
      <c r="AC68" s="202" t="s">
        <v>2087</v>
      </c>
      <c r="AD68" s="203"/>
      <c r="AE68" s="203" t="s">
        <v>2094</v>
      </c>
      <c r="AF68" s="204" t="s">
        <v>2285</v>
      </c>
      <c r="AH68" s="205" t="s">
        <v>1025</v>
      </c>
      <c r="AI68" s="205" t="e">
        <f>IF(A68="","",IF(#REF!="human resources",IFERROR(IF(FIND("Selling",B68)&gt;0,"Selling","General Administrative"),"General Administrative"),IF(D68="10301S","Selling","General Administrative")))</f>
        <v>#REF!</v>
      </c>
      <c r="AJ68" s="205" t="s">
        <v>230</v>
      </c>
    </row>
    <row r="69" spans="1:36" s="63" customFormat="1" ht="30" customHeight="1" x14ac:dyDescent="0.25">
      <c r="A69" s="189" t="s">
        <v>1811</v>
      </c>
      <c r="B69" s="190" t="s">
        <v>1812</v>
      </c>
      <c r="C69" s="191" t="s">
        <v>2286</v>
      </c>
      <c r="D69" s="192" t="s">
        <v>268</v>
      </c>
      <c r="E69" s="193" t="s">
        <v>367</v>
      </c>
      <c r="F69" s="192" t="s">
        <v>525</v>
      </c>
      <c r="G69" s="194" t="s">
        <v>230</v>
      </c>
      <c r="H69" s="195"/>
      <c r="I69" s="195"/>
      <c r="J69" s="196">
        <v>3333.3333333333298</v>
      </c>
      <c r="K69" s="52">
        <v>0</v>
      </c>
      <c r="L69" s="52">
        <v>0</v>
      </c>
      <c r="M69" s="52">
        <v>0</v>
      </c>
      <c r="N69" s="52">
        <v>0</v>
      </c>
      <c r="O69" s="52">
        <v>0</v>
      </c>
      <c r="P69" s="52">
        <v>0</v>
      </c>
      <c r="Q69" s="52">
        <v>0</v>
      </c>
      <c r="R69" s="214">
        <v>0</v>
      </c>
      <c r="S69" s="52">
        <v>0</v>
      </c>
      <c r="T69" s="52">
        <v>0</v>
      </c>
      <c r="U69" s="52">
        <v>0</v>
      </c>
      <c r="V69" s="197">
        <f>SUM(J69:U69)</f>
        <v>3333.3333333333298</v>
      </c>
      <c r="W69" s="207"/>
      <c r="X69" s="199" t="s">
        <v>1941</v>
      </c>
      <c r="Y69" s="200"/>
      <c r="Z69" s="200" t="s">
        <v>2075</v>
      </c>
      <c r="AA69" s="200" t="s">
        <v>2076</v>
      </c>
      <c r="AB69" s="113" t="s">
        <v>2287</v>
      </c>
      <c r="AC69" s="202" t="s">
        <v>2288</v>
      </c>
      <c r="AD69" s="203"/>
      <c r="AE69" s="203" t="s">
        <v>2102</v>
      </c>
      <c r="AF69" s="204" t="s">
        <v>2289</v>
      </c>
      <c r="AH69" s="205" t="s">
        <v>1025</v>
      </c>
      <c r="AI69" s="205" t="e">
        <f>IF(A69="","",IF(#REF!="human resources",IFERROR(IF(FIND("Selling",B69)&gt;0,"Selling","General Administrative"),"General Administrative"),IF(D69="10301S","Selling","General Administrative")))</f>
        <v>#REF!</v>
      </c>
      <c r="AJ69" s="205" t="s">
        <v>230</v>
      </c>
    </row>
    <row r="70" spans="1:36" s="63" customFormat="1" ht="30" hidden="1" customHeight="1" x14ac:dyDescent="0.25">
      <c r="A70" s="174" t="s">
        <v>2290</v>
      </c>
      <c r="B70" s="190" t="s">
        <v>2520</v>
      </c>
      <c r="C70" s="191" t="s">
        <v>2291</v>
      </c>
      <c r="D70" s="192" t="s">
        <v>268</v>
      </c>
      <c r="E70" s="193" t="s">
        <v>367</v>
      </c>
      <c r="F70" s="192" t="s">
        <v>525</v>
      </c>
      <c r="G70" s="194" t="s">
        <v>230</v>
      </c>
      <c r="H70" s="195"/>
      <c r="I70" s="195"/>
      <c r="J70" s="196">
        <v>0</v>
      </c>
      <c r="K70" s="52">
        <v>0</v>
      </c>
      <c r="L70" s="52">
        <v>0</v>
      </c>
      <c r="M70" s="52">
        <v>0</v>
      </c>
      <c r="N70" s="52">
        <v>0</v>
      </c>
      <c r="O70" s="52">
        <v>0</v>
      </c>
      <c r="P70" s="52">
        <v>0</v>
      </c>
      <c r="Q70" s="52">
        <v>0</v>
      </c>
      <c r="R70" s="52">
        <v>0</v>
      </c>
      <c r="S70" s="52">
        <v>0</v>
      </c>
      <c r="T70" s="52">
        <v>0</v>
      </c>
      <c r="U70" s="52">
        <v>0</v>
      </c>
      <c r="V70" s="197">
        <f t="shared" si="1"/>
        <v>0</v>
      </c>
      <c r="W70" s="207"/>
      <c r="X70" s="199" t="s">
        <v>1941</v>
      </c>
      <c r="Y70" s="200"/>
      <c r="Z70" s="200"/>
      <c r="AA70" s="200"/>
      <c r="AB70" s="113"/>
      <c r="AC70" s="203"/>
      <c r="AD70" s="203"/>
      <c r="AE70" s="210"/>
      <c r="AF70" s="201" t="s">
        <v>2077</v>
      </c>
      <c r="AH70" s="205" t="s">
        <v>1025</v>
      </c>
      <c r="AI70" s="205" t="e">
        <f>IF(A70="","",IF(#REF!="human resources",IFERROR(IF(FIND("Selling",B70)&gt;0,"Selling","General Administrative"),"General Administrative"),IF(D70="10301S","Selling","General Administrative")))</f>
        <v>#REF!</v>
      </c>
      <c r="AJ70" s="205" t="s">
        <v>230</v>
      </c>
    </row>
    <row r="71" spans="1:36" s="63" customFormat="1" ht="30" hidden="1" customHeight="1" x14ac:dyDescent="0.25">
      <c r="A71" s="174" t="s">
        <v>2292</v>
      </c>
      <c r="B71" s="190" t="s">
        <v>2521</v>
      </c>
      <c r="C71" s="191" t="s">
        <v>2293</v>
      </c>
      <c r="D71" s="192" t="s">
        <v>268</v>
      </c>
      <c r="E71" s="193" t="s">
        <v>367</v>
      </c>
      <c r="F71" s="192" t="s">
        <v>525</v>
      </c>
      <c r="G71" s="194" t="s">
        <v>230</v>
      </c>
      <c r="H71" s="195"/>
      <c r="I71" s="195"/>
      <c r="J71" s="196">
        <v>0</v>
      </c>
      <c r="K71" s="52">
        <v>0</v>
      </c>
      <c r="L71" s="52">
        <v>0</v>
      </c>
      <c r="M71" s="52">
        <v>0</v>
      </c>
      <c r="N71" s="52">
        <v>0</v>
      </c>
      <c r="O71" s="52">
        <v>0</v>
      </c>
      <c r="P71" s="52">
        <v>0</v>
      </c>
      <c r="Q71" s="52">
        <v>0</v>
      </c>
      <c r="R71" s="52">
        <v>0</v>
      </c>
      <c r="S71" s="52">
        <v>0</v>
      </c>
      <c r="T71" s="52">
        <v>0</v>
      </c>
      <c r="U71" s="52">
        <v>0</v>
      </c>
      <c r="V71" s="197">
        <f t="shared" si="1"/>
        <v>0</v>
      </c>
      <c r="W71" s="207"/>
      <c r="X71" s="199" t="s">
        <v>1941</v>
      </c>
      <c r="Y71" s="200"/>
      <c r="Z71" s="200"/>
      <c r="AA71" s="200"/>
      <c r="AB71" s="113"/>
      <c r="AC71" s="203"/>
      <c r="AD71" s="203"/>
      <c r="AE71" s="210"/>
      <c r="AF71" s="201" t="s">
        <v>2077</v>
      </c>
      <c r="AH71" s="205" t="s">
        <v>1025</v>
      </c>
      <c r="AI71" s="205" t="e">
        <f>IF(A71="","",IF(#REF!="human resources",IFERROR(IF(FIND("Selling",B71)&gt;0,"Selling","General Administrative"),"General Administrative"),IF(D71="10301S","Selling","General Administrative")))</f>
        <v>#REF!</v>
      </c>
      <c r="AJ71" s="205" t="s">
        <v>230</v>
      </c>
    </row>
    <row r="72" spans="1:36" s="63" customFormat="1" ht="30" customHeight="1" x14ac:dyDescent="0.25">
      <c r="A72" s="189" t="s">
        <v>1813</v>
      </c>
      <c r="B72" s="190" t="s">
        <v>1814</v>
      </c>
      <c r="C72" s="191" t="s">
        <v>2294</v>
      </c>
      <c r="D72" s="192" t="s">
        <v>268</v>
      </c>
      <c r="E72" s="193" t="s">
        <v>367</v>
      </c>
      <c r="F72" s="192" t="s">
        <v>525</v>
      </c>
      <c r="G72" s="194" t="s">
        <v>230</v>
      </c>
      <c r="H72" s="195"/>
      <c r="I72" s="195"/>
      <c r="J72" s="196">
        <v>0</v>
      </c>
      <c r="K72" s="52">
        <v>0</v>
      </c>
      <c r="L72" s="52">
        <v>0</v>
      </c>
      <c r="M72" s="52">
        <v>0</v>
      </c>
      <c r="N72" s="52">
        <v>0</v>
      </c>
      <c r="O72" s="52">
        <v>0</v>
      </c>
      <c r="P72" s="52">
        <v>0</v>
      </c>
      <c r="Q72" s="52">
        <v>0</v>
      </c>
      <c r="R72" s="52">
        <v>19733</v>
      </c>
      <c r="S72" s="52">
        <v>0</v>
      </c>
      <c r="T72" s="52">
        <v>0</v>
      </c>
      <c r="U72" s="52">
        <v>0</v>
      </c>
      <c r="V72" s="197">
        <f t="shared" si="1"/>
        <v>19733</v>
      </c>
      <c r="W72" s="207"/>
      <c r="X72" s="199" t="s">
        <v>1941</v>
      </c>
      <c r="Y72" s="200"/>
      <c r="Z72" s="200" t="s">
        <v>2075</v>
      </c>
      <c r="AA72" s="200" t="s">
        <v>2076</v>
      </c>
      <c r="AB72" s="113" t="s">
        <v>2295</v>
      </c>
      <c r="AC72" s="202" t="s">
        <v>2288</v>
      </c>
      <c r="AD72" s="203"/>
      <c r="AE72" s="203" t="s">
        <v>2296</v>
      </c>
      <c r="AF72" s="204" t="s">
        <v>2297</v>
      </c>
      <c r="AH72" s="205" t="s">
        <v>1025</v>
      </c>
      <c r="AI72" s="205" t="e">
        <f>IF(A72="","",IF(#REF!="human resources",IFERROR(IF(FIND("Selling",B72)&gt;0,"Selling","General Administrative"),"General Administrative"),IF(D72="10301S","Selling","General Administrative")))</f>
        <v>#REF!</v>
      </c>
      <c r="AJ72" s="205" t="s">
        <v>230</v>
      </c>
    </row>
    <row r="73" spans="1:36" s="63" customFormat="1" ht="30" hidden="1" customHeight="1" x14ac:dyDescent="0.25">
      <c r="A73" s="174" t="s">
        <v>2298</v>
      </c>
      <c r="B73" s="190" t="s">
        <v>2522</v>
      </c>
      <c r="C73" s="191" t="s">
        <v>2299</v>
      </c>
      <c r="D73" s="192" t="s">
        <v>268</v>
      </c>
      <c r="E73" s="193" t="s">
        <v>367</v>
      </c>
      <c r="F73" s="192" t="s">
        <v>525</v>
      </c>
      <c r="G73" s="194" t="s">
        <v>230</v>
      </c>
      <c r="H73" s="195"/>
      <c r="I73" s="195"/>
      <c r="J73" s="196">
        <v>0</v>
      </c>
      <c r="K73" s="52">
        <v>0</v>
      </c>
      <c r="L73" s="52">
        <v>0</v>
      </c>
      <c r="M73" s="52">
        <v>0</v>
      </c>
      <c r="N73" s="52">
        <v>0</v>
      </c>
      <c r="O73" s="52">
        <v>0</v>
      </c>
      <c r="P73" s="52">
        <v>0</v>
      </c>
      <c r="Q73" s="52">
        <v>0</v>
      </c>
      <c r="R73" s="52">
        <v>0</v>
      </c>
      <c r="S73" s="52">
        <v>0</v>
      </c>
      <c r="T73" s="52">
        <v>0</v>
      </c>
      <c r="U73" s="52">
        <v>0</v>
      </c>
      <c r="V73" s="197">
        <f t="shared" si="1"/>
        <v>0</v>
      </c>
      <c r="W73" s="207"/>
      <c r="X73" s="199" t="s">
        <v>1941</v>
      </c>
      <c r="Y73" s="200"/>
      <c r="Z73" s="200"/>
      <c r="AA73" s="200"/>
      <c r="AB73" s="113"/>
      <c r="AC73" s="203"/>
      <c r="AD73" s="203"/>
      <c r="AE73" s="210"/>
      <c r="AF73" s="201" t="s">
        <v>2077</v>
      </c>
      <c r="AH73" s="205" t="s">
        <v>1025</v>
      </c>
      <c r="AI73" s="205" t="e">
        <f>IF(A73="","",IF(#REF!="human resources",IFERROR(IF(FIND("Selling",B73)&gt;0,"Selling","General Administrative"),"General Administrative"),IF(D73="10301S","Selling","General Administrative")))</f>
        <v>#REF!</v>
      </c>
      <c r="AJ73" s="205" t="s">
        <v>230</v>
      </c>
    </row>
    <row r="74" spans="1:36" s="63" customFormat="1" ht="30" customHeight="1" x14ac:dyDescent="0.25">
      <c r="A74" s="189" t="s">
        <v>1815</v>
      </c>
      <c r="B74" s="190" t="s">
        <v>1816</v>
      </c>
      <c r="C74" s="191" t="s">
        <v>2300</v>
      </c>
      <c r="D74" s="192" t="s">
        <v>268</v>
      </c>
      <c r="E74" s="193" t="s">
        <v>367</v>
      </c>
      <c r="F74" s="192" t="s">
        <v>525</v>
      </c>
      <c r="G74" s="194" t="s">
        <v>230</v>
      </c>
      <c r="H74" s="195"/>
      <c r="I74" s="195"/>
      <c r="J74" s="196">
        <v>0</v>
      </c>
      <c r="K74" s="52">
        <v>0</v>
      </c>
      <c r="L74" s="52">
        <v>0</v>
      </c>
      <c r="M74" s="52">
        <v>0</v>
      </c>
      <c r="N74" s="52">
        <v>0</v>
      </c>
      <c r="O74" s="52">
        <v>0</v>
      </c>
      <c r="P74" s="52">
        <v>0</v>
      </c>
      <c r="Q74" s="52">
        <v>2400</v>
      </c>
      <c r="R74" s="52">
        <v>0</v>
      </c>
      <c r="S74" s="52">
        <v>0</v>
      </c>
      <c r="T74" s="52">
        <v>0</v>
      </c>
      <c r="U74" s="52">
        <v>0</v>
      </c>
      <c r="V74" s="197">
        <f t="shared" ref="V74:V137" si="2">SUM(J74:U74)</f>
        <v>2400</v>
      </c>
      <c r="W74" s="207"/>
      <c r="X74" s="199" t="s">
        <v>1941</v>
      </c>
      <c r="Y74" s="200"/>
      <c r="Z74" s="200" t="s">
        <v>2075</v>
      </c>
      <c r="AA74" s="200" t="s">
        <v>2076</v>
      </c>
      <c r="AB74" s="113" t="s">
        <v>2295</v>
      </c>
      <c r="AC74" s="202" t="s">
        <v>2301</v>
      </c>
      <c r="AD74" s="203"/>
      <c r="AE74" s="203" t="s">
        <v>2302</v>
      </c>
      <c r="AF74" s="204" t="s">
        <v>2303</v>
      </c>
      <c r="AH74" s="205" t="s">
        <v>1025</v>
      </c>
      <c r="AI74" s="205" t="e">
        <f>IF(A74="","",IF(#REF!="human resources",IFERROR(IF(FIND("Selling",B74)&gt;0,"Selling","General Administrative"),"General Administrative"),IF(D74="10301S","Selling","General Administrative")))</f>
        <v>#REF!</v>
      </c>
      <c r="AJ74" s="205" t="s">
        <v>230</v>
      </c>
    </row>
    <row r="75" spans="1:36" s="63" customFormat="1" ht="30" hidden="1" customHeight="1" x14ac:dyDescent="0.25">
      <c r="A75" s="174" t="s">
        <v>2304</v>
      </c>
      <c r="B75" s="190" t="s">
        <v>2523</v>
      </c>
      <c r="C75" s="191" t="s">
        <v>2305</v>
      </c>
      <c r="D75" s="192" t="s">
        <v>268</v>
      </c>
      <c r="E75" s="193" t="s">
        <v>367</v>
      </c>
      <c r="F75" s="192" t="s">
        <v>525</v>
      </c>
      <c r="G75" s="194" t="s">
        <v>230</v>
      </c>
      <c r="H75" s="195"/>
      <c r="I75" s="195"/>
      <c r="J75" s="196">
        <v>0</v>
      </c>
      <c r="K75" s="52">
        <v>0</v>
      </c>
      <c r="L75" s="52">
        <v>0</v>
      </c>
      <c r="M75" s="52">
        <v>0</v>
      </c>
      <c r="N75" s="52">
        <v>0</v>
      </c>
      <c r="O75" s="52">
        <v>0</v>
      </c>
      <c r="P75" s="52">
        <v>0</v>
      </c>
      <c r="Q75" s="52">
        <v>0</v>
      </c>
      <c r="R75" s="52">
        <v>0</v>
      </c>
      <c r="S75" s="52">
        <v>0</v>
      </c>
      <c r="T75" s="52">
        <v>0</v>
      </c>
      <c r="U75" s="52">
        <v>0</v>
      </c>
      <c r="V75" s="197">
        <f t="shared" si="2"/>
        <v>0</v>
      </c>
      <c r="W75" s="207"/>
      <c r="X75" s="199" t="s">
        <v>1941</v>
      </c>
      <c r="Y75" s="200"/>
      <c r="Z75" s="200"/>
      <c r="AA75" s="200"/>
      <c r="AB75" s="113"/>
      <c r="AC75" s="203"/>
      <c r="AD75" s="203"/>
      <c r="AE75" s="210"/>
      <c r="AF75" s="201" t="s">
        <v>2077</v>
      </c>
      <c r="AH75" s="205" t="s">
        <v>1025</v>
      </c>
      <c r="AI75" s="205" t="e">
        <f>IF(A75="","",IF(#REF!="human resources",IFERROR(IF(FIND("Selling",B75)&gt;0,"Selling","General Administrative"),"General Administrative"),IF(D75="10301S","Selling","General Administrative")))</f>
        <v>#REF!</v>
      </c>
      <c r="AJ75" s="205" t="s">
        <v>230</v>
      </c>
    </row>
    <row r="76" spans="1:36" s="63" customFormat="1" ht="30" hidden="1" customHeight="1" x14ac:dyDescent="0.25">
      <c r="A76" s="174" t="s">
        <v>2306</v>
      </c>
      <c r="B76" s="190" t="s">
        <v>2524</v>
      </c>
      <c r="C76" s="191" t="s">
        <v>2307</v>
      </c>
      <c r="D76" s="192" t="s">
        <v>268</v>
      </c>
      <c r="E76" s="193" t="s">
        <v>367</v>
      </c>
      <c r="F76" s="192" t="s">
        <v>525</v>
      </c>
      <c r="G76" s="194" t="s">
        <v>230</v>
      </c>
      <c r="H76" s="195"/>
      <c r="I76" s="195"/>
      <c r="J76" s="196">
        <v>0</v>
      </c>
      <c r="K76" s="52">
        <v>0</v>
      </c>
      <c r="L76" s="52">
        <v>0</v>
      </c>
      <c r="M76" s="52">
        <v>0</v>
      </c>
      <c r="N76" s="52">
        <v>0</v>
      </c>
      <c r="O76" s="52">
        <v>0</v>
      </c>
      <c r="P76" s="52">
        <v>0</v>
      </c>
      <c r="Q76" s="52">
        <v>0</v>
      </c>
      <c r="R76" s="52">
        <v>0</v>
      </c>
      <c r="S76" s="52">
        <v>0</v>
      </c>
      <c r="T76" s="52">
        <v>0</v>
      </c>
      <c r="U76" s="52">
        <v>0</v>
      </c>
      <c r="V76" s="197">
        <f t="shared" si="2"/>
        <v>0</v>
      </c>
      <c r="W76" s="207"/>
      <c r="X76" s="199" t="s">
        <v>1941</v>
      </c>
      <c r="Y76" s="200"/>
      <c r="Z76" s="200"/>
      <c r="AA76" s="200"/>
      <c r="AB76" s="113"/>
      <c r="AC76" s="203"/>
      <c r="AD76" s="203"/>
      <c r="AE76" s="210"/>
      <c r="AF76" s="201" t="s">
        <v>2077</v>
      </c>
      <c r="AH76" s="205" t="s">
        <v>1025</v>
      </c>
      <c r="AI76" s="205" t="e">
        <f>IF(A76="","",IF(#REF!="human resources",IFERROR(IF(FIND("Selling",B76)&gt;0,"Selling","General Administrative"),"General Administrative"),IF(D76="10301S","Selling","General Administrative")))</f>
        <v>#REF!</v>
      </c>
      <c r="AJ76" s="205" t="s">
        <v>230</v>
      </c>
    </row>
    <row r="77" spans="1:36" s="63" customFormat="1" ht="30" customHeight="1" x14ac:dyDescent="0.25">
      <c r="A77" s="189" t="s">
        <v>1817</v>
      </c>
      <c r="B77" s="190" t="s">
        <v>1818</v>
      </c>
      <c r="C77" s="191" t="s">
        <v>2308</v>
      </c>
      <c r="D77" s="192" t="s">
        <v>268</v>
      </c>
      <c r="E77" s="193" t="s">
        <v>367</v>
      </c>
      <c r="F77" s="192" t="s">
        <v>525</v>
      </c>
      <c r="G77" s="194" t="s">
        <v>230</v>
      </c>
      <c r="H77" s="195"/>
      <c r="I77" s="195"/>
      <c r="J77" s="196">
        <v>1814.0471666666599</v>
      </c>
      <c r="K77" s="52">
        <v>1814.0471666666599</v>
      </c>
      <c r="L77" s="52">
        <v>1814.0471666666599</v>
      </c>
      <c r="M77" s="52">
        <v>1814.0471666666599</v>
      </c>
      <c r="N77" s="52">
        <v>1814.0471666666599</v>
      </c>
      <c r="O77" s="52">
        <v>1814.0471666666599</v>
      </c>
      <c r="P77" s="52">
        <v>1814.0471666666599</v>
      </c>
      <c r="Q77" s="52">
        <v>1814.0471666666599</v>
      </c>
      <c r="R77" s="52">
        <v>1814.0471666666599</v>
      </c>
      <c r="S77" s="52">
        <v>1814.0471666666599</v>
      </c>
      <c r="T77" s="52">
        <v>1814.0471666666599</v>
      </c>
      <c r="U77" s="52">
        <v>1814.0471666666599</v>
      </c>
      <c r="V77" s="197">
        <f t="shared" si="2"/>
        <v>21768.565999999919</v>
      </c>
      <c r="W77" s="207"/>
      <c r="X77" s="199" t="s">
        <v>1941</v>
      </c>
      <c r="Y77" s="200"/>
      <c r="Z77" s="200" t="s">
        <v>2075</v>
      </c>
      <c r="AA77" s="200" t="s">
        <v>2166</v>
      </c>
      <c r="AB77" s="113" t="s">
        <v>2309</v>
      </c>
      <c r="AC77" s="202" t="s">
        <v>2310</v>
      </c>
      <c r="AD77" s="203"/>
      <c r="AE77" s="203" t="s">
        <v>2311</v>
      </c>
      <c r="AF77" s="201" t="s">
        <v>2312</v>
      </c>
      <c r="AH77" s="205" t="s">
        <v>1025</v>
      </c>
      <c r="AI77" s="205" t="e">
        <f>IF(A77="","",IF(#REF!="human resources",IFERROR(IF(FIND("Selling",B77)&gt;0,"Selling","General Administrative"),"General Administrative"),IF(D77="10301S","Selling","General Administrative")))</f>
        <v>#REF!</v>
      </c>
      <c r="AJ77" s="205" t="s">
        <v>230</v>
      </c>
    </row>
    <row r="78" spans="1:36" s="63" customFormat="1" ht="30" customHeight="1" x14ac:dyDescent="0.25">
      <c r="A78" s="189" t="s">
        <v>1819</v>
      </c>
      <c r="B78" s="190" t="s">
        <v>1820</v>
      </c>
      <c r="C78" s="191" t="s">
        <v>2313</v>
      </c>
      <c r="D78" s="192" t="s">
        <v>268</v>
      </c>
      <c r="E78" s="193" t="s">
        <v>367</v>
      </c>
      <c r="F78" s="192" t="s">
        <v>525</v>
      </c>
      <c r="G78" s="194" t="s">
        <v>230</v>
      </c>
      <c r="H78" s="195"/>
      <c r="I78" s="195"/>
      <c r="J78" s="196">
        <v>0</v>
      </c>
      <c r="K78" s="52">
        <v>0</v>
      </c>
      <c r="L78" s="52">
        <v>0</v>
      </c>
      <c r="M78" s="52">
        <v>0</v>
      </c>
      <c r="N78" s="52">
        <v>0</v>
      </c>
      <c r="O78" s="52">
        <v>0</v>
      </c>
      <c r="P78" s="52">
        <v>0</v>
      </c>
      <c r="Q78" s="52">
        <v>0</v>
      </c>
      <c r="R78" s="52">
        <v>0</v>
      </c>
      <c r="S78" s="52">
        <v>0</v>
      </c>
      <c r="T78" s="52">
        <v>6370</v>
      </c>
      <c r="U78" s="52">
        <v>0</v>
      </c>
      <c r="V78" s="197">
        <f t="shared" si="2"/>
        <v>6370</v>
      </c>
      <c r="W78" s="207"/>
      <c r="X78" s="199" t="s">
        <v>1941</v>
      </c>
      <c r="Y78" s="200"/>
      <c r="Z78" s="200" t="s">
        <v>2075</v>
      </c>
      <c r="AA78" s="200" t="s">
        <v>2076</v>
      </c>
      <c r="AB78" s="113" t="s">
        <v>2279</v>
      </c>
      <c r="AC78" s="202" t="s">
        <v>2314</v>
      </c>
      <c r="AD78" s="203"/>
      <c r="AE78" s="203" t="s">
        <v>2315</v>
      </c>
      <c r="AF78" s="204" t="s">
        <v>2316</v>
      </c>
      <c r="AH78" s="205" t="s">
        <v>1025</v>
      </c>
      <c r="AI78" s="205" t="e">
        <f>IF(A78="","",IF(#REF!="human resources",IFERROR(IF(FIND("Selling",B78)&gt;0,"Selling","General Administrative"),"General Administrative"),IF(D78="10301S","Selling","General Administrative")))</f>
        <v>#REF!</v>
      </c>
      <c r="AJ78" s="205" t="s">
        <v>230</v>
      </c>
    </row>
    <row r="79" spans="1:36" s="63" customFormat="1" ht="30" customHeight="1" x14ac:dyDescent="0.25">
      <c r="A79" s="189" t="s">
        <v>1821</v>
      </c>
      <c r="B79" s="190" t="s">
        <v>1822</v>
      </c>
      <c r="C79" s="191" t="s">
        <v>2317</v>
      </c>
      <c r="D79" s="192" t="s">
        <v>268</v>
      </c>
      <c r="E79" s="193" t="s">
        <v>367</v>
      </c>
      <c r="F79" s="192" t="s">
        <v>525</v>
      </c>
      <c r="G79" s="194" t="s">
        <v>230</v>
      </c>
      <c r="H79" s="195"/>
      <c r="I79" s="195"/>
      <c r="J79" s="196">
        <v>0</v>
      </c>
      <c r="K79" s="52">
        <v>0</v>
      </c>
      <c r="L79" s="52">
        <v>0</v>
      </c>
      <c r="M79" s="52">
        <v>0</v>
      </c>
      <c r="N79" s="52">
        <v>0</v>
      </c>
      <c r="O79" s="52">
        <v>0</v>
      </c>
      <c r="P79" s="52">
        <v>0</v>
      </c>
      <c r="Q79" s="52">
        <v>0</v>
      </c>
      <c r="R79" s="52">
        <v>0</v>
      </c>
      <c r="S79" s="52">
        <v>433</v>
      </c>
      <c r="T79" s="52">
        <v>0</v>
      </c>
      <c r="U79" s="52">
        <v>0</v>
      </c>
      <c r="V79" s="197">
        <f t="shared" si="2"/>
        <v>433</v>
      </c>
      <c r="W79" s="207"/>
      <c r="X79" s="199" t="s">
        <v>1941</v>
      </c>
      <c r="Y79" s="200"/>
      <c r="Z79" s="200" t="s">
        <v>2075</v>
      </c>
      <c r="AA79" s="200" t="s">
        <v>2076</v>
      </c>
      <c r="AB79" s="113" t="s">
        <v>2318</v>
      </c>
      <c r="AC79" s="202" t="s">
        <v>2319</v>
      </c>
      <c r="AD79" s="203"/>
      <c r="AE79" s="203" t="s">
        <v>2320</v>
      </c>
      <c r="AF79" s="204" t="s">
        <v>2321</v>
      </c>
      <c r="AH79" s="205" t="s">
        <v>1025</v>
      </c>
      <c r="AI79" s="205" t="e">
        <f>IF(A79="","",IF(#REF!="human resources",IFERROR(IF(FIND("Selling",B79)&gt;0,"Selling","General Administrative"),"General Administrative"),IF(D79="10301S","Selling","General Administrative")))</f>
        <v>#REF!</v>
      </c>
      <c r="AJ79" s="205" t="s">
        <v>230</v>
      </c>
    </row>
    <row r="80" spans="1:36" s="63" customFormat="1" ht="30" customHeight="1" x14ac:dyDescent="0.25">
      <c r="A80" s="189" t="s">
        <v>1823</v>
      </c>
      <c r="B80" s="190" t="s">
        <v>1824</v>
      </c>
      <c r="C80" s="191" t="s">
        <v>2322</v>
      </c>
      <c r="D80" s="192" t="s">
        <v>268</v>
      </c>
      <c r="E80" s="193" t="s">
        <v>367</v>
      </c>
      <c r="F80" s="192" t="s">
        <v>525</v>
      </c>
      <c r="G80" s="194" t="s">
        <v>230</v>
      </c>
      <c r="H80" s="195"/>
      <c r="I80" s="195"/>
      <c r="J80" s="196">
        <v>0</v>
      </c>
      <c r="K80" s="52">
        <v>1007</v>
      </c>
      <c r="L80" s="52">
        <v>0</v>
      </c>
      <c r="M80" s="52">
        <v>0</v>
      </c>
      <c r="N80" s="52">
        <v>0</v>
      </c>
      <c r="O80" s="52">
        <v>0</v>
      </c>
      <c r="P80" s="52">
        <v>0</v>
      </c>
      <c r="Q80" s="52">
        <v>0</v>
      </c>
      <c r="R80" s="52">
        <v>0</v>
      </c>
      <c r="S80" s="52">
        <v>0</v>
      </c>
      <c r="T80" s="52">
        <v>0</v>
      </c>
      <c r="U80" s="52">
        <v>0</v>
      </c>
      <c r="V80" s="197">
        <f t="shared" si="2"/>
        <v>1007</v>
      </c>
      <c r="W80" s="207"/>
      <c r="X80" s="199" t="s">
        <v>1941</v>
      </c>
      <c r="Y80" s="200"/>
      <c r="Z80" s="200" t="s">
        <v>2075</v>
      </c>
      <c r="AA80" s="200" t="s">
        <v>2076</v>
      </c>
      <c r="AB80" s="113"/>
      <c r="AC80" s="202"/>
      <c r="AD80" s="203"/>
      <c r="AE80" s="203" t="s">
        <v>2323</v>
      </c>
      <c r="AF80" s="201" t="s">
        <v>2324</v>
      </c>
      <c r="AH80" s="205" t="s">
        <v>1025</v>
      </c>
      <c r="AI80" s="205" t="e">
        <f>IF(A80="","",IF(#REF!="human resources",IFERROR(IF(FIND("Selling",B80)&gt;0,"Selling","General Administrative"),"General Administrative"),IF(D80="10301S","Selling","General Administrative")))</f>
        <v>#REF!</v>
      </c>
      <c r="AJ80" s="205" t="s">
        <v>230</v>
      </c>
    </row>
    <row r="81" spans="1:36" s="63" customFormat="1" ht="30" customHeight="1" x14ac:dyDescent="0.25">
      <c r="A81" s="189" t="s">
        <v>1825</v>
      </c>
      <c r="B81" s="190" t="s">
        <v>1826</v>
      </c>
      <c r="C81" s="191" t="s">
        <v>2325</v>
      </c>
      <c r="D81" s="192" t="s">
        <v>268</v>
      </c>
      <c r="E81" s="193" t="s">
        <v>367</v>
      </c>
      <c r="F81" s="192" t="s">
        <v>433</v>
      </c>
      <c r="G81" s="194" t="s">
        <v>117</v>
      </c>
      <c r="H81" s="195"/>
      <c r="I81" s="195"/>
      <c r="J81" s="196">
        <v>0</v>
      </c>
      <c r="K81" s="52">
        <v>0</v>
      </c>
      <c r="L81" s="52">
        <v>0</v>
      </c>
      <c r="M81" s="52">
        <v>0</v>
      </c>
      <c r="N81" s="52">
        <v>0</v>
      </c>
      <c r="O81" s="52">
        <v>3020</v>
      </c>
      <c r="P81" s="52">
        <v>0</v>
      </c>
      <c r="Q81" s="52">
        <v>0</v>
      </c>
      <c r="R81" s="52">
        <v>0</v>
      </c>
      <c r="S81" s="52">
        <v>0</v>
      </c>
      <c r="T81" s="52">
        <v>0</v>
      </c>
      <c r="U81" s="52">
        <v>3020</v>
      </c>
      <c r="V81" s="197">
        <f t="shared" si="2"/>
        <v>6040</v>
      </c>
      <c r="W81" s="207"/>
      <c r="X81" s="199" t="s">
        <v>1941</v>
      </c>
      <c r="Y81" s="200"/>
      <c r="Z81" s="200" t="s">
        <v>2105</v>
      </c>
      <c r="AA81" s="200" t="s">
        <v>2076</v>
      </c>
      <c r="AB81" s="113"/>
      <c r="AC81" s="202"/>
      <c r="AD81" s="203"/>
      <c r="AE81" s="203" t="s">
        <v>2326</v>
      </c>
      <c r="AF81" s="204" t="s">
        <v>2327</v>
      </c>
      <c r="AH81" s="205" t="s">
        <v>1109</v>
      </c>
      <c r="AI81" s="205" t="e">
        <f>IF(A81="","",IF(#REF!="human resources",IFERROR(IF(FIND("Selling",B81)&gt;0,"Selling","General Administrative"),"General Administrative"),IF(D81="10301S","Selling","General Administrative")))</f>
        <v>#REF!</v>
      </c>
      <c r="AJ81" s="205" t="s">
        <v>1286</v>
      </c>
    </row>
    <row r="82" spans="1:36" s="63" customFormat="1" ht="30" customHeight="1" x14ac:dyDescent="0.25">
      <c r="A82" s="189" t="s">
        <v>1827</v>
      </c>
      <c r="B82" s="190" t="s">
        <v>2525</v>
      </c>
      <c r="C82" s="191" t="s">
        <v>2328</v>
      </c>
      <c r="D82" s="192" t="s">
        <v>268</v>
      </c>
      <c r="E82" s="193" t="s">
        <v>367</v>
      </c>
      <c r="F82" s="192" t="s">
        <v>513</v>
      </c>
      <c r="G82" s="194" t="s">
        <v>210</v>
      </c>
      <c r="H82" s="195"/>
      <c r="I82" s="195"/>
      <c r="J82" s="196">
        <v>0</v>
      </c>
      <c r="K82" s="52">
        <v>0</v>
      </c>
      <c r="L82" s="52">
        <v>1803.5</v>
      </c>
      <c r="M82" s="52">
        <v>0</v>
      </c>
      <c r="N82" s="52">
        <v>1803.5</v>
      </c>
      <c r="O82" s="52">
        <v>0</v>
      </c>
      <c r="P82" s="52">
        <v>0</v>
      </c>
      <c r="Q82" s="52">
        <v>1803.5</v>
      </c>
      <c r="R82" s="52">
        <v>0</v>
      </c>
      <c r="S82" s="52">
        <v>0</v>
      </c>
      <c r="T82" s="52">
        <v>1803.5</v>
      </c>
      <c r="U82" s="52">
        <v>0</v>
      </c>
      <c r="V82" s="197">
        <f t="shared" si="2"/>
        <v>7214</v>
      </c>
      <c r="W82" s="207"/>
      <c r="X82" s="199" t="s">
        <v>1941</v>
      </c>
      <c r="Y82" s="200"/>
      <c r="Z82" s="200" t="s">
        <v>2105</v>
      </c>
      <c r="AA82" s="200" t="s">
        <v>2076</v>
      </c>
      <c r="AB82" s="113"/>
      <c r="AC82" s="202"/>
      <c r="AD82" s="203"/>
      <c r="AE82" s="203" t="s">
        <v>2329</v>
      </c>
      <c r="AF82" s="201" t="s">
        <v>2330</v>
      </c>
      <c r="AH82" s="205" t="s">
        <v>997</v>
      </c>
      <c r="AI82" s="205" t="e">
        <f>IF(A82="","",IF(#REF!="human resources",IFERROR(IF(FIND("Selling",B82)&gt;0,"Selling","General Administrative"),"General Administrative"),IF(D82="10301S","Selling","General Administrative")))</f>
        <v>#REF!</v>
      </c>
      <c r="AJ82" s="205" t="s">
        <v>1298</v>
      </c>
    </row>
    <row r="83" spans="1:36" s="63" customFormat="1" ht="30" customHeight="1" x14ac:dyDescent="0.25">
      <c r="A83" s="189" t="s">
        <v>1828</v>
      </c>
      <c r="B83" s="190" t="s">
        <v>1829</v>
      </c>
      <c r="C83" s="191" t="s">
        <v>2331</v>
      </c>
      <c r="D83" s="192" t="s">
        <v>268</v>
      </c>
      <c r="E83" s="193" t="s">
        <v>367</v>
      </c>
      <c r="F83" s="192" t="s">
        <v>513</v>
      </c>
      <c r="G83" s="194" t="s">
        <v>210</v>
      </c>
      <c r="H83" s="195"/>
      <c r="I83" s="195"/>
      <c r="J83" s="196">
        <v>0</v>
      </c>
      <c r="K83" s="52">
        <v>405.5</v>
      </c>
      <c r="L83" s="52">
        <v>0</v>
      </c>
      <c r="M83" s="52">
        <v>0</v>
      </c>
      <c r="N83" s="52">
        <v>405.5</v>
      </c>
      <c r="O83" s="52">
        <v>0</v>
      </c>
      <c r="P83" s="52">
        <v>0</v>
      </c>
      <c r="Q83" s="52">
        <v>0</v>
      </c>
      <c r="R83" s="52">
        <v>405.5</v>
      </c>
      <c r="S83" s="52">
        <v>0</v>
      </c>
      <c r="T83" s="52">
        <v>0</v>
      </c>
      <c r="U83" s="52">
        <v>405.5</v>
      </c>
      <c r="V83" s="197">
        <f t="shared" si="2"/>
        <v>1622</v>
      </c>
      <c r="W83" s="207"/>
      <c r="X83" s="199" t="s">
        <v>1941</v>
      </c>
      <c r="Y83" s="200"/>
      <c r="Z83" s="200" t="s">
        <v>2105</v>
      </c>
      <c r="AA83" s="200" t="s">
        <v>2076</v>
      </c>
      <c r="AB83" s="113"/>
      <c r="AC83" s="202" t="s">
        <v>2332</v>
      </c>
      <c r="AD83" s="203"/>
      <c r="AE83" s="203" t="s">
        <v>2333</v>
      </c>
      <c r="AF83" s="201" t="s">
        <v>2334</v>
      </c>
      <c r="AH83" s="205" t="s">
        <v>997</v>
      </c>
      <c r="AI83" s="205" t="e">
        <f>IF(A83="","",IF(#REF!="human resources",IFERROR(IF(FIND("Selling",B83)&gt;0,"Selling","General Administrative"),"General Administrative"),IF(D83="10301S","Selling","General Administrative")))</f>
        <v>#REF!</v>
      </c>
      <c r="AJ83" s="205" t="s">
        <v>1298</v>
      </c>
    </row>
    <row r="84" spans="1:36" s="63" customFormat="1" ht="30" customHeight="1" x14ac:dyDescent="0.25">
      <c r="A84" s="189" t="s">
        <v>1830</v>
      </c>
      <c r="B84" s="190" t="s">
        <v>1831</v>
      </c>
      <c r="C84" s="191" t="s">
        <v>2335</v>
      </c>
      <c r="D84" s="192" t="s">
        <v>268</v>
      </c>
      <c r="E84" s="193" t="s">
        <v>367</v>
      </c>
      <c r="F84" s="192" t="s">
        <v>493</v>
      </c>
      <c r="G84" s="194" t="s">
        <v>163</v>
      </c>
      <c r="H84" s="195"/>
      <c r="I84" s="195"/>
      <c r="J84" s="196">
        <v>0</v>
      </c>
      <c r="K84" s="52">
        <v>625</v>
      </c>
      <c r="L84" s="52">
        <v>0</v>
      </c>
      <c r="M84" s="52">
        <v>0</v>
      </c>
      <c r="N84" s="52">
        <v>625</v>
      </c>
      <c r="O84" s="52">
        <v>0</v>
      </c>
      <c r="P84" s="52">
        <v>0</v>
      </c>
      <c r="Q84" s="52">
        <v>625</v>
      </c>
      <c r="R84" s="52">
        <v>0</v>
      </c>
      <c r="S84" s="52">
        <v>0</v>
      </c>
      <c r="T84" s="52">
        <v>625</v>
      </c>
      <c r="U84" s="52">
        <v>0</v>
      </c>
      <c r="V84" s="197">
        <f t="shared" si="2"/>
        <v>2500</v>
      </c>
      <c r="W84" s="207"/>
      <c r="X84" s="199" t="s">
        <v>1941</v>
      </c>
      <c r="Y84" s="200"/>
      <c r="Z84" s="200" t="s">
        <v>2105</v>
      </c>
      <c r="AA84" s="200" t="s">
        <v>2076</v>
      </c>
      <c r="AB84" s="113" t="s">
        <v>2336</v>
      </c>
      <c r="AC84" s="202" t="s">
        <v>2200</v>
      </c>
      <c r="AD84" s="203"/>
      <c r="AE84" s="203" t="s">
        <v>2337</v>
      </c>
      <c r="AF84" s="204" t="s">
        <v>2338</v>
      </c>
      <c r="AH84" s="205" t="s">
        <v>968</v>
      </c>
      <c r="AI84" s="205" t="e">
        <f>IF(A84="","",IF(#REF!="human resources",IFERROR(IF(FIND("Selling",B84)&gt;0,"Selling","General Administrative"),"General Administrative"),IF(D84="10301S","Selling","General Administrative")))</f>
        <v>#REF!</v>
      </c>
      <c r="AJ84" s="205" t="s">
        <v>1292</v>
      </c>
    </row>
    <row r="85" spans="1:36" s="63" customFormat="1" ht="30" customHeight="1" x14ac:dyDescent="0.25">
      <c r="A85" s="189" t="s">
        <v>1832</v>
      </c>
      <c r="B85" s="190" t="s">
        <v>1833</v>
      </c>
      <c r="C85" s="191" t="s">
        <v>2339</v>
      </c>
      <c r="D85" s="192" t="s">
        <v>268</v>
      </c>
      <c r="E85" s="193" t="s">
        <v>367</v>
      </c>
      <c r="F85" s="192" t="s">
        <v>493</v>
      </c>
      <c r="G85" s="194" t="s">
        <v>163</v>
      </c>
      <c r="H85" s="195"/>
      <c r="I85" s="195"/>
      <c r="J85" s="196">
        <v>1250</v>
      </c>
      <c r="K85" s="52">
        <v>0</v>
      </c>
      <c r="L85" s="52">
        <v>0</v>
      </c>
      <c r="M85" s="52">
        <v>0</v>
      </c>
      <c r="N85" s="52">
        <v>1250</v>
      </c>
      <c r="O85" s="52">
        <v>0</v>
      </c>
      <c r="P85" s="52">
        <v>0</v>
      </c>
      <c r="Q85" s="52">
        <v>1250</v>
      </c>
      <c r="R85" s="52">
        <v>0</v>
      </c>
      <c r="S85" s="52">
        <v>0</v>
      </c>
      <c r="T85" s="52">
        <v>0</v>
      </c>
      <c r="U85" s="52">
        <v>1250</v>
      </c>
      <c r="V85" s="197">
        <f t="shared" si="2"/>
        <v>5000</v>
      </c>
      <c r="W85" s="207"/>
      <c r="X85" s="199" t="s">
        <v>1941</v>
      </c>
      <c r="Y85" s="200"/>
      <c r="Z85" s="200" t="s">
        <v>2105</v>
      </c>
      <c r="AA85" s="200" t="s">
        <v>2076</v>
      </c>
      <c r="AB85" s="113" t="s">
        <v>2077</v>
      </c>
      <c r="AC85" s="202" t="s">
        <v>2340</v>
      </c>
      <c r="AD85" s="203"/>
      <c r="AE85" s="203" t="s">
        <v>2341</v>
      </c>
      <c r="AF85" s="204" t="s">
        <v>2342</v>
      </c>
      <c r="AH85" s="205" t="s">
        <v>968</v>
      </c>
      <c r="AI85" s="205" t="e">
        <f>IF(A85="","",IF(#REF!="human resources",IFERROR(IF(FIND("Selling",B85)&gt;0,"Selling","General Administrative"),"General Administrative"),IF(D85="10301S","Selling","General Administrative")))</f>
        <v>#REF!</v>
      </c>
      <c r="AJ85" s="205" t="s">
        <v>1292</v>
      </c>
    </row>
    <row r="86" spans="1:36" s="63" customFormat="1" ht="30" customHeight="1" x14ac:dyDescent="0.25">
      <c r="A86" s="189" t="s">
        <v>1834</v>
      </c>
      <c r="B86" s="190" t="s">
        <v>1835</v>
      </c>
      <c r="C86" s="191" t="s">
        <v>2343</v>
      </c>
      <c r="D86" s="192" t="s">
        <v>268</v>
      </c>
      <c r="E86" s="193" t="s">
        <v>367</v>
      </c>
      <c r="F86" s="192" t="s">
        <v>493</v>
      </c>
      <c r="G86" s="194" t="s">
        <v>163</v>
      </c>
      <c r="H86" s="195"/>
      <c r="I86" s="195"/>
      <c r="J86" s="196">
        <v>0</v>
      </c>
      <c r="K86" s="52">
        <v>1118.6666666666599</v>
      </c>
      <c r="L86" s="52">
        <v>0</v>
      </c>
      <c r="M86" s="52">
        <v>0</v>
      </c>
      <c r="N86" s="52">
        <v>1118.6666666666599</v>
      </c>
      <c r="O86" s="52">
        <v>0</v>
      </c>
      <c r="P86" s="52">
        <v>0</v>
      </c>
      <c r="Q86" s="52">
        <v>0</v>
      </c>
      <c r="R86" s="52">
        <v>1118.6666666666599</v>
      </c>
      <c r="S86" s="52">
        <v>0</v>
      </c>
      <c r="T86" s="52">
        <v>0</v>
      </c>
      <c r="U86" s="52">
        <v>0</v>
      </c>
      <c r="V86" s="197">
        <f t="shared" si="2"/>
        <v>3355.99999999998</v>
      </c>
      <c r="W86" s="207"/>
      <c r="X86" s="199" t="s">
        <v>1941</v>
      </c>
      <c r="Y86" s="200"/>
      <c r="Z86" s="200" t="s">
        <v>2105</v>
      </c>
      <c r="AA86" s="200" t="s">
        <v>2076</v>
      </c>
      <c r="AB86" s="113" t="s">
        <v>2077</v>
      </c>
      <c r="AC86" s="202">
        <v>2</v>
      </c>
      <c r="AD86" s="203"/>
      <c r="AE86" s="203" t="s">
        <v>2344</v>
      </c>
      <c r="AF86" s="204" t="s">
        <v>2345</v>
      </c>
      <c r="AH86" s="205" t="s">
        <v>968</v>
      </c>
      <c r="AI86" s="205" t="e">
        <f>IF(A86="","",IF(#REF!="human resources",IFERROR(IF(FIND("Selling",B86)&gt;0,"Selling","General Administrative"),"General Administrative"),IF(D86="10301S","Selling","General Administrative")))</f>
        <v>#REF!</v>
      </c>
      <c r="AJ86" s="205" t="s">
        <v>1292</v>
      </c>
    </row>
    <row r="87" spans="1:36" s="63" customFormat="1" ht="30" customHeight="1" x14ac:dyDescent="0.25">
      <c r="A87" s="189" t="s">
        <v>1836</v>
      </c>
      <c r="B87" s="190" t="s">
        <v>1837</v>
      </c>
      <c r="C87" s="191" t="s">
        <v>2346</v>
      </c>
      <c r="D87" s="192" t="s">
        <v>268</v>
      </c>
      <c r="E87" s="193" t="s">
        <v>367</v>
      </c>
      <c r="F87" s="192" t="s">
        <v>493</v>
      </c>
      <c r="G87" s="194" t="s">
        <v>163</v>
      </c>
      <c r="H87" s="195"/>
      <c r="I87" s="195"/>
      <c r="J87" s="196">
        <v>0</v>
      </c>
      <c r="K87" s="52">
        <v>1250</v>
      </c>
      <c r="L87" s="52">
        <v>0</v>
      </c>
      <c r="M87" s="52">
        <v>0</v>
      </c>
      <c r="N87" s="52">
        <v>1250</v>
      </c>
      <c r="O87" s="52">
        <v>0</v>
      </c>
      <c r="P87" s="52">
        <v>0</v>
      </c>
      <c r="Q87" s="52">
        <v>1250</v>
      </c>
      <c r="R87" s="52">
        <v>0</v>
      </c>
      <c r="S87" s="52">
        <v>0</v>
      </c>
      <c r="T87" s="52">
        <v>0</v>
      </c>
      <c r="U87" s="52">
        <v>1250</v>
      </c>
      <c r="V87" s="197">
        <f t="shared" si="2"/>
        <v>5000</v>
      </c>
      <c r="W87" s="207"/>
      <c r="X87" s="199" t="s">
        <v>1941</v>
      </c>
      <c r="Y87" s="200"/>
      <c r="Z87" s="200" t="s">
        <v>2105</v>
      </c>
      <c r="AA87" s="200" t="s">
        <v>2076</v>
      </c>
      <c r="AB87" s="113" t="s">
        <v>2347</v>
      </c>
      <c r="AC87" s="203"/>
      <c r="AD87" s="203"/>
      <c r="AE87" s="203"/>
      <c r="AF87" s="204" t="s">
        <v>2348</v>
      </c>
      <c r="AH87" s="205" t="s">
        <v>968</v>
      </c>
      <c r="AI87" s="205" t="e">
        <f>IF(A87="","",IF(#REF!="human resources",IFERROR(IF(FIND("Selling",B87)&gt;0,"Selling","General Administrative"),"General Administrative"),IF(D87="10301S","Selling","General Administrative")))</f>
        <v>#REF!</v>
      </c>
      <c r="AJ87" s="205" t="s">
        <v>1292</v>
      </c>
    </row>
    <row r="88" spans="1:36" s="63" customFormat="1" ht="30" customHeight="1" x14ac:dyDescent="0.25">
      <c r="A88" s="189" t="s">
        <v>1785</v>
      </c>
      <c r="B88" s="190" t="s">
        <v>1786</v>
      </c>
      <c r="C88" s="191" t="s">
        <v>2349</v>
      </c>
      <c r="D88" s="192" t="s">
        <v>268</v>
      </c>
      <c r="E88" s="193" t="s">
        <v>367</v>
      </c>
      <c r="F88" s="192" t="s">
        <v>521</v>
      </c>
      <c r="G88" s="194" t="s">
        <v>226</v>
      </c>
      <c r="H88" s="195"/>
      <c r="I88" s="195"/>
      <c r="J88" s="196">
        <v>78</v>
      </c>
      <c r="K88" s="52">
        <v>0</v>
      </c>
      <c r="L88" s="52">
        <v>0</v>
      </c>
      <c r="M88" s="52">
        <v>78</v>
      </c>
      <c r="N88" s="52">
        <v>0</v>
      </c>
      <c r="O88" s="52">
        <v>0</v>
      </c>
      <c r="P88" s="52">
        <v>78</v>
      </c>
      <c r="Q88" s="52">
        <v>0</v>
      </c>
      <c r="R88" s="52">
        <v>0</v>
      </c>
      <c r="S88" s="52">
        <v>0</v>
      </c>
      <c r="T88" s="52">
        <v>78</v>
      </c>
      <c r="U88" s="52">
        <v>0</v>
      </c>
      <c r="V88" s="197">
        <f t="shared" si="2"/>
        <v>312</v>
      </c>
      <c r="W88" s="207"/>
      <c r="X88" s="199" t="s">
        <v>1941</v>
      </c>
      <c r="Y88" s="200"/>
      <c r="Z88" s="200" t="s">
        <v>2105</v>
      </c>
      <c r="AA88" s="200" t="s">
        <v>2076</v>
      </c>
      <c r="AB88" s="113"/>
      <c r="AC88" s="202" t="s">
        <v>2350</v>
      </c>
      <c r="AD88" s="203"/>
      <c r="AE88" s="210" t="s">
        <v>2351</v>
      </c>
      <c r="AF88" s="204" t="s">
        <v>2352</v>
      </c>
      <c r="AH88" s="205" t="s">
        <v>1011</v>
      </c>
      <c r="AI88" s="205" t="e">
        <f>IF(A88="","",IF(#REF!="human resources",IFERROR(IF(FIND("Selling",B88)&gt;0,"Selling","General Administrative"),"General Administrative"),IF(D88="10301S","Selling","General Administrative")))</f>
        <v>#REF!</v>
      </c>
      <c r="AJ88" s="205" t="s">
        <v>1011</v>
      </c>
    </row>
    <row r="89" spans="1:36" s="63" customFormat="1" ht="30" customHeight="1" x14ac:dyDescent="0.25">
      <c r="A89" s="189" t="s">
        <v>1785</v>
      </c>
      <c r="B89" s="190" t="s">
        <v>1786</v>
      </c>
      <c r="C89" s="191" t="s">
        <v>2353</v>
      </c>
      <c r="D89" s="192" t="s">
        <v>268</v>
      </c>
      <c r="E89" s="193" t="s">
        <v>367</v>
      </c>
      <c r="F89" s="192" t="s">
        <v>521</v>
      </c>
      <c r="G89" s="194" t="s">
        <v>226</v>
      </c>
      <c r="H89" s="195"/>
      <c r="I89" s="195"/>
      <c r="J89" s="196">
        <v>140.75</v>
      </c>
      <c r="K89" s="52">
        <v>0</v>
      </c>
      <c r="L89" s="52">
        <v>0</v>
      </c>
      <c r="M89" s="52">
        <v>140.75</v>
      </c>
      <c r="N89" s="52">
        <v>0</v>
      </c>
      <c r="O89" s="52">
        <v>0</v>
      </c>
      <c r="P89" s="52">
        <v>140.75</v>
      </c>
      <c r="Q89" s="52">
        <v>0</v>
      </c>
      <c r="R89" s="52">
        <v>0</v>
      </c>
      <c r="S89" s="52">
        <v>140.75</v>
      </c>
      <c r="T89" s="52">
        <v>0</v>
      </c>
      <c r="U89" s="52">
        <v>0</v>
      </c>
      <c r="V89" s="197">
        <f t="shared" si="2"/>
        <v>563</v>
      </c>
      <c r="W89" s="207"/>
      <c r="X89" s="199" t="s">
        <v>1941</v>
      </c>
      <c r="Y89" s="200"/>
      <c r="Z89" s="200" t="s">
        <v>2105</v>
      </c>
      <c r="AA89" s="200" t="s">
        <v>2076</v>
      </c>
      <c r="AB89" s="113"/>
      <c r="AC89" s="202" t="s">
        <v>2354</v>
      </c>
      <c r="AD89" s="203"/>
      <c r="AE89" s="210" t="s">
        <v>2355</v>
      </c>
      <c r="AF89" s="204" t="s">
        <v>2356</v>
      </c>
      <c r="AH89" s="205" t="s">
        <v>1011</v>
      </c>
      <c r="AI89" s="205" t="e">
        <f>IF(A89="","",IF(#REF!="human resources",IFERROR(IF(FIND("Selling",B89)&gt;0,"Selling","General Administrative"),"General Administrative"),IF(D89="10301S","Selling","General Administrative")))</f>
        <v>#REF!</v>
      </c>
      <c r="AJ89" s="205" t="s">
        <v>1011</v>
      </c>
    </row>
    <row r="90" spans="1:36" s="63" customFormat="1" ht="30" customHeight="1" x14ac:dyDescent="0.25">
      <c r="A90" s="189" t="s">
        <v>1838</v>
      </c>
      <c r="B90" s="190" t="s">
        <v>1839</v>
      </c>
      <c r="C90" s="191" t="s">
        <v>2357</v>
      </c>
      <c r="D90" s="192" t="s">
        <v>268</v>
      </c>
      <c r="E90" s="193" t="s">
        <v>367</v>
      </c>
      <c r="F90" s="192" t="s">
        <v>521</v>
      </c>
      <c r="G90" s="194" t="s">
        <v>226</v>
      </c>
      <c r="H90" s="195"/>
      <c r="I90" s="195"/>
      <c r="J90" s="196">
        <v>0</v>
      </c>
      <c r="K90" s="52">
        <v>0</v>
      </c>
      <c r="L90" s="52">
        <v>74</v>
      </c>
      <c r="M90" s="52">
        <v>0</v>
      </c>
      <c r="N90" s="52">
        <v>0</v>
      </c>
      <c r="O90" s="52">
        <v>74</v>
      </c>
      <c r="P90" s="52">
        <v>74</v>
      </c>
      <c r="Q90" s="52">
        <v>0</v>
      </c>
      <c r="R90" s="52">
        <v>0</v>
      </c>
      <c r="S90" s="52">
        <v>74</v>
      </c>
      <c r="T90" s="52">
        <v>0</v>
      </c>
      <c r="U90" s="52">
        <v>74</v>
      </c>
      <c r="V90" s="197">
        <f t="shared" si="2"/>
        <v>370</v>
      </c>
      <c r="W90" s="207"/>
      <c r="X90" s="199" t="s">
        <v>1941</v>
      </c>
      <c r="Y90" s="200"/>
      <c r="Z90" s="200" t="s">
        <v>2105</v>
      </c>
      <c r="AA90" s="200" t="s">
        <v>2076</v>
      </c>
      <c r="AB90" s="113"/>
      <c r="AC90" s="202" t="s">
        <v>2101</v>
      </c>
      <c r="AD90" s="203"/>
      <c r="AE90" s="210" t="s">
        <v>2358</v>
      </c>
      <c r="AF90" s="204" t="s">
        <v>2359</v>
      </c>
      <c r="AH90" s="205" t="s">
        <v>1011</v>
      </c>
      <c r="AI90" s="205" t="e">
        <f>IF(A90="","",IF(#REF!="human resources",IFERROR(IF(FIND("Selling",B90)&gt;0,"Selling","General Administrative"),"General Administrative"),IF(D90="10301S","Selling","General Administrative")))</f>
        <v>#REF!</v>
      </c>
      <c r="AJ90" s="205" t="s">
        <v>1011</v>
      </c>
    </row>
    <row r="91" spans="1:36" s="63" customFormat="1" ht="30" customHeight="1" x14ac:dyDescent="0.25">
      <c r="A91" s="189" t="s">
        <v>1840</v>
      </c>
      <c r="B91" s="190" t="s">
        <v>1841</v>
      </c>
      <c r="C91" s="191" t="s">
        <v>2360</v>
      </c>
      <c r="D91" s="192" t="s">
        <v>268</v>
      </c>
      <c r="E91" s="193" t="s">
        <v>367</v>
      </c>
      <c r="F91" s="192" t="s">
        <v>521</v>
      </c>
      <c r="G91" s="194" t="s">
        <v>226</v>
      </c>
      <c r="H91" s="195"/>
      <c r="I91" s="195"/>
      <c r="J91" s="196">
        <v>39.75</v>
      </c>
      <c r="K91" s="52">
        <v>0</v>
      </c>
      <c r="L91" s="52">
        <v>0</v>
      </c>
      <c r="M91" s="52">
        <v>39.75</v>
      </c>
      <c r="N91" s="52">
        <v>0</v>
      </c>
      <c r="O91" s="52">
        <v>0</v>
      </c>
      <c r="P91" s="52">
        <v>39.75</v>
      </c>
      <c r="Q91" s="52">
        <v>0</v>
      </c>
      <c r="R91" s="52">
        <v>0</v>
      </c>
      <c r="S91" s="52">
        <v>39.75</v>
      </c>
      <c r="T91" s="52">
        <v>0</v>
      </c>
      <c r="U91" s="52">
        <v>0</v>
      </c>
      <c r="V91" s="197">
        <f t="shared" si="2"/>
        <v>159</v>
      </c>
      <c r="W91" s="207"/>
      <c r="X91" s="199" t="s">
        <v>1941</v>
      </c>
      <c r="Y91" s="200"/>
      <c r="Z91" s="200" t="s">
        <v>2105</v>
      </c>
      <c r="AA91" s="200" t="s">
        <v>2076</v>
      </c>
      <c r="AB91" s="113"/>
      <c r="AC91" s="202" t="s">
        <v>2101</v>
      </c>
      <c r="AD91" s="203"/>
      <c r="AE91" s="210" t="s">
        <v>2361</v>
      </c>
      <c r="AF91" s="204" t="s">
        <v>2362</v>
      </c>
      <c r="AH91" s="205" t="s">
        <v>1011</v>
      </c>
      <c r="AI91" s="205" t="e">
        <f>IF(A91="","",IF(#REF!="human resources",IFERROR(IF(FIND("Selling",B91)&gt;0,"Selling","General Administrative"),"General Administrative"),IF(D91="10301S","Selling","General Administrative")))</f>
        <v>#REF!</v>
      </c>
      <c r="AJ91" s="205" t="s">
        <v>1011</v>
      </c>
    </row>
    <row r="92" spans="1:36" s="63" customFormat="1" ht="30" hidden="1" customHeight="1" x14ac:dyDescent="0.25">
      <c r="A92" s="174" t="s">
        <v>1789</v>
      </c>
      <c r="B92" s="190" t="s">
        <v>1790</v>
      </c>
      <c r="C92" s="191" t="s">
        <v>2363</v>
      </c>
      <c r="D92" s="192" t="s">
        <v>268</v>
      </c>
      <c r="E92" s="193" t="s">
        <v>367</v>
      </c>
      <c r="F92" s="192" t="s">
        <v>521</v>
      </c>
      <c r="G92" s="194" t="s">
        <v>226</v>
      </c>
      <c r="H92" s="195"/>
      <c r="I92" s="195"/>
      <c r="J92" s="196">
        <v>0</v>
      </c>
      <c r="K92" s="52">
        <v>0</v>
      </c>
      <c r="L92" s="52">
        <v>0</v>
      </c>
      <c r="M92" s="52">
        <v>0</v>
      </c>
      <c r="N92" s="52">
        <v>0</v>
      </c>
      <c r="O92" s="52">
        <v>0</v>
      </c>
      <c r="P92" s="52">
        <v>0</v>
      </c>
      <c r="Q92" s="52">
        <v>0</v>
      </c>
      <c r="R92" s="52">
        <v>0</v>
      </c>
      <c r="S92" s="52">
        <v>0</v>
      </c>
      <c r="T92" s="52">
        <v>0</v>
      </c>
      <c r="U92" s="52">
        <v>0</v>
      </c>
      <c r="V92" s="197">
        <f t="shared" si="2"/>
        <v>0</v>
      </c>
      <c r="W92" s="207"/>
      <c r="X92" s="199" t="s">
        <v>1941</v>
      </c>
      <c r="Y92" s="200"/>
      <c r="Z92" s="200"/>
      <c r="AA92" s="200"/>
      <c r="AB92" s="113"/>
      <c r="AC92" s="203"/>
      <c r="AD92" s="203"/>
      <c r="AE92" s="210"/>
      <c r="AF92" s="201" t="s">
        <v>2077</v>
      </c>
      <c r="AH92" s="205" t="s">
        <v>1011</v>
      </c>
      <c r="AI92" s="205" t="e">
        <f>IF(A92="","",IF(#REF!="human resources",IFERROR(IF(FIND("Selling",B92)&gt;0,"Selling","General Administrative"),"General Administrative"),IF(D92="10301S","Selling","General Administrative")))</f>
        <v>#REF!</v>
      </c>
      <c r="AJ92" s="205" t="s">
        <v>1011</v>
      </c>
    </row>
    <row r="93" spans="1:36" s="63" customFormat="1" ht="30" hidden="1" customHeight="1" x14ac:dyDescent="0.25">
      <c r="A93" s="174" t="s">
        <v>1787</v>
      </c>
      <c r="B93" s="190" t="s">
        <v>1788</v>
      </c>
      <c r="C93" s="191" t="s">
        <v>2364</v>
      </c>
      <c r="D93" s="192" t="s">
        <v>268</v>
      </c>
      <c r="E93" s="193" t="s">
        <v>367</v>
      </c>
      <c r="F93" s="192" t="s">
        <v>521</v>
      </c>
      <c r="G93" s="194" t="s">
        <v>226</v>
      </c>
      <c r="H93" s="195"/>
      <c r="I93" s="195"/>
      <c r="J93" s="196">
        <v>0</v>
      </c>
      <c r="K93" s="52">
        <v>0</v>
      </c>
      <c r="L93" s="52">
        <v>0</v>
      </c>
      <c r="M93" s="52">
        <v>0</v>
      </c>
      <c r="N93" s="52">
        <v>0</v>
      </c>
      <c r="O93" s="52">
        <v>0</v>
      </c>
      <c r="P93" s="52">
        <v>0</v>
      </c>
      <c r="Q93" s="52">
        <v>0</v>
      </c>
      <c r="R93" s="52">
        <v>0</v>
      </c>
      <c r="S93" s="52">
        <v>0</v>
      </c>
      <c r="T93" s="52">
        <v>0</v>
      </c>
      <c r="U93" s="52">
        <v>0</v>
      </c>
      <c r="V93" s="197">
        <f t="shared" si="2"/>
        <v>0</v>
      </c>
      <c r="W93" s="207"/>
      <c r="X93" s="199" t="s">
        <v>1941</v>
      </c>
      <c r="Y93" s="200"/>
      <c r="Z93" s="200"/>
      <c r="AA93" s="200"/>
      <c r="AB93" s="113"/>
      <c r="AC93" s="203"/>
      <c r="AD93" s="203"/>
      <c r="AE93" s="210"/>
      <c r="AF93" s="201" t="s">
        <v>2077</v>
      </c>
      <c r="AH93" s="205" t="s">
        <v>1011</v>
      </c>
      <c r="AI93" s="205" t="e">
        <f>IF(A93="","",IF(#REF!="human resources",IFERROR(IF(FIND("Selling",B93)&gt;0,"Selling","General Administrative"),"General Administrative"),IF(D93="10301S","Selling","General Administrative")))</f>
        <v>#REF!</v>
      </c>
      <c r="AJ93" s="205" t="s">
        <v>1011</v>
      </c>
    </row>
    <row r="94" spans="1:36" s="63" customFormat="1" ht="30" customHeight="1" x14ac:dyDescent="0.25">
      <c r="A94" s="189" t="s">
        <v>1840</v>
      </c>
      <c r="B94" s="190" t="s">
        <v>1841</v>
      </c>
      <c r="C94" s="191" t="s">
        <v>2365</v>
      </c>
      <c r="D94" s="192" t="s">
        <v>268</v>
      </c>
      <c r="E94" s="193" t="s">
        <v>367</v>
      </c>
      <c r="F94" s="192" t="s">
        <v>521</v>
      </c>
      <c r="G94" s="194" t="s">
        <v>226</v>
      </c>
      <c r="H94" s="195"/>
      <c r="I94" s="195"/>
      <c r="J94" s="196">
        <v>26.5</v>
      </c>
      <c r="K94" s="52">
        <v>0</v>
      </c>
      <c r="L94" s="52">
        <v>0</v>
      </c>
      <c r="M94" s="52">
        <v>26.5</v>
      </c>
      <c r="N94" s="52">
        <v>0</v>
      </c>
      <c r="O94" s="52">
        <v>0</v>
      </c>
      <c r="P94" s="52">
        <v>26.5</v>
      </c>
      <c r="Q94" s="52">
        <v>0</v>
      </c>
      <c r="R94" s="52">
        <v>0</v>
      </c>
      <c r="S94" s="52">
        <v>0</v>
      </c>
      <c r="T94" s="52">
        <v>0</v>
      </c>
      <c r="U94" s="52">
        <v>26.5</v>
      </c>
      <c r="V94" s="197">
        <f t="shared" si="2"/>
        <v>106</v>
      </c>
      <c r="W94" s="207"/>
      <c r="X94" s="199" t="s">
        <v>1941</v>
      </c>
      <c r="Y94" s="200"/>
      <c r="Z94" s="200" t="s">
        <v>2105</v>
      </c>
      <c r="AA94" s="200" t="s">
        <v>2076</v>
      </c>
      <c r="AB94" s="113"/>
      <c r="AC94" s="202" t="s">
        <v>2366</v>
      </c>
      <c r="AD94" s="203"/>
      <c r="AE94" s="210" t="s">
        <v>2367</v>
      </c>
      <c r="AF94" s="204" t="s">
        <v>2368</v>
      </c>
      <c r="AH94" s="205" t="s">
        <v>1011</v>
      </c>
      <c r="AI94" s="205" t="e">
        <f>IF(A94="","",IF(#REF!="human resources",IFERROR(IF(FIND("Selling",B94)&gt;0,"Selling","General Administrative"),"General Administrative"),IF(D94="10301S","Selling","General Administrative")))</f>
        <v>#REF!</v>
      </c>
      <c r="AJ94" s="205" t="s">
        <v>1011</v>
      </c>
    </row>
    <row r="95" spans="1:36" s="63" customFormat="1" ht="30" customHeight="1" x14ac:dyDescent="0.25">
      <c r="A95" s="189" t="s">
        <v>1779</v>
      </c>
      <c r="B95" s="190" t="s">
        <v>1780</v>
      </c>
      <c r="C95" s="191" t="s">
        <v>2369</v>
      </c>
      <c r="D95" s="192" t="s">
        <v>268</v>
      </c>
      <c r="E95" s="193" t="s">
        <v>367</v>
      </c>
      <c r="F95" s="192" t="s">
        <v>521</v>
      </c>
      <c r="G95" s="194" t="s">
        <v>226</v>
      </c>
      <c r="H95" s="195"/>
      <c r="I95" s="195"/>
      <c r="J95" s="196">
        <v>0</v>
      </c>
      <c r="K95" s="52">
        <v>21.25</v>
      </c>
      <c r="L95" s="52">
        <v>0</v>
      </c>
      <c r="M95" s="52"/>
      <c r="N95" s="52">
        <v>0</v>
      </c>
      <c r="O95" s="52">
        <v>21.25</v>
      </c>
      <c r="P95" s="52">
        <v>0</v>
      </c>
      <c r="Q95" s="52">
        <v>0</v>
      </c>
      <c r="R95" s="52">
        <v>21.25</v>
      </c>
      <c r="S95" s="52">
        <v>0</v>
      </c>
      <c r="T95" s="52">
        <v>0</v>
      </c>
      <c r="U95" s="52">
        <v>21.25</v>
      </c>
      <c r="V95" s="197">
        <f t="shared" si="2"/>
        <v>85</v>
      </c>
      <c r="W95" s="207"/>
      <c r="X95" s="199" t="s">
        <v>1941</v>
      </c>
      <c r="Y95" s="200"/>
      <c r="Z95" s="200" t="s">
        <v>2105</v>
      </c>
      <c r="AA95" s="200" t="s">
        <v>2076</v>
      </c>
      <c r="AB95" s="113"/>
      <c r="AC95" s="202" t="s">
        <v>2366</v>
      </c>
      <c r="AD95" s="203"/>
      <c r="AE95" s="210" t="s">
        <v>2370</v>
      </c>
      <c r="AF95" s="204" t="s">
        <v>2371</v>
      </c>
      <c r="AH95" s="205" t="s">
        <v>1011</v>
      </c>
      <c r="AI95" s="205" t="e">
        <f>IF(A95="","",IF(#REF!="human resources",IFERROR(IF(FIND("Selling",B95)&gt;0,"Selling","General Administrative"),"General Administrative"),IF(D95="10301S","Selling","General Administrative")))</f>
        <v>#REF!</v>
      </c>
      <c r="AJ95" s="205" t="s">
        <v>1011</v>
      </c>
    </row>
    <row r="96" spans="1:36" s="63" customFormat="1" ht="30" customHeight="1" x14ac:dyDescent="0.25">
      <c r="A96" s="189" t="s">
        <v>1779</v>
      </c>
      <c r="B96" s="190" t="s">
        <v>1780</v>
      </c>
      <c r="C96" s="191" t="s">
        <v>2372</v>
      </c>
      <c r="D96" s="192" t="s">
        <v>268</v>
      </c>
      <c r="E96" s="193" t="s">
        <v>367</v>
      </c>
      <c r="F96" s="192" t="s">
        <v>521</v>
      </c>
      <c r="G96" s="194" t="s">
        <v>226</v>
      </c>
      <c r="H96" s="195"/>
      <c r="I96" s="195"/>
      <c r="J96" s="196">
        <v>0</v>
      </c>
      <c r="K96" s="52">
        <v>18.6666666666666</v>
      </c>
      <c r="L96" s="52">
        <v>0</v>
      </c>
      <c r="M96" s="52">
        <v>0</v>
      </c>
      <c r="N96" s="52">
        <v>0</v>
      </c>
      <c r="O96" s="52">
        <v>18.6666666666666</v>
      </c>
      <c r="P96" s="52">
        <v>0</v>
      </c>
      <c r="Q96" s="52">
        <v>0</v>
      </c>
      <c r="R96" s="52">
        <v>0</v>
      </c>
      <c r="S96" s="52">
        <v>18.6666666666666</v>
      </c>
      <c r="T96" s="52">
        <v>0</v>
      </c>
      <c r="U96" s="52">
        <v>0</v>
      </c>
      <c r="V96" s="197">
        <f t="shared" si="2"/>
        <v>55.999999999999801</v>
      </c>
      <c r="W96" s="207"/>
      <c r="X96" s="199" t="s">
        <v>1941</v>
      </c>
      <c r="Y96" s="200"/>
      <c r="Z96" s="200" t="s">
        <v>2105</v>
      </c>
      <c r="AA96" s="200" t="s">
        <v>2076</v>
      </c>
      <c r="AB96" s="113"/>
      <c r="AC96" s="202" t="s">
        <v>2366</v>
      </c>
      <c r="AD96" s="203"/>
      <c r="AE96" s="210" t="s">
        <v>2373</v>
      </c>
      <c r="AF96" s="204" t="s">
        <v>2374</v>
      </c>
      <c r="AH96" s="205" t="s">
        <v>1011</v>
      </c>
      <c r="AI96" s="205" t="e">
        <f>IF(A96="","",IF(#REF!="human resources",IFERROR(IF(FIND("Selling",B96)&gt;0,"Selling","General Administrative"),"General Administrative"),IF(D96="10301S","Selling","General Administrative")))</f>
        <v>#REF!</v>
      </c>
      <c r="AJ96" s="205" t="s">
        <v>1011</v>
      </c>
    </row>
    <row r="97" spans="1:36" s="63" customFormat="1" ht="30" customHeight="1" x14ac:dyDescent="0.25">
      <c r="A97" s="189" t="s">
        <v>1779</v>
      </c>
      <c r="B97" s="190" t="s">
        <v>1780</v>
      </c>
      <c r="C97" s="191" t="s">
        <v>2375</v>
      </c>
      <c r="D97" s="192" t="s">
        <v>268</v>
      </c>
      <c r="E97" s="193" t="s">
        <v>367</v>
      </c>
      <c r="F97" s="192" t="s">
        <v>521</v>
      </c>
      <c r="G97" s="194" t="s">
        <v>226</v>
      </c>
      <c r="H97" s="195"/>
      <c r="I97" s="195"/>
      <c r="J97" s="196"/>
      <c r="K97" s="52">
        <v>0</v>
      </c>
      <c r="L97" s="52">
        <v>83.6666666666666</v>
      </c>
      <c r="M97" s="52">
        <v>0</v>
      </c>
      <c r="N97" s="52">
        <v>0</v>
      </c>
      <c r="O97" s="52">
        <v>83.6666666666666</v>
      </c>
      <c r="P97" s="52">
        <v>0</v>
      </c>
      <c r="Q97" s="52">
        <v>0</v>
      </c>
      <c r="R97" s="52">
        <v>83.6666666666666</v>
      </c>
      <c r="S97" s="52">
        <v>0</v>
      </c>
      <c r="T97" s="52">
        <v>0</v>
      </c>
      <c r="U97" s="52">
        <v>0</v>
      </c>
      <c r="V97" s="197">
        <f t="shared" si="2"/>
        <v>250.9999999999998</v>
      </c>
      <c r="W97" s="207"/>
      <c r="X97" s="199" t="s">
        <v>1941</v>
      </c>
      <c r="Y97" s="200"/>
      <c r="Z97" s="200" t="s">
        <v>2105</v>
      </c>
      <c r="AA97" s="200" t="s">
        <v>2076</v>
      </c>
      <c r="AB97" s="113"/>
      <c r="AC97" s="202" t="s">
        <v>2366</v>
      </c>
      <c r="AD97" s="203"/>
      <c r="AE97" s="210" t="s">
        <v>2376</v>
      </c>
      <c r="AF97" s="204" t="s">
        <v>2377</v>
      </c>
      <c r="AH97" s="205" t="s">
        <v>1011</v>
      </c>
      <c r="AI97" s="205" t="e">
        <f>IF(A97="","",IF(#REF!="human resources",IFERROR(IF(FIND("Selling",B97)&gt;0,"Selling","General Administrative"),"General Administrative"),IF(D97="10301S","Selling","General Administrative")))</f>
        <v>#REF!</v>
      </c>
      <c r="AJ97" s="205" t="s">
        <v>1011</v>
      </c>
    </row>
    <row r="98" spans="1:36" s="63" customFormat="1" ht="30" hidden="1" customHeight="1" x14ac:dyDescent="0.25">
      <c r="A98" s="174" t="s">
        <v>1787</v>
      </c>
      <c r="B98" s="190" t="s">
        <v>1788</v>
      </c>
      <c r="C98" s="191" t="s">
        <v>2378</v>
      </c>
      <c r="D98" s="192" t="s">
        <v>268</v>
      </c>
      <c r="E98" s="193" t="s">
        <v>367</v>
      </c>
      <c r="F98" s="192" t="s">
        <v>521</v>
      </c>
      <c r="G98" s="194" t="s">
        <v>226</v>
      </c>
      <c r="H98" s="195"/>
      <c r="I98" s="195"/>
      <c r="J98" s="196">
        <v>0</v>
      </c>
      <c r="K98" s="52">
        <v>0</v>
      </c>
      <c r="L98" s="52">
        <v>0</v>
      </c>
      <c r="M98" s="52">
        <v>0</v>
      </c>
      <c r="N98" s="52">
        <v>0</v>
      </c>
      <c r="O98" s="52">
        <v>0</v>
      </c>
      <c r="P98" s="52">
        <v>0</v>
      </c>
      <c r="Q98" s="52">
        <v>0</v>
      </c>
      <c r="R98" s="52">
        <v>0</v>
      </c>
      <c r="S98" s="52">
        <v>0</v>
      </c>
      <c r="T98" s="52">
        <v>0</v>
      </c>
      <c r="U98" s="52">
        <v>0</v>
      </c>
      <c r="V98" s="197">
        <f t="shared" si="2"/>
        <v>0</v>
      </c>
      <c r="W98" s="207"/>
      <c r="X98" s="199" t="s">
        <v>1941</v>
      </c>
      <c r="Y98" s="200"/>
      <c r="Z98" s="200"/>
      <c r="AA98" s="200"/>
      <c r="AB98" s="113"/>
      <c r="AC98" s="203"/>
      <c r="AD98" s="203"/>
      <c r="AE98" s="210"/>
      <c r="AF98" s="201" t="s">
        <v>2077</v>
      </c>
      <c r="AH98" s="205" t="s">
        <v>1011</v>
      </c>
      <c r="AI98" s="205" t="e">
        <f>IF(A98="","",IF(#REF!="human resources",IFERROR(IF(FIND("Selling",B98)&gt;0,"Selling","General Administrative"),"General Administrative"),IF(D98="10301S","Selling","General Administrative")))</f>
        <v>#REF!</v>
      </c>
      <c r="AJ98" s="205" t="s">
        <v>1011</v>
      </c>
    </row>
    <row r="99" spans="1:36" s="63" customFormat="1" ht="30" customHeight="1" x14ac:dyDescent="0.25">
      <c r="A99" s="189" t="s">
        <v>1787</v>
      </c>
      <c r="B99" s="190" t="s">
        <v>1788</v>
      </c>
      <c r="C99" s="191" t="s">
        <v>2379</v>
      </c>
      <c r="D99" s="192" t="s">
        <v>268</v>
      </c>
      <c r="E99" s="193" t="s">
        <v>367</v>
      </c>
      <c r="F99" s="192" t="s">
        <v>521</v>
      </c>
      <c r="G99" s="194" t="s">
        <v>226</v>
      </c>
      <c r="H99" s="195"/>
      <c r="I99" s="195"/>
      <c r="J99" s="196">
        <v>0</v>
      </c>
      <c r="K99" s="52">
        <v>1530</v>
      </c>
      <c r="L99" s="52">
        <v>0</v>
      </c>
      <c r="M99" s="52">
        <v>0</v>
      </c>
      <c r="N99" s="52">
        <v>1530</v>
      </c>
      <c r="O99" s="52">
        <v>0</v>
      </c>
      <c r="P99" s="52">
        <v>0</v>
      </c>
      <c r="Q99" s="52">
        <v>1530</v>
      </c>
      <c r="R99" s="52">
        <v>0</v>
      </c>
      <c r="S99" s="52">
        <v>0</v>
      </c>
      <c r="T99" s="52">
        <v>1530</v>
      </c>
      <c r="U99" s="52">
        <v>0</v>
      </c>
      <c r="V99" s="197">
        <f t="shared" si="2"/>
        <v>6120</v>
      </c>
      <c r="W99" s="207"/>
      <c r="X99" s="199" t="s">
        <v>1941</v>
      </c>
      <c r="Y99" s="200"/>
      <c r="Z99" s="200" t="s">
        <v>2105</v>
      </c>
      <c r="AA99" s="200" t="s">
        <v>2076</v>
      </c>
      <c r="AB99" s="113" t="s">
        <v>2217</v>
      </c>
      <c r="AC99" s="202"/>
      <c r="AD99" s="203"/>
      <c r="AE99" s="203" t="s">
        <v>2380</v>
      </c>
      <c r="AF99" s="112" t="s">
        <v>2381</v>
      </c>
      <c r="AH99" s="205" t="s">
        <v>1011</v>
      </c>
      <c r="AI99" s="205" t="e">
        <f>IF(A99="","",IF(#REF!="human resources",IFERROR(IF(FIND("Selling",B99)&gt;0,"Selling","General Administrative"),"General Administrative"),IF(D99="10301S","Selling","General Administrative")))</f>
        <v>#REF!</v>
      </c>
      <c r="AJ99" s="205" t="s">
        <v>1011</v>
      </c>
    </row>
    <row r="100" spans="1:36" s="63" customFormat="1" ht="30" customHeight="1" x14ac:dyDescent="0.25">
      <c r="A100" s="189" t="s">
        <v>1842</v>
      </c>
      <c r="B100" s="190" t="s">
        <v>1843</v>
      </c>
      <c r="C100" s="191" t="s">
        <v>2382</v>
      </c>
      <c r="D100" s="192" t="s">
        <v>268</v>
      </c>
      <c r="E100" s="193" t="s">
        <v>367</v>
      </c>
      <c r="F100" s="192" t="s">
        <v>512</v>
      </c>
      <c r="G100" s="194" t="s">
        <v>208</v>
      </c>
      <c r="H100" s="195"/>
      <c r="I100" s="195"/>
      <c r="J100" s="196">
        <v>189.389238095238</v>
      </c>
      <c r="K100" s="52">
        <v>189.389238095238</v>
      </c>
      <c r="L100" s="52">
        <v>189.389238095238</v>
      </c>
      <c r="M100" s="52">
        <v>189.389238095238</v>
      </c>
      <c r="N100" s="52">
        <v>189.389238095238</v>
      </c>
      <c r="O100" s="52">
        <v>189.389238095238</v>
      </c>
      <c r="P100" s="52">
        <v>189.389238095238</v>
      </c>
      <c r="Q100" s="52">
        <v>189.389238095238</v>
      </c>
      <c r="R100" s="52">
        <v>189.389238095238</v>
      </c>
      <c r="S100" s="52">
        <v>189.389238095238</v>
      </c>
      <c r="T100" s="52">
        <v>189.389238095238</v>
      </c>
      <c r="U100" s="52">
        <v>189.389238095238</v>
      </c>
      <c r="V100" s="197">
        <f t="shared" si="2"/>
        <v>2272.6708571428558</v>
      </c>
      <c r="W100" s="207"/>
      <c r="X100" s="199" t="s">
        <v>1941</v>
      </c>
      <c r="Y100" s="200"/>
      <c r="Z100" s="200" t="s">
        <v>2075</v>
      </c>
      <c r="AA100" s="200" t="s">
        <v>2166</v>
      </c>
      <c r="AB100" s="113"/>
      <c r="AC100" s="202"/>
      <c r="AD100" s="203"/>
      <c r="AE100" s="203"/>
      <c r="AF100" s="204" t="s">
        <v>2383</v>
      </c>
      <c r="AH100" s="205" t="s">
        <v>992</v>
      </c>
      <c r="AI100" s="205" t="e">
        <f>IF(A100="","",IF(#REF!="human resources",IFERROR(IF(FIND("Selling",B100)&gt;0,"Selling","General Administrative"),"General Administrative"),IF(D100="10301S","Selling","General Administrative")))</f>
        <v>#REF!</v>
      </c>
      <c r="AJ100" s="205" t="s">
        <v>1297</v>
      </c>
    </row>
    <row r="101" spans="1:36" s="63" customFormat="1" ht="30" hidden="1" customHeight="1" x14ac:dyDescent="0.25">
      <c r="A101" s="174" t="s">
        <v>2384</v>
      </c>
      <c r="B101" s="190" t="s">
        <v>2526</v>
      </c>
      <c r="C101" s="191" t="s">
        <v>2385</v>
      </c>
      <c r="D101" s="192" t="s">
        <v>283</v>
      </c>
      <c r="E101" s="193" t="s">
        <v>369</v>
      </c>
      <c r="F101" s="192" t="s">
        <v>525</v>
      </c>
      <c r="G101" s="194" t="s">
        <v>230</v>
      </c>
      <c r="H101" s="195"/>
      <c r="I101" s="195"/>
      <c r="J101" s="196">
        <v>0</v>
      </c>
      <c r="K101" s="52">
        <v>0</v>
      </c>
      <c r="L101" s="52">
        <v>0</v>
      </c>
      <c r="M101" s="52">
        <v>0</v>
      </c>
      <c r="N101" s="52">
        <v>0</v>
      </c>
      <c r="O101" s="52">
        <v>0</v>
      </c>
      <c r="P101" s="52">
        <v>0</v>
      </c>
      <c r="Q101" s="52">
        <v>0</v>
      </c>
      <c r="R101" s="52">
        <v>0</v>
      </c>
      <c r="S101" s="52">
        <v>0</v>
      </c>
      <c r="T101" s="52">
        <v>0</v>
      </c>
      <c r="U101" s="52">
        <v>0</v>
      </c>
      <c r="V101" s="197">
        <f t="shared" si="2"/>
        <v>0</v>
      </c>
      <c r="W101" s="207"/>
      <c r="X101" s="199" t="s">
        <v>1941</v>
      </c>
      <c r="Y101" s="200"/>
      <c r="Z101" s="200"/>
      <c r="AA101" s="200"/>
      <c r="AB101" s="113"/>
      <c r="AC101" s="203"/>
      <c r="AD101" s="203"/>
      <c r="AE101" s="210"/>
      <c r="AF101" s="201" t="s">
        <v>2077</v>
      </c>
      <c r="AH101" s="205" t="s">
        <v>1025</v>
      </c>
      <c r="AI101" s="205" t="e">
        <f>IF(A101="","",IF(#REF!="human resources",IFERROR(IF(FIND("Selling",B101)&gt;0,"Selling","General Administrative"),"General Administrative"),IF(D101="10301S","Selling","General Administrative")))</f>
        <v>#REF!</v>
      </c>
      <c r="AJ101" s="205" t="s">
        <v>230</v>
      </c>
    </row>
    <row r="102" spans="1:36" s="63" customFormat="1" ht="30" customHeight="1" x14ac:dyDescent="0.25">
      <c r="A102" s="189" t="s">
        <v>1881</v>
      </c>
      <c r="B102" s="190" t="s">
        <v>2527</v>
      </c>
      <c r="C102" s="191" t="s">
        <v>2386</v>
      </c>
      <c r="D102" s="192" t="s">
        <v>283</v>
      </c>
      <c r="E102" s="193" t="s">
        <v>369</v>
      </c>
      <c r="F102" s="192" t="s">
        <v>525</v>
      </c>
      <c r="G102" s="194" t="s">
        <v>230</v>
      </c>
      <c r="H102" s="195"/>
      <c r="I102" s="195"/>
      <c r="J102" s="196">
        <v>5333.3333333333303</v>
      </c>
      <c r="K102" s="52">
        <v>5333.3333333333303</v>
      </c>
      <c r="L102" s="52">
        <v>5333.3333333333303</v>
      </c>
      <c r="M102" s="52">
        <v>5333.3333333333303</v>
      </c>
      <c r="N102" s="52">
        <v>5333.3333333333303</v>
      </c>
      <c r="O102" s="52">
        <v>5333.3333333333303</v>
      </c>
      <c r="P102" s="52">
        <v>5333.3333333333303</v>
      </c>
      <c r="Q102" s="52">
        <v>0</v>
      </c>
      <c r="R102" s="52">
        <v>0</v>
      </c>
      <c r="S102" s="52">
        <v>0</v>
      </c>
      <c r="T102" s="52">
        <v>0</v>
      </c>
      <c r="U102" s="52">
        <v>0</v>
      </c>
      <c r="V102" s="197">
        <f t="shared" si="2"/>
        <v>37333.333333333307</v>
      </c>
      <c r="W102" s="207"/>
      <c r="X102" s="199" t="s">
        <v>1941</v>
      </c>
      <c r="Y102" s="200"/>
      <c r="Z102" s="200" t="s">
        <v>2075</v>
      </c>
      <c r="AA102" s="200" t="s">
        <v>2076</v>
      </c>
      <c r="AB102" s="113" t="s">
        <v>2387</v>
      </c>
      <c r="AC102" s="202" t="s">
        <v>2388</v>
      </c>
      <c r="AD102" s="203"/>
      <c r="AE102" s="203" t="s">
        <v>2389</v>
      </c>
      <c r="AF102" s="204" t="s">
        <v>2390</v>
      </c>
      <c r="AH102" s="205" t="s">
        <v>1025</v>
      </c>
      <c r="AI102" s="205" t="e">
        <f>IF(A102="","",IF(#REF!="human resources",IFERROR(IF(FIND("Selling",B102)&gt;0,"Selling","General Administrative"),"General Administrative"),IF(D102="10301S","Selling","General Administrative")))</f>
        <v>#REF!</v>
      </c>
      <c r="AJ102" s="205" t="s">
        <v>230</v>
      </c>
    </row>
    <row r="103" spans="1:36" s="63" customFormat="1" ht="30" hidden="1" customHeight="1" x14ac:dyDescent="0.25">
      <c r="A103" s="174" t="s">
        <v>2391</v>
      </c>
      <c r="B103" s="190" t="s">
        <v>2528</v>
      </c>
      <c r="C103" s="191" t="s">
        <v>2392</v>
      </c>
      <c r="D103" s="192" t="s">
        <v>283</v>
      </c>
      <c r="E103" s="193" t="s">
        <v>369</v>
      </c>
      <c r="F103" s="192" t="s">
        <v>502</v>
      </c>
      <c r="G103" s="194" t="s">
        <v>184</v>
      </c>
      <c r="H103" s="195"/>
      <c r="I103" s="195"/>
      <c r="J103" s="196">
        <v>0</v>
      </c>
      <c r="K103" s="52">
        <v>0</v>
      </c>
      <c r="L103" s="52">
        <v>0</v>
      </c>
      <c r="M103" s="52">
        <v>0</v>
      </c>
      <c r="N103" s="52">
        <v>0</v>
      </c>
      <c r="O103" s="52">
        <v>0</v>
      </c>
      <c r="P103" s="52">
        <v>0</v>
      </c>
      <c r="Q103" s="52">
        <v>0</v>
      </c>
      <c r="R103" s="52">
        <v>0</v>
      </c>
      <c r="S103" s="52">
        <v>0</v>
      </c>
      <c r="T103" s="52">
        <v>0</v>
      </c>
      <c r="U103" s="52">
        <v>0</v>
      </c>
      <c r="V103" s="197">
        <f t="shared" si="2"/>
        <v>0</v>
      </c>
      <c r="W103" s="207"/>
      <c r="X103" s="199" t="s">
        <v>1941</v>
      </c>
      <c r="Y103" s="200"/>
      <c r="Z103" s="200"/>
      <c r="AA103" s="200"/>
      <c r="AB103" s="113"/>
      <c r="AC103" s="203"/>
      <c r="AD103" s="203"/>
      <c r="AE103" s="210"/>
      <c r="AF103" s="201" t="s">
        <v>2077</v>
      </c>
      <c r="AH103" s="205" t="s">
        <v>406</v>
      </c>
      <c r="AI103" s="205" t="e">
        <f>IF(A103="","",IF(#REF!="human resources",IFERROR(IF(FIND("Selling",B103)&gt;0,"Selling","General Administrative"),"General Administrative"),IF(D103="10301S","Selling","General Administrative")))</f>
        <v>#REF!</v>
      </c>
      <c r="AJ103" s="205" t="s">
        <v>1294</v>
      </c>
    </row>
    <row r="104" spans="1:36" s="63" customFormat="1" ht="30" hidden="1" customHeight="1" x14ac:dyDescent="0.25">
      <c r="A104" s="174" t="s">
        <v>2393</v>
      </c>
      <c r="B104" s="190" t="s">
        <v>2529</v>
      </c>
      <c r="C104" s="191" t="s">
        <v>2394</v>
      </c>
      <c r="D104" s="192" t="s">
        <v>283</v>
      </c>
      <c r="E104" s="193" t="s">
        <v>369</v>
      </c>
      <c r="F104" s="192" t="s">
        <v>502</v>
      </c>
      <c r="G104" s="194" t="s">
        <v>184</v>
      </c>
      <c r="H104" s="195"/>
      <c r="I104" s="195"/>
      <c r="J104" s="196">
        <v>0</v>
      </c>
      <c r="K104" s="52">
        <v>0</v>
      </c>
      <c r="L104" s="52">
        <v>0</v>
      </c>
      <c r="M104" s="52">
        <v>0</v>
      </c>
      <c r="N104" s="52">
        <v>0</v>
      </c>
      <c r="O104" s="52">
        <v>0</v>
      </c>
      <c r="P104" s="52">
        <v>0</v>
      </c>
      <c r="Q104" s="52">
        <v>0</v>
      </c>
      <c r="R104" s="52">
        <v>0</v>
      </c>
      <c r="S104" s="52">
        <v>0</v>
      </c>
      <c r="T104" s="52">
        <v>0</v>
      </c>
      <c r="U104" s="52">
        <v>0</v>
      </c>
      <c r="V104" s="197">
        <f t="shared" si="2"/>
        <v>0</v>
      </c>
      <c r="W104" s="207"/>
      <c r="X104" s="199" t="s">
        <v>1941</v>
      </c>
      <c r="Y104" s="200"/>
      <c r="Z104" s="200"/>
      <c r="AA104" s="200"/>
      <c r="AB104" s="113"/>
      <c r="AC104" s="203"/>
      <c r="AD104" s="203"/>
      <c r="AE104" s="210"/>
      <c r="AF104" s="201" t="s">
        <v>2077</v>
      </c>
      <c r="AH104" s="205" t="s">
        <v>406</v>
      </c>
      <c r="AI104" s="205" t="e">
        <f>IF(A104="","",IF(#REF!="human resources",IFERROR(IF(FIND("Selling",B104)&gt;0,"Selling","General Administrative"),"General Administrative"),IF(D104="10301S","Selling","General Administrative")))</f>
        <v>#REF!</v>
      </c>
      <c r="AJ104" s="205" t="s">
        <v>1294</v>
      </c>
    </row>
    <row r="105" spans="1:36" s="63" customFormat="1" ht="30" customHeight="1" x14ac:dyDescent="0.25">
      <c r="A105" s="189" t="s">
        <v>1882</v>
      </c>
      <c r="B105" s="190" t="s">
        <v>1883</v>
      </c>
      <c r="C105" s="191" t="s">
        <v>2395</v>
      </c>
      <c r="D105" s="192" t="s">
        <v>283</v>
      </c>
      <c r="E105" s="193" t="s">
        <v>369</v>
      </c>
      <c r="F105" s="192" t="s">
        <v>525</v>
      </c>
      <c r="G105" s="194" t="s">
        <v>230</v>
      </c>
      <c r="H105" s="195"/>
      <c r="I105" s="195"/>
      <c r="J105" s="196">
        <v>0</v>
      </c>
      <c r="K105" s="52">
        <v>0</v>
      </c>
      <c r="L105" s="52">
        <v>0</v>
      </c>
      <c r="M105" s="52">
        <v>0</v>
      </c>
      <c r="N105" s="52">
        <v>0</v>
      </c>
      <c r="O105" s="52">
        <v>0</v>
      </c>
      <c r="P105" s="52">
        <v>0</v>
      </c>
      <c r="Q105" s="52">
        <v>14400</v>
      </c>
      <c r="R105" s="52">
        <v>0</v>
      </c>
      <c r="S105" s="52">
        <v>0</v>
      </c>
      <c r="T105" s="52">
        <v>0</v>
      </c>
      <c r="U105" s="52">
        <v>0</v>
      </c>
      <c r="V105" s="197">
        <f t="shared" si="2"/>
        <v>14400</v>
      </c>
      <c r="W105" s="207"/>
      <c r="X105" s="199" t="s">
        <v>1941</v>
      </c>
      <c r="Y105" s="200"/>
      <c r="Z105" s="200"/>
      <c r="AA105" s="200"/>
      <c r="AB105" s="113"/>
      <c r="AC105" s="202"/>
      <c r="AD105" s="203"/>
      <c r="AE105" s="203"/>
      <c r="AF105" s="216" t="s">
        <v>2396</v>
      </c>
      <c r="AH105" s="205" t="s">
        <v>1025</v>
      </c>
      <c r="AI105" s="205" t="e">
        <f>IF(A105="","",IF(#REF!="human resources",IFERROR(IF(FIND("Selling",B105)&gt;0,"Selling","General Administrative"),"General Administrative"),IF(D105="10301S","Selling","General Administrative")))</f>
        <v>#REF!</v>
      </c>
      <c r="AJ105" s="205" t="s">
        <v>230</v>
      </c>
    </row>
    <row r="106" spans="1:36" s="63" customFormat="1" ht="30" hidden="1" customHeight="1" x14ac:dyDescent="0.25">
      <c r="A106" s="174" t="s">
        <v>2397</v>
      </c>
      <c r="B106" s="190" t="s">
        <v>2530</v>
      </c>
      <c r="C106" s="191" t="s">
        <v>2398</v>
      </c>
      <c r="D106" s="192" t="s">
        <v>283</v>
      </c>
      <c r="E106" s="193" t="s">
        <v>369</v>
      </c>
      <c r="F106" s="192" t="s">
        <v>521</v>
      </c>
      <c r="G106" s="194" t="s">
        <v>226</v>
      </c>
      <c r="H106" s="195"/>
      <c r="I106" s="195"/>
      <c r="J106" s="196">
        <v>0</v>
      </c>
      <c r="K106" s="52">
        <v>0</v>
      </c>
      <c r="L106" s="52">
        <v>0</v>
      </c>
      <c r="M106" s="52">
        <v>0</v>
      </c>
      <c r="N106" s="52">
        <v>0</v>
      </c>
      <c r="O106" s="52">
        <v>0</v>
      </c>
      <c r="P106" s="52">
        <v>0</v>
      </c>
      <c r="Q106" s="52">
        <v>0</v>
      </c>
      <c r="R106" s="52">
        <v>0</v>
      </c>
      <c r="S106" s="52">
        <v>0</v>
      </c>
      <c r="T106" s="52">
        <v>0</v>
      </c>
      <c r="U106" s="52">
        <v>0</v>
      </c>
      <c r="V106" s="197">
        <f t="shared" si="2"/>
        <v>0</v>
      </c>
      <c r="W106" s="207"/>
      <c r="X106" s="199" t="s">
        <v>1941</v>
      </c>
      <c r="Y106" s="200"/>
      <c r="Z106" s="200"/>
      <c r="AA106" s="200"/>
      <c r="AB106" s="113"/>
      <c r="AC106" s="203"/>
      <c r="AD106" s="203"/>
      <c r="AE106" s="210"/>
      <c r="AF106" s="201" t="s">
        <v>2077</v>
      </c>
      <c r="AH106" s="205" t="s">
        <v>1011</v>
      </c>
      <c r="AI106" s="205" t="e">
        <f>IF(A106="","",IF(#REF!="human resources",IFERROR(IF(FIND("Selling",B106)&gt;0,"Selling","General Administrative"),"General Administrative"),IF(D106="10301S","Selling","General Administrative")))</f>
        <v>#REF!</v>
      </c>
      <c r="AJ106" s="205" t="s">
        <v>1011</v>
      </c>
    </row>
    <row r="107" spans="1:36" s="63" customFormat="1" ht="30" hidden="1" customHeight="1" x14ac:dyDescent="0.25">
      <c r="A107" s="174" t="s">
        <v>2399</v>
      </c>
      <c r="B107" s="190" t="s">
        <v>2531</v>
      </c>
      <c r="C107" s="191" t="s">
        <v>2400</v>
      </c>
      <c r="D107" s="192" t="s">
        <v>283</v>
      </c>
      <c r="E107" s="193" t="s">
        <v>369</v>
      </c>
      <c r="F107" s="192" t="s">
        <v>502</v>
      </c>
      <c r="G107" s="194" t="s">
        <v>184</v>
      </c>
      <c r="H107" s="195"/>
      <c r="I107" s="195"/>
      <c r="J107" s="196">
        <v>0</v>
      </c>
      <c r="K107" s="52">
        <v>0</v>
      </c>
      <c r="L107" s="52">
        <v>0</v>
      </c>
      <c r="M107" s="52">
        <v>0</v>
      </c>
      <c r="N107" s="52">
        <v>0</v>
      </c>
      <c r="O107" s="52">
        <v>0</v>
      </c>
      <c r="P107" s="52">
        <v>0</v>
      </c>
      <c r="Q107" s="52">
        <v>0</v>
      </c>
      <c r="R107" s="52">
        <v>0</v>
      </c>
      <c r="S107" s="52">
        <v>0</v>
      </c>
      <c r="T107" s="52">
        <v>0</v>
      </c>
      <c r="U107" s="52">
        <v>0</v>
      </c>
      <c r="V107" s="197">
        <f t="shared" si="2"/>
        <v>0</v>
      </c>
      <c r="W107" s="207"/>
      <c r="X107" s="199" t="s">
        <v>1941</v>
      </c>
      <c r="Y107" s="200"/>
      <c r="Z107" s="200"/>
      <c r="AA107" s="200"/>
      <c r="AB107" s="113"/>
      <c r="AC107" s="203"/>
      <c r="AD107" s="203"/>
      <c r="AE107" s="210"/>
      <c r="AF107" s="201" t="s">
        <v>2077</v>
      </c>
      <c r="AH107" s="205" t="s">
        <v>406</v>
      </c>
      <c r="AI107" s="205" t="e">
        <f>IF(A107="","",IF(#REF!="human resources",IFERROR(IF(FIND("Selling",B107)&gt;0,"Selling","General Administrative"),"General Administrative"),IF(D107="10301S","Selling","General Administrative")))</f>
        <v>#REF!</v>
      </c>
      <c r="AJ107" s="205" t="s">
        <v>1294</v>
      </c>
    </row>
    <row r="108" spans="1:36" s="63" customFormat="1" ht="30" hidden="1" customHeight="1" x14ac:dyDescent="0.25">
      <c r="A108" s="174" t="s">
        <v>2401</v>
      </c>
      <c r="B108" s="190" t="s">
        <v>2532</v>
      </c>
      <c r="C108" s="191" t="s">
        <v>2402</v>
      </c>
      <c r="D108" s="192" t="s">
        <v>268</v>
      </c>
      <c r="E108" s="193" t="s">
        <v>367</v>
      </c>
      <c r="F108" s="192" t="s">
        <v>502</v>
      </c>
      <c r="G108" s="194" t="s">
        <v>184</v>
      </c>
      <c r="H108" s="195"/>
      <c r="I108" s="195"/>
      <c r="J108" s="196">
        <v>0</v>
      </c>
      <c r="K108" s="52">
        <v>0</v>
      </c>
      <c r="L108" s="52">
        <v>0</v>
      </c>
      <c r="M108" s="52">
        <v>0</v>
      </c>
      <c r="N108" s="52">
        <v>0</v>
      </c>
      <c r="O108" s="52">
        <v>0</v>
      </c>
      <c r="P108" s="52">
        <v>0</v>
      </c>
      <c r="Q108" s="52">
        <v>0</v>
      </c>
      <c r="R108" s="52">
        <v>0</v>
      </c>
      <c r="S108" s="52">
        <v>0</v>
      </c>
      <c r="T108" s="52">
        <v>0</v>
      </c>
      <c r="U108" s="52">
        <v>0</v>
      </c>
      <c r="V108" s="197">
        <f t="shared" si="2"/>
        <v>0</v>
      </c>
      <c r="W108" s="207"/>
      <c r="X108" s="199" t="s">
        <v>1941</v>
      </c>
      <c r="Y108" s="200"/>
      <c r="Z108" s="200"/>
      <c r="AA108" s="200"/>
      <c r="AB108" s="113"/>
      <c r="AC108" s="203"/>
      <c r="AD108" s="203"/>
      <c r="AE108" s="210"/>
      <c r="AF108" s="201" t="s">
        <v>2077</v>
      </c>
      <c r="AH108" s="205" t="s">
        <v>406</v>
      </c>
      <c r="AI108" s="205" t="e">
        <f>IF(A108="","",IF(#REF!="human resources",IFERROR(IF(FIND("Selling",B108)&gt;0,"Selling","General Administrative"),"General Administrative"),IF(D108="10301S","Selling","General Administrative")))</f>
        <v>#REF!</v>
      </c>
      <c r="AJ108" s="205" t="s">
        <v>1294</v>
      </c>
    </row>
    <row r="109" spans="1:36" s="63" customFormat="1" ht="30" customHeight="1" x14ac:dyDescent="0.25">
      <c r="A109" s="189" t="s">
        <v>1844</v>
      </c>
      <c r="B109" s="190" t="s">
        <v>1845</v>
      </c>
      <c r="C109" s="191" t="s">
        <v>2403</v>
      </c>
      <c r="D109" s="192" t="s">
        <v>268</v>
      </c>
      <c r="E109" s="193" t="s">
        <v>367</v>
      </c>
      <c r="F109" s="192" t="s">
        <v>525</v>
      </c>
      <c r="G109" s="194" t="s">
        <v>230</v>
      </c>
      <c r="H109" s="195"/>
      <c r="I109" s="195"/>
      <c r="J109" s="208">
        <v>480</v>
      </c>
      <c r="K109" s="52">
        <v>0</v>
      </c>
      <c r="L109" s="52">
        <v>0</v>
      </c>
      <c r="M109" s="52">
        <v>0</v>
      </c>
      <c r="N109" s="52">
        <v>0</v>
      </c>
      <c r="O109" s="52">
        <v>0</v>
      </c>
      <c r="P109" s="52">
        <v>0</v>
      </c>
      <c r="Q109" s="52">
        <v>0</v>
      </c>
      <c r="R109" s="52">
        <v>0</v>
      </c>
      <c r="S109" s="52">
        <v>0</v>
      </c>
      <c r="T109" s="52">
        <v>0</v>
      </c>
      <c r="U109" s="52">
        <v>0</v>
      </c>
      <c r="V109" s="197">
        <f t="shared" si="2"/>
        <v>480</v>
      </c>
      <c r="W109" s="207"/>
      <c r="X109" s="199" t="s">
        <v>1941</v>
      </c>
      <c r="Y109" s="200"/>
      <c r="Z109" s="200" t="s">
        <v>2075</v>
      </c>
      <c r="AA109" s="200" t="s">
        <v>2076</v>
      </c>
      <c r="AB109" s="113" t="s">
        <v>2404</v>
      </c>
      <c r="AC109" s="202" t="s">
        <v>2314</v>
      </c>
      <c r="AD109" s="203"/>
      <c r="AE109" s="203" t="s">
        <v>2405</v>
      </c>
      <c r="AF109" s="204" t="s">
        <v>2406</v>
      </c>
      <c r="AH109" s="205" t="s">
        <v>1025</v>
      </c>
      <c r="AI109" s="205" t="e">
        <f>IF(A109="","",IF(#REF!="human resources",IFERROR(IF(FIND("Selling",B109)&gt;0,"Selling","General Administrative"),"General Administrative"),IF(D109="10301S","Selling","General Administrative")))</f>
        <v>#REF!</v>
      </c>
      <c r="AJ109" s="205" t="s">
        <v>230</v>
      </c>
    </row>
    <row r="110" spans="1:36" s="63" customFormat="1" ht="30" hidden="1" customHeight="1" x14ac:dyDescent="0.25">
      <c r="A110" s="174" t="s">
        <v>1884</v>
      </c>
      <c r="B110" s="190" t="s">
        <v>1885</v>
      </c>
      <c r="C110" s="191" t="s">
        <v>2407</v>
      </c>
      <c r="D110" s="192" t="s">
        <v>283</v>
      </c>
      <c r="E110" s="193" t="s">
        <v>369</v>
      </c>
      <c r="F110" s="192" t="s">
        <v>525</v>
      </c>
      <c r="G110" s="194" t="s">
        <v>230</v>
      </c>
      <c r="H110" s="195"/>
      <c r="I110" s="195"/>
      <c r="J110" s="196">
        <v>0</v>
      </c>
      <c r="K110" s="52">
        <v>0</v>
      </c>
      <c r="L110" s="52">
        <v>0</v>
      </c>
      <c r="M110" s="52">
        <v>0</v>
      </c>
      <c r="N110" s="52">
        <v>0</v>
      </c>
      <c r="O110" s="52">
        <v>0</v>
      </c>
      <c r="P110" s="52">
        <v>0</v>
      </c>
      <c r="Q110" s="52">
        <v>0</v>
      </c>
      <c r="R110" s="52">
        <v>0</v>
      </c>
      <c r="S110" s="52">
        <v>0</v>
      </c>
      <c r="T110" s="52">
        <v>0</v>
      </c>
      <c r="U110" s="52">
        <v>0</v>
      </c>
      <c r="V110" s="197">
        <f t="shared" si="2"/>
        <v>0</v>
      </c>
      <c r="W110" s="207"/>
      <c r="X110" s="199" t="s">
        <v>1941</v>
      </c>
      <c r="Y110" s="200"/>
      <c r="Z110" s="200"/>
      <c r="AA110" s="200"/>
      <c r="AB110" s="113"/>
      <c r="AC110" s="203"/>
      <c r="AD110" s="203"/>
      <c r="AE110" s="210"/>
      <c r="AF110" s="201" t="s">
        <v>2077</v>
      </c>
      <c r="AH110" s="205" t="s">
        <v>1025</v>
      </c>
      <c r="AI110" s="205" t="e">
        <f>IF(A110="","",IF(#REF!="human resources",IFERROR(IF(FIND("Selling",B110)&gt;0,"Selling","General Administrative"),"General Administrative"),IF(D110="10301S","Selling","General Administrative")))</f>
        <v>#REF!</v>
      </c>
      <c r="AJ110" s="205" t="s">
        <v>230</v>
      </c>
    </row>
    <row r="111" spans="1:36" s="63" customFormat="1" ht="30" hidden="1" customHeight="1" x14ac:dyDescent="0.25">
      <c r="A111" s="174" t="s">
        <v>2408</v>
      </c>
      <c r="B111" s="190" t="s">
        <v>2533</v>
      </c>
      <c r="C111" s="191" t="s">
        <v>2409</v>
      </c>
      <c r="D111" s="192" t="s">
        <v>283</v>
      </c>
      <c r="E111" s="193" t="s">
        <v>369</v>
      </c>
      <c r="F111" s="192" t="s">
        <v>525</v>
      </c>
      <c r="G111" s="194" t="s">
        <v>230</v>
      </c>
      <c r="H111" s="195"/>
      <c r="I111" s="195"/>
      <c r="J111" s="196">
        <v>0</v>
      </c>
      <c r="K111" s="52">
        <v>0</v>
      </c>
      <c r="L111" s="52">
        <v>0</v>
      </c>
      <c r="M111" s="52">
        <v>0</v>
      </c>
      <c r="N111" s="52">
        <v>0</v>
      </c>
      <c r="O111" s="52">
        <v>0</v>
      </c>
      <c r="P111" s="52">
        <v>0</v>
      </c>
      <c r="Q111" s="52">
        <v>0</v>
      </c>
      <c r="R111" s="52">
        <v>0</v>
      </c>
      <c r="S111" s="52">
        <v>0</v>
      </c>
      <c r="T111" s="52">
        <v>0</v>
      </c>
      <c r="U111" s="52">
        <v>0</v>
      </c>
      <c r="V111" s="197">
        <f t="shared" si="2"/>
        <v>0</v>
      </c>
      <c r="W111" s="207"/>
      <c r="X111" s="199" t="s">
        <v>1941</v>
      </c>
      <c r="Y111" s="200"/>
      <c r="Z111" s="200"/>
      <c r="AA111" s="200"/>
      <c r="AB111" s="113"/>
      <c r="AC111" s="203"/>
      <c r="AD111" s="203"/>
      <c r="AE111" s="210"/>
      <c r="AF111" s="201" t="s">
        <v>2077</v>
      </c>
      <c r="AH111" s="205" t="s">
        <v>1025</v>
      </c>
      <c r="AI111" s="205" t="e">
        <f>IF(A111="","",IF(#REF!="human resources",IFERROR(IF(FIND("Selling",B111)&gt;0,"Selling","General Administrative"),"General Administrative"),IF(D111="10301S","Selling","General Administrative")))</f>
        <v>#REF!</v>
      </c>
      <c r="AJ111" s="205" t="s">
        <v>230</v>
      </c>
    </row>
    <row r="112" spans="1:36" s="63" customFormat="1" ht="30" hidden="1" customHeight="1" x14ac:dyDescent="0.25">
      <c r="A112" s="174" t="s">
        <v>2410</v>
      </c>
      <c r="B112" s="190" t="s">
        <v>2534</v>
      </c>
      <c r="C112" s="191" t="s">
        <v>2411</v>
      </c>
      <c r="D112" s="192" t="s">
        <v>283</v>
      </c>
      <c r="E112" s="193" t="s">
        <v>369</v>
      </c>
      <c r="F112" s="192" t="s">
        <v>525</v>
      </c>
      <c r="G112" s="194" t="s">
        <v>230</v>
      </c>
      <c r="H112" s="195"/>
      <c r="I112" s="195"/>
      <c r="J112" s="196">
        <v>0</v>
      </c>
      <c r="K112" s="52">
        <v>0</v>
      </c>
      <c r="L112" s="52">
        <v>0</v>
      </c>
      <c r="M112" s="52">
        <v>0</v>
      </c>
      <c r="N112" s="52">
        <v>0</v>
      </c>
      <c r="O112" s="52">
        <v>0</v>
      </c>
      <c r="P112" s="52">
        <v>0</v>
      </c>
      <c r="Q112" s="52">
        <v>0</v>
      </c>
      <c r="R112" s="52">
        <v>0</v>
      </c>
      <c r="S112" s="52">
        <v>0</v>
      </c>
      <c r="T112" s="52">
        <v>0</v>
      </c>
      <c r="U112" s="52">
        <v>0</v>
      </c>
      <c r="V112" s="197">
        <f t="shared" si="2"/>
        <v>0</v>
      </c>
      <c r="W112" s="207"/>
      <c r="X112" s="199" t="s">
        <v>1941</v>
      </c>
      <c r="Y112" s="200"/>
      <c r="Z112" s="200"/>
      <c r="AA112" s="200"/>
      <c r="AB112" s="113"/>
      <c r="AC112" s="203"/>
      <c r="AD112" s="203"/>
      <c r="AE112" s="210"/>
      <c r="AF112" s="201" t="s">
        <v>2077</v>
      </c>
      <c r="AH112" s="205" t="s">
        <v>1025</v>
      </c>
      <c r="AI112" s="205" t="e">
        <f>IF(A112="","",IF(#REF!="human resources",IFERROR(IF(FIND("Selling",B112)&gt;0,"Selling","General Administrative"),"General Administrative"),IF(D112="10301S","Selling","General Administrative")))</f>
        <v>#REF!</v>
      </c>
      <c r="AJ112" s="205" t="s">
        <v>230</v>
      </c>
    </row>
    <row r="113" spans="1:36" s="63" customFormat="1" ht="30" hidden="1" customHeight="1" x14ac:dyDescent="0.25">
      <c r="A113" s="174" t="s">
        <v>1886</v>
      </c>
      <c r="B113" s="190" t="s">
        <v>1887</v>
      </c>
      <c r="C113" s="191" t="s">
        <v>2412</v>
      </c>
      <c r="D113" s="192" t="s">
        <v>283</v>
      </c>
      <c r="E113" s="193" t="s">
        <v>369</v>
      </c>
      <c r="F113" s="192" t="s">
        <v>525</v>
      </c>
      <c r="G113" s="194" t="s">
        <v>230</v>
      </c>
      <c r="H113" s="195"/>
      <c r="I113" s="195"/>
      <c r="J113" s="196">
        <v>0</v>
      </c>
      <c r="K113" s="52">
        <v>0</v>
      </c>
      <c r="L113" s="52">
        <v>0</v>
      </c>
      <c r="M113" s="52">
        <v>0</v>
      </c>
      <c r="N113" s="52">
        <v>0</v>
      </c>
      <c r="O113" s="52">
        <v>0</v>
      </c>
      <c r="P113" s="52">
        <v>0</v>
      </c>
      <c r="Q113" s="52">
        <v>0</v>
      </c>
      <c r="R113" s="52">
        <v>0</v>
      </c>
      <c r="S113" s="52">
        <v>0</v>
      </c>
      <c r="T113" s="52">
        <v>0</v>
      </c>
      <c r="U113" s="52">
        <v>0</v>
      </c>
      <c r="V113" s="197">
        <f t="shared" si="2"/>
        <v>0</v>
      </c>
      <c r="W113" s="207"/>
      <c r="X113" s="199" t="s">
        <v>1941</v>
      </c>
      <c r="Y113" s="200"/>
      <c r="Z113" s="200"/>
      <c r="AA113" s="200"/>
      <c r="AB113" s="113"/>
      <c r="AC113" s="203"/>
      <c r="AD113" s="203"/>
      <c r="AE113" s="210"/>
      <c r="AF113" s="201" t="s">
        <v>2077</v>
      </c>
      <c r="AH113" s="205" t="s">
        <v>1025</v>
      </c>
      <c r="AI113" s="205" t="e">
        <f>IF(A113="","",IF(#REF!="human resources",IFERROR(IF(FIND("Selling",B113)&gt;0,"Selling","General Administrative"),"General Administrative"),IF(D113="10301S","Selling","General Administrative")))</f>
        <v>#REF!</v>
      </c>
      <c r="AJ113" s="205" t="s">
        <v>230</v>
      </c>
    </row>
    <row r="114" spans="1:36" s="63" customFormat="1" ht="30" hidden="1" customHeight="1" x14ac:dyDescent="0.25">
      <c r="A114" s="174" t="s">
        <v>2413</v>
      </c>
      <c r="B114" s="190" t="s">
        <v>2535</v>
      </c>
      <c r="C114" s="191" t="s">
        <v>2414</v>
      </c>
      <c r="D114" s="192" t="s">
        <v>283</v>
      </c>
      <c r="E114" s="193" t="s">
        <v>369</v>
      </c>
      <c r="F114" s="192" t="s">
        <v>525</v>
      </c>
      <c r="G114" s="194" t="s">
        <v>230</v>
      </c>
      <c r="H114" s="195"/>
      <c r="I114" s="195"/>
      <c r="J114" s="196">
        <v>0</v>
      </c>
      <c r="K114" s="52">
        <v>0</v>
      </c>
      <c r="L114" s="52">
        <v>0</v>
      </c>
      <c r="M114" s="52">
        <v>0</v>
      </c>
      <c r="N114" s="52">
        <v>0</v>
      </c>
      <c r="O114" s="52">
        <v>0</v>
      </c>
      <c r="P114" s="52">
        <v>0</v>
      </c>
      <c r="Q114" s="52">
        <v>0</v>
      </c>
      <c r="R114" s="52">
        <v>0</v>
      </c>
      <c r="S114" s="52">
        <v>0</v>
      </c>
      <c r="T114" s="52">
        <v>0</v>
      </c>
      <c r="U114" s="52">
        <v>0</v>
      </c>
      <c r="V114" s="197">
        <f t="shared" si="2"/>
        <v>0</v>
      </c>
      <c r="W114" s="207"/>
      <c r="X114" s="199" t="s">
        <v>1941</v>
      </c>
      <c r="Y114" s="200"/>
      <c r="Z114" s="200"/>
      <c r="AA114" s="200"/>
      <c r="AB114" s="113"/>
      <c r="AC114" s="203"/>
      <c r="AD114" s="203"/>
      <c r="AE114" s="210"/>
      <c r="AF114" s="201" t="s">
        <v>2077</v>
      </c>
      <c r="AH114" s="205" t="s">
        <v>1025</v>
      </c>
      <c r="AI114" s="205" t="e">
        <f>IF(A114="","",IF(#REF!="human resources",IFERROR(IF(FIND("Selling",B114)&gt;0,"Selling","General Administrative"),"General Administrative"),IF(D114="10301S","Selling","General Administrative")))</f>
        <v>#REF!</v>
      </c>
      <c r="AJ114" s="205" t="s">
        <v>230</v>
      </c>
    </row>
    <row r="115" spans="1:36" s="63" customFormat="1" ht="30" hidden="1" customHeight="1" x14ac:dyDescent="0.25">
      <c r="A115" s="174" t="s">
        <v>1756</v>
      </c>
      <c r="B115" s="190" t="s">
        <v>1757</v>
      </c>
      <c r="C115" s="191" t="s">
        <v>2415</v>
      </c>
      <c r="D115" s="192" t="s">
        <v>268</v>
      </c>
      <c r="E115" s="193" t="s">
        <v>367</v>
      </c>
      <c r="F115" s="192" t="s">
        <v>438</v>
      </c>
      <c r="G115" s="194" t="s">
        <v>128</v>
      </c>
      <c r="H115" s="195"/>
      <c r="I115" s="195"/>
      <c r="J115" s="196">
        <v>0</v>
      </c>
      <c r="K115" s="52">
        <v>0</v>
      </c>
      <c r="L115" s="52">
        <v>0</v>
      </c>
      <c r="M115" s="52">
        <v>0</v>
      </c>
      <c r="N115" s="52">
        <v>0</v>
      </c>
      <c r="O115" s="52">
        <v>0</v>
      </c>
      <c r="P115" s="52">
        <v>0</v>
      </c>
      <c r="Q115" s="52">
        <v>0</v>
      </c>
      <c r="R115" s="52">
        <v>0</v>
      </c>
      <c r="S115" s="52">
        <v>0</v>
      </c>
      <c r="T115" s="52">
        <v>0</v>
      </c>
      <c r="U115" s="52">
        <v>0</v>
      </c>
      <c r="V115" s="197">
        <f t="shared" si="2"/>
        <v>0</v>
      </c>
      <c r="W115" s="207"/>
      <c r="X115" s="199" t="s">
        <v>1941</v>
      </c>
      <c r="Y115" s="200"/>
      <c r="Z115" s="200"/>
      <c r="AA115" s="200"/>
      <c r="AB115" s="113"/>
      <c r="AC115" s="203"/>
      <c r="AD115" s="203"/>
      <c r="AE115" s="210"/>
      <c r="AF115" s="201" t="s">
        <v>2077</v>
      </c>
      <c r="AH115" s="205" t="s">
        <v>1109</v>
      </c>
      <c r="AI115" s="205" t="e">
        <f>IF(A115="","",IF(#REF!="human resources",IFERROR(IF(FIND("Selling",B115)&gt;0,"Selling","General Administrative"),"General Administrative"),IF(D115="10301S","Selling","General Administrative")))</f>
        <v>#REF!</v>
      </c>
      <c r="AJ115" s="205" t="s">
        <v>1286</v>
      </c>
    </row>
    <row r="116" spans="1:36" s="63" customFormat="1" ht="30" customHeight="1" x14ac:dyDescent="0.25">
      <c r="A116" s="189" t="s">
        <v>1777</v>
      </c>
      <c r="B116" s="190" t="s">
        <v>1778</v>
      </c>
      <c r="C116" s="191" t="s">
        <v>2416</v>
      </c>
      <c r="D116" s="192" t="s">
        <v>268</v>
      </c>
      <c r="E116" s="193" t="s">
        <v>367</v>
      </c>
      <c r="F116" s="192" t="s">
        <v>512</v>
      </c>
      <c r="G116" s="194" t="s">
        <v>208</v>
      </c>
      <c r="H116" s="195"/>
      <c r="I116" s="195"/>
      <c r="J116" s="196">
        <v>0</v>
      </c>
      <c r="K116" s="52">
        <v>2.5</v>
      </c>
      <c r="L116" s="52">
        <v>0</v>
      </c>
      <c r="M116" s="52">
        <v>0</v>
      </c>
      <c r="N116" s="52">
        <v>2.5</v>
      </c>
      <c r="O116" s="52">
        <v>0</v>
      </c>
      <c r="P116" s="52">
        <v>0</v>
      </c>
      <c r="Q116" s="52">
        <v>0</v>
      </c>
      <c r="R116" s="52">
        <v>2.5</v>
      </c>
      <c r="S116" s="52">
        <v>0</v>
      </c>
      <c r="T116" s="52">
        <v>0</v>
      </c>
      <c r="U116" s="52">
        <v>2.5</v>
      </c>
      <c r="V116" s="197">
        <f t="shared" si="2"/>
        <v>10</v>
      </c>
      <c r="W116" s="207"/>
      <c r="X116" s="199" t="s">
        <v>1941</v>
      </c>
      <c r="Y116" s="200"/>
      <c r="Z116" s="200" t="s">
        <v>2105</v>
      </c>
      <c r="AA116" s="200" t="s">
        <v>2076</v>
      </c>
      <c r="AB116" s="113"/>
      <c r="AC116" s="202" t="s">
        <v>2332</v>
      </c>
      <c r="AD116" s="203"/>
      <c r="AE116" s="203" t="s">
        <v>2417</v>
      </c>
      <c r="AF116" s="201" t="s">
        <v>2418</v>
      </c>
      <c r="AH116" s="205" t="s">
        <v>992</v>
      </c>
      <c r="AI116" s="205" t="e">
        <f>IF(A116="","",IF(#REF!="human resources",IFERROR(IF(FIND("Selling",B116)&gt;0,"Selling","General Administrative"),"General Administrative"),IF(D116="10301S","Selling","General Administrative")))</f>
        <v>#REF!</v>
      </c>
      <c r="AJ116" s="205" t="s">
        <v>1297</v>
      </c>
    </row>
    <row r="117" spans="1:36" s="63" customFormat="1" ht="30" customHeight="1" x14ac:dyDescent="0.25">
      <c r="A117" s="189" t="s">
        <v>2419</v>
      </c>
      <c r="B117" s="190" t="s">
        <v>2536</v>
      </c>
      <c r="C117" s="191" t="s">
        <v>2420</v>
      </c>
      <c r="D117" s="192" t="s">
        <v>268</v>
      </c>
      <c r="E117" s="193" t="s">
        <v>367</v>
      </c>
      <c r="F117" s="192" t="s">
        <v>525</v>
      </c>
      <c r="G117" s="194" t="s">
        <v>230</v>
      </c>
      <c r="H117" s="195"/>
      <c r="I117" s="195"/>
      <c r="J117" s="196">
        <v>25</v>
      </c>
      <c r="K117" s="52">
        <v>25</v>
      </c>
      <c r="L117" s="52">
        <v>25</v>
      </c>
      <c r="M117" s="52">
        <v>25</v>
      </c>
      <c r="N117" s="52">
        <v>25</v>
      </c>
      <c r="O117" s="52">
        <v>25</v>
      </c>
      <c r="P117" s="52">
        <v>25</v>
      </c>
      <c r="Q117" s="52">
        <v>25</v>
      </c>
      <c r="R117" s="52">
        <v>25</v>
      </c>
      <c r="S117" s="52">
        <v>25</v>
      </c>
      <c r="T117" s="52">
        <v>25</v>
      </c>
      <c r="U117" s="52">
        <v>25</v>
      </c>
      <c r="V117" s="197">
        <f t="shared" si="2"/>
        <v>300</v>
      </c>
      <c r="W117" s="207"/>
      <c r="X117" s="199" t="s">
        <v>2544</v>
      </c>
      <c r="Y117" s="200"/>
      <c r="Z117" s="200" t="s">
        <v>2075</v>
      </c>
      <c r="AA117" s="200" t="s">
        <v>2166</v>
      </c>
      <c r="AB117" s="113" t="s">
        <v>2421</v>
      </c>
      <c r="AC117" s="202" t="s">
        <v>2168</v>
      </c>
      <c r="AD117" s="203"/>
      <c r="AE117" s="203" t="s">
        <v>2422</v>
      </c>
      <c r="AF117" s="204" t="s">
        <v>2423</v>
      </c>
      <c r="AH117" s="205" t="s">
        <v>1025</v>
      </c>
      <c r="AI117" s="205" t="e">
        <f>IF(A117="","",IF(#REF!="human resources",IFERROR(IF(FIND("Selling",B117)&gt;0,"Selling","General Administrative"),"General Administrative"),IF(D117="10301S","Selling","General Administrative")))</f>
        <v>#REF!</v>
      </c>
      <c r="AJ117" s="205" t="s">
        <v>230</v>
      </c>
    </row>
    <row r="118" spans="1:36" s="63" customFormat="1" ht="30" hidden="1" customHeight="1" x14ac:dyDescent="0.25">
      <c r="A118" s="174" t="s">
        <v>2424</v>
      </c>
      <c r="B118" s="190" t="s">
        <v>2537</v>
      </c>
      <c r="C118" s="191" t="s">
        <v>2425</v>
      </c>
      <c r="D118" s="192" t="s">
        <v>283</v>
      </c>
      <c r="E118" s="193" t="s">
        <v>369</v>
      </c>
      <c r="F118" s="192" t="s">
        <v>525</v>
      </c>
      <c r="G118" s="194" t="s">
        <v>230</v>
      </c>
      <c r="H118" s="195"/>
      <c r="I118" s="195"/>
      <c r="J118" s="196">
        <v>0</v>
      </c>
      <c r="K118" s="52">
        <v>0</v>
      </c>
      <c r="L118" s="52">
        <v>0</v>
      </c>
      <c r="M118" s="52">
        <v>0</v>
      </c>
      <c r="N118" s="52">
        <v>0</v>
      </c>
      <c r="O118" s="52">
        <v>0</v>
      </c>
      <c r="P118" s="52">
        <v>0</v>
      </c>
      <c r="Q118" s="52">
        <v>0</v>
      </c>
      <c r="R118" s="52">
        <v>0</v>
      </c>
      <c r="S118" s="52">
        <v>0</v>
      </c>
      <c r="T118" s="52">
        <v>0</v>
      </c>
      <c r="U118" s="52">
        <v>0</v>
      </c>
      <c r="V118" s="197">
        <f t="shared" si="2"/>
        <v>0</v>
      </c>
      <c r="W118" s="207"/>
      <c r="X118" s="199" t="s">
        <v>1941</v>
      </c>
      <c r="Y118" s="200"/>
      <c r="Z118" s="200"/>
      <c r="AA118" s="200"/>
      <c r="AB118" s="113"/>
      <c r="AC118" s="203"/>
      <c r="AD118" s="203"/>
      <c r="AE118" s="210"/>
      <c r="AF118" s="201" t="s">
        <v>2077</v>
      </c>
      <c r="AH118" s="205" t="s">
        <v>1025</v>
      </c>
      <c r="AI118" s="205" t="e">
        <f>IF(A118="","",IF(#REF!="human resources",IFERROR(IF(FIND("Selling",B118)&gt;0,"Selling","General Administrative"),"General Administrative"),IF(D118="10301S","Selling","General Administrative")))</f>
        <v>#REF!</v>
      </c>
      <c r="AJ118" s="205" t="s">
        <v>230</v>
      </c>
    </row>
    <row r="119" spans="1:36" s="63" customFormat="1" ht="30" hidden="1" customHeight="1" x14ac:dyDescent="0.25">
      <c r="A119" s="174" t="s">
        <v>2426</v>
      </c>
      <c r="B119" s="190" t="s">
        <v>2538</v>
      </c>
      <c r="C119" s="191" t="s">
        <v>2427</v>
      </c>
      <c r="D119" s="192" t="s">
        <v>283</v>
      </c>
      <c r="E119" s="193" t="s">
        <v>369</v>
      </c>
      <c r="F119" s="192" t="s">
        <v>525</v>
      </c>
      <c r="G119" s="194" t="s">
        <v>230</v>
      </c>
      <c r="H119" s="195"/>
      <c r="I119" s="195"/>
      <c r="J119" s="196"/>
      <c r="K119" s="52"/>
      <c r="L119" s="52"/>
      <c r="M119" s="52"/>
      <c r="N119" s="52"/>
      <c r="O119" s="52"/>
      <c r="P119" s="52"/>
      <c r="Q119" s="52"/>
      <c r="R119" s="52"/>
      <c r="S119" s="52"/>
      <c r="T119" s="52"/>
      <c r="U119" s="52"/>
      <c r="V119" s="197">
        <f t="shared" si="2"/>
        <v>0</v>
      </c>
      <c r="W119" s="207"/>
      <c r="X119" s="199" t="s">
        <v>1941</v>
      </c>
      <c r="Y119" s="200"/>
      <c r="Z119" s="200"/>
      <c r="AA119" s="200"/>
      <c r="AB119" s="113"/>
      <c r="AC119" s="203"/>
      <c r="AD119" s="203"/>
      <c r="AE119" s="210"/>
      <c r="AF119" s="201" t="s">
        <v>2077</v>
      </c>
      <c r="AH119" s="205" t="s">
        <v>1025</v>
      </c>
      <c r="AI119" s="205" t="e">
        <f>IF(A119="","",IF(#REF!="human resources",IFERROR(IF(FIND("Selling",B119)&gt;0,"Selling","General Administrative"),"General Administrative"),IF(D119="10301S","Selling","General Administrative")))</f>
        <v>#REF!</v>
      </c>
      <c r="AJ119" s="205" t="s">
        <v>230</v>
      </c>
    </row>
    <row r="120" spans="1:36" s="63" customFormat="1" ht="30" customHeight="1" x14ac:dyDescent="0.25">
      <c r="A120" s="189" t="s">
        <v>1856</v>
      </c>
      <c r="B120" s="190" t="s">
        <v>1857</v>
      </c>
      <c r="C120" s="191" t="s">
        <v>1857</v>
      </c>
      <c r="D120" s="192" t="s">
        <v>268</v>
      </c>
      <c r="E120" s="193" t="s">
        <v>367</v>
      </c>
      <c r="F120" s="192" t="s">
        <v>525</v>
      </c>
      <c r="G120" s="194" t="s">
        <v>230</v>
      </c>
      <c r="H120" s="195"/>
      <c r="I120" s="195"/>
      <c r="J120" s="196">
        <v>0</v>
      </c>
      <c r="K120" s="52">
        <v>0</v>
      </c>
      <c r="L120" s="52">
        <v>0</v>
      </c>
      <c r="M120" s="52">
        <v>0</v>
      </c>
      <c r="N120" s="52">
        <v>0</v>
      </c>
      <c r="O120" s="52">
        <v>0</v>
      </c>
      <c r="P120" s="52">
        <v>0</v>
      </c>
      <c r="Q120" s="52">
        <v>146</v>
      </c>
      <c r="R120" s="52">
        <v>0</v>
      </c>
      <c r="S120" s="52">
        <v>0</v>
      </c>
      <c r="T120" s="52">
        <v>0</v>
      </c>
      <c r="U120" s="52">
        <v>0</v>
      </c>
      <c r="V120" s="197">
        <f t="shared" si="2"/>
        <v>146</v>
      </c>
      <c r="W120" s="207"/>
      <c r="X120" s="199" t="s">
        <v>2544</v>
      </c>
      <c r="Y120" s="200"/>
      <c r="Z120" s="200" t="s">
        <v>2075</v>
      </c>
      <c r="AA120" s="200" t="s">
        <v>2076</v>
      </c>
      <c r="AB120" s="113" t="s">
        <v>2256</v>
      </c>
      <c r="AC120" s="202"/>
      <c r="AD120" s="203"/>
      <c r="AE120" s="203" t="s">
        <v>2428</v>
      </c>
      <c r="AF120" s="201" t="s">
        <v>2429</v>
      </c>
      <c r="AH120" s="205" t="s">
        <v>1025</v>
      </c>
      <c r="AI120" s="205" t="e">
        <f>IF(A120="","",IF(#REF!="human resources",IFERROR(IF(FIND("Selling",B120)&gt;0,"Selling","General Administrative"),"General Administrative"),IF(D120="10301S","Selling","General Administrative")))</f>
        <v>#REF!</v>
      </c>
      <c r="AJ120" s="205" t="s">
        <v>230</v>
      </c>
    </row>
    <row r="121" spans="1:36" s="63" customFormat="1" ht="30" customHeight="1" x14ac:dyDescent="0.25">
      <c r="A121" s="189" t="s">
        <v>1858</v>
      </c>
      <c r="B121" s="190" t="s">
        <v>1859</v>
      </c>
      <c r="C121" s="191" t="s">
        <v>1859</v>
      </c>
      <c r="D121" s="192" t="s">
        <v>268</v>
      </c>
      <c r="E121" s="193" t="s">
        <v>367</v>
      </c>
      <c r="F121" s="192" t="s">
        <v>525</v>
      </c>
      <c r="G121" s="194" t="s">
        <v>230</v>
      </c>
      <c r="H121" s="195"/>
      <c r="I121" s="195"/>
      <c r="J121" s="196">
        <v>66.6666666666666</v>
      </c>
      <c r="K121" s="52">
        <v>66.6666666666666</v>
      </c>
      <c r="L121" s="52">
        <v>66.6666666666666</v>
      </c>
      <c r="M121" s="52">
        <v>500</v>
      </c>
      <c r="N121" s="52">
        <v>66.6666666666666</v>
      </c>
      <c r="O121" s="52">
        <v>66.6666666666666</v>
      </c>
      <c r="P121" s="52">
        <v>66.6666666666666</v>
      </c>
      <c r="Q121" s="52">
        <v>66.6666666666666</v>
      </c>
      <c r="R121" s="52">
        <v>66.6666666666666</v>
      </c>
      <c r="S121" s="52">
        <v>500</v>
      </c>
      <c r="T121" s="52">
        <v>66.6666666666666</v>
      </c>
      <c r="U121" s="52">
        <v>66.6666666666666</v>
      </c>
      <c r="V121" s="197">
        <f t="shared" si="2"/>
        <v>1666.6666666666658</v>
      </c>
      <c r="W121" s="207"/>
      <c r="X121" s="199" t="s">
        <v>2544</v>
      </c>
      <c r="Y121" s="200"/>
      <c r="Z121" s="200" t="s">
        <v>2075</v>
      </c>
      <c r="AA121" s="200" t="s">
        <v>2166</v>
      </c>
      <c r="AB121" s="113" t="s">
        <v>2430</v>
      </c>
      <c r="AC121" s="202" t="s">
        <v>2168</v>
      </c>
      <c r="AD121" s="203"/>
      <c r="AE121" s="203" t="s">
        <v>2431</v>
      </c>
      <c r="AF121" s="204" t="s">
        <v>2432</v>
      </c>
      <c r="AH121" s="205" t="s">
        <v>1025</v>
      </c>
      <c r="AI121" s="205" t="e">
        <f>IF(A121="","",IF(#REF!="human resources",IFERROR(IF(FIND("Selling",B121)&gt;0,"Selling","General Administrative"),"General Administrative"),IF(D121="10301S","Selling","General Administrative")))</f>
        <v>#REF!</v>
      </c>
      <c r="AJ121" s="205" t="s">
        <v>230</v>
      </c>
    </row>
    <row r="122" spans="1:36" s="63" customFormat="1" ht="30" customHeight="1" x14ac:dyDescent="0.25">
      <c r="A122" s="189" t="s">
        <v>1860</v>
      </c>
      <c r="B122" s="190" t="s">
        <v>1861</v>
      </c>
      <c r="C122" s="191" t="s">
        <v>1861</v>
      </c>
      <c r="D122" s="192" t="s">
        <v>268</v>
      </c>
      <c r="E122" s="193" t="s">
        <v>367</v>
      </c>
      <c r="F122" s="192" t="s">
        <v>525</v>
      </c>
      <c r="G122" s="194" t="s">
        <v>230</v>
      </c>
      <c r="H122" s="195"/>
      <c r="I122" s="195"/>
      <c r="J122" s="196">
        <v>0</v>
      </c>
      <c r="K122" s="52">
        <v>0</v>
      </c>
      <c r="L122" s="52">
        <v>0</v>
      </c>
      <c r="M122" s="212">
        <v>0</v>
      </c>
      <c r="N122" s="52">
        <v>0</v>
      </c>
      <c r="O122" s="52">
        <v>0</v>
      </c>
      <c r="P122" s="52">
        <v>0</v>
      </c>
      <c r="Q122" s="52">
        <v>0</v>
      </c>
      <c r="R122" s="52">
        <v>0</v>
      </c>
      <c r="S122" s="52">
        <v>0</v>
      </c>
      <c r="T122" s="52">
        <v>4900</v>
      </c>
      <c r="U122" s="52">
        <v>0</v>
      </c>
      <c r="V122" s="197">
        <f t="shared" si="2"/>
        <v>4900</v>
      </c>
      <c r="W122" s="207"/>
      <c r="X122" s="199" t="s">
        <v>2544</v>
      </c>
      <c r="Y122" s="200"/>
      <c r="Z122" s="200" t="s">
        <v>2075</v>
      </c>
      <c r="AA122" s="200" t="s">
        <v>2076</v>
      </c>
      <c r="AB122" s="113" t="s">
        <v>2318</v>
      </c>
      <c r="AC122" s="202" t="s">
        <v>2433</v>
      </c>
      <c r="AD122" s="203"/>
      <c r="AE122" s="203" t="s">
        <v>2434</v>
      </c>
      <c r="AF122" s="204" t="s">
        <v>2435</v>
      </c>
      <c r="AH122" s="205" t="s">
        <v>1025</v>
      </c>
      <c r="AI122" s="205" t="e">
        <f>IF(A122="","",IF(#REF!="human resources",IFERROR(IF(FIND("Selling",B122)&gt;0,"Selling","General Administrative"),"General Administrative"),IF(D122="10301S","Selling","General Administrative")))</f>
        <v>#REF!</v>
      </c>
      <c r="AJ122" s="205" t="s">
        <v>230</v>
      </c>
    </row>
    <row r="123" spans="1:36" s="63" customFormat="1" ht="30" hidden="1" customHeight="1" x14ac:dyDescent="0.25">
      <c r="A123" s="174" t="s">
        <v>1862</v>
      </c>
      <c r="B123" s="190" t="s">
        <v>1863</v>
      </c>
      <c r="C123" s="191" t="s">
        <v>1863</v>
      </c>
      <c r="D123" s="192" t="s">
        <v>268</v>
      </c>
      <c r="E123" s="193" t="s">
        <v>367</v>
      </c>
      <c r="F123" s="192" t="s">
        <v>525</v>
      </c>
      <c r="G123" s="194" t="s">
        <v>230</v>
      </c>
      <c r="H123" s="195"/>
      <c r="I123" s="195"/>
      <c r="J123" s="196">
        <v>0</v>
      </c>
      <c r="K123" s="52">
        <v>0</v>
      </c>
      <c r="L123" s="52">
        <v>0</v>
      </c>
      <c r="M123" s="52">
        <v>0</v>
      </c>
      <c r="N123" s="52">
        <v>0</v>
      </c>
      <c r="O123" s="52">
        <v>0</v>
      </c>
      <c r="P123" s="52">
        <v>0</v>
      </c>
      <c r="Q123" s="52">
        <v>0</v>
      </c>
      <c r="R123" s="52">
        <v>0</v>
      </c>
      <c r="S123" s="52">
        <v>0</v>
      </c>
      <c r="T123" s="52">
        <v>0</v>
      </c>
      <c r="U123" s="52">
        <v>0</v>
      </c>
      <c r="V123" s="197">
        <f t="shared" si="2"/>
        <v>0</v>
      </c>
      <c r="W123" s="207"/>
      <c r="X123" s="199" t="s">
        <v>2544</v>
      </c>
      <c r="Y123" s="200"/>
      <c r="Z123" s="200"/>
      <c r="AA123" s="200"/>
      <c r="AB123" s="113"/>
      <c r="AC123" s="203"/>
      <c r="AD123" s="203"/>
      <c r="AE123" s="210"/>
      <c r="AF123" s="201" t="s">
        <v>2077</v>
      </c>
      <c r="AH123" s="205" t="s">
        <v>1025</v>
      </c>
      <c r="AI123" s="205" t="e">
        <f>IF(A123="","",IF(#REF!="human resources",IFERROR(IF(FIND("Selling",B123)&gt;0,"Selling","General Administrative"),"General Administrative"),IF(D123="10301S","Selling","General Administrative")))</f>
        <v>#REF!</v>
      </c>
      <c r="AJ123" s="205" t="s">
        <v>230</v>
      </c>
    </row>
    <row r="124" spans="1:36" s="63" customFormat="1" ht="30" customHeight="1" x14ac:dyDescent="0.25">
      <c r="A124" s="189" t="s">
        <v>1864</v>
      </c>
      <c r="B124" s="190" t="s">
        <v>1865</v>
      </c>
      <c r="C124" s="191" t="s">
        <v>1865</v>
      </c>
      <c r="D124" s="192" t="s">
        <v>268</v>
      </c>
      <c r="E124" s="193" t="s">
        <v>367</v>
      </c>
      <c r="F124" s="192" t="s">
        <v>525</v>
      </c>
      <c r="G124" s="194" t="s">
        <v>230</v>
      </c>
      <c r="H124" s="195"/>
      <c r="I124" s="195"/>
      <c r="J124" s="208">
        <v>0</v>
      </c>
      <c r="K124" s="52">
        <v>0</v>
      </c>
      <c r="L124" s="52">
        <v>0</v>
      </c>
      <c r="M124" s="212">
        <v>0</v>
      </c>
      <c r="N124" s="52">
        <v>0</v>
      </c>
      <c r="O124" s="52">
        <v>0</v>
      </c>
      <c r="P124" s="52">
        <v>0</v>
      </c>
      <c r="Q124" s="52">
        <v>0</v>
      </c>
      <c r="R124" s="52">
        <v>0</v>
      </c>
      <c r="S124" s="52">
        <v>0</v>
      </c>
      <c r="T124" s="52">
        <v>7326</v>
      </c>
      <c r="U124" s="52">
        <v>0</v>
      </c>
      <c r="V124" s="197">
        <f>SUM(K124:U124)</f>
        <v>7326</v>
      </c>
      <c r="W124" s="207"/>
      <c r="X124" s="199" t="s">
        <v>2544</v>
      </c>
      <c r="Y124" s="200"/>
      <c r="Z124" s="200"/>
      <c r="AA124" s="200"/>
      <c r="AB124" s="113"/>
      <c r="AC124" s="203"/>
      <c r="AD124" s="203"/>
      <c r="AE124" s="210"/>
      <c r="AF124" s="201" t="s">
        <v>2077</v>
      </c>
      <c r="AH124" s="205" t="s">
        <v>1025</v>
      </c>
      <c r="AI124" s="205" t="e">
        <f>IF(A124="","",IF(#REF!="human resources",IFERROR(IF(FIND("Selling",B124)&gt;0,"Selling","General Administrative"),"General Administrative"),IF(D124="10301S","Selling","General Administrative")))</f>
        <v>#REF!</v>
      </c>
      <c r="AJ124" s="205" t="s">
        <v>230</v>
      </c>
    </row>
    <row r="125" spans="1:36" s="63" customFormat="1" ht="30" customHeight="1" x14ac:dyDescent="0.25">
      <c r="A125" s="189" t="s">
        <v>1866</v>
      </c>
      <c r="B125" s="190" t="s">
        <v>1867</v>
      </c>
      <c r="C125" s="191" t="s">
        <v>1867</v>
      </c>
      <c r="D125" s="192" t="s">
        <v>268</v>
      </c>
      <c r="E125" s="193" t="s">
        <v>367</v>
      </c>
      <c r="F125" s="192" t="s">
        <v>525</v>
      </c>
      <c r="G125" s="194" t="s">
        <v>230</v>
      </c>
      <c r="H125" s="195"/>
      <c r="I125" s="195"/>
      <c r="J125" s="196">
        <v>0</v>
      </c>
      <c r="K125" s="52">
        <v>0</v>
      </c>
      <c r="L125" s="52">
        <v>0</v>
      </c>
      <c r="M125" s="212">
        <v>0</v>
      </c>
      <c r="N125" s="52">
        <v>0</v>
      </c>
      <c r="O125" s="52">
        <v>0</v>
      </c>
      <c r="P125" s="52">
        <v>0</v>
      </c>
      <c r="Q125" s="52">
        <v>0</v>
      </c>
      <c r="R125" s="52">
        <v>1549.6006666666599</v>
      </c>
      <c r="S125" s="52">
        <v>0</v>
      </c>
      <c r="T125" s="214">
        <v>0</v>
      </c>
      <c r="U125" s="52">
        <v>0</v>
      </c>
      <c r="V125" s="197">
        <f t="shared" si="2"/>
        <v>1549.6006666666599</v>
      </c>
      <c r="W125" s="207"/>
      <c r="X125" s="199" t="s">
        <v>2544</v>
      </c>
      <c r="Y125" s="200"/>
      <c r="Z125" s="200" t="s">
        <v>2075</v>
      </c>
      <c r="AA125" s="200" t="s">
        <v>2076</v>
      </c>
      <c r="AB125" s="113" t="s">
        <v>2318</v>
      </c>
      <c r="AC125" s="202" t="s">
        <v>2257</v>
      </c>
      <c r="AD125" s="203"/>
      <c r="AE125" s="203" t="s">
        <v>2436</v>
      </c>
      <c r="AF125" s="201" t="s">
        <v>2437</v>
      </c>
      <c r="AH125" s="205" t="s">
        <v>1025</v>
      </c>
      <c r="AI125" s="205" t="e">
        <f>IF(A125="","",IF(#REF!="human resources",IFERROR(IF(FIND("Selling",B125)&gt;0,"Selling","General Administrative"),"General Administrative"),IF(D125="10301S","Selling","General Administrative")))</f>
        <v>#REF!</v>
      </c>
      <c r="AJ125" s="205" t="s">
        <v>230</v>
      </c>
    </row>
    <row r="126" spans="1:36" s="63" customFormat="1" ht="30" customHeight="1" x14ac:dyDescent="0.25">
      <c r="A126" s="189" t="s">
        <v>1868</v>
      </c>
      <c r="B126" s="190" t="s">
        <v>1869</v>
      </c>
      <c r="C126" s="191" t="s">
        <v>1869</v>
      </c>
      <c r="D126" s="192" t="s">
        <v>268</v>
      </c>
      <c r="E126" s="193" t="s">
        <v>367</v>
      </c>
      <c r="F126" s="192" t="s">
        <v>525</v>
      </c>
      <c r="G126" s="194" t="s">
        <v>230</v>
      </c>
      <c r="H126" s="195"/>
      <c r="I126" s="195"/>
      <c r="J126" s="196">
        <v>0</v>
      </c>
      <c r="K126" s="52">
        <v>0</v>
      </c>
      <c r="L126" s="52">
        <v>0</v>
      </c>
      <c r="M126" s="52">
        <v>0</v>
      </c>
      <c r="N126" s="52">
        <v>0</v>
      </c>
      <c r="O126" s="52">
        <v>0</v>
      </c>
      <c r="P126" s="52">
        <v>0</v>
      </c>
      <c r="Q126" s="52">
        <v>0</v>
      </c>
      <c r="R126" s="52">
        <v>432.6816</v>
      </c>
      <c r="S126" s="52">
        <v>0</v>
      </c>
      <c r="T126" s="214">
        <v>0</v>
      </c>
      <c r="U126" s="52">
        <v>0</v>
      </c>
      <c r="V126" s="197">
        <f t="shared" si="2"/>
        <v>432.6816</v>
      </c>
      <c r="W126" s="207"/>
      <c r="X126" s="199" t="s">
        <v>2544</v>
      </c>
      <c r="Y126" s="200"/>
      <c r="Z126" s="200" t="s">
        <v>2075</v>
      </c>
      <c r="AA126" s="211" t="s">
        <v>2076</v>
      </c>
      <c r="AB126" s="113" t="s">
        <v>2318</v>
      </c>
      <c r="AC126" s="202" t="s">
        <v>2438</v>
      </c>
      <c r="AD126" s="203"/>
      <c r="AE126" s="203" t="s">
        <v>2439</v>
      </c>
      <c r="AF126" s="201" t="s">
        <v>1869</v>
      </c>
      <c r="AH126" s="205" t="s">
        <v>1025</v>
      </c>
      <c r="AI126" s="205" t="e">
        <f>IF(A126="","",IF(#REF!="human resources",IFERROR(IF(FIND("Selling",B126)&gt;0,"Selling","General Administrative"),"General Administrative"),IF(D126="10301S","Selling","General Administrative")))</f>
        <v>#REF!</v>
      </c>
      <c r="AJ126" s="205" t="s">
        <v>230</v>
      </c>
    </row>
    <row r="127" spans="1:36" s="63" customFormat="1" ht="30" customHeight="1" x14ac:dyDescent="0.25">
      <c r="A127" s="189" t="s">
        <v>1870</v>
      </c>
      <c r="B127" s="190" t="s">
        <v>1871</v>
      </c>
      <c r="C127" s="191" t="s">
        <v>1871</v>
      </c>
      <c r="D127" s="192" t="s">
        <v>268</v>
      </c>
      <c r="E127" s="193" t="s">
        <v>367</v>
      </c>
      <c r="F127" s="192" t="s">
        <v>525</v>
      </c>
      <c r="G127" s="194" t="s">
        <v>230</v>
      </c>
      <c r="H127" s="195"/>
      <c r="I127" s="195"/>
      <c r="J127" s="196">
        <v>0</v>
      </c>
      <c r="K127" s="52">
        <v>0</v>
      </c>
      <c r="L127" s="52">
        <v>0</v>
      </c>
      <c r="M127" s="52">
        <v>0</v>
      </c>
      <c r="N127" s="52">
        <v>0</v>
      </c>
      <c r="O127" s="52">
        <v>0</v>
      </c>
      <c r="P127" s="52">
        <v>0</v>
      </c>
      <c r="Q127" s="52">
        <v>667</v>
      </c>
      <c r="R127" s="52">
        <v>0</v>
      </c>
      <c r="S127" s="52">
        <v>0</v>
      </c>
      <c r="T127" s="52">
        <v>0</v>
      </c>
      <c r="U127" s="52">
        <v>0</v>
      </c>
      <c r="V127" s="197">
        <f t="shared" si="2"/>
        <v>667</v>
      </c>
      <c r="W127" s="207"/>
      <c r="X127" s="199" t="s">
        <v>2544</v>
      </c>
      <c r="Y127" s="200"/>
      <c r="Z127" s="200"/>
      <c r="AA127" s="200"/>
      <c r="AB127" s="113"/>
      <c r="AC127" s="202"/>
      <c r="AD127" s="203"/>
      <c r="AE127" s="203"/>
      <c r="AF127" s="216" t="s">
        <v>2396</v>
      </c>
      <c r="AH127" s="205" t="s">
        <v>1025</v>
      </c>
      <c r="AI127" s="205" t="e">
        <f>IF(A127="","",IF(#REF!="human resources",IFERROR(IF(FIND("Selling",B127)&gt;0,"Selling","General Administrative"),"General Administrative"),IF(D127="10301S","Selling","General Administrative")))</f>
        <v>#REF!</v>
      </c>
      <c r="AJ127" s="205" t="s">
        <v>230</v>
      </c>
    </row>
    <row r="128" spans="1:36" s="63" customFormat="1" ht="30" customHeight="1" x14ac:dyDescent="0.25">
      <c r="A128" s="189" t="s">
        <v>1872</v>
      </c>
      <c r="B128" s="190" t="s">
        <v>1873</v>
      </c>
      <c r="C128" s="191" t="s">
        <v>2440</v>
      </c>
      <c r="D128" s="192" t="s">
        <v>268</v>
      </c>
      <c r="E128" s="193" t="s">
        <v>367</v>
      </c>
      <c r="F128" s="192" t="s">
        <v>525</v>
      </c>
      <c r="G128" s="194" t="s">
        <v>230</v>
      </c>
      <c r="H128" s="195"/>
      <c r="I128" s="195"/>
      <c r="J128" s="196">
        <v>16533</v>
      </c>
      <c r="K128" s="52">
        <v>0</v>
      </c>
      <c r="L128" s="52">
        <v>0</v>
      </c>
      <c r="M128" s="52">
        <v>0</v>
      </c>
      <c r="N128" s="52">
        <v>0</v>
      </c>
      <c r="O128" s="52">
        <v>0</v>
      </c>
      <c r="P128" s="52">
        <v>0</v>
      </c>
      <c r="Q128" s="52">
        <v>0</v>
      </c>
      <c r="R128" s="52">
        <v>0</v>
      </c>
      <c r="S128" s="214">
        <v>0</v>
      </c>
      <c r="T128" s="52">
        <v>0</v>
      </c>
      <c r="U128" s="52">
        <v>0</v>
      </c>
      <c r="V128" s="197">
        <f>SUM(J128:U128)</f>
        <v>16533</v>
      </c>
      <c r="W128" s="207"/>
      <c r="X128" s="199" t="s">
        <v>2544</v>
      </c>
      <c r="Y128" s="200"/>
      <c r="Z128" s="200"/>
      <c r="AA128" s="200"/>
      <c r="AB128" s="113"/>
      <c r="AC128" s="202" t="s">
        <v>2441</v>
      </c>
      <c r="AD128" s="203"/>
      <c r="AE128" s="203"/>
      <c r="AF128" s="216" t="s">
        <v>2396</v>
      </c>
      <c r="AH128" s="205" t="s">
        <v>1025</v>
      </c>
      <c r="AI128" s="205" t="e">
        <f>IF(A128="","",IF(#REF!="human resources",IFERROR(IF(FIND("Selling",B128)&gt;0,"Selling","General Administrative"),"General Administrative"),IF(D128="10301S","Selling","General Administrative")))</f>
        <v>#REF!</v>
      </c>
      <c r="AJ128" s="205" t="s">
        <v>230</v>
      </c>
    </row>
    <row r="129" spans="1:36" s="63" customFormat="1" ht="30" hidden="1" customHeight="1" x14ac:dyDescent="0.25">
      <c r="A129" s="174" t="s">
        <v>2442</v>
      </c>
      <c r="B129" s="190" t="s">
        <v>2539</v>
      </c>
      <c r="C129" s="191" t="s">
        <v>2443</v>
      </c>
      <c r="D129" s="192" t="s">
        <v>268</v>
      </c>
      <c r="E129" s="193" t="s">
        <v>367</v>
      </c>
      <c r="F129" s="192" t="s">
        <v>525</v>
      </c>
      <c r="G129" s="194" t="s">
        <v>230</v>
      </c>
      <c r="H129" s="195"/>
      <c r="I129" s="195"/>
      <c r="J129" s="196">
        <v>0</v>
      </c>
      <c r="K129" s="52">
        <v>0</v>
      </c>
      <c r="L129" s="52">
        <v>0</v>
      </c>
      <c r="M129" s="212">
        <v>0</v>
      </c>
      <c r="N129" s="52">
        <v>0</v>
      </c>
      <c r="O129" s="52">
        <v>0</v>
      </c>
      <c r="P129" s="52">
        <v>0</v>
      </c>
      <c r="Q129" s="52">
        <v>0</v>
      </c>
      <c r="R129" s="52">
        <v>0</v>
      </c>
      <c r="S129" s="52">
        <v>0</v>
      </c>
      <c r="T129" s="214">
        <v>0</v>
      </c>
      <c r="U129" s="52">
        <v>0</v>
      </c>
      <c r="V129" s="197">
        <f t="shared" si="2"/>
        <v>0</v>
      </c>
      <c r="W129" s="207"/>
      <c r="X129" s="199" t="s">
        <v>2544</v>
      </c>
      <c r="Y129" s="200"/>
      <c r="Z129" s="200" t="s">
        <v>2075</v>
      </c>
      <c r="AA129" s="200" t="s">
        <v>2076</v>
      </c>
      <c r="AB129" s="113"/>
      <c r="AC129" s="202" t="s">
        <v>2314</v>
      </c>
      <c r="AD129" s="203"/>
      <c r="AE129" s="203" t="s">
        <v>2444</v>
      </c>
      <c r="AF129" s="204" t="s">
        <v>2445</v>
      </c>
      <c r="AH129" s="205" t="s">
        <v>1025</v>
      </c>
      <c r="AI129" s="205" t="e">
        <f>IF(A129="","",IF(#REF!="human resources",IFERROR(IF(FIND("Selling",B129)&gt;0,"Selling","General Administrative"),"General Administrative"),IF(D129="10301S","Selling","General Administrative")))</f>
        <v>#REF!</v>
      </c>
      <c r="AJ129" s="205" t="s">
        <v>230</v>
      </c>
    </row>
    <row r="130" spans="1:36" s="63" customFormat="1" ht="30" customHeight="1" x14ac:dyDescent="0.25">
      <c r="A130" s="189" t="s">
        <v>1848</v>
      </c>
      <c r="B130" s="190" t="s">
        <v>1849</v>
      </c>
      <c r="C130" s="191" t="s">
        <v>2446</v>
      </c>
      <c r="D130" s="192" t="s">
        <v>268</v>
      </c>
      <c r="E130" s="193" t="s">
        <v>367</v>
      </c>
      <c r="F130" s="192" t="s">
        <v>525</v>
      </c>
      <c r="G130" s="194" t="s">
        <v>230</v>
      </c>
      <c r="H130" s="195"/>
      <c r="I130" s="195"/>
      <c r="J130" s="196">
        <v>0</v>
      </c>
      <c r="K130" s="52">
        <v>0</v>
      </c>
      <c r="L130" s="52">
        <v>0</v>
      </c>
      <c r="M130" s="212">
        <v>0</v>
      </c>
      <c r="N130" s="52">
        <v>0</v>
      </c>
      <c r="O130" s="52">
        <v>0</v>
      </c>
      <c r="P130" s="52">
        <v>0</v>
      </c>
      <c r="Q130" s="52">
        <v>0</v>
      </c>
      <c r="R130" s="212">
        <v>0</v>
      </c>
      <c r="S130" s="52">
        <v>0</v>
      </c>
      <c r="T130" s="52">
        <v>13334</v>
      </c>
      <c r="U130" s="52">
        <v>0</v>
      </c>
      <c r="V130" s="197">
        <f t="shared" si="2"/>
        <v>13334</v>
      </c>
      <c r="W130" s="207"/>
      <c r="X130" s="199" t="s">
        <v>2544</v>
      </c>
      <c r="Y130" s="200"/>
      <c r="Z130" s="200" t="s">
        <v>2075</v>
      </c>
      <c r="AA130" s="200" t="s">
        <v>2076</v>
      </c>
      <c r="AB130" s="113"/>
      <c r="AC130" s="202" t="s">
        <v>2447</v>
      </c>
      <c r="AD130" s="203"/>
      <c r="AE130" s="203" t="s">
        <v>2448</v>
      </c>
      <c r="AF130" s="201" t="s">
        <v>2449</v>
      </c>
      <c r="AH130" s="205" t="s">
        <v>1025</v>
      </c>
      <c r="AI130" s="205" t="e">
        <f>IF(A130="","",IF(#REF!="human resources",IFERROR(IF(FIND("Selling",B130)&gt;0,"Selling","General Administrative"),"General Administrative"),IF(D130="10301S","Selling","General Administrative")))</f>
        <v>#REF!</v>
      </c>
      <c r="AJ130" s="205" t="s">
        <v>230</v>
      </c>
    </row>
    <row r="131" spans="1:36" s="63" customFormat="1" ht="30" customHeight="1" x14ac:dyDescent="0.25">
      <c r="A131" s="189" t="s">
        <v>1850</v>
      </c>
      <c r="B131" s="190" t="s">
        <v>1851</v>
      </c>
      <c r="C131" s="191" t="s">
        <v>1851</v>
      </c>
      <c r="D131" s="192" t="s">
        <v>268</v>
      </c>
      <c r="E131" s="193" t="s">
        <v>367</v>
      </c>
      <c r="F131" s="192" t="s">
        <v>438</v>
      </c>
      <c r="G131" s="194" t="s">
        <v>128</v>
      </c>
      <c r="H131" s="195"/>
      <c r="I131" s="195"/>
      <c r="J131" s="196">
        <v>0</v>
      </c>
      <c r="K131" s="212">
        <v>0</v>
      </c>
      <c r="L131" s="52">
        <v>0</v>
      </c>
      <c r="M131" s="212">
        <v>0</v>
      </c>
      <c r="N131" s="52">
        <v>0</v>
      </c>
      <c r="O131" s="52">
        <v>0</v>
      </c>
      <c r="P131" s="52">
        <v>0</v>
      </c>
      <c r="Q131" s="52">
        <v>0</v>
      </c>
      <c r="R131" s="52">
        <v>0</v>
      </c>
      <c r="S131" s="52">
        <v>0</v>
      </c>
      <c r="T131" s="52">
        <v>20914</v>
      </c>
      <c r="U131" s="52">
        <v>0</v>
      </c>
      <c r="V131" s="197">
        <f t="shared" si="2"/>
        <v>20914</v>
      </c>
      <c r="W131" s="207"/>
      <c r="X131" s="199" t="s">
        <v>2544</v>
      </c>
      <c r="Y131" s="200"/>
      <c r="Z131" s="200" t="s">
        <v>2075</v>
      </c>
      <c r="AA131" s="200" t="s">
        <v>2076</v>
      </c>
      <c r="AB131" s="113"/>
      <c r="AC131" s="202" t="s">
        <v>2450</v>
      </c>
      <c r="AD131" s="203"/>
      <c r="AE131" s="203" t="s">
        <v>2451</v>
      </c>
      <c r="AF131" s="201" t="s">
        <v>2452</v>
      </c>
      <c r="AH131" s="205" t="s">
        <v>1109</v>
      </c>
      <c r="AI131" s="205" t="e">
        <f>IF(A131="","",IF(#REF!="human resources",IFERROR(IF(FIND("Selling",B131)&gt;0,"Selling","General Administrative"),"General Administrative"),IF(D131="10301S","Selling","General Administrative")))</f>
        <v>#REF!</v>
      </c>
      <c r="AJ131" s="205" t="s">
        <v>1286</v>
      </c>
    </row>
    <row r="132" spans="1:36" s="63" customFormat="1" ht="30" customHeight="1" x14ac:dyDescent="0.25">
      <c r="A132" s="189" t="s">
        <v>1876</v>
      </c>
      <c r="B132" s="190" t="s">
        <v>1877</v>
      </c>
      <c r="C132" s="191" t="s">
        <v>2453</v>
      </c>
      <c r="D132" s="192" t="s">
        <v>268</v>
      </c>
      <c r="E132" s="193" t="s">
        <v>367</v>
      </c>
      <c r="F132" s="192" t="s">
        <v>525</v>
      </c>
      <c r="G132" s="194" t="s">
        <v>230</v>
      </c>
      <c r="H132" s="195"/>
      <c r="I132" s="195"/>
      <c r="J132" s="196">
        <v>0</v>
      </c>
      <c r="K132" s="52">
        <v>0</v>
      </c>
      <c r="L132" s="52">
        <v>0</v>
      </c>
      <c r="M132" s="212">
        <v>0</v>
      </c>
      <c r="N132" s="52">
        <v>0</v>
      </c>
      <c r="O132" s="52">
        <v>200</v>
      </c>
      <c r="P132" s="52">
        <v>0</v>
      </c>
      <c r="Q132" s="52">
        <v>0</v>
      </c>
      <c r="R132" s="52">
        <v>0</v>
      </c>
      <c r="S132" s="52">
        <v>0</v>
      </c>
      <c r="T132" s="52">
        <v>0</v>
      </c>
      <c r="U132" s="52">
        <v>0</v>
      </c>
      <c r="V132" s="197">
        <f t="shared" si="2"/>
        <v>200</v>
      </c>
      <c r="W132" s="207"/>
      <c r="X132" s="199" t="s">
        <v>2544</v>
      </c>
      <c r="Y132" s="200"/>
      <c r="Z132" s="200" t="s">
        <v>2075</v>
      </c>
      <c r="AA132" s="200" t="s">
        <v>2076</v>
      </c>
      <c r="AB132" s="113" t="s">
        <v>2256</v>
      </c>
      <c r="AC132" s="202" t="s">
        <v>2257</v>
      </c>
      <c r="AD132" s="203"/>
      <c r="AE132" s="203" t="s">
        <v>2454</v>
      </c>
      <c r="AF132" s="201" t="s">
        <v>2455</v>
      </c>
      <c r="AH132" s="205" t="s">
        <v>1025</v>
      </c>
      <c r="AI132" s="205" t="e">
        <f>IF(A132="","",IF(#REF!="human resources",IFERROR(IF(FIND("Selling",B132)&gt;0,"Selling","General Administrative"),"General Administrative"),IF(D132="10301S","Selling","General Administrative")))</f>
        <v>#REF!</v>
      </c>
      <c r="AJ132" s="205" t="s">
        <v>230</v>
      </c>
    </row>
    <row r="133" spans="1:36" s="63" customFormat="1" ht="30" customHeight="1" x14ac:dyDescent="0.25">
      <c r="A133" s="189" t="s">
        <v>2456</v>
      </c>
      <c r="B133" s="190" t="s">
        <v>2540</v>
      </c>
      <c r="C133" s="191" t="s">
        <v>2457</v>
      </c>
      <c r="D133" s="192" t="s">
        <v>268</v>
      </c>
      <c r="E133" s="193" t="s">
        <v>367</v>
      </c>
      <c r="F133" s="192" t="s">
        <v>525</v>
      </c>
      <c r="G133" s="194" t="s">
        <v>230</v>
      </c>
      <c r="H133" s="195"/>
      <c r="I133" s="195"/>
      <c r="J133" s="196">
        <v>0</v>
      </c>
      <c r="K133" s="52">
        <v>0</v>
      </c>
      <c r="L133" s="52">
        <v>0</v>
      </c>
      <c r="M133" s="212">
        <v>0</v>
      </c>
      <c r="N133" s="52">
        <v>0</v>
      </c>
      <c r="O133" s="52">
        <v>0</v>
      </c>
      <c r="P133" s="52">
        <v>12667</v>
      </c>
      <c r="Q133" s="52">
        <v>0</v>
      </c>
      <c r="R133" s="52">
        <v>0</v>
      </c>
      <c r="S133" s="52">
        <v>0</v>
      </c>
      <c r="T133" s="52">
        <v>0</v>
      </c>
      <c r="U133" s="52">
        <v>0</v>
      </c>
      <c r="V133" s="197">
        <f t="shared" si="2"/>
        <v>12667</v>
      </c>
      <c r="W133" s="207"/>
      <c r="X133" s="199" t="s">
        <v>2544</v>
      </c>
      <c r="Y133" s="200"/>
      <c r="Z133" s="200" t="s">
        <v>2075</v>
      </c>
      <c r="AA133" s="200" t="s">
        <v>2076</v>
      </c>
      <c r="AB133" s="113"/>
      <c r="AC133" s="202" t="s">
        <v>2257</v>
      </c>
      <c r="AD133" s="203"/>
      <c r="AE133" s="203" t="s">
        <v>2458</v>
      </c>
      <c r="AF133" s="201" t="s">
        <v>2459</v>
      </c>
      <c r="AH133" s="205" t="s">
        <v>1025</v>
      </c>
      <c r="AI133" s="205" t="e">
        <f>IF(A133="","",IF(#REF!="human resources",IFERROR(IF(FIND("Selling",B133)&gt;0,"Selling","General Administrative"),"General Administrative"),IF(D133="10301S","Selling","General Administrative")))</f>
        <v>#REF!</v>
      </c>
      <c r="AJ133" s="205" t="s">
        <v>230</v>
      </c>
    </row>
    <row r="134" spans="1:36" s="63" customFormat="1" ht="30" customHeight="1" x14ac:dyDescent="0.25">
      <c r="A134" s="189" t="s">
        <v>1852</v>
      </c>
      <c r="B134" s="190" t="s">
        <v>1853</v>
      </c>
      <c r="C134" s="191" t="s">
        <v>2460</v>
      </c>
      <c r="D134" s="192" t="s">
        <v>268</v>
      </c>
      <c r="E134" s="193" t="s">
        <v>367</v>
      </c>
      <c r="F134" s="192" t="s">
        <v>521</v>
      </c>
      <c r="G134" s="194" t="s">
        <v>226</v>
      </c>
      <c r="H134" s="195"/>
      <c r="I134" s="195"/>
      <c r="J134" s="196">
        <v>0</v>
      </c>
      <c r="K134" s="52">
        <v>0</v>
      </c>
      <c r="L134" s="52">
        <v>0</v>
      </c>
      <c r="M134" s="52">
        <v>324</v>
      </c>
      <c r="N134" s="52">
        <v>0</v>
      </c>
      <c r="O134" s="52">
        <v>0</v>
      </c>
      <c r="P134" s="52">
        <v>0</v>
      </c>
      <c r="Q134" s="52">
        <v>0</v>
      </c>
      <c r="R134" s="52">
        <v>0</v>
      </c>
      <c r="S134" s="52">
        <v>0</v>
      </c>
      <c r="T134" s="52">
        <v>0</v>
      </c>
      <c r="U134" s="52">
        <v>0</v>
      </c>
      <c r="V134" s="197">
        <f t="shared" si="2"/>
        <v>324</v>
      </c>
      <c r="W134" s="207"/>
      <c r="X134" s="199" t="s">
        <v>2544</v>
      </c>
      <c r="Y134" s="200"/>
      <c r="Z134" s="200" t="s">
        <v>2105</v>
      </c>
      <c r="AA134" s="200" t="s">
        <v>2076</v>
      </c>
      <c r="AB134" s="113"/>
      <c r="AC134" s="202" t="s">
        <v>2257</v>
      </c>
      <c r="AD134" s="203"/>
      <c r="AE134" s="203" t="s">
        <v>2461</v>
      </c>
      <c r="AF134" s="204" t="s">
        <v>2462</v>
      </c>
      <c r="AH134" s="205" t="s">
        <v>1011</v>
      </c>
      <c r="AI134" s="205" t="e">
        <f>IF(A134="","",IF(#REF!="human resources",IFERROR(IF(FIND("Selling",B134)&gt;0,"Selling","General Administrative"),"General Administrative"),IF(D134="10301S","Selling","General Administrative")))</f>
        <v>#REF!</v>
      </c>
      <c r="AJ134" s="205" t="s">
        <v>1011</v>
      </c>
    </row>
    <row r="135" spans="1:36" s="63" customFormat="1" ht="30" customHeight="1" x14ac:dyDescent="0.25">
      <c r="A135" s="189" t="s">
        <v>1854</v>
      </c>
      <c r="B135" s="190" t="s">
        <v>1855</v>
      </c>
      <c r="C135" s="191" t="s">
        <v>2463</v>
      </c>
      <c r="D135" s="192" t="s">
        <v>268</v>
      </c>
      <c r="E135" s="193" t="s">
        <v>367</v>
      </c>
      <c r="F135" s="192" t="s">
        <v>521</v>
      </c>
      <c r="G135" s="194" t="s">
        <v>226</v>
      </c>
      <c r="H135" s="195"/>
      <c r="I135" s="195"/>
      <c r="J135" s="196">
        <v>0</v>
      </c>
      <c r="K135" s="52">
        <v>0</v>
      </c>
      <c r="L135" s="52">
        <v>0</v>
      </c>
      <c r="M135" s="52">
        <v>308</v>
      </c>
      <c r="N135" s="52">
        <v>0</v>
      </c>
      <c r="O135" s="52">
        <v>0</v>
      </c>
      <c r="P135" s="52">
        <v>0</v>
      </c>
      <c r="Q135" s="52">
        <v>0</v>
      </c>
      <c r="R135" s="52">
        <v>0</v>
      </c>
      <c r="S135" s="52">
        <v>0</v>
      </c>
      <c r="T135" s="52">
        <v>0</v>
      </c>
      <c r="U135" s="52">
        <v>0</v>
      </c>
      <c r="V135" s="197">
        <f t="shared" si="2"/>
        <v>308</v>
      </c>
      <c r="W135" s="207"/>
      <c r="X135" s="199" t="s">
        <v>2544</v>
      </c>
      <c r="Y135" s="200"/>
      <c r="Z135" s="200" t="s">
        <v>2105</v>
      </c>
      <c r="AA135" s="200" t="s">
        <v>2076</v>
      </c>
      <c r="AB135" s="113"/>
      <c r="AC135" s="202" t="s">
        <v>2090</v>
      </c>
      <c r="AD135" s="203"/>
      <c r="AE135" s="203" t="s">
        <v>2464</v>
      </c>
      <c r="AF135" s="204" t="s">
        <v>2465</v>
      </c>
      <c r="AH135" s="205" t="s">
        <v>1011</v>
      </c>
      <c r="AI135" s="205" t="e">
        <f>IF(A135="","",IF(#REF!="human resources",IFERROR(IF(FIND("Selling",B135)&gt;0,"Selling","General Administrative"),"General Administrative"),IF(D135="10301S","Selling","General Administrative")))</f>
        <v>#REF!</v>
      </c>
      <c r="AJ135" s="205" t="s">
        <v>1011</v>
      </c>
    </row>
    <row r="136" spans="1:36" s="63" customFormat="1" ht="30" customHeight="1" x14ac:dyDescent="0.25">
      <c r="A136" s="189" t="s">
        <v>1846</v>
      </c>
      <c r="B136" s="190" t="s">
        <v>1847</v>
      </c>
      <c r="C136" s="191" t="s">
        <v>2466</v>
      </c>
      <c r="D136" s="192" t="s">
        <v>268</v>
      </c>
      <c r="E136" s="193" t="s">
        <v>367</v>
      </c>
      <c r="F136" s="192" t="s">
        <v>525</v>
      </c>
      <c r="G136" s="194" t="s">
        <v>230</v>
      </c>
      <c r="H136" s="195"/>
      <c r="I136" s="195"/>
      <c r="J136" s="196">
        <v>0</v>
      </c>
      <c r="K136" s="52">
        <v>0</v>
      </c>
      <c r="L136" s="52">
        <v>0</v>
      </c>
      <c r="M136" s="52">
        <v>100</v>
      </c>
      <c r="N136" s="52">
        <v>0</v>
      </c>
      <c r="O136" s="52">
        <v>0</v>
      </c>
      <c r="P136" s="52">
        <v>0</v>
      </c>
      <c r="Q136" s="52">
        <v>0</v>
      </c>
      <c r="R136" s="52">
        <v>0</v>
      </c>
      <c r="S136" s="52">
        <v>0</v>
      </c>
      <c r="T136" s="52">
        <v>0</v>
      </c>
      <c r="U136" s="52">
        <v>0</v>
      </c>
      <c r="V136" s="197">
        <f t="shared" si="2"/>
        <v>100</v>
      </c>
      <c r="W136" s="207"/>
      <c r="X136" s="199" t="s">
        <v>2544</v>
      </c>
      <c r="Y136" s="200"/>
      <c r="Z136" s="200" t="s">
        <v>2075</v>
      </c>
      <c r="AA136" s="200" t="s">
        <v>2076</v>
      </c>
      <c r="AB136" s="113"/>
      <c r="AC136" s="202" t="s">
        <v>2257</v>
      </c>
      <c r="AD136" s="203"/>
      <c r="AE136" s="203" t="s">
        <v>2467</v>
      </c>
      <c r="AF136" s="201" t="s">
        <v>2468</v>
      </c>
      <c r="AH136" s="205" t="s">
        <v>1025</v>
      </c>
      <c r="AI136" s="205" t="e">
        <f>IF(A136="","",IF(#REF!="human resources",IFERROR(IF(FIND("Selling",B136)&gt;0,"Selling","General Administrative"),"General Administrative"),IF(D136="10301S","Selling","General Administrative")))</f>
        <v>#REF!</v>
      </c>
      <c r="AJ136" s="205" t="s">
        <v>230</v>
      </c>
    </row>
    <row r="137" spans="1:36" s="63" customFormat="1" ht="30" customHeight="1" x14ac:dyDescent="0.25">
      <c r="A137" s="189" t="s">
        <v>1878</v>
      </c>
      <c r="B137" s="190" t="s">
        <v>1879</v>
      </c>
      <c r="C137" s="191" t="s">
        <v>2469</v>
      </c>
      <c r="D137" s="192" t="s">
        <v>268</v>
      </c>
      <c r="E137" s="193" t="s">
        <v>367</v>
      </c>
      <c r="F137" s="192" t="s">
        <v>525</v>
      </c>
      <c r="G137" s="194" t="s">
        <v>230</v>
      </c>
      <c r="H137" s="195"/>
      <c r="I137" s="195"/>
      <c r="J137" s="196">
        <v>0</v>
      </c>
      <c r="K137" s="52">
        <v>0</v>
      </c>
      <c r="L137" s="52">
        <v>0</v>
      </c>
      <c r="M137" s="52">
        <v>9856</v>
      </c>
      <c r="N137" s="52">
        <v>0</v>
      </c>
      <c r="O137" s="52">
        <v>0</v>
      </c>
      <c r="P137" s="52">
        <v>0</v>
      </c>
      <c r="Q137" s="52">
        <v>0</v>
      </c>
      <c r="R137" s="52">
        <v>0</v>
      </c>
      <c r="S137" s="52">
        <v>0</v>
      </c>
      <c r="T137" s="52">
        <v>0</v>
      </c>
      <c r="U137" s="52">
        <v>0</v>
      </c>
      <c r="V137" s="197">
        <f t="shared" si="2"/>
        <v>9856</v>
      </c>
      <c r="W137" s="207"/>
      <c r="X137" s="199" t="s">
        <v>2544</v>
      </c>
      <c r="Y137" s="200"/>
      <c r="Z137" s="200" t="s">
        <v>2075</v>
      </c>
      <c r="AA137" s="200" t="s">
        <v>2076</v>
      </c>
      <c r="AB137" s="113"/>
      <c r="AC137" s="202" t="s">
        <v>2257</v>
      </c>
      <c r="AD137" s="203"/>
      <c r="AE137" s="203" t="s">
        <v>2470</v>
      </c>
      <c r="AF137" s="201" t="s">
        <v>2471</v>
      </c>
      <c r="AH137" s="205" t="s">
        <v>1025</v>
      </c>
      <c r="AI137" s="205" t="e">
        <f>IF(A137="","",IF(#REF!="human resources",IFERROR(IF(FIND("Selling",B137)&gt;0,"Selling","General Administrative"),"General Administrative"),IF(D137="10301S","Selling","General Administrative")))</f>
        <v>#REF!</v>
      </c>
      <c r="AJ137" s="205" t="s">
        <v>230</v>
      </c>
    </row>
    <row r="138" spans="1:36" s="63" customFormat="1" ht="30" customHeight="1" x14ac:dyDescent="0.25">
      <c r="A138" s="189" t="s">
        <v>1874</v>
      </c>
      <c r="B138" s="190" t="s">
        <v>1875</v>
      </c>
      <c r="C138" s="191" t="s">
        <v>2472</v>
      </c>
      <c r="D138" s="192" t="s">
        <v>268</v>
      </c>
      <c r="E138" s="193" t="s">
        <v>367</v>
      </c>
      <c r="F138" s="192" t="s">
        <v>525</v>
      </c>
      <c r="G138" s="194" t="s">
        <v>230</v>
      </c>
      <c r="H138" s="195"/>
      <c r="I138" s="195"/>
      <c r="J138" s="196">
        <v>0</v>
      </c>
      <c r="K138" s="52">
        <v>0</v>
      </c>
      <c r="L138" s="52">
        <v>0</v>
      </c>
      <c r="M138" s="52">
        <f>60*1800000/15000</f>
        <v>7200</v>
      </c>
      <c r="N138" s="52">
        <v>0</v>
      </c>
      <c r="O138" s="52">
        <v>0</v>
      </c>
      <c r="P138" s="52">
        <v>0</v>
      </c>
      <c r="Q138" s="52">
        <v>0</v>
      </c>
      <c r="R138" s="52">
        <f>60*1800000/15000</f>
        <v>7200</v>
      </c>
      <c r="S138" s="52">
        <v>0</v>
      </c>
      <c r="T138" s="52">
        <v>0</v>
      </c>
      <c r="U138" s="52">
        <v>0</v>
      </c>
      <c r="V138" s="197">
        <f t="shared" ref="V138:V148" si="3">SUM(J138:U138)</f>
        <v>14400</v>
      </c>
      <c r="W138" s="207"/>
      <c r="X138" s="199" t="s">
        <v>2544</v>
      </c>
      <c r="Y138" s="200"/>
      <c r="Z138" s="200" t="s">
        <v>2075</v>
      </c>
      <c r="AA138" s="200" t="s">
        <v>2076</v>
      </c>
      <c r="AB138" s="113" t="s">
        <v>2473</v>
      </c>
      <c r="AC138" s="202" t="s">
        <v>2474</v>
      </c>
      <c r="AD138" s="203"/>
      <c r="AE138" s="203" t="s">
        <v>2475</v>
      </c>
      <c r="AF138" s="217" t="s">
        <v>2476</v>
      </c>
      <c r="AH138" s="205" t="s">
        <v>1025</v>
      </c>
      <c r="AI138" s="205" t="e">
        <f>IF(A138="","",IF(#REF!="human resources",IFERROR(IF(FIND("Selling",B138)&gt;0,"Selling","General Administrative"),"General Administrative"),IF(D138="10301S","Selling","General Administrative")))</f>
        <v>#REF!</v>
      </c>
      <c r="AJ138" s="205" t="s">
        <v>230</v>
      </c>
    </row>
    <row r="139" spans="1:36" s="63" customFormat="1" ht="30" customHeight="1" x14ac:dyDescent="0.25">
      <c r="A139" s="189" t="s">
        <v>1890</v>
      </c>
      <c r="B139" s="190" t="s">
        <v>1891</v>
      </c>
      <c r="C139" s="191" t="s">
        <v>2477</v>
      </c>
      <c r="D139" s="192" t="s">
        <v>283</v>
      </c>
      <c r="E139" s="193" t="s">
        <v>369</v>
      </c>
      <c r="F139" s="192" t="s">
        <v>502</v>
      </c>
      <c r="G139" s="194" t="s">
        <v>184</v>
      </c>
      <c r="H139" s="195"/>
      <c r="I139" s="195"/>
      <c r="J139" s="196">
        <v>8203</v>
      </c>
      <c r="K139" s="52">
        <v>8203</v>
      </c>
      <c r="L139" s="52">
        <v>8203</v>
      </c>
      <c r="M139" s="52">
        <v>8203</v>
      </c>
      <c r="N139" s="52">
        <v>8203</v>
      </c>
      <c r="O139" s="52">
        <v>8203</v>
      </c>
      <c r="P139" s="52">
        <v>8203</v>
      </c>
      <c r="Q139" s="52">
        <v>8203</v>
      </c>
      <c r="R139" s="52">
        <v>8203</v>
      </c>
      <c r="S139" s="52">
        <v>8203</v>
      </c>
      <c r="T139" s="52">
        <v>8203</v>
      </c>
      <c r="U139" s="52">
        <v>8203</v>
      </c>
      <c r="V139" s="197">
        <f t="shared" si="3"/>
        <v>98436</v>
      </c>
      <c r="W139" s="207"/>
      <c r="X139" s="199" t="s">
        <v>2544</v>
      </c>
      <c r="Y139" s="200"/>
      <c r="Z139" s="200" t="s">
        <v>2075</v>
      </c>
      <c r="AA139" s="200" t="s">
        <v>2076</v>
      </c>
      <c r="AB139" s="113"/>
      <c r="AC139" s="202" t="s">
        <v>2478</v>
      </c>
      <c r="AD139" s="203"/>
      <c r="AE139" s="203" t="s">
        <v>2479</v>
      </c>
      <c r="AF139" s="201" t="s">
        <v>2480</v>
      </c>
      <c r="AH139" s="205" t="s">
        <v>406</v>
      </c>
      <c r="AI139" s="205" t="e">
        <f>IF(A139="","",IF(#REF!="human resources",IFERROR(IF(FIND("Selling",B139)&gt;0,"Selling","General Administrative"),"General Administrative"),IF(D139="10301S","Selling","General Administrative")))</f>
        <v>#REF!</v>
      </c>
      <c r="AJ139" s="205" t="s">
        <v>1294</v>
      </c>
    </row>
    <row r="140" spans="1:36" s="63" customFormat="1" ht="30" customHeight="1" x14ac:dyDescent="0.25">
      <c r="A140" s="189" t="s">
        <v>1892</v>
      </c>
      <c r="B140" s="190" t="s">
        <v>1893</v>
      </c>
      <c r="C140" s="191" t="s">
        <v>2481</v>
      </c>
      <c r="D140" s="192" t="s">
        <v>283</v>
      </c>
      <c r="E140" s="193" t="s">
        <v>369</v>
      </c>
      <c r="F140" s="192" t="s">
        <v>502</v>
      </c>
      <c r="G140" s="194" t="s">
        <v>184</v>
      </c>
      <c r="H140" s="195"/>
      <c r="I140" s="195"/>
      <c r="J140" s="196">
        <v>0</v>
      </c>
      <c r="K140" s="52">
        <v>0</v>
      </c>
      <c r="L140" s="52">
        <v>0</v>
      </c>
      <c r="M140" s="52">
        <v>0</v>
      </c>
      <c r="N140" s="52">
        <v>0</v>
      </c>
      <c r="O140" s="52">
        <v>0</v>
      </c>
      <c r="P140" s="52">
        <v>2990</v>
      </c>
      <c r="Q140" s="52">
        <v>2990</v>
      </c>
      <c r="R140" s="52">
        <v>2989</v>
      </c>
      <c r="S140" s="52">
        <v>2989</v>
      </c>
      <c r="T140" s="52">
        <v>2989</v>
      </c>
      <c r="U140" s="52">
        <v>2989</v>
      </c>
      <c r="V140" s="197">
        <f t="shared" si="3"/>
        <v>17936</v>
      </c>
      <c r="W140" s="207"/>
      <c r="X140" s="199" t="s">
        <v>2544</v>
      </c>
      <c r="Y140" s="200"/>
      <c r="Z140" s="200" t="s">
        <v>2075</v>
      </c>
      <c r="AA140" s="200" t="s">
        <v>2076</v>
      </c>
      <c r="AB140" s="113"/>
      <c r="AC140" s="202" t="s">
        <v>2482</v>
      </c>
      <c r="AD140" s="203"/>
      <c r="AE140" s="203" t="s">
        <v>2483</v>
      </c>
      <c r="AF140" s="201" t="s">
        <v>2480</v>
      </c>
      <c r="AH140" s="205" t="s">
        <v>406</v>
      </c>
      <c r="AI140" s="205" t="e">
        <f>IF(A140="","",IF(#REF!="human resources",IFERROR(IF(FIND("Selling",B140)&gt;0,"Selling","General Administrative"),"General Administrative"),IF(D140="10301S","Selling","General Administrative")))</f>
        <v>#REF!</v>
      </c>
      <c r="AJ140" s="205" t="s">
        <v>1294</v>
      </c>
    </row>
    <row r="141" spans="1:36" s="228" customFormat="1" ht="30" customHeight="1" x14ac:dyDescent="0.25">
      <c r="A141" s="218" t="s">
        <v>1894</v>
      </c>
      <c r="B141" s="190" t="s">
        <v>1895</v>
      </c>
      <c r="C141" s="191" t="s">
        <v>2484</v>
      </c>
      <c r="D141" s="219" t="s">
        <v>283</v>
      </c>
      <c r="E141" s="190" t="s">
        <v>369</v>
      </c>
      <c r="F141" s="219" t="s">
        <v>502</v>
      </c>
      <c r="G141" s="194" t="s">
        <v>184</v>
      </c>
      <c r="H141" s="220"/>
      <c r="I141" s="220"/>
      <c r="J141" s="221">
        <v>7972</v>
      </c>
      <c r="K141" s="222">
        <v>7972</v>
      </c>
      <c r="L141" s="222">
        <v>7972</v>
      </c>
      <c r="M141" s="222">
        <v>7971</v>
      </c>
      <c r="N141" s="222">
        <v>7971</v>
      </c>
      <c r="O141" s="222">
        <v>7971</v>
      </c>
      <c r="P141" s="222">
        <v>0</v>
      </c>
      <c r="Q141" s="222">
        <v>0</v>
      </c>
      <c r="R141" s="222">
        <v>0</v>
      </c>
      <c r="S141" s="222">
        <v>0</v>
      </c>
      <c r="T141" s="222">
        <v>0</v>
      </c>
      <c r="U141" s="222">
        <v>0</v>
      </c>
      <c r="V141" s="223">
        <f t="shared" si="3"/>
        <v>47829</v>
      </c>
      <c r="W141" s="224"/>
      <c r="X141" s="225" t="s">
        <v>2544</v>
      </c>
      <c r="Y141" s="226"/>
      <c r="Z141" s="226" t="s">
        <v>2075</v>
      </c>
      <c r="AA141" s="226" t="s">
        <v>2076</v>
      </c>
      <c r="AB141" s="113"/>
      <c r="AC141" s="227" t="s">
        <v>2482</v>
      </c>
      <c r="AD141" s="113"/>
      <c r="AE141" s="113" t="s">
        <v>2485</v>
      </c>
      <c r="AF141" s="112" t="s">
        <v>2480</v>
      </c>
      <c r="AH141" s="229" t="s">
        <v>406</v>
      </c>
      <c r="AI141" s="229" t="e">
        <f>IF(A141="","",IF(#REF!="human resources",IFERROR(IF(FIND("Selling",B141)&gt;0,"Selling","General Administrative"),"General Administrative"),IF(D141="10301S","Selling","General Administrative")))</f>
        <v>#REF!</v>
      </c>
      <c r="AJ141" s="229" t="s">
        <v>1294</v>
      </c>
    </row>
    <row r="142" spans="1:36" s="63" customFormat="1" ht="30" customHeight="1" x14ac:dyDescent="0.25">
      <c r="A142" s="189" t="s">
        <v>1896</v>
      </c>
      <c r="B142" s="190" t="s">
        <v>1897</v>
      </c>
      <c r="C142" s="191" t="s">
        <v>2486</v>
      </c>
      <c r="D142" s="192" t="s">
        <v>283</v>
      </c>
      <c r="E142" s="193" t="s">
        <v>369</v>
      </c>
      <c r="F142" s="192" t="s">
        <v>525</v>
      </c>
      <c r="G142" s="194" t="s">
        <v>230</v>
      </c>
      <c r="H142" s="195"/>
      <c r="I142" s="195"/>
      <c r="J142" s="196">
        <v>166667</v>
      </c>
      <c r="K142" s="52">
        <v>0</v>
      </c>
      <c r="L142" s="52">
        <v>0</v>
      </c>
      <c r="M142" s="52">
        <v>0</v>
      </c>
      <c r="N142" s="52">
        <v>0</v>
      </c>
      <c r="O142" s="52">
        <v>0</v>
      </c>
      <c r="P142" s="52">
        <v>0</v>
      </c>
      <c r="Q142" s="52">
        <v>0</v>
      </c>
      <c r="R142" s="52">
        <v>0</v>
      </c>
      <c r="S142" s="52">
        <v>0</v>
      </c>
      <c r="T142" s="52">
        <v>0</v>
      </c>
      <c r="U142" s="52">
        <v>0</v>
      </c>
      <c r="V142" s="197">
        <f t="shared" si="3"/>
        <v>166667</v>
      </c>
      <c r="W142" s="207"/>
      <c r="X142" s="199" t="s">
        <v>2544</v>
      </c>
      <c r="Y142" s="200"/>
      <c r="Z142" s="200" t="s">
        <v>2075</v>
      </c>
      <c r="AA142" s="200" t="s">
        <v>2076</v>
      </c>
      <c r="AB142" s="113"/>
      <c r="AC142" s="202" t="s">
        <v>2314</v>
      </c>
      <c r="AD142" s="203"/>
      <c r="AE142" s="203" t="s">
        <v>2487</v>
      </c>
      <c r="AF142" s="201" t="s">
        <v>2488</v>
      </c>
      <c r="AH142" s="205" t="s">
        <v>1025</v>
      </c>
      <c r="AI142" s="205" t="e">
        <f>IF(A142="","",IF(#REF!="human resources",IFERROR(IF(FIND("Selling",B142)&gt;0,"Selling","General Administrative"),"General Administrative"),IF(D142="10301S","Selling","General Administrative")))</f>
        <v>#REF!</v>
      </c>
      <c r="AJ142" s="205" t="s">
        <v>230</v>
      </c>
    </row>
    <row r="143" spans="1:36" s="63" customFormat="1" ht="30" customHeight="1" x14ac:dyDescent="0.25">
      <c r="A143" s="189" t="s">
        <v>1898</v>
      </c>
      <c r="B143" s="190" t="s">
        <v>1899</v>
      </c>
      <c r="C143" s="191" t="s">
        <v>1899</v>
      </c>
      <c r="D143" s="192" t="s">
        <v>283</v>
      </c>
      <c r="E143" s="193" t="s">
        <v>369</v>
      </c>
      <c r="F143" s="192" t="s">
        <v>502</v>
      </c>
      <c r="G143" s="194" t="s">
        <v>184</v>
      </c>
      <c r="H143" s="195"/>
      <c r="I143" s="195"/>
      <c r="J143" s="196">
        <v>0</v>
      </c>
      <c r="K143" s="52">
        <v>0</v>
      </c>
      <c r="L143" s="52">
        <v>0</v>
      </c>
      <c r="M143" s="52">
        <v>0</v>
      </c>
      <c r="N143" s="52">
        <v>0</v>
      </c>
      <c r="O143" s="52">
        <v>0</v>
      </c>
      <c r="P143" s="52">
        <v>16000</v>
      </c>
      <c r="Q143" s="52">
        <v>0</v>
      </c>
      <c r="R143" s="52">
        <v>0</v>
      </c>
      <c r="S143" s="52">
        <v>0</v>
      </c>
      <c r="T143" s="52">
        <v>0</v>
      </c>
      <c r="U143" s="52">
        <v>0</v>
      </c>
      <c r="V143" s="197">
        <f t="shared" si="3"/>
        <v>16000</v>
      </c>
      <c r="W143" s="207"/>
      <c r="X143" s="199" t="s">
        <v>2544</v>
      </c>
      <c r="Y143" s="200"/>
      <c r="Z143" s="200" t="s">
        <v>2075</v>
      </c>
      <c r="AA143" s="200" t="s">
        <v>2076</v>
      </c>
      <c r="AB143" s="113"/>
      <c r="AC143" s="202" t="s">
        <v>2314</v>
      </c>
      <c r="AD143" s="203"/>
      <c r="AE143" s="203" t="s">
        <v>2489</v>
      </c>
      <c r="AF143" s="201" t="s">
        <v>2490</v>
      </c>
      <c r="AH143" s="205" t="s">
        <v>406</v>
      </c>
      <c r="AI143" s="205" t="e">
        <f>IF(A143="","",IF(#REF!="human resources",IFERROR(IF(FIND("Selling",B143)&gt;0,"Selling","General Administrative"),"General Administrative"),IF(D143="10301S","Selling","General Administrative")))</f>
        <v>#REF!</v>
      </c>
      <c r="AJ143" s="205" t="s">
        <v>1294</v>
      </c>
    </row>
    <row r="144" spans="1:36" s="63" customFormat="1" ht="30" hidden="1" customHeight="1" x14ac:dyDescent="0.25">
      <c r="A144" s="174" t="s">
        <v>2491</v>
      </c>
      <c r="B144" s="190" t="s">
        <v>2541</v>
      </c>
      <c r="C144" s="191" t="s">
        <v>2492</v>
      </c>
      <c r="D144" s="192" t="s">
        <v>283</v>
      </c>
      <c r="E144" s="193" t="s">
        <v>369</v>
      </c>
      <c r="F144" s="192" t="s">
        <v>525</v>
      </c>
      <c r="G144" s="194" t="s">
        <v>230</v>
      </c>
      <c r="H144" s="195"/>
      <c r="I144" s="195"/>
      <c r="J144" s="196">
        <f>7835*0</f>
        <v>0</v>
      </c>
      <c r="K144" s="52">
        <f t="shared" ref="K144:U144" si="4">7835*0</f>
        <v>0</v>
      </c>
      <c r="L144" s="52">
        <f t="shared" si="4"/>
        <v>0</v>
      </c>
      <c r="M144" s="52">
        <f t="shared" si="4"/>
        <v>0</v>
      </c>
      <c r="N144" s="52">
        <f t="shared" si="4"/>
        <v>0</v>
      </c>
      <c r="O144" s="52">
        <f t="shared" si="4"/>
        <v>0</v>
      </c>
      <c r="P144" s="52">
        <f t="shared" si="4"/>
        <v>0</v>
      </c>
      <c r="Q144" s="52">
        <f t="shared" si="4"/>
        <v>0</v>
      </c>
      <c r="R144" s="52">
        <f t="shared" si="4"/>
        <v>0</v>
      </c>
      <c r="S144" s="52">
        <f t="shared" si="4"/>
        <v>0</v>
      </c>
      <c r="T144" s="52">
        <f t="shared" si="4"/>
        <v>0</v>
      </c>
      <c r="U144" s="52">
        <f t="shared" si="4"/>
        <v>0</v>
      </c>
      <c r="V144" s="197">
        <f t="shared" si="3"/>
        <v>0</v>
      </c>
      <c r="W144" s="207"/>
      <c r="X144" s="199" t="s">
        <v>2544</v>
      </c>
      <c r="Y144" s="200"/>
      <c r="Z144" s="200" t="s">
        <v>2075</v>
      </c>
      <c r="AA144" s="200" t="s">
        <v>2166</v>
      </c>
      <c r="AB144" s="113"/>
      <c r="AC144" s="202" t="s">
        <v>2168</v>
      </c>
      <c r="AD144" s="203"/>
      <c r="AE144" s="203" t="s">
        <v>2493</v>
      </c>
      <c r="AF144" s="201" t="s">
        <v>2494</v>
      </c>
      <c r="AH144" s="205" t="s">
        <v>1025</v>
      </c>
      <c r="AI144" s="205" t="e">
        <f>IF(A144="","",IF(#REF!="human resources",IFERROR(IF(FIND("Selling",B144)&gt;0,"Selling","General Administrative"),"General Administrative"),IF(D144="10301S","Selling","General Administrative")))</f>
        <v>#REF!</v>
      </c>
      <c r="AJ144" s="205" t="s">
        <v>230</v>
      </c>
    </row>
    <row r="145" spans="1:36" s="63" customFormat="1" ht="30" hidden="1" customHeight="1" x14ac:dyDescent="0.25">
      <c r="A145" s="174" t="s">
        <v>2495</v>
      </c>
      <c r="B145" s="190" t="s">
        <v>2542</v>
      </c>
      <c r="C145" s="191" t="s">
        <v>2496</v>
      </c>
      <c r="D145" s="192" t="s">
        <v>283</v>
      </c>
      <c r="E145" s="193" t="s">
        <v>369</v>
      </c>
      <c r="F145" s="192" t="s">
        <v>525</v>
      </c>
      <c r="G145" s="194" t="s">
        <v>230</v>
      </c>
      <c r="H145" s="195"/>
      <c r="I145" s="195"/>
      <c r="J145" s="196">
        <f>2235*0</f>
        <v>0</v>
      </c>
      <c r="K145" s="52">
        <f t="shared" ref="K145:U145" si="5">2235*0</f>
        <v>0</v>
      </c>
      <c r="L145" s="52">
        <f t="shared" si="5"/>
        <v>0</v>
      </c>
      <c r="M145" s="52">
        <f t="shared" si="5"/>
        <v>0</v>
      </c>
      <c r="N145" s="52">
        <f t="shared" si="5"/>
        <v>0</v>
      </c>
      <c r="O145" s="52">
        <f t="shared" si="5"/>
        <v>0</v>
      </c>
      <c r="P145" s="52">
        <f t="shared" si="5"/>
        <v>0</v>
      </c>
      <c r="Q145" s="52">
        <f t="shared" si="5"/>
        <v>0</v>
      </c>
      <c r="R145" s="52">
        <f t="shared" si="5"/>
        <v>0</v>
      </c>
      <c r="S145" s="52">
        <f t="shared" si="5"/>
        <v>0</v>
      </c>
      <c r="T145" s="52">
        <f t="shared" si="5"/>
        <v>0</v>
      </c>
      <c r="U145" s="52">
        <f t="shared" si="5"/>
        <v>0</v>
      </c>
      <c r="V145" s="197">
        <f t="shared" si="3"/>
        <v>0</v>
      </c>
      <c r="W145" s="207"/>
      <c r="X145" s="199" t="s">
        <v>2544</v>
      </c>
      <c r="Y145" s="200"/>
      <c r="Z145" s="200" t="s">
        <v>2075</v>
      </c>
      <c r="AA145" s="200" t="s">
        <v>2166</v>
      </c>
      <c r="AB145" s="113"/>
      <c r="AC145" s="202" t="s">
        <v>2168</v>
      </c>
      <c r="AD145" s="203"/>
      <c r="AE145" s="203" t="s">
        <v>2497</v>
      </c>
      <c r="AF145" s="201" t="s">
        <v>2498</v>
      </c>
      <c r="AH145" s="205" t="s">
        <v>1025</v>
      </c>
      <c r="AI145" s="205" t="e">
        <f>IF(A145="","",IF(#REF!="human resources",IFERROR(IF(FIND("Selling",B145)&gt;0,"Selling","General Administrative"),"General Administrative"),IF(D145="10301S","Selling","General Administrative")))</f>
        <v>#REF!</v>
      </c>
      <c r="AJ145" s="205" t="s">
        <v>230</v>
      </c>
    </row>
    <row r="146" spans="1:36" s="63" customFormat="1" ht="48" hidden="1" customHeight="1" x14ac:dyDescent="0.25">
      <c r="A146" s="174" t="s">
        <v>2499</v>
      </c>
      <c r="B146" s="190" t="s">
        <v>2500</v>
      </c>
      <c r="C146" s="191" t="s">
        <v>2500</v>
      </c>
      <c r="D146" s="192" t="s">
        <v>283</v>
      </c>
      <c r="E146" s="193" t="s">
        <v>369</v>
      </c>
      <c r="F146" s="192" t="s">
        <v>525</v>
      </c>
      <c r="G146" s="194" t="s">
        <v>230</v>
      </c>
      <c r="H146" s="195"/>
      <c r="I146" s="195"/>
      <c r="J146" s="196">
        <f>434*0</f>
        <v>0</v>
      </c>
      <c r="K146" s="52">
        <f t="shared" ref="K146:U146" si="6">434*0</f>
        <v>0</v>
      </c>
      <c r="L146" s="52">
        <f t="shared" si="6"/>
        <v>0</v>
      </c>
      <c r="M146" s="52">
        <f t="shared" si="6"/>
        <v>0</v>
      </c>
      <c r="N146" s="52">
        <f t="shared" si="6"/>
        <v>0</v>
      </c>
      <c r="O146" s="52">
        <f t="shared" si="6"/>
        <v>0</v>
      </c>
      <c r="P146" s="52">
        <f t="shared" si="6"/>
        <v>0</v>
      </c>
      <c r="Q146" s="52">
        <f t="shared" si="6"/>
        <v>0</v>
      </c>
      <c r="R146" s="52">
        <f t="shared" si="6"/>
        <v>0</v>
      </c>
      <c r="S146" s="52">
        <f t="shared" si="6"/>
        <v>0</v>
      </c>
      <c r="T146" s="52">
        <f t="shared" si="6"/>
        <v>0</v>
      </c>
      <c r="U146" s="52">
        <f t="shared" si="6"/>
        <v>0</v>
      </c>
      <c r="V146" s="197">
        <f t="shared" si="3"/>
        <v>0</v>
      </c>
      <c r="W146" s="207"/>
      <c r="X146" s="199" t="s">
        <v>2544</v>
      </c>
      <c r="Y146" s="200"/>
      <c r="Z146" s="200" t="s">
        <v>2075</v>
      </c>
      <c r="AA146" s="200" t="s">
        <v>2166</v>
      </c>
      <c r="AB146" s="113" t="s">
        <v>2501</v>
      </c>
      <c r="AC146" s="202" t="s">
        <v>2168</v>
      </c>
      <c r="AD146" s="203"/>
      <c r="AE146" s="203" t="s">
        <v>2502</v>
      </c>
      <c r="AF146" s="201" t="s">
        <v>2503</v>
      </c>
      <c r="AH146" s="205" t="s">
        <v>1025</v>
      </c>
      <c r="AI146" s="205" t="e">
        <f>IF(A146="","",IF(#REF!="human resources",IFERROR(IF(FIND("Selling",B146)&gt;0,"Selling","General Administrative"),"General Administrative"),IF(D146="10301S","Selling","General Administrative")))</f>
        <v>#REF!</v>
      </c>
      <c r="AJ146" s="205" t="s">
        <v>230</v>
      </c>
    </row>
    <row r="147" spans="1:36" s="63" customFormat="1" ht="30" customHeight="1" x14ac:dyDescent="0.25">
      <c r="A147" s="189" t="s">
        <v>1889</v>
      </c>
      <c r="B147" s="190" t="s">
        <v>2543</v>
      </c>
      <c r="C147" s="191" t="s">
        <v>2504</v>
      </c>
      <c r="D147" s="192" t="s">
        <v>283</v>
      </c>
      <c r="E147" s="193" t="s">
        <v>369</v>
      </c>
      <c r="F147" s="192" t="s">
        <v>494</v>
      </c>
      <c r="G147" s="194" t="s">
        <v>165</v>
      </c>
      <c r="H147" s="195"/>
      <c r="I147" s="195"/>
      <c r="J147" s="196">
        <f>(100000*4)/15000</f>
        <v>26.666666666666668</v>
      </c>
      <c r="K147" s="52">
        <f t="shared" ref="K147:U147" si="7">(100000*4)/15000</f>
        <v>26.666666666666668</v>
      </c>
      <c r="L147" s="52">
        <f t="shared" si="7"/>
        <v>26.666666666666668</v>
      </c>
      <c r="M147" s="52">
        <f t="shared" si="7"/>
        <v>26.666666666666668</v>
      </c>
      <c r="N147" s="52">
        <f t="shared" si="7"/>
        <v>26.666666666666668</v>
      </c>
      <c r="O147" s="52">
        <f t="shared" si="7"/>
        <v>26.666666666666668</v>
      </c>
      <c r="P147" s="52">
        <f t="shared" si="7"/>
        <v>26.666666666666668</v>
      </c>
      <c r="Q147" s="52">
        <f t="shared" si="7"/>
        <v>26.666666666666668</v>
      </c>
      <c r="R147" s="52">
        <f t="shared" si="7"/>
        <v>26.666666666666668</v>
      </c>
      <c r="S147" s="52">
        <f t="shared" si="7"/>
        <v>26.666666666666668</v>
      </c>
      <c r="T147" s="52">
        <f t="shared" si="7"/>
        <v>26.666666666666668</v>
      </c>
      <c r="U147" s="52">
        <f t="shared" si="7"/>
        <v>26.666666666666668</v>
      </c>
      <c r="V147" s="197">
        <f t="shared" si="3"/>
        <v>320</v>
      </c>
      <c r="W147" s="207"/>
      <c r="X147" s="199" t="s">
        <v>2544</v>
      </c>
      <c r="Y147" s="200"/>
      <c r="Z147" s="200" t="s">
        <v>2075</v>
      </c>
      <c r="AA147" s="200" t="s">
        <v>2166</v>
      </c>
      <c r="AB147" s="113" t="s">
        <v>2505</v>
      </c>
      <c r="AC147" s="202" t="s">
        <v>2168</v>
      </c>
      <c r="AD147" s="203"/>
      <c r="AE147" s="203" t="s">
        <v>2506</v>
      </c>
      <c r="AF147" s="201" t="s">
        <v>2507</v>
      </c>
      <c r="AH147" s="205" t="s">
        <v>1152</v>
      </c>
      <c r="AI147" s="205" t="e">
        <f>IF(A147="","",IF(#REF!="human resources",IFERROR(IF(FIND("Selling",B147)&gt;0,"Selling","General Administrative"),"General Administrative"),IF(D147="10301S","Selling","General Administrative")))</f>
        <v>#REF!</v>
      </c>
      <c r="AJ147" s="205" t="s">
        <v>1293</v>
      </c>
    </row>
    <row r="148" spans="1:36" s="63" customFormat="1" ht="30" customHeight="1" thickBot="1" x14ac:dyDescent="0.3">
      <c r="A148" s="230" t="s">
        <v>1900</v>
      </c>
      <c r="B148" s="231" t="s">
        <v>1901</v>
      </c>
      <c r="C148" s="232" t="s">
        <v>2508</v>
      </c>
      <c r="D148" s="233" t="s">
        <v>283</v>
      </c>
      <c r="E148" s="234" t="s">
        <v>369</v>
      </c>
      <c r="F148" s="233" t="s">
        <v>525</v>
      </c>
      <c r="G148" s="235" t="s">
        <v>230</v>
      </c>
      <c r="H148" s="236"/>
      <c r="I148" s="236"/>
      <c r="J148" s="237">
        <v>726</v>
      </c>
      <c r="K148" s="238">
        <v>726</v>
      </c>
      <c r="L148" s="238">
        <v>726</v>
      </c>
      <c r="M148" s="238">
        <v>726</v>
      </c>
      <c r="N148" s="238">
        <v>726</v>
      </c>
      <c r="O148" s="238">
        <v>726</v>
      </c>
      <c r="P148" s="238">
        <v>726</v>
      </c>
      <c r="Q148" s="238">
        <v>726</v>
      </c>
      <c r="R148" s="238">
        <v>726</v>
      </c>
      <c r="S148" s="238">
        <v>726</v>
      </c>
      <c r="T148" s="238">
        <v>726</v>
      </c>
      <c r="U148" s="238">
        <v>726</v>
      </c>
      <c r="V148" s="239">
        <f t="shared" si="3"/>
        <v>8712</v>
      </c>
      <c r="W148" s="207"/>
      <c r="X148" s="199" t="s">
        <v>2544</v>
      </c>
      <c r="Y148" s="200"/>
      <c r="Z148" s="200" t="s">
        <v>2075</v>
      </c>
      <c r="AA148" s="200" t="s">
        <v>2166</v>
      </c>
      <c r="AB148" s="113" t="s">
        <v>2501</v>
      </c>
      <c r="AC148" s="202" t="s">
        <v>2168</v>
      </c>
      <c r="AD148" s="203"/>
      <c r="AE148" s="203" t="s">
        <v>2509</v>
      </c>
      <c r="AF148" s="201" t="s">
        <v>2510</v>
      </c>
      <c r="AH148" s="205" t="s">
        <v>1025</v>
      </c>
      <c r="AI148" s="205" t="e">
        <f>IF(A148="","",IF(#REF!="human resources",IFERROR(IF(FIND("Selling",B148)&gt;0,"Selling","General Administrative"),"General Administrative"),IF(D148="10301S","Selling","General Administrative")))</f>
        <v>#REF!</v>
      </c>
      <c r="AJ148" s="205" t="s">
        <v>230</v>
      </c>
    </row>
    <row r="149" spans="1:36" s="248" customFormat="1" ht="24.95" customHeight="1" thickTop="1" thickBot="1" x14ac:dyDescent="0.3">
      <c r="A149" s="646" t="s">
        <v>2511</v>
      </c>
      <c r="B149" s="647"/>
      <c r="C149" s="647"/>
      <c r="D149" s="647"/>
      <c r="E149" s="647"/>
      <c r="F149" s="647"/>
      <c r="G149" s="648"/>
      <c r="H149" s="240"/>
      <c r="I149" s="240"/>
      <c r="J149" s="241">
        <f>SUM(J2:J148)</f>
        <v>234682.38009845556</v>
      </c>
      <c r="K149" s="242">
        <f t="shared" ref="K149:V149" si="8">SUM(K2:K148)</f>
        <v>43907.465233590723</v>
      </c>
      <c r="L149" s="242">
        <f t="shared" si="8"/>
        <v>41873.758927284398</v>
      </c>
      <c r="M149" s="242">
        <f t="shared" si="8"/>
        <v>54975.58009845559</v>
      </c>
      <c r="N149" s="242">
        <f t="shared" si="8"/>
        <v>49941.836404761882</v>
      </c>
      <c r="O149" s="242">
        <f t="shared" si="8"/>
        <v>43277.176044401531</v>
      </c>
      <c r="P149" s="242">
        <f t="shared" si="8"/>
        <v>59950.235954311436</v>
      </c>
      <c r="Q149" s="242">
        <f t="shared" si="8"/>
        <v>56609.642711068183</v>
      </c>
      <c r="R149" s="242">
        <f t="shared" si="8"/>
        <v>82106.922275032164</v>
      </c>
      <c r="S149" s="242">
        <f t="shared" si="8"/>
        <v>26479.994512870009</v>
      </c>
      <c r="T149" s="242">
        <f t="shared" si="8"/>
        <v>85351.90667503218</v>
      </c>
      <c r="U149" s="242">
        <f t="shared" si="8"/>
        <v>38668.221089446568</v>
      </c>
      <c r="V149" s="243">
        <f t="shared" si="8"/>
        <v>817825.1200247102</v>
      </c>
      <c r="W149" s="244"/>
      <c r="X149" s="244"/>
      <c r="Y149" s="244"/>
      <c r="Z149" s="244"/>
      <c r="AA149" s="244"/>
      <c r="AB149" s="245"/>
      <c r="AC149" s="246"/>
      <c r="AD149" s="244"/>
      <c r="AE149" s="247"/>
      <c r="AF149" s="244"/>
    </row>
    <row r="150" spans="1:36" ht="15" thickTop="1" x14ac:dyDescent="0.2">
      <c r="A150" s="649"/>
      <c r="B150" s="649"/>
      <c r="C150" s="649"/>
      <c r="D150" s="649"/>
      <c r="E150" s="649"/>
      <c r="F150" s="649"/>
      <c r="G150" s="649"/>
      <c r="H150" s="249"/>
      <c r="I150" s="249"/>
      <c r="J150" s="250"/>
      <c r="K150" s="249"/>
      <c r="L150" s="249"/>
      <c r="M150" s="249"/>
      <c r="N150" s="249"/>
      <c r="O150" s="249"/>
      <c r="P150" s="249"/>
      <c r="Q150" s="249"/>
      <c r="R150" s="249"/>
      <c r="S150" s="249"/>
      <c r="T150" s="249"/>
      <c r="U150" s="249"/>
      <c r="V150" s="251"/>
    </row>
  </sheetData>
  <sheetProtection formatColumns="0" formatRows="0" sort="0" autoFilter="0" pivotTables="0"/>
  <autoFilter ref="A1:AJ149" xr:uid="{00000000-0009-0000-0000-000003000000}">
    <filterColumn colId="21">
      <filters>
        <filter val="1,007"/>
        <filter val="1,014"/>
        <filter val="1,120"/>
        <filter val="1,342"/>
        <filter val="1,550"/>
        <filter val="1,622"/>
        <filter val="1,667"/>
        <filter val="1,678"/>
        <filter val="1,946"/>
        <filter val="10"/>
        <filter val="100"/>
        <filter val="106"/>
        <filter val="12,667"/>
        <filter val="121"/>
        <filter val="13,334"/>
        <filter val="14,400"/>
        <filter val="14,800"/>
        <filter val="146"/>
        <filter val="159"/>
        <filter val="16"/>
        <filter val="16,000"/>
        <filter val="16,533"/>
        <filter val="166,667"/>
        <filter val="17,936"/>
        <filter val="18,333"/>
        <filter val="19,733"/>
        <filter val="2,013"/>
        <filter val="2,019"/>
        <filter val="2,025"/>
        <filter val="2,273"/>
        <filter val="2,400"/>
        <filter val="2,500"/>
        <filter val="2,564"/>
        <filter val="2,703"/>
        <filter val="20,914"/>
        <filter val="200"/>
        <filter val="21,769"/>
        <filter val="251"/>
        <filter val="286"/>
        <filter val="3,221"/>
        <filter val="3,300"/>
        <filter val="3,333"/>
        <filter val="3,356"/>
        <filter val="3,365"/>
        <filter val="3,497"/>
        <filter val="300"/>
        <filter val="308"/>
        <filter val="312"/>
        <filter val="320"/>
        <filter val="324"/>
        <filter val="336"/>
        <filter val="365"/>
        <filter val="37,333"/>
        <filter val="370"/>
        <filter val="4,000"/>
        <filter val="4,026"/>
        <filter val="4,166"/>
        <filter val="4,900"/>
        <filter val="401"/>
        <filter val="433"/>
        <filter val="45,192"/>
        <filter val="47,829"/>
        <filter val="480"/>
        <filter val="5,000"/>
        <filter val="5,405"/>
        <filter val="5,423"/>
        <filter val="507"/>
        <filter val="56"/>
        <filter val="563"/>
        <filter val="6,040"/>
        <filter val="6,120"/>
        <filter val="6,152"/>
        <filter val="6,370"/>
        <filter val="608"/>
        <filter val="667"/>
        <filter val="673"/>
        <filter val="7,214"/>
        <filter val="7,326"/>
        <filter val="7,500"/>
        <filter val="7,716"/>
        <filter val="8,000"/>
        <filter val="8,256"/>
        <filter val="8,712"/>
        <filter val="8,800"/>
        <filter val="8,919"/>
        <filter val="810,925"/>
        <filter val="85"/>
        <filter val="863"/>
        <filter val="864"/>
        <filter val="9,144"/>
        <filter val="9,856"/>
        <filter val="98,436"/>
      </filters>
    </filterColumn>
  </autoFilter>
  <mergeCells count="2">
    <mergeCell ref="A149:G149"/>
    <mergeCell ref="A150:G150"/>
  </mergeCells>
  <dataValidations count="6">
    <dataValidation type="list" allowBlank="1" showInputMessage="1" showErrorMessage="1" sqref="AA2:AA125 AA127:AA148" xr:uid="{3214DAAC-8D07-4E17-9231-4973F6587720}">
      <formula1>"Monthly Recurring, Periodically (Quarterly/Yearly) Recurring, One Off, Conditional"</formula1>
    </dataValidation>
    <dataValidation type="list" allowBlank="1" showInputMessage="1" showErrorMessage="1" sqref="Z2:Z148" xr:uid="{A8899A8A-0CCA-4239-9743-568FE41E22F7}">
      <formula1>"Essentials, Moderate, Not Essentials"</formula1>
    </dataValidation>
    <dataValidation type="list" allowBlank="1" showInputMessage="1" showErrorMessage="1" sqref="Y2:Y148" xr:uid="{340F3B9A-DB26-47C3-9941-B56E90F40A7F}">
      <formula1>"PO Outstanding"</formula1>
    </dataValidation>
    <dataValidation type="custom" showInputMessage="1" showErrorMessage="1" error="Pastikan Master Activity Number sudah terisi" sqref="T124" xr:uid="{69BECDED-B706-4701-95A6-93BFC7CE4B0E}">
      <formula1>$A129&lt;&gt;""</formula1>
    </dataValidation>
    <dataValidation type="custom" showInputMessage="1" showErrorMessage="1" error="Pastikan Master Activity Number sudah terisi" sqref="J122:L122 N122:U122 S69:U69 J69:Q69 J70:U107 J67:U68 T128:U128 J128:R128 J127:U127 U52 J52:S52 J53:U65 J44:U51 J126:S126 U125:U126 N125:S125 N124:U124 U129 N129:S129 J10:U42 J2:U8 P43:U43 J43:N43 M66:U66 J66:K66 J129:L130 N131:U133 J132:L133 K9:U9 J110:U121 K108:U109 L131 J131 S130:U130 N130:Q130 J125:L125 K124:L124 J123:U123 J134:U148" xr:uid="{94B8EAD5-23D6-458E-A2D3-06D7496A0D32}">
      <formula1>$A2&lt;&gt;""</formula1>
    </dataValidation>
    <dataValidation type="custom" showInputMessage="1" showErrorMessage="1" error="Pastikan Master Activity Number sudah terisi" sqref="J108" xr:uid="{78249977-88C1-4996-AEE5-FC0FE5C61428}">
      <formula1>$A109&lt;&gt;""</formula1>
    </dataValidation>
  </dataValidations>
  <pageMargins left="0.7" right="0.7" top="0.75" bottom="0.75" header="0.3" footer="0.3"/>
  <pageSetup paperSize="8" scale="60" orientation="landscape"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Guidance</vt:lpstr>
      <vt:lpstr>Guidance (Indonesia)</vt:lpstr>
      <vt:lpstr>Guidance (English)</vt:lpstr>
      <vt:lpstr>Asset determination</vt:lpstr>
      <vt:lpstr>Cover</vt:lpstr>
      <vt:lpstr>Coverx</vt:lpstr>
      <vt:lpstr>Budget Capex Detail</vt:lpstr>
      <vt:lpstr>Budget Opex Detail</vt:lpstr>
      <vt:lpstr>Reference</vt:lpstr>
      <vt:lpstr>Activity Master Opex</vt:lpstr>
      <vt:lpstr>Master Data</vt:lpstr>
      <vt:lpstr>Realisation Capex 2024</vt:lpstr>
      <vt:lpstr>Budget Opex Detail 2024</vt:lpstr>
      <vt:lpstr>'Budget Capex Detail'!_FilterDatabase</vt:lpstr>
      <vt:lpstr>'Budget Opex Detail 2024'!Print_Area</vt:lpstr>
      <vt:lpstr>'Budget Opex Detail 2024'!Print_Titles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Nur Qomariyah</cp:lastModifiedBy>
  <dcterms:created xsi:type="dcterms:W3CDTF">2023-07-25T08:22:13Z</dcterms:created>
  <dcterms:modified xsi:type="dcterms:W3CDTF">2025-08-04T04:53:56Z</dcterms:modified>
</cp:coreProperties>
</file>
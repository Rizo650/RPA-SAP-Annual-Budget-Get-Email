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hidePivotFieldList="1"/>
  <mc:AlternateContent xmlns:mc="http://schemas.openxmlformats.org/markup-compatibility/2006">
    <mc:Choice Requires="x15">
      <x15ac:absPath xmlns:x15ac="http://schemas.microsoft.com/office/spreadsheetml/2010/11/ac" url="Z:\GYS\FPA\Budget\2026\0. Master Budget Blank Template\HO\"/>
    </mc:Choice>
  </mc:AlternateContent>
  <xr:revisionPtr revIDLastSave="0" documentId="13_ncr:1_{51BECECE-DD28-4DE1-BF3E-6D7D9EE0AC66}" xr6:coauthVersionLast="47" xr6:coauthVersionMax="47" xr10:uidLastSave="{00000000-0000-0000-0000-000000000000}"/>
  <bookViews>
    <workbookView xWindow="-120" yWindow="-120" windowWidth="29040" windowHeight="15720" tabRatio="826" firstSheet="1" activeTab="4" xr2:uid="{00000000-000D-0000-FFFF-FFFF00000000}"/>
  </bookViews>
  <sheets>
    <sheet name="Guidance" sheetId="12" state="hidden" r:id="rId1"/>
    <sheet name="Guidance (Indonesia)" sheetId="23" r:id="rId2"/>
    <sheet name="Guidance (English)" sheetId="24" r:id="rId3"/>
    <sheet name="Asset determination" sheetId="19" r:id="rId4"/>
    <sheet name="Cover" sheetId="3" r:id="rId5"/>
    <sheet name="Budget Capex Detail" sheetId="10" r:id="rId6"/>
    <sheet name="Budget Opex Detail" sheetId="7" r:id="rId7"/>
    <sheet name="Activity Master Opex" sheetId="8" r:id="rId8"/>
    <sheet name="Reference" sheetId="1" state="hidden" r:id="rId9"/>
    <sheet name="Master Data" sheetId="20" r:id="rId10"/>
    <sheet name="Realisation Capex 2024" sheetId="11" state="hidden" r:id="rId11"/>
  </sheets>
  <definedNames>
    <definedName name="______________PPP3" hidden="1">{#N/A,#N/A,FALSE,"特殊室（ＢＱ表）"}</definedName>
    <definedName name="______________PPP33" hidden="1">{#N/A,#N/A,FALSE,"特殊室（ＢＱ表）"}</definedName>
    <definedName name="______________ppp34" hidden="1">{#N/A,#N/A,FALSE,"特殊室（ＢＱ表）"}</definedName>
    <definedName name="______________ppp3444" hidden="1">{#N/A,#N/A,FALSE,"特殊室（ＢＱ表）"}</definedName>
    <definedName name="_____________lop111" hidden="1">{#N/A,#N/A,FALSE,"特殊室（ＢＱ表）"}</definedName>
    <definedName name="____________PPP3" hidden="1">{#N/A,#N/A,FALSE,"特殊室（ＢＱ表）"}</definedName>
    <definedName name="____________PPP33" hidden="1">{#N/A,#N/A,FALSE,"特殊室（ＢＱ表）"}</definedName>
    <definedName name="____________ppp34" hidden="1">{#N/A,#N/A,FALSE,"特殊室（ＢＱ表）"}</definedName>
    <definedName name="____________ppp3444" hidden="1">{#N/A,#N/A,FALSE,"特殊室（ＢＱ表）"}</definedName>
    <definedName name="___________lop111" hidden="1">{#N/A,#N/A,FALSE,"特殊室（ＢＱ表）"}</definedName>
    <definedName name="__________PPP3" hidden="1">{#N/A,#N/A,FALSE,"特殊室（ＢＱ表）"}</definedName>
    <definedName name="__________PPP33" hidden="1">{#N/A,#N/A,FALSE,"特殊室（ＢＱ表）"}</definedName>
    <definedName name="__________ppp34" hidden="1">{#N/A,#N/A,FALSE,"特殊室（ＢＱ表）"}</definedName>
    <definedName name="__________ppp3444" hidden="1">{#N/A,#N/A,FALSE,"特殊室（ＢＱ表）"}</definedName>
    <definedName name="_________lop111" hidden="1">{#N/A,#N/A,FALSE,"特殊室（ＢＱ表）"}</definedName>
    <definedName name="_________PPP3" hidden="1">{#N/A,#N/A,FALSE,"特殊室（ＢＱ表）"}</definedName>
    <definedName name="_________PPP33" hidden="1">{#N/A,#N/A,FALSE,"特殊室（ＢＱ表）"}</definedName>
    <definedName name="_________ppp34" hidden="1">{#N/A,#N/A,FALSE,"特殊室（ＢＱ表）"}</definedName>
    <definedName name="_________ppp3444" hidden="1">{#N/A,#N/A,FALSE,"特殊室（ＢＱ表）"}</definedName>
    <definedName name="_________xlfn.ROUNDBAHTUP" hidden="1">#NAME?</definedName>
    <definedName name="________lop111" hidden="1">{#N/A,#N/A,FALSE,"特殊室（ＢＱ表）"}</definedName>
    <definedName name="________PPP3" hidden="1">{#N/A,#N/A,FALSE,"特殊室（ＢＱ表）"}</definedName>
    <definedName name="________PPP33" hidden="1">{#N/A,#N/A,FALSE,"特殊室（ＢＱ表）"}</definedName>
    <definedName name="________ppp34" hidden="1">{#N/A,#N/A,FALSE,"特殊室（ＢＱ表）"}</definedName>
    <definedName name="________ppp3444" hidden="1">{#N/A,#N/A,FALSE,"特殊室（ＢＱ表）"}</definedName>
    <definedName name="________xlfn.ROUNDBAHTUP" hidden="1">#NAME?</definedName>
    <definedName name="_______lop111" hidden="1">{#N/A,#N/A,FALSE,"特殊室（ＢＱ表）"}</definedName>
    <definedName name="_______PPP3" hidden="1">{#N/A,#N/A,FALSE,"特殊室（ＢＱ表）"}</definedName>
    <definedName name="_______PPP33" hidden="1">{#N/A,#N/A,FALSE,"特殊室（ＢＱ表）"}</definedName>
    <definedName name="_______ppp34" hidden="1">{#N/A,#N/A,FALSE,"特殊室（ＢＱ表）"}</definedName>
    <definedName name="_______ppp3444" hidden="1">{#N/A,#N/A,FALSE,"特殊室（ＢＱ表）"}</definedName>
    <definedName name="_______xlfn.ROUNDBAHTUP" hidden="1">#NAME?</definedName>
    <definedName name="______lop111" hidden="1">{#N/A,#N/A,FALSE,"特殊室（ＢＱ表）"}</definedName>
    <definedName name="______PPP3" hidden="1">{#N/A,#N/A,FALSE,"特殊室（ＢＱ表）"}</definedName>
    <definedName name="______PPP33" hidden="1">{#N/A,#N/A,FALSE,"特殊室（ＢＱ表）"}</definedName>
    <definedName name="______ppp34" hidden="1">{#N/A,#N/A,FALSE,"特殊室（ＢＱ表）"}</definedName>
    <definedName name="______ppp3444" hidden="1">{#N/A,#N/A,FALSE,"特殊室（ＢＱ表）"}</definedName>
    <definedName name="______xlfn.ROUNDBAHTUP" hidden="1">#NAME?</definedName>
    <definedName name="_____lop111" hidden="1">{#N/A,#N/A,FALSE,"特殊室（ＢＱ表）"}</definedName>
    <definedName name="_____PPP3" hidden="1">{#N/A,#N/A,FALSE,"特殊室（ＢＱ表）"}</definedName>
    <definedName name="_____PPP33" hidden="1">{#N/A,#N/A,FALSE,"特殊室（ＢＱ表）"}</definedName>
    <definedName name="_____ppp34" hidden="1">{#N/A,#N/A,FALSE,"特殊室（ＢＱ表）"}</definedName>
    <definedName name="_____ppp3444" hidden="1">{#N/A,#N/A,FALSE,"特殊室（ＢＱ表）"}</definedName>
    <definedName name="_____xlfn.ROUNDBAHTUP" hidden="1">#NAME?</definedName>
    <definedName name="____lop111" hidden="1">{#N/A,#N/A,FALSE,"特殊室（ＢＱ表）"}</definedName>
    <definedName name="____PPP3" hidden="1">{#N/A,#N/A,FALSE,"特殊室（ＢＱ表）"}</definedName>
    <definedName name="____PPP33" hidden="1">{#N/A,#N/A,FALSE,"特殊室（ＢＱ表）"}</definedName>
    <definedName name="____ppp34" hidden="1">{#N/A,#N/A,FALSE,"特殊室（ＢＱ表）"}</definedName>
    <definedName name="____ppp3444" hidden="1">{#N/A,#N/A,FALSE,"特殊室（ＢＱ表）"}</definedName>
    <definedName name="____xlfn.ROUNDBAHTUP" hidden="1">#NAME?</definedName>
    <definedName name="___lop111" hidden="1">{#N/A,#N/A,FALSE,"特殊室（ＢＱ表）"}</definedName>
    <definedName name="___xlfn.ROUNDBAHTUP" hidden="1">#NAME?</definedName>
    <definedName name="__ab1" hidden="1">{#N/A,#N/A,FALSE,"SumD";#N/A,#N/A,FALSE,"ElecD";#N/A,#N/A,FALSE,"MechD";#N/A,#N/A,FALSE,"GeotD";#N/A,#N/A,FALSE,"PrcsD";#N/A,#N/A,FALSE,"TunnD";#N/A,#N/A,FALSE,"CivlD";#N/A,#N/A,FALSE,"NtwkD";#N/A,#N/A,FALSE,"EstgD";#N/A,#N/A,FALSE,"PEngD"}</definedName>
    <definedName name="__as1" hidden="1">{#N/A,#N/A,FALSE,"SumD";#N/A,#N/A,FALSE,"ElecD";#N/A,#N/A,FALSE,"MechD";#N/A,#N/A,FALSE,"GeotD";#N/A,#N/A,FALSE,"PrcsD";#N/A,#N/A,FALSE,"TunnD";#N/A,#N/A,FALSE,"CivlD";#N/A,#N/A,FALSE,"NtwkD";#N/A,#N/A,FALSE,"EstgD";#N/A,#N/A,FALSE,"PEngD"}</definedName>
    <definedName name="__EE1" hidden="1">{#N/A,#N/A,FALSE,"단가표지"}</definedName>
    <definedName name="__old3" hidden="1">{#N/A,#N/A,FALSE,"Summary";#N/A,#N/A,FALSE,"3TJ";#N/A,#N/A,FALSE,"3TN";#N/A,#N/A,FALSE,"3TP";#N/A,#N/A,FALSE,"3SJ";#N/A,#N/A,FALSE,"3CJ";#N/A,#N/A,FALSE,"3CN";#N/A,#N/A,FALSE,"3CP";#N/A,#N/A,FALSE,"3A"}</definedName>
    <definedName name="__old5" hidden="1">{#N/A,#N/A,FALSE,"Summary";#N/A,#N/A,FALSE,"3TJ";#N/A,#N/A,FALSE,"3TN";#N/A,#N/A,FALSE,"3TP";#N/A,#N/A,FALSE,"3SJ";#N/A,#N/A,FALSE,"3CJ";#N/A,#N/A,FALSE,"3CN";#N/A,#N/A,FALSE,"3CP";#N/A,#N/A,FALSE,"3A"}</definedName>
    <definedName name="__old7" hidden="1">{#N/A,#N/A,FALSE,"Summary";#N/A,#N/A,FALSE,"3TJ";#N/A,#N/A,FALSE,"3TN";#N/A,#N/A,FALSE,"3TP";#N/A,#N/A,FALSE,"3SJ";#N/A,#N/A,FALSE,"3CJ";#N/A,#N/A,FALSE,"3CN";#N/A,#N/A,FALSE,"3CP";#N/A,#N/A,FALSE,"3A"}</definedName>
    <definedName name="__PK2" hidden="1">{"'장비'!$A$3:$M$12"}</definedName>
    <definedName name="__PKG3" hidden="1">{"'장비'!$A$3:$M$12"}</definedName>
    <definedName name="__PPP3" hidden="1">{#N/A,#N/A,FALSE,"特殊室（ＢＱ表）"}</definedName>
    <definedName name="__PPP33" hidden="1">{#N/A,#N/A,FALSE,"特殊室（ＢＱ表）"}</definedName>
    <definedName name="__ppp34" hidden="1">{#N/A,#N/A,FALSE,"特殊室（ＢＱ表）"}</definedName>
    <definedName name="__ppp3444" hidden="1">{#N/A,#N/A,FALSE,"特殊室（ＢＱ表）"}</definedName>
    <definedName name="__qqq222" hidden="1">{"'장비'!$A$3:$M$12"}</definedName>
    <definedName name="__S3" hidden="1">{#N/A,#N/A,FALSE,"포장2"}</definedName>
    <definedName name="__xlfn.ROUNDBAHTUP" hidden="1">#NAME?</definedName>
    <definedName name="_1__123Graph_ACHART_1" hidden="1">#REF!</definedName>
    <definedName name="_11__123Graph_Xｸﾞﾗﾌ_1" hidden="1">#REF!</definedName>
    <definedName name="_12__123Graph_Xｸﾞﾗﾌ_2" hidden="1">#REF!</definedName>
    <definedName name="_13__123Graph_Xｸﾞﾗﾌ_3" hidden="1">#REF!</definedName>
    <definedName name="_14__123Graph_Xｸﾞﾗﾌ_4" hidden="1">#REF!</definedName>
    <definedName name="_15__123Graph_Xｸﾞﾗﾌ_5" hidden="1">#REF!</definedName>
    <definedName name="_18__123Graph_Aｸﾞﾗﾌ_1" hidden="1">#REF!</definedName>
    <definedName name="_19__123Graph_Aｸﾞﾗﾌ_2" hidden="1">#REF!</definedName>
    <definedName name="_2__123Graph_ACHART_2" hidden="1">#REF!</definedName>
    <definedName name="_20__123Graph_Aｸﾞﾗﾌ_3" hidden="1">#REF!</definedName>
    <definedName name="_21__123Graph_Aｸﾞﾗﾌ_4" hidden="1">#REF!</definedName>
    <definedName name="_22__123Graph_Aｸﾞﾗﾌ_5" hidden="1">#REF!</definedName>
    <definedName name="_3__123Graph_Aｸﾞﾗﾌ_1" hidden="1">#REF!</definedName>
    <definedName name="_3__123Graph_BCHART_2" hidden="1">#REF!</definedName>
    <definedName name="_30__123Graph_Xｸﾞﾗﾌ_1" hidden="1">#REF!</definedName>
    <definedName name="_31__123Graph_Xｸﾞﾗﾌ_2" hidden="1">#REF!</definedName>
    <definedName name="_32__123Graph_Xｸﾞﾗﾌ_3" hidden="1">#REF!</definedName>
    <definedName name="_33__123Graph_Xｸﾞﾗﾌ_4" hidden="1">#REF!</definedName>
    <definedName name="_34__123Graph_Xｸﾞﾗﾌ_5" hidden="1">#REF!</definedName>
    <definedName name="_4__123Graph_Aｸﾞﾗﾌ_2" hidden="1">#REF!</definedName>
    <definedName name="_4__123Graph_CCHART_1" hidden="1">#REF!</definedName>
    <definedName name="_4ab1_" hidden="1">{#N/A,#N/A,FALSE,"SumD";#N/A,#N/A,FALSE,"ElecD";#N/A,#N/A,FALSE,"MechD";#N/A,#N/A,FALSE,"GeotD";#N/A,#N/A,FALSE,"PrcsD";#N/A,#N/A,FALSE,"TunnD";#N/A,#N/A,FALSE,"CivlD";#N/A,#N/A,FALSE,"NtwkD";#N/A,#N/A,FALSE,"EstgD";#N/A,#N/A,FALSE,"PEngD"}</definedName>
    <definedName name="_5__123Graph_Aｸﾞﾗﾌ_3" hidden="1">#REF!</definedName>
    <definedName name="_5__123Graph_DCHART_1" hidden="1">#REF!</definedName>
    <definedName name="_5as1_" hidden="1">{#N/A,#N/A,FALSE,"SumD";#N/A,#N/A,FALSE,"ElecD";#N/A,#N/A,FALSE,"MechD";#N/A,#N/A,FALSE,"GeotD";#N/A,#N/A,FALSE,"PrcsD";#N/A,#N/A,FALSE,"TunnD";#N/A,#N/A,FALSE,"CivlD";#N/A,#N/A,FALSE,"NtwkD";#N/A,#N/A,FALSE,"EstgD";#N/A,#N/A,FALSE,"PEngD"}</definedName>
    <definedName name="_6__123Graph_Aｸﾞﾗﾌ_4" hidden="1">#REF!</definedName>
    <definedName name="_7__123Graph_Aｸﾞﾗﾌ_5" hidden="1">#REF!</definedName>
    <definedName name="_bob2"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_Fill" hidden="1">#REF!</definedName>
    <definedName name="_xlnm._FilterDatabase" localSheetId="7" hidden="1">'Activity Master Opex'!$B$3:$G$70</definedName>
    <definedName name="_xlnm._FilterDatabase" localSheetId="5">'Budget Capex Detail'!$A$3:$AK$25</definedName>
    <definedName name="_xlnm._FilterDatabase" localSheetId="6" hidden="1">'Budget Opex Detail'!$A$3:$AR$21</definedName>
    <definedName name="_xlnm._FilterDatabase" localSheetId="8" hidden="1">Reference!$B$47:$P$111</definedName>
    <definedName name="_xlnm._FilterDatabase" hidden="1">#REF!</definedName>
    <definedName name="_Key1" hidden="1">#REF!</definedName>
    <definedName name="_Key2" hidden="1">#REF!</definedName>
    <definedName name="_kfkf" hidden="1">#REF!</definedName>
    <definedName name="_lop111" hidden="1">{#N/A,#N/A,FALSE,"特殊室（ＢＱ表）"}</definedName>
    <definedName name="_old3" hidden="1">{#N/A,#N/A,FALSE,"Summary";#N/A,#N/A,FALSE,"3TJ";#N/A,#N/A,FALSE,"3TN";#N/A,#N/A,FALSE,"3TP";#N/A,#N/A,FALSE,"3SJ";#N/A,#N/A,FALSE,"3CJ";#N/A,#N/A,FALSE,"3CN";#N/A,#N/A,FALSE,"3CP";#N/A,#N/A,FALSE,"3A"}</definedName>
    <definedName name="_old5" hidden="1">{#N/A,#N/A,FALSE,"Summary";#N/A,#N/A,FALSE,"3TJ";#N/A,#N/A,FALSE,"3TN";#N/A,#N/A,FALSE,"3TP";#N/A,#N/A,FALSE,"3SJ";#N/A,#N/A,FALSE,"3CJ";#N/A,#N/A,FALSE,"3CN";#N/A,#N/A,FALSE,"3CP";#N/A,#N/A,FALSE,"3A"}</definedName>
    <definedName name="_old7" hidden="1">{#N/A,#N/A,FALSE,"Summary";#N/A,#N/A,FALSE,"3TJ";#N/A,#N/A,FALSE,"3TN";#N/A,#N/A,FALSE,"3TP";#N/A,#N/A,FALSE,"3SJ";#N/A,#N/A,FALSE,"3CJ";#N/A,#N/A,FALSE,"3CN";#N/A,#N/A,FALSE,"3CP";#N/A,#N/A,FALSE,"3A"}</definedName>
    <definedName name="_Order1" hidden="1">255</definedName>
    <definedName name="_Order2" hidden="1">255</definedName>
    <definedName name="_Parse_Out" hidden="1">#REF!</definedName>
    <definedName name="_PPP3" hidden="1">{#N/A,#N/A,FALSE,"特殊室（ＢＱ表）"}</definedName>
    <definedName name="_PPP33" hidden="1">{#N/A,#N/A,FALSE,"特殊室（ＢＱ表）"}</definedName>
    <definedName name="_ppp34" hidden="1">{#N/A,#N/A,FALSE,"特殊室（ＢＱ表）"}</definedName>
    <definedName name="_ppp3444" hidden="1">{#N/A,#N/A,FALSE,"特殊室（ＢＱ表）"}</definedName>
    <definedName name="_Regression_Int" hidden="1">1</definedName>
    <definedName name="_Sort" hidden="1">#REF!</definedName>
    <definedName name="_Table1_In1" hidden="1">#REF!</definedName>
    <definedName name="_Table1_Out" hidden="1">#REF!</definedName>
    <definedName name="_woogi" hidden="1">#REF!</definedName>
    <definedName name="_woogi2" hidden="1">#REF!</definedName>
    <definedName name="_woogi24" hidden="1">#REF!</definedName>
    <definedName name="_woogi3" hidden="1">#REF!</definedName>
    <definedName name="_xleta.LEN" hidden="1" xlm="1">#NAME?</definedName>
    <definedName name="_재ㅐ햐" hidden="1">#REF!</definedName>
    <definedName name="aa" hidden="1">{#N/A,#N/A,FALSE,"CCTV"}</definedName>
    <definedName name="aaa" hidden="1">{#N/A,#N/A,FALSE,"손익표지";#N/A,#N/A,FALSE,"손익계산";#N/A,#N/A,FALSE,"일반관리비";#N/A,#N/A,FALSE,"영업외수익";#N/A,#N/A,FALSE,"영업외비용";#N/A,#N/A,FALSE,"매출액";#N/A,#N/A,FALSE,"요약손익";#N/A,#N/A,FALSE,"요약대차";#N/A,#N/A,FALSE,"매출채권현황";#N/A,#N/A,FALSE,"매출채권명세"}</definedName>
    <definedName name="aaaa" hidden="1">{#N/A,#N/A,FALSE,"CCTV"}</definedName>
    <definedName name="aaaaaaa" hidden="1">{#N/A,#N/A,FALSE,"type1";#N/A,#N/A,FALSE,"지지력";#N/A,#N/A,FALSE,"PILE계산";#N/A,#N/A,FALSE,"PILE ";#N/A,#N/A,FALSE,"철근량";#N/A,#N/A,FALSE,"균열검토";#N/A,#N/A,FALSE,"날개벽";#N/A,#N/A,FALSE,"주철근조립도";#N/A,#N/A,FALSE,"교좌"}</definedName>
    <definedName name="aaabbb" hidden="1">{#N/A,#N/A,FALSE,"CCTV"}</definedName>
    <definedName name="ab" hidden="1">{#N/A,#N/A,FALSE,"SumD";#N/A,#N/A,FALSE,"ElecD";#N/A,#N/A,FALSE,"MechD";#N/A,#N/A,FALSE,"GeotD";#N/A,#N/A,FALSE,"PrcsD";#N/A,#N/A,FALSE,"TunnD";#N/A,#N/A,FALSE,"CivlD";#N/A,#N/A,FALSE,"NtwkD";#N/A,#N/A,FALSE,"EstgD";#N/A,#N/A,FALSE,"PEngD"}</definedName>
    <definedName name="abcd" hidden="1">{#N/A,#N/A,FALSE,"特殊室（ＢＱ表）"}</definedName>
    <definedName name="AccessDatabase" hidden="1">"C:\WIN95\Desktop\Ramesh\AIC\Aic.mdb"</definedName>
    <definedName name="ACCLINK.XLS_Localization_Table_List" hidden="1">"$A$1:$B$11"</definedName>
    <definedName name="ACCLINK.XLS_Localization_Table_List1" hidden="1">"$A$13:$B$31"</definedName>
    <definedName name="ACCLINK.XLS_Localization_Table_List10" hidden="1">"$A$13:$B$33"</definedName>
    <definedName name="ACCLINK.XLS_Localization_Table_List11" hidden="1">"$A$13:$B$33"</definedName>
    <definedName name="ACCLINK.XLS_Localization_Table_List12" hidden="1">"$A$13:$B$33"</definedName>
    <definedName name="ACCLINK.XLS_Localization_Table_List13" hidden="1">"$A$13:$B$33"</definedName>
    <definedName name="ACCLINK.XLS_Localization_Table_List14" hidden="1">"$A$13:$B$33"</definedName>
    <definedName name="ACCLINK.XLS_Localization_Table_List15" hidden="1">"$A$13:$B$33"</definedName>
    <definedName name="ACCLINK.XLS_Localization_Table_List16" hidden="1">"$A$13:$B$33"</definedName>
    <definedName name="ACCLINK.XLS_Localization_Table_List17" hidden="1">"$A$13:$B$33"</definedName>
    <definedName name="ACCLINK.XLS_Localization_Table_List18" hidden="1">"$A$13:$B$33"</definedName>
    <definedName name="ACCLINK.XLS_Localization_Table_List19" hidden="1">"$A$13:$B$33"</definedName>
    <definedName name="ACCLINK.XLS_Localization_Table_List2" hidden="1">"$A$13:$B$31"</definedName>
    <definedName name="ACCLINK.XLS_Localization_Table_List3" hidden="1">"$A$13:$B$31"</definedName>
    <definedName name="ACCLINK.XLS_Localization_Table_List4" hidden="1">"$A$13:$B$31"</definedName>
    <definedName name="ACCLINK.XLS_Localization_Table_List5" hidden="1">"$A$13:$B$31"</definedName>
    <definedName name="ACCLINK.XLS_Localization_Table_List6" hidden="1">"$A$13:$B$31"</definedName>
    <definedName name="ACCLINK.XLS_Localization_Table_List7" hidden="1">"$A$13:$B$31"</definedName>
    <definedName name="ACCLINK.XLS_Localization_Table_List8" hidden="1">"$A$13:$B$31"</definedName>
    <definedName name="ACCLINK.XLS_Localization_Table_List9" hidden="1">"$A$13:$B$33"</definedName>
    <definedName name="AD">#REF!</definedName>
    <definedName name="ada" hidden="1">{#N/A,#N/A,FALSE,"特殊室（ＢＱ表）"}</definedName>
    <definedName name="ADCD" hidden="1">{#N/A,#N/A,FALSE,"特殊室（ＢＱ表）"}</definedName>
    <definedName name="ADI">#REF!</definedName>
    <definedName name="afdasgh" hidden="1">{#N/A,#N/A,FALSE,"CCTV"}</definedName>
    <definedName name="afdsfdg" hidden="1">{#N/A,#N/A,FALSE,"CCTV"}</definedName>
    <definedName name="afffgff" hidden="1">{#N/A,#N/A,FALSE,"CCTV"}</definedName>
    <definedName name="Agency">#REF!</definedName>
    <definedName name="ak">#REF!</definedName>
    <definedName name="aku">#REF!</definedName>
    <definedName name="anscount" hidden="1">1</definedName>
    <definedName name="AQE" hidden="1">{"'장비'!$A$3:$M$12"}</definedName>
    <definedName name="aras">#REF!</definedName>
    <definedName name="asdada" hidden="1">{#N/A,#N/A,FALSE,"特殊室（ＢＱ表）"}</definedName>
    <definedName name="asya">#REF!</definedName>
    <definedName name="ay" hidden="1">#REF!</definedName>
    <definedName name="B" hidden="1">{#N/A,#N/A,FALSE,"CCTV"}</definedName>
    <definedName name="bagas">#REF!</definedName>
    <definedName name="bawor">#REF!</definedName>
    <definedName name="BBB" hidden="1">{#N/A,#N/A,FALSE,"CCTV"}</definedName>
    <definedName name="bfbfdhfdhdfgh" hidden="1">{#N/A,#N/A,FALSE,"CCTV"}</definedName>
    <definedName name="BNN" hidden="1">{#N/A,#N/A,FALSE,"CCTV"}</definedName>
    <definedName name="bob"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book" hidden="1">{"SUM",#N/A,FALSE,"summary";"BOOK11-1",#N/A,FALSE,"1CityGarden";"BOOK11-2",#N/A,FALSE,"2CountryGarden";"BOOK11-3",#N/A,FALSE,"3JUNGLE";"BOOK11-4CIVIL",#N/A,FALSE,"CIVIL"}</definedName>
    <definedName name="BU_DIV">#REF!</definedName>
    <definedName name="BUHO">#REF!</definedName>
    <definedName name="ccc" hidden="1">{#N/A,#N/A,FALSE,"SumD";#N/A,#N/A,FALSE,"ElecD";#N/A,#N/A,FALSE,"MechD";#N/A,#N/A,FALSE,"GeotD";#N/A,#N/A,FALSE,"PrcsD";#N/A,#N/A,FALSE,"TunnD";#N/A,#N/A,FALSE,"CivlD";#N/A,#N/A,FALSE,"NtwkD";#N/A,#N/A,FALSE,"EstgD";#N/A,#N/A,FALSE,"PEngD"}</definedName>
    <definedName name="CD">NA()</definedName>
    <definedName name="CentralisedCC">#REF!</definedName>
    <definedName name="CHRIS" hidden="1">{#N/A,#N/A,FALSE,"CCTV"}</definedName>
    <definedName name="da" hidden="1">{#N/A,#N/A,FALSE,"特殊室（ＢＱ表）"}</definedName>
    <definedName name="daa" hidden="1">{#N/A,#N/A,FALSE,"特殊室（ＢＱ表）"}</definedName>
    <definedName name="dad" hidden="1">{#N/A,#N/A,FALSE,"特殊室（ＢＱ表）"}</definedName>
    <definedName name="dada" hidden="1">{#N/A,#N/A,FALSE,"特殊室（ＢＱ表）"}</definedName>
    <definedName name="dadasda" hidden="1">{#N/A,#N/A,FALSE,"特殊室（ＢＱ表）"}</definedName>
    <definedName name="daj">#REF!</definedName>
    <definedName name="dataww" hidden="1">#REF!</definedName>
    <definedName name="ddddd" hidden="1">{#N/A,#N/A,FALSE,"SumD";#N/A,#N/A,FALSE,"ElecD";#N/A,#N/A,FALSE,"MechD";#N/A,#N/A,FALSE,"GeotD";#N/A,#N/A,FALSE,"PrcsD";#N/A,#N/A,FALSE,"TunnD";#N/A,#N/A,FALSE,"CivlD";#N/A,#N/A,FALSE,"NtwkD";#N/A,#N/A,FALSE,"EstgD";#N/A,#N/A,FALSE,"PEngD"}</definedName>
    <definedName name="DDFD" hidden="1">{#N/A,#N/A,FALSE,"CCTV"}</definedName>
    <definedName name="DDFYDFYUDF">#REF!</definedName>
    <definedName name="dffdfd"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dfffff" hidden="1">{#N/A,#N/A,FALSE,"SumG";#N/A,#N/A,FALSE,"ElecG";#N/A,#N/A,FALSE,"MechG";#N/A,#N/A,FALSE,"GeotG";#N/A,#N/A,FALSE,"PrcsG";#N/A,#N/A,FALSE,"TunnG";#N/A,#N/A,FALSE,"CivlG";#N/A,#N/A,FALSE,"NtwkG";#N/A,#N/A,FALSE,"EstgG";#N/A,#N/A,FALSE,"PEngG"}</definedName>
    <definedName name="dfh" hidden="1">{#N/A,#N/A,FALSE,"特殊室（ＢＱ表）"}</definedName>
    <definedName name="DFSF" hidden="1">{#N/A,#N/A,FALSE,"特殊室（ＢＱ表）"}</definedName>
    <definedName name="dgdsgsd">#REF!</definedName>
    <definedName name="DGF" hidden="1">{#N/A,#N/A,FALSE,"特殊室（ＢＱ表）"}</definedName>
    <definedName name="dgfd" hidden="1">{#N/A,#N/A,FALSE,"SumG";#N/A,#N/A,FALSE,"ElecG";#N/A,#N/A,FALSE,"MechG";#N/A,#N/A,FALSE,"GeotG";#N/A,#N/A,FALSE,"PrcsG";#N/A,#N/A,FALSE,"TunnG";#N/A,#N/A,FALSE,"CivlG";#N/A,#N/A,FALSE,"NtwkG";#N/A,#N/A,FALSE,"EstgG";#N/A,#N/A,FALSE,"PEngG"}</definedName>
    <definedName name="DGFDG" hidden="1">{#N/A,#N/A,FALSE,"特殊室（ＢＱ表）"}</definedName>
    <definedName name="dgfgjgj" hidden="1">{#N/A,#N/A,FALSE,"CCTV"}</definedName>
    <definedName name="DIN">#REF!</definedName>
    <definedName name="dinar">#REF!</definedName>
    <definedName name="dinars">#REF!</definedName>
    <definedName name="DirektoratHO">#REF!</definedName>
    <definedName name="Div.">#REF!</definedName>
    <definedName name="dvbgf" hidden="1">{#N/A,#N/A,FALSE,"SumD";#N/A,#N/A,FALSE,"ElecD";#N/A,#N/A,FALSE,"MechD";#N/A,#N/A,FALSE,"GeotD";#N/A,#N/A,FALSE,"PrcsD";#N/A,#N/A,FALSE,"TunnD";#N/A,#N/A,FALSE,"CivlD";#N/A,#N/A,FALSE,"NtwkD";#N/A,#N/A,FALSE,"EstgD";#N/A,#N/A,FALSE,"PEngD"}</definedName>
    <definedName name="dydy">#REF!</definedName>
    <definedName name="ear">#REF!</definedName>
    <definedName name="eddy" hidden="1">#REF!</definedName>
    <definedName name="equptdist"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er" hidden="1">{#N/A,#N/A,FALSE,"SumG";#N/A,#N/A,FALSE,"ElecG";#N/A,#N/A,FALSE,"MechG";#N/A,#N/A,FALSE,"GeotG";#N/A,#N/A,FALSE,"PrcsG";#N/A,#N/A,FALSE,"TunnG";#N/A,#N/A,FALSE,"CivlG";#N/A,#N/A,FALSE,"NtwkG";#N/A,#N/A,FALSE,"EstgG";#N/A,#N/A,FALSE,"PEngG"}</definedName>
    <definedName name="ert"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estes">#REF!</definedName>
    <definedName name="etdes">#REF!</definedName>
    <definedName name="eyteyt" hidden="1">{#N/A,#N/A,FALSE,"CCTV"}</definedName>
    <definedName name="FCHFCHFGHFG">#REF!</definedName>
    <definedName name="fddfhdfhdgh" hidden="1">{#N/A,#N/A,FALSE,"CCTV"}</definedName>
    <definedName name="fdf" hidden="1">{#N/A,#N/A,FALSE,"CCTV"}</definedName>
    <definedName name="FDFDF" hidden="1">{#N/A,#N/A,FALSE,"CCTV"}</definedName>
    <definedName name="fdff" hidden="1">{#N/A,#N/A,FALSE,"SumG";#N/A,#N/A,FALSE,"ElecG";#N/A,#N/A,FALSE,"MechG";#N/A,#N/A,FALSE,"GeotG";#N/A,#N/A,FALSE,"PrcsG";#N/A,#N/A,FALSE,"TunnG";#N/A,#N/A,FALSE,"CivlG";#N/A,#N/A,FALSE,"NtwkG";#N/A,#N/A,FALSE,"EstgG";#N/A,#N/A,FALSE,"PEngG"}</definedName>
    <definedName name="FF" hidden="1">#REF!</definedName>
    <definedName name="fff" hidden="1">{#N/A,#N/A,FALSE,"CCTV"}</definedName>
    <definedName name="ffffff" hidden="1">{#N/A,#N/A,FALSE,"CCTV"}</definedName>
    <definedName name="fg" hidden="1">{#N/A,#N/A,FALSE,"SumG";#N/A,#N/A,FALSE,"ElecG";#N/A,#N/A,FALSE,"MechG";#N/A,#N/A,FALSE,"GeotG";#N/A,#N/A,FALSE,"PrcsG";#N/A,#N/A,FALSE,"TunnG";#N/A,#N/A,FALSE,"CivlG";#N/A,#N/A,FALSE,"NtwkG";#N/A,#N/A,FALSE,"EstgG";#N/A,#N/A,FALSE,"PEngG"}</definedName>
    <definedName name="fgdfg" hidden="1">{#N/A,#N/A,FALSE,"SumD";#N/A,#N/A,FALSE,"ElecD";#N/A,#N/A,FALSE,"MechD";#N/A,#N/A,FALSE,"GeotD";#N/A,#N/A,FALSE,"PrcsD";#N/A,#N/A,FALSE,"TunnD";#N/A,#N/A,FALSE,"CivlD";#N/A,#N/A,FALSE,"NtwkD";#N/A,#N/A,FALSE,"EstgD";#N/A,#N/A,FALSE,"PEngD"}</definedName>
    <definedName name="FGF" hidden="1">{#N/A,#N/A,FALSE,"CCTV"}</definedName>
    <definedName name="fgfd"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fgfdg" hidden="1">{#N/A,#N/A,FALSE,"SumG";#N/A,#N/A,FALSE,"ElecG";#N/A,#N/A,FALSE,"MechG";#N/A,#N/A,FALSE,"GeotG";#N/A,#N/A,FALSE,"PrcsG";#N/A,#N/A,FALSE,"TunnG";#N/A,#N/A,FALSE,"CivlG";#N/A,#N/A,FALSE,"NtwkG";#N/A,#N/A,FALSE,"EstgG";#N/A,#N/A,FALSE,"PEngG"}</definedName>
    <definedName name="fgg" hidden="1">{"'장비'!$A$3:$M$12"}</definedName>
    <definedName name="fgh">#REF!</definedName>
    <definedName name="fghfg" hidden="1">{#N/A,#N/A,FALSE,"SumD";#N/A,#N/A,FALSE,"ElecD";#N/A,#N/A,FALSE,"MechD";#N/A,#N/A,FALSE,"GeotD";#N/A,#N/A,FALSE,"PrcsD";#N/A,#N/A,FALSE,"TunnD";#N/A,#N/A,FALSE,"CivlD";#N/A,#N/A,FALSE,"NtwkD";#N/A,#N/A,FALSE,"EstgD";#N/A,#N/A,FALSE,"PEngD"}</definedName>
    <definedName name="FGHH" hidden="1">{#N/A,#N/A,FALSE,"SumD";#N/A,#N/A,FALSE,"ElecD";#N/A,#N/A,FALSE,"MechD";#N/A,#N/A,FALSE,"GeotD";#N/A,#N/A,FALSE,"PrcsD";#N/A,#N/A,FALSE,"TunnD";#N/A,#N/A,FALSE,"CivlD";#N/A,#N/A,FALSE,"NtwkD";#N/A,#N/A,FALSE,"EstgD";#N/A,#N/A,FALSE,"PEngD"}</definedName>
    <definedName name="fgjdf">#REF!</definedName>
    <definedName name="fgrfyj">#REF!</definedName>
    <definedName name="fgtg"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fhdfhdf">#REF!</definedName>
    <definedName name="fhgfhj">#REF!</definedName>
    <definedName name="fhgjfghfghgf" hidden="1">{#N/A,#N/A,FALSE,"CCTV"}</definedName>
    <definedName name="fjgfjh">#REF!</definedName>
    <definedName name="fjhfjh">#REF!</definedName>
    <definedName name="fryhrfgh">#REF!</definedName>
    <definedName name="fturedh">#REF!</definedName>
    <definedName name="fyftu">#REF!</definedName>
    <definedName name="g">#REF!</definedName>
    <definedName name="GD" hidden="1">{#N/A,#N/A,FALSE,"特殊室（ＢＱ表）"}</definedName>
    <definedName name="gdg" hidden="1">{#N/A,#N/A,FALSE,"特殊室（ＢＱ表）"}</definedName>
    <definedName name="gdghd">#REF!</definedName>
    <definedName name="GFA" hidden="1">#REF!</definedName>
    <definedName name="gfdg" hidden="1">{#N/A,#N/A,FALSE,"特殊室（ＢＱ表）"}</definedName>
    <definedName name="gfdgfdg" hidden="1">{#N/A,#N/A,FALSE,"SumD";#N/A,#N/A,FALSE,"ElecD";#N/A,#N/A,FALSE,"MechD";#N/A,#N/A,FALSE,"GeotD";#N/A,#N/A,FALSE,"PrcsD";#N/A,#N/A,FALSE,"TunnD";#N/A,#N/A,FALSE,"CivlD";#N/A,#N/A,FALSE,"NtwkD";#N/A,#N/A,FALSE,"EstgD";#N/A,#N/A,FALSE,"PEngD"}</definedName>
    <definedName name="gfgfgfgfg" hidden="1">{#N/A,#N/A,FALSE,"SumD";#N/A,#N/A,FALSE,"ElecD";#N/A,#N/A,FALSE,"MechD";#N/A,#N/A,FALSE,"GeotD";#N/A,#N/A,FALSE,"PrcsD";#N/A,#N/A,FALSE,"TunnD";#N/A,#N/A,FALSE,"CivlD";#N/A,#N/A,FALSE,"NtwkD";#N/A,#N/A,FALSE,"EstgD";#N/A,#N/A,FALSE,"PEngD"}</definedName>
    <definedName name="gfgfgfgss" hidden="1">{#N/A,#N/A,FALSE,"SumG";#N/A,#N/A,FALSE,"ElecG";#N/A,#N/A,FALSE,"MechG";#N/A,#N/A,FALSE,"GeotG";#N/A,#N/A,FALSE,"PrcsG";#N/A,#N/A,FALSE,"TunnG";#N/A,#N/A,FALSE,"CivlG";#N/A,#N/A,FALSE,"NtwkG";#N/A,#N/A,FALSE,"EstgG";#N/A,#N/A,FALSE,"PEngG"}</definedName>
    <definedName name="gfjgfh" hidden="1">{#N/A,#N/A,FALSE,"CCTV"}</definedName>
    <definedName name="gfjgfhfg" hidden="1">{#N/A,#N/A,FALSE,"CCTV"}</definedName>
    <definedName name="ghg">#REF!</definedName>
    <definedName name="ghggg" hidden="1">{#N/A,#N/A,FALSE,"SumG";#N/A,#N/A,FALSE,"ElecG";#N/A,#N/A,FALSE,"MechG";#N/A,#N/A,FALSE,"GeotG";#N/A,#N/A,FALSE,"PrcsG";#N/A,#N/A,FALSE,"TunnG";#N/A,#N/A,FALSE,"CivlG";#N/A,#N/A,FALSE,"NtwkG";#N/A,#N/A,FALSE,"EstgG";#N/A,#N/A,FALSE,"PEngG"}</definedName>
    <definedName name="GHJ">#REF!</definedName>
    <definedName name="ghjg">#REF!</definedName>
    <definedName name="GHJGJGFK">#REF!</definedName>
    <definedName name="ghjsghkjsg">#REF!</definedName>
    <definedName name="ghk">#REF!</definedName>
    <definedName name="gjfgvfh" hidden="1">{#N/A,#N/A,FALSE,"特殊室（ＢＱ表）"}</definedName>
    <definedName name="gkgkgkju">#REF!</definedName>
    <definedName name="gkj.">#REF!</definedName>
    <definedName name="GLFA">#REF!</definedName>
    <definedName name="GLOPEX">#REF!</definedName>
    <definedName name="GLPRJ">#REF!</definedName>
    <definedName name="GMG" hidden="1">{#N/A,#N/A,FALSE,"特殊室（ＢＱ表）"}</definedName>
    <definedName name="gsdhs">#REF!</definedName>
    <definedName name="gshdf">#REF!</definedName>
    <definedName name="gygug">#REF!</definedName>
    <definedName name="gyhf">#REF!</definedName>
    <definedName name="HA" hidden="1">{"'Sheet1'!$L$16"}</definedName>
    <definedName name="harga">#REF!</definedName>
    <definedName name="hfdgfdg" hidden="1">{#N/A,#N/A,FALSE,"CCTV"}</definedName>
    <definedName name="hfgk" hidden="1">{#N/A,#N/A,FALSE,"特殊室（ＢＱ表）"}</definedName>
    <definedName name="hfjhhjj" hidden="1">{#N/A,#N/A,FALSE,"CCTV"}</definedName>
    <definedName name="hghghjfv">#REF!</definedName>
    <definedName name="hgjfgh" hidden="1">{#N/A,#N/A,FALSE,"CCTV"}</definedName>
    <definedName name="hgjgfhgh" hidden="1">{#N/A,#N/A,FALSE,"CCTV"}</definedName>
    <definedName name="HHJGHJ">#REF!</definedName>
    <definedName name="hihuih">#REF!</definedName>
    <definedName name="hjhgxdgdz">#REF!</definedName>
    <definedName name="hjhklh">#REF!</definedName>
    <definedName name="HKJ">#REF!</definedName>
    <definedName name="HTML" hidden="1">{"'장비'!$A$3:$M$12"}</definedName>
    <definedName name="HTML_CodePage" hidden="1">949</definedName>
    <definedName name="HTML_Control" hidden="1">{"'장비'!$A$3:$M$12"}</definedName>
    <definedName name="HTML_Description" hidden="1">""</definedName>
    <definedName name="HTML_Email" hidden="1">""</definedName>
    <definedName name="HTML_Header" hidden="1">"장비"</definedName>
    <definedName name="HTML_LastUpdate" hidden="1">"97-08-05"</definedName>
    <definedName name="HTML_LineAfter" hidden="1">FALSE</definedName>
    <definedName name="HTML_LineBefore" hidden="1">FALSE</definedName>
    <definedName name="HTML_Name" hidden="1">"이진화"</definedName>
    <definedName name="HTML_OBDlg2" hidden="1">TRUE</definedName>
    <definedName name="HTML_OBDlg4" hidden="1">TRUE</definedName>
    <definedName name="HTML_OS" hidden="1">0</definedName>
    <definedName name="HTML_PathFile" hidden="1">"C:\My Documents\MyHTML.htm"</definedName>
    <definedName name="HTML_Title" hidden="1">"가산동미라보"</definedName>
    <definedName name="HTML1_1" hidden="1">"'[98계획ⅱ.XLS]98총괄'!$A$2:$F$16"</definedName>
    <definedName name="HTML1_10" hidden="1">""</definedName>
    <definedName name="HTML1_11" hidden="1">1</definedName>
    <definedName name="HTML1_12" hidden="1">"C:\My Documents\cck\MyHTML.htm"</definedName>
    <definedName name="HTML1_2" hidden="1">1</definedName>
    <definedName name="HTML1_3" hidden="1">"98계획ⅱ.XL"</definedName>
    <definedName name="HTML1_4" hidden="1">"98총괄"</definedName>
    <definedName name="HTML1_5" hidden="1">""</definedName>
    <definedName name="HTML1_6" hidden="1">1</definedName>
    <definedName name="HTML1_7" hidden="1">1</definedName>
    <definedName name="HTML1_8" hidden="1">"97-12-10"</definedName>
    <definedName name="HTML1_9" hidden="1">"hyogye01"</definedName>
    <definedName name="HTMLCount" hidden="1">1</definedName>
    <definedName name="humaira">#REF!</definedName>
    <definedName name="hygfi">#REF!</definedName>
    <definedName name="iiouolkll" hidden="1">{#N/A,#N/A,FALSE,"CCTV"}</definedName>
    <definedName name="irawan">#REF!</definedName>
    <definedName name="irishjane" hidden="1">#REF!</definedName>
    <definedName name="jh" hidden="1">{#N/A,#N/A,FALSE,"SumG";#N/A,#N/A,FALSE,"ElecG";#N/A,#N/A,FALSE,"MechG";#N/A,#N/A,FALSE,"GeotG";#N/A,#N/A,FALSE,"PrcsG";#N/A,#N/A,FALSE,"TunnG";#N/A,#N/A,FALSE,"CivlG";#N/A,#N/A,FALSE,"NtwkG";#N/A,#N/A,FALSE,"EstgG";#N/A,#N/A,FALSE,"PEngG"}</definedName>
    <definedName name="jhhhh" hidden="1">{#N/A,#N/A,FALSE,"CCTV"}</definedName>
    <definedName name="KAMU">#REF!</definedName>
    <definedName name="KDJU" hidden="1">{"'장비'!$A$3:$M$12"}</definedName>
    <definedName name="KE_CUSTOMER">#REF!</definedName>
    <definedName name="kghlgh" hidden="1">{#N/A,#N/A,FALSE,"CCTV"}</definedName>
    <definedName name="ki">#REF!</definedName>
    <definedName name="kita">#REF!</definedName>
    <definedName name="kitz"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kiulil" hidden="1">{#N/A,#N/A,FALSE,"CCTV"}</definedName>
    <definedName name="kjhkj" hidden="1">{#N/A,#N/A,FALSE,"SumG";#N/A,#N/A,FALSE,"ElecG";#N/A,#N/A,FALSE,"MechG";#N/A,#N/A,FALSE,"GeotG";#N/A,#N/A,FALSE,"PrcsG";#N/A,#N/A,FALSE,"TunnG";#N/A,#N/A,FALSE,"CivlG";#N/A,#N/A,FALSE,"NtwkG";#N/A,#N/A,FALSE,"EstgG";#N/A,#N/A,FALSE,"PEngG"}</definedName>
    <definedName name="kjhlh" hidden="1">{#N/A,#N/A,FALSE,"CCTV"}</definedName>
    <definedName name="kjhljhk" hidden="1">{#N/A,#N/A,FALSE,"CCTV"}</definedName>
    <definedName name="kjoh" hidden="1">{#N/A,#N/A,FALSE,"特殊室（ＢＱ表）"}</definedName>
    <definedName name="kkk" hidden="1">{#N/A,#N/A,FALSE,"CCTV"}</definedName>
    <definedName name="KLHKJ">#REF!</definedName>
    <definedName name="ktf" hidden="1">#REF!</definedName>
    <definedName name="kty" hidden="1">#REF!</definedName>
    <definedName name="LKL" hidden="1">{#N/A,#N/A,FALSE,"SumG";#N/A,#N/A,FALSE,"ElecG";#N/A,#N/A,FALSE,"MechG";#N/A,#N/A,FALSE,"GeotG";#N/A,#N/A,FALSE,"PrcsG";#N/A,#N/A,FALSE,"TunnG";#N/A,#N/A,FALSE,"CivlG";#N/A,#N/A,FALSE,"NtwkG";#N/A,#N/A,FALSE,"EstgG";#N/A,#N/A,FALSE,"PEngG"}</definedName>
    <definedName name="lklhlkjl" hidden="1">{#N/A,#N/A,FALSE,"CCTV"}</definedName>
    <definedName name="lop" hidden="1">{#N/A,#N/A,FALSE,"特殊室（ＢＱ表）"}</definedName>
    <definedName name="lop." hidden="1">{#N/A,#N/A,FALSE,"特殊室（ＢＱ表）"}</definedName>
    <definedName name="MBM" hidden="1">{#N/A,#N/A,FALSE,"特殊室（ＢＱ表）"}</definedName>
    <definedName name="MEE">#REF!</definedName>
    <definedName name="MGB" hidden="1">{#N/A,#N/A,FALSE,"特殊室（ＢＱ表）"}</definedName>
    <definedName name="mmm" hidden="1">{"'장비'!$A$3:$M$12"}</definedName>
    <definedName name="mmmmm" hidden="1">{#N/A,#N/A,FALSE,"CCTV"}</definedName>
    <definedName name="MNB" hidden="1">{#N/A,#N/A,FALSE,"特殊室（ＢＱ表）"}</definedName>
    <definedName name="MpwrDistrRev"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NEWNAME" hidden="1">{#N/A,#N/A,FALSE,"CCTV"}</definedName>
    <definedName name="nkknk" hidden="1">{#N/A,#N/A,FALSE,"CCTV"}</definedName>
    <definedName name="nnn" hidden="1">{#N/A,#N/A,FALSE,"SumD";#N/A,#N/A,FALSE,"ElecD";#N/A,#N/A,FALSE,"MechD";#N/A,#N/A,FALSE,"GeotD";#N/A,#N/A,FALSE,"PrcsD";#N/A,#N/A,FALSE,"TunnD";#N/A,#N/A,FALSE,"CivlD";#N/A,#N/A,FALSE,"NtwkD";#N/A,#N/A,FALSE,"EstgD";#N/A,#N/A,FALSE,"PEngD"}</definedName>
    <definedName name="nnnnn" hidden="1">{#N/A,#N/A,FALSE,"SumG";#N/A,#N/A,FALSE,"ElecG";#N/A,#N/A,FALSE,"MechG";#N/A,#N/A,FALSE,"GeotG";#N/A,#N/A,FALSE,"PrcsG";#N/A,#N/A,FALSE,"TunnG";#N/A,#N/A,FALSE,"CivlG";#N/A,#N/A,FALSE,"NtwkG";#N/A,#N/A,FALSE,"EstgG";#N/A,#N/A,FALSE,"PEngG"}</definedName>
    <definedName name="ODH" hidden="1">#REF!</definedName>
    <definedName name="ODHH" hidden="1">#REF!</definedName>
    <definedName name="oililui" hidden="1">{#N/A,#N/A,FALSE,"CCTV"}</definedName>
    <definedName name="ok">#REF!</definedName>
    <definedName name="olk" hidden="1">{#N/A,#N/A,FALSE,"特殊室（ＢＱ表）"}</definedName>
    <definedName name="P" hidden="1">#REF!</definedName>
    <definedName name="pamularsih">#REF!</definedName>
    <definedName name="Port1" hidden="1">{#N/A,#N/A,FALSE,"特殊室（ＢＱ表）"}</definedName>
    <definedName name="port11" hidden="1">{#N/A,#N/A,FALSE,"特殊室（ＢＱ表）"}</definedName>
    <definedName name="PPP" hidden="1">{#N/A,#N/A,FALSE,"CCTV"}</definedName>
    <definedName name="Priority" localSheetId="0">#REF!</definedName>
    <definedName name="Priority">#REF!</definedName>
    <definedName name="QAZ" hidden="1">{#N/A,#N/A,FALSE,"CCTV"}</definedName>
    <definedName name="qqqqqqqqqqqqqqqqqqqqqqqqqqqqqq" hidden="1">{#N/A,#N/A,FALSE,"손익표지";#N/A,#N/A,FALSE,"손익계산";#N/A,#N/A,FALSE,"일반관리비";#N/A,#N/A,FALSE,"영업외수익";#N/A,#N/A,FALSE,"영업외비용";#N/A,#N/A,FALSE,"매출액";#N/A,#N/A,FALSE,"요약손익";#N/A,#N/A,FALSE,"요약대차";#N/A,#N/A,FALSE,"매출채권현황";#N/A,#N/A,FALSE,"매출채권명세"}</definedName>
    <definedName name="QQW" hidden="1">{#N/A,#N/A,FALSE,"CCTV"}</definedName>
    <definedName name="rarewt" hidden="1">{#N/A,#N/A,FALSE,"CCTV"}</definedName>
    <definedName name="report1" hidden="1">{#N/A,#N/A,FALSE,"特殊室（ＢＱ表）"}</definedName>
    <definedName name="report2" hidden="1">{#N/A,#N/A,FALSE,"特殊室（ＢＱ表）"}</definedName>
    <definedName name="ret"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rey" hidden="1">{#N/A,#N/A,TRUE,"1_SUMMARY";#N/A,#N/A,TRUE,"1_PROJECT MAN";#N/A,#N/A,TRUE,"1_ENGINEERING";#N/A,#N/A,TRUE,"1_SITE PERSONNEL";#N/A,#N/A,TRUE,"1_MATERIALS";#N/A,#N/A,TRUE,"1_SUB-CONTRACTS";#N/A,#N/A,TRUE,"1_SITE COSTS";#N/A,#N/A,TRUE,"1_TRANSPORTATION";#N/A,#N/A,TRUE,"1_TRAVEL &amp; EXPENSES";#N/A,#N/A,TRUE,"1_FINANCIAL";#N/A,#N/A,TRUE,"1_PM MANNING";#N/A,#N/A,TRUE,"1_ENG MANNING";#N/A,#N/A,TRUE,"1_SITE MANNING"}</definedName>
    <definedName name="rfaw">#REF!</definedName>
    <definedName name="ri">#REF!</definedName>
    <definedName name="RNAO" hidden="1">{"'장비'!$A$3:$M$12"}</definedName>
    <definedName name="rrr"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rrrrr" hidden="1">{"'장비'!$A$3:$M$12"}</definedName>
    <definedName name="rrrrrrrr" hidden="1">{"'장비'!$A$3:$M$12"}</definedName>
    <definedName name="rsk" hidden="1">#REF!</definedName>
    <definedName name="rss" hidden="1">#REF!</definedName>
    <definedName name="rteswdqwwf" hidden="1">#REF!</definedName>
    <definedName name="RTYE" hidden="1">{"'장비'!$A$3:$M$12"}</definedName>
    <definedName name="saada" hidden="1">{#N/A,#N/A,FALSE,"特殊室（ＢＱ表）"}</definedName>
    <definedName name="scarce" hidden="1">{#N/A,#N/A,FALSE,"Summary";#N/A,#N/A,FALSE,"3TJ";#N/A,#N/A,FALSE,"3TN";#N/A,#N/A,FALSE,"3TP";#N/A,#N/A,FALSE,"3SJ";#N/A,#N/A,FALSE,"3CJ";#N/A,#N/A,FALSE,"3CN";#N/A,#N/A,FALSE,"3CP";#N/A,#N/A,FALSE,"3A"}</definedName>
    <definedName name="sdgshs">#REF!</definedName>
    <definedName name="Seat" hidden="1">#REF!</definedName>
    <definedName name="sencount" hidden="1">1</definedName>
    <definedName name="Services2" hidden="1">{#N/A,#N/A,FALSE,"Pricing";#N/A,#N/A,FALSE,"Summary";#N/A,#N/A,FALSE,"CompProd";#N/A,#N/A,FALSE,"CompJobhrs";#N/A,#N/A,FALSE,"Escalation";#N/A,#N/A,FALSE,"Contingency";#N/A,#N/A,FALSE,"GM";#N/A,#N/A,FALSE,"CompWage";#N/A,#N/A,FALSE,"costSum"}</definedName>
    <definedName name="sffff" hidden="1">{#N/A,#N/A,FALSE,"SumD";#N/A,#N/A,FALSE,"ElecD";#N/A,#N/A,FALSE,"MechD";#N/A,#N/A,FALSE,"GeotD";#N/A,#N/A,FALSE,"PrcsD";#N/A,#N/A,FALSE,"TunnD";#N/A,#N/A,FALSE,"CivlD";#N/A,#N/A,FALSE,"NtwkD";#N/A,#N/A,FALSE,"EstgD";#N/A,#N/A,FALSE,"PEngD"}</definedName>
    <definedName name="shjfgdsg">#REF!</definedName>
    <definedName name="SS" hidden="1">#REF!</definedName>
    <definedName name="ssshhh" hidden="1">{#N/A,#N/A,FALSE,"SumG";#N/A,#N/A,FALSE,"ElecG";#N/A,#N/A,FALSE,"MechG";#N/A,#N/A,FALSE,"GeotG";#N/A,#N/A,FALSE,"PrcsG";#N/A,#N/A,FALSE,"TunnG";#N/A,#N/A,FALSE,"CivlG";#N/A,#N/A,FALSE,"NtwkG";#N/A,#N/A,FALSE,"EstgG";#N/A,#N/A,FALSE,"PEngG"}</definedName>
    <definedName name="sssss" hidden="1">{#N/A,#N/A,FALSE,"SumD";#N/A,#N/A,FALSE,"ElecD";#N/A,#N/A,FALSE,"MechD";#N/A,#N/A,FALSE,"GeotD";#N/A,#N/A,FALSE,"PrcsD";#N/A,#N/A,FALSE,"TunnD";#N/A,#N/A,FALSE,"CivlD";#N/A,#N/A,FALSE,"NtwkD";#N/A,#N/A,FALSE,"EstgD";#N/A,#N/A,FALSE,"PEngD"}</definedName>
    <definedName name="SU_DIV" localSheetId="0">#REF!</definedName>
    <definedName name="SU_DIV">#REF!</definedName>
    <definedName name="summar" hidden="1">{#N/A,#N/A,FALSE,"特殊室（ＢＱ表）"}</definedName>
    <definedName name="Tabel">NA()</definedName>
    <definedName name="TB">#REF!</definedName>
    <definedName name="TBL">#REF!</definedName>
    <definedName name="TDFYDFYU">#REF!</definedName>
    <definedName name="Tend_Box" hidden="1">#REF!</definedName>
    <definedName name="tttt" hidden="1">{"'Sheet1'!$L$16"}</definedName>
    <definedName name="typ" hidden="1">#REF!</definedName>
    <definedName name="type1" hidden="1">#REF!</definedName>
    <definedName name="ui">#REF!</definedName>
    <definedName name="uj" hidden="1">{#N/A,#N/A,FALSE,"SumG";#N/A,#N/A,FALSE,"ElecG";#N/A,#N/A,FALSE,"MechG";#N/A,#N/A,FALSE,"GeotG";#N/A,#N/A,FALSE,"PrcsG";#N/A,#N/A,FALSE,"TunnG";#N/A,#N/A,FALSE,"CivlG";#N/A,#N/A,FALSE,"NtwkG";#N/A,#N/A,FALSE,"EstgG";#N/A,#N/A,FALSE,"PEngG"}</definedName>
    <definedName name="UNI_FILT_OFFSPEC" hidden="1">2</definedName>
    <definedName name="UNI_FILT_ONSPEC" hidden="1">1</definedName>
    <definedName name="UNI_NOTHING" hidden="1">0</definedName>
    <definedName name="UNI_PRES_FILTER" hidden="1">1</definedName>
    <definedName name="UNI_PRES_HEADINGS" hidden="1">16</definedName>
    <definedName name="UNI_PRES_INVERT" hidden="1">2</definedName>
    <definedName name="UNI_PRES_MATRIX" hidden="1">4</definedName>
    <definedName name="UNI_PRES_MERGED" hidden="1">8</definedName>
    <definedName name="UNI_PRES_OUTLIERS" hidden="1">32</definedName>
    <definedName name="UNI_RET_ATTRIB" hidden="1">64</definedName>
    <definedName name="UNI_RET_CONF" hidden="1">32</definedName>
    <definedName name="UNI_RET_DESC" hidden="1">4</definedName>
    <definedName name="UNI_RET_EQUIP" hidden="1">1</definedName>
    <definedName name="UNI_RET_OFFSPEC" hidden="1">512</definedName>
    <definedName name="UNI_RET_ONSPEC" hidden="1">256</definedName>
    <definedName name="UNI_RET_PROP" hidden="1">32</definedName>
    <definedName name="UNI_RET_PROPDESC" hidden="1">64</definedName>
    <definedName name="UNI_RET_SMPLPNT" hidden="1">4</definedName>
    <definedName name="UNI_RET_SPECMAX" hidden="1">2048</definedName>
    <definedName name="UNI_RET_SPECMIN" hidden="1">1024</definedName>
    <definedName name="UNI_RET_TAG" hidden="1">1</definedName>
    <definedName name="UNI_RET_TESTTIME" hidden="1">128</definedName>
    <definedName name="UNI_RET_TIME" hidden="1">8</definedName>
    <definedName name="UNI_RET_UNIT" hidden="1">2</definedName>
    <definedName name="UNI_RET_VALUE" hidden="1">16</definedName>
    <definedName name="UUU" hidden="1">{#N/A,#N/A,FALSE,"CCTV"}</definedName>
    <definedName name="van" hidden="1">{#N/A,#N/A,FALSE,"CCTV"}</definedName>
    <definedName name="Variation" hidden="1">{#N/A,#N/A,FALSE,"SumD";#N/A,#N/A,FALSE,"ElecD";#N/A,#N/A,FALSE,"MechD";#N/A,#N/A,FALSE,"GeotD";#N/A,#N/A,FALSE,"PrcsD";#N/A,#N/A,FALSE,"TunnD";#N/A,#N/A,FALSE,"CivlD";#N/A,#N/A,FALSE,"NtwkD";#N/A,#N/A,FALSE,"EstgD";#N/A,#N/A,FALSE,"PEngD"}</definedName>
    <definedName name="vgjh" hidden="1">{#N/A,#N/A,FALSE,"特殊室（ＢＱ表）"}</definedName>
    <definedName name="weq" hidden="1">{#N/A,#N/A,FALSE,"SumD";#N/A,#N/A,FALSE,"ElecD";#N/A,#N/A,FALSE,"MechD";#N/A,#N/A,FALSE,"GeotD";#N/A,#N/A,FALSE,"PrcsD";#N/A,#N/A,FALSE,"TunnD";#N/A,#N/A,FALSE,"CivlD";#N/A,#N/A,FALSE,"NtwkD";#N/A,#N/A,FALSE,"EstgD";#N/A,#N/A,FALSE,"PEngD"}</definedName>
    <definedName name="wjs" hidden="1">{#N/A,#N/A,FALSE,"CCTV"}</definedName>
    <definedName name="WRITE" hidden="1">{#N/A,#N/A,FALSE,"CCTV"}</definedName>
    <definedName name="wrn.all." hidden="1">{#N/A,#N/A,FALSE,"Pricing";#N/A,#N/A,FALSE,"Summary";#N/A,#N/A,FALSE,"CompProd";#N/A,#N/A,FALSE,"CompJobhrs";#N/A,#N/A,FALSE,"Escalation";#N/A,#N/A,FALSE,"Contingency";#N/A,#N/A,FALSE,"GM";#N/A,#N/A,FALSE,"CompWage";#N/A,#N/A,FALSE,"costSum"}</definedName>
    <definedName name="wrn.all._.lines." hidden="1">{#N/A,#N/A,FALSE,"Summary";#N/A,#N/A,FALSE,"3TJ";#N/A,#N/A,FALSE,"3TN";#N/A,#N/A,FALSE,"3TP";#N/A,#N/A,FALSE,"3SJ";#N/A,#N/A,FALSE,"3CJ";#N/A,#N/A,FALSE,"3CN";#N/A,#N/A,FALSE,"3CP";#N/A,#N/A,FALSE,"3A"}</definedName>
    <definedName name="wrn.Barbara._.Modular._.Indirects." hidden="1">{#N/A,#N/A,FALSE,"COVER";#N/A,#N/A,FALSE,"RECAP";#N/A,#N/A,FALSE,"SANTA BARBARA NONMANUAL";#N/A,#N/A,FALSE,"CEQUIP";#N/A,#N/A,FALSE,"WRATE";#N/A,#N/A,FALSE,"INDIRECT";#N/A,#N/A,FALSE,"TRAIN";#N/A,#N/A,FALSE,"MANLOADED SCHEDULE"}</definedName>
    <definedName name="wrn.BM." hidden="1">{#N/A,#N/A,FALSE,"CCTV"}</definedName>
    <definedName name="wrn.BOOK11." hidden="1">{"SUM",#N/A,FALSE,"summary";"BOOK11-1",#N/A,FALSE,"1CityGarden";"BOOK11-2",#N/A,FALSE,"2CountryGarden";"BOOK11-3",#N/A,FALSE,"3JUNGLE";"BOOK11-4CIVIL",#N/A,FALSE,"CIVIL"}</definedName>
    <definedName name="wrn.CHIEF._.REVIEW." hidden="1">{#N/A,#N/A,FALSE,"Q&amp;AE";#N/A,#N/A,FALSE,"Params";#N/A,#N/A,FALSE,"ReconE";#N/A,#N/A,FALSE,"CostCompE";#N/A,#N/A,FALSE,"SummaryE";#N/A,#N/A,FALSE,"Detail";#N/A,#N/A,FALSE,"PayItem"}</definedName>
    <definedName name="wrn.CIRCUITS." hidden="1">{"DBANK",#N/A,FALSE,"PriceE";"CKTS",#N/A,FALSE,"PriceE"}</definedName>
    <definedName name="wrn.COST_SHEETS." hidden="1">{#N/A,#N/A,FALSE,"WBS 1.06";#N/A,#N/A,FALSE,"WBS 1.14";#N/A,#N/A,FALSE,"WBS 1.17";#N/A,#N/A,FALSE,"WBS 1.18"}</definedName>
    <definedName name="wrn.FINAL._.ESTIMATE." hidden="1">{#N/A,#N/A,FALSE,"ProjInfo";#N/A,#N/A,FALSE,"Params";#N/A,#N/A,FALSE,"Q&amp;AE";#N/A,#N/A,FALSE,"CostCompE";#N/A,#N/A,FALSE,"SummaryE";#N/A,#N/A,FALSE,"PayItem";#N/A,#N/A,FALSE,"Detail";#N/A,#N/A,FALSE,"ReconE"}</definedName>
    <definedName name="wrn.Fuel._.oil._.option." hidden="1">{"FUEL OIL",#N/A,FALSE,"Option"}</definedName>
    <definedName name="wrn.Main._.Summary."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wrn.Payment." hidden="1">{#N/A,#N/A,TRUE,"General Summary";#N/A,#N/A,TRUE,"Preliminaries";#N/A,#N/A,TRUE,"Bill No4";#N/A,#N/A,TRUE,"BAL Cert";#N/A,#N/A,TRUE,"Valuation Info"}</definedName>
    <definedName name="wrn.PrintAll." hidden="1">{#N/A,#N/A,FALSE,"Sheet1";#N/A,#N/A,FALSE,"Sheet2";#N/A,#N/A,FALSE,"Sheet3";#N/A,#N/A,FALSE,"Sheet4";#N/A,#N/A,FALSE,"Sheet5";#N/A,#N/A,FALSE,"Sheet6";#N/A,#N/A,FALSE,"Sheet7";#N/A,#N/A,FALSE,"Sheet8";#N/A,#N/A,FALSE,"Sheet9"}</definedName>
    <definedName name="wrn.PrintallD." hidden="1">{#N/A,#N/A,FALSE,"SumD";#N/A,#N/A,FALSE,"ElecD";#N/A,#N/A,FALSE,"MechD";#N/A,#N/A,FALSE,"GeotD";#N/A,#N/A,FALSE,"PrcsD";#N/A,#N/A,FALSE,"TunnD";#N/A,#N/A,FALSE,"CivlD";#N/A,#N/A,FALSE,"NtwkD";#N/A,#N/A,FALSE,"EstgD";#N/A,#N/A,FALSE,"PEngD"}</definedName>
    <definedName name="wrn.PrintallG." hidden="1">{#N/A,#N/A,FALSE,"SumG";#N/A,#N/A,FALSE,"ElecG";#N/A,#N/A,FALSE,"MechG";#N/A,#N/A,FALSE,"GeotG";#N/A,#N/A,FALSE,"PrcsG";#N/A,#N/A,FALSE,"TunnG";#N/A,#N/A,FALSE,"CivlG";#N/A,#N/A,FALSE,"NtwkG";#N/A,#N/A,FALSE,"EstgG";#N/A,#N/A,FALSE,"PEngG"}</definedName>
    <definedName name="wrn.PrintCurr." hidden="1">{#N/A,#N/A,FALSE,"Sheet1";#N/A,#N/A,FALSE,"Sheet2";#N/A,#N/A,FALSE,"Sheet3"}</definedName>
    <definedName name="wrn.PrintPrev1." hidden="1">{#N/A,#N/A,FALSE,"Sheet4";#N/A,#N/A,FALSE,"Sheet5";#N/A,#N/A,FALSE,"Sheet6"}</definedName>
    <definedName name="wrn.PrintPrev2." hidden="1">{#N/A,#N/A,FALSE,"Sheet7";#N/A,#N/A,FALSE,"Sheet8";#N/A,#N/A,FALSE,"Sheet9"}</definedName>
    <definedName name="wrn.Redundant._.Equipment._.Option." hidden="1">{"pumps",#N/A,FALSE,"Option"}</definedName>
    <definedName name="wrn.report1." hidden="1">{#N/A,#N/A,FALSE,"特殊室（ＢＱ表）"}</definedName>
    <definedName name="wrn.STG._.BLDG._.ENCLOSURE." hidden="1">{"turbine",#N/A,FALSE,"Option"}</definedName>
    <definedName name="wrn.struckgi." hidden="1">{#N/A,#N/A,TRUE,"arnitower";#N/A,#N/A,TRUE,"arnigarage "}</definedName>
    <definedName name="wrn.Summary." hidden="1">{#N/A,#N/A,TRUE,"1_SUMMARY";#N/A,#N/A,TRUE,"1_PROJECT MAN";#N/A,#N/A,TRUE,"1_ENGINEERING";#N/A,#N/A,TRUE,"1_SITE PERSONNEL";#N/A,#N/A,TRUE,"1_MATERIALS";#N/A,#N/A,TRUE,"1_SUB-CONTRACTS";#N/A,#N/A,TRUE,"1_SITE COSTS";#N/A,#N/A,TRUE,"1_TRANSPORTATION";#N/A,#N/A,TRUE,"1_TRAVEL &amp; EXPENSES";#N/A,#N/A,TRUE,"1_FINANCIAL";#N/A,#N/A,TRUE,"1_PM MANNING";#N/A,#N/A,TRUE,"1_ENG MANNING";#N/A,#N/A,TRUE,"1_SITE MANNING"}</definedName>
    <definedName name="wrn.WHOUSE._.CT." hidden="1">{"WESTINGHOUSE",#N/A,FALSE,"Option"}</definedName>
    <definedName name="wrn.손익보고." hidden="1">{#N/A,#N/A,FALSE,"손익표지";#N/A,#N/A,FALSE,"손익계산";#N/A,#N/A,FALSE,"일반관리비";#N/A,#N/A,FALSE,"영업외수익";#N/A,#N/A,FALSE,"영업외비용";#N/A,#N/A,FALSE,"매출액";#N/A,#N/A,FALSE,"요약손익";#N/A,#N/A,FALSE,"요약대차";#N/A,#N/A,FALSE,"매출채권현황";#N/A,#N/A,FALSE,"매출채권명세"}</definedName>
    <definedName name="WRS" hidden="1">{"'장비'!$A$3:$M$12"}</definedName>
    <definedName name="xc" hidden="1">{#N/A,#N/A,FALSE,"SumD";#N/A,#N/A,FALSE,"ElecD";#N/A,#N/A,FALSE,"MechD";#N/A,#N/A,FALSE,"GeotD";#N/A,#N/A,FALSE,"PrcsD";#N/A,#N/A,FALSE,"TunnD";#N/A,#N/A,FALSE,"CivlD";#N/A,#N/A,FALSE,"NtwkD";#N/A,#N/A,FALSE,"EstgD";#N/A,#N/A,FALSE,"PEngD"}</definedName>
    <definedName name="xx" hidden="1">{#N/A,#N/A,FALSE,"SumD";#N/A,#N/A,FALSE,"ElecD";#N/A,#N/A,FALSE,"MechD";#N/A,#N/A,FALSE,"GeotD";#N/A,#N/A,FALSE,"PrcsD";#N/A,#N/A,FALSE,"TunnD";#N/A,#N/A,FALSE,"CivlD";#N/A,#N/A,FALSE,"NtwkD";#N/A,#N/A,FALSE,"EstgD";#N/A,#N/A,FALSE,"PEngD"}</definedName>
    <definedName name="yddfjfj">#REF!</definedName>
    <definedName name="ydru">#REF!</definedName>
    <definedName name="yrdtytyt" hidden="1">{#N/A,#N/A,FALSE,"CCTV"}</definedName>
    <definedName name="yu">#REF!</definedName>
    <definedName name="yui">#REF!</definedName>
    <definedName name="yuiko">#REF!</definedName>
    <definedName name="yy" hidden="1">{"'장비'!$A$3:$M$12"}</definedName>
    <definedName name="zeqq" hidden="1">{"'장비'!$A$3:$M$12"}</definedName>
    <definedName name="zfgxdgd">#REF!</definedName>
    <definedName name="zse" hidden="1">{#N/A,#N/A,FALSE,"SumG";#N/A,#N/A,FALSE,"ElecG";#N/A,#N/A,FALSE,"MechG";#N/A,#N/A,FALSE,"GeotG";#N/A,#N/A,FALSE,"PrcsG";#N/A,#N/A,FALSE,"TunnG";#N/A,#N/A,FALSE,"CivlG";#N/A,#N/A,FALSE,"NtwkG";#N/A,#N/A,FALSE,"EstgG";#N/A,#N/A,FALSE,"PEngG"}</definedName>
    <definedName name="zz" hidden="1">{#N/A,#N/A,FALSE,"SumD";#N/A,#N/A,FALSE,"ElecD";#N/A,#N/A,FALSE,"MechD";#N/A,#N/A,FALSE,"GeotD";#N/A,#N/A,FALSE,"PrcsD";#N/A,#N/A,FALSE,"TunnD";#N/A,#N/A,FALSE,"CivlD";#N/A,#N/A,FALSE,"NtwkD";#N/A,#N/A,FALSE,"EstgD";#N/A,#N/A,FALSE,"PEngD"}</definedName>
    <definedName name="ㄱㄷㄱㄷㄱㄱㅎㄺㄷ" hidden="1">{"'장비'!$A$3:$M$12"}</definedName>
    <definedName name="견적조건" hidden="1">#REF!</definedName>
    <definedName name="견적품의서" hidden="1">{"'장비'!$A$3:$M$12"}</definedName>
    <definedName name="ㄴㅁㄹㅈㄹ" hidden="1">#REF!</definedName>
    <definedName name="ㄴㅇㄹ" hidden="1">{#N/A,#N/A,FALSE,"CCTV"}</definedName>
    <definedName name="ㄷㄳ" hidden="1">{"'장비'!$A$3:$M$12"}</definedName>
    <definedName name="ㄷㄷㄷㄷ" hidden="1">{"'장비'!$A$3:$M$12"}</definedName>
    <definedName name="ㄷㅈㅂㄷ" hidden="1">{"'장비'!$A$3:$M$12"}</definedName>
    <definedName name="ㄷㅎㄹㅇ" hidden="1">#REF!</definedName>
    <definedName name="동영" hidden="1">{#N/A,#N/A,FALSE,"CCTV"}</definedName>
    <definedName name="ㄹㄹ" hidden="1">{"'장비'!$A$3:$M$12"}</definedName>
    <definedName name="뭉" hidden="1">{"'장비'!$A$3:$M$12"}</definedName>
    <definedName name="ㅂㅈㄱㅂㅈㄷㄱ" hidden="1">{"'장비'!$A$3:$M$12"}</definedName>
    <definedName name="ㅂㅈㄷ" hidden="1">{"'장비'!$A$3:$M$12"}</definedName>
    <definedName name="ㅂㅈㄷㄷㅂㅈㅈㅂ" hidden="1">{"'장비'!$A$3:$M$12"}</definedName>
    <definedName name="ㅂㅈㄷㅂㅈ" hidden="1">{"'장비'!$A$3:$M$12"}</definedName>
    <definedName name="ㅂㅈㄷㅂㅈㅈㅂㄷ" hidden="1">{"'장비'!$A$3:$M$12"}</definedName>
    <definedName name="ㅂㅈㄷㅈㅂㄷ" hidden="1">{"'장비'!$A$3:$M$12"}</definedName>
    <definedName name="부대공사" hidden="1">#REF!</definedName>
    <definedName name="ㅅㄱㄱㄷ" hidden="1">{"'장비'!$A$3:$M$12"}</definedName>
    <definedName name="ㅅㅅㅅㅅㅅ" hidden="1">{"'장비'!$A$3:$M$12"}</definedName>
    <definedName name="사업비최종" hidden="1">{#N/A,#N/A,FALSE,"손익표지";#N/A,#N/A,FALSE,"손익계산";#N/A,#N/A,FALSE,"일반관리비";#N/A,#N/A,FALSE,"영업외수익";#N/A,#N/A,FALSE,"영업외비용";#N/A,#N/A,FALSE,"매출액";#N/A,#N/A,FALSE,"요약손익";#N/A,#N/A,FALSE,"요약대차";#N/A,#N/A,FALSE,"매출채권현황";#N/A,#N/A,FALSE,"매출채권명세"}</definedName>
    <definedName name="쇼ㅗㅎ로" hidden="1">{"'장비'!$A$3:$M$12"}</definedName>
    <definedName name="연습"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전기" hidden="1">{"'장비'!$A$3:$M$12"}</definedName>
    <definedName name="전기공사비교" hidden="1">{#N/A,#N/A,FALSE,"손익표지";#N/A,#N/A,FALSE,"손익계산";#N/A,#N/A,FALSE,"일반관리비";#N/A,#N/A,FALSE,"영업외수익";#N/A,#N/A,FALSE,"영업외비용";#N/A,#N/A,FALSE,"매출액";#N/A,#N/A,FALSE,"요약손익";#N/A,#N/A,FALSE,"요약대차";#N/A,#N/A,FALSE,"매출채권현황";#N/A,#N/A,FALSE,"매출채권명세"}</definedName>
    <definedName name="찰샇기" hidden="1">#REF!</definedName>
    <definedName name="토건" hidden="1">{"'장비'!$A$3:$M$12"}</definedName>
    <definedName name="토건공사비대비r" hidden="1">{"'장비'!$A$3:$M$12"}</definedName>
    <definedName name="토건업체" hidden="1">{"'장비'!$A$3:$M$12"}</definedName>
    <definedName name="토건집계표r" hidden="1">{"'장비'!$A$3:$M$12"}</definedName>
    <definedName name="투찰예정가50" hidden="1">{"'장비'!$A$3:$M$12"}</definedName>
    <definedName name="투찰예정본부장" hidden="1">{"'장비'!$A$3:$M$12"}</definedName>
    <definedName name="ㅎㅎㅎㅎ" hidden="1">{"'장비'!$A$3:$M$12"}</definedName>
    <definedName name="ㅗ홓ㅎ로" hidden="1">{"'장비'!$A$3:$M$12"}</definedName>
    <definedName name="ㅗㅗㅗㅗㅗ" hidden="1">{"'장비'!$A$3:$M$12"}</definedName>
    <definedName name="ㅛ" hidden="1">{"'장비'!$A$3:$M$12"}</definedName>
    <definedName name="ㅛㅛㅛ" hidden="1">{"'장비'!$A$3:$M$12"}</definedName>
    <definedName name="ㅠ뮤ㅐ" hidden="1">#REF!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41" i="7" l="1"/>
  <c r="C40" i="7"/>
  <c r="C39" i="7"/>
  <c r="C38" i="7"/>
  <c r="C37" i="7"/>
  <c r="C36" i="7"/>
  <c r="C35" i="7"/>
  <c r="C34" i="7"/>
  <c r="C33" i="7"/>
  <c r="C32" i="7"/>
  <c r="C31" i="7"/>
  <c r="C30" i="7"/>
  <c r="C29" i="7"/>
  <c r="C28" i="7"/>
  <c r="C27" i="7"/>
  <c r="C26" i="7"/>
  <c r="C25" i="7"/>
  <c r="C24" i="7"/>
  <c r="C23" i="7"/>
  <c r="C22" i="7"/>
  <c r="C21" i="7"/>
  <c r="C20" i="7"/>
  <c r="C19" i="7"/>
  <c r="C18" i="7"/>
  <c r="C17" i="7"/>
  <c r="C16" i="7"/>
  <c r="C15" i="7"/>
  <c r="C14" i="7"/>
  <c r="C13" i="7"/>
  <c r="C12" i="7"/>
  <c r="C11" i="7"/>
  <c r="C10" i="7"/>
  <c r="C9" i="7"/>
  <c r="C8" i="7"/>
  <c r="C7" i="7"/>
  <c r="C6" i="7"/>
  <c r="C5" i="7"/>
  <c r="C4" i="7"/>
  <c r="H329" i="20"/>
  <c r="H330" i="20"/>
  <c r="H331" i="20"/>
  <c r="L100" i="20"/>
  <c r="L99" i="20"/>
  <c r="J100" i="20"/>
  <c r="J99" i="20"/>
  <c r="I100" i="20"/>
  <c r="I99" i="20"/>
  <c r="G45" i="8"/>
  <c r="G44" i="8"/>
  <c r="G43" i="8"/>
  <c r="G42" i="8"/>
  <c r="G41" i="8"/>
  <c r="G40" i="8"/>
  <c r="G39" i="8"/>
  <c r="G38" i="8"/>
  <c r="G37" i="8"/>
  <c r="G36" i="8"/>
  <c r="G35" i="8"/>
  <c r="G34" i="8"/>
  <c r="G33" i="8"/>
  <c r="G32" i="8"/>
  <c r="G31" i="8"/>
  <c r="G30" i="8"/>
  <c r="G29" i="8"/>
  <c r="G28" i="8"/>
  <c r="G27" i="8"/>
  <c r="G26" i="8"/>
  <c r="G25" i="8"/>
  <c r="G24" i="8"/>
  <c r="G23" i="8"/>
  <c r="G22" i="8"/>
  <c r="G21" i="8"/>
  <c r="G20" i="8"/>
  <c r="G19" i="8"/>
  <c r="G18" i="8"/>
  <c r="G17" i="8"/>
  <c r="G16" i="8"/>
  <c r="G15" i="8"/>
  <c r="G14" i="8"/>
  <c r="G13" i="8"/>
  <c r="G12" i="8"/>
  <c r="G11" i="8"/>
  <c r="G10" i="8"/>
  <c r="G9" i="8"/>
  <c r="G8" i="8"/>
  <c r="G7" i="8"/>
  <c r="G6" i="8"/>
  <c r="G5" i="8"/>
  <c r="G4" i="8"/>
  <c r="C50" i="24" l="1"/>
  <c r="C50" i="23"/>
  <c r="H327" i="20"/>
  <c r="BD5" i="10"/>
  <c r="BD6" i="10"/>
  <c r="BD7" i="10"/>
  <c r="BD8" i="10"/>
  <c r="BD9" i="10"/>
  <c r="BD10" i="10"/>
  <c r="BD11" i="10"/>
  <c r="BD12" i="10"/>
  <c r="BD13" i="10"/>
  <c r="BD14" i="10"/>
  <c r="BD15" i="10"/>
  <c r="BD16" i="10"/>
  <c r="BD17" i="10"/>
  <c r="BD18" i="10"/>
  <c r="BD19" i="10"/>
  <c r="BD20" i="10"/>
  <c r="BD21" i="10"/>
  <c r="BD22" i="10"/>
  <c r="BD23" i="10"/>
  <c r="BD24" i="10"/>
  <c r="BD25" i="10"/>
  <c r="BD26" i="10"/>
  <c r="BD27" i="10"/>
  <c r="BD28" i="10"/>
  <c r="BD29" i="10"/>
  <c r="BD30" i="10"/>
  <c r="BD31" i="10"/>
  <c r="BD32" i="10"/>
  <c r="BD33" i="10"/>
  <c r="BD34" i="10"/>
  <c r="BD35" i="10"/>
  <c r="BD36" i="10"/>
  <c r="BD37" i="10"/>
  <c r="BD38" i="10"/>
  <c r="BD39" i="10"/>
  <c r="BD40" i="10"/>
  <c r="BD41" i="10"/>
  <c r="BD42" i="10"/>
  <c r="BD43" i="10"/>
  <c r="BD44" i="10"/>
  <c r="BD45" i="10"/>
  <c r="BD46" i="10"/>
  <c r="BD47" i="10"/>
  <c r="BD48" i="10"/>
  <c r="BD49" i="10"/>
  <c r="BD50" i="10"/>
  <c r="BD51" i="10"/>
  <c r="BD52" i="10"/>
  <c r="BD53" i="10"/>
  <c r="BD54" i="10"/>
  <c r="BD55" i="10"/>
  <c r="BD56" i="10"/>
  <c r="BD4" i="10"/>
  <c r="I146" i="20"/>
  <c r="I145" i="20"/>
  <c r="I144" i="20"/>
  <c r="I143" i="20"/>
  <c r="I142" i="20"/>
  <c r="I141" i="20"/>
  <c r="I140" i="20"/>
  <c r="I139" i="20"/>
  <c r="I138" i="20"/>
  <c r="I137" i="20"/>
  <c r="I136" i="20"/>
  <c r="I135" i="20"/>
  <c r="I134" i="20"/>
  <c r="I133" i="20"/>
  <c r="I132" i="20"/>
  <c r="I131" i="20"/>
  <c r="I130" i="20"/>
  <c r="I129" i="20"/>
  <c r="I128" i="20"/>
  <c r="I127" i="20"/>
  <c r="I126" i="20"/>
  <c r="I125" i="20"/>
  <c r="I124" i="20"/>
  <c r="I123" i="20"/>
  <c r="I122" i="20"/>
  <c r="I121" i="20"/>
  <c r="I120" i="20"/>
  <c r="I119" i="20"/>
  <c r="I118" i="20"/>
  <c r="I117" i="20"/>
  <c r="I116" i="20"/>
  <c r="I115" i="20"/>
  <c r="I114" i="20"/>
  <c r="I113" i="20"/>
  <c r="I112" i="20"/>
  <c r="I111" i="20"/>
  <c r="I110" i="20"/>
  <c r="I109" i="20"/>
  <c r="I108" i="20"/>
  <c r="I107" i="20"/>
  <c r="I106" i="20"/>
  <c r="I105" i="20"/>
  <c r="I104" i="20"/>
  <c r="I103" i="20"/>
  <c r="I102" i="20"/>
  <c r="I101" i="20"/>
  <c r="I98" i="20"/>
  <c r="I97" i="20"/>
  <c r="I96" i="20"/>
  <c r="I95" i="20"/>
  <c r="I94" i="20"/>
  <c r="I93" i="20"/>
  <c r="I92" i="20"/>
  <c r="I91" i="20"/>
  <c r="I90" i="20"/>
  <c r="I89" i="20"/>
  <c r="I88" i="20"/>
  <c r="I87" i="20"/>
  <c r="I86" i="20"/>
  <c r="I85" i="20"/>
  <c r="I84" i="20"/>
  <c r="I83" i="20"/>
  <c r="I82" i="20"/>
  <c r="I81" i="20"/>
  <c r="I80" i="20"/>
  <c r="I79" i="20"/>
  <c r="I78" i="20"/>
  <c r="I77" i="20"/>
  <c r="I76" i="20"/>
  <c r="I75" i="20"/>
  <c r="I74" i="20"/>
  <c r="I73" i="20"/>
  <c r="I72" i="20"/>
  <c r="I71" i="20"/>
  <c r="I70" i="20"/>
  <c r="I69" i="20"/>
  <c r="I68" i="20"/>
  <c r="I67" i="20"/>
  <c r="I66" i="20"/>
  <c r="I65" i="20"/>
  <c r="I64" i="20"/>
  <c r="I63" i="20"/>
  <c r="I62" i="20"/>
  <c r="I61" i="20"/>
  <c r="I60" i="20"/>
  <c r="I59" i="20"/>
  <c r="B31" i="20"/>
  <c r="BL41" i="7"/>
  <c r="BL40" i="7"/>
  <c r="BL39" i="7"/>
  <c r="BL38" i="7"/>
  <c r="BL37" i="7"/>
  <c r="BL36" i="7"/>
  <c r="BL35" i="7"/>
  <c r="BL34" i="7"/>
  <c r="BL33" i="7"/>
  <c r="BL32" i="7"/>
  <c r="BL31" i="7"/>
  <c r="BL30" i="7"/>
  <c r="BL29" i="7"/>
  <c r="BL28" i="7"/>
  <c r="BL27" i="7"/>
  <c r="BL26" i="7"/>
  <c r="BL25" i="7"/>
  <c r="BL24" i="7"/>
  <c r="BL23" i="7"/>
  <c r="BL22" i="7"/>
  <c r="BL21" i="7"/>
  <c r="BL20" i="7"/>
  <c r="BL19" i="7"/>
  <c r="BL18" i="7"/>
  <c r="BL17" i="7"/>
  <c r="BL16" i="7"/>
  <c r="BL15" i="7"/>
  <c r="BL14" i="7"/>
  <c r="BL13" i="7"/>
  <c r="BL12" i="7"/>
  <c r="BL11" i="7"/>
  <c r="BL10" i="7"/>
  <c r="BL9" i="7"/>
  <c r="BL8" i="7"/>
  <c r="BL7" i="7"/>
  <c r="BL6" i="7"/>
  <c r="BL5" i="7"/>
  <c r="BL4" i="7"/>
  <c r="BI56" i="10" l="1"/>
  <c r="BI55" i="10"/>
  <c r="BI54" i="10"/>
  <c r="BI53" i="10"/>
  <c r="BI52" i="10"/>
  <c r="BI51" i="10"/>
  <c r="BI50" i="10"/>
  <c r="BI49" i="10"/>
  <c r="BI48" i="10"/>
  <c r="BI47" i="10"/>
  <c r="BI46" i="10"/>
  <c r="BI45" i="10"/>
  <c r="BI44" i="10"/>
  <c r="BI43" i="10"/>
  <c r="BI42" i="10"/>
  <c r="BI41" i="10"/>
  <c r="BI40" i="10"/>
  <c r="BI39" i="10"/>
  <c r="BI38" i="10"/>
  <c r="BI37" i="10"/>
  <c r="BI36" i="10"/>
  <c r="BI35" i="10"/>
  <c r="BI34" i="10"/>
  <c r="BI33" i="10"/>
  <c r="BI32" i="10"/>
  <c r="BI31" i="10"/>
  <c r="BI30" i="10"/>
  <c r="BI29" i="10"/>
  <c r="BI28" i="10"/>
  <c r="BI27" i="10"/>
  <c r="BI26" i="10"/>
  <c r="BI25" i="10"/>
  <c r="BI24" i="10"/>
  <c r="BI23" i="10"/>
  <c r="BI22" i="10"/>
  <c r="BI21" i="10"/>
  <c r="BI20" i="10"/>
  <c r="BI19" i="10"/>
  <c r="BI18" i="10"/>
  <c r="BI17" i="10"/>
  <c r="BI16" i="10"/>
  <c r="BI15" i="10"/>
  <c r="BI14" i="10"/>
  <c r="BI13" i="10"/>
  <c r="BI12" i="10"/>
  <c r="BI11" i="10"/>
  <c r="BI10" i="10"/>
  <c r="BI9" i="10"/>
  <c r="BI8" i="10"/>
  <c r="BI7" i="10"/>
  <c r="BI6" i="10"/>
  <c r="BI5" i="10"/>
  <c r="BI4" i="10"/>
  <c r="L84" i="20"/>
  <c r="J84" i="20"/>
  <c r="B23" i="7"/>
  <c r="B24" i="7"/>
  <c r="B25" i="7"/>
  <c r="B26" i="7"/>
  <c r="B27" i="7"/>
  <c r="B28" i="7"/>
  <c r="B29" i="7"/>
  <c r="B30" i="7"/>
  <c r="B31" i="7"/>
  <c r="B32" i="7"/>
  <c r="B33" i="7"/>
  <c r="B34" i="7"/>
  <c r="B35" i="7"/>
  <c r="B36" i="7"/>
  <c r="B37" i="7"/>
  <c r="B38" i="7"/>
  <c r="B39" i="7"/>
  <c r="B40" i="7"/>
  <c r="B41" i="7"/>
  <c r="A22" i="7"/>
  <c r="A23" i="7"/>
  <c r="A24" i="7"/>
  <c r="A25" i="7"/>
  <c r="A26" i="7"/>
  <c r="A27" i="7"/>
  <c r="A28" i="7"/>
  <c r="A29" i="7"/>
  <c r="A30" i="7"/>
  <c r="A31" i="7"/>
  <c r="A32" i="7"/>
  <c r="A33" i="7"/>
  <c r="A34" i="7"/>
  <c r="A35" i="7"/>
  <c r="A36" i="7"/>
  <c r="A37" i="7"/>
  <c r="A38" i="7"/>
  <c r="A39" i="7"/>
  <c r="A40" i="7"/>
  <c r="A41" i="7"/>
  <c r="I74" i="8" l="1"/>
  <c r="F74" i="8"/>
  <c r="D74" i="8"/>
  <c r="I73" i="8"/>
  <c r="F73" i="8"/>
  <c r="D73" i="8"/>
  <c r="F72" i="8"/>
  <c r="D72" i="8"/>
  <c r="F71" i="8"/>
  <c r="D71" i="8"/>
  <c r="I70" i="8"/>
  <c r="F70" i="8"/>
  <c r="D70" i="8"/>
  <c r="I69" i="8"/>
  <c r="F69" i="8"/>
  <c r="D69" i="8"/>
  <c r="I68" i="8"/>
  <c r="F68" i="8"/>
  <c r="D68" i="8"/>
  <c r="I67" i="8"/>
  <c r="F67" i="8"/>
  <c r="D67" i="8"/>
  <c r="I66" i="8"/>
  <c r="F66" i="8"/>
  <c r="D66" i="8"/>
  <c r="I65" i="8"/>
  <c r="F65" i="8"/>
  <c r="D65" i="8"/>
  <c r="I60" i="8"/>
  <c r="F60" i="8"/>
  <c r="D60" i="8"/>
  <c r="F59" i="8"/>
  <c r="D59" i="8"/>
  <c r="I58" i="8"/>
  <c r="F58" i="8"/>
  <c r="D58" i="8"/>
  <c r="F57" i="8"/>
  <c r="D57" i="8"/>
  <c r="I56" i="8"/>
  <c r="F56" i="8"/>
  <c r="D56" i="8"/>
  <c r="I55" i="8"/>
  <c r="F55" i="8"/>
  <c r="D55" i="8"/>
  <c r="I54" i="8"/>
  <c r="F54" i="8"/>
  <c r="D54" i="8"/>
  <c r="I53" i="8"/>
  <c r="F53" i="8"/>
  <c r="D53" i="8"/>
  <c r="I52" i="8"/>
  <c r="F52" i="8"/>
  <c r="D52" i="8"/>
  <c r="I51" i="8"/>
  <c r="F51" i="8"/>
  <c r="D51" i="8"/>
  <c r="C5" i="10" l="1"/>
  <c r="D5" i="10"/>
  <c r="A5" i="10" s="1"/>
  <c r="H5" i="10"/>
  <c r="J5" i="10" s="1"/>
  <c r="C6" i="10"/>
  <c r="D6" i="10"/>
  <c r="A6" i="10" s="1"/>
  <c r="H6" i="10"/>
  <c r="I6" i="10" s="1"/>
  <c r="BK6" i="10" s="1"/>
  <c r="C7" i="10"/>
  <c r="D7" i="10"/>
  <c r="E7" i="10" s="1"/>
  <c r="H7" i="10"/>
  <c r="I7" i="10" s="1"/>
  <c r="BK7" i="10" s="1"/>
  <c r="C8" i="10"/>
  <c r="D8" i="10"/>
  <c r="A8" i="10" s="1"/>
  <c r="H8" i="10"/>
  <c r="I8" i="10" s="1"/>
  <c r="BK8" i="10" s="1"/>
  <c r="C9" i="10"/>
  <c r="D9" i="10"/>
  <c r="A9" i="10" s="1"/>
  <c r="H9" i="10"/>
  <c r="J9" i="10" s="1"/>
  <c r="C10" i="10"/>
  <c r="D10" i="10"/>
  <c r="E10" i="10" s="1"/>
  <c r="H10" i="10"/>
  <c r="I10" i="10" s="1"/>
  <c r="BK10" i="10" s="1"/>
  <c r="C11" i="10"/>
  <c r="D11" i="10"/>
  <c r="E11" i="10" s="1"/>
  <c r="H11" i="10"/>
  <c r="I11" i="10" s="1"/>
  <c r="BK11" i="10" s="1"/>
  <c r="C12" i="10"/>
  <c r="D12" i="10"/>
  <c r="A12" i="10" s="1"/>
  <c r="H12" i="10"/>
  <c r="I12" i="10" s="1"/>
  <c r="BL12" i="10" s="1"/>
  <c r="C13" i="10"/>
  <c r="D13" i="10"/>
  <c r="A13" i="10" s="1"/>
  <c r="H13" i="10"/>
  <c r="J13" i="10" s="1"/>
  <c r="C14" i="10"/>
  <c r="D14" i="10"/>
  <c r="E14" i="10" s="1"/>
  <c r="H14" i="10"/>
  <c r="I14" i="10" s="1"/>
  <c r="BK14" i="10" s="1"/>
  <c r="C15" i="10"/>
  <c r="D15" i="10"/>
  <c r="E15" i="10" s="1"/>
  <c r="H15" i="10"/>
  <c r="I15" i="10" s="1"/>
  <c r="BK15" i="10" s="1"/>
  <c r="C16" i="10"/>
  <c r="D16" i="10"/>
  <c r="A16" i="10" s="1"/>
  <c r="H16" i="10"/>
  <c r="I16" i="10" s="1"/>
  <c r="BL16" i="10" s="1"/>
  <c r="C17" i="10"/>
  <c r="D17" i="10"/>
  <c r="A17" i="10" s="1"/>
  <c r="H17" i="10"/>
  <c r="J17" i="10" s="1"/>
  <c r="C18" i="10"/>
  <c r="D18" i="10"/>
  <c r="B18" i="10" s="1"/>
  <c r="H18" i="10"/>
  <c r="I18" i="10" s="1"/>
  <c r="BK18" i="10" s="1"/>
  <c r="C19" i="10"/>
  <c r="D19" i="10"/>
  <c r="E19" i="10" s="1"/>
  <c r="H19" i="10"/>
  <c r="I19" i="10" s="1"/>
  <c r="BK19" i="10" s="1"/>
  <c r="C20" i="10"/>
  <c r="D20" i="10"/>
  <c r="A20" i="10" s="1"/>
  <c r="H20" i="10"/>
  <c r="I20" i="10" s="1"/>
  <c r="BK20" i="10" s="1"/>
  <c r="C21" i="10"/>
  <c r="D21" i="10"/>
  <c r="A21" i="10" s="1"/>
  <c r="H21" i="10"/>
  <c r="J21" i="10" s="1"/>
  <c r="C22" i="10"/>
  <c r="D22" i="10"/>
  <c r="E22" i="10" s="1"/>
  <c r="H22" i="10"/>
  <c r="I22" i="10" s="1"/>
  <c r="BL22" i="10" s="1"/>
  <c r="C23" i="10"/>
  <c r="D23" i="10"/>
  <c r="E23" i="10" s="1"/>
  <c r="H23" i="10"/>
  <c r="I23" i="10" s="1"/>
  <c r="BK23" i="10" s="1"/>
  <c r="C24" i="10"/>
  <c r="D24" i="10"/>
  <c r="A24" i="10" s="1"/>
  <c r="H24" i="10"/>
  <c r="I24" i="10" s="1"/>
  <c r="BK24" i="10" s="1"/>
  <c r="C25" i="10"/>
  <c r="D25" i="10"/>
  <c r="A25" i="10" s="1"/>
  <c r="H25" i="10"/>
  <c r="J25" i="10" s="1"/>
  <c r="C26" i="10"/>
  <c r="D26" i="10"/>
  <c r="E26" i="10" s="1"/>
  <c r="H26" i="10"/>
  <c r="I26" i="10" s="1"/>
  <c r="BK26" i="10" s="1"/>
  <c r="C27" i="10"/>
  <c r="D27" i="10"/>
  <c r="E27" i="10" s="1"/>
  <c r="H27" i="10"/>
  <c r="I27" i="10" s="1"/>
  <c r="BK27" i="10" s="1"/>
  <c r="C28" i="10"/>
  <c r="D28" i="10"/>
  <c r="A28" i="10" s="1"/>
  <c r="H28" i="10"/>
  <c r="I28" i="10" s="1"/>
  <c r="BK28" i="10" s="1"/>
  <c r="C29" i="10"/>
  <c r="D29" i="10"/>
  <c r="A29" i="10" s="1"/>
  <c r="H29" i="10"/>
  <c r="J29" i="10" s="1"/>
  <c r="C30" i="10"/>
  <c r="D30" i="10"/>
  <c r="E30" i="10" s="1"/>
  <c r="H30" i="10"/>
  <c r="I30" i="10" s="1"/>
  <c r="BK30" i="10" s="1"/>
  <c r="C31" i="10"/>
  <c r="D31" i="10"/>
  <c r="E31" i="10" s="1"/>
  <c r="H31" i="10"/>
  <c r="I31" i="10" s="1"/>
  <c r="BK31" i="10" s="1"/>
  <c r="C32" i="10"/>
  <c r="D32" i="10"/>
  <c r="A32" i="10" s="1"/>
  <c r="H32" i="10"/>
  <c r="I32" i="10" s="1"/>
  <c r="BK32" i="10" s="1"/>
  <c r="C33" i="10"/>
  <c r="D33" i="10"/>
  <c r="A33" i="10" s="1"/>
  <c r="H33" i="10"/>
  <c r="J33" i="10" s="1"/>
  <c r="C34" i="10"/>
  <c r="D34" i="10"/>
  <c r="E34" i="10" s="1"/>
  <c r="H34" i="10"/>
  <c r="I34" i="10" s="1"/>
  <c r="BK34" i="10" s="1"/>
  <c r="C35" i="10"/>
  <c r="D35" i="10"/>
  <c r="E35" i="10" s="1"/>
  <c r="H35" i="10"/>
  <c r="I35" i="10" s="1"/>
  <c r="BK35" i="10" s="1"/>
  <c r="C36" i="10"/>
  <c r="D36" i="10"/>
  <c r="A36" i="10" s="1"/>
  <c r="H36" i="10"/>
  <c r="I36" i="10" s="1"/>
  <c r="BK36" i="10" s="1"/>
  <c r="C37" i="10"/>
  <c r="D37" i="10"/>
  <c r="A37" i="10" s="1"/>
  <c r="H37" i="10"/>
  <c r="J37" i="10" s="1"/>
  <c r="C38" i="10"/>
  <c r="D38" i="10"/>
  <c r="E38" i="10" s="1"/>
  <c r="H38" i="10"/>
  <c r="I38" i="10" s="1"/>
  <c r="BK38" i="10" s="1"/>
  <c r="C39" i="10"/>
  <c r="D39" i="10"/>
  <c r="E39" i="10" s="1"/>
  <c r="H39" i="10"/>
  <c r="I39" i="10" s="1"/>
  <c r="BK39" i="10" s="1"/>
  <c r="C40" i="10"/>
  <c r="D40" i="10"/>
  <c r="A40" i="10" s="1"/>
  <c r="H40" i="10"/>
  <c r="I40" i="10" s="1"/>
  <c r="BK40" i="10" s="1"/>
  <c r="C41" i="10"/>
  <c r="D41" i="10"/>
  <c r="A41" i="10" s="1"/>
  <c r="H41" i="10"/>
  <c r="J41" i="10" s="1"/>
  <c r="C42" i="10"/>
  <c r="D42" i="10"/>
  <c r="B42" i="10" s="1"/>
  <c r="H42" i="10"/>
  <c r="I42" i="10" s="1"/>
  <c r="BK42" i="10" s="1"/>
  <c r="C43" i="10"/>
  <c r="D43" i="10"/>
  <c r="B43" i="10" s="1"/>
  <c r="H43" i="10"/>
  <c r="I43" i="10" s="1"/>
  <c r="BL43" i="10" s="1"/>
  <c r="C44" i="10"/>
  <c r="D44" i="10"/>
  <c r="A44" i="10" s="1"/>
  <c r="H44" i="10"/>
  <c r="J44" i="10" s="1"/>
  <c r="C45" i="10"/>
  <c r="D45" i="10"/>
  <c r="A45" i="10" s="1"/>
  <c r="H45" i="10"/>
  <c r="J45" i="10" s="1"/>
  <c r="C46" i="10"/>
  <c r="D46" i="10"/>
  <c r="E46" i="10" s="1"/>
  <c r="H46" i="10"/>
  <c r="I46" i="10" s="1"/>
  <c r="BK46" i="10" s="1"/>
  <c r="C47" i="10"/>
  <c r="D47" i="10"/>
  <c r="B47" i="10" s="1"/>
  <c r="H47" i="10"/>
  <c r="I47" i="10" s="1"/>
  <c r="BL47" i="10" s="1"/>
  <c r="C48" i="10"/>
  <c r="D48" i="10"/>
  <c r="A48" i="10" s="1"/>
  <c r="H48" i="10"/>
  <c r="J48" i="10" s="1"/>
  <c r="C49" i="10"/>
  <c r="D49" i="10"/>
  <c r="A49" i="10" s="1"/>
  <c r="H49" i="10"/>
  <c r="J49" i="10" s="1"/>
  <c r="C50" i="10"/>
  <c r="D50" i="10"/>
  <c r="E50" i="10" s="1"/>
  <c r="H50" i="10"/>
  <c r="I50" i="10" s="1"/>
  <c r="BK50" i="10" s="1"/>
  <c r="C51" i="10"/>
  <c r="D51" i="10"/>
  <c r="B51" i="10" s="1"/>
  <c r="H51" i="10"/>
  <c r="I51" i="10" s="1"/>
  <c r="BK51" i="10" s="1"/>
  <c r="C52" i="10"/>
  <c r="D52" i="10"/>
  <c r="A52" i="10" s="1"/>
  <c r="H52" i="10"/>
  <c r="J52" i="10" s="1"/>
  <c r="C53" i="10"/>
  <c r="D53" i="10"/>
  <c r="A53" i="10" s="1"/>
  <c r="H53" i="10"/>
  <c r="J53" i="10" s="1"/>
  <c r="C54" i="10"/>
  <c r="D54" i="10"/>
  <c r="E54" i="10" s="1"/>
  <c r="H54" i="10"/>
  <c r="I54" i="10" s="1"/>
  <c r="BK54" i="10" s="1"/>
  <c r="C55" i="10"/>
  <c r="D55" i="10"/>
  <c r="B55" i="10" s="1"/>
  <c r="H55" i="10"/>
  <c r="I55" i="10" s="1"/>
  <c r="BL55" i="10" s="1"/>
  <c r="C56" i="10"/>
  <c r="D56" i="10"/>
  <c r="A56" i="10" s="1"/>
  <c r="H56" i="10"/>
  <c r="J56" i="10" s="1"/>
  <c r="H4" i="10"/>
  <c r="I4" i="10" s="1"/>
  <c r="BL4" i="10" s="1"/>
  <c r="D4" i="10"/>
  <c r="E4" i="10" s="1"/>
  <c r="C4" i="10"/>
  <c r="H328" i="20"/>
  <c r="H326" i="20"/>
  <c r="H325" i="20"/>
  <c r="H324" i="20"/>
  <c r="H323" i="20"/>
  <c r="H322" i="20"/>
  <c r="H321" i="20"/>
  <c r="H320" i="20"/>
  <c r="H319" i="20"/>
  <c r="H318" i="20"/>
  <c r="H317" i="20"/>
  <c r="H316" i="20"/>
  <c r="H315" i="20"/>
  <c r="H314" i="20"/>
  <c r="H313" i="20"/>
  <c r="H312" i="20"/>
  <c r="H311" i="20"/>
  <c r="H310" i="20"/>
  <c r="H309" i="20"/>
  <c r="H308" i="20"/>
  <c r="H307" i="20"/>
  <c r="H306" i="20"/>
  <c r="H305" i="20"/>
  <c r="H304" i="20"/>
  <c r="H303" i="20"/>
  <c r="H302" i="20"/>
  <c r="H301" i="20"/>
  <c r="H300" i="20"/>
  <c r="H299" i="20"/>
  <c r="H298" i="20"/>
  <c r="H297" i="20"/>
  <c r="H296" i="20"/>
  <c r="H295" i="20"/>
  <c r="H294" i="20"/>
  <c r="H293" i="20"/>
  <c r="H292" i="20"/>
  <c r="H291" i="20"/>
  <c r="H290" i="20"/>
  <c r="H289" i="20"/>
  <c r="H288" i="20"/>
  <c r="H287" i="20"/>
  <c r="H286" i="20"/>
  <c r="H285" i="20"/>
  <c r="H284" i="20"/>
  <c r="H283" i="20"/>
  <c r="H282" i="20"/>
  <c r="H281" i="20"/>
  <c r="H280" i="20"/>
  <c r="H279" i="20"/>
  <c r="H278" i="20"/>
  <c r="H277" i="20"/>
  <c r="H276" i="20"/>
  <c r="H275" i="20"/>
  <c r="H274" i="20"/>
  <c r="H273" i="20"/>
  <c r="H272" i="20"/>
  <c r="H271" i="20"/>
  <c r="H270" i="20"/>
  <c r="H269" i="20"/>
  <c r="H268" i="20"/>
  <c r="H267" i="20"/>
  <c r="H266" i="20"/>
  <c r="H265" i="20"/>
  <c r="H264" i="20"/>
  <c r="H263" i="20"/>
  <c r="H262" i="20"/>
  <c r="H261" i="20"/>
  <c r="H260" i="20"/>
  <c r="H259" i="20"/>
  <c r="H258" i="20"/>
  <c r="H257" i="20"/>
  <c r="H256" i="20"/>
  <c r="H255" i="20"/>
  <c r="H254" i="20"/>
  <c r="H253" i="20"/>
  <c r="H252" i="20"/>
  <c r="H251" i="20"/>
  <c r="H250" i="20"/>
  <c r="H249" i="20"/>
  <c r="H248" i="20"/>
  <c r="H247" i="20"/>
  <c r="H246" i="20"/>
  <c r="H245" i="20"/>
  <c r="H244" i="20"/>
  <c r="H243" i="20"/>
  <c r="H242" i="20"/>
  <c r="H241" i="20"/>
  <c r="H240" i="20"/>
  <c r="H239" i="20"/>
  <c r="H238" i="20"/>
  <c r="H237" i="20"/>
  <c r="H236" i="20"/>
  <c r="H235" i="20"/>
  <c r="H234" i="20"/>
  <c r="H233" i="20"/>
  <c r="H227" i="20"/>
  <c r="H226" i="20"/>
  <c r="H225" i="20"/>
  <c r="H224" i="20"/>
  <c r="H223" i="20"/>
  <c r="H222" i="20"/>
  <c r="H221" i="20"/>
  <c r="H220" i="20"/>
  <c r="H219" i="20"/>
  <c r="H218" i="20"/>
  <c r="H217" i="20"/>
  <c r="H216" i="20"/>
  <c r="H215" i="20"/>
  <c r="H214" i="20"/>
  <c r="H213" i="20"/>
  <c r="H212" i="20"/>
  <c r="H211" i="20"/>
  <c r="H210" i="20"/>
  <c r="H209" i="20"/>
  <c r="H208" i="20"/>
  <c r="H207" i="20"/>
  <c r="H206" i="20"/>
  <c r="H205" i="20"/>
  <c r="H204" i="20"/>
  <c r="H203" i="20"/>
  <c r="H202" i="20"/>
  <c r="H201" i="20"/>
  <c r="H200" i="20"/>
  <c r="H199" i="20"/>
  <c r="H198" i="20"/>
  <c r="H197" i="20"/>
  <c r="H196" i="20"/>
  <c r="H195" i="20"/>
  <c r="H194" i="20"/>
  <c r="H193" i="20"/>
  <c r="H192" i="20"/>
  <c r="H191" i="20"/>
  <c r="H190" i="20"/>
  <c r="H189" i="20"/>
  <c r="H188" i="20"/>
  <c r="H187" i="20"/>
  <c r="H186" i="20"/>
  <c r="H185" i="20"/>
  <c r="H184" i="20"/>
  <c r="H183" i="20"/>
  <c r="H182" i="20"/>
  <c r="H181" i="20"/>
  <c r="H180" i="20"/>
  <c r="H179" i="20"/>
  <c r="H178" i="20"/>
  <c r="H177" i="20"/>
  <c r="H176" i="20"/>
  <c r="H175" i="20"/>
  <c r="H174" i="20"/>
  <c r="H173" i="20"/>
  <c r="H172" i="20"/>
  <c r="H171" i="20"/>
  <c r="H170" i="20"/>
  <c r="H169" i="20"/>
  <c r="H168" i="20"/>
  <c r="H167" i="20"/>
  <c r="H166" i="20"/>
  <c r="H165" i="20"/>
  <c r="H164" i="20"/>
  <c r="H163" i="20"/>
  <c r="H162" i="20"/>
  <c r="H161" i="20"/>
  <c r="H160" i="20"/>
  <c r="H159" i="20"/>
  <c r="H158" i="20"/>
  <c r="H157" i="20"/>
  <c r="H156" i="20"/>
  <c r="H155" i="20"/>
  <c r="H154" i="20"/>
  <c r="H153" i="20"/>
  <c r="H152" i="20"/>
  <c r="L146" i="20"/>
  <c r="J146" i="20"/>
  <c r="L145" i="20"/>
  <c r="J145" i="20"/>
  <c r="L144" i="20"/>
  <c r="J144" i="20"/>
  <c r="L143" i="20"/>
  <c r="J143" i="20"/>
  <c r="L142" i="20"/>
  <c r="J142" i="20"/>
  <c r="L141" i="20"/>
  <c r="J141" i="20"/>
  <c r="L140" i="20"/>
  <c r="J140" i="20"/>
  <c r="L139" i="20"/>
  <c r="J139" i="20"/>
  <c r="L138" i="20"/>
  <c r="J138" i="20"/>
  <c r="L137" i="20"/>
  <c r="J137" i="20"/>
  <c r="L136" i="20"/>
  <c r="J136" i="20"/>
  <c r="L135" i="20"/>
  <c r="J135" i="20"/>
  <c r="L134" i="20"/>
  <c r="J134" i="20"/>
  <c r="L133" i="20"/>
  <c r="J133" i="20"/>
  <c r="L132" i="20"/>
  <c r="J132" i="20"/>
  <c r="L131" i="20"/>
  <c r="J131" i="20"/>
  <c r="L130" i="20"/>
  <c r="J130" i="20"/>
  <c r="L129" i="20"/>
  <c r="J129" i="20"/>
  <c r="L128" i="20"/>
  <c r="J128" i="20"/>
  <c r="L127" i="20"/>
  <c r="J127" i="20"/>
  <c r="L126" i="20"/>
  <c r="J126" i="20"/>
  <c r="L125" i="20"/>
  <c r="J125" i="20"/>
  <c r="L124" i="20"/>
  <c r="J124" i="20"/>
  <c r="L123" i="20"/>
  <c r="J123" i="20"/>
  <c r="L122" i="20"/>
  <c r="J122" i="20"/>
  <c r="L121" i="20"/>
  <c r="J121" i="20"/>
  <c r="L120" i="20"/>
  <c r="J120" i="20"/>
  <c r="L119" i="20"/>
  <c r="J119" i="20"/>
  <c r="L118" i="20"/>
  <c r="J118" i="20"/>
  <c r="L117" i="20"/>
  <c r="J117" i="20"/>
  <c r="L116" i="20"/>
  <c r="J116" i="20"/>
  <c r="L115" i="20"/>
  <c r="J115" i="20"/>
  <c r="L114" i="20"/>
  <c r="J114" i="20"/>
  <c r="L113" i="20"/>
  <c r="J113" i="20"/>
  <c r="L112" i="20"/>
  <c r="J112" i="20"/>
  <c r="L111" i="20"/>
  <c r="J111" i="20"/>
  <c r="L110" i="20"/>
  <c r="J110" i="20"/>
  <c r="L109" i="20"/>
  <c r="J109" i="20"/>
  <c r="L108" i="20"/>
  <c r="J108" i="20"/>
  <c r="L107" i="20"/>
  <c r="J107" i="20"/>
  <c r="L106" i="20"/>
  <c r="J106" i="20"/>
  <c r="L105" i="20"/>
  <c r="J105" i="20"/>
  <c r="L104" i="20"/>
  <c r="J104" i="20"/>
  <c r="L103" i="20"/>
  <c r="J103" i="20"/>
  <c r="L102" i="20"/>
  <c r="J102" i="20"/>
  <c r="L101" i="20"/>
  <c r="J101" i="20"/>
  <c r="L98" i="20"/>
  <c r="J98" i="20"/>
  <c r="L97" i="20"/>
  <c r="J97" i="20"/>
  <c r="L96" i="20"/>
  <c r="J96" i="20"/>
  <c r="L95" i="20"/>
  <c r="J95" i="20"/>
  <c r="L94" i="20"/>
  <c r="J94" i="20"/>
  <c r="L93" i="20"/>
  <c r="J93" i="20"/>
  <c r="L92" i="20"/>
  <c r="J92" i="20"/>
  <c r="L91" i="20"/>
  <c r="J91" i="20"/>
  <c r="L90" i="20"/>
  <c r="J90" i="20"/>
  <c r="L89" i="20"/>
  <c r="J89" i="20"/>
  <c r="L88" i="20"/>
  <c r="J88" i="20"/>
  <c r="L87" i="20"/>
  <c r="J87" i="20"/>
  <c r="L86" i="20"/>
  <c r="J86" i="20"/>
  <c r="L85" i="20"/>
  <c r="J85" i="20"/>
  <c r="L83" i="20"/>
  <c r="J83" i="20"/>
  <c r="L82" i="20"/>
  <c r="J82" i="20"/>
  <c r="L81" i="20"/>
  <c r="J81" i="20"/>
  <c r="L80" i="20"/>
  <c r="J80" i="20"/>
  <c r="L79" i="20"/>
  <c r="J79" i="20"/>
  <c r="L78" i="20"/>
  <c r="J78" i="20"/>
  <c r="L77" i="20"/>
  <c r="J77" i="20"/>
  <c r="L76" i="20"/>
  <c r="J76" i="20"/>
  <c r="L75" i="20"/>
  <c r="J75" i="20"/>
  <c r="L74" i="20"/>
  <c r="J74" i="20"/>
  <c r="L73" i="20"/>
  <c r="J73" i="20"/>
  <c r="L72" i="20"/>
  <c r="J72" i="20"/>
  <c r="L71" i="20"/>
  <c r="J71" i="20"/>
  <c r="L70" i="20"/>
  <c r="J70" i="20"/>
  <c r="L69" i="20"/>
  <c r="J69" i="20"/>
  <c r="L68" i="20"/>
  <c r="J68" i="20"/>
  <c r="L67" i="20"/>
  <c r="J67" i="20"/>
  <c r="L66" i="20"/>
  <c r="J66" i="20"/>
  <c r="L65" i="20"/>
  <c r="J65" i="20"/>
  <c r="L64" i="20"/>
  <c r="J64" i="20"/>
  <c r="L63" i="20"/>
  <c r="J63" i="20"/>
  <c r="L62" i="20"/>
  <c r="J62" i="20"/>
  <c r="L61" i="20"/>
  <c r="J61" i="20"/>
  <c r="L60" i="20"/>
  <c r="J60" i="20"/>
  <c r="L59" i="20"/>
  <c r="J59" i="20"/>
  <c r="BO41" i="7"/>
  <c r="AZ41" i="7"/>
  <c r="AL41" i="7"/>
  <c r="X41" i="7"/>
  <c r="BA41" i="7" s="1"/>
  <c r="E41" i="7"/>
  <c r="BO40" i="7"/>
  <c r="AZ40" i="7"/>
  <c r="AL40" i="7"/>
  <c r="X40" i="7"/>
  <c r="BA40" i="7" s="1"/>
  <c r="E40" i="7"/>
  <c r="BO39" i="7"/>
  <c r="AZ39" i="7"/>
  <c r="AL39" i="7"/>
  <c r="X39" i="7"/>
  <c r="BA39" i="7" s="1"/>
  <c r="E39" i="7"/>
  <c r="BO38" i="7"/>
  <c r="BC38" i="7" s="1"/>
  <c r="AZ38" i="7"/>
  <c r="AL38" i="7"/>
  <c r="X38" i="7"/>
  <c r="BA38" i="7" s="1"/>
  <c r="E38" i="7"/>
  <c r="BO37" i="7"/>
  <c r="AZ37" i="7"/>
  <c r="AL37" i="7"/>
  <c r="X37" i="7"/>
  <c r="BA37" i="7"/>
  <c r="E37" i="7"/>
  <c r="BO36" i="7"/>
  <c r="AZ36" i="7"/>
  <c r="AL36" i="7"/>
  <c r="X36" i="7"/>
  <c r="BA36" i="7" s="1"/>
  <c r="E36" i="7"/>
  <c r="BO35" i="7"/>
  <c r="AZ35" i="7"/>
  <c r="AL35" i="7"/>
  <c r="X35" i="7"/>
  <c r="BA35" i="7"/>
  <c r="E35" i="7"/>
  <c r="BO34" i="7"/>
  <c r="AZ34" i="7"/>
  <c r="AL34" i="7"/>
  <c r="X34" i="7"/>
  <c r="BA34" i="7" s="1"/>
  <c r="E34" i="7"/>
  <c r="BO33" i="7"/>
  <c r="AZ33" i="7"/>
  <c r="AL33" i="7"/>
  <c r="X33" i="7"/>
  <c r="BA33" i="7"/>
  <c r="E33" i="7"/>
  <c r="BO32" i="7"/>
  <c r="AZ32" i="7"/>
  <c r="AL32" i="7"/>
  <c r="X32" i="7"/>
  <c r="BA32" i="7"/>
  <c r="E32" i="7"/>
  <c r="BO31" i="7"/>
  <c r="BC31" i="7" s="1"/>
  <c r="AZ31" i="7"/>
  <c r="AL31" i="7"/>
  <c r="X31" i="7"/>
  <c r="BA31" i="7"/>
  <c r="E31" i="7"/>
  <c r="BO30" i="7"/>
  <c r="AZ30" i="7"/>
  <c r="AL30" i="7"/>
  <c r="X30" i="7"/>
  <c r="BA30" i="7"/>
  <c r="E30" i="7"/>
  <c r="BO29" i="7"/>
  <c r="AZ29" i="7"/>
  <c r="AL29" i="7"/>
  <c r="X29" i="7"/>
  <c r="BA29" i="7" s="1"/>
  <c r="E29" i="7"/>
  <c r="BO28" i="7"/>
  <c r="AZ28" i="7"/>
  <c r="AL28" i="7"/>
  <c r="X28" i="7"/>
  <c r="BA28" i="7" s="1"/>
  <c r="E28" i="7"/>
  <c r="BO27" i="7"/>
  <c r="AZ27" i="7"/>
  <c r="AL27" i="7"/>
  <c r="X27" i="7"/>
  <c r="BA27" i="7" s="1"/>
  <c r="E27" i="7"/>
  <c r="BO26" i="7"/>
  <c r="AZ26" i="7"/>
  <c r="AL26" i="7"/>
  <c r="X26" i="7"/>
  <c r="BA26" i="7" s="1"/>
  <c r="E26" i="7"/>
  <c r="BO25" i="7"/>
  <c r="AZ25" i="7"/>
  <c r="AL25" i="7"/>
  <c r="X25" i="7"/>
  <c r="BA25" i="7" s="1"/>
  <c r="E25" i="7"/>
  <c r="BO24" i="7"/>
  <c r="AZ24" i="7"/>
  <c r="AL24" i="7"/>
  <c r="X24" i="7"/>
  <c r="BA24" i="7"/>
  <c r="E24" i="7"/>
  <c r="BO23" i="7"/>
  <c r="AZ23" i="7"/>
  <c r="AL23" i="7"/>
  <c r="X23" i="7"/>
  <c r="BA23" i="7"/>
  <c r="E23" i="7"/>
  <c r="BO22" i="7"/>
  <c r="AZ22" i="7"/>
  <c r="AL22" i="7"/>
  <c r="X22" i="7"/>
  <c r="BA22" i="7" s="1"/>
  <c r="E22" i="7"/>
  <c r="I52" i="10" l="1"/>
  <c r="BK52" i="10" s="1"/>
  <c r="B10" i="10"/>
  <c r="A42" i="10"/>
  <c r="E29" i="10"/>
  <c r="A14" i="10"/>
  <c r="I41" i="10"/>
  <c r="L41" i="10" s="1"/>
  <c r="E33" i="10"/>
  <c r="A38" i="10"/>
  <c r="I49" i="10"/>
  <c r="L49" i="10" s="1"/>
  <c r="E25" i="10"/>
  <c r="A27" i="10"/>
  <c r="A10" i="10"/>
  <c r="BL6" i="10"/>
  <c r="B14" i="10"/>
  <c r="BL36" i="10"/>
  <c r="BC40" i="7"/>
  <c r="BC33" i="7"/>
  <c r="BC26" i="7"/>
  <c r="B22" i="10"/>
  <c r="A46" i="10"/>
  <c r="B35" i="10"/>
  <c r="A22" i="10"/>
  <c r="BK43" i="10"/>
  <c r="B15" i="10"/>
  <c r="B11" i="10"/>
  <c r="A43" i="10"/>
  <c r="A39" i="10"/>
  <c r="B19" i="10"/>
  <c r="BL34" i="10"/>
  <c r="A19" i="10"/>
  <c r="BL31" i="10"/>
  <c r="A18" i="10"/>
  <c r="A50" i="10"/>
  <c r="B39" i="10"/>
  <c r="A35" i="10"/>
  <c r="A15" i="10"/>
  <c r="A47" i="10"/>
  <c r="B27" i="10"/>
  <c r="BL8" i="10"/>
  <c r="I29" i="10"/>
  <c r="L29" i="10" s="1"/>
  <c r="I17" i="10"/>
  <c r="L17" i="10" s="1"/>
  <c r="BL7" i="10"/>
  <c r="I48" i="10"/>
  <c r="BK48" i="10" s="1"/>
  <c r="I45" i="10"/>
  <c r="L45" i="10" s="1"/>
  <c r="BL28" i="10"/>
  <c r="BK47" i="10"/>
  <c r="BL46" i="10"/>
  <c r="BL19" i="10"/>
  <c r="I37" i="10"/>
  <c r="I21" i="10"/>
  <c r="L21" i="10" s="1"/>
  <c r="BK55" i="10"/>
  <c r="B7" i="10"/>
  <c r="BK4" i="10"/>
  <c r="BL54" i="10"/>
  <c r="BL42" i="10"/>
  <c r="BL30" i="10"/>
  <c r="BL24" i="10"/>
  <c r="BL18" i="10"/>
  <c r="A55" i="10"/>
  <c r="E49" i="10"/>
  <c r="E41" i="10"/>
  <c r="B30" i="10"/>
  <c r="E17" i="10"/>
  <c r="I9" i="10"/>
  <c r="A7" i="10"/>
  <c r="A30" i="10"/>
  <c r="BL35" i="10"/>
  <c r="BL23" i="10"/>
  <c r="E9" i="10"/>
  <c r="E6" i="10"/>
  <c r="BL52" i="10"/>
  <c r="BL40" i="10"/>
  <c r="A54" i="10"/>
  <c r="BK12" i="10"/>
  <c r="BK22" i="10"/>
  <c r="BK16" i="10"/>
  <c r="I56" i="10"/>
  <c r="L56" i="10" s="1"/>
  <c r="I53" i="10"/>
  <c r="A51" i="10"/>
  <c r="E45" i="10"/>
  <c r="E42" i="10"/>
  <c r="E37" i="10"/>
  <c r="E21" i="10"/>
  <c r="E18" i="10"/>
  <c r="I13" i="10"/>
  <c r="A11" i="10"/>
  <c r="B6" i="10"/>
  <c r="BL11" i="10"/>
  <c r="BL51" i="10"/>
  <c r="BL39" i="10"/>
  <c r="BL27" i="10"/>
  <c r="BL15" i="10"/>
  <c r="I45" i="8"/>
  <c r="I33" i="8"/>
  <c r="I21" i="8"/>
  <c r="I9" i="8"/>
  <c r="I44" i="8"/>
  <c r="I32" i="8"/>
  <c r="I20" i="8"/>
  <c r="I8" i="8"/>
  <c r="I43" i="8"/>
  <c r="I31" i="8"/>
  <c r="I19" i="8"/>
  <c r="I7" i="8"/>
  <c r="I30" i="8"/>
  <c r="I18" i="8"/>
  <c r="I6" i="8"/>
  <c r="I41" i="8"/>
  <c r="I29" i="8"/>
  <c r="I17" i="8"/>
  <c r="I5" i="8"/>
  <c r="I40" i="8"/>
  <c r="I28" i="8"/>
  <c r="I16" i="8"/>
  <c r="I4" i="8"/>
  <c r="I39" i="8"/>
  <c r="I27" i="8"/>
  <c r="I15" i="8"/>
  <c r="I38" i="8"/>
  <c r="I26" i="8"/>
  <c r="I14" i="8"/>
  <c r="I37" i="8"/>
  <c r="I25" i="8"/>
  <c r="I13" i="8"/>
  <c r="I36" i="8"/>
  <c r="I24" i="8"/>
  <c r="I12" i="8"/>
  <c r="I23" i="8"/>
  <c r="I11" i="8"/>
  <c r="I34" i="8"/>
  <c r="I22" i="8"/>
  <c r="I10" i="8"/>
  <c r="I42" i="8"/>
  <c r="I35" i="8"/>
  <c r="B26" i="10"/>
  <c r="E53" i="10"/>
  <c r="A34" i="10"/>
  <c r="B31" i="10"/>
  <c r="A26" i="10"/>
  <c r="B23" i="10"/>
  <c r="E13" i="10"/>
  <c r="I5" i="10"/>
  <c r="BL10" i="10"/>
  <c r="BL50" i="10"/>
  <c r="BL38" i="10"/>
  <c r="BL32" i="10"/>
  <c r="BL26" i="10"/>
  <c r="BL20" i="10"/>
  <c r="BL14" i="10"/>
  <c r="I44" i="10"/>
  <c r="L44" i="10" s="1"/>
  <c r="I33" i="10"/>
  <c r="A31" i="10"/>
  <c r="I25" i="10"/>
  <c r="A23" i="10"/>
  <c r="BC23" i="7"/>
  <c r="H29" i="7"/>
  <c r="BS29" i="7"/>
  <c r="G29" i="7"/>
  <c r="BC35" i="7"/>
  <c r="H41" i="7"/>
  <c r="BS41" i="7"/>
  <c r="G41" i="7"/>
  <c r="H37" i="7"/>
  <c r="BS37" i="7"/>
  <c r="G37" i="7"/>
  <c r="BS32" i="7"/>
  <c r="G32" i="7"/>
  <c r="H27" i="7"/>
  <c r="G27" i="7"/>
  <c r="BS27" i="7"/>
  <c r="H39" i="7"/>
  <c r="G39" i="7"/>
  <c r="BS39" i="7"/>
  <c r="BC28" i="7"/>
  <c r="G34" i="7"/>
  <c r="BS34" i="7"/>
  <c r="G24" i="7"/>
  <c r="BS24" i="7"/>
  <c r="G36" i="7"/>
  <c r="BS36" i="7"/>
  <c r="H31" i="7"/>
  <c r="BS31" i="7"/>
  <c r="G31" i="7"/>
  <c r="G26" i="7"/>
  <c r="BS26" i="7"/>
  <c r="BC32" i="7"/>
  <c r="BC39" i="7"/>
  <c r="BC37" i="7"/>
  <c r="BC27" i="7"/>
  <c r="BS33" i="7"/>
  <c r="G33" i="7"/>
  <c r="BS28" i="7"/>
  <c r="G28" i="7"/>
  <c r="BC34" i="7"/>
  <c r="H40" i="7"/>
  <c r="BS40" i="7"/>
  <c r="G40" i="7"/>
  <c r="H25" i="7"/>
  <c r="BS25" i="7"/>
  <c r="G25" i="7"/>
  <c r="G38" i="7"/>
  <c r="BS38" i="7"/>
  <c r="BC30" i="7"/>
  <c r="BC25" i="7"/>
  <c r="H23" i="7"/>
  <c r="G23" i="7"/>
  <c r="BS23" i="7"/>
  <c r="BC29" i="7"/>
  <c r="H35" i="7"/>
  <c r="G35" i="7"/>
  <c r="BS35" i="7"/>
  <c r="BC41" i="7"/>
  <c r="BC24" i="7"/>
  <c r="H30" i="7"/>
  <c r="BS30" i="7"/>
  <c r="G30" i="7"/>
  <c r="BC36" i="7"/>
  <c r="E5" i="10"/>
  <c r="J4" i="10"/>
  <c r="L4" i="10" s="1"/>
  <c r="A4" i="10"/>
  <c r="B4" i="10"/>
  <c r="E55" i="10"/>
  <c r="B54" i="10"/>
  <c r="E51" i="10"/>
  <c r="B50" i="10"/>
  <c r="E47" i="10"/>
  <c r="B46" i="10"/>
  <c r="E43" i="10"/>
  <c r="J40" i="10"/>
  <c r="L40" i="10" s="1"/>
  <c r="B38" i="10"/>
  <c r="J36" i="10"/>
  <c r="L36" i="10" s="1"/>
  <c r="B34" i="10"/>
  <c r="J32" i="10"/>
  <c r="L32" i="10" s="1"/>
  <c r="J28" i="10"/>
  <c r="L28" i="10" s="1"/>
  <c r="J24" i="10"/>
  <c r="L24" i="10" s="1"/>
  <c r="J20" i="10"/>
  <c r="L20" i="10" s="1"/>
  <c r="J16" i="10"/>
  <c r="L16" i="10" s="1"/>
  <c r="J12" i="10"/>
  <c r="L12" i="10" s="1"/>
  <c r="J8" i="10"/>
  <c r="L8" i="10" s="1"/>
  <c r="E56" i="10"/>
  <c r="E52" i="10"/>
  <c r="E48" i="10"/>
  <c r="E44" i="10"/>
  <c r="E40" i="10"/>
  <c r="E36" i="10"/>
  <c r="E32" i="10"/>
  <c r="E28" i="10"/>
  <c r="E24" i="10"/>
  <c r="E20" i="10"/>
  <c r="E16" i="10"/>
  <c r="E12" i="10"/>
  <c r="E8" i="10"/>
  <c r="B56" i="10"/>
  <c r="J54" i="10"/>
  <c r="L54" i="10" s="1"/>
  <c r="B52" i="10"/>
  <c r="J50" i="10"/>
  <c r="L50" i="10" s="1"/>
  <c r="B48" i="10"/>
  <c r="J46" i="10"/>
  <c r="L46" i="10" s="1"/>
  <c r="B44" i="10"/>
  <c r="J42" i="10"/>
  <c r="L42" i="10" s="1"/>
  <c r="B40" i="10"/>
  <c r="J38" i="10"/>
  <c r="L38" i="10" s="1"/>
  <c r="B36" i="10"/>
  <c r="J34" i="10"/>
  <c r="L34" i="10" s="1"/>
  <c r="B32" i="10"/>
  <c r="J30" i="10"/>
  <c r="L30" i="10" s="1"/>
  <c r="B28" i="10"/>
  <c r="J26" i="10"/>
  <c r="L26" i="10" s="1"/>
  <c r="B24" i="10"/>
  <c r="J22" i="10"/>
  <c r="L22" i="10" s="1"/>
  <c r="B20" i="10"/>
  <c r="J18" i="10"/>
  <c r="L18" i="10" s="1"/>
  <c r="B16" i="10"/>
  <c r="J14" i="10"/>
  <c r="L14" i="10" s="1"/>
  <c r="B12" i="10"/>
  <c r="J10" i="10"/>
  <c r="L10" i="10" s="1"/>
  <c r="B8" i="10"/>
  <c r="J6" i="10"/>
  <c r="L6" i="10" s="1"/>
  <c r="J55" i="10"/>
  <c r="L55" i="10" s="1"/>
  <c r="B53" i="10"/>
  <c r="J51" i="10"/>
  <c r="L51" i="10" s="1"/>
  <c r="B49" i="10"/>
  <c r="J47" i="10"/>
  <c r="L47" i="10" s="1"/>
  <c r="B45" i="10"/>
  <c r="J43" i="10"/>
  <c r="L43" i="10" s="1"/>
  <c r="B41" i="10"/>
  <c r="J39" i="10"/>
  <c r="L39" i="10" s="1"/>
  <c r="B37" i="10"/>
  <c r="J35" i="10"/>
  <c r="L35" i="10" s="1"/>
  <c r="B33" i="10"/>
  <c r="J31" i="10"/>
  <c r="L31" i="10" s="1"/>
  <c r="B29" i="10"/>
  <c r="J27" i="10"/>
  <c r="L27" i="10" s="1"/>
  <c r="B25" i="10"/>
  <c r="J23" i="10"/>
  <c r="L23" i="10" s="1"/>
  <c r="B21" i="10"/>
  <c r="J19" i="10"/>
  <c r="L19" i="10" s="1"/>
  <c r="B17" i="10"/>
  <c r="J15" i="10"/>
  <c r="L15" i="10" s="1"/>
  <c r="B13" i="10"/>
  <c r="J11" i="10"/>
  <c r="L11" i="10" s="1"/>
  <c r="B9" i="10"/>
  <c r="J7" i="10"/>
  <c r="L7" i="10" s="1"/>
  <c r="B5" i="10"/>
  <c r="BC22" i="7"/>
  <c r="H24" i="7"/>
  <c r="H32" i="7"/>
  <c r="H26" i="7"/>
  <c r="H22" i="7"/>
  <c r="H38" i="7"/>
  <c r="H36" i="7"/>
  <c r="H28" i="7"/>
  <c r="H34" i="7"/>
  <c r="H33" i="7"/>
  <c r="BD32" i="7"/>
  <c r="BD34" i="7"/>
  <c r="BD22" i="7"/>
  <c r="BD24" i="7"/>
  <c r="BD26" i="7"/>
  <c r="BD28" i="7"/>
  <c r="BD30" i="7"/>
  <c r="BD36" i="7"/>
  <c r="BD38" i="7"/>
  <c r="BD40" i="7"/>
  <c r="F22" i="7"/>
  <c r="G22" i="7" s="1"/>
  <c r="B22" i="7" s="1"/>
  <c r="F24" i="7"/>
  <c r="F26" i="7"/>
  <c r="F28" i="7"/>
  <c r="F30" i="7"/>
  <c r="F32" i="7"/>
  <c r="F34" i="7"/>
  <c r="F36" i="7"/>
  <c r="F38" i="7"/>
  <c r="F40" i="7"/>
  <c r="BD23" i="7"/>
  <c r="BD25" i="7"/>
  <c r="BD27" i="7"/>
  <c r="BD29" i="7"/>
  <c r="BD31" i="7"/>
  <c r="BD33" i="7"/>
  <c r="BD37" i="7"/>
  <c r="F23" i="7"/>
  <c r="F25" i="7"/>
  <c r="F27" i="7"/>
  <c r="F29" i="7"/>
  <c r="F31" i="7"/>
  <c r="F33" i="7"/>
  <c r="F35" i="7"/>
  <c r="F37" i="7"/>
  <c r="F39" i="7"/>
  <c r="F41" i="7"/>
  <c r="BD35" i="7"/>
  <c r="BD39" i="7"/>
  <c r="BD41" i="7"/>
  <c r="BS22" i="7" l="1"/>
  <c r="L52" i="10"/>
  <c r="BK45" i="10"/>
  <c r="BL41" i="10"/>
  <c r="L48" i="10"/>
  <c r="BK41" i="10"/>
  <c r="BL48" i="10"/>
  <c r="BL45" i="10"/>
  <c r="BL29" i="10"/>
  <c r="BK49" i="10"/>
  <c r="BL49" i="10"/>
  <c r="BK29" i="10"/>
  <c r="BL17" i="10"/>
  <c r="L37" i="10"/>
  <c r="BK37" i="10"/>
  <c r="BL37" i="10"/>
  <c r="BL21" i="10"/>
  <c r="BK17" i="10"/>
  <c r="BK21" i="10"/>
  <c r="BL25" i="10"/>
  <c r="BK25" i="10"/>
  <c r="L13" i="10"/>
  <c r="BK13" i="10"/>
  <c r="BL13" i="10"/>
  <c r="BK44" i="10"/>
  <c r="BL44" i="10"/>
  <c r="BK33" i="10"/>
  <c r="BL33" i="10"/>
  <c r="L33" i="10"/>
  <c r="L9" i="10"/>
  <c r="BL9" i="10"/>
  <c r="BK9" i="10"/>
  <c r="BK5" i="10"/>
  <c r="BL5" i="10"/>
  <c r="L5" i="10"/>
  <c r="L53" i="10"/>
  <c r="BK53" i="10"/>
  <c r="BL53" i="10"/>
  <c r="L25" i="10"/>
  <c r="BK56" i="10"/>
  <c r="BL56" i="10"/>
  <c r="BR32" i="7"/>
  <c r="BT32" i="7"/>
  <c r="BR37" i="7"/>
  <c r="BT37" i="7"/>
  <c r="BT31" i="7"/>
  <c r="BR31" i="7"/>
  <c r="BT39" i="7"/>
  <c r="BR39" i="7"/>
  <c r="BT24" i="7"/>
  <c r="BR24" i="7"/>
  <c r="BT30" i="7"/>
  <c r="BR30" i="7"/>
  <c r="BT27" i="7"/>
  <c r="BR27" i="7"/>
  <c r="BT33" i="7"/>
  <c r="BR33" i="7"/>
  <c r="BR25" i="7"/>
  <c r="BT25" i="7"/>
  <c r="BR34" i="7"/>
  <c r="BT34" i="7"/>
  <c r="BT35" i="7"/>
  <c r="BR35" i="7"/>
  <c r="BR28" i="7"/>
  <c r="BT28" i="7"/>
  <c r="BR36" i="7"/>
  <c r="BT36" i="7"/>
  <c r="BR40" i="7"/>
  <c r="BT40" i="7"/>
  <c r="BR38" i="7"/>
  <c r="BT38" i="7"/>
  <c r="BT41" i="7"/>
  <c r="BR41" i="7"/>
  <c r="BR22" i="7"/>
  <c r="BT22" i="7"/>
  <c r="BT23" i="7"/>
  <c r="BR23" i="7"/>
  <c r="BR26" i="7"/>
  <c r="BT26" i="7"/>
  <c r="BT29" i="7"/>
  <c r="BR29" i="7"/>
  <c r="I25" i="7"/>
  <c r="I40" i="7"/>
  <c r="I35" i="7"/>
  <c r="I37" i="7"/>
  <c r="I36" i="7"/>
  <c r="I33" i="7"/>
  <c r="I34" i="7"/>
  <c r="I28" i="7"/>
  <c r="I38" i="7"/>
  <c r="I41" i="7"/>
  <c r="I23" i="7"/>
  <c r="I31" i="7"/>
  <c r="I39" i="7"/>
  <c r="I26" i="7"/>
  <c r="I22" i="7"/>
  <c r="I32" i="7"/>
  <c r="I24" i="7"/>
  <c r="I30" i="7"/>
  <c r="I27" i="7"/>
  <c r="I29" i="7"/>
  <c r="J21" i="7"/>
  <c r="J20" i="7"/>
  <c r="J19" i="7"/>
  <c r="J18" i="7"/>
  <c r="J17" i="7"/>
  <c r="J16" i="7"/>
  <c r="J15" i="7"/>
  <c r="J14" i="7"/>
  <c r="J13" i="7"/>
  <c r="J12" i="7"/>
  <c r="J11" i="7"/>
  <c r="J10" i="7"/>
  <c r="J9" i="7"/>
  <c r="J8" i="7"/>
  <c r="J7" i="7"/>
  <c r="J6" i="7"/>
  <c r="J5" i="7"/>
  <c r="J4" i="7"/>
  <c r="AO12" i="10"/>
  <c r="AO11" i="10"/>
  <c r="AO10" i="10"/>
  <c r="AO8" i="10"/>
  <c r="AO6" i="10"/>
  <c r="AO5" i="10"/>
  <c r="BC14" i="10"/>
  <c r="BC15" i="10"/>
  <c r="BC16" i="10"/>
  <c r="BC17" i="10"/>
  <c r="BC18" i="10"/>
  <c r="BC19" i="10"/>
  <c r="BC20" i="10"/>
  <c r="BC21" i="10"/>
  <c r="BC22" i="10"/>
  <c r="BC23" i="10"/>
  <c r="BC24" i="10"/>
  <c r="BC25" i="10"/>
  <c r="BC26" i="10"/>
  <c r="BC27" i="10"/>
  <c r="BC28" i="10"/>
  <c r="BC29" i="10"/>
  <c r="BC30" i="10"/>
  <c r="BC31" i="10"/>
  <c r="BC32" i="10"/>
  <c r="BC33" i="10"/>
  <c r="BC34" i="10"/>
  <c r="BC35" i="10"/>
  <c r="BC36" i="10"/>
  <c r="BC37" i="10"/>
  <c r="BC38" i="10"/>
  <c r="BC39" i="10"/>
  <c r="BC40" i="10"/>
  <c r="BC41" i="10"/>
  <c r="BC42" i="10"/>
  <c r="BC43" i="10"/>
  <c r="BC44" i="10"/>
  <c r="BC45" i="10"/>
  <c r="BC46" i="10"/>
  <c r="BC47" i="10"/>
  <c r="BC48" i="10"/>
  <c r="BC49" i="10"/>
  <c r="BC50" i="10"/>
  <c r="BC51" i="10"/>
  <c r="BC52" i="10"/>
  <c r="BC53" i="10"/>
  <c r="BC54" i="10"/>
  <c r="BC55" i="10"/>
  <c r="BC56" i="10"/>
  <c r="BO4" i="7"/>
  <c r="BO5" i="7"/>
  <c r="BO6" i="7"/>
  <c r="BO7" i="7"/>
  <c r="BO8" i="7"/>
  <c r="BO9" i="7"/>
  <c r="BO10" i="7"/>
  <c r="BO11" i="7"/>
  <c r="BO12" i="7"/>
  <c r="BO13" i="7"/>
  <c r="BO14" i="7"/>
  <c r="BO15" i="7"/>
  <c r="BC15" i="7" s="1"/>
  <c r="BO16" i="7"/>
  <c r="BO17" i="7"/>
  <c r="BO18" i="7"/>
  <c r="BO19" i="7"/>
  <c r="BO20" i="7"/>
  <c r="BO21" i="7"/>
  <c r="BC21" i="7" s="1"/>
  <c r="X4" i="7"/>
  <c r="X5" i="7"/>
  <c r="BA5" i="7" s="1"/>
  <c r="X6" i="7"/>
  <c r="X7" i="7"/>
  <c r="X8" i="7"/>
  <c r="BA8" i="7" s="1"/>
  <c r="X9" i="7"/>
  <c r="X10" i="7"/>
  <c r="X11" i="7"/>
  <c r="X12" i="7"/>
  <c r="X13" i="7"/>
  <c r="BA13" i="7" s="1"/>
  <c r="X14" i="7"/>
  <c r="X15" i="7"/>
  <c r="X16" i="7"/>
  <c r="X17" i="7"/>
  <c r="BA17" i="7" s="1"/>
  <c r="X18" i="7"/>
  <c r="BA18" i="7" s="1"/>
  <c r="X19" i="7"/>
  <c r="X20" i="7"/>
  <c r="BA20" i="7" s="1"/>
  <c r="X21" i="7"/>
  <c r="AU83" i="1"/>
  <c r="AT83" i="1"/>
  <c r="N83" i="1"/>
  <c r="M83" i="1"/>
  <c r="BC11" i="7" l="1"/>
  <c r="BA16" i="7"/>
  <c r="BA19" i="7"/>
  <c r="BA7" i="7"/>
  <c r="BA12" i="7"/>
  <c r="BA11" i="7"/>
  <c r="BC20" i="7"/>
  <c r="AO4" i="10"/>
  <c r="BA21" i="7"/>
  <c r="BA15" i="7"/>
  <c r="BA14" i="7"/>
  <c r="BA10" i="7"/>
  <c r="BA9" i="7"/>
  <c r="BA6" i="7"/>
  <c r="BA4" i="7"/>
  <c r="BC8" i="10"/>
  <c r="BC4" i="10"/>
  <c r="BC6" i="10"/>
  <c r="BC10" i="10"/>
  <c r="BC12" i="10"/>
  <c r="BC5" i="10"/>
  <c r="BC7" i="10"/>
  <c r="BC9" i="10"/>
  <c r="BC11" i="10"/>
  <c r="AO7" i="10"/>
  <c r="AO9" i="10"/>
  <c r="BC13" i="10"/>
  <c r="AO13" i="10"/>
  <c r="AL10" i="7"/>
  <c r="AL11" i="7"/>
  <c r="AL12" i="7"/>
  <c r="AL16" i="7"/>
  <c r="AL17" i="7"/>
  <c r="AL5" i="7"/>
  <c r="BC9" i="7"/>
  <c r="AL18" i="7"/>
  <c r="AL19" i="7"/>
  <c r="AL7" i="7"/>
  <c r="AZ19" i="7"/>
  <c r="AZ5" i="7"/>
  <c r="AZ12" i="7"/>
  <c r="BC12" i="7"/>
  <c r="AL21" i="7"/>
  <c r="AL20" i="7"/>
  <c r="AL15" i="7"/>
  <c r="AL14" i="7"/>
  <c r="AL13" i="7"/>
  <c r="AL9" i="7"/>
  <c r="AL8" i="7"/>
  <c r="AL6" i="7"/>
  <c r="AL4" i="7"/>
  <c r="BC10" i="7"/>
  <c r="BC17" i="7"/>
  <c r="BC6" i="7"/>
  <c r="BC14" i="7"/>
  <c r="BC4" i="7"/>
  <c r="BC7" i="7"/>
  <c r="BC16" i="7"/>
  <c r="BC19" i="7"/>
  <c r="BC18" i="7"/>
  <c r="BC5" i="7"/>
  <c r="BC13" i="7"/>
  <c r="BC8" i="7"/>
  <c r="AZ14" i="7"/>
  <c r="AZ9" i="7"/>
  <c r="AZ7" i="7"/>
  <c r="AZ10" i="7"/>
  <c r="AZ11" i="7"/>
  <c r="AZ20" i="7"/>
  <c r="AZ8" i="7"/>
  <c r="AZ18" i="7"/>
  <c r="AZ6" i="7"/>
  <c r="AZ13" i="7"/>
  <c r="AZ16" i="7"/>
  <c r="AZ4" i="7"/>
  <c r="AZ21" i="7"/>
  <c r="AZ17" i="7"/>
  <c r="AZ15" i="7"/>
  <c r="AA46" i="10"/>
  <c r="BM46" i="10" s="1"/>
  <c r="AA56" i="10"/>
  <c r="AA55" i="10"/>
  <c r="AA54" i="10"/>
  <c r="AA53" i="10"/>
  <c r="AK52" i="10"/>
  <c r="AA52" i="10"/>
  <c r="BM52" i="10" s="1"/>
  <c r="AA51" i="10"/>
  <c r="AA50" i="10"/>
  <c r="AA49" i="10"/>
  <c r="AA48" i="10"/>
  <c r="AA47" i="10"/>
  <c r="AK46" i="10"/>
  <c r="AA45" i="10"/>
  <c r="AA44" i="10"/>
  <c r="BM44" i="10" s="1"/>
  <c r="AA43" i="10"/>
  <c r="AA42" i="10"/>
  <c r="AA41" i="10"/>
  <c r="AA40" i="10"/>
  <c r="AA39" i="10"/>
  <c r="AA38" i="10"/>
  <c r="AA37" i="10"/>
  <c r="AA36" i="10"/>
  <c r="BM36" i="10" s="1"/>
  <c r="AA35" i="10"/>
  <c r="AA34" i="10"/>
  <c r="AA33" i="10"/>
  <c r="AA32" i="10"/>
  <c r="AA31" i="10"/>
  <c r="AA30" i="10"/>
  <c r="AA29" i="10"/>
  <c r="AA28" i="10"/>
  <c r="BM28" i="10" s="1"/>
  <c r="AA27" i="10"/>
  <c r="AA26" i="10"/>
  <c r="C47" i="12"/>
  <c r="C48" i="12" s="1"/>
  <c r="P28" i="11"/>
  <c r="M28" i="11"/>
  <c r="D28" i="11"/>
  <c r="M2" i="11"/>
  <c r="D2" i="11"/>
  <c r="AK32" i="10" l="1"/>
  <c r="BM32" i="10"/>
  <c r="AK26" i="10"/>
  <c r="BM26" i="10"/>
  <c r="AK40" i="10"/>
  <c r="BM40" i="10"/>
  <c r="AK47" i="10"/>
  <c r="BM47" i="10"/>
  <c r="AK27" i="10"/>
  <c r="BM27" i="10"/>
  <c r="AK48" i="10"/>
  <c r="BM48" i="10"/>
  <c r="AK42" i="10"/>
  <c r="BM42" i="10"/>
  <c r="AK56" i="10"/>
  <c r="BM56" i="10"/>
  <c r="AK29" i="10"/>
  <c r="BM29" i="10"/>
  <c r="AK30" i="10"/>
  <c r="BM30" i="10"/>
  <c r="AK37" i="10"/>
  <c r="BM37" i="10"/>
  <c r="AK44" i="10"/>
  <c r="AK39" i="10"/>
  <c r="BM39" i="10"/>
  <c r="AK53" i="10"/>
  <c r="BM53" i="10"/>
  <c r="AK33" i="10"/>
  <c r="BM33" i="10"/>
  <c r="AK54" i="10"/>
  <c r="BM54" i="10"/>
  <c r="AK34" i="10"/>
  <c r="BM34" i="10"/>
  <c r="AK41" i="10"/>
  <c r="BM41" i="10"/>
  <c r="AK55" i="10"/>
  <c r="BM55" i="10"/>
  <c r="AK35" i="10"/>
  <c r="BM35" i="10"/>
  <c r="AK49" i="10"/>
  <c r="BM49" i="10"/>
  <c r="AK28" i="10"/>
  <c r="AK43" i="10"/>
  <c r="BM43" i="10"/>
  <c r="AK50" i="10"/>
  <c r="BM50" i="10"/>
  <c r="AK36" i="10"/>
  <c r="AK51" i="10"/>
  <c r="BM51" i="10"/>
  <c r="AK31" i="10"/>
  <c r="BM31" i="10"/>
  <c r="AK38" i="10"/>
  <c r="BM38" i="10"/>
  <c r="AK45" i="10"/>
  <c r="BM45" i="10"/>
  <c r="AI29" i="10"/>
  <c r="AJ33" i="10"/>
  <c r="AI45" i="10"/>
  <c r="AJ44" i="10"/>
  <c r="AJ48" i="10"/>
  <c r="AI48" i="10"/>
  <c r="AJ50" i="10"/>
  <c r="AI50" i="10"/>
  <c r="AJ40" i="10"/>
  <c r="AI40" i="10"/>
  <c r="AJ42" i="10"/>
  <c r="AI42" i="10"/>
  <c r="AJ34" i="10"/>
  <c r="AI34" i="10"/>
  <c r="AJ56" i="10"/>
  <c r="AI56" i="10"/>
  <c r="AJ32" i="10"/>
  <c r="AI32" i="10"/>
  <c r="AI26" i="10"/>
  <c r="AJ26" i="10"/>
  <c r="AJ29" i="10"/>
  <c r="AI36" i="10"/>
  <c r="AJ45" i="10"/>
  <c r="AI52" i="10"/>
  <c r="AJ36" i="10"/>
  <c r="AI33" i="10"/>
  <c r="AI41" i="10"/>
  <c r="AI49" i="10"/>
  <c r="AI31" i="10"/>
  <c r="AO48" i="10" l="1"/>
  <c r="AO32" i="10"/>
  <c r="AO40" i="10"/>
  <c r="AO42" i="10"/>
  <c r="AO50" i="10"/>
  <c r="AO34" i="10"/>
  <c r="AO29" i="10"/>
  <c r="AO36" i="10"/>
  <c r="AO56" i="10"/>
  <c r="AO45" i="10"/>
  <c r="AI28" i="10"/>
  <c r="AJ37" i="10"/>
  <c r="AJ47" i="10"/>
  <c r="AI47" i="10"/>
  <c r="AJ31" i="10"/>
  <c r="AO31" i="10" s="1"/>
  <c r="AJ53" i="10"/>
  <c r="AI44" i="10"/>
  <c r="AO44" i="10" s="1"/>
  <c r="AO33" i="10"/>
  <c r="AJ41" i="10"/>
  <c r="AO41" i="10" s="1"/>
  <c r="AJ55" i="10"/>
  <c r="AI55" i="10"/>
  <c r="AO26" i="10"/>
  <c r="AJ39" i="10"/>
  <c r="AI53" i="10"/>
  <c r="AI39" i="10"/>
  <c r="AJ52" i="10"/>
  <c r="AO52" i="10" s="1"/>
  <c r="AI37" i="10"/>
  <c r="AJ28" i="10"/>
  <c r="AJ49" i="10"/>
  <c r="AO49" i="10" s="1"/>
  <c r="AJ27" i="10"/>
  <c r="AI27" i="10"/>
  <c r="AJ51" i="10"/>
  <c r="AI51" i="10"/>
  <c r="AJ35" i="10"/>
  <c r="AI35" i="10"/>
  <c r="AI54" i="10"/>
  <c r="AJ54" i="10"/>
  <c r="AI46" i="10"/>
  <c r="AJ46" i="10"/>
  <c r="AI38" i="10"/>
  <c r="AJ38" i="10"/>
  <c r="AI30" i="10"/>
  <c r="AJ30" i="10"/>
  <c r="AJ43" i="10"/>
  <c r="AI43" i="10"/>
  <c r="AO51" i="10" l="1"/>
  <c r="AO39" i="10"/>
  <c r="AO35" i="10"/>
  <c r="AO47" i="10"/>
  <c r="AO27" i="10"/>
  <c r="AO43" i="10"/>
  <c r="AO55" i="10"/>
  <c r="AO53" i="10"/>
  <c r="AO28" i="10"/>
  <c r="AO30" i="10"/>
  <c r="AO54" i="10"/>
  <c r="AO38" i="10"/>
  <c r="AO37" i="10"/>
  <c r="AO46" i="10"/>
  <c r="AT195" i="1"/>
  <c r="AT194" i="1"/>
  <c r="AT193" i="1"/>
  <c r="AT192" i="1"/>
  <c r="AT191" i="1"/>
  <c r="AT190" i="1"/>
  <c r="AT189" i="1"/>
  <c r="AT188" i="1"/>
  <c r="AT187" i="1"/>
  <c r="AT186" i="1"/>
  <c r="AT185" i="1"/>
  <c r="AT184" i="1"/>
  <c r="AT183" i="1"/>
  <c r="AT182" i="1"/>
  <c r="AT181" i="1"/>
  <c r="AT180" i="1"/>
  <c r="AT179" i="1"/>
  <c r="AT178" i="1"/>
  <c r="AT177" i="1"/>
  <c r="AT176" i="1"/>
  <c r="AT175" i="1"/>
  <c r="AT174" i="1"/>
  <c r="AT173" i="1"/>
  <c r="AT172" i="1"/>
  <c r="AT171" i="1"/>
  <c r="AT170" i="1"/>
  <c r="AT169" i="1"/>
  <c r="AT168" i="1"/>
  <c r="AT167" i="1"/>
  <c r="AT166" i="1"/>
  <c r="AT165" i="1"/>
  <c r="AT164" i="1"/>
  <c r="AT163" i="1"/>
  <c r="AT162" i="1"/>
  <c r="AT161" i="1"/>
  <c r="AT160" i="1"/>
  <c r="AT159" i="1"/>
  <c r="AT158" i="1"/>
  <c r="AT157" i="1"/>
  <c r="AT156" i="1"/>
  <c r="AT155" i="1"/>
  <c r="AT154" i="1"/>
  <c r="AT153" i="1"/>
  <c r="AT152" i="1"/>
  <c r="AT151" i="1"/>
  <c r="AT150" i="1"/>
  <c r="AT149" i="1"/>
  <c r="AT148" i="1"/>
  <c r="AT147" i="1"/>
  <c r="AT146" i="1"/>
  <c r="AT145" i="1"/>
  <c r="AT144" i="1"/>
  <c r="AT143" i="1"/>
  <c r="AT142" i="1"/>
  <c r="AT141" i="1"/>
  <c r="AT140" i="1"/>
  <c r="AT139" i="1"/>
  <c r="AT138" i="1"/>
  <c r="AT137" i="1"/>
  <c r="AT136" i="1"/>
  <c r="AT135" i="1"/>
  <c r="AT134" i="1"/>
  <c r="AT133" i="1"/>
  <c r="AT132" i="1"/>
  <c r="AT131" i="1"/>
  <c r="AT130" i="1"/>
  <c r="AT129" i="1"/>
  <c r="AT128" i="1"/>
  <c r="AT127" i="1"/>
  <c r="AT126" i="1"/>
  <c r="AT125" i="1"/>
  <c r="AT124" i="1"/>
  <c r="AT123" i="1"/>
  <c r="AT122" i="1"/>
  <c r="AT121" i="1"/>
  <c r="AT120" i="1"/>
  <c r="AT119" i="1"/>
  <c r="AT118" i="1"/>
  <c r="AT117" i="1"/>
  <c r="AT116" i="1"/>
  <c r="AT115" i="1"/>
  <c r="AT114" i="1"/>
  <c r="AT113" i="1"/>
  <c r="AT112" i="1"/>
  <c r="AT111" i="1"/>
  <c r="AT110" i="1"/>
  <c r="AT109" i="1"/>
  <c r="AT108" i="1"/>
  <c r="AT107" i="1"/>
  <c r="AT106" i="1"/>
  <c r="AT105" i="1"/>
  <c r="AT104" i="1"/>
  <c r="AT103" i="1"/>
  <c r="AT102" i="1"/>
  <c r="AT101" i="1"/>
  <c r="AT100" i="1"/>
  <c r="AT99" i="1"/>
  <c r="AT98" i="1"/>
  <c r="AT97" i="1"/>
  <c r="AT96" i="1"/>
  <c r="AT95" i="1"/>
  <c r="AT94" i="1"/>
  <c r="AT93" i="1"/>
  <c r="AT92" i="1"/>
  <c r="AT91" i="1"/>
  <c r="AT90" i="1"/>
  <c r="AT89" i="1"/>
  <c r="AT88" i="1"/>
  <c r="AT87" i="1"/>
  <c r="AT86" i="1"/>
  <c r="AT85" i="1"/>
  <c r="AT84" i="1"/>
  <c r="AT82" i="1"/>
  <c r="AT81" i="1"/>
  <c r="AT80" i="1"/>
  <c r="AT79" i="1"/>
  <c r="AT78" i="1"/>
  <c r="AT77" i="1"/>
  <c r="AT76" i="1"/>
  <c r="AT75" i="1"/>
  <c r="AT74" i="1"/>
  <c r="AT73" i="1"/>
  <c r="AT72" i="1"/>
  <c r="AT71" i="1"/>
  <c r="AT70" i="1"/>
  <c r="AT69" i="1"/>
  <c r="AT68" i="1"/>
  <c r="AT67" i="1"/>
  <c r="AT66" i="1"/>
  <c r="AT65" i="1"/>
  <c r="AT64" i="1"/>
  <c r="AT63" i="1"/>
  <c r="AT62" i="1"/>
  <c r="AT61" i="1"/>
  <c r="AT60" i="1"/>
  <c r="AT59" i="1"/>
  <c r="AT58" i="1"/>
  <c r="AT57" i="1"/>
  <c r="AT56" i="1"/>
  <c r="AT55" i="1"/>
  <c r="AT54" i="1"/>
  <c r="AT53" i="1"/>
  <c r="AT52" i="1"/>
  <c r="AT51" i="1"/>
  <c r="AT50" i="1"/>
  <c r="AT49" i="1"/>
  <c r="AT48" i="1"/>
  <c r="A4" i="7"/>
  <c r="E21" i="7"/>
  <c r="E20" i="7"/>
  <c r="E19" i="7"/>
  <c r="E18" i="7"/>
  <c r="E17" i="7"/>
  <c r="E16" i="7"/>
  <c r="E15" i="7"/>
  <c r="E14" i="7"/>
  <c r="E13" i="7"/>
  <c r="E12" i="7"/>
  <c r="E11" i="7"/>
  <c r="E10" i="7"/>
  <c r="E9" i="7"/>
  <c r="E8" i="7"/>
  <c r="E7" i="7"/>
  <c r="E6" i="7"/>
  <c r="E5" i="7"/>
  <c r="E4" i="7"/>
  <c r="A21" i="7"/>
  <c r="A20" i="7"/>
  <c r="A19" i="7"/>
  <c r="A18" i="7"/>
  <c r="A17" i="7"/>
  <c r="A16" i="7"/>
  <c r="A15" i="7"/>
  <c r="A14" i="7"/>
  <c r="A13" i="7"/>
  <c r="A12" i="7"/>
  <c r="A11" i="7"/>
  <c r="A10" i="7"/>
  <c r="A9" i="7"/>
  <c r="A8" i="7"/>
  <c r="A7" i="7"/>
  <c r="A6" i="7"/>
  <c r="A5" i="7"/>
  <c r="BD17" i="7" l="1"/>
  <c r="BD6" i="7"/>
  <c r="BD7" i="7"/>
  <c r="BD18" i="7"/>
  <c r="BD8" i="7"/>
  <c r="BD5" i="7"/>
  <c r="BD16" i="7"/>
  <c r="BD12" i="7"/>
  <c r="BD14" i="7"/>
  <c r="H13" i="7"/>
  <c r="I13" i="7" s="1"/>
  <c r="BD10" i="7"/>
  <c r="BD21" i="7"/>
  <c r="BD9" i="7"/>
  <c r="BD11" i="7"/>
  <c r="BD19" i="7"/>
  <c r="BD13" i="7"/>
  <c r="BD4" i="7"/>
  <c r="BD15" i="7"/>
  <c r="BD20" i="7"/>
  <c r="AA25" i="10"/>
  <c r="AA24" i="10"/>
  <c r="AA23" i="10"/>
  <c r="AA22" i="10"/>
  <c r="AA21" i="10"/>
  <c r="AA20" i="10"/>
  <c r="AA19" i="10"/>
  <c r="AA18" i="10"/>
  <c r="AA17" i="10"/>
  <c r="AA16" i="10"/>
  <c r="AA15" i="10"/>
  <c r="AA14" i="10"/>
  <c r="AA13" i="10"/>
  <c r="BM13" i="10" s="1"/>
  <c r="AA12" i="10"/>
  <c r="BM12" i="10" s="1"/>
  <c r="AA11" i="10"/>
  <c r="BM11" i="10" s="1"/>
  <c r="AA10" i="10"/>
  <c r="BM10" i="10" s="1"/>
  <c r="AA9" i="10"/>
  <c r="BM9" i="10" s="1"/>
  <c r="AA8" i="10"/>
  <c r="BM8" i="10" s="1"/>
  <c r="AA7" i="10"/>
  <c r="BM7" i="10" s="1"/>
  <c r="AA6" i="10"/>
  <c r="BM6" i="10" s="1"/>
  <c r="AA5" i="10"/>
  <c r="BM5" i="10" s="1"/>
  <c r="AA4" i="10"/>
  <c r="BM4" i="10" s="1"/>
  <c r="AK24" i="10" l="1"/>
  <c r="BM24" i="10"/>
  <c r="AK17" i="10"/>
  <c r="BM17" i="10"/>
  <c r="AK25" i="10"/>
  <c r="BM25" i="10"/>
  <c r="AK18" i="10"/>
  <c r="BM18" i="10"/>
  <c r="AK19" i="10"/>
  <c r="BM19" i="10"/>
  <c r="AK20" i="10"/>
  <c r="BM20" i="10"/>
  <c r="AK14" i="10"/>
  <c r="BM14" i="10"/>
  <c r="AK22" i="10"/>
  <c r="BM22" i="10"/>
  <c r="AK15" i="10"/>
  <c r="BM15" i="10"/>
  <c r="AK23" i="10"/>
  <c r="BM23" i="10"/>
  <c r="AK16" i="10"/>
  <c r="BM16" i="10"/>
  <c r="AK21" i="10"/>
  <c r="BM21" i="10"/>
  <c r="BR13" i="7"/>
  <c r="BT13" i="7"/>
  <c r="AI22" i="10"/>
  <c r="AJ22" i="10"/>
  <c r="AJ14" i="10"/>
  <c r="AI14" i="10"/>
  <c r="AO14" i="10" l="1"/>
  <c r="AO22" i="10"/>
  <c r="AJ18" i="10"/>
  <c r="AI18" i="10"/>
  <c r="AJ16" i="10"/>
  <c r="AI16" i="10"/>
  <c r="AJ15" i="10"/>
  <c r="AI15" i="10"/>
  <c r="AJ23" i="10"/>
  <c r="AI23" i="10"/>
  <c r="AJ21" i="10"/>
  <c r="AI21" i="10"/>
  <c r="AJ17" i="10"/>
  <c r="AI17" i="10"/>
  <c r="AI25" i="10"/>
  <c r="AJ25" i="10"/>
  <c r="AJ20" i="10"/>
  <c r="AI20" i="10"/>
  <c r="AJ24" i="10"/>
  <c r="AI24" i="10"/>
  <c r="AI19" i="10"/>
  <c r="AJ19" i="10"/>
  <c r="AO16" i="10" l="1"/>
  <c r="AO21" i="10"/>
  <c r="AO17" i="10"/>
  <c r="AO18" i="10"/>
  <c r="AO23" i="10"/>
  <c r="AO24" i="10"/>
  <c r="AO15" i="10"/>
  <c r="AO19" i="10"/>
  <c r="AO20" i="10"/>
  <c r="AO25" i="10"/>
  <c r="AU196" i="1"/>
  <c r="AU195" i="1"/>
  <c r="AU194" i="1"/>
  <c r="AU193" i="1"/>
  <c r="AU192" i="1"/>
  <c r="AU191" i="1"/>
  <c r="AU190" i="1"/>
  <c r="AU189" i="1"/>
  <c r="AU188" i="1"/>
  <c r="AU187" i="1"/>
  <c r="AU186" i="1"/>
  <c r="AU185" i="1"/>
  <c r="AU184" i="1"/>
  <c r="AU183" i="1"/>
  <c r="AU182" i="1"/>
  <c r="AU181" i="1"/>
  <c r="AU180" i="1"/>
  <c r="AU179" i="1"/>
  <c r="AU178" i="1"/>
  <c r="AU177" i="1"/>
  <c r="AU176" i="1"/>
  <c r="AU175" i="1"/>
  <c r="AU174" i="1"/>
  <c r="AU173" i="1"/>
  <c r="AU172" i="1"/>
  <c r="AU171" i="1"/>
  <c r="AU170" i="1"/>
  <c r="AU169" i="1"/>
  <c r="AU168" i="1"/>
  <c r="AU167" i="1"/>
  <c r="AU166" i="1"/>
  <c r="AU165" i="1"/>
  <c r="AU164" i="1"/>
  <c r="AU163" i="1"/>
  <c r="AU162" i="1"/>
  <c r="AU161" i="1"/>
  <c r="AU160" i="1"/>
  <c r="AU159" i="1"/>
  <c r="AU158" i="1"/>
  <c r="AU157" i="1"/>
  <c r="AU156" i="1"/>
  <c r="AU155" i="1"/>
  <c r="AU154" i="1"/>
  <c r="AU153" i="1"/>
  <c r="AU152" i="1"/>
  <c r="AU151" i="1"/>
  <c r="AU150" i="1"/>
  <c r="AU149" i="1"/>
  <c r="AU148" i="1"/>
  <c r="AU147" i="1"/>
  <c r="AU146" i="1"/>
  <c r="AU145" i="1"/>
  <c r="AU144" i="1"/>
  <c r="AU143" i="1"/>
  <c r="AU142" i="1"/>
  <c r="AU141" i="1"/>
  <c r="AU140" i="1"/>
  <c r="AU139" i="1"/>
  <c r="AU138" i="1"/>
  <c r="AU137" i="1"/>
  <c r="AU136" i="1"/>
  <c r="AU135" i="1"/>
  <c r="AU134" i="1"/>
  <c r="AU133" i="1"/>
  <c r="AU132" i="1"/>
  <c r="AU131" i="1"/>
  <c r="AU130" i="1"/>
  <c r="AU129" i="1"/>
  <c r="AU128" i="1"/>
  <c r="AU127" i="1"/>
  <c r="AU126" i="1"/>
  <c r="AU125" i="1"/>
  <c r="AU124" i="1"/>
  <c r="AU123" i="1"/>
  <c r="AU122" i="1"/>
  <c r="AU121" i="1"/>
  <c r="AU120" i="1"/>
  <c r="AU119" i="1"/>
  <c r="AU118" i="1"/>
  <c r="AU117" i="1"/>
  <c r="AU116" i="1"/>
  <c r="AU115" i="1"/>
  <c r="AU114" i="1"/>
  <c r="AU113" i="1"/>
  <c r="AU112" i="1"/>
  <c r="AU111" i="1"/>
  <c r="AU110" i="1"/>
  <c r="AU109" i="1"/>
  <c r="AU108" i="1"/>
  <c r="AU107" i="1"/>
  <c r="AU106" i="1"/>
  <c r="AU105" i="1"/>
  <c r="AU104" i="1"/>
  <c r="AU103" i="1"/>
  <c r="AU102" i="1"/>
  <c r="AU101" i="1"/>
  <c r="AU100" i="1"/>
  <c r="AU99" i="1"/>
  <c r="AU98" i="1"/>
  <c r="AU97" i="1"/>
  <c r="AU96" i="1"/>
  <c r="AU95" i="1"/>
  <c r="AU94" i="1"/>
  <c r="AU93" i="1"/>
  <c r="AU92" i="1"/>
  <c r="AU91" i="1"/>
  <c r="AU90" i="1"/>
  <c r="AU89" i="1"/>
  <c r="AU88" i="1"/>
  <c r="AU87" i="1"/>
  <c r="AU86" i="1"/>
  <c r="AU85" i="1"/>
  <c r="AU84" i="1"/>
  <c r="AU82" i="1"/>
  <c r="AU81" i="1"/>
  <c r="AU80" i="1"/>
  <c r="AU79" i="1"/>
  <c r="AU78" i="1"/>
  <c r="AU77" i="1"/>
  <c r="AU76" i="1"/>
  <c r="AU75" i="1"/>
  <c r="AU74" i="1"/>
  <c r="AU73" i="1"/>
  <c r="AU72" i="1"/>
  <c r="AU71" i="1"/>
  <c r="AU70" i="1"/>
  <c r="AU69" i="1"/>
  <c r="AU68" i="1"/>
  <c r="AU67" i="1"/>
  <c r="AU66" i="1"/>
  <c r="AU65" i="1"/>
  <c r="AU64" i="1"/>
  <c r="AU63" i="1"/>
  <c r="AU62" i="1"/>
  <c r="AU61" i="1"/>
  <c r="AU60" i="1"/>
  <c r="AU59" i="1"/>
  <c r="AU58" i="1"/>
  <c r="AU57" i="1"/>
  <c r="AU56" i="1"/>
  <c r="AU55" i="1"/>
  <c r="AU54" i="1"/>
  <c r="AU53" i="1"/>
  <c r="AU52" i="1"/>
  <c r="AU51" i="1"/>
  <c r="AU50" i="1"/>
  <c r="AU49" i="1"/>
  <c r="AU48" i="1"/>
  <c r="F19" i="7" l="1"/>
  <c r="BS19" i="7" l="1"/>
  <c r="G19" i="7"/>
  <c r="B19" i="7" s="1"/>
  <c r="F4" i="7" l="1"/>
  <c r="H21" i="7"/>
  <c r="I21" i="7" s="1"/>
  <c r="F21" i="7"/>
  <c r="H20" i="7"/>
  <c r="I20" i="7" s="1"/>
  <c r="F20" i="7"/>
  <c r="H19" i="7"/>
  <c r="I19" i="7" s="1"/>
  <c r="H18" i="7"/>
  <c r="I18" i="7" s="1"/>
  <c r="F18" i="7"/>
  <c r="H17" i="7"/>
  <c r="I17" i="7" s="1"/>
  <c r="F17" i="7"/>
  <c r="H16" i="7"/>
  <c r="I16" i="7" s="1"/>
  <c r="F16" i="7"/>
  <c r="H15" i="7"/>
  <c r="I15" i="7" s="1"/>
  <c r="F15" i="7"/>
  <c r="H14" i="7"/>
  <c r="I14" i="7" s="1"/>
  <c r="F14" i="7"/>
  <c r="F13" i="7"/>
  <c r="H12" i="7"/>
  <c r="I12" i="7" s="1"/>
  <c r="F12" i="7"/>
  <c r="H11" i="7"/>
  <c r="I11" i="7" s="1"/>
  <c r="F11" i="7"/>
  <c r="H10" i="7"/>
  <c r="I10" i="7" s="1"/>
  <c r="H9" i="7"/>
  <c r="I9" i="7" s="1"/>
  <c r="H8" i="7"/>
  <c r="I8" i="7" s="1"/>
  <c r="H7" i="7"/>
  <c r="I7" i="7" s="1"/>
  <c r="H6" i="7"/>
  <c r="H5" i="7"/>
  <c r="I5" i="7" s="1"/>
  <c r="H4" i="7"/>
  <c r="I4" i="7" s="1"/>
  <c r="F10" i="7"/>
  <c r="F5" i="7"/>
  <c r="F6" i="7"/>
  <c r="F7" i="7"/>
  <c r="F8" i="7"/>
  <c r="F9" i="7"/>
  <c r="I6" i="7" l="1"/>
  <c r="BR6" i="7"/>
  <c r="BT6" i="7"/>
  <c r="BT9" i="7"/>
  <c r="BR9" i="7"/>
  <c r="BR17" i="7"/>
  <c r="BT17" i="7"/>
  <c r="BR8" i="7"/>
  <c r="BT8" i="7"/>
  <c r="BR14" i="7"/>
  <c r="BT14" i="7"/>
  <c r="BT11" i="7"/>
  <c r="BR11" i="7"/>
  <c r="BT12" i="7"/>
  <c r="BR12" i="7"/>
  <c r="BR4" i="7"/>
  <c r="BT4" i="7"/>
  <c r="BR20" i="7"/>
  <c r="BT20" i="7"/>
  <c r="BT21" i="7"/>
  <c r="BR21" i="7"/>
  <c r="BR16" i="7"/>
  <c r="BT16" i="7"/>
  <c r="BR10" i="7"/>
  <c r="BT10" i="7"/>
  <c r="BR18" i="7"/>
  <c r="BT18" i="7"/>
  <c r="BT19" i="7"/>
  <c r="BR19" i="7"/>
  <c r="BT5" i="7"/>
  <c r="BR5" i="7"/>
  <c r="BT7" i="7"/>
  <c r="BR7" i="7"/>
  <c r="BT15" i="7"/>
  <c r="BR15" i="7"/>
  <c r="BS16" i="7"/>
  <c r="G16" i="7"/>
  <c r="B16" i="7" s="1"/>
  <c r="BS13" i="7"/>
  <c r="G13" i="7"/>
  <c r="B13" i="7" s="1"/>
  <c r="BS12" i="7"/>
  <c r="G12" i="7"/>
  <c r="B12" i="7" s="1"/>
  <c r="BS5" i="7"/>
  <c r="G5" i="7"/>
  <c r="B5" i="7" s="1"/>
  <c r="G20" i="7"/>
  <c r="B20" i="7" s="1"/>
  <c r="BS20" i="7"/>
  <c r="G9" i="7"/>
  <c r="B9" i="7" s="1"/>
  <c r="BS9" i="7"/>
  <c r="BS17" i="7"/>
  <c r="G17" i="7"/>
  <c r="B17" i="7" s="1"/>
  <c r="G8" i="7"/>
  <c r="B8" i="7" s="1"/>
  <c r="BS8" i="7"/>
  <c r="BS11" i="7"/>
  <c r="G11" i="7"/>
  <c r="B11" i="7" s="1"/>
  <c r="BS7" i="7"/>
  <c r="G7" i="7"/>
  <c r="B7" i="7" s="1"/>
  <c r="BS18" i="7"/>
  <c r="G18" i="7"/>
  <c r="B18" i="7" s="1"/>
  <c r="G6" i="7"/>
  <c r="B6" i="7" s="1"/>
  <c r="BS6" i="7"/>
  <c r="G14" i="7"/>
  <c r="B14" i="7" s="1"/>
  <c r="BS14" i="7"/>
  <c r="G21" i="7"/>
  <c r="B21" i="7" s="1"/>
  <c r="BS21" i="7"/>
  <c r="G15" i="7"/>
  <c r="B15" i="7" s="1"/>
  <c r="BS15" i="7"/>
  <c r="G10" i="7"/>
  <c r="B10" i="7" s="1"/>
  <c r="BS10" i="7"/>
  <c r="BS4" i="7"/>
  <c r="G4" i="7"/>
  <c r="B4" i="7" s="1"/>
  <c r="D18" i="1"/>
  <c r="D19" i="1"/>
  <c r="D20" i="1"/>
  <c r="D21" i="1"/>
  <c r="D22" i="1"/>
  <c r="D23" i="1"/>
  <c r="D24" i="1"/>
  <c r="D25" i="1"/>
  <c r="D26" i="1"/>
  <c r="D27" i="1"/>
  <c r="D28" i="1"/>
  <c r="D29" i="1"/>
  <c r="D30" i="1"/>
  <c r="D31" i="1"/>
  <c r="D32" i="1"/>
  <c r="D33" i="1"/>
  <c r="D34" i="1"/>
  <c r="D35" i="1"/>
  <c r="D36" i="1"/>
  <c r="D37" i="1"/>
  <c r="D38" i="1"/>
  <c r="D39" i="1"/>
  <c r="D40" i="1"/>
  <c r="N111" i="1" l="1"/>
  <c r="N95" i="1"/>
  <c r="N94" i="1"/>
  <c r="N92" i="1"/>
  <c r="N91" i="1"/>
  <c r="N90" i="1"/>
  <c r="N89" i="1"/>
  <c r="N88" i="1"/>
  <c r="N86" i="1"/>
  <c r="N80" i="1"/>
  <c r="N52" i="1"/>
  <c r="N50" i="1"/>
  <c r="N87" i="1"/>
  <c r="N81" i="1"/>
  <c r="N79" i="1"/>
  <c r="N51" i="1"/>
  <c r="N49" i="1"/>
  <c r="N48" i="1"/>
  <c r="N105" i="1"/>
  <c r="N104" i="1"/>
  <c r="N103" i="1"/>
  <c r="N85" i="1"/>
  <c r="N70" i="1"/>
  <c r="N69" i="1"/>
  <c r="N68" i="1"/>
  <c r="N67" i="1"/>
  <c r="N66" i="1"/>
  <c r="N65" i="1"/>
  <c r="N64" i="1"/>
  <c r="N63" i="1"/>
  <c r="N62" i="1"/>
  <c r="N61" i="1"/>
  <c r="N84" i="1"/>
  <c r="N82" i="1"/>
  <c r="N110" i="1"/>
  <c r="N109" i="1"/>
  <c r="N108" i="1"/>
  <c r="N107" i="1"/>
  <c r="N106" i="1"/>
  <c r="N101" i="1"/>
  <c r="N100" i="1"/>
  <c r="N99" i="1"/>
  <c r="N98" i="1"/>
  <c r="N97" i="1"/>
  <c r="N96" i="1"/>
  <c r="N102" i="1"/>
  <c r="N78" i="1"/>
  <c r="N77" i="1"/>
  <c r="N76" i="1"/>
  <c r="N75" i="1"/>
  <c r="N74" i="1"/>
  <c r="N73" i="1"/>
  <c r="N72" i="1"/>
  <c r="N71" i="1"/>
  <c r="N93" i="1"/>
  <c r="N60" i="1"/>
  <c r="N59" i="1"/>
  <c r="N58" i="1"/>
  <c r="N57" i="1"/>
  <c r="N56" i="1"/>
  <c r="N55" i="1"/>
  <c r="N54" i="1"/>
  <c r="N53" i="1"/>
  <c r="M111" i="1" l="1"/>
  <c r="M110" i="1"/>
  <c r="M109" i="1"/>
  <c r="M108" i="1"/>
  <c r="M107" i="1"/>
  <c r="M106" i="1"/>
  <c r="M105" i="1"/>
  <c r="M104" i="1"/>
  <c r="M103" i="1"/>
  <c r="M102" i="1"/>
  <c r="M101" i="1"/>
  <c r="M100" i="1"/>
  <c r="M99" i="1"/>
  <c r="M98" i="1"/>
  <c r="M97" i="1"/>
  <c r="M96" i="1"/>
  <c r="M95" i="1"/>
  <c r="M94" i="1"/>
  <c r="M93" i="1"/>
  <c r="M92" i="1"/>
  <c r="M91" i="1"/>
  <c r="M90" i="1"/>
  <c r="M89" i="1"/>
  <c r="M88" i="1"/>
  <c r="M87" i="1"/>
  <c r="M86" i="1"/>
  <c r="M85" i="1"/>
  <c r="M84" i="1"/>
  <c r="M82" i="1"/>
  <c r="M81" i="1"/>
  <c r="M80" i="1"/>
  <c r="M79" i="1"/>
  <c r="M78" i="1"/>
  <c r="M77" i="1"/>
  <c r="M76" i="1"/>
  <c r="M75" i="1"/>
  <c r="M74" i="1"/>
  <c r="M73" i="1"/>
  <c r="M72" i="1"/>
  <c r="M71" i="1"/>
  <c r="M70" i="1"/>
  <c r="M69" i="1"/>
  <c r="M68" i="1"/>
  <c r="M67" i="1"/>
  <c r="M66" i="1"/>
  <c r="M65" i="1"/>
  <c r="M64" i="1"/>
  <c r="M63" i="1"/>
  <c r="M62" i="1"/>
  <c r="M61" i="1"/>
  <c r="M60" i="1"/>
  <c r="M59" i="1"/>
  <c r="M58" i="1"/>
  <c r="M57" i="1"/>
  <c r="M56" i="1"/>
  <c r="M55" i="1"/>
  <c r="M54" i="1"/>
  <c r="M53" i="1"/>
  <c r="M52" i="1"/>
  <c r="M51" i="1"/>
  <c r="M50" i="1"/>
  <c r="M49" i="1"/>
  <c r="M48" i="1"/>
  <c r="D219" i="1" l="1"/>
  <c r="D211" i="1"/>
  <c r="D203" i="1"/>
  <c r="D218" i="1"/>
  <c r="D210" i="1"/>
  <c r="D217" i="1"/>
  <c r="D209" i="1"/>
  <c r="D216" i="1"/>
  <c r="D208" i="1"/>
  <c r="D215" i="1"/>
  <c r="D207" i="1"/>
  <c r="D214" i="1"/>
  <c r="D206" i="1"/>
  <c r="D213" i="1"/>
  <c r="D205" i="1"/>
  <c r="D212" i="1"/>
  <c r="D204" i="1"/>
  <c r="D349" i="1"/>
  <c r="D336" i="1"/>
  <c r="D347" i="1"/>
  <c r="D339" i="1"/>
  <c r="D331" i="1"/>
  <c r="D323" i="1"/>
  <c r="D314" i="1"/>
  <c r="D306" i="1"/>
  <c r="D298" i="1"/>
  <c r="D290" i="1"/>
  <c r="D282" i="1"/>
  <c r="D274" i="1"/>
  <c r="D266" i="1"/>
  <c r="D258" i="1"/>
  <c r="D250" i="1"/>
  <c r="D242" i="1"/>
  <c r="D234" i="1"/>
  <c r="D226" i="1"/>
  <c r="D319" i="1"/>
  <c r="D294" i="1"/>
  <c r="D246" i="1"/>
  <c r="D346" i="1"/>
  <c r="D338" i="1"/>
  <c r="D330" i="1"/>
  <c r="D322" i="1"/>
  <c r="D313" i="1"/>
  <c r="D305" i="1"/>
  <c r="D297" i="1"/>
  <c r="D289" i="1"/>
  <c r="D281" i="1"/>
  <c r="D273" i="1"/>
  <c r="D265" i="1"/>
  <c r="D257" i="1"/>
  <c r="D249" i="1"/>
  <c r="D241" i="1"/>
  <c r="D233" i="1"/>
  <c r="D225" i="1"/>
  <c r="D310" i="1"/>
  <c r="D270" i="1"/>
  <c r="D222" i="1"/>
  <c r="D345" i="1"/>
  <c r="D337" i="1"/>
  <c r="D329" i="1"/>
  <c r="D321" i="1"/>
  <c r="D312" i="1"/>
  <c r="D304" i="1"/>
  <c r="D296" i="1"/>
  <c r="D288" i="1"/>
  <c r="D280" i="1"/>
  <c r="D272" i="1"/>
  <c r="D264" i="1"/>
  <c r="D256" i="1"/>
  <c r="D248" i="1"/>
  <c r="D240" i="1"/>
  <c r="D232" i="1"/>
  <c r="D224" i="1"/>
  <c r="D327" i="1"/>
  <c r="D286" i="1"/>
  <c r="D238" i="1"/>
  <c r="D344" i="1"/>
  <c r="D328" i="1"/>
  <c r="D320" i="1"/>
  <c r="D311" i="1"/>
  <c r="D303" i="1"/>
  <c r="D295" i="1"/>
  <c r="D287" i="1"/>
  <c r="D279" i="1"/>
  <c r="D271" i="1"/>
  <c r="D263" i="1"/>
  <c r="D255" i="1"/>
  <c r="D247" i="1"/>
  <c r="D239" i="1"/>
  <c r="D231" i="1"/>
  <c r="D223" i="1"/>
  <c r="D335" i="1"/>
  <c r="D302" i="1"/>
  <c r="D262" i="1"/>
  <c r="D343" i="1"/>
  <c r="D342" i="1"/>
  <c r="D334" i="1"/>
  <c r="D326" i="1"/>
  <c r="D318" i="1"/>
  <c r="D309" i="1"/>
  <c r="D301" i="1"/>
  <c r="D293" i="1"/>
  <c r="D285" i="1"/>
  <c r="D277" i="1"/>
  <c r="D269" i="1"/>
  <c r="D261" i="1"/>
  <c r="D253" i="1"/>
  <c r="D245" i="1"/>
  <c r="D237" i="1"/>
  <c r="D229" i="1"/>
  <c r="D221" i="1"/>
  <c r="D341" i="1"/>
  <c r="D333" i="1"/>
  <c r="D325" i="1"/>
  <c r="D317" i="1"/>
  <c r="D308" i="1"/>
  <c r="D300" i="1"/>
  <c r="D292" i="1"/>
  <c r="D284" i="1"/>
  <c r="D276" i="1"/>
  <c r="D268" i="1"/>
  <c r="D260" i="1"/>
  <c r="D252" i="1"/>
  <c r="D244" i="1"/>
  <c r="D236" i="1"/>
  <c r="D228" i="1"/>
  <c r="D243" i="1"/>
  <c r="D227" i="1"/>
  <c r="D278" i="1"/>
  <c r="D230" i="1"/>
  <c r="D340" i="1"/>
  <c r="D332" i="1"/>
  <c r="D324" i="1"/>
  <c r="D316" i="1"/>
  <c r="D307" i="1"/>
  <c r="D299" i="1"/>
  <c r="D291" i="1"/>
  <c r="D283" i="1"/>
  <c r="D275" i="1"/>
  <c r="D267" i="1"/>
  <c r="D259" i="1"/>
  <c r="D251" i="1"/>
  <c r="D235" i="1"/>
  <c r="D254"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Safitri Nur Andhini</author>
  </authors>
  <commentList>
    <comment ref="BE3" authorId="0" shapeId="0" xr:uid="{A9A30B6B-F450-4CD5-A4EC-3B3BDBCE50B5}">
      <text>
        <r>
          <rPr>
            <b/>
            <sz val="9"/>
            <color indexed="81"/>
            <rFont val="Tahoma"/>
            <family val="2"/>
          </rPr>
          <t>Recurring : Kegiatan rutin, ada setiap tahun atau bulan atau di beberapa periode
One Off : Kegiatan yang dilakukan hanya 1x saja yang disebabkan / dengan tujuan khusus</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<sst xmlns="http://schemas.openxmlformats.org/spreadsheetml/2006/main" count="6920" uniqueCount="2705">
  <si>
    <t>Petunjuk Umum</t>
  </si>
  <si>
    <r>
      <t>Dasar penyusunan anggaran tahunan (</t>
    </r>
    <r>
      <rPr>
        <i/>
        <sz val="11"/>
        <rFont val="Arial"/>
        <family val="2"/>
      </rPr>
      <t>Master Budget</t>
    </r>
    <r>
      <rPr>
        <sz val="11"/>
        <rFont val="Arial"/>
        <family val="2"/>
      </rPr>
      <t>) dapat mempertimbangkan:</t>
    </r>
  </si>
  <si>
    <t>•</t>
  </si>
  <si>
    <r>
      <t xml:space="preserve">Mohon untuk </t>
    </r>
    <r>
      <rPr>
        <b/>
        <sz val="11"/>
        <rFont val="Arial"/>
        <family val="2"/>
      </rPr>
      <t>tidak</t>
    </r>
    <r>
      <rPr>
        <sz val="11"/>
        <rFont val="Arial"/>
        <family val="2"/>
      </rPr>
      <t xml:space="preserve"> menghapus&amp;menambah baris/kolom pada Lembar kerja anggaran tahunan (</t>
    </r>
    <r>
      <rPr>
        <i/>
        <sz val="11"/>
        <rFont val="Arial"/>
        <family val="2"/>
      </rPr>
      <t>master budget template</t>
    </r>
    <r>
      <rPr>
        <sz val="11"/>
        <rFont val="Arial"/>
        <family val="2"/>
      </rPr>
      <t>)</t>
    </r>
  </si>
  <si>
    <t>Setiap Departemen wajib menunjuk PIC anggaran (selain manager) untuk mempermudah pemberitahuan terkini terkait dengan perubahan/tambahan peraturan/kebijakan</t>
  </si>
  <si>
    <r>
      <t>Lembar kerja anggaran tahunan (</t>
    </r>
    <r>
      <rPr>
        <i/>
        <sz val="11"/>
        <color theme="1"/>
        <rFont val="Arial"/>
        <family val="2"/>
      </rPr>
      <t>master budget</t>
    </r>
    <r>
      <rPr>
        <sz val="11"/>
        <color theme="1"/>
        <rFont val="Arial"/>
        <family val="2"/>
      </rPr>
      <t xml:space="preserve"> template) harus diketahui dan disetujui oleh Kepala Departemen/Manajer, Kepala Divisi/GM, dan Direktur terkait</t>
    </r>
  </si>
  <si>
    <t>Petunjuk Rinci/Detail</t>
  </si>
  <si>
    <t>Terdapat 4 bagian dalam lembar kerja budget :</t>
  </si>
  <si>
    <t>- COVER</t>
  </si>
  <si>
    <r>
      <t xml:space="preserve">- </t>
    </r>
    <r>
      <rPr>
        <sz val="11"/>
        <color rgb="FF000000"/>
        <rFont val="Arial"/>
        <family val="2"/>
      </rPr>
      <t>OPEX DETAIL</t>
    </r>
  </si>
  <si>
    <t>Sheet 1 : Cover</t>
  </si>
  <si>
    <t>Cover</t>
  </si>
  <si>
    <t>Harap isi masing-masing bagian sesuai urutan dibawah.</t>
  </si>
  <si>
    <t xml:space="preserve">Year                                   </t>
  </si>
  <si>
    <t>Diisi dengan tahun perencanaan budget</t>
  </si>
  <si>
    <t>BU/HO</t>
  </si>
  <si>
    <t>Div. /Dept.</t>
  </si>
  <si>
    <t>Diisi sesuai dengan Divisi / Departement yang tertera di list.</t>
  </si>
  <si>
    <t>HO</t>
  </si>
  <si>
    <t>BOD</t>
  </si>
  <si>
    <t>Corp. Planning &amp; Sustainability</t>
  </si>
  <si>
    <t>Internal Audit</t>
  </si>
  <si>
    <t>Legal &amp; Corp. Secretary</t>
  </si>
  <si>
    <t>HSE</t>
  </si>
  <si>
    <t>Regulatory</t>
  </si>
  <si>
    <t>Corporate Communication</t>
  </si>
  <si>
    <t>Accounting &amp; Reporting</t>
  </si>
  <si>
    <t>Financial Planning &amp; Analysis</t>
  </si>
  <si>
    <t>Taxation</t>
  </si>
  <si>
    <t>Treasury &amp; Finance</t>
  </si>
  <si>
    <t>General Affairs</t>
  </si>
  <si>
    <t>Human Resources</t>
  </si>
  <si>
    <t>IT</t>
  </si>
  <si>
    <t>Strategic Sourcing &amp; Procurement</t>
  </si>
  <si>
    <t>Weightbridge</t>
  </si>
  <si>
    <t>Custom &amp; Logistic</t>
  </si>
  <si>
    <t>Warehouse &amp; Inventory</t>
  </si>
  <si>
    <t>Transformation Office</t>
  </si>
  <si>
    <t>Siapkan approval sesuai dengan approval matrix Divisi / Departement masing-masing</t>
  </si>
  <si>
    <r>
      <t xml:space="preserve">Harap isi masing-masing bagian sesuai urutan dibawah dan harap mengisi kolom yang berwarna </t>
    </r>
    <r>
      <rPr>
        <b/>
        <sz val="11"/>
        <color theme="1"/>
        <rFont val="Arial"/>
        <family val="2"/>
      </rPr>
      <t>putih</t>
    </r>
    <r>
      <rPr>
        <sz val="11"/>
        <color theme="1"/>
        <rFont val="Arial"/>
        <family val="2"/>
      </rPr>
      <t>.</t>
    </r>
  </si>
  <si>
    <t>Ledger SAP</t>
  </si>
  <si>
    <t>Budget 2024</t>
  </si>
  <si>
    <t>No (SAP)</t>
  </si>
  <si>
    <t>Name (SAP)</t>
  </si>
  <si>
    <t>Definition</t>
  </si>
  <si>
    <t>Cost Owner</t>
  </si>
  <si>
    <t>Related Departments</t>
  </si>
  <si>
    <t>Diisi bila department/divisi terkait mempunyai biaya operasional budget untuk periode ini.</t>
  </si>
  <si>
    <t>Cost Center</t>
  </si>
  <si>
    <t>Table 3.1. List Ledger Opex</t>
  </si>
  <si>
    <t>DL Salaries &amp; Wages</t>
  </si>
  <si>
    <t>Biaya imbalan dasar beserta lembur untuk karyawan tetap yang secara langsung menangani proses produksi.</t>
  </si>
  <si>
    <t>HR</t>
  </si>
  <si>
    <t>DL Overtime</t>
  </si>
  <si>
    <t>Biaya lembur atas pekerjaan yang melebihi jam kerja biasa untuk karyawan tetap yang secara langsung menangani proses produksi.</t>
  </si>
  <si>
    <t>DL THR</t>
  </si>
  <si>
    <t>Biaya kompensasi tambahan yang berupa hadiah dari perusahaan dan tunjangan hari raya untuk karyawan tetap yang secara langsung menangani proses produksi.</t>
  </si>
  <si>
    <t>DL Allowances</t>
  </si>
  <si>
    <t>Biaya tunjangan lainnya untuk karyawan tetap yang secara langsung menangani proses produksi.</t>
  </si>
  <si>
    <t>DL Social Security</t>
  </si>
  <si>
    <t>Biaya iuran BPJS karyawan tetap yang secara langsung menangani proses produksi.</t>
  </si>
  <si>
    <t>DL Contract Employee Pay</t>
  </si>
  <si>
    <t>Biaya imbalan dasar, lembur, dan kompensasi tambahan untuk karyawan kontrak yang secara langsung menangani proses produksi.</t>
  </si>
  <si>
    <t>DL  Incentives</t>
  </si>
  <si>
    <t>Gaji insentif karyawan produksi atas pencapaian target produksi.</t>
  </si>
  <si>
    <t>DL Employee Income Tax</t>
  </si>
  <si>
    <t>Biaya atas Pph 21 terkait dengan karyawan yang berkaitan langsung dengan produksi.</t>
  </si>
  <si>
    <t>DL Bonus</t>
  </si>
  <si>
    <t>Bonus yang diterima karyawan produksi seperti Bonus tahunan dan THR.</t>
  </si>
  <si>
    <t>DL Severance Pay</t>
  </si>
  <si>
    <t>Biaya terkait dengan karyawan produksi yang pension/resign (pesangon).</t>
  </si>
  <si>
    <t>DL Employee Insurance</t>
  </si>
  <si>
    <t>Biaya kesejahteraan untuk asuransi karyawan produksi.</t>
  </si>
  <si>
    <t>DL Others</t>
  </si>
  <si>
    <t>Biaya terkait karyawan produksi diluar gaji pokok, “overtime”, “allowances” &amp; “incentives”.</t>
  </si>
  <si>
    <t>IDL Salaries &amp; Wages</t>
  </si>
  <si>
    <t>Biaya imbalan dasar beserta lembur untuk karyawan tetap yang tidak secara langsung menangani proses produksi.</t>
  </si>
  <si>
    <t>IDL Overtime</t>
  </si>
  <si>
    <t>Biaya lembur atas pekerjaan yang melebihi jam kerja biasa untuk karyawan tetap yang tidak secara langsung menangani proses produksi.</t>
  </si>
  <si>
    <t>IDL THR</t>
  </si>
  <si>
    <t>Biaya kompensasi tambahan yang berupa hadiah dari perusahaan dan tunjangan hari raya untuk karyawan tetap yang tidak secara langsung menangani proses produksi.</t>
  </si>
  <si>
    <t>IDL Allowances</t>
  </si>
  <si>
    <t>Biaya tunjangan lainnya untuk karyawan tetap yang tidak secara langsung menangani proses produksi.</t>
  </si>
  <si>
    <t>IDL Social Security</t>
  </si>
  <si>
    <t>Biaya iuran BPJS karyawan tetap yang tidak secara langsung menangani proses produksi.</t>
  </si>
  <si>
    <t>IDL Contract Employee Pay</t>
  </si>
  <si>
    <t>Biaya imbalan dasar, lembur, dan kompensasi tambahan untuk karyawan kontrak yang tidak secara langsung menangani proses produksi.</t>
  </si>
  <si>
    <t>IDL  Incentives</t>
  </si>
  <si>
    <t>Gaji insentif karyawan (sales) atas pencapaian target penjualan.</t>
  </si>
  <si>
    <t>IDL Employee Income Tax</t>
  </si>
  <si>
    <t>Biaya atas Pph 21 terkait dengan karyawan (didalam HO)  yang tidak berkaitan langsung dengan produksi.</t>
  </si>
  <si>
    <t>IDL Bonus</t>
  </si>
  <si>
    <t>Bonus yang diterima karyawan (di dalam HO) seperti Bonus tahunan dan THR.</t>
  </si>
  <si>
    <t>IDL Severance Pay</t>
  </si>
  <si>
    <t>Biaya terkait dengan karyawan diluar produksi  yang pension/resign (pesangon).</t>
  </si>
  <si>
    <t>IDL Employee Insurance</t>
  </si>
  <si>
    <t>Biaya kesejahteraan untuk makan karyawan, yang bukan merupakan penghasilan karyawan.</t>
  </si>
  <si>
    <t>IDL Others</t>
  </si>
  <si>
    <t>Biaya terkait karyawan (didalam HO) diluar gaji pokok, “overtime”, “allowances” &amp; “incentives”</t>
  </si>
  <si>
    <t>Provision for Employee Benefits</t>
  </si>
  <si>
    <t>Biaya cadangan untuk imbalan pisah karyawan pensiun.</t>
  </si>
  <si>
    <t>Accounting</t>
  </si>
  <si>
    <t>Outsourcing Services</t>
  </si>
  <si>
    <t>Biaya upah untuk tenaga outsourcing/pekerja harian</t>
  </si>
  <si>
    <t>Event Services</t>
  </si>
  <si>
    <t xml:space="preserve">Biaya upah untuk tenaga event </t>
  </si>
  <si>
    <t>Construction Services</t>
  </si>
  <si>
    <t>Biaya upah untuk tenaga konstruksi</t>
  </si>
  <si>
    <t>GA</t>
  </si>
  <si>
    <t>Planning Services</t>
  </si>
  <si>
    <t>Biaya upah untuk tenaga planning konstruksi</t>
  </si>
  <si>
    <t>Construction Monitoring Services</t>
  </si>
  <si>
    <t>Biaya upah untuk tenaga supervisi konstruksi</t>
  </si>
  <si>
    <t>Calibration Services</t>
  </si>
  <si>
    <t>Biaya uji kalibrasi timbangan</t>
  </si>
  <si>
    <t>Utilities - Factory Sundries</t>
  </si>
  <si>
    <t>Biaya operasional lain-lain terkait pabrik.
Contoh : masker, helm, keperluan katin (makan karyawan) &amp; baju karyawan</t>
  </si>
  <si>
    <t>Fuel</t>
  </si>
  <si>
    <t>Biaya terkait dengan bahan bakar kendaraan operasional perusahaan.</t>
  </si>
  <si>
    <t>RM Exp - Buidings Services</t>
  </si>
  <si>
    <t>Biaya perbaikan dan pemeliharaan bangunan/gedung milik perusahaan. Termasuk pemakaian spare part dan others consumables (lubricant/pelumas).</t>
  </si>
  <si>
    <t>RM Exp - Machinery and Equipment</t>
  </si>
  <si>
    <t>Biaya perbaikan dan pemeliharaan mesin milik perusahaan. Termasuk pemakaian spare part dan others consumables (lubricant/pelumas).</t>
  </si>
  <si>
    <t>Operational</t>
  </si>
  <si>
    <t>RM Exp - Heavy Equipment</t>
  </si>
  <si>
    <t>Biaya perbaikan dan pemeliharaan alat-alat berat milik perusahaan. Termasuk pemakaian spare part dan others consumables (lubricant/pelumas).</t>
  </si>
  <si>
    <t>RM Exp - Vehicles</t>
  </si>
  <si>
    <t>Biaya perbaikan dan pemeliharaan kendaraan milik perusahaan. Termasuk pemakaian spare part dan others consumables (lubricant/pelumas).</t>
  </si>
  <si>
    <t>RM Exp - Furniture and Fixtures</t>
  </si>
  <si>
    <t>Biaya perbaikan dan pemeliharaan perlengkapan dan perabotan milik perusahaan.</t>
  </si>
  <si>
    <t>RM Exp - Office and Other Equipment</t>
  </si>
  <si>
    <t>Biaya perbaikan dan pemeliharaan peralatan lainnya. (termasuk barang IT)</t>
  </si>
  <si>
    <t>GA and MIS</t>
  </si>
  <si>
    <t>RM Exp - Water Treatment</t>
  </si>
  <si>
    <t>Biaya perbaikan dan pemeliharaan sumber daya air milik perusahaan.</t>
  </si>
  <si>
    <t>RM Exp - Low Value Asset</t>
  </si>
  <si>
    <t>Biaya perbaikan dan pemeliharaan atas LVA Building and Structure, LVA Machinery and Equipment, LVA Heavy Equipment</t>
  </si>
  <si>
    <t>AE - Advertising and Promotion Expenses</t>
  </si>
  <si>
    <t>Biaya iklan dalam bentuk penempatan pada media umum.
Contoh : Biaya pemasangan iklan lowongan kerja di situs JOBSTREET.COM dari tanggal 08 DES 2019 S/D 08 DES 2020</t>
  </si>
  <si>
    <t>AE - Material Gift</t>
  </si>
  <si>
    <t>Biaya terkait souvenir yang diberikan dalam rangka kegiatan promosi</t>
  </si>
  <si>
    <t>AE - Exhibit Sponsor</t>
  </si>
  <si>
    <t>Biaya terkait pameran dan sponsorship dalam rangka kegiatan promosi</t>
  </si>
  <si>
    <t>TE - Seminar</t>
  </si>
  <si>
    <t>Biaya terkait seminar keluar.
Contoh : Biaya KPI Team deteksi dini bulan Juli 2020</t>
  </si>
  <si>
    <t>TE - Training</t>
  </si>
  <si>
    <t xml:space="preserve">Biaya untuk pelatihan dan seminar lain, termasuk biaya sertifikasi/uji untuk memenuhi standar tertentu dalam pekerjaan.
Contoh : Biaya Narasumber dari POLRES BEKASI untuk kegiatan sosialisaso bahaya Terorisme &amp; Radikalisme </t>
  </si>
  <si>
    <t>TE - Others Training &amp; Seminar</t>
  </si>
  <si>
    <t>Biaya lain - lain terkait seminar/training yang tidak termasuk kategori di atas</t>
  </si>
  <si>
    <t>Ins. Exp. - Insurance of Building</t>
  </si>
  <si>
    <t>Ins. Exp. - Insurance of Machinery</t>
  </si>
  <si>
    <t>Operational and GA</t>
  </si>
  <si>
    <t>Ins. Exp. - Insurance of Vehicle</t>
  </si>
  <si>
    <t>Ins. Exp. - Insurance of Public and Product Liabil</t>
  </si>
  <si>
    <t>Ins. Exp. - Insurance Others</t>
  </si>
  <si>
    <t>RE - Rental Warehouse</t>
  </si>
  <si>
    <t>Biaya sewa gudang</t>
  </si>
  <si>
    <t>RE - Rental Vehicle</t>
  </si>
  <si>
    <t>Biaya sewa kendaraan.</t>
  </si>
  <si>
    <t>RE - Rental Land</t>
  </si>
  <si>
    <t>Biaya sewa tanah.</t>
  </si>
  <si>
    <t>RE - Rental Building / Office</t>
  </si>
  <si>
    <t>Biaya sewa gedung/kantor/gudang.</t>
  </si>
  <si>
    <t>RE - Rental Machinery</t>
  </si>
  <si>
    <t>Biaya sewa mesin.</t>
  </si>
  <si>
    <t>RE - Rental Other</t>
  </si>
  <si>
    <t>Biaya sewa lainnya.</t>
  </si>
  <si>
    <t>PT Exp. - Telecommunication &amp; Internet</t>
  </si>
  <si>
    <t>Biaya pemakaian telepon, handphone, faximile, internet.</t>
  </si>
  <si>
    <t>MIS</t>
  </si>
  <si>
    <t>PT Exp. - Postage and Courier</t>
  </si>
  <si>
    <t>Biaya pengiriman dokumen administrasi.</t>
  </si>
  <si>
    <t>PT Exp. - Stamp Duty</t>
  </si>
  <si>
    <t>Biaya pemakaian materai.</t>
  </si>
  <si>
    <t>PT Exp. - Others</t>
  </si>
  <si>
    <t xml:space="preserve">Biaya terkait jasa pengiriman lain-lain yang tidak termasuk pada kategori biaya tersebut di atas </t>
  </si>
  <si>
    <t>PF - Legal Fee</t>
  </si>
  <si>
    <t>Biaya pemakaian jasa pengacara atau konsultasi hukum lain-lain.</t>
  </si>
  <si>
    <t>Legal</t>
  </si>
  <si>
    <t>PF - Tax Consultan Fee</t>
  </si>
  <si>
    <t>Biaya pemakaian jasa konsultan pajak.</t>
  </si>
  <si>
    <t>Tax</t>
  </si>
  <si>
    <t>PF - Audit Fee</t>
  </si>
  <si>
    <t>Biaya pemakaian jasa auditor.</t>
  </si>
  <si>
    <t>PF - Surveyor Fee</t>
  </si>
  <si>
    <t>Biaya pemakaian jasa surveyor</t>
  </si>
  <si>
    <t>PF - Other Professional Fees</t>
  </si>
  <si>
    <t>Biaya pemakaian jasa profesi lainnya.</t>
  </si>
  <si>
    <t>Ent. Exp - Sample Marketing</t>
  </si>
  <si>
    <t>Biaya jamuan untuk relasi perusahaan dalam rangka membina hubungan baik. Makan dan minum visit customer complain.
Contoh : MEETING DENGAN PT GUNUNG INTI SEMPURNA 4 ORG PROYEK PENGADAAN MATERIAL PLAT TGL 19/12/19 (KODRAT,RUDY,NY SL)</t>
  </si>
  <si>
    <t>Sales Marketing and BOD</t>
  </si>
  <si>
    <t>Ent. Exp - Donation and Social Contribution</t>
  </si>
  <si>
    <t>Sumbangan yang diberikan kepada pihak luar, dan dalam rangka tanggung jawab social perusahaan terhadap lingkungan dan masyarakat.</t>
  </si>
  <si>
    <t>Corporate Public Relations and BOD</t>
  </si>
  <si>
    <t>Ent. Exp - Others Entertainment</t>
  </si>
  <si>
    <t>Biaya representasi untuk relasi perusahaan dalam rangka membina hubungan baik.</t>
  </si>
  <si>
    <t>SMSCM &amp; Environment</t>
  </si>
  <si>
    <t>TL - Land and Property Tax</t>
  </si>
  <si>
    <t>Biaya pajak dan perijinan atas tanah.</t>
  </si>
  <si>
    <t>Land Management</t>
  </si>
  <si>
    <t>TL - IMB</t>
  </si>
  <si>
    <t xml:space="preserve">[Saat ini belum digunakan, konfirmasi ke Budgeting unit terlebih dahulu apakah alokasi ini akan aktif atau tidak] </t>
  </si>
  <si>
    <t>TL - Restribution</t>
  </si>
  <si>
    <t>Biaya pajak dan perijinan atas retribusi.</t>
  </si>
  <si>
    <t>TL - SIM, STNK</t>
  </si>
  <si>
    <t>Biaya pajak dan perijinan atas kendaraan.</t>
  </si>
  <si>
    <t>TL - Others Tax and Lisence</t>
  </si>
  <si>
    <t>Biaya pajak dan perijinan lainnya.</t>
  </si>
  <si>
    <t>Stationery Expenses</t>
  </si>
  <si>
    <t>Biaya pemakaian/pembelian perlengkapan office.
Contoh: Alat tulis</t>
  </si>
  <si>
    <t>Printing and Supplies Expenses</t>
  </si>
  <si>
    <t>Biaya untuk semua jenis percetakan dan photocopy.
Contoh: cetak invoice, faktur, kwitansi, kartu nama dll</t>
  </si>
  <si>
    <t>Meeting Expenses</t>
  </si>
  <si>
    <t>Biaya keperluan rapat dinas, konferensi dan lain-lain.</t>
  </si>
  <si>
    <t>Ceremony Expenses</t>
  </si>
  <si>
    <t>Biaya pengadaaan acara khusus perusahaan, seperti halal bihalal, perayaan natal, ulang tahun perusahaan, perayaan 17 Agustus, dan lain-lain.</t>
  </si>
  <si>
    <t>Gen. Transp. Travelling Expenses</t>
  </si>
  <si>
    <t>Biaya tiket perjalanan dinas dan akomodasi perjalanan (contoh seperti biaya penginapan, swab saat perjalanan dinas,dll)</t>
  </si>
  <si>
    <t>Gen. Transp. Others</t>
  </si>
  <si>
    <t>- Biaya yang terkait dengan kendaraan operasional perusahaan. Biaya transportasi FG RM antar warehouse/Bisnit unit, termasuk didalamnya biaya tilang dll 
- Biaya transport antar jemput karyawan 
- Biaya langsir 
- Biaya yang terkait dengan transportasi untuk kegiatan operasional.
Contoh : BY TAXI ONLINE DINAS KE PEMDA BEKASI,KANTOR IMIGRASI TGL 7/9/18  
- Biaya tol dan parkir</t>
  </si>
  <si>
    <t>Waste Removal Expenses</t>
  </si>
  <si>
    <t>Biaya (jasa dan barang) untuk pengolahan limbah pabrik.</t>
  </si>
  <si>
    <t>GA and Environment</t>
  </si>
  <si>
    <t>Household Equipment Expenses</t>
  </si>
  <si>
    <t>Pembelian asset atau barang modal (Low Value Asset) untuk kebutuhan Housing, dengan syarat:
-Nilai &lt; USD 10.000 (Rp 14.300.000)
-	Tidak tergolong sebagai asset tetap (Fixed Asset) di ketentuan/SOP yang berlaku
-	Tidak tergolong sebagai sparepart
Contoh:	Kalkulator, AC, dispenser, kulkas, tools kit dll</t>
  </si>
  <si>
    <t>Factory Equipment Expenses</t>
  </si>
  <si>
    <t>Pembelian asset atau barang modal (Low Value Asset) untuk kebutuhan Pabrik, dengan syarat:
-Nilai &lt; USD 10.000 (Rp 14.300.000)
-	Tidak tergolong sebagai asset tetap (Fixed Asset) di ketentuan/SOP yang berlaku
-	Tidak tergolong sebagai sparepart
Contoh: Kalkulator, AC, dispenser, kulkas, tools kit dll</t>
  </si>
  <si>
    <t xml:space="preserve">Operational </t>
  </si>
  <si>
    <t>Office Equipment Expenses</t>
  </si>
  <si>
    <t>Pembelian asset atau barang modal (Low Value Asset) untuk kebutuhan Kantor, dengan syarat:
-Nilai &lt; USD 10.000 (Rp 14.300.000)
-	Tidak tergolong sebagai asset tetap (Fixed Asset) di ketentuan/SOP yang berlaku
-	Tidak tergolong sebagai sparepart
Contoh: Kalkulator, AC, dispenser, kulkas, tools kit dll</t>
  </si>
  <si>
    <t>Association and Membership</t>
  </si>
  <si>
    <t>Biaya iuran keanggotaan</t>
  </si>
  <si>
    <t>Subscriptions and Periodicals</t>
  </si>
  <si>
    <t>Biaya berlangganan website, majalah, dll</t>
  </si>
  <si>
    <t>Miscellaneous Expenses</t>
  </si>
  <si>
    <t>Biaya lain-lain yang tidak termasuk pada kategori biaya tersebut di atas (contoh : biaya cleaning service, biaya tax penalty, dll)</t>
  </si>
  <si>
    <t>Directorate</t>
  </si>
  <si>
    <t>Diisi dengan:
HO untuk department Head Office</t>
  </si>
  <si>
    <t>Sales</t>
  </si>
  <si>
    <t>Information Technology</t>
  </si>
  <si>
    <t>Finance</t>
  </si>
  <si>
    <t>Supply Chain Management</t>
  </si>
  <si>
    <t>CEO Office</t>
  </si>
  <si>
    <t>Corporate Affairs</t>
  </si>
  <si>
    <t>Annual Budget</t>
  </si>
  <si>
    <t>:</t>
  </si>
  <si>
    <t>Diisi sesuai dengan Direktorat yang tertera di list.</t>
  </si>
  <si>
    <t>Division / Department</t>
  </si>
  <si>
    <t>Board of Director</t>
  </si>
  <si>
    <t>IA</t>
  </si>
  <si>
    <t>FPA</t>
  </si>
  <si>
    <t>TO</t>
  </si>
  <si>
    <t>KSO</t>
  </si>
  <si>
    <t>Corplan</t>
  </si>
  <si>
    <t>CorComm</t>
  </si>
  <si>
    <t>SCM</t>
  </si>
  <si>
    <t>GRP Medan</t>
  </si>
  <si>
    <t>Fixed Asset Management</t>
  </si>
  <si>
    <t>FAM</t>
  </si>
  <si>
    <t>Mapping</t>
  </si>
  <si>
    <t>Procurement</t>
  </si>
  <si>
    <t>Treasury Finance</t>
  </si>
  <si>
    <t>10301SM001</t>
  </si>
  <si>
    <t>10301SC001</t>
  </si>
  <si>
    <t>10301SC004</t>
  </si>
  <si>
    <t>10301FA002</t>
  </si>
  <si>
    <t>10301BD001</t>
  </si>
  <si>
    <t>10301CP001</t>
  </si>
  <si>
    <t>10301FA004</t>
  </si>
  <si>
    <t>10301GA001</t>
  </si>
  <si>
    <t>10301HS001</t>
  </si>
  <si>
    <t>10301HR001</t>
  </si>
  <si>
    <t>10301IA001</t>
  </si>
  <si>
    <t>10301IT001</t>
  </si>
  <si>
    <t>10301CL001</t>
  </si>
  <si>
    <t>10301MS008</t>
  </si>
  <si>
    <t>10301FA003</t>
  </si>
  <si>
    <t>10301FA001</t>
  </si>
  <si>
    <t>10301MS009</t>
  </si>
  <si>
    <t>10301TO001</t>
  </si>
  <si>
    <t>10302KS001</t>
  </si>
  <si>
    <t>10301SM003</t>
  </si>
  <si>
    <t>10301SC003</t>
  </si>
  <si>
    <t>10301FA007</t>
  </si>
  <si>
    <t>10301BA001</t>
  </si>
  <si>
    <t>10301FA005</t>
  </si>
  <si>
    <t>10301GA002</t>
  </si>
  <si>
    <t>10301MS003</t>
  </si>
  <si>
    <t>10301HR002</t>
  </si>
  <si>
    <t>10301IT003</t>
  </si>
  <si>
    <t>10301CS001</t>
  </si>
  <si>
    <t>10301MS002</t>
  </si>
  <si>
    <t>10301FA006</t>
  </si>
  <si>
    <t>10301TO002</t>
  </si>
  <si>
    <t>10301SM002</t>
  </si>
  <si>
    <t>10301SC005</t>
  </si>
  <si>
    <t>10301GA003</t>
  </si>
  <si>
    <t>10301HR003</t>
  </si>
  <si>
    <t>10301MS005</t>
  </si>
  <si>
    <t>10301MS006</t>
  </si>
  <si>
    <t>10301TO003</t>
  </si>
  <si>
    <t>10301SC002</t>
  </si>
  <si>
    <t>10301GA004</t>
  </si>
  <si>
    <t>10301HR004</t>
  </si>
  <si>
    <t>10301MS004</t>
  </si>
  <si>
    <t>10301MS007</t>
  </si>
  <si>
    <t>10301TO004</t>
  </si>
  <si>
    <t>10301GA005</t>
  </si>
  <si>
    <t>10301HR005</t>
  </si>
  <si>
    <t>10301HS002</t>
  </si>
  <si>
    <t>10301GA008</t>
  </si>
  <si>
    <t>10301HR007</t>
  </si>
  <si>
    <t>10301PR001</t>
  </si>
  <si>
    <t>10301MS001</t>
  </si>
  <si>
    <t>10301HR006</t>
  </si>
  <si>
    <t>10301PR002</t>
  </si>
  <si>
    <t>10301GA006</t>
  </si>
  <si>
    <t>10301HR008</t>
  </si>
  <si>
    <t>10301GA007</t>
  </si>
  <si>
    <t>10301GA009</t>
  </si>
  <si>
    <t>10301GA010</t>
  </si>
  <si>
    <t>CC_IA</t>
  </si>
  <si>
    <t>CC_Corplan</t>
  </si>
  <si>
    <t>CC_BOD</t>
  </si>
  <si>
    <t>CC_GA</t>
  </si>
  <si>
    <t>CC_Sales</t>
  </si>
  <si>
    <t>CC_HR</t>
  </si>
  <si>
    <t>CC_Legal</t>
  </si>
  <si>
    <t>CC_Regulatory</t>
  </si>
  <si>
    <t>CC_CorComm</t>
  </si>
  <si>
    <t>CC_Accounting</t>
  </si>
  <si>
    <t>CC_FPA</t>
  </si>
  <si>
    <t>CC_Tax</t>
  </si>
  <si>
    <t>CC_FinanceTreasury</t>
  </si>
  <si>
    <t>CC_FAM</t>
  </si>
  <si>
    <t>CC_IT</t>
  </si>
  <si>
    <t>CC_Procurement</t>
  </si>
  <si>
    <t>CC_CustomLogistic</t>
  </si>
  <si>
    <t>CC_Warehouse</t>
  </si>
  <si>
    <t>Health &amp; Safety</t>
  </si>
  <si>
    <t>CC_HS</t>
  </si>
  <si>
    <t>Environment</t>
  </si>
  <si>
    <t>Chief of Staff</t>
  </si>
  <si>
    <t>Corporate Analyst</t>
  </si>
  <si>
    <t>Project Development Office</t>
  </si>
  <si>
    <t>Risk Management</t>
  </si>
  <si>
    <t>CC_Environment</t>
  </si>
  <si>
    <t>Cost Center List</t>
  </si>
  <si>
    <t>BAOLIANDI OFFICE DIV</t>
  </si>
  <si>
    <t>31.12.9999</t>
  </si>
  <si>
    <t>BAO</t>
  </si>
  <si>
    <t>W</t>
  </si>
  <si>
    <t>USD</t>
  </si>
  <si>
    <t>BOARD OF DIRECTORS</t>
  </si>
  <si>
    <t>CORPORATE LEGAL</t>
  </si>
  <si>
    <t>CL</t>
  </si>
  <si>
    <t>CORP. PLAN&amp;STRATEGY</t>
  </si>
  <si>
    <t>CORPLAN</t>
  </si>
  <si>
    <t>CORPORATE SECRETARY</t>
  </si>
  <si>
    <t>CS</t>
  </si>
  <si>
    <t>TREASURY</t>
  </si>
  <si>
    <t>FA</t>
  </si>
  <si>
    <t>ACCOUNTING</t>
  </si>
  <si>
    <t>TAX</t>
  </si>
  <si>
    <t>FIN. PLAN &amp; ANALYSIS</t>
  </si>
  <si>
    <t>PROJECT</t>
  </si>
  <si>
    <t>FINANCE</t>
  </si>
  <si>
    <t>FIXED ASSET MGT</t>
  </si>
  <si>
    <t>10.08.2022</t>
  </si>
  <si>
    <t>10301FA999</t>
  </si>
  <si>
    <t>OTHER</t>
  </si>
  <si>
    <t>PROPERTY MAINTENANCE</t>
  </si>
  <si>
    <t>HOUSEKEEPING</t>
  </si>
  <si>
    <t>GA CUSTOMER CARE</t>
  </si>
  <si>
    <t>FOOD &amp; BEVERAGE</t>
  </si>
  <si>
    <t>LANDSCAPE</t>
  </si>
  <si>
    <t>CONTRACTOR &amp; VENDOR</t>
  </si>
  <si>
    <t>PROJECT TOOLS &amp; MAT.</t>
  </si>
  <si>
    <t>CORP. VEHICLE MGT.</t>
  </si>
  <si>
    <t>PROJECT ENGINEERING</t>
  </si>
  <si>
    <t>VENDOR</t>
  </si>
  <si>
    <t>TALENT MANAGEMENT</t>
  </si>
  <si>
    <t>HR ADMINISTRATION</t>
  </si>
  <si>
    <t>INDUSTRIAL RELATIONS</t>
  </si>
  <si>
    <t>PAYROLL, COMPBEN.</t>
  </si>
  <si>
    <t>TALENT ACQ. &amp; DEV.</t>
  </si>
  <si>
    <t>PLANT PERSONALIA</t>
  </si>
  <si>
    <t>HR PROJECTS</t>
  </si>
  <si>
    <t>POOL TALENT DIVISION</t>
  </si>
  <si>
    <t>HEALTH &amp; SAFETY</t>
  </si>
  <si>
    <t>HS</t>
  </si>
  <si>
    <t>ENVIRONMENT</t>
  </si>
  <si>
    <t>ENV</t>
  </si>
  <si>
    <t>INTERNAL AUDIT</t>
  </si>
  <si>
    <t>IT INFRASTRUCTURE</t>
  </si>
  <si>
    <t>10301IT002</t>
  </si>
  <si>
    <t>IT BUSINESS PROCESS</t>
  </si>
  <si>
    <t>01.01.2022</t>
  </si>
  <si>
    <t>09.03.2022</t>
  </si>
  <si>
    <t>IT ERP</t>
  </si>
  <si>
    <t>SECURITY ADMIN</t>
  </si>
  <si>
    <t>COMMUNITY DEV.</t>
  </si>
  <si>
    <t>COMDEV</t>
  </si>
  <si>
    <t>TASK FORCE COVID-19</t>
  </si>
  <si>
    <t>STANDARD &amp; PROCEDURE</t>
  </si>
  <si>
    <t>SNP</t>
  </si>
  <si>
    <t>LAND MANAGEMENT</t>
  </si>
  <si>
    <t>LAND</t>
  </si>
  <si>
    <t>CSR &amp; CORP. SPONSOR.</t>
  </si>
  <si>
    <t>CSR</t>
  </si>
  <si>
    <t>INDUSTRY ASSOCIATION</t>
  </si>
  <si>
    <t>INDUSTRYASSO</t>
  </si>
  <si>
    <t>LICENSES &amp; PERMITS</t>
  </si>
  <si>
    <t>LICENSE</t>
  </si>
  <si>
    <t>GRP MEDAN</t>
  </si>
  <si>
    <t>WEBSITE MASTER</t>
  </si>
  <si>
    <t>PR</t>
  </si>
  <si>
    <t>MEDIA REL/PRESS CONF</t>
  </si>
  <si>
    <t>PROCUREMENT</t>
  </si>
  <si>
    <t>WEIGHBRIDGE</t>
  </si>
  <si>
    <t>CUSTOMS &amp; LOGISTICS</t>
  </si>
  <si>
    <t>WAREHOUSE</t>
  </si>
  <si>
    <t>WAREHOUSE - PLB</t>
  </si>
  <si>
    <t>10301SC006</t>
  </si>
  <si>
    <t>SCM INVENTORY</t>
  </si>
  <si>
    <t>16.12.2022</t>
  </si>
  <si>
    <t>10301SC007</t>
  </si>
  <si>
    <t>SCM WAREHOUSE FG</t>
  </si>
  <si>
    <t>01.01.2023</t>
  </si>
  <si>
    <t>SALES</t>
  </si>
  <si>
    <t>SM</t>
  </si>
  <si>
    <t>V</t>
  </si>
  <si>
    <t>MARKETING</t>
  </si>
  <si>
    <t>LOGISTICS SALES</t>
  </si>
  <si>
    <t>PROGRAM MGT OFFICE</t>
  </si>
  <si>
    <t>DIGITAL INNOVATION</t>
  </si>
  <si>
    <t>ANALYTICS</t>
  </si>
  <si>
    <t>BUSINESS PROCESS MGT</t>
  </si>
  <si>
    <t>Profit Center</t>
  </si>
  <si>
    <t>Cost Center Description</t>
  </si>
  <si>
    <t>Valid From</t>
  </si>
  <si>
    <t>Valid to</t>
  </si>
  <si>
    <t>Department</t>
  </si>
  <si>
    <t>Cost Center Category</t>
  </si>
  <si>
    <t>Currency</t>
  </si>
  <si>
    <t>Active / Not Active</t>
  </si>
  <si>
    <t>Active</t>
  </si>
  <si>
    <t>On progress to close</t>
  </si>
  <si>
    <t>Old BPM Cost Center</t>
  </si>
  <si>
    <t>GL Account List</t>
  </si>
  <si>
    <t>For Rounding</t>
  </si>
  <si>
    <t>Remarks</t>
  </si>
  <si>
    <t>Confirmation on FA/CEO</t>
  </si>
  <si>
    <t>No transaction in 2 years</t>
  </si>
  <si>
    <t>Ledger Description</t>
  </si>
  <si>
    <t>Basis Calculation
(Price per Unit)</t>
  </si>
  <si>
    <t>Professional Fees</t>
  </si>
  <si>
    <t>G/L account</t>
  </si>
  <si>
    <t>60100010</t>
  </si>
  <si>
    <t>60100020</t>
  </si>
  <si>
    <t>60100030</t>
  </si>
  <si>
    <t>60100040</t>
  </si>
  <si>
    <t>60100050</t>
  </si>
  <si>
    <t>60100060</t>
  </si>
  <si>
    <t>60100070</t>
  </si>
  <si>
    <t>60100080</t>
  </si>
  <si>
    <t>60100090</t>
  </si>
  <si>
    <t>60100100</t>
  </si>
  <si>
    <t>60100110</t>
  </si>
  <si>
    <t>60100120</t>
  </si>
  <si>
    <t>60200010</t>
  </si>
  <si>
    <t>60300010</t>
  </si>
  <si>
    <t>60300020</t>
  </si>
  <si>
    <t>60300030</t>
  </si>
  <si>
    <t>60300040</t>
  </si>
  <si>
    <t>60300050</t>
  </si>
  <si>
    <t>60300060</t>
  </si>
  <si>
    <t>60600010</t>
  </si>
  <si>
    <t>60600020</t>
  </si>
  <si>
    <t>60600030</t>
  </si>
  <si>
    <t>60600040</t>
  </si>
  <si>
    <t>60600050</t>
  </si>
  <si>
    <t>60700010</t>
  </si>
  <si>
    <t>60800010</t>
  </si>
  <si>
    <t>60800020</t>
  </si>
  <si>
    <t>60800030</t>
  </si>
  <si>
    <t>60800040</t>
  </si>
  <si>
    <t>60800050</t>
  </si>
  <si>
    <t>60800060</t>
  </si>
  <si>
    <t>60800070</t>
  </si>
  <si>
    <t>60800080</t>
  </si>
  <si>
    <t>60900010</t>
  </si>
  <si>
    <t>60900020</t>
  </si>
  <si>
    <t>60900030</t>
  </si>
  <si>
    <t>60900040</t>
  </si>
  <si>
    <t>60900050</t>
  </si>
  <si>
    <t>60900060</t>
  </si>
  <si>
    <t>60900070</t>
  </si>
  <si>
    <t>60900080</t>
  </si>
  <si>
    <t>60900090</t>
  </si>
  <si>
    <t>60900100</t>
  </si>
  <si>
    <t>60900190</t>
  </si>
  <si>
    <t>61000010</t>
  </si>
  <si>
    <t>61000020</t>
  </si>
  <si>
    <t>61000030</t>
  </si>
  <si>
    <t>61000040</t>
  </si>
  <si>
    <t>61100010</t>
  </si>
  <si>
    <t>61200010</t>
  </si>
  <si>
    <t>61200020</t>
  </si>
  <si>
    <t>61200030</t>
  </si>
  <si>
    <t>61200040</t>
  </si>
  <si>
    <t>61200050</t>
  </si>
  <si>
    <t>61200060</t>
  </si>
  <si>
    <t>61200070</t>
  </si>
  <si>
    <t>61200080</t>
  </si>
  <si>
    <t>61200090</t>
  </si>
  <si>
    <t>61300010</t>
  </si>
  <si>
    <t>61300020</t>
  </si>
  <si>
    <t>61300030</t>
  </si>
  <si>
    <t>61300040</t>
  </si>
  <si>
    <t>61300050</t>
  </si>
  <si>
    <t>61300060</t>
  </si>
  <si>
    <t>61300070</t>
  </si>
  <si>
    <t>61300080</t>
  </si>
  <si>
    <t>61300090</t>
  </si>
  <si>
    <t>61400010</t>
  </si>
  <si>
    <t>61400020</t>
  </si>
  <si>
    <t>61400030</t>
  </si>
  <si>
    <t>61500010</t>
  </si>
  <si>
    <t>61500020</t>
  </si>
  <si>
    <t>61500030</t>
  </si>
  <si>
    <t>61600010</t>
  </si>
  <si>
    <t>61600020</t>
  </si>
  <si>
    <t>61600030</t>
  </si>
  <si>
    <t>61600040</t>
  </si>
  <si>
    <t>61600050</t>
  </si>
  <si>
    <t>61600060</t>
  </si>
  <si>
    <t>61600070</t>
  </si>
  <si>
    <t>61700010</t>
  </si>
  <si>
    <t>61700030</t>
  </si>
  <si>
    <t>61700040</t>
  </si>
  <si>
    <t>61700050</t>
  </si>
  <si>
    <t>61700060</t>
  </si>
  <si>
    <t>61700070</t>
  </si>
  <si>
    <t>61800010</t>
  </si>
  <si>
    <t>61800020</t>
  </si>
  <si>
    <t>61800030</t>
  </si>
  <si>
    <t>61800090</t>
  </si>
  <si>
    <t>61900010</t>
  </si>
  <si>
    <t>61900020</t>
  </si>
  <si>
    <t>61900030</t>
  </si>
  <si>
    <t>61900040</t>
  </si>
  <si>
    <t>61900090</t>
  </si>
  <si>
    <t>62000010</t>
  </si>
  <si>
    <t>62000020</t>
  </si>
  <si>
    <t>62000040</t>
  </si>
  <si>
    <t>62100010</t>
  </si>
  <si>
    <t>62100020</t>
  </si>
  <si>
    <t>62100030</t>
  </si>
  <si>
    <t>62100040</t>
  </si>
  <si>
    <t>62100050</t>
  </si>
  <si>
    <t>62200010</t>
  </si>
  <si>
    <t>62200020</t>
  </si>
  <si>
    <t>62300010</t>
  </si>
  <si>
    <t>62300020</t>
  </si>
  <si>
    <t>62400030</t>
  </si>
  <si>
    <t>62400040</t>
  </si>
  <si>
    <t>62400060</t>
  </si>
  <si>
    <t>62500010</t>
  </si>
  <si>
    <t>62600010</t>
  </si>
  <si>
    <t>62600020</t>
  </si>
  <si>
    <t>62600030</t>
  </si>
  <si>
    <t>62700010</t>
  </si>
  <si>
    <t>62800010</t>
  </si>
  <si>
    <t>62900010</t>
  </si>
  <si>
    <t>62900020</t>
  </si>
  <si>
    <t>63000010</t>
  </si>
  <si>
    <t>63100010</t>
  </si>
  <si>
    <t>63100020</t>
  </si>
  <si>
    <t>63100030</t>
  </si>
  <si>
    <t>63200010</t>
  </si>
  <si>
    <t>63900010</t>
  </si>
  <si>
    <t>63900020</t>
  </si>
  <si>
    <t>63900021</t>
  </si>
  <si>
    <t>69922010</t>
  </si>
  <si>
    <t>Utilities - Electricity Expenses</t>
  </si>
  <si>
    <t>Utilities - Water Expenses</t>
  </si>
  <si>
    <t>Utilities - Oxigent, CO2, Elpiji,  Argon</t>
  </si>
  <si>
    <t>Utilities - Gas PGN (Perusahaan Gas Negara)</t>
  </si>
  <si>
    <t>Depre. Building and Structure</t>
  </si>
  <si>
    <t>Depre. Machinery and Equipment</t>
  </si>
  <si>
    <t>Depre. Equipment and Supplies</t>
  </si>
  <si>
    <t>Depre. Heavy Equipment</t>
  </si>
  <si>
    <t>Depre. Vehicles</t>
  </si>
  <si>
    <t>Depre. Furniture and Fixtures</t>
  </si>
  <si>
    <t>Depre. Office and Other Equipment</t>
  </si>
  <si>
    <t>Depre. Leasehold Improvement</t>
  </si>
  <si>
    <t>Depre. Overhaul Asset</t>
  </si>
  <si>
    <t>Depre. - Invest. Prop Building and Structure</t>
  </si>
  <si>
    <t>Adjustment Depreciation</t>
  </si>
  <si>
    <t>Amortz Land and Landright</t>
  </si>
  <si>
    <t>Amortz Building and Structure</t>
  </si>
  <si>
    <t>Amortz  Machinery and Equipment</t>
  </si>
  <si>
    <t>Amortz  Intangible Asset</t>
  </si>
  <si>
    <t>Steel  Laboratorium Expenses</t>
  </si>
  <si>
    <t>EE - Freight</t>
  </si>
  <si>
    <t>EE - In Land  Transportation</t>
  </si>
  <si>
    <t>EE - Certificate</t>
  </si>
  <si>
    <t>EE - Customs Duty</t>
  </si>
  <si>
    <t>EE - Banking Expenses</t>
  </si>
  <si>
    <t>EE - Insurance</t>
  </si>
  <si>
    <t>EE - Stevedoring Cost</t>
  </si>
  <si>
    <t>EE - Demurage</t>
  </si>
  <si>
    <t>EE - Others</t>
  </si>
  <si>
    <t>IE - Freight</t>
  </si>
  <si>
    <t>IE - In Land  Transportation</t>
  </si>
  <si>
    <t>IE - Certificate</t>
  </si>
  <si>
    <t>IE - Customs Duty</t>
  </si>
  <si>
    <t>IE - Banking Expenses</t>
  </si>
  <si>
    <t>IE - Insurance</t>
  </si>
  <si>
    <t>IE - Stevedoring Cost</t>
  </si>
  <si>
    <t>IE - Demurage</t>
  </si>
  <si>
    <t>IE - Others</t>
  </si>
  <si>
    <t>AE - Material and Gift</t>
  </si>
  <si>
    <t>AE - Exhibition and Sponsorship</t>
  </si>
  <si>
    <t>Ins. Exp. - Insurance of DL Employee</t>
  </si>
  <si>
    <t>Ins. Exp. - Insurance of IDL Employee</t>
  </si>
  <si>
    <t>TL - Others Tax and License</t>
  </si>
  <si>
    <t>Gen. Transp. Freight Local</t>
  </si>
  <si>
    <t>Commission Expense</t>
  </si>
  <si>
    <t>Bank Charges</t>
  </si>
  <si>
    <t>Project Cost</t>
  </si>
  <si>
    <t>Material Used</t>
  </si>
  <si>
    <t>Consumable Used</t>
  </si>
  <si>
    <t>Spareparts Consumption</t>
  </si>
  <si>
    <t>FA cost Variance</t>
  </si>
  <si>
    <t>Other Miscellaneous Exp. Rounding</t>
  </si>
  <si>
    <t>SU Allocation Overhead</t>
  </si>
  <si>
    <t>Project Settlement to Asset</t>
  </si>
  <si>
    <t>Long Text</t>
  </si>
  <si>
    <t>Master Activity Code 
(IO Number)</t>
  </si>
  <si>
    <t>Responsible Cost Center</t>
  </si>
  <si>
    <t>G/L Account</t>
  </si>
  <si>
    <t>Master Activity Description</t>
  </si>
  <si>
    <t>Detail Activity (Spesific detail of activity)</t>
  </si>
  <si>
    <t>Existing Master Activity</t>
  </si>
  <si>
    <t>Detail Information</t>
  </si>
  <si>
    <t>Account Group</t>
  </si>
  <si>
    <t>From G/L Account</t>
  </si>
  <si>
    <t>To G/L Account</t>
  </si>
  <si>
    <t>Meaning</t>
  </si>
  <si>
    <t>100</t>
  </si>
  <si>
    <t>10000000</t>
  </si>
  <si>
    <t>10099999</t>
  </si>
  <si>
    <t>100-Petty Cash</t>
  </si>
  <si>
    <t>Petty Cash</t>
  </si>
  <si>
    <t>101</t>
  </si>
  <si>
    <t>10100000</t>
  </si>
  <si>
    <t>10199999</t>
  </si>
  <si>
    <t>101-Cash in Banks</t>
  </si>
  <si>
    <t>Cash in Banks</t>
  </si>
  <si>
    <t>102</t>
  </si>
  <si>
    <t>10200000</t>
  </si>
  <si>
    <t>10299999</t>
  </si>
  <si>
    <t>102-Short term investment</t>
  </si>
  <si>
    <t>Short term investment</t>
  </si>
  <si>
    <t>103</t>
  </si>
  <si>
    <t>10300000</t>
  </si>
  <si>
    <t>10399999</t>
  </si>
  <si>
    <t>103-Trade Receivables</t>
  </si>
  <si>
    <t>Trade Receivables</t>
  </si>
  <si>
    <t>104</t>
  </si>
  <si>
    <t>10400000</t>
  </si>
  <si>
    <t>10499999</t>
  </si>
  <si>
    <t>104-Other Receivables</t>
  </si>
  <si>
    <t>Other Receivables</t>
  </si>
  <si>
    <t>105</t>
  </si>
  <si>
    <t>10500000</t>
  </si>
  <si>
    <t>10599999</t>
  </si>
  <si>
    <t>105-Inventories</t>
  </si>
  <si>
    <t>Inventories</t>
  </si>
  <si>
    <t>106</t>
  </si>
  <si>
    <t>10600000</t>
  </si>
  <si>
    <t>10699999</t>
  </si>
  <si>
    <t>106-Advance for purchase-trade</t>
  </si>
  <si>
    <t>Advance for purchase-trade</t>
  </si>
  <si>
    <t>107</t>
  </si>
  <si>
    <t>10700000</t>
  </si>
  <si>
    <t>10799999</t>
  </si>
  <si>
    <t>107-Advance for purchase-non t</t>
  </si>
  <si>
    <t>Advance for purchase-non t</t>
  </si>
  <si>
    <t>108</t>
  </si>
  <si>
    <t>10800000</t>
  </si>
  <si>
    <t>10899999</t>
  </si>
  <si>
    <t>108-Prepaid expenses</t>
  </si>
  <si>
    <t>Prepaid expenses</t>
  </si>
  <si>
    <t>109</t>
  </si>
  <si>
    <t>10900000</t>
  </si>
  <si>
    <t>10999999</t>
  </si>
  <si>
    <t>109-Derivative-Current</t>
  </si>
  <si>
    <t>Derivative-Current</t>
  </si>
  <si>
    <t>110</t>
  </si>
  <si>
    <t>11000000</t>
  </si>
  <si>
    <t>11099999</t>
  </si>
  <si>
    <t>110-Prepaid tax</t>
  </si>
  <si>
    <t>Prepaid tax</t>
  </si>
  <si>
    <t>150</t>
  </si>
  <si>
    <t>15000000</t>
  </si>
  <si>
    <t>15099999</t>
  </si>
  <si>
    <t>150-Fixed Assets</t>
  </si>
  <si>
    <t>Fixed Assets</t>
  </si>
  <si>
    <t>151</t>
  </si>
  <si>
    <t>15100000</t>
  </si>
  <si>
    <t>15199999</t>
  </si>
  <si>
    <t>151-Investment properties</t>
  </si>
  <si>
    <t>Investment properties</t>
  </si>
  <si>
    <t>152</t>
  </si>
  <si>
    <t>15200000</t>
  </si>
  <si>
    <t>15299999</t>
  </si>
  <si>
    <t>152-Intangible Assets</t>
  </si>
  <si>
    <t>Intangible Assets</t>
  </si>
  <si>
    <t>153</t>
  </si>
  <si>
    <t>15300000</t>
  </si>
  <si>
    <t>15399999</t>
  </si>
  <si>
    <t>153-Advance for purchase FA-no</t>
  </si>
  <si>
    <t>Advance for purchase FA-no</t>
  </si>
  <si>
    <t>154</t>
  </si>
  <si>
    <t>15400000</t>
  </si>
  <si>
    <t>15499999</t>
  </si>
  <si>
    <t>154-Refundable Deposits</t>
  </si>
  <si>
    <t>Refundable Deposits</t>
  </si>
  <si>
    <t>155</t>
  </si>
  <si>
    <t>15500000</t>
  </si>
  <si>
    <t>15599999</t>
  </si>
  <si>
    <t>155-Deferred tax assets</t>
  </si>
  <si>
    <t>Deferred tax assets</t>
  </si>
  <si>
    <t>156</t>
  </si>
  <si>
    <t>15600000</t>
  </si>
  <si>
    <t>15699999</t>
  </si>
  <si>
    <t>156-Claim for tax refund</t>
  </si>
  <si>
    <t>Claim for tax refund</t>
  </si>
  <si>
    <t>157</t>
  </si>
  <si>
    <t>15700000</t>
  </si>
  <si>
    <t>15799999</t>
  </si>
  <si>
    <t>157-Derivative-Non Current</t>
  </si>
  <si>
    <t>Derivative-Non Current</t>
  </si>
  <si>
    <t>159</t>
  </si>
  <si>
    <t>15900000</t>
  </si>
  <si>
    <t>15999999</t>
  </si>
  <si>
    <t>159-Deferred charge cost</t>
  </si>
  <si>
    <t>Deferred charge cost</t>
  </si>
  <si>
    <t>160</t>
  </si>
  <si>
    <t>16000000</t>
  </si>
  <si>
    <t>16099999</t>
  </si>
  <si>
    <t>160-Long term investment</t>
  </si>
  <si>
    <t>Long term investment</t>
  </si>
  <si>
    <t>190</t>
  </si>
  <si>
    <t>19000000</t>
  </si>
  <si>
    <t>19099999</t>
  </si>
  <si>
    <t>190-Other non-current assets</t>
  </si>
  <si>
    <t>Other non-current assets</t>
  </si>
  <si>
    <t>200</t>
  </si>
  <si>
    <t>20000000</t>
  </si>
  <si>
    <t>20099999</t>
  </si>
  <si>
    <t>200-Short-term loan</t>
  </si>
  <si>
    <t>Short-term loan</t>
  </si>
  <si>
    <t>201</t>
  </si>
  <si>
    <t>20100000</t>
  </si>
  <si>
    <t>20199999</t>
  </si>
  <si>
    <t>201-Trade payables</t>
  </si>
  <si>
    <t>Trade payables</t>
  </si>
  <si>
    <t>202</t>
  </si>
  <si>
    <t>20200000</t>
  </si>
  <si>
    <t>20299999</t>
  </si>
  <si>
    <t>202-Accrued AP</t>
  </si>
  <si>
    <t>Accrued AP</t>
  </si>
  <si>
    <t>203</t>
  </si>
  <si>
    <t>20300000</t>
  </si>
  <si>
    <t>20399999</t>
  </si>
  <si>
    <t>203-Other payables</t>
  </si>
  <si>
    <t>Other payables</t>
  </si>
  <si>
    <t>204</t>
  </si>
  <si>
    <t>20400000</t>
  </si>
  <si>
    <t>20499999</t>
  </si>
  <si>
    <t>204-Advance from customer-tra</t>
  </si>
  <si>
    <t>Advance from customer-tra</t>
  </si>
  <si>
    <t>205</t>
  </si>
  <si>
    <t>20500000</t>
  </si>
  <si>
    <t>20599999</t>
  </si>
  <si>
    <t>205-Advance from customer-non</t>
  </si>
  <si>
    <t>Advance from customer-non</t>
  </si>
  <si>
    <t>206</t>
  </si>
  <si>
    <t>20600000</t>
  </si>
  <si>
    <t>20699999</t>
  </si>
  <si>
    <t>206-Accrual</t>
  </si>
  <si>
    <t>Accrual</t>
  </si>
  <si>
    <t>207</t>
  </si>
  <si>
    <t>20700000</t>
  </si>
  <si>
    <t>20799999</t>
  </si>
  <si>
    <t>207-Tax payable</t>
  </si>
  <si>
    <t>Tax payable</t>
  </si>
  <si>
    <t>208</t>
  </si>
  <si>
    <t>20800000</t>
  </si>
  <si>
    <t>20899999</t>
  </si>
  <si>
    <t>208-Short-term employee benefi</t>
  </si>
  <si>
    <t>Short-term employee benefi</t>
  </si>
  <si>
    <t>209</t>
  </si>
  <si>
    <t>20900000</t>
  </si>
  <si>
    <t>20999999</t>
  </si>
  <si>
    <t>209-Short-term lease liabiliti</t>
  </si>
  <si>
    <t>Short-term lease liabiliti</t>
  </si>
  <si>
    <t>210</t>
  </si>
  <si>
    <t>21000000</t>
  </si>
  <si>
    <t>21999999</t>
  </si>
  <si>
    <t>210-Current portion of LT Loan</t>
  </si>
  <si>
    <t>Current portion of LT Loan</t>
  </si>
  <si>
    <t>211</t>
  </si>
  <si>
    <t>21100000</t>
  </si>
  <si>
    <t>21199999</t>
  </si>
  <si>
    <t>211-Unearned Revenue-Liabiliti</t>
  </si>
  <si>
    <t>Unearned Revenue-Liabiliti</t>
  </si>
  <si>
    <t>219</t>
  </si>
  <si>
    <t>21900000</t>
  </si>
  <si>
    <t>219-Derivative-Current</t>
  </si>
  <si>
    <t>240</t>
  </si>
  <si>
    <t>24000000</t>
  </si>
  <si>
    <t>24099999</t>
  </si>
  <si>
    <t>240-Other current liabilities</t>
  </si>
  <si>
    <t>Other current liabilities</t>
  </si>
  <si>
    <t>250</t>
  </si>
  <si>
    <t>25000000</t>
  </si>
  <si>
    <t>25099999</t>
  </si>
  <si>
    <t>250-Long term loan</t>
  </si>
  <si>
    <t>Long term loan</t>
  </si>
  <si>
    <t>251</t>
  </si>
  <si>
    <t>25100000</t>
  </si>
  <si>
    <t>25199999</t>
  </si>
  <si>
    <t>251-Due from related party</t>
  </si>
  <si>
    <t>Due from related party</t>
  </si>
  <si>
    <t>252</t>
  </si>
  <si>
    <t>25200000</t>
  </si>
  <si>
    <t>25299999</t>
  </si>
  <si>
    <t>252-Lease liabilities</t>
  </si>
  <si>
    <t>Lease liabilities</t>
  </si>
  <si>
    <t>253</t>
  </si>
  <si>
    <t>25300000</t>
  </si>
  <si>
    <t>25399999</t>
  </si>
  <si>
    <t>253-LT employee benefit lia</t>
  </si>
  <si>
    <t>LT employee benefit lia</t>
  </si>
  <si>
    <t>259</t>
  </si>
  <si>
    <t>25900000</t>
  </si>
  <si>
    <t>25999999</t>
  </si>
  <si>
    <t>259-Derivative-Non Current</t>
  </si>
  <si>
    <t>290</t>
  </si>
  <si>
    <t>29000000</t>
  </si>
  <si>
    <t>29099999</t>
  </si>
  <si>
    <t>290-Other non current liabilit</t>
  </si>
  <si>
    <t>Other non current liabilit</t>
  </si>
  <si>
    <t>299</t>
  </si>
  <si>
    <t>29900000</t>
  </si>
  <si>
    <t>29999999</t>
  </si>
  <si>
    <t>299-Zero balancing account</t>
  </si>
  <si>
    <t>Zero balancing account</t>
  </si>
  <si>
    <t>301</t>
  </si>
  <si>
    <t>30100000</t>
  </si>
  <si>
    <t>30199999</t>
  </si>
  <si>
    <t>301-Share capital</t>
  </si>
  <si>
    <t>Share capital</t>
  </si>
  <si>
    <t>302</t>
  </si>
  <si>
    <t>30200000</t>
  </si>
  <si>
    <t>30299999</t>
  </si>
  <si>
    <t>302-Additional paid in capital</t>
  </si>
  <si>
    <t>Additional paid in capital</t>
  </si>
  <si>
    <t>303</t>
  </si>
  <si>
    <t>30300000</t>
  </si>
  <si>
    <t>30399999</t>
  </si>
  <si>
    <t>303-Difference from FA Re</t>
  </si>
  <si>
    <t>Difference from FA Re</t>
  </si>
  <si>
    <t>304</t>
  </si>
  <si>
    <t>30400000</t>
  </si>
  <si>
    <t>30499999</t>
  </si>
  <si>
    <t>304-Retained earning</t>
  </si>
  <si>
    <t>Retained earning</t>
  </si>
  <si>
    <t>305</t>
  </si>
  <si>
    <t>30500000</t>
  </si>
  <si>
    <t>30599999</t>
  </si>
  <si>
    <t>305-Current year net income/lo</t>
  </si>
  <si>
    <t>Current year net income/lo</t>
  </si>
  <si>
    <t>306</t>
  </si>
  <si>
    <t>30600000</t>
  </si>
  <si>
    <t>30699999</t>
  </si>
  <si>
    <t>306-Other comprehensive income</t>
  </si>
  <si>
    <t>Other comprehensive income</t>
  </si>
  <si>
    <t>399</t>
  </si>
  <si>
    <t>39900000</t>
  </si>
  <si>
    <t>39999999</t>
  </si>
  <si>
    <t>399-Clearing account</t>
  </si>
  <si>
    <t>Clearing account</t>
  </si>
  <si>
    <t>401</t>
  </si>
  <si>
    <t>40100000</t>
  </si>
  <si>
    <t>40199999</t>
  </si>
  <si>
    <t>401-Sales Goods</t>
  </si>
  <si>
    <t>Sales Goods</t>
  </si>
  <si>
    <t>402</t>
  </si>
  <si>
    <t>40200000</t>
  </si>
  <si>
    <t>40299999</t>
  </si>
  <si>
    <t>402-Sales Discount-Goods</t>
  </si>
  <si>
    <t>Sales Discount-Goods</t>
  </si>
  <si>
    <t>403</t>
  </si>
  <si>
    <t>40300000</t>
  </si>
  <si>
    <t>40399999</t>
  </si>
  <si>
    <t>403-Sales Return-goods</t>
  </si>
  <si>
    <t>Sales Return-goods</t>
  </si>
  <si>
    <t>404</t>
  </si>
  <si>
    <t>40400000</t>
  </si>
  <si>
    <t>40499999</t>
  </si>
  <si>
    <t>404-Unearned Revenue</t>
  </si>
  <si>
    <t>Unearned Revenue</t>
  </si>
  <si>
    <t>410</t>
  </si>
  <si>
    <t>41000000</t>
  </si>
  <si>
    <t>41099999</t>
  </si>
  <si>
    <t>410-Sales Services</t>
  </si>
  <si>
    <t>Sales Services</t>
  </si>
  <si>
    <t>411</t>
  </si>
  <si>
    <t>41100000</t>
  </si>
  <si>
    <t>41199999</t>
  </si>
  <si>
    <t>411-Sales Discount-Service</t>
  </si>
  <si>
    <t>Sales Discount-Service</t>
  </si>
  <si>
    <t>500</t>
  </si>
  <si>
    <t>50000000</t>
  </si>
  <si>
    <t>50099999</t>
  </si>
  <si>
    <t>500-COGS</t>
  </si>
  <si>
    <t>COGS</t>
  </si>
  <si>
    <t>501</t>
  </si>
  <si>
    <t>50100000</t>
  </si>
  <si>
    <t>50199999</t>
  </si>
  <si>
    <t>501-Direct material</t>
  </si>
  <si>
    <t>Direct material</t>
  </si>
  <si>
    <t>502</t>
  </si>
  <si>
    <t>50200000</t>
  </si>
  <si>
    <t>50299999</t>
  </si>
  <si>
    <t>502-Indirect material</t>
  </si>
  <si>
    <t>Indirect material</t>
  </si>
  <si>
    <t>503</t>
  </si>
  <si>
    <t>50300000</t>
  </si>
  <si>
    <t>50399999</t>
  </si>
  <si>
    <t>503-Direct labor</t>
  </si>
  <si>
    <t>Direct labor</t>
  </si>
  <si>
    <t>504</t>
  </si>
  <si>
    <t>50400000</t>
  </si>
  <si>
    <t>50499999</t>
  </si>
  <si>
    <t>504-Provision for Employee Ben</t>
  </si>
  <si>
    <t>Provision for Employee Ben</t>
  </si>
  <si>
    <t>505</t>
  </si>
  <si>
    <t>50500000</t>
  </si>
  <si>
    <t>50599999</t>
  </si>
  <si>
    <t>505-Third Parties Services</t>
  </si>
  <si>
    <t>Third Parties Services</t>
  </si>
  <si>
    <t>506</t>
  </si>
  <si>
    <t>50600000</t>
  </si>
  <si>
    <t>50699999</t>
  </si>
  <si>
    <t>506-Utilities</t>
  </si>
  <si>
    <t>Utilities</t>
  </si>
  <si>
    <t>507</t>
  </si>
  <si>
    <t>50700000</t>
  </si>
  <si>
    <t>50799999</t>
  </si>
  <si>
    <t>507-Fuel Cost</t>
  </si>
  <si>
    <t>Fuel Cost</t>
  </si>
  <si>
    <t>508</t>
  </si>
  <si>
    <t>50800000</t>
  </si>
  <si>
    <t>50899999</t>
  </si>
  <si>
    <t>508-Repairs &amp; Maintenance Exp</t>
  </si>
  <si>
    <t>Repairs &amp; Maintenance Exp</t>
  </si>
  <si>
    <t>509</t>
  </si>
  <si>
    <t>50900000</t>
  </si>
  <si>
    <t>50999999</t>
  </si>
  <si>
    <t>509-Depreciation &amp; Amort.</t>
  </si>
  <si>
    <t>Depreciation &amp; Amort.</t>
  </si>
  <si>
    <t>510</t>
  </si>
  <si>
    <t>51000000</t>
  </si>
  <si>
    <t>51099999</t>
  </si>
  <si>
    <t>510-Depreciation &amp; Amort. RoU</t>
  </si>
  <si>
    <t>Depreciation &amp; Amort. RoU</t>
  </si>
  <si>
    <t>511</t>
  </si>
  <si>
    <t>51100000</t>
  </si>
  <si>
    <t>51199999</t>
  </si>
  <si>
    <t>511-Laboratory Cost</t>
  </si>
  <si>
    <t>Laboratory Cost</t>
  </si>
  <si>
    <t>512</t>
  </si>
  <si>
    <t>51200000</t>
  </si>
  <si>
    <t>51299999</t>
  </si>
  <si>
    <t>512-Export Expenses</t>
  </si>
  <si>
    <t>Export Expenses</t>
  </si>
  <si>
    <t>513</t>
  </si>
  <si>
    <t>51300000</t>
  </si>
  <si>
    <t>51399999</t>
  </si>
  <si>
    <t>513-Import Expenses</t>
  </si>
  <si>
    <t>Import Expenses</t>
  </si>
  <si>
    <t>514</t>
  </si>
  <si>
    <t>51400000</t>
  </si>
  <si>
    <t>51499999</t>
  </si>
  <si>
    <t>514-Advertising Expenses</t>
  </si>
  <si>
    <t>Advertising Expenses</t>
  </si>
  <si>
    <t>515</t>
  </si>
  <si>
    <t>51500000</t>
  </si>
  <si>
    <t>51599999</t>
  </si>
  <si>
    <t>515-Training Expenses</t>
  </si>
  <si>
    <t>Training Expenses</t>
  </si>
  <si>
    <t>516</t>
  </si>
  <si>
    <t>51600000</t>
  </si>
  <si>
    <t>51699999</t>
  </si>
  <si>
    <t>516-Insurance Expenses</t>
  </si>
  <si>
    <t>Insurance Expenses</t>
  </si>
  <si>
    <t>517</t>
  </si>
  <si>
    <t>51700000</t>
  </si>
  <si>
    <t>51799999</t>
  </si>
  <si>
    <t>517-Rental Expenses</t>
  </si>
  <si>
    <t>Rental Expenses</t>
  </si>
  <si>
    <t>518</t>
  </si>
  <si>
    <t>51800000</t>
  </si>
  <si>
    <t>51899999</t>
  </si>
  <si>
    <t>518-Postage &amp; Telecom. E</t>
  </si>
  <si>
    <t>Postage &amp; Telecom. E</t>
  </si>
  <si>
    <t>519</t>
  </si>
  <si>
    <t>51900000</t>
  </si>
  <si>
    <t>51999999</t>
  </si>
  <si>
    <t>519-Professional Fees</t>
  </si>
  <si>
    <t>520</t>
  </si>
  <si>
    <t>52000000</t>
  </si>
  <si>
    <t>52099999</t>
  </si>
  <si>
    <t>520-Entertainment Expenses</t>
  </si>
  <si>
    <t>Entertainment Expenses</t>
  </si>
  <si>
    <t>521</t>
  </si>
  <si>
    <t>52100000</t>
  </si>
  <si>
    <t>52199999</t>
  </si>
  <si>
    <t>521-Tax and Licenses Expenses</t>
  </si>
  <si>
    <t>Tax and Licenses Expenses</t>
  </si>
  <si>
    <t>522</t>
  </si>
  <si>
    <t>52200000</t>
  </si>
  <si>
    <t>52299999</t>
  </si>
  <si>
    <t>522-Stationery &amp; Supplies Expe</t>
  </si>
  <si>
    <t>Stationery &amp; Supplies Expe</t>
  </si>
  <si>
    <t>523</t>
  </si>
  <si>
    <t>52300000</t>
  </si>
  <si>
    <t>52399999</t>
  </si>
  <si>
    <t>523-Meeting &amp; Ceremony Expense</t>
  </si>
  <si>
    <t>Meeting &amp; Ceremony Expense</t>
  </si>
  <si>
    <t>524</t>
  </si>
  <si>
    <t>52400000</t>
  </si>
  <si>
    <t>52499999</t>
  </si>
  <si>
    <t>524-General Transportation Exp</t>
  </si>
  <si>
    <t>General Transportation Exp</t>
  </si>
  <si>
    <t>525</t>
  </si>
  <si>
    <t>52500000</t>
  </si>
  <si>
    <t>52599999</t>
  </si>
  <si>
    <t>525-Waste Removal Expenses</t>
  </si>
  <si>
    <t>526</t>
  </si>
  <si>
    <t>52600000</t>
  </si>
  <si>
    <t>52699999</t>
  </si>
  <si>
    <t>526-Equipment Expenses</t>
  </si>
  <si>
    <t>Equipment Expenses</t>
  </si>
  <si>
    <t>527</t>
  </si>
  <si>
    <t>52700000</t>
  </si>
  <si>
    <t>52799999</t>
  </si>
  <si>
    <t>527-Scraping/Demolition</t>
  </si>
  <si>
    <t>Scraping/Demolition</t>
  </si>
  <si>
    <t>528</t>
  </si>
  <si>
    <t>52800000</t>
  </si>
  <si>
    <t>52899999</t>
  </si>
  <si>
    <t>628-Bank Charges</t>
  </si>
  <si>
    <t>529</t>
  </si>
  <si>
    <t>52900000</t>
  </si>
  <si>
    <t>52999999</t>
  </si>
  <si>
    <t>529-Membership &amp; Sponsorship</t>
  </si>
  <si>
    <t>Membership &amp; Sponsorship</t>
  </si>
  <si>
    <t>530</t>
  </si>
  <si>
    <t>53000000</t>
  </si>
  <si>
    <t>53099999</t>
  </si>
  <si>
    <t>530-Project Cost</t>
  </si>
  <si>
    <t>531</t>
  </si>
  <si>
    <t>53100000</t>
  </si>
  <si>
    <t>53199999</t>
  </si>
  <si>
    <t>531-Spareparts Consumption</t>
  </si>
  <si>
    <t>532</t>
  </si>
  <si>
    <t>53200000</t>
  </si>
  <si>
    <t>53299999</t>
  </si>
  <si>
    <t>532-Provision of Inventory</t>
  </si>
  <si>
    <t>Provision of Inventory</t>
  </si>
  <si>
    <t>533</t>
  </si>
  <si>
    <t>53300000</t>
  </si>
  <si>
    <t>53399999</t>
  </si>
  <si>
    <t>533-Write off Inven. Scrap</t>
  </si>
  <si>
    <t>Write off Inven. Scrap</t>
  </si>
  <si>
    <t>539</t>
  </si>
  <si>
    <t>53900000</t>
  </si>
  <si>
    <t>53999999</t>
  </si>
  <si>
    <t>639-Miscellaneous Expenses</t>
  </si>
  <si>
    <t>550</t>
  </si>
  <si>
    <t>55000000</t>
  </si>
  <si>
    <t>55099999</t>
  </si>
  <si>
    <t>550-COGS Ineffeciency</t>
  </si>
  <si>
    <t>COGS Ineffeciency</t>
  </si>
  <si>
    <t>551</t>
  </si>
  <si>
    <t>55100000</t>
  </si>
  <si>
    <t>55199999</t>
  </si>
  <si>
    <t>551-COGS-Inventory Adjustment</t>
  </si>
  <si>
    <t>COGS-Inventory Adjustment</t>
  </si>
  <si>
    <t>552</t>
  </si>
  <si>
    <t>55200000</t>
  </si>
  <si>
    <t>55299999</t>
  </si>
  <si>
    <t>552-Overhead Expense</t>
  </si>
  <si>
    <t>Overhead Expense</t>
  </si>
  <si>
    <t>580</t>
  </si>
  <si>
    <t>58000000</t>
  </si>
  <si>
    <t>58099999</t>
  </si>
  <si>
    <t>580-Allocation Overhead</t>
  </si>
  <si>
    <t>Allocation Overhead</t>
  </si>
  <si>
    <t>590</t>
  </si>
  <si>
    <t>59000000</t>
  </si>
  <si>
    <t>59099999</t>
  </si>
  <si>
    <t>590-Variance</t>
  </si>
  <si>
    <t>Variance</t>
  </si>
  <si>
    <t>591</t>
  </si>
  <si>
    <t>59100000</t>
  </si>
  <si>
    <t>59199999</t>
  </si>
  <si>
    <t>591-Offseting WIOP</t>
  </si>
  <si>
    <t>Offseting WIOP</t>
  </si>
  <si>
    <t>599</t>
  </si>
  <si>
    <t>59900000</t>
  </si>
  <si>
    <t>59999999</t>
  </si>
  <si>
    <t>599-Production Output Control</t>
  </si>
  <si>
    <t>Production Output Control</t>
  </si>
  <si>
    <t>601</t>
  </si>
  <si>
    <t>60100000</t>
  </si>
  <si>
    <t>60199999</t>
  </si>
  <si>
    <t>601-Employee Cost</t>
  </si>
  <si>
    <t>Employee Cost</t>
  </si>
  <si>
    <t>602</t>
  </si>
  <si>
    <t>60200000</t>
  </si>
  <si>
    <t>60299999</t>
  </si>
  <si>
    <t>602-Provision for Employee Ben</t>
  </si>
  <si>
    <t>603</t>
  </si>
  <si>
    <t>60300000</t>
  </si>
  <si>
    <t>60399999</t>
  </si>
  <si>
    <t>603-Services Expense</t>
  </si>
  <si>
    <t>Services Expense</t>
  </si>
  <si>
    <t>606</t>
  </si>
  <si>
    <t>60600000</t>
  </si>
  <si>
    <t>60699999</t>
  </si>
  <si>
    <t>606-Utilities</t>
  </si>
  <si>
    <t>607</t>
  </si>
  <si>
    <t>60700000</t>
  </si>
  <si>
    <t>60799999</t>
  </si>
  <si>
    <t>607-Fuel Cost</t>
  </si>
  <si>
    <t>608</t>
  </si>
  <si>
    <t>60800000</t>
  </si>
  <si>
    <t>60899999</t>
  </si>
  <si>
    <t>608-Repairs &amp; Maintenance Expe</t>
  </si>
  <si>
    <t>Repairs &amp; Maintenance Expe</t>
  </si>
  <si>
    <t>609</t>
  </si>
  <si>
    <t>60900000</t>
  </si>
  <si>
    <t>60999999</t>
  </si>
  <si>
    <t>609-Depreciation &amp; Amort</t>
  </si>
  <si>
    <t>Depreciation &amp; Amort</t>
  </si>
  <si>
    <t>610</t>
  </si>
  <si>
    <t>61000000</t>
  </si>
  <si>
    <t>61099999</t>
  </si>
  <si>
    <t>610-Depreciation &amp; Amort RoU</t>
  </si>
  <si>
    <t>Depreciation &amp; Amort RoU</t>
  </si>
  <si>
    <t>611</t>
  </si>
  <si>
    <t>61100000</t>
  </si>
  <si>
    <t>61199999</t>
  </si>
  <si>
    <t>611-Laboratory Cost</t>
  </si>
  <si>
    <t>612</t>
  </si>
  <si>
    <t>61200000</t>
  </si>
  <si>
    <t>61299999</t>
  </si>
  <si>
    <t>612-Export Expenses</t>
  </si>
  <si>
    <t>613</t>
  </si>
  <si>
    <t>61300000</t>
  </si>
  <si>
    <t>61399999</t>
  </si>
  <si>
    <t>613-Import Expenses</t>
  </si>
  <si>
    <t>614</t>
  </si>
  <si>
    <t>61400000</t>
  </si>
  <si>
    <t>61499999</t>
  </si>
  <si>
    <t>614-Advertising Expenses</t>
  </si>
  <si>
    <t>615</t>
  </si>
  <si>
    <t>61500000</t>
  </si>
  <si>
    <t>61599999</t>
  </si>
  <si>
    <t>615-Training Expenses</t>
  </si>
  <si>
    <t>616</t>
  </si>
  <si>
    <t>61600000</t>
  </si>
  <si>
    <t>61699999</t>
  </si>
  <si>
    <t>616-Insurance Expenses</t>
  </si>
  <si>
    <t>617</t>
  </si>
  <si>
    <t>61700000</t>
  </si>
  <si>
    <t>61799999</t>
  </si>
  <si>
    <t>617-Rental Expenses</t>
  </si>
  <si>
    <t>618</t>
  </si>
  <si>
    <t>61800000</t>
  </si>
  <si>
    <t>61899999</t>
  </si>
  <si>
    <t>618-Postage &amp; Telecom E</t>
  </si>
  <si>
    <t>Postage &amp; Telecom E</t>
  </si>
  <si>
    <t>619</t>
  </si>
  <si>
    <t>61900000</t>
  </si>
  <si>
    <t>61999999</t>
  </si>
  <si>
    <t>619-Professional Fees</t>
  </si>
  <si>
    <t>620</t>
  </si>
  <si>
    <t>62000000</t>
  </si>
  <si>
    <t>62099999</t>
  </si>
  <si>
    <t>620-Entertainment Expenses</t>
  </si>
  <si>
    <t>621</t>
  </si>
  <si>
    <t>62100000</t>
  </si>
  <si>
    <t>62199999</t>
  </si>
  <si>
    <t>621-Tax and Licenses Expenses</t>
  </si>
  <si>
    <t>622</t>
  </si>
  <si>
    <t>62200000</t>
  </si>
  <si>
    <t>62299999</t>
  </si>
  <si>
    <t>622-Stationery &amp; Supplies Expe</t>
  </si>
  <si>
    <t>623</t>
  </si>
  <si>
    <t>62300000</t>
  </si>
  <si>
    <t>62399999</t>
  </si>
  <si>
    <t>623-Meeting &amp; Ceremony Expense</t>
  </si>
  <si>
    <t>624</t>
  </si>
  <si>
    <t>62400000</t>
  </si>
  <si>
    <t>62499999</t>
  </si>
  <si>
    <t>624-General Transportation Exp</t>
  </si>
  <si>
    <t>625</t>
  </si>
  <si>
    <t>62500000</t>
  </si>
  <si>
    <t>62599999</t>
  </si>
  <si>
    <t>625-Waste Removal Expenses</t>
  </si>
  <si>
    <t>626</t>
  </si>
  <si>
    <t>62600000</t>
  </si>
  <si>
    <t>62699999</t>
  </si>
  <si>
    <t>626-Equipment Expenses</t>
  </si>
  <si>
    <t>627</t>
  </si>
  <si>
    <t>62700000</t>
  </si>
  <si>
    <t>62799999</t>
  </si>
  <si>
    <t>627-Commission Expense</t>
  </si>
  <si>
    <t>628</t>
  </si>
  <si>
    <t>62800000</t>
  </si>
  <si>
    <t>62899999</t>
  </si>
  <si>
    <t>629</t>
  </si>
  <si>
    <t>62900000</t>
  </si>
  <si>
    <t>62999999</t>
  </si>
  <si>
    <t>629-Membership &amp; Sponsorship</t>
  </si>
  <si>
    <t>630</t>
  </si>
  <si>
    <t>63000000</t>
  </si>
  <si>
    <t>63099999</t>
  </si>
  <si>
    <t>630-Project Cost</t>
  </si>
  <si>
    <t>631</t>
  </si>
  <si>
    <t>63100000</t>
  </si>
  <si>
    <t>63199999</t>
  </si>
  <si>
    <t>631-R&amp;M Material Consumption</t>
  </si>
  <si>
    <t>R&amp;M Material Consumption</t>
  </si>
  <si>
    <t>632</t>
  </si>
  <si>
    <t>63200000</t>
  </si>
  <si>
    <t>63299999</t>
  </si>
  <si>
    <t>632-FA cost Variance</t>
  </si>
  <si>
    <t>639</t>
  </si>
  <si>
    <t>63900000</t>
  </si>
  <si>
    <t>63999999</t>
  </si>
  <si>
    <t>699</t>
  </si>
  <si>
    <t>69900000</t>
  </si>
  <si>
    <t>69999999</t>
  </si>
  <si>
    <t>699-Production Settlement</t>
  </si>
  <si>
    <t>Production Settlement</t>
  </si>
  <si>
    <t>701</t>
  </si>
  <si>
    <t>70100000</t>
  </si>
  <si>
    <t>70199999</t>
  </si>
  <si>
    <t>701-Gain (Loss) on Disposal FA</t>
  </si>
  <si>
    <t>Gain (Loss) on Disposal FA</t>
  </si>
  <si>
    <t>702</t>
  </si>
  <si>
    <t>70200000</t>
  </si>
  <si>
    <t>70299999</t>
  </si>
  <si>
    <t>702-Non Operating Income</t>
  </si>
  <si>
    <t>Non Operating Income</t>
  </si>
  <si>
    <t>705</t>
  </si>
  <si>
    <t>70500000</t>
  </si>
  <si>
    <t>70599999</t>
  </si>
  <si>
    <t>705-Forex Gain (Loss)-Realized</t>
  </si>
  <si>
    <t>Forex Gain (Loss)-Realized</t>
  </si>
  <si>
    <t>706</t>
  </si>
  <si>
    <t>70600000</t>
  </si>
  <si>
    <t>70699999</t>
  </si>
  <si>
    <t>706-Forex Gain (Loss)-Unrealiz</t>
  </si>
  <si>
    <t>Forex Gain (Loss)-Unrealiz</t>
  </si>
  <si>
    <t>709</t>
  </si>
  <si>
    <t>70900000</t>
  </si>
  <si>
    <t>70999999</t>
  </si>
  <si>
    <t>709-Other Service Income</t>
  </si>
  <si>
    <t>Other Service Income</t>
  </si>
  <si>
    <t>720</t>
  </si>
  <si>
    <t>72000000</t>
  </si>
  <si>
    <t>72099999</t>
  </si>
  <si>
    <t>720-Interest Income</t>
  </si>
  <si>
    <t>Interest Income</t>
  </si>
  <si>
    <t>730</t>
  </si>
  <si>
    <t>73000000</t>
  </si>
  <si>
    <t>73099999</t>
  </si>
  <si>
    <t>730-Interest Expense STL &amp; OD</t>
  </si>
  <si>
    <t>Interest Expense STL &amp; OD</t>
  </si>
  <si>
    <t>731</t>
  </si>
  <si>
    <t>73100000</t>
  </si>
  <si>
    <t>73199999</t>
  </si>
  <si>
    <t>731-Interest Expense LTD</t>
  </si>
  <si>
    <t>Interest Expense LTD</t>
  </si>
  <si>
    <t>732</t>
  </si>
  <si>
    <t>73200000</t>
  </si>
  <si>
    <t>73299999</t>
  </si>
  <si>
    <t>732-Interest exp-Lease lia</t>
  </si>
  <si>
    <t>Interest exp-Lease lia</t>
  </si>
  <si>
    <t>733</t>
  </si>
  <si>
    <t>73300000</t>
  </si>
  <si>
    <t>73399999</t>
  </si>
  <si>
    <t>733-Interest Exp Other Sources</t>
  </si>
  <si>
    <t>Interest Exp Other Sources</t>
  </si>
  <si>
    <t>901</t>
  </si>
  <si>
    <t>90100000</t>
  </si>
  <si>
    <t>90199999</t>
  </si>
  <si>
    <t>901-Current Income Tax</t>
  </si>
  <si>
    <t>Current Income Tax</t>
  </si>
  <si>
    <t>999</t>
  </si>
  <si>
    <t>99900000</t>
  </si>
  <si>
    <t>99999999</t>
  </si>
  <si>
    <t>999-Secondary Acc. Cost Alloc</t>
  </si>
  <si>
    <t>Secondary Acc. Cost Alloc</t>
  </si>
  <si>
    <t>BSPL Mapping</t>
  </si>
  <si>
    <t>GL Group</t>
  </si>
  <si>
    <t>Expense Mapping Report Opex Analysis</t>
  </si>
  <si>
    <t>Different Mapping of GL</t>
  </si>
  <si>
    <t>Salary, wages and allowance</t>
  </si>
  <si>
    <t>Miscellaneous expense</t>
  </si>
  <si>
    <t>Depreciation and Amortization Expenses</t>
  </si>
  <si>
    <t>Employee benefits</t>
  </si>
  <si>
    <t>Repairs and maintenance</t>
  </si>
  <si>
    <t>Export</t>
  </si>
  <si>
    <t>Import</t>
  </si>
  <si>
    <t>Advertising</t>
  </si>
  <si>
    <t xml:space="preserve">Training </t>
  </si>
  <si>
    <t>Insurance</t>
  </si>
  <si>
    <t>Rental</t>
  </si>
  <si>
    <t>Postage and telecomunication</t>
  </si>
  <si>
    <t>Professional fees</t>
  </si>
  <si>
    <t xml:space="preserve">Entertainment </t>
  </si>
  <si>
    <t>Tax and license</t>
  </si>
  <si>
    <t>Stationery and supplies</t>
  </si>
  <si>
    <t>Meeting and ceremony</t>
  </si>
  <si>
    <t>General transportation</t>
  </si>
  <si>
    <t>Comission Expenses</t>
  </si>
  <si>
    <t>Gain / (Loss) on disposal FA</t>
  </si>
  <si>
    <t>Rental income</t>
  </si>
  <si>
    <t>Other Non Operating expense (income)</t>
  </si>
  <si>
    <t>Foreign exchange gain/(loss) - Realized</t>
  </si>
  <si>
    <t>Foreign exchange gain/(loss) - Unrealized</t>
  </si>
  <si>
    <t>Finance income</t>
  </si>
  <si>
    <t>Finance cost</t>
  </si>
  <si>
    <t>Lease Liabilities (Interest)</t>
  </si>
  <si>
    <t>G/L Account Text</t>
  </si>
  <si>
    <t>Sales 3rd Local Flat</t>
  </si>
  <si>
    <t>Sales 3rd Local long</t>
  </si>
  <si>
    <t>Sales 3rd Local DS</t>
  </si>
  <si>
    <t>Sales 3rd Exp Flat</t>
  </si>
  <si>
    <t>Sales 3rd Exp DS</t>
  </si>
  <si>
    <t>Service 3rd local</t>
  </si>
  <si>
    <t>COGS flat</t>
  </si>
  <si>
    <t>Offs. COGS flat</t>
  </si>
  <si>
    <t>COGS  long</t>
  </si>
  <si>
    <t>Offs. COGS long</t>
  </si>
  <si>
    <t>COGS  DS</t>
  </si>
  <si>
    <t>Offs. COGS  DS</t>
  </si>
  <si>
    <t>COGS Raw Material</t>
  </si>
  <si>
    <t>COGS Supp Material</t>
  </si>
  <si>
    <t>COGS Direct Labor</t>
  </si>
  <si>
    <t>COGS 3rd Party Servc</t>
  </si>
  <si>
    <t>COGS Machine Depre</t>
  </si>
  <si>
    <t>COGS Utl. Electricit</t>
  </si>
  <si>
    <t>COGS Utl. Gas</t>
  </si>
  <si>
    <t>COGS Maint Direct</t>
  </si>
  <si>
    <t>COGS Maint Alloc</t>
  </si>
  <si>
    <t>COGS Overhd Rental</t>
  </si>
  <si>
    <t>COGS Overhd Others</t>
  </si>
  <si>
    <t>COGS Subcont Fee</t>
  </si>
  <si>
    <t>Direct Material DS</t>
  </si>
  <si>
    <t>Inventory Used</t>
  </si>
  <si>
    <t>Consumable Material</t>
  </si>
  <si>
    <t>DL Incentives</t>
  </si>
  <si>
    <t>DL Employee tax</t>
  </si>
  <si>
    <t>Subcon expense</t>
  </si>
  <si>
    <t>Packing Cost</t>
  </si>
  <si>
    <t>Others 3rd Services</t>
  </si>
  <si>
    <t>Utl Electricity</t>
  </si>
  <si>
    <t>Utl Oxygen</t>
  </si>
  <si>
    <t>Utl Gas</t>
  </si>
  <si>
    <t>Utl Factory</t>
  </si>
  <si>
    <t>RM Exp - Building</t>
  </si>
  <si>
    <t>RM Exp - Machinery</t>
  </si>
  <si>
    <t>RM Exp - Office Eq</t>
  </si>
  <si>
    <t>RM Exp - Water Trt</t>
  </si>
  <si>
    <t>Depre. Building</t>
  </si>
  <si>
    <t>Depre. Machinery</t>
  </si>
  <si>
    <t>Depre. E&amp;S</t>
  </si>
  <si>
    <t>Depre. Heavy Eq</t>
  </si>
  <si>
    <t>Depre. Furniture</t>
  </si>
  <si>
    <t>Depre. Office Eq</t>
  </si>
  <si>
    <t>Depre. Leasehold Imp</t>
  </si>
  <si>
    <t>Amortz Land</t>
  </si>
  <si>
    <t>Amortz  Machinery</t>
  </si>
  <si>
    <t>Adj - Depreciation</t>
  </si>
  <si>
    <t>IE - Stevedoring Cos</t>
  </si>
  <si>
    <t>Ins. Exp. - Machine</t>
  </si>
  <si>
    <t>Ins. Exp. - DL Emp</t>
  </si>
  <si>
    <t>RE -  Vehicle</t>
  </si>
  <si>
    <t>PT Exp. - Telephone</t>
  </si>
  <si>
    <t>Entertainment Others</t>
  </si>
  <si>
    <t>Printing</t>
  </si>
  <si>
    <t>Meeting</t>
  </si>
  <si>
    <t>Gen. Transp. Travel</t>
  </si>
  <si>
    <t>Gen. Transp. Freight</t>
  </si>
  <si>
    <t>Factory Equipment</t>
  </si>
  <si>
    <t>Office Equipment</t>
  </si>
  <si>
    <t>Spareparts Consump.</t>
  </si>
  <si>
    <t>Miscellaneous Exp.</t>
  </si>
  <si>
    <t>SU Alloc. Overhead</t>
  </si>
  <si>
    <t>Inv Adj-Othr Mat</t>
  </si>
  <si>
    <t>Price Variance</t>
  </si>
  <si>
    <t>Offsetting WIP</t>
  </si>
  <si>
    <t>Production Output</t>
  </si>
  <si>
    <t>Stndrd to StndrdCost</t>
  </si>
  <si>
    <t>Project Settlement</t>
  </si>
  <si>
    <t>IDL Contract Employe</t>
  </si>
  <si>
    <t>IDL Employee tax</t>
  </si>
  <si>
    <t>Prov Empben</t>
  </si>
  <si>
    <t>Utl Water</t>
  </si>
  <si>
    <t>RM Exp - Buiding</t>
  </si>
  <si>
    <t>RM Exp - Furniture</t>
  </si>
  <si>
    <t>RM Exp - LVA</t>
  </si>
  <si>
    <t>IP - Depre Building</t>
  </si>
  <si>
    <t>Amortz  Intangible A</t>
  </si>
  <si>
    <t>EE - Banking Expense</t>
  </si>
  <si>
    <t>EE - In Land  Transp</t>
  </si>
  <si>
    <t>IE - Banking Expense</t>
  </si>
  <si>
    <t>AE - Advertising and</t>
  </si>
  <si>
    <t>Ins. Exp. - Building</t>
  </si>
  <si>
    <t>Ins. Exp. - PL</t>
  </si>
  <si>
    <t>Ins. Exp. - Others</t>
  </si>
  <si>
    <t>Ins. Exp. - IDL Emp</t>
  </si>
  <si>
    <t>RE -  Building</t>
  </si>
  <si>
    <t>RE -  Other</t>
  </si>
  <si>
    <t>PT Exp. - Postage</t>
  </si>
  <si>
    <t>PF - Tax Consultan</t>
  </si>
  <si>
    <t>PF - Other Professio</t>
  </si>
  <si>
    <t>Ent Donation &amp; SC</t>
  </si>
  <si>
    <t>TL - Land and Proper</t>
  </si>
  <si>
    <t>TL - Others Tax and</t>
  </si>
  <si>
    <t>Waste Removal Exp</t>
  </si>
  <si>
    <t>Household Equipment</t>
  </si>
  <si>
    <t>Assc and Member</t>
  </si>
  <si>
    <t>Subscribe and Period</t>
  </si>
  <si>
    <t>Other Misc Exp Round</t>
  </si>
  <si>
    <t>G(L) Disposal FA</t>
  </si>
  <si>
    <t>Rental Income</t>
  </si>
  <si>
    <t>Other Non Operating</t>
  </si>
  <si>
    <t>Bad Debt Charges</t>
  </si>
  <si>
    <t>Scrap Income</t>
  </si>
  <si>
    <t>Scrap from disposal</t>
  </si>
  <si>
    <t>Scrap from others</t>
  </si>
  <si>
    <t>By-product Income</t>
  </si>
  <si>
    <t>Forex Realized</t>
  </si>
  <si>
    <t>Forex Unrealized</t>
  </si>
  <si>
    <t>Free of Charge</t>
  </si>
  <si>
    <t>Interest STL</t>
  </si>
  <si>
    <t>Interest LTL</t>
  </si>
  <si>
    <t>Interest Lease</t>
  </si>
  <si>
    <t>Maintenance Cost Set</t>
  </si>
  <si>
    <t>SU Maintenance Cost</t>
  </si>
  <si>
    <t>SU - Overhead Cost A</t>
  </si>
  <si>
    <t>Heavy Equipment Allo</t>
  </si>
  <si>
    <t>Maintenance Allocati</t>
  </si>
  <si>
    <t>Direct Labor Cost</t>
  </si>
  <si>
    <t>3rd Party Services</t>
  </si>
  <si>
    <t>Machine Depreciation</t>
  </si>
  <si>
    <t>Utility - Electricti</t>
  </si>
  <si>
    <t>Utility - Gas Cost</t>
  </si>
  <si>
    <t>Maintenance Direct C</t>
  </si>
  <si>
    <t>Overhead - Rental Co</t>
  </si>
  <si>
    <t>Other Overhead Cost</t>
  </si>
  <si>
    <t>Maintenance Labor Co</t>
  </si>
  <si>
    <t>Level of Requirement</t>
  </si>
  <si>
    <t>Type of Expense</t>
  </si>
  <si>
    <t>Supplier / Vendor</t>
  </si>
  <si>
    <t>Basis Calculation
in Original Currency</t>
  </si>
  <si>
    <t>Basis Calculation
(Unit/Qty/Freq/Month)</t>
  </si>
  <si>
    <t>GLLIST</t>
  </si>
  <si>
    <t>Budget Opex Detail</t>
  </si>
  <si>
    <t>50300010</t>
  </si>
  <si>
    <t>50300020</t>
  </si>
  <si>
    <t>50300030</t>
  </si>
  <si>
    <t>50300040</t>
  </si>
  <si>
    <t>50300050</t>
  </si>
  <si>
    <t>50300060</t>
  </si>
  <si>
    <t>50300070</t>
  </si>
  <si>
    <t>50300080</t>
  </si>
  <si>
    <t>50300090</t>
  </si>
  <si>
    <t>50300100</t>
  </si>
  <si>
    <t>50300110</t>
  </si>
  <si>
    <t>50300990</t>
  </si>
  <si>
    <t>50400010</t>
  </si>
  <si>
    <r>
      <t xml:space="preserve">Penambahan expense/aktivitas </t>
    </r>
    <r>
      <rPr>
        <b/>
        <sz val="11"/>
        <color theme="1"/>
        <rFont val="Arial"/>
        <family val="2"/>
      </rPr>
      <t>baru</t>
    </r>
    <r>
      <rPr>
        <sz val="11"/>
        <color theme="1"/>
        <rFont val="Arial"/>
        <family val="2"/>
      </rPr>
      <t>, silahkan mengisi di baris baru, dengan memilih Activity Master yang sesuai dengan jenis aktivitas tersebut.</t>
    </r>
  </si>
  <si>
    <t>Mohon diisi informasi detail yang terkait dengan aktivitas tersebut dan basis perkiraan angka aktivitas terkait. 
Contoh : Budget dihitung bedasarkan agreement sebesar IDR 200juta/bulan. Tagihan akan ditagihkan perquarter, untuk masa sewa 3 bulan.</t>
  </si>
  <si>
    <t>Basis perhitungan nilai assumsi untuk aktivitas ekspense terkait dalam mata uang basis perhitungan. 
Contoh: 957.000.000
Karena per 3 bulan akan ditagihkan sebesar 239 juta rupiah</t>
  </si>
  <si>
    <r>
      <t xml:space="preserve">Basis perhitungan assumsi total </t>
    </r>
    <r>
      <rPr>
        <b/>
        <sz val="11"/>
        <color theme="1"/>
        <rFont val="Arial"/>
        <family val="2"/>
      </rPr>
      <t xml:space="preserve">unit atau periode </t>
    </r>
    <r>
      <rPr>
        <sz val="11"/>
        <color theme="1"/>
        <rFont val="Arial"/>
        <family val="2"/>
      </rPr>
      <t>atas aktivitas terkait.
Contoh: 12
Karena masa sewa akan dilakukan selama 12 bulan.</t>
    </r>
  </si>
  <si>
    <r>
      <t xml:space="preserve">Basis perhitungan </t>
    </r>
    <r>
      <rPr>
        <b/>
        <sz val="11"/>
        <color theme="1"/>
        <rFont val="Arial"/>
        <family val="2"/>
      </rPr>
      <t>Harga</t>
    </r>
    <r>
      <rPr>
        <sz val="11"/>
        <color theme="1"/>
        <rFont val="Arial"/>
        <family val="2"/>
      </rPr>
      <t xml:space="preserve"> assumsi per unit atas aktivitas terkait.
Contoh: 79.750.000
Harga perbulan bedasarkan kontrak</t>
    </r>
  </si>
  <si>
    <t>Diisi informasi terkait dengan vendor &amp; supplier jika menggunakan jasa pihak ketiga</t>
  </si>
  <si>
    <t>Level prioritas dari aktivitas tersebut:
  - Essentials : Aktivitas wajib dan harus ada untuk mendukung pekerjaan dan berjalannya aktivitas bisnis perusahaan. Contoh: 
  - Moderate :  Aktivitas penting dan menunjang berjalannya bisnis perusahaan. Contoh : Biaya konsultan research yang tidak wajib dari pemerintah namun membantu menunjang keputusan/aktivitas bisnis yang dilakukan. 
  - Not Essentials : Aktivitas tidak wajib. Contoh : Penyewaan alat event.</t>
  </si>
  <si>
    <t>Activity Master</t>
  </si>
  <si>
    <t>Terdapat 2 bagian pada sheet ini.</t>
  </si>
  <si>
    <t>Bagian 1. Existing Master Activity</t>
  </si>
  <si>
    <t>Jika terdapat aktivitas baru yang belum mempunyai master activity.</t>
  </si>
  <si>
    <t>Nomor Ledger SAP bedasarkan nature dari aktivitas tersebut. List Ledger dapat dilihat di table 3.1 List Ledger Opex.</t>
  </si>
  <si>
    <t>Harap diisi dengan kode SAP cost center sesuai dengan cost center department masing-masing.</t>
  </si>
  <si>
    <t>Master Activity Code</t>
  </si>
  <si>
    <r>
      <t xml:space="preserve">Diisi dengan 11 digit kode aktivitas yang ingin diajukan. Susunan aktivitas wajib berisi sebagai berikut 
Kode aktivitas XXXXX-YYYYY
- </t>
    </r>
    <r>
      <rPr>
        <b/>
        <sz val="11"/>
        <color theme="1"/>
        <rFont val="Arial"/>
        <family val="2"/>
      </rPr>
      <t xml:space="preserve">XXXXX </t>
    </r>
    <r>
      <rPr>
        <sz val="11"/>
        <color theme="1"/>
        <rFont val="Arial"/>
        <family val="2"/>
      </rPr>
      <t>: 5 kode awal adalah 5 digit terakhir kode cost center.  
  Contoh: cost center 10301HR001, maka kode tersebut berawalan HR001
-</t>
    </r>
    <r>
      <rPr>
        <b/>
        <sz val="11"/>
        <color theme="1"/>
        <rFont val="Arial"/>
        <family val="2"/>
      </rPr>
      <t xml:space="preserve">YYYYY </t>
    </r>
    <r>
      <rPr>
        <sz val="11"/>
        <color theme="1"/>
        <rFont val="Arial"/>
        <family val="2"/>
      </rPr>
      <t xml:space="preserve">: 5 kode terakhir adalah running number dari aktivitas yang sudah ada, jika kode aktivitas master terkahir adalah 00071 maka aktivitas yang baru diisi dengan 00072.
Maka kode aktivitas yang diisi akan menjadi </t>
    </r>
    <r>
      <rPr>
        <b/>
        <sz val="11"/>
        <color theme="1"/>
        <rFont val="Arial"/>
        <family val="2"/>
      </rPr>
      <t>HR001-00072</t>
    </r>
    <r>
      <rPr>
        <sz val="11"/>
        <color theme="1"/>
        <rFont val="Arial"/>
        <family val="2"/>
      </rPr>
      <t>.</t>
    </r>
  </si>
  <si>
    <t>Biaya operasional listrik terkait dengan Head Office.
Contoh : listrik head office</t>
  </si>
  <si>
    <t>Biaya operasional air terkait dengan Head Office.
Contoh : biaya penggunaan air sungai</t>
  </si>
  <si>
    <t>Biaya operasional gas terkait dengan Head Office.
Contoh : biaya penggunaan air sungai</t>
  </si>
  <si>
    <t>Ada transaksi</t>
  </si>
  <si>
    <t>Biaya atas premi asuransi gedung dan infrasruktur.
Contoh : Biaya Asuransi Property all risk (PAR) PT GRP</t>
  </si>
  <si>
    <t>Biaya atas premi asuransi mesin.
Contoh : Biaya Asuransi Machinery Breakdown (MB) PT GRP</t>
  </si>
  <si>
    <t>Biaya atas premi asuransi kendaraan.
Note: 	untuk kendaraan perusahaan
Contoh : Biaya Premi kendaraan bermotor PT GRP No Polisi B 9705 GY</t>
  </si>
  <si>
    <t>Biaya atas premi asuransi atas tanggung jawab produk dan masyarakat.
Note: 	untuk produk dan pernyataan publik
Contoh : Biaya Premi asuransi publik dan produk liability</t>
  </si>
  <si>
    <t>Biaya atas premi kesehatan karyawan produksi.
Note: 	untuk karyawan produksi
Contoh : Biaya Premi kesehatan karyawan produksi</t>
  </si>
  <si>
    <t>Biaya atas premi kesehatan karyawan Head Office.
Note: 	untuk karyawan Head Office
Contoh : Biaya Premi kesehatan karyawan Head Office</t>
  </si>
  <si>
    <t>Biaya atas premi asuransi lainnya, yang tidak dapat selain golongan asuransi di atas.</t>
  </si>
  <si>
    <t>Biaya yang terkait dengan pengiriman barang ke customer lokal</t>
  </si>
  <si>
    <t>Move to Non Opex</t>
  </si>
  <si>
    <t>Biaya komisi penjualan</t>
  </si>
  <si>
    <t>Sales Marketing</t>
  </si>
  <si>
    <t>Naming Check</t>
  </si>
  <si>
    <t>Reviewed by:</t>
  </si>
  <si>
    <t>(Yohanes Yamin)</t>
  </si>
  <si>
    <t>PETUNJUK PENGISIAN ANGGARAN TAHUNAN (MASTER BUDGET) PERIODE 2025</t>
  </si>
  <si>
    <t>Rencana Aktivitas yang akan dilakukan di tahun 2025</t>
  </si>
  <si>
    <t>Periode di mana biaya tersebut akan digunakan di tahun 2025</t>
  </si>
  <si>
    <t>Jika terdapat Purchase Order yang masih akan menggantung dan belum terealisasi hingga akhir tahun (belum di GRN), harap menambahkan sebagai aktivitas yang akan terjadi di 2025.</t>
  </si>
  <si>
    <t>Jan - Dec 2025</t>
  </si>
  <si>
    <t>Bagian 2. Proposed New Activity 2025</t>
  </si>
  <si>
    <t>Outstanding Purchase Order di tahun 2024 yang akan direalisasikan di 2025 (Open Purchase Order sampai akhir tahun)</t>
  </si>
  <si>
    <t>Anggaran tahunan 2024</t>
  </si>
  <si>
    <t>Realisasi anggaran (aktual biaya) selama periode 2024</t>
  </si>
  <si>
    <t>Kode Master Activity atau Internal Order Number. 
Untuk list activity yang sudah terdaftar di tahun 2024 bisa dilihat di sheet Activity Master.
Dan untuk penambahan aktifitas baru bisa di daftarkan di sheet Activity Master.
Note : Kode Master Activity harus valid agar expense dapat tercatat dan dapat dipantau lebih mudah.</t>
  </si>
  <si>
    <t>Actual Realisation 
(Jan-Aug 2024)</t>
  </si>
  <si>
    <t>Aktual biaya Januari - Agustus 2024.
- Tidak perlu diisi
- Disajikan dalam mata uang USD</t>
  </si>
  <si>
    <t>Outstanding PO 2024</t>
  </si>
  <si>
    <t>Aktivitas yang sudah terdaftar selama tahun 2024.</t>
  </si>
  <si>
    <t>Jumlah anggaran per ledger yang disetujui di tahun 2024.
- Tidak perlu diisi
- Disajikan dalam mata uang USD
  (asumsi 1 USD = Rp15.000)</t>
  </si>
  <si>
    <t>61900050</t>
  </si>
  <si>
    <t>PF - Management Fee</t>
  </si>
  <si>
    <t>Biaya jasa manajemen</t>
  </si>
  <si>
    <t>Sales &amp; Procurement</t>
  </si>
  <si>
    <t>Good Corporate Governance</t>
  </si>
  <si>
    <t>GCG</t>
  </si>
  <si>
    <t>Finance &amp; Accounting</t>
  </si>
  <si>
    <t>Weighbridge</t>
  </si>
  <si>
    <t>CC_Weighbridge</t>
  </si>
  <si>
    <t>ESG (CSR)</t>
  </si>
  <si>
    <t>CC_CSR</t>
  </si>
  <si>
    <t>Government Relation</t>
  </si>
  <si>
    <t>CC_Govrel</t>
  </si>
  <si>
    <t>Project Name / Capex Name</t>
  </si>
  <si>
    <t>Detail Activity / Project Description</t>
  </si>
  <si>
    <t>Priority</t>
  </si>
  <si>
    <t>Basis Calculation</t>
  </si>
  <si>
    <t>Estimation Start Date</t>
  </si>
  <si>
    <t>Estimation Finish Date</t>
  </si>
  <si>
    <t>Additional Remarks</t>
  </si>
  <si>
    <t>Centralized to</t>
  </si>
  <si>
    <t>01.01.2024</t>
  </si>
  <si>
    <t>10131PP001</t>
  </si>
  <si>
    <t xml:space="preserve">LSM PRODUCTION DEPT </t>
  </si>
  <si>
    <t>10131PP002</t>
  </si>
  <si>
    <t xml:space="preserve">LSM WALKING BEAM FURNACE </t>
  </si>
  <si>
    <t>10131PP003</t>
  </si>
  <si>
    <t>LSM ROUGHING MILL</t>
  </si>
  <si>
    <t>10131PP004</t>
  </si>
  <si>
    <t>LSM INTERMEDIATE &amp; FINISHING MILL</t>
  </si>
  <si>
    <t>10131PP005</t>
  </si>
  <si>
    <t>LSM DIVIDING SHEAR &amp; COOLING BED</t>
  </si>
  <si>
    <t>10131PP006</t>
  </si>
  <si>
    <t xml:space="preserve">LSM STRAIGHTENING </t>
  </si>
  <si>
    <t>10131PP007</t>
  </si>
  <si>
    <t xml:space="preserve">LSM COLD SAW </t>
  </si>
  <si>
    <t>10131PP008</t>
  </si>
  <si>
    <t>LSM STOCKING BED &amp; TYING MACHINE</t>
  </si>
  <si>
    <t>10131PP009</t>
  </si>
  <si>
    <t xml:space="preserve">LSM REPAIR </t>
  </si>
  <si>
    <t>10131PP010</t>
  </si>
  <si>
    <t xml:space="preserve">LSM ROLLER </t>
  </si>
  <si>
    <t>10131PS001</t>
  </si>
  <si>
    <t xml:space="preserve">LSM ELECTRICAL DEPARTMENT </t>
  </si>
  <si>
    <t>10131PS002</t>
  </si>
  <si>
    <t xml:space="preserve">LSM MECHANICAL DEPARTMENT </t>
  </si>
  <si>
    <t>10131PS003</t>
  </si>
  <si>
    <t xml:space="preserve">LSM PPIC DEPARTMENT </t>
  </si>
  <si>
    <t>10131PS004</t>
  </si>
  <si>
    <t xml:space="preserve">LSM QA/QC DEPARTMENT </t>
  </si>
  <si>
    <t>10131PS005</t>
  </si>
  <si>
    <t xml:space="preserve">LSM WAREHOUSE DEPARTMENT </t>
  </si>
  <si>
    <t>10131PS006</t>
  </si>
  <si>
    <t xml:space="preserve">LSM CRANE DEPARTMENT </t>
  </si>
  <si>
    <t>10131PS007</t>
  </si>
  <si>
    <t xml:space="preserve">LSM OFFICE DEPARTMENT </t>
  </si>
  <si>
    <t>10131PS008</t>
  </si>
  <si>
    <t xml:space="preserve">LSM STRUCTURE MANUFACTURING </t>
  </si>
  <si>
    <t>10101PP001</t>
  </si>
  <si>
    <t>SMS1 PRODUCTION DEPT</t>
  </si>
  <si>
    <t>10101PP002</t>
  </si>
  <si>
    <t>SMS1 EAF</t>
  </si>
  <si>
    <t>10101PP003</t>
  </si>
  <si>
    <t>SMS1 LRF 1</t>
  </si>
  <si>
    <t>10101PP004</t>
  </si>
  <si>
    <t>SMS1 LRF 2</t>
  </si>
  <si>
    <t>10101PP005</t>
  </si>
  <si>
    <t>SMS1 SBQ</t>
  </si>
  <si>
    <t>10101PP006</t>
  </si>
  <si>
    <t>SMS1 BBL</t>
  </si>
  <si>
    <t>10101PP007</t>
  </si>
  <si>
    <t>SMS1 REPAIR</t>
  </si>
  <si>
    <t>10101PS001</t>
  </si>
  <si>
    <t>SMS1 ELECTRICAL DEPARTMENT</t>
  </si>
  <si>
    <t>10101PS002</t>
  </si>
  <si>
    <t>SMS1 MECHANICAL DEPARTMENT</t>
  </si>
  <si>
    <t>10101PS003</t>
  </si>
  <si>
    <t>SMS1 PPIC DEPARTMENT</t>
  </si>
  <si>
    <t>10101PS004</t>
  </si>
  <si>
    <t>SMS1 QA/QC DEPARTMENT</t>
  </si>
  <si>
    <t>10101PS005</t>
  </si>
  <si>
    <t>SMS1 WAREHOUSE DEPARTMENT</t>
  </si>
  <si>
    <t>10101PS006</t>
  </si>
  <si>
    <t>SMS1 CRANE DEPARTMENT</t>
  </si>
  <si>
    <t>10101PS007</t>
  </si>
  <si>
    <t>SMS1 OFFICE DEPARTMENT</t>
  </si>
  <si>
    <t>10101PS008</t>
  </si>
  <si>
    <t>SMS1 STRUCTURE MANUFACTURING</t>
  </si>
  <si>
    <t>10103PP001</t>
  </si>
  <si>
    <t>BP1 PRODUCTION DEPT</t>
  </si>
  <si>
    <t>10103PP002</t>
  </si>
  <si>
    <t>BP1 WALKING BEAM FURNACE</t>
  </si>
  <si>
    <t>10103PP003</t>
  </si>
  <si>
    <t>BP1 BREAKDOWN</t>
  </si>
  <si>
    <t>10103PP004</t>
  </si>
  <si>
    <t>BP1 TANDEM &amp; UNIVERSAL FINISHI</t>
  </si>
  <si>
    <t>10103PP005</t>
  </si>
  <si>
    <t>BP1 HOT SAW  &amp; COOLING BED</t>
  </si>
  <si>
    <t>10103PP006</t>
  </si>
  <si>
    <t>BP1 STRAIGHTENING</t>
  </si>
  <si>
    <t>10103PP007</t>
  </si>
  <si>
    <t>BP1 COLD SAW</t>
  </si>
  <si>
    <t>10103PP008</t>
  </si>
  <si>
    <t>BP1 STOCKING BED</t>
  </si>
  <si>
    <t>10103PP009</t>
  </si>
  <si>
    <t>BP1 REPAIR</t>
  </si>
  <si>
    <t>10103PP010</t>
  </si>
  <si>
    <t>BP1 ROLLER</t>
  </si>
  <si>
    <t>10103PS001</t>
  </si>
  <si>
    <t>BP1 ELECTRICAL DEPARTMENT</t>
  </si>
  <si>
    <t>10103PS002</t>
  </si>
  <si>
    <t>BP1 MECHANICAL DEPARTMENT</t>
  </si>
  <si>
    <t>10103PS003</t>
  </si>
  <si>
    <t>BP1 PPIC DEPARTMENT</t>
  </si>
  <si>
    <t>10103PS004</t>
  </si>
  <si>
    <t>BP1 QA/QC DEPARTMENT</t>
  </si>
  <si>
    <t>10103PS005</t>
  </si>
  <si>
    <t>BP1 WAREHOUSE DEPARTMENT</t>
  </si>
  <si>
    <t>10103PS006</t>
  </si>
  <si>
    <t>BP1 CRANE DEPARTMENT</t>
  </si>
  <si>
    <t>10103PS007</t>
  </si>
  <si>
    <t>BP1 OFFICE DEPARTMENT</t>
  </si>
  <si>
    <t>10103PS008</t>
  </si>
  <si>
    <t>BP1 STRUCTURE MANUFACTURING</t>
  </si>
  <si>
    <t>10201PS001</t>
  </si>
  <si>
    <t>SSC ELECTRICAL DEPARTMENT</t>
  </si>
  <si>
    <t>10201PS002</t>
  </si>
  <si>
    <t>SSC MECHANICAL DEPARTMENT</t>
  </si>
  <si>
    <t>10201PS003</t>
  </si>
  <si>
    <t>SSC PPIC DEPARTMENT</t>
  </si>
  <si>
    <t>10201PS004</t>
  </si>
  <si>
    <t>SSC QA/QC DEPARTMENT</t>
  </si>
  <si>
    <t>10201PS005</t>
  </si>
  <si>
    <t>SSC WAREHOUSE DEPARTMENT</t>
  </si>
  <si>
    <t>10201PS006</t>
  </si>
  <si>
    <t>SSC CRANE DEPARTMENT</t>
  </si>
  <si>
    <t>10201PS007</t>
  </si>
  <si>
    <t>SSC OFFICE DEPARTMENT</t>
  </si>
  <si>
    <t>10201PS008</t>
  </si>
  <si>
    <t>SSC STRUCTURE MANUFACTURING</t>
  </si>
  <si>
    <t>10201SU001</t>
  </si>
  <si>
    <t>SSC PROD. DEPARTMENT</t>
  </si>
  <si>
    <t>10201SU002</t>
  </si>
  <si>
    <t>SSC DAITO ST5070 (C.BAND SAW)</t>
  </si>
  <si>
    <t>10201SU003</t>
  </si>
  <si>
    <t>SSC DAITO ST6090 (C.BAND SAW)</t>
  </si>
  <si>
    <t>10201SU004</t>
  </si>
  <si>
    <t>SSC DAITO GA8010 (C.BAND SAW)</t>
  </si>
  <si>
    <t>10201SU005</t>
  </si>
  <si>
    <t>SSC TRENJAEGER PMC 12N #1&amp;2</t>
  </si>
  <si>
    <t>10201SU006</t>
  </si>
  <si>
    <t>SSC WAGNER KV6(CUT. CIRCU SAW)</t>
  </si>
  <si>
    <t>10201SU007</t>
  </si>
  <si>
    <t>SSC KALTENBACH HDM 800 A</t>
  </si>
  <si>
    <t>10201SU008</t>
  </si>
  <si>
    <t>SSC EVERISING H 1060 S</t>
  </si>
  <si>
    <t>10201SU009</t>
  </si>
  <si>
    <t>SSC VERNET BHRNGERHBP 360/704G</t>
  </si>
  <si>
    <t>10201SU010</t>
  </si>
  <si>
    <t>SSC FICEP LTTB 200-61 (AUTO)</t>
  </si>
  <si>
    <t>10201SU011</t>
  </si>
  <si>
    <t>SSC KOIKE TK-12 BEETLE PORTABL</t>
  </si>
  <si>
    <t>10201SU012</t>
  </si>
  <si>
    <t>SSC YAMATO CUT TORCH TYPEA1&amp;2</t>
  </si>
  <si>
    <t>10201SU013</t>
  </si>
  <si>
    <t>SSC DAITO DNF 1000 (AUTOMATIC)</t>
  </si>
  <si>
    <t>10201SU014</t>
  </si>
  <si>
    <t>SSC VERNET BEHRINGER FP 600</t>
  </si>
  <si>
    <t>10201SU015</t>
  </si>
  <si>
    <t>SSC FICEP LFB 200-49S</t>
  </si>
  <si>
    <t>10201SU016</t>
  </si>
  <si>
    <t>SSC NITTO KOHKI AO 5575A</t>
  </si>
  <si>
    <t>10201SU017</t>
  </si>
  <si>
    <t>SSC MAKITA GRINDING 4" 9553 B</t>
  </si>
  <si>
    <t>10201SU018</t>
  </si>
  <si>
    <t>SSC MAKITA GRINDING 6" GA 6020</t>
  </si>
  <si>
    <t>10201SU019</t>
  </si>
  <si>
    <t>SSC HECULES</t>
  </si>
  <si>
    <t>10201SU020</t>
  </si>
  <si>
    <t>SSC HARIS F43 MODEL 63,2</t>
  </si>
  <si>
    <t>Central BU Electrical Maintenance</t>
  </si>
  <si>
    <t>CEM</t>
  </si>
  <si>
    <t>PPIC</t>
  </si>
  <si>
    <t>CENTRAL ASSEMBLY &amp; MAINTENANCE</t>
  </si>
  <si>
    <t>10202SU005</t>
  </si>
  <si>
    <t>10202SU006</t>
  </si>
  <si>
    <t>CENTRAL TECHNICAL SUP PPIC</t>
  </si>
  <si>
    <t>CENTRAL TECHNICAL SPRT QA</t>
  </si>
  <si>
    <t>10202SU007</t>
  </si>
  <si>
    <t>10202SU011</t>
  </si>
  <si>
    <t>Central Mechanical Maintenance</t>
  </si>
  <si>
    <t>ELECTRICAL MT &amp; PROJ (CEM)</t>
  </si>
  <si>
    <t>FA - Land and Landright</t>
  </si>
  <si>
    <t>15000010</t>
  </si>
  <si>
    <t>FA - Building and Structure</t>
  </si>
  <si>
    <t>15000020</t>
  </si>
  <si>
    <t>FA - Machinery and Equipment</t>
  </si>
  <si>
    <t>15000030</t>
  </si>
  <si>
    <t>FA - Equipment and Supplies</t>
  </si>
  <si>
    <t>15000040</t>
  </si>
  <si>
    <t>FA - Heavy Equipment</t>
  </si>
  <si>
    <t>15000050</t>
  </si>
  <si>
    <t>FA - Vehicles</t>
  </si>
  <si>
    <t>15000060</t>
  </si>
  <si>
    <t>FA - Furniture and Fixtures</t>
  </si>
  <si>
    <t>15000070</t>
  </si>
  <si>
    <t>FA - Office and Other Equipment</t>
  </si>
  <si>
    <t>15000080</t>
  </si>
  <si>
    <t>FA - Leasehold improvement</t>
  </si>
  <si>
    <t>15000090</t>
  </si>
  <si>
    <t>FA - Overhaul Asset</t>
  </si>
  <si>
    <t>Intangible Asset - Licence</t>
  </si>
  <si>
    <t>FA - LVA Office and Other Equipment</t>
  </si>
  <si>
    <t>15020010</t>
  </si>
  <si>
    <t>FA - Assets Under Construction - Building</t>
  </si>
  <si>
    <t>15020020</t>
  </si>
  <si>
    <t>FA - Assets Under Construction - Machinery</t>
  </si>
  <si>
    <t>15020030</t>
  </si>
  <si>
    <t>FA - Assets Under Construction - Equipment</t>
  </si>
  <si>
    <t>15020040</t>
  </si>
  <si>
    <t>FA - Assets Under Construction - Heavy Equipment</t>
  </si>
  <si>
    <t>15020080</t>
  </si>
  <si>
    <t>FA-Assets Under Construction-Leasehold improvement</t>
  </si>
  <si>
    <t>Biaya perolehan atas tanah dan/atau hak guna atas tanah</t>
  </si>
  <si>
    <t>Biaya perolehan awal atas gedung/bangunan yang dimiliki oleh Perusahaan untuk digunakan dalam kegiatan produksi dan/atau operasional, dan dalam kondisi siap digunakan. Contoh : bangunan pabrik, gedung kantor, mess,dll. Biaya perolehan yang termaksud dalam capex Building &amp; Structure dengan nilai &gt; USD 10.000 / (IDR 150,000,000).</t>
  </si>
  <si>
    <t>Biaya perolehan atas peralatan dan mesin yang dimiliki oleh Perusahaan untuk digunakan dalam kegiatan produksi dan/atau operasional, dan dalam kondisi siap digunakan. Contoh : mesin produksi. Biaya perolehan yang termaksud dalam capex Machinery &amp; Equipment dengan nilai &gt; USD 10.000 / (DR 150,000,000).</t>
  </si>
  <si>
    <t>Biaya perolehan atas peralatan pabrik. (roll, bearing dll) dengan nilai &gt; USD 10.000  / (IDR 150,000,000).</t>
  </si>
  <si>
    <t>Biaya perolehan atas alat berat yang dimiliki oleh Perusahaan untuk digunakan dalam kegiatan produksi dan/atau operasional, dan dalam kondisi siap digunakan. Biaya perolehan yang termaksud dalam capex Heavy Equipment dengan nilai &gt; USD 10.000 / (IDR 150,000,000).</t>
  </si>
  <si>
    <t>Biaya perolehan atas kendaraan yang dimiliki oleh Perusahaan untuk digunakan dalam kegiatan produksi dan/atau operasional, dan dalam kondisi siap digunakan. 
Contoh : biaya pembelian truk, mobil &amp; motor inventaris kantor
Biaya perolehan yang termaksud dalam capex Vehicles dengan nilai &gt; USD 700 / (IDR 10,000,000).</t>
  </si>
  <si>
    <t>Biaya perolehan atas perabotan dan perlengkapan dengan nilai &gt; USD 175 (Rp 2,500,000)
Contoh : pembelian meja, kursi, furnitur lain dengan masa manfaat lebih dari satu tahun yang digunakan untuk operasional kantor/mess</t>
  </si>
  <si>
    <t>Biaya perolehan atas peralatan kantor dengan nilai &gt; USD 525 (Rp7,500,000)
Contoh : laptop, komputer</t>
  </si>
  <si>
    <t>Biaya pengembangan atau penambahan atas tanah atau bangunan yang dilakukan dan dibiayai oleh penyewa.</t>
  </si>
  <si>
    <t>Biaya penggantian salah satu part mesin dengan biaya yang signifikan</t>
  </si>
  <si>
    <t>Biaya perolehan atas peralatan kantor dengan nilai &gt; USD 175 (IDR2,500,000) and &lt; USD 525 (IDR7,500,000)
Contoh : laptop, komputer</t>
  </si>
  <si>
    <t>CAPEX</t>
  </si>
  <si>
    <t>FIXED ASSET</t>
  </si>
  <si>
    <t>GL Account</t>
  </si>
  <si>
    <t>GL Description</t>
  </si>
  <si>
    <t>IO Capex FA (Group)</t>
  </si>
  <si>
    <t>A0125</t>
  </si>
  <si>
    <t>A0225</t>
  </si>
  <si>
    <t>A0325</t>
  </si>
  <si>
    <t>A0425</t>
  </si>
  <si>
    <t>A0525</t>
  </si>
  <si>
    <t>A0625</t>
  </si>
  <si>
    <t>A0725</t>
  </si>
  <si>
    <t>A0825</t>
  </si>
  <si>
    <t>A0925</t>
  </si>
  <si>
    <t>A1025</t>
  </si>
  <si>
    <t>A1125</t>
  </si>
  <si>
    <t>A1225</t>
  </si>
  <si>
    <t>LSM</t>
  </si>
  <si>
    <t>SMS1</t>
  </si>
  <si>
    <t>BP1</t>
  </si>
  <si>
    <t>Sequence Number</t>
  </si>
  <si>
    <t>Classification</t>
  </si>
  <si>
    <t>CAPEX FA - IO GROUP</t>
  </si>
  <si>
    <t>BP</t>
  </si>
  <si>
    <t>BU</t>
  </si>
  <si>
    <t>SSC</t>
  </si>
  <si>
    <t>SU</t>
  </si>
  <si>
    <t>Sheet 2 : Capex &amp; Project Detail</t>
  </si>
  <si>
    <t>Capex &amp; Project Detail</t>
  </si>
  <si>
    <t>Diisi bila department/divisi terkait mempunyai capex/project budget untuk periode ini.</t>
  </si>
  <si>
    <t>Nomor akun di system SAP.
- Mohon diisi sesuai dengan budget yang diajukan.
- Penjelasan Ledger untuk Capex &amp; Project silahkan lihat di Table 2.1</t>
  </si>
  <si>
    <t>Profit Center / Cost Center</t>
  </si>
  <si>
    <t>Nomor Profit Center / Cost Center dalam system SAP:
- BU : Mohon diisi cost center sesuai dengan budget capex BU terkait.
- SU : Mohon diisi cost center sesuai dengan budget capex SU terkait.
- HO :  Mohon diisi cost center sesuai dengan budget capex HO terkait.
- Project : Mohon diisi apabila ada Project baru.</t>
  </si>
  <si>
    <t>Expense / Nama Project</t>
  </si>
  <si>
    <t xml:space="preserve">Diisi dengan deskripsi jenis capex/project yang dibudgetkan.
 Contoh:
   - Beautification of Factory
   - Laptop
   - Plant Upgrade and Modification </t>
  </si>
  <si>
    <t>Detail Activity</t>
  </si>
  <si>
    <t xml:space="preserve">Diisi dengan detail aktivitas untuk project yang dibudgetkan. Didetailkan perlines (jumlah row menjadi sesuai dengan detail aktivitas.
 Contoh:
</t>
  </si>
  <si>
    <t>Jumlah anggaran per ledger yang disetujui di tahun 2024
- Tidak perlu diisi
- Disajikan dalam mata uang USD
  (asumsi 1 USD = Rp15.000)</t>
  </si>
  <si>
    <t>Actual Realisation 
(Jan-Jul 2024)</t>
  </si>
  <si>
    <t>2026-2034</t>
  </si>
  <si>
    <t>Jumlah anggaran per ledger dan per tahun yang dibutuhkan jika perkiraan project &amp; biaya project melewati periode tahun 2025. Diisi dengan perkiraan pertahunnya hingga project selesai.</t>
  </si>
  <si>
    <t>Level prioritas budget:
  - 1 High priority, diisi untuk aktivitas dan biaya yg sudah berulang. 
  - 2 Medium priority, diisi untuk aktivitas dan biaya yg diprediksi kemungkinan besar akan terjadi di tahun anggaran tersebut
  - 3 Low priority, diisi dengan aktivitas dan biaya cadangan</t>
  </si>
  <si>
    <t>Basis perhitungan nilai assumsi untuk aktivitas project/capex terkait.</t>
  </si>
  <si>
    <t>Estimasi / target Project dimulai</t>
  </si>
  <si>
    <t xml:space="preserve">Estimasi / target Project selesai </t>
  </si>
  <si>
    <t>Diisi informasi detail yang ingin ditambahkan.</t>
  </si>
  <si>
    <t>Jika Capex/Project disentralisasi ke BU/Departement lain, silahkan pilih department terkait.
  - Jika tidak sentralisasi, silahkan kosongkan.
  - Sentralisasi hanya untuk capex/project yang terkait dengan department HR, IT, dan GA.</t>
  </si>
  <si>
    <t>Table 2.1. List Ledger Capex / Project</t>
  </si>
  <si>
    <t xml:space="preserve">Biaya perolehan atas pembelian lisence </t>
  </si>
  <si>
    <t>Aset bangunan dalam pengerjaan (% penyelesaian belum mencapai 100%), saat telah mencapai 100% akan dipindah ke FA - Building and Structure</t>
  </si>
  <si>
    <t>Aset mesin dalam pengerjaan (% penyelesaian belum mencapai 100%), saat telah mencapai 100% akan dipindah ke FA - Machinery and Equipment</t>
  </si>
  <si>
    <t>Aset peralatan dalam pengerjaan (% penyelesaian belum mencapai 100%), saat telah mencapai 100% akan dipindah ke FA -  Equipment</t>
  </si>
  <si>
    <t>Aset alat berat dalam pengerjaan (% penyelesaian belum mencapai 100%), saat telah mencapai 100% akan dipindah ke FA -  Heavy Equipment</t>
  </si>
  <si>
    <t>Aset pengembangan atau penambahan atas tanah atau bangunan (oleh  pihak penyewa) dalam pengerjaan (% penyelesaian belum mencapai 100%), saat telah mencapai 100% akan dipindah ke FA -  Leasehold Improvement</t>
  </si>
  <si>
    <t>FA-Assets Under Construction - Intangible Asset</t>
  </si>
  <si>
    <t>Aset lisence / system dalam pengerjaan (oleh  pihak penyewa) dalam pengerjaan (% penyelesaian belum mencapai 100%), saat telah mencapai 100% akan dipindah ke Intangible Asset - Lisence</t>
  </si>
  <si>
    <r>
      <t>- CAPEX</t>
    </r>
    <r>
      <rPr>
        <sz val="11"/>
        <color rgb="FF000000"/>
        <rFont val="Arial"/>
        <family val="2"/>
      </rPr>
      <t xml:space="preserve"> DETAIL</t>
    </r>
  </si>
  <si>
    <r>
      <t xml:space="preserve">- </t>
    </r>
    <r>
      <rPr>
        <sz val="11"/>
        <color rgb="FF000000"/>
        <rFont val="Arial"/>
        <family val="2"/>
      </rPr>
      <t>ACTIVITY MASTER</t>
    </r>
    <r>
      <rPr>
        <sz val="11"/>
        <color theme="1"/>
        <rFont val="Arial"/>
        <family val="2"/>
      </rPr>
      <t xml:space="preserve"> OPEX</t>
    </r>
  </si>
  <si>
    <t>Sheet 4 : Activity Master</t>
  </si>
  <si>
    <t>Ledger Account</t>
  </si>
  <si>
    <t>CAPEX PRIORITY</t>
  </si>
  <si>
    <t>Description</t>
  </si>
  <si>
    <t>High</t>
  </si>
  <si>
    <t>Medium</t>
  </si>
  <si>
    <t>Low</t>
  </si>
  <si>
    <t>Recurring activities</t>
  </si>
  <si>
    <t>aktivitas dan biaya yg diprediksi kemungkinan besar akan terjadi di tahun anggaran tersebut</t>
  </si>
  <si>
    <t>aktivitas dan biaya cadangan</t>
  </si>
  <si>
    <t>Supporting Document</t>
  </si>
  <si>
    <t>CAPEX SUPPORTING DOC</t>
  </si>
  <si>
    <t>Internal Memo</t>
  </si>
  <si>
    <t>Marketplace</t>
  </si>
  <si>
    <t>RAB</t>
  </si>
  <si>
    <t>Vendor Quotation</t>
  </si>
  <si>
    <t>(Nazla Sagita)</t>
  </si>
  <si>
    <t>(Catherine Sandra)</t>
  </si>
  <si>
    <t>(Mamoru Nakata)</t>
  </si>
  <si>
    <t>(Tony Taniwan)</t>
  </si>
  <si>
    <t>Prepared by:</t>
  </si>
  <si>
    <t>IDR</t>
  </si>
  <si>
    <t>ORI CURRENCY</t>
  </si>
  <si>
    <t>Original Currency 
(USD/IDR)</t>
  </si>
  <si>
    <t>Original Currency Value</t>
  </si>
  <si>
    <t>OPEX SUPPORTING DOC</t>
  </si>
  <si>
    <t>QAQC</t>
  </si>
  <si>
    <t>HRGA &amp; HSE</t>
  </si>
  <si>
    <t>Health Safety &amp; Environment</t>
  </si>
  <si>
    <t>HS001-00001</t>
  </si>
  <si>
    <t>Entertainment - Donation</t>
  </si>
  <si>
    <t>HS001-00002</t>
  </si>
  <si>
    <t>Meeting with External Parties</t>
  </si>
  <si>
    <t>HS001-00003</t>
  </si>
  <si>
    <t>HS001-00004</t>
  </si>
  <si>
    <t>Safety Equipment</t>
  </si>
  <si>
    <t>HS001-00005</t>
  </si>
  <si>
    <t>PF - Consultant for K3 Audit Result</t>
  </si>
  <si>
    <t>HS001-00006</t>
  </si>
  <si>
    <t>Printing - Sign Warning</t>
  </si>
  <si>
    <t>HS001-00007</t>
  </si>
  <si>
    <t>Repair &amp; Maintenance - Fire Alarm</t>
  </si>
  <si>
    <t>HS001-00008</t>
  </si>
  <si>
    <t>Repair Maintenance - Damkar &amp; Ambulance</t>
  </si>
  <si>
    <t>HS001-00009</t>
  </si>
  <si>
    <t>Utilities - Health and Safety</t>
  </si>
  <si>
    <t>HS001-00010</t>
  </si>
  <si>
    <t>Rental - Ambulance</t>
  </si>
  <si>
    <t>HS002-00001</t>
  </si>
  <si>
    <t>Environmental Pollution Insurance</t>
  </si>
  <si>
    <t>HS002-00002</t>
  </si>
  <si>
    <t>Environmental Testing All Plant</t>
  </si>
  <si>
    <t>HS002-00003</t>
  </si>
  <si>
    <t>Waste Water Testing</t>
  </si>
  <si>
    <t>HS002-00004</t>
  </si>
  <si>
    <t>TCLP C B3 Waste Testing</t>
  </si>
  <si>
    <t>HS002-00005</t>
  </si>
  <si>
    <t>Chemical Composition of B3 Waste</t>
  </si>
  <si>
    <t>HS002-00006</t>
  </si>
  <si>
    <t>Hampers for External Parties</t>
  </si>
  <si>
    <t>HS002-00007</t>
  </si>
  <si>
    <t>Printing - Sticker/Banner/Foto</t>
  </si>
  <si>
    <t>HS002-00008</t>
  </si>
  <si>
    <t>HS002-00009</t>
  </si>
  <si>
    <t>HS002-00010</t>
  </si>
  <si>
    <t>Waste Removal - Sludge IPAL</t>
  </si>
  <si>
    <t>HS002-00011</t>
  </si>
  <si>
    <t>Office Equipment - Flashdisk</t>
  </si>
  <si>
    <t>HS002-00012</t>
  </si>
  <si>
    <t>Office Equipment - TPS</t>
  </si>
  <si>
    <t>HS002-00013</t>
  </si>
  <si>
    <t>Office Equipment - IPAL</t>
  </si>
  <si>
    <t>HS002-00019</t>
  </si>
  <si>
    <t>Remediation Plan</t>
  </si>
  <si>
    <t>HS002-00020</t>
  </si>
  <si>
    <t>Utilities - Water Expense</t>
  </si>
  <si>
    <t>HS001-00015</t>
  </si>
  <si>
    <t>Event - Health &amp; Safety (K3)</t>
  </si>
  <si>
    <t>License Visio</t>
  </si>
  <si>
    <t>License PDF (Adobe Acrobat)</t>
  </si>
  <si>
    <t>HS001-00013</t>
  </si>
  <si>
    <t>HS001-00014</t>
  </si>
  <si>
    <t>Actual Fixed Asset</t>
  </si>
  <si>
    <t>Cost Element</t>
  </si>
  <si>
    <t>Total quantity</t>
  </si>
  <si>
    <t>Posted unit of meas.</t>
  </si>
  <si>
    <t>Val/COArea Crcy</t>
  </si>
  <si>
    <t>CO Object Name</t>
  </si>
  <si>
    <t>Document Date</t>
  </si>
  <si>
    <t>Order</t>
  </si>
  <si>
    <t>Period</t>
  </si>
  <si>
    <t>Posting Date</t>
  </si>
  <si>
    <t>Ref. document number</t>
  </si>
  <si>
    <t>Ref. Fiscal Year</t>
  </si>
  <si>
    <t>Transaction Currency</t>
  </si>
  <si>
    <t>Value TranCurr</t>
  </si>
  <si>
    <t>Purchase Order Text</t>
  </si>
  <si>
    <t>Name</t>
  </si>
  <si>
    <t>Remark</t>
  </si>
  <si>
    <t>Commitment Fixed Asset</t>
  </si>
  <si>
    <t>Cost element</t>
  </si>
  <si>
    <t>Total Quantity</t>
  </si>
  <si>
    <t>Unit of Measure</t>
  </si>
  <si>
    <t>Vendor</t>
  </si>
  <si>
    <t>Debit Date</t>
  </si>
  <si>
    <t>Material Description</t>
  </si>
  <si>
    <t>Mohon kirimkan Lembar kerja anggaran tahunan (master budget template) yang telah disetujui ke Budget&amp;Analysis Departemen paling lambat tanggal 30 Agustus 2024.</t>
  </si>
  <si>
    <t>Jumlah anggaran per ledger dan per bulan yang dibutuhkan di tahun 2025
- Disajikan dalam mata uang USD
  (asumsi 1 USD = Rp15.800)
- Nilai yang dibudgetkan adalah nilai DPP(exclude PPn)
- Nilai yang diisi didetailkan berdasakan detail aktivitas</t>
  </si>
  <si>
    <t>Sheet 3 : Opex - Budget Detail</t>
  </si>
  <si>
    <t>Diisi dengan penjalasan aktivitas yang lebih detail
Untuk available activity, detail sudah diisi di sheet Activity Master Opex
Untuk activity baru yang akan diajukan di 2025, mohon agar menambahkan juga penjelasan di sheet Activity Master Opex</t>
  </si>
  <si>
    <t>Jumlah anggaran per ledger dan per bulan yang dibutuhkan di tahun 2025.
- Disajikan dalam mata uang USD
  (asumsi 1 USD = Rp15.800)
- Nilai yang dibudgetkan adalah nilai DPP (exclude PPn)
- Nilai yang diisi didetailkan berdasakan detail aktivitas</t>
  </si>
  <si>
    <t>Isi dengan "Outstanding PO" hanya jika aktivitas merupakan PO yang menggantung hingga akhir tahun 2024 dan terealisasi di 2025.</t>
  </si>
  <si>
    <t>Pilihan terkait dengan type aktivitas:
- Monthly Recurring : Jika aktivitas dilakukan setiap bulan, contoh : Sewa Mobil
- Periodically (Quarterly/Yearly) Recurring : Jika aktivitas dilakukan setiap tahun / kuarter. Contoh : Audit Professional Fee
- One Off : Jika aktivitas dilakukan hanya karena tujuan khusus. Contoh : biaya konsultan dengan tujuan khusus yang hanya dilakukan sekali saja dan tidak berulang ditahun selanjutnya.
- Conditional : Aktivitas yang hampir setiap tahun ada, namun biaya aktivitasnya tidak menentu. Contoh : Biaya notaris</t>
  </si>
  <si>
    <t>Diisi dengan max 40 karakter nama aktivitas yang ingin diajukan</t>
  </si>
  <si>
    <t>Diisi dengan tambahan detail penjelasan atas aktivitas yang ingin diajukan
Misal : 
- Activity : Rental - Fortuner
- Remarks : monthly rental car for BoD based on Working Contract</t>
  </si>
  <si>
    <t>(Reji Sandra Kurniawan)</t>
  </si>
  <si>
    <t>Reason for increase/decrease</t>
  </si>
  <si>
    <t>Control</t>
  </si>
  <si>
    <t>Safety PPE Laundry Services</t>
  </si>
  <si>
    <t xml:space="preserve">Lembar kerja anggaran tahunan (master budget template) dibuat dengan menyesuaikan struktur organisasi per Juli 2024 serta cost center terkait </t>
  </si>
  <si>
    <t>Table1.1. List Direktorat:
(menyesuaikan struktur organisasi per Juli 2024)</t>
  </si>
  <si>
    <t>Table1.2. List Divisi / Departement :
(menyesuaikan struktur organisasi per Juli 2024)</t>
  </si>
  <si>
    <t>Aktual biaya January - Juli 2024
- Tidak perlu diisi
- Disajikan dalam mata uang USD</t>
  </si>
  <si>
    <t>Deputy Head Of Finance</t>
  </si>
  <si>
    <t>Deputy President Director</t>
  </si>
  <si>
    <t>President Director</t>
  </si>
  <si>
    <t>Plant Manager</t>
  </si>
  <si>
    <t>(Surasak  Poonkerd)</t>
  </si>
  <si>
    <t>Sheet 2 : Capex Detail</t>
  </si>
  <si>
    <t>Original Currency</t>
  </si>
  <si>
    <t>Diisi informasi nominal sesuai mata uang asli</t>
  </si>
  <si>
    <t>General Guidances</t>
  </si>
  <si>
    <t>Estimated / target project start date</t>
  </si>
  <si>
    <t>Estimated / target project completion date</t>
  </si>
  <si>
    <t>Payment Terms</t>
  </si>
  <si>
    <t>Diisi informasi syarat pembayaran untuk aktivitas project/capex terkait.</t>
  </si>
  <si>
    <t>Section 1. Existing Master Activity</t>
  </si>
  <si>
    <t>Membership fees</t>
  </si>
  <si>
    <t>IT ANALYTICS</t>
  </si>
  <si>
    <t>PD Office</t>
  </si>
  <si>
    <t>PDOffice</t>
  </si>
  <si>
    <t>HS001-00016</t>
  </si>
  <si>
    <t>Vendor safety induction video</t>
  </si>
  <si>
    <t>HS001-00017</t>
  </si>
  <si>
    <t>Safety Rewards</t>
  </si>
  <si>
    <t>HS001-00018</t>
  </si>
  <si>
    <t>License mekari HSE</t>
  </si>
  <si>
    <t>HS001-00019</t>
  </si>
  <si>
    <t>Sound Level Meter</t>
  </si>
  <si>
    <t>HS001-00020</t>
  </si>
  <si>
    <t>One million man hours zero accident</t>
  </si>
  <si>
    <t>HS001-00021</t>
  </si>
  <si>
    <t>Zero Accident Rewards</t>
  </si>
  <si>
    <t>Waste Transport - Mill Scale</t>
  </si>
  <si>
    <t>HS002-00014</t>
  </si>
  <si>
    <t>Waste Removal - Sedot Tinja</t>
  </si>
  <si>
    <t>HS002-00015</t>
  </si>
  <si>
    <t>Waste Removal - Ex B3 Package</t>
  </si>
  <si>
    <t>HS002-00016</t>
  </si>
  <si>
    <t>Waste Removal - Majun terkontaminasi B3</t>
  </si>
  <si>
    <t>HS002-00017</t>
  </si>
  <si>
    <t>Waste Removal - Electrical Waste</t>
  </si>
  <si>
    <t>HS002-00018</t>
  </si>
  <si>
    <t>Waste Removal - Accumulator Waste</t>
  </si>
  <si>
    <t>HS002-00021</t>
  </si>
  <si>
    <t>Chimney Emission Testing</t>
  </si>
  <si>
    <t>HS002-00022</t>
  </si>
  <si>
    <t>Traffic Ratio Calculation</t>
  </si>
  <si>
    <t>HS002-00023</t>
  </si>
  <si>
    <t>Wastewater management</t>
  </si>
  <si>
    <t>Proposed New Activity 2026</t>
  </si>
  <si>
    <t>Actual
(Jan-Jul 2025)</t>
  </si>
  <si>
    <t>Annual Budget 2025</t>
  </si>
  <si>
    <t>Annual Budget
2026</t>
  </si>
  <si>
    <t>New Activity 2026</t>
  </si>
  <si>
    <t>Amount Budget 2026
(IDR)</t>
  </si>
  <si>
    <t>Outstanding PO 2025
(Realised in 2026)
PO Number</t>
  </si>
  <si>
    <t>Proposed Budget 2026 + Outstanding PO 2025
IDR</t>
  </si>
  <si>
    <t>Amount Budget 2026
(Original Currency)</t>
  </si>
  <si>
    <t>General Manager Finance &amp; Accounting</t>
  </si>
  <si>
    <t>GUIDANCES FOR FILLING OUT THE ANNUAL BUDGET (MASTER BUDGET) FOR THE PERIOD 2026</t>
  </si>
  <si>
    <t>Jan - Dec 2026</t>
  </si>
  <si>
    <t>Section 2. Proposed New Activity 2026</t>
  </si>
  <si>
    <t>Budget 2025</t>
  </si>
  <si>
    <t>Outstanding PO 2025</t>
  </si>
  <si>
    <t>Aktivitas yang sudah terdaftar selama tahun 2025.</t>
  </si>
  <si>
    <t>PETUNJUK PENGISIAN ANGGARAN TAHUNAN (MASTER BUDGET) PERIODE 2026</t>
  </si>
  <si>
    <t>Rencana Aktivitas yang akan dilakukan di tahun 2026</t>
  </si>
  <si>
    <t>Jika terdapat Purchase Order yang masih akan menggantung dan belum terealisasi hingga akhir tahun (belum di GRN), harap menambahkan sebagai aktivitas yang akan terjadi di 2026.</t>
  </si>
  <si>
    <t>Bagian 2. Proposed New Activity 2026</t>
  </si>
  <si>
    <t xml:space="preserve">Lembar kerja anggaran tahunan (master budget template) dibuat dengan menyesuaikan struktur organisasi per Juli 2025 serta cost center terkait </t>
  </si>
  <si>
    <t>Outstanding Purchase Order di tahun 2025 yang akan direalisasikan di 2026 (Open Purchase Order sampai akhir tahun)</t>
  </si>
  <si>
    <t>Anggaran tahunan 2025</t>
  </si>
  <si>
    <t>Realisasi anggaran (aktual biaya) selama periode 2025</t>
  </si>
  <si>
    <t>Table1.1. List Direktorat:
(menyesuaikan struktur organisasi per Juli 2025)</t>
  </si>
  <si>
    <t>Table1.2. List Divisi / Departement :
(menyesuaikan struktur organisasi per Juli 2025)</t>
  </si>
  <si>
    <t>Jumlah anggaran per ledger dan per bulan yang dibutuhkan di tahun 2026
- Disajikan dalam mata uang IDR
- Nilai yang dibudgetkan adalah nilai DPP(exclude PPn)
- Nilai yang diisi didetailkan berdasakan detail aktivitas</t>
  </si>
  <si>
    <t>Financial Planning &amp; Analysis Manager</t>
  </si>
  <si>
    <t>Jan 2026
(In IDR)</t>
  </si>
  <si>
    <t>Feb 2026
(In IDR)</t>
  </si>
  <si>
    <t>Mar 2026
(In IDR)</t>
  </si>
  <si>
    <t>Apr 2026
(In IDR)</t>
  </si>
  <si>
    <t>May 2026
(In IDR)</t>
  </si>
  <si>
    <t>Jun 2026
(In IDR)</t>
  </si>
  <si>
    <t>Jul 2026
(In IDR)</t>
  </si>
  <si>
    <t>Aug 2026
(In IDR)</t>
  </si>
  <si>
    <t>Sep 2026
(In IDR)</t>
  </si>
  <si>
    <t>Oct 2026
(In IDR)</t>
  </si>
  <si>
    <t>Nov 2026
(In IDR)</t>
  </si>
  <si>
    <t>Dec 2026
(In IDR)</t>
  </si>
  <si>
    <t>Total 2026</t>
  </si>
  <si>
    <t>Outstanding PO 2025
(Realised in 2026)
IDR</t>
  </si>
  <si>
    <t>Amount
(IDR)</t>
  </si>
  <si>
    <t>Why this budget required?
(Justification)</t>
  </si>
  <si>
    <t>Exchange rate (USD)</t>
  </si>
  <si>
    <t>Proposed Delete/close Activity 2026</t>
  </si>
  <si>
    <r>
      <t>Dasar penyusunan anggaran tahunan (</t>
    </r>
    <r>
      <rPr>
        <i/>
        <sz val="11"/>
        <rFont val="Aptos Narrow"/>
        <family val="2"/>
      </rPr>
      <t>Master Budget</t>
    </r>
    <r>
      <rPr>
        <sz val="11"/>
        <rFont val="Aptos Narrow"/>
        <family val="2"/>
      </rPr>
      <t>) dapat mempertimbangkan:</t>
    </r>
  </si>
  <si>
    <t>Periode di mana biaya tersebut akan digunakan di tahun 2026 (PO, GRN, Invoice)</t>
  </si>
  <si>
    <r>
      <t xml:space="preserve">Mohon untuk </t>
    </r>
    <r>
      <rPr>
        <b/>
        <sz val="11"/>
        <rFont val="Aptos Narrow"/>
        <family val="2"/>
      </rPr>
      <t>tidak</t>
    </r>
    <r>
      <rPr>
        <sz val="11"/>
        <rFont val="Aptos Narrow"/>
        <family val="2"/>
      </rPr>
      <t xml:space="preserve"> menghapus&amp;menambah baris/kolom pada Lembar kerja anggaran tahunan (</t>
    </r>
    <r>
      <rPr>
        <i/>
        <sz val="11"/>
        <rFont val="Aptos Narrow"/>
        <family val="2"/>
      </rPr>
      <t>master budget template</t>
    </r>
    <r>
      <rPr>
        <sz val="11"/>
        <rFont val="Aptos Narrow"/>
        <family val="2"/>
      </rPr>
      <t>)</t>
    </r>
  </si>
  <si>
    <r>
      <t>Lembar kerja anggaran tahunan (</t>
    </r>
    <r>
      <rPr>
        <i/>
        <sz val="11"/>
        <color theme="1"/>
        <rFont val="Aptos Narrow"/>
        <family val="2"/>
      </rPr>
      <t>master budget</t>
    </r>
    <r>
      <rPr>
        <sz val="11"/>
        <color theme="1"/>
        <rFont val="Aptos Narrow"/>
        <family val="2"/>
      </rPr>
      <t xml:space="preserve"> template) harus diketahui dan disetujui oleh Kepala Departemen (Manager/General Manager) dan Kepala Divisi/Directorate (HoX) sebelum diajukan</t>
    </r>
  </si>
  <si>
    <r>
      <t>- CAPEX</t>
    </r>
    <r>
      <rPr>
        <sz val="11"/>
        <color rgb="FF000000"/>
        <rFont val="Aptos Narrow"/>
        <family val="2"/>
      </rPr>
      <t xml:space="preserve"> DETAIL</t>
    </r>
  </si>
  <si>
    <r>
      <t xml:space="preserve">- </t>
    </r>
    <r>
      <rPr>
        <sz val="11"/>
        <color rgb="FF000000"/>
        <rFont val="Aptos Narrow"/>
        <family val="2"/>
      </rPr>
      <t>OPEX DETAIL</t>
    </r>
  </si>
  <si>
    <r>
      <t xml:space="preserve">- </t>
    </r>
    <r>
      <rPr>
        <sz val="11"/>
        <color rgb="FF000000"/>
        <rFont val="Aptos Narrow"/>
        <family val="2"/>
      </rPr>
      <t>ACTIVITY MASTER</t>
    </r>
    <r>
      <rPr>
        <sz val="11"/>
        <color theme="1"/>
        <rFont val="Aptos Narrow"/>
        <family val="2"/>
      </rPr>
      <t xml:space="preserve"> OPEX</t>
    </r>
  </si>
  <si>
    <r>
      <t xml:space="preserve">Penambahan expense/aktivitas </t>
    </r>
    <r>
      <rPr>
        <b/>
        <sz val="11"/>
        <color theme="1"/>
        <rFont val="Aptos Narrow"/>
        <family val="2"/>
      </rPr>
      <t>baru</t>
    </r>
    <r>
      <rPr>
        <sz val="11"/>
        <color theme="1"/>
        <rFont val="Aptos Narrow"/>
        <family val="2"/>
      </rPr>
      <t>, silahkan mengisi di baris baru, dengan memilih Activity Master yang sesuai dengan jenis aktivitas tersebut.</t>
    </r>
  </si>
  <si>
    <r>
      <t xml:space="preserve">Pengurangan expense/aktivitas </t>
    </r>
    <r>
      <rPr>
        <b/>
        <sz val="11"/>
        <color theme="1"/>
        <rFont val="Aptos Narrow"/>
        <family val="2"/>
      </rPr>
      <t>yang ada</t>
    </r>
    <r>
      <rPr>
        <sz val="11"/>
        <color theme="1"/>
        <rFont val="Aptos Narrow"/>
        <family val="2"/>
      </rPr>
      <t>, silahkan mengisi table proposal tutup/hapus aktifitas.</t>
    </r>
  </si>
  <si>
    <t>Diisi dengan:
- HO untuk department Head Office
- BU untuk department Business Unit
- SU untuk department Support Unit</t>
  </si>
  <si>
    <t>Diisi sesuai dengan Departement yang tertera di list.</t>
  </si>
  <si>
    <t>Table1.1. Directorate List:
(Following July 2025 organizational structure)</t>
  </si>
  <si>
    <t>Table1.2. Department List:
(Following to July 2025 organizational structure)</t>
  </si>
  <si>
    <t>Directorate/ Division</t>
  </si>
  <si>
    <t>Business Unit (BU)</t>
  </si>
  <si>
    <t>Service Unit (SU)</t>
  </si>
  <si>
    <t>Electrical</t>
  </si>
  <si>
    <t>Mechanical</t>
  </si>
  <si>
    <t xml:space="preserve">HRGA </t>
  </si>
  <si>
    <t>IT Infrastructure</t>
  </si>
  <si>
    <t>Untuk menentukan apakah barang termasuk kategori aset, mohon melakukan pengecekan di kuesioner berikut:</t>
  </si>
  <si>
    <t>Asset determination</t>
  </si>
  <si>
    <r>
      <t xml:space="preserve">Harap isi masing-masing bagian sesuai urutan dibawah dan harap mengisi kolom yang berwarna </t>
    </r>
    <r>
      <rPr>
        <b/>
        <sz val="11"/>
        <color theme="1"/>
        <rFont val="Aptos Narrow"/>
        <family val="2"/>
      </rPr>
      <t>putih</t>
    </r>
    <r>
      <rPr>
        <sz val="11"/>
        <color theme="1"/>
        <rFont val="Aptos Narrow"/>
        <family val="2"/>
      </rPr>
      <t>.</t>
    </r>
  </si>
  <si>
    <t>Deskripsi</t>
  </si>
  <si>
    <t>Penjelasan</t>
  </si>
  <si>
    <t>Nomor Profit Center / Cost Center dalam system SAP:
- BU : Mohon diisi cost center sesuai dengan budget capex BU terkait.
- SU : Mohon diisi cost center sesuai dengan budget capex SU terkait.
- HO :  Mohon diisi cost center sesuai dengan budget capex HO terkait.</t>
  </si>
  <si>
    <t>Nomor akun di system SAP.
- Mohon diisi sesuai dengan tipe aset atas budget yang diajukan.
- Penjelasan Ledger untuk Capex &amp; Project silahkan lihat di Table 2.1</t>
  </si>
  <si>
    <t xml:space="preserve">Diisi dengan detail aktivitas untuk project yang dibudgetkan. Didetailkan perlines 
 Contoh:
</t>
  </si>
  <si>
    <t>- Column 1</t>
  </si>
  <si>
    <t>Berdasarkan tanggal PO creation (saat budget digunakan)</t>
  </si>
  <si>
    <t>- Column 2</t>
  </si>
  <si>
    <t>Berdasarkan tanggal GRN (estimasi barang diterima)</t>
  </si>
  <si>
    <t>Berdasarkan tanggal Invoice (estimasi invoice diterima)</t>
  </si>
  <si>
    <t>Level prioritas budget:
  - 1 High priority, diisi untuk aktivitas dan biaya yg sudah berulang dan memiliki risiko tinggi bila tidak dilakukan. 
  - 2 Medium priority, diisi untuk aktivitas dan biaya yg diprediksi kemungkinan besar akan terjadi di tahun anggaran tersebut
  - 3 Low priority, diisi dengan aktivitas dan biaya cadangan</t>
  </si>
  <si>
    <t>Diisi informasi mata uang digunakan USD/IDR/JPY/EUR/CNY</t>
  </si>
  <si>
    <t>Diisi dokumen pendukung sumber harga yang digunakan</t>
  </si>
  <si>
    <r>
      <t xml:space="preserve">Estimation Start Date </t>
    </r>
    <r>
      <rPr>
        <b/>
        <i/>
        <sz val="11"/>
        <color rgb="FFFF0000"/>
        <rFont val="Aptos Narrow"/>
        <family val="2"/>
      </rPr>
      <t>(Hanya untuk project)</t>
    </r>
  </si>
  <si>
    <r>
      <t xml:space="preserve">Estimation Finish Date </t>
    </r>
    <r>
      <rPr>
        <b/>
        <i/>
        <sz val="11"/>
        <color rgb="FFFF0000"/>
        <rFont val="Aptos Narrow"/>
        <family val="2"/>
      </rPr>
      <t>(Hanya untuk project)</t>
    </r>
  </si>
  <si>
    <t>Why this budget required? (Justification)</t>
  </si>
  <si>
    <t>Justifikasi atas budget yang diajukan, mengapa membutuhkan budget ini</t>
  </si>
  <si>
    <t>Gunakan jika membeli:</t>
  </si>
  <si>
    <t>Tanah atau hak guna atas tanah untuk dipakai perusahaan (bukan sewa jangka pendek).</t>
  </si>
  <si>
    <t>Gedung/bangunan milik perusahaan (kantor, pabrik, mess) untuk kegiatan produksi atau operasional. Contoh: pembelian gedung dengan nilai &gt; USD 10.000 / IDR 150.000.000.</t>
  </si>
  <si>
    <t>Mesin/peralatan utama untuk kegiatan produksi yang siap dipakai. Contoh: mesin produksi dengan nilai &gt; USD 10.000 / IDR 150.000.000.</t>
  </si>
  <si>
    <t>Peralatan pendukung produksi seperti roll, bearing, dll. Digunakan langsung dan bernilai &gt; USD 10.000 / IDR 150.000.000.</t>
  </si>
  <si>
    <t>Alat berat seperti forklift atau loader yang digunakan untuk produksi atau operasional. Nilai &gt; USD 10.000 / IDR 150.000.000.</t>
  </si>
  <si>
    <t xml:space="preserve">	Kendaraan operasional seperti mobil kantor, truk, atau mobil inventaris. Nilai &gt; USD 10.000 / IDR 150.000.000.</t>
  </si>
  <si>
    <t>Meja, kursi, atau perabot kantor/mess lainnya yang masa pakainya &gt; 1 tahun. Nilai minimal USD 175 / IDR 2.500.000.</t>
  </si>
  <si>
    <t xml:space="preserve">	Peralatan kantor seperti laptop, komputer, printer. Nilai minimal USD 525 / IDR 7.500.000.</t>
  </si>
  <si>
    <t>Renovasi atau pengembangan atas gedung/tanah sewaan yang dibayar sendiri oleh perusahaan.</t>
  </si>
  <si>
    <t>Pembelian lisensi software permanen (bukan langganan tahunan). Nilai &gt; USD 10.000 / IDR 150.000.000.</t>
  </si>
  <si>
    <t>PROJECT (Gunakan jika aset masih dalam proses pengerjaan/tidak langsung pakai)</t>
  </si>
  <si>
    <t>Proyek pembangunan gedung/mess/kantor yang belum selesai. Setelah 100% selesai akan dipindahkan ke akun Building &amp; Structure. nilai &gt; USD 10.000 / IDR 150.000.000.</t>
  </si>
  <si>
    <t xml:space="preserve">	Mesin masih dalam proses instalasi atau belum siap digunakan. Nanti akan dipindahkan ke Machinery &amp; Equipment. nilai &gt; USD 10.000 / IDR 150.000.000.</t>
  </si>
  <si>
    <t>Peralatan penunjang produksi yang sedang dalam tahap instalasi/pembangunan. nilai &gt; USD 10.000 / IDR 150.000.000.</t>
  </si>
  <si>
    <t>Alat berat sedang dalam proses pemasangan atau modifikasi. nilai &gt; USD 10.000 / IDR 150.000.000.</t>
  </si>
  <si>
    <t>Renovasi lokasi sewa (oleh perusahaan) yang masih dalam proses pengerjaan.</t>
  </si>
  <si>
    <t xml:space="preserve">	Pengembangan software/internal tools yang belum selesai. Akan dikapitalisasi ke Intangible Asset setelah selesai. nilai &gt; USD 10.000 / IDR 150.000.000.</t>
  </si>
  <si>
    <t>Masukkan kode aktivitas (Internal Order) yang sudah terdaftar. Lihat daftar lengkapnya di sheet Activity Master. Jika membuat aktivitas baru atau menghapus, update juga di sheet tersebut. Harus valid agar pengeluaran bisa tercatat.</t>
  </si>
  <si>
    <t>Jelaskan aktivitasnya secara spesifik. Jika aktivitas sudah ada, cek deskripsi di sheet Activity Master. Untuk aktivitas baru, sertakan penjelasan singkat di sheet Opex.</t>
  </si>
  <si>
    <t>Jumlah anggaran per ledger yang disetujui di tahun 2025.
- Tidak perlu diisi
- Disajikan dalam mata uang IDR
  (asumsi 1 USD = Rp16.500)</t>
  </si>
  <si>
    <t>Actual Realisation 
(Jan-Jul 2025)</t>
  </si>
  <si>
    <t>Aktual biaya Januari - Juli 2025.
- Tidak perlu diisi
- Disajikan dalam mata uang IDR</t>
  </si>
  <si>
    <t>Perkiraan anggaran tahun 2026 per bulan. 
- Dalam IDR, gunakan asumsi 1 USD = Rp16.500. 
- Isi nilai DPP (tanpa PPN). 
- Harus dirinci berdasarkan aktivitas.</t>
  </si>
  <si>
    <t>Diisi jika ada PO tahun 2025 yang belum terealisasi dan akan berjalan di 2026.</t>
  </si>
  <si>
    <r>
      <t xml:space="preserve">	Prioritas aktivitas:
</t>
    </r>
    <r>
      <rPr>
        <b/>
        <sz val="11"/>
        <color theme="1"/>
        <rFont val="Aptos Narrow"/>
        <family val="2"/>
      </rPr>
      <t>Essentials</t>
    </r>
    <r>
      <rPr>
        <sz val="11"/>
        <color theme="1"/>
        <rFont val="Aptos Narrow"/>
        <family val="2"/>
      </rPr>
      <t xml:space="preserve"> = Wajib dan penting. Contoh: operasional utama.
</t>
    </r>
    <r>
      <rPr>
        <b/>
        <sz val="11"/>
        <color theme="1"/>
        <rFont val="Aptos Narrow"/>
        <family val="2"/>
      </rPr>
      <t xml:space="preserve">Moderate </t>
    </r>
    <r>
      <rPr>
        <sz val="11"/>
        <color theme="1"/>
        <rFont val="Aptos Narrow"/>
        <family val="2"/>
      </rPr>
      <t xml:space="preserve">= Tidak wajib, tapi mendukung bisnis. Contoh: konsultan untuk research yang tidak diwajibkan regulasi.
</t>
    </r>
    <r>
      <rPr>
        <b/>
        <sz val="11"/>
        <color theme="1"/>
        <rFont val="Aptos Narrow"/>
        <family val="2"/>
      </rPr>
      <t xml:space="preserve">Not Essentials </t>
    </r>
    <r>
      <rPr>
        <sz val="11"/>
        <color theme="1"/>
        <rFont val="Aptos Narrow"/>
        <family val="2"/>
      </rPr>
      <t>= Tidak wajib. Contoh: sewa alat event.</t>
    </r>
  </si>
  <si>
    <r>
      <t xml:space="preserve">	Jenis pengeluaran:
</t>
    </r>
    <r>
      <rPr>
        <b/>
        <sz val="11"/>
        <color theme="1"/>
        <rFont val="Aptos Narrow"/>
        <family val="2"/>
      </rPr>
      <t xml:space="preserve">Monthly Recurring </t>
    </r>
    <r>
      <rPr>
        <sz val="11"/>
        <color theme="1"/>
        <rFont val="Aptos Narrow"/>
        <family val="2"/>
      </rPr>
      <t xml:space="preserve">= Tiap bulan (contoh: sewa mobil, subscription).
</t>
    </r>
    <r>
      <rPr>
        <b/>
        <sz val="11"/>
        <color theme="1"/>
        <rFont val="Aptos Narrow"/>
        <family val="2"/>
      </rPr>
      <t xml:space="preserve">Periodically Recurring </t>
    </r>
    <r>
      <rPr>
        <sz val="11"/>
        <color theme="1"/>
        <rFont val="Aptos Narrow"/>
        <family val="2"/>
      </rPr>
      <t xml:space="preserve">= Tiap kuartal/tahun (contoh: audit).
</t>
    </r>
    <r>
      <rPr>
        <b/>
        <sz val="11"/>
        <color theme="1"/>
        <rFont val="Aptos Narrow"/>
        <family val="2"/>
      </rPr>
      <t>One Off</t>
    </r>
    <r>
      <rPr>
        <sz val="11"/>
        <color theme="1"/>
        <rFont val="Aptos Narrow"/>
        <family val="2"/>
      </rPr>
      <t xml:space="preserve"> = Sekali saja (contoh: proyek konsultan khusus).
</t>
    </r>
    <r>
      <rPr>
        <b/>
        <sz val="11"/>
        <color theme="1"/>
        <rFont val="Aptos Narrow"/>
        <family val="2"/>
      </rPr>
      <t>Conditional</t>
    </r>
    <r>
      <rPr>
        <sz val="11"/>
        <color theme="1"/>
        <rFont val="Aptos Narrow"/>
        <family val="2"/>
      </rPr>
      <t xml:space="preserve"> = Mungkin ada tiap tahun, tapi tidak tetap (contoh: notaris).</t>
    </r>
  </si>
  <si>
    <t xml:space="preserve">	Isi nama vendor jika memakai jasa pihak ketiga.</t>
  </si>
  <si>
    <t>Masukkan asumsi jumlah unit atau durasi. 
Contoh: 12 
Karena 12 bulan sewa.</t>
  </si>
  <si>
    <t>Harga per unit dari kontrak. 
Contoh: Rp79.750.000 per bulan.</t>
  </si>
  <si>
    <t>Jika nilai kontrak dalam bentuk total, tulis di sini. 
Contoh: Rp957 juta dibayar per 3 bulan.</t>
  </si>
  <si>
    <t>Justification of the budget</t>
  </si>
  <si>
    <t xml:space="preserve">	Jelaskan dasar perhitungan anggaran. 
Contoh: Sewa Rp200 juta/bulan, ditagih per kuartal untuk masa 3 bulan.</t>
  </si>
  <si>
    <t>Terdapat 3 bagian pada sheet ini.</t>
  </si>
  <si>
    <t>[1]</t>
  </si>
  <si>
    <t>[2]</t>
  </si>
  <si>
    <t>[3]</t>
  </si>
  <si>
    <t>Bagian 3. Proposed Close existing Activity 2026</t>
  </si>
  <si>
    <t>Jika ada aktivitas yang sudah tidak digunakan, maka mohon mengisi kolom ini beserta alasannya.</t>
  </si>
  <si>
    <r>
      <t>Diisi 11 digit. Formatnya</t>
    </r>
    <r>
      <rPr>
        <b/>
        <sz val="11"/>
        <color theme="1"/>
        <rFont val="Aptos Narrow"/>
        <family val="2"/>
      </rPr>
      <t>: XXXXX-YYYYY</t>
    </r>
    <r>
      <rPr>
        <sz val="11"/>
        <color theme="1"/>
        <rFont val="Aptos Narrow"/>
        <family val="2"/>
      </rPr>
      <t xml:space="preserve">
- </t>
    </r>
    <r>
      <rPr>
        <b/>
        <sz val="11"/>
        <color theme="1"/>
        <rFont val="Aptos Narrow"/>
        <family val="2"/>
      </rPr>
      <t>XXXXX</t>
    </r>
    <r>
      <rPr>
        <sz val="11"/>
        <color theme="1"/>
        <rFont val="Aptos Narrow"/>
        <family val="2"/>
      </rPr>
      <t xml:space="preserve"> = ambil 5 digit terakhir dari Cost Center (contoh:</t>
    </r>
    <r>
      <rPr>
        <b/>
        <sz val="11"/>
        <color theme="1"/>
        <rFont val="Aptos Narrow"/>
        <family val="2"/>
      </rPr>
      <t xml:space="preserve"> HR001</t>
    </r>
    <r>
      <rPr>
        <sz val="11"/>
        <color theme="1"/>
        <rFont val="Aptos Narrow"/>
        <family val="2"/>
      </rPr>
      <t xml:space="preserve">)
- </t>
    </r>
    <r>
      <rPr>
        <b/>
        <sz val="11"/>
        <color theme="1"/>
        <rFont val="Aptos Narrow"/>
        <family val="2"/>
      </rPr>
      <t>YYYYY</t>
    </r>
    <r>
      <rPr>
        <sz val="11"/>
        <color theme="1"/>
        <rFont val="Aptos Narrow"/>
        <family val="2"/>
      </rPr>
      <t xml:space="preserve"> = nomor urut dari aktivitas. Kalau baru, isi </t>
    </r>
    <r>
      <rPr>
        <b/>
        <sz val="11"/>
        <color theme="1"/>
        <rFont val="Aptos Narrow"/>
        <family val="2"/>
      </rPr>
      <t>00072</t>
    </r>
    <r>
      <rPr>
        <sz val="11"/>
        <color theme="1"/>
        <rFont val="Aptos Narrow"/>
        <family val="2"/>
      </rPr>
      <t xml:space="preserve"> misalnya.
</t>
    </r>
    <r>
      <rPr>
        <b/>
        <sz val="11"/>
        <color theme="1"/>
        <rFont val="Aptos Narrow"/>
        <family val="2"/>
      </rPr>
      <t>Contoh Lengkap</t>
    </r>
    <r>
      <rPr>
        <sz val="11"/>
        <color theme="1"/>
        <rFont val="Aptos Narrow"/>
        <family val="2"/>
      </rPr>
      <t xml:space="preserve">: Jika </t>
    </r>
    <r>
      <rPr>
        <b/>
        <sz val="11"/>
        <color theme="1"/>
        <rFont val="Aptos Narrow"/>
        <family val="2"/>
      </rPr>
      <t xml:space="preserve">cost center anda 10301HR001 </t>
    </r>
    <r>
      <rPr>
        <sz val="11"/>
        <color theme="1"/>
        <rFont val="Aptos Narrow"/>
        <family val="2"/>
      </rPr>
      <t>dan kamu buat aktivitas baru, maka kode activity jadi</t>
    </r>
    <r>
      <rPr>
        <b/>
        <sz val="11"/>
        <color theme="1"/>
        <rFont val="Aptos Narrow"/>
        <family val="2"/>
      </rPr>
      <t xml:space="preserve"> HR001-00072</t>
    </r>
  </si>
  <si>
    <r>
      <t xml:space="preserve">Nama singkat aktivitas (maks. 40 karakter). </t>
    </r>
    <r>
      <rPr>
        <b/>
        <sz val="11"/>
        <color theme="1"/>
        <rFont val="Aptos Narrow"/>
        <family val="2"/>
      </rPr>
      <t>Contoh</t>
    </r>
    <r>
      <rPr>
        <sz val="11"/>
        <color theme="1"/>
        <rFont val="Aptos Narrow"/>
        <family val="2"/>
      </rPr>
      <t>: Rental Fortuner BoD</t>
    </r>
  </si>
  <si>
    <r>
      <t xml:space="preserve">Pilih kode akun ledger SAP yang sesuai dengan jenis aktivitas (misalnya untuk biaya sewa, pelatihan, dll). 
Lihat </t>
    </r>
    <r>
      <rPr>
        <sz val="11"/>
        <rFont val="Aptos Narrow"/>
        <family val="2"/>
      </rPr>
      <t>daftarnya di "</t>
    </r>
    <r>
      <rPr>
        <b/>
        <sz val="11"/>
        <rFont val="Aptos Narrow"/>
        <family val="2"/>
      </rPr>
      <t>Table 3.1 List Ledger COGM</t>
    </r>
    <r>
      <rPr>
        <sz val="11"/>
        <rFont val="Aptos Narrow"/>
        <family val="2"/>
      </rPr>
      <t>" &amp; "</t>
    </r>
    <r>
      <rPr>
        <b/>
        <sz val="11"/>
        <rFont val="Aptos Narrow"/>
        <family val="2"/>
      </rPr>
      <t>Table 3.2 List Ledger OPEX</t>
    </r>
    <r>
      <rPr>
        <sz val="11"/>
        <rFont val="Aptos Narrow"/>
        <family val="2"/>
      </rPr>
      <t>".</t>
    </r>
  </si>
  <si>
    <t>Jelaskan aktivitasnya lebih detail, misalnya:
Activity: Rental - Fortuner
Remarks: Monthly rental car for BoD, sesuai kontrak kerja</t>
  </si>
  <si>
    <t xml:space="preserve">Table 3.1. List Ledger COGM </t>
  </si>
  <si>
    <t>G/L Account Number</t>
  </si>
  <si>
    <t>G/L Account Description</t>
  </si>
  <si>
    <t>Definisi</t>
  </si>
  <si>
    <t>GL Grouping</t>
  </si>
  <si>
    <t>Cost owner</t>
  </si>
  <si>
    <t>Consumable Material Used</t>
  </si>
  <si>
    <t>Bahan pendukung atau habis pakai yang digunakan dalam operasional</t>
  </si>
  <si>
    <t>Each department</t>
  </si>
  <si>
    <t>Gaji pokok untuk karyawan - Produksi</t>
  </si>
  <si>
    <t>Biaya lembur - Produksi</t>
  </si>
  <si>
    <t>Tunjangan hari raya (THR) - Produksi</t>
  </si>
  <si>
    <t>Tunjangan tambahan seperti transport, makan - Produksi</t>
  </si>
  <si>
    <t>Iuran BPJS atau jaminan sosial lainnya - Produksi</t>
  </si>
  <si>
    <t>DL Contract Employee</t>
  </si>
  <si>
    <t>Gaji untuk karyawan kontrak - Produksi</t>
  </si>
  <si>
    <t>Bonus insentif karena pencapaian target atau performa - Produksi</t>
  </si>
  <si>
    <t>Pajak penghasilan karyawan (PPh21) - Produksi</t>
  </si>
  <si>
    <t>Bonus tahunan atau tambahan - Produksi</t>
  </si>
  <si>
    <t>Pesangon atau uang pisah saat karyawan keluar - Produksi</t>
  </si>
  <si>
    <t>DL Emp Insurance</t>
  </si>
  <si>
    <t>Asuransi kesehatan atau asuransi lainnya - Produksi</t>
  </si>
  <si>
    <t>DL Meal Allowances</t>
  </si>
  <si>
    <t>Tunjangan tambahan seperti biaya makan - Produksi</t>
  </si>
  <si>
    <t>Biaya lainnya yang tidak termasuk kategori khusus - Produksi</t>
  </si>
  <si>
    <t>Provision for Employee Benefits &amp; Severence Pay</t>
  </si>
  <si>
    <t>Biaya provisi atas employee benefit</t>
  </si>
  <si>
    <t>Sub Contractor Expenses</t>
  </si>
  <si>
    <t>Biaya subcontractor dan fabrikasi menggunakan pihak ketiga</t>
  </si>
  <si>
    <t>Biaya packing menggunakan pihak ketiga</t>
  </si>
  <si>
    <t>Other Third Parties Services</t>
  </si>
  <si>
    <t>Biaya jasa kalibrasi menggunakan pihak ketiga</t>
  </si>
  <si>
    <t>Biaya listrik dari PLN</t>
  </si>
  <si>
    <t xml:space="preserve">Biaya air bersih </t>
  </si>
  <si>
    <t>Utilities - Oxigent (O2)</t>
  </si>
  <si>
    <t xml:space="preserve">Biaya Oxigen </t>
  </si>
  <si>
    <t>Biaya gas industri dari PGN</t>
  </si>
  <si>
    <t>RM Exp - Buildings Services</t>
  </si>
  <si>
    <t>Biaya perbaikan dan pemeliharaan aset gedung</t>
  </si>
  <si>
    <t>Biaya perbaikan dan pemeliharaan aset mesin</t>
  </si>
  <si>
    <t>Biaya perbaikan dan pemeliharaan aset alat berat</t>
  </si>
  <si>
    <t>Biaya perbaikan dan pemeliharaan aset kendaraan</t>
  </si>
  <si>
    <t>Biaya perbaikan dan pemeliharaan aset furniture kantor</t>
  </si>
  <si>
    <t>Biaya perbaikan dan pemeliharaan aset alat kerja</t>
  </si>
  <si>
    <t>Biaya perbaikan dan pemeliharaan  WTP</t>
  </si>
  <si>
    <t>Biaya pengujian atau pemeriksaan di lab baja</t>
  </si>
  <si>
    <t>Biaya import berkaitan dengan freight</t>
  </si>
  <si>
    <t>Biaya import tekait bea cukai</t>
  </si>
  <si>
    <t>Biaya import berkaitan dengan LC</t>
  </si>
  <si>
    <t>Biaya import berkaitan dengan asuransi</t>
  </si>
  <si>
    <t>Biaya import lainnya yang tidak termasuk kategori khusus</t>
  </si>
  <si>
    <t>TE - Seminar &amp; Training</t>
  </si>
  <si>
    <t>Biaya pelatihan atau seminar</t>
  </si>
  <si>
    <t>Biaya premi asuransi gedung</t>
  </si>
  <si>
    <t>Biaya premi asuransi mesin</t>
  </si>
  <si>
    <t>Biaya premi asuransi kendaraan</t>
  </si>
  <si>
    <t>Biaya premi asuransi product liability</t>
  </si>
  <si>
    <t>Biaya premi asuransi employee (diluar salary)</t>
  </si>
  <si>
    <t>Biaya premi asuransi lainnya yang berkaitan dengan produksi</t>
  </si>
  <si>
    <t>Biaya sewa warehouse</t>
  </si>
  <si>
    <t>Biaya sewa kendaraan</t>
  </si>
  <si>
    <t>Biaya sewa tanah</t>
  </si>
  <si>
    <t>Biaya sewa gedung atau kantor</t>
  </si>
  <si>
    <t>Biaya sewa mesin</t>
  </si>
  <si>
    <t>Biaya sewa lainnya</t>
  </si>
  <si>
    <t>Tagihan internet dan telepon</t>
  </si>
  <si>
    <t>Biaya kirim dokumen atau barang</t>
  </si>
  <si>
    <t>Biaya materai</t>
  </si>
  <si>
    <t>Biaya pos/telekomunikasi lainnya yang tidak termasuk kategori khusus</t>
  </si>
  <si>
    <t>Biaya jasa hukum</t>
  </si>
  <si>
    <t>Biaya jasa konsultan pajak khusu produksi</t>
  </si>
  <si>
    <t>Biaya jasa audit eksternal</t>
  </si>
  <si>
    <t>Biaya jasa surveyor, biasanya untuk surveyor scrap</t>
  </si>
  <si>
    <t>Biaya jasa operasional lainnya</t>
  </si>
  <si>
    <t>Biaya pajak atas IMB</t>
  </si>
  <si>
    <t>Biaya pajak dan perijinan lainnya yang tidak masuk kategori khusus.</t>
  </si>
  <si>
    <t>Biaya keperluan rapat dinas, konferensi dan lain-lain yang berkaitan langsung dengan produksi.</t>
  </si>
  <si>
    <t>Biaya pengadaaan acara khusus perusahaan yang berkaitan langsung dengan produks. Contohnya pengesahan plant.</t>
  </si>
  <si>
    <t>Biaya transportasi yang tidak masuk kategori spesifik misalnya:Transport pickup alat produksi</t>
  </si>
  <si>
    <t>Biaya transportasi lainnya yang tidak termasuk kategori khusus</t>
  </si>
  <si>
    <t>Biaya pengiriman barang secara lokal</t>
  </si>
  <si>
    <t>Biaya pengangkutan atau pembuangan limbah</t>
  </si>
  <si>
    <t>Pembelian alat yang berkaitan dengan produksi</t>
  </si>
  <si>
    <t>Pembelian alat kantor di area produksi</t>
  </si>
  <si>
    <t>Biaya iuran keanggotaan yang berkaitan langsung dengan produksi</t>
  </si>
  <si>
    <t>Biaya berlangganan website atau sistem yang berkaitan langsung dengan produksi</t>
  </si>
  <si>
    <t>Biaya saparepart yang digunakan untuk produksi maupun repair &amp; maintenance di area produksi</t>
  </si>
  <si>
    <t>Table 3.2. List Ledger OPEX</t>
  </si>
  <si>
    <t>Gaji pokok untuk karyawan - Head Office</t>
  </si>
  <si>
    <t>Biaya lembur - Head Office</t>
  </si>
  <si>
    <t>Tunjangan hari raya (THR) - Head Office</t>
  </si>
  <si>
    <t>Tunjangan tambahan seperti transport, makan - Head Office</t>
  </si>
  <si>
    <t>Iuran BPJS atau jaminan sosial lainnya - Head Office</t>
  </si>
  <si>
    <t>Gaji untuk karyawan kontrak - Head Office</t>
  </si>
  <si>
    <t>Bonus insentif karena pencapaian target atau performa - Head Office</t>
  </si>
  <si>
    <t>Pajak penghasilan karyawan - Head Office</t>
  </si>
  <si>
    <t>Bonus tahunan atau tambahan - Head Office</t>
  </si>
  <si>
    <t>Pesangon atau uang pisah saat karyawan keluar - Head Office</t>
  </si>
  <si>
    <t>Asuransi kesehatan atau asuransi lainnya - Head Office</t>
  </si>
  <si>
    <t>IDL Meal Allowances</t>
  </si>
  <si>
    <t>Biaya karyawan lainnya yang tidak termasuk kategori khusus - Head Office</t>
  </si>
  <si>
    <t>Biaya listrik dari PLN - Head Office</t>
  </si>
  <si>
    <t>Biaya air bersih dari PDAM - Head Office</t>
  </si>
  <si>
    <t>Biaya Oxygen - Head Office (internal consumption, berkaitan dengan project)</t>
  </si>
  <si>
    <t>Biaya perbaikan dan pemeliharaan LVA</t>
  </si>
  <si>
    <t>Corporate Planning</t>
  </si>
  <si>
    <t>Biaya frieght atas transaksi export</t>
  </si>
  <si>
    <t>Custom&amp;logistic</t>
  </si>
  <si>
    <t>Biaya antar atas transaksi export</t>
  </si>
  <si>
    <t>Biaya sertifikasi atas transaksi export</t>
  </si>
  <si>
    <t>Biaya bea cukai atas transaksi export</t>
  </si>
  <si>
    <t>Biaya layanan bank atas transaksi export</t>
  </si>
  <si>
    <t>Biaya asuransi atas transaksi export</t>
  </si>
  <si>
    <t>Biaya handling atas transaksi export</t>
  </si>
  <si>
    <t>Biaya penalti atas transaksi export</t>
  </si>
  <si>
    <t>Biaya lainnya yang tidak masuk kategori khusus atas transaksi export</t>
  </si>
  <si>
    <t>Biaya frieght atas transaksi import</t>
  </si>
  <si>
    <t>Biaya antar atas transaksi import</t>
  </si>
  <si>
    <t>Biaya sertifikasi atas transaksi import</t>
  </si>
  <si>
    <t>Biaya bea cukai atas transaksi import</t>
  </si>
  <si>
    <t>Biaya layanan bank atas transaksi import</t>
  </si>
  <si>
    <t>Biaya asuransi atas transaksi import</t>
  </si>
  <si>
    <t>Biaya handling atas transaksi import</t>
  </si>
  <si>
    <t>Biaya penalti atas transaksi import</t>
  </si>
  <si>
    <t>Biaya lainnya yang tidak masuk kategori khusus atas transaksi import</t>
  </si>
  <si>
    <t>Biaya promosi, iklan, branding</t>
  </si>
  <si>
    <t>Sales/Corporate communication</t>
  </si>
  <si>
    <t>Hadiah atau cendera mata promosi</t>
  </si>
  <si>
    <t>Biaya sponsorship event/pameran</t>
  </si>
  <si>
    <t>Ins. Exp. - Insurance of Property All Risk</t>
  </si>
  <si>
    <t>Premi asuransi untuk menanggung kerusakan atau kerugian atas aset fisik
(misalnya: bangunan, mesin, persediaan)</t>
  </si>
  <si>
    <t>Premi asuransi untuk menanggung kendaraan milik perusahaan</t>
  </si>
  <si>
    <t>Premi asuransi untuk melindungi perusahaan dari klaim hukum atau keuangan</t>
  </si>
  <si>
    <t>Ins. Exp. - Insurance of Director and Officer Liab</t>
  </si>
  <si>
    <t>Premi asuransi untuk melindungi direksi dan pejabat perusahaan</t>
  </si>
  <si>
    <t>Ins. Exp. - Insurance of Employee</t>
  </si>
  <si>
    <t>Premi asuransi untuk memenuhi kebutuhan asuransi pribadi karyawan</t>
  </si>
  <si>
    <t>GA/SCM</t>
  </si>
  <si>
    <t>RE - Rental Office Equipment</t>
  </si>
  <si>
    <t>Biaya lainnya yang tidak termasuk kategori khusus</t>
  </si>
  <si>
    <t xml:space="preserve">Biaya jasa konsultan pajak </t>
  </si>
  <si>
    <t>Biaya surveyor scrap, untuk menghitung persediaan scrap</t>
  </si>
  <si>
    <t>Biaya jasa profesional lainnya yang tidak masuk kategori</t>
  </si>
  <si>
    <t>Biasa sample potongan finished goods untuk customer</t>
  </si>
  <si>
    <t>Biaya donasi dan kontribusi sosial untuk masyarakat sekitar</t>
  </si>
  <si>
    <t>Biaya entertainment lainnya yang tidak termasuk kategori khusus</t>
  </si>
  <si>
    <t>Biaya lainnya yang tidak termasuk kategori khusus seperti biaya langsir antar gudang atau biaya transportasi kegiatan operasional</t>
  </si>
  <si>
    <t>Biaya untuk kebutuhan rumah tangga di perusahaan yang langsung habis. Contoh: cleaning supplies, perabot ringan, alat dapur</t>
  </si>
  <si>
    <t>Pembelian alat kantor atau pabrik</t>
  </si>
  <si>
    <t>Pembelian alat atau equipment untuk kebutuhan KantorContoh: Kalkulator, AC, dispenser, kulkas, tools kit dll</t>
  </si>
  <si>
    <t>Biaya komisi untuk agen, mitra atau sales</t>
  </si>
  <si>
    <t>Biaya layanan bank seperti transfer, kliring</t>
  </si>
  <si>
    <t>PF - Royalty Fee</t>
  </si>
  <si>
    <t>Biaya atas royalty fee yang dibayarkan ke shareholders</t>
  </si>
  <si>
    <t>The annual budget worksheet (master budget template) is structured based on the organizational structure as of July 2025 and the relevant cost centers.</t>
  </si>
  <si>
    <t>The basis for preparing the annual budget (Master Budget) may consider:</t>
  </si>
  <si>
    <t>Planned activities to be carried out in 2026</t>
  </si>
  <si>
    <t>Outstanding Purchase Orders from 2025 to be realized in 2026 (open POs until year-end)</t>
  </si>
  <si>
    <t>The period in which the expense will be used in 2026 (PO, GRN, Invoice)</t>
  </si>
  <si>
    <t>2025 annual budget</t>
  </si>
  <si>
    <t>Budget realization (actual cost) during 2025</t>
  </si>
  <si>
    <t>Please do not delete or add rows/columns in the annual budget worksheet (master budget template)</t>
  </si>
  <si>
    <t>Each department must assign a budget PIC (other than the manager) to facilitate updates regarding regulation/policy changes.</t>
  </si>
  <si>
    <t>The annual budget worksheet must be acknowledged and approved by the Department Head (Manager/General Manager) and Division Head/Directorate (HoX) before submission.</t>
  </si>
  <si>
    <t>Detailed Instructions</t>
  </si>
  <si>
    <t>There are 4 sections in the budget worksheet:</t>
  </si>
  <si>
    <t>- CAPEX DETAIL</t>
  </si>
  <si>
    <t>- OPEX DETAIL</t>
  </si>
  <si>
    <t>- ACTIVITY MASTER OPEX</t>
  </si>
  <si>
    <t>For adding new expenses/activities, please fill in a new row, and select the appropriate Activity Master based on the activity type.</t>
  </si>
  <si>
    <t>For removing existing expenses/activities, please fill in the proposal table for closing/deleting activities.</t>
  </si>
  <si>
    <t>Please fill each section according to the order below.</t>
  </si>
  <si>
    <t>Fill in the budget planning year</t>
  </si>
  <si>
    <t>Fill in with:
- HO for Head Office departments
- BU for Business Unit departments
- SU for Support Unit departments</t>
  </si>
  <si>
    <t>Fill according to the Directorate listed.</t>
  </si>
  <si>
    <t>Fill according to the Department listed.</t>
  </si>
  <si>
    <t>Prepare the approval based on DAL .</t>
  </si>
  <si>
    <t>To determine whether the transaction falls under asset category, please check the questionnaire below:</t>
  </si>
  <si>
    <t>To be filled if the related department/division has a capex/project budget for this period.</t>
  </si>
  <si>
    <r>
      <t xml:space="preserve">Please complete each section in the order below and </t>
    </r>
    <r>
      <rPr>
        <b/>
        <sz val="11"/>
        <color theme="1"/>
        <rFont val="Aptos Narrow"/>
        <family val="2"/>
      </rPr>
      <t>fill in the white-colored columns only</t>
    </r>
    <r>
      <rPr>
        <sz val="11"/>
        <color theme="1"/>
        <rFont val="Aptos Narrow"/>
        <family val="2"/>
      </rPr>
      <t>.</t>
    </r>
  </si>
  <si>
    <t>Profit Center / Cost Center number in the SAP system:
- BU: Please fill in the cost center according to the relevant BU capex budget.
- SU: Please fill in the cost center according to the relevant SU capex budget.
- HO: Please fill in the cost center according to the relevant HO capex budget.</t>
  </si>
  <si>
    <t>SAP account number.
- Please fill it in according to the type of asset or budget being proposed.
- Ledger explanation for Capex &amp; Project can be referred to in Table 2.1.</t>
  </si>
  <si>
    <t>Fill in with the description of the type of capex/project being proposed.
Examples:
- Beautification of Factory
- Laptop
- Plant Upgrade and Modification</t>
  </si>
  <si>
    <t>Fill in with detailed activities for the proposed project. Break down per line.
Example:</t>
  </si>
  <si>
    <t>The budget amount per ledger per month needed in 2026:
- Presented in IDR currency
- The proposed amount is net of VAT (exclude VAT)
- The amount filled is based on the activity details</t>
  </si>
  <si>
    <t>Based on PO creation date (when the budget is requested)</t>
  </si>
  <si>
    <t>Based on GRN date (goods received)</t>
  </si>
  <si>
    <t>Based on Invoice date (estimated invoice receipt)</t>
  </si>
  <si>
    <t>Budget priority level:
1 - High: for urgent activities and costs with high risk if not done
2 - Medium: for predictable activities and costs likely to occur in the proposed year
3 - Low: for activities that are unlikely to occur in that year</t>
  </si>
  <si>
    <t>Basis for the value assumptions related to the proposed project/capex activity</t>
  </si>
  <si>
    <t>Original currency used (USD/IDR/JPY/EUR/CNY/etc)</t>
  </si>
  <si>
    <t>Nominal amount used in original currency</t>
  </si>
  <si>
    <t>Fill in the supporting documents used for price estimation</t>
  </si>
  <si>
    <r>
      <t xml:space="preserve">Estimation Start Date </t>
    </r>
    <r>
      <rPr>
        <b/>
        <i/>
        <sz val="11"/>
        <color rgb="FFFF0000"/>
        <rFont val="Aptos Narrow"/>
        <family val="2"/>
      </rPr>
      <t>(Project only)</t>
    </r>
  </si>
  <si>
    <r>
      <t xml:space="preserve">Estimation Finish Date </t>
    </r>
    <r>
      <rPr>
        <b/>
        <i/>
        <sz val="11"/>
        <color rgb="FFFF0000"/>
        <rFont val="Aptos Narrow"/>
        <family val="2"/>
      </rPr>
      <t>(Project only)</t>
    </r>
  </si>
  <si>
    <t>Justification for the proposed budget, why this budget/capex is needed</t>
  </si>
  <si>
    <t>Fill in the payment terms related to the proposed activity/project</t>
  </si>
  <si>
    <t>Table 2.1. List of Ledger Capex / Project</t>
  </si>
  <si>
    <t>Use if purchasing:</t>
  </si>
  <si>
    <t>Land or land rights used by the company (not short-term lease/rent).</t>
  </si>
  <si>
    <t>Company-owned buildings/structures (offices, factories, etc.) used for production or operations.
Example: purchasing a building worth &gt; USD 10,000 / IDR 150,000,000.</t>
  </si>
  <si>
    <t>Main machinery/equipment used in production activities.
Example: production machine worth &gt; USD 10,000 / IDR 150,000,000.</t>
  </si>
  <si>
    <t>Supporting equipment such as tools, bearings, drill machines, etc.,
worth &gt; USD 10,000 / IDR 150,000,000.</t>
  </si>
  <si>
    <t>Heavy equipment such as loaders used for production/operations.
Value &gt; USD 10,000 / IDR 150,000,000.</t>
  </si>
  <si>
    <t>Operational vehicles such as office cars, trucks, or inventory vehicles.
Value &gt; USD 10,000 / IDR 150,000,000.</t>
  </si>
  <si>
    <t>Tables, chairs, or other office furniture with &gt; 1 year of use.
Minimum value USD 175 / IDR 2,500,000.</t>
  </si>
  <si>
    <t>Office equipment like laptops, computers, printers.
Minimum value USD 525 / IDR 7,500,000.</t>
  </si>
  <si>
    <t>Renovation or development of rented buildings/land paid for by the company.</t>
  </si>
  <si>
    <t>Purchase of permanent software licenses (not annual subscriptions).
Value &gt; USD 10,000 / IDR 150,000,000.</t>
  </si>
  <si>
    <t>PROJECT (Use if the asset is still in progress/not yet in use)</t>
  </si>
  <si>
    <t>Construction of buildings/offices/dorms that are not yet completed.
Once 100% completed, it will be transferred to the Building &amp; Structure account.
Value &gt; USD 10,000 / IDR 150,000,000.</t>
  </si>
  <si>
    <t>Machinery still in the installation process and not yet usable.
Will be transferred to Machinery &amp; Equipment.
Value &gt; USD 10,000 / IDR 150,000,000.</t>
  </si>
  <si>
    <t>Supporting production equipment still in the installation/assembly phase.
Value &gt; USD 10,000 / IDR 150,000,000.</t>
  </si>
  <si>
    <t>Heavy equipment in the process of installation or modification.
Value &gt; USD 10,000 / IDR 150,000,000.</t>
  </si>
  <si>
    <t>Renovation of rented locations (owned by others) that is still in progress.</t>
  </si>
  <si>
    <t>Development of software/internal tools that are not yet complete.
Will be capitalized as Intangible Asset upon completion.
Value &gt; USD 10,000 / IDR 150,000,000.</t>
  </si>
  <si>
    <t>Fill in if the related department/division has operational expenses budget for this period.</t>
  </si>
  <si>
    <t>If there are outstanding Purchase Orders that have not been realized until the end of the year (not yet GRN), please add them as activities to occur in 2026.</t>
  </si>
  <si>
    <t>Please complete each section in the order below and only fill in the columns marked in white.</t>
  </si>
  <si>
    <t>Enter the activity code (Internal Order) that is already registered. See the complete list in the Activity Master sheet.
If entering a new activity or deleting/updating, please also update the sheet. Must be valid for the expense to be recorded.</t>
  </si>
  <si>
    <t>Explain the activity in detail. If the activity already exists, check its description in the Activity Master sheet.
For new activities, include a brief description in the Opex sheet.</t>
  </si>
  <si>
    <t>Total budget per ledger approved for the year 2025.
- Do not fill manually
- Presented in IDR currency (assumption: 1 USD = Rp16,500)</t>
  </si>
  <si>
    <t>Actual expenses from January to July 2025.
- Do not fill manually
- Presented in IDR currency</t>
  </si>
  <si>
    <t>Estimated monthly budget for 2026.
- Use IDR, assume 1 USD = Rp16,500
- Enter net value (excluding VAT)
- Must be detailed based on activity</t>
  </si>
  <si>
    <t>Fill in the value of 2025 POs that have not yet been realized and will run in 2026.</t>
  </si>
  <si>
    <r>
      <t xml:space="preserve">Activity priority level:
</t>
    </r>
    <r>
      <rPr>
        <b/>
        <sz val="11"/>
        <color theme="1"/>
        <rFont val="Aptos Narrow"/>
        <family val="2"/>
      </rPr>
      <t xml:space="preserve">Essentials </t>
    </r>
    <r>
      <rPr>
        <sz val="11"/>
        <color theme="1"/>
        <rFont val="Aptos Narrow"/>
        <family val="2"/>
      </rPr>
      <t xml:space="preserve">= Mandatory and important. Example: core operational.
</t>
    </r>
    <r>
      <rPr>
        <b/>
        <sz val="11"/>
        <color theme="1"/>
        <rFont val="Aptos Narrow"/>
        <family val="2"/>
      </rPr>
      <t>Moderate</t>
    </r>
    <r>
      <rPr>
        <sz val="11"/>
        <color theme="1"/>
        <rFont val="Aptos Narrow"/>
        <family val="2"/>
      </rPr>
      <t xml:space="preserve"> = Not mandatory, but supports the business. Example: consultant for regulatory-required research.
</t>
    </r>
    <r>
      <rPr>
        <b/>
        <sz val="11"/>
        <color theme="1"/>
        <rFont val="Aptos Narrow"/>
        <family val="2"/>
      </rPr>
      <t>Not Essentials</t>
    </r>
    <r>
      <rPr>
        <sz val="11"/>
        <color theme="1"/>
        <rFont val="Aptos Narrow"/>
        <family val="2"/>
      </rPr>
      <t xml:space="preserve"> = Not mandatory. Example: tool rental.</t>
    </r>
  </si>
  <si>
    <r>
      <t xml:space="preserve">Types of expenses:
</t>
    </r>
    <r>
      <rPr>
        <b/>
        <sz val="11"/>
        <color theme="1"/>
        <rFont val="Aptos Narrow"/>
        <family val="2"/>
      </rPr>
      <t xml:space="preserve">Monthly Recurring </t>
    </r>
    <r>
      <rPr>
        <sz val="11"/>
        <color theme="1"/>
        <rFont val="Aptos Narrow"/>
        <family val="2"/>
      </rPr>
      <t xml:space="preserve">= Monthly (e.g. car lease, subscription)
</t>
    </r>
    <r>
      <rPr>
        <b/>
        <sz val="11"/>
        <color theme="1"/>
        <rFont val="Aptos Narrow"/>
        <family val="2"/>
      </rPr>
      <t>Periodically Recurring</t>
    </r>
    <r>
      <rPr>
        <sz val="11"/>
        <color theme="1"/>
        <rFont val="Aptos Narrow"/>
        <family val="2"/>
      </rPr>
      <t xml:space="preserve"> = Quarterly/yearly (e.g. audit)
</t>
    </r>
    <r>
      <rPr>
        <b/>
        <sz val="11"/>
        <color theme="1"/>
        <rFont val="Aptos Narrow"/>
        <family val="2"/>
      </rPr>
      <t>One Off</t>
    </r>
    <r>
      <rPr>
        <sz val="11"/>
        <color theme="1"/>
        <rFont val="Aptos Narrow"/>
        <family val="2"/>
      </rPr>
      <t xml:space="preserve"> = One-time (e.g. construction project)
</t>
    </r>
    <r>
      <rPr>
        <b/>
        <sz val="11"/>
        <color theme="1"/>
        <rFont val="Aptos Narrow"/>
        <family val="2"/>
      </rPr>
      <t>Conditional =</t>
    </r>
    <r>
      <rPr>
        <sz val="11"/>
        <color theme="1"/>
        <rFont val="Aptos Narrow"/>
        <family val="2"/>
      </rPr>
      <t xml:space="preserve"> May occur each year but not certain (e.g. notary)</t>
    </r>
  </si>
  <si>
    <t>Fill in the name of the vendor or third-party service provider.</t>
  </si>
  <si>
    <t>Enter assumption of unit or duration.
Example: 12 (Because 12 months in a year)</t>
  </si>
  <si>
    <t>Price per unit according to the contract.
Example: Rp79,750,000 per month</t>
  </si>
  <si>
    <t>If the contract value is in original currency, enter here.
Example: Rp957 million paid for 3 months.</t>
  </si>
  <si>
    <t>Explain the budget calculation rationale.
Example: Rent Rp200 million/month, billed quarterly for 3 months.</t>
  </si>
  <si>
    <t>There are 3 sections in this sheet:</t>
  </si>
  <si>
    <t>All activities already registered as master activities for 2025.</t>
  </si>
  <si>
    <t>This section is filled with activities that have not yet been included in the master activity list.</t>
  </si>
  <si>
    <t>Please complete each part in the order below and only fill in the white-colored columns.</t>
  </si>
  <si>
    <t>Section 3. Proposed Codes from Existing Activity 2026</t>
  </si>
  <si>
    <t>This section is used if the requested activity already exists but the requesting department is different.</t>
  </si>
  <si>
    <r>
      <t>Fill in 11 digits. Format:</t>
    </r>
    <r>
      <rPr>
        <b/>
        <sz val="11"/>
        <color theme="1"/>
        <rFont val="Aptos Narrow"/>
        <family val="2"/>
      </rPr>
      <t xml:space="preserve"> XXXXX-YYYYY</t>
    </r>
    <r>
      <rPr>
        <sz val="11"/>
        <color theme="1"/>
        <rFont val="Aptos Narrow"/>
        <family val="2"/>
      </rPr>
      <t xml:space="preserve">
- </t>
    </r>
    <r>
      <rPr>
        <b/>
        <sz val="11"/>
        <color theme="1"/>
        <rFont val="Aptos Narrow"/>
        <family val="2"/>
      </rPr>
      <t>XXXXX</t>
    </r>
    <r>
      <rPr>
        <sz val="11"/>
        <color theme="1"/>
        <rFont val="Aptos Narrow"/>
        <family val="2"/>
      </rPr>
      <t xml:space="preserve"> = take the last 5 digits of the Cost Center (example: HR001)
- </t>
    </r>
    <r>
      <rPr>
        <b/>
        <sz val="11"/>
        <color theme="1"/>
        <rFont val="Aptos Narrow"/>
        <family val="2"/>
      </rPr>
      <t>YYYYY</t>
    </r>
    <r>
      <rPr>
        <sz val="11"/>
        <color theme="1"/>
        <rFont val="Aptos Narrow"/>
        <family val="2"/>
      </rPr>
      <t xml:space="preserve"> = sequence number of the activity. If new, fill in as 00072
</t>
    </r>
    <r>
      <rPr>
        <b/>
        <sz val="11"/>
        <color theme="1"/>
        <rFont val="Aptos Narrow"/>
        <family val="2"/>
      </rPr>
      <t xml:space="preserve">Complete Example:
</t>
    </r>
    <r>
      <rPr>
        <sz val="11"/>
        <color theme="1"/>
        <rFont val="Aptos Narrow"/>
        <family val="2"/>
      </rPr>
      <t xml:space="preserve">If your cost center is </t>
    </r>
    <r>
      <rPr>
        <b/>
        <sz val="11"/>
        <color theme="1"/>
        <rFont val="Aptos Narrow"/>
        <family val="2"/>
      </rPr>
      <t>10301HR001</t>
    </r>
    <r>
      <rPr>
        <sz val="11"/>
        <color theme="1"/>
        <rFont val="Aptos Narrow"/>
        <family val="2"/>
      </rPr>
      <t xml:space="preserve"> and you're creating a new activity,
then the activity code will be: </t>
    </r>
    <r>
      <rPr>
        <b/>
        <sz val="11"/>
        <color theme="1"/>
        <rFont val="Aptos Narrow"/>
        <family val="2"/>
      </rPr>
      <t>HR001-00072</t>
    </r>
  </si>
  <si>
    <r>
      <t xml:space="preserve">Short name of the activity (max. 40 characters). </t>
    </r>
    <r>
      <rPr>
        <b/>
        <sz val="11"/>
        <color theme="1"/>
        <rFont val="Aptos Narrow"/>
        <family val="2"/>
      </rPr>
      <t>Example</t>
    </r>
    <r>
      <rPr>
        <sz val="11"/>
        <color theme="1"/>
        <rFont val="Aptos Narrow"/>
        <family val="2"/>
      </rPr>
      <t>: Rental Fortuner BoD</t>
    </r>
  </si>
  <si>
    <r>
      <t>Choose the SAP ledger account code according to the type of activity
(for example, for rental, training, etc.).
See the list in "</t>
    </r>
    <r>
      <rPr>
        <b/>
        <sz val="11"/>
        <color theme="1"/>
        <rFont val="Aptos Narrow"/>
        <family val="2"/>
      </rPr>
      <t>Table 3.1 List Ledger COGM"</t>
    </r>
    <r>
      <rPr>
        <sz val="11"/>
        <color theme="1"/>
        <rFont val="Aptos Narrow"/>
        <family val="2"/>
      </rPr>
      <t xml:space="preserve"> &amp; "</t>
    </r>
    <r>
      <rPr>
        <b/>
        <sz val="11"/>
        <color theme="1"/>
        <rFont val="Aptos Narrow"/>
        <family val="2"/>
      </rPr>
      <t>Table 3.2 List Ledger OPEX</t>
    </r>
    <r>
      <rPr>
        <sz val="11"/>
        <color theme="1"/>
        <rFont val="Aptos Narrow"/>
        <family val="2"/>
      </rPr>
      <t>".</t>
    </r>
  </si>
  <si>
    <r>
      <t xml:space="preserve">Explain the activity in more detail, for example:
</t>
    </r>
    <r>
      <rPr>
        <b/>
        <sz val="11"/>
        <color theme="1"/>
        <rFont val="Aptos Narrow"/>
        <family val="2"/>
      </rPr>
      <t>Activity</t>
    </r>
    <r>
      <rPr>
        <sz val="11"/>
        <color theme="1"/>
        <rFont val="Aptos Narrow"/>
        <family val="2"/>
      </rPr>
      <t xml:space="preserve">: Rental - Fortuner
</t>
    </r>
    <r>
      <rPr>
        <b/>
        <sz val="11"/>
        <color theme="1"/>
        <rFont val="Aptos Narrow"/>
        <family val="2"/>
      </rPr>
      <t>Remarks</t>
    </r>
    <r>
      <rPr>
        <sz val="11"/>
        <color theme="1"/>
        <rFont val="Aptos Narrow"/>
        <family val="2"/>
      </rPr>
      <t>: Monthly rental car for BoD, under contract agreement</t>
    </r>
  </si>
  <si>
    <t>Supporting or consumable materials used in operations</t>
  </si>
  <si>
    <t>Basic salary for employees – Production</t>
  </si>
  <si>
    <t>Overtime costs – Production</t>
  </si>
  <si>
    <t>Tunjangan hari raya (THR) – Production</t>
  </si>
  <si>
    <t>Additional allowances such as transport and meals – Production</t>
  </si>
  <si>
    <t>BPJS fee or other social security – Production</t>
  </si>
  <si>
    <t>Salary for contract employees – Production</t>
  </si>
  <si>
    <t>Performance-based incentive bonus – Production</t>
  </si>
  <si>
    <t>Employee income tax (PPh 21) – Production</t>
  </si>
  <si>
    <t>Annual or additional bonus – Production</t>
  </si>
  <si>
    <t>Severance pay or separation money upon employee departure – Production</t>
  </si>
  <si>
    <t>Health insurance or other insurance – Production</t>
  </si>
  <si>
    <t>Additional allowances such as meal expenses – Production</t>
  </si>
  <si>
    <t>Other labor costs not classified under specific categories – Production</t>
  </si>
  <si>
    <t>Provision costs for employee benefits – Production</t>
  </si>
  <si>
    <t>Subcontracting and fabrication costs using third parties – Production</t>
  </si>
  <si>
    <t>Third-party packaging costs – Production</t>
  </si>
  <si>
    <t>Daily wages for outsourced workers – Production</t>
  </si>
  <si>
    <t>Calibration services using third parties – Production</t>
  </si>
  <si>
    <t>Electricity costs from PLN – Production</t>
  </si>
  <si>
    <t>Clean water costs – Production</t>
  </si>
  <si>
    <t>Oxygen cost - Production</t>
  </si>
  <si>
    <t>Gas from PGN cost - Production</t>
  </si>
  <si>
    <t>Repair and Maintenance cost for building</t>
  </si>
  <si>
    <t>Repair and Maintenance Costs for Machine Assets</t>
  </si>
  <si>
    <t>Repair and Maintenance Costs for Heavy Equipment</t>
  </si>
  <si>
    <t>Repair and Maintenance Costs for Vehicle Assets</t>
  </si>
  <si>
    <t>Repair and Maintenance Costs for Office Furniture Assets</t>
  </si>
  <si>
    <t>Repair and maintenance costs of work equipment assets</t>
  </si>
  <si>
    <t>Repair and maintenance costs of Water Treatment Plant (WTP)</t>
  </si>
  <si>
    <t>Testing or inspection costs at the steel lab</t>
  </si>
  <si>
    <t>Import costs related to freight</t>
  </si>
  <si>
    <t>Import costs related to customs duties</t>
  </si>
  <si>
    <t>Import costs related to LC</t>
  </si>
  <si>
    <t>Import costs related to insurance</t>
  </si>
  <si>
    <t>Other import costs that do not fall under specific categories</t>
  </si>
  <si>
    <t>Training or seminar costs</t>
  </si>
  <si>
    <t>Building insurance premium costs</t>
  </si>
  <si>
    <t>Machine insurance premium costs</t>
  </si>
  <si>
    <t>Vehicle insurance premium costs</t>
  </si>
  <si>
    <t>Product liability insurance premium costs</t>
  </si>
  <si>
    <t>Employee insurance premium costs (excluding DL benefit)</t>
  </si>
  <si>
    <t>Other insurance premium costs related to production</t>
  </si>
  <si>
    <t>Warehouse rental costs</t>
  </si>
  <si>
    <t>Vehicle rental costs</t>
  </si>
  <si>
    <t>Land rental costs</t>
  </si>
  <si>
    <t>Building or office rental costs</t>
  </si>
  <si>
    <t>Machine rental costs</t>
  </si>
  <si>
    <t>Other rental costs</t>
  </si>
  <si>
    <t>Internet and telephone bills</t>
  </si>
  <si>
    <t>Document or goods shipping costs</t>
  </si>
  <si>
    <t>Stamp duty costs</t>
  </si>
  <si>
    <t>Other postal/telecommunication costs not included in specific categories</t>
  </si>
  <si>
    <t>Legal service costs</t>
  </si>
  <si>
    <t>Production-specific tax consultant service costs</t>
  </si>
  <si>
    <t>External audit service costs</t>
  </si>
  <si>
    <t>Surveyor service costs, usually for scrap surveyors</t>
  </si>
  <si>
    <t>Other operational service costs</t>
  </si>
  <si>
    <t>Tax and licensing costs for land.</t>
  </si>
  <si>
    <t>Tax costs for IMB (Building Permit)</t>
  </si>
  <si>
    <t>Tax and licensing costs for retribution.</t>
  </si>
  <si>
    <t>Tax and licensing costs for vehicles.</t>
  </si>
  <si>
    <t>Other tax and licensing costs that do not fall under specific categories.</t>
  </si>
  <si>
    <t>Office supplies usage/purchase costs..
Example: Stationery</t>
  </si>
  <si>
    <t>Costs for all types of printing and photocopying.
Example: printing invoices, receipts, bills, business cards, etc.</t>
  </si>
  <si>
    <t>Costs for official meetings, conferences, and other expenses directly related to production.</t>
  </si>
  <si>
    <t>Costs for organizing special company events directly related to production. For example, plant certification.</t>
  </si>
  <si>
    <t>Transportation costs that do not fall under specific categories, for example: transportation for production equipment pickup.</t>
  </si>
  <si>
    <t>Other transportation costs that do not fall under specific categories</t>
  </si>
  <si>
    <t>Local shipping costs</t>
  </si>
  <si>
    <t>Waste transportation or disposal costs</t>
  </si>
  <si>
    <t>Purchase of equipment related to production</t>
  </si>
  <si>
    <t>Purchase of office equipment in the production area</t>
  </si>
  <si>
    <t>Membership fees directly related to production</t>
  </si>
  <si>
    <t>Subscription costs for websites or systems directly related to production</t>
  </si>
  <si>
    <t>Spare parts costs used for production as well as repair &amp; maintenance in the production area</t>
  </si>
  <si>
    <t>Basic salary for employees – Head Office</t>
  </si>
  <si>
    <t>Overtime costs – Head Office</t>
  </si>
  <si>
    <t>Additional allowances such as transport, meals – Head Office</t>
  </si>
  <si>
    <t>BPJS fee or other social security – Head Office</t>
  </si>
  <si>
    <t>Salary for contract employees – Head Office</t>
  </si>
  <si>
    <t>Incentive bonus for achieving targets or performance – Head Office</t>
  </si>
  <si>
    <t>Employee income tax – Head Office</t>
  </si>
  <si>
    <t>Annual or additional bonuses – Head Office</t>
  </si>
  <si>
    <t>Severance pay or separation money when employees leave – Head Office</t>
  </si>
  <si>
    <t>Health insurance or other insurance – Head Office</t>
  </si>
  <si>
    <t>Other employee costs not included in specific categories – Head Office</t>
  </si>
  <si>
    <t>Reserve costs for retirement separation benefits</t>
  </si>
  <si>
    <t>Wage costs for outsourcing staff/daily workers</t>
  </si>
  <si>
    <t>Electricity costs from PLN – Head Office</t>
  </si>
  <si>
    <t>Clean water costs from PDAM – Head Office</t>
  </si>
  <si>
    <t>Oxygen costs – Head Office (internal consumption, related to projects)</t>
  </si>
  <si>
    <t>Repair and maintenance costs for building assets</t>
  </si>
  <si>
    <t>Repair and maintenance costs for machine assets</t>
  </si>
  <si>
    <t>Repair and maintenance costs of heavy equipment assets</t>
  </si>
  <si>
    <t>Repair and maintenance costs of vehicle assets</t>
  </si>
  <si>
    <t>Repair and maintenance costs of office furniture assets</t>
  </si>
  <si>
    <t>Repair and maintenance costs of LVA</t>
  </si>
  <si>
    <t>Freight cost for export transactions</t>
  </si>
  <si>
    <t>Delivery cost for export transactions</t>
  </si>
  <si>
    <t>Certification cost for export transactions</t>
  </si>
  <si>
    <t>Customs duty cost for export transactions</t>
  </si>
  <si>
    <t>Bank service fees for export transactions</t>
  </si>
  <si>
    <t>Insurance premium for export transactions</t>
  </si>
  <si>
    <t>Handling cost for export transactions</t>
  </si>
  <si>
    <t>Penalty cost for export transactions</t>
  </si>
  <si>
    <t>Other costs not classified under specific categories for export transactions</t>
  </si>
  <si>
    <t>Freight cost for import transactions</t>
  </si>
  <si>
    <t>Delivery cost for import transactions</t>
  </si>
  <si>
    <t>Certification cost for import transactions</t>
  </si>
  <si>
    <t>Customs duty cost for import transactions</t>
  </si>
  <si>
    <t>Bank service fees for import transactions</t>
  </si>
  <si>
    <t>Insurance premium for import transactions</t>
  </si>
  <si>
    <t>Handling cost for import transactions</t>
  </si>
  <si>
    <t>Penalty cost for import transactions</t>
  </si>
  <si>
    <t>Other costs not classified under specific categories for import transactions</t>
  </si>
  <si>
    <t>Promotion, advertising, and branding costs</t>
  </si>
  <si>
    <t>Promotional gifts or souvenirs</t>
  </si>
  <si>
    <t>Event/exhibition sponsorship costs</t>
  </si>
  <si>
    <t xml:space="preserve">Insurance premium to cover damage or loss to physical assets (e.g. buildings, machinery, inventory) </t>
  </si>
  <si>
    <t>Insurance premium to cover company-owned vehicles</t>
  </si>
  <si>
    <t>Insurance premium to protects the company from legal or financial claims caused by third-party injury or property damage due to the company's operations or products.</t>
  </si>
  <si>
    <t>Insurance premium to protect the company directors and officers against personal losses due to legal actions taken for alleged wrongful acts in their role.</t>
  </si>
  <si>
    <t>Insurance premium to cover employees’ personal insurance needs as provided by the company</t>
  </si>
  <si>
    <t>Document or goods delivery costs</t>
  </si>
  <si>
    <t>Other costs not classified under a specific category</t>
  </si>
  <si>
    <t>Legal service fees</t>
  </si>
  <si>
    <t>Tax consultant service fees</t>
  </si>
  <si>
    <t>External audit service fees</t>
  </si>
  <si>
    <t>Scrap surveyor fees (for calculating scrap inventory)</t>
  </si>
  <si>
    <t>Other professional service fees not classified into specific categories</t>
  </si>
  <si>
    <t>Product sample costs for finished goods given to customers</t>
  </si>
  <si>
    <t>Donations and social contributions to the surrounding community</t>
  </si>
  <si>
    <t>Other entertainment expenses not classified into specific categories</t>
  </si>
  <si>
    <t>Land tax and permit fees</t>
  </si>
  <si>
    <t>IMB (building permit) tax fees</t>
  </si>
  <si>
    <t>Retribution tax and permit fees</t>
  </si>
  <si>
    <t>Vehicle tax and permit fees</t>
  </si>
  <si>
    <t>Other tax and permit fees not classified into specific categories</t>
  </si>
  <si>
    <t>Office supply usage/purchase costs (Example: Stationery)</t>
  </si>
  <si>
    <t>Printing and photocopying expenses for all types (Example: invoice printing, receipts, name cards, etc.)</t>
  </si>
  <si>
    <t>Meeting, conference, and other internal gathering expenses</t>
  </si>
  <si>
    <t>Company event expenses such as religious gatherings, Christmas, company anniversary, Independence Day celebration, etc.</t>
  </si>
  <si>
    <t>Business travel ticket and accommodation expenses (e.g., hotel, COVID test for travel, etc.)</t>
  </si>
  <si>
    <t>Other general expenses not classified elsewhere, such as inter-warehouse transfer or operational transport</t>
  </si>
  <si>
    <t>Expenses related to shipping goods to local customers</t>
  </si>
  <si>
    <t>Factory waste treatment costs (goods and services)</t>
  </si>
  <si>
    <t>Household supply expenses consumed directly by the company (e.g., cleaning supplies, light furniture, kitchen utensils)</t>
  </si>
  <si>
    <t>Purchase of general office or factory tools</t>
  </si>
  <si>
    <t>Purchase of office equipment (e.g., calculator, AC, dispenser, fridge, tool kits, etc.)</t>
  </si>
  <si>
    <t>Commission fees for agents, partners, or sales reps</t>
  </si>
  <si>
    <t>Bank service fees (e.g., transfer, clearing)</t>
  </si>
  <si>
    <t>Website, magazine, and other subscription costs</t>
  </si>
  <si>
    <t>Royalty fees paid to shareholders</t>
  </si>
  <si>
    <t>w</t>
  </si>
  <si>
    <t>HRGA</t>
  </si>
  <si>
    <t>Cost centre</t>
  </si>
  <si>
    <t>Cost centre code</t>
  </si>
  <si>
    <t>Cost centre description</t>
  </si>
  <si>
    <t>Project ID - Code</t>
  </si>
  <si>
    <t>IO - Code</t>
  </si>
  <si>
    <t>SMS</t>
  </si>
  <si>
    <t>ELECTRICAL</t>
  </si>
  <si>
    <t>SMS1 ELECTRICAL DEPT</t>
  </si>
  <si>
    <t>MECHANICAL</t>
  </si>
  <si>
    <t>SMS1 MECHANICAL DEPT</t>
  </si>
  <si>
    <t>SMS1 PPIC DEPT</t>
  </si>
  <si>
    <t>SMS1 QA/QC DEPT</t>
  </si>
  <si>
    <t>SMS1 WAREHOUSE DEPT</t>
  </si>
  <si>
    <t>SMS1 CRANE DEPARTMEN</t>
  </si>
  <si>
    <t>SMS1 OFFICE DEPT</t>
  </si>
  <si>
    <t>SMS1 STR.MFACTURING</t>
  </si>
  <si>
    <t>BP1 ELECTRICAL DEPT</t>
  </si>
  <si>
    <t>BP1 MECHANICAL DEPT</t>
  </si>
  <si>
    <t>BP1 PPIC DEPT</t>
  </si>
  <si>
    <t>BP1 QA/QC DEPT</t>
  </si>
  <si>
    <t>LSM PRODUCTION DEPT</t>
  </si>
  <si>
    <t>LSM ROLL SHOP</t>
  </si>
  <si>
    <t>LSM ELECTRICAL DEPT</t>
  </si>
  <si>
    <t>LSM MECHANICAL DEPT</t>
  </si>
  <si>
    <t>LSM PPIC DEPARTMENT</t>
  </si>
  <si>
    <t>LSM QA/QC DEPARTMENT</t>
  </si>
  <si>
    <t>LSM CRANE DEPARTMENT</t>
  </si>
  <si>
    <t>10202SU001</t>
  </si>
  <si>
    <t>TECH SUPPORT PPIC</t>
  </si>
  <si>
    <t>TECH SUPPORTING QA</t>
  </si>
  <si>
    <t>10202SU009</t>
  </si>
  <si>
    <t>ELECTRICAL MT &amp; PROJ</t>
  </si>
  <si>
    <t>MSN</t>
  </si>
  <si>
    <t>10202SU017</t>
  </si>
  <si>
    <t>MACHINE SHOP</t>
  </si>
  <si>
    <t>PD OFFICE</t>
  </si>
  <si>
    <t>Board of Directors</t>
  </si>
  <si>
    <t>PD</t>
  </si>
  <si>
    <t>10301BD002</t>
  </si>
  <si>
    <t>HEAD OF PRODUCTION</t>
  </si>
  <si>
    <t>LEGAL &amp; COMPLIANCE</t>
  </si>
  <si>
    <t>General Counsel</t>
  </si>
  <si>
    <t>CLC</t>
  </si>
  <si>
    <t>Compliance &amp; Governance</t>
  </si>
  <si>
    <t>Permit &amp; Licensing</t>
  </si>
  <si>
    <t>Accounting &amp; Fixed Asset Management</t>
  </si>
  <si>
    <t>10301FA008</t>
  </si>
  <si>
    <t>HEAD OF FINANCE EXP</t>
  </si>
  <si>
    <t>10301IT004</t>
  </si>
  <si>
    <t>HEAD OF IT EXPENSES</t>
  </si>
  <si>
    <t>REGULATORY &amp; EXT AFFAIRS</t>
  </si>
  <si>
    <t>Government Relation &amp; EA</t>
  </si>
  <si>
    <t>GR</t>
  </si>
  <si>
    <t>10301MS010</t>
  </si>
  <si>
    <t>SCM Logistics</t>
  </si>
  <si>
    <t>SCM LOGISTICS</t>
  </si>
  <si>
    <t>SCM Warehouse &amp; Inventory</t>
  </si>
  <si>
    <t>SCM WAREHOUSE SPC</t>
  </si>
  <si>
    <t>SCM Grader</t>
  </si>
  <si>
    <t>SCM GRADER</t>
  </si>
  <si>
    <t>10301SC009</t>
  </si>
  <si>
    <t>HEAD OF SCM</t>
  </si>
  <si>
    <t>SALES &amp; PROCUREMENT</t>
  </si>
  <si>
    <t>PC</t>
  </si>
  <si>
    <t>10301SC008</t>
  </si>
  <si>
    <t>HEAD OF PROCUREMENT</t>
  </si>
  <si>
    <t>SL</t>
  </si>
  <si>
    <t>10301SM004</t>
  </si>
  <si>
    <t>HEAD OF SALES EXP</t>
  </si>
  <si>
    <t>List General Ledger</t>
  </si>
  <si>
    <t>Table 3.3. List Ledger CAPEX</t>
  </si>
  <si>
    <t>IO &amp; Project ID - Group</t>
  </si>
  <si>
    <t>CAPEX Priority</t>
  </si>
  <si>
    <t>OPEX</t>
  </si>
  <si>
    <t>Ledger Expense Group / Type</t>
  </si>
  <si>
    <t>Selling / GA</t>
  </si>
  <si>
    <t>Ctrl to Master Data</t>
  </si>
  <si>
    <t>LSM REPAIR</t>
  </si>
  <si>
    <t>A0126</t>
  </si>
  <si>
    <t>A0226</t>
  </si>
  <si>
    <t>A0326</t>
  </si>
  <si>
    <t>A0426</t>
  </si>
  <si>
    <t>A0526</t>
  </si>
  <si>
    <t>A0626</t>
  </si>
  <si>
    <t>A0726</t>
  </si>
  <si>
    <t>A0826</t>
  </si>
  <si>
    <t>A0926</t>
  </si>
  <si>
    <t>A1126</t>
  </si>
  <si>
    <t>Estimated budget consumed (based on PO)</t>
  </si>
  <si>
    <t>Estimated expense recorded (based on GRN)</t>
  </si>
  <si>
    <t>IO/Project ID Group</t>
  </si>
  <si>
    <t>IO/Project ID</t>
  </si>
  <si>
    <t>Jan 2026
(in IDR)</t>
  </si>
  <si>
    <t>Feb 2026
(in IDR)</t>
  </si>
  <si>
    <t>Mar 2026
(in IDR)</t>
  </si>
  <si>
    <t>Apr 2026
(in IDR)</t>
  </si>
  <si>
    <t>May 2026
(in IDR)</t>
  </si>
  <si>
    <t>Jun 2026
(in IDR)</t>
  </si>
  <si>
    <t>Jul 2026
(in IDR)</t>
  </si>
  <si>
    <t>Aug 2026
(in IDR)</t>
  </si>
  <si>
    <t>Sep 2026
(in IDR)</t>
  </si>
  <si>
    <t>Oct 2026
(in IDR)</t>
  </si>
  <si>
    <t>Nov 2026
(in IDR)</t>
  </si>
  <si>
    <t>Dec 2026
(in IDR)</t>
  </si>
  <si>
    <t>aptos na</t>
  </si>
  <si>
    <t>Exchange rate</t>
  </si>
  <si>
    <t>x</t>
  </si>
  <si>
    <t>Legal &amp; Compliance</t>
  </si>
  <si>
    <t>Permits &amp; Licensing</t>
  </si>
  <si>
    <t>Legal Commercial</t>
  </si>
  <si>
    <t>Regulatory &amp; external affair</t>
  </si>
  <si>
    <t>&gt;&gt; New CC</t>
  </si>
  <si>
    <t>Budget Capex Detail</t>
  </si>
  <si>
    <t>Master Data</t>
  </si>
  <si>
    <t>Sustainability</t>
  </si>
  <si>
    <t>SUSTAINABILITY</t>
  </si>
  <si>
    <r>
      <t>Harap diisi dengan kode SAP cost center sesuai dengan cost center department masing-masing. Bisa ke sheet "</t>
    </r>
    <r>
      <rPr>
        <b/>
        <sz val="11"/>
        <color theme="1"/>
        <rFont val="Aptos Narrow"/>
        <family val="2"/>
      </rPr>
      <t>Master Data</t>
    </r>
    <r>
      <rPr>
        <sz val="11"/>
        <color theme="1"/>
        <rFont val="Aptos Narrow"/>
        <family val="2"/>
      </rPr>
      <t>" &gt;&gt;</t>
    </r>
  </si>
  <si>
    <t>Estimated payment period</t>
  </si>
  <si>
    <t>Sheet 3 : Opex&amp;COGM - Budget Detail</t>
  </si>
  <si>
    <t>KERTAS KERJA "BUDGET OPEX DETAIL"</t>
  </si>
  <si>
    <t>KERTAS KERJA "BUDGET COGM DETAIL"</t>
  </si>
  <si>
    <r>
      <t>Masukan nomor GL sesuai dengan nature dari transaksi yang akan dijalankan. Untuk referensi GL, bisa melihat "</t>
    </r>
    <r>
      <rPr>
        <b/>
        <sz val="11"/>
        <color theme="1"/>
        <rFont val="Aptos Narrow"/>
        <family val="2"/>
      </rPr>
      <t>Table 3.1 List Ledger COGM</t>
    </r>
    <r>
      <rPr>
        <sz val="11"/>
        <color theme="1"/>
        <rFont val="Aptos Narrow"/>
        <family val="2"/>
      </rPr>
      <t>".</t>
    </r>
  </si>
  <si>
    <r>
      <t>Enter the GL number according to the nature of the transaction to be carried out. For GL reference, you can refer to '</t>
    </r>
    <r>
      <rPr>
        <b/>
        <sz val="11"/>
        <color theme="1"/>
        <rFont val="Aptos Narrow"/>
        <family val="2"/>
      </rPr>
      <t>Table 3.1 List Ledger COGM</t>
    </r>
    <r>
      <rPr>
        <sz val="11"/>
        <color theme="1"/>
        <rFont val="Aptos Narrow"/>
        <family val="2"/>
      </rPr>
      <t>'.</t>
    </r>
  </si>
  <si>
    <t>"BUDGET OPEX DETAIL" Working paper</t>
  </si>
  <si>
    <t>"BUDGET COGM DETAIL" Working paper</t>
  </si>
  <si>
    <t>Biaya lain-lain yang tidak termasuk pada kategori biaya tersebut di atas</t>
  </si>
  <si>
    <t>Other expenses not included in the categories mentioned above</t>
  </si>
  <si>
    <t>Entertainment for Disnaker, Fire Department (Damkar), &amp; BNPB</t>
  </si>
  <si>
    <t>Coordination meeting with Damkar, P2K3 reporting meeting to Disnaker</t>
  </si>
  <si>
    <t>Guest Safety PPE Laundry Services</t>
  </si>
  <si>
    <t>Helmets, shoes, gloves, earplugs, glasses, and masks are provided for VIP visitors</t>
  </si>
  <si>
    <t>Printing banner related K3 safety</t>
  </si>
  <si>
    <t>Yearly maintenance</t>
  </si>
  <si>
    <t>Annual routine event refers to the National Occupational Safety and Health (K3) campaign</t>
  </si>
  <si>
    <t>Mandatory to regulation compliance</t>
  </si>
  <si>
    <t>The emission testing of smoke stacks ( LSM , SMS EAF 1  &amp; EAF2, &amp; BP)</t>
  </si>
  <si>
    <t>For noise measurement in the work area</t>
  </si>
  <si>
    <t>Rewards for selected BU/SU</t>
  </si>
  <si>
    <t>The excavator is used to manage mill scale in the TPS area and is used for transporting mill scale from the TPS to vendor/customer trucks as waste to be sold</t>
  </si>
  <si>
    <t>A Spill Kit is a set of tools used to handle spills or leaks of hazardous and toxic materials (B3) or infectious fluids such as blood, mucus, urine, and others</t>
  </si>
  <si>
    <t>The calculation of the v/c (volume-to-capacity) ratio for traffic is conducted every 6 months.</t>
  </si>
  <si>
    <t>Vendor for household wastewater treatment plant (IPAL) management</t>
  </si>
  <si>
    <t>Mohon kirimkan Lembar kerja anggaran tahunan (master budget template) yang telah disetujui ke Budget&amp;Analysis Departemen paling lambat tanggal 05 September 2025.</t>
  </si>
  <si>
    <t>Project Management</t>
  </si>
  <si>
    <t>Biaya makanan untuk semua karyawan yang memenuhi syarat, acara internal, rapat, pelatihan, tamu, perlengkapan &amp; bahan habis pakai lainnya</t>
  </si>
  <si>
    <t>Biaya bahan bakar kendaraan operasional</t>
  </si>
  <si>
    <t>Premi asuransi ain-lain yang tidak termasuk pada kategori biaya tersebut di atas</t>
  </si>
  <si>
    <t>Please submit the approved annual budget worksheet to the Budget &amp; Analysis Department no later than September 05, 2025.</t>
  </si>
  <si>
    <t>Meals provided for all eligible employees,internal event, meeting, training, guests, kitchen and other supplies</t>
  </si>
  <si>
    <t>Operational vehicle fuel costs</t>
  </si>
  <si>
    <t>Insurance premiums not included in the aforementioned cost classifications</t>
  </si>
  <si>
    <r>
      <t xml:space="preserve">Please fill in the SAP cost center code according to your department.
You can refer to the </t>
    </r>
    <r>
      <rPr>
        <b/>
        <sz val="11"/>
        <color theme="1"/>
        <rFont val="Aptos Narrow"/>
        <family val="2"/>
      </rPr>
      <t>"Master Data"</t>
    </r>
    <r>
      <rPr>
        <sz val="11"/>
        <color theme="1"/>
        <rFont val="Aptos Narrow"/>
        <family val="2"/>
      </rPr>
      <t xml:space="preserve"> sheet &gt;&gt;</t>
    </r>
  </si>
  <si>
    <t>IT Business Solution</t>
  </si>
  <si>
    <t>IT Analytics</t>
  </si>
  <si>
    <t>PROJECT MANAGEMENT</t>
  </si>
  <si>
    <t>IT BUSINESS SOLUTION</t>
  </si>
  <si>
    <t>CSR &amp; COMMUNITY DEVELOPMENT</t>
  </si>
  <si>
    <t>GOVERNMENT RELATIONS &amp; EXTERNAL ACTIVITIES</t>
  </si>
  <si>
    <t>GOVERNMENT PROJECT - CONSULTING SERVICES</t>
  </si>
  <si>
    <t>- Column 3</t>
  </si>
  <si>
    <t>Safety Supervisor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</si>
</sst>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164" formatCode="_(* #,##0_);_(* \(#,##0\);_(* &quot;-&quot;_);_(@_)"/>
    <numFmt numFmtId="165" formatCode="_(* #,##0.00_);_(* \(#,##0.00\);_(* &quot;-&quot;??_);_(@_)"/>
    <numFmt numFmtId="166" formatCode="_ * #,##0.00_ ;_ * \-#,##0.00_ ;_ * &quot;-&quot;??_ ;_ @_ "/>
    <numFmt numFmtId="167" formatCode="_(* #,##0_);_(* \(#,##0\);_(* &quot;-&quot;??_);_(@_)"/>
    <numFmt numFmtId="168" formatCode="[$-409]mmm\-yy;@"/>
    <numFmt numFmtId="169" formatCode="#,##0.000"/>
  </numFmts>
  <fonts count="59" x14ac:knownFonts="1">
    <font>
      <sz val="11"/>
      <color theme="1"/>
      <name val="Calibri"/>
      <family val="2"/>
      <scheme val="minor"/>
    </font>
    <font>
      <sz val="11"/>
      <color theme="1"/>
      <name val="Calibri"/>
      <family val="2"/>
      <scheme val="minor"/>
    </font>
    <font>
      <b/>
      <sz val="11"/>
      <color theme="0"/>
      <name val="Calibri"/>
      <family val="2"/>
      <scheme val="minor"/>
    </font>
    <font>
      <sz val="11"/>
      <color theme="1"/>
      <name val="Arial"/>
      <family val="2"/>
    </font>
    <font>
      <b/>
      <i/>
      <sz val="18"/>
      <color theme="1"/>
      <name val="Arial"/>
      <family val="2"/>
    </font>
    <font>
      <b/>
      <sz val="16"/>
      <color theme="1"/>
      <name val="Arial"/>
      <family val="2"/>
    </font>
    <font>
      <b/>
      <sz val="14"/>
      <color theme="1"/>
      <name val="Arial"/>
      <family val="2"/>
    </font>
    <font>
      <b/>
      <sz val="11"/>
      <color rgb="FFC00000"/>
      <name val="Arial"/>
      <family val="2"/>
    </font>
    <font>
      <b/>
      <u/>
      <sz val="11"/>
      <color theme="1"/>
      <name val="Arial"/>
      <family val="2"/>
    </font>
    <font>
      <b/>
      <u/>
      <sz val="11"/>
      <color rgb="FFC00000"/>
      <name val="Arial"/>
      <family val="2"/>
    </font>
    <font>
      <sz val="11"/>
      <name val="Arial"/>
      <family val="2"/>
    </font>
    <font>
      <i/>
      <sz val="11"/>
      <name val="Arial"/>
      <family val="2"/>
    </font>
    <font>
      <b/>
      <sz val="11"/>
      <name val="Arial"/>
      <family val="2"/>
    </font>
    <font>
      <i/>
      <sz val="11"/>
      <color theme="1"/>
      <name val="Arial"/>
      <family val="2"/>
    </font>
    <font>
      <sz val="11"/>
      <color rgb="FF000000"/>
      <name val="Arial"/>
      <family val="2"/>
    </font>
    <font>
      <b/>
      <sz val="11"/>
      <color theme="1"/>
      <name val="Arial"/>
      <family val="2"/>
    </font>
    <font>
      <sz val="11"/>
      <color theme="1"/>
      <name val="Calibri"/>
      <family val="2"/>
    </font>
    <font>
      <sz val="12"/>
      <color theme="1"/>
      <name val="Arial"/>
      <family val="2"/>
    </font>
    <font>
      <b/>
      <sz val="12"/>
      <color theme="0"/>
      <name val="Arial"/>
      <family val="2"/>
    </font>
    <font>
      <u/>
      <sz val="11"/>
      <color theme="10"/>
      <name val="Arial"/>
      <family val="2"/>
    </font>
    <font>
      <b/>
      <i/>
      <u/>
      <sz val="12"/>
      <color rgb="FF002060"/>
      <name val="Arial"/>
      <family val="2"/>
    </font>
    <font>
      <sz val="9"/>
      <color theme="1"/>
      <name val="Arial"/>
      <family val="2"/>
    </font>
    <font>
      <b/>
      <sz val="10"/>
      <color theme="1"/>
      <name val="Arial"/>
      <family val="2"/>
    </font>
    <font>
      <sz val="10"/>
      <color theme="1"/>
      <name val="Arial"/>
      <family val="2"/>
    </font>
    <font>
      <sz val="10"/>
      <color theme="1"/>
      <name val="Calibri"/>
      <family val="2"/>
    </font>
    <font>
      <b/>
      <sz val="11"/>
      <color theme="1"/>
      <name val="Calibri"/>
      <family val="2"/>
      <scheme val="minor"/>
    </font>
    <font>
      <b/>
      <sz val="9"/>
      <color indexed="81"/>
      <name val="Tahoma"/>
      <family val="2"/>
    </font>
    <font>
      <i/>
      <sz val="10"/>
      <color theme="1"/>
      <name val="Calibri"/>
      <family val="2"/>
    </font>
    <font>
      <u/>
      <sz val="11"/>
      <color theme="10"/>
      <name val="Calibri"/>
      <family val="2"/>
      <scheme val="minor"/>
    </font>
    <font>
      <b/>
      <i/>
      <sz val="18"/>
      <color theme="1"/>
      <name val="Aptos Narrow"/>
      <family val="2"/>
    </font>
    <font>
      <sz val="11"/>
      <color theme="1"/>
      <name val="Aptos Narrow"/>
      <family val="2"/>
    </font>
    <font>
      <b/>
      <sz val="16"/>
      <color theme="1"/>
      <name val="Aptos Narrow"/>
      <family val="2"/>
    </font>
    <font>
      <b/>
      <sz val="11"/>
      <color rgb="FFC00000"/>
      <name val="Aptos Narrow"/>
      <family val="2"/>
    </font>
    <font>
      <b/>
      <u/>
      <sz val="11"/>
      <color theme="1"/>
      <name val="Aptos Narrow"/>
      <family val="2"/>
    </font>
    <font>
      <b/>
      <u/>
      <sz val="11"/>
      <color rgb="FFC00000"/>
      <name val="Aptos Narrow"/>
      <family val="2"/>
    </font>
    <font>
      <sz val="11"/>
      <name val="Aptos Narrow"/>
      <family val="2"/>
    </font>
    <font>
      <i/>
      <sz val="11"/>
      <name val="Aptos Narrow"/>
      <family val="2"/>
    </font>
    <font>
      <b/>
      <sz val="11"/>
      <name val="Aptos Narrow"/>
      <family val="2"/>
    </font>
    <font>
      <i/>
      <sz val="11"/>
      <color theme="1"/>
      <name val="Aptos Narrow"/>
      <family val="2"/>
    </font>
    <font>
      <sz val="11"/>
      <color rgb="FF000000"/>
      <name val="Aptos Narrow"/>
      <family val="2"/>
    </font>
    <font>
      <b/>
      <sz val="11"/>
      <color theme="1"/>
      <name val="Aptos Narrow"/>
      <family val="2"/>
    </font>
    <font>
      <b/>
      <sz val="11"/>
      <color theme="0"/>
      <name val="Aptos Narrow"/>
      <family val="2"/>
    </font>
    <font>
      <b/>
      <sz val="11"/>
      <color rgb="FF339966"/>
      <name val="Aptos Narrow"/>
      <family val="2"/>
    </font>
    <font>
      <b/>
      <i/>
      <sz val="11"/>
      <color rgb="FFFF0000"/>
      <name val="Aptos Narrow"/>
      <family val="2"/>
    </font>
    <font>
      <b/>
      <i/>
      <sz val="11"/>
      <color theme="1"/>
      <name val="Aptos Narrow"/>
      <family val="2"/>
    </font>
    <font>
      <sz val="10"/>
      <color theme="1"/>
      <name val="Aptos Narrow"/>
      <family val="2"/>
    </font>
    <font>
      <b/>
      <sz val="12"/>
      <name val="Aptos Narrow"/>
      <family val="2"/>
    </font>
    <font>
      <sz val="12"/>
      <name val="Aptos Narrow"/>
      <family val="2"/>
    </font>
    <font>
      <b/>
      <sz val="11"/>
      <color rgb="FFFF0000"/>
      <name val="Aptos Narrow"/>
      <family val="2"/>
    </font>
    <font>
      <i/>
      <sz val="11"/>
      <color rgb="FF000000"/>
      <name val="Aptos Narrow"/>
      <family val="2"/>
    </font>
    <font>
      <b/>
      <sz val="11"/>
      <color rgb="FF000000"/>
      <name val="Aptos Narrow"/>
      <family val="2"/>
    </font>
    <font>
      <b/>
      <sz val="16"/>
      <color theme="0"/>
      <name val="Aptos Narrow"/>
      <family val="2"/>
    </font>
    <font>
      <sz val="11"/>
      <color theme="0"/>
      <name val="Aptos Narrow"/>
      <family val="2"/>
    </font>
    <font>
      <b/>
      <sz val="10"/>
      <color theme="0"/>
      <name val="Aptos Narrow"/>
      <family val="2"/>
    </font>
    <font>
      <sz val="11"/>
      <color rgb="FFFF0000"/>
      <name val="Aptos Narrow"/>
      <family val="2"/>
    </font>
    <font>
      <b/>
      <sz val="24"/>
      <color theme="1"/>
      <name val="Aptos Narrow"/>
      <family val="2"/>
    </font>
    <font>
      <b/>
      <i/>
      <u/>
      <sz val="11"/>
      <color rgb="FF339966"/>
      <name val="Aptos Narrow"/>
      <family val="2"/>
    </font>
    <font>
      <b/>
      <sz val="14"/>
      <color theme="1"/>
      <name val="Aptos Narrow"/>
      <family val="2"/>
    </font>
    <font>
      <sz val="12"/>
      <color theme="1"/>
      <name val="Aptos Narrow"/>
      <family val="2"/>
    </font>
  </fonts>
  <fills count="35">
    <fill>
      <patternFill patternType="none"/>
    </fill>
    <fill>
      <patternFill patternType="gray125"/>
    </fill>
    <fill>
      <patternFill patternType="solid">
        <fgColor theme="0" tint="-0.499984740745262"/>
        <bgColor indexed="64"/>
      </patternFill>
    </fill>
    <fill>
      <patternFill patternType="solid">
        <fgColor theme="2" tint="-0.249977111117893"/>
        <bgColor indexed="64"/>
      </patternFill>
    </fill>
    <fill>
      <patternFill patternType="solid">
        <fgColor theme="2" tint="-0.14999847407452621"/>
        <bgColor indexed="64"/>
      </patternFill>
    </fill>
    <fill>
      <patternFill patternType="solid">
        <fgColor theme="0" tint="-0.14999847407452621"/>
        <bgColor indexed="64"/>
      </patternFill>
    </fill>
    <fill>
      <patternFill patternType="solid">
        <fgColor theme="1"/>
        <bgColor indexed="64"/>
      </patternFill>
    </fill>
    <fill>
      <patternFill patternType="solid">
        <fgColor theme="0" tint="-0.249977111117893"/>
        <bgColor indexed="64"/>
      </patternFill>
    </fill>
    <fill>
      <patternFill patternType="solid">
        <fgColor theme="2" tint="-9.9978637043366805E-2"/>
        <bgColor indexed="64"/>
      </patternFill>
    </fill>
    <fill>
      <patternFill patternType="solid">
        <fgColor theme="1"/>
        <bgColor theme="1"/>
      </patternFill>
    </fill>
    <fill>
      <patternFill patternType="solid">
        <fgColor theme="7" tint="0.59999389629810485"/>
        <bgColor indexed="64"/>
      </patternFill>
    </fill>
    <fill>
      <patternFill patternType="solid">
        <fgColor theme="2" tint="-0.749992370372631"/>
        <bgColor indexed="64"/>
      </patternFill>
    </fill>
    <fill>
      <patternFill patternType="solid">
        <fgColor theme="9" tint="-0.499984740745262"/>
        <bgColor indexed="64"/>
      </patternFill>
    </fill>
    <fill>
      <patternFill patternType="solid">
        <fgColor theme="9" tint="0.39997558519241921"/>
        <bgColor indexed="64"/>
      </patternFill>
    </fill>
    <fill>
      <patternFill patternType="solid">
        <fgColor rgb="FFC00000"/>
        <bgColor indexed="64"/>
      </patternFill>
    </fill>
    <fill>
      <patternFill patternType="solid">
        <fgColor theme="8" tint="0.39997558519241921"/>
        <bgColor indexed="64"/>
      </patternFill>
    </fill>
    <fill>
      <patternFill patternType="solid">
        <fgColor indexed="22"/>
        <bgColor indexed="64"/>
      </patternFill>
    </fill>
    <fill>
      <patternFill patternType="solid">
        <fgColor theme="9" tint="0.59999389629810485"/>
        <bgColor indexed="64"/>
      </patternFill>
    </fill>
    <fill>
      <patternFill patternType="solid">
        <fgColor theme="3" tint="0.59999389629810485"/>
        <bgColor indexed="64"/>
      </patternFill>
    </fill>
    <fill>
      <patternFill patternType="solid">
        <fgColor theme="5" tint="0.39997558519241921"/>
        <bgColor indexed="64"/>
      </patternFill>
    </fill>
    <fill>
      <patternFill patternType="solid">
        <fgColor rgb="FFFFFF00"/>
        <bgColor indexed="64"/>
      </patternFill>
    </fill>
    <fill>
      <patternFill patternType="solid">
        <fgColor rgb="FF1D8764"/>
        <bgColor indexed="64"/>
      </patternFill>
    </fill>
    <fill>
      <patternFill patternType="solid">
        <fgColor theme="2" tint="-0.89999084444715716"/>
        <bgColor rgb="FFC00000"/>
      </patternFill>
    </fill>
    <fill>
      <patternFill patternType="solid">
        <fgColor theme="2" tint="-4.9989318521683403E-2"/>
        <bgColor indexed="64"/>
      </patternFill>
    </fill>
    <fill>
      <patternFill patternType="solid">
        <fgColor theme="1" tint="4.9989318521683403E-2"/>
        <bgColor indexed="64"/>
      </patternFill>
    </fill>
    <fill>
      <patternFill patternType="solid">
        <fgColor theme="0" tint="-0.249977111117893"/>
        <bgColor rgb="FFC00000"/>
      </patternFill>
    </fill>
    <fill>
      <patternFill patternType="solid">
        <fgColor rgb="FF339966"/>
        <bgColor indexed="64"/>
      </patternFill>
    </fill>
    <fill>
      <patternFill patternType="solid">
        <fgColor theme="5" tint="0.79998168889431442"/>
        <bgColor indexed="64"/>
      </patternFill>
    </fill>
    <fill>
      <patternFill patternType="solid">
        <fgColor theme="0" tint="-4.9989318521683403E-2"/>
        <bgColor indexed="64"/>
      </patternFill>
    </fill>
    <fill>
      <patternFill patternType="solid">
        <fgColor rgb="FF339966"/>
        <bgColor rgb="FFC00000"/>
      </patternFill>
    </fill>
    <fill>
      <patternFill patternType="solid">
        <fgColor theme="9" tint="0.79998168889431442"/>
        <bgColor indexed="64"/>
      </patternFill>
    </fill>
    <fill>
      <patternFill patternType="solid">
        <fgColor theme="1" tint="0.499984740745262"/>
        <bgColor indexed="64"/>
      </patternFill>
    </fill>
    <fill>
      <patternFill patternType="solid">
        <fgColor theme="1" tint="0.499984740745262"/>
        <bgColor rgb="FFC00000"/>
      </patternFill>
    </fill>
    <fill>
      <patternFill patternType="solid">
        <fgColor theme="1" tint="0.34998626667073579"/>
        <bgColor indexed="64"/>
      </patternFill>
    </fill>
    <fill>
      <patternFill patternType="solid">
        <fgColor theme="1" tint="0.34998626667073579"/>
        <bgColor rgb="FFC00000"/>
      </patternFill>
    </fill>
  </fills>
  <borders count="91">
    <border>
      <left/>
      <right/>
      <top/>
      <bottom/>
      <diagonal/>
    </border>
    <border>
      <left/>
      <right/>
      <top/>
      <bottom style="medium">
        <color indexed="64"/>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thin">
        <color indexed="64"/>
      </left>
      <right/>
      <top style="thin">
        <color rgb="FF000000"/>
      </top>
      <bottom style="dotted">
        <color rgb="FF000000"/>
      </bottom>
      <diagonal/>
    </border>
    <border>
      <left style="thin">
        <color indexed="64"/>
      </left>
      <right style="thin">
        <color indexed="64"/>
      </right>
      <top style="thin">
        <color rgb="FF000000"/>
      </top>
      <bottom style="dotted">
        <color rgb="FF000000"/>
      </bottom>
      <diagonal/>
    </border>
    <border>
      <left/>
      <right style="thin">
        <color indexed="64"/>
      </right>
      <top style="thin">
        <color rgb="FF000000"/>
      </top>
      <bottom style="dotted">
        <color rgb="FF000000"/>
      </bottom>
      <diagonal/>
    </border>
    <border>
      <left style="thin">
        <color indexed="64"/>
      </left>
      <right/>
      <top style="dotted">
        <color rgb="FF000000"/>
      </top>
      <bottom style="dotted">
        <color rgb="FF000000"/>
      </bottom>
      <diagonal/>
    </border>
    <border>
      <left style="thin">
        <color indexed="64"/>
      </left>
      <right style="thin">
        <color indexed="64"/>
      </right>
      <top style="dotted">
        <color rgb="FF000000"/>
      </top>
      <bottom style="dotted">
        <color rgb="FF000000"/>
      </bottom>
      <diagonal/>
    </border>
    <border>
      <left/>
      <right style="thin">
        <color indexed="64"/>
      </right>
      <top style="dotted">
        <color rgb="FF000000"/>
      </top>
      <bottom style="dotted">
        <color rgb="FF000000"/>
      </bottom>
      <diagonal/>
    </border>
    <border>
      <left style="thin">
        <color indexed="64"/>
      </left>
      <right/>
      <top/>
      <bottom style="dotted">
        <color rgb="FF000000"/>
      </bottom>
      <diagonal/>
    </border>
    <border>
      <left style="thin">
        <color indexed="64"/>
      </left>
      <right style="thin">
        <color indexed="64"/>
      </right>
      <top/>
      <bottom style="dotted">
        <color rgb="FF000000"/>
      </bottom>
      <diagonal/>
    </border>
    <border>
      <left/>
      <right style="thin">
        <color indexed="64"/>
      </right>
      <top/>
      <bottom style="dotted">
        <color rgb="FF000000"/>
      </bottom>
      <diagonal/>
    </border>
    <border>
      <left style="thin">
        <color auto="1"/>
      </left>
      <right/>
      <top/>
      <bottom style="thin">
        <color auto="1"/>
      </bottom>
      <diagonal/>
    </border>
    <border>
      <left style="thin">
        <color auto="1"/>
      </left>
      <right style="thin">
        <color auto="1"/>
      </right>
      <top/>
      <bottom style="thin">
        <color auto="1"/>
      </bottom>
      <diagonal/>
    </border>
    <border>
      <left/>
      <right style="thin">
        <color auto="1"/>
      </right>
      <top/>
      <bottom style="thin">
        <color auto="1"/>
      </bottom>
      <diagonal/>
    </border>
    <border>
      <left/>
      <right/>
      <top style="thin">
        <color indexed="64"/>
      </top>
      <bottom/>
      <diagonal/>
    </border>
    <border>
      <left style="thin">
        <color auto="1"/>
      </left>
      <right style="thin">
        <color auto="1"/>
      </right>
      <top/>
      <bottom/>
      <diagonal/>
    </border>
    <border>
      <left/>
      <right/>
      <top/>
      <bottom style="thin">
        <color rgb="FF000000"/>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indexed="64"/>
      </right>
      <top/>
      <bottom/>
      <diagonal/>
    </border>
    <border>
      <left style="thin">
        <color rgb="FF000000"/>
      </left>
      <right/>
      <top/>
      <bottom/>
      <diagonal/>
    </border>
    <border>
      <left/>
      <right style="thin">
        <color rgb="FF000000"/>
      </right>
      <top/>
      <bottom/>
      <diagonal/>
    </border>
    <border>
      <left/>
      <right style="thin">
        <color theme="1"/>
      </right>
      <top style="thin">
        <color theme="1"/>
      </top>
      <bottom/>
      <diagonal/>
    </border>
    <border>
      <left style="thick">
        <color auto="1"/>
      </left>
      <right style="thick">
        <color auto="1"/>
      </right>
      <top style="thin">
        <color auto="1"/>
      </top>
      <bottom style="thin">
        <color auto="1"/>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thin">
        <color indexed="64"/>
      </top>
      <bottom style="thin">
        <color auto="1"/>
      </bottom>
      <diagonal/>
    </border>
    <border>
      <left style="hair">
        <color indexed="64"/>
      </left>
      <right style="thin">
        <color indexed="64"/>
      </right>
      <top style="hair">
        <color indexed="64"/>
      </top>
      <bottom style="hair">
        <color indexed="64"/>
      </bottom>
      <diagonal/>
    </border>
    <border>
      <left style="hair">
        <color indexed="64"/>
      </left>
      <right style="hair">
        <color indexed="64"/>
      </right>
      <top style="hair">
        <color indexed="64"/>
      </top>
      <bottom/>
      <diagonal/>
    </border>
    <border>
      <left style="thin">
        <color auto="1"/>
      </left>
      <right style="thin">
        <color auto="1"/>
      </right>
      <top style="hair">
        <color auto="1"/>
      </top>
      <bottom style="hair">
        <color auto="1"/>
      </bottom>
      <diagonal/>
    </border>
    <border>
      <left style="thin">
        <color auto="1"/>
      </left>
      <right style="thin">
        <color auto="1"/>
      </right>
      <top style="hair">
        <color auto="1"/>
      </top>
      <bottom style="dotted">
        <color rgb="FF000000"/>
      </bottom>
      <diagonal/>
    </border>
    <border>
      <left style="thin">
        <color indexed="64"/>
      </left>
      <right/>
      <top style="thin">
        <color auto="1"/>
      </top>
      <bottom style="thin">
        <color rgb="FF000000"/>
      </bottom>
      <diagonal/>
    </border>
    <border>
      <left/>
      <right/>
      <top style="thin">
        <color indexed="64"/>
      </top>
      <bottom style="thin">
        <color rgb="FF000000"/>
      </bottom>
      <diagonal/>
    </border>
    <border>
      <left style="medium">
        <color indexed="64"/>
      </left>
      <right/>
      <top/>
      <bottom style="thin">
        <color auto="1"/>
      </bottom>
      <diagonal/>
    </border>
    <border>
      <left/>
      <right style="medium">
        <color auto="1"/>
      </right>
      <top style="thin">
        <color auto="1"/>
      </top>
      <bottom style="thin">
        <color auto="1"/>
      </bottom>
      <diagonal/>
    </border>
    <border>
      <left style="thin">
        <color rgb="FF000000"/>
      </left>
      <right/>
      <top style="thin">
        <color rgb="FF000000"/>
      </top>
      <bottom style="thin">
        <color indexed="64"/>
      </bottom>
      <diagonal/>
    </border>
    <border>
      <left/>
      <right/>
      <top style="thin">
        <color rgb="FF000000"/>
      </top>
      <bottom style="thin">
        <color indexed="64"/>
      </bottom>
      <diagonal/>
    </border>
    <border>
      <left/>
      <right style="thin">
        <color rgb="FF000000"/>
      </right>
      <top style="thin">
        <color rgb="FF000000"/>
      </top>
      <bottom style="thin">
        <color indexed="64"/>
      </bottom>
      <diagonal/>
    </border>
    <border>
      <left style="thin">
        <color rgb="FF000000"/>
      </left>
      <right/>
      <top style="thin">
        <color indexed="64"/>
      </top>
      <bottom style="thin">
        <color rgb="FF000000"/>
      </bottom>
      <diagonal/>
    </border>
    <border>
      <left style="thin">
        <color indexed="64"/>
      </left>
      <right style="thin">
        <color indexed="64"/>
      </right>
      <top style="thin">
        <color indexed="64"/>
      </top>
      <bottom style="thin">
        <color rgb="FF000000"/>
      </bottom>
      <diagonal/>
    </border>
    <border>
      <left/>
      <right style="thin">
        <color indexed="64"/>
      </right>
      <top style="thin">
        <color auto="1"/>
      </top>
      <bottom style="thin">
        <color rgb="FF000000"/>
      </bottom>
      <diagonal/>
    </border>
    <border>
      <left/>
      <right style="thin">
        <color rgb="FF000000"/>
      </right>
      <top style="thin">
        <color indexed="64"/>
      </top>
      <bottom style="thin">
        <color rgb="FF000000"/>
      </bottom>
      <diagonal/>
    </border>
    <border>
      <left style="thin">
        <color rgb="FF000000"/>
      </left>
      <right/>
      <top style="thin">
        <color rgb="FF000000"/>
      </top>
      <bottom/>
      <diagonal/>
    </border>
    <border>
      <left/>
      <right/>
      <top style="thin">
        <color rgb="FF000000"/>
      </top>
      <bottom/>
      <diagonal/>
    </border>
    <border>
      <left style="thin">
        <color indexed="64"/>
      </left>
      <right/>
      <top style="thin">
        <color rgb="FF000000"/>
      </top>
      <bottom/>
      <diagonal/>
    </border>
    <border>
      <left/>
      <right style="thin">
        <color indexed="64"/>
      </right>
      <top style="thin">
        <color rgb="FF000000"/>
      </top>
      <bottom/>
      <diagonal/>
    </border>
    <border>
      <left/>
      <right style="thin">
        <color rgb="FF000000"/>
      </right>
      <top style="thin">
        <color rgb="FF000000"/>
      </top>
      <bottom/>
      <diagonal/>
    </border>
    <border>
      <left style="thin">
        <color rgb="FF000000"/>
      </left>
      <right/>
      <top/>
      <bottom style="thin">
        <color rgb="FF000000"/>
      </bottom>
      <diagonal/>
    </border>
    <border>
      <left style="thin">
        <color indexed="64"/>
      </left>
      <right/>
      <top/>
      <bottom style="thin">
        <color rgb="FF000000"/>
      </bottom>
      <diagonal/>
    </border>
    <border>
      <left/>
      <right style="thin">
        <color indexed="64"/>
      </right>
      <top/>
      <bottom style="thin">
        <color rgb="FF000000"/>
      </bottom>
      <diagonal/>
    </border>
    <border>
      <left style="thin">
        <color indexed="64"/>
      </left>
      <right style="thin">
        <color indexed="64"/>
      </right>
      <top/>
      <bottom style="thin">
        <color rgb="FF000000"/>
      </bottom>
      <diagonal/>
    </border>
    <border>
      <left/>
      <right style="thin">
        <color rgb="FF000000"/>
      </right>
      <top/>
      <bottom style="thin">
        <color rgb="FF000000"/>
      </bottom>
      <diagonal/>
    </border>
    <border>
      <left/>
      <right style="medium">
        <color indexed="64"/>
      </right>
      <top style="thin">
        <color auto="1"/>
      </top>
      <bottom/>
      <diagonal/>
    </border>
    <border>
      <left style="thin">
        <color auto="1"/>
      </left>
      <right style="thin">
        <color auto="1"/>
      </right>
      <top style="thin">
        <color auto="1"/>
      </top>
      <bottom style="hair">
        <color auto="1"/>
      </bottom>
      <diagonal/>
    </border>
    <border>
      <left style="hair">
        <color auto="1"/>
      </left>
      <right style="hair">
        <color auto="1"/>
      </right>
      <top/>
      <bottom style="thin">
        <color auto="1"/>
      </bottom>
      <diagonal/>
    </border>
    <border>
      <left/>
      <right style="hair">
        <color auto="1"/>
      </right>
      <top style="hair">
        <color indexed="64"/>
      </top>
      <bottom style="hair">
        <color indexed="64"/>
      </bottom>
      <diagonal/>
    </border>
    <border>
      <left style="thin">
        <color auto="1"/>
      </left>
      <right/>
      <top style="hair">
        <color auto="1"/>
      </top>
      <bottom style="hair">
        <color auto="1"/>
      </bottom>
      <diagonal/>
    </border>
    <border>
      <left style="thin">
        <color auto="1"/>
      </left>
      <right/>
      <top style="hair">
        <color auto="1"/>
      </top>
      <bottom style="dotted">
        <color rgb="FF000000"/>
      </bottom>
      <diagonal/>
    </border>
    <border>
      <left/>
      <right/>
      <top/>
      <bottom style="dotted">
        <color rgb="FF000000"/>
      </bottom>
      <diagonal/>
    </border>
    <border>
      <left style="thin">
        <color auto="1"/>
      </left>
      <right style="thin">
        <color auto="1"/>
      </right>
      <top style="hair">
        <color auto="1"/>
      </top>
      <bottom style="thin">
        <color auto="1"/>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right style="hair">
        <color indexed="64"/>
      </right>
      <top/>
      <bottom/>
      <diagonal/>
    </border>
    <border>
      <left style="hair">
        <color auto="1"/>
      </left>
      <right style="hair">
        <color auto="1"/>
      </right>
      <top/>
      <bottom/>
      <diagonal/>
    </border>
    <border>
      <left style="hair">
        <color auto="1"/>
      </left>
      <right/>
      <top/>
      <bottom/>
      <diagonal/>
    </border>
    <border>
      <left style="hair">
        <color auto="1"/>
      </left>
      <right/>
      <top/>
      <bottom style="hair">
        <color auto="1"/>
      </bottom>
      <diagonal/>
    </border>
    <border>
      <left style="thin">
        <color auto="1"/>
      </left>
      <right style="hair">
        <color auto="1"/>
      </right>
      <top/>
      <bottom style="hair">
        <color auto="1"/>
      </bottom>
      <diagonal/>
    </border>
    <border>
      <left style="hair">
        <color auto="1"/>
      </left>
      <right style="thin">
        <color auto="1"/>
      </right>
      <top style="thin">
        <color indexed="64"/>
      </top>
      <bottom style="thin">
        <color indexed="64"/>
      </bottom>
      <diagonal/>
    </border>
    <border>
      <left style="thin">
        <color rgb="FF000000"/>
      </left>
      <right style="dotted">
        <color rgb="FF000000"/>
      </right>
      <top style="dotted">
        <color rgb="FF000000"/>
      </top>
      <bottom style="dotted">
        <color rgb="FF000000"/>
      </bottom>
      <diagonal/>
    </border>
    <border>
      <left style="dotted">
        <color rgb="FF000000"/>
      </left>
      <right style="dotted">
        <color rgb="FF000000"/>
      </right>
      <top style="dotted">
        <color rgb="FF000000"/>
      </top>
      <bottom style="dotted">
        <color rgb="FF000000"/>
      </bottom>
      <diagonal/>
    </border>
    <border>
      <left style="dotted">
        <color rgb="FF000000"/>
      </left>
      <right style="thin">
        <color rgb="FF000000"/>
      </right>
      <top style="dotted">
        <color rgb="FF000000"/>
      </top>
      <bottom style="dotted">
        <color rgb="FF000000"/>
      </bottom>
      <diagonal/>
    </border>
    <border>
      <left style="thin">
        <color rgb="FF000000"/>
      </left>
      <right style="dotted">
        <color rgb="FF000000"/>
      </right>
      <top style="dotted">
        <color rgb="FF000000"/>
      </top>
      <bottom style="thin">
        <color auto="1"/>
      </bottom>
      <diagonal/>
    </border>
    <border>
      <left style="dotted">
        <color rgb="FF000000"/>
      </left>
      <right style="dotted">
        <color rgb="FF000000"/>
      </right>
      <top style="dotted">
        <color rgb="FF000000"/>
      </top>
      <bottom style="thin">
        <color auto="1"/>
      </bottom>
      <diagonal/>
    </border>
    <border>
      <left style="dotted">
        <color rgb="FF000000"/>
      </left>
      <right style="thin">
        <color rgb="FF000000"/>
      </right>
      <top style="dotted">
        <color rgb="FF000000"/>
      </top>
      <bottom style="thin">
        <color auto="1"/>
      </bottom>
      <diagonal/>
    </border>
  </borders>
  <cellStyleXfs count="11">
    <xf numFmtId="0" fontId="0" fillId="0" borderId="0"/>
    <xf numFmtId="0" fontId="3" fillId="0" borderId="0"/>
    <xf numFmtId="0" fontId="19" fillId="0" borderId="0" applyNumberFormat="0" applyFill="0" applyBorder="0" applyAlignment="0" applyProtection="0"/>
    <xf numFmtId="0" fontId="3" fillId="0" borderId="0"/>
    <xf numFmtId="165" fontId="3" fillId="0" borderId="0" applyFont="0" applyFill="0" applyBorder="0" applyAlignment="0" applyProtection="0"/>
    <xf numFmtId="166" fontId="1" fillId="0" borderId="0" applyFont="0" applyFill="0" applyBorder="0" applyAlignment="0" applyProtection="0">
      <alignment vertical="center"/>
    </xf>
    <xf numFmtId="0" fontId="1" fillId="0" borderId="0"/>
    <xf numFmtId="164" fontId="1" fillId="0" borderId="0" applyFont="0" applyFill="0" applyBorder="0" applyAlignment="0" applyProtection="0"/>
    <xf numFmtId="9" fontId="3" fillId="0" borderId="0" applyFont="0" applyFill="0" applyBorder="0" applyAlignment="0" applyProtection="0"/>
    <xf numFmtId="165" fontId="1" fillId="0" borderId="0" applyFont="0" applyFill="0" applyBorder="0" applyAlignment="0" applyProtection="0"/>
    <xf numFmtId="0" fontId="28" fillId="0" borderId="0" applyNumberFormat="0" applyFill="0" applyBorder="0" applyAlignment="0" applyProtection="0"/>
  </cellStyleXfs>
  <cellXfs count="478">
    <xf numFmtId="0" fontId="0" fillId="0" borderId="0" xfId="0"/>
    <xf numFmtId="0" fontId="3" fillId="0" borderId="0" xfId="1"/>
    <xf numFmtId="0" fontId="4" fillId="0" borderId="0" xfId="1" applyFont="1"/>
    <xf numFmtId="0" fontId="5" fillId="0" borderId="0" xfId="1" applyFont="1"/>
    <xf numFmtId="0" fontId="6" fillId="0" borderId="1" xfId="1" applyFont="1" applyBorder="1"/>
    <xf numFmtId="0" fontId="3" fillId="0" borderId="1" xfId="1" applyBorder="1"/>
    <xf numFmtId="0" fontId="7" fillId="0" borderId="1" xfId="1" applyFont="1" applyBorder="1"/>
    <xf numFmtId="0" fontId="8" fillId="0" borderId="0" xfId="1" applyFont="1"/>
    <xf numFmtId="0" fontId="9" fillId="0" borderId="0" xfId="1" applyFont="1"/>
    <xf numFmtId="0" fontId="10" fillId="0" borderId="0" xfId="1" applyFont="1"/>
    <xf numFmtId="0" fontId="3" fillId="0" borderId="0" xfId="1" applyAlignment="1">
      <alignment horizontal="right"/>
    </xf>
    <xf numFmtId="0" fontId="3" fillId="0" borderId="0" xfId="1" quotePrefix="1"/>
    <xf numFmtId="0" fontId="16" fillId="0" borderId="0" xfId="1" applyFont="1"/>
    <xf numFmtId="0" fontId="17" fillId="0" borderId="0" xfId="1" applyFont="1"/>
    <xf numFmtId="0" fontId="18" fillId="2" borderId="0" xfId="1" applyFont="1" applyFill="1" applyAlignment="1">
      <alignment horizontal="left" vertical="center"/>
    </xf>
    <xf numFmtId="0" fontId="20" fillId="2" borderId="0" xfId="2" applyFont="1" applyFill="1" applyAlignment="1">
      <alignment horizontal="center" vertical="center"/>
    </xf>
    <xf numFmtId="0" fontId="17" fillId="2" borderId="0" xfId="1" applyFont="1" applyFill="1"/>
    <xf numFmtId="0" fontId="15" fillId="3" borderId="2" xfId="1" applyFont="1" applyFill="1" applyBorder="1"/>
    <xf numFmtId="0" fontId="3" fillId="3" borderId="2" xfId="1" applyFill="1" applyBorder="1"/>
    <xf numFmtId="0" fontId="15" fillId="3" borderId="2" xfId="1" applyFont="1" applyFill="1" applyBorder="1" applyAlignment="1">
      <alignment vertical="top"/>
    </xf>
    <xf numFmtId="0" fontId="3" fillId="3" borderId="2" xfId="1" applyFill="1" applyBorder="1" applyAlignment="1">
      <alignment vertical="top" wrapText="1"/>
    </xf>
    <xf numFmtId="0" fontId="22" fillId="4" borderId="2" xfId="1" applyFont="1" applyFill="1" applyBorder="1" applyAlignment="1">
      <alignment horizontal="center"/>
    </xf>
    <xf numFmtId="0" fontId="23" fillId="0" borderId="2" xfId="1" applyFont="1" applyBorder="1"/>
    <xf numFmtId="0" fontId="23" fillId="0" borderId="4" xfId="1" applyFont="1" applyBorder="1"/>
    <xf numFmtId="0" fontId="21" fillId="0" borderId="0" xfId="1" applyFont="1"/>
    <xf numFmtId="0" fontId="22" fillId="4" borderId="6" xfId="1" applyFont="1" applyFill="1" applyBorder="1" applyAlignment="1">
      <alignment horizontal="center"/>
    </xf>
    <xf numFmtId="0" fontId="22" fillId="4" borderId="5" xfId="1" applyFont="1" applyFill="1" applyBorder="1" applyAlignment="1">
      <alignment horizontal="center"/>
    </xf>
    <xf numFmtId="0" fontId="24" fillId="0" borderId="8" xfId="1" applyFont="1" applyBorder="1" applyAlignment="1">
      <alignment vertical="center"/>
    </xf>
    <xf numFmtId="0" fontId="24" fillId="0" borderId="9" xfId="1" applyFont="1" applyBorder="1" applyAlignment="1">
      <alignment vertical="center"/>
    </xf>
    <xf numFmtId="0" fontId="24" fillId="0" borderId="11" xfId="1" applyFont="1" applyBorder="1" applyAlignment="1">
      <alignment vertical="center"/>
    </xf>
    <xf numFmtId="0" fontId="24" fillId="0" borderId="12" xfId="1" applyFont="1" applyBorder="1" applyAlignment="1">
      <alignment vertical="center" wrapText="1"/>
    </xf>
    <xf numFmtId="0" fontId="24" fillId="0" borderId="14" xfId="1" applyFont="1" applyBorder="1" applyAlignment="1">
      <alignment vertical="center"/>
    </xf>
    <xf numFmtId="0" fontId="24" fillId="0" borderId="15" xfId="1" applyFont="1" applyBorder="1" applyAlignment="1">
      <alignment vertical="center" wrapText="1"/>
    </xf>
    <xf numFmtId="0" fontId="24" fillId="0" borderId="16" xfId="1" applyFont="1" applyBorder="1" applyAlignment="1">
      <alignment horizontal="center" vertical="center"/>
    </xf>
    <xf numFmtId="0" fontId="24" fillId="0" borderId="17" xfId="1" applyFont="1" applyBorder="1" applyAlignment="1">
      <alignment vertical="center"/>
    </xf>
    <xf numFmtId="0" fontId="24" fillId="0" borderId="18" xfId="1" applyFont="1" applyBorder="1" applyAlignment="1">
      <alignment vertical="center" wrapText="1"/>
    </xf>
    <xf numFmtId="0" fontId="21" fillId="0" borderId="3" xfId="1" applyFont="1" applyBorder="1" applyAlignment="1">
      <alignment horizontal="left" vertical="top" wrapText="1"/>
    </xf>
    <xf numFmtId="0" fontId="12" fillId="0" borderId="2" xfId="3" applyFont="1" applyBorder="1" applyAlignment="1">
      <alignment vertical="top" wrapText="1"/>
    </xf>
    <xf numFmtId="0" fontId="3" fillId="0" borderId="2" xfId="5" applyNumberFormat="1" applyFont="1" applyFill="1" applyBorder="1" applyAlignment="1" applyProtection="1">
      <alignment vertical="top" wrapText="1"/>
      <protection locked="0"/>
    </xf>
    <xf numFmtId="0" fontId="3" fillId="0" borderId="2" xfId="3" applyBorder="1" applyAlignment="1" applyProtection="1">
      <alignment vertical="top" wrapText="1"/>
      <protection locked="0"/>
    </xf>
    <xf numFmtId="0" fontId="12" fillId="0" borderId="2" xfId="5" applyNumberFormat="1" applyFont="1" applyFill="1" applyBorder="1" applyAlignment="1">
      <alignment vertical="top"/>
    </xf>
    <xf numFmtId="0" fontId="3" fillId="0" borderId="0" xfId="1" applyAlignment="1">
      <alignment vertical="top"/>
    </xf>
    <xf numFmtId="0" fontId="12" fillId="10" borderId="2" xfId="5" applyNumberFormat="1" applyFont="1" applyFill="1" applyBorder="1" applyAlignment="1">
      <alignment vertical="top"/>
    </xf>
    <xf numFmtId="0" fontId="3" fillId="10" borderId="2" xfId="3" applyFill="1" applyBorder="1" applyAlignment="1" applyProtection="1">
      <alignment vertical="top" wrapText="1"/>
      <protection locked="0"/>
    </xf>
    <xf numFmtId="0" fontId="0" fillId="0" borderId="2" xfId="0" applyBorder="1" applyAlignment="1">
      <alignment vertical="top"/>
    </xf>
    <xf numFmtId="0" fontId="24" fillId="0" borderId="40" xfId="1" applyFont="1" applyBorder="1" applyAlignment="1">
      <alignment vertical="center"/>
    </xf>
    <xf numFmtId="0" fontId="24" fillId="0" borderId="41" xfId="1" applyFont="1" applyBorder="1" applyAlignment="1">
      <alignment vertical="center" wrapText="1"/>
    </xf>
    <xf numFmtId="0" fontId="24" fillId="0" borderId="11" xfId="1" applyFont="1" applyBorder="1" applyAlignment="1">
      <alignment vertical="center" wrapText="1"/>
    </xf>
    <xf numFmtId="0" fontId="24" fillId="0" borderId="17" xfId="1" applyFont="1" applyBorder="1" applyAlignment="1">
      <alignment horizontal="center" vertical="center"/>
    </xf>
    <xf numFmtId="0" fontId="25" fillId="0" borderId="2" xfId="0" applyFont="1" applyBorder="1" applyAlignment="1">
      <alignment horizontal="left"/>
    </xf>
    <xf numFmtId="0" fontId="23" fillId="0" borderId="2" xfId="1" applyFont="1" applyBorder="1" applyAlignment="1">
      <alignment horizontal="left"/>
    </xf>
    <xf numFmtId="0" fontId="20" fillId="2" borderId="0" xfId="2" applyFont="1" applyFill="1" applyAlignment="1" applyProtection="1">
      <alignment horizontal="center" vertical="center"/>
    </xf>
    <xf numFmtId="0" fontId="12" fillId="0" borderId="2" xfId="3" applyFont="1" applyBorder="1" applyAlignment="1">
      <alignment horizontal="left" vertical="top" wrapText="1"/>
    </xf>
    <xf numFmtId="0" fontId="3" fillId="0" borderId="2" xfId="3" applyBorder="1" applyAlignment="1">
      <alignment horizontal="left" wrapText="1"/>
    </xf>
    <xf numFmtId="0" fontId="3" fillId="0" borderId="2" xfId="3" applyBorder="1" applyAlignment="1">
      <alignment horizontal="left" vertical="top" wrapText="1"/>
    </xf>
    <xf numFmtId="0" fontId="12" fillId="0" borderId="2" xfId="5" applyNumberFormat="1" applyFont="1" applyFill="1" applyBorder="1" applyAlignment="1" applyProtection="1">
      <alignment horizontal="left" vertical="center"/>
    </xf>
    <xf numFmtId="0" fontId="3" fillId="0" borderId="2" xfId="5" applyNumberFormat="1" applyFont="1" applyFill="1" applyBorder="1" applyAlignment="1" applyProtection="1">
      <alignment horizontal="left"/>
    </xf>
    <xf numFmtId="0" fontId="3" fillId="0" borderId="2" xfId="5" applyNumberFormat="1" applyFont="1" applyFill="1" applyBorder="1" applyAlignment="1" applyProtection="1">
      <alignment horizontal="left" vertical="top" wrapText="1"/>
    </xf>
    <xf numFmtId="0" fontId="27" fillId="23" borderId="42" xfId="1" applyFont="1" applyFill="1" applyBorder="1" applyAlignment="1">
      <alignment horizontal="left" vertical="center"/>
    </xf>
    <xf numFmtId="0" fontId="27" fillId="23" borderId="43" xfId="1" applyFont="1" applyFill="1" applyBorder="1" applyAlignment="1">
      <alignment horizontal="left" vertical="center"/>
    </xf>
    <xf numFmtId="0" fontId="24" fillId="0" borderId="7" xfId="1" applyFont="1" applyBorder="1" applyAlignment="1">
      <alignment horizontal="center" vertical="center"/>
    </xf>
    <xf numFmtId="0" fontId="24" fillId="0" borderId="10" xfId="1" applyFont="1" applyBorder="1" applyAlignment="1">
      <alignment horizontal="center" vertical="center"/>
    </xf>
    <xf numFmtId="0" fontId="24" fillId="0" borderId="13" xfId="1" applyFont="1" applyBorder="1" applyAlignment="1">
      <alignment horizontal="center" vertical="center"/>
    </xf>
    <xf numFmtId="0" fontId="24" fillId="0" borderId="15" xfId="1" applyFont="1" applyBorder="1" applyAlignment="1">
      <alignment vertical="center"/>
    </xf>
    <xf numFmtId="0" fontId="27" fillId="23" borderId="6" xfId="1" applyFont="1" applyFill="1" applyBorder="1" applyAlignment="1">
      <alignment horizontal="left" vertical="center"/>
    </xf>
    <xf numFmtId="0" fontId="27" fillId="23" borderId="37" xfId="1" applyFont="1" applyFill="1" applyBorder="1" applyAlignment="1">
      <alignment horizontal="left" vertical="center"/>
    </xf>
    <xf numFmtId="0" fontId="27" fillId="23" borderId="5" xfId="1" applyFont="1" applyFill="1" applyBorder="1" applyAlignment="1">
      <alignment horizontal="left" vertical="center"/>
    </xf>
    <xf numFmtId="0" fontId="24" fillId="0" borderId="0" xfId="1" applyFont="1" applyAlignment="1">
      <alignment horizontal="center" vertical="center"/>
    </xf>
    <xf numFmtId="0" fontId="24" fillId="0" borderId="0" xfId="1" applyFont="1" applyAlignment="1">
      <alignment vertical="center"/>
    </xf>
    <xf numFmtId="0" fontId="24" fillId="0" borderId="0" xfId="1" applyFont="1" applyAlignment="1">
      <alignment vertical="center" wrapText="1"/>
    </xf>
    <xf numFmtId="165" fontId="25" fillId="0" borderId="0" xfId="9" applyFont="1"/>
    <xf numFmtId="0" fontId="2" fillId="21" borderId="64" xfId="0" applyFont="1" applyFill="1" applyBorder="1" applyAlignment="1">
      <alignment horizontal="center" vertical="center" wrapText="1"/>
    </xf>
    <xf numFmtId="165" fontId="2" fillId="21" borderId="64" xfId="9" applyFont="1" applyFill="1" applyBorder="1" applyAlignment="1">
      <alignment horizontal="center" vertical="center" wrapText="1"/>
    </xf>
    <xf numFmtId="0" fontId="0" fillId="0" borderId="40" xfId="0" applyBorder="1" applyAlignment="1">
      <alignment vertical="top"/>
    </xf>
    <xf numFmtId="169" fontId="0" fillId="0" borderId="40" xfId="0" applyNumberFormat="1" applyBorder="1" applyAlignment="1">
      <alignment horizontal="right" vertical="top"/>
    </xf>
    <xf numFmtId="165" fontId="0" fillId="0" borderId="40" xfId="9" applyFont="1" applyBorder="1" applyAlignment="1">
      <alignment horizontal="right" vertical="top"/>
    </xf>
    <xf numFmtId="14" fontId="0" fillId="0" borderId="40" xfId="0" applyNumberFormat="1" applyBorder="1" applyAlignment="1">
      <alignment horizontal="right" vertical="top"/>
    </xf>
    <xf numFmtId="0" fontId="0" fillId="0" borderId="40" xfId="0" applyBorder="1"/>
    <xf numFmtId="165" fontId="0" fillId="0" borderId="0" xfId="9" applyFont="1"/>
    <xf numFmtId="3" fontId="0" fillId="0" borderId="40" xfId="0" applyNumberFormat="1" applyBorder="1" applyAlignment="1">
      <alignment horizontal="right" vertical="top"/>
    </xf>
    <xf numFmtId="4" fontId="0" fillId="0" borderId="40" xfId="0" applyNumberFormat="1" applyBorder="1" applyAlignment="1">
      <alignment horizontal="right" vertical="top"/>
    </xf>
    <xf numFmtId="1" fontId="10" fillId="25" borderId="2" xfId="4" applyNumberFormat="1" applyFont="1" applyFill="1" applyBorder="1" applyAlignment="1" applyProtection="1">
      <alignment horizontal="left" vertical="top" wrapText="1"/>
    </xf>
    <xf numFmtId="0" fontId="3" fillId="7" borderId="2" xfId="3" applyFill="1" applyBorder="1" applyAlignment="1">
      <alignment horizontal="left" wrapText="1"/>
    </xf>
    <xf numFmtId="1" fontId="10" fillId="25" borderId="2" xfId="4" applyNumberFormat="1" applyFont="1" applyFill="1" applyBorder="1" applyAlignment="1" applyProtection="1">
      <alignment vertical="top" wrapText="1"/>
    </xf>
    <xf numFmtId="0" fontId="3" fillId="7" borderId="2" xfId="3" applyFill="1" applyBorder="1" applyAlignment="1" applyProtection="1">
      <alignment vertical="top" wrapText="1"/>
      <protection locked="0"/>
    </xf>
    <xf numFmtId="0" fontId="29" fillId="0" borderId="0" xfId="1" applyFont="1"/>
    <xf numFmtId="0" fontId="30" fillId="0" borderId="0" xfId="1" applyFont="1"/>
    <xf numFmtId="0" fontId="31" fillId="0" borderId="0" xfId="1" applyFont="1"/>
    <xf numFmtId="0" fontId="30" fillId="0" borderId="1" xfId="1" applyFont="1" applyBorder="1"/>
    <xf numFmtId="0" fontId="32" fillId="0" borderId="1" xfId="1" applyFont="1" applyBorder="1"/>
    <xf numFmtId="0" fontId="33" fillId="0" borderId="0" xfId="1" applyFont="1"/>
    <xf numFmtId="0" fontId="34" fillId="0" borderId="0" xfId="1" applyFont="1"/>
    <xf numFmtId="0" fontId="35" fillId="0" borderId="0" xfId="1" applyFont="1"/>
    <xf numFmtId="0" fontId="30" fillId="0" borderId="0" xfId="1" applyFont="1" applyAlignment="1">
      <alignment horizontal="right"/>
    </xf>
    <xf numFmtId="0" fontId="30" fillId="0" borderId="0" xfId="1" quotePrefix="1" applyFont="1"/>
    <xf numFmtId="0" fontId="41" fillId="26" borderId="2" xfId="1" applyFont="1" applyFill="1" applyBorder="1"/>
    <xf numFmtId="0" fontId="30" fillId="0" borderId="2" xfId="1" applyFont="1" applyBorder="1"/>
    <xf numFmtId="0" fontId="41" fillId="26" borderId="2" xfId="1" applyFont="1" applyFill="1" applyBorder="1" applyAlignment="1">
      <alignment vertical="top"/>
    </xf>
    <xf numFmtId="0" fontId="30" fillId="0" borderId="2" xfId="1" applyFont="1" applyBorder="1" applyAlignment="1">
      <alignment vertical="top" wrapText="1"/>
    </xf>
    <xf numFmtId="0" fontId="40" fillId="0" borderId="3" xfId="1" applyFont="1" applyBorder="1" applyAlignment="1">
      <alignment horizontal="left" vertical="top" wrapText="1"/>
    </xf>
    <xf numFmtId="0" fontId="41" fillId="26" borderId="2" xfId="1" applyFont="1" applyFill="1" applyBorder="1" applyAlignment="1">
      <alignment horizontal="center"/>
    </xf>
    <xf numFmtId="0" fontId="30" fillId="0" borderId="2" xfId="1" applyFont="1" applyBorder="1" applyAlignment="1">
      <alignment horizontal="left"/>
    </xf>
    <xf numFmtId="0" fontId="30" fillId="0" borderId="4" xfId="1" applyFont="1" applyBorder="1"/>
    <xf numFmtId="0" fontId="42" fillId="0" borderId="0" xfId="1" applyFont="1"/>
    <xf numFmtId="0" fontId="37" fillId="0" borderId="2" xfId="3" applyFont="1" applyBorder="1" applyAlignment="1">
      <alignment horizontal="left" vertical="top" wrapText="1"/>
    </xf>
    <xf numFmtId="0" fontId="30" fillId="0" borderId="2" xfId="3" applyFont="1" applyBorder="1" applyAlignment="1">
      <alignment horizontal="left" vertical="top" wrapText="1"/>
    </xf>
    <xf numFmtId="0" fontId="30" fillId="0" borderId="2" xfId="3" applyFont="1" applyBorder="1" applyAlignment="1">
      <alignment horizontal="left" wrapText="1"/>
    </xf>
    <xf numFmtId="0" fontId="37" fillId="0" borderId="4" xfId="3" applyFont="1" applyBorder="1" applyAlignment="1">
      <alignment horizontal="left" vertical="top" wrapText="1"/>
    </xf>
    <xf numFmtId="0" fontId="30" fillId="0" borderId="4" xfId="3" applyFont="1" applyBorder="1" applyAlignment="1">
      <alignment horizontal="left" wrapText="1"/>
    </xf>
    <xf numFmtId="0" fontId="37" fillId="0" borderId="22" xfId="3" applyFont="1" applyBorder="1" applyAlignment="1">
      <alignment horizontal="left" vertical="top" wrapText="1"/>
    </xf>
    <xf numFmtId="0" fontId="30" fillId="0" borderId="4" xfId="3" applyFont="1" applyBorder="1" applyAlignment="1">
      <alignment horizontal="left" vertical="top" wrapText="1"/>
    </xf>
    <xf numFmtId="0" fontId="37" fillId="0" borderId="16" xfId="3" applyFont="1" applyBorder="1" applyAlignment="1">
      <alignment horizontal="left" vertical="top" wrapText="1"/>
    </xf>
    <xf numFmtId="0" fontId="30" fillId="0" borderId="17" xfId="3" applyFont="1" applyBorder="1" applyAlignment="1">
      <alignment horizontal="left" vertical="top" wrapText="1"/>
    </xf>
    <xf numFmtId="0" fontId="37" fillId="0" borderId="17" xfId="3" applyFont="1" applyBorder="1" applyAlignment="1">
      <alignment horizontal="left" vertical="top" wrapText="1"/>
    </xf>
    <xf numFmtId="0" fontId="30" fillId="0" borderId="17" xfId="3" applyFont="1" applyBorder="1" applyAlignment="1">
      <alignment horizontal="left" wrapText="1"/>
    </xf>
    <xf numFmtId="0" fontId="37" fillId="27" borderId="2" xfId="3" quotePrefix="1" applyFont="1" applyFill="1" applyBorder="1" applyAlignment="1">
      <alignment horizontal="left" vertical="top" wrapText="1" indent="2"/>
    </xf>
    <xf numFmtId="0" fontId="30" fillId="27" borderId="2" xfId="3" applyFont="1" applyFill="1" applyBorder="1" applyAlignment="1">
      <alignment horizontal="left" wrapText="1"/>
    </xf>
    <xf numFmtId="0" fontId="37" fillId="0" borderId="2" xfId="5" applyNumberFormat="1" applyFont="1" applyFill="1" applyBorder="1" applyAlignment="1" applyProtection="1">
      <alignment horizontal="left" vertical="center"/>
    </xf>
    <xf numFmtId="0" fontId="30" fillId="0" borderId="2" xfId="5" applyNumberFormat="1" applyFont="1" applyFill="1" applyBorder="1" applyAlignment="1" applyProtection="1">
      <alignment horizontal="left"/>
    </xf>
    <xf numFmtId="0" fontId="37" fillId="0" borderId="2" xfId="5" applyNumberFormat="1" applyFont="1" applyFill="1" applyBorder="1" applyAlignment="1" applyProtection="1">
      <alignment horizontal="left" vertical="center" wrapText="1"/>
    </xf>
    <xf numFmtId="0" fontId="40" fillId="0" borderId="0" xfId="1" applyFont="1"/>
    <xf numFmtId="0" fontId="41" fillId="26" borderId="6" xfId="1" applyFont="1" applyFill="1" applyBorder="1" applyAlignment="1">
      <alignment horizontal="center"/>
    </xf>
    <xf numFmtId="0" fontId="41" fillId="26" borderId="5" xfId="1" applyFont="1" applyFill="1" applyBorder="1" applyAlignment="1">
      <alignment horizontal="center"/>
    </xf>
    <xf numFmtId="0" fontId="41" fillId="0" borderId="0" xfId="1" applyFont="1" applyAlignment="1">
      <alignment horizontal="center"/>
    </xf>
    <xf numFmtId="0" fontId="44" fillId="28" borderId="42" xfId="1" applyFont="1" applyFill="1" applyBorder="1" applyAlignment="1">
      <alignment horizontal="left" vertical="center"/>
    </xf>
    <xf numFmtId="0" fontId="38" fillId="28" borderId="43" xfId="1" applyFont="1" applyFill="1" applyBorder="1" applyAlignment="1">
      <alignment horizontal="left" vertical="center"/>
    </xf>
    <xf numFmtId="0" fontId="38" fillId="28" borderId="51" xfId="1" applyFont="1" applyFill="1" applyBorder="1" applyAlignment="1">
      <alignment horizontal="left" vertical="center"/>
    </xf>
    <xf numFmtId="0" fontId="38" fillId="0" borderId="0" xfId="1" applyFont="1" applyAlignment="1">
      <alignment horizontal="left" vertical="center"/>
    </xf>
    <xf numFmtId="0" fontId="30" fillId="0" borderId="7" xfId="1" applyFont="1" applyBorder="1" applyAlignment="1">
      <alignment horizontal="center" vertical="center"/>
    </xf>
    <xf numFmtId="0" fontId="30" fillId="0" borderId="8" xfId="1" applyFont="1" applyBorder="1" applyAlignment="1">
      <alignment vertical="center"/>
    </xf>
    <xf numFmtId="0" fontId="30" fillId="0" borderId="9" xfId="1" applyFont="1" applyBorder="1" applyAlignment="1">
      <alignment vertical="center" wrapText="1"/>
    </xf>
    <xf numFmtId="0" fontId="30" fillId="0" borderId="0" xfId="1" applyFont="1" applyAlignment="1">
      <alignment vertical="center"/>
    </xf>
    <xf numFmtId="0" fontId="30" fillId="0" borderId="10" xfId="1" applyFont="1" applyBorder="1" applyAlignment="1">
      <alignment horizontal="center" vertical="center"/>
    </xf>
    <xf numFmtId="0" fontId="30" fillId="0" borderId="11" xfId="1" applyFont="1" applyBorder="1" applyAlignment="1">
      <alignment vertical="center"/>
    </xf>
    <xf numFmtId="0" fontId="30" fillId="0" borderId="12" xfId="1" applyFont="1" applyBorder="1" applyAlignment="1">
      <alignment vertical="center" wrapText="1"/>
    </xf>
    <xf numFmtId="0" fontId="30" fillId="0" borderId="0" xfId="1" applyFont="1" applyAlignment="1">
      <alignment vertical="center" wrapText="1"/>
    </xf>
    <xf numFmtId="0" fontId="30" fillId="0" borderId="13" xfId="1" applyFont="1" applyBorder="1" applyAlignment="1">
      <alignment horizontal="center" vertical="center"/>
    </xf>
    <xf numFmtId="0" fontId="30" fillId="0" borderId="14" xfId="1" applyFont="1" applyBorder="1" applyAlignment="1">
      <alignment vertical="center"/>
    </xf>
    <xf numFmtId="0" fontId="30" fillId="0" borderId="15" xfId="1" applyFont="1" applyBorder="1" applyAlignment="1">
      <alignment vertical="center" wrapText="1"/>
    </xf>
    <xf numFmtId="0" fontId="44" fillId="28" borderId="6" xfId="1" applyFont="1" applyFill="1" applyBorder="1" applyAlignment="1">
      <alignment horizontal="left" vertical="center"/>
    </xf>
    <xf numFmtId="0" fontId="38" fillId="28" borderId="37" xfId="1" applyFont="1" applyFill="1" applyBorder="1" applyAlignment="1">
      <alignment horizontal="left" vertical="center"/>
    </xf>
    <xf numFmtId="0" fontId="38" fillId="28" borderId="5" xfId="1" applyFont="1" applyFill="1" applyBorder="1" applyAlignment="1">
      <alignment horizontal="left" vertical="center"/>
    </xf>
    <xf numFmtId="0" fontId="30" fillId="0" borderId="16" xfId="1" applyFont="1" applyBorder="1" applyAlignment="1">
      <alignment horizontal="center" vertical="center"/>
    </xf>
    <xf numFmtId="0" fontId="30" fillId="0" borderId="17" xfId="1" applyFont="1" applyBorder="1" applyAlignment="1">
      <alignment vertical="center"/>
    </xf>
    <xf numFmtId="0" fontId="30" fillId="0" borderId="18" xfId="1" applyFont="1" applyBorder="1" applyAlignment="1">
      <alignment vertical="center" wrapText="1"/>
    </xf>
    <xf numFmtId="0" fontId="41" fillId="26" borderId="2" xfId="3" applyFont="1" applyFill="1" applyBorder="1" applyAlignment="1">
      <alignment vertical="top" wrapText="1"/>
    </xf>
    <xf numFmtId="0" fontId="30" fillId="0" borderId="2" xfId="3" applyFont="1" applyBorder="1" applyAlignment="1" applyProtection="1">
      <alignment vertical="top" wrapText="1"/>
      <protection locked="0"/>
    </xf>
    <xf numFmtId="1" fontId="41" fillId="29" borderId="2" xfId="4" applyNumberFormat="1" applyFont="1" applyFill="1" applyBorder="1" applyAlignment="1" applyProtection="1">
      <alignment vertical="top" wrapText="1"/>
    </xf>
    <xf numFmtId="0" fontId="30" fillId="7" borderId="2" xfId="3" applyFont="1" applyFill="1" applyBorder="1" applyAlignment="1" applyProtection="1">
      <alignment vertical="top" wrapText="1"/>
      <protection locked="0"/>
    </xf>
    <xf numFmtId="0" fontId="41" fillId="26" borderId="2" xfId="5" applyNumberFormat="1" applyFont="1" applyFill="1" applyBorder="1" applyAlignment="1">
      <alignment vertical="top"/>
    </xf>
    <xf numFmtId="0" fontId="30" fillId="0" borderId="2" xfId="5" applyNumberFormat="1" applyFont="1" applyFill="1" applyBorder="1" applyAlignment="1" applyProtection="1">
      <alignment vertical="top" wrapText="1"/>
      <protection locked="0"/>
    </xf>
    <xf numFmtId="0" fontId="30" fillId="0" borderId="11" xfId="1" applyFont="1" applyBorder="1" applyAlignment="1">
      <alignment vertical="center" wrapText="1"/>
    </xf>
    <xf numFmtId="0" fontId="30" fillId="0" borderId="40" xfId="1" applyFont="1" applyBorder="1" applyAlignment="1">
      <alignment vertical="center"/>
    </xf>
    <xf numFmtId="0" fontId="30" fillId="0" borderId="41" xfId="1" applyFont="1" applyBorder="1" applyAlignment="1">
      <alignment vertical="center" wrapText="1"/>
    </xf>
    <xf numFmtId="0" fontId="30" fillId="0" borderId="17" xfId="1" applyFont="1" applyBorder="1" applyAlignment="1">
      <alignment horizontal="center" vertical="center"/>
    </xf>
    <xf numFmtId="0" fontId="37" fillId="0" borderId="0" xfId="1" applyFont="1"/>
    <xf numFmtId="0" fontId="41" fillId="26" borderId="37" xfId="1" applyFont="1" applyFill="1" applyBorder="1" applyAlignment="1">
      <alignment horizontal="center"/>
    </xf>
    <xf numFmtId="0" fontId="41" fillId="26" borderId="24" xfId="1" applyFont="1" applyFill="1" applyBorder="1" applyAlignment="1">
      <alignment horizontal="center"/>
    </xf>
    <xf numFmtId="0" fontId="25" fillId="0" borderId="0" xfId="0" applyFont="1" applyAlignment="1">
      <alignment horizontal="center" vertical="center"/>
    </xf>
    <xf numFmtId="0" fontId="30" fillId="0" borderId="67" xfId="1" applyFont="1" applyBorder="1" applyAlignment="1">
      <alignment vertical="center"/>
    </xf>
    <xf numFmtId="0" fontId="30" fillId="0" borderId="24" xfId="1" applyFont="1" applyBorder="1" applyAlignment="1">
      <alignment vertical="center"/>
    </xf>
    <xf numFmtId="0" fontId="30" fillId="0" borderId="68" xfId="1" applyFont="1" applyBorder="1" applyAlignment="1">
      <alignment vertical="center" wrapText="1"/>
    </xf>
    <xf numFmtId="0" fontId="30" fillId="0" borderId="69" xfId="1" applyFont="1" applyBorder="1" applyAlignment="1">
      <alignment vertical="center" wrapText="1"/>
    </xf>
    <xf numFmtId="0" fontId="40" fillId="28" borderId="0" xfId="0" applyFont="1" applyFill="1"/>
    <xf numFmtId="0" fontId="30" fillId="28" borderId="0" xfId="0" applyFont="1" applyFill="1"/>
    <xf numFmtId="0" fontId="30" fillId="28" borderId="0" xfId="0" applyFont="1" applyFill="1" applyAlignment="1">
      <alignment horizontal="center"/>
    </xf>
    <xf numFmtId="0" fontId="41" fillId="26" borderId="2" xfId="0" applyFont="1" applyFill="1" applyBorder="1" applyAlignment="1">
      <alignment horizontal="center"/>
    </xf>
    <xf numFmtId="0" fontId="30" fillId="0" borderId="0" xfId="0" applyFont="1"/>
    <xf numFmtId="0" fontId="30" fillId="0" borderId="0" xfId="0" applyFont="1" applyAlignment="1">
      <alignment horizontal="center"/>
    </xf>
    <xf numFmtId="0" fontId="30" fillId="0" borderId="2" xfId="0" applyFont="1" applyBorder="1"/>
    <xf numFmtId="0" fontId="40" fillId="28" borderId="0" xfId="0" applyFont="1" applyFill="1" applyAlignment="1">
      <alignment horizontal="center"/>
    </xf>
    <xf numFmtId="0" fontId="30" fillId="0" borderId="2" xfId="0" applyFont="1" applyBorder="1" applyAlignment="1">
      <alignment horizontal="center"/>
    </xf>
    <xf numFmtId="0" fontId="30" fillId="0" borderId="0" xfId="1" applyFont="1" applyAlignment="1">
      <alignment horizontal="center"/>
    </xf>
    <xf numFmtId="0" fontId="41" fillId="26" borderId="64" xfId="1" applyFont="1" applyFill="1" applyBorder="1" applyAlignment="1">
      <alignment horizontal="center" vertical="center"/>
    </xf>
    <xf numFmtId="0" fontId="30" fillId="0" borderId="40" xfId="1" applyFont="1" applyBorder="1" applyAlignment="1">
      <alignment vertical="center" wrapText="1"/>
    </xf>
    <xf numFmtId="0" fontId="30" fillId="0" borderId="40" xfId="0" applyFont="1" applyBorder="1" applyAlignment="1">
      <alignment horizontal="center" vertical="center"/>
    </xf>
    <xf numFmtId="0" fontId="30" fillId="0" borderId="70" xfId="1" applyFont="1" applyBorder="1" applyAlignment="1">
      <alignment vertical="center"/>
    </xf>
    <xf numFmtId="0" fontId="30" fillId="0" borderId="70" xfId="1" applyFont="1" applyBorder="1" applyAlignment="1">
      <alignment vertical="center" wrapText="1"/>
    </xf>
    <xf numFmtId="0" fontId="30" fillId="0" borderId="70" xfId="0" applyFont="1" applyBorder="1" applyAlignment="1">
      <alignment horizontal="center" vertical="center"/>
    </xf>
    <xf numFmtId="0" fontId="40" fillId="0" borderId="0" xfId="0" applyFont="1"/>
    <xf numFmtId="0" fontId="40" fillId="0" borderId="0" xfId="1" applyFont="1" applyAlignment="1">
      <alignment horizontal="center"/>
    </xf>
    <xf numFmtId="0" fontId="40" fillId="0" borderId="21" xfId="1" applyFont="1" applyBorder="1" applyAlignment="1" applyProtection="1">
      <alignment horizontal="left"/>
      <protection locked="0"/>
    </xf>
    <xf numFmtId="0" fontId="48" fillId="0" borderId="0" xfId="0" applyFont="1"/>
    <xf numFmtId="0" fontId="30" fillId="0" borderId="0" xfId="1" applyFont="1" applyProtection="1">
      <protection locked="0"/>
    </xf>
    <xf numFmtId="0" fontId="30" fillId="0" borderId="0" xfId="1" applyFont="1" applyProtection="1">
      <protection locked="0" hidden="1"/>
    </xf>
    <xf numFmtId="0" fontId="39" fillId="0" borderId="0" xfId="1" applyFont="1" applyAlignment="1" applyProtection="1">
      <alignment vertical="center"/>
      <protection locked="0"/>
    </xf>
    <xf numFmtId="0" fontId="39" fillId="0" borderId="0" xfId="1" applyFont="1" applyAlignment="1" applyProtection="1">
      <alignment vertical="center" wrapText="1"/>
      <protection locked="0"/>
    </xf>
    <xf numFmtId="0" fontId="35" fillId="0" borderId="51" xfId="1" applyFont="1" applyBorder="1" applyAlignment="1" applyProtection="1">
      <alignment horizontal="center" vertical="center" wrapText="1"/>
      <protection locked="0" hidden="1"/>
    </xf>
    <xf numFmtId="0" fontId="30" fillId="0" borderId="53" xfId="1" applyFont="1" applyBorder="1" applyProtection="1">
      <protection locked="0" hidden="1"/>
    </xf>
    <xf numFmtId="0" fontId="30" fillId="0" borderId="54" xfId="1" applyFont="1" applyBorder="1" applyProtection="1">
      <protection locked="0" hidden="1"/>
    </xf>
    <xf numFmtId="0" fontId="30" fillId="0" borderId="55" xfId="1" applyFont="1" applyBorder="1" applyProtection="1">
      <protection locked="0" hidden="1"/>
    </xf>
    <xf numFmtId="0" fontId="30" fillId="0" borderId="56" xfId="1" applyFont="1" applyBorder="1" applyProtection="1">
      <protection locked="0" hidden="1"/>
    </xf>
    <xf numFmtId="0" fontId="30" fillId="0" borderId="57" xfId="1" applyFont="1" applyBorder="1" applyProtection="1">
      <protection locked="0" hidden="1"/>
    </xf>
    <xf numFmtId="0" fontId="30" fillId="0" borderId="26" xfId="1" applyFont="1" applyBorder="1" applyProtection="1">
      <protection locked="0" hidden="1"/>
    </xf>
    <xf numFmtId="0" fontId="30" fillId="0" borderId="24" xfId="1" applyFont="1" applyBorder="1" applyProtection="1">
      <protection locked="0" hidden="1"/>
    </xf>
    <xf numFmtId="0" fontId="30" fillId="0" borderId="25" xfId="1" applyFont="1" applyBorder="1" applyProtection="1">
      <protection locked="0" hidden="1"/>
    </xf>
    <xf numFmtId="0" fontId="30" fillId="0" borderId="27" xfId="1" applyFont="1" applyBorder="1" applyProtection="1">
      <protection locked="0" hidden="1"/>
    </xf>
    <xf numFmtId="0" fontId="49" fillId="0" borderId="60" xfId="1" applyFont="1" applyBorder="1" applyAlignment="1" applyProtection="1">
      <alignment horizontal="center"/>
      <protection locked="0" hidden="1"/>
    </xf>
    <xf numFmtId="0" fontId="30" fillId="0" borderId="0" xfId="0" applyFont="1" applyProtection="1">
      <protection locked="0"/>
    </xf>
    <xf numFmtId="0" fontId="51" fillId="6" borderId="0" xfId="0" applyFont="1" applyFill="1" applyAlignment="1">
      <alignment vertical="center"/>
    </xf>
    <xf numFmtId="0" fontId="31" fillId="6" borderId="0" xfId="0" applyFont="1" applyFill="1" applyAlignment="1">
      <alignment vertical="center"/>
    </xf>
    <xf numFmtId="0" fontId="30" fillId="6" borderId="0" xfId="0" applyFont="1" applyFill="1"/>
    <xf numFmtId="0" fontId="46" fillId="7" borderId="0" xfId="6" applyFont="1" applyFill="1" applyAlignment="1">
      <alignment horizontal="center" vertical="center"/>
    </xf>
    <xf numFmtId="0" fontId="46" fillId="7" borderId="2" xfId="6" applyFont="1" applyFill="1" applyBorder="1" applyAlignment="1">
      <alignment horizontal="center" vertical="center"/>
    </xf>
    <xf numFmtId="0" fontId="47" fillId="0" borderId="0" xfId="6" applyFont="1" applyAlignment="1">
      <alignment vertical="center"/>
    </xf>
    <xf numFmtId="0" fontId="47" fillId="0" borderId="2" xfId="6" applyFont="1" applyBorder="1" applyAlignment="1">
      <alignment vertical="center"/>
    </xf>
    <xf numFmtId="0" fontId="47" fillId="20" borderId="0" xfId="6" applyFont="1" applyFill="1" applyAlignment="1">
      <alignment vertical="center"/>
    </xf>
    <xf numFmtId="0" fontId="47" fillId="20" borderId="2" xfId="6" applyFont="1" applyFill="1" applyBorder="1" applyAlignment="1">
      <alignment vertical="center"/>
    </xf>
    <xf numFmtId="0" fontId="30" fillId="10" borderId="0" xfId="0" applyFont="1" applyFill="1"/>
    <xf numFmtId="0" fontId="41" fillId="9" borderId="28" xfId="0" applyFont="1" applyFill="1" applyBorder="1"/>
    <xf numFmtId="0" fontId="30" fillId="0" borderId="5" xfId="0" applyFont="1" applyBorder="1"/>
    <xf numFmtId="0" fontId="30" fillId="0" borderId="29" xfId="0" applyFont="1" applyBorder="1"/>
    <xf numFmtId="0" fontId="52" fillId="11" borderId="2" xfId="0" applyFont="1" applyFill="1" applyBorder="1" applyAlignment="1">
      <alignment horizontal="center"/>
    </xf>
    <xf numFmtId="0" fontId="52" fillId="12" borderId="2" xfId="0" applyFont="1" applyFill="1" applyBorder="1" applyAlignment="1">
      <alignment horizontal="center"/>
    </xf>
    <xf numFmtId="0" fontId="30" fillId="0" borderId="2" xfId="0" applyFont="1" applyBorder="1" applyAlignment="1">
      <alignment horizontal="left"/>
    </xf>
    <xf numFmtId="0" fontId="30" fillId="10" borderId="2" xfId="0" applyFont="1" applyFill="1" applyBorder="1" applyAlignment="1">
      <alignment horizontal="left"/>
    </xf>
    <xf numFmtId="0" fontId="30" fillId="13" borderId="2" xfId="0" applyFont="1" applyFill="1" applyBorder="1" applyAlignment="1">
      <alignment horizontal="left"/>
    </xf>
    <xf numFmtId="0" fontId="30" fillId="20" borderId="2" xfId="0" applyFont="1" applyFill="1" applyBorder="1" applyAlignment="1">
      <alignment horizontal="left"/>
    </xf>
    <xf numFmtId="0" fontId="30" fillId="16" borderId="3" xfId="0" applyFont="1" applyFill="1" applyBorder="1" applyAlignment="1">
      <alignment vertical="top"/>
    </xf>
    <xf numFmtId="0" fontId="30" fillId="16" borderId="2" xfId="0" applyFont="1" applyFill="1" applyBorder="1" applyAlignment="1">
      <alignment vertical="top"/>
    </xf>
    <xf numFmtId="0" fontId="30" fillId="0" borderId="3" xfId="0" applyFont="1" applyBorder="1" applyAlignment="1">
      <alignment vertical="top"/>
    </xf>
    <xf numFmtId="0" fontId="30" fillId="0" borderId="2" xfId="0" applyFont="1" applyBorder="1" applyAlignment="1">
      <alignment vertical="top"/>
    </xf>
    <xf numFmtId="0" fontId="30" fillId="0" borderId="0" xfId="0" applyFont="1" applyAlignment="1">
      <alignment horizontal="left"/>
    </xf>
    <xf numFmtId="0" fontId="30" fillId="0" borderId="3" xfId="0" applyFont="1" applyBorder="1" applyAlignment="1">
      <alignment horizontal="left" vertical="top"/>
    </xf>
    <xf numFmtId="0" fontId="30" fillId="0" borderId="37" xfId="0" applyFont="1" applyBorder="1"/>
    <xf numFmtId="0" fontId="30" fillId="10" borderId="37" xfId="0" applyFont="1" applyFill="1" applyBorder="1"/>
    <xf numFmtId="0" fontId="30" fillId="10" borderId="2" xfId="0" applyFont="1" applyFill="1" applyBorder="1"/>
    <xf numFmtId="0" fontId="30" fillId="3" borderId="37" xfId="0" applyFont="1" applyFill="1" applyBorder="1"/>
    <xf numFmtId="0" fontId="30" fillId="3" borderId="2" xfId="0" applyFont="1" applyFill="1" applyBorder="1"/>
    <xf numFmtId="0" fontId="30" fillId="3" borderId="0" xfId="0" applyFont="1" applyFill="1"/>
    <xf numFmtId="0" fontId="30" fillId="0" borderId="37" xfId="0" applyFont="1" applyBorder="1" applyAlignment="1">
      <alignment horizontal="left"/>
    </xf>
    <xf numFmtId="0" fontId="30" fillId="10" borderId="19" xfId="0" applyFont="1" applyFill="1" applyBorder="1"/>
    <xf numFmtId="49" fontId="45" fillId="16" borderId="2" xfId="0" applyNumberFormat="1" applyFont="1" applyFill="1" applyBorder="1" applyAlignment="1">
      <alignment horizontal="center" vertical="center" wrapText="1"/>
    </xf>
    <xf numFmtId="0" fontId="45" fillId="16" borderId="2" xfId="0" applyFont="1" applyFill="1" applyBorder="1" applyAlignment="1">
      <alignment horizontal="center" vertical="center" wrapText="1"/>
    </xf>
    <xf numFmtId="0" fontId="53" fillId="14" borderId="2" xfId="0" applyFont="1" applyFill="1" applyBorder="1" applyAlignment="1">
      <alignment horizontal="center" vertical="center" wrapText="1"/>
    </xf>
    <xf numFmtId="0" fontId="45" fillId="0" borderId="2" xfId="0" applyFont="1" applyBorder="1" applyAlignment="1">
      <alignment vertical="top"/>
    </xf>
    <xf numFmtId="0" fontId="45" fillId="0" borderId="2" xfId="0" applyFont="1" applyBorder="1" applyAlignment="1">
      <alignment vertical="center"/>
    </xf>
    <xf numFmtId="0" fontId="45" fillId="17" borderId="2" xfId="0" applyFont="1" applyFill="1" applyBorder="1" applyAlignment="1">
      <alignment vertical="top"/>
    </xf>
    <xf numFmtId="0" fontId="45" fillId="19" borderId="2" xfId="0" applyFont="1" applyFill="1" applyBorder="1" applyAlignment="1">
      <alignment vertical="top"/>
    </xf>
    <xf numFmtId="0" fontId="45" fillId="0" borderId="2" xfId="0" applyFont="1" applyBorder="1"/>
    <xf numFmtId="0" fontId="41" fillId="24" borderId="0" xfId="0" applyFont="1" applyFill="1" applyAlignment="1">
      <alignment vertical="center"/>
    </xf>
    <xf numFmtId="0" fontId="30" fillId="24" borderId="0" xfId="0" applyFont="1" applyFill="1"/>
    <xf numFmtId="0" fontId="40" fillId="0" borderId="2" xfId="0" applyFont="1" applyBorder="1" applyAlignment="1">
      <alignment horizontal="left"/>
    </xf>
    <xf numFmtId="0" fontId="30" fillId="0" borderId="2" xfId="0" applyFont="1" applyBorder="1" applyAlignment="1">
      <alignment horizontal="left" vertical="top"/>
    </xf>
    <xf numFmtId="0" fontId="41" fillId="6" borderId="0" xfId="0" applyFont="1" applyFill="1"/>
    <xf numFmtId="0" fontId="52" fillId="0" borderId="0" xfId="0" applyFont="1"/>
    <xf numFmtId="0" fontId="52" fillId="0" borderId="0" xfId="0" applyFont="1" applyAlignment="1">
      <alignment horizontal="center"/>
    </xf>
    <xf numFmtId="0" fontId="54" fillId="0" borderId="0" xfId="0" applyFont="1"/>
    <xf numFmtId="0" fontId="30" fillId="0" borderId="0" xfId="0" applyFont="1" applyAlignment="1">
      <alignment vertical="center"/>
    </xf>
    <xf numFmtId="0" fontId="40" fillId="16" borderId="6" xfId="0" applyFont="1" applyFill="1" applyBorder="1" applyAlignment="1">
      <alignment horizontal="center" vertical="center"/>
    </xf>
    <xf numFmtId="0" fontId="40" fillId="16" borderId="37" xfId="0" applyFont="1" applyFill="1" applyBorder="1" applyAlignment="1">
      <alignment horizontal="center" vertical="center"/>
    </xf>
    <xf numFmtId="0" fontId="40" fillId="16" borderId="45" xfId="0" applyFont="1" applyFill="1" applyBorder="1" applyAlignment="1">
      <alignment horizontal="center" vertical="center"/>
    </xf>
    <xf numFmtId="0" fontId="37" fillId="0" borderId="0" xfId="0" applyFont="1"/>
    <xf numFmtId="0" fontId="54" fillId="0" borderId="0" xfId="0" applyFont="1" applyAlignment="1">
      <alignment vertical="center"/>
    </xf>
    <xf numFmtId="0" fontId="30" fillId="5" borderId="33" xfId="0" applyFont="1" applyFill="1" applyBorder="1" applyAlignment="1">
      <alignment vertical="top"/>
    </xf>
    <xf numFmtId="0" fontId="30" fillId="5" borderId="0" xfId="0" applyFont="1" applyFill="1" applyAlignment="1">
      <alignment vertical="top"/>
    </xf>
    <xf numFmtId="0" fontId="30" fillId="5" borderId="0" xfId="0" applyFont="1" applyFill="1" applyAlignment="1">
      <alignment horizontal="left" vertical="top"/>
    </xf>
    <xf numFmtId="0" fontId="30" fillId="5" borderId="63" xfId="0" applyFont="1" applyFill="1" applyBorder="1" applyAlignment="1">
      <alignment horizontal="left" vertical="center"/>
    </xf>
    <xf numFmtId="0" fontId="35" fillId="0" borderId="0" xfId="0" applyFont="1" applyAlignment="1">
      <alignment vertical="center"/>
    </xf>
    <xf numFmtId="0" fontId="30" fillId="5" borderId="34" xfId="0" applyFont="1" applyFill="1" applyBorder="1" applyAlignment="1">
      <alignment horizontal="left" vertical="center" wrapText="1"/>
    </xf>
    <xf numFmtId="0" fontId="30" fillId="5" borderId="34" xfId="0" applyFont="1" applyFill="1" applyBorder="1" applyAlignment="1">
      <alignment horizontal="left" vertical="center"/>
    </xf>
    <xf numFmtId="0" fontId="30" fillId="5" borderId="33" xfId="0" applyFont="1" applyFill="1" applyBorder="1"/>
    <xf numFmtId="0" fontId="30" fillId="5" borderId="0" xfId="0" applyFont="1" applyFill="1"/>
    <xf numFmtId="0" fontId="30" fillId="5" borderId="0" xfId="0" applyFont="1" applyFill="1" applyAlignment="1">
      <alignment horizontal="left"/>
    </xf>
    <xf numFmtId="0" fontId="30" fillId="5" borderId="35" xfId="0" applyFont="1" applyFill="1" applyBorder="1"/>
    <xf numFmtId="0" fontId="30" fillId="5" borderId="1" xfId="0" applyFont="1" applyFill="1" applyBorder="1"/>
    <xf numFmtId="0" fontId="30" fillId="5" borderId="36" xfId="0" applyFont="1" applyFill="1" applyBorder="1" applyAlignment="1">
      <alignment horizontal="center"/>
    </xf>
    <xf numFmtId="0" fontId="40" fillId="16" borderId="77" xfId="0" applyFont="1" applyFill="1" applyBorder="1" applyAlignment="1">
      <alignment horizontal="center" vertical="top"/>
    </xf>
    <xf numFmtId="0" fontId="40" fillId="16" borderId="2" xfId="0" applyFont="1" applyFill="1" applyBorder="1" applyAlignment="1">
      <alignment horizontal="center" vertical="top"/>
    </xf>
    <xf numFmtId="0" fontId="40" fillId="16" borderId="6" xfId="0" applyFont="1" applyFill="1" applyBorder="1" applyAlignment="1">
      <alignment horizontal="center" vertical="top"/>
    </xf>
    <xf numFmtId="0" fontId="40" fillId="16" borderId="78" xfId="0" applyFont="1" applyFill="1" applyBorder="1" applyAlignment="1">
      <alignment horizontal="center" vertical="top"/>
    </xf>
    <xf numFmtId="0" fontId="30" fillId="0" borderId="33" xfId="0" applyFont="1" applyBorder="1" applyProtection="1">
      <protection locked="0"/>
    </xf>
    <xf numFmtId="0" fontId="30" fillId="0" borderId="19" xfId="0" applyFont="1" applyBorder="1" applyProtection="1">
      <protection locked="0"/>
    </xf>
    <xf numFmtId="0" fontId="30" fillId="8" borderId="19" xfId="0" applyFont="1" applyFill="1" applyBorder="1" applyProtection="1">
      <protection locked="0"/>
    </xf>
    <xf numFmtId="0" fontId="30" fillId="0" borderId="19" xfId="0" applyFont="1" applyBorder="1"/>
    <xf numFmtId="0" fontId="30" fillId="8" borderId="19" xfId="0" applyFont="1" applyFill="1" applyBorder="1" applyAlignment="1" applyProtection="1">
      <alignment horizontal="left"/>
      <protection locked="0"/>
    </xf>
    <xf numFmtId="0" fontId="30" fillId="0" borderId="63" xfId="0" applyFont="1" applyBorder="1"/>
    <xf numFmtId="0" fontId="30" fillId="0" borderId="63" xfId="0" applyFont="1" applyBorder="1" applyAlignment="1">
      <alignment horizontal="center"/>
    </xf>
    <xf numFmtId="0" fontId="54" fillId="8" borderId="72" xfId="0" applyFont="1" applyFill="1" applyBorder="1" applyAlignment="1">
      <alignment horizontal="center"/>
    </xf>
    <xf numFmtId="0" fontId="30" fillId="8" borderId="0" xfId="0" applyFont="1" applyFill="1" applyProtection="1">
      <protection locked="0"/>
    </xf>
    <xf numFmtId="0" fontId="30" fillId="8" borderId="0" xfId="0" applyFont="1" applyFill="1" applyAlignment="1" applyProtection="1">
      <alignment horizontal="left"/>
      <protection locked="0"/>
    </xf>
    <xf numFmtId="0" fontId="30" fillId="0" borderId="34" xfId="0" applyFont="1" applyBorder="1"/>
    <xf numFmtId="0" fontId="30" fillId="0" borderId="34" xfId="0" applyFont="1" applyBorder="1" applyAlignment="1">
      <alignment horizontal="center"/>
    </xf>
    <xf numFmtId="0" fontId="30" fillId="0" borderId="35" xfId="0" applyFont="1" applyBorder="1" applyProtection="1">
      <protection locked="0"/>
    </xf>
    <xf numFmtId="0" fontId="30" fillId="0" borderId="1" xfId="0" applyFont="1" applyBorder="1" applyProtection="1">
      <protection locked="0"/>
    </xf>
    <xf numFmtId="0" fontId="30" fillId="8" borderId="1" xfId="0" applyFont="1" applyFill="1" applyBorder="1" applyProtection="1">
      <protection locked="0"/>
    </xf>
    <xf numFmtId="0" fontId="30" fillId="0" borderId="1" xfId="0" applyFont="1" applyBorder="1"/>
    <xf numFmtId="0" fontId="30" fillId="8" borderId="1" xfId="0" applyFont="1" applyFill="1" applyBorder="1" applyAlignment="1" applyProtection="1">
      <alignment horizontal="left"/>
      <protection locked="0"/>
    </xf>
    <xf numFmtId="0" fontId="30" fillId="0" borderId="36" xfId="0" applyFont="1" applyBorder="1"/>
    <xf numFmtId="0" fontId="30" fillId="0" borderId="36" xfId="0" applyFont="1" applyBorder="1" applyAlignment="1">
      <alignment horizontal="center"/>
    </xf>
    <xf numFmtId="0" fontId="48" fillId="0" borderId="0" xfId="1" applyFont="1" applyAlignment="1">
      <alignment vertical="center" wrapText="1"/>
    </xf>
    <xf numFmtId="0" fontId="30" fillId="0" borderId="0" xfId="0" applyFont="1" applyProtection="1">
      <protection hidden="1"/>
    </xf>
    <xf numFmtId="0" fontId="54" fillId="0" borderId="0" xfId="1" applyFont="1" applyAlignment="1">
      <alignment horizontal="center" vertical="center" wrapText="1"/>
    </xf>
    <xf numFmtId="0" fontId="37" fillId="15" borderId="0" xfId="5" applyNumberFormat="1" applyFont="1" applyFill="1" applyBorder="1" applyAlignment="1">
      <alignment horizontal="center" vertical="center" wrapText="1"/>
    </xf>
    <xf numFmtId="0" fontId="37" fillId="15" borderId="25" xfId="5" applyNumberFormat="1" applyFont="1" applyFill="1" applyBorder="1" applyAlignment="1">
      <alignment horizontal="center" vertical="center" wrapText="1"/>
    </xf>
    <xf numFmtId="0" fontId="40" fillId="0" borderId="0" xfId="1" applyFont="1" applyAlignment="1" applyProtection="1">
      <alignment horizontal="center" vertical="center" wrapText="1"/>
      <protection hidden="1"/>
    </xf>
    <xf numFmtId="0" fontId="30" fillId="5" borderId="30" xfId="3" applyFont="1" applyFill="1" applyBorder="1" applyAlignment="1" applyProtection="1">
      <alignment horizontal="left"/>
      <protection hidden="1"/>
    </xf>
    <xf numFmtId="0" fontId="30" fillId="5" borderId="30" xfId="3" quotePrefix="1" applyFont="1" applyFill="1" applyBorder="1" applyAlignment="1" applyProtection="1">
      <alignment horizontal="left" vertical="center"/>
      <protection hidden="1"/>
    </xf>
    <xf numFmtId="165" fontId="30" fillId="5" borderId="31" xfId="4" applyFont="1" applyFill="1" applyBorder="1" applyAlignment="1" applyProtection="1">
      <alignment vertical="center"/>
      <protection hidden="1"/>
    </xf>
    <xf numFmtId="165" fontId="30" fillId="0" borderId="31" xfId="4" applyFont="1" applyFill="1" applyBorder="1" applyAlignment="1" applyProtection="1">
      <alignment vertical="center"/>
      <protection locked="0"/>
    </xf>
    <xf numFmtId="165" fontId="30" fillId="5" borderId="31" xfId="4" applyFont="1" applyFill="1" applyBorder="1" applyAlignment="1" applyProtection="1">
      <alignment horizontal="left" vertical="center"/>
      <protection hidden="1"/>
    </xf>
    <xf numFmtId="0" fontId="30" fillId="5" borderId="31" xfId="4" applyNumberFormat="1" applyFont="1" applyFill="1" applyBorder="1" applyAlignment="1" applyProtection="1">
      <alignment horizontal="left" vertical="center"/>
      <protection hidden="1"/>
    </xf>
    <xf numFmtId="164" fontId="30" fillId="5" borderId="31" xfId="7" applyFont="1" applyFill="1" applyBorder="1" applyAlignment="1" applyProtection="1">
      <alignment vertical="center"/>
      <protection hidden="1"/>
    </xf>
    <xf numFmtId="164" fontId="30" fillId="0" borderId="31" xfId="7" applyFont="1" applyFill="1" applyBorder="1" applyAlignment="1" applyProtection="1">
      <alignment vertical="center"/>
      <protection locked="0"/>
    </xf>
    <xf numFmtId="164" fontId="30" fillId="7" borderId="30" xfId="7" applyFont="1" applyFill="1" applyBorder="1" applyAlignment="1" applyProtection="1">
      <alignment vertical="center"/>
      <protection hidden="1"/>
    </xf>
    <xf numFmtId="167" fontId="30" fillId="6" borderId="31" xfId="5" applyNumberFormat="1" applyFont="1" applyFill="1" applyBorder="1" applyAlignment="1" applyProtection="1">
      <alignment horizontal="left" vertical="center" wrapText="1"/>
      <protection locked="0"/>
    </xf>
    <xf numFmtId="167" fontId="30" fillId="0" borderId="31" xfId="4" applyNumberFormat="1" applyFont="1" applyFill="1" applyBorder="1" applyAlignment="1" applyProtection="1">
      <alignment horizontal="left" vertical="center" wrapText="1"/>
      <protection locked="0"/>
    </xf>
    <xf numFmtId="167" fontId="35" fillId="5" borderId="38" xfId="4" applyNumberFormat="1" applyFont="1" applyFill="1" applyBorder="1" applyAlignment="1" applyProtection="1">
      <alignment horizontal="left" vertical="center" wrapText="1"/>
      <protection hidden="1"/>
    </xf>
    <xf numFmtId="167" fontId="35" fillId="6" borderId="32" xfId="4" applyNumberFormat="1" applyFont="1" applyFill="1" applyBorder="1" applyAlignment="1" applyProtection="1">
      <alignment horizontal="left" vertical="center" wrapText="1"/>
      <protection hidden="1"/>
    </xf>
    <xf numFmtId="164" fontId="30" fillId="7" borderId="66" xfId="7" applyFont="1" applyFill="1" applyBorder="1" applyAlignment="1" applyProtection="1">
      <alignment vertical="center"/>
      <protection hidden="1"/>
    </xf>
    <xf numFmtId="164" fontId="30" fillId="0" borderId="31" xfId="7" applyFont="1" applyFill="1" applyBorder="1" applyAlignment="1" applyProtection="1">
      <alignment vertical="center"/>
      <protection hidden="1"/>
    </xf>
    <xf numFmtId="167" fontId="54" fillId="0" borderId="0" xfId="9" applyNumberFormat="1" applyFont="1" applyFill="1" applyAlignment="1">
      <alignment vertical="center"/>
    </xf>
    <xf numFmtId="0" fontId="30" fillId="0" borderId="32" xfId="3" applyFont="1" applyBorder="1" applyAlignment="1" applyProtection="1">
      <alignment horizontal="left" vertical="center"/>
      <protection locked="0"/>
    </xf>
    <xf numFmtId="167" fontId="30" fillId="0" borderId="31" xfId="5" applyNumberFormat="1" applyFont="1" applyFill="1" applyBorder="1" applyAlignment="1" applyProtection="1">
      <alignment vertical="center" wrapText="1"/>
      <protection locked="0"/>
    </xf>
    <xf numFmtId="167" fontId="30" fillId="0" borderId="32" xfId="5" quotePrefix="1" applyNumberFormat="1" applyFont="1" applyFill="1" applyBorder="1" applyAlignment="1" applyProtection="1">
      <alignment horizontal="left" vertical="center" wrapText="1"/>
      <protection locked="0"/>
    </xf>
    <xf numFmtId="0" fontId="30" fillId="0" borderId="32" xfId="3" applyFont="1" applyBorder="1" applyAlignment="1" applyProtection="1">
      <alignment horizontal="center" vertical="center"/>
      <protection locked="0"/>
    </xf>
    <xf numFmtId="167" fontId="30" fillId="0" borderId="31" xfId="5" applyNumberFormat="1" applyFont="1" applyFill="1" applyBorder="1" applyAlignment="1" applyProtection="1">
      <alignment vertical="center"/>
      <protection locked="0"/>
    </xf>
    <xf numFmtId="167" fontId="30" fillId="0" borderId="31" xfId="9" applyNumberFormat="1" applyFont="1" applyFill="1" applyBorder="1" applyAlignment="1" applyProtection="1">
      <alignment vertical="center"/>
      <protection locked="0"/>
    </xf>
    <xf numFmtId="167" fontId="30" fillId="7" borderId="31" xfId="5" quotePrefix="1" applyNumberFormat="1" applyFont="1" applyFill="1" applyBorder="1" applyAlignment="1" applyProtection="1">
      <alignment horizontal="left" vertical="center" wrapText="1"/>
      <protection hidden="1"/>
    </xf>
    <xf numFmtId="167" fontId="30" fillId="7" borderId="32" xfId="5" quotePrefix="1" applyNumberFormat="1" applyFont="1" applyFill="1" applyBorder="1" applyAlignment="1" applyProtection="1">
      <alignment horizontal="left" vertical="center" wrapText="1"/>
      <protection hidden="1"/>
    </xf>
    <xf numFmtId="0" fontId="30" fillId="0" borderId="38" xfId="3" applyFont="1" applyBorder="1" applyAlignment="1" applyProtection="1">
      <alignment horizontal="left" vertical="center"/>
      <protection locked="0"/>
    </xf>
    <xf numFmtId="0" fontId="35" fillId="0" borderId="0" xfId="1" applyFont="1" applyAlignment="1" applyProtection="1">
      <alignment vertical="center"/>
      <protection hidden="1"/>
    </xf>
    <xf numFmtId="0" fontId="30" fillId="28" borderId="30" xfId="3" applyFont="1" applyFill="1" applyBorder="1" applyAlignment="1" applyProtection="1">
      <alignment horizontal="left"/>
      <protection hidden="1"/>
    </xf>
    <xf numFmtId="164" fontId="30" fillId="5" borderId="39" xfId="7" applyFont="1" applyFill="1" applyBorder="1" applyAlignment="1" applyProtection="1">
      <alignment vertical="center"/>
      <protection hidden="1"/>
    </xf>
    <xf numFmtId="0" fontId="30" fillId="0" borderId="0" xfId="0" applyFont="1" applyAlignment="1">
      <alignment wrapText="1"/>
    </xf>
    <xf numFmtId="167" fontId="30" fillId="0" borderId="0" xfId="9" applyNumberFormat="1" applyFont="1"/>
    <xf numFmtId="0" fontId="41" fillId="21" borderId="17" xfId="0" applyFont="1" applyFill="1" applyBorder="1" applyAlignment="1">
      <alignment horizontal="center" vertical="center" wrapText="1"/>
    </xf>
    <xf numFmtId="0" fontId="37" fillId="6" borderId="3" xfId="5" applyNumberFormat="1" applyFont="1" applyFill="1" applyBorder="1" applyAlignment="1" applyProtection="1">
      <alignment horizontal="center" vertical="center" wrapText="1"/>
      <protection locked="0"/>
    </xf>
    <xf numFmtId="0" fontId="37" fillId="15" borderId="65" xfId="5" applyNumberFormat="1" applyFont="1" applyFill="1" applyBorder="1" applyAlignment="1">
      <alignment horizontal="center" vertical="center" wrapText="1"/>
    </xf>
    <xf numFmtId="0" fontId="30" fillId="0" borderId="0" xfId="1" applyFont="1" applyAlignment="1">
      <alignment horizontal="center" wrapText="1"/>
    </xf>
    <xf numFmtId="0" fontId="30" fillId="0" borderId="0" xfId="1" applyFont="1" applyAlignment="1">
      <alignment horizontal="left" wrapText="1"/>
    </xf>
    <xf numFmtId="0" fontId="30" fillId="0" borderId="0" xfId="1" applyFont="1" applyAlignment="1" applyProtection="1">
      <alignment horizontal="left" wrapText="1"/>
      <protection locked="0"/>
    </xf>
    <xf numFmtId="0" fontId="30" fillId="0" borderId="0" xfId="1" applyFont="1" applyAlignment="1">
      <alignment wrapText="1"/>
    </xf>
    <xf numFmtId="167" fontId="30" fillId="0" borderId="0" xfId="4" applyNumberFormat="1" applyFont="1" applyAlignment="1"/>
    <xf numFmtId="167" fontId="30" fillId="0" borderId="0" xfId="4" applyNumberFormat="1" applyFont="1" applyAlignment="1">
      <alignment wrapText="1"/>
    </xf>
    <xf numFmtId="0" fontId="30" fillId="6" borderId="0" xfId="1" applyFont="1" applyFill="1" applyAlignment="1">
      <alignment wrapText="1"/>
    </xf>
    <xf numFmtId="167" fontId="40" fillId="0" borderId="0" xfId="4" applyNumberFormat="1" applyFont="1" applyAlignment="1"/>
    <xf numFmtId="167" fontId="30" fillId="6" borderId="0" xfId="4" applyNumberFormat="1" applyFont="1" applyFill="1" applyBorder="1" applyAlignment="1">
      <alignment wrapText="1"/>
    </xf>
    <xf numFmtId="0" fontId="30" fillId="0" borderId="0" xfId="1" applyFont="1" applyAlignment="1">
      <alignment horizontal="left" vertical="top" wrapText="1"/>
    </xf>
    <xf numFmtId="0" fontId="30" fillId="0" borderId="0" xfId="1" applyFont="1" applyAlignment="1" applyProtection="1">
      <alignment horizontal="left" vertical="top" wrapText="1"/>
      <protection locked="0"/>
    </xf>
    <xf numFmtId="167" fontId="48" fillId="0" borderId="0" xfId="9" applyNumberFormat="1" applyFont="1" applyAlignment="1">
      <alignment wrapText="1"/>
    </xf>
    <xf numFmtId="0" fontId="30" fillId="5" borderId="31" xfId="3" applyFont="1" applyFill="1" applyBorder="1" applyAlignment="1" applyProtection="1">
      <alignment horizontal="center" vertical="center" wrapText="1"/>
      <protection hidden="1"/>
    </xf>
    <xf numFmtId="165" fontId="30" fillId="5" borderId="31" xfId="9" applyFont="1" applyFill="1" applyBorder="1" applyAlignment="1" applyProtection="1">
      <alignment horizontal="left" vertical="center" wrapText="1"/>
      <protection hidden="1"/>
    </xf>
    <xf numFmtId="0" fontId="30" fillId="0" borderId="31" xfId="3" applyFont="1" applyBorder="1" applyAlignment="1" applyProtection="1">
      <alignment horizontal="left" vertical="center" wrapText="1"/>
      <protection locked="0"/>
    </xf>
    <xf numFmtId="0" fontId="30" fillId="0" borderId="31" xfId="3" applyFont="1" applyBorder="1" applyAlignment="1" applyProtection="1">
      <alignment horizontal="center" vertical="center" wrapText="1"/>
      <protection locked="0"/>
    </xf>
    <xf numFmtId="0" fontId="30" fillId="5" borderId="31" xfId="9" applyNumberFormat="1" applyFont="1" applyFill="1" applyBorder="1" applyAlignment="1" applyProtection="1">
      <alignment horizontal="left" vertical="center" wrapText="1"/>
      <protection hidden="1"/>
    </xf>
    <xf numFmtId="165" fontId="30" fillId="5" borderId="39" xfId="9" applyFont="1" applyFill="1" applyBorder="1" applyAlignment="1" applyProtection="1">
      <alignment horizontal="left" vertical="center" wrapText="1"/>
      <protection hidden="1"/>
    </xf>
    <xf numFmtId="0" fontId="30" fillId="5" borderId="39" xfId="9" applyNumberFormat="1" applyFont="1" applyFill="1" applyBorder="1" applyAlignment="1" applyProtection="1">
      <alignment horizontal="left" vertical="center" wrapText="1"/>
      <protection hidden="1"/>
    </xf>
    <xf numFmtId="0" fontId="30" fillId="0" borderId="39" xfId="3" quotePrefix="1" applyFont="1" applyBorder="1" applyAlignment="1" applyProtection="1">
      <alignment horizontal="center" vertical="center" wrapText="1"/>
      <protection locked="0"/>
    </xf>
    <xf numFmtId="0" fontId="40" fillId="5" borderId="0" xfId="0" quotePrefix="1" applyFont="1" applyFill="1" applyAlignment="1">
      <alignment horizontal="center" vertical="center"/>
    </xf>
    <xf numFmtId="0" fontId="30" fillId="0" borderId="32" xfId="3" applyFont="1" applyBorder="1" applyAlignment="1" applyProtection="1">
      <alignment horizontal="left" vertical="center" wrapText="1"/>
      <protection locked="0"/>
    </xf>
    <xf numFmtId="167" fontId="35" fillId="5" borderId="31" xfId="4" applyNumberFormat="1" applyFont="1" applyFill="1" applyBorder="1" applyAlignment="1" applyProtection="1">
      <alignment horizontal="left" vertical="center" wrapText="1"/>
      <protection hidden="1"/>
    </xf>
    <xf numFmtId="167" fontId="35" fillId="6" borderId="81" xfId="4" applyNumberFormat="1" applyFont="1" applyFill="1" applyBorder="1" applyAlignment="1" applyProtection="1">
      <alignment horizontal="left" vertical="center" wrapText="1"/>
      <protection hidden="1"/>
    </xf>
    <xf numFmtId="167" fontId="30" fillId="0" borderId="0" xfId="4" applyNumberFormat="1" applyFont="1" applyFill="1" applyAlignment="1">
      <alignment horizontal="left" vertical="center" wrapText="1"/>
    </xf>
    <xf numFmtId="167" fontId="30" fillId="0" borderId="31" xfId="5" quotePrefix="1" applyNumberFormat="1" applyFont="1" applyFill="1" applyBorder="1" applyAlignment="1" applyProtection="1">
      <alignment horizontal="left" vertical="center" wrapText="1"/>
      <protection locked="0"/>
    </xf>
    <xf numFmtId="168" fontId="30" fillId="0" borderId="31" xfId="5" quotePrefix="1" applyNumberFormat="1" applyFont="1" applyFill="1" applyBorder="1" applyAlignment="1" applyProtection="1">
      <alignment horizontal="left" vertical="center" wrapText="1"/>
      <protection locked="0"/>
    </xf>
    <xf numFmtId="167" fontId="30" fillId="0" borderId="31" xfId="5" applyNumberFormat="1" applyFont="1" applyFill="1" applyBorder="1" applyAlignment="1" applyProtection="1">
      <alignment horizontal="left" vertical="center" wrapText="1"/>
      <protection locked="0"/>
    </xf>
    <xf numFmtId="0" fontId="30" fillId="0" borderId="0" xfId="1" applyFont="1" applyAlignment="1">
      <alignment horizontal="left" vertical="center" wrapText="1"/>
    </xf>
    <xf numFmtId="167" fontId="30" fillId="0" borderId="31" xfId="4" applyNumberFormat="1" applyFont="1" applyFill="1" applyBorder="1" applyAlignment="1" applyProtection="1">
      <alignment vertical="center" wrapText="1"/>
      <protection locked="0"/>
    </xf>
    <xf numFmtId="167" fontId="30" fillId="0" borderId="31" xfId="5" quotePrefix="1" applyNumberFormat="1" applyFont="1" applyFill="1" applyBorder="1" applyAlignment="1" applyProtection="1">
      <alignment vertical="center" wrapText="1"/>
      <protection locked="0"/>
    </xf>
    <xf numFmtId="0" fontId="30" fillId="0" borderId="31" xfId="3" applyFont="1" applyBorder="1" applyAlignment="1" applyProtection="1">
      <alignment horizontal="left" wrapText="1"/>
      <protection locked="0"/>
    </xf>
    <xf numFmtId="0" fontId="30" fillId="0" borderId="32" xfId="3" applyFont="1" applyBorder="1" applyAlignment="1" applyProtection="1">
      <alignment horizontal="left" wrapText="1"/>
      <protection locked="0"/>
    </xf>
    <xf numFmtId="167" fontId="30" fillId="0" borderId="31" xfId="5" quotePrefix="1" applyNumberFormat="1" applyFont="1" applyFill="1" applyBorder="1" applyAlignment="1" applyProtection="1">
      <alignment wrapText="1"/>
      <protection locked="0"/>
    </xf>
    <xf numFmtId="0" fontId="30" fillId="0" borderId="0" xfId="1" applyFont="1" applyAlignment="1" applyProtection="1">
      <alignment horizontal="center" wrapText="1"/>
      <protection locked="0"/>
    </xf>
    <xf numFmtId="0" fontId="30" fillId="0" borderId="0" xfId="1" applyFont="1" applyAlignment="1" applyProtection="1">
      <alignment wrapText="1"/>
      <protection locked="0"/>
    </xf>
    <xf numFmtId="0" fontId="30" fillId="26" borderId="79" xfId="1" applyFont="1" applyFill="1" applyBorder="1" applyAlignment="1">
      <alignment horizontal="center" wrapText="1"/>
    </xf>
    <xf numFmtId="0" fontId="30" fillId="26" borderId="80" xfId="1" applyFont="1" applyFill="1" applyBorder="1" applyAlignment="1">
      <alignment horizontal="center" wrapText="1"/>
    </xf>
    <xf numFmtId="0" fontId="30" fillId="26" borderId="80" xfId="1" applyFont="1" applyFill="1" applyBorder="1" applyAlignment="1">
      <alignment horizontal="left" wrapText="1"/>
    </xf>
    <xf numFmtId="0" fontId="30" fillId="26" borderId="81" xfId="1" applyFont="1" applyFill="1" applyBorder="1" applyAlignment="1">
      <alignment horizontal="left" wrapText="1"/>
    </xf>
    <xf numFmtId="0" fontId="30" fillId="26" borderId="79" xfId="1" applyFont="1" applyFill="1" applyBorder="1" applyAlignment="1">
      <alignment horizontal="left" wrapText="1"/>
    </xf>
    <xf numFmtId="0" fontId="30" fillId="26" borderId="80" xfId="1" applyFont="1" applyFill="1" applyBorder="1" applyAlignment="1" applyProtection="1">
      <alignment horizontal="left" wrapText="1"/>
      <protection locked="0"/>
    </xf>
    <xf numFmtId="0" fontId="30" fillId="26" borderId="80" xfId="1" applyFont="1" applyFill="1" applyBorder="1" applyAlignment="1">
      <alignment wrapText="1"/>
    </xf>
    <xf numFmtId="167" fontId="41" fillId="26" borderId="30" xfId="4" applyNumberFormat="1" applyFont="1" applyFill="1" applyBorder="1" applyAlignment="1">
      <alignment horizontal="centerContinuous"/>
    </xf>
    <xf numFmtId="167" fontId="52" fillId="26" borderId="30" xfId="4" applyNumberFormat="1" applyFont="1" applyFill="1" applyBorder="1" applyAlignment="1">
      <alignment horizontal="centerContinuous" wrapText="1"/>
    </xf>
    <xf numFmtId="167" fontId="30" fillId="6" borderId="30" xfId="4" applyNumberFormat="1" applyFont="1" applyFill="1" applyBorder="1" applyAlignment="1">
      <alignment wrapText="1"/>
    </xf>
    <xf numFmtId="167" fontId="30" fillId="6" borderId="80" xfId="4" applyNumberFormat="1" applyFont="1" applyFill="1" applyBorder="1" applyAlignment="1">
      <alignment wrapText="1"/>
    </xf>
    <xf numFmtId="167" fontId="52" fillId="26" borderId="82" xfId="4" applyNumberFormat="1" applyFont="1" applyFill="1" applyBorder="1" applyAlignment="1">
      <alignment horizontal="centerContinuous" wrapText="1"/>
    </xf>
    <xf numFmtId="0" fontId="41" fillId="26" borderId="83" xfId="0" applyFont="1" applyFill="1" applyBorder="1" applyAlignment="1">
      <alignment horizontal="center" vertical="center" wrapText="1"/>
    </xf>
    <xf numFmtId="0" fontId="41" fillId="26" borderId="30" xfId="0" applyFont="1" applyFill="1" applyBorder="1" applyAlignment="1">
      <alignment horizontal="center" vertical="center" wrapText="1"/>
    </xf>
    <xf numFmtId="0" fontId="41" fillId="26" borderId="30" xfId="0" applyFont="1" applyFill="1" applyBorder="1" applyAlignment="1" applyProtection="1">
      <alignment horizontal="center" vertical="center" wrapText="1"/>
      <protection locked="0"/>
    </xf>
    <xf numFmtId="0" fontId="41" fillId="26" borderId="31" xfId="0" applyFont="1" applyFill="1" applyBorder="1" applyAlignment="1">
      <alignment horizontal="center" vertical="center" wrapText="1"/>
    </xf>
    <xf numFmtId="167" fontId="30" fillId="6" borderId="31" xfId="4" applyNumberFormat="1" applyFont="1" applyFill="1" applyBorder="1" applyAlignment="1">
      <alignment horizontal="center" vertical="center" wrapText="1"/>
    </xf>
    <xf numFmtId="167" fontId="30" fillId="6" borderId="80" xfId="4" applyNumberFormat="1" applyFont="1" applyFill="1" applyBorder="1" applyAlignment="1">
      <alignment horizontal="center" vertical="center" wrapText="1"/>
    </xf>
    <xf numFmtId="0" fontId="37" fillId="15" borderId="65" xfId="5" applyNumberFormat="1" applyFont="1" applyFill="1" applyBorder="1" applyAlignment="1" applyProtection="1">
      <alignment horizontal="center" vertical="center" wrapText="1"/>
      <protection locked="0"/>
    </xf>
    <xf numFmtId="0" fontId="30" fillId="0" borderId="0" xfId="1" applyFont="1" applyAlignment="1">
      <alignment horizontal="center" vertical="center" wrapText="1"/>
    </xf>
    <xf numFmtId="0" fontId="41" fillId="6" borderId="20" xfId="0" applyFont="1" applyFill="1" applyBorder="1" applyAlignment="1">
      <alignment horizontal="center" vertical="center" wrapText="1"/>
    </xf>
    <xf numFmtId="0" fontId="55" fillId="0" borderId="0" xfId="1" applyFont="1"/>
    <xf numFmtId="167" fontId="30" fillId="6" borderId="0" xfId="4" applyNumberFormat="1" applyFont="1" applyFill="1" applyAlignment="1">
      <alignment wrapText="1"/>
    </xf>
    <xf numFmtId="0" fontId="30" fillId="26" borderId="0" xfId="0" applyFont="1" applyFill="1"/>
    <xf numFmtId="0" fontId="30" fillId="26" borderId="0" xfId="0" applyFont="1" applyFill="1" applyProtection="1">
      <protection locked="0"/>
    </xf>
    <xf numFmtId="167" fontId="41" fillId="26" borderId="0" xfId="4" applyNumberFormat="1" applyFont="1" applyFill="1" applyAlignment="1">
      <alignment horizontal="centerContinuous"/>
    </xf>
    <xf numFmtId="167" fontId="52" fillId="26" borderId="0" xfId="4" applyNumberFormat="1" applyFont="1" applyFill="1" applyAlignment="1">
      <alignment horizontal="centerContinuous" wrapText="1"/>
    </xf>
    <xf numFmtId="0" fontId="48" fillId="0" borderId="0" xfId="1" applyFont="1" applyAlignment="1">
      <alignment wrapText="1"/>
    </xf>
    <xf numFmtId="0" fontId="41" fillId="26" borderId="2" xfId="0" applyFont="1" applyFill="1" applyBorder="1" applyAlignment="1">
      <alignment horizontal="center" vertical="center" wrapText="1"/>
    </xf>
    <xf numFmtId="0" fontId="41" fillId="26" borderId="2" xfId="0" applyFont="1" applyFill="1" applyBorder="1" applyAlignment="1" applyProtection="1">
      <alignment horizontal="center" vertical="center" wrapText="1"/>
      <protection locked="0"/>
    </xf>
    <xf numFmtId="167" fontId="41" fillId="22" borderId="84" xfId="4" applyNumberFormat="1" applyFont="1" applyFill="1" applyBorder="1" applyAlignment="1" applyProtection="1">
      <alignment horizontal="center" vertical="center" wrapText="1"/>
    </xf>
    <xf numFmtId="167" fontId="41" fillId="22" borderId="37" xfId="4" applyNumberFormat="1" applyFont="1" applyFill="1" applyBorder="1" applyAlignment="1" applyProtection="1">
      <alignment horizontal="center" vertical="center" wrapText="1"/>
    </xf>
    <xf numFmtId="0" fontId="37" fillId="6" borderId="37" xfId="5" applyNumberFormat="1" applyFont="1" applyFill="1" applyBorder="1" applyAlignment="1" applyProtection="1">
      <alignment horizontal="center" vertical="center" wrapText="1"/>
      <protection locked="0"/>
    </xf>
    <xf numFmtId="0" fontId="41" fillId="6" borderId="2" xfId="0" applyFont="1" applyFill="1" applyBorder="1" applyAlignment="1">
      <alignment horizontal="center" vertical="center" wrapText="1"/>
    </xf>
    <xf numFmtId="0" fontId="41" fillId="0" borderId="0" xfId="1" applyFont="1" applyAlignment="1" applyProtection="1">
      <alignment horizontal="center" vertical="center" wrapText="1"/>
      <protection hidden="1"/>
    </xf>
    <xf numFmtId="0" fontId="30" fillId="30" borderId="2" xfId="0" applyFont="1" applyFill="1" applyBorder="1"/>
    <xf numFmtId="0" fontId="40" fillId="0" borderId="0" xfId="0" applyFont="1" applyAlignment="1">
      <alignment horizontal="center" wrapText="1"/>
    </xf>
    <xf numFmtId="16" fontId="30" fillId="0" borderId="0" xfId="0" quotePrefix="1" applyNumberFormat="1" applyFont="1"/>
    <xf numFmtId="0" fontId="56" fillId="0" borderId="0" xfId="10" quotePrefix="1" applyFont="1"/>
    <xf numFmtId="0" fontId="56" fillId="8" borderId="0" xfId="10" applyFont="1" applyFill="1" applyAlignment="1">
      <alignment horizontal="center" vertical="center"/>
    </xf>
    <xf numFmtId="0" fontId="56" fillId="5" borderId="0" xfId="10" applyFont="1" applyFill="1" applyAlignment="1" applyProtection="1">
      <alignment horizontal="center" vertical="center"/>
    </xf>
    <xf numFmtId="0" fontId="40" fillId="5" borderId="0" xfId="1" applyFont="1" applyFill="1" applyAlignment="1">
      <alignment horizontal="left" vertical="center"/>
    </xf>
    <xf numFmtId="0" fontId="56" fillId="5" borderId="0" xfId="2" applyFont="1" applyFill="1" applyAlignment="1">
      <alignment horizontal="center" vertical="center"/>
    </xf>
    <xf numFmtId="0" fontId="30" fillId="5" borderId="0" xfId="1" applyFont="1" applyFill="1"/>
    <xf numFmtId="0" fontId="30" fillId="0" borderId="0" xfId="1" applyFont="1" applyAlignment="1">
      <alignment horizontal="center" vertical="center"/>
    </xf>
    <xf numFmtId="0" fontId="37" fillId="28" borderId="0" xfId="1" applyFont="1" applyFill="1" applyAlignment="1">
      <alignment horizontal="left" vertical="center"/>
    </xf>
    <xf numFmtId="0" fontId="56" fillId="28" borderId="0" xfId="2" applyFont="1" applyFill="1" applyAlignment="1">
      <alignment horizontal="center" vertical="center"/>
    </xf>
    <xf numFmtId="0" fontId="35" fillId="28" borderId="0" xfId="1" applyFont="1" applyFill="1"/>
    <xf numFmtId="0" fontId="35" fillId="8" borderId="0" xfId="1" applyFont="1" applyFill="1"/>
    <xf numFmtId="0" fontId="37" fillId="8" borderId="0" xfId="1" applyFont="1" applyFill="1" applyAlignment="1">
      <alignment horizontal="left" vertical="center"/>
    </xf>
    <xf numFmtId="0" fontId="1" fillId="0" borderId="0" xfId="0" applyFont="1" applyAlignment="1">
      <alignment vertical="center"/>
    </xf>
    <xf numFmtId="0" fontId="56" fillId="0" borderId="0" xfId="10" applyFont="1"/>
    <xf numFmtId="0" fontId="57" fillId="0" borderId="1" xfId="1" applyFont="1" applyBorder="1"/>
    <xf numFmtId="0" fontId="41" fillId="26" borderId="0" xfId="1" applyFont="1" applyFill="1" applyAlignment="1">
      <alignment horizontal="centerContinuous"/>
    </xf>
    <xf numFmtId="0" fontId="41" fillId="31" borderId="2" xfId="3" applyFont="1" applyFill="1" applyBorder="1" applyAlignment="1">
      <alignment vertical="top" wrapText="1"/>
    </xf>
    <xf numFmtId="0" fontId="30" fillId="31" borderId="2" xfId="3" applyFont="1" applyFill="1" applyBorder="1" applyAlignment="1" applyProtection="1">
      <alignment vertical="top" wrapText="1"/>
      <protection locked="0"/>
    </xf>
    <xf numFmtId="1" fontId="41" fillId="32" borderId="2" xfId="4" applyNumberFormat="1" applyFont="1" applyFill="1" applyBorder="1" applyAlignment="1" applyProtection="1">
      <alignment vertical="top" wrapText="1"/>
    </xf>
    <xf numFmtId="0" fontId="30" fillId="0" borderId="17" xfId="1" applyFont="1" applyBorder="1" applyAlignment="1">
      <alignment horizontal="right" vertical="center"/>
    </xf>
    <xf numFmtId="0" fontId="58" fillId="5" borderId="0" xfId="1" applyFont="1" applyFill="1"/>
    <xf numFmtId="0" fontId="47" fillId="28" borderId="0" xfId="1" applyFont="1" applyFill="1"/>
    <xf numFmtId="0" fontId="41" fillId="33" borderId="2" xfId="3" applyFont="1" applyFill="1" applyBorder="1" applyAlignment="1">
      <alignment vertical="top" wrapText="1"/>
    </xf>
    <xf numFmtId="0" fontId="30" fillId="33" borderId="2" xfId="3" applyFont="1" applyFill="1" applyBorder="1" applyAlignment="1" applyProtection="1">
      <alignment vertical="top" wrapText="1"/>
      <protection locked="0"/>
    </xf>
    <xf numFmtId="1" fontId="41" fillId="34" borderId="2" xfId="4" applyNumberFormat="1" applyFont="1" applyFill="1" applyBorder="1" applyAlignment="1" applyProtection="1">
      <alignment vertical="top" wrapText="1"/>
    </xf>
    <xf numFmtId="0" fontId="47" fillId="8" borderId="0" xfId="1" applyFont="1" applyFill="1"/>
    <xf numFmtId="0" fontId="30" fillId="0" borderId="85" xfId="1" applyFont="1" applyBorder="1" applyAlignment="1">
      <alignment vertical="center" wrapText="1"/>
    </xf>
    <xf numFmtId="0" fontId="30" fillId="0" borderId="86" xfId="1" applyFont="1" applyBorder="1" applyAlignment="1">
      <alignment vertical="center" wrapText="1"/>
    </xf>
    <xf numFmtId="0" fontId="30" fillId="0" borderId="87" xfId="1" applyFont="1" applyBorder="1" applyAlignment="1">
      <alignment vertical="center" wrapText="1"/>
    </xf>
    <xf numFmtId="0" fontId="30" fillId="0" borderId="88" xfId="0" applyFont="1" applyBorder="1"/>
    <xf numFmtId="0" fontId="30" fillId="0" borderId="89" xfId="0" applyFont="1" applyBorder="1"/>
    <xf numFmtId="0" fontId="30" fillId="0" borderId="90" xfId="0" applyFont="1" applyBorder="1"/>
    <xf numFmtId="165" fontId="30" fillId="5" borderId="30" xfId="4" applyFont="1" applyFill="1" applyBorder="1" applyAlignment="1" applyProtection="1">
      <alignment vertical="center"/>
      <protection hidden="1"/>
    </xf>
    <xf numFmtId="0" fontId="35" fillId="0" borderId="42" xfId="1" applyFont="1" applyBorder="1" applyAlignment="1" applyProtection="1">
      <alignment horizontal="center" vertical="center" wrapText="1"/>
      <protection locked="0" hidden="1"/>
    </xf>
    <xf numFmtId="0" fontId="35" fillId="0" borderId="52" xfId="1" applyFont="1" applyBorder="1" applyAlignment="1" applyProtection="1">
      <alignment horizontal="center" vertical="center" wrapText="1"/>
      <protection locked="0" hidden="1"/>
    </xf>
    <xf numFmtId="0" fontId="38" fillId="0" borderId="58" xfId="1" applyFont="1" applyBorder="1" applyAlignment="1" applyProtection="1">
      <alignment horizontal="center"/>
      <protection locked="0" hidden="1"/>
    </xf>
    <xf numFmtId="0" fontId="38" fillId="0" borderId="21" xfId="1" applyFont="1" applyBorder="1" applyAlignment="1" applyProtection="1">
      <alignment horizontal="center"/>
      <protection locked="0" hidden="1"/>
    </xf>
    <xf numFmtId="0" fontId="36" fillId="0" borderId="59" xfId="1" applyFont="1" applyBorder="1" applyAlignment="1" applyProtection="1">
      <alignment horizontal="center"/>
      <protection locked="0" hidden="1"/>
    </xf>
    <xf numFmtId="0" fontId="36" fillId="0" borderId="60" xfId="1" applyFont="1" applyBorder="1" applyAlignment="1" applyProtection="1">
      <alignment horizontal="center"/>
      <protection locked="0" hidden="1"/>
    </xf>
    <xf numFmtId="0" fontId="38" fillId="0" borderId="61" xfId="1" applyFont="1" applyBorder="1" applyAlignment="1" applyProtection="1">
      <alignment horizontal="center"/>
      <protection locked="0" hidden="1"/>
    </xf>
    <xf numFmtId="0" fontId="49" fillId="0" borderId="59" xfId="1" applyFont="1" applyBorder="1" applyAlignment="1" applyProtection="1">
      <alignment horizontal="center"/>
      <protection locked="0" hidden="1"/>
    </xf>
    <xf numFmtId="0" fontId="49" fillId="0" borderId="62" xfId="1" applyFont="1" applyBorder="1" applyAlignment="1" applyProtection="1">
      <alignment horizontal="center"/>
      <protection locked="0" hidden="1"/>
    </xf>
    <xf numFmtId="0" fontId="35" fillId="0" borderId="49" xfId="1" applyFont="1" applyBorder="1" applyAlignment="1" applyProtection="1">
      <alignment horizontal="center" vertical="center" wrapText="1"/>
      <protection locked="0" hidden="1"/>
    </xf>
    <xf numFmtId="0" fontId="35" fillId="0" borderId="43" xfId="1" applyFont="1" applyBorder="1" applyAlignment="1" applyProtection="1">
      <alignment horizontal="center" vertical="center" wrapText="1"/>
      <protection locked="0" hidden="1"/>
    </xf>
    <xf numFmtId="0" fontId="35" fillId="0" borderId="50" xfId="1" applyFont="1" applyBorder="1" applyAlignment="1" applyProtection="1">
      <alignment horizontal="center" vertical="center" wrapText="1"/>
      <protection locked="0" hidden="1"/>
    </xf>
    <xf numFmtId="0" fontId="50" fillId="0" borderId="46" xfId="1" applyFont="1" applyBorder="1" applyAlignment="1" applyProtection="1">
      <alignment horizontal="center" vertical="center" wrapText="1"/>
      <protection locked="0" hidden="1"/>
    </xf>
    <xf numFmtId="0" fontId="50" fillId="0" borderId="47" xfId="1" applyFont="1" applyBorder="1" applyAlignment="1" applyProtection="1">
      <alignment horizontal="center" vertical="center" wrapText="1"/>
      <protection locked="0" hidden="1"/>
    </xf>
    <xf numFmtId="0" fontId="50" fillId="0" borderId="48" xfId="1" applyFont="1" applyBorder="1" applyAlignment="1" applyProtection="1">
      <alignment horizontal="center" vertical="center" wrapText="1"/>
      <protection locked="0" hidden="1"/>
    </xf>
    <xf numFmtId="0" fontId="30" fillId="0" borderId="22" xfId="1" applyFont="1" applyBorder="1" applyAlignment="1" applyProtection="1">
      <alignment horizontal="center"/>
      <protection locked="0"/>
    </xf>
    <xf numFmtId="0" fontId="30" fillId="0" borderId="23" xfId="1" applyFont="1" applyBorder="1" applyAlignment="1" applyProtection="1">
      <alignment horizontal="center"/>
      <protection locked="0"/>
    </xf>
    <xf numFmtId="0" fontId="30" fillId="0" borderId="24" xfId="1" applyFont="1" applyBorder="1" applyAlignment="1" applyProtection="1">
      <alignment horizontal="center"/>
      <protection locked="0"/>
    </xf>
    <xf numFmtId="0" fontId="30" fillId="0" borderId="25" xfId="1" applyFont="1" applyBorder="1" applyAlignment="1" applyProtection="1">
      <alignment horizontal="center"/>
      <protection locked="0"/>
    </xf>
    <xf numFmtId="0" fontId="38" fillId="0" borderId="16" xfId="1" applyFont="1" applyBorder="1" applyAlignment="1" applyProtection="1">
      <alignment horizontal="center"/>
      <protection locked="0"/>
    </xf>
    <xf numFmtId="0" fontId="38" fillId="0" borderId="18" xfId="1" applyFont="1" applyBorder="1" applyAlignment="1" applyProtection="1">
      <alignment horizontal="center"/>
      <protection locked="0"/>
    </xf>
    <xf numFmtId="0" fontId="39" fillId="0" borderId="2" xfId="1" applyFont="1" applyBorder="1" applyAlignment="1" applyProtection="1">
      <alignment horizontal="center" vertical="center" wrapText="1"/>
      <protection locked="0"/>
    </xf>
    <xf numFmtId="0" fontId="40" fillId="0" borderId="22" xfId="1" applyFont="1" applyBorder="1" applyAlignment="1" applyProtection="1">
      <alignment horizontal="center"/>
      <protection locked="0" hidden="1"/>
    </xf>
    <xf numFmtId="0" fontId="40" fillId="0" borderId="19" xfId="1" applyFont="1" applyBorder="1" applyAlignment="1" applyProtection="1">
      <alignment horizontal="center"/>
      <protection locked="0" hidden="1"/>
    </xf>
    <xf numFmtId="0" fontId="40" fillId="0" borderId="23" xfId="1" applyFont="1" applyBorder="1" applyAlignment="1" applyProtection="1">
      <alignment horizontal="center"/>
      <protection locked="0" hidden="1"/>
    </xf>
    <xf numFmtId="0" fontId="35" fillId="0" borderId="22" xfId="1" applyFont="1" applyBorder="1" applyAlignment="1" applyProtection="1">
      <alignment horizontal="center" vertical="center" wrapText="1"/>
      <protection locked="0" hidden="1"/>
    </xf>
    <xf numFmtId="0" fontId="35" fillId="0" borderId="23" xfId="1" applyFont="1" applyBorder="1" applyAlignment="1" applyProtection="1">
      <alignment horizontal="center" vertical="center" wrapText="1"/>
      <protection locked="0" hidden="1"/>
    </xf>
    <xf numFmtId="0" fontId="35" fillId="0" borderId="16" xfId="1" applyFont="1" applyBorder="1" applyAlignment="1" applyProtection="1">
      <alignment horizontal="center" vertical="center" wrapText="1"/>
      <protection locked="0" hidden="1"/>
    </xf>
    <xf numFmtId="0" fontId="35" fillId="0" borderId="18" xfId="1" applyFont="1" applyBorder="1" applyAlignment="1" applyProtection="1">
      <alignment horizontal="center" vertical="center" wrapText="1"/>
      <protection locked="0" hidden="1"/>
    </xf>
    <xf numFmtId="0" fontId="49" fillId="0" borderId="16" xfId="1" applyFont="1" applyBorder="1" applyAlignment="1" applyProtection="1">
      <alignment horizontal="center"/>
      <protection locked="0" hidden="1"/>
    </xf>
    <xf numFmtId="0" fontId="49" fillId="0" borderId="18" xfId="1" applyFont="1" applyBorder="1" applyAlignment="1" applyProtection="1">
      <alignment horizontal="center"/>
      <protection locked="0" hidden="1"/>
    </xf>
    <xf numFmtId="0" fontId="30" fillId="0" borderId="24" xfId="1" applyFont="1" applyBorder="1" applyAlignment="1" applyProtection="1">
      <alignment horizontal="center"/>
      <protection locked="0" hidden="1"/>
    </xf>
    <xf numFmtId="0" fontId="30" fillId="0" borderId="25" xfId="1" applyFont="1" applyBorder="1" applyAlignment="1" applyProtection="1">
      <alignment horizontal="center"/>
      <protection locked="0" hidden="1"/>
    </xf>
    <xf numFmtId="0" fontId="41" fillId="26" borderId="30" xfId="0" applyFont="1" applyFill="1" applyBorder="1" applyAlignment="1">
      <alignment horizontal="center" vertical="center" wrapText="1"/>
    </xf>
    <xf numFmtId="0" fontId="40" fillId="17" borderId="74" xfId="0" applyFont="1" applyFill="1" applyBorder="1" applyAlignment="1">
      <alignment horizontal="center"/>
    </xf>
    <xf numFmtId="0" fontId="40" fillId="17" borderId="75" xfId="0" applyFont="1" applyFill="1" applyBorder="1" applyAlignment="1">
      <alignment horizontal="center"/>
    </xf>
    <xf numFmtId="0" fontId="40" fillId="17" borderId="76" xfId="0" applyFont="1" applyFill="1" applyBorder="1" applyAlignment="1">
      <alignment horizontal="center"/>
    </xf>
    <xf numFmtId="0" fontId="54" fillId="10" borderId="71" xfId="0" applyFont="1" applyFill="1" applyBorder="1" applyAlignment="1">
      <alignment horizontal="center" vertical="center" wrapText="1"/>
    </xf>
    <xf numFmtId="0" fontId="54" fillId="10" borderId="73" xfId="0" applyFont="1" applyFill="1" applyBorder="1" applyAlignment="1">
      <alignment horizontal="center" vertical="center" wrapText="1"/>
    </xf>
    <xf numFmtId="0" fontId="40" fillId="18" borderId="44" xfId="0" applyFont="1" applyFill="1" applyBorder="1" applyAlignment="1">
      <alignment horizontal="center"/>
    </xf>
    <xf numFmtId="0" fontId="40" fillId="18" borderId="3" xfId="0" applyFont="1" applyFill="1" applyBorder="1" applyAlignment="1">
      <alignment horizontal="center"/>
    </xf>
    <xf numFmtId="0" fontId="25" fillId="0" borderId="0" xfId="0" applyFont="1" applyAlignment="1">
      <alignment horizontal="center"/>
    </xf>
  </cellXfs>
  <cellStyles count="11">
    <cellStyle name="Comma" xfId="9" builtinId="3"/>
    <cellStyle name="Comma [0]" xfId="7" builtinId="6"/>
    <cellStyle name="Comma 2" xfId="4" xr:uid="{00000000-0005-0000-0000-000002000000}"/>
    <cellStyle name="Comma 2 4 2" xfId="5" xr:uid="{00000000-0005-0000-0000-000003000000}"/>
    <cellStyle name="Hyperlink" xfId="10" builtinId="8"/>
    <cellStyle name="Hyperlink 2" xfId="2" xr:uid="{00000000-0005-0000-0000-000004000000}"/>
    <cellStyle name="Normal" xfId="0" builtinId="0"/>
    <cellStyle name="Normal 2" xfId="1" xr:uid="{00000000-0005-0000-0000-000006000000}"/>
    <cellStyle name="Normal 3" xfId="3" xr:uid="{00000000-0005-0000-0000-000007000000}"/>
    <cellStyle name="Normal 6" xfId="6" xr:uid="{00000000-0005-0000-0000-000008000000}"/>
    <cellStyle name="Percent 2" xfId="8" xr:uid="{00000000-0005-0000-0000-000009000000}"/>
  </cellStyles>
  <dxfs count="165">
    <dxf>
      <font>
        <color rgb="FF9C0006"/>
      </font>
      <fill>
        <patternFill>
          <bgColor rgb="FFFFC7CE"/>
        </patternFill>
      </fill>
    </dxf>
    <dxf>
      <font>
        <strike val="0"/>
        <outline val="0"/>
        <shadow val="0"/>
        <u val="none"/>
        <vertAlign val="baseline"/>
        <name val="Aptos Narrow"/>
        <family val="2"/>
        <scheme val="none"/>
      </font>
      <border diagonalUp="0" diagonalDown="0" outline="0">
        <left/>
        <right/>
        <top style="thin">
          <color indexed="64"/>
        </top>
        <bottom style="thin">
          <color auto="1"/>
        </bottom>
      </border>
    </dxf>
    <dxf>
      <border outline="0">
        <top style="thin">
          <color indexed="64"/>
        </top>
      </border>
    </dxf>
    <dxf>
      <border outline="0">
        <left style="thin">
          <color auto="1"/>
        </left>
        <right style="thin">
          <color auto="1"/>
        </right>
        <top style="thin">
          <color indexed="64"/>
        </top>
        <bottom style="thin">
          <color auto="1"/>
        </bottom>
      </border>
    </dxf>
    <dxf>
      <font>
        <strike val="0"/>
        <outline val="0"/>
        <shadow val="0"/>
        <u val="none"/>
        <vertAlign val="baseline"/>
        <name val="Aptos Narrow"/>
        <family val="2"/>
        <scheme val="none"/>
      </font>
    </dxf>
    <dxf>
      <border outline="0">
        <bottom style="thin">
          <color auto="1"/>
        </bottom>
      </border>
    </dxf>
    <dxf>
      <font>
        <strike val="0"/>
        <outline val="0"/>
        <shadow val="0"/>
        <u val="none"/>
        <vertAlign val="baseline"/>
        <name val="Aptos Narrow"/>
        <family val="2"/>
        <scheme val="none"/>
      </font>
      <fill>
        <patternFill patternType="solid">
          <fgColor indexed="64"/>
          <bgColor indexed="22"/>
        </patternFill>
      </fill>
      <alignment horizontal="general" vertical="top" textRotation="0" wrapText="0" indent="0" justifyLastLine="0" shrinkToFit="0" readingOrder="0"/>
    </dxf>
    <dxf>
      <font>
        <strike val="0"/>
        <outline val="0"/>
        <shadow val="0"/>
        <u val="none"/>
        <vertAlign val="baseline"/>
        <name val="Aptos Narrow"/>
        <family val="2"/>
        <scheme val="none"/>
      </font>
    </dxf>
    <dxf>
      <font>
        <strike val="0"/>
        <outline val="0"/>
        <shadow val="0"/>
        <u val="none"/>
        <vertAlign val="baseline"/>
        <name val="Aptos Narrow"/>
        <family val="2"/>
        <scheme val="none"/>
      </font>
    </dxf>
    <dxf>
      <font>
        <strike val="0"/>
        <outline val="0"/>
        <shadow val="0"/>
        <u val="none"/>
        <vertAlign val="baseline"/>
        <name val="Aptos Narrow"/>
        <family val="2"/>
        <scheme val="none"/>
      </font>
    </dxf>
    <dxf>
      <font>
        <strike val="0"/>
        <outline val="0"/>
        <shadow val="0"/>
        <u val="none"/>
        <vertAlign val="baseline"/>
        <name val="Aptos Narrow"/>
        <family val="2"/>
        <scheme val="none"/>
      </font>
    </dxf>
    <dxf>
      <font>
        <strike val="0"/>
        <outline val="0"/>
        <shadow val="0"/>
        <u val="none"/>
        <vertAlign val="baseline"/>
        <name val="Aptos Narrow"/>
        <family val="2"/>
        <scheme val="none"/>
      </font>
    </dxf>
    <dxf>
      <font>
        <strike val="0"/>
        <outline val="0"/>
        <shadow val="0"/>
        <u val="none"/>
        <vertAlign val="baseline"/>
        <name val="Aptos Narrow"/>
        <family val="2"/>
        <scheme val="none"/>
      </font>
    </dxf>
    <dxf>
      <font>
        <strike val="0"/>
        <outline val="0"/>
        <shadow val="0"/>
        <u val="none"/>
        <vertAlign val="baseline"/>
        <name val="Aptos Narrow"/>
        <family val="2"/>
        <scheme val="none"/>
      </font>
    </dxf>
    <dxf>
      <font>
        <strike val="0"/>
        <outline val="0"/>
        <shadow val="0"/>
        <u val="none"/>
        <vertAlign val="baseline"/>
        <name val="Aptos Narrow"/>
        <family val="2"/>
        <scheme val="none"/>
      </font>
    </dxf>
    <dxf>
      <font>
        <strike val="0"/>
        <outline val="0"/>
        <shadow val="0"/>
        <u val="none"/>
        <vertAlign val="baseline"/>
        <name val="Aptos Narrow"/>
        <family val="2"/>
        <scheme val="none"/>
      </font>
    </dxf>
    <dxf>
      <font>
        <strike val="0"/>
        <outline val="0"/>
        <shadow val="0"/>
        <u val="none"/>
        <vertAlign val="baseline"/>
        <name val="Aptos Narrow"/>
        <family val="2"/>
        <scheme val="none"/>
      </font>
    </dxf>
    <dxf>
      <font>
        <strike val="0"/>
        <outline val="0"/>
        <shadow val="0"/>
        <u val="none"/>
        <vertAlign val="baseline"/>
        <name val="Aptos Narrow"/>
        <family val="2"/>
        <scheme val="none"/>
      </font>
    </dxf>
    <dxf>
      <font>
        <strike val="0"/>
        <outline val="0"/>
        <shadow val="0"/>
        <u val="none"/>
        <vertAlign val="baseline"/>
        <name val="Aptos Narrow"/>
        <family val="2"/>
        <scheme val="none"/>
      </font>
    </dxf>
    <dxf>
      <font>
        <strike val="0"/>
        <outline val="0"/>
        <shadow val="0"/>
        <u val="none"/>
        <vertAlign val="baseline"/>
        <name val="Aptos Narrow"/>
        <family val="2"/>
        <scheme val="none"/>
      </font>
    </dxf>
    <dxf>
      <font>
        <strike val="0"/>
        <outline val="0"/>
        <shadow val="0"/>
        <u val="none"/>
        <vertAlign val="baseline"/>
        <name val="Aptos Narrow"/>
        <family val="2"/>
        <scheme val="none"/>
      </font>
    </dxf>
    <dxf>
      <font>
        <strike val="0"/>
        <outline val="0"/>
        <shadow val="0"/>
        <u val="none"/>
        <vertAlign val="baseline"/>
        <name val="Aptos Narrow"/>
        <family val="2"/>
        <scheme val="none"/>
      </font>
    </dxf>
    <dxf>
      <font>
        <strike val="0"/>
        <outline val="0"/>
        <shadow val="0"/>
        <u val="none"/>
        <vertAlign val="baseline"/>
        <name val="Aptos Narrow"/>
        <family val="2"/>
        <scheme val="none"/>
      </font>
    </dxf>
    <dxf>
      <font>
        <strike val="0"/>
        <outline val="0"/>
        <shadow val="0"/>
        <u val="none"/>
        <vertAlign val="baseline"/>
        <name val="Aptos Narrow"/>
        <family val="2"/>
        <scheme val="none"/>
      </font>
    </dxf>
    <dxf>
      <font>
        <strike val="0"/>
        <outline val="0"/>
        <shadow val="0"/>
        <u val="none"/>
        <vertAlign val="baseline"/>
        <name val="Aptos Narrow"/>
        <family val="2"/>
        <scheme val="none"/>
      </font>
    </dxf>
    <dxf>
      <font>
        <strike val="0"/>
        <outline val="0"/>
        <shadow val="0"/>
        <u val="none"/>
        <vertAlign val="baseline"/>
        <name val="Aptos Narrow"/>
        <family val="2"/>
        <scheme val="none"/>
      </font>
    </dxf>
    <dxf>
      <font>
        <strike val="0"/>
        <outline val="0"/>
        <shadow val="0"/>
        <u val="none"/>
        <vertAlign val="baseline"/>
        <name val="Aptos Narrow"/>
        <family val="2"/>
        <scheme val="none"/>
      </font>
    </dxf>
    <dxf>
      <font>
        <strike val="0"/>
        <outline val="0"/>
        <shadow val="0"/>
        <u val="none"/>
        <vertAlign val="baseline"/>
        <name val="Aptos Narrow"/>
        <family val="2"/>
        <scheme val="none"/>
      </font>
    </dxf>
    <dxf>
      <font>
        <strike val="0"/>
        <outline val="0"/>
        <shadow val="0"/>
        <u val="none"/>
        <vertAlign val="baseline"/>
        <name val="Aptos Narrow"/>
        <family val="2"/>
        <scheme val="none"/>
      </font>
    </dxf>
    <dxf>
      <font>
        <strike val="0"/>
        <outline val="0"/>
        <shadow val="0"/>
        <u val="none"/>
        <vertAlign val="baseline"/>
        <name val="Aptos Narrow"/>
        <family val="2"/>
        <scheme val="none"/>
      </font>
    </dxf>
    <dxf>
      <font>
        <strike val="0"/>
        <outline val="0"/>
        <shadow val="0"/>
        <u val="none"/>
        <vertAlign val="baseline"/>
        <name val="Aptos Narrow"/>
        <family val="2"/>
        <scheme val="none"/>
      </font>
    </dxf>
    <dxf>
      <font>
        <strike val="0"/>
        <outline val="0"/>
        <shadow val="0"/>
        <u val="none"/>
        <vertAlign val="baseline"/>
        <name val="Aptos Narrow"/>
        <family val="2"/>
        <scheme val="none"/>
      </font>
    </dxf>
    <dxf>
      <font>
        <strike val="0"/>
        <outline val="0"/>
        <shadow val="0"/>
        <u val="none"/>
        <vertAlign val="baseline"/>
        <name val="Aptos Narrow"/>
        <family val="2"/>
        <scheme val="none"/>
      </font>
    </dxf>
    <dxf>
      <font>
        <strike val="0"/>
        <outline val="0"/>
        <shadow val="0"/>
        <u val="none"/>
        <vertAlign val="baseline"/>
        <name val="Aptos Narrow"/>
        <family val="2"/>
        <scheme val="none"/>
      </font>
    </dxf>
    <dxf>
      <font>
        <strike val="0"/>
        <outline val="0"/>
        <shadow val="0"/>
        <u val="none"/>
        <vertAlign val="baseline"/>
        <name val="Aptos Narrow"/>
        <family val="2"/>
        <scheme val="none"/>
      </font>
    </dxf>
    <dxf>
      <font>
        <strike val="0"/>
        <outline val="0"/>
        <shadow val="0"/>
        <u val="none"/>
        <vertAlign val="baseline"/>
        <name val="Aptos Narrow"/>
        <family val="2"/>
        <scheme val="none"/>
      </font>
    </dxf>
    <dxf>
      <font>
        <strike val="0"/>
        <outline val="0"/>
        <shadow val="0"/>
        <u val="none"/>
        <vertAlign val="baseline"/>
        <name val="Aptos Narrow"/>
        <family val="2"/>
        <scheme val="none"/>
      </font>
    </dxf>
    <dxf>
      <font>
        <strike val="0"/>
        <outline val="0"/>
        <shadow val="0"/>
        <u val="none"/>
        <vertAlign val="baseline"/>
        <name val="Aptos Narrow"/>
        <family val="2"/>
        <scheme val="none"/>
      </font>
    </dxf>
    <dxf>
      <font>
        <strike val="0"/>
        <outline val="0"/>
        <shadow val="0"/>
        <u val="none"/>
        <vertAlign val="baseline"/>
        <name val="Aptos Narrow"/>
        <family val="2"/>
        <scheme val="none"/>
      </font>
    </dxf>
    <dxf>
      <font>
        <strike val="0"/>
        <outline val="0"/>
        <shadow val="0"/>
        <u val="none"/>
        <vertAlign val="baseline"/>
        <name val="Aptos Narrow"/>
        <family val="2"/>
        <scheme val="none"/>
      </font>
    </dxf>
    <dxf>
      <font>
        <strike val="0"/>
        <outline val="0"/>
        <shadow val="0"/>
        <u val="none"/>
        <vertAlign val="baseline"/>
        <name val="Aptos Narrow"/>
        <family val="2"/>
        <scheme val="none"/>
      </font>
    </dxf>
    <dxf>
      <font>
        <strike val="0"/>
        <outline val="0"/>
        <shadow val="0"/>
        <u val="none"/>
        <vertAlign val="baseline"/>
        <name val="Aptos Narrow"/>
        <family val="2"/>
        <scheme val="none"/>
      </font>
    </dxf>
    <dxf>
      <font>
        <strike val="0"/>
        <outline val="0"/>
        <shadow val="0"/>
        <u val="none"/>
        <vertAlign val="baseline"/>
        <name val="Aptos Narrow"/>
        <family val="2"/>
        <scheme val="none"/>
      </font>
    </dxf>
    <dxf>
      <font>
        <strike val="0"/>
        <outline val="0"/>
        <shadow val="0"/>
        <u val="none"/>
        <vertAlign val="baseline"/>
        <name val="Aptos Narrow"/>
        <family val="2"/>
        <scheme val="none"/>
      </font>
    </dxf>
    <dxf>
      <font>
        <strike val="0"/>
        <outline val="0"/>
        <shadow val="0"/>
        <u val="none"/>
        <vertAlign val="baseline"/>
        <name val="Aptos Narrow"/>
        <family val="2"/>
        <scheme val="none"/>
      </font>
    </dxf>
    <dxf>
      <font>
        <strike val="0"/>
        <outline val="0"/>
        <shadow val="0"/>
        <u val="none"/>
        <vertAlign val="baseline"/>
        <name val="Aptos Narrow"/>
        <family val="2"/>
        <scheme val="none"/>
      </font>
    </dxf>
    <dxf>
      <font>
        <strike val="0"/>
        <outline val="0"/>
        <shadow val="0"/>
        <u val="none"/>
        <vertAlign val="baseline"/>
        <name val="Aptos Narrow"/>
        <family val="2"/>
        <scheme val="none"/>
      </font>
    </dxf>
    <dxf>
      <font>
        <strike val="0"/>
        <outline val="0"/>
        <shadow val="0"/>
        <u val="none"/>
        <vertAlign val="baseline"/>
        <name val="Aptos Narrow"/>
        <family val="2"/>
        <scheme val="none"/>
      </font>
    </dxf>
    <dxf>
      <font>
        <strike val="0"/>
        <outline val="0"/>
        <shadow val="0"/>
        <u val="none"/>
        <vertAlign val="baseline"/>
        <name val="Aptos Narrow"/>
        <family val="2"/>
        <scheme val="none"/>
      </font>
    </dxf>
    <dxf>
      <font>
        <strike val="0"/>
        <outline val="0"/>
        <shadow val="0"/>
        <u val="none"/>
        <vertAlign val="baseline"/>
        <name val="Aptos Narrow"/>
        <family val="2"/>
        <scheme val="none"/>
      </font>
    </dxf>
    <dxf>
      <font>
        <strike val="0"/>
        <outline val="0"/>
        <shadow val="0"/>
        <u val="none"/>
        <vertAlign val="baseline"/>
        <name val="Aptos Narrow"/>
        <family val="2"/>
        <scheme val="none"/>
      </font>
    </dxf>
    <dxf>
      <font>
        <strike val="0"/>
        <outline val="0"/>
        <shadow val="0"/>
        <u val="none"/>
        <vertAlign val="baseline"/>
        <name val="Aptos Narrow"/>
        <family val="2"/>
        <scheme val="none"/>
      </font>
    </dxf>
    <dxf>
      <font>
        <strike val="0"/>
        <outline val="0"/>
        <shadow val="0"/>
        <u val="none"/>
        <vertAlign val="baseline"/>
        <name val="Aptos Narrow"/>
        <family val="2"/>
        <scheme val="none"/>
      </font>
    </dxf>
    <dxf>
      <font>
        <strike val="0"/>
        <outline val="0"/>
        <shadow val="0"/>
        <u val="none"/>
        <vertAlign val="baseline"/>
        <name val="Aptos Narrow"/>
        <family val="2"/>
        <scheme val="none"/>
      </font>
    </dxf>
    <dxf>
      <font>
        <strike val="0"/>
        <outline val="0"/>
        <shadow val="0"/>
        <u val="none"/>
        <vertAlign val="baseline"/>
        <name val="Aptos Narrow"/>
        <family val="2"/>
        <scheme val="none"/>
      </font>
    </dxf>
    <dxf>
      <font>
        <strike val="0"/>
        <outline val="0"/>
        <shadow val="0"/>
        <u val="none"/>
        <vertAlign val="baseline"/>
        <name val="Aptos Narrow"/>
        <family val="2"/>
        <scheme val="none"/>
      </font>
    </dxf>
    <dxf>
      <font>
        <strike val="0"/>
        <outline val="0"/>
        <shadow val="0"/>
        <u val="none"/>
        <vertAlign val="baseline"/>
        <name val="Aptos Narrow"/>
        <family val="2"/>
        <scheme val="none"/>
      </font>
    </dxf>
    <dxf>
      <font>
        <strike val="0"/>
        <outline val="0"/>
        <shadow val="0"/>
        <u val="none"/>
        <vertAlign val="baseline"/>
        <name val="Aptos Narrow"/>
        <family val="2"/>
        <scheme val="none"/>
      </font>
    </dxf>
    <dxf>
      <font>
        <strike val="0"/>
        <outline val="0"/>
        <shadow val="0"/>
        <u val="none"/>
        <vertAlign val="baseline"/>
        <name val="Aptos Narrow"/>
        <family val="2"/>
        <scheme val="none"/>
      </font>
    </dxf>
    <dxf>
      <font>
        <strike val="0"/>
        <outline val="0"/>
        <shadow val="0"/>
        <u val="none"/>
        <vertAlign val="baseline"/>
        <name val="Aptos Narrow"/>
        <family val="2"/>
        <scheme val="none"/>
      </font>
    </dxf>
    <dxf>
      <font>
        <strike val="0"/>
        <outline val="0"/>
        <shadow val="0"/>
        <u val="none"/>
        <vertAlign val="baseline"/>
        <name val="Aptos Narrow"/>
        <family val="2"/>
        <scheme val="none"/>
      </font>
    </dxf>
    <dxf>
      <font>
        <strike val="0"/>
        <outline val="0"/>
        <shadow val="0"/>
        <u val="none"/>
        <vertAlign val="baseline"/>
        <name val="Aptos Narrow"/>
        <family val="2"/>
        <scheme val="none"/>
      </font>
    </dxf>
    <dxf>
      <font>
        <strike val="0"/>
        <outline val="0"/>
        <shadow val="0"/>
        <u val="none"/>
        <vertAlign val="baseline"/>
        <name val="Aptos Narrow"/>
        <family val="2"/>
        <scheme val="none"/>
      </font>
    </dxf>
    <dxf>
      <font>
        <strike val="0"/>
        <outline val="0"/>
        <shadow val="0"/>
        <u val="none"/>
        <vertAlign val="baseline"/>
        <name val="Aptos Narrow"/>
        <family val="2"/>
        <scheme val="none"/>
      </font>
    </dxf>
    <dxf>
      <font>
        <strike val="0"/>
        <outline val="0"/>
        <shadow val="0"/>
        <u val="none"/>
        <vertAlign val="baseline"/>
        <name val="Aptos Narrow"/>
        <family val="2"/>
        <scheme val="none"/>
      </font>
    </dxf>
    <dxf>
      <font>
        <strike val="0"/>
        <outline val="0"/>
        <shadow val="0"/>
        <u val="none"/>
        <vertAlign val="baseline"/>
        <name val="Aptos Narrow"/>
        <family val="2"/>
        <scheme val="none"/>
      </font>
    </dxf>
    <dxf>
      <font>
        <strike val="0"/>
        <outline val="0"/>
        <shadow val="0"/>
        <u val="none"/>
        <vertAlign val="baseline"/>
        <name val="Aptos Narrow"/>
        <family val="2"/>
        <scheme val="none"/>
      </font>
    </dxf>
    <dxf>
      <font>
        <strike val="0"/>
        <outline val="0"/>
        <shadow val="0"/>
        <u val="none"/>
        <vertAlign val="baseline"/>
        <name val="Aptos Narrow"/>
        <family val="2"/>
        <scheme val="none"/>
      </font>
    </dxf>
    <dxf>
      <font>
        <strike val="0"/>
        <outline val="0"/>
        <shadow val="0"/>
        <u val="none"/>
        <vertAlign val="baseline"/>
        <name val="Aptos Narrow"/>
        <family val="2"/>
        <scheme val="none"/>
      </font>
    </dxf>
    <dxf>
      <font>
        <strike val="0"/>
        <outline val="0"/>
        <shadow val="0"/>
        <u val="none"/>
        <vertAlign val="baseline"/>
        <name val="Aptos Narrow"/>
        <family val="2"/>
        <scheme val="none"/>
      </font>
    </dxf>
    <dxf>
      <font>
        <strike val="0"/>
        <outline val="0"/>
        <shadow val="0"/>
        <u val="none"/>
        <vertAlign val="baseline"/>
        <name val="Aptos Narrow"/>
        <family val="2"/>
        <scheme val="none"/>
      </font>
    </dxf>
    <dxf>
      <font>
        <strike val="0"/>
        <outline val="0"/>
        <shadow val="0"/>
        <u val="none"/>
        <vertAlign val="baseline"/>
        <name val="Aptos Narrow"/>
        <family val="2"/>
        <scheme val="none"/>
      </font>
    </dxf>
    <dxf>
      <font>
        <strike val="0"/>
        <outline val="0"/>
        <shadow val="0"/>
        <u val="none"/>
        <vertAlign val="baseline"/>
        <name val="Aptos Narrow"/>
        <family val="2"/>
        <scheme val="none"/>
      </font>
    </dxf>
    <dxf>
      <font>
        <strike val="0"/>
        <outline val="0"/>
        <shadow val="0"/>
        <u val="none"/>
        <vertAlign val="baseline"/>
        <name val="Aptos Narrow"/>
        <family val="2"/>
        <scheme val="none"/>
      </font>
    </dxf>
    <dxf>
      <font>
        <strike val="0"/>
        <outline val="0"/>
        <shadow val="0"/>
        <u val="none"/>
        <vertAlign val="baseline"/>
        <name val="Aptos Narrow"/>
        <family val="2"/>
        <scheme val="none"/>
      </font>
    </dxf>
    <dxf>
      <font>
        <strike val="0"/>
        <outline val="0"/>
        <shadow val="0"/>
        <u val="none"/>
        <vertAlign val="baseline"/>
        <name val="Aptos Narrow"/>
        <family val="2"/>
        <scheme val="none"/>
      </font>
    </dxf>
    <dxf>
      <font>
        <strike val="0"/>
        <outline val="0"/>
        <shadow val="0"/>
        <u val="none"/>
        <vertAlign val="baseline"/>
        <name val="Aptos Narrow"/>
        <family val="2"/>
        <scheme val="none"/>
      </font>
    </dxf>
    <dxf>
      <font>
        <strike val="0"/>
        <outline val="0"/>
        <shadow val="0"/>
        <u val="none"/>
        <vertAlign val="baseline"/>
        <name val="Aptos Narrow"/>
        <family val="2"/>
        <scheme val="none"/>
      </font>
    </dxf>
    <dxf>
      <font>
        <strike val="0"/>
        <outline val="0"/>
        <shadow val="0"/>
        <u val="none"/>
        <vertAlign val="baseline"/>
        <name val="Aptos Narrow"/>
        <family val="2"/>
        <scheme val="none"/>
      </font>
    </dxf>
    <dxf>
      <font>
        <strike val="0"/>
        <outline val="0"/>
        <shadow val="0"/>
        <u val="none"/>
        <vertAlign val="baseline"/>
        <name val="Aptos Narrow"/>
        <family val="2"/>
        <scheme val="none"/>
      </font>
    </dxf>
    <dxf>
      <font>
        <strike val="0"/>
        <outline val="0"/>
        <shadow val="0"/>
        <u val="none"/>
        <vertAlign val="baseline"/>
        <name val="Aptos Narrow"/>
        <family val="2"/>
        <scheme val="none"/>
      </font>
    </dxf>
    <dxf>
      <font>
        <strike val="0"/>
        <outline val="0"/>
        <shadow val="0"/>
        <u val="none"/>
        <vertAlign val="baseline"/>
        <name val="Aptos Narrow"/>
        <family val="2"/>
        <scheme val="none"/>
      </font>
    </dxf>
    <dxf>
      <font>
        <strike val="0"/>
        <outline val="0"/>
        <shadow val="0"/>
        <u val="none"/>
        <vertAlign val="baseline"/>
        <name val="Aptos Narrow"/>
        <family val="2"/>
        <scheme val="none"/>
      </font>
    </dxf>
    <dxf>
      <font>
        <strike val="0"/>
        <outline val="0"/>
        <shadow val="0"/>
        <u val="none"/>
        <vertAlign val="baseline"/>
        <name val="Aptos Narrow"/>
        <family val="2"/>
        <scheme val="none"/>
      </font>
    </dxf>
    <dxf>
      <font>
        <strike val="0"/>
        <outline val="0"/>
        <shadow val="0"/>
        <u val="none"/>
        <vertAlign val="baseline"/>
        <name val="Aptos Narrow"/>
        <family val="2"/>
        <scheme val="none"/>
      </font>
    </dxf>
    <dxf>
      <font>
        <strike val="0"/>
        <outline val="0"/>
        <shadow val="0"/>
        <u val="none"/>
        <vertAlign val="baseline"/>
        <name val="Aptos Narrow"/>
        <family val="2"/>
        <scheme val="none"/>
      </font>
    </dxf>
    <dxf>
      <font>
        <strike val="0"/>
        <outline val="0"/>
        <shadow val="0"/>
        <u val="none"/>
        <vertAlign val="baseline"/>
        <name val="Aptos Narrow"/>
        <family val="2"/>
        <scheme val="none"/>
      </font>
    </dxf>
    <dxf>
      <font>
        <strike val="0"/>
        <outline val="0"/>
        <shadow val="0"/>
        <u val="none"/>
        <vertAlign val="baseline"/>
        <name val="Aptos Narrow"/>
        <family val="2"/>
        <scheme val="none"/>
      </font>
    </dxf>
    <dxf>
      <font>
        <strike val="0"/>
        <outline val="0"/>
        <shadow val="0"/>
        <u val="none"/>
        <vertAlign val="baseline"/>
        <name val="Aptos Narrow"/>
        <family val="2"/>
        <scheme val="none"/>
      </font>
    </dxf>
    <dxf>
      <font>
        <strike val="0"/>
        <outline val="0"/>
        <shadow val="0"/>
        <u val="none"/>
        <vertAlign val="baseline"/>
        <name val="Aptos Narrow"/>
        <family val="2"/>
        <scheme val="none"/>
      </font>
    </dxf>
    <dxf>
      <font>
        <strike val="0"/>
        <outline val="0"/>
        <shadow val="0"/>
        <u val="none"/>
        <vertAlign val="baseline"/>
        <name val="Aptos Narrow"/>
        <family val="2"/>
        <scheme val="none"/>
      </font>
    </dxf>
    <dxf>
      <font>
        <strike val="0"/>
        <outline val="0"/>
        <shadow val="0"/>
        <u val="none"/>
        <vertAlign val="baseline"/>
        <name val="Aptos Narrow"/>
        <family val="2"/>
        <scheme val="none"/>
      </font>
    </dxf>
    <dxf>
      <font>
        <strike val="0"/>
        <outline val="0"/>
        <shadow val="0"/>
        <u val="none"/>
        <vertAlign val="baseline"/>
        <name val="Aptos Narrow"/>
        <family val="2"/>
        <scheme val="none"/>
      </font>
    </dxf>
    <dxf>
      <font>
        <strike val="0"/>
        <outline val="0"/>
        <shadow val="0"/>
        <u val="none"/>
        <vertAlign val="baseline"/>
        <name val="Aptos Narrow"/>
        <family val="2"/>
        <scheme val="none"/>
      </font>
    </dxf>
    <dxf>
      <font>
        <strike val="0"/>
        <outline val="0"/>
        <shadow val="0"/>
        <u val="none"/>
        <vertAlign val="baseline"/>
        <name val="Aptos Narrow"/>
        <family val="2"/>
        <scheme val="none"/>
      </font>
    </dxf>
    <dxf>
      <font>
        <strike val="0"/>
        <outline val="0"/>
        <shadow val="0"/>
        <u val="none"/>
        <vertAlign val="baseline"/>
        <name val="Aptos Narrow"/>
        <family val="2"/>
        <scheme val="none"/>
      </font>
    </dxf>
    <dxf>
      <font>
        <strike val="0"/>
        <outline val="0"/>
        <shadow val="0"/>
        <u val="none"/>
        <vertAlign val="baseline"/>
        <name val="Aptos Narrow"/>
        <family val="2"/>
        <scheme val="none"/>
      </font>
    </dxf>
    <dxf>
      <font>
        <strike val="0"/>
        <outline val="0"/>
        <shadow val="0"/>
        <u val="none"/>
        <vertAlign val="baseline"/>
        <name val="Aptos Narrow"/>
        <family val="2"/>
        <scheme val="none"/>
      </font>
    </dxf>
    <dxf>
      <border diagonalUp="0" diagonalDown="0">
        <left style="medium">
          <color indexed="64"/>
        </left>
        <right style="medium">
          <color indexed="64"/>
        </right>
        <top style="medium">
          <color indexed="64"/>
        </top>
        <bottom style="medium">
          <color indexed="64"/>
        </bottom>
      </border>
    </dxf>
    <dxf>
      <font>
        <strike val="0"/>
        <outline val="0"/>
        <shadow val="0"/>
        <u val="none"/>
        <vertAlign val="baseline"/>
        <name val="Aptos Narrow"/>
        <family val="2"/>
        <scheme val="none"/>
      </font>
    </dxf>
    <dxf>
      <font>
        <strike val="0"/>
        <outline val="0"/>
        <shadow val="0"/>
        <u val="none"/>
        <vertAlign val="baseline"/>
        <name val="Aptos Narrow"/>
        <family val="2"/>
        <scheme val="none"/>
      </font>
    </dxf>
    <dxf>
      <font>
        <strike val="0"/>
        <outline val="0"/>
        <shadow val="0"/>
        <u val="none"/>
        <vertAlign val="baseline"/>
        <name val="Aptos Narrow"/>
        <family val="2"/>
        <scheme val="none"/>
      </font>
    </dxf>
    <dxf>
      <font>
        <strike val="0"/>
        <outline val="0"/>
        <shadow val="0"/>
        <u val="none"/>
        <vertAlign val="baseline"/>
        <name val="Aptos Narrow"/>
        <family val="2"/>
        <scheme val="none"/>
      </font>
    </dxf>
    <dxf>
      <font>
        <strike val="0"/>
        <outline val="0"/>
        <shadow val="0"/>
        <u val="none"/>
        <vertAlign val="baseline"/>
        <name val="Aptos Narrow"/>
        <family val="2"/>
        <scheme val="none"/>
      </font>
    </dxf>
    <dxf>
      <font>
        <color rgb="FF9C0006"/>
      </font>
      <fill>
        <patternFill>
          <bgColor rgb="FFFFC7CE"/>
        </patternFill>
      </fill>
    </dxf>
    <dxf>
      <font>
        <b/>
        <i val="0"/>
        <color theme="1"/>
      </font>
      <fill>
        <patternFill>
          <bgColor rgb="FFFF0000"/>
        </patternFill>
      </fill>
    </dxf>
    <dxf>
      <font>
        <b/>
        <i val="0"/>
        <color theme="1"/>
      </font>
      <fill>
        <patternFill>
          <bgColor rgb="FFFF0000"/>
        </patternFill>
      </fill>
    </dxf>
    <dxf>
      <font>
        <b/>
        <i val="0"/>
        <color theme="1"/>
      </font>
      <fill>
        <patternFill>
          <bgColor rgb="FFFF0000"/>
        </patternFill>
      </fill>
    </dxf>
    <dxf>
      <font>
        <color rgb="FF9C0006"/>
      </font>
      <fill>
        <patternFill>
          <bgColor rgb="FFFFC7CE"/>
        </patternFill>
      </fill>
    </dxf>
    <dxf>
      <font>
        <b/>
        <i val="0"/>
        <color theme="1"/>
      </font>
      <fill>
        <patternFill>
          <bgColor rgb="FFFF0000"/>
        </patternFill>
      </fill>
    </dxf>
    <dxf>
      <font>
        <color rgb="FF9C0006"/>
      </font>
      <fill>
        <patternFill>
          <bgColor rgb="FFFFC7CE"/>
        </patternFill>
      </fill>
    </dxf>
    <dxf>
      <font>
        <b/>
        <i val="0"/>
        <color theme="1"/>
      </font>
      <fill>
        <patternFill>
          <bgColor rgb="FFFF0000"/>
        </patternFill>
      </fill>
    </dxf>
    <dxf>
      <font>
        <b/>
        <i val="0"/>
        <color theme="1"/>
      </font>
      <fill>
        <patternFill>
          <bgColor rgb="FFFF0000"/>
        </patternFill>
      </fill>
    </dxf>
    <dxf>
      <font>
        <b/>
        <i val="0"/>
        <color theme="1"/>
      </font>
      <fill>
        <patternFill>
          <bgColor rgb="FFFF0000"/>
        </patternFill>
      </fill>
    </dxf>
    <dxf>
      <border>
        <left style="thick">
          <color auto="1"/>
        </left>
        <right style="thick">
          <color auto="1"/>
        </right>
        <top style="thick">
          <color auto="1"/>
        </top>
        <bottom style="thick">
          <color auto="1"/>
        </bottom>
      </border>
    </dxf>
    <dxf>
      <border>
        <left style="thick">
          <color auto="1"/>
        </left>
        <right style="thick">
          <color auto="1"/>
        </right>
        <top style="thick">
          <color auto="1"/>
        </top>
        <bottom style="thick">
          <color auto="1"/>
        </bottom>
        <vertical style="thin">
          <color auto="1"/>
        </vertical>
        <horizontal style="thin">
          <color auto="1"/>
        </horizontal>
      </border>
    </dxf>
    <dxf>
      <fill>
        <patternFill patternType="solid">
          <fgColor theme="0" tint="-0.14999847407452621"/>
          <bgColor theme="0" tint="-0.14999847407452621"/>
        </patternFill>
      </fill>
    </dxf>
    <dxf>
      <fill>
        <patternFill patternType="solid">
          <fgColor theme="0" tint="-0.14999847407452621"/>
          <bgColor theme="0" tint="-0.14999847407452621"/>
        </patternFill>
      </fill>
    </dxf>
    <dxf>
      <font>
        <b/>
        <color theme="1"/>
      </font>
    </dxf>
    <dxf>
      <font>
        <b/>
        <color theme="1"/>
      </font>
      <fill>
        <patternFill patternType="solid">
          <fgColor theme="0" tint="-0.14999847407452621"/>
          <bgColor theme="0" tint="-0.14999847407452621"/>
        </patternFill>
      </fill>
    </dxf>
    <dxf>
      <font>
        <b/>
        <color theme="1"/>
      </font>
    </dxf>
    <dxf>
      <font>
        <b/>
        <color theme="1"/>
      </font>
      <fill>
        <patternFill patternType="solid">
          <fgColor theme="0" tint="-0.249977111117893"/>
          <bgColor theme="0" tint="-0.249977111117893"/>
        </patternFill>
      </fill>
    </dxf>
    <dxf>
      <font>
        <b/>
        <color theme="1"/>
      </font>
      <border>
        <left style="medium">
          <color theme="0" tint="-0.249977111117893"/>
        </left>
        <right style="medium">
          <color theme="0" tint="-0.249977111117893"/>
        </right>
        <top style="medium">
          <color theme="0" tint="-0.249977111117893"/>
        </top>
        <bottom style="medium">
          <color theme="0" tint="-0.249977111117893"/>
        </bottom>
      </border>
    </dxf>
    <dxf>
      <fill>
        <patternFill>
          <bgColor theme="1" tint="0.499984740745262"/>
        </patternFill>
      </fill>
      <border>
        <left style="medium">
          <color auto="1"/>
        </left>
        <right style="medium">
          <color auto="1"/>
        </right>
        <top style="medium">
          <color auto="1"/>
        </top>
        <bottom style="medium">
          <color auto="1"/>
        </bottom>
        <vertical style="medium">
          <color theme="0" tint="-0.14996795556505021"/>
        </vertical>
      </border>
    </dxf>
    <dxf>
      <border>
        <top style="thin">
          <color theme="0" tint="-0.249977111117893"/>
        </top>
        <bottom style="thin">
          <color theme="0" tint="-0.249977111117893"/>
        </bottom>
        <horizontal style="thin">
          <color theme="0" tint="-0.249977111117893"/>
        </horizontal>
      </border>
    </dxf>
    <dxf>
      <font>
        <b/>
        <color theme="1"/>
      </font>
      <border>
        <top style="thin">
          <color theme="1"/>
        </top>
        <bottom style="medium">
          <color theme="1" tint="0.499984740745262"/>
        </bottom>
      </border>
    </dxf>
    <dxf>
      <font>
        <b/>
        <color theme="0"/>
      </font>
      <fill>
        <patternFill patternType="solid">
          <fgColor theme="1" tint="0.499984740745262"/>
          <bgColor theme="1" tint="0.499984740745262"/>
        </patternFill>
      </fill>
      <border>
        <top style="medium">
          <color theme="1" tint="0.499984740745262"/>
        </top>
      </border>
    </dxf>
    <dxf>
      <font>
        <color theme="1"/>
      </font>
      <border>
        <left style="thick">
          <color auto="1"/>
        </left>
        <right style="thick">
          <color auto="1"/>
        </right>
        <top style="thick">
          <color auto="1"/>
        </top>
        <bottom style="thick">
          <color auto="1"/>
        </bottom>
      </border>
    </dxf>
    <dxf>
      <fill>
        <patternFill patternType="solid">
          <fgColor theme="0" tint="-0.14999847407452621"/>
          <bgColor theme="0" tint="-0.14999847407452621"/>
        </patternFill>
      </fill>
    </dxf>
    <dxf>
      <fill>
        <patternFill patternType="solid">
          <fgColor theme="0" tint="-0.14999847407452621"/>
          <bgColor theme="0" tint="-0.14999847407452621"/>
        </patternFill>
      </fill>
    </dxf>
    <dxf>
      <font>
        <b val="0"/>
        <i val="0"/>
        <color theme="1"/>
      </font>
    </dxf>
    <dxf>
      <font>
        <b val="0"/>
        <i val="0"/>
        <color theme="1"/>
      </font>
      <fill>
        <patternFill patternType="solid">
          <fgColor theme="0" tint="-0.14999847407452621"/>
          <bgColor theme="0" tint="-0.14999847407452621"/>
        </patternFill>
      </fill>
    </dxf>
    <dxf>
      <font>
        <b/>
        <color theme="1"/>
      </font>
    </dxf>
    <dxf>
      <font>
        <b/>
        <color theme="1"/>
      </font>
      <fill>
        <patternFill patternType="solid">
          <fgColor theme="0" tint="-0.249977111117893"/>
          <bgColor theme="0" tint="-0.249977111117893"/>
        </patternFill>
      </fill>
    </dxf>
    <dxf>
      <font>
        <b/>
        <i val="0"/>
        <color theme="1"/>
      </font>
      <border>
        <left style="medium">
          <color theme="0" tint="-0.249977111117893"/>
        </left>
        <right style="medium">
          <color theme="0" tint="-0.249977111117893"/>
        </right>
        <top style="medium">
          <color theme="0" tint="-0.249977111117893"/>
        </top>
        <bottom style="medium">
          <color theme="0" tint="-0.249977111117893"/>
        </bottom>
      </border>
    </dxf>
    <dxf>
      <fill>
        <patternFill>
          <bgColor theme="1" tint="0.499984740745262"/>
        </patternFill>
      </fill>
      <border>
        <left style="medium">
          <color auto="1"/>
        </left>
        <right style="medium">
          <color auto="1"/>
        </right>
        <top style="medium">
          <color auto="1"/>
        </top>
        <bottom style="medium">
          <color auto="1"/>
        </bottom>
        <vertical style="medium">
          <color theme="0" tint="-0.14996795556505021"/>
        </vertical>
      </border>
    </dxf>
    <dxf>
      <border>
        <top style="thin">
          <color theme="0" tint="-0.249977111117893"/>
        </top>
        <bottom style="thin">
          <color theme="0" tint="-0.249977111117893"/>
        </bottom>
        <horizontal style="thin">
          <color theme="0" tint="-0.249977111117893"/>
        </horizontal>
      </border>
    </dxf>
    <dxf>
      <font>
        <b/>
        <i val="0"/>
      </font>
    </dxf>
    <dxf>
      <font>
        <b/>
        <color theme="1"/>
      </font>
      <border>
        <top style="thin">
          <color theme="1"/>
        </top>
        <bottom style="medium">
          <color theme="1" tint="0.499984740745262"/>
        </bottom>
      </border>
    </dxf>
    <dxf>
      <font>
        <b/>
        <color theme="0"/>
      </font>
      <fill>
        <patternFill patternType="solid">
          <fgColor theme="1" tint="0.499984740745262"/>
          <bgColor theme="1" tint="0.499984740745262"/>
        </patternFill>
      </fill>
      <border>
        <top style="medium">
          <color theme="1" tint="0.499984740745262"/>
        </top>
      </border>
    </dxf>
    <dxf>
      <font>
        <color theme="1"/>
      </font>
      <border diagonalUp="1">
        <left style="medium">
          <color theme="1"/>
        </left>
        <right style="medium">
          <color theme="1"/>
        </right>
        <top style="medium">
          <color theme="1"/>
        </top>
        <bottom style="medium">
          <color theme="1"/>
        </bottom>
        <diagonal style="thick">
          <color auto="1"/>
        </diagonal>
      </border>
    </dxf>
    <dxf>
      <fill>
        <patternFill patternType="solid">
          <fgColor theme="0" tint="-0.14999847407452621"/>
          <bgColor theme="0" tint="-0.14999847407452621"/>
        </patternFill>
      </fill>
    </dxf>
    <dxf>
      <fill>
        <patternFill patternType="solid">
          <fgColor theme="0" tint="-0.14999847407452621"/>
          <bgColor theme="0" tint="-0.14999847407452621"/>
        </patternFill>
      </fill>
    </dxf>
    <dxf>
      <font>
        <b val="0"/>
        <i val="0"/>
        <color theme="1"/>
      </font>
    </dxf>
    <dxf>
      <font>
        <b val="0"/>
        <i val="0"/>
        <color theme="1"/>
      </font>
      <fill>
        <patternFill patternType="solid">
          <fgColor theme="0" tint="-0.14999847407452621"/>
          <bgColor theme="0" tint="-0.14999847407452621"/>
        </patternFill>
      </fill>
    </dxf>
    <dxf>
      <font>
        <b/>
        <color theme="1"/>
      </font>
    </dxf>
    <dxf>
      <font>
        <b/>
        <color theme="1"/>
      </font>
      <fill>
        <patternFill patternType="solid">
          <fgColor theme="0" tint="-0.249977111117893"/>
          <bgColor theme="0" tint="-0.249977111117893"/>
        </patternFill>
      </fill>
    </dxf>
    <dxf>
      <font>
        <b/>
        <i val="0"/>
        <color theme="1"/>
      </font>
      <border>
        <left style="medium">
          <color theme="0" tint="-0.249977111117893"/>
        </left>
        <right style="medium">
          <color theme="0" tint="-0.249977111117893"/>
        </right>
        <top style="medium">
          <color theme="0" tint="-0.249977111117893"/>
        </top>
        <bottom style="medium">
          <color theme="0" tint="-0.249977111117893"/>
        </bottom>
      </border>
    </dxf>
    <dxf>
      <fill>
        <patternFill>
          <bgColor theme="1" tint="0.499984740745262"/>
        </patternFill>
      </fill>
      <border>
        <left style="medium">
          <color auto="1"/>
        </left>
        <right style="medium">
          <color auto="1"/>
        </right>
        <top style="medium">
          <color auto="1"/>
        </top>
        <bottom style="medium">
          <color auto="1"/>
        </bottom>
        <vertical style="medium">
          <color theme="0" tint="-0.14996795556505021"/>
        </vertical>
      </border>
    </dxf>
    <dxf>
      <border>
        <top style="thin">
          <color theme="0" tint="-0.249977111117893"/>
        </top>
        <bottom style="thin">
          <color theme="0" tint="-0.249977111117893"/>
        </bottom>
        <horizontal style="thin">
          <color theme="0" tint="-0.249977111117893"/>
        </horizontal>
      </border>
    </dxf>
    <dxf>
      <font>
        <b/>
        <color theme="1"/>
      </font>
      <border>
        <top style="thin">
          <color theme="1"/>
        </top>
        <bottom style="medium">
          <color theme="1" tint="0.499984740745262"/>
        </bottom>
      </border>
    </dxf>
    <dxf>
      <font>
        <b/>
        <color theme="0"/>
      </font>
      <fill>
        <patternFill patternType="solid">
          <fgColor theme="1" tint="0.499984740745262"/>
          <bgColor theme="1" tint="0.499984740745262"/>
        </patternFill>
      </fill>
      <border>
        <top style="medium">
          <color theme="1" tint="0.499984740745262"/>
        </top>
      </border>
    </dxf>
    <dxf>
      <font>
        <color theme="1"/>
      </font>
      <border diagonalUp="1">
        <left style="medium">
          <color theme="1"/>
        </left>
        <right style="medium">
          <color theme="1"/>
        </right>
        <top style="medium">
          <color theme="1"/>
        </top>
        <bottom style="medium">
          <color theme="1"/>
        </bottom>
        <diagonal style="thick">
          <color auto="1"/>
        </diagonal>
      </border>
    </dxf>
    <dxf>
      <fill>
        <patternFill patternType="solid">
          <fgColor theme="0" tint="-0.14999847407452621"/>
          <bgColor theme="0" tint="-0.14999847407452621"/>
        </patternFill>
      </fill>
    </dxf>
    <dxf>
      <fill>
        <patternFill patternType="solid">
          <fgColor theme="0" tint="-0.14999847407452621"/>
          <bgColor theme="0" tint="-0.14999847407452621"/>
        </patternFill>
      </fill>
    </dxf>
    <dxf>
      <font>
        <b/>
        <color theme="1"/>
      </font>
    </dxf>
    <dxf>
      <font>
        <b/>
        <color theme="1"/>
      </font>
      <fill>
        <patternFill patternType="solid">
          <fgColor theme="0" tint="-0.14999847407452621"/>
          <bgColor theme="0" tint="-0.14999847407452621"/>
        </patternFill>
      </fill>
    </dxf>
    <dxf>
      <font>
        <b/>
        <color theme="1"/>
      </font>
    </dxf>
    <dxf>
      <font>
        <b/>
        <color theme="1"/>
      </font>
      <fill>
        <patternFill patternType="solid">
          <fgColor theme="0" tint="-0.249977111117893"/>
          <bgColor theme="0" tint="-0.249977111117893"/>
        </patternFill>
      </fill>
    </dxf>
    <dxf>
      <font>
        <b/>
        <color theme="1"/>
      </font>
      <border>
        <left style="medium">
          <color theme="0" tint="-0.249977111117893"/>
        </left>
        <right style="medium">
          <color theme="0" tint="-0.249977111117893"/>
        </right>
        <top style="medium">
          <color theme="0" tint="-0.249977111117893"/>
        </top>
        <bottom style="medium">
          <color theme="0" tint="-0.249977111117893"/>
        </bottom>
      </border>
    </dxf>
    <dxf>
      <fill>
        <patternFill>
          <bgColor theme="1" tint="0.499984740745262"/>
        </patternFill>
      </fill>
      <border>
        <left style="medium">
          <color auto="1"/>
        </left>
        <right style="medium">
          <color auto="1"/>
        </right>
        <top style="medium">
          <color auto="1"/>
        </top>
        <bottom style="medium">
          <color auto="1"/>
        </bottom>
        <vertical style="medium">
          <color theme="0" tint="-0.14996795556505021"/>
        </vertical>
      </border>
    </dxf>
    <dxf>
      <border>
        <top style="thin">
          <color theme="0" tint="-0.249977111117893"/>
        </top>
        <bottom style="thin">
          <color theme="0" tint="-0.249977111117893"/>
        </bottom>
        <horizontal style="thin">
          <color theme="0" tint="-0.249977111117893"/>
        </horizontal>
      </border>
    </dxf>
    <dxf>
      <font>
        <b/>
        <color theme="1"/>
      </font>
      <border>
        <top style="thin">
          <color theme="1"/>
        </top>
        <bottom style="medium">
          <color theme="1" tint="0.499984740745262"/>
        </bottom>
      </border>
    </dxf>
    <dxf>
      <font>
        <b/>
        <color theme="0"/>
      </font>
      <fill>
        <patternFill patternType="solid">
          <fgColor theme="1" tint="0.499984740745262"/>
          <bgColor theme="1" tint="0.499984740745262"/>
        </patternFill>
      </fill>
      <border>
        <top style="medium">
          <color theme="1" tint="0.499984740745262"/>
        </top>
      </border>
    </dxf>
    <dxf>
      <font>
        <color theme="1"/>
      </font>
      <border>
        <left style="thick">
          <color auto="1"/>
        </left>
        <right style="thick">
          <color auto="1"/>
        </right>
        <top style="thick">
          <color auto="1"/>
        </top>
        <bottom style="thick">
          <color auto="1"/>
        </bottom>
      </border>
    </dxf>
  </dxfs>
  <tableStyles count="5" defaultTableStyle="Table Style 1" defaultPivotStyle="PivotStyleMedium8 2 2">
    <tableStyle name="PivotStyleMedium8 2" table="0" count="12" xr9:uid="{00000000-0011-0000-FFFF-FFFF00000000}">
      <tableStyleElement type="wholeTable" dxfId="164"/>
      <tableStyleElement type="headerRow" dxfId="163"/>
      <tableStyleElement type="totalRow" dxfId="162"/>
      <tableStyleElement type="firstRowStripe" dxfId="161"/>
      <tableStyleElement type="firstColumnStripe" dxfId="160"/>
      <tableStyleElement type="firstSubtotalColumn" dxfId="159"/>
      <tableStyleElement type="firstSubtotalRow" dxfId="158"/>
      <tableStyleElement type="secondSubtotalRow" dxfId="157"/>
      <tableStyleElement type="firstRowSubheading" dxfId="156"/>
      <tableStyleElement type="secondRowSubheading" dxfId="155"/>
      <tableStyleElement type="pageFieldLabels" dxfId="154"/>
      <tableStyleElement type="pageFieldValues" dxfId="153"/>
    </tableStyle>
    <tableStyle name="PivotStyleMedium8 2 2" table="0" count="12" xr9:uid="{00000000-0011-0000-FFFF-FFFF01000000}">
      <tableStyleElement type="wholeTable" dxfId="152"/>
      <tableStyleElement type="headerRow" dxfId="151"/>
      <tableStyleElement type="totalRow" dxfId="150"/>
      <tableStyleElement type="firstRowStripe" dxfId="149"/>
      <tableStyleElement type="firstColumnStripe" dxfId="148"/>
      <tableStyleElement type="firstSubtotalColumn" dxfId="147"/>
      <tableStyleElement type="firstSubtotalRow" dxfId="146"/>
      <tableStyleElement type="secondSubtotalRow" dxfId="145"/>
      <tableStyleElement type="firstRowSubheading" dxfId="144"/>
      <tableStyleElement type="secondRowSubheading" dxfId="143"/>
      <tableStyleElement type="pageFieldLabels" dxfId="142"/>
      <tableStyleElement type="pageFieldValues" dxfId="141"/>
    </tableStyle>
    <tableStyle name="PivotStyleMedium8 2 2 2" table="0" count="13" xr9:uid="{00000000-0011-0000-FFFF-FFFF02000000}">
      <tableStyleElement type="wholeTable" dxfId="140"/>
      <tableStyleElement type="headerRow" dxfId="139"/>
      <tableStyleElement type="totalRow" dxfId="138"/>
      <tableStyleElement type="lastColumn" dxfId="137"/>
      <tableStyleElement type="firstRowStripe" dxfId="136"/>
      <tableStyleElement type="firstColumnStripe" dxfId="135"/>
      <tableStyleElement type="firstSubtotalColumn" dxfId="134"/>
      <tableStyleElement type="firstSubtotalRow" dxfId="133"/>
      <tableStyleElement type="secondSubtotalRow" dxfId="132"/>
      <tableStyleElement type="firstRowSubheading" dxfId="131"/>
      <tableStyleElement type="secondRowSubheading" dxfId="130"/>
      <tableStyleElement type="pageFieldLabels" dxfId="129"/>
      <tableStyleElement type="pageFieldValues" dxfId="128"/>
    </tableStyle>
    <tableStyle name="PivotStyleMedium8 2 3" table="0" count="12" xr9:uid="{00000000-0011-0000-FFFF-FFFF03000000}">
      <tableStyleElement type="wholeTable" dxfId="127"/>
      <tableStyleElement type="headerRow" dxfId="126"/>
      <tableStyleElement type="totalRow" dxfId="125"/>
      <tableStyleElement type="firstRowStripe" dxfId="124"/>
      <tableStyleElement type="firstColumnStripe" dxfId="123"/>
      <tableStyleElement type="firstSubtotalColumn" dxfId="122"/>
      <tableStyleElement type="firstSubtotalRow" dxfId="121"/>
      <tableStyleElement type="secondSubtotalRow" dxfId="120"/>
      <tableStyleElement type="firstRowSubheading" dxfId="119"/>
      <tableStyleElement type="secondRowSubheading" dxfId="118"/>
      <tableStyleElement type="pageFieldLabels" dxfId="117"/>
      <tableStyleElement type="pageFieldValues" dxfId="116"/>
    </tableStyle>
    <tableStyle name="Table Style 1" pivot="0" count="2" xr9:uid="{00000000-0011-0000-FFFF-FFFF04000000}">
      <tableStyleElement type="wholeTable" dxfId="115"/>
      <tableStyleElement type="headerRow" dxfId="114"/>
    </tableStyle>
  </tableStyles>
  <colors>
    <mruColors>
      <color rgb="FF339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17/06/relationships/rdRichValueStructure" Target="richData/rdrichvaluestructure.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17/06/relationships/rdRichValue" Target="richData/rdrichvalue.xml"/><Relationship Id="rId2" Type="http://schemas.openxmlformats.org/officeDocument/2006/relationships/worksheet" Target="worksheets/sheet2.xml"/><Relationship Id="rId16" Type="http://schemas.microsoft.com/office/2022/10/relationships/richValueRel" Target="richData/richValueRel.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19" Type="http://schemas.microsoft.com/office/2017/06/relationships/rdRichValueTypes" Target="richData/rdRichValueTyp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_rels/drawing2.xml.rels><?xml version="1.0" encoding="UTF-8" standalone="yes"?>
<Relationships xmlns="http://schemas.openxmlformats.org/package/2006/relationships"><Relationship Id="rId1" Type="http://schemas.openxmlformats.org/officeDocument/2006/relationships/image" Target="../media/image2.emf"/></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3</xdr:col>
      <xdr:colOff>333374</xdr:colOff>
      <xdr:row>71</xdr:row>
      <xdr:rowOff>0</xdr:rowOff>
    </xdr:from>
    <xdr:to>
      <xdr:col>3</xdr:col>
      <xdr:colOff>4000499</xdr:colOff>
      <xdr:row>71</xdr:row>
      <xdr:rowOff>0</xdr:rowOff>
    </xdr:to>
    <xdr:pic>
      <xdr:nvPicPr>
        <xdr:cNvPr id="2" name="Picture 1">
          <a:extLst>
            <a:ext uri="{FF2B5EF4-FFF2-40B4-BE49-F238E27FC236}">
              <a16:creationId xmlns:a16="http://schemas.microsoft.com/office/drawing/2014/main" id="{8675B171-1FEB-4360-9E67-19113ADB9F5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349624" y="13811250"/>
          <a:ext cx="366712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72342</xdr:colOff>
      <xdr:row>77</xdr:row>
      <xdr:rowOff>610885</xdr:rowOff>
    </xdr:from>
    <xdr:to>
      <xdr:col>3</xdr:col>
      <xdr:colOff>4527638</xdr:colOff>
      <xdr:row>77</xdr:row>
      <xdr:rowOff>2154176</xdr:rowOff>
    </xdr:to>
    <xdr:pic>
      <xdr:nvPicPr>
        <xdr:cNvPr id="3" name="Picture 2">
          <a:extLst>
            <a:ext uri="{FF2B5EF4-FFF2-40B4-BE49-F238E27FC236}">
              <a16:creationId xmlns:a16="http://schemas.microsoft.com/office/drawing/2014/main" id="{16596E94-5F76-445A-8EF4-26BA7730B451}"/>
            </a:ext>
          </a:extLst>
        </xdr:cNvPr>
        <xdr:cNvPicPr>
          <a:picLocks noChangeAspect="1"/>
        </xdr:cNvPicPr>
      </xdr:nvPicPr>
      <xdr:blipFill>
        <a:blip xmlns:r="http://schemas.openxmlformats.org/officeDocument/2006/relationships" r:embed="rId2"/>
        <a:stretch>
          <a:fillRect/>
        </a:stretch>
      </xdr:blipFill>
      <xdr:spPr>
        <a:xfrm>
          <a:off x="3088592" y="17298685"/>
          <a:ext cx="4617221" cy="154329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333374</xdr:colOff>
      <xdr:row>80</xdr:row>
      <xdr:rowOff>0</xdr:rowOff>
    </xdr:from>
    <xdr:to>
      <xdr:col>3</xdr:col>
      <xdr:colOff>4000499</xdr:colOff>
      <xdr:row>80</xdr:row>
      <xdr:rowOff>0</xdr:rowOff>
    </xdr:to>
    <xdr:pic>
      <xdr:nvPicPr>
        <xdr:cNvPr id="2" name="Picture 1">
          <a:extLst>
            <a:ext uri="{FF2B5EF4-FFF2-40B4-BE49-F238E27FC236}">
              <a16:creationId xmlns:a16="http://schemas.microsoft.com/office/drawing/2014/main" id="{22B34D24-936C-4FD3-89C4-997853E41A8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48049" y="16363950"/>
          <a:ext cx="366712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3</xdr:col>
      <xdr:colOff>333374</xdr:colOff>
      <xdr:row>79</xdr:row>
      <xdr:rowOff>178594</xdr:rowOff>
    </xdr:from>
    <xdr:to>
      <xdr:col>3</xdr:col>
      <xdr:colOff>4000499</xdr:colOff>
      <xdr:row>79</xdr:row>
      <xdr:rowOff>178594</xdr:rowOff>
    </xdr:to>
    <xdr:pic>
      <xdr:nvPicPr>
        <xdr:cNvPr id="2" name="Picture 1">
          <a:extLst>
            <a:ext uri="{FF2B5EF4-FFF2-40B4-BE49-F238E27FC236}">
              <a16:creationId xmlns:a16="http://schemas.microsoft.com/office/drawing/2014/main" id="{8B4124A4-5579-4941-B012-C14B6C3C67F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619499" y="16352044"/>
          <a:ext cx="366712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9</xdr:col>
      <xdr:colOff>23811</xdr:colOff>
      <xdr:row>11</xdr:row>
      <xdr:rowOff>154781</xdr:rowOff>
    </xdr:from>
    <xdr:to>
      <xdr:col>15</xdr:col>
      <xdr:colOff>47624</xdr:colOff>
      <xdr:row>14</xdr:row>
      <xdr:rowOff>178595</xdr:rowOff>
    </xdr:to>
    <xdr:sp macro="" textlink="">
      <xdr:nvSpPr>
        <xdr:cNvPr id="2" name="Rectangle: Rounded Corners 1">
          <a:extLst>
            <a:ext uri="{FF2B5EF4-FFF2-40B4-BE49-F238E27FC236}">
              <a16:creationId xmlns:a16="http://schemas.microsoft.com/office/drawing/2014/main" id="{DC46A3FD-5752-4010-894D-505ED8217811}"/>
            </a:ext>
          </a:extLst>
        </xdr:cNvPr>
        <xdr:cNvSpPr/>
      </xdr:nvSpPr>
      <xdr:spPr>
        <a:xfrm>
          <a:off x="5738811" y="2250281"/>
          <a:ext cx="3681413" cy="59531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1</xdr:col>
      <xdr:colOff>0</xdr:colOff>
      <xdr:row>11</xdr:row>
      <xdr:rowOff>86159</xdr:rowOff>
    </xdr:from>
    <xdr:to>
      <xdr:col>3</xdr:col>
      <xdr:colOff>107156</xdr:colOff>
      <xdr:row>15</xdr:row>
      <xdr:rowOff>59532</xdr:rowOff>
    </xdr:to>
    <xdr:sp macro="" textlink="">
      <xdr:nvSpPr>
        <xdr:cNvPr id="3" name="Rectangle: Rounded Corners 2">
          <a:extLst>
            <a:ext uri="{FF2B5EF4-FFF2-40B4-BE49-F238E27FC236}">
              <a16:creationId xmlns:a16="http://schemas.microsoft.com/office/drawing/2014/main" id="{CF2E30A6-39C4-4B17-834F-CCE0B3BCC311}"/>
            </a:ext>
          </a:extLst>
        </xdr:cNvPr>
        <xdr:cNvSpPr/>
      </xdr:nvSpPr>
      <xdr:spPr>
        <a:xfrm>
          <a:off x="352425" y="2181659"/>
          <a:ext cx="1812131" cy="735373"/>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Q1</a:t>
          </a:r>
        </a:p>
        <a:p>
          <a:pPr algn="ctr"/>
          <a:r>
            <a:rPr lang="en-ID" sz="1100"/>
            <a:t>What is the asset type?</a:t>
          </a:r>
        </a:p>
        <a:p>
          <a:pPr algn="ctr"/>
          <a:r>
            <a:rPr lang="en-ID" sz="1100"/>
            <a:t>Apa tipe asetnya?</a:t>
          </a:r>
        </a:p>
      </xdr:txBody>
    </xdr:sp>
    <xdr:clientData/>
  </xdr:twoCellAnchor>
  <xdr:twoCellAnchor>
    <xdr:from>
      <xdr:col>5</xdr:col>
      <xdr:colOff>42863</xdr:colOff>
      <xdr:row>11</xdr:row>
      <xdr:rowOff>161927</xdr:rowOff>
    </xdr:from>
    <xdr:to>
      <xdr:col>8</xdr:col>
      <xdr:colOff>35719</xdr:colOff>
      <xdr:row>14</xdr:row>
      <xdr:rowOff>166691</xdr:rowOff>
    </xdr:to>
    <xdr:sp macro="" textlink="">
      <xdr:nvSpPr>
        <xdr:cNvPr id="4" name="Rectangle: Rounded Corners 3">
          <a:extLst>
            <a:ext uri="{FF2B5EF4-FFF2-40B4-BE49-F238E27FC236}">
              <a16:creationId xmlns:a16="http://schemas.microsoft.com/office/drawing/2014/main" id="{9A626213-4B2E-4CEF-A29F-268395C37694}"/>
            </a:ext>
          </a:extLst>
        </xdr:cNvPr>
        <xdr:cNvSpPr/>
      </xdr:nvSpPr>
      <xdr:spPr>
        <a:xfrm>
          <a:off x="3319463" y="2257427"/>
          <a:ext cx="1821656"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Building and structure</a:t>
          </a:r>
        </a:p>
        <a:p>
          <a:pPr algn="ctr"/>
          <a:r>
            <a:rPr lang="en-ID" sz="1100"/>
            <a:t>Gedung dan struktur</a:t>
          </a:r>
        </a:p>
      </xdr:txBody>
    </xdr:sp>
    <xdr:clientData/>
  </xdr:twoCellAnchor>
  <xdr:twoCellAnchor>
    <xdr:from>
      <xdr:col>5</xdr:col>
      <xdr:colOff>16670</xdr:colOff>
      <xdr:row>30</xdr:row>
      <xdr:rowOff>37201</xdr:rowOff>
    </xdr:from>
    <xdr:to>
      <xdr:col>8</xdr:col>
      <xdr:colOff>0</xdr:colOff>
      <xdr:row>33</xdr:row>
      <xdr:rowOff>41965</xdr:rowOff>
    </xdr:to>
    <xdr:sp macro="" textlink="">
      <xdr:nvSpPr>
        <xdr:cNvPr id="5" name="Rectangle: Rounded Corners 4">
          <a:extLst>
            <a:ext uri="{FF2B5EF4-FFF2-40B4-BE49-F238E27FC236}">
              <a16:creationId xmlns:a16="http://schemas.microsoft.com/office/drawing/2014/main" id="{087FB97F-0738-4276-A1E4-91FBE4F78D4E}"/>
            </a:ext>
          </a:extLst>
        </xdr:cNvPr>
        <xdr:cNvSpPr/>
      </xdr:nvSpPr>
      <xdr:spPr>
        <a:xfrm>
          <a:off x="3293270" y="5752201"/>
          <a:ext cx="1812130"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Machine and Equipment</a:t>
          </a:r>
        </a:p>
        <a:p>
          <a:pPr algn="ctr"/>
          <a:r>
            <a:rPr lang="en-ID" sz="1100"/>
            <a:t>Mesin dan peralatan</a:t>
          </a:r>
        </a:p>
      </xdr:txBody>
    </xdr:sp>
    <xdr:clientData/>
  </xdr:twoCellAnchor>
  <xdr:twoCellAnchor>
    <xdr:from>
      <xdr:col>5</xdr:col>
      <xdr:colOff>28111</xdr:colOff>
      <xdr:row>47</xdr:row>
      <xdr:rowOff>152370</xdr:rowOff>
    </xdr:from>
    <xdr:to>
      <xdr:col>8</xdr:col>
      <xdr:colOff>25729</xdr:colOff>
      <xdr:row>50</xdr:row>
      <xdr:rowOff>157134</xdr:rowOff>
    </xdr:to>
    <xdr:sp macro="" textlink="">
      <xdr:nvSpPr>
        <xdr:cNvPr id="6" name="Rectangle: Rounded Corners 5">
          <a:extLst>
            <a:ext uri="{FF2B5EF4-FFF2-40B4-BE49-F238E27FC236}">
              <a16:creationId xmlns:a16="http://schemas.microsoft.com/office/drawing/2014/main" id="{F3D1C01B-CF0E-4B62-93DD-2B26BF9BC4EC}"/>
            </a:ext>
          </a:extLst>
        </xdr:cNvPr>
        <xdr:cNvSpPr/>
      </xdr:nvSpPr>
      <xdr:spPr>
        <a:xfrm>
          <a:off x="3304711" y="9105870"/>
          <a:ext cx="1826418"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Equipment and Supplies</a:t>
          </a:r>
        </a:p>
        <a:p>
          <a:pPr algn="ctr"/>
          <a:r>
            <a:rPr lang="en-ID" sz="1100"/>
            <a:t>Perlatan dan Persediaan</a:t>
          </a:r>
        </a:p>
      </xdr:txBody>
    </xdr:sp>
    <xdr:clientData/>
  </xdr:twoCellAnchor>
  <xdr:twoCellAnchor>
    <xdr:from>
      <xdr:col>5</xdr:col>
      <xdr:colOff>12865</xdr:colOff>
      <xdr:row>66</xdr:row>
      <xdr:rowOff>93332</xdr:rowOff>
    </xdr:from>
    <xdr:to>
      <xdr:col>8</xdr:col>
      <xdr:colOff>10483</xdr:colOff>
      <xdr:row>69</xdr:row>
      <xdr:rowOff>98096</xdr:rowOff>
    </xdr:to>
    <xdr:sp macro="" textlink="">
      <xdr:nvSpPr>
        <xdr:cNvPr id="7" name="Rectangle: Rounded Corners 6">
          <a:extLst>
            <a:ext uri="{FF2B5EF4-FFF2-40B4-BE49-F238E27FC236}">
              <a16:creationId xmlns:a16="http://schemas.microsoft.com/office/drawing/2014/main" id="{593B4935-3946-42A9-8430-28CA8DB93368}"/>
            </a:ext>
          </a:extLst>
        </xdr:cNvPr>
        <xdr:cNvSpPr/>
      </xdr:nvSpPr>
      <xdr:spPr>
        <a:xfrm>
          <a:off x="3289465" y="12666332"/>
          <a:ext cx="1826418"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Heavy Equipment</a:t>
          </a:r>
        </a:p>
        <a:p>
          <a:pPr algn="ctr"/>
          <a:r>
            <a:rPr lang="en-ID" sz="1100"/>
            <a:t>Alat berat</a:t>
          </a:r>
        </a:p>
      </xdr:txBody>
    </xdr:sp>
    <xdr:clientData/>
  </xdr:twoCellAnchor>
  <xdr:twoCellAnchor>
    <xdr:from>
      <xdr:col>4</xdr:col>
      <xdr:colOff>570269</xdr:colOff>
      <xdr:row>103</xdr:row>
      <xdr:rowOff>113312</xdr:rowOff>
    </xdr:from>
    <xdr:to>
      <xdr:col>7</xdr:col>
      <xdr:colOff>567888</xdr:colOff>
      <xdr:row>106</xdr:row>
      <xdr:rowOff>118076</xdr:rowOff>
    </xdr:to>
    <xdr:sp macro="" textlink="">
      <xdr:nvSpPr>
        <xdr:cNvPr id="8" name="Rectangle: Rounded Corners 7">
          <a:extLst>
            <a:ext uri="{FF2B5EF4-FFF2-40B4-BE49-F238E27FC236}">
              <a16:creationId xmlns:a16="http://schemas.microsoft.com/office/drawing/2014/main" id="{C8457ADC-2D31-4C39-AEC4-6D1BEA95BB10}"/>
            </a:ext>
          </a:extLst>
        </xdr:cNvPr>
        <xdr:cNvSpPr/>
      </xdr:nvSpPr>
      <xdr:spPr>
        <a:xfrm>
          <a:off x="3237269" y="19734812"/>
          <a:ext cx="1826419"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Vehicle</a:t>
          </a:r>
        </a:p>
        <a:p>
          <a:pPr algn="ctr"/>
          <a:r>
            <a:rPr lang="en-ID" sz="1100"/>
            <a:t>Kendaraan</a:t>
          </a:r>
          <a:r>
            <a:rPr lang="en-ID" sz="1100" baseline="0"/>
            <a:t> bermotor</a:t>
          </a:r>
          <a:endParaRPr lang="en-ID" sz="1100"/>
        </a:p>
      </xdr:txBody>
    </xdr:sp>
    <xdr:clientData/>
  </xdr:twoCellAnchor>
  <xdr:twoCellAnchor>
    <xdr:from>
      <xdr:col>4</xdr:col>
      <xdr:colOff>593890</xdr:colOff>
      <xdr:row>83</xdr:row>
      <xdr:rowOff>143778</xdr:rowOff>
    </xdr:from>
    <xdr:to>
      <xdr:col>7</xdr:col>
      <xdr:colOff>591508</xdr:colOff>
      <xdr:row>86</xdr:row>
      <xdr:rowOff>148542</xdr:rowOff>
    </xdr:to>
    <xdr:sp macro="" textlink="">
      <xdr:nvSpPr>
        <xdr:cNvPr id="9" name="Rectangle: Rounded Corners 8">
          <a:extLst>
            <a:ext uri="{FF2B5EF4-FFF2-40B4-BE49-F238E27FC236}">
              <a16:creationId xmlns:a16="http://schemas.microsoft.com/office/drawing/2014/main" id="{D2C9F556-453A-4F0F-B901-E7229C2F6FB1}"/>
            </a:ext>
          </a:extLst>
        </xdr:cNvPr>
        <xdr:cNvSpPr/>
      </xdr:nvSpPr>
      <xdr:spPr>
        <a:xfrm>
          <a:off x="3260890" y="15955278"/>
          <a:ext cx="1826418"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Office Equipment</a:t>
          </a:r>
        </a:p>
        <a:p>
          <a:pPr algn="ctr"/>
          <a:r>
            <a:rPr lang="en-ID" sz="1100"/>
            <a:t>Peralatan</a:t>
          </a:r>
          <a:r>
            <a:rPr lang="en-ID" sz="1100" baseline="0"/>
            <a:t> kantor</a:t>
          </a:r>
          <a:endParaRPr lang="en-ID" sz="1100"/>
        </a:p>
      </xdr:txBody>
    </xdr:sp>
    <xdr:clientData/>
  </xdr:twoCellAnchor>
  <xdr:twoCellAnchor>
    <xdr:from>
      <xdr:col>9</xdr:col>
      <xdr:colOff>35719</xdr:colOff>
      <xdr:row>30</xdr:row>
      <xdr:rowOff>8626</xdr:rowOff>
    </xdr:from>
    <xdr:to>
      <xdr:col>15</xdr:col>
      <xdr:colOff>59532</xdr:colOff>
      <xdr:row>33</xdr:row>
      <xdr:rowOff>68157</xdr:rowOff>
    </xdr:to>
    <xdr:sp macro="" textlink="">
      <xdr:nvSpPr>
        <xdr:cNvPr id="10" name="Rectangle: Rounded Corners 9">
          <a:extLst>
            <a:ext uri="{FF2B5EF4-FFF2-40B4-BE49-F238E27FC236}">
              <a16:creationId xmlns:a16="http://schemas.microsoft.com/office/drawing/2014/main" id="{2F86763F-CB13-48AC-9EAA-D054FE8D66FC}"/>
            </a:ext>
          </a:extLst>
        </xdr:cNvPr>
        <xdr:cNvSpPr/>
      </xdr:nvSpPr>
      <xdr:spPr>
        <a:xfrm>
          <a:off x="5750719" y="5723626"/>
          <a:ext cx="3681413" cy="6310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16</xdr:col>
      <xdr:colOff>59531</xdr:colOff>
      <xdr:row>10</xdr:row>
      <xdr:rowOff>154782</xdr:rowOff>
    </xdr:from>
    <xdr:to>
      <xdr:col>17</xdr:col>
      <xdr:colOff>321469</xdr:colOff>
      <xdr:row>12</xdr:row>
      <xdr:rowOff>95251</xdr:rowOff>
    </xdr:to>
    <xdr:sp macro="" textlink="">
      <xdr:nvSpPr>
        <xdr:cNvPr id="11" name="Rectangle: Rounded Corners 10">
          <a:extLst>
            <a:ext uri="{FF2B5EF4-FFF2-40B4-BE49-F238E27FC236}">
              <a16:creationId xmlns:a16="http://schemas.microsoft.com/office/drawing/2014/main" id="{58BF7514-278D-47C0-AD23-2BEE47690518}"/>
            </a:ext>
          </a:extLst>
        </xdr:cNvPr>
        <xdr:cNvSpPr/>
      </xdr:nvSpPr>
      <xdr:spPr>
        <a:xfrm>
          <a:off x="10041731" y="2059782"/>
          <a:ext cx="2224088"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10,000 / Rp 150,000,000</a:t>
          </a:r>
        </a:p>
      </xdr:txBody>
    </xdr:sp>
    <xdr:clientData/>
  </xdr:twoCellAnchor>
  <xdr:twoCellAnchor>
    <xdr:from>
      <xdr:col>16</xdr:col>
      <xdr:colOff>47625</xdr:colOff>
      <xdr:row>15</xdr:row>
      <xdr:rowOff>4376</xdr:rowOff>
    </xdr:from>
    <xdr:to>
      <xdr:col>17</xdr:col>
      <xdr:colOff>309563</xdr:colOff>
      <xdr:row>16</xdr:row>
      <xdr:rowOff>87586</xdr:rowOff>
    </xdr:to>
    <xdr:sp macro="" textlink="">
      <xdr:nvSpPr>
        <xdr:cNvPr id="12" name="Rectangle: Rounded Corners 11">
          <a:extLst>
            <a:ext uri="{FF2B5EF4-FFF2-40B4-BE49-F238E27FC236}">
              <a16:creationId xmlns:a16="http://schemas.microsoft.com/office/drawing/2014/main" id="{779DBFAD-B88E-4639-A372-0D6B0F6CD36D}"/>
            </a:ext>
          </a:extLst>
        </xdr:cNvPr>
        <xdr:cNvSpPr/>
      </xdr:nvSpPr>
      <xdr:spPr>
        <a:xfrm>
          <a:off x="10029825" y="2861876"/>
          <a:ext cx="2224088" cy="27371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USD 10,000 / Rp 150,000,000</a:t>
          </a:r>
        </a:p>
      </xdr:txBody>
    </xdr:sp>
    <xdr:clientData/>
  </xdr:twoCellAnchor>
  <xdr:twoCellAnchor>
    <xdr:from>
      <xdr:col>15</xdr:col>
      <xdr:colOff>47624</xdr:colOff>
      <xdr:row>11</xdr:row>
      <xdr:rowOff>125017</xdr:rowOff>
    </xdr:from>
    <xdr:to>
      <xdr:col>16</xdr:col>
      <xdr:colOff>59531</xdr:colOff>
      <xdr:row>13</xdr:row>
      <xdr:rowOff>71438</xdr:rowOff>
    </xdr:to>
    <xdr:cxnSp macro="">
      <xdr:nvCxnSpPr>
        <xdr:cNvPr id="13" name="Straight Arrow Connector 12">
          <a:extLst>
            <a:ext uri="{FF2B5EF4-FFF2-40B4-BE49-F238E27FC236}">
              <a16:creationId xmlns:a16="http://schemas.microsoft.com/office/drawing/2014/main" id="{D0E3E029-A50A-418B-AF0E-D27AFEA9B351}"/>
            </a:ext>
          </a:extLst>
        </xdr:cNvPr>
        <xdr:cNvCxnSpPr>
          <a:stCxn id="2" idx="3"/>
          <a:endCxn id="11" idx="1"/>
        </xdr:cNvCxnSpPr>
      </xdr:nvCxnSpPr>
      <xdr:spPr>
        <a:xfrm flipV="1">
          <a:off x="9420224" y="2220517"/>
          <a:ext cx="621507" cy="32742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47624</xdr:colOff>
      <xdr:row>13</xdr:row>
      <xdr:rowOff>73627</xdr:rowOff>
    </xdr:from>
    <xdr:to>
      <xdr:col>16</xdr:col>
      <xdr:colOff>47625</xdr:colOff>
      <xdr:row>15</xdr:row>
      <xdr:rowOff>139042</xdr:rowOff>
    </xdr:to>
    <xdr:cxnSp macro="">
      <xdr:nvCxnSpPr>
        <xdr:cNvPr id="14" name="Straight Arrow Connector 13">
          <a:extLst>
            <a:ext uri="{FF2B5EF4-FFF2-40B4-BE49-F238E27FC236}">
              <a16:creationId xmlns:a16="http://schemas.microsoft.com/office/drawing/2014/main" id="{1CEC0B82-3989-4AB9-8F61-5479AD3890DA}"/>
            </a:ext>
          </a:extLst>
        </xdr:cNvPr>
        <xdr:cNvCxnSpPr>
          <a:stCxn id="2" idx="3"/>
          <a:endCxn id="12" idx="1"/>
        </xdr:cNvCxnSpPr>
      </xdr:nvCxnSpPr>
      <xdr:spPr>
        <a:xfrm>
          <a:off x="9420224" y="2550127"/>
          <a:ext cx="609601" cy="44641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628651</xdr:colOff>
      <xdr:row>14</xdr:row>
      <xdr:rowOff>152398</xdr:rowOff>
    </xdr:from>
    <xdr:to>
      <xdr:col>17</xdr:col>
      <xdr:colOff>2667001</xdr:colOff>
      <xdr:row>16</xdr:row>
      <xdr:rowOff>131379</xdr:rowOff>
    </xdr:to>
    <xdr:sp macro="" textlink="">
      <xdr:nvSpPr>
        <xdr:cNvPr id="15" name="Rectangle: Rounded Corners 14">
          <a:extLst>
            <a:ext uri="{FF2B5EF4-FFF2-40B4-BE49-F238E27FC236}">
              <a16:creationId xmlns:a16="http://schemas.microsoft.com/office/drawing/2014/main" id="{71002BEA-7967-4384-86ED-F0CF9B98164B}"/>
            </a:ext>
          </a:extLst>
        </xdr:cNvPr>
        <xdr:cNvSpPr/>
      </xdr:nvSpPr>
      <xdr:spPr>
        <a:xfrm>
          <a:off x="12573001" y="2819398"/>
          <a:ext cx="2038350" cy="359981"/>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309563</xdr:colOff>
      <xdr:row>15</xdr:row>
      <xdr:rowOff>139042</xdr:rowOff>
    </xdr:from>
    <xdr:to>
      <xdr:col>17</xdr:col>
      <xdr:colOff>628651</xdr:colOff>
      <xdr:row>15</xdr:row>
      <xdr:rowOff>141889</xdr:rowOff>
    </xdr:to>
    <xdr:cxnSp macro="">
      <xdr:nvCxnSpPr>
        <xdr:cNvPr id="16" name="Straight Arrow Connector 15">
          <a:extLst>
            <a:ext uri="{FF2B5EF4-FFF2-40B4-BE49-F238E27FC236}">
              <a16:creationId xmlns:a16="http://schemas.microsoft.com/office/drawing/2014/main" id="{361E1333-B241-4D99-B9CA-A821F2712A4B}"/>
            </a:ext>
          </a:extLst>
        </xdr:cNvPr>
        <xdr:cNvCxnSpPr>
          <a:stCxn id="12" idx="3"/>
          <a:endCxn id="15" idx="1"/>
        </xdr:cNvCxnSpPr>
      </xdr:nvCxnSpPr>
      <xdr:spPr>
        <a:xfrm>
          <a:off x="12253913" y="2996542"/>
          <a:ext cx="319088" cy="284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69059</xdr:rowOff>
    </xdr:from>
    <xdr:to>
      <xdr:col>5</xdr:col>
      <xdr:colOff>42863</xdr:colOff>
      <xdr:row>13</xdr:row>
      <xdr:rowOff>72846</xdr:rowOff>
    </xdr:to>
    <xdr:cxnSp macro="">
      <xdr:nvCxnSpPr>
        <xdr:cNvPr id="17" name="Straight Arrow Connector 16">
          <a:extLst>
            <a:ext uri="{FF2B5EF4-FFF2-40B4-BE49-F238E27FC236}">
              <a16:creationId xmlns:a16="http://schemas.microsoft.com/office/drawing/2014/main" id="{3028F181-C5D2-4E91-B261-1C870C2EBD71}"/>
            </a:ext>
          </a:extLst>
        </xdr:cNvPr>
        <xdr:cNvCxnSpPr>
          <a:stCxn id="3" idx="3"/>
          <a:endCxn id="4" idx="1"/>
        </xdr:cNvCxnSpPr>
      </xdr:nvCxnSpPr>
      <xdr:spPr>
        <a:xfrm flipV="1">
          <a:off x="2164556" y="2545559"/>
          <a:ext cx="1154907" cy="378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35719</xdr:colOff>
      <xdr:row>13</xdr:row>
      <xdr:rowOff>69059</xdr:rowOff>
    </xdr:from>
    <xdr:to>
      <xdr:col>9</xdr:col>
      <xdr:colOff>23811</xdr:colOff>
      <xdr:row>13</xdr:row>
      <xdr:rowOff>71438</xdr:rowOff>
    </xdr:to>
    <xdr:cxnSp macro="">
      <xdr:nvCxnSpPr>
        <xdr:cNvPr id="18" name="Straight Arrow Connector 17">
          <a:extLst>
            <a:ext uri="{FF2B5EF4-FFF2-40B4-BE49-F238E27FC236}">
              <a16:creationId xmlns:a16="http://schemas.microsoft.com/office/drawing/2014/main" id="{056CC0F4-749A-43BE-98D1-ABFF9E8EAC55}"/>
            </a:ext>
          </a:extLst>
        </xdr:cNvPr>
        <xdr:cNvCxnSpPr>
          <a:stCxn id="4" idx="3"/>
          <a:endCxn id="2" idx="1"/>
        </xdr:cNvCxnSpPr>
      </xdr:nvCxnSpPr>
      <xdr:spPr>
        <a:xfrm>
          <a:off x="5141119" y="2545559"/>
          <a:ext cx="597692" cy="23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33</xdr:col>
      <xdr:colOff>767</xdr:colOff>
      <xdr:row>9</xdr:row>
      <xdr:rowOff>142875</xdr:rowOff>
    </xdr:from>
    <xdr:to>
      <xdr:col>40</xdr:col>
      <xdr:colOff>174901</xdr:colOff>
      <xdr:row>13</xdr:row>
      <xdr:rowOff>119061</xdr:rowOff>
    </xdr:to>
    <xdr:sp macro="" textlink="">
      <xdr:nvSpPr>
        <xdr:cNvPr id="19" name="Rectangle: Rounded Corners 18">
          <a:extLst>
            <a:ext uri="{FF2B5EF4-FFF2-40B4-BE49-F238E27FC236}">
              <a16:creationId xmlns:a16="http://schemas.microsoft.com/office/drawing/2014/main" id="{9815959E-7873-4479-AFA4-AFAF390C1839}"/>
            </a:ext>
          </a:extLst>
        </xdr:cNvPr>
        <xdr:cNvSpPr/>
      </xdr:nvSpPr>
      <xdr:spPr>
        <a:xfrm>
          <a:off x="23898992" y="1857375"/>
          <a:ext cx="4441334" cy="73818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D" sz="1100"/>
            <a:t>Is</a:t>
          </a:r>
          <a:r>
            <a:rPr lang="en-ID" sz="1100" baseline="0"/>
            <a:t> there any value added? (e.g: adding new function)</a:t>
          </a:r>
        </a:p>
        <a:p>
          <a:pPr algn="ctr"/>
          <a:r>
            <a:rPr lang="en-ID" sz="1100"/>
            <a:t>Apakah ada nilai tambah? (Contoh: Penambahan fungsi)</a:t>
          </a:r>
        </a:p>
      </xdr:txBody>
    </xdr:sp>
    <xdr:clientData/>
  </xdr:twoCellAnchor>
  <xdr:twoCellAnchor>
    <xdr:from>
      <xdr:col>17</xdr:col>
      <xdr:colOff>321469</xdr:colOff>
      <xdr:row>11</xdr:row>
      <xdr:rowOff>125017</xdr:rowOff>
    </xdr:from>
    <xdr:to>
      <xdr:col>17</xdr:col>
      <xdr:colOff>689960</xdr:colOff>
      <xdr:row>11</xdr:row>
      <xdr:rowOff>130502</xdr:rowOff>
    </xdr:to>
    <xdr:cxnSp macro="">
      <xdr:nvCxnSpPr>
        <xdr:cNvPr id="20" name="Straight Arrow Connector 19">
          <a:extLst>
            <a:ext uri="{FF2B5EF4-FFF2-40B4-BE49-F238E27FC236}">
              <a16:creationId xmlns:a16="http://schemas.microsoft.com/office/drawing/2014/main" id="{DEC9A008-12F9-4886-830B-28903F99BF3B}"/>
            </a:ext>
          </a:extLst>
        </xdr:cNvPr>
        <xdr:cNvCxnSpPr>
          <a:stCxn id="11" idx="3"/>
          <a:endCxn id="51" idx="1"/>
        </xdr:cNvCxnSpPr>
      </xdr:nvCxnSpPr>
      <xdr:spPr>
        <a:xfrm>
          <a:off x="12265819" y="2220517"/>
          <a:ext cx="368491" cy="548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53455</xdr:colOff>
      <xdr:row>7</xdr:row>
      <xdr:rowOff>152401</xdr:rowOff>
    </xdr:from>
    <xdr:to>
      <xdr:col>42</xdr:col>
      <xdr:colOff>430814</xdr:colOff>
      <xdr:row>10</xdr:row>
      <xdr:rowOff>92870</xdr:rowOff>
    </xdr:to>
    <xdr:sp macro="" textlink="">
      <xdr:nvSpPr>
        <xdr:cNvPr id="21" name="Rectangle: Rounded Corners 20">
          <a:extLst>
            <a:ext uri="{FF2B5EF4-FFF2-40B4-BE49-F238E27FC236}">
              <a16:creationId xmlns:a16="http://schemas.microsoft.com/office/drawing/2014/main" id="{CF8981DF-878E-470D-AD14-96DA9B487A00}"/>
            </a:ext>
          </a:extLst>
        </xdr:cNvPr>
        <xdr:cNvSpPr/>
      </xdr:nvSpPr>
      <xdr:spPr>
        <a:xfrm>
          <a:off x="28828480" y="1485901"/>
          <a:ext cx="986959" cy="5119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41</xdr:col>
      <xdr:colOff>62980</xdr:colOff>
      <xdr:row>12</xdr:row>
      <xdr:rowOff>78581</xdr:rowOff>
    </xdr:from>
    <xdr:to>
      <xdr:col>42</xdr:col>
      <xdr:colOff>440339</xdr:colOff>
      <xdr:row>14</xdr:row>
      <xdr:rowOff>19050</xdr:rowOff>
    </xdr:to>
    <xdr:sp macro="" textlink="">
      <xdr:nvSpPr>
        <xdr:cNvPr id="22" name="Rectangle: Rounded Corners 21">
          <a:extLst>
            <a:ext uri="{FF2B5EF4-FFF2-40B4-BE49-F238E27FC236}">
              <a16:creationId xmlns:a16="http://schemas.microsoft.com/office/drawing/2014/main" id="{2B795350-FE40-455B-96EF-28AF38F1BD0C}"/>
            </a:ext>
          </a:extLst>
        </xdr:cNvPr>
        <xdr:cNvSpPr/>
      </xdr:nvSpPr>
      <xdr:spPr>
        <a:xfrm>
          <a:off x="28838005" y="2364581"/>
          <a:ext cx="986959"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40</xdr:col>
      <xdr:colOff>174901</xdr:colOff>
      <xdr:row>9</xdr:row>
      <xdr:rowOff>122636</xdr:rowOff>
    </xdr:from>
    <xdr:to>
      <xdr:col>41</xdr:col>
      <xdr:colOff>53455</xdr:colOff>
      <xdr:row>11</xdr:row>
      <xdr:rowOff>130968</xdr:rowOff>
    </xdr:to>
    <xdr:cxnSp macro="">
      <xdr:nvCxnSpPr>
        <xdr:cNvPr id="23" name="Straight Arrow Connector 22">
          <a:extLst>
            <a:ext uri="{FF2B5EF4-FFF2-40B4-BE49-F238E27FC236}">
              <a16:creationId xmlns:a16="http://schemas.microsoft.com/office/drawing/2014/main" id="{CCE4458B-2D8D-473F-91C6-70E2B88A7382}"/>
            </a:ext>
          </a:extLst>
        </xdr:cNvPr>
        <xdr:cNvCxnSpPr>
          <a:stCxn id="19" idx="3"/>
          <a:endCxn id="21" idx="1"/>
        </xdr:cNvCxnSpPr>
      </xdr:nvCxnSpPr>
      <xdr:spPr>
        <a:xfrm flipV="1">
          <a:off x="28340326" y="1837136"/>
          <a:ext cx="488154" cy="38933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174901</xdr:colOff>
      <xdr:row>11</xdr:row>
      <xdr:rowOff>130968</xdr:rowOff>
    </xdr:from>
    <xdr:to>
      <xdr:col>41</xdr:col>
      <xdr:colOff>62980</xdr:colOff>
      <xdr:row>13</xdr:row>
      <xdr:rowOff>48816</xdr:rowOff>
    </xdr:to>
    <xdr:cxnSp macro="">
      <xdr:nvCxnSpPr>
        <xdr:cNvPr id="24" name="Straight Arrow Connector 23">
          <a:extLst>
            <a:ext uri="{FF2B5EF4-FFF2-40B4-BE49-F238E27FC236}">
              <a16:creationId xmlns:a16="http://schemas.microsoft.com/office/drawing/2014/main" id="{57CD5B4E-BE38-4A54-8D9B-78973F24A740}"/>
            </a:ext>
          </a:extLst>
        </xdr:cNvPr>
        <xdr:cNvCxnSpPr>
          <a:stCxn id="19" idx="3"/>
          <a:endCxn id="22" idx="1"/>
        </xdr:cNvCxnSpPr>
      </xdr:nvCxnSpPr>
      <xdr:spPr>
        <a:xfrm>
          <a:off x="28340326" y="2226468"/>
          <a:ext cx="497679" cy="298848"/>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72846</xdr:rowOff>
    </xdr:from>
    <xdr:to>
      <xdr:col>5</xdr:col>
      <xdr:colOff>16670</xdr:colOff>
      <xdr:row>31</xdr:row>
      <xdr:rowOff>134833</xdr:rowOff>
    </xdr:to>
    <xdr:cxnSp macro="">
      <xdr:nvCxnSpPr>
        <xdr:cNvPr id="25" name="Straight Arrow Connector 34">
          <a:extLst>
            <a:ext uri="{FF2B5EF4-FFF2-40B4-BE49-F238E27FC236}">
              <a16:creationId xmlns:a16="http://schemas.microsoft.com/office/drawing/2014/main" id="{3FFF6597-E3F5-4B1F-B018-F1F1457EFAB9}"/>
            </a:ext>
          </a:extLst>
        </xdr:cNvPr>
        <xdr:cNvCxnSpPr>
          <a:stCxn id="3" idx="3"/>
          <a:endCxn id="5" idx="1"/>
        </xdr:cNvCxnSpPr>
      </xdr:nvCxnSpPr>
      <xdr:spPr>
        <a:xfrm>
          <a:off x="2164556" y="2549346"/>
          <a:ext cx="1128714" cy="3490987"/>
        </a:xfrm>
        <a:prstGeom prst="bentConnector3">
          <a:avLst>
            <a:gd name="adj1" fmla="val 50000"/>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72846</xdr:rowOff>
    </xdr:from>
    <xdr:to>
      <xdr:col>5</xdr:col>
      <xdr:colOff>28111</xdr:colOff>
      <xdr:row>49</xdr:row>
      <xdr:rowOff>59502</xdr:rowOff>
    </xdr:to>
    <xdr:cxnSp macro="">
      <xdr:nvCxnSpPr>
        <xdr:cNvPr id="26" name="Straight Arrow Connector 36">
          <a:extLst>
            <a:ext uri="{FF2B5EF4-FFF2-40B4-BE49-F238E27FC236}">
              <a16:creationId xmlns:a16="http://schemas.microsoft.com/office/drawing/2014/main" id="{259795AF-EE19-4735-8F2D-B3E1F57D6EFC}"/>
            </a:ext>
          </a:extLst>
        </xdr:cNvPr>
        <xdr:cNvCxnSpPr>
          <a:stCxn id="3" idx="3"/>
          <a:endCxn id="6" idx="1"/>
        </xdr:cNvCxnSpPr>
      </xdr:nvCxnSpPr>
      <xdr:spPr>
        <a:xfrm>
          <a:off x="2164556" y="2549346"/>
          <a:ext cx="1140155" cy="6844656"/>
        </a:xfrm>
        <a:prstGeom prst="bentConnector3">
          <a:avLst>
            <a:gd name="adj1" fmla="val 50000"/>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72846</xdr:rowOff>
    </xdr:from>
    <xdr:to>
      <xdr:col>4</xdr:col>
      <xdr:colOff>593890</xdr:colOff>
      <xdr:row>85</xdr:row>
      <xdr:rowOff>50910</xdr:rowOff>
    </xdr:to>
    <xdr:cxnSp macro="">
      <xdr:nvCxnSpPr>
        <xdr:cNvPr id="27" name="Straight Arrow Connector 40">
          <a:extLst>
            <a:ext uri="{FF2B5EF4-FFF2-40B4-BE49-F238E27FC236}">
              <a16:creationId xmlns:a16="http://schemas.microsoft.com/office/drawing/2014/main" id="{22FB69FB-CEF9-44E9-B827-75BC411C4754}"/>
            </a:ext>
          </a:extLst>
        </xdr:cNvPr>
        <xdr:cNvCxnSpPr>
          <a:stCxn id="3" idx="3"/>
          <a:endCxn id="9" idx="1"/>
        </xdr:cNvCxnSpPr>
      </xdr:nvCxnSpPr>
      <xdr:spPr>
        <a:xfrm>
          <a:off x="2164556" y="2549346"/>
          <a:ext cx="1096334" cy="13694064"/>
        </a:xfrm>
        <a:prstGeom prst="bentConnector3">
          <a:avLst>
            <a:gd name="adj1" fmla="val 50000"/>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72846</xdr:rowOff>
    </xdr:from>
    <xdr:to>
      <xdr:col>5</xdr:col>
      <xdr:colOff>12865</xdr:colOff>
      <xdr:row>68</xdr:row>
      <xdr:rowOff>464</xdr:rowOff>
    </xdr:to>
    <xdr:cxnSp macro="">
      <xdr:nvCxnSpPr>
        <xdr:cNvPr id="28" name="Straight Arrow Connector 42">
          <a:extLst>
            <a:ext uri="{FF2B5EF4-FFF2-40B4-BE49-F238E27FC236}">
              <a16:creationId xmlns:a16="http://schemas.microsoft.com/office/drawing/2014/main" id="{08FCF331-F53D-46D3-AFE7-FC4AC07D698E}"/>
            </a:ext>
          </a:extLst>
        </xdr:cNvPr>
        <xdr:cNvCxnSpPr>
          <a:stCxn id="3" idx="3"/>
          <a:endCxn id="7" idx="1"/>
        </xdr:cNvCxnSpPr>
      </xdr:nvCxnSpPr>
      <xdr:spPr>
        <a:xfrm>
          <a:off x="2164556" y="2549346"/>
          <a:ext cx="1124909" cy="10405118"/>
        </a:xfrm>
        <a:prstGeom prst="bentConnector3">
          <a:avLst>
            <a:gd name="adj1" fmla="val 50000"/>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0</xdr:colOff>
      <xdr:row>31</xdr:row>
      <xdr:rowOff>129262</xdr:rowOff>
    </xdr:from>
    <xdr:to>
      <xdr:col>9</xdr:col>
      <xdr:colOff>35719</xdr:colOff>
      <xdr:row>31</xdr:row>
      <xdr:rowOff>130453</xdr:rowOff>
    </xdr:to>
    <xdr:cxnSp macro="">
      <xdr:nvCxnSpPr>
        <xdr:cNvPr id="29" name="Straight Arrow Connector 28">
          <a:extLst>
            <a:ext uri="{FF2B5EF4-FFF2-40B4-BE49-F238E27FC236}">
              <a16:creationId xmlns:a16="http://schemas.microsoft.com/office/drawing/2014/main" id="{03635CA8-5C95-4B3E-877A-C4ABC9AFE8FC}"/>
            </a:ext>
          </a:extLst>
        </xdr:cNvPr>
        <xdr:cNvCxnSpPr>
          <a:stCxn id="5" idx="3"/>
          <a:endCxn id="10" idx="1"/>
        </xdr:cNvCxnSpPr>
      </xdr:nvCxnSpPr>
      <xdr:spPr>
        <a:xfrm flipV="1">
          <a:off x="5105400" y="6034762"/>
          <a:ext cx="645319" cy="11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43</xdr:col>
      <xdr:colOff>267362</xdr:colOff>
      <xdr:row>12</xdr:row>
      <xdr:rowOff>62622</xdr:rowOff>
    </xdr:from>
    <xdr:to>
      <xdr:col>44</xdr:col>
      <xdr:colOff>470778</xdr:colOff>
      <xdr:row>14</xdr:row>
      <xdr:rowOff>41191</xdr:rowOff>
    </xdr:to>
    <xdr:sp macro="" textlink="">
      <xdr:nvSpPr>
        <xdr:cNvPr id="30" name="Rectangle: Rounded Corners 29">
          <a:extLst>
            <a:ext uri="{FF2B5EF4-FFF2-40B4-BE49-F238E27FC236}">
              <a16:creationId xmlns:a16="http://schemas.microsoft.com/office/drawing/2014/main" id="{F2B00DD5-1128-413F-8994-E9BFB4E7A971}"/>
            </a:ext>
          </a:extLst>
        </xdr:cNvPr>
        <xdr:cNvSpPr/>
      </xdr:nvSpPr>
      <xdr:spPr>
        <a:xfrm>
          <a:off x="30261587" y="2348622"/>
          <a:ext cx="813016" cy="35956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42</xdr:col>
      <xdr:colOff>440339</xdr:colOff>
      <xdr:row>13</xdr:row>
      <xdr:rowOff>48816</xdr:rowOff>
    </xdr:from>
    <xdr:to>
      <xdr:col>43</xdr:col>
      <xdr:colOff>267362</xdr:colOff>
      <xdr:row>13</xdr:row>
      <xdr:rowOff>51907</xdr:rowOff>
    </xdr:to>
    <xdr:cxnSp macro="">
      <xdr:nvCxnSpPr>
        <xdr:cNvPr id="31" name="Straight Arrow Connector 30">
          <a:extLst>
            <a:ext uri="{FF2B5EF4-FFF2-40B4-BE49-F238E27FC236}">
              <a16:creationId xmlns:a16="http://schemas.microsoft.com/office/drawing/2014/main" id="{93AF6BFC-496C-4828-8B28-9734511A2E9C}"/>
            </a:ext>
          </a:extLst>
        </xdr:cNvPr>
        <xdr:cNvCxnSpPr>
          <a:stCxn id="22" idx="3"/>
          <a:endCxn id="30" idx="1"/>
        </xdr:cNvCxnSpPr>
      </xdr:nvCxnSpPr>
      <xdr:spPr>
        <a:xfrm>
          <a:off x="29824964" y="2525316"/>
          <a:ext cx="436623"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548686</xdr:colOff>
      <xdr:row>6</xdr:row>
      <xdr:rowOff>43794</xdr:rowOff>
    </xdr:from>
    <xdr:to>
      <xdr:col>41</xdr:col>
      <xdr:colOff>552889</xdr:colOff>
      <xdr:row>7</xdr:row>
      <xdr:rowOff>152401</xdr:rowOff>
    </xdr:to>
    <xdr:cxnSp macro="">
      <xdr:nvCxnSpPr>
        <xdr:cNvPr id="32" name="Straight Arrow Connector 31">
          <a:extLst>
            <a:ext uri="{FF2B5EF4-FFF2-40B4-BE49-F238E27FC236}">
              <a16:creationId xmlns:a16="http://schemas.microsoft.com/office/drawing/2014/main" id="{AA4109EE-D780-450C-BEE0-B11B1AF589EA}"/>
            </a:ext>
          </a:extLst>
        </xdr:cNvPr>
        <xdr:cNvCxnSpPr>
          <a:stCxn id="21" idx="0"/>
          <a:endCxn id="33" idx="2"/>
        </xdr:cNvCxnSpPr>
      </xdr:nvCxnSpPr>
      <xdr:spPr>
        <a:xfrm flipV="1">
          <a:off x="29323711" y="1186794"/>
          <a:ext cx="4203" cy="299107"/>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39</xdr:col>
      <xdr:colOff>328450</xdr:colOff>
      <xdr:row>1</xdr:row>
      <xdr:rowOff>175172</xdr:rowOff>
    </xdr:from>
    <xdr:to>
      <xdr:col>44</xdr:col>
      <xdr:colOff>164224</xdr:colOff>
      <xdr:row>6</xdr:row>
      <xdr:rowOff>43794</xdr:rowOff>
    </xdr:to>
    <xdr:sp macro="" textlink="">
      <xdr:nvSpPr>
        <xdr:cNvPr id="33" name="Rectangle: Rounded Corners 32">
          <a:extLst>
            <a:ext uri="{FF2B5EF4-FFF2-40B4-BE49-F238E27FC236}">
              <a16:creationId xmlns:a16="http://schemas.microsoft.com/office/drawing/2014/main" id="{448DFA4B-8E36-43E7-B7E6-2130282AAA20}"/>
            </a:ext>
          </a:extLst>
        </xdr:cNvPr>
        <xdr:cNvSpPr/>
      </xdr:nvSpPr>
      <xdr:spPr>
        <a:xfrm>
          <a:off x="27884275" y="365672"/>
          <a:ext cx="2883774" cy="82112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42</xdr:col>
      <xdr:colOff>430814</xdr:colOff>
      <xdr:row>9</xdr:row>
      <xdr:rowOff>27372</xdr:rowOff>
    </xdr:from>
    <xdr:to>
      <xdr:col>46</xdr:col>
      <xdr:colOff>98535</xdr:colOff>
      <xdr:row>9</xdr:row>
      <xdr:rowOff>29576</xdr:rowOff>
    </xdr:to>
    <xdr:cxnSp macro="">
      <xdr:nvCxnSpPr>
        <xdr:cNvPr id="34" name="Straight Arrow Connector 33">
          <a:extLst>
            <a:ext uri="{FF2B5EF4-FFF2-40B4-BE49-F238E27FC236}">
              <a16:creationId xmlns:a16="http://schemas.microsoft.com/office/drawing/2014/main" id="{12ACC26F-7059-45D5-8431-6DA6264D1745}"/>
            </a:ext>
          </a:extLst>
        </xdr:cNvPr>
        <xdr:cNvCxnSpPr>
          <a:stCxn id="21" idx="3"/>
          <a:endCxn id="35" idx="1"/>
        </xdr:cNvCxnSpPr>
      </xdr:nvCxnSpPr>
      <xdr:spPr>
        <a:xfrm flipV="1">
          <a:off x="29815439" y="1741872"/>
          <a:ext cx="2106121" cy="220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46</xdr:col>
      <xdr:colOff>98535</xdr:colOff>
      <xdr:row>7</xdr:row>
      <xdr:rowOff>21897</xdr:rowOff>
    </xdr:from>
    <xdr:to>
      <xdr:col>50</xdr:col>
      <xdr:colOff>175173</xdr:colOff>
      <xdr:row>11</xdr:row>
      <xdr:rowOff>32845</xdr:rowOff>
    </xdr:to>
    <xdr:sp macro="" textlink="">
      <xdr:nvSpPr>
        <xdr:cNvPr id="35" name="Rectangle: Rounded Corners 34">
          <a:extLst>
            <a:ext uri="{FF2B5EF4-FFF2-40B4-BE49-F238E27FC236}">
              <a16:creationId xmlns:a16="http://schemas.microsoft.com/office/drawing/2014/main" id="{C408CFEB-2E31-47DE-9D8A-E3925216CBA0}"/>
            </a:ext>
          </a:extLst>
        </xdr:cNvPr>
        <xdr:cNvSpPr/>
      </xdr:nvSpPr>
      <xdr:spPr>
        <a:xfrm>
          <a:off x="31921560" y="1355397"/>
          <a:ext cx="2515038" cy="7729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51</xdr:col>
      <xdr:colOff>135566</xdr:colOff>
      <xdr:row>4</xdr:row>
      <xdr:rowOff>65689</xdr:rowOff>
    </xdr:from>
    <xdr:to>
      <xdr:col>53</xdr:col>
      <xdr:colOff>175172</xdr:colOff>
      <xdr:row>6</xdr:row>
      <xdr:rowOff>175171</xdr:rowOff>
    </xdr:to>
    <xdr:sp macro="" textlink="">
      <xdr:nvSpPr>
        <xdr:cNvPr id="36" name="Rectangle: Rounded Corners 35">
          <a:extLst>
            <a:ext uri="{FF2B5EF4-FFF2-40B4-BE49-F238E27FC236}">
              <a16:creationId xmlns:a16="http://schemas.microsoft.com/office/drawing/2014/main" id="{A8740743-B7B7-4E8B-B1B5-D29ED339E621}"/>
            </a:ext>
          </a:extLst>
        </xdr:cNvPr>
        <xdr:cNvSpPr/>
      </xdr:nvSpPr>
      <xdr:spPr>
        <a:xfrm>
          <a:off x="35006591" y="827689"/>
          <a:ext cx="1258806" cy="49048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51</xdr:col>
      <xdr:colOff>145638</xdr:colOff>
      <xdr:row>9</xdr:row>
      <xdr:rowOff>174295</xdr:rowOff>
    </xdr:from>
    <xdr:to>
      <xdr:col>53</xdr:col>
      <xdr:colOff>185244</xdr:colOff>
      <xdr:row>12</xdr:row>
      <xdr:rowOff>97656</xdr:rowOff>
    </xdr:to>
    <xdr:sp macro="" textlink="">
      <xdr:nvSpPr>
        <xdr:cNvPr id="37" name="Rectangle: Rounded Corners 36">
          <a:extLst>
            <a:ext uri="{FF2B5EF4-FFF2-40B4-BE49-F238E27FC236}">
              <a16:creationId xmlns:a16="http://schemas.microsoft.com/office/drawing/2014/main" id="{384F9040-54E1-4D38-9ADE-4B67671BB79F}"/>
            </a:ext>
          </a:extLst>
        </xdr:cNvPr>
        <xdr:cNvSpPr/>
      </xdr:nvSpPr>
      <xdr:spPr>
        <a:xfrm>
          <a:off x="35016663" y="1888795"/>
          <a:ext cx="1258806" cy="49486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50</xdr:col>
      <xdr:colOff>175173</xdr:colOff>
      <xdr:row>5</xdr:row>
      <xdr:rowOff>120430</xdr:rowOff>
    </xdr:from>
    <xdr:to>
      <xdr:col>51</xdr:col>
      <xdr:colOff>135566</xdr:colOff>
      <xdr:row>9</xdr:row>
      <xdr:rowOff>120431</xdr:rowOff>
    </xdr:to>
    <xdr:cxnSp macro="">
      <xdr:nvCxnSpPr>
        <xdr:cNvPr id="38" name="Straight Arrow Connector 37">
          <a:extLst>
            <a:ext uri="{FF2B5EF4-FFF2-40B4-BE49-F238E27FC236}">
              <a16:creationId xmlns:a16="http://schemas.microsoft.com/office/drawing/2014/main" id="{E47C4E4B-711A-4761-9972-5C6D751D9BEF}"/>
            </a:ext>
          </a:extLst>
        </xdr:cNvPr>
        <xdr:cNvCxnSpPr>
          <a:stCxn id="35" idx="3"/>
          <a:endCxn id="36" idx="1"/>
        </xdr:cNvCxnSpPr>
      </xdr:nvCxnSpPr>
      <xdr:spPr>
        <a:xfrm flipV="1">
          <a:off x="34436598" y="1072930"/>
          <a:ext cx="569993" cy="7620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50</xdr:col>
      <xdr:colOff>175173</xdr:colOff>
      <xdr:row>9</xdr:row>
      <xdr:rowOff>120431</xdr:rowOff>
    </xdr:from>
    <xdr:to>
      <xdr:col>51</xdr:col>
      <xdr:colOff>145638</xdr:colOff>
      <xdr:row>11</xdr:row>
      <xdr:rowOff>42916</xdr:rowOff>
    </xdr:to>
    <xdr:cxnSp macro="">
      <xdr:nvCxnSpPr>
        <xdr:cNvPr id="39" name="Straight Arrow Connector 38">
          <a:extLst>
            <a:ext uri="{FF2B5EF4-FFF2-40B4-BE49-F238E27FC236}">
              <a16:creationId xmlns:a16="http://schemas.microsoft.com/office/drawing/2014/main" id="{963FCC67-775B-4E5B-AF6C-795A04BA4AE9}"/>
            </a:ext>
          </a:extLst>
        </xdr:cNvPr>
        <xdr:cNvCxnSpPr>
          <a:stCxn id="35" idx="3"/>
          <a:endCxn id="37" idx="1"/>
        </xdr:cNvCxnSpPr>
      </xdr:nvCxnSpPr>
      <xdr:spPr>
        <a:xfrm>
          <a:off x="34436598" y="1834931"/>
          <a:ext cx="580065" cy="30348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111917</xdr:colOff>
      <xdr:row>4</xdr:row>
      <xdr:rowOff>63936</xdr:rowOff>
    </xdr:from>
    <xdr:to>
      <xdr:col>56</xdr:col>
      <xdr:colOff>151523</xdr:colOff>
      <xdr:row>6</xdr:row>
      <xdr:rowOff>173418</xdr:rowOff>
    </xdr:to>
    <xdr:sp macro="" textlink="">
      <xdr:nvSpPr>
        <xdr:cNvPr id="40" name="Rectangle: Rounded Corners 39">
          <a:extLst>
            <a:ext uri="{FF2B5EF4-FFF2-40B4-BE49-F238E27FC236}">
              <a16:creationId xmlns:a16="http://schemas.microsoft.com/office/drawing/2014/main" id="{A4F3986D-912D-4B8A-84E8-DFE90B8F72CD}"/>
            </a:ext>
          </a:extLst>
        </xdr:cNvPr>
        <xdr:cNvSpPr/>
      </xdr:nvSpPr>
      <xdr:spPr>
        <a:xfrm>
          <a:off x="36811742" y="825936"/>
          <a:ext cx="1258806" cy="490482"/>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54</xdr:col>
      <xdr:colOff>100092</xdr:colOff>
      <xdr:row>9</xdr:row>
      <xdr:rowOff>172543</xdr:rowOff>
    </xdr:from>
    <xdr:to>
      <xdr:col>56</xdr:col>
      <xdr:colOff>139698</xdr:colOff>
      <xdr:row>12</xdr:row>
      <xdr:rowOff>95904</xdr:rowOff>
    </xdr:to>
    <xdr:sp macro="" textlink="">
      <xdr:nvSpPr>
        <xdr:cNvPr id="41" name="Rectangle: Rounded Corners 40">
          <a:extLst>
            <a:ext uri="{FF2B5EF4-FFF2-40B4-BE49-F238E27FC236}">
              <a16:creationId xmlns:a16="http://schemas.microsoft.com/office/drawing/2014/main" id="{695FC48C-C1F7-4A26-886C-4116F2DC0280}"/>
            </a:ext>
          </a:extLst>
        </xdr:cNvPr>
        <xdr:cNvSpPr/>
      </xdr:nvSpPr>
      <xdr:spPr>
        <a:xfrm>
          <a:off x="36799917" y="1887043"/>
          <a:ext cx="1258806" cy="49486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53</xdr:col>
      <xdr:colOff>175172</xdr:colOff>
      <xdr:row>5</xdr:row>
      <xdr:rowOff>118677</xdr:rowOff>
    </xdr:from>
    <xdr:to>
      <xdr:col>54</xdr:col>
      <xdr:colOff>111917</xdr:colOff>
      <xdr:row>5</xdr:row>
      <xdr:rowOff>120430</xdr:rowOff>
    </xdr:to>
    <xdr:cxnSp macro="">
      <xdr:nvCxnSpPr>
        <xdr:cNvPr id="42" name="Straight Arrow Connector 41">
          <a:extLst>
            <a:ext uri="{FF2B5EF4-FFF2-40B4-BE49-F238E27FC236}">
              <a16:creationId xmlns:a16="http://schemas.microsoft.com/office/drawing/2014/main" id="{DFDACBD0-D438-4E9A-A403-C820AA9CCA68}"/>
            </a:ext>
          </a:extLst>
        </xdr:cNvPr>
        <xdr:cNvCxnSpPr>
          <a:stCxn id="36" idx="3"/>
          <a:endCxn id="40" idx="1"/>
        </xdr:cNvCxnSpPr>
      </xdr:nvCxnSpPr>
      <xdr:spPr>
        <a:xfrm flipV="1">
          <a:off x="36265397" y="1071177"/>
          <a:ext cx="546345"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53</xdr:col>
      <xdr:colOff>185244</xdr:colOff>
      <xdr:row>11</xdr:row>
      <xdr:rowOff>41164</xdr:rowOff>
    </xdr:from>
    <xdr:to>
      <xdr:col>54</xdr:col>
      <xdr:colOff>100092</xdr:colOff>
      <xdr:row>11</xdr:row>
      <xdr:rowOff>42916</xdr:rowOff>
    </xdr:to>
    <xdr:cxnSp macro="">
      <xdr:nvCxnSpPr>
        <xdr:cNvPr id="43" name="Straight Arrow Connector 42">
          <a:extLst>
            <a:ext uri="{FF2B5EF4-FFF2-40B4-BE49-F238E27FC236}">
              <a16:creationId xmlns:a16="http://schemas.microsoft.com/office/drawing/2014/main" id="{AF9A5D33-3776-4064-955D-6F5EEE46BDBC}"/>
            </a:ext>
          </a:extLst>
        </xdr:cNvPr>
        <xdr:cNvCxnSpPr>
          <a:stCxn id="37" idx="3"/>
          <a:endCxn id="41" idx="1"/>
        </xdr:cNvCxnSpPr>
      </xdr:nvCxnSpPr>
      <xdr:spPr>
        <a:xfrm flipV="1">
          <a:off x="36275469" y="2136664"/>
          <a:ext cx="524448"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192005</xdr:colOff>
      <xdr:row>29</xdr:row>
      <xdr:rowOff>23402</xdr:rowOff>
    </xdr:from>
    <xdr:to>
      <xdr:col>17</xdr:col>
      <xdr:colOff>453943</xdr:colOff>
      <xdr:row>30</xdr:row>
      <xdr:rowOff>149993</xdr:rowOff>
    </xdr:to>
    <xdr:sp macro="" textlink="">
      <xdr:nvSpPr>
        <xdr:cNvPr id="44" name="Rectangle: Rounded Corners 43">
          <a:extLst>
            <a:ext uri="{FF2B5EF4-FFF2-40B4-BE49-F238E27FC236}">
              <a16:creationId xmlns:a16="http://schemas.microsoft.com/office/drawing/2014/main" id="{8FD52989-7D15-4377-8F65-C11EAC21C234}"/>
            </a:ext>
          </a:extLst>
        </xdr:cNvPr>
        <xdr:cNvSpPr/>
      </xdr:nvSpPr>
      <xdr:spPr>
        <a:xfrm>
          <a:off x="10174205" y="5547902"/>
          <a:ext cx="2224088" cy="31709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10,000 / Rp 150,000,000</a:t>
          </a:r>
        </a:p>
      </xdr:txBody>
    </xdr:sp>
    <xdr:clientData/>
  </xdr:twoCellAnchor>
  <xdr:twoCellAnchor>
    <xdr:from>
      <xdr:col>16</xdr:col>
      <xdr:colOff>180099</xdr:colOff>
      <xdr:row>33</xdr:row>
      <xdr:rowOff>59118</xdr:rowOff>
    </xdr:from>
    <xdr:to>
      <xdr:col>17</xdr:col>
      <xdr:colOff>442037</xdr:colOff>
      <xdr:row>34</xdr:row>
      <xdr:rowOff>149989</xdr:rowOff>
    </xdr:to>
    <xdr:sp macro="" textlink="">
      <xdr:nvSpPr>
        <xdr:cNvPr id="45" name="Rectangle: Rounded Corners 44">
          <a:extLst>
            <a:ext uri="{FF2B5EF4-FFF2-40B4-BE49-F238E27FC236}">
              <a16:creationId xmlns:a16="http://schemas.microsoft.com/office/drawing/2014/main" id="{BCA7C152-0F95-4CDD-943E-B2D8569E6C36}"/>
            </a:ext>
          </a:extLst>
        </xdr:cNvPr>
        <xdr:cNvSpPr/>
      </xdr:nvSpPr>
      <xdr:spPr>
        <a:xfrm>
          <a:off x="10162299" y="6345618"/>
          <a:ext cx="2224088" cy="28137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USD 10,000 / Rp 150,000,000</a:t>
          </a:r>
        </a:p>
      </xdr:txBody>
    </xdr:sp>
    <xdr:clientData/>
  </xdr:twoCellAnchor>
  <xdr:twoCellAnchor>
    <xdr:from>
      <xdr:col>15</xdr:col>
      <xdr:colOff>59532</xdr:colOff>
      <xdr:row>29</xdr:row>
      <xdr:rowOff>179758</xdr:rowOff>
    </xdr:from>
    <xdr:to>
      <xdr:col>16</xdr:col>
      <xdr:colOff>192005</xdr:colOff>
      <xdr:row>31</xdr:row>
      <xdr:rowOff>131452</xdr:rowOff>
    </xdr:to>
    <xdr:cxnSp macro="">
      <xdr:nvCxnSpPr>
        <xdr:cNvPr id="46" name="Straight Arrow Connector 45">
          <a:extLst>
            <a:ext uri="{FF2B5EF4-FFF2-40B4-BE49-F238E27FC236}">
              <a16:creationId xmlns:a16="http://schemas.microsoft.com/office/drawing/2014/main" id="{AF898A48-C531-42B2-8751-945AEAD4853E}"/>
            </a:ext>
          </a:extLst>
        </xdr:cNvPr>
        <xdr:cNvCxnSpPr>
          <a:stCxn id="10" idx="3"/>
          <a:endCxn id="44" idx="1"/>
        </xdr:cNvCxnSpPr>
      </xdr:nvCxnSpPr>
      <xdr:spPr>
        <a:xfrm flipV="1">
          <a:off x="9432132" y="5704258"/>
          <a:ext cx="742073" cy="33269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59532</xdr:colOff>
      <xdr:row>31</xdr:row>
      <xdr:rowOff>131452</xdr:rowOff>
    </xdr:from>
    <xdr:to>
      <xdr:col>16</xdr:col>
      <xdr:colOff>180099</xdr:colOff>
      <xdr:row>34</xdr:row>
      <xdr:rowOff>11493</xdr:rowOff>
    </xdr:to>
    <xdr:cxnSp macro="">
      <xdr:nvCxnSpPr>
        <xdr:cNvPr id="47" name="Straight Arrow Connector 46">
          <a:extLst>
            <a:ext uri="{FF2B5EF4-FFF2-40B4-BE49-F238E27FC236}">
              <a16:creationId xmlns:a16="http://schemas.microsoft.com/office/drawing/2014/main" id="{0BE0C599-0F3A-4BDD-9A74-5530F3629115}"/>
            </a:ext>
          </a:extLst>
        </xdr:cNvPr>
        <xdr:cNvCxnSpPr>
          <a:stCxn id="10" idx="3"/>
          <a:endCxn id="45" idx="1"/>
        </xdr:cNvCxnSpPr>
      </xdr:nvCxnSpPr>
      <xdr:spPr>
        <a:xfrm>
          <a:off x="9432132" y="6036952"/>
          <a:ext cx="730167" cy="45154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761125</xdr:colOff>
      <xdr:row>33</xdr:row>
      <xdr:rowOff>21019</xdr:rowOff>
    </xdr:from>
    <xdr:to>
      <xdr:col>18</xdr:col>
      <xdr:colOff>95251</xdr:colOff>
      <xdr:row>34</xdr:row>
      <xdr:rowOff>185708</xdr:rowOff>
    </xdr:to>
    <xdr:sp macro="" textlink="">
      <xdr:nvSpPr>
        <xdr:cNvPr id="48" name="Rectangle: Rounded Corners 47">
          <a:extLst>
            <a:ext uri="{FF2B5EF4-FFF2-40B4-BE49-F238E27FC236}">
              <a16:creationId xmlns:a16="http://schemas.microsoft.com/office/drawing/2014/main" id="{57EE3B90-28EE-474C-8645-88DA3604FC55}"/>
            </a:ext>
          </a:extLst>
        </xdr:cNvPr>
        <xdr:cNvSpPr/>
      </xdr:nvSpPr>
      <xdr:spPr>
        <a:xfrm>
          <a:off x="12705475" y="6307519"/>
          <a:ext cx="2039226" cy="35518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442037</xdr:colOff>
      <xdr:row>34</xdr:row>
      <xdr:rowOff>10303</xdr:rowOff>
    </xdr:from>
    <xdr:to>
      <xdr:col>17</xdr:col>
      <xdr:colOff>761125</xdr:colOff>
      <xdr:row>34</xdr:row>
      <xdr:rowOff>11493</xdr:rowOff>
    </xdr:to>
    <xdr:cxnSp macro="">
      <xdr:nvCxnSpPr>
        <xdr:cNvPr id="49" name="Straight Arrow Connector 48">
          <a:extLst>
            <a:ext uri="{FF2B5EF4-FFF2-40B4-BE49-F238E27FC236}">
              <a16:creationId xmlns:a16="http://schemas.microsoft.com/office/drawing/2014/main" id="{B3209FCF-D961-44ED-AEDD-77E54AE43DF8}"/>
            </a:ext>
          </a:extLst>
        </xdr:cNvPr>
        <xdr:cNvCxnSpPr>
          <a:stCxn id="45" idx="3"/>
          <a:endCxn id="48" idx="1"/>
        </xdr:cNvCxnSpPr>
      </xdr:nvCxnSpPr>
      <xdr:spPr>
        <a:xfrm flipV="1">
          <a:off x="12386387" y="6487303"/>
          <a:ext cx="319088" cy="119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453943</xdr:colOff>
      <xdr:row>29</xdr:row>
      <xdr:rowOff>179758</xdr:rowOff>
    </xdr:from>
    <xdr:to>
      <xdr:col>17</xdr:col>
      <xdr:colOff>713499</xdr:colOff>
      <xdr:row>29</xdr:row>
      <xdr:rowOff>185709</xdr:rowOff>
    </xdr:to>
    <xdr:cxnSp macro="">
      <xdr:nvCxnSpPr>
        <xdr:cNvPr id="50" name="Straight Arrow Connector 49">
          <a:extLst>
            <a:ext uri="{FF2B5EF4-FFF2-40B4-BE49-F238E27FC236}">
              <a16:creationId xmlns:a16="http://schemas.microsoft.com/office/drawing/2014/main" id="{BC8B2623-FC81-4947-8125-5B4BE425467F}"/>
            </a:ext>
          </a:extLst>
        </xdr:cNvPr>
        <xdr:cNvCxnSpPr>
          <a:cxnSpLocks/>
          <a:stCxn id="44" idx="3"/>
        </xdr:cNvCxnSpPr>
      </xdr:nvCxnSpPr>
      <xdr:spPr>
        <a:xfrm>
          <a:off x="12398293" y="5704258"/>
          <a:ext cx="259556" cy="59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689960</xdr:colOff>
      <xdr:row>10</xdr:row>
      <xdr:rowOff>31968</xdr:rowOff>
    </xdr:from>
    <xdr:to>
      <xdr:col>17</xdr:col>
      <xdr:colOff>2594742</xdr:colOff>
      <xdr:row>13</xdr:row>
      <xdr:rowOff>42915</xdr:rowOff>
    </xdr:to>
    <xdr:sp macro="" textlink="">
      <xdr:nvSpPr>
        <xdr:cNvPr id="51" name="Rectangle: Rounded Corners 50">
          <a:extLst>
            <a:ext uri="{FF2B5EF4-FFF2-40B4-BE49-F238E27FC236}">
              <a16:creationId xmlns:a16="http://schemas.microsoft.com/office/drawing/2014/main" id="{869BDD81-CBC2-4248-876D-974BEA80182F}"/>
            </a:ext>
          </a:extLst>
        </xdr:cNvPr>
        <xdr:cNvSpPr/>
      </xdr:nvSpPr>
      <xdr:spPr>
        <a:xfrm>
          <a:off x="12634310" y="1936968"/>
          <a:ext cx="1904782" cy="582447"/>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a:t>
          </a:r>
          <a:endParaRPr lang="en-ID" sz="1100" baseline="0"/>
        </a:p>
        <a:p>
          <a:pPr algn="ctr"/>
          <a:r>
            <a:rPr lang="en-ID" sz="1100" baseline="0"/>
            <a:t>Estimasi masa manfaat</a:t>
          </a:r>
          <a:endParaRPr lang="en-ID" sz="1100"/>
        </a:p>
      </xdr:txBody>
    </xdr:sp>
    <xdr:clientData/>
  </xdr:twoCellAnchor>
  <xdr:twoCellAnchor>
    <xdr:from>
      <xdr:col>17</xdr:col>
      <xdr:colOff>2594742</xdr:colOff>
      <xdr:row>4</xdr:row>
      <xdr:rowOff>20251</xdr:rowOff>
    </xdr:from>
    <xdr:to>
      <xdr:col>18</xdr:col>
      <xdr:colOff>328447</xdr:colOff>
      <xdr:row>11</xdr:row>
      <xdr:rowOff>130502</xdr:rowOff>
    </xdr:to>
    <xdr:cxnSp macro="">
      <xdr:nvCxnSpPr>
        <xdr:cNvPr id="52" name="Straight Arrow Connector 51">
          <a:extLst>
            <a:ext uri="{FF2B5EF4-FFF2-40B4-BE49-F238E27FC236}">
              <a16:creationId xmlns:a16="http://schemas.microsoft.com/office/drawing/2014/main" id="{A02F709C-132E-4712-A6DD-CF0FF0416788}"/>
            </a:ext>
          </a:extLst>
        </xdr:cNvPr>
        <xdr:cNvCxnSpPr>
          <a:stCxn id="51" idx="3"/>
          <a:endCxn id="53" idx="1"/>
        </xdr:cNvCxnSpPr>
      </xdr:nvCxnSpPr>
      <xdr:spPr>
        <a:xfrm flipV="1">
          <a:off x="14539092" y="782251"/>
          <a:ext cx="438805" cy="14437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328447</xdr:colOff>
      <xdr:row>3</xdr:row>
      <xdr:rowOff>67876</xdr:rowOff>
    </xdr:from>
    <xdr:to>
      <xdr:col>20</xdr:col>
      <xdr:colOff>208017</xdr:colOff>
      <xdr:row>4</xdr:row>
      <xdr:rowOff>158747</xdr:rowOff>
    </xdr:to>
    <xdr:sp macro="" textlink="">
      <xdr:nvSpPr>
        <xdr:cNvPr id="53" name="Rectangle: Rounded Corners 52">
          <a:extLst>
            <a:ext uri="{FF2B5EF4-FFF2-40B4-BE49-F238E27FC236}">
              <a16:creationId xmlns:a16="http://schemas.microsoft.com/office/drawing/2014/main" id="{C1F38D91-695E-44A0-B3BD-057FF7283CB2}"/>
            </a:ext>
          </a:extLst>
        </xdr:cNvPr>
        <xdr:cNvSpPr/>
      </xdr:nvSpPr>
      <xdr:spPr>
        <a:xfrm>
          <a:off x="14977897" y="639376"/>
          <a:ext cx="1203545" cy="28137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20</xdr:col>
      <xdr:colOff>541065</xdr:colOff>
      <xdr:row>3</xdr:row>
      <xdr:rowOff>29777</xdr:rowOff>
    </xdr:from>
    <xdr:to>
      <xdr:col>23</xdr:col>
      <xdr:colOff>131379</xdr:colOff>
      <xdr:row>5</xdr:row>
      <xdr:rowOff>8345</xdr:rowOff>
    </xdr:to>
    <xdr:sp macro="" textlink="">
      <xdr:nvSpPr>
        <xdr:cNvPr id="54" name="Rectangle: Rounded Corners 53">
          <a:extLst>
            <a:ext uri="{FF2B5EF4-FFF2-40B4-BE49-F238E27FC236}">
              <a16:creationId xmlns:a16="http://schemas.microsoft.com/office/drawing/2014/main" id="{E3F9722C-3EF5-490D-BB7C-A72BD9623D30}"/>
            </a:ext>
          </a:extLst>
        </xdr:cNvPr>
        <xdr:cNvSpPr/>
      </xdr:nvSpPr>
      <xdr:spPr>
        <a:xfrm>
          <a:off x="16514490" y="601277"/>
          <a:ext cx="1419114"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20</xdr:col>
      <xdr:colOff>208017</xdr:colOff>
      <xdr:row>4</xdr:row>
      <xdr:rowOff>19061</xdr:rowOff>
    </xdr:from>
    <xdr:to>
      <xdr:col>20</xdr:col>
      <xdr:colOff>541065</xdr:colOff>
      <xdr:row>4</xdr:row>
      <xdr:rowOff>20251</xdr:rowOff>
    </xdr:to>
    <xdr:cxnSp macro="">
      <xdr:nvCxnSpPr>
        <xdr:cNvPr id="55" name="Straight Arrow Connector 54">
          <a:extLst>
            <a:ext uri="{FF2B5EF4-FFF2-40B4-BE49-F238E27FC236}">
              <a16:creationId xmlns:a16="http://schemas.microsoft.com/office/drawing/2014/main" id="{6CB1B88A-F2A2-4A25-8470-1EE8DF546DFF}"/>
            </a:ext>
          </a:extLst>
        </xdr:cNvPr>
        <xdr:cNvCxnSpPr>
          <a:stCxn id="53" idx="3"/>
          <a:endCxn id="54" idx="1"/>
        </xdr:cNvCxnSpPr>
      </xdr:nvCxnSpPr>
      <xdr:spPr>
        <a:xfrm flipV="1">
          <a:off x="16181442" y="781061"/>
          <a:ext cx="333048" cy="119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327790</xdr:colOff>
      <xdr:row>9</xdr:row>
      <xdr:rowOff>164225</xdr:rowOff>
    </xdr:from>
    <xdr:to>
      <xdr:col>22</xdr:col>
      <xdr:colOff>218965</xdr:colOff>
      <xdr:row>13</xdr:row>
      <xdr:rowOff>98535</xdr:rowOff>
    </xdr:to>
    <xdr:sp macro="" textlink="">
      <xdr:nvSpPr>
        <xdr:cNvPr id="56" name="Rectangle: Rounded Corners 55">
          <a:extLst>
            <a:ext uri="{FF2B5EF4-FFF2-40B4-BE49-F238E27FC236}">
              <a16:creationId xmlns:a16="http://schemas.microsoft.com/office/drawing/2014/main" id="{C852DCC4-9322-4B8C-BA55-608727AB5358}"/>
            </a:ext>
          </a:extLst>
        </xdr:cNvPr>
        <xdr:cNvSpPr/>
      </xdr:nvSpPr>
      <xdr:spPr>
        <a:xfrm>
          <a:off x="14977240" y="1878725"/>
          <a:ext cx="2434350" cy="69631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17</xdr:col>
      <xdr:colOff>2594742</xdr:colOff>
      <xdr:row>11</xdr:row>
      <xdr:rowOff>130502</xdr:rowOff>
    </xdr:from>
    <xdr:to>
      <xdr:col>18</xdr:col>
      <xdr:colOff>327790</xdr:colOff>
      <xdr:row>11</xdr:row>
      <xdr:rowOff>131381</xdr:rowOff>
    </xdr:to>
    <xdr:cxnSp macro="">
      <xdr:nvCxnSpPr>
        <xdr:cNvPr id="57" name="Straight Arrow Connector 56">
          <a:extLst>
            <a:ext uri="{FF2B5EF4-FFF2-40B4-BE49-F238E27FC236}">
              <a16:creationId xmlns:a16="http://schemas.microsoft.com/office/drawing/2014/main" id="{D6285B40-2BDE-4A8D-9629-3A90BEDA551F}"/>
            </a:ext>
          </a:extLst>
        </xdr:cNvPr>
        <xdr:cNvCxnSpPr>
          <a:stCxn id="51" idx="3"/>
          <a:endCxn id="56" idx="1"/>
        </xdr:cNvCxnSpPr>
      </xdr:nvCxnSpPr>
      <xdr:spPr>
        <a:xfrm>
          <a:off x="14539092" y="2226002"/>
          <a:ext cx="438148" cy="8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32</xdr:col>
      <xdr:colOff>613102</xdr:colOff>
      <xdr:row>27</xdr:row>
      <xdr:rowOff>131051</xdr:rowOff>
    </xdr:from>
    <xdr:to>
      <xdr:col>40</xdr:col>
      <xdr:colOff>349196</xdr:colOff>
      <xdr:row>31</xdr:row>
      <xdr:rowOff>107237</xdr:rowOff>
    </xdr:to>
    <xdr:sp macro="" textlink="">
      <xdr:nvSpPr>
        <xdr:cNvPr id="58" name="Rectangle: Rounded Corners 57">
          <a:extLst>
            <a:ext uri="{FF2B5EF4-FFF2-40B4-BE49-F238E27FC236}">
              <a16:creationId xmlns:a16="http://schemas.microsoft.com/office/drawing/2014/main" id="{BB08E79C-0968-4542-8E3A-206959A28DE6}"/>
            </a:ext>
          </a:extLst>
        </xdr:cNvPr>
        <xdr:cNvSpPr/>
      </xdr:nvSpPr>
      <xdr:spPr>
        <a:xfrm>
          <a:off x="23901727" y="5274551"/>
          <a:ext cx="4612894" cy="73818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ID" sz="1100">
              <a:solidFill>
                <a:schemeClr val="lt1"/>
              </a:solidFill>
              <a:effectLst/>
              <a:latin typeface="+mn-lt"/>
              <a:ea typeface="+mn-ea"/>
              <a:cs typeface="+mn-cs"/>
            </a:rPr>
            <a:t>Is</a:t>
          </a:r>
          <a:r>
            <a:rPr lang="en-ID" sz="1100" baseline="0">
              <a:solidFill>
                <a:schemeClr val="lt1"/>
              </a:solidFill>
              <a:effectLst/>
              <a:latin typeface="+mn-lt"/>
              <a:ea typeface="+mn-ea"/>
              <a:cs typeface="+mn-cs"/>
            </a:rPr>
            <a:t> there any value added? (e.g: adding new function)</a:t>
          </a:r>
          <a:endParaRPr lang="en-ID">
            <a:effectLst/>
          </a:endParaRPr>
        </a:p>
        <a:p>
          <a:r>
            <a:rPr lang="en-ID" sz="1100">
              <a:solidFill>
                <a:schemeClr val="lt1"/>
              </a:solidFill>
              <a:effectLst/>
              <a:latin typeface="+mn-lt"/>
              <a:ea typeface="+mn-ea"/>
              <a:cs typeface="+mn-cs"/>
            </a:rPr>
            <a:t>Apakah ada nilai tambah? (Contoh: Penambahan fungsi)</a:t>
          </a:r>
          <a:endParaRPr lang="en-ID">
            <a:effectLst/>
          </a:endParaRPr>
        </a:p>
      </xdr:txBody>
    </xdr:sp>
    <xdr:clientData/>
  </xdr:twoCellAnchor>
  <xdr:twoCellAnchor>
    <xdr:from>
      <xdr:col>41</xdr:col>
      <xdr:colOff>52579</xdr:colOff>
      <xdr:row>26</xdr:row>
      <xdr:rowOff>140577</xdr:rowOff>
    </xdr:from>
    <xdr:to>
      <xdr:col>42</xdr:col>
      <xdr:colOff>429938</xdr:colOff>
      <xdr:row>28</xdr:row>
      <xdr:rowOff>81045</xdr:rowOff>
    </xdr:to>
    <xdr:sp macro="" textlink="">
      <xdr:nvSpPr>
        <xdr:cNvPr id="59" name="Rectangle: Rounded Corners 58">
          <a:extLst>
            <a:ext uri="{FF2B5EF4-FFF2-40B4-BE49-F238E27FC236}">
              <a16:creationId xmlns:a16="http://schemas.microsoft.com/office/drawing/2014/main" id="{38CF1389-33A3-41C9-8D33-3FD43B6DBB56}"/>
            </a:ext>
          </a:extLst>
        </xdr:cNvPr>
        <xdr:cNvSpPr/>
      </xdr:nvSpPr>
      <xdr:spPr>
        <a:xfrm>
          <a:off x="28827604" y="5093577"/>
          <a:ext cx="986959" cy="32146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41</xdr:col>
      <xdr:colOff>62104</xdr:colOff>
      <xdr:row>30</xdr:row>
      <xdr:rowOff>66757</xdr:rowOff>
    </xdr:from>
    <xdr:to>
      <xdr:col>42</xdr:col>
      <xdr:colOff>439463</xdr:colOff>
      <xdr:row>32</xdr:row>
      <xdr:rowOff>7225</xdr:rowOff>
    </xdr:to>
    <xdr:sp macro="" textlink="">
      <xdr:nvSpPr>
        <xdr:cNvPr id="60" name="Rectangle: Rounded Corners 59">
          <a:extLst>
            <a:ext uri="{FF2B5EF4-FFF2-40B4-BE49-F238E27FC236}">
              <a16:creationId xmlns:a16="http://schemas.microsoft.com/office/drawing/2014/main" id="{D8E836F7-E4D4-4C35-B52E-65083C459954}"/>
            </a:ext>
          </a:extLst>
        </xdr:cNvPr>
        <xdr:cNvSpPr/>
      </xdr:nvSpPr>
      <xdr:spPr>
        <a:xfrm>
          <a:off x="28837129" y="5781757"/>
          <a:ext cx="986959" cy="32146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40</xdr:col>
      <xdr:colOff>349196</xdr:colOff>
      <xdr:row>27</xdr:row>
      <xdr:rowOff>110811</xdr:rowOff>
    </xdr:from>
    <xdr:to>
      <xdr:col>41</xdr:col>
      <xdr:colOff>52579</xdr:colOff>
      <xdr:row>29</xdr:row>
      <xdr:rowOff>119145</xdr:rowOff>
    </xdr:to>
    <xdr:cxnSp macro="">
      <xdr:nvCxnSpPr>
        <xdr:cNvPr id="61" name="Straight Arrow Connector 60">
          <a:extLst>
            <a:ext uri="{FF2B5EF4-FFF2-40B4-BE49-F238E27FC236}">
              <a16:creationId xmlns:a16="http://schemas.microsoft.com/office/drawing/2014/main" id="{912D3D94-0A26-43D8-BA6A-8D3F75073338}"/>
            </a:ext>
          </a:extLst>
        </xdr:cNvPr>
        <xdr:cNvCxnSpPr>
          <a:stCxn id="58" idx="3"/>
          <a:endCxn id="59" idx="1"/>
        </xdr:cNvCxnSpPr>
      </xdr:nvCxnSpPr>
      <xdr:spPr>
        <a:xfrm flipV="1">
          <a:off x="28514621" y="5254311"/>
          <a:ext cx="312983" cy="38933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349196</xdr:colOff>
      <xdr:row>29</xdr:row>
      <xdr:rowOff>119145</xdr:rowOff>
    </xdr:from>
    <xdr:to>
      <xdr:col>41</xdr:col>
      <xdr:colOff>62104</xdr:colOff>
      <xdr:row>31</xdr:row>
      <xdr:rowOff>36991</xdr:rowOff>
    </xdr:to>
    <xdr:cxnSp macro="">
      <xdr:nvCxnSpPr>
        <xdr:cNvPr id="62" name="Straight Arrow Connector 61">
          <a:extLst>
            <a:ext uri="{FF2B5EF4-FFF2-40B4-BE49-F238E27FC236}">
              <a16:creationId xmlns:a16="http://schemas.microsoft.com/office/drawing/2014/main" id="{29524AF2-CBFF-4430-B8B1-87CB17688A68}"/>
            </a:ext>
          </a:extLst>
        </xdr:cNvPr>
        <xdr:cNvCxnSpPr>
          <a:stCxn id="58" idx="3"/>
          <a:endCxn id="60" idx="1"/>
        </xdr:cNvCxnSpPr>
      </xdr:nvCxnSpPr>
      <xdr:spPr>
        <a:xfrm>
          <a:off x="28514621" y="5643645"/>
          <a:ext cx="322508" cy="29884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43</xdr:col>
      <xdr:colOff>288382</xdr:colOff>
      <xdr:row>30</xdr:row>
      <xdr:rowOff>50798</xdr:rowOff>
    </xdr:from>
    <xdr:to>
      <xdr:col>44</xdr:col>
      <xdr:colOff>569312</xdr:colOff>
      <xdr:row>32</xdr:row>
      <xdr:rowOff>29366</xdr:rowOff>
    </xdr:to>
    <xdr:sp macro="" textlink="">
      <xdr:nvSpPr>
        <xdr:cNvPr id="63" name="Rectangle: Rounded Corners 62">
          <a:extLst>
            <a:ext uri="{FF2B5EF4-FFF2-40B4-BE49-F238E27FC236}">
              <a16:creationId xmlns:a16="http://schemas.microsoft.com/office/drawing/2014/main" id="{FD7117F0-C1BF-4690-9757-83135116B4D5}"/>
            </a:ext>
          </a:extLst>
        </xdr:cNvPr>
        <xdr:cNvSpPr/>
      </xdr:nvSpPr>
      <xdr:spPr>
        <a:xfrm>
          <a:off x="30282607" y="5765798"/>
          <a:ext cx="890530"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42</xdr:col>
      <xdr:colOff>439463</xdr:colOff>
      <xdr:row>31</xdr:row>
      <xdr:rowOff>36991</xdr:rowOff>
    </xdr:from>
    <xdr:to>
      <xdr:col>43</xdr:col>
      <xdr:colOff>288382</xdr:colOff>
      <xdr:row>31</xdr:row>
      <xdr:rowOff>40082</xdr:rowOff>
    </xdr:to>
    <xdr:cxnSp macro="">
      <xdr:nvCxnSpPr>
        <xdr:cNvPr id="64" name="Straight Arrow Connector 63">
          <a:extLst>
            <a:ext uri="{FF2B5EF4-FFF2-40B4-BE49-F238E27FC236}">
              <a16:creationId xmlns:a16="http://schemas.microsoft.com/office/drawing/2014/main" id="{23E7055E-EAA2-4250-BE76-AD7822500CE2}"/>
            </a:ext>
          </a:extLst>
        </xdr:cNvPr>
        <xdr:cNvCxnSpPr>
          <a:stCxn id="60" idx="3"/>
          <a:endCxn id="63" idx="1"/>
        </xdr:cNvCxnSpPr>
      </xdr:nvCxnSpPr>
      <xdr:spPr>
        <a:xfrm>
          <a:off x="29824088" y="5942491"/>
          <a:ext cx="458519"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546977</xdr:colOff>
      <xdr:row>25</xdr:row>
      <xdr:rowOff>31969</xdr:rowOff>
    </xdr:from>
    <xdr:to>
      <xdr:col>41</xdr:col>
      <xdr:colOff>547810</xdr:colOff>
      <xdr:row>26</xdr:row>
      <xdr:rowOff>140577</xdr:rowOff>
    </xdr:to>
    <xdr:cxnSp macro="">
      <xdr:nvCxnSpPr>
        <xdr:cNvPr id="65" name="Straight Arrow Connector 64">
          <a:extLst>
            <a:ext uri="{FF2B5EF4-FFF2-40B4-BE49-F238E27FC236}">
              <a16:creationId xmlns:a16="http://schemas.microsoft.com/office/drawing/2014/main" id="{BBDB85D9-4A62-40BF-B28C-1D880DF2028D}"/>
            </a:ext>
          </a:extLst>
        </xdr:cNvPr>
        <xdr:cNvCxnSpPr>
          <a:stCxn id="59" idx="0"/>
          <a:endCxn id="66" idx="2"/>
        </xdr:cNvCxnSpPr>
      </xdr:nvCxnSpPr>
      <xdr:spPr>
        <a:xfrm flipH="1" flipV="1">
          <a:off x="29322002" y="4794469"/>
          <a:ext cx="833" cy="299108"/>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39</xdr:col>
      <xdr:colOff>327574</xdr:colOff>
      <xdr:row>19</xdr:row>
      <xdr:rowOff>152399</xdr:rowOff>
    </xdr:from>
    <xdr:to>
      <xdr:col>44</xdr:col>
      <xdr:colOff>153276</xdr:colOff>
      <xdr:row>25</xdr:row>
      <xdr:rowOff>31969</xdr:rowOff>
    </xdr:to>
    <xdr:sp macro="" textlink="">
      <xdr:nvSpPr>
        <xdr:cNvPr id="66" name="Rectangle: Rounded Corners 65">
          <a:extLst>
            <a:ext uri="{FF2B5EF4-FFF2-40B4-BE49-F238E27FC236}">
              <a16:creationId xmlns:a16="http://schemas.microsoft.com/office/drawing/2014/main" id="{F12CFB5C-F552-4BA3-8F79-3376B6047D23}"/>
            </a:ext>
          </a:extLst>
        </xdr:cNvPr>
        <xdr:cNvSpPr/>
      </xdr:nvSpPr>
      <xdr:spPr>
        <a:xfrm>
          <a:off x="27883399" y="3771899"/>
          <a:ext cx="2873702" cy="102257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42</xdr:col>
      <xdr:colOff>429938</xdr:colOff>
      <xdr:row>27</xdr:row>
      <xdr:rowOff>108607</xdr:rowOff>
    </xdr:from>
    <xdr:to>
      <xdr:col>46</xdr:col>
      <xdr:colOff>97659</xdr:colOff>
      <xdr:row>27</xdr:row>
      <xdr:rowOff>110811</xdr:rowOff>
    </xdr:to>
    <xdr:cxnSp macro="">
      <xdr:nvCxnSpPr>
        <xdr:cNvPr id="67" name="Straight Arrow Connector 66">
          <a:extLst>
            <a:ext uri="{FF2B5EF4-FFF2-40B4-BE49-F238E27FC236}">
              <a16:creationId xmlns:a16="http://schemas.microsoft.com/office/drawing/2014/main" id="{03896605-731C-43B5-A8B6-66E0702C871F}"/>
            </a:ext>
          </a:extLst>
        </xdr:cNvPr>
        <xdr:cNvCxnSpPr>
          <a:stCxn id="59" idx="3"/>
          <a:endCxn id="68" idx="1"/>
        </xdr:cNvCxnSpPr>
      </xdr:nvCxnSpPr>
      <xdr:spPr>
        <a:xfrm flipV="1">
          <a:off x="29814563" y="5252107"/>
          <a:ext cx="2106121" cy="220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46</xdr:col>
      <xdr:colOff>97659</xdr:colOff>
      <xdr:row>26</xdr:row>
      <xdr:rowOff>10073</xdr:rowOff>
    </xdr:from>
    <xdr:to>
      <xdr:col>50</xdr:col>
      <xdr:colOff>174297</xdr:colOff>
      <xdr:row>29</xdr:row>
      <xdr:rowOff>21020</xdr:rowOff>
    </xdr:to>
    <xdr:sp macro="" textlink="">
      <xdr:nvSpPr>
        <xdr:cNvPr id="68" name="Rectangle: Rounded Corners 67">
          <a:extLst>
            <a:ext uri="{FF2B5EF4-FFF2-40B4-BE49-F238E27FC236}">
              <a16:creationId xmlns:a16="http://schemas.microsoft.com/office/drawing/2014/main" id="{7C1D6057-AF14-4A0B-965D-6E61AA9392B2}"/>
            </a:ext>
          </a:extLst>
        </xdr:cNvPr>
        <xdr:cNvSpPr/>
      </xdr:nvSpPr>
      <xdr:spPr>
        <a:xfrm>
          <a:off x="31920684" y="4963073"/>
          <a:ext cx="2515038" cy="582447"/>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51</xdr:col>
      <xdr:colOff>134690</xdr:colOff>
      <xdr:row>23</xdr:row>
      <xdr:rowOff>53865</xdr:rowOff>
    </xdr:from>
    <xdr:to>
      <xdr:col>53</xdr:col>
      <xdr:colOff>174296</xdr:colOff>
      <xdr:row>25</xdr:row>
      <xdr:rowOff>163346</xdr:rowOff>
    </xdr:to>
    <xdr:sp macro="" textlink="">
      <xdr:nvSpPr>
        <xdr:cNvPr id="69" name="Rectangle: Rounded Corners 68">
          <a:extLst>
            <a:ext uri="{FF2B5EF4-FFF2-40B4-BE49-F238E27FC236}">
              <a16:creationId xmlns:a16="http://schemas.microsoft.com/office/drawing/2014/main" id="{354F8B38-5B49-4DC9-8F4F-8C69E4967EC3}"/>
            </a:ext>
          </a:extLst>
        </xdr:cNvPr>
        <xdr:cNvSpPr/>
      </xdr:nvSpPr>
      <xdr:spPr>
        <a:xfrm>
          <a:off x="35005715" y="4435365"/>
          <a:ext cx="1258806" cy="49048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51</xdr:col>
      <xdr:colOff>144762</xdr:colOff>
      <xdr:row>27</xdr:row>
      <xdr:rowOff>162471</xdr:rowOff>
    </xdr:from>
    <xdr:to>
      <xdr:col>53</xdr:col>
      <xdr:colOff>184368</xdr:colOff>
      <xdr:row>30</xdr:row>
      <xdr:rowOff>85832</xdr:rowOff>
    </xdr:to>
    <xdr:sp macro="" textlink="">
      <xdr:nvSpPr>
        <xdr:cNvPr id="70" name="Rectangle: Rounded Corners 69">
          <a:extLst>
            <a:ext uri="{FF2B5EF4-FFF2-40B4-BE49-F238E27FC236}">
              <a16:creationId xmlns:a16="http://schemas.microsoft.com/office/drawing/2014/main" id="{17036830-6AD5-4C50-80F5-FE718BB88DFA}"/>
            </a:ext>
          </a:extLst>
        </xdr:cNvPr>
        <xdr:cNvSpPr/>
      </xdr:nvSpPr>
      <xdr:spPr>
        <a:xfrm>
          <a:off x="35015787" y="5305971"/>
          <a:ext cx="1258806" cy="49486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50</xdr:col>
      <xdr:colOff>174297</xdr:colOff>
      <xdr:row>24</xdr:row>
      <xdr:rowOff>108606</xdr:rowOff>
    </xdr:from>
    <xdr:to>
      <xdr:col>51</xdr:col>
      <xdr:colOff>134690</xdr:colOff>
      <xdr:row>27</xdr:row>
      <xdr:rowOff>108607</xdr:rowOff>
    </xdr:to>
    <xdr:cxnSp macro="">
      <xdr:nvCxnSpPr>
        <xdr:cNvPr id="71" name="Straight Arrow Connector 70">
          <a:extLst>
            <a:ext uri="{FF2B5EF4-FFF2-40B4-BE49-F238E27FC236}">
              <a16:creationId xmlns:a16="http://schemas.microsoft.com/office/drawing/2014/main" id="{34538786-9D17-49D0-82FE-CC379B8C1AE8}"/>
            </a:ext>
          </a:extLst>
        </xdr:cNvPr>
        <xdr:cNvCxnSpPr>
          <a:stCxn id="68" idx="3"/>
          <a:endCxn id="69" idx="1"/>
        </xdr:cNvCxnSpPr>
      </xdr:nvCxnSpPr>
      <xdr:spPr>
        <a:xfrm flipV="1">
          <a:off x="34435722" y="4680606"/>
          <a:ext cx="569993" cy="5715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50</xdr:col>
      <xdr:colOff>174297</xdr:colOff>
      <xdr:row>27</xdr:row>
      <xdr:rowOff>108607</xdr:rowOff>
    </xdr:from>
    <xdr:to>
      <xdr:col>51</xdr:col>
      <xdr:colOff>144762</xdr:colOff>
      <xdr:row>29</xdr:row>
      <xdr:rowOff>31091</xdr:rowOff>
    </xdr:to>
    <xdr:cxnSp macro="">
      <xdr:nvCxnSpPr>
        <xdr:cNvPr id="72" name="Straight Arrow Connector 71">
          <a:extLst>
            <a:ext uri="{FF2B5EF4-FFF2-40B4-BE49-F238E27FC236}">
              <a16:creationId xmlns:a16="http://schemas.microsoft.com/office/drawing/2014/main" id="{FBBA04CE-448F-45E5-8CCE-70F9D240FB18}"/>
            </a:ext>
          </a:extLst>
        </xdr:cNvPr>
        <xdr:cNvCxnSpPr>
          <a:stCxn id="68" idx="3"/>
          <a:endCxn id="70" idx="1"/>
        </xdr:cNvCxnSpPr>
      </xdr:nvCxnSpPr>
      <xdr:spPr>
        <a:xfrm>
          <a:off x="34435722" y="5252107"/>
          <a:ext cx="580065" cy="30348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111041</xdr:colOff>
      <xdr:row>23</xdr:row>
      <xdr:rowOff>52112</xdr:rowOff>
    </xdr:from>
    <xdr:to>
      <xdr:col>56</xdr:col>
      <xdr:colOff>150647</xdr:colOff>
      <xdr:row>25</xdr:row>
      <xdr:rowOff>161593</xdr:rowOff>
    </xdr:to>
    <xdr:sp macro="" textlink="">
      <xdr:nvSpPr>
        <xdr:cNvPr id="73" name="Rectangle: Rounded Corners 72">
          <a:extLst>
            <a:ext uri="{FF2B5EF4-FFF2-40B4-BE49-F238E27FC236}">
              <a16:creationId xmlns:a16="http://schemas.microsoft.com/office/drawing/2014/main" id="{0ACE8CA7-7107-4C99-AB2B-7FF6F34AB933}"/>
            </a:ext>
          </a:extLst>
        </xdr:cNvPr>
        <xdr:cNvSpPr/>
      </xdr:nvSpPr>
      <xdr:spPr>
        <a:xfrm>
          <a:off x="36810866" y="4433612"/>
          <a:ext cx="1258806" cy="49048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54</xdr:col>
      <xdr:colOff>99216</xdr:colOff>
      <xdr:row>27</xdr:row>
      <xdr:rowOff>160719</xdr:rowOff>
    </xdr:from>
    <xdr:to>
      <xdr:col>56</xdr:col>
      <xdr:colOff>138822</xdr:colOff>
      <xdr:row>30</xdr:row>
      <xdr:rowOff>84080</xdr:rowOff>
    </xdr:to>
    <xdr:sp macro="" textlink="">
      <xdr:nvSpPr>
        <xdr:cNvPr id="74" name="Rectangle: Rounded Corners 73">
          <a:extLst>
            <a:ext uri="{FF2B5EF4-FFF2-40B4-BE49-F238E27FC236}">
              <a16:creationId xmlns:a16="http://schemas.microsoft.com/office/drawing/2014/main" id="{EE10052D-404A-429F-928D-146B69C95102}"/>
            </a:ext>
          </a:extLst>
        </xdr:cNvPr>
        <xdr:cNvSpPr/>
      </xdr:nvSpPr>
      <xdr:spPr>
        <a:xfrm>
          <a:off x="36799041" y="5304219"/>
          <a:ext cx="1258806" cy="49486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53</xdr:col>
      <xdr:colOff>174296</xdr:colOff>
      <xdr:row>24</xdr:row>
      <xdr:rowOff>106853</xdr:rowOff>
    </xdr:from>
    <xdr:to>
      <xdr:col>54</xdr:col>
      <xdr:colOff>111041</xdr:colOff>
      <xdr:row>24</xdr:row>
      <xdr:rowOff>108606</xdr:rowOff>
    </xdr:to>
    <xdr:cxnSp macro="">
      <xdr:nvCxnSpPr>
        <xdr:cNvPr id="75" name="Straight Arrow Connector 74">
          <a:extLst>
            <a:ext uri="{FF2B5EF4-FFF2-40B4-BE49-F238E27FC236}">
              <a16:creationId xmlns:a16="http://schemas.microsoft.com/office/drawing/2014/main" id="{26F043CB-625B-4D8F-9D6D-C4A3BBDCA1F8}"/>
            </a:ext>
          </a:extLst>
        </xdr:cNvPr>
        <xdr:cNvCxnSpPr>
          <a:stCxn id="69" idx="3"/>
          <a:endCxn id="73" idx="1"/>
        </xdr:cNvCxnSpPr>
      </xdr:nvCxnSpPr>
      <xdr:spPr>
        <a:xfrm flipV="1">
          <a:off x="36264521" y="4678853"/>
          <a:ext cx="546345"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53</xdr:col>
      <xdr:colOff>184368</xdr:colOff>
      <xdr:row>29</xdr:row>
      <xdr:rowOff>29339</xdr:rowOff>
    </xdr:from>
    <xdr:to>
      <xdr:col>54</xdr:col>
      <xdr:colOff>99216</xdr:colOff>
      <xdr:row>29</xdr:row>
      <xdr:rowOff>31091</xdr:rowOff>
    </xdr:to>
    <xdr:cxnSp macro="">
      <xdr:nvCxnSpPr>
        <xdr:cNvPr id="76" name="Straight Arrow Connector 75">
          <a:extLst>
            <a:ext uri="{FF2B5EF4-FFF2-40B4-BE49-F238E27FC236}">
              <a16:creationId xmlns:a16="http://schemas.microsoft.com/office/drawing/2014/main" id="{96BB6549-CB16-4F4F-8EF2-99442BF2A06A}"/>
            </a:ext>
          </a:extLst>
        </xdr:cNvPr>
        <xdr:cNvCxnSpPr>
          <a:stCxn id="70" idx="3"/>
          <a:endCxn id="74" idx="1"/>
        </xdr:cNvCxnSpPr>
      </xdr:nvCxnSpPr>
      <xdr:spPr>
        <a:xfrm flipV="1">
          <a:off x="36274593" y="5553839"/>
          <a:ext cx="524448"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689084</xdr:colOff>
      <xdr:row>28</xdr:row>
      <xdr:rowOff>20143</xdr:rowOff>
    </xdr:from>
    <xdr:to>
      <xdr:col>17</xdr:col>
      <xdr:colOff>2593866</xdr:colOff>
      <xdr:row>31</xdr:row>
      <xdr:rowOff>31091</xdr:rowOff>
    </xdr:to>
    <xdr:sp macro="" textlink="">
      <xdr:nvSpPr>
        <xdr:cNvPr id="77" name="Rectangle: Rounded Corners 76">
          <a:extLst>
            <a:ext uri="{FF2B5EF4-FFF2-40B4-BE49-F238E27FC236}">
              <a16:creationId xmlns:a16="http://schemas.microsoft.com/office/drawing/2014/main" id="{338521EC-8CB9-4045-B5EB-776C3D7359DF}"/>
            </a:ext>
          </a:extLst>
        </xdr:cNvPr>
        <xdr:cNvSpPr/>
      </xdr:nvSpPr>
      <xdr:spPr>
        <a:xfrm>
          <a:off x="12633434" y="5354143"/>
          <a:ext cx="1904782"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a:t>
          </a:r>
          <a:endParaRPr lang="en-ID" sz="1100" baseline="0"/>
        </a:p>
        <a:p>
          <a:pPr algn="ctr"/>
          <a:r>
            <a:rPr lang="en-ID" sz="1100" baseline="0"/>
            <a:t>Estimasi masa manfaat</a:t>
          </a:r>
          <a:endParaRPr lang="en-ID" sz="1100"/>
        </a:p>
      </xdr:txBody>
    </xdr:sp>
    <xdr:clientData/>
  </xdr:twoCellAnchor>
  <xdr:twoCellAnchor>
    <xdr:from>
      <xdr:col>17</xdr:col>
      <xdr:colOff>2593866</xdr:colOff>
      <xdr:row>23</xdr:row>
      <xdr:rowOff>8427</xdr:rowOff>
    </xdr:from>
    <xdr:to>
      <xdr:col>18</xdr:col>
      <xdr:colOff>327571</xdr:colOff>
      <xdr:row>29</xdr:row>
      <xdr:rowOff>118677</xdr:rowOff>
    </xdr:to>
    <xdr:cxnSp macro="">
      <xdr:nvCxnSpPr>
        <xdr:cNvPr id="78" name="Straight Arrow Connector 77">
          <a:extLst>
            <a:ext uri="{FF2B5EF4-FFF2-40B4-BE49-F238E27FC236}">
              <a16:creationId xmlns:a16="http://schemas.microsoft.com/office/drawing/2014/main" id="{84E52C24-D42F-4E2F-988F-D1D947EE4B63}"/>
            </a:ext>
          </a:extLst>
        </xdr:cNvPr>
        <xdr:cNvCxnSpPr>
          <a:stCxn id="77" idx="3"/>
          <a:endCxn id="79" idx="1"/>
        </xdr:cNvCxnSpPr>
      </xdr:nvCxnSpPr>
      <xdr:spPr>
        <a:xfrm flipV="1">
          <a:off x="14538216" y="4389927"/>
          <a:ext cx="438805" cy="125325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327571</xdr:colOff>
      <xdr:row>22</xdr:row>
      <xdr:rowOff>56051</xdr:rowOff>
    </xdr:from>
    <xdr:to>
      <xdr:col>20</xdr:col>
      <xdr:colOff>207141</xdr:colOff>
      <xdr:row>23</xdr:row>
      <xdr:rowOff>146923</xdr:rowOff>
    </xdr:to>
    <xdr:sp macro="" textlink="">
      <xdr:nvSpPr>
        <xdr:cNvPr id="79" name="Rectangle: Rounded Corners 78">
          <a:extLst>
            <a:ext uri="{FF2B5EF4-FFF2-40B4-BE49-F238E27FC236}">
              <a16:creationId xmlns:a16="http://schemas.microsoft.com/office/drawing/2014/main" id="{85B02F5D-E6AA-4F07-946E-0FA9F35EA70C}"/>
            </a:ext>
          </a:extLst>
        </xdr:cNvPr>
        <xdr:cNvSpPr/>
      </xdr:nvSpPr>
      <xdr:spPr>
        <a:xfrm>
          <a:off x="14977021" y="4247051"/>
          <a:ext cx="1203545" cy="28137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20</xdr:col>
      <xdr:colOff>540189</xdr:colOff>
      <xdr:row>22</xdr:row>
      <xdr:rowOff>17952</xdr:rowOff>
    </xdr:from>
    <xdr:to>
      <xdr:col>23</xdr:col>
      <xdr:colOff>76637</xdr:colOff>
      <xdr:row>23</xdr:row>
      <xdr:rowOff>182642</xdr:rowOff>
    </xdr:to>
    <xdr:sp macro="" textlink="">
      <xdr:nvSpPr>
        <xdr:cNvPr id="80" name="Rectangle: Rounded Corners 79">
          <a:extLst>
            <a:ext uri="{FF2B5EF4-FFF2-40B4-BE49-F238E27FC236}">
              <a16:creationId xmlns:a16="http://schemas.microsoft.com/office/drawing/2014/main" id="{2684FDBE-06FC-4EC0-8371-309F490CE305}"/>
            </a:ext>
          </a:extLst>
        </xdr:cNvPr>
        <xdr:cNvSpPr/>
      </xdr:nvSpPr>
      <xdr:spPr>
        <a:xfrm>
          <a:off x="16513614" y="4208952"/>
          <a:ext cx="1365248" cy="355190"/>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18</xdr:col>
      <xdr:colOff>326914</xdr:colOff>
      <xdr:row>27</xdr:row>
      <xdr:rowOff>152401</xdr:rowOff>
    </xdr:from>
    <xdr:to>
      <xdr:col>22</xdr:col>
      <xdr:colOff>218089</xdr:colOff>
      <xdr:row>31</xdr:row>
      <xdr:rowOff>86711</xdr:rowOff>
    </xdr:to>
    <xdr:sp macro="" textlink="">
      <xdr:nvSpPr>
        <xdr:cNvPr id="81" name="Rectangle: Rounded Corners 80">
          <a:extLst>
            <a:ext uri="{FF2B5EF4-FFF2-40B4-BE49-F238E27FC236}">
              <a16:creationId xmlns:a16="http://schemas.microsoft.com/office/drawing/2014/main" id="{677C56FF-8772-401C-A993-A327DDECB929}"/>
            </a:ext>
          </a:extLst>
        </xdr:cNvPr>
        <xdr:cNvSpPr/>
      </xdr:nvSpPr>
      <xdr:spPr>
        <a:xfrm>
          <a:off x="14976364" y="5295901"/>
          <a:ext cx="2434350" cy="69631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17</xdr:col>
      <xdr:colOff>2593866</xdr:colOff>
      <xdr:row>29</xdr:row>
      <xdr:rowOff>118677</xdr:rowOff>
    </xdr:from>
    <xdr:to>
      <xdr:col>18</xdr:col>
      <xdr:colOff>326914</xdr:colOff>
      <xdr:row>29</xdr:row>
      <xdr:rowOff>119556</xdr:rowOff>
    </xdr:to>
    <xdr:cxnSp macro="">
      <xdr:nvCxnSpPr>
        <xdr:cNvPr id="82" name="Straight Arrow Connector 81">
          <a:extLst>
            <a:ext uri="{FF2B5EF4-FFF2-40B4-BE49-F238E27FC236}">
              <a16:creationId xmlns:a16="http://schemas.microsoft.com/office/drawing/2014/main" id="{277B26DF-5304-4198-953D-DD9ADFEEB32C}"/>
            </a:ext>
          </a:extLst>
        </xdr:cNvPr>
        <xdr:cNvCxnSpPr>
          <a:stCxn id="77" idx="3"/>
          <a:endCxn id="81" idx="1"/>
        </xdr:cNvCxnSpPr>
      </xdr:nvCxnSpPr>
      <xdr:spPr>
        <a:xfrm>
          <a:off x="14538216" y="5643177"/>
          <a:ext cx="438148" cy="8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56739</xdr:colOff>
      <xdr:row>47</xdr:row>
      <xdr:rowOff>139130</xdr:rowOff>
    </xdr:from>
    <xdr:to>
      <xdr:col>15</xdr:col>
      <xdr:colOff>80552</xdr:colOff>
      <xdr:row>51</xdr:row>
      <xdr:rowOff>12540</xdr:rowOff>
    </xdr:to>
    <xdr:sp macro="" textlink="">
      <xdr:nvSpPr>
        <xdr:cNvPr id="83" name="Rectangle: Rounded Corners 82">
          <a:extLst>
            <a:ext uri="{FF2B5EF4-FFF2-40B4-BE49-F238E27FC236}">
              <a16:creationId xmlns:a16="http://schemas.microsoft.com/office/drawing/2014/main" id="{7F4BDE80-D622-431C-A9F3-8557C7328CC7}"/>
            </a:ext>
          </a:extLst>
        </xdr:cNvPr>
        <xdr:cNvSpPr/>
      </xdr:nvSpPr>
      <xdr:spPr>
        <a:xfrm>
          <a:off x="5771739" y="9092630"/>
          <a:ext cx="3681413" cy="63541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8</xdr:col>
      <xdr:colOff>25729</xdr:colOff>
      <xdr:row>49</xdr:row>
      <xdr:rowOff>61691</xdr:rowOff>
    </xdr:from>
    <xdr:to>
      <xdr:col>9</xdr:col>
      <xdr:colOff>56739</xdr:colOff>
      <xdr:row>49</xdr:row>
      <xdr:rowOff>75835</xdr:rowOff>
    </xdr:to>
    <xdr:cxnSp macro="">
      <xdr:nvCxnSpPr>
        <xdr:cNvPr id="84" name="Straight Arrow Connector 83">
          <a:extLst>
            <a:ext uri="{FF2B5EF4-FFF2-40B4-BE49-F238E27FC236}">
              <a16:creationId xmlns:a16="http://schemas.microsoft.com/office/drawing/2014/main" id="{BEDC0175-3E15-4356-BDCC-850158E82EB9}"/>
            </a:ext>
          </a:extLst>
        </xdr:cNvPr>
        <xdr:cNvCxnSpPr>
          <a:stCxn id="6" idx="3"/>
          <a:endCxn id="83" idx="1"/>
        </xdr:cNvCxnSpPr>
      </xdr:nvCxnSpPr>
      <xdr:spPr>
        <a:xfrm>
          <a:off x="5131129" y="9396191"/>
          <a:ext cx="640610" cy="1414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213025</xdr:colOff>
      <xdr:row>46</xdr:row>
      <xdr:rowOff>153907</xdr:rowOff>
    </xdr:from>
    <xdr:to>
      <xdr:col>17</xdr:col>
      <xdr:colOff>474963</xdr:colOff>
      <xdr:row>48</xdr:row>
      <xdr:rowOff>94376</xdr:rowOff>
    </xdr:to>
    <xdr:sp macro="" textlink="">
      <xdr:nvSpPr>
        <xdr:cNvPr id="85" name="Rectangle: Rounded Corners 84">
          <a:extLst>
            <a:ext uri="{FF2B5EF4-FFF2-40B4-BE49-F238E27FC236}">
              <a16:creationId xmlns:a16="http://schemas.microsoft.com/office/drawing/2014/main" id="{E6F390E0-61E5-48BA-912B-E860A0F75047}"/>
            </a:ext>
          </a:extLst>
        </xdr:cNvPr>
        <xdr:cNvSpPr/>
      </xdr:nvSpPr>
      <xdr:spPr>
        <a:xfrm>
          <a:off x="10195225" y="8916907"/>
          <a:ext cx="2224088"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10,000 / Rp 150,000,000</a:t>
          </a:r>
        </a:p>
      </xdr:txBody>
    </xdr:sp>
    <xdr:clientData/>
  </xdr:twoCellAnchor>
  <xdr:twoCellAnchor>
    <xdr:from>
      <xdr:col>16</xdr:col>
      <xdr:colOff>201119</xdr:colOff>
      <xdr:row>51</xdr:row>
      <xdr:rowOff>3501</xdr:rowOff>
    </xdr:from>
    <xdr:to>
      <xdr:col>17</xdr:col>
      <xdr:colOff>463057</xdr:colOff>
      <xdr:row>52</xdr:row>
      <xdr:rowOff>94372</xdr:rowOff>
    </xdr:to>
    <xdr:sp macro="" textlink="">
      <xdr:nvSpPr>
        <xdr:cNvPr id="86" name="Rectangle: Rounded Corners 85">
          <a:extLst>
            <a:ext uri="{FF2B5EF4-FFF2-40B4-BE49-F238E27FC236}">
              <a16:creationId xmlns:a16="http://schemas.microsoft.com/office/drawing/2014/main" id="{B479A3D5-8EE1-44B6-9F95-4FF121E43892}"/>
            </a:ext>
          </a:extLst>
        </xdr:cNvPr>
        <xdr:cNvSpPr/>
      </xdr:nvSpPr>
      <xdr:spPr>
        <a:xfrm>
          <a:off x="10183319" y="9719001"/>
          <a:ext cx="2224088" cy="28137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USD 10,000 / Rp 150,000,000</a:t>
          </a:r>
        </a:p>
      </xdr:txBody>
    </xdr:sp>
    <xdr:clientData/>
  </xdr:twoCellAnchor>
  <xdr:twoCellAnchor>
    <xdr:from>
      <xdr:col>15</xdr:col>
      <xdr:colOff>80552</xdr:colOff>
      <xdr:row>47</xdr:row>
      <xdr:rowOff>124142</xdr:rowOff>
    </xdr:from>
    <xdr:to>
      <xdr:col>16</xdr:col>
      <xdr:colOff>213025</xdr:colOff>
      <xdr:row>49</xdr:row>
      <xdr:rowOff>75835</xdr:rowOff>
    </xdr:to>
    <xdr:cxnSp macro="">
      <xdr:nvCxnSpPr>
        <xdr:cNvPr id="87" name="Straight Arrow Connector 86">
          <a:extLst>
            <a:ext uri="{FF2B5EF4-FFF2-40B4-BE49-F238E27FC236}">
              <a16:creationId xmlns:a16="http://schemas.microsoft.com/office/drawing/2014/main" id="{8CEF86BC-4E42-44F0-BAF5-A9A44749C4BF}"/>
            </a:ext>
          </a:extLst>
        </xdr:cNvPr>
        <xdr:cNvCxnSpPr>
          <a:stCxn id="83" idx="3"/>
          <a:endCxn id="85" idx="1"/>
        </xdr:cNvCxnSpPr>
      </xdr:nvCxnSpPr>
      <xdr:spPr>
        <a:xfrm flipV="1">
          <a:off x="9453152" y="9077642"/>
          <a:ext cx="742073" cy="33269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80552</xdr:colOff>
      <xdr:row>49</xdr:row>
      <xdr:rowOff>75835</xdr:rowOff>
    </xdr:from>
    <xdr:to>
      <xdr:col>16</xdr:col>
      <xdr:colOff>201119</xdr:colOff>
      <xdr:row>51</xdr:row>
      <xdr:rowOff>141997</xdr:rowOff>
    </xdr:to>
    <xdr:cxnSp macro="">
      <xdr:nvCxnSpPr>
        <xdr:cNvPr id="88" name="Straight Arrow Connector 87">
          <a:extLst>
            <a:ext uri="{FF2B5EF4-FFF2-40B4-BE49-F238E27FC236}">
              <a16:creationId xmlns:a16="http://schemas.microsoft.com/office/drawing/2014/main" id="{217BC50F-806B-4753-9E4E-E0E8AE90EB30}"/>
            </a:ext>
          </a:extLst>
        </xdr:cNvPr>
        <xdr:cNvCxnSpPr>
          <a:stCxn id="83" idx="3"/>
          <a:endCxn id="86" idx="1"/>
        </xdr:cNvCxnSpPr>
      </xdr:nvCxnSpPr>
      <xdr:spPr>
        <a:xfrm>
          <a:off x="9453152" y="9410335"/>
          <a:ext cx="730167" cy="44716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782145</xdr:colOff>
      <xdr:row>50</xdr:row>
      <xdr:rowOff>151523</xdr:rowOff>
    </xdr:from>
    <xdr:to>
      <xdr:col>18</xdr:col>
      <xdr:colOff>116271</xdr:colOff>
      <xdr:row>52</xdr:row>
      <xdr:rowOff>130091</xdr:rowOff>
    </xdr:to>
    <xdr:sp macro="" textlink="">
      <xdr:nvSpPr>
        <xdr:cNvPr id="89" name="Rectangle: Rounded Corners 88">
          <a:extLst>
            <a:ext uri="{FF2B5EF4-FFF2-40B4-BE49-F238E27FC236}">
              <a16:creationId xmlns:a16="http://schemas.microsoft.com/office/drawing/2014/main" id="{AA6F949B-4409-48E4-9B4D-FFF5E063C6D5}"/>
            </a:ext>
          </a:extLst>
        </xdr:cNvPr>
        <xdr:cNvSpPr/>
      </xdr:nvSpPr>
      <xdr:spPr>
        <a:xfrm>
          <a:off x="12726495" y="9676523"/>
          <a:ext cx="2039226"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463057</xdr:colOff>
      <xdr:row>51</xdr:row>
      <xdr:rowOff>140807</xdr:rowOff>
    </xdr:from>
    <xdr:to>
      <xdr:col>17</xdr:col>
      <xdr:colOff>782145</xdr:colOff>
      <xdr:row>51</xdr:row>
      <xdr:rowOff>141997</xdr:rowOff>
    </xdr:to>
    <xdr:cxnSp macro="">
      <xdr:nvCxnSpPr>
        <xdr:cNvPr id="90" name="Straight Arrow Connector 89">
          <a:extLst>
            <a:ext uri="{FF2B5EF4-FFF2-40B4-BE49-F238E27FC236}">
              <a16:creationId xmlns:a16="http://schemas.microsoft.com/office/drawing/2014/main" id="{E725D309-FC97-453F-9257-114CF5C96409}"/>
            </a:ext>
          </a:extLst>
        </xdr:cNvPr>
        <xdr:cNvCxnSpPr>
          <a:stCxn id="86" idx="3"/>
          <a:endCxn id="89" idx="1"/>
        </xdr:cNvCxnSpPr>
      </xdr:nvCxnSpPr>
      <xdr:spPr>
        <a:xfrm flipV="1">
          <a:off x="12407407" y="9856307"/>
          <a:ext cx="319088" cy="119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474963</xdr:colOff>
      <xdr:row>47</xdr:row>
      <xdr:rowOff>124142</xdr:rowOff>
    </xdr:from>
    <xdr:to>
      <xdr:col>17</xdr:col>
      <xdr:colOff>734519</xdr:colOff>
      <xdr:row>47</xdr:row>
      <xdr:rowOff>130093</xdr:rowOff>
    </xdr:to>
    <xdr:cxnSp macro="">
      <xdr:nvCxnSpPr>
        <xdr:cNvPr id="91" name="Straight Arrow Connector 90">
          <a:extLst>
            <a:ext uri="{FF2B5EF4-FFF2-40B4-BE49-F238E27FC236}">
              <a16:creationId xmlns:a16="http://schemas.microsoft.com/office/drawing/2014/main" id="{18B42EE2-98B3-43DE-BA2A-132DE0BE391B}"/>
            </a:ext>
          </a:extLst>
        </xdr:cNvPr>
        <xdr:cNvCxnSpPr>
          <a:cxnSpLocks/>
          <a:stCxn id="85" idx="3"/>
        </xdr:cNvCxnSpPr>
      </xdr:nvCxnSpPr>
      <xdr:spPr>
        <a:xfrm>
          <a:off x="12419313" y="9077642"/>
          <a:ext cx="259556" cy="59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33</xdr:col>
      <xdr:colOff>20911</xdr:colOff>
      <xdr:row>45</xdr:row>
      <xdr:rowOff>75434</xdr:rowOff>
    </xdr:from>
    <xdr:to>
      <xdr:col>40</xdr:col>
      <xdr:colOff>195045</xdr:colOff>
      <xdr:row>49</xdr:row>
      <xdr:rowOff>51620</xdr:rowOff>
    </xdr:to>
    <xdr:sp macro="" textlink="">
      <xdr:nvSpPr>
        <xdr:cNvPr id="92" name="Rectangle: Rounded Corners 91">
          <a:extLst>
            <a:ext uri="{FF2B5EF4-FFF2-40B4-BE49-F238E27FC236}">
              <a16:creationId xmlns:a16="http://schemas.microsoft.com/office/drawing/2014/main" id="{EC18B2BF-504E-44C1-9C1A-29EA4AB627F2}"/>
            </a:ext>
          </a:extLst>
        </xdr:cNvPr>
        <xdr:cNvSpPr/>
      </xdr:nvSpPr>
      <xdr:spPr>
        <a:xfrm>
          <a:off x="23919136" y="8647934"/>
          <a:ext cx="4441334" cy="73818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ID" sz="1100">
              <a:solidFill>
                <a:schemeClr val="lt1"/>
              </a:solidFill>
              <a:effectLst/>
              <a:latin typeface="+mn-lt"/>
              <a:ea typeface="+mn-ea"/>
              <a:cs typeface="+mn-cs"/>
            </a:rPr>
            <a:t>Is</a:t>
          </a:r>
          <a:r>
            <a:rPr lang="en-ID" sz="1100" baseline="0">
              <a:solidFill>
                <a:schemeClr val="lt1"/>
              </a:solidFill>
              <a:effectLst/>
              <a:latin typeface="+mn-lt"/>
              <a:ea typeface="+mn-ea"/>
              <a:cs typeface="+mn-cs"/>
            </a:rPr>
            <a:t> there any value added? (e.g: adding new function)</a:t>
          </a:r>
          <a:endParaRPr lang="en-ID">
            <a:effectLst/>
          </a:endParaRPr>
        </a:p>
        <a:p>
          <a:r>
            <a:rPr lang="en-ID" sz="1100">
              <a:solidFill>
                <a:schemeClr val="lt1"/>
              </a:solidFill>
              <a:effectLst/>
              <a:latin typeface="+mn-lt"/>
              <a:ea typeface="+mn-ea"/>
              <a:cs typeface="+mn-cs"/>
            </a:rPr>
            <a:t>Apakah ada nilai tambah? (Contoh: Penambahan fungsi)</a:t>
          </a:r>
          <a:endParaRPr lang="en-ID">
            <a:effectLst/>
          </a:endParaRPr>
        </a:p>
      </xdr:txBody>
    </xdr:sp>
    <xdr:clientData/>
  </xdr:twoCellAnchor>
  <xdr:twoCellAnchor>
    <xdr:from>
      <xdr:col>41</xdr:col>
      <xdr:colOff>73599</xdr:colOff>
      <xdr:row>44</xdr:row>
      <xdr:rowOff>84960</xdr:rowOff>
    </xdr:from>
    <xdr:to>
      <xdr:col>42</xdr:col>
      <xdr:colOff>450958</xdr:colOff>
      <xdr:row>46</xdr:row>
      <xdr:rowOff>25429</xdr:rowOff>
    </xdr:to>
    <xdr:sp macro="" textlink="">
      <xdr:nvSpPr>
        <xdr:cNvPr id="93" name="Rectangle: Rounded Corners 92">
          <a:extLst>
            <a:ext uri="{FF2B5EF4-FFF2-40B4-BE49-F238E27FC236}">
              <a16:creationId xmlns:a16="http://schemas.microsoft.com/office/drawing/2014/main" id="{C1E81CB8-7F1A-4205-BA74-968D9C4EE23D}"/>
            </a:ext>
          </a:extLst>
        </xdr:cNvPr>
        <xdr:cNvSpPr/>
      </xdr:nvSpPr>
      <xdr:spPr>
        <a:xfrm>
          <a:off x="28848624" y="8466960"/>
          <a:ext cx="986959"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41</xdr:col>
      <xdr:colOff>83124</xdr:colOff>
      <xdr:row>48</xdr:row>
      <xdr:rowOff>11140</xdr:rowOff>
    </xdr:from>
    <xdr:to>
      <xdr:col>42</xdr:col>
      <xdr:colOff>460483</xdr:colOff>
      <xdr:row>49</xdr:row>
      <xdr:rowOff>137729</xdr:rowOff>
    </xdr:to>
    <xdr:sp macro="" textlink="">
      <xdr:nvSpPr>
        <xdr:cNvPr id="94" name="Rectangle: Rounded Corners 93">
          <a:extLst>
            <a:ext uri="{FF2B5EF4-FFF2-40B4-BE49-F238E27FC236}">
              <a16:creationId xmlns:a16="http://schemas.microsoft.com/office/drawing/2014/main" id="{26D5EABA-BA6D-4868-9876-196F6D64516D}"/>
            </a:ext>
          </a:extLst>
        </xdr:cNvPr>
        <xdr:cNvSpPr/>
      </xdr:nvSpPr>
      <xdr:spPr>
        <a:xfrm>
          <a:off x="28858149" y="9155140"/>
          <a:ext cx="986959" cy="31708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40</xdr:col>
      <xdr:colOff>195045</xdr:colOff>
      <xdr:row>45</xdr:row>
      <xdr:rowOff>55195</xdr:rowOff>
    </xdr:from>
    <xdr:to>
      <xdr:col>41</xdr:col>
      <xdr:colOff>73599</xdr:colOff>
      <xdr:row>47</xdr:row>
      <xdr:rowOff>63527</xdr:rowOff>
    </xdr:to>
    <xdr:cxnSp macro="">
      <xdr:nvCxnSpPr>
        <xdr:cNvPr id="95" name="Straight Arrow Connector 94">
          <a:extLst>
            <a:ext uri="{FF2B5EF4-FFF2-40B4-BE49-F238E27FC236}">
              <a16:creationId xmlns:a16="http://schemas.microsoft.com/office/drawing/2014/main" id="{071EDE42-DC8D-460A-AD07-DED4C879EEC0}"/>
            </a:ext>
          </a:extLst>
        </xdr:cNvPr>
        <xdr:cNvCxnSpPr>
          <a:stCxn id="92" idx="3"/>
          <a:endCxn id="93" idx="1"/>
        </xdr:cNvCxnSpPr>
      </xdr:nvCxnSpPr>
      <xdr:spPr>
        <a:xfrm flipV="1">
          <a:off x="28360470" y="8627695"/>
          <a:ext cx="488154" cy="38933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195045</xdr:colOff>
      <xdr:row>47</xdr:row>
      <xdr:rowOff>63527</xdr:rowOff>
    </xdr:from>
    <xdr:to>
      <xdr:col>41</xdr:col>
      <xdr:colOff>83124</xdr:colOff>
      <xdr:row>48</xdr:row>
      <xdr:rowOff>167496</xdr:rowOff>
    </xdr:to>
    <xdr:cxnSp macro="">
      <xdr:nvCxnSpPr>
        <xdr:cNvPr id="96" name="Straight Arrow Connector 95">
          <a:extLst>
            <a:ext uri="{FF2B5EF4-FFF2-40B4-BE49-F238E27FC236}">
              <a16:creationId xmlns:a16="http://schemas.microsoft.com/office/drawing/2014/main" id="{FE3F12FC-3CB8-47FF-B9CA-5152A0768A0E}"/>
            </a:ext>
          </a:extLst>
        </xdr:cNvPr>
        <xdr:cNvCxnSpPr>
          <a:stCxn id="92" idx="3"/>
          <a:endCxn id="94" idx="1"/>
        </xdr:cNvCxnSpPr>
      </xdr:nvCxnSpPr>
      <xdr:spPr>
        <a:xfrm>
          <a:off x="28360470" y="9017027"/>
          <a:ext cx="497679" cy="29446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43</xdr:col>
      <xdr:colOff>232763</xdr:colOff>
      <xdr:row>47</xdr:row>
      <xdr:rowOff>181302</xdr:rowOff>
    </xdr:from>
    <xdr:to>
      <xdr:col>44</xdr:col>
      <xdr:colOff>470776</xdr:colOff>
      <xdr:row>49</xdr:row>
      <xdr:rowOff>159870</xdr:rowOff>
    </xdr:to>
    <xdr:sp macro="" textlink="">
      <xdr:nvSpPr>
        <xdr:cNvPr id="97" name="Rectangle: Rounded Corners 96">
          <a:extLst>
            <a:ext uri="{FF2B5EF4-FFF2-40B4-BE49-F238E27FC236}">
              <a16:creationId xmlns:a16="http://schemas.microsoft.com/office/drawing/2014/main" id="{6124CCF9-BBD4-427C-BD99-A95E8837494C}"/>
            </a:ext>
          </a:extLst>
        </xdr:cNvPr>
        <xdr:cNvSpPr/>
      </xdr:nvSpPr>
      <xdr:spPr>
        <a:xfrm>
          <a:off x="30226988" y="9134802"/>
          <a:ext cx="847613"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42</xdr:col>
      <xdr:colOff>460483</xdr:colOff>
      <xdr:row>48</xdr:row>
      <xdr:rowOff>167495</xdr:rowOff>
    </xdr:from>
    <xdr:to>
      <xdr:col>43</xdr:col>
      <xdr:colOff>232763</xdr:colOff>
      <xdr:row>48</xdr:row>
      <xdr:rowOff>170587</xdr:rowOff>
    </xdr:to>
    <xdr:cxnSp macro="">
      <xdr:nvCxnSpPr>
        <xdr:cNvPr id="98" name="Straight Arrow Connector 97">
          <a:extLst>
            <a:ext uri="{FF2B5EF4-FFF2-40B4-BE49-F238E27FC236}">
              <a16:creationId xmlns:a16="http://schemas.microsoft.com/office/drawing/2014/main" id="{C8607D40-E2BA-46A4-8E64-EFB4FD288058}"/>
            </a:ext>
          </a:extLst>
        </xdr:cNvPr>
        <xdr:cNvCxnSpPr>
          <a:stCxn id="94" idx="3"/>
          <a:endCxn id="97" idx="1"/>
        </xdr:cNvCxnSpPr>
      </xdr:nvCxnSpPr>
      <xdr:spPr>
        <a:xfrm>
          <a:off x="29845108" y="9311495"/>
          <a:ext cx="381880" cy="309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568435</xdr:colOff>
      <xdr:row>42</xdr:row>
      <xdr:rowOff>162474</xdr:rowOff>
    </xdr:from>
    <xdr:to>
      <xdr:col>41</xdr:col>
      <xdr:colOff>568830</xdr:colOff>
      <xdr:row>44</xdr:row>
      <xdr:rowOff>84960</xdr:rowOff>
    </xdr:to>
    <xdr:cxnSp macro="">
      <xdr:nvCxnSpPr>
        <xdr:cNvPr id="99" name="Straight Arrow Connector 98">
          <a:extLst>
            <a:ext uri="{FF2B5EF4-FFF2-40B4-BE49-F238E27FC236}">
              <a16:creationId xmlns:a16="http://schemas.microsoft.com/office/drawing/2014/main" id="{CE4BB027-B2C7-413D-84B0-0BB171D9A702}"/>
            </a:ext>
          </a:extLst>
        </xdr:cNvPr>
        <xdr:cNvCxnSpPr>
          <a:stCxn id="93" idx="0"/>
          <a:endCxn id="100" idx="2"/>
        </xdr:cNvCxnSpPr>
      </xdr:nvCxnSpPr>
      <xdr:spPr>
        <a:xfrm flipH="1" flipV="1">
          <a:off x="29343460" y="8163474"/>
          <a:ext cx="395" cy="303486"/>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39</xdr:col>
      <xdr:colOff>348594</xdr:colOff>
      <xdr:row>37</xdr:row>
      <xdr:rowOff>109484</xdr:rowOff>
    </xdr:from>
    <xdr:to>
      <xdr:col>44</xdr:col>
      <xdr:colOff>175172</xdr:colOff>
      <xdr:row>42</xdr:row>
      <xdr:rowOff>162474</xdr:rowOff>
    </xdr:to>
    <xdr:sp macro="" textlink="">
      <xdr:nvSpPr>
        <xdr:cNvPr id="100" name="Rectangle: Rounded Corners 99">
          <a:extLst>
            <a:ext uri="{FF2B5EF4-FFF2-40B4-BE49-F238E27FC236}">
              <a16:creationId xmlns:a16="http://schemas.microsoft.com/office/drawing/2014/main" id="{60FFAB54-ECEA-4924-A0E9-A14D005FC8B6}"/>
            </a:ext>
          </a:extLst>
        </xdr:cNvPr>
        <xdr:cNvSpPr/>
      </xdr:nvSpPr>
      <xdr:spPr>
        <a:xfrm>
          <a:off x="27904419" y="7157984"/>
          <a:ext cx="2874578" cy="100549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42</xdr:col>
      <xdr:colOff>450958</xdr:colOff>
      <xdr:row>45</xdr:row>
      <xdr:rowOff>55195</xdr:rowOff>
    </xdr:from>
    <xdr:to>
      <xdr:col>45</xdr:col>
      <xdr:colOff>440535</xdr:colOff>
      <xdr:row>45</xdr:row>
      <xdr:rowOff>59532</xdr:rowOff>
    </xdr:to>
    <xdr:cxnSp macro="">
      <xdr:nvCxnSpPr>
        <xdr:cNvPr id="101" name="Straight Arrow Connector 100">
          <a:extLst>
            <a:ext uri="{FF2B5EF4-FFF2-40B4-BE49-F238E27FC236}">
              <a16:creationId xmlns:a16="http://schemas.microsoft.com/office/drawing/2014/main" id="{9B43ECD7-718D-4F1B-9109-EE4BFAC81856}"/>
            </a:ext>
          </a:extLst>
        </xdr:cNvPr>
        <xdr:cNvCxnSpPr>
          <a:stCxn id="93" idx="3"/>
          <a:endCxn id="378" idx="1"/>
        </xdr:cNvCxnSpPr>
      </xdr:nvCxnSpPr>
      <xdr:spPr>
        <a:xfrm>
          <a:off x="29835583" y="8627695"/>
          <a:ext cx="1818377" cy="433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118679</xdr:colOff>
      <xdr:row>43</xdr:row>
      <xdr:rowOff>140577</xdr:rowOff>
    </xdr:from>
    <xdr:to>
      <xdr:col>58</xdr:col>
      <xdr:colOff>195317</xdr:colOff>
      <xdr:row>46</xdr:row>
      <xdr:rowOff>151525</xdr:rowOff>
    </xdr:to>
    <xdr:sp macro="" textlink="">
      <xdr:nvSpPr>
        <xdr:cNvPr id="102" name="Rectangle: Rounded Corners 101">
          <a:extLst>
            <a:ext uri="{FF2B5EF4-FFF2-40B4-BE49-F238E27FC236}">
              <a16:creationId xmlns:a16="http://schemas.microsoft.com/office/drawing/2014/main" id="{9C58D61F-A79E-43AF-97BB-09AEF4C1CF97}"/>
            </a:ext>
          </a:extLst>
        </xdr:cNvPr>
        <xdr:cNvSpPr/>
      </xdr:nvSpPr>
      <xdr:spPr>
        <a:xfrm>
          <a:off x="36818504" y="8332077"/>
          <a:ext cx="2515038"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59</xdr:col>
      <xdr:colOff>155710</xdr:colOff>
      <xdr:row>40</xdr:row>
      <xdr:rowOff>184369</xdr:rowOff>
    </xdr:from>
    <xdr:to>
      <xdr:col>61</xdr:col>
      <xdr:colOff>195316</xdr:colOff>
      <xdr:row>43</xdr:row>
      <xdr:rowOff>107730</xdr:rowOff>
    </xdr:to>
    <xdr:sp macro="" textlink="">
      <xdr:nvSpPr>
        <xdr:cNvPr id="103" name="Rectangle: Rounded Corners 102">
          <a:extLst>
            <a:ext uri="{FF2B5EF4-FFF2-40B4-BE49-F238E27FC236}">
              <a16:creationId xmlns:a16="http://schemas.microsoft.com/office/drawing/2014/main" id="{EC7B914F-9318-44B6-A186-1ACFA3B1B5EC}"/>
            </a:ext>
          </a:extLst>
        </xdr:cNvPr>
        <xdr:cNvSpPr/>
      </xdr:nvSpPr>
      <xdr:spPr>
        <a:xfrm>
          <a:off x="39903535" y="7804369"/>
          <a:ext cx="1258806" cy="49486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59</xdr:col>
      <xdr:colOff>165782</xdr:colOff>
      <xdr:row>45</xdr:row>
      <xdr:rowOff>106854</xdr:rowOff>
    </xdr:from>
    <xdr:to>
      <xdr:col>61</xdr:col>
      <xdr:colOff>205388</xdr:colOff>
      <xdr:row>48</xdr:row>
      <xdr:rowOff>30215</xdr:rowOff>
    </xdr:to>
    <xdr:sp macro="" textlink="">
      <xdr:nvSpPr>
        <xdr:cNvPr id="104" name="Rectangle: Rounded Corners 103">
          <a:extLst>
            <a:ext uri="{FF2B5EF4-FFF2-40B4-BE49-F238E27FC236}">
              <a16:creationId xmlns:a16="http://schemas.microsoft.com/office/drawing/2014/main" id="{17447481-559C-46A1-9BCE-1147DFED5312}"/>
            </a:ext>
          </a:extLst>
        </xdr:cNvPr>
        <xdr:cNvSpPr/>
      </xdr:nvSpPr>
      <xdr:spPr>
        <a:xfrm>
          <a:off x="39913607" y="8679354"/>
          <a:ext cx="1258806" cy="49486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58</xdr:col>
      <xdr:colOff>195317</xdr:colOff>
      <xdr:row>42</xdr:row>
      <xdr:rowOff>52989</xdr:rowOff>
    </xdr:from>
    <xdr:to>
      <xdr:col>59</xdr:col>
      <xdr:colOff>155710</xdr:colOff>
      <xdr:row>45</xdr:row>
      <xdr:rowOff>52990</xdr:rowOff>
    </xdr:to>
    <xdr:cxnSp macro="">
      <xdr:nvCxnSpPr>
        <xdr:cNvPr id="105" name="Straight Arrow Connector 104">
          <a:extLst>
            <a:ext uri="{FF2B5EF4-FFF2-40B4-BE49-F238E27FC236}">
              <a16:creationId xmlns:a16="http://schemas.microsoft.com/office/drawing/2014/main" id="{8B227921-1C35-4D27-ADED-0D25211FB544}"/>
            </a:ext>
          </a:extLst>
        </xdr:cNvPr>
        <xdr:cNvCxnSpPr>
          <a:stCxn id="102" idx="3"/>
          <a:endCxn id="103" idx="1"/>
        </xdr:cNvCxnSpPr>
      </xdr:nvCxnSpPr>
      <xdr:spPr>
        <a:xfrm flipV="1">
          <a:off x="39333542" y="8053989"/>
          <a:ext cx="569993" cy="5715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58</xdr:col>
      <xdr:colOff>195317</xdr:colOff>
      <xdr:row>45</xdr:row>
      <xdr:rowOff>52990</xdr:rowOff>
    </xdr:from>
    <xdr:to>
      <xdr:col>59</xdr:col>
      <xdr:colOff>165782</xdr:colOff>
      <xdr:row>46</xdr:row>
      <xdr:rowOff>161596</xdr:rowOff>
    </xdr:to>
    <xdr:cxnSp macro="">
      <xdr:nvCxnSpPr>
        <xdr:cNvPr id="106" name="Straight Arrow Connector 105">
          <a:extLst>
            <a:ext uri="{FF2B5EF4-FFF2-40B4-BE49-F238E27FC236}">
              <a16:creationId xmlns:a16="http://schemas.microsoft.com/office/drawing/2014/main" id="{88977F29-8DC7-403C-9E26-57A0C760CE0F}"/>
            </a:ext>
          </a:extLst>
        </xdr:cNvPr>
        <xdr:cNvCxnSpPr>
          <a:stCxn id="102" idx="3"/>
          <a:endCxn id="104" idx="1"/>
        </xdr:cNvCxnSpPr>
      </xdr:nvCxnSpPr>
      <xdr:spPr>
        <a:xfrm>
          <a:off x="39333542" y="8625490"/>
          <a:ext cx="580065" cy="29910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62</xdr:col>
      <xdr:colOff>132061</xdr:colOff>
      <xdr:row>40</xdr:row>
      <xdr:rowOff>182616</xdr:rowOff>
    </xdr:from>
    <xdr:to>
      <xdr:col>64</xdr:col>
      <xdr:colOff>171667</xdr:colOff>
      <xdr:row>43</xdr:row>
      <xdr:rowOff>105977</xdr:rowOff>
    </xdr:to>
    <xdr:sp macro="" textlink="">
      <xdr:nvSpPr>
        <xdr:cNvPr id="107" name="Rectangle: Rounded Corners 106">
          <a:extLst>
            <a:ext uri="{FF2B5EF4-FFF2-40B4-BE49-F238E27FC236}">
              <a16:creationId xmlns:a16="http://schemas.microsoft.com/office/drawing/2014/main" id="{9EB6D6A5-D89E-4218-9E05-5DE52261D4B4}"/>
            </a:ext>
          </a:extLst>
        </xdr:cNvPr>
        <xdr:cNvSpPr/>
      </xdr:nvSpPr>
      <xdr:spPr>
        <a:xfrm>
          <a:off x="41708686" y="7802616"/>
          <a:ext cx="1258806" cy="49486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62</xdr:col>
      <xdr:colOff>120236</xdr:colOff>
      <xdr:row>45</xdr:row>
      <xdr:rowOff>105102</xdr:rowOff>
    </xdr:from>
    <xdr:to>
      <xdr:col>64</xdr:col>
      <xdr:colOff>159842</xdr:colOff>
      <xdr:row>48</xdr:row>
      <xdr:rowOff>28463</xdr:rowOff>
    </xdr:to>
    <xdr:sp macro="" textlink="">
      <xdr:nvSpPr>
        <xdr:cNvPr id="108" name="Rectangle: Rounded Corners 107">
          <a:extLst>
            <a:ext uri="{FF2B5EF4-FFF2-40B4-BE49-F238E27FC236}">
              <a16:creationId xmlns:a16="http://schemas.microsoft.com/office/drawing/2014/main" id="{E8932DAA-46BC-40CF-948D-773F57A46E4C}"/>
            </a:ext>
          </a:extLst>
        </xdr:cNvPr>
        <xdr:cNvSpPr/>
      </xdr:nvSpPr>
      <xdr:spPr>
        <a:xfrm>
          <a:off x="41696861" y="8677602"/>
          <a:ext cx="1258806" cy="49486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61</xdr:col>
      <xdr:colOff>195316</xdr:colOff>
      <xdr:row>42</xdr:row>
      <xdr:rowOff>51236</xdr:rowOff>
    </xdr:from>
    <xdr:to>
      <xdr:col>62</xdr:col>
      <xdr:colOff>132061</xdr:colOff>
      <xdr:row>42</xdr:row>
      <xdr:rowOff>52989</xdr:rowOff>
    </xdr:to>
    <xdr:cxnSp macro="">
      <xdr:nvCxnSpPr>
        <xdr:cNvPr id="109" name="Straight Arrow Connector 108">
          <a:extLst>
            <a:ext uri="{FF2B5EF4-FFF2-40B4-BE49-F238E27FC236}">
              <a16:creationId xmlns:a16="http://schemas.microsoft.com/office/drawing/2014/main" id="{4EC17D1D-3136-436C-8510-5A4954701521}"/>
            </a:ext>
          </a:extLst>
        </xdr:cNvPr>
        <xdr:cNvCxnSpPr>
          <a:stCxn id="103" idx="3"/>
          <a:endCxn id="107" idx="1"/>
        </xdr:cNvCxnSpPr>
      </xdr:nvCxnSpPr>
      <xdr:spPr>
        <a:xfrm flipV="1">
          <a:off x="41162341" y="8052236"/>
          <a:ext cx="546345"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61</xdr:col>
      <xdr:colOff>205388</xdr:colOff>
      <xdr:row>46</xdr:row>
      <xdr:rowOff>159844</xdr:rowOff>
    </xdr:from>
    <xdr:to>
      <xdr:col>62</xdr:col>
      <xdr:colOff>120236</xdr:colOff>
      <xdr:row>46</xdr:row>
      <xdr:rowOff>161596</xdr:rowOff>
    </xdr:to>
    <xdr:cxnSp macro="">
      <xdr:nvCxnSpPr>
        <xdr:cNvPr id="110" name="Straight Arrow Connector 109">
          <a:extLst>
            <a:ext uri="{FF2B5EF4-FFF2-40B4-BE49-F238E27FC236}">
              <a16:creationId xmlns:a16="http://schemas.microsoft.com/office/drawing/2014/main" id="{F428A629-E8A8-4E4B-AD5D-27B7AB784F12}"/>
            </a:ext>
          </a:extLst>
        </xdr:cNvPr>
        <xdr:cNvCxnSpPr>
          <a:stCxn id="104" idx="3"/>
          <a:endCxn id="108" idx="1"/>
        </xdr:cNvCxnSpPr>
      </xdr:nvCxnSpPr>
      <xdr:spPr>
        <a:xfrm flipV="1">
          <a:off x="41172413" y="8922844"/>
          <a:ext cx="524448"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710104</xdr:colOff>
      <xdr:row>45</xdr:row>
      <xdr:rowOff>150647</xdr:rowOff>
    </xdr:from>
    <xdr:to>
      <xdr:col>17</xdr:col>
      <xdr:colOff>2614886</xdr:colOff>
      <xdr:row>48</xdr:row>
      <xdr:rowOff>161595</xdr:rowOff>
    </xdr:to>
    <xdr:sp macro="" textlink="">
      <xdr:nvSpPr>
        <xdr:cNvPr id="111" name="Rectangle: Rounded Corners 110">
          <a:extLst>
            <a:ext uri="{FF2B5EF4-FFF2-40B4-BE49-F238E27FC236}">
              <a16:creationId xmlns:a16="http://schemas.microsoft.com/office/drawing/2014/main" id="{2BBFF5F7-35E4-4999-B121-532DF822BA66}"/>
            </a:ext>
          </a:extLst>
        </xdr:cNvPr>
        <xdr:cNvSpPr/>
      </xdr:nvSpPr>
      <xdr:spPr>
        <a:xfrm>
          <a:off x="12654454" y="8723147"/>
          <a:ext cx="1904782"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a:t>
          </a:r>
          <a:endParaRPr lang="en-ID" sz="1100" baseline="0"/>
        </a:p>
        <a:p>
          <a:pPr algn="ctr"/>
          <a:r>
            <a:rPr lang="en-ID" sz="1100" baseline="0"/>
            <a:t>Estimasi masa manfaat</a:t>
          </a:r>
          <a:endParaRPr lang="en-ID" sz="1100"/>
        </a:p>
      </xdr:txBody>
    </xdr:sp>
    <xdr:clientData/>
  </xdr:twoCellAnchor>
  <xdr:twoCellAnchor>
    <xdr:from>
      <xdr:col>17</xdr:col>
      <xdr:colOff>2614886</xdr:colOff>
      <xdr:row>40</xdr:row>
      <xdr:rowOff>138931</xdr:rowOff>
    </xdr:from>
    <xdr:to>
      <xdr:col>18</xdr:col>
      <xdr:colOff>348591</xdr:colOff>
      <xdr:row>47</xdr:row>
      <xdr:rowOff>63061</xdr:rowOff>
    </xdr:to>
    <xdr:cxnSp macro="">
      <xdr:nvCxnSpPr>
        <xdr:cNvPr id="112" name="Straight Arrow Connector 111">
          <a:extLst>
            <a:ext uri="{FF2B5EF4-FFF2-40B4-BE49-F238E27FC236}">
              <a16:creationId xmlns:a16="http://schemas.microsoft.com/office/drawing/2014/main" id="{EB0D6925-867D-446A-9016-77384531AEEE}"/>
            </a:ext>
          </a:extLst>
        </xdr:cNvPr>
        <xdr:cNvCxnSpPr>
          <a:stCxn id="111" idx="3"/>
          <a:endCxn id="113" idx="1"/>
        </xdr:cNvCxnSpPr>
      </xdr:nvCxnSpPr>
      <xdr:spPr>
        <a:xfrm flipV="1">
          <a:off x="14559236" y="7758931"/>
          <a:ext cx="438805" cy="125763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348591</xdr:colOff>
      <xdr:row>40</xdr:row>
      <xdr:rowOff>435</xdr:rowOff>
    </xdr:from>
    <xdr:to>
      <xdr:col>20</xdr:col>
      <xdr:colOff>228161</xdr:colOff>
      <xdr:row>41</xdr:row>
      <xdr:rowOff>91306</xdr:rowOff>
    </xdr:to>
    <xdr:sp macro="" textlink="">
      <xdr:nvSpPr>
        <xdr:cNvPr id="113" name="Rectangle: Rounded Corners 112">
          <a:extLst>
            <a:ext uri="{FF2B5EF4-FFF2-40B4-BE49-F238E27FC236}">
              <a16:creationId xmlns:a16="http://schemas.microsoft.com/office/drawing/2014/main" id="{3E8FE744-FDF1-4F67-A714-74B26590E475}"/>
            </a:ext>
          </a:extLst>
        </xdr:cNvPr>
        <xdr:cNvSpPr/>
      </xdr:nvSpPr>
      <xdr:spPr>
        <a:xfrm>
          <a:off x="14998041" y="7620435"/>
          <a:ext cx="1203545" cy="28137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20</xdr:col>
      <xdr:colOff>561209</xdr:colOff>
      <xdr:row>39</xdr:row>
      <xdr:rowOff>131379</xdr:rowOff>
    </xdr:from>
    <xdr:to>
      <xdr:col>23</xdr:col>
      <xdr:colOff>10948</xdr:colOff>
      <xdr:row>41</xdr:row>
      <xdr:rowOff>127025</xdr:rowOff>
    </xdr:to>
    <xdr:sp macro="" textlink="">
      <xdr:nvSpPr>
        <xdr:cNvPr id="114" name="Rectangle: Rounded Corners 113">
          <a:extLst>
            <a:ext uri="{FF2B5EF4-FFF2-40B4-BE49-F238E27FC236}">
              <a16:creationId xmlns:a16="http://schemas.microsoft.com/office/drawing/2014/main" id="{ECB84DFA-173F-4883-A4D8-A3E8BECA0E25}"/>
            </a:ext>
          </a:extLst>
        </xdr:cNvPr>
        <xdr:cNvSpPr/>
      </xdr:nvSpPr>
      <xdr:spPr>
        <a:xfrm>
          <a:off x="16534634" y="7560879"/>
          <a:ext cx="1278539" cy="376646"/>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18</xdr:col>
      <xdr:colOff>347934</xdr:colOff>
      <xdr:row>45</xdr:row>
      <xdr:rowOff>96784</xdr:rowOff>
    </xdr:from>
    <xdr:to>
      <xdr:col>22</xdr:col>
      <xdr:colOff>239109</xdr:colOff>
      <xdr:row>49</xdr:row>
      <xdr:rowOff>31094</xdr:rowOff>
    </xdr:to>
    <xdr:sp macro="" textlink="">
      <xdr:nvSpPr>
        <xdr:cNvPr id="115" name="Rectangle: Rounded Corners 114">
          <a:extLst>
            <a:ext uri="{FF2B5EF4-FFF2-40B4-BE49-F238E27FC236}">
              <a16:creationId xmlns:a16="http://schemas.microsoft.com/office/drawing/2014/main" id="{2A040B9A-66AE-46E9-A235-CD8D49CF4ACD}"/>
            </a:ext>
          </a:extLst>
        </xdr:cNvPr>
        <xdr:cNvSpPr/>
      </xdr:nvSpPr>
      <xdr:spPr>
        <a:xfrm>
          <a:off x="14997384" y="8669284"/>
          <a:ext cx="2434350" cy="69631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17</xdr:col>
      <xdr:colOff>2614886</xdr:colOff>
      <xdr:row>47</xdr:row>
      <xdr:rowOff>63061</xdr:rowOff>
    </xdr:from>
    <xdr:to>
      <xdr:col>18</xdr:col>
      <xdr:colOff>347934</xdr:colOff>
      <xdr:row>47</xdr:row>
      <xdr:rowOff>63940</xdr:rowOff>
    </xdr:to>
    <xdr:cxnSp macro="">
      <xdr:nvCxnSpPr>
        <xdr:cNvPr id="116" name="Straight Arrow Connector 115">
          <a:extLst>
            <a:ext uri="{FF2B5EF4-FFF2-40B4-BE49-F238E27FC236}">
              <a16:creationId xmlns:a16="http://schemas.microsoft.com/office/drawing/2014/main" id="{68088279-FFA9-4BD6-961A-6E6C3FDBCAF4}"/>
            </a:ext>
          </a:extLst>
        </xdr:cNvPr>
        <xdr:cNvCxnSpPr>
          <a:stCxn id="111" idx="3"/>
          <a:endCxn id="115" idx="1"/>
        </xdr:cNvCxnSpPr>
      </xdr:nvCxnSpPr>
      <xdr:spPr>
        <a:xfrm>
          <a:off x="14559236" y="9016561"/>
          <a:ext cx="438148" cy="8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55863</xdr:colOff>
      <xdr:row>66</xdr:row>
      <xdr:rowOff>61616</xdr:rowOff>
    </xdr:from>
    <xdr:to>
      <xdr:col>15</xdr:col>
      <xdr:colOff>79676</xdr:colOff>
      <xdr:row>69</xdr:row>
      <xdr:rowOff>121147</xdr:rowOff>
    </xdr:to>
    <xdr:sp macro="" textlink="">
      <xdr:nvSpPr>
        <xdr:cNvPr id="117" name="Rectangle: Rounded Corners 116">
          <a:extLst>
            <a:ext uri="{FF2B5EF4-FFF2-40B4-BE49-F238E27FC236}">
              <a16:creationId xmlns:a16="http://schemas.microsoft.com/office/drawing/2014/main" id="{D28ADCF2-EFCD-495F-AE94-64A7A856B53C}"/>
            </a:ext>
          </a:extLst>
        </xdr:cNvPr>
        <xdr:cNvSpPr/>
      </xdr:nvSpPr>
      <xdr:spPr>
        <a:xfrm>
          <a:off x="5770863" y="12634616"/>
          <a:ext cx="3681413" cy="6310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8</xdr:col>
      <xdr:colOff>10483</xdr:colOff>
      <xdr:row>67</xdr:row>
      <xdr:rowOff>184442</xdr:rowOff>
    </xdr:from>
    <xdr:to>
      <xdr:col>9</xdr:col>
      <xdr:colOff>55863</xdr:colOff>
      <xdr:row>68</xdr:row>
      <xdr:rowOff>2654</xdr:rowOff>
    </xdr:to>
    <xdr:cxnSp macro="">
      <xdr:nvCxnSpPr>
        <xdr:cNvPr id="118" name="Straight Arrow Connector 117">
          <a:extLst>
            <a:ext uri="{FF2B5EF4-FFF2-40B4-BE49-F238E27FC236}">
              <a16:creationId xmlns:a16="http://schemas.microsoft.com/office/drawing/2014/main" id="{6BB5B983-2BE4-44CB-8ACF-0DF1571AD420}"/>
            </a:ext>
          </a:extLst>
        </xdr:cNvPr>
        <xdr:cNvCxnSpPr>
          <a:stCxn id="7" idx="3"/>
          <a:endCxn id="117" idx="1"/>
        </xdr:cNvCxnSpPr>
      </xdr:nvCxnSpPr>
      <xdr:spPr>
        <a:xfrm flipV="1">
          <a:off x="5115883" y="12947942"/>
          <a:ext cx="654980" cy="871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212149</xdr:colOff>
      <xdr:row>65</xdr:row>
      <xdr:rowOff>76393</xdr:rowOff>
    </xdr:from>
    <xdr:to>
      <xdr:col>17</xdr:col>
      <xdr:colOff>474087</xdr:colOff>
      <xdr:row>67</xdr:row>
      <xdr:rowOff>16863</xdr:rowOff>
    </xdr:to>
    <xdr:sp macro="" textlink="">
      <xdr:nvSpPr>
        <xdr:cNvPr id="119" name="Rectangle: Rounded Corners 118">
          <a:extLst>
            <a:ext uri="{FF2B5EF4-FFF2-40B4-BE49-F238E27FC236}">
              <a16:creationId xmlns:a16="http://schemas.microsoft.com/office/drawing/2014/main" id="{3EAF40CA-AF09-4DC7-8D23-826DAC3790F0}"/>
            </a:ext>
          </a:extLst>
        </xdr:cNvPr>
        <xdr:cNvSpPr/>
      </xdr:nvSpPr>
      <xdr:spPr>
        <a:xfrm>
          <a:off x="10194349" y="12458893"/>
          <a:ext cx="2224088" cy="32147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10,000 / Rp 150,000,000</a:t>
          </a:r>
        </a:p>
      </xdr:txBody>
    </xdr:sp>
    <xdr:clientData/>
  </xdr:twoCellAnchor>
  <xdr:twoCellAnchor>
    <xdr:from>
      <xdr:col>16</xdr:col>
      <xdr:colOff>200243</xdr:colOff>
      <xdr:row>69</xdr:row>
      <xdr:rowOff>112108</xdr:rowOff>
    </xdr:from>
    <xdr:to>
      <xdr:col>17</xdr:col>
      <xdr:colOff>462181</xdr:colOff>
      <xdr:row>71</xdr:row>
      <xdr:rowOff>16859</xdr:rowOff>
    </xdr:to>
    <xdr:sp macro="" textlink="">
      <xdr:nvSpPr>
        <xdr:cNvPr id="120" name="Rectangle: Rounded Corners 119">
          <a:extLst>
            <a:ext uri="{FF2B5EF4-FFF2-40B4-BE49-F238E27FC236}">
              <a16:creationId xmlns:a16="http://schemas.microsoft.com/office/drawing/2014/main" id="{26C7BA37-A4E6-49D8-BAF5-1781E5B6C7EB}"/>
            </a:ext>
          </a:extLst>
        </xdr:cNvPr>
        <xdr:cNvSpPr/>
      </xdr:nvSpPr>
      <xdr:spPr>
        <a:xfrm>
          <a:off x="10182443" y="13256608"/>
          <a:ext cx="2224088" cy="28575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USD 10,000 / Rp 150,000,000</a:t>
          </a:r>
        </a:p>
      </xdr:txBody>
    </xdr:sp>
    <xdr:clientData/>
  </xdr:twoCellAnchor>
  <xdr:twoCellAnchor>
    <xdr:from>
      <xdr:col>15</xdr:col>
      <xdr:colOff>79676</xdr:colOff>
      <xdr:row>66</xdr:row>
      <xdr:rowOff>46628</xdr:rowOff>
    </xdr:from>
    <xdr:to>
      <xdr:col>16</xdr:col>
      <xdr:colOff>212149</xdr:colOff>
      <xdr:row>67</xdr:row>
      <xdr:rowOff>184443</xdr:rowOff>
    </xdr:to>
    <xdr:cxnSp macro="">
      <xdr:nvCxnSpPr>
        <xdr:cNvPr id="121" name="Straight Arrow Connector 120">
          <a:extLst>
            <a:ext uri="{FF2B5EF4-FFF2-40B4-BE49-F238E27FC236}">
              <a16:creationId xmlns:a16="http://schemas.microsoft.com/office/drawing/2014/main" id="{96B6A1CD-EBDB-4FEE-9CCD-6627E72CA504}"/>
            </a:ext>
          </a:extLst>
        </xdr:cNvPr>
        <xdr:cNvCxnSpPr>
          <a:stCxn id="117" idx="3"/>
          <a:endCxn id="119" idx="1"/>
        </xdr:cNvCxnSpPr>
      </xdr:nvCxnSpPr>
      <xdr:spPr>
        <a:xfrm flipV="1">
          <a:off x="9452276" y="12619628"/>
          <a:ext cx="742073" cy="32831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79676</xdr:colOff>
      <xdr:row>67</xdr:row>
      <xdr:rowOff>184443</xdr:rowOff>
    </xdr:from>
    <xdr:to>
      <xdr:col>16</xdr:col>
      <xdr:colOff>200243</xdr:colOff>
      <xdr:row>70</xdr:row>
      <xdr:rowOff>64484</xdr:rowOff>
    </xdr:to>
    <xdr:cxnSp macro="">
      <xdr:nvCxnSpPr>
        <xdr:cNvPr id="122" name="Straight Arrow Connector 121">
          <a:extLst>
            <a:ext uri="{FF2B5EF4-FFF2-40B4-BE49-F238E27FC236}">
              <a16:creationId xmlns:a16="http://schemas.microsoft.com/office/drawing/2014/main" id="{37BC4C56-BF5B-40F3-80DC-ED647A3002A9}"/>
            </a:ext>
          </a:extLst>
        </xdr:cNvPr>
        <xdr:cNvCxnSpPr>
          <a:stCxn id="117" idx="3"/>
          <a:endCxn id="120" idx="1"/>
        </xdr:cNvCxnSpPr>
      </xdr:nvCxnSpPr>
      <xdr:spPr>
        <a:xfrm>
          <a:off x="9452276" y="12947943"/>
          <a:ext cx="730167" cy="45154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781269</xdr:colOff>
      <xdr:row>69</xdr:row>
      <xdr:rowOff>74009</xdr:rowOff>
    </xdr:from>
    <xdr:to>
      <xdr:col>18</xdr:col>
      <xdr:colOff>115395</xdr:colOff>
      <xdr:row>71</xdr:row>
      <xdr:rowOff>52578</xdr:rowOff>
    </xdr:to>
    <xdr:sp macro="" textlink="">
      <xdr:nvSpPr>
        <xdr:cNvPr id="123" name="Rectangle: Rounded Corners 122">
          <a:extLst>
            <a:ext uri="{FF2B5EF4-FFF2-40B4-BE49-F238E27FC236}">
              <a16:creationId xmlns:a16="http://schemas.microsoft.com/office/drawing/2014/main" id="{0842710C-2802-4C69-B861-694110B5D8DE}"/>
            </a:ext>
          </a:extLst>
        </xdr:cNvPr>
        <xdr:cNvSpPr/>
      </xdr:nvSpPr>
      <xdr:spPr>
        <a:xfrm>
          <a:off x="12725619" y="13218509"/>
          <a:ext cx="2039226" cy="35956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462181</xdr:colOff>
      <xdr:row>70</xdr:row>
      <xdr:rowOff>63294</xdr:rowOff>
    </xdr:from>
    <xdr:to>
      <xdr:col>17</xdr:col>
      <xdr:colOff>781269</xdr:colOff>
      <xdr:row>70</xdr:row>
      <xdr:rowOff>64484</xdr:rowOff>
    </xdr:to>
    <xdr:cxnSp macro="">
      <xdr:nvCxnSpPr>
        <xdr:cNvPr id="124" name="Straight Arrow Connector 123">
          <a:extLst>
            <a:ext uri="{FF2B5EF4-FFF2-40B4-BE49-F238E27FC236}">
              <a16:creationId xmlns:a16="http://schemas.microsoft.com/office/drawing/2014/main" id="{6DB6C478-CD5A-443B-90C9-F25EAFDA9214}"/>
            </a:ext>
          </a:extLst>
        </xdr:cNvPr>
        <xdr:cNvCxnSpPr>
          <a:stCxn id="120" idx="3"/>
          <a:endCxn id="123" idx="1"/>
        </xdr:cNvCxnSpPr>
      </xdr:nvCxnSpPr>
      <xdr:spPr>
        <a:xfrm flipV="1">
          <a:off x="12406531" y="13398294"/>
          <a:ext cx="319088" cy="119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474087</xdr:colOff>
      <xdr:row>66</xdr:row>
      <xdr:rowOff>46628</xdr:rowOff>
    </xdr:from>
    <xdr:to>
      <xdr:col>17</xdr:col>
      <xdr:colOff>733643</xdr:colOff>
      <xdr:row>66</xdr:row>
      <xdr:rowOff>52579</xdr:rowOff>
    </xdr:to>
    <xdr:cxnSp macro="">
      <xdr:nvCxnSpPr>
        <xdr:cNvPr id="125" name="Straight Arrow Connector 124">
          <a:extLst>
            <a:ext uri="{FF2B5EF4-FFF2-40B4-BE49-F238E27FC236}">
              <a16:creationId xmlns:a16="http://schemas.microsoft.com/office/drawing/2014/main" id="{C0EB268A-3235-4383-A86C-AB8604D91571}"/>
            </a:ext>
          </a:extLst>
        </xdr:cNvPr>
        <xdr:cNvCxnSpPr>
          <a:cxnSpLocks/>
          <a:stCxn id="119" idx="3"/>
        </xdr:cNvCxnSpPr>
      </xdr:nvCxnSpPr>
      <xdr:spPr>
        <a:xfrm>
          <a:off x="12418437" y="12619628"/>
          <a:ext cx="259556" cy="59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33</xdr:col>
      <xdr:colOff>20035</xdr:colOff>
      <xdr:row>63</xdr:row>
      <xdr:rowOff>184042</xdr:rowOff>
    </xdr:from>
    <xdr:to>
      <xdr:col>40</xdr:col>
      <xdr:colOff>194169</xdr:colOff>
      <xdr:row>67</xdr:row>
      <xdr:rowOff>160228</xdr:rowOff>
    </xdr:to>
    <xdr:sp macro="" textlink="">
      <xdr:nvSpPr>
        <xdr:cNvPr id="126" name="Rectangle: Rounded Corners 125">
          <a:extLst>
            <a:ext uri="{FF2B5EF4-FFF2-40B4-BE49-F238E27FC236}">
              <a16:creationId xmlns:a16="http://schemas.microsoft.com/office/drawing/2014/main" id="{6FF2376F-2589-4CC1-8FBF-FF2E548EF301}"/>
            </a:ext>
          </a:extLst>
        </xdr:cNvPr>
        <xdr:cNvSpPr/>
      </xdr:nvSpPr>
      <xdr:spPr>
        <a:xfrm>
          <a:off x="23918260" y="12185542"/>
          <a:ext cx="4441334" cy="73818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ID" sz="1100">
              <a:solidFill>
                <a:schemeClr val="lt1"/>
              </a:solidFill>
              <a:effectLst/>
              <a:latin typeface="+mn-lt"/>
              <a:ea typeface="+mn-ea"/>
              <a:cs typeface="+mn-cs"/>
            </a:rPr>
            <a:t>Is</a:t>
          </a:r>
          <a:r>
            <a:rPr lang="en-ID" sz="1100" baseline="0">
              <a:solidFill>
                <a:schemeClr val="lt1"/>
              </a:solidFill>
              <a:effectLst/>
              <a:latin typeface="+mn-lt"/>
              <a:ea typeface="+mn-ea"/>
              <a:cs typeface="+mn-cs"/>
            </a:rPr>
            <a:t> there any value added? (e.g: adding new function)</a:t>
          </a:r>
          <a:endParaRPr lang="en-ID">
            <a:effectLst/>
          </a:endParaRPr>
        </a:p>
        <a:p>
          <a:r>
            <a:rPr lang="en-ID" sz="1100">
              <a:solidFill>
                <a:schemeClr val="lt1"/>
              </a:solidFill>
              <a:effectLst/>
              <a:latin typeface="+mn-lt"/>
              <a:ea typeface="+mn-ea"/>
              <a:cs typeface="+mn-cs"/>
            </a:rPr>
            <a:t>Apakah ada nilai tambah? (Contoh: Penambahan fungsi)</a:t>
          </a:r>
          <a:endParaRPr lang="en-ID">
            <a:effectLst/>
          </a:endParaRPr>
        </a:p>
      </xdr:txBody>
    </xdr:sp>
    <xdr:clientData/>
  </xdr:twoCellAnchor>
  <xdr:twoCellAnchor>
    <xdr:from>
      <xdr:col>41</xdr:col>
      <xdr:colOff>72723</xdr:colOff>
      <xdr:row>63</xdr:row>
      <xdr:rowOff>7447</xdr:rowOff>
    </xdr:from>
    <xdr:to>
      <xdr:col>42</xdr:col>
      <xdr:colOff>450082</xdr:colOff>
      <xdr:row>64</xdr:row>
      <xdr:rowOff>134036</xdr:rowOff>
    </xdr:to>
    <xdr:sp macro="" textlink="">
      <xdr:nvSpPr>
        <xdr:cNvPr id="127" name="Rectangle: Rounded Corners 126">
          <a:extLst>
            <a:ext uri="{FF2B5EF4-FFF2-40B4-BE49-F238E27FC236}">
              <a16:creationId xmlns:a16="http://schemas.microsoft.com/office/drawing/2014/main" id="{F3DA9B4A-9DF1-4DFB-8986-0F407E68A602}"/>
            </a:ext>
          </a:extLst>
        </xdr:cNvPr>
        <xdr:cNvSpPr/>
      </xdr:nvSpPr>
      <xdr:spPr>
        <a:xfrm>
          <a:off x="28847748" y="12008947"/>
          <a:ext cx="986959" cy="31708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41</xdr:col>
      <xdr:colOff>82248</xdr:colOff>
      <xdr:row>66</xdr:row>
      <xdr:rowOff>119747</xdr:rowOff>
    </xdr:from>
    <xdr:to>
      <xdr:col>42</xdr:col>
      <xdr:colOff>459607</xdr:colOff>
      <xdr:row>68</xdr:row>
      <xdr:rowOff>60216</xdr:rowOff>
    </xdr:to>
    <xdr:sp macro="" textlink="">
      <xdr:nvSpPr>
        <xdr:cNvPr id="128" name="Rectangle: Rounded Corners 127">
          <a:extLst>
            <a:ext uri="{FF2B5EF4-FFF2-40B4-BE49-F238E27FC236}">
              <a16:creationId xmlns:a16="http://schemas.microsoft.com/office/drawing/2014/main" id="{71403866-2503-4951-9E6E-911FAE4D3448}"/>
            </a:ext>
          </a:extLst>
        </xdr:cNvPr>
        <xdr:cNvSpPr/>
      </xdr:nvSpPr>
      <xdr:spPr>
        <a:xfrm>
          <a:off x="28857273" y="12692747"/>
          <a:ext cx="986959"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40</xdr:col>
      <xdr:colOff>194169</xdr:colOff>
      <xdr:row>63</xdr:row>
      <xdr:rowOff>163803</xdr:rowOff>
    </xdr:from>
    <xdr:to>
      <xdr:col>41</xdr:col>
      <xdr:colOff>72723</xdr:colOff>
      <xdr:row>65</xdr:row>
      <xdr:rowOff>172134</xdr:rowOff>
    </xdr:to>
    <xdr:cxnSp macro="">
      <xdr:nvCxnSpPr>
        <xdr:cNvPr id="129" name="Straight Arrow Connector 128">
          <a:extLst>
            <a:ext uri="{FF2B5EF4-FFF2-40B4-BE49-F238E27FC236}">
              <a16:creationId xmlns:a16="http://schemas.microsoft.com/office/drawing/2014/main" id="{56C77F52-4B4A-43E9-91A6-4EEA8CDD14CD}"/>
            </a:ext>
          </a:extLst>
        </xdr:cNvPr>
        <xdr:cNvCxnSpPr>
          <a:stCxn id="126" idx="3"/>
          <a:endCxn id="127" idx="1"/>
        </xdr:cNvCxnSpPr>
      </xdr:nvCxnSpPr>
      <xdr:spPr>
        <a:xfrm flipV="1">
          <a:off x="28359594" y="12165303"/>
          <a:ext cx="488154" cy="38933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194169</xdr:colOff>
      <xdr:row>65</xdr:row>
      <xdr:rowOff>172134</xdr:rowOff>
    </xdr:from>
    <xdr:to>
      <xdr:col>41</xdr:col>
      <xdr:colOff>82248</xdr:colOff>
      <xdr:row>67</xdr:row>
      <xdr:rowOff>89983</xdr:rowOff>
    </xdr:to>
    <xdr:cxnSp macro="">
      <xdr:nvCxnSpPr>
        <xdr:cNvPr id="130" name="Straight Arrow Connector 129">
          <a:extLst>
            <a:ext uri="{FF2B5EF4-FFF2-40B4-BE49-F238E27FC236}">
              <a16:creationId xmlns:a16="http://schemas.microsoft.com/office/drawing/2014/main" id="{4B727529-D191-4678-A2D2-B9CB300EA215}"/>
            </a:ext>
          </a:extLst>
        </xdr:cNvPr>
        <xdr:cNvCxnSpPr>
          <a:stCxn id="126" idx="3"/>
          <a:endCxn id="128" idx="1"/>
        </xdr:cNvCxnSpPr>
      </xdr:nvCxnSpPr>
      <xdr:spPr>
        <a:xfrm>
          <a:off x="28359594" y="12554634"/>
          <a:ext cx="497679" cy="29884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43</xdr:col>
      <xdr:colOff>155248</xdr:colOff>
      <xdr:row>66</xdr:row>
      <xdr:rowOff>103788</xdr:rowOff>
    </xdr:from>
    <xdr:to>
      <xdr:col>44</xdr:col>
      <xdr:colOff>426982</xdr:colOff>
      <xdr:row>68</xdr:row>
      <xdr:rowOff>82357</xdr:rowOff>
    </xdr:to>
    <xdr:sp macro="" textlink="">
      <xdr:nvSpPr>
        <xdr:cNvPr id="131" name="Rectangle: Rounded Corners 130">
          <a:extLst>
            <a:ext uri="{FF2B5EF4-FFF2-40B4-BE49-F238E27FC236}">
              <a16:creationId xmlns:a16="http://schemas.microsoft.com/office/drawing/2014/main" id="{B284E928-1E71-4863-B0D7-5718FEDD8937}"/>
            </a:ext>
          </a:extLst>
        </xdr:cNvPr>
        <xdr:cNvSpPr/>
      </xdr:nvSpPr>
      <xdr:spPr>
        <a:xfrm>
          <a:off x="30149473" y="12676788"/>
          <a:ext cx="881334" cy="35956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42</xdr:col>
      <xdr:colOff>459607</xdr:colOff>
      <xdr:row>67</xdr:row>
      <xdr:rowOff>89982</xdr:rowOff>
    </xdr:from>
    <xdr:to>
      <xdr:col>43</xdr:col>
      <xdr:colOff>155248</xdr:colOff>
      <xdr:row>67</xdr:row>
      <xdr:rowOff>93073</xdr:rowOff>
    </xdr:to>
    <xdr:cxnSp macro="">
      <xdr:nvCxnSpPr>
        <xdr:cNvPr id="132" name="Straight Arrow Connector 131">
          <a:extLst>
            <a:ext uri="{FF2B5EF4-FFF2-40B4-BE49-F238E27FC236}">
              <a16:creationId xmlns:a16="http://schemas.microsoft.com/office/drawing/2014/main" id="{8990CD9A-ECC8-4D22-BF94-E21766BE3105}"/>
            </a:ext>
          </a:extLst>
        </xdr:cNvPr>
        <xdr:cNvCxnSpPr>
          <a:stCxn id="128" idx="3"/>
          <a:endCxn id="131" idx="1"/>
        </xdr:cNvCxnSpPr>
      </xdr:nvCxnSpPr>
      <xdr:spPr>
        <a:xfrm>
          <a:off x="29844232" y="12853482"/>
          <a:ext cx="305241"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562523</xdr:colOff>
      <xdr:row>61</xdr:row>
      <xdr:rowOff>84960</xdr:rowOff>
    </xdr:from>
    <xdr:to>
      <xdr:col>41</xdr:col>
      <xdr:colOff>567954</xdr:colOff>
      <xdr:row>63</xdr:row>
      <xdr:rowOff>7447</xdr:rowOff>
    </xdr:to>
    <xdr:cxnSp macro="">
      <xdr:nvCxnSpPr>
        <xdr:cNvPr id="133" name="Straight Arrow Connector 132">
          <a:extLst>
            <a:ext uri="{FF2B5EF4-FFF2-40B4-BE49-F238E27FC236}">
              <a16:creationId xmlns:a16="http://schemas.microsoft.com/office/drawing/2014/main" id="{E75A44E9-52C8-4DC0-A4D8-09348B3078A8}"/>
            </a:ext>
          </a:extLst>
        </xdr:cNvPr>
        <xdr:cNvCxnSpPr>
          <a:stCxn id="127" idx="0"/>
          <a:endCxn id="134" idx="2"/>
        </xdr:cNvCxnSpPr>
      </xdr:nvCxnSpPr>
      <xdr:spPr>
        <a:xfrm flipH="1" flipV="1">
          <a:off x="29337548" y="11705460"/>
          <a:ext cx="5431" cy="303487"/>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39</xdr:col>
      <xdr:colOff>347718</xdr:colOff>
      <xdr:row>56</xdr:row>
      <xdr:rowOff>76638</xdr:rowOff>
    </xdr:from>
    <xdr:to>
      <xdr:col>44</xdr:col>
      <xdr:colOff>164224</xdr:colOff>
      <xdr:row>61</xdr:row>
      <xdr:rowOff>84960</xdr:rowOff>
    </xdr:to>
    <xdr:sp macro="" textlink="">
      <xdr:nvSpPr>
        <xdr:cNvPr id="134" name="Rectangle: Rounded Corners 133">
          <a:extLst>
            <a:ext uri="{FF2B5EF4-FFF2-40B4-BE49-F238E27FC236}">
              <a16:creationId xmlns:a16="http://schemas.microsoft.com/office/drawing/2014/main" id="{0201A35E-C7DA-4274-9953-385315A8C4B3}"/>
            </a:ext>
          </a:extLst>
        </xdr:cNvPr>
        <xdr:cNvSpPr/>
      </xdr:nvSpPr>
      <xdr:spPr>
        <a:xfrm>
          <a:off x="27903543" y="10744638"/>
          <a:ext cx="2864506" cy="96082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42</xdr:col>
      <xdr:colOff>450082</xdr:colOff>
      <xdr:row>63</xdr:row>
      <xdr:rowOff>161598</xdr:rowOff>
    </xdr:from>
    <xdr:to>
      <xdr:col>46</xdr:col>
      <xdr:colOff>117803</xdr:colOff>
      <xdr:row>63</xdr:row>
      <xdr:rowOff>163802</xdr:rowOff>
    </xdr:to>
    <xdr:cxnSp macro="">
      <xdr:nvCxnSpPr>
        <xdr:cNvPr id="135" name="Straight Arrow Connector 134">
          <a:extLst>
            <a:ext uri="{FF2B5EF4-FFF2-40B4-BE49-F238E27FC236}">
              <a16:creationId xmlns:a16="http://schemas.microsoft.com/office/drawing/2014/main" id="{26B717A4-24B2-4347-8749-D00200D36209}"/>
            </a:ext>
          </a:extLst>
        </xdr:cNvPr>
        <xdr:cNvCxnSpPr>
          <a:stCxn id="127" idx="3"/>
          <a:endCxn id="136" idx="1"/>
        </xdr:cNvCxnSpPr>
      </xdr:nvCxnSpPr>
      <xdr:spPr>
        <a:xfrm flipV="1">
          <a:off x="29834707" y="12163098"/>
          <a:ext cx="2106121" cy="220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46</xdr:col>
      <xdr:colOff>117803</xdr:colOff>
      <xdr:row>62</xdr:row>
      <xdr:rowOff>63063</xdr:rowOff>
    </xdr:from>
    <xdr:to>
      <xdr:col>50</xdr:col>
      <xdr:colOff>194441</xdr:colOff>
      <xdr:row>65</xdr:row>
      <xdr:rowOff>74011</xdr:rowOff>
    </xdr:to>
    <xdr:sp macro="" textlink="">
      <xdr:nvSpPr>
        <xdr:cNvPr id="136" name="Rectangle: Rounded Corners 135">
          <a:extLst>
            <a:ext uri="{FF2B5EF4-FFF2-40B4-BE49-F238E27FC236}">
              <a16:creationId xmlns:a16="http://schemas.microsoft.com/office/drawing/2014/main" id="{20D39C69-C796-4460-AC1E-BF5EF97FDDC0}"/>
            </a:ext>
          </a:extLst>
        </xdr:cNvPr>
        <xdr:cNvSpPr/>
      </xdr:nvSpPr>
      <xdr:spPr>
        <a:xfrm>
          <a:off x="31940828" y="11874063"/>
          <a:ext cx="2515038"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51</xdr:col>
      <xdr:colOff>154834</xdr:colOff>
      <xdr:row>59</xdr:row>
      <xdr:rowOff>106855</xdr:rowOff>
    </xdr:from>
    <xdr:to>
      <xdr:col>53</xdr:col>
      <xdr:colOff>194440</xdr:colOff>
      <xdr:row>62</xdr:row>
      <xdr:rowOff>30216</xdr:rowOff>
    </xdr:to>
    <xdr:sp macro="" textlink="">
      <xdr:nvSpPr>
        <xdr:cNvPr id="137" name="Rectangle: Rounded Corners 136">
          <a:extLst>
            <a:ext uri="{FF2B5EF4-FFF2-40B4-BE49-F238E27FC236}">
              <a16:creationId xmlns:a16="http://schemas.microsoft.com/office/drawing/2014/main" id="{7B67D73F-80D3-4269-BBA4-A997A1D50D19}"/>
            </a:ext>
          </a:extLst>
        </xdr:cNvPr>
        <xdr:cNvSpPr/>
      </xdr:nvSpPr>
      <xdr:spPr>
        <a:xfrm>
          <a:off x="35025859" y="11346355"/>
          <a:ext cx="1258806" cy="49486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51</xdr:col>
      <xdr:colOff>164906</xdr:colOff>
      <xdr:row>64</xdr:row>
      <xdr:rowOff>29341</xdr:rowOff>
    </xdr:from>
    <xdr:to>
      <xdr:col>53</xdr:col>
      <xdr:colOff>204512</xdr:colOff>
      <xdr:row>66</xdr:row>
      <xdr:rowOff>138822</xdr:rowOff>
    </xdr:to>
    <xdr:sp macro="" textlink="">
      <xdr:nvSpPr>
        <xdr:cNvPr id="138" name="Rectangle: Rounded Corners 137">
          <a:extLst>
            <a:ext uri="{FF2B5EF4-FFF2-40B4-BE49-F238E27FC236}">
              <a16:creationId xmlns:a16="http://schemas.microsoft.com/office/drawing/2014/main" id="{F4B7BF1D-686E-4097-9D4C-B18F5062C5F7}"/>
            </a:ext>
          </a:extLst>
        </xdr:cNvPr>
        <xdr:cNvSpPr/>
      </xdr:nvSpPr>
      <xdr:spPr>
        <a:xfrm>
          <a:off x="35035931" y="12221341"/>
          <a:ext cx="1258806" cy="49048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50</xdr:col>
      <xdr:colOff>194441</xdr:colOff>
      <xdr:row>60</xdr:row>
      <xdr:rowOff>161597</xdr:rowOff>
    </xdr:from>
    <xdr:to>
      <xdr:col>51</xdr:col>
      <xdr:colOff>154834</xdr:colOff>
      <xdr:row>63</xdr:row>
      <xdr:rowOff>161598</xdr:rowOff>
    </xdr:to>
    <xdr:cxnSp macro="">
      <xdr:nvCxnSpPr>
        <xdr:cNvPr id="139" name="Straight Arrow Connector 138">
          <a:extLst>
            <a:ext uri="{FF2B5EF4-FFF2-40B4-BE49-F238E27FC236}">
              <a16:creationId xmlns:a16="http://schemas.microsoft.com/office/drawing/2014/main" id="{004E799F-9C2A-4CC3-859D-8EC51B7954EC}"/>
            </a:ext>
          </a:extLst>
        </xdr:cNvPr>
        <xdr:cNvCxnSpPr>
          <a:stCxn id="136" idx="3"/>
          <a:endCxn id="137" idx="1"/>
        </xdr:cNvCxnSpPr>
      </xdr:nvCxnSpPr>
      <xdr:spPr>
        <a:xfrm flipV="1">
          <a:off x="34455866" y="11591597"/>
          <a:ext cx="569993" cy="5715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50</xdr:col>
      <xdr:colOff>194441</xdr:colOff>
      <xdr:row>63</xdr:row>
      <xdr:rowOff>161598</xdr:rowOff>
    </xdr:from>
    <xdr:to>
      <xdr:col>51</xdr:col>
      <xdr:colOff>164906</xdr:colOff>
      <xdr:row>65</xdr:row>
      <xdr:rowOff>84082</xdr:rowOff>
    </xdr:to>
    <xdr:cxnSp macro="">
      <xdr:nvCxnSpPr>
        <xdr:cNvPr id="140" name="Straight Arrow Connector 139">
          <a:extLst>
            <a:ext uri="{FF2B5EF4-FFF2-40B4-BE49-F238E27FC236}">
              <a16:creationId xmlns:a16="http://schemas.microsoft.com/office/drawing/2014/main" id="{1B269E1B-1D4F-4D79-9DB5-787E3FC23A8A}"/>
            </a:ext>
          </a:extLst>
        </xdr:cNvPr>
        <xdr:cNvCxnSpPr>
          <a:stCxn id="136" idx="3"/>
          <a:endCxn id="138" idx="1"/>
        </xdr:cNvCxnSpPr>
      </xdr:nvCxnSpPr>
      <xdr:spPr>
        <a:xfrm>
          <a:off x="34455866" y="12163098"/>
          <a:ext cx="580065" cy="30348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131185</xdr:colOff>
      <xdr:row>59</xdr:row>
      <xdr:rowOff>105102</xdr:rowOff>
    </xdr:from>
    <xdr:to>
      <xdr:col>56</xdr:col>
      <xdr:colOff>170791</xdr:colOff>
      <xdr:row>62</xdr:row>
      <xdr:rowOff>28463</xdr:rowOff>
    </xdr:to>
    <xdr:sp macro="" textlink="">
      <xdr:nvSpPr>
        <xdr:cNvPr id="141" name="Rectangle: Rounded Corners 140">
          <a:extLst>
            <a:ext uri="{FF2B5EF4-FFF2-40B4-BE49-F238E27FC236}">
              <a16:creationId xmlns:a16="http://schemas.microsoft.com/office/drawing/2014/main" id="{D192362F-F9E8-4CBA-8350-A680EE94ACB3}"/>
            </a:ext>
          </a:extLst>
        </xdr:cNvPr>
        <xdr:cNvSpPr/>
      </xdr:nvSpPr>
      <xdr:spPr>
        <a:xfrm>
          <a:off x="36831010" y="11344602"/>
          <a:ext cx="1258806" cy="49486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54</xdr:col>
      <xdr:colOff>119360</xdr:colOff>
      <xdr:row>64</xdr:row>
      <xdr:rowOff>27589</xdr:rowOff>
    </xdr:from>
    <xdr:to>
      <xdr:col>56</xdr:col>
      <xdr:colOff>158966</xdr:colOff>
      <xdr:row>66</xdr:row>
      <xdr:rowOff>137070</xdr:rowOff>
    </xdr:to>
    <xdr:sp macro="" textlink="">
      <xdr:nvSpPr>
        <xdr:cNvPr id="142" name="Rectangle: Rounded Corners 141">
          <a:extLst>
            <a:ext uri="{FF2B5EF4-FFF2-40B4-BE49-F238E27FC236}">
              <a16:creationId xmlns:a16="http://schemas.microsoft.com/office/drawing/2014/main" id="{9107A9D4-497A-4FD5-AA18-8EB52691328F}"/>
            </a:ext>
          </a:extLst>
        </xdr:cNvPr>
        <xdr:cNvSpPr/>
      </xdr:nvSpPr>
      <xdr:spPr>
        <a:xfrm>
          <a:off x="36819185" y="12219589"/>
          <a:ext cx="1258806" cy="49048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53</xdr:col>
      <xdr:colOff>194440</xdr:colOff>
      <xdr:row>60</xdr:row>
      <xdr:rowOff>159844</xdr:rowOff>
    </xdr:from>
    <xdr:to>
      <xdr:col>54</xdr:col>
      <xdr:colOff>131185</xdr:colOff>
      <xdr:row>60</xdr:row>
      <xdr:rowOff>161597</xdr:rowOff>
    </xdr:to>
    <xdr:cxnSp macro="">
      <xdr:nvCxnSpPr>
        <xdr:cNvPr id="143" name="Straight Arrow Connector 142">
          <a:extLst>
            <a:ext uri="{FF2B5EF4-FFF2-40B4-BE49-F238E27FC236}">
              <a16:creationId xmlns:a16="http://schemas.microsoft.com/office/drawing/2014/main" id="{D29468CF-62CD-4B99-BA9C-B208AB99571E}"/>
            </a:ext>
          </a:extLst>
        </xdr:cNvPr>
        <xdr:cNvCxnSpPr>
          <a:stCxn id="137" idx="3"/>
          <a:endCxn id="141" idx="1"/>
        </xdr:cNvCxnSpPr>
      </xdr:nvCxnSpPr>
      <xdr:spPr>
        <a:xfrm flipV="1">
          <a:off x="36284665" y="11589844"/>
          <a:ext cx="546345"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53</xdr:col>
      <xdr:colOff>204512</xdr:colOff>
      <xdr:row>65</xdr:row>
      <xdr:rowOff>82330</xdr:rowOff>
    </xdr:from>
    <xdr:to>
      <xdr:col>54</xdr:col>
      <xdr:colOff>119360</xdr:colOff>
      <xdr:row>65</xdr:row>
      <xdr:rowOff>84082</xdr:rowOff>
    </xdr:to>
    <xdr:cxnSp macro="">
      <xdr:nvCxnSpPr>
        <xdr:cNvPr id="144" name="Straight Arrow Connector 143">
          <a:extLst>
            <a:ext uri="{FF2B5EF4-FFF2-40B4-BE49-F238E27FC236}">
              <a16:creationId xmlns:a16="http://schemas.microsoft.com/office/drawing/2014/main" id="{443AC3DA-B1AC-4EFB-A8F3-767A514C0096}"/>
            </a:ext>
          </a:extLst>
        </xdr:cNvPr>
        <xdr:cNvCxnSpPr>
          <a:stCxn id="138" idx="3"/>
          <a:endCxn id="142" idx="1"/>
        </xdr:cNvCxnSpPr>
      </xdr:nvCxnSpPr>
      <xdr:spPr>
        <a:xfrm flipV="1">
          <a:off x="36294737" y="12464830"/>
          <a:ext cx="524448"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709228</xdr:colOff>
      <xdr:row>64</xdr:row>
      <xdr:rowOff>73134</xdr:rowOff>
    </xdr:from>
    <xdr:to>
      <xdr:col>17</xdr:col>
      <xdr:colOff>2614010</xdr:colOff>
      <xdr:row>67</xdr:row>
      <xdr:rowOff>84082</xdr:rowOff>
    </xdr:to>
    <xdr:sp macro="" textlink="">
      <xdr:nvSpPr>
        <xdr:cNvPr id="145" name="Rectangle: Rounded Corners 144">
          <a:extLst>
            <a:ext uri="{FF2B5EF4-FFF2-40B4-BE49-F238E27FC236}">
              <a16:creationId xmlns:a16="http://schemas.microsoft.com/office/drawing/2014/main" id="{263642F2-FAC7-4FD2-B948-354FFAAEE0F2}"/>
            </a:ext>
          </a:extLst>
        </xdr:cNvPr>
        <xdr:cNvSpPr/>
      </xdr:nvSpPr>
      <xdr:spPr>
        <a:xfrm>
          <a:off x="12653578" y="12265134"/>
          <a:ext cx="1904782"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a:t>
          </a:r>
          <a:endParaRPr lang="en-ID" sz="1100" baseline="0"/>
        </a:p>
        <a:p>
          <a:pPr algn="ctr"/>
          <a:r>
            <a:rPr lang="en-ID" sz="1100" baseline="0"/>
            <a:t>Estimasi masa manfaat</a:t>
          </a:r>
          <a:endParaRPr lang="en-ID" sz="1100"/>
        </a:p>
      </xdr:txBody>
    </xdr:sp>
    <xdr:clientData/>
  </xdr:twoCellAnchor>
  <xdr:twoCellAnchor>
    <xdr:from>
      <xdr:col>17</xdr:col>
      <xdr:colOff>2614010</xdr:colOff>
      <xdr:row>59</xdr:row>
      <xdr:rowOff>61417</xdr:rowOff>
    </xdr:from>
    <xdr:to>
      <xdr:col>18</xdr:col>
      <xdr:colOff>347715</xdr:colOff>
      <xdr:row>65</xdr:row>
      <xdr:rowOff>171668</xdr:rowOff>
    </xdr:to>
    <xdr:cxnSp macro="">
      <xdr:nvCxnSpPr>
        <xdr:cNvPr id="146" name="Straight Arrow Connector 145">
          <a:extLst>
            <a:ext uri="{FF2B5EF4-FFF2-40B4-BE49-F238E27FC236}">
              <a16:creationId xmlns:a16="http://schemas.microsoft.com/office/drawing/2014/main" id="{64F10873-63EF-48E4-B585-1C7FC16DEBAF}"/>
            </a:ext>
          </a:extLst>
        </xdr:cNvPr>
        <xdr:cNvCxnSpPr>
          <a:stCxn id="145" idx="3"/>
          <a:endCxn id="147" idx="1"/>
        </xdr:cNvCxnSpPr>
      </xdr:nvCxnSpPr>
      <xdr:spPr>
        <a:xfrm flipV="1">
          <a:off x="14558360" y="11300917"/>
          <a:ext cx="438805" cy="12532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347715</xdr:colOff>
      <xdr:row>58</xdr:row>
      <xdr:rowOff>109042</xdr:rowOff>
    </xdr:from>
    <xdr:to>
      <xdr:col>20</xdr:col>
      <xdr:colOff>227285</xdr:colOff>
      <xdr:row>60</xdr:row>
      <xdr:rowOff>13793</xdr:rowOff>
    </xdr:to>
    <xdr:sp macro="" textlink="">
      <xdr:nvSpPr>
        <xdr:cNvPr id="147" name="Rectangle: Rounded Corners 146">
          <a:extLst>
            <a:ext uri="{FF2B5EF4-FFF2-40B4-BE49-F238E27FC236}">
              <a16:creationId xmlns:a16="http://schemas.microsoft.com/office/drawing/2014/main" id="{27C47322-6E2C-46C9-B371-EF3713397855}"/>
            </a:ext>
          </a:extLst>
        </xdr:cNvPr>
        <xdr:cNvSpPr/>
      </xdr:nvSpPr>
      <xdr:spPr>
        <a:xfrm>
          <a:off x="14997165" y="11158042"/>
          <a:ext cx="1203545" cy="28575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20</xdr:col>
      <xdr:colOff>560333</xdr:colOff>
      <xdr:row>58</xdr:row>
      <xdr:rowOff>70943</xdr:rowOff>
    </xdr:from>
    <xdr:to>
      <xdr:col>23</xdr:col>
      <xdr:colOff>10948</xdr:colOff>
      <xdr:row>60</xdr:row>
      <xdr:rowOff>49512</xdr:rowOff>
    </xdr:to>
    <xdr:sp macro="" textlink="">
      <xdr:nvSpPr>
        <xdr:cNvPr id="148" name="Rectangle: Rounded Corners 147">
          <a:extLst>
            <a:ext uri="{FF2B5EF4-FFF2-40B4-BE49-F238E27FC236}">
              <a16:creationId xmlns:a16="http://schemas.microsoft.com/office/drawing/2014/main" id="{D020E3F2-F15D-42A0-A92A-1F76500E3F8D}"/>
            </a:ext>
          </a:extLst>
        </xdr:cNvPr>
        <xdr:cNvSpPr/>
      </xdr:nvSpPr>
      <xdr:spPr>
        <a:xfrm>
          <a:off x="16533758" y="11119943"/>
          <a:ext cx="1279415" cy="35956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18</xdr:col>
      <xdr:colOff>347058</xdr:colOff>
      <xdr:row>64</xdr:row>
      <xdr:rowOff>19271</xdr:rowOff>
    </xdr:from>
    <xdr:to>
      <xdr:col>22</xdr:col>
      <xdr:colOff>238233</xdr:colOff>
      <xdr:row>67</xdr:row>
      <xdr:rowOff>139702</xdr:rowOff>
    </xdr:to>
    <xdr:sp macro="" textlink="">
      <xdr:nvSpPr>
        <xdr:cNvPr id="149" name="Rectangle: Rounded Corners 148">
          <a:extLst>
            <a:ext uri="{FF2B5EF4-FFF2-40B4-BE49-F238E27FC236}">
              <a16:creationId xmlns:a16="http://schemas.microsoft.com/office/drawing/2014/main" id="{418ABD26-59F7-4AD1-94F8-CF1CE5EB54ED}"/>
            </a:ext>
          </a:extLst>
        </xdr:cNvPr>
        <xdr:cNvSpPr/>
      </xdr:nvSpPr>
      <xdr:spPr>
        <a:xfrm>
          <a:off x="14996508" y="12211271"/>
          <a:ext cx="2434350" cy="6919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17</xdr:col>
      <xdr:colOff>2614010</xdr:colOff>
      <xdr:row>65</xdr:row>
      <xdr:rowOff>171668</xdr:rowOff>
    </xdr:from>
    <xdr:to>
      <xdr:col>18</xdr:col>
      <xdr:colOff>347058</xdr:colOff>
      <xdr:row>65</xdr:row>
      <xdr:rowOff>172547</xdr:rowOff>
    </xdr:to>
    <xdr:cxnSp macro="">
      <xdr:nvCxnSpPr>
        <xdr:cNvPr id="150" name="Straight Arrow Connector 149">
          <a:extLst>
            <a:ext uri="{FF2B5EF4-FFF2-40B4-BE49-F238E27FC236}">
              <a16:creationId xmlns:a16="http://schemas.microsoft.com/office/drawing/2014/main" id="{800E80D6-EAD0-4018-994D-492DCD8C28FF}"/>
            </a:ext>
          </a:extLst>
        </xdr:cNvPr>
        <xdr:cNvCxnSpPr>
          <a:stCxn id="145" idx="3"/>
          <a:endCxn id="149" idx="1"/>
        </xdr:cNvCxnSpPr>
      </xdr:nvCxnSpPr>
      <xdr:spPr>
        <a:xfrm>
          <a:off x="14558360" y="12554168"/>
          <a:ext cx="438148" cy="8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245</xdr:colOff>
      <xdr:row>83</xdr:row>
      <xdr:rowOff>104534</xdr:rowOff>
    </xdr:from>
    <xdr:to>
      <xdr:col>15</xdr:col>
      <xdr:colOff>24058</xdr:colOff>
      <xdr:row>86</xdr:row>
      <xdr:rowOff>164064</xdr:rowOff>
    </xdr:to>
    <xdr:sp macro="" textlink="">
      <xdr:nvSpPr>
        <xdr:cNvPr id="151" name="Rectangle: Rounded Corners 150">
          <a:extLst>
            <a:ext uri="{FF2B5EF4-FFF2-40B4-BE49-F238E27FC236}">
              <a16:creationId xmlns:a16="http://schemas.microsoft.com/office/drawing/2014/main" id="{4CD410B9-F146-4B00-92BB-BCB6A7D03545}"/>
            </a:ext>
          </a:extLst>
        </xdr:cNvPr>
        <xdr:cNvSpPr/>
      </xdr:nvSpPr>
      <xdr:spPr>
        <a:xfrm>
          <a:off x="5715245" y="15916034"/>
          <a:ext cx="3681413" cy="63103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7</xdr:col>
      <xdr:colOff>591508</xdr:colOff>
      <xdr:row>85</xdr:row>
      <xdr:rowOff>41239</xdr:rowOff>
    </xdr:from>
    <xdr:to>
      <xdr:col>9</xdr:col>
      <xdr:colOff>245</xdr:colOff>
      <xdr:row>85</xdr:row>
      <xdr:rowOff>53100</xdr:rowOff>
    </xdr:to>
    <xdr:cxnSp macro="">
      <xdr:nvCxnSpPr>
        <xdr:cNvPr id="152" name="Straight Arrow Connector 151">
          <a:extLst>
            <a:ext uri="{FF2B5EF4-FFF2-40B4-BE49-F238E27FC236}">
              <a16:creationId xmlns:a16="http://schemas.microsoft.com/office/drawing/2014/main" id="{71FEC0DE-3C93-43E4-AAFD-ED6E83280EEC}"/>
            </a:ext>
          </a:extLst>
        </xdr:cNvPr>
        <xdr:cNvCxnSpPr>
          <a:stCxn id="9" idx="3"/>
          <a:endCxn id="151" idx="1"/>
        </xdr:cNvCxnSpPr>
      </xdr:nvCxnSpPr>
      <xdr:spPr>
        <a:xfrm flipV="1">
          <a:off x="5087308" y="16233739"/>
          <a:ext cx="627937" cy="1186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156531</xdr:colOff>
      <xdr:row>82</xdr:row>
      <xdr:rowOff>119310</xdr:rowOff>
    </xdr:from>
    <xdr:to>
      <xdr:col>17</xdr:col>
      <xdr:colOff>418469</xdr:colOff>
      <xdr:row>84</xdr:row>
      <xdr:rowOff>59780</xdr:rowOff>
    </xdr:to>
    <xdr:sp macro="" textlink="">
      <xdr:nvSpPr>
        <xdr:cNvPr id="153" name="Rectangle: Rounded Corners 152">
          <a:extLst>
            <a:ext uri="{FF2B5EF4-FFF2-40B4-BE49-F238E27FC236}">
              <a16:creationId xmlns:a16="http://schemas.microsoft.com/office/drawing/2014/main" id="{1FC384ED-D06B-471E-9273-141880232E9A}"/>
            </a:ext>
          </a:extLst>
        </xdr:cNvPr>
        <xdr:cNvSpPr/>
      </xdr:nvSpPr>
      <xdr:spPr>
        <a:xfrm>
          <a:off x="10138731" y="15740310"/>
          <a:ext cx="2224088" cy="32147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175 / Rp 2,500,000</a:t>
          </a:r>
        </a:p>
      </xdr:txBody>
    </xdr:sp>
    <xdr:clientData/>
  </xdr:twoCellAnchor>
  <xdr:twoCellAnchor>
    <xdr:from>
      <xdr:col>16</xdr:col>
      <xdr:colOff>144625</xdr:colOff>
      <xdr:row>86</xdr:row>
      <xdr:rowOff>155025</xdr:rowOff>
    </xdr:from>
    <xdr:to>
      <xdr:col>17</xdr:col>
      <xdr:colOff>406563</xdr:colOff>
      <xdr:row>88</xdr:row>
      <xdr:rowOff>54741</xdr:rowOff>
    </xdr:to>
    <xdr:sp macro="" textlink="">
      <xdr:nvSpPr>
        <xdr:cNvPr id="154" name="Rectangle: Rounded Corners 153">
          <a:extLst>
            <a:ext uri="{FF2B5EF4-FFF2-40B4-BE49-F238E27FC236}">
              <a16:creationId xmlns:a16="http://schemas.microsoft.com/office/drawing/2014/main" id="{96054EFD-F7A9-47A1-9166-4F61EB0672D9}"/>
            </a:ext>
          </a:extLst>
        </xdr:cNvPr>
        <xdr:cNvSpPr/>
      </xdr:nvSpPr>
      <xdr:spPr>
        <a:xfrm>
          <a:off x="10126825" y="16538025"/>
          <a:ext cx="2224088" cy="28071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a:t>
          </a:r>
          <a:r>
            <a:rPr lang="en-ID" sz="1100">
              <a:solidFill>
                <a:schemeClr val="lt1"/>
              </a:solidFill>
              <a:effectLst/>
              <a:latin typeface="+mn-lt"/>
              <a:ea typeface="+mn-ea"/>
              <a:cs typeface="+mn-cs"/>
            </a:rPr>
            <a:t>USD 175 / Rp 2,500,000</a:t>
          </a:r>
          <a:endParaRPr lang="en-ID" sz="1100"/>
        </a:p>
      </xdr:txBody>
    </xdr:sp>
    <xdr:clientData/>
  </xdr:twoCellAnchor>
  <xdr:twoCellAnchor>
    <xdr:from>
      <xdr:col>15</xdr:col>
      <xdr:colOff>24058</xdr:colOff>
      <xdr:row>83</xdr:row>
      <xdr:rowOff>89546</xdr:rowOff>
    </xdr:from>
    <xdr:to>
      <xdr:col>16</xdr:col>
      <xdr:colOff>156531</xdr:colOff>
      <xdr:row>85</xdr:row>
      <xdr:rowOff>41239</xdr:rowOff>
    </xdr:to>
    <xdr:cxnSp macro="">
      <xdr:nvCxnSpPr>
        <xdr:cNvPr id="155" name="Straight Arrow Connector 154">
          <a:extLst>
            <a:ext uri="{FF2B5EF4-FFF2-40B4-BE49-F238E27FC236}">
              <a16:creationId xmlns:a16="http://schemas.microsoft.com/office/drawing/2014/main" id="{B25C4BAD-E563-44D5-9A90-098CC9737082}"/>
            </a:ext>
          </a:extLst>
        </xdr:cNvPr>
        <xdr:cNvCxnSpPr>
          <a:stCxn id="151" idx="3"/>
          <a:endCxn id="153" idx="1"/>
        </xdr:cNvCxnSpPr>
      </xdr:nvCxnSpPr>
      <xdr:spPr>
        <a:xfrm flipV="1">
          <a:off x="9396658" y="15901046"/>
          <a:ext cx="742073" cy="33269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24058</xdr:colOff>
      <xdr:row>85</xdr:row>
      <xdr:rowOff>41239</xdr:rowOff>
    </xdr:from>
    <xdr:to>
      <xdr:col>16</xdr:col>
      <xdr:colOff>144625</xdr:colOff>
      <xdr:row>87</xdr:row>
      <xdr:rowOff>104884</xdr:rowOff>
    </xdr:to>
    <xdr:cxnSp macro="">
      <xdr:nvCxnSpPr>
        <xdr:cNvPr id="156" name="Straight Arrow Connector 155">
          <a:extLst>
            <a:ext uri="{FF2B5EF4-FFF2-40B4-BE49-F238E27FC236}">
              <a16:creationId xmlns:a16="http://schemas.microsoft.com/office/drawing/2014/main" id="{DEB0FBA5-2A1C-4B61-80CD-EF79E122FC83}"/>
            </a:ext>
          </a:extLst>
        </xdr:cNvPr>
        <xdr:cNvCxnSpPr>
          <a:stCxn id="151" idx="3"/>
          <a:endCxn id="154" idx="1"/>
        </xdr:cNvCxnSpPr>
      </xdr:nvCxnSpPr>
      <xdr:spPr>
        <a:xfrm>
          <a:off x="9396658" y="16233739"/>
          <a:ext cx="730167" cy="44464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725651</xdr:colOff>
      <xdr:row>86</xdr:row>
      <xdr:rowOff>116926</xdr:rowOff>
    </xdr:from>
    <xdr:to>
      <xdr:col>18</xdr:col>
      <xdr:colOff>59777</xdr:colOff>
      <xdr:row>88</xdr:row>
      <xdr:rowOff>98534</xdr:rowOff>
    </xdr:to>
    <xdr:sp macro="" textlink="">
      <xdr:nvSpPr>
        <xdr:cNvPr id="157" name="Rectangle: Rounded Corners 156">
          <a:extLst>
            <a:ext uri="{FF2B5EF4-FFF2-40B4-BE49-F238E27FC236}">
              <a16:creationId xmlns:a16="http://schemas.microsoft.com/office/drawing/2014/main" id="{E8EFDD4B-C700-41EF-908B-59931D718D81}"/>
            </a:ext>
          </a:extLst>
        </xdr:cNvPr>
        <xdr:cNvSpPr/>
      </xdr:nvSpPr>
      <xdr:spPr>
        <a:xfrm>
          <a:off x="12670001" y="16499926"/>
          <a:ext cx="2039226" cy="36260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406563</xdr:colOff>
      <xdr:row>87</xdr:row>
      <xdr:rowOff>104884</xdr:rowOff>
    </xdr:from>
    <xdr:to>
      <xdr:col>17</xdr:col>
      <xdr:colOff>725651</xdr:colOff>
      <xdr:row>87</xdr:row>
      <xdr:rowOff>107731</xdr:rowOff>
    </xdr:to>
    <xdr:cxnSp macro="">
      <xdr:nvCxnSpPr>
        <xdr:cNvPr id="158" name="Straight Arrow Connector 157">
          <a:extLst>
            <a:ext uri="{FF2B5EF4-FFF2-40B4-BE49-F238E27FC236}">
              <a16:creationId xmlns:a16="http://schemas.microsoft.com/office/drawing/2014/main" id="{5B53C4B2-6CD7-4BB8-B36C-EBC4C16BC3C6}"/>
            </a:ext>
          </a:extLst>
        </xdr:cNvPr>
        <xdr:cNvCxnSpPr>
          <a:stCxn id="154" idx="3"/>
          <a:endCxn id="157" idx="1"/>
        </xdr:cNvCxnSpPr>
      </xdr:nvCxnSpPr>
      <xdr:spPr>
        <a:xfrm>
          <a:off x="12350913" y="16678384"/>
          <a:ext cx="319088" cy="284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418469</xdr:colOff>
      <xdr:row>83</xdr:row>
      <xdr:rowOff>89546</xdr:rowOff>
    </xdr:from>
    <xdr:to>
      <xdr:col>17</xdr:col>
      <xdr:colOff>678025</xdr:colOff>
      <xdr:row>83</xdr:row>
      <xdr:rowOff>95497</xdr:rowOff>
    </xdr:to>
    <xdr:cxnSp macro="">
      <xdr:nvCxnSpPr>
        <xdr:cNvPr id="159" name="Straight Arrow Connector 158">
          <a:extLst>
            <a:ext uri="{FF2B5EF4-FFF2-40B4-BE49-F238E27FC236}">
              <a16:creationId xmlns:a16="http://schemas.microsoft.com/office/drawing/2014/main" id="{D9CDA5C3-BF90-435A-9A60-EA48A442EDAE}"/>
            </a:ext>
          </a:extLst>
        </xdr:cNvPr>
        <xdr:cNvCxnSpPr>
          <a:cxnSpLocks/>
          <a:stCxn id="153" idx="3"/>
        </xdr:cNvCxnSpPr>
      </xdr:nvCxnSpPr>
      <xdr:spPr>
        <a:xfrm>
          <a:off x="12362819" y="15901046"/>
          <a:ext cx="259556" cy="59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33</xdr:col>
      <xdr:colOff>21897</xdr:colOff>
      <xdr:row>81</xdr:row>
      <xdr:rowOff>40838</xdr:rowOff>
    </xdr:from>
    <xdr:to>
      <xdr:col>40</xdr:col>
      <xdr:colOff>138551</xdr:colOff>
      <xdr:row>85</xdr:row>
      <xdr:rowOff>17024</xdr:rowOff>
    </xdr:to>
    <xdr:sp macro="" textlink="">
      <xdr:nvSpPr>
        <xdr:cNvPr id="160" name="Rectangle: Rounded Corners 159">
          <a:extLst>
            <a:ext uri="{FF2B5EF4-FFF2-40B4-BE49-F238E27FC236}">
              <a16:creationId xmlns:a16="http://schemas.microsoft.com/office/drawing/2014/main" id="{028DD63E-B467-465C-8AD8-7059221EEF13}"/>
            </a:ext>
          </a:extLst>
        </xdr:cNvPr>
        <xdr:cNvSpPr/>
      </xdr:nvSpPr>
      <xdr:spPr>
        <a:xfrm>
          <a:off x="23920122" y="15471338"/>
          <a:ext cx="4383854" cy="73818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ID" sz="1100">
              <a:solidFill>
                <a:schemeClr val="lt1"/>
              </a:solidFill>
              <a:effectLst/>
              <a:latin typeface="+mn-lt"/>
              <a:ea typeface="+mn-ea"/>
              <a:cs typeface="+mn-cs"/>
            </a:rPr>
            <a:t>Is</a:t>
          </a:r>
          <a:r>
            <a:rPr lang="en-ID" sz="1100" baseline="0">
              <a:solidFill>
                <a:schemeClr val="lt1"/>
              </a:solidFill>
              <a:effectLst/>
              <a:latin typeface="+mn-lt"/>
              <a:ea typeface="+mn-ea"/>
              <a:cs typeface="+mn-cs"/>
            </a:rPr>
            <a:t> there any value added? (e.g: adding new function)</a:t>
          </a:r>
          <a:endParaRPr lang="en-ID">
            <a:effectLst/>
          </a:endParaRPr>
        </a:p>
        <a:p>
          <a:r>
            <a:rPr lang="en-ID" sz="1100">
              <a:solidFill>
                <a:schemeClr val="lt1"/>
              </a:solidFill>
              <a:effectLst/>
              <a:latin typeface="+mn-lt"/>
              <a:ea typeface="+mn-ea"/>
              <a:cs typeface="+mn-cs"/>
            </a:rPr>
            <a:t>Apakah ada nilai tambah? (Contoh: Penambahan fungsi)</a:t>
          </a:r>
          <a:endParaRPr lang="en-ID">
            <a:effectLst/>
          </a:endParaRPr>
        </a:p>
      </xdr:txBody>
    </xdr:sp>
    <xdr:clientData/>
  </xdr:twoCellAnchor>
  <xdr:twoCellAnchor>
    <xdr:from>
      <xdr:col>41</xdr:col>
      <xdr:colOff>17105</xdr:colOff>
      <xdr:row>80</xdr:row>
      <xdr:rowOff>50364</xdr:rowOff>
    </xdr:from>
    <xdr:to>
      <xdr:col>42</xdr:col>
      <xdr:colOff>394464</xdr:colOff>
      <xdr:row>81</xdr:row>
      <xdr:rowOff>176953</xdr:rowOff>
    </xdr:to>
    <xdr:sp macro="" textlink="">
      <xdr:nvSpPr>
        <xdr:cNvPr id="161" name="Rectangle: Rounded Corners 160">
          <a:extLst>
            <a:ext uri="{FF2B5EF4-FFF2-40B4-BE49-F238E27FC236}">
              <a16:creationId xmlns:a16="http://schemas.microsoft.com/office/drawing/2014/main" id="{445038F1-8930-4BC6-90BF-0AE848DE602C}"/>
            </a:ext>
          </a:extLst>
        </xdr:cNvPr>
        <xdr:cNvSpPr/>
      </xdr:nvSpPr>
      <xdr:spPr>
        <a:xfrm>
          <a:off x="28792130" y="15290364"/>
          <a:ext cx="986959" cy="31708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41</xdr:col>
      <xdr:colOff>26630</xdr:colOff>
      <xdr:row>83</xdr:row>
      <xdr:rowOff>162665</xdr:rowOff>
    </xdr:from>
    <xdr:to>
      <xdr:col>42</xdr:col>
      <xdr:colOff>403989</xdr:colOff>
      <xdr:row>85</xdr:row>
      <xdr:rowOff>103133</xdr:rowOff>
    </xdr:to>
    <xdr:sp macro="" textlink="">
      <xdr:nvSpPr>
        <xdr:cNvPr id="162" name="Rectangle: Rounded Corners 161">
          <a:extLst>
            <a:ext uri="{FF2B5EF4-FFF2-40B4-BE49-F238E27FC236}">
              <a16:creationId xmlns:a16="http://schemas.microsoft.com/office/drawing/2014/main" id="{F407E48E-B2ED-4230-A696-652C03E7B1A1}"/>
            </a:ext>
          </a:extLst>
        </xdr:cNvPr>
        <xdr:cNvSpPr/>
      </xdr:nvSpPr>
      <xdr:spPr>
        <a:xfrm>
          <a:off x="28801655" y="15974165"/>
          <a:ext cx="986959" cy="32146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40</xdr:col>
      <xdr:colOff>138551</xdr:colOff>
      <xdr:row>81</xdr:row>
      <xdr:rowOff>20598</xdr:rowOff>
    </xdr:from>
    <xdr:to>
      <xdr:col>41</xdr:col>
      <xdr:colOff>17105</xdr:colOff>
      <xdr:row>83</xdr:row>
      <xdr:rowOff>28931</xdr:rowOff>
    </xdr:to>
    <xdr:cxnSp macro="">
      <xdr:nvCxnSpPr>
        <xdr:cNvPr id="163" name="Straight Arrow Connector 162">
          <a:extLst>
            <a:ext uri="{FF2B5EF4-FFF2-40B4-BE49-F238E27FC236}">
              <a16:creationId xmlns:a16="http://schemas.microsoft.com/office/drawing/2014/main" id="{63D79405-BDF2-41F5-9A0C-A174A969219B}"/>
            </a:ext>
          </a:extLst>
        </xdr:cNvPr>
        <xdr:cNvCxnSpPr>
          <a:stCxn id="160" idx="3"/>
          <a:endCxn id="161" idx="1"/>
        </xdr:cNvCxnSpPr>
      </xdr:nvCxnSpPr>
      <xdr:spPr>
        <a:xfrm flipV="1">
          <a:off x="28303976" y="15451098"/>
          <a:ext cx="488154" cy="38933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138551</xdr:colOff>
      <xdr:row>83</xdr:row>
      <xdr:rowOff>28931</xdr:rowOff>
    </xdr:from>
    <xdr:to>
      <xdr:col>41</xdr:col>
      <xdr:colOff>26630</xdr:colOff>
      <xdr:row>84</xdr:row>
      <xdr:rowOff>132900</xdr:rowOff>
    </xdr:to>
    <xdr:cxnSp macro="">
      <xdr:nvCxnSpPr>
        <xdr:cNvPr id="164" name="Straight Arrow Connector 163">
          <a:extLst>
            <a:ext uri="{FF2B5EF4-FFF2-40B4-BE49-F238E27FC236}">
              <a16:creationId xmlns:a16="http://schemas.microsoft.com/office/drawing/2014/main" id="{7C95AC36-4BDB-49F7-AE76-6762F617BA2D}"/>
            </a:ext>
          </a:extLst>
        </xdr:cNvPr>
        <xdr:cNvCxnSpPr>
          <a:stCxn id="160" idx="3"/>
          <a:endCxn id="162" idx="1"/>
        </xdr:cNvCxnSpPr>
      </xdr:nvCxnSpPr>
      <xdr:spPr>
        <a:xfrm>
          <a:off x="28303976" y="15840431"/>
          <a:ext cx="497679" cy="29446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43</xdr:col>
      <xdr:colOff>165320</xdr:colOff>
      <xdr:row>83</xdr:row>
      <xdr:rowOff>146706</xdr:rowOff>
    </xdr:from>
    <xdr:to>
      <xdr:col>44</xdr:col>
      <xdr:colOff>459828</xdr:colOff>
      <xdr:row>85</xdr:row>
      <xdr:rowOff>125274</xdr:rowOff>
    </xdr:to>
    <xdr:sp macro="" textlink="">
      <xdr:nvSpPr>
        <xdr:cNvPr id="165" name="Rectangle: Rounded Corners 164">
          <a:extLst>
            <a:ext uri="{FF2B5EF4-FFF2-40B4-BE49-F238E27FC236}">
              <a16:creationId xmlns:a16="http://schemas.microsoft.com/office/drawing/2014/main" id="{A3DD4206-122B-4044-B68D-72D9060B811E}"/>
            </a:ext>
          </a:extLst>
        </xdr:cNvPr>
        <xdr:cNvSpPr/>
      </xdr:nvSpPr>
      <xdr:spPr>
        <a:xfrm>
          <a:off x="30159545" y="15958206"/>
          <a:ext cx="904108"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42</xdr:col>
      <xdr:colOff>403989</xdr:colOff>
      <xdr:row>84</xdr:row>
      <xdr:rowOff>132900</xdr:rowOff>
    </xdr:from>
    <xdr:to>
      <xdr:col>43</xdr:col>
      <xdr:colOff>165320</xdr:colOff>
      <xdr:row>84</xdr:row>
      <xdr:rowOff>135991</xdr:rowOff>
    </xdr:to>
    <xdr:cxnSp macro="">
      <xdr:nvCxnSpPr>
        <xdr:cNvPr id="166" name="Straight Arrow Connector 165">
          <a:extLst>
            <a:ext uri="{FF2B5EF4-FFF2-40B4-BE49-F238E27FC236}">
              <a16:creationId xmlns:a16="http://schemas.microsoft.com/office/drawing/2014/main" id="{15AFB8C3-0F20-482D-8E26-E12BB6BC07D0}"/>
            </a:ext>
          </a:extLst>
        </xdr:cNvPr>
        <xdr:cNvCxnSpPr>
          <a:stCxn id="162" idx="3"/>
          <a:endCxn id="165" idx="1"/>
        </xdr:cNvCxnSpPr>
      </xdr:nvCxnSpPr>
      <xdr:spPr>
        <a:xfrm>
          <a:off x="29788614" y="16134900"/>
          <a:ext cx="370931"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501869</xdr:colOff>
      <xdr:row>78</xdr:row>
      <xdr:rowOff>127876</xdr:rowOff>
    </xdr:from>
    <xdr:to>
      <xdr:col>41</xdr:col>
      <xdr:colOff>512336</xdr:colOff>
      <xdr:row>80</xdr:row>
      <xdr:rowOff>50364</xdr:rowOff>
    </xdr:to>
    <xdr:cxnSp macro="">
      <xdr:nvCxnSpPr>
        <xdr:cNvPr id="167" name="Straight Arrow Connector 166">
          <a:extLst>
            <a:ext uri="{FF2B5EF4-FFF2-40B4-BE49-F238E27FC236}">
              <a16:creationId xmlns:a16="http://schemas.microsoft.com/office/drawing/2014/main" id="{37915A17-0EC6-4847-B24D-C0DB7647DE91}"/>
            </a:ext>
          </a:extLst>
        </xdr:cNvPr>
        <xdr:cNvCxnSpPr>
          <a:stCxn id="161" idx="0"/>
          <a:endCxn id="168" idx="2"/>
        </xdr:cNvCxnSpPr>
      </xdr:nvCxnSpPr>
      <xdr:spPr>
        <a:xfrm flipH="1" flipV="1">
          <a:off x="29276894" y="14986876"/>
          <a:ext cx="10467" cy="303488"/>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39</xdr:col>
      <xdr:colOff>292101</xdr:colOff>
      <xdr:row>73</xdr:row>
      <xdr:rowOff>109482</xdr:rowOff>
    </xdr:from>
    <xdr:to>
      <xdr:col>44</xdr:col>
      <xdr:colOff>98534</xdr:colOff>
      <xdr:row>78</xdr:row>
      <xdr:rowOff>127876</xdr:rowOff>
    </xdr:to>
    <xdr:sp macro="" textlink="">
      <xdr:nvSpPr>
        <xdr:cNvPr id="168" name="Rectangle: Rounded Corners 167">
          <a:extLst>
            <a:ext uri="{FF2B5EF4-FFF2-40B4-BE49-F238E27FC236}">
              <a16:creationId xmlns:a16="http://schemas.microsoft.com/office/drawing/2014/main" id="{B90BC185-919A-4F7C-9A7B-F0BC1ADE8760}"/>
            </a:ext>
          </a:extLst>
        </xdr:cNvPr>
        <xdr:cNvSpPr/>
      </xdr:nvSpPr>
      <xdr:spPr>
        <a:xfrm>
          <a:off x="27847926" y="14015982"/>
          <a:ext cx="2854433" cy="97089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42</xdr:col>
      <xdr:colOff>394464</xdr:colOff>
      <xdr:row>81</xdr:row>
      <xdr:rowOff>18394</xdr:rowOff>
    </xdr:from>
    <xdr:to>
      <xdr:col>46</xdr:col>
      <xdr:colOff>62185</xdr:colOff>
      <xdr:row>81</xdr:row>
      <xdr:rowOff>20598</xdr:rowOff>
    </xdr:to>
    <xdr:cxnSp macro="">
      <xdr:nvCxnSpPr>
        <xdr:cNvPr id="169" name="Straight Arrow Connector 168">
          <a:extLst>
            <a:ext uri="{FF2B5EF4-FFF2-40B4-BE49-F238E27FC236}">
              <a16:creationId xmlns:a16="http://schemas.microsoft.com/office/drawing/2014/main" id="{FAC90C07-06BB-403B-8606-88C84883B03D}"/>
            </a:ext>
          </a:extLst>
        </xdr:cNvPr>
        <xdr:cNvCxnSpPr>
          <a:stCxn id="161" idx="3"/>
          <a:endCxn id="170" idx="1"/>
        </xdr:cNvCxnSpPr>
      </xdr:nvCxnSpPr>
      <xdr:spPr>
        <a:xfrm flipV="1">
          <a:off x="29779089" y="15448894"/>
          <a:ext cx="2106121" cy="220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46</xdr:col>
      <xdr:colOff>62185</xdr:colOff>
      <xdr:row>79</xdr:row>
      <xdr:rowOff>105980</xdr:rowOff>
    </xdr:from>
    <xdr:to>
      <xdr:col>50</xdr:col>
      <xdr:colOff>138823</xdr:colOff>
      <xdr:row>82</xdr:row>
      <xdr:rowOff>116928</xdr:rowOff>
    </xdr:to>
    <xdr:sp macro="" textlink="">
      <xdr:nvSpPr>
        <xdr:cNvPr id="170" name="Rectangle: Rounded Corners 169">
          <a:extLst>
            <a:ext uri="{FF2B5EF4-FFF2-40B4-BE49-F238E27FC236}">
              <a16:creationId xmlns:a16="http://schemas.microsoft.com/office/drawing/2014/main" id="{1DA75AA3-4684-4E4A-9241-BD1F7860C82C}"/>
            </a:ext>
          </a:extLst>
        </xdr:cNvPr>
        <xdr:cNvSpPr/>
      </xdr:nvSpPr>
      <xdr:spPr>
        <a:xfrm>
          <a:off x="31885210" y="15155480"/>
          <a:ext cx="2515038"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51</xdr:col>
      <xdr:colOff>99216</xdr:colOff>
      <xdr:row>75</xdr:row>
      <xdr:rowOff>149772</xdr:rowOff>
    </xdr:from>
    <xdr:to>
      <xdr:col>53</xdr:col>
      <xdr:colOff>138822</xdr:colOff>
      <xdr:row>79</xdr:row>
      <xdr:rowOff>73133</xdr:rowOff>
    </xdr:to>
    <xdr:sp macro="" textlink="">
      <xdr:nvSpPr>
        <xdr:cNvPr id="171" name="Rectangle: Rounded Corners 170">
          <a:extLst>
            <a:ext uri="{FF2B5EF4-FFF2-40B4-BE49-F238E27FC236}">
              <a16:creationId xmlns:a16="http://schemas.microsoft.com/office/drawing/2014/main" id="{082C730E-70D4-404F-98FF-25DAE0F318B3}"/>
            </a:ext>
          </a:extLst>
        </xdr:cNvPr>
        <xdr:cNvSpPr/>
      </xdr:nvSpPr>
      <xdr:spPr>
        <a:xfrm>
          <a:off x="34970241" y="14437272"/>
          <a:ext cx="1258806" cy="68536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51</xdr:col>
      <xdr:colOff>109288</xdr:colOff>
      <xdr:row>81</xdr:row>
      <xdr:rowOff>72258</xdr:rowOff>
    </xdr:from>
    <xdr:to>
      <xdr:col>53</xdr:col>
      <xdr:colOff>148894</xdr:colOff>
      <xdr:row>83</xdr:row>
      <xdr:rowOff>181740</xdr:rowOff>
    </xdr:to>
    <xdr:sp macro="" textlink="">
      <xdr:nvSpPr>
        <xdr:cNvPr id="172" name="Rectangle: Rounded Corners 171">
          <a:extLst>
            <a:ext uri="{FF2B5EF4-FFF2-40B4-BE49-F238E27FC236}">
              <a16:creationId xmlns:a16="http://schemas.microsoft.com/office/drawing/2014/main" id="{280E2AA9-E3E6-437A-901C-7EEF1445A76F}"/>
            </a:ext>
          </a:extLst>
        </xdr:cNvPr>
        <xdr:cNvSpPr/>
      </xdr:nvSpPr>
      <xdr:spPr>
        <a:xfrm>
          <a:off x="34980313" y="15502758"/>
          <a:ext cx="1258806" cy="49048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50</xdr:col>
      <xdr:colOff>138823</xdr:colOff>
      <xdr:row>78</xdr:row>
      <xdr:rowOff>18393</xdr:rowOff>
    </xdr:from>
    <xdr:to>
      <xdr:col>51</xdr:col>
      <xdr:colOff>99216</xdr:colOff>
      <xdr:row>81</xdr:row>
      <xdr:rowOff>18394</xdr:rowOff>
    </xdr:to>
    <xdr:cxnSp macro="">
      <xdr:nvCxnSpPr>
        <xdr:cNvPr id="173" name="Straight Arrow Connector 172">
          <a:extLst>
            <a:ext uri="{FF2B5EF4-FFF2-40B4-BE49-F238E27FC236}">
              <a16:creationId xmlns:a16="http://schemas.microsoft.com/office/drawing/2014/main" id="{FECFE850-F24B-418C-8167-76F288AD4437}"/>
            </a:ext>
          </a:extLst>
        </xdr:cNvPr>
        <xdr:cNvCxnSpPr>
          <a:stCxn id="170" idx="3"/>
          <a:endCxn id="171" idx="1"/>
        </xdr:cNvCxnSpPr>
      </xdr:nvCxnSpPr>
      <xdr:spPr>
        <a:xfrm flipV="1">
          <a:off x="34400248" y="14877393"/>
          <a:ext cx="569993" cy="5715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50</xdr:col>
      <xdr:colOff>138823</xdr:colOff>
      <xdr:row>81</xdr:row>
      <xdr:rowOff>18394</xdr:rowOff>
    </xdr:from>
    <xdr:to>
      <xdr:col>51</xdr:col>
      <xdr:colOff>109288</xdr:colOff>
      <xdr:row>82</xdr:row>
      <xdr:rowOff>126999</xdr:rowOff>
    </xdr:to>
    <xdr:cxnSp macro="">
      <xdr:nvCxnSpPr>
        <xdr:cNvPr id="174" name="Straight Arrow Connector 173">
          <a:extLst>
            <a:ext uri="{FF2B5EF4-FFF2-40B4-BE49-F238E27FC236}">
              <a16:creationId xmlns:a16="http://schemas.microsoft.com/office/drawing/2014/main" id="{70D2C860-BA1C-4ECC-B213-FBB2AC0486F9}"/>
            </a:ext>
          </a:extLst>
        </xdr:cNvPr>
        <xdr:cNvCxnSpPr>
          <a:stCxn id="170" idx="3"/>
          <a:endCxn id="172" idx="1"/>
        </xdr:cNvCxnSpPr>
      </xdr:nvCxnSpPr>
      <xdr:spPr>
        <a:xfrm>
          <a:off x="34400248" y="15448894"/>
          <a:ext cx="580065" cy="29910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75567</xdr:colOff>
      <xdr:row>75</xdr:row>
      <xdr:rowOff>148019</xdr:rowOff>
    </xdr:from>
    <xdr:to>
      <xdr:col>56</xdr:col>
      <xdr:colOff>115173</xdr:colOff>
      <xdr:row>79</xdr:row>
      <xdr:rowOff>71380</xdr:rowOff>
    </xdr:to>
    <xdr:sp macro="" textlink="">
      <xdr:nvSpPr>
        <xdr:cNvPr id="175" name="Rectangle: Rounded Corners 174">
          <a:extLst>
            <a:ext uri="{FF2B5EF4-FFF2-40B4-BE49-F238E27FC236}">
              <a16:creationId xmlns:a16="http://schemas.microsoft.com/office/drawing/2014/main" id="{25CA6CD6-06C5-4B73-A17A-9213C9BA7D3A}"/>
            </a:ext>
          </a:extLst>
        </xdr:cNvPr>
        <xdr:cNvSpPr/>
      </xdr:nvSpPr>
      <xdr:spPr>
        <a:xfrm>
          <a:off x="36775392" y="14435519"/>
          <a:ext cx="1258806" cy="68536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54</xdr:col>
      <xdr:colOff>63742</xdr:colOff>
      <xdr:row>81</xdr:row>
      <xdr:rowOff>70506</xdr:rowOff>
    </xdr:from>
    <xdr:to>
      <xdr:col>56</xdr:col>
      <xdr:colOff>103348</xdr:colOff>
      <xdr:row>83</xdr:row>
      <xdr:rowOff>179988</xdr:rowOff>
    </xdr:to>
    <xdr:sp macro="" textlink="">
      <xdr:nvSpPr>
        <xdr:cNvPr id="176" name="Rectangle: Rounded Corners 175">
          <a:extLst>
            <a:ext uri="{FF2B5EF4-FFF2-40B4-BE49-F238E27FC236}">
              <a16:creationId xmlns:a16="http://schemas.microsoft.com/office/drawing/2014/main" id="{5DD0671C-F9A2-4B59-A9D4-2527B6E0A8CE}"/>
            </a:ext>
          </a:extLst>
        </xdr:cNvPr>
        <xdr:cNvSpPr/>
      </xdr:nvSpPr>
      <xdr:spPr>
        <a:xfrm>
          <a:off x="36763567" y="15501006"/>
          <a:ext cx="1258806" cy="490482"/>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53</xdr:col>
      <xdr:colOff>138822</xdr:colOff>
      <xdr:row>78</xdr:row>
      <xdr:rowOff>16640</xdr:rowOff>
    </xdr:from>
    <xdr:to>
      <xdr:col>54</xdr:col>
      <xdr:colOff>75567</xdr:colOff>
      <xdr:row>78</xdr:row>
      <xdr:rowOff>18393</xdr:rowOff>
    </xdr:to>
    <xdr:cxnSp macro="">
      <xdr:nvCxnSpPr>
        <xdr:cNvPr id="177" name="Straight Arrow Connector 176">
          <a:extLst>
            <a:ext uri="{FF2B5EF4-FFF2-40B4-BE49-F238E27FC236}">
              <a16:creationId xmlns:a16="http://schemas.microsoft.com/office/drawing/2014/main" id="{D1D238A6-1746-4611-BB71-15ADB600C3BF}"/>
            </a:ext>
          </a:extLst>
        </xdr:cNvPr>
        <xdr:cNvCxnSpPr>
          <a:stCxn id="171" idx="3"/>
          <a:endCxn id="175" idx="1"/>
        </xdr:cNvCxnSpPr>
      </xdr:nvCxnSpPr>
      <xdr:spPr>
        <a:xfrm flipV="1">
          <a:off x="36229047" y="14875640"/>
          <a:ext cx="546345"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53</xdr:col>
      <xdr:colOff>148894</xdr:colOff>
      <xdr:row>82</xdr:row>
      <xdr:rowOff>125247</xdr:rowOff>
    </xdr:from>
    <xdr:to>
      <xdr:col>54</xdr:col>
      <xdr:colOff>63742</xdr:colOff>
      <xdr:row>82</xdr:row>
      <xdr:rowOff>126999</xdr:rowOff>
    </xdr:to>
    <xdr:cxnSp macro="">
      <xdr:nvCxnSpPr>
        <xdr:cNvPr id="178" name="Straight Arrow Connector 177">
          <a:extLst>
            <a:ext uri="{FF2B5EF4-FFF2-40B4-BE49-F238E27FC236}">
              <a16:creationId xmlns:a16="http://schemas.microsoft.com/office/drawing/2014/main" id="{F4462C01-833D-46C6-B5C2-D825C38CC048}"/>
            </a:ext>
          </a:extLst>
        </xdr:cNvPr>
        <xdr:cNvCxnSpPr>
          <a:stCxn id="172" idx="3"/>
          <a:endCxn id="176" idx="1"/>
        </xdr:cNvCxnSpPr>
      </xdr:nvCxnSpPr>
      <xdr:spPr>
        <a:xfrm flipV="1">
          <a:off x="36239119" y="15746247"/>
          <a:ext cx="524448"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653610</xdr:colOff>
      <xdr:row>81</xdr:row>
      <xdr:rowOff>116051</xdr:rowOff>
    </xdr:from>
    <xdr:to>
      <xdr:col>17</xdr:col>
      <xdr:colOff>2558392</xdr:colOff>
      <xdr:row>84</xdr:row>
      <xdr:rowOff>126999</xdr:rowOff>
    </xdr:to>
    <xdr:sp macro="" textlink="">
      <xdr:nvSpPr>
        <xdr:cNvPr id="179" name="Rectangle: Rounded Corners 178">
          <a:extLst>
            <a:ext uri="{FF2B5EF4-FFF2-40B4-BE49-F238E27FC236}">
              <a16:creationId xmlns:a16="http://schemas.microsoft.com/office/drawing/2014/main" id="{F0345771-584C-4BA2-83A4-8F4C57E978CC}"/>
            </a:ext>
          </a:extLst>
        </xdr:cNvPr>
        <xdr:cNvSpPr/>
      </xdr:nvSpPr>
      <xdr:spPr>
        <a:xfrm>
          <a:off x="12597960" y="15546551"/>
          <a:ext cx="1904782"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a:t>
          </a:r>
          <a:endParaRPr lang="en-ID" sz="1100" baseline="0"/>
        </a:p>
        <a:p>
          <a:pPr algn="ctr"/>
          <a:r>
            <a:rPr lang="en-ID" sz="1100" baseline="0"/>
            <a:t>Estimasi masa manfaat</a:t>
          </a:r>
          <a:endParaRPr lang="en-ID" sz="1100"/>
        </a:p>
      </xdr:txBody>
    </xdr:sp>
    <xdr:clientData/>
  </xdr:twoCellAnchor>
  <xdr:twoCellAnchor>
    <xdr:from>
      <xdr:col>17</xdr:col>
      <xdr:colOff>2558392</xdr:colOff>
      <xdr:row>75</xdr:row>
      <xdr:rowOff>71164</xdr:rowOff>
    </xdr:from>
    <xdr:to>
      <xdr:col>18</xdr:col>
      <xdr:colOff>292097</xdr:colOff>
      <xdr:row>83</xdr:row>
      <xdr:rowOff>28464</xdr:rowOff>
    </xdr:to>
    <xdr:cxnSp macro="">
      <xdr:nvCxnSpPr>
        <xdr:cNvPr id="180" name="Straight Arrow Connector 179">
          <a:extLst>
            <a:ext uri="{FF2B5EF4-FFF2-40B4-BE49-F238E27FC236}">
              <a16:creationId xmlns:a16="http://schemas.microsoft.com/office/drawing/2014/main" id="{7DBDB9D1-13DC-40F6-B81C-117991C15D5A}"/>
            </a:ext>
          </a:extLst>
        </xdr:cNvPr>
        <xdr:cNvCxnSpPr>
          <a:stCxn id="179" idx="3"/>
          <a:endCxn id="181" idx="1"/>
        </xdr:cNvCxnSpPr>
      </xdr:nvCxnSpPr>
      <xdr:spPr>
        <a:xfrm flipV="1">
          <a:off x="14502742" y="14358664"/>
          <a:ext cx="438805" cy="148130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292097</xdr:colOff>
      <xdr:row>74</xdr:row>
      <xdr:rowOff>43793</xdr:rowOff>
    </xdr:from>
    <xdr:to>
      <xdr:col>20</xdr:col>
      <xdr:colOff>171667</xdr:colOff>
      <xdr:row>76</xdr:row>
      <xdr:rowOff>98534</xdr:rowOff>
    </xdr:to>
    <xdr:sp macro="" textlink="">
      <xdr:nvSpPr>
        <xdr:cNvPr id="181" name="Rectangle: Rounded Corners 180">
          <a:extLst>
            <a:ext uri="{FF2B5EF4-FFF2-40B4-BE49-F238E27FC236}">
              <a16:creationId xmlns:a16="http://schemas.microsoft.com/office/drawing/2014/main" id="{910ADA45-8FF6-41C4-8642-0C398BE08E6D}"/>
            </a:ext>
          </a:extLst>
        </xdr:cNvPr>
        <xdr:cNvSpPr/>
      </xdr:nvSpPr>
      <xdr:spPr>
        <a:xfrm>
          <a:off x="14941547" y="14140793"/>
          <a:ext cx="1203545" cy="43574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20</xdr:col>
      <xdr:colOff>504715</xdr:colOff>
      <xdr:row>74</xdr:row>
      <xdr:rowOff>43793</xdr:rowOff>
    </xdr:from>
    <xdr:to>
      <xdr:col>23</xdr:col>
      <xdr:colOff>21896</xdr:colOff>
      <xdr:row>76</xdr:row>
      <xdr:rowOff>109481</xdr:rowOff>
    </xdr:to>
    <xdr:sp macro="" textlink="">
      <xdr:nvSpPr>
        <xdr:cNvPr id="182" name="Rectangle: Rounded Corners 181">
          <a:extLst>
            <a:ext uri="{FF2B5EF4-FFF2-40B4-BE49-F238E27FC236}">
              <a16:creationId xmlns:a16="http://schemas.microsoft.com/office/drawing/2014/main" id="{96664CA6-4197-452E-AB2C-1094313D8BB3}"/>
            </a:ext>
          </a:extLst>
        </xdr:cNvPr>
        <xdr:cNvSpPr/>
      </xdr:nvSpPr>
      <xdr:spPr>
        <a:xfrm>
          <a:off x="16478140" y="14140793"/>
          <a:ext cx="1345981" cy="44668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18</xdr:col>
      <xdr:colOff>291440</xdr:colOff>
      <xdr:row>81</xdr:row>
      <xdr:rowOff>62188</xdr:rowOff>
    </xdr:from>
    <xdr:to>
      <xdr:col>22</xdr:col>
      <xdr:colOff>182615</xdr:colOff>
      <xdr:row>84</xdr:row>
      <xdr:rowOff>182619</xdr:rowOff>
    </xdr:to>
    <xdr:sp macro="" textlink="">
      <xdr:nvSpPr>
        <xdr:cNvPr id="183" name="Rectangle: Rounded Corners 182">
          <a:extLst>
            <a:ext uri="{FF2B5EF4-FFF2-40B4-BE49-F238E27FC236}">
              <a16:creationId xmlns:a16="http://schemas.microsoft.com/office/drawing/2014/main" id="{AC39D8EF-5A07-4BE2-962C-7F5E44C2B819}"/>
            </a:ext>
          </a:extLst>
        </xdr:cNvPr>
        <xdr:cNvSpPr/>
      </xdr:nvSpPr>
      <xdr:spPr>
        <a:xfrm>
          <a:off x="14940890" y="15492688"/>
          <a:ext cx="2434350" cy="6919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17</xdr:col>
      <xdr:colOff>2558392</xdr:colOff>
      <xdr:row>83</xdr:row>
      <xdr:rowOff>28465</xdr:rowOff>
    </xdr:from>
    <xdr:to>
      <xdr:col>18</xdr:col>
      <xdr:colOff>291440</xdr:colOff>
      <xdr:row>83</xdr:row>
      <xdr:rowOff>29344</xdr:rowOff>
    </xdr:to>
    <xdr:cxnSp macro="">
      <xdr:nvCxnSpPr>
        <xdr:cNvPr id="184" name="Straight Arrow Connector 183">
          <a:extLst>
            <a:ext uri="{FF2B5EF4-FFF2-40B4-BE49-F238E27FC236}">
              <a16:creationId xmlns:a16="http://schemas.microsoft.com/office/drawing/2014/main" id="{39A1373D-79CB-4D62-909B-512DC4763D0D}"/>
            </a:ext>
          </a:extLst>
        </xdr:cNvPr>
        <xdr:cNvCxnSpPr>
          <a:stCxn id="179" idx="3"/>
          <a:endCxn id="183" idx="1"/>
        </xdr:cNvCxnSpPr>
      </xdr:nvCxnSpPr>
      <xdr:spPr>
        <a:xfrm>
          <a:off x="14502742" y="15839965"/>
          <a:ext cx="438148" cy="8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612472</xdr:colOff>
      <xdr:row>103</xdr:row>
      <xdr:rowOff>81761</xdr:rowOff>
    </xdr:from>
    <xdr:to>
      <xdr:col>15</xdr:col>
      <xdr:colOff>23182</xdr:colOff>
      <xdr:row>106</xdr:row>
      <xdr:rowOff>141292</xdr:rowOff>
    </xdr:to>
    <xdr:sp macro="" textlink="">
      <xdr:nvSpPr>
        <xdr:cNvPr id="185" name="Rectangle: Rounded Corners 184">
          <a:extLst>
            <a:ext uri="{FF2B5EF4-FFF2-40B4-BE49-F238E27FC236}">
              <a16:creationId xmlns:a16="http://schemas.microsoft.com/office/drawing/2014/main" id="{5025C70E-E4DC-4F0D-8727-2B002344ED59}"/>
            </a:ext>
          </a:extLst>
        </xdr:cNvPr>
        <xdr:cNvSpPr/>
      </xdr:nvSpPr>
      <xdr:spPr>
        <a:xfrm>
          <a:off x="5717872" y="19703261"/>
          <a:ext cx="3677910" cy="6310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7</xdr:col>
      <xdr:colOff>567888</xdr:colOff>
      <xdr:row>105</xdr:row>
      <xdr:rowOff>18466</xdr:rowOff>
    </xdr:from>
    <xdr:to>
      <xdr:col>8</xdr:col>
      <xdr:colOff>612472</xdr:colOff>
      <xdr:row>105</xdr:row>
      <xdr:rowOff>22633</xdr:rowOff>
    </xdr:to>
    <xdr:cxnSp macro="">
      <xdr:nvCxnSpPr>
        <xdr:cNvPr id="186" name="Straight Arrow Connector 185">
          <a:extLst>
            <a:ext uri="{FF2B5EF4-FFF2-40B4-BE49-F238E27FC236}">
              <a16:creationId xmlns:a16="http://schemas.microsoft.com/office/drawing/2014/main" id="{C5B67D26-64B4-4781-9208-F1EC2BA0772E}"/>
            </a:ext>
          </a:extLst>
        </xdr:cNvPr>
        <xdr:cNvCxnSpPr>
          <a:stCxn id="8" idx="3"/>
          <a:endCxn id="185" idx="1"/>
        </xdr:cNvCxnSpPr>
      </xdr:nvCxnSpPr>
      <xdr:spPr>
        <a:xfrm flipV="1">
          <a:off x="5063688" y="20020966"/>
          <a:ext cx="654184" cy="416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155655</xdr:colOff>
      <xdr:row>102</xdr:row>
      <xdr:rowOff>96538</xdr:rowOff>
    </xdr:from>
    <xdr:to>
      <xdr:col>17</xdr:col>
      <xdr:colOff>417593</xdr:colOff>
      <xdr:row>104</xdr:row>
      <xdr:rowOff>37007</xdr:rowOff>
    </xdr:to>
    <xdr:sp macro="" textlink="">
      <xdr:nvSpPr>
        <xdr:cNvPr id="187" name="Rectangle: Rounded Corners 186">
          <a:extLst>
            <a:ext uri="{FF2B5EF4-FFF2-40B4-BE49-F238E27FC236}">
              <a16:creationId xmlns:a16="http://schemas.microsoft.com/office/drawing/2014/main" id="{8FEDBD72-1A40-40B9-BE06-4E90BB61196F}"/>
            </a:ext>
          </a:extLst>
        </xdr:cNvPr>
        <xdr:cNvSpPr/>
      </xdr:nvSpPr>
      <xdr:spPr>
        <a:xfrm>
          <a:off x="10137855" y="19527538"/>
          <a:ext cx="2224088"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700/ Rp 10,000,000</a:t>
          </a:r>
        </a:p>
      </xdr:txBody>
    </xdr:sp>
    <xdr:clientData/>
  </xdr:twoCellAnchor>
  <xdr:twoCellAnchor>
    <xdr:from>
      <xdr:col>16</xdr:col>
      <xdr:colOff>143749</xdr:colOff>
      <xdr:row>106</xdr:row>
      <xdr:rowOff>132253</xdr:rowOff>
    </xdr:from>
    <xdr:to>
      <xdr:col>17</xdr:col>
      <xdr:colOff>405687</xdr:colOff>
      <xdr:row>108</xdr:row>
      <xdr:rowOff>37004</xdr:rowOff>
    </xdr:to>
    <xdr:sp macro="" textlink="">
      <xdr:nvSpPr>
        <xdr:cNvPr id="188" name="Rectangle: Rounded Corners 187">
          <a:extLst>
            <a:ext uri="{FF2B5EF4-FFF2-40B4-BE49-F238E27FC236}">
              <a16:creationId xmlns:a16="http://schemas.microsoft.com/office/drawing/2014/main" id="{46408D67-8C7A-4372-9E27-05893030A34A}"/>
            </a:ext>
          </a:extLst>
        </xdr:cNvPr>
        <xdr:cNvSpPr/>
      </xdr:nvSpPr>
      <xdr:spPr>
        <a:xfrm>
          <a:off x="10125949" y="20325253"/>
          <a:ext cx="2224088" cy="28575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a:t>
          </a:r>
          <a:r>
            <a:rPr lang="en-ID" sz="1100">
              <a:solidFill>
                <a:schemeClr val="lt1"/>
              </a:solidFill>
              <a:effectLst/>
              <a:latin typeface="+mn-lt"/>
              <a:ea typeface="+mn-ea"/>
              <a:cs typeface="+mn-cs"/>
            </a:rPr>
            <a:t>USD 700/ Rp 10,000,000</a:t>
          </a:r>
          <a:endParaRPr lang="en-ID" sz="1100"/>
        </a:p>
      </xdr:txBody>
    </xdr:sp>
    <xdr:clientData/>
  </xdr:twoCellAnchor>
  <xdr:twoCellAnchor>
    <xdr:from>
      <xdr:col>15</xdr:col>
      <xdr:colOff>23182</xdr:colOff>
      <xdr:row>103</xdr:row>
      <xdr:rowOff>66773</xdr:rowOff>
    </xdr:from>
    <xdr:to>
      <xdr:col>16</xdr:col>
      <xdr:colOff>155655</xdr:colOff>
      <xdr:row>105</xdr:row>
      <xdr:rowOff>18467</xdr:rowOff>
    </xdr:to>
    <xdr:cxnSp macro="">
      <xdr:nvCxnSpPr>
        <xdr:cNvPr id="189" name="Straight Arrow Connector 188">
          <a:extLst>
            <a:ext uri="{FF2B5EF4-FFF2-40B4-BE49-F238E27FC236}">
              <a16:creationId xmlns:a16="http://schemas.microsoft.com/office/drawing/2014/main" id="{C37BE914-DFD7-472C-8854-63432791BA72}"/>
            </a:ext>
          </a:extLst>
        </xdr:cNvPr>
        <xdr:cNvCxnSpPr>
          <a:stCxn id="185" idx="3"/>
          <a:endCxn id="187" idx="1"/>
        </xdr:cNvCxnSpPr>
      </xdr:nvCxnSpPr>
      <xdr:spPr>
        <a:xfrm flipV="1">
          <a:off x="9395782" y="19688273"/>
          <a:ext cx="742073" cy="33269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23182</xdr:colOff>
      <xdr:row>105</xdr:row>
      <xdr:rowOff>18467</xdr:rowOff>
    </xdr:from>
    <xdr:to>
      <xdr:col>16</xdr:col>
      <xdr:colOff>143749</xdr:colOff>
      <xdr:row>107</xdr:row>
      <xdr:rowOff>84628</xdr:rowOff>
    </xdr:to>
    <xdr:cxnSp macro="">
      <xdr:nvCxnSpPr>
        <xdr:cNvPr id="190" name="Straight Arrow Connector 189">
          <a:extLst>
            <a:ext uri="{FF2B5EF4-FFF2-40B4-BE49-F238E27FC236}">
              <a16:creationId xmlns:a16="http://schemas.microsoft.com/office/drawing/2014/main" id="{E43A588D-D0E6-4DB1-A093-2B7907B564EB}"/>
            </a:ext>
          </a:extLst>
        </xdr:cNvPr>
        <xdr:cNvCxnSpPr>
          <a:stCxn id="185" idx="3"/>
          <a:endCxn id="188" idx="1"/>
        </xdr:cNvCxnSpPr>
      </xdr:nvCxnSpPr>
      <xdr:spPr>
        <a:xfrm>
          <a:off x="9395782" y="20020967"/>
          <a:ext cx="730167" cy="44716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724775</xdr:colOff>
      <xdr:row>106</xdr:row>
      <xdr:rowOff>94154</xdr:rowOff>
    </xdr:from>
    <xdr:to>
      <xdr:col>18</xdr:col>
      <xdr:colOff>58901</xdr:colOff>
      <xdr:row>108</xdr:row>
      <xdr:rowOff>72723</xdr:rowOff>
    </xdr:to>
    <xdr:sp macro="" textlink="">
      <xdr:nvSpPr>
        <xdr:cNvPr id="191" name="Rectangle: Rounded Corners 190">
          <a:extLst>
            <a:ext uri="{FF2B5EF4-FFF2-40B4-BE49-F238E27FC236}">
              <a16:creationId xmlns:a16="http://schemas.microsoft.com/office/drawing/2014/main" id="{39B80EDB-E570-4BE8-9038-A9D6F5443E98}"/>
            </a:ext>
          </a:extLst>
        </xdr:cNvPr>
        <xdr:cNvSpPr/>
      </xdr:nvSpPr>
      <xdr:spPr>
        <a:xfrm>
          <a:off x="12669125" y="20287154"/>
          <a:ext cx="2039226" cy="35956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405687</xdr:colOff>
      <xdr:row>107</xdr:row>
      <xdr:rowOff>83438</xdr:rowOff>
    </xdr:from>
    <xdr:to>
      <xdr:col>17</xdr:col>
      <xdr:colOff>724775</xdr:colOff>
      <xdr:row>107</xdr:row>
      <xdr:rowOff>84628</xdr:rowOff>
    </xdr:to>
    <xdr:cxnSp macro="">
      <xdr:nvCxnSpPr>
        <xdr:cNvPr id="192" name="Straight Arrow Connector 191">
          <a:extLst>
            <a:ext uri="{FF2B5EF4-FFF2-40B4-BE49-F238E27FC236}">
              <a16:creationId xmlns:a16="http://schemas.microsoft.com/office/drawing/2014/main" id="{476A92CB-8BC3-407B-A225-D522A7DF8B4C}"/>
            </a:ext>
          </a:extLst>
        </xdr:cNvPr>
        <xdr:cNvCxnSpPr>
          <a:stCxn id="188" idx="3"/>
          <a:endCxn id="191" idx="1"/>
        </xdr:cNvCxnSpPr>
      </xdr:nvCxnSpPr>
      <xdr:spPr>
        <a:xfrm flipV="1">
          <a:off x="12350037" y="20466938"/>
          <a:ext cx="319088" cy="119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417593</xdr:colOff>
      <xdr:row>103</xdr:row>
      <xdr:rowOff>66773</xdr:rowOff>
    </xdr:from>
    <xdr:to>
      <xdr:col>17</xdr:col>
      <xdr:colOff>677149</xdr:colOff>
      <xdr:row>103</xdr:row>
      <xdr:rowOff>72724</xdr:rowOff>
    </xdr:to>
    <xdr:cxnSp macro="">
      <xdr:nvCxnSpPr>
        <xdr:cNvPr id="193" name="Straight Arrow Connector 192">
          <a:extLst>
            <a:ext uri="{FF2B5EF4-FFF2-40B4-BE49-F238E27FC236}">
              <a16:creationId xmlns:a16="http://schemas.microsoft.com/office/drawing/2014/main" id="{F14C47BF-518E-42A3-AA81-E44EA325C2B9}"/>
            </a:ext>
          </a:extLst>
        </xdr:cNvPr>
        <xdr:cNvCxnSpPr>
          <a:cxnSpLocks/>
          <a:stCxn id="187" idx="3"/>
        </xdr:cNvCxnSpPr>
      </xdr:nvCxnSpPr>
      <xdr:spPr>
        <a:xfrm>
          <a:off x="12361943" y="19688273"/>
          <a:ext cx="259556" cy="59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33</xdr:col>
      <xdr:colOff>21897</xdr:colOff>
      <xdr:row>101</xdr:row>
      <xdr:rowOff>18066</xdr:rowOff>
    </xdr:from>
    <xdr:to>
      <xdr:col>40</xdr:col>
      <xdr:colOff>137675</xdr:colOff>
      <xdr:row>104</xdr:row>
      <xdr:rowOff>180372</xdr:rowOff>
    </xdr:to>
    <xdr:sp macro="" textlink="">
      <xdr:nvSpPr>
        <xdr:cNvPr id="194" name="Rectangle: Rounded Corners 193">
          <a:extLst>
            <a:ext uri="{FF2B5EF4-FFF2-40B4-BE49-F238E27FC236}">
              <a16:creationId xmlns:a16="http://schemas.microsoft.com/office/drawing/2014/main" id="{53E8D88F-6743-45FB-909E-3EE555D8C77F}"/>
            </a:ext>
          </a:extLst>
        </xdr:cNvPr>
        <xdr:cNvSpPr/>
      </xdr:nvSpPr>
      <xdr:spPr>
        <a:xfrm>
          <a:off x="23920122" y="19258566"/>
          <a:ext cx="4382978" cy="73380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ID" sz="1100">
              <a:solidFill>
                <a:schemeClr val="lt1"/>
              </a:solidFill>
              <a:effectLst/>
              <a:latin typeface="+mn-lt"/>
              <a:ea typeface="+mn-ea"/>
              <a:cs typeface="+mn-cs"/>
            </a:rPr>
            <a:t>Is</a:t>
          </a:r>
          <a:r>
            <a:rPr lang="en-ID" sz="1100" baseline="0">
              <a:solidFill>
                <a:schemeClr val="lt1"/>
              </a:solidFill>
              <a:effectLst/>
              <a:latin typeface="+mn-lt"/>
              <a:ea typeface="+mn-ea"/>
              <a:cs typeface="+mn-cs"/>
            </a:rPr>
            <a:t> there any value added? (e.g: adding new function)</a:t>
          </a:r>
          <a:endParaRPr lang="en-ID">
            <a:effectLst/>
          </a:endParaRPr>
        </a:p>
        <a:p>
          <a:r>
            <a:rPr lang="en-ID" sz="1100">
              <a:solidFill>
                <a:schemeClr val="lt1"/>
              </a:solidFill>
              <a:effectLst/>
              <a:latin typeface="+mn-lt"/>
              <a:ea typeface="+mn-ea"/>
              <a:cs typeface="+mn-cs"/>
            </a:rPr>
            <a:t>Apakah ada nilai tambah? (Contoh: Penambahan fungsi)</a:t>
          </a:r>
          <a:endParaRPr lang="en-ID">
            <a:effectLst/>
          </a:endParaRPr>
        </a:p>
      </xdr:txBody>
    </xdr:sp>
    <xdr:clientData/>
  </xdr:twoCellAnchor>
  <xdr:twoCellAnchor>
    <xdr:from>
      <xdr:col>41</xdr:col>
      <xdr:colOff>16229</xdr:colOff>
      <xdr:row>100</xdr:row>
      <xdr:rowOff>27591</xdr:rowOff>
    </xdr:from>
    <xdr:to>
      <xdr:col>42</xdr:col>
      <xdr:colOff>393588</xdr:colOff>
      <xdr:row>101</xdr:row>
      <xdr:rowOff>154181</xdr:rowOff>
    </xdr:to>
    <xdr:sp macro="" textlink="">
      <xdr:nvSpPr>
        <xdr:cNvPr id="195" name="Rectangle: Rounded Corners 194">
          <a:extLst>
            <a:ext uri="{FF2B5EF4-FFF2-40B4-BE49-F238E27FC236}">
              <a16:creationId xmlns:a16="http://schemas.microsoft.com/office/drawing/2014/main" id="{BE32E66A-28C8-4590-81BA-BA190121DAC5}"/>
            </a:ext>
          </a:extLst>
        </xdr:cNvPr>
        <xdr:cNvSpPr/>
      </xdr:nvSpPr>
      <xdr:spPr>
        <a:xfrm>
          <a:off x="28791254" y="19077591"/>
          <a:ext cx="986959" cy="31709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41</xdr:col>
      <xdr:colOff>25754</xdr:colOff>
      <xdr:row>103</xdr:row>
      <xdr:rowOff>139892</xdr:rowOff>
    </xdr:from>
    <xdr:to>
      <xdr:col>42</xdr:col>
      <xdr:colOff>403113</xdr:colOff>
      <xdr:row>105</xdr:row>
      <xdr:rowOff>80361</xdr:rowOff>
    </xdr:to>
    <xdr:sp macro="" textlink="">
      <xdr:nvSpPr>
        <xdr:cNvPr id="196" name="Rectangle: Rounded Corners 195">
          <a:extLst>
            <a:ext uri="{FF2B5EF4-FFF2-40B4-BE49-F238E27FC236}">
              <a16:creationId xmlns:a16="http://schemas.microsoft.com/office/drawing/2014/main" id="{487CA4FC-27DD-44E1-85DD-E8590BF925EB}"/>
            </a:ext>
          </a:extLst>
        </xdr:cNvPr>
        <xdr:cNvSpPr/>
      </xdr:nvSpPr>
      <xdr:spPr>
        <a:xfrm>
          <a:off x="28800779" y="19761392"/>
          <a:ext cx="986959"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40</xdr:col>
      <xdr:colOff>137675</xdr:colOff>
      <xdr:row>100</xdr:row>
      <xdr:rowOff>183947</xdr:rowOff>
    </xdr:from>
    <xdr:to>
      <xdr:col>41</xdr:col>
      <xdr:colOff>16229</xdr:colOff>
      <xdr:row>103</xdr:row>
      <xdr:rowOff>6159</xdr:rowOff>
    </xdr:to>
    <xdr:cxnSp macro="">
      <xdr:nvCxnSpPr>
        <xdr:cNvPr id="197" name="Straight Arrow Connector 196">
          <a:extLst>
            <a:ext uri="{FF2B5EF4-FFF2-40B4-BE49-F238E27FC236}">
              <a16:creationId xmlns:a16="http://schemas.microsoft.com/office/drawing/2014/main" id="{AF50967B-B741-4119-8D6B-44DD4206A2DE}"/>
            </a:ext>
          </a:extLst>
        </xdr:cNvPr>
        <xdr:cNvCxnSpPr>
          <a:stCxn id="194" idx="3"/>
          <a:endCxn id="195" idx="1"/>
        </xdr:cNvCxnSpPr>
      </xdr:nvCxnSpPr>
      <xdr:spPr>
        <a:xfrm flipV="1">
          <a:off x="28303100" y="19233947"/>
          <a:ext cx="488154" cy="39371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137675</xdr:colOff>
      <xdr:row>103</xdr:row>
      <xdr:rowOff>6159</xdr:rowOff>
    </xdr:from>
    <xdr:to>
      <xdr:col>41</xdr:col>
      <xdr:colOff>25754</xdr:colOff>
      <xdr:row>104</xdr:row>
      <xdr:rowOff>110126</xdr:rowOff>
    </xdr:to>
    <xdr:cxnSp macro="">
      <xdr:nvCxnSpPr>
        <xdr:cNvPr id="198" name="Straight Arrow Connector 197">
          <a:extLst>
            <a:ext uri="{FF2B5EF4-FFF2-40B4-BE49-F238E27FC236}">
              <a16:creationId xmlns:a16="http://schemas.microsoft.com/office/drawing/2014/main" id="{5AD3E9C5-AFE8-441E-95D7-7AD251023130}"/>
            </a:ext>
          </a:extLst>
        </xdr:cNvPr>
        <xdr:cNvCxnSpPr>
          <a:stCxn id="194" idx="3"/>
          <a:endCxn id="196" idx="1"/>
        </xdr:cNvCxnSpPr>
      </xdr:nvCxnSpPr>
      <xdr:spPr>
        <a:xfrm>
          <a:off x="28303100" y="19627659"/>
          <a:ext cx="497679" cy="29446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43</xdr:col>
      <xdr:colOff>175390</xdr:colOff>
      <xdr:row>103</xdr:row>
      <xdr:rowOff>123933</xdr:rowOff>
    </xdr:from>
    <xdr:to>
      <xdr:col>44</xdr:col>
      <xdr:colOff>437929</xdr:colOff>
      <xdr:row>105</xdr:row>
      <xdr:rowOff>102502</xdr:rowOff>
    </xdr:to>
    <xdr:sp macro="" textlink="">
      <xdr:nvSpPr>
        <xdr:cNvPr id="199" name="Rectangle: Rounded Corners 198">
          <a:extLst>
            <a:ext uri="{FF2B5EF4-FFF2-40B4-BE49-F238E27FC236}">
              <a16:creationId xmlns:a16="http://schemas.microsoft.com/office/drawing/2014/main" id="{A85B11B1-D827-433C-86CD-6B81D16AFB42}"/>
            </a:ext>
          </a:extLst>
        </xdr:cNvPr>
        <xdr:cNvSpPr/>
      </xdr:nvSpPr>
      <xdr:spPr>
        <a:xfrm>
          <a:off x="30169615" y="19745433"/>
          <a:ext cx="872139" cy="35956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42</xdr:col>
      <xdr:colOff>403113</xdr:colOff>
      <xdr:row>104</xdr:row>
      <xdr:rowOff>110127</xdr:rowOff>
    </xdr:from>
    <xdr:to>
      <xdr:col>43</xdr:col>
      <xdr:colOff>175390</xdr:colOff>
      <xdr:row>104</xdr:row>
      <xdr:rowOff>113218</xdr:rowOff>
    </xdr:to>
    <xdr:cxnSp macro="">
      <xdr:nvCxnSpPr>
        <xdr:cNvPr id="200" name="Straight Arrow Connector 199">
          <a:extLst>
            <a:ext uri="{FF2B5EF4-FFF2-40B4-BE49-F238E27FC236}">
              <a16:creationId xmlns:a16="http://schemas.microsoft.com/office/drawing/2014/main" id="{325653B8-CDE1-4207-840C-430C346E2520}"/>
            </a:ext>
          </a:extLst>
        </xdr:cNvPr>
        <xdr:cNvCxnSpPr>
          <a:stCxn id="196" idx="3"/>
          <a:endCxn id="199" idx="1"/>
        </xdr:cNvCxnSpPr>
      </xdr:nvCxnSpPr>
      <xdr:spPr>
        <a:xfrm>
          <a:off x="29787738" y="19922127"/>
          <a:ext cx="381877"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511460</xdr:colOff>
      <xdr:row>98</xdr:row>
      <xdr:rowOff>105105</xdr:rowOff>
    </xdr:from>
    <xdr:to>
      <xdr:col>41</xdr:col>
      <xdr:colOff>512380</xdr:colOff>
      <xdr:row>100</xdr:row>
      <xdr:rowOff>27591</xdr:rowOff>
    </xdr:to>
    <xdr:cxnSp macro="">
      <xdr:nvCxnSpPr>
        <xdr:cNvPr id="201" name="Straight Arrow Connector 200">
          <a:extLst>
            <a:ext uri="{FF2B5EF4-FFF2-40B4-BE49-F238E27FC236}">
              <a16:creationId xmlns:a16="http://schemas.microsoft.com/office/drawing/2014/main" id="{5A0ECB90-5D9C-489A-BD64-1A3A95700158}"/>
            </a:ext>
          </a:extLst>
        </xdr:cNvPr>
        <xdr:cNvCxnSpPr>
          <a:stCxn id="195" idx="0"/>
          <a:endCxn id="202" idx="2"/>
        </xdr:cNvCxnSpPr>
      </xdr:nvCxnSpPr>
      <xdr:spPr>
        <a:xfrm flipV="1">
          <a:off x="29286485" y="18774105"/>
          <a:ext cx="920" cy="303486"/>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39</xdr:col>
      <xdr:colOff>291225</xdr:colOff>
      <xdr:row>93</xdr:row>
      <xdr:rowOff>39414</xdr:rowOff>
    </xdr:from>
    <xdr:to>
      <xdr:col>44</xdr:col>
      <xdr:colOff>120432</xdr:colOff>
      <xdr:row>98</xdr:row>
      <xdr:rowOff>105105</xdr:rowOff>
    </xdr:to>
    <xdr:sp macro="" textlink="">
      <xdr:nvSpPr>
        <xdr:cNvPr id="202" name="Rectangle: Rounded Corners 201">
          <a:extLst>
            <a:ext uri="{FF2B5EF4-FFF2-40B4-BE49-F238E27FC236}">
              <a16:creationId xmlns:a16="http://schemas.microsoft.com/office/drawing/2014/main" id="{49D51F8C-AC7A-4877-B0B0-BE7971F64B8E}"/>
            </a:ext>
          </a:extLst>
        </xdr:cNvPr>
        <xdr:cNvSpPr/>
      </xdr:nvSpPr>
      <xdr:spPr>
        <a:xfrm>
          <a:off x="27847050" y="17755914"/>
          <a:ext cx="2877207" cy="101819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42</xdr:col>
      <xdr:colOff>393588</xdr:colOff>
      <xdr:row>100</xdr:row>
      <xdr:rowOff>181742</xdr:rowOff>
    </xdr:from>
    <xdr:to>
      <xdr:col>46</xdr:col>
      <xdr:colOff>61309</xdr:colOff>
      <xdr:row>100</xdr:row>
      <xdr:rowOff>183946</xdr:rowOff>
    </xdr:to>
    <xdr:cxnSp macro="">
      <xdr:nvCxnSpPr>
        <xdr:cNvPr id="203" name="Straight Arrow Connector 202">
          <a:extLst>
            <a:ext uri="{FF2B5EF4-FFF2-40B4-BE49-F238E27FC236}">
              <a16:creationId xmlns:a16="http://schemas.microsoft.com/office/drawing/2014/main" id="{59CDD0B1-73FE-4847-A09B-02C64265E067}"/>
            </a:ext>
          </a:extLst>
        </xdr:cNvPr>
        <xdr:cNvCxnSpPr>
          <a:stCxn id="195" idx="3"/>
          <a:endCxn id="204" idx="1"/>
        </xdr:cNvCxnSpPr>
      </xdr:nvCxnSpPr>
      <xdr:spPr>
        <a:xfrm flipV="1">
          <a:off x="29778213" y="19231742"/>
          <a:ext cx="2106121" cy="220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46</xdr:col>
      <xdr:colOff>61309</xdr:colOff>
      <xdr:row>99</xdr:row>
      <xdr:rowOff>83208</xdr:rowOff>
    </xdr:from>
    <xdr:to>
      <xdr:col>50</xdr:col>
      <xdr:colOff>137947</xdr:colOff>
      <xdr:row>102</xdr:row>
      <xdr:rowOff>94156</xdr:rowOff>
    </xdr:to>
    <xdr:sp macro="" textlink="">
      <xdr:nvSpPr>
        <xdr:cNvPr id="204" name="Rectangle: Rounded Corners 203">
          <a:extLst>
            <a:ext uri="{FF2B5EF4-FFF2-40B4-BE49-F238E27FC236}">
              <a16:creationId xmlns:a16="http://schemas.microsoft.com/office/drawing/2014/main" id="{9B6E45CB-EC38-4736-833E-D78A66E51930}"/>
            </a:ext>
          </a:extLst>
        </xdr:cNvPr>
        <xdr:cNvSpPr/>
      </xdr:nvSpPr>
      <xdr:spPr>
        <a:xfrm>
          <a:off x="31884334" y="18942708"/>
          <a:ext cx="2515038"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51</xdr:col>
      <xdr:colOff>98340</xdr:colOff>
      <xdr:row>96</xdr:row>
      <xdr:rowOff>127000</xdr:rowOff>
    </xdr:from>
    <xdr:to>
      <xdr:col>53</xdr:col>
      <xdr:colOff>137946</xdr:colOff>
      <xdr:row>99</xdr:row>
      <xdr:rowOff>50361</xdr:rowOff>
    </xdr:to>
    <xdr:sp macro="" textlink="">
      <xdr:nvSpPr>
        <xdr:cNvPr id="205" name="Rectangle: Rounded Corners 204">
          <a:extLst>
            <a:ext uri="{FF2B5EF4-FFF2-40B4-BE49-F238E27FC236}">
              <a16:creationId xmlns:a16="http://schemas.microsoft.com/office/drawing/2014/main" id="{E7D0564A-CCE1-4B64-912E-FA12418E0222}"/>
            </a:ext>
          </a:extLst>
        </xdr:cNvPr>
        <xdr:cNvSpPr/>
      </xdr:nvSpPr>
      <xdr:spPr>
        <a:xfrm>
          <a:off x="34969365" y="18415000"/>
          <a:ext cx="1258806" cy="49486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51</xdr:col>
      <xdr:colOff>108412</xdr:colOff>
      <xdr:row>101</xdr:row>
      <xdr:rowOff>49486</xdr:rowOff>
    </xdr:from>
    <xdr:to>
      <xdr:col>53</xdr:col>
      <xdr:colOff>148018</xdr:colOff>
      <xdr:row>103</xdr:row>
      <xdr:rowOff>158967</xdr:rowOff>
    </xdr:to>
    <xdr:sp macro="" textlink="">
      <xdr:nvSpPr>
        <xdr:cNvPr id="206" name="Rectangle: Rounded Corners 205">
          <a:extLst>
            <a:ext uri="{FF2B5EF4-FFF2-40B4-BE49-F238E27FC236}">
              <a16:creationId xmlns:a16="http://schemas.microsoft.com/office/drawing/2014/main" id="{F19A4073-2B5C-4572-8A71-ECB44EA72E8C}"/>
            </a:ext>
          </a:extLst>
        </xdr:cNvPr>
        <xdr:cNvSpPr/>
      </xdr:nvSpPr>
      <xdr:spPr>
        <a:xfrm>
          <a:off x="34979437" y="19289986"/>
          <a:ext cx="1258806" cy="49048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50</xdr:col>
      <xdr:colOff>137947</xdr:colOff>
      <xdr:row>97</xdr:row>
      <xdr:rowOff>181741</xdr:rowOff>
    </xdr:from>
    <xdr:to>
      <xdr:col>51</xdr:col>
      <xdr:colOff>98340</xdr:colOff>
      <xdr:row>100</xdr:row>
      <xdr:rowOff>181742</xdr:rowOff>
    </xdr:to>
    <xdr:cxnSp macro="">
      <xdr:nvCxnSpPr>
        <xdr:cNvPr id="207" name="Straight Arrow Connector 206">
          <a:extLst>
            <a:ext uri="{FF2B5EF4-FFF2-40B4-BE49-F238E27FC236}">
              <a16:creationId xmlns:a16="http://schemas.microsoft.com/office/drawing/2014/main" id="{68AD4F5C-F5DD-4739-AB93-4BCDF40EAC8F}"/>
            </a:ext>
          </a:extLst>
        </xdr:cNvPr>
        <xdr:cNvCxnSpPr>
          <a:stCxn id="204" idx="3"/>
          <a:endCxn id="205" idx="1"/>
        </xdr:cNvCxnSpPr>
      </xdr:nvCxnSpPr>
      <xdr:spPr>
        <a:xfrm flipV="1">
          <a:off x="34399372" y="18660241"/>
          <a:ext cx="569993" cy="5715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50</xdr:col>
      <xdr:colOff>137947</xdr:colOff>
      <xdr:row>100</xdr:row>
      <xdr:rowOff>181742</xdr:rowOff>
    </xdr:from>
    <xdr:to>
      <xdr:col>51</xdr:col>
      <xdr:colOff>108412</xdr:colOff>
      <xdr:row>102</xdr:row>
      <xdr:rowOff>104227</xdr:rowOff>
    </xdr:to>
    <xdr:cxnSp macro="">
      <xdr:nvCxnSpPr>
        <xdr:cNvPr id="208" name="Straight Arrow Connector 207">
          <a:extLst>
            <a:ext uri="{FF2B5EF4-FFF2-40B4-BE49-F238E27FC236}">
              <a16:creationId xmlns:a16="http://schemas.microsoft.com/office/drawing/2014/main" id="{E9113FB3-BE0F-473F-9D34-EF5DEA81A124}"/>
            </a:ext>
          </a:extLst>
        </xdr:cNvPr>
        <xdr:cNvCxnSpPr>
          <a:stCxn id="204" idx="3"/>
          <a:endCxn id="206" idx="1"/>
        </xdr:cNvCxnSpPr>
      </xdr:nvCxnSpPr>
      <xdr:spPr>
        <a:xfrm>
          <a:off x="34399372" y="19231742"/>
          <a:ext cx="580065" cy="30348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74691</xdr:colOff>
      <xdr:row>96</xdr:row>
      <xdr:rowOff>125247</xdr:rowOff>
    </xdr:from>
    <xdr:to>
      <xdr:col>56</xdr:col>
      <xdr:colOff>114297</xdr:colOff>
      <xdr:row>99</xdr:row>
      <xdr:rowOff>48608</xdr:rowOff>
    </xdr:to>
    <xdr:sp macro="" textlink="">
      <xdr:nvSpPr>
        <xdr:cNvPr id="209" name="Rectangle: Rounded Corners 208">
          <a:extLst>
            <a:ext uri="{FF2B5EF4-FFF2-40B4-BE49-F238E27FC236}">
              <a16:creationId xmlns:a16="http://schemas.microsoft.com/office/drawing/2014/main" id="{5C5CBF78-14D5-4426-93F2-5140211AE9F6}"/>
            </a:ext>
          </a:extLst>
        </xdr:cNvPr>
        <xdr:cNvSpPr/>
      </xdr:nvSpPr>
      <xdr:spPr>
        <a:xfrm>
          <a:off x="36774516" y="18413247"/>
          <a:ext cx="1258806" cy="49486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54</xdr:col>
      <xdr:colOff>62866</xdr:colOff>
      <xdr:row>101</xdr:row>
      <xdr:rowOff>47734</xdr:rowOff>
    </xdr:from>
    <xdr:to>
      <xdr:col>56</xdr:col>
      <xdr:colOff>102472</xdr:colOff>
      <xdr:row>103</xdr:row>
      <xdr:rowOff>157215</xdr:rowOff>
    </xdr:to>
    <xdr:sp macro="" textlink="">
      <xdr:nvSpPr>
        <xdr:cNvPr id="210" name="Rectangle: Rounded Corners 209">
          <a:extLst>
            <a:ext uri="{FF2B5EF4-FFF2-40B4-BE49-F238E27FC236}">
              <a16:creationId xmlns:a16="http://schemas.microsoft.com/office/drawing/2014/main" id="{7049A054-8019-457F-9866-23EECE7CE505}"/>
            </a:ext>
          </a:extLst>
        </xdr:cNvPr>
        <xdr:cNvSpPr/>
      </xdr:nvSpPr>
      <xdr:spPr>
        <a:xfrm>
          <a:off x="36762691" y="19288234"/>
          <a:ext cx="1258806" cy="49048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53</xdr:col>
      <xdr:colOff>137946</xdr:colOff>
      <xdr:row>97</xdr:row>
      <xdr:rowOff>179988</xdr:rowOff>
    </xdr:from>
    <xdr:to>
      <xdr:col>54</xdr:col>
      <xdr:colOff>74691</xdr:colOff>
      <xdr:row>97</xdr:row>
      <xdr:rowOff>181741</xdr:rowOff>
    </xdr:to>
    <xdr:cxnSp macro="">
      <xdr:nvCxnSpPr>
        <xdr:cNvPr id="211" name="Straight Arrow Connector 210">
          <a:extLst>
            <a:ext uri="{FF2B5EF4-FFF2-40B4-BE49-F238E27FC236}">
              <a16:creationId xmlns:a16="http://schemas.microsoft.com/office/drawing/2014/main" id="{2E33650A-15F2-4E1D-A832-181932AF5149}"/>
            </a:ext>
          </a:extLst>
        </xdr:cNvPr>
        <xdr:cNvCxnSpPr>
          <a:stCxn id="205" idx="3"/>
          <a:endCxn id="209" idx="1"/>
        </xdr:cNvCxnSpPr>
      </xdr:nvCxnSpPr>
      <xdr:spPr>
        <a:xfrm flipV="1">
          <a:off x="36228171" y="18658488"/>
          <a:ext cx="546345"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53</xdr:col>
      <xdr:colOff>148018</xdr:colOff>
      <xdr:row>102</xdr:row>
      <xdr:rowOff>102475</xdr:rowOff>
    </xdr:from>
    <xdr:to>
      <xdr:col>54</xdr:col>
      <xdr:colOff>62866</xdr:colOff>
      <xdr:row>102</xdr:row>
      <xdr:rowOff>104227</xdr:rowOff>
    </xdr:to>
    <xdr:cxnSp macro="">
      <xdr:nvCxnSpPr>
        <xdr:cNvPr id="212" name="Straight Arrow Connector 211">
          <a:extLst>
            <a:ext uri="{FF2B5EF4-FFF2-40B4-BE49-F238E27FC236}">
              <a16:creationId xmlns:a16="http://schemas.microsoft.com/office/drawing/2014/main" id="{1838C52F-4861-4DD1-A446-E156C98E3646}"/>
            </a:ext>
          </a:extLst>
        </xdr:cNvPr>
        <xdr:cNvCxnSpPr>
          <a:stCxn id="206" idx="3"/>
          <a:endCxn id="210" idx="1"/>
        </xdr:cNvCxnSpPr>
      </xdr:nvCxnSpPr>
      <xdr:spPr>
        <a:xfrm flipV="1">
          <a:off x="36238243" y="19533475"/>
          <a:ext cx="524448"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652734</xdr:colOff>
      <xdr:row>101</xdr:row>
      <xdr:rowOff>93279</xdr:rowOff>
    </xdr:from>
    <xdr:to>
      <xdr:col>17</xdr:col>
      <xdr:colOff>2557516</xdr:colOff>
      <xdr:row>104</xdr:row>
      <xdr:rowOff>104226</xdr:rowOff>
    </xdr:to>
    <xdr:sp macro="" textlink="">
      <xdr:nvSpPr>
        <xdr:cNvPr id="213" name="Rectangle: Rounded Corners 212">
          <a:extLst>
            <a:ext uri="{FF2B5EF4-FFF2-40B4-BE49-F238E27FC236}">
              <a16:creationId xmlns:a16="http://schemas.microsoft.com/office/drawing/2014/main" id="{5D90F653-B03C-41F3-B445-7A3BCAA4F008}"/>
            </a:ext>
          </a:extLst>
        </xdr:cNvPr>
        <xdr:cNvSpPr/>
      </xdr:nvSpPr>
      <xdr:spPr>
        <a:xfrm>
          <a:off x="12597084" y="19333779"/>
          <a:ext cx="1904782" cy="582447"/>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a:t>
          </a:r>
          <a:endParaRPr lang="en-ID" sz="1100" baseline="0"/>
        </a:p>
        <a:p>
          <a:pPr algn="ctr"/>
          <a:r>
            <a:rPr lang="en-ID" sz="1100" baseline="0"/>
            <a:t>Estimasi masa manfaat</a:t>
          </a:r>
          <a:endParaRPr lang="en-ID" sz="1100"/>
        </a:p>
      </xdr:txBody>
    </xdr:sp>
    <xdr:clientData/>
  </xdr:twoCellAnchor>
  <xdr:twoCellAnchor>
    <xdr:from>
      <xdr:col>17</xdr:col>
      <xdr:colOff>2557516</xdr:colOff>
      <xdr:row>96</xdr:row>
      <xdr:rowOff>81562</xdr:rowOff>
    </xdr:from>
    <xdr:to>
      <xdr:col>18</xdr:col>
      <xdr:colOff>291221</xdr:colOff>
      <xdr:row>103</xdr:row>
      <xdr:rowOff>5692</xdr:rowOff>
    </xdr:to>
    <xdr:cxnSp macro="">
      <xdr:nvCxnSpPr>
        <xdr:cNvPr id="214" name="Straight Arrow Connector 213">
          <a:extLst>
            <a:ext uri="{FF2B5EF4-FFF2-40B4-BE49-F238E27FC236}">
              <a16:creationId xmlns:a16="http://schemas.microsoft.com/office/drawing/2014/main" id="{E1D7E93A-AFB7-4E4D-AB52-A47CA21DD619}"/>
            </a:ext>
          </a:extLst>
        </xdr:cNvPr>
        <xdr:cNvCxnSpPr>
          <a:stCxn id="213" idx="3"/>
          <a:endCxn id="215" idx="1"/>
        </xdr:cNvCxnSpPr>
      </xdr:nvCxnSpPr>
      <xdr:spPr>
        <a:xfrm flipV="1">
          <a:off x="14501866" y="18369562"/>
          <a:ext cx="438805" cy="125763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291221</xdr:colOff>
      <xdr:row>95</xdr:row>
      <xdr:rowOff>129187</xdr:rowOff>
    </xdr:from>
    <xdr:to>
      <xdr:col>20</xdr:col>
      <xdr:colOff>170791</xdr:colOff>
      <xdr:row>97</xdr:row>
      <xdr:rowOff>33937</xdr:rowOff>
    </xdr:to>
    <xdr:sp macro="" textlink="">
      <xdr:nvSpPr>
        <xdr:cNvPr id="215" name="Rectangle: Rounded Corners 214">
          <a:extLst>
            <a:ext uri="{FF2B5EF4-FFF2-40B4-BE49-F238E27FC236}">
              <a16:creationId xmlns:a16="http://schemas.microsoft.com/office/drawing/2014/main" id="{987B5A74-5A46-4B5B-8307-C8774E1B744A}"/>
            </a:ext>
          </a:extLst>
        </xdr:cNvPr>
        <xdr:cNvSpPr/>
      </xdr:nvSpPr>
      <xdr:spPr>
        <a:xfrm>
          <a:off x="14940671" y="18226687"/>
          <a:ext cx="1203545" cy="28575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20</xdr:col>
      <xdr:colOff>503839</xdr:colOff>
      <xdr:row>95</xdr:row>
      <xdr:rowOff>69192</xdr:rowOff>
    </xdr:from>
    <xdr:to>
      <xdr:col>23</xdr:col>
      <xdr:colOff>21896</xdr:colOff>
      <xdr:row>97</xdr:row>
      <xdr:rowOff>47760</xdr:rowOff>
    </xdr:to>
    <xdr:sp macro="" textlink="">
      <xdr:nvSpPr>
        <xdr:cNvPr id="216" name="Rectangle: Rounded Corners 215">
          <a:extLst>
            <a:ext uri="{FF2B5EF4-FFF2-40B4-BE49-F238E27FC236}">
              <a16:creationId xmlns:a16="http://schemas.microsoft.com/office/drawing/2014/main" id="{CCFCD2EB-DD9F-4243-AE9F-B9C267943010}"/>
            </a:ext>
          </a:extLst>
        </xdr:cNvPr>
        <xdr:cNvSpPr/>
      </xdr:nvSpPr>
      <xdr:spPr>
        <a:xfrm>
          <a:off x="16477264" y="18166692"/>
          <a:ext cx="1346857"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18</xdr:col>
      <xdr:colOff>290564</xdr:colOff>
      <xdr:row>101</xdr:row>
      <xdr:rowOff>39416</xdr:rowOff>
    </xdr:from>
    <xdr:to>
      <xdr:col>22</xdr:col>
      <xdr:colOff>181739</xdr:colOff>
      <xdr:row>104</xdr:row>
      <xdr:rowOff>159846</xdr:rowOff>
    </xdr:to>
    <xdr:sp macro="" textlink="">
      <xdr:nvSpPr>
        <xdr:cNvPr id="217" name="Rectangle: Rounded Corners 216">
          <a:extLst>
            <a:ext uri="{FF2B5EF4-FFF2-40B4-BE49-F238E27FC236}">
              <a16:creationId xmlns:a16="http://schemas.microsoft.com/office/drawing/2014/main" id="{2B480DAE-6891-4B4B-A993-15E1AC430397}"/>
            </a:ext>
          </a:extLst>
        </xdr:cNvPr>
        <xdr:cNvSpPr/>
      </xdr:nvSpPr>
      <xdr:spPr>
        <a:xfrm>
          <a:off x="14940014" y="19279916"/>
          <a:ext cx="2434350" cy="69193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17</xdr:col>
      <xdr:colOff>2557516</xdr:colOff>
      <xdr:row>103</xdr:row>
      <xdr:rowOff>5692</xdr:rowOff>
    </xdr:from>
    <xdr:to>
      <xdr:col>18</xdr:col>
      <xdr:colOff>290564</xdr:colOff>
      <xdr:row>103</xdr:row>
      <xdr:rowOff>6571</xdr:rowOff>
    </xdr:to>
    <xdr:cxnSp macro="">
      <xdr:nvCxnSpPr>
        <xdr:cNvPr id="218" name="Straight Arrow Connector 217">
          <a:extLst>
            <a:ext uri="{FF2B5EF4-FFF2-40B4-BE49-F238E27FC236}">
              <a16:creationId xmlns:a16="http://schemas.microsoft.com/office/drawing/2014/main" id="{638787E1-DC5B-472B-8E9D-C20377DE61DB}"/>
            </a:ext>
          </a:extLst>
        </xdr:cNvPr>
        <xdr:cNvCxnSpPr>
          <a:stCxn id="213" idx="3"/>
          <a:endCxn id="217" idx="1"/>
        </xdr:cNvCxnSpPr>
      </xdr:nvCxnSpPr>
      <xdr:spPr>
        <a:xfrm>
          <a:off x="14501866" y="19627192"/>
          <a:ext cx="438148" cy="8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228161</xdr:colOff>
      <xdr:row>40</xdr:row>
      <xdr:rowOff>129202</xdr:rowOff>
    </xdr:from>
    <xdr:to>
      <xdr:col>20</xdr:col>
      <xdr:colOff>561209</xdr:colOff>
      <xdr:row>40</xdr:row>
      <xdr:rowOff>138931</xdr:rowOff>
    </xdr:to>
    <xdr:cxnSp macro="">
      <xdr:nvCxnSpPr>
        <xdr:cNvPr id="219" name="Straight Arrow Connector 218">
          <a:extLst>
            <a:ext uri="{FF2B5EF4-FFF2-40B4-BE49-F238E27FC236}">
              <a16:creationId xmlns:a16="http://schemas.microsoft.com/office/drawing/2014/main" id="{27CC686A-B833-4546-BFC8-B4E16C16C19B}"/>
            </a:ext>
          </a:extLst>
        </xdr:cNvPr>
        <xdr:cNvCxnSpPr>
          <a:stCxn id="113" idx="3"/>
          <a:endCxn id="114" idx="1"/>
        </xdr:cNvCxnSpPr>
      </xdr:nvCxnSpPr>
      <xdr:spPr>
        <a:xfrm flipV="1">
          <a:off x="16201586" y="7749202"/>
          <a:ext cx="333048" cy="972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21897</xdr:colOff>
      <xdr:row>18</xdr:row>
      <xdr:rowOff>21897</xdr:rowOff>
    </xdr:from>
    <xdr:to>
      <xdr:col>61</xdr:col>
      <xdr:colOff>131380</xdr:colOff>
      <xdr:row>18</xdr:row>
      <xdr:rowOff>32845</xdr:rowOff>
    </xdr:to>
    <xdr:cxnSp macro="">
      <xdr:nvCxnSpPr>
        <xdr:cNvPr id="220" name="Straight Connector 219">
          <a:extLst>
            <a:ext uri="{FF2B5EF4-FFF2-40B4-BE49-F238E27FC236}">
              <a16:creationId xmlns:a16="http://schemas.microsoft.com/office/drawing/2014/main" id="{8A46137C-B44E-4FA5-B6EF-307038440C8B}"/>
            </a:ext>
          </a:extLst>
        </xdr:cNvPr>
        <xdr:cNvCxnSpPr/>
      </xdr:nvCxnSpPr>
      <xdr:spPr>
        <a:xfrm>
          <a:off x="3298497" y="3450897"/>
          <a:ext cx="37799908" cy="10948"/>
        </a:xfrm>
        <a:prstGeom prst="line">
          <a:avLst/>
        </a:prstGeom>
        <a:ln>
          <a:solidFill>
            <a:srgbClr val="FF0000"/>
          </a:solidFill>
          <a:prstDash val="sys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10072</xdr:colOff>
      <xdr:row>36</xdr:row>
      <xdr:rowOff>10074</xdr:rowOff>
    </xdr:from>
    <xdr:to>
      <xdr:col>61</xdr:col>
      <xdr:colOff>119555</xdr:colOff>
      <xdr:row>36</xdr:row>
      <xdr:rowOff>21022</xdr:rowOff>
    </xdr:to>
    <xdr:cxnSp macro="">
      <xdr:nvCxnSpPr>
        <xdr:cNvPr id="221" name="Straight Connector 220">
          <a:extLst>
            <a:ext uri="{FF2B5EF4-FFF2-40B4-BE49-F238E27FC236}">
              <a16:creationId xmlns:a16="http://schemas.microsoft.com/office/drawing/2014/main" id="{65E38631-A0FA-4201-9451-F34959CA14AD}"/>
            </a:ext>
          </a:extLst>
        </xdr:cNvPr>
        <xdr:cNvCxnSpPr/>
      </xdr:nvCxnSpPr>
      <xdr:spPr>
        <a:xfrm>
          <a:off x="3286672" y="6868074"/>
          <a:ext cx="37799908" cy="10948"/>
        </a:xfrm>
        <a:prstGeom prst="line">
          <a:avLst/>
        </a:prstGeom>
        <a:ln>
          <a:solidFill>
            <a:srgbClr val="FF0000"/>
          </a:solidFill>
          <a:prstDash val="sys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207141</xdr:colOff>
      <xdr:row>23</xdr:row>
      <xdr:rowOff>7237</xdr:rowOff>
    </xdr:from>
    <xdr:to>
      <xdr:col>20</xdr:col>
      <xdr:colOff>540189</xdr:colOff>
      <xdr:row>23</xdr:row>
      <xdr:rowOff>8427</xdr:rowOff>
    </xdr:to>
    <xdr:cxnSp macro="">
      <xdr:nvCxnSpPr>
        <xdr:cNvPr id="222" name="Straight Arrow Connector 221">
          <a:extLst>
            <a:ext uri="{FF2B5EF4-FFF2-40B4-BE49-F238E27FC236}">
              <a16:creationId xmlns:a16="http://schemas.microsoft.com/office/drawing/2014/main" id="{C28F667C-755D-4E03-8DF4-57A8A512ABC8}"/>
            </a:ext>
          </a:extLst>
        </xdr:cNvPr>
        <xdr:cNvCxnSpPr>
          <a:stCxn id="79" idx="3"/>
          <a:endCxn id="80" idx="1"/>
        </xdr:cNvCxnSpPr>
      </xdr:nvCxnSpPr>
      <xdr:spPr>
        <a:xfrm flipV="1">
          <a:off x="16180566" y="4388737"/>
          <a:ext cx="333048" cy="119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20147</xdr:colOff>
      <xdr:row>54</xdr:row>
      <xdr:rowOff>9198</xdr:rowOff>
    </xdr:from>
    <xdr:to>
      <xdr:col>61</xdr:col>
      <xdr:colOff>129630</xdr:colOff>
      <xdr:row>54</xdr:row>
      <xdr:rowOff>20146</xdr:rowOff>
    </xdr:to>
    <xdr:cxnSp macro="">
      <xdr:nvCxnSpPr>
        <xdr:cNvPr id="223" name="Straight Connector 222">
          <a:extLst>
            <a:ext uri="{FF2B5EF4-FFF2-40B4-BE49-F238E27FC236}">
              <a16:creationId xmlns:a16="http://schemas.microsoft.com/office/drawing/2014/main" id="{4E682EF2-EAE4-4F8F-A79A-7177C463D9A4}"/>
            </a:ext>
          </a:extLst>
        </xdr:cNvPr>
        <xdr:cNvCxnSpPr/>
      </xdr:nvCxnSpPr>
      <xdr:spPr>
        <a:xfrm>
          <a:off x="3296747" y="10296198"/>
          <a:ext cx="37799908" cy="10948"/>
        </a:xfrm>
        <a:prstGeom prst="line">
          <a:avLst/>
        </a:prstGeom>
        <a:ln>
          <a:solidFill>
            <a:srgbClr val="FF0000"/>
          </a:solidFill>
          <a:prstDash val="sys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227285</xdr:colOff>
      <xdr:row>59</xdr:row>
      <xdr:rowOff>60228</xdr:rowOff>
    </xdr:from>
    <xdr:to>
      <xdr:col>20</xdr:col>
      <xdr:colOff>560333</xdr:colOff>
      <xdr:row>59</xdr:row>
      <xdr:rowOff>61418</xdr:rowOff>
    </xdr:to>
    <xdr:cxnSp macro="">
      <xdr:nvCxnSpPr>
        <xdr:cNvPr id="224" name="Straight Arrow Connector 223">
          <a:extLst>
            <a:ext uri="{FF2B5EF4-FFF2-40B4-BE49-F238E27FC236}">
              <a16:creationId xmlns:a16="http://schemas.microsoft.com/office/drawing/2014/main" id="{0048E65C-4B53-4503-BDD4-C250975576C6}"/>
            </a:ext>
          </a:extLst>
        </xdr:cNvPr>
        <xdr:cNvCxnSpPr>
          <a:stCxn id="147" idx="3"/>
          <a:endCxn id="148" idx="1"/>
        </xdr:cNvCxnSpPr>
      </xdr:nvCxnSpPr>
      <xdr:spPr>
        <a:xfrm flipV="1">
          <a:off x="16200710" y="11299728"/>
          <a:ext cx="333048" cy="119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171667</xdr:colOff>
      <xdr:row>75</xdr:row>
      <xdr:rowOff>71164</xdr:rowOff>
    </xdr:from>
    <xdr:to>
      <xdr:col>20</xdr:col>
      <xdr:colOff>504715</xdr:colOff>
      <xdr:row>75</xdr:row>
      <xdr:rowOff>76637</xdr:rowOff>
    </xdr:to>
    <xdr:cxnSp macro="">
      <xdr:nvCxnSpPr>
        <xdr:cNvPr id="225" name="Straight Arrow Connector 224">
          <a:extLst>
            <a:ext uri="{FF2B5EF4-FFF2-40B4-BE49-F238E27FC236}">
              <a16:creationId xmlns:a16="http://schemas.microsoft.com/office/drawing/2014/main" id="{09478015-E2AF-4729-89E0-E51A311BEE50}"/>
            </a:ext>
          </a:extLst>
        </xdr:cNvPr>
        <xdr:cNvCxnSpPr>
          <a:stCxn id="181" idx="3"/>
          <a:endCxn id="182" idx="1"/>
        </xdr:cNvCxnSpPr>
      </xdr:nvCxnSpPr>
      <xdr:spPr>
        <a:xfrm>
          <a:off x="16145092" y="14358664"/>
          <a:ext cx="333048" cy="547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xdr:col>
      <xdr:colOff>321469</xdr:colOff>
      <xdr:row>72</xdr:row>
      <xdr:rowOff>21896</xdr:rowOff>
    </xdr:from>
    <xdr:to>
      <xdr:col>61</xdr:col>
      <xdr:colOff>131380</xdr:colOff>
      <xdr:row>72</xdr:row>
      <xdr:rowOff>23812</xdr:rowOff>
    </xdr:to>
    <xdr:cxnSp macro="">
      <xdr:nvCxnSpPr>
        <xdr:cNvPr id="226" name="Straight Connector 225">
          <a:extLst>
            <a:ext uri="{FF2B5EF4-FFF2-40B4-BE49-F238E27FC236}">
              <a16:creationId xmlns:a16="http://schemas.microsoft.com/office/drawing/2014/main" id="{1A584AB9-70B0-4129-9377-EF539AC09E74}"/>
            </a:ext>
          </a:extLst>
        </xdr:cNvPr>
        <xdr:cNvCxnSpPr/>
      </xdr:nvCxnSpPr>
      <xdr:spPr>
        <a:xfrm flipV="1">
          <a:off x="2988469" y="13737896"/>
          <a:ext cx="38109936" cy="1916"/>
        </a:xfrm>
        <a:prstGeom prst="line">
          <a:avLst/>
        </a:prstGeom>
        <a:ln>
          <a:solidFill>
            <a:srgbClr val="FF0000"/>
          </a:solidFill>
          <a:prstDash val="sys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72846</xdr:rowOff>
    </xdr:from>
    <xdr:to>
      <xdr:col>4</xdr:col>
      <xdr:colOff>570269</xdr:colOff>
      <xdr:row>105</xdr:row>
      <xdr:rowOff>20444</xdr:rowOff>
    </xdr:to>
    <xdr:cxnSp macro="">
      <xdr:nvCxnSpPr>
        <xdr:cNvPr id="227" name="Straight Arrow Connector 430">
          <a:extLst>
            <a:ext uri="{FF2B5EF4-FFF2-40B4-BE49-F238E27FC236}">
              <a16:creationId xmlns:a16="http://schemas.microsoft.com/office/drawing/2014/main" id="{F4E434FE-0857-4BF2-9B38-CA9A16B9A12D}"/>
            </a:ext>
          </a:extLst>
        </xdr:cNvPr>
        <xdr:cNvCxnSpPr>
          <a:stCxn id="3" idx="3"/>
          <a:endCxn id="8" idx="1"/>
        </xdr:cNvCxnSpPr>
      </xdr:nvCxnSpPr>
      <xdr:spPr>
        <a:xfrm>
          <a:off x="2164556" y="2549346"/>
          <a:ext cx="1072713" cy="17473598"/>
        </a:xfrm>
        <a:prstGeom prst="bentConnector3">
          <a:avLst>
            <a:gd name="adj1" fmla="val 50000"/>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42917</xdr:colOff>
      <xdr:row>91</xdr:row>
      <xdr:rowOff>21020</xdr:rowOff>
    </xdr:from>
    <xdr:to>
      <xdr:col>61</xdr:col>
      <xdr:colOff>152400</xdr:colOff>
      <xdr:row>91</xdr:row>
      <xdr:rowOff>31968</xdr:rowOff>
    </xdr:to>
    <xdr:cxnSp macro="">
      <xdr:nvCxnSpPr>
        <xdr:cNvPr id="228" name="Straight Connector 227">
          <a:extLst>
            <a:ext uri="{FF2B5EF4-FFF2-40B4-BE49-F238E27FC236}">
              <a16:creationId xmlns:a16="http://schemas.microsoft.com/office/drawing/2014/main" id="{98FA696B-1851-464B-8D95-CAF464BCEFD8}"/>
            </a:ext>
          </a:extLst>
        </xdr:cNvPr>
        <xdr:cNvCxnSpPr/>
      </xdr:nvCxnSpPr>
      <xdr:spPr>
        <a:xfrm>
          <a:off x="3319517" y="17356520"/>
          <a:ext cx="37799908" cy="10948"/>
        </a:xfrm>
        <a:prstGeom prst="line">
          <a:avLst/>
        </a:prstGeom>
        <a:ln>
          <a:solidFill>
            <a:srgbClr val="FF0000"/>
          </a:solidFill>
          <a:prstDash val="sys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xdr:col>
      <xdr:colOff>339396</xdr:colOff>
      <xdr:row>80</xdr:row>
      <xdr:rowOff>153275</xdr:rowOff>
    </xdr:from>
    <xdr:to>
      <xdr:col>27</xdr:col>
      <xdr:colOff>448879</xdr:colOff>
      <xdr:row>85</xdr:row>
      <xdr:rowOff>87585</xdr:rowOff>
    </xdr:to>
    <xdr:sp macro="" textlink="">
      <xdr:nvSpPr>
        <xdr:cNvPr id="229" name="Rectangle: Rounded Corners 228">
          <a:extLst>
            <a:ext uri="{FF2B5EF4-FFF2-40B4-BE49-F238E27FC236}">
              <a16:creationId xmlns:a16="http://schemas.microsoft.com/office/drawing/2014/main" id="{49DE14DE-1CAA-4BA6-89E3-DC5F608499E3}"/>
            </a:ext>
          </a:extLst>
        </xdr:cNvPr>
        <xdr:cNvSpPr/>
      </xdr:nvSpPr>
      <xdr:spPr>
        <a:xfrm>
          <a:off x="18141621" y="15393275"/>
          <a:ext cx="2547883" cy="88681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D" sz="1100">
              <a:solidFill>
                <a:schemeClr val="lt1"/>
              </a:solidFill>
              <a:effectLst/>
              <a:latin typeface="+mn-lt"/>
              <a:ea typeface="+mn-ea"/>
              <a:cs typeface="+mn-cs"/>
            </a:rPr>
            <a:t>Is this a newly acquired asset?</a:t>
          </a:r>
          <a:endParaRPr lang="en-ID">
            <a:effectLst/>
          </a:endParaRPr>
        </a:p>
        <a:p>
          <a:r>
            <a:rPr lang="en-ID" sz="1100" b="0" i="0">
              <a:solidFill>
                <a:schemeClr val="lt1"/>
              </a:solidFill>
              <a:effectLst/>
              <a:latin typeface="+mn-lt"/>
              <a:ea typeface="+mn-ea"/>
              <a:cs typeface="+mn-cs"/>
            </a:rPr>
            <a:t>Apakah ini aset baru?</a:t>
          </a:r>
          <a:endParaRPr lang="en-ID">
            <a:effectLst/>
          </a:endParaRPr>
        </a:p>
      </xdr:txBody>
    </xdr:sp>
    <xdr:clientData/>
  </xdr:twoCellAnchor>
  <xdr:twoCellAnchor>
    <xdr:from>
      <xdr:col>20</xdr:col>
      <xdr:colOff>170791</xdr:colOff>
      <xdr:row>96</xdr:row>
      <xdr:rowOff>58476</xdr:rowOff>
    </xdr:from>
    <xdr:to>
      <xdr:col>20</xdr:col>
      <xdr:colOff>503839</xdr:colOff>
      <xdr:row>96</xdr:row>
      <xdr:rowOff>81562</xdr:rowOff>
    </xdr:to>
    <xdr:cxnSp macro="">
      <xdr:nvCxnSpPr>
        <xdr:cNvPr id="230" name="Straight Arrow Connector 229">
          <a:extLst>
            <a:ext uri="{FF2B5EF4-FFF2-40B4-BE49-F238E27FC236}">
              <a16:creationId xmlns:a16="http://schemas.microsoft.com/office/drawing/2014/main" id="{875066C6-3FA4-4D65-9DD1-4F747BB2AE88}"/>
            </a:ext>
          </a:extLst>
        </xdr:cNvPr>
        <xdr:cNvCxnSpPr>
          <a:stCxn id="215" idx="3"/>
          <a:endCxn id="216" idx="1"/>
        </xdr:cNvCxnSpPr>
      </xdr:nvCxnSpPr>
      <xdr:spPr>
        <a:xfrm flipV="1">
          <a:off x="16144216" y="18346476"/>
          <a:ext cx="333048" cy="2308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22</xdr:col>
      <xdr:colOff>182615</xdr:colOff>
      <xdr:row>83</xdr:row>
      <xdr:rowOff>27369</xdr:rowOff>
    </xdr:from>
    <xdr:to>
      <xdr:col>23</xdr:col>
      <xdr:colOff>339396</xdr:colOff>
      <xdr:row>83</xdr:row>
      <xdr:rowOff>29343</xdr:rowOff>
    </xdr:to>
    <xdr:cxnSp macro="">
      <xdr:nvCxnSpPr>
        <xdr:cNvPr id="231" name="Straight Arrow Connector 230">
          <a:extLst>
            <a:ext uri="{FF2B5EF4-FFF2-40B4-BE49-F238E27FC236}">
              <a16:creationId xmlns:a16="http://schemas.microsoft.com/office/drawing/2014/main" id="{37E5D69C-3959-4591-870C-3638C1EA5AE3}"/>
            </a:ext>
          </a:extLst>
        </xdr:cNvPr>
        <xdr:cNvCxnSpPr>
          <a:stCxn id="183" idx="3"/>
          <a:endCxn id="229" idx="1"/>
        </xdr:cNvCxnSpPr>
      </xdr:nvCxnSpPr>
      <xdr:spPr>
        <a:xfrm flipV="1">
          <a:off x="17375240" y="15838869"/>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94152</xdr:colOff>
      <xdr:row>81</xdr:row>
      <xdr:rowOff>153276</xdr:rowOff>
    </xdr:from>
    <xdr:to>
      <xdr:col>31</xdr:col>
      <xdr:colOff>72256</xdr:colOff>
      <xdr:row>84</xdr:row>
      <xdr:rowOff>77730</xdr:rowOff>
    </xdr:to>
    <xdr:sp macro="" textlink="">
      <xdr:nvSpPr>
        <xdr:cNvPr id="232" name="Rectangle: Rounded Corners 231">
          <a:extLst>
            <a:ext uri="{FF2B5EF4-FFF2-40B4-BE49-F238E27FC236}">
              <a16:creationId xmlns:a16="http://schemas.microsoft.com/office/drawing/2014/main" id="{930C41BF-2DD1-416C-A5F1-E6CA4AD2FBE9}"/>
            </a:ext>
          </a:extLst>
        </xdr:cNvPr>
        <xdr:cNvSpPr/>
      </xdr:nvSpPr>
      <xdr:spPr>
        <a:xfrm>
          <a:off x="21553977" y="15583776"/>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27</xdr:col>
      <xdr:colOff>448879</xdr:colOff>
      <xdr:row>83</xdr:row>
      <xdr:rowOff>22442</xdr:rowOff>
    </xdr:from>
    <xdr:to>
      <xdr:col>29</xdr:col>
      <xdr:colOff>94152</xdr:colOff>
      <xdr:row>83</xdr:row>
      <xdr:rowOff>27369</xdr:rowOff>
    </xdr:to>
    <xdr:cxnSp macro="">
      <xdr:nvCxnSpPr>
        <xdr:cNvPr id="233" name="Straight Arrow Connector 232">
          <a:extLst>
            <a:ext uri="{FF2B5EF4-FFF2-40B4-BE49-F238E27FC236}">
              <a16:creationId xmlns:a16="http://schemas.microsoft.com/office/drawing/2014/main" id="{D1C2E482-4FD8-4953-B1E4-907B130FBBD2}"/>
            </a:ext>
          </a:extLst>
        </xdr:cNvPr>
        <xdr:cNvCxnSpPr>
          <a:stCxn id="229" idx="3"/>
          <a:endCxn id="232" idx="1"/>
        </xdr:cNvCxnSpPr>
      </xdr:nvCxnSpPr>
      <xdr:spPr>
        <a:xfrm flipV="1">
          <a:off x="20689504" y="15833942"/>
          <a:ext cx="864473" cy="492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72256</xdr:colOff>
      <xdr:row>83</xdr:row>
      <xdr:rowOff>22442</xdr:rowOff>
    </xdr:from>
    <xdr:to>
      <xdr:col>33</xdr:col>
      <xdr:colOff>21897</xdr:colOff>
      <xdr:row>83</xdr:row>
      <xdr:rowOff>28931</xdr:rowOff>
    </xdr:to>
    <xdr:cxnSp macro="">
      <xdr:nvCxnSpPr>
        <xdr:cNvPr id="234" name="Straight Arrow Connector 233">
          <a:extLst>
            <a:ext uri="{FF2B5EF4-FFF2-40B4-BE49-F238E27FC236}">
              <a16:creationId xmlns:a16="http://schemas.microsoft.com/office/drawing/2014/main" id="{D7356EC5-FEA8-4BE0-992B-CCD6D08F7869}"/>
            </a:ext>
          </a:extLst>
        </xdr:cNvPr>
        <xdr:cNvCxnSpPr>
          <a:stCxn id="232" idx="3"/>
          <a:endCxn id="160" idx="1"/>
        </xdr:cNvCxnSpPr>
      </xdr:nvCxnSpPr>
      <xdr:spPr>
        <a:xfrm>
          <a:off x="22751281" y="15833942"/>
          <a:ext cx="1168841" cy="648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126121</xdr:colOff>
      <xdr:row>86</xdr:row>
      <xdr:rowOff>163348</xdr:rowOff>
    </xdr:from>
    <xdr:to>
      <xdr:col>31</xdr:col>
      <xdr:colOff>104225</xdr:colOff>
      <xdr:row>89</xdr:row>
      <xdr:rowOff>87802</xdr:rowOff>
    </xdr:to>
    <xdr:sp macro="" textlink="">
      <xdr:nvSpPr>
        <xdr:cNvPr id="235" name="Rectangle: Rounded Corners 234">
          <a:extLst>
            <a:ext uri="{FF2B5EF4-FFF2-40B4-BE49-F238E27FC236}">
              <a16:creationId xmlns:a16="http://schemas.microsoft.com/office/drawing/2014/main" id="{0EED097D-0F31-453B-BCBF-180C042B81F3}"/>
            </a:ext>
          </a:extLst>
        </xdr:cNvPr>
        <xdr:cNvSpPr/>
      </xdr:nvSpPr>
      <xdr:spPr>
        <a:xfrm>
          <a:off x="21585946" y="16546348"/>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27</xdr:col>
      <xdr:colOff>448879</xdr:colOff>
      <xdr:row>83</xdr:row>
      <xdr:rowOff>27369</xdr:rowOff>
    </xdr:from>
    <xdr:to>
      <xdr:col>29</xdr:col>
      <xdr:colOff>126121</xdr:colOff>
      <xdr:row>88</xdr:row>
      <xdr:rowOff>32515</xdr:rowOff>
    </xdr:to>
    <xdr:cxnSp macro="">
      <xdr:nvCxnSpPr>
        <xdr:cNvPr id="236" name="Straight Arrow Connector 235">
          <a:extLst>
            <a:ext uri="{FF2B5EF4-FFF2-40B4-BE49-F238E27FC236}">
              <a16:creationId xmlns:a16="http://schemas.microsoft.com/office/drawing/2014/main" id="{5FD22F37-1C4E-42E6-9E3F-55C6FCAA13D4}"/>
            </a:ext>
          </a:extLst>
        </xdr:cNvPr>
        <xdr:cNvCxnSpPr>
          <a:stCxn id="229" idx="3"/>
          <a:endCxn id="235" idx="1"/>
        </xdr:cNvCxnSpPr>
      </xdr:nvCxnSpPr>
      <xdr:spPr>
        <a:xfrm>
          <a:off x="20689504" y="15838869"/>
          <a:ext cx="896442" cy="95764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104225</xdr:colOff>
      <xdr:row>81</xdr:row>
      <xdr:rowOff>18394</xdr:rowOff>
    </xdr:from>
    <xdr:to>
      <xdr:col>46</xdr:col>
      <xdr:colOff>62185</xdr:colOff>
      <xdr:row>88</xdr:row>
      <xdr:rowOff>32515</xdr:rowOff>
    </xdr:to>
    <xdr:cxnSp macro="">
      <xdr:nvCxnSpPr>
        <xdr:cNvPr id="237" name="Connector: Elbow 236">
          <a:extLst>
            <a:ext uri="{FF2B5EF4-FFF2-40B4-BE49-F238E27FC236}">
              <a16:creationId xmlns:a16="http://schemas.microsoft.com/office/drawing/2014/main" id="{5C410A8F-EA29-4D73-B138-C53DCE891531}"/>
            </a:ext>
          </a:extLst>
        </xdr:cNvPr>
        <xdr:cNvCxnSpPr>
          <a:stCxn id="235" idx="3"/>
          <a:endCxn id="170" idx="1"/>
        </xdr:cNvCxnSpPr>
      </xdr:nvCxnSpPr>
      <xdr:spPr>
        <a:xfrm flipV="1">
          <a:off x="22783250" y="15448894"/>
          <a:ext cx="9101960" cy="1347621"/>
        </a:xfrm>
        <a:prstGeom prst="bentConnector3">
          <a:avLst>
            <a:gd name="adj1" fmla="val 96163"/>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xdr:col>
      <xdr:colOff>338520</xdr:colOff>
      <xdr:row>100</xdr:row>
      <xdr:rowOff>130503</xdr:rowOff>
    </xdr:from>
    <xdr:to>
      <xdr:col>27</xdr:col>
      <xdr:colOff>448003</xdr:colOff>
      <xdr:row>105</xdr:row>
      <xdr:rowOff>64813</xdr:rowOff>
    </xdr:to>
    <xdr:sp macro="" textlink="">
      <xdr:nvSpPr>
        <xdr:cNvPr id="238" name="Rectangle: Rounded Corners 237">
          <a:extLst>
            <a:ext uri="{FF2B5EF4-FFF2-40B4-BE49-F238E27FC236}">
              <a16:creationId xmlns:a16="http://schemas.microsoft.com/office/drawing/2014/main" id="{17E80FF3-E4FB-456D-8A04-4BE1F793166E}"/>
            </a:ext>
          </a:extLst>
        </xdr:cNvPr>
        <xdr:cNvSpPr/>
      </xdr:nvSpPr>
      <xdr:spPr>
        <a:xfrm>
          <a:off x="18140745" y="19180503"/>
          <a:ext cx="2547883" cy="88681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D" sz="1100">
              <a:solidFill>
                <a:schemeClr val="lt1"/>
              </a:solidFill>
              <a:effectLst/>
              <a:latin typeface="+mn-lt"/>
              <a:ea typeface="+mn-ea"/>
              <a:cs typeface="+mn-cs"/>
            </a:rPr>
            <a:t>Is this a newly acquired asset?</a:t>
          </a:r>
          <a:endParaRPr lang="en-ID">
            <a:effectLst/>
          </a:endParaRPr>
        </a:p>
        <a:p>
          <a:r>
            <a:rPr lang="en-ID" sz="1100" b="0" i="0">
              <a:solidFill>
                <a:schemeClr val="lt1"/>
              </a:solidFill>
              <a:effectLst/>
              <a:latin typeface="+mn-lt"/>
              <a:ea typeface="+mn-ea"/>
              <a:cs typeface="+mn-cs"/>
            </a:rPr>
            <a:t>Apakah ini aset baru?</a:t>
          </a:r>
          <a:endParaRPr lang="en-ID">
            <a:effectLst/>
          </a:endParaRPr>
        </a:p>
      </xdr:txBody>
    </xdr:sp>
    <xdr:clientData/>
  </xdr:twoCellAnchor>
  <xdr:twoCellAnchor>
    <xdr:from>
      <xdr:col>22</xdr:col>
      <xdr:colOff>181739</xdr:colOff>
      <xdr:row>103</xdr:row>
      <xdr:rowOff>4598</xdr:rowOff>
    </xdr:from>
    <xdr:to>
      <xdr:col>23</xdr:col>
      <xdr:colOff>338520</xdr:colOff>
      <xdr:row>103</xdr:row>
      <xdr:rowOff>6572</xdr:rowOff>
    </xdr:to>
    <xdr:cxnSp macro="">
      <xdr:nvCxnSpPr>
        <xdr:cNvPr id="239" name="Straight Arrow Connector 238">
          <a:extLst>
            <a:ext uri="{FF2B5EF4-FFF2-40B4-BE49-F238E27FC236}">
              <a16:creationId xmlns:a16="http://schemas.microsoft.com/office/drawing/2014/main" id="{3288424E-1B67-4DED-8DCE-788E1D923E73}"/>
            </a:ext>
          </a:extLst>
        </xdr:cNvPr>
        <xdr:cNvCxnSpPr>
          <a:endCxn id="238" idx="1"/>
        </xdr:cNvCxnSpPr>
      </xdr:nvCxnSpPr>
      <xdr:spPr>
        <a:xfrm flipV="1">
          <a:off x="17374364" y="19626098"/>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93276</xdr:colOff>
      <xdr:row>101</xdr:row>
      <xdr:rowOff>130504</xdr:rowOff>
    </xdr:from>
    <xdr:to>
      <xdr:col>31</xdr:col>
      <xdr:colOff>71380</xdr:colOff>
      <xdr:row>104</xdr:row>
      <xdr:rowOff>54958</xdr:rowOff>
    </xdr:to>
    <xdr:sp macro="" textlink="">
      <xdr:nvSpPr>
        <xdr:cNvPr id="240" name="Rectangle: Rounded Corners 239">
          <a:extLst>
            <a:ext uri="{FF2B5EF4-FFF2-40B4-BE49-F238E27FC236}">
              <a16:creationId xmlns:a16="http://schemas.microsoft.com/office/drawing/2014/main" id="{746671E9-F02C-4FD6-9785-4218BDAD7214}"/>
            </a:ext>
          </a:extLst>
        </xdr:cNvPr>
        <xdr:cNvSpPr/>
      </xdr:nvSpPr>
      <xdr:spPr>
        <a:xfrm>
          <a:off x="21553101" y="19371004"/>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27</xdr:col>
      <xdr:colOff>448003</xdr:colOff>
      <xdr:row>102</xdr:row>
      <xdr:rowOff>185791</xdr:rowOff>
    </xdr:from>
    <xdr:to>
      <xdr:col>29</xdr:col>
      <xdr:colOff>93276</xdr:colOff>
      <xdr:row>103</xdr:row>
      <xdr:rowOff>4598</xdr:rowOff>
    </xdr:to>
    <xdr:cxnSp macro="">
      <xdr:nvCxnSpPr>
        <xdr:cNvPr id="241" name="Straight Arrow Connector 240">
          <a:extLst>
            <a:ext uri="{FF2B5EF4-FFF2-40B4-BE49-F238E27FC236}">
              <a16:creationId xmlns:a16="http://schemas.microsoft.com/office/drawing/2014/main" id="{CD381B53-4FAA-4538-9C9C-E29305DBA4EB}"/>
            </a:ext>
          </a:extLst>
        </xdr:cNvPr>
        <xdr:cNvCxnSpPr>
          <a:stCxn id="238" idx="3"/>
          <a:endCxn id="240" idx="1"/>
        </xdr:cNvCxnSpPr>
      </xdr:nvCxnSpPr>
      <xdr:spPr>
        <a:xfrm flipV="1">
          <a:off x="20688628" y="19616791"/>
          <a:ext cx="864473" cy="930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71380</xdr:colOff>
      <xdr:row>102</xdr:row>
      <xdr:rowOff>185791</xdr:rowOff>
    </xdr:from>
    <xdr:to>
      <xdr:col>33</xdr:col>
      <xdr:colOff>21021</xdr:colOff>
      <xdr:row>103</xdr:row>
      <xdr:rowOff>6160</xdr:rowOff>
    </xdr:to>
    <xdr:cxnSp macro="">
      <xdr:nvCxnSpPr>
        <xdr:cNvPr id="242" name="Straight Arrow Connector 241">
          <a:extLst>
            <a:ext uri="{FF2B5EF4-FFF2-40B4-BE49-F238E27FC236}">
              <a16:creationId xmlns:a16="http://schemas.microsoft.com/office/drawing/2014/main" id="{3D40EFAE-601C-4B99-B073-2C027249ACF0}"/>
            </a:ext>
          </a:extLst>
        </xdr:cNvPr>
        <xdr:cNvCxnSpPr>
          <a:stCxn id="240" idx="3"/>
        </xdr:cNvCxnSpPr>
      </xdr:nvCxnSpPr>
      <xdr:spPr>
        <a:xfrm>
          <a:off x="22750405" y="19616791"/>
          <a:ext cx="1168841" cy="1086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27</xdr:col>
      <xdr:colOff>448003</xdr:colOff>
      <xdr:row>103</xdr:row>
      <xdr:rowOff>4598</xdr:rowOff>
    </xdr:from>
    <xdr:to>
      <xdr:col>29</xdr:col>
      <xdr:colOff>125245</xdr:colOff>
      <xdr:row>108</xdr:row>
      <xdr:rowOff>9743</xdr:rowOff>
    </xdr:to>
    <xdr:cxnSp macro="">
      <xdr:nvCxnSpPr>
        <xdr:cNvPr id="243" name="Straight Arrow Connector 242">
          <a:extLst>
            <a:ext uri="{FF2B5EF4-FFF2-40B4-BE49-F238E27FC236}">
              <a16:creationId xmlns:a16="http://schemas.microsoft.com/office/drawing/2014/main" id="{DD9BDF07-DD43-4765-B563-A5C4158E0349}"/>
            </a:ext>
          </a:extLst>
        </xdr:cNvPr>
        <xdr:cNvCxnSpPr>
          <a:stCxn id="238" idx="3"/>
        </xdr:cNvCxnSpPr>
      </xdr:nvCxnSpPr>
      <xdr:spPr>
        <a:xfrm>
          <a:off x="20688628" y="19626098"/>
          <a:ext cx="896442" cy="95764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147142</xdr:colOff>
      <xdr:row>106</xdr:row>
      <xdr:rowOff>129628</xdr:rowOff>
    </xdr:from>
    <xdr:to>
      <xdr:col>31</xdr:col>
      <xdr:colOff>125246</xdr:colOff>
      <xdr:row>109</xdr:row>
      <xdr:rowOff>54082</xdr:rowOff>
    </xdr:to>
    <xdr:sp macro="" textlink="">
      <xdr:nvSpPr>
        <xdr:cNvPr id="244" name="Rectangle: Rounded Corners 243">
          <a:extLst>
            <a:ext uri="{FF2B5EF4-FFF2-40B4-BE49-F238E27FC236}">
              <a16:creationId xmlns:a16="http://schemas.microsoft.com/office/drawing/2014/main" id="{18669E98-A309-4944-8B2E-29B1EA914005}"/>
            </a:ext>
          </a:extLst>
        </xdr:cNvPr>
        <xdr:cNvSpPr/>
      </xdr:nvSpPr>
      <xdr:spPr>
        <a:xfrm>
          <a:off x="21606967" y="20322628"/>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23</xdr:col>
      <xdr:colOff>403334</xdr:colOff>
      <xdr:row>63</xdr:row>
      <xdr:rowOff>107730</xdr:rowOff>
    </xdr:from>
    <xdr:to>
      <xdr:col>27</xdr:col>
      <xdr:colOff>512817</xdr:colOff>
      <xdr:row>68</xdr:row>
      <xdr:rowOff>42041</xdr:rowOff>
    </xdr:to>
    <xdr:sp macro="" textlink="">
      <xdr:nvSpPr>
        <xdr:cNvPr id="245" name="Rectangle: Rounded Corners 244">
          <a:extLst>
            <a:ext uri="{FF2B5EF4-FFF2-40B4-BE49-F238E27FC236}">
              <a16:creationId xmlns:a16="http://schemas.microsoft.com/office/drawing/2014/main" id="{95D000B9-701A-417E-90FD-1F9BE380BB92}"/>
            </a:ext>
          </a:extLst>
        </xdr:cNvPr>
        <xdr:cNvSpPr/>
      </xdr:nvSpPr>
      <xdr:spPr>
        <a:xfrm>
          <a:off x="18205559" y="12109230"/>
          <a:ext cx="2547883" cy="88681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D" sz="1100">
              <a:solidFill>
                <a:schemeClr val="lt1"/>
              </a:solidFill>
              <a:effectLst/>
              <a:latin typeface="+mn-lt"/>
              <a:ea typeface="+mn-ea"/>
              <a:cs typeface="+mn-cs"/>
            </a:rPr>
            <a:t>Is this a newly acquired asset?</a:t>
          </a:r>
          <a:endParaRPr lang="en-ID">
            <a:effectLst/>
          </a:endParaRPr>
        </a:p>
        <a:p>
          <a:r>
            <a:rPr lang="en-ID" sz="1100" b="0" i="0">
              <a:solidFill>
                <a:schemeClr val="lt1"/>
              </a:solidFill>
              <a:effectLst/>
              <a:latin typeface="+mn-lt"/>
              <a:ea typeface="+mn-ea"/>
              <a:cs typeface="+mn-cs"/>
            </a:rPr>
            <a:t>Apakah ini aset baru?</a:t>
          </a:r>
          <a:endParaRPr lang="en-ID">
            <a:effectLst/>
          </a:endParaRPr>
        </a:p>
      </xdr:txBody>
    </xdr:sp>
    <xdr:clientData/>
  </xdr:twoCellAnchor>
  <xdr:twoCellAnchor>
    <xdr:from>
      <xdr:col>22</xdr:col>
      <xdr:colOff>246553</xdr:colOff>
      <xdr:row>65</xdr:row>
      <xdr:rowOff>167946</xdr:rowOff>
    </xdr:from>
    <xdr:to>
      <xdr:col>23</xdr:col>
      <xdr:colOff>403334</xdr:colOff>
      <xdr:row>65</xdr:row>
      <xdr:rowOff>169920</xdr:rowOff>
    </xdr:to>
    <xdr:cxnSp macro="">
      <xdr:nvCxnSpPr>
        <xdr:cNvPr id="246" name="Straight Arrow Connector 245">
          <a:extLst>
            <a:ext uri="{FF2B5EF4-FFF2-40B4-BE49-F238E27FC236}">
              <a16:creationId xmlns:a16="http://schemas.microsoft.com/office/drawing/2014/main" id="{E97C88DB-AF7F-452F-AB47-904912BECFE5}"/>
            </a:ext>
          </a:extLst>
        </xdr:cNvPr>
        <xdr:cNvCxnSpPr>
          <a:endCxn id="245" idx="1"/>
        </xdr:cNvCxnSpPr>
      </xdr:nvCxnSpPr>
      <xdr:spPr>
        <a:xfrm flipV="1">
          <a:off x="17439178" y="12550446"/>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158090</xdr:colOff>
      <xdr:row>64</xdr:row>
      <xdr:rowOff>107732</xdr:rowOff>
    </xdr:from>
    <xdr:to>
      <xdr:col>31</xdr:col>
      <xdr:colOff>136194</xdr:colOff>
      <xdr:row>67</xdr:row>
      <xdr:rowOff>32186</xdr:rowOff>
    </xdr:to>
    <xdr:sp macro="" textlink="">
      <xdr:nvSpPr>
        <xdr:cNvPr id="247" name="Rectangle: Rounded Corners 246">
          <a:extLst>
            <a:ext uri="{FF2B5EF4-FFF2-40B4-BE49-F238E27FC236}">
              <a16:creationId xmlns:a16="http://schemas.microsoft.com/office/drawing/2014/main" id="{9DCEAEC4-C42C-4046-A851-9D475E6A0222}"/>
            </a:ext>
          </a:extLst>
        </xdr:cNvPr>
        <xdr:cNvSpPr/>
      </xdr:nvSpPr>
      <xdr:spPr>
        <a:xfrm>
          <a:off x="21617915" y="12299732"/>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27</xdr:col>
      <xdr:colOff>512817</xdr:colOff>
      <xdr:row>65</xdr:row>
      <xdr:rowOff>163019</xdr:rowOff>
    </xdr:from>
    <xdr:to>
      <xdr:col>29</xdr:col>
      <xdr:colOff>158090</xdr:colOff>
      <xdr:row>65</xdr:row>
      <xdr:rowOff>167946</xdr:rowOff>
    </xdr:to>
    <xdr:cxnSp macro="">
      <xdr:nvCxnSpPr>
        <xdr:cNvPr id="248" name="Straight Arrow Connector 247">
          <a:extLst>
            <a:ext uri="{FF2B5EF4-FFF2-40B4-BE49-F238E27FC236}">
              <a16:creationId xmlns:a16="http://schemas.microsoft.com/office/drawing/2014/main" id="{D3EBB37E-7DCF-4764-8B13-472CC181587F}"/>
            </a:ext>
          </a:extLst>
        </xdr:cNvPr>
        <xdr:cNvCxnSpPr>
          <a:stCxn id="245" idx="3"/>
          <a:endCxn id="247" idx="1"/>
        </xdr:cNvCxnSpPr>
      </xdr:nvCxnSpPr>
      <xdr:spPr>
        <a:xfrm flipV="1">
          <a:off x="20753442" y="12545519"/>
          <a:ext cx="864473" cy="492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27</xdr:col>
      <xdr:colOff>512817</xdr:colOff>
      <xdr:row>65</xdr:row>
      <xdr:rowOff>167946</xdr:rowOff>
    </xdr:from>
    <xdr:to>
      <xdr:col>29</xdr:col>
      <xdr:colOff>190059</xdr:colOff>
      <xdr:row>70</xdr:row>
      <xdr:rowOff>173091</xdr:rowOff>
    </xdr:to>
    <xdr:cxnSp macro="">
      <xdr:nvCxnSpPr>
        <xdr:cNvPr id="249" name="Straight Arrow Connector 248">
          <a:extLst>
            <a:ext uri="{FF2B5EF4-FFF2-40B4-BE49-F238E27FC236}">
              <a16:creationId xmlns:a16="http://schemas.microsoft.com/office/drawing/2014/main" id="{182E2091-AD23-465C-9956-25DA6BFE6ADA}"/>
            </a:ext>
          </a:extLst>
        </xdr:cNvPr>
        <xdr:cNvCxnSpPr>
          <a:stCxn id="245" idx="3"/>
        </xdr:cNvCxnSpPr>
      </xdr:nvCxnSpPr>
      <xdr:spPr>
        <a:xfrm>
          <a:off x="20753442" y="12550446"/>
          <a:ext cx="896442" cy="95764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211956</xdr:colOff>
      <xdr:row>69</xdr:row>
      <xdr:rowOff>52115</xdr:rowOff>
    </xdr:from>
    <xdr:to>
      <xdr:col>31</xdr:col>
      <xdr:colOff>190060</xdr:colOff>
      <xdr:row>71</xdr:row>
      <xdr:rowOff>162690</xdr:rowOff>
    </xdr:to>
    <xdr:sp macro="" textlink="">
      <xdr:nvSpPr>
        <xdr:cNvPr id="250" name="Rectangle: Rounded Corners 249">
          <a:extLst>
            <a:ext uri="{FF2B5EF4-FFF2-40B4-BE49-F238E27FC236}">
              <a16:creationId xmlns:a16="http://schemas.microsoft.com/office/drawing/2014/main" id="{F5D13E62-B035-4C53-A3A4-BA2F8BAC71EA}"/>
            </a:ext>
          </a:extLst>
        </xdr:cNvPr>
        <xdr:cNvSpPr/>
      </xdr:nvSpPr>
      <xdr:spPr>
        <a:xfrm>
          <a:off x="21671781" y="13196615"/>
          <a:ext cx="1197304" cy="491575"/>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31</xdr:col>
      <xdr:colOff>136194</xdr:colOff>
      <xdr:row>65</xdr:row>
      <xdr:rowOff>163019</xdr:rowOff>
    </xdr:from>
    <xdr:to>
      <xdr:col>33</xdr:col>
      <xdr:colOff>20035</xdr:colOff>
      <xdr:row>65</xdr:row>
      <xdr:rowOff>172135</xdr:rowOff>
    </xdr:to>
    <xdr:cxnSp macro="">
      <xdr:nvCxnSpPr>
        <xdr:cNvPr id="251" name="Straight Arrow Connector 250">
          <a:extLst>
            <a:ext uri="{FF2B5EF4-FFF2-40B4-BE49-F238E27FC236}">
              <a16:creationId xmlns:a16="http://schemas.microsoft.com/office/drawing/2014/main" id="{4E8D7A82-B5AD-4945-9D61-E49D8681D6B4}"/>
            </a:ext>
          </a:extLst>
        </xdr:cNvPr>
        <xdr:cNvCxnSpPr>
          <a:stCxn id="247" idx="3"/>
          <a:endCxn id="126" idx="1"/>
        </xdr:cNvCxnSpPr>
      </xdr:nvCxnSpPr>
      <xdr:spPr>
        <a:xfrm>
          <a:off x="22815219" y="12545519"/>
          <a:ext cx="1103041" cy="911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xdr:col>
      <xdr:colOff>391510</xdr:colOff>
      <xdr:row>44</xdr:row>
      <xdr:rowOff>161596</xdr:rowOff>
    </xdr:from>
    <xdr:to>
      <xdr:col>27</xdr:col>
      <xdr:colOff>500993</xdr:colOff>
      <xdr:row>49</xdr:row>
      <xdr:rowOff>95907</xdr:rowOff>
    </xdr:to>
    <xdr:sp macro="" textlink="">
      <xdr:nvSpPr>
        <xdr:cNvPr id="252" name="Rectangle: Rounded Corners 251">
          <a:extLst>
            <a:ext uri="{FF2B5EF4-FFF2-40B4-BE49-F238E27FC236}">
              <a16:creationId xmlns:a16="http://schemas.microsoft.com/office/drawing/2014/main" id="{9D34B80F-A8DD-4A40-9190-072E010C36A6}"/>
            </a:ext>
          </a:extLst>
        </xdr:cNvPr>
        <xdr:cNvSpPr/>
      </xdr:nvSpPr>
      <xdr:spPr>
        <a:xfrm>
          <a:off x="18193735" y="8543596"/>
          <a:ext cx="2547883" cy="88681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D" sz="1100">
              <a:solidFill>
                <a:schemeClr val="lt1"/>
              </a:solidFill>
              <a:effectLst/>
              <a:latin typeface="+mn-lt"/>
              <a:ea typeface="+mn-ea"/>
              <a:cs typeface="+mn-cs"/>
            </a:rPr>
            <a:t>Is this a newly acquired asset?</a:t>
          </a:r>
          <a:endParaRPr lang="en-ID">
            <a:effectLst/>
          </a:endParaRPr>
        </a:p>
        <a:p>
          <a:r>
            <a:rPr lang="en-ID" sz="1100" b="0" i="0">
              <a:solidFill>
                <a:schemeClr val="lt1"/>
              </a:solidFill>
              <a:effectLst/>
              <a:latin typeface="+mn-lt"/>
              <a:ea typeface="+mn-ea"/>
              <a:cs typeface="+mn-cs"/>
            </a:rPr>
            <a:t>Apakah ini aset baru?</a:t>
          </a:r>
          <a:endParaRPr lang="en-ID">
            <a:effectLst/>
          </a:endParaRPr>
        </a:p>
      </xdr:txBody>
    </xdr:sp>
    <xdr:clientData/>
  </xdr:twoCellAnchor>
  <xdr:twoCellAnchor>
    <xdr:from>
      <xdr:col>22</xdr:col>
      <xdr:colOff>234729</xdr:colOff>
      <xdr:row>47</xdr:row>
      <xdr:rowOff>35691</xdr:rowOff>
    </xdr:from>
    <xdr:to>
      <xdr:col>23</xdr:col>
      <xdr:colOff>391510</xdr:colOff>
      <xdr:row>47</xdr:row>
      <xdr:rowOff>37665</xdr:rowOff>
    </xdr:to>
    <xdr:cxnSp macro="">
      <xdr:nvCxnSpPr>
        <xdr:cNvPr id="253" name="Straight Arrow Connector 252">
          <a:extLst>
            <a:ext uri="{FF2B5EF4-FFF2-40B4-BE49-F238E27FC236}">
              <a16:creationId xmlns:a16="http://schemas.microsoft.com/office/drawing/2014/main" id="{095571E8-580E-4035-BEC1-A8ACF433DD2C}"/>
            </a:ext>
          </a:extLst>
        </xdr:cNvPr>
        <xdr:cNvCxnSpPr>
          <a:endCxn id="252" idx="1"/>
        </xdr:cNvCxnSpPr>
      </xdr:nvCxnSpPr>
      <xdr:spPr>
        <a:xfrm flipV="1">
          <a:off x="17427354" y="8989191"/>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146266</xdr:colOff>
      <xdr:row>45</xdr:row>
      <xdr:rowOff>161598</xdr:rowOff>
    </xdr:from>
    <xdr:to>
      <xdr:col>31</xdr:col>
      <xdr:colOff>124370</xdr:colOff>
      <xdr:row>48</xdr:row>
      <xdr:rowOff>86052</xdr:rowOff>
    </xdr:to>
    <xdr:sp macro="" textlink="">
      <xdr:nvSpPr>
        <xdr:cNvPr id="254" name="Rectangle: Rounded Corners 253">
          <a:extLst>
            <a:ext uri="{FF2B5EF4-FFF2-40B4-BE49-F238E27FC236}">
              <a16:creationId xmlns:a16="http://schemas.microsoft.com/office/drawing/2014/main" id="{9996FC35-61EC-41E8-A7EC-D372A68BC842}"/>
            </a:ext>
          </a:extLst>
        </xdr:cNvPr>
        <xdr:cNvSpPr/>
      </xdr:nvSpPr>
      <xdr:spPr>
        <a:xfrm>
          <a:off x="21606091" y="8734098"/>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27</xdr:col>
      <xdr:colOff>500993</xdr:colOff>
      <xdr:row>47</xdr:row>
      <xdr:rowOff>30764</xdr:rowOff>
    </xdr:from>
    <xdr:to>
      <xdr:col>29</xdr:col>
      <xdr:colOff>146266</xdr:colOff>
      <xdr:row>47</xdr:row>
      <xdr:rowOff>35691</xdr:rowOff>
    </xdr:to>
    <xdr:cxnSp macro="">
      <xdr:nvCxnSpPr>
        <xdr:cNvPr id="255" name="Straight Arrow Connector 254">
          <a:extLst>
            <a:ext uri="{FF2B5EF4-FFF2-40B4-BE49-F238E27FC236}">
              <a16:creationId xmlns:a16="http://schemas.microsoft.com/office/drawing/2014/main" id="{76D8F3FA-B9C8-4C37-AF0D-1A3470858A13}"/>
            </a:ext>
          </a:extLst>
        </xdr:cNvPr>
        <xdr:cNvCxnSpPr>
          <a:stCxn id="252" idx="3"/>
          <a:endCxn id="254" idx="1"/>
        </xdr:cNvCxnSpPr>
      </xdr:nvCxnSpPr>
      <xdr:spPr>
        <a:xfrm flipV="1">
          <a:off x="20741618" y="8984264"/>
          <a:ext cx="864473" cy="492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27</xdr:col>
      <xdr:colOff>500993</xdr:colOff>
      <xdr:row>47</xdr:row>
      <xdr:rowOff>35691</xdr:rowOff>
    </xdr:from>
    <xdr:to>
      <xdr:col>29</xdr:col>
      <xdr:colOff>178235</xdr:colOff>
      <xdr:row>52</xdr:row>
      <xdr:rowOff>40837</xdr:rowOff>
    </xdr:to>
    <xdr:cxnSp macro="">
      <xdr:nvCxnSpPr>
        <xdr:cNvPr id="256" name="Straight Arrow Connector 255">
          <a:extLst>
            <a:ext uri="{FF2B5EF4-FFF2-40B4-BE49-F238E27FC236}">
              <a16:creationId xmlns:a16="http://schemas.microsoft.com/office/drawing/2014/main" id="{E76EB941-9169-4F35-A585-EB29F464056E}"/>
            </a:ext>
          </a:extLst>
        </xdr:cNvPr>
        <xdr:cNvCxnSpPr>
          <a:stCxn id="252" idx="3"/>
        </xdr:cNvCxnSpPr>
      </xdr:nvCxnSpPr>
      <xdr:spPr>
        <a:xfrm>
          <a:off x="20741618" y="8989191"/>
          <a:ext cx="896442" cy="95764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200132</xdr:colOff>
      <xdr:row>50</xdr:row>
      <xdr:rowOff>105981</xdr:rowOff>
    </xdr:from>
    <xdr:to>
      <xdr:col>31</xdr:col>
      <xdr:colOff>178236</xdr:colOff>
      <xdr:row>53</xdr:row>
      <xdr:rowOff>30435</xdr:rowOff>
    </xdr:to>
    <xdr:sp macro="" textlink="">
      <xdr:nvSpPr>
        <xdr:cNvPr id="257" name="Rectangle: Rounded Corners 256">
          <a:extLst>
            <a:ext uri="{FF2B5EF4-FFF2-40B4-BE49-F238E27FC236}">
              <a16:creationId xmlns:a16="http://schemas.microsoft.com/office/drawing/2014/main" id="{8878DD95-170D-438B-85D5-BD1E2E6E095C}"/>
            </a:ext>
          </a:extLst>
        </xdr:cNvPr>
        <xdr:cNvSpPr/>
      </xdr:nvSpPr>
      <xdr:spPr>
        <a:xfrm>
          <a:off x="21659957" y="9630981"/>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31</xdr:col>
      <xdr:colOff>124370</xdr:colOff>
      <xdr:row>47</xdr:row>
      <xdr:rowOff>30764</xdr:rowOff>
    </xdr:from>
    <xdr:to>
      <xdr:col>33</xdr:col>
      <xdr:colOff>8211</xdr:colOff>
      <xdr:row>47</xdr:row>
      <xdr:rowOff>39880</xdr:rowOff>
    </xdr:to>
    <xdr:cxnSp macro="">
      <xdr:nvCxnSpPr>
        <xdr:cNvPr id="258" name="Straight Arrow Connector 257">
          <a:extLst>
            <a:ext uri="{FF2B5EF4-FFF2-40B4-BE49-F238E27FC236}">
              <a16:creationId xmlns:a16="http://schemas.microsoft.com/office/drawing/2014/main" id="{A347F3A9-A300-43C2-89BB-A88BBF598284}"/>
            </a:ext>
          </a:extLst>
        </xdr:cNvPr>
        <xdr:cNvCxnSpPr>
          <a:stCxn id="254" idx="3"/>
        </xdr:cNvCxnSpPr>
      </xdr:nvCxnSpPr>
      <xdr:spPr>
        <a:xfrm>
          <a:off x="22803395" y="8984264"/>
          <a:ext cx="1103041" cy="911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xdr:col>
      <xdr:colOff>390634</xdr:colOff>
      <xdr:row>27</xdr:row>
      <xdr:rowOff>40290</xdr:rowOff>
    </xdr:from>
    <xdr:to>
      <xdr:col>27</xdr:col>
      <xdr:colOff>500117</xdr:colOff>
      <xdr:row>31</xdr:row>
      <xdr:rowOff>160721</xdr:rowOff>
    </xdr:to>
    <xdr:sp macro="" textlink="">
      <xdr:nvSpPr>
        <xdr:cNvPr id="259" name="Rectangle: Rounded Corners 258">
          <a:extLst>
            <a:ext uri="{FF2B5EF4-FFF2-40B4-BE49-F238E27FC236}">
              <a16:creationId xmlns:a16="http://schemas.microsoft.com/office/drawing/2014/main" id="{7AC918B0-E845-4354-B472-7F9F33513C2E}"/>
            </a:ext>
          </a:extLst>
        </xdr:cNvPr>
        <xdr:cNvSpPr/>
      </xdr:nvSpPr>
      <xdr:spPr>
        <a:xfrm>
          <a:off x="18192859" y="5183790"/>
          <a:ext cx="2547883" cy="8824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D" sz="1100">
              <a:solidFill>
                <a:schemeClr val="lt1"/>
              </a:solidFill>
              <a:effectLst/>
              <a:latin typeface="+mn-lt"/>
              <a:ea typeface="+mn-ea"/>
              <a:cs typeface="+mn-cs"/>
            </a:rPr>
            <a:t>Is this a newly acquired asset?</a:t>
          </a:r>
          <a:endParaRPr lang="en-ID">
            <a:effectLst/>
          </a:endParaRPr>
        </a:p>
        <a:p>
          <a:r>
            <a:rPr lang="en-ID" sz="1100" b="0" i="0">
              <a:solidFill>
                <a:schemeClr val="lt1"/>
              </a:solidFill>
              <a:effectLst/>
              <a:latin typeface="+mn-lt"/>
              <a:ea typeface="+mn-ea"/>
              <a:cs typeface="+mn-cs"/>
            </a:rPr>
            <a:t>Apakah ini aset baru?</a:t>
          </a:r>
          <a:endParaRPr lang="en-ID">
            <a:effectLst/>
          </a:endParaRPr>
        </a:p>
      </xdr:txBody>
    </xdr:sp>
    <xdr:clientData/>
  </xdr:twoCellAnchor>
  <xdr:twoCellAnchor>
    <xdr:from>
      <xdr:col>22</xdr:col>
      <xdr:colOff>233853</xdr:colOff>
      <xdr:row>29</xdr:row>
      <xdr:rowOff>100506</xdr:rowOff>
    </xdr:from>
    <xdr:to>
      <xdr:col>23</xdr:col>
      <xdr:colOff>390634</xdr:colOff>
      <xdr:row>29</xdr:row>
      <xdr:rowOff>102480</xdr:rowOff>
    </xdr:to>
    <xdr:cxnSp macro="">
      <xdr:nvCxnSpPr>
        <xdr:cNvPr id="260" name="Straight Arrow Connector 259">
          <a:extLst>
            <a:ext uri="{FF2B5EF4-FFF2-40B4-BE49-F238E27FC236}">
              <a16:creationId xmlns:a16="http://schemas.microsoft.com/office/drawing/2014/main" id="{9789FA06-CFDA-4E84-B4C7-F8165DAD79C9}"/>
            </a:ext>
          </a:extLst>
        </xdr:cNvPr>
        <xdr:cNvCxnSpPr>
          <a:endCxn id="259" idx="1"/>
        </xdr:cNvCxnSpPr>
      </xdr:nvCxnSpPr>
      <xdr:spPr>
        <a:xfrm flipV="1">
          <a:off x="17426478" y="5625006"/>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145390</xdr:colOff>
      <xdr:row>28</xdr:row>
      <xdr:rowOff>40291</xdr:rowOff>
    </xdr:from>
    <xdr:to>
      <xdr:col>31</xdr:col>
      <xdr:colOff>123494</xdr:colOff>
      <xdr:row>30</xdr:row>
      <xdr:rowOff>150866</xdr:rowOff>
    </xdr:to>
    <xdr:sp macro="" textlink="">
      <xdr:nvSpPr>
        <xdr:cNvPr id="261" name="Rectangle: Rounded Corners 260">
          <a:extLst>
            <a:ext uri="{FF2B5EF4-FFF2-40B4-BE49-F238E27FC236}">
              <a16:creationId xmlns:a16="http://schemas.microsoft.com/office/drawing/2014/main" id="{76BB3993-A639-47B8-B97C-E5976C091EB1}"/>
            </a:ext>
          </a:extLst>
        </xdr:cNvPr>
        <xdr:cNvSpPr/>
      </xdr:nvSpPr>
      <xdr:spPr>
        <a:xfrm>
          <a:off x="21605215" y="5374291"/>
          <a:ext cx="1197304" cy="491575"/>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27</xdr:col>
      <xdr:colOff>500117</xdr:colOff>
      <xdr:row>29</xdr:row>
      <xdr:rowOff>95579</xdr:rowOff>
    </xdr:from>
    <xdr:to>
      <xdr:col>29</xdr:col>
      <xdr:colOff>145390</xdr:colOff>
      <xdr:row>29</xdr:row>
      <xdr:rowOff>100506</xdr:rowOff>
    </xdr:to>
    <xdr:cxnSp macro="">
      <xdr:nvCxnSpPr>
        <xdr:cNvPr id="262" name="Straight Arrow Connector 261">
          <a:extLst>
            <a:ext uri="{FF2B5EF4-FFF2-40B4-BE49-F238E27FC236}">
              <a16:creationId xmlns:a16="http://schemas.microsoft.com/office/drawing/2014/main" id="{9167533B-B70E-4094-9496-2286BA91BC40}"/>
            </a:ext>
          </a:extLst>
        </xdr:cNvPr>
        <xdr:cNvCxnSpPr>
          <a:stCxn id="259" idx="3"/>
          <a:endCxn id="261" idx="1"/>
        </xdr:cNvCxnSpPr>
      </xdr:nvCxnSpPr>
      <xdr:spPr>
        <a:xfrm flipV="1">
          <a:off x="20740742" y="5620079"/>
          <a:ext cx="864473" cy="492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27</xdr:col>
      <xdr:colOff>500117</xdr:colOff>
      <xdr:row>29</xdr:row>
      <xdr:rowOff>100506</xdr:rowOff>
    </xdr:from>
    <xdr:to>
      <xdr:col>29</xdr:col>
      <xdr:colOff>177359</xdr:colOff>
      <xdr:row>34</xdr:row>
      <xdr:rowOff>105651</xdr:rowOff>
    </xdr:to>
    <xdr:cxnSp macro="">
      <xdr:nvCxnSpPr>
        <xdr:cNvPr id="263" name="Straight Arrow Connector 262">
          <a:extLst>
            <a:ext uri="{FF2B5EF4-FFF2-40B4-BE49-F238E27FC236}">
              <a16:creationId xmlns:a16="http://schemas.microsoft.com/office/drawing/2014/main" id="{F89B76C1-4A96-4D99-AD53-DDC58B2EDA8C}"/>
            </a:ext>
          </a:extLst>
        </xdr:cNvPr>
        <xdr:cNvCxnSpPr>
          <a:stCxn id="259" idx="3"/>
        </xdr:cNvCxnSpPr>
      </xdr:nvCxnSpPr>
      <xdr:spPr>
        <a:xfrm>
          <a:off x="20740742" y="5625006"/>
          <a:ext cx="896442" cy="95764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199256</xdr:colOff>
      <xdr:row>32</xdr:row>
      <xdr:rowOff>170796</xdr:rowOff>
    </xdr:from>
    <xdr:to>
      <xdr:col>31</xdr:col>
      <xdr:colOff>177360</xdr:colOff>
      <xdr:row>35</xdr:row>
      <xdr:rowOff>95250</xdr:rowOff>
    </xdr:to>
    <xdr:sp macro="" textlink="">
      <xdr:nvSpPr>
        <xdr:cNvPr id="264" name="Rectangle: Rounded Corners 263">
          <a:extLst>
            <a:ext uri="{FF2B5EF4-FFF2-40B4-BE49-F238E27FC236}">
              <a16:creationId xmlns:a16="http://schemas.microsoft.com/office/drawing/2014/main" id="{8A878B52-7AB7-49EF-A5A6-E4AC9D4906A3}"/>
            </a:ext>
          </a:extLst>
        </xdr:cNvPr>
        <xdr:cNvSpPr/>
      </xdr:nvSpPr>
      <xdr:spPr>
        <a:xfrm>
          <a:off x="21659081" y="6266796"/>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31</xdr:col>
      <xdr:colOff>123494</xdr:colOff>
      <xdr:row>29</xdr:row>
      <xdr:rowOff>95579</xdr:rowOff>
    </xdr:from>
    <xdr:to>
      <xdr:col>33</xdr:col>
      <xdr:colOff>7335</xdr:colOff>
      <xdr:row>29</xdr:row>
      <xdr:rowOff>104695</xdr:rowOff>
    </xdr:to>
    <xdr:cxnSp macro="">
      <xdr:nvCxnSpPr>
        <xdr:cNvPr id="265" name="Straight Arrow Connector 264">
          <a:extLst>
            <a:ext uri="{FF2B5EF4-FFF2-40B4-BE49-F238E27FC236}">
              <a16:creationId xmlns:a16="http://schemas.microsoft.com/office/drawing/2014/main" id="{56B09FFB-07D6-4D62-BE7C-F9DAA400A007}"/>
            </a:ext>
          </a:extLst>
        </xdr:cNvPr>
        <xdr:cNvCxnSpPr>
          <a:stCxn id="261" idx="3"/>
        </xdr:cNvCxnSpPr>
      </xdr:nvCxnSpPr>
      <xdr:spPr>
        <a:xfrm>
          <a:off x="22802519" y="5620079"/>
          <a:ext cx="1103041" cy="911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xdr:col>
      <xdr:colOff>367862</xdr:colOff>
      <xdr:row>8</xdr:row>
      <xdr:rowOff>181742</xdr:rowOff>
    </xdr:from>
    <xdr:to>
      <xdr:col>27</xdr:col>
      <xdr:colOff>477345</xdr:colOff>
      <xdr:row>13</xdr:row>
      <xdr:rowOff>116053</xdr:rowOff>
    </xdr:to>
    <xdr:sp macro="" textlink="">
      <xdr:nvSpPr>
        <xdr:cNvPr id="266" name="Rectangle: Rounded Corners 265">
          <a:extLst>
            <a:ext uri="{FF2B5EF4-FFF2-40B4-BE49-F238E27FC236}">
              <a16:creationId xmlns:a16="http://schemas.microsoft.com/office/drawing/2014/main" id="{1F0A3C78-58C5-4D89-9F4E-1579B1DC2E4C}"/>
            </a:ext>
          </a:extLst>
        </xdr:cNvPr>
        <xdr:cNvSpPr/>
      </xdr:nvSpPr>
      <xdr:spPr>
        <a:xfrm>
          <a:off x="18170087" y="1705742"/>
          <a:ext cx="2547883" cy="88681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Is this a newly acquired asset?</a:t>
          </a:r>
        </a:p>
        <a:p>
          <a:pPr algn="ctr"/>
          <a:r>
            <a:rPr lang="en-ID" sz="1100" b="0" i="0">
              <a:solidFill>
                <a:schemeClr val="lt1"/>
              </a:solidFill>
              <a:effectLst/>
              <a:latin typeface="+mn-lt"/>
              <a:ea typeface="+mn-ea"/>
              <a:cs typeface="+mn-cs"/>
            </a:rPr>
            <a:t>Apakah ini aset baru?</a:t>
          </a:r>
          <a:endParaRPr lang="en-ID" sz="1100"/>
        </a:p>
      </xdr:txBody>
    </xdr:sp>
    <xdr:clientData/>
  </xdr:twoCellAnchor>
  <xdr:twoCellAnchor>
    <xdr:from>
      <xdr:col>22</xdr:col>
      <xdr:colOff>211081</xdr:colOff>
      <xdr:row>11</xdr:row>
      <xdr:rowOff>55837</xdr:rowOff>
    </xdr:from>
    <xdr:to>
      <xdr:col>23</xdr:col>
      <xdr:colOff>367862</xdr:colOff>
      <xdr:row>11</xdr:row>
      <xdr:rowOff>57811</xdr:rowOff>
    </xdr:to>
    <xdr:cxnSp macro="">
      <xdr:nvCxnSpPr>
        <xdr:cNvPr id="267" name="Straight Arrow Connector 266">
          <a:extLst>
            <a:ext uri="{FF2B5EF4-FFF2-40B4-BE49-F238E27FC236}">
              <a16:creationId xmlns:a16="http://schemas.microsoft.com/office/drawing/2014/main" id="{346AF55A-2753-4AE6-A3B6-EB271B0ED67E}"/>
            </a:ext>
          </a:extLst>
        </xdr:cNvPr>
        <xdr:cNvCxnSpPr>
          <a:endCxn id="266" idx="1"/>
        </xdr:cNvCxnSpPr>
      </xdr:nvCxnSpPr>
      <xdr:spPr>
        <a:xfrm flipV="1">
          <a:off x="17403706" y="2151337"/>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122618</xdr:colOff>
      <xdr:row>9</xdr:row>
      <xdr:rowOff>181744</xdr:rowOff>
    </xdr:from>
    <xdr:to>
      <xdr:col>31</xdr:col>
      <xdr:colOff>100722</xdr:colOff>
      <xdr:row>12</xdr:row>
      <xdr:rowOff>106197</xdr:rowOff>
    </xdr:to>
    <xdr:sp macro="" textlink="">
      <xdr:nvSpPr>
        <xdr:cNvPr id="268" name="Rectangle: Rounded Corners 267">
          <a:extLst>
            <a:ext uri="{FF2B5EF4-FFF2-40B4-BE49-F238E27FC236}">
              <a16:creationId xmlns:a16="http://schemas.microsoft.com/office/drawing/2014/main" id="{8F2A6292-3438-4950-9A60-B291E3286D0B}"/>
            </a:ext>
          </a:extLst>
        </xdr:cNvPr>
        <xdr:cNvSpPr/>
      </xdr:nvSpPr>
      <xdr:spPr>
        <a:xfrm>
          <a:off x="21582443" y="1896244"/>
          <a:ext cx="1197304" cy="495953"/>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27</xdr:col>
      <xdr:colOff>477345</xdr:colOff>
      <xdr:row>11</xdr:row>
      <xdr:rowOff>50910</xdr:rowOff>
    </xdr:from>
    <xdr:to>
      <xdr:col>29</xdr:col>
      <xdr:colOff>122618</xdr:colOff>
      <xdr:row>11</xdr:row>
      <xdr:rowOff>55837</xdr:rowOff>
    </xdr:to>
    <xdr:cxnSp macro="">
      <xdr:nvCxnSpPr>
        <xdr:cNvPr id="269" name="Straight Arrow Connector 268">
          <a:extLst>
            <a:ext uri="{FF2B5EF4-FFF2-40B4-BE49-F238E27FC236}">
              <a16:creationId xmlns:a16="http://schemas.microsoft.com/office/drawing/2014/main" id="{6EE513EA-C4E5-4BBB-96AF-6501E35016E9}"/>
            </a:ext>
          </a:extLst>
        </xdr:cNvPr>
        <xdr:cNvCxnSpPr>
          <a:stCxn id="266" idx="3"/>
          <a:endCxn id="268" idx="1"/>
        </xdr:cNvCxnSpPr>
      </xdr:nvCxnSpPr>
      <xdr:spPr>
        <a:xfrm flipV="1">
          <a:off x="20717970" y="2146410"/>
          <a:ext cx="864473" cy="492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27</xdr:col>
      <xdr:colOff>477345</xdr:colOff>
      <xdr:row>11</xdr:row>
      <xdr:rowOff>55837</xdr:rowOff>
    </xdr:from>
    <xdr:to>
      <xdr:col>29</xdr:col>
      <xdr:colOff>154587</xdr:colOff>
      <xdr:row>16</xdr:row>
      <xdr:rowOff>60983</xdr:rowOff>
    </xdr:to>
    <xdr:cxnSp macro="">
      <xdr:nvCxnSpPr>
        <xdr:cNvPr id="270" name="Straight Arrow Connector 269">
          <a:extLst>
            <a:ext uri="{FF2B5EF4-FFF2-40B4-BE49-F238E27FC236}">
              <a16:creationId xmlns:a16="http://schemas.microsoft.com/office/drawing/2014/main" id="{86062ACD-5DCD-4649-9555-AE1D1886738C}"/>
            </a:ext>
          </a:extLst>
        </xdr:cNvPr>
        <xdr:cNvCxnSpPr>
          <a:stCxn id="266" idx="3"/>
        </xdr:cNvCxnSpPr>
      </xdr:nvCxnSpPr>
      <xdr:spPr>
        <a:xfrm>
          <a:off x="20717970" y="2151337"/>
          <a:ext cx="896442" cy="95764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176484</xdr:colOff>
      <xdr:row>14</xdr:row>
      <xdr:rowOff>126127</xdr:rowOff>
    </xdr:from>
    <xdr:to>
      <xdr:col>31</xdr:col>
      <xdr:colOff>154588</xdr:colOff>
      <xdr:row>17</xdr:row>
      <xdr:rowOff>50581</xdr:rowOff>
    </xdr:to>
    <xdr:sp macro="" textlink="">
      <xdr:nvSpPr>
        <xdr:cNvPr id="271" name="Rectangle: Rounded Corners 270">
          <a:extLst>
            <a:ext uri="{FF2B5EF4-FFF2-40B4-BE49-F238E27FC236}">
              <a16:creationId xmlns:a16="http://schemas.microsoft.com/office/drawing/2014/main" id="{DE51E565-5884-4352-B1E1-5844A3111C86}"/>
            </a:ext>
          </a:extLst>
        </xdr:cNvPr>
        <xdr:cNvSpPr/>
      </xdr:nvSpPr>
      <xdr:spPr>
        <a:xfrm>
          <a:off x="21636309" y="2793127"/>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31</xdr:col>
      <xdr:colOff>100722</xdr:colOff>
      <xdr:row>11</xdr:row>
      <xdr:rowOff>50910</xdr:rowOff>
    </xdr:from>
    <xdr:to>
      <xdr:col>32</xdr:col>
      <xdr:colOff>597666</xdr:colOff>
      <xdr:row>11</xdr:row>
      <xdr:rowOff>60026</xdr:rowOff>
    </xdr:to>
    <xdr:cxnSp macro="">
      <xdr:nvCxnSpPr>
        <xdr:cNvPr id="272" name="Straight Arrow Connector 271">
          <a:extLst>
            <a:ext uri="{FF2B5EF4-FFF2-40B4-BE49-F238E27FC236}">
              <a16:creationId xmlns:a16="http://schemas.microsoft.com/office/drawing/2014/main" id="{A9B1FEF5-A103-4251-9477-C46D85C6B8D1}"/>
            </a:ext>
          </a:extLst>
        </xdr:cNvPr>
        <xdr:cNvCxnSpPr>
          <a:stCxn id="268" idx="3"/>
        </xdr:cNvCxnSpPr>
      </xdr:nvCxnSpPr>
      <xdr:spPr>
        <a:xfrm>
          <a:off x="22779747" y="2146410"/>
          <a:ext cx="1106544" cy="911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154588</xdr:colOff>
      <xdr:row>9</xdr:row>
      <xdr:rowOff>27372</xdr:rowOff>
    </xdr:from>
    <xdr:to>
      <xdr:col>46</xdr:col>
      <xdr:colOff>98535</xdr:colOff>
      <xdr:row>15</xdr:row>
      <xdr:rowOff>181414</xdr:rowOff>
    </xdr:to>
    <xdr:cxnSp macro="">
      <xdr:nvCxnSpPr>
        <xdr:cNvPr id="273" name="Connector: Elbow 272">
          <a:extLst>
            <a:ext uri="{FF2B5EF4-FFF2-40B4-BE49-F238E27FC236}">
              <a16:creationId xmlns:a16="http://schemas.microsoft.com/office/drawing/2014/main" id="{85EF9C2C-0F07-4D0C-ADC3-C92706A05CFE}"/>
            </a:ext>
          </a:extLst>
        </xdr:cNvPr>
        <xdr:cNvCxnSpPr>
          <a:stCxn id="271" idx="3"/>
          <a:endCxn id="35" idx="1"/>
        </xdr:cNvCxnSpPr>
      </xdr:nvCxnSpPr>
      <xdr:spPr>
        <a:xfrm flipV="1">
          <a:off x="22833613" y="1741872"/>
          <a:ext cx="9087947" cy="1297042"/>
        </a:xfrm>
        <a:prstGeom prst="bentConnector3">
          <a:avLst>
            <a:gd name="adj1" fmla="val 96114"/>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177360</xdr:colOff>
      <xdr:row>27</xdr:row>
      <xdr:rowOff>108607</xdr:rowOff>
    </xdr:from>
    <xdr:to>
      <xdr:col>46</xdr:col>
      <xdr:colOff>97659</xdr:colOff>
      <xdr:row>34</xdr:row>
      <xdr:rowOff>39962</xdr:rowOff>
    </xdr:to>
    <xdr:cxnSp macro="">
      <xdr:nvCxnSpPr>
        <xdr:cNvPr id="274" name="Connector: Elbow 273">
          <a:extLst>
            <a:ext uri="{FF2B5EF4-FFF2-40B4-BE49-F238E27FC236}">
              <a16:creationId xmlns:a16="http://schemas.microsoft.com/office/drawing/2014/main" id="{4BD37A8A-2356-4B68-9704-F90747E54843}"/>
            </a:ext>
          </a:extLst>
        </xdr:cNvPr>
        <xdr:cNvCxnSpPr>
          <a:stCxn id="264" idx="3"/>
          <a:endCxn id="68" idx="1"/>
        </xdr:cNvCxnSpPr>
      </xdr:nvCxnSpPr>
      <xdr:spPr>
        <a:xfrm flipV="1">
          <a:off x="22856385" y="5252107"/>
          <a:ext cx="9064299" cy="1264855"/>
        </a:xfrm>
        <a:prstGeom prst="bentConnector3">
          <a:avLst>
            <a:gd name="adj1" fmla="val 95033"/>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178236</xdr:colOff>
      <xdr:row>45</xdr:row>
      <xdr:rowOff>59532</xdr:rowOff>
    </xdr:from>
    <xdr:to>
      <xdr:col>45</xdr:col>
      <xdr:colOff>440535</xdr:colOff>
      <xdr:row>51</xdr:row>
      <xdr:rowOff>163458</xdr:rowOff>
    </xdr:to>
    <xdr:cxnSp macro="">
      <xdr:nvCxnSpPr>
        <xdr:cNvPr id="275" name="Connector: Elbow 274">
          <a:extLst>
            <a:ext uri="{FF2B5EF4-FFF2-40B4-BE49-F238E27FC236}">
              <a16:creationId xmlns:a16="http://schemas.microsoft.com/office/drawing/2014/main" id="{31C577D9-3A81-46FC-B032-99B94EF440B1}"/>
            </a:ext>
          </a:extLst>
        </xdr:cNvPr>
        <xdr:cNvCxnSpPr>
          <a:stCxn id="257" idx="3"/>
          <a:endCxn id="378" idx="1"/>
        </xdr:cNvCxnSpPr>
      </xdr:nvCxnSpPr>
      <xdr:spPr>
        <a:xfrm flipV="1">
          <a:off x="22857261" y="8632032"/>
          <a:ext cx="8796699" cy="1246926"/>
        </a:xfrm>
        <a:prstGeom prst="bentConnector3">
          <a:avLst>
            <a:gd name="adj1" fmla="val 95243"/>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190060</xdr:colOff>
      <xdr:row>63</xdr:row>
      <xdr:rowOff>161597</xdr:rowOff>
    </xdr:from>
    <xdr:to>
      <xdr:col>46</xdr:col>
      <xdr:colOff>117803</xdr:colOff>
      <xdr:row>70</xdr:row>
      <xdr:rowOff>107402</xdr:rowOff>
    </xdr:to>
    <xdr:cxnSp macro="">
      <xdr:nvCxnSpPr>
        <xdr:cNvPr id="276" name="Connector: Elbow 275">
          <a:extLst>
            <a:ext uri="{FF2B5EF4-FFF2-40B4-BE49-F238E27FC236}">
              <a16:creationId xmlns:a16="http://schemas.microsoft.com/office/drawing/2014/main" id="{18161336-6215-4240-85B8-C8FC6008F37C}"/>
            </a:ext>
          </a:extLst>
        </xdr:cNvPr>
        <xdr:cNvCxnSpPr>
          <a:stCxn id="250" idx="3"/>
          <a:endCxn id="136" idx="1"/>
        </xdr:cNvCxnSpPr>
      </xdr:nvCxnSpPr>
      <xdr:spPr>
        <a:xfrm flipV="1">
          <a:off x="22869085" y="12163097"/>
          <a:ext cx="9071743" cy="1279305"/>
        </a:xfrm>
        <a:prstGeom prst="bentConnector3">
          <a:avLst>
            <a:gd name="adj1" fmla="val 95476"/>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197069</xdr:colOff>
      <xdr:row>100</xdr:row>
      <xdr:rowOff>181743</xdr:rowOff>
    </xdr:from>
    <xdr:to>
      <xdr:col>46</xdr:col>
      <xdr:colOff>61309</xdr:colOff>
      <xdr:row>108</xdr:row>
      <xdr:rowOff>21896</xdr:rowOff>
    </xdr:to>
    <xdr:cxnSp macro="">
      <xdr:nvCxnSpPr>
        <xdr:cNvPr id="277" name="Connector: Elbow 276">
          <a:extLst>
            <a:ext uri="{FF2B5EF4-FFF2-40B4-BE49-F238E27FC236}">
              <a16:creationId xmlns:a16="http://schemas.microsoft.com/office/drawing/2014/main" id="{E601894F-DF89-459B-8F82-7313D24FD4B3}"/>
            </a:ext>
          </a:extLst>
        </xdr:cNvPr>
        <xdr:cNvCxnSpPr>
          <a:endCxn id="204" idx="1"/>
        </xdr:cNvCxnSpPr>
      </xdr:nvCxnSpPr>
      <xdr:spPr>
        <a:xfrm flipV="1">
          <a:off x="22876094" y="19231743"/>
          <a:ext cx="9008240" cy="1364153"/>
        </a:xfrm>
        <a:prstGeom prst="bentConnector3">
          <a:avLst>
            <a:gd name="adj1" fmla="val 94224"/>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13631</xdr:colOff>
      <xdr:row>122</xdr:row>
      <xdr:rowOff>105678</xdr:rowOff>
    </xdr:from>
    <xdr:to>
      <xdr:col>8</xdr:col>
      <xdr:colOff>11248</xdr:colOff>
      <xdr:row>125</xdr:row>
      <xdr:rowOff>110442</xdr:rowOff>
    </xdr:to>
    <xdr:sp macro="" textlink="">
      <xdr:nvSpPr>
        <xdr:cNvPr id="278" name="Rectangle: Rounded Corners 277">
          <a:extLst>
            <a:ext uri="{FF2B5EF4-FFF2-40B4-BE49-F238E27FC236}">
              <a16:creationId xmlns:a16="http://schemas.microsoft.com/office/drawing/2014/main" id="{F287882D-0E21-4CAA-9E0E-A87471761329}"/>
            </a:ext>
          </a:extLst>
        </xdr:cNvPr>
        <xdr:cNvSpPr/>
      </xdr:nvSpPr>
      <xdr:spPr>
        <a:xfrm>
          <a:off x="3290231" y="23346678"/>
          <a:ext cx="1826417"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Furniture and fixtures</a:t>
          </a:r>
        </a:p>
        <a:p>
          <a:pPr algn="ctr"/>
          <a:r>
            <a:rPr lang="en-ID" sz="1100"/>
            <a:t>Furniture dan perlengkapan</a:t>
          </a:r>
        </a:p>
      </xdr:txBody>
    </xdr:sp>
    <xdr:clientData/>
  </xdr:twoCellAnchor>
  <xdr:twoCellAnchor>
    <xdr:from>
      <xdr:col>9</xdr:col>
      <xdr:colOff>33089</xdr:colOff>
      <xdr:row>122</xdr:row>
      <xdr:rowOff>66434</xdr:rowOff>
    </xdr:from>
    <xdr:to>
      <xdr:col>15</xdr:col>
      <xdr:colOff>56902</xdr:colOff>
      <xdr:row>125</xdr:row>
      <xdr:rowOff>125964</xdr:rowOff>
    </xdr:to>
    <xdr:sp macro="" textlink="">
      <xdr:nvSpPr>
        <xdr:cNvPr id="279" name="Rectangle: Rounded Corners 278">
          <a:extLst>
            <a:ext uri="{FF2B5EF4-FFF2-40B4-BE49-F238E27FC236}">
              <a16:creationId xmlns:a16="http://schemas.microsoft.com/office/drawing/2014/main" id="{7687B0F9-A61E-433E-B640-6912F90BCEBC}"/>
            </a:ext>
          </a:extLst>
        </xdr:cNvPr>
        <xdr:cNvSpPr/>
      </xdr:nvSpPr>
      <xdr:spPr>
        <a:xfrm>
          <a:off x="5748089" y="23307434"/>
          <a:ext cx="3681413" cy="63103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8</xdr:col>
      <xdr:colOff>11248</xdr:colOff>
      <xdr:row>124</xdr:row>
      <xdr:rowOff>3139</xdr:rowOff>
    </xdr:from>
    <xdr:to>
      <xdr:col>9</xdr:col>
      <xdr:colOff>33089</xdr:colOff>
      <xdr:row>124</xdr:row>
      <xdr:rowOff>15000</xdr:rowOff>
    </xdr:to>
    <xdr:cxnSp macro="">
      <xdr:nvCxnSpPr>
        <xdr:cNvPr id="280" name="Straight Arrow Connector 279">
          <a:extLst>
            <a:ext uri="{FF2B5EF4-FFF2-40B4-BE49-F238E27FC236}">
              <a16:creationId xmlns:a16="http://schemas.microsoft.com/office/drawing/2014/main" id="{A7DC1712-264C-4E74-9731-855D7DD20A76}"/>
            </a:ext>
          </a:extLst>
        </xdr:cNvPr>
        <xdr:cNvCxnSpPr>
          <a:stCxn id="278" idx="3"/>
          <a:endCxn id="279" idx="1"/>
        </xdr:cNvCxnSpPr>
      </xdr:nvCxnSpPr>
      <xdr:spPr>
        <a:xfrm flipV="1">
          <a:off x="5116648" y="23625139"/>
          <a:ext cx="631441" cy="1186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189375</xdr:colOff>
      <xdr:row>121</xdr:row>
      <xdr:rowOff>81210</xdr:rowOff>
    </xdr:from>
    <xdr:to>
      <xdr:col>17</xdr:col>
      <xdr:colOff>451313</xdr:colOff>
      <xdr:row>123</xdr:row>
      <xdr:rowOff>21679</xdr:rowOff>
    </xdr:to>
    <xdr:sp macro="" textlink="">
      <xdr:nvSpPr>
        <xdr:cNvPr id="281" name="Rectangle: Rounded Corners 280">
          <a:extLst>
            <a:ext uri="{FF2B5EF4-FFF2-40B4-BE49-F238E27FC236}">
              <a16:creationId xmlns:a16="http://schemas.microsoft.com/office/drawing/2014/main" id="{A59C984C-EB46-44AD-964E-3AEEF68146A5}"/>
            </a:ext>
          </a:extLst>
        </xdr:cNvPr>
        <xdr:cNvSpPr/>
      </xdr:nvSpPr>
      <xdr:spPr>
        <a:xfrm>
          <a:off x="10171575" y="23131710"/>
          <a:ext cx="2224088"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175 / Rp 2,500,000</a:t>
          </a:r>
        </a:p>
      </xdr:txBody>
    </xdr:sp>
    <xdr:clientData/>
  </xdr:twoCellAnchor>
  <xdr:twoCellAnchor>
    <xdr:from>
      <xdr:col>16</xdr:col>
      <xdr:colOff>177469</xdr:colOff>
      <xdr:row>125</xdr:row>
      <xdr:rowOff>116925</xdr:rowOff>
    </xdr:from>
    <xdr:to>
      <xdr:col>17</xdr:col>
      <xdr:colOff>439407</xdr:colOff>
      <xdr:row>127</xdr:row>
      <xdr:rowOff>16641</xdr:rowOff>
    </xdr:to>
    <xdr:sp macro="" textlink="">
      <xdr:nvSpPr>
        <xdr:cNvPr id="282" name="Rectangle: Rounded Corners 281">
          <a:extLst>
            <a:ext uri="{FF2B5EF4-FFF2-40B4-BE49-F238E27FC236}">
              <a16:creationId xmlns:a16="http://schemas.microsoft.com/office/drawing/2014/main" id="{F9DD0AE4-B0BE-4BD4-B1DD-5B3B5346E8FE}"/>
            </a:ext>
          </a:extLst>
        </xdr:cNvPr>
        <xdr:cNvSpPr/>
      </xdr:nvSpPr>
      <xdr:spPr>
        <a:xfrm>
          <a:off x="10159669" y="23929425"/>
          <a:ext cx="2224088" cy="28071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a:t>
          </a:r>
          <a:r>
            <a:rPr lang="en-ID" sz="1100">
              <a:solidFill>
                <a:schemeClr val="lt1"/>
              </a:solidFill>
              <a:effectLst/>
              <a:latin typeface="+mn-lt"/>
              <a:ea typeface="+mn-ea"/>
              <a:cs typeface="+mn-cs"/>
            </a:rPr>
            <a:t>USD 175 / Rp 2,500,000</a:t>
          </a:r>
          <a:endParaRPr lang="en-ID" sz="1100"/>
        </a:p>
      </xdr:txBody>
    </xdr:sp>
    <xdr:clientData/>
  </xdr:twoCellAnchor>
  <xdr:twoCellAnchor>
    <xdr:from>
      <xdr:col>15</xdr:col>
      <xdr:colOff>56902</xdr:colOff>
      <xdr:row>122</xdr:row>
      <xdr:rowOff>51446</xdr:rowOff>
    </xdr:from>
    <xdr:to>
      <xdr:col>16</xdr:col>
      <xdr:colOff>189375</xdr:colOff>
      <xdr:row>124</xdr:row>
      <xdr:rowOff>3139</xdr:rowOff>
    </xdr:to>
    <xdr:cxnSp macro="">
      <xdr:nvCxnSpPr>
        <xdr:cNvPr id="283" name="Straight Arrow Connector 282">
          <a:extLst>
            <a:ext uri="{FF2B5EF4-FFF2-40B4-BE49-F238E27FC236}">
              <a16:creationId xmlns:a16="http://schemas.microsoft.com/office/drawing/2014/main" id="{D05FD083-81E0-413D-A03E-39B257731EFD}"/>
            </a:ext>
          </a:extLst>
        </xdr:cNvPr>
        <xdr:cNvCxnSpPr>
          <a:stCxn id="279" idx="3"/>
          <a:endCxn id="281" idx="1"/>
        </xdr:cNvCxnSpPr>
      </xdr:nvCxnSpPr>
      <xdr:spPr>
        <a:xfrm flipV="1">
          <a:off x="9429502" y="23292446"/>
          <a:ext cx="742073" cy="33269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56902</xdr:colOff>
      <xdr:row>124</xdr:row>
      <xdr:rowOff>3139</xdr:rowOff>
    </xdr:from>
    <xdr:to>
      <xdr:col>16</xdr:col>
      <xdr:colOff>177469</xdr:colOff>
      <xdr:row>126</xdr:row>
      <xdr:rowOff>66783</xdr:rowOff>
    </xdr:to>
    <xdr:cxnSp macro="">
      <xdr:nvCxnSpPr>
        <xdr:cNvPr id="284" name="Straight Arrow Connector 283">
          <a:extLst>
            <a:ext uri="{FF2B5EF4-FFF2-40B4-BE49-F238E27FC236}">
              <a16:creationId xmlns:a16="http://schemas.microsoft.com/office/drawing/2014/main" id="{E2C2FFA0-F1EA-4A3B-8053-0CAE9BF47D94}"/>
            </a:ext>
          </a:extLst>
        </xdr:cNvPr>
        <xdr:cNvCxnSpPr>
          <a:stCxn id="279" idx="3"/>
          <a:endCxn id="282" idx="1"/>
        </xdr:cNvCxnSpPr>
      </xdr:nvCxnSpPr>
      <xdr:spPr>
        <a:xfrm>
          <a:off x="9429502" y="23625139"/>
          <a:ext cx="730167" cy="44464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758495</xdr:colOff>
      <xdr:row>125</xdr:row>
      <xdr:rowOff>78826</xdr:rowOff>
    </xdr:from>
    <xdr:to>
      <xdr:col>18</xdr:col>
      <xdr:colOff>92621</xdr:colOff>
      <xdr:row>127</xdr:row>
      <xdr:rowOff>60434</xdr:rowOff>
    </xdr:to>
    <xdr:sp macro="" textlink="">
      <xdr:nvSpPr>
        <xdr:cNvPr id="285" name="Rectangle: Rounded Corners 284">
          <a:extLst>
            <a:ext uri="{FF2B5EF4-FFF2-40B4-BE49-F238E27FC236}">
              <a16:creationId xmlns:a16="http://schemas.microsoft.com/office/drawing/2014/main" id="{8C0BD86E-EA2F-41B7-9681-3F947FEA2C28}"/>
            </a:ext>
          </a:extLst>
        </xdr:cNvPr>
        <xdr:cNvSpPr/>
      </xdr:nvSpPr>
      <xdr:spPr>
        <a:xfrm>
          <a:off x="12702845" y="23891326"/>
          <a:ext cx="2039226" cy="36260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439407</xdr:colOff>
      <xdr:row>126</xdr:row>
      <xdr:rowOff>66783</xdr:rowOff>
    </xdr:from>
    <xdr:to>
      <xdr:col>17</xdr:col>
      <xdr:colOff>758495</xdr:colOff>
      <xdr:row>126</xdr:row>
      <xdr:rowOff>69630</xdr:rowOff>
    </xdr:to>
    <xdr:cxnSp macro="">
      <xdr:nvCxnSpPr>
        <xdr:cNvPr id="286" name="Straight Arrow Connector 285">
          <a:extLst>
            <a:ext uri="{FF2B5EF4-FFF2-40B4-BE49-F238E27FC236}">
              <a16:creationId xmlns:a16="http://schemas.microsoft.com/office/drawing/2014/main" id="{6DDEF3AA-11BB-4D46-B0AE-B8884674928D}"/>
            </a:ext>
          </a:extLst>
        </xdr:cNvPr>
        <xdr:cNvCxnSpPr>
          <a:stCxn id="282" idx="3"/>
          <a:endCxn id="285" idx="1"/>
        </xdr:cNvCxnSpPr>
      </xdr:nvCxnSpPr>
      <xdr:spPr>
        <a:xfrm>
          <a:off x="12383757" y="24069783"/>
          <a:ext cx="319088" cy="284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451313</xdr:colOff>
      <xdr:row>122</xdr:row>
      <xdr:rowOff>51446</xdr:rowOff>
    </xdr:from>
    <xdr:to>
      <xdr:col>17</xdr:col>
      <xdr:colOff>710869</xdr:colOff>
      <xdr:row>122</xdr:row>
      <xdr:rowOff>57397</xdr:rowOff>
    </xdr:to>
    <xdr:cxnSp macro="">
      <xdr:nvCxnSpPr>
        <xdr:cNvPr id="287" name="Straight Arrow Connector 286">
          <a:extLst>
            <a:ext uri="{FF2B5EF4-FFF2-40B4-BE49-F238E27FC236}">
              <a16:creationId xmlns:a16="http://schemas.microsoft.com/office/drawing/2014/main" id="{4314DA2F-E180-4713-8BE4-99BB1D0B25C7}"/>
            </a:ext>
          </a:extLst>
        </xdr:cNvPr>
        <xdr:cNvCxnSpPr>
          <a:cxnSpLocks/>
          <a:stCxn id="281" idx="3"/>
        </xdr:cNvCxnSpPr>
      </xdr:nvCxnSpPr>
      <xdr:spPr>
        <a:xfrm>
          <a:off x="12395663" y="23292446"/>
          <a:ext cx="259556" cy="59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33</xdr:col>
      <xdr:colOff>54741</xdr:colOff>
      <xdr:row>120</xdr:row>
      <xdr:rowOff>2737</xdr:rowOff>
    </xdr:from>
    <xdr:to>
      <xdr:col>40</xdr:col>
      <xdr:colOff>171395</xdr:colOff>
      <xdr:row>123</xdr:row>
      <xdr:rowOff>165044</xdr:rowOff>
    </xdr:to>
    <xdr:sp macro="" textlink="">
      <xdr:nvSpPr>
        <xdr:cNvPr id="288" name="Rectangle: Rounded Corners 287">
          <a:extLst>
            <a:ext uri="{FF2B5EF4-FFF2-40B4-BE49-F238E27FC236}">
              <a16:creationId xmlns:a16="http://schemas.microsoft.com/office/drawing/2014/main" id="{33EEEAD9-1E6E-48D0-A066-AC8C1EEF3483}"/>
            </a:ext>
          </a:extLst>
        </xdr:cNvPr>
        <xdr:cNvSpPr/>
      </xdr:nvSpPr>
      <xdr:spPr>
        <a:xfrm>
          <a:off x="23952966" y="22862737"/>
          <a:ext cx="4383854" cy="733807"/>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ID" sz="1100">
              <a:solidFill>
                <a:schemeClr val="lt1"/>
              </a:solidFill>
              <a:effectLst/>
              <a:latin typeface="+mn-lt"/>
              <a:ea typeface="+mn-ea"/>
              <a:cs typeface="+mn-cs"/>
            </a:rPr>
            <a:t>Is</a:t>
          </a:r>
          <a:r>
            <a:rPr lang="en-ID" sz="1100" baseline="0">
              <a:solidFill>
                <a:schemeClr val="lt1"/>
              </a:solidFill>
              <a:effectLst/>
              <a:latin typeface="+mn-lt"/>
              <a:ea typeface="+mn-ea"/>
              <a:cs typeface="+mn-cs"/>
            </a:rPr>
            <a:t> there any value added? (e.g: adding new function)</a:t>
          </a:r>
          <a:endParaRPr lang="en-ID">
            <a:effectLst/>
          </a:endParaRPr>
        </a:p>
        <a:p>
          <a:r>
            <a:rPr lang="en-ID" sz="1100">
              <a:solidFill>
                <a:schemeClr val="lt1"/>
              </a:solidFill>
              <a:effectLst/>
              <a:latin typeface="+mn-lt"/>
              <a:ea typeface="+mn-ea"/>
              <a:cs typeface="+mn-cs"/>
            </a:rPr>
            <a:t>Apakah ada nilai tambah? (Contoh: Penambahan fungsi)</a:t>
          </a:r>
          <a:endParaRPr lang="en-ID">
            <a:effectLst/>
          </a:endParaRPr>
        </a:p>
      </xdr:txBody>
    </xdr:sp>
    <xdr:clientData/>
  </xdr:twoCellAnchor>
  <xdr:twoCellAnchor>
    <xdr:from>
      <xdr:col>41</xdr:col>
      <xdr:colOff>49949</xdr:colOff>
      <xdr:row>119</xdr:row>
      <xdr:rowOff>12263</xdr:rowOff>
    </xdr:from>
    <xdr:to>
      <xdr:col>42</xdr:col>
      <xdr:colOff>427308</xdr:colOff>
      <xdr:row>120</xdr:row>
      <xdr:rowOff>138852</xdr:rowOff>
    </xdr:to>
    <xdr:sp macro="" textlink="">
      <xdr:nvSpPr>
        <xdr:cNvPr id="289" name="Rectangle: Rounded Corners 288">
          <a:extLst>
            <a:ext uri="{FF2B5EF4-FFF2-40B4-BE49-F238E27FC236}">
              <a16:creationId xmlns:a16="http://schemas.microsoft.com/office/drawing/2014/main" id="{F07944CD-0A76-483B-8195-97E1BF700057}"/>
            </a:ext>
          </a:extLst>
        </xdr:cNvPr>
        <xdr:cNvSpPr/>
      </xdr:nvSpPr>
      <xdr:spPr>
        <a:xfrm>
          <a:off x="28824974" y="22681763"/>
          <a:ext cx="986959" cy="31708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41</xdr:col>
      <xdr:colOff>59474</xdr:colOff>
      <xdr:row>122</xdr:row>
      <xdr:rowOff>124565</xdr:rowOff>
    </xdr:from>
    <xdr:to>
      <xdr:col>42</xdr:col>
      <xdr:colOff>436833</xdr:colOff>
      <xdr:row>124</xdr:row>
      <xdr:rowOff>65033</xdr:rowOff>
    </xdr:to>
    <xdr:sp macro="" textlink="">
      <xdr:nvSpPr>
        <xdr:cNvPr id="290" name="Rectangle: Rounded Corners 289">
          <a:extLst>
            <a:ext uri="{FF2B5EF4-FFF2-40B4-BE49-F238E27FC236}">
              <a16:creationId xmlns:a16="http://schemas.microsoft.com/office/drawing/2014/main" id="{627171EA-2CC1-4A5B-A510-443B3E269303}"/>
            </a:ext>
          </a:extLst>
        </xdr:cNvPr>
        <xdr:cNvSpPr/>
      </xdr:nvSpPr>
      <xdr:spPr>
        <a:xfrm>
          <a:off x="28834499" y="23365565"/>
          <a:ext cx="986959" cy="32146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40</xdr:col>
      <xdr:colOff>171395</xdr:colOff>
      <xdr:row>119</xdr:row>
      <xdr:rowOff>168618</xdr:rowOff>
    </xdr:from>
    <xdr:to>
      <xdr:col>41</xdr:col>
      <xdr:colOff>49949</xdr:colOff>
      <xdr:row>121</xdr:row>
      <xdr:rowOff>176952</xdr:rowOff>
    </xdr:to>
    <xdr:cxnSp macro="">
      <xdr:nvCxnSpPr>
        <xdr:cNvPr id="291" name="Straight Arrow Connector 290">
          <a:extLst>
            <a:ext uri="{FF2B5EF4-FFF2-40B4-BE49-F238E27FC236}">
              <a16:creationId xmlns:a16="http://schemas.microsoft.com/office/drawing/2014/main" id="{A3F698F8-C265-47CC-B15C-226A9D897D6D}"/>
            </a:ext>
          </a:extLst>
        </xdr:cNvPr>
        <xdr:cNvCxnSpPr>
          <a:stCxn id="288" idx="3"/>
          <a:endCxn id="289" idx="1"/>
        </xdr:cNvCxnSpPr>
      </xdr:nvCxnSpPr>
      <xdr:spPr>
        <a:xfrm flipV="1">
          <a:off x="28336820" y="22838118"/>
          <a:ext cx="488154" cy="38933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171395</xdr:colOff>
      <xdr:row>121</xdr:row>
      <xdr:rowOff>176952</xdr:rowOff>
    </xdr:from>
    <xdr:to>
      <xdr:col>41</xdr:col>
      <xdr:colOff>59474</xdr:colOff>
      <xdr:row>123</xdr:row>
      <xdr:rowOff>94799</xdr:rowOff>
    </xdr:to>
    <xdr:cxnSp macro="">
      <xdr:nvCxnSpPr>
        <xdr:cNvPr id="292" name="Straight Arrow Connector 291">
          <a:extLst>
            <a:ext uri="{FF2B5EF4-FFF2-40B4-BE49-F238E27FC236}">
              <a16:creationId xmlns:a16="http://schemas.microsoft.com/office/drawing/2014/main" id="{037FF48A-5CD6-4D1A-95AB-685C96CA85A4}"/>
            </a:ext>
          </a:extLst>
        </xdr:cNvPr>
        <xdr:cNvCxnSpPr>
          <a:stCxn id="288" idx="3"/>
          <a:endCxn id="290" idx="1"/>
        </xdr:cNvCxnSpPr>
      </xdr:nvCxnSpPr>
      <xdr:spPr>
        <a:xfrm>
          <a:off x="28336820" y="23227452"/>
          <a:ext cx="497679" cy="29884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43</xdr:col>
      <xdr:colOff>198164</xdr:colOff>
      <xdr:row>122</xdr:row>
      <xdr:rowOff>108606</xdr:rowOff>
    </xdr:from>
    <xdr:to>
      <xdr:col>44</xdr:col>
      <xdr:colOff>492672</xdr:colOff>
      <xdr:row>124</xdr:row>
      <xdr:rowOff>87174</xdr:rowOff>
    </xdr:to>
    <xdr:sp macro="" textlink="">
      <xdr:nvSpPr>
        <xdr:cNvPr id="293" name="Rectangle: Rounded Corners 292">
          <a:extLst>
            <a:ext uri="{FF2B5EF4-FFF2-40B4-BE49-F238E27FC236}">
              <a16:creationId xmlns:a16="http://schemas.microsoft.com/office/drawing/2014/main" id="{C7F1510F-DFB6-4F4F-93CA-0244AC6F99CA}"/>
            </a:ext>
          </a:extLst>
        </xdr:cNvPr>
        <xdr:cNvSpPr/>
      </xdr:nvSpPr>
      <xdr:spPr>
        <a:xfrm>
          <a:off x="30192389" y="23349606"/>
          <a:ext cx="904108"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42</xdr:col>
      <xdr:colOff>436833</xdr:colOff>
      <xdr:row>123</xdr:row>
      <xdr:rowOff>94799</xdr:rowOff>
    </xdr:from>
    <xdr:to>
      <xdr:col>43</xdr:col>
      <xdr:colOff>198164</xdr:colOff>
      <xdr:row>123</xdr:row>
      <xdr:rowOff>97890</xdr:rowOff>
    </xdr:to>
    <xdr:cxnSp macro="">
      <xdr:nvCxnSpPr>
        <xdr:cNvPr id="294" name="Straight Arrow Connector 293">
          <a:extLst>
            <a:ext uri="{FF2B5EF4-FFF2-40B4-BE49-F238E27FC236}">
              <a16:creationId xmlns:a16="http://schemas.microsoft.com/office/drawing/2014/main" id="{AC29011E-6319-49D1-A428-13EAFF2B1568}"/>
            </a:ext>
          </a:extLst>
        </xdr:cNvPr>
        <xdr:cNvCxnSpPr>
          <a:stCxn id="290" idx="3"/>
          <a:endCxn id="293" idx="1"/>
        </xdr:cNvCxnSpPr>
      </xdr:nvCxnSpPr>
      <xdr:spPr>
        <a:xfrm>
          <a:off x="29821458" y="23526299"/>
          <a:ext cx="370931"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545180</xdr:colOff>
      <xdr:row>117</xdr:row>
      <xdr:rowOff>89775</xdr:rowOff>
    </xdr:from>
    <xdr:to>
      <xdr:col>41</xdr:col>
      <xdr:colOff>551136</xdr:colOff>
      <xdr:row>119</xdr:row>
      <xdr:rowOff>12263</xdr:rowOff>
    </xdr:to>
    <xdr:cxnSp macro="">
      <xdr:nvCxnSpPr>
        <xdr:cNvPr id="295" name="Straight Arrow Connector 294">
          <a:extLst>
            <a:ext uri="{FF2B5EF4-FFF2-40B4-BE49-F238E27FC236}">
              <a16:creationId xmlns:a16="http://schemas.microsoft.com/office/drawing/2014/main" id="{B5C39776-1410-4523-8BDC-45D927071F0D}"/>
            </a:ext>
          </a:extLst>
        </xdr:cNvPr>
        <xdr:cNvCxnSpPr>
          <a:stCxn id="289" idx="0"/>
          <a:endCxn id="296" idx="2"/>
        </xdr:cNvCxnSpPr>
      </xdr:nvCxnSpPr>
      <xdr:spPr>
        <a:xfrm flipV="1">
          <a:off x="29320205" y="22378275"/>
          <a:ext cx="5956" cy="303488"/>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39</xdr:col>
      <xdr:colOff>324944</xdr:colOff>
      <xdr:row>112</xdr:row>
      <xdr:rowOff>71382</xdr:rowOff>
    </xdr:from>
    <xdr:to>
      <xdr:col>44</xdr:col>
      <xdr:colOff>164224</xdr:colOff>
      <xdr:row>117</xdr:row>
      <xdr:rowOff>89775</xdr:rowOff>
    </xdr:to>
    <xdr:sp macro="" textlink="">
      <xdr:nvSpPr>
        <xdr:cNvPr id="296" name="Rectangle: Rounded Corners 295">
          <a:extLst>
            <a:ext uri="{FF2B5EF4-FFF2-40B4-BE49-F238E27FC236}">
              <a16:creationId xmlns:a16="http://schemas.microsoft.com/office/drawing/2014/main" id="{9276A4F1-E2B1-4582-A97B-5074BF833866}"/>
            </a:ext>
          </a:extLst>
        </xdr:cNvPr>
        <xdr:cNvSpPr/>
      </xdr:nvSpPr>
      <xdr:spPr>
        <a:xfrm>
          <a:off x="27880769" y="21407382"/>
          <a:ext cx="2887280" cy="970893"/>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42</xdr:col>
      <xdr:colOff>427308</xdr:colOff>
      <xdr:row>119</xdr:row>
      <xdr:rowOff>166414</xdr:rowOff>
    </xdr:from>
    <xdr:to>
      <xdr:col>46</xdr:col>
      <xdr:colOff>95029</xdr:colOff>
      <xdr:row>119</xdr:row>
      <xdr:rowOff>168618</xdr:rowOff>
    </xdr:to>
    <xdr:cxnSp macro="">
      <xdr:nvCxnSpPr>
        <xdr:cNvPr id="297" name="Straight Arrow Connector 296">
          <a:extLst>
            <a:ext uri="{FF2B5EF4-FFF2-40B4-BE49-F238E27FC236}">
              <a16:creationId xmlns:a16="http://schemas.microsoft.com/office/drawing/2014/main" id="{68EDA42C-F307-45AB-9B7B-FACA14BBCB60}"/>
            </a:ext>
          </a:extLst>
        </xdr:cNvPr>
        <xdr:cNvCxnSpPr>
          <a:stCxn id="289" idx="3"/>
          <a:endCxn id="298" idx="1"/>
        </xdr:cNvCxnSpPr>
      </xdr:nvCxnSpPr>
      <xdr:spPr>
        <a:xfrm flipV="1">
          <a:off x="29811933" y="22835914"/>
          <a:ext cx="2106121" cy="220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46</xdr:col>
      <xdr:colOff>95029</xdr:colOff>
      <xdr:row>118</xdr:row>
      <xdr:rowOff>67880</xdr:rowOff>
    </xdr:from>
    <xdr:to>
      <xdr:col>50</xdr:col>
      <xdr:colOff>171667</xdr:colOff>
      <xdr:row>121</xdr:row>
      <xdr:rowOff>78828</xdr:rowOff>
    </xdr:to>
    <xdr:sp macro="" textlink="">
      <xdr:nvSpPr>
        <xdr:cNvPr id="298" name="Rectangle: Rounded Corners 297">
          <a:extLst>
            <a:ext uri="{FF2B5EF4-FFF2-40B4-BE49-F238E27FC236}">
              <a16:creationId xmlns:a16="http://schemas.microsoft.com/office/drawing/2014/main" id="{2D6973F2-3C8B-48D9-A252-D0A7C6D193EA}"/>
            </a:ext>
          </a:extLst>
        </xdr:cNvPr>
        <xdr:cNvSpPr/>
      </xdr:nvSpPr>
      <xdr:spPr>
        <a:xfrm>
          <a:off x="31918054" y="22546880"/>
          <a:ext cx="2515038"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51</xdr:col>
      <xdr:colOff>132060</xdr:colOff>
      <xdr:row>114</xdr:row>
      <xdr:rowOff>111671</xdr:rowOff>
    </xdr:from>
    <xdr:to>
      <xdr:col>53</xdr:col>
      <xdr:colOff>171666</xdr:colOff>
      <xdr:row>118</xdr:row>
      <xdr:rowOff>35033</xdr:rowOff>
    </xdr:to>
    <xdr:sp macro="" textlink="">
      <xdr:nvSpPr>
        <xdr:cNvPr id="299" name="Rectangle: Rounded Corners 298">
          <a:extLst>
            <a:ext uri="{FF2B5EF4-FFF2-40B4-BE49-F238E27FC236}">
              <a16:creationId xmlns:a16="http://schemas.microsoft.com/office/drawing/2014/main" id="{6630B7C2-7E8F-4BD0-BDD9-1EB2C5C400F6}"/>
            </a:ext>
          </a:extLst>
        </xdr:cNvPr>
        <xdr:cNvSpPr/>
      </xdr:nvSpPr>
      <xdr:spPr>
        <a:xfrm>
          <a:off x="35003085" y="21828671"/>
          <a:ext cx="1258806" cy="68536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51</xdr:col>
      <xdr:colOff>142132</xdr:colOff>
      <xdr:row>120</xdr:row>
      <xdr:rowOff>34157</xdr:rowOff>
    </xdr:from>
    <xdr:to>
      <xdr:col>53</xdr:col>
      <xdr:colOff>181738</xdr:colOff>
      <xdr:row>122</xdr:row>
      <xdr:rowOff>143640</xdr:rowOff>
    </xdr:to>
    <xdr:sp macro="" textlink="">
      <xdr:nvSpPr>
        <xdr:cNvPr id="300" name="Rectangle: Rounded Corners 299">
          <a:extLst>
            <a:ext uri="{FF2B5EF4-FFF2-40B4-BE49-F238E27FC236}">
              <a16:creationId xmlns:a16="http://schemas.microsoft.com/office/drawing/2014/main" id="{55677710-C8C6-4D66-AAF2-22A4612F7476}"/>
            </a:ext>
          </a:extLst>
        </xdr:cNvPr>
        <xdr:cNvSpPr/>
      </xdr:nvSpPr>
      <xdr:spPr>
        <a:xfrm>
          <a:off x="35013157" y="22894157"/>
          <a:ext cx="1258806" cy="490483"/>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50</xdr:col>
      <xdr:colOff>171667</xdr:colOff>
      <xdr:row>116</xdr:row>
      <xdr:rowOff>166413</xdr:rowOff>
    </xdr:from>
    <xdr:to>
      <xdr:col>51</xdr:col>
      <xdr:colOff>132060</xdr:colOff>
      <xdr:row>119</xdr:row>
      <xdr:rowOff>166414</xdr:rowOff>
    </xdr:to>
    <xdr:cxnSp macro="">
      <xdr:nvCxnSpPr>
        <xdr:cNvPr id="301" name="Straight Arrow Connector 300">
          <a:extLst>
            <a:ext uri="{FF2B5EF4-FFF2-40B4-BE49-F238E27FC236}">
              <a16:creationId xmlns:a16="http://schemas.microsoft.com/office/drawing/2014/main" id="{1E543570-6D37-4635-8508-591FFAE724C8}"/>
            </a:ext>
          </a:extLst>
        </xdr:cNvPr>
        <xdr:cNvCxnSpPr>
          <a:stCxn id="298" idx="3"/>
          <a:endCxn id="299" idx="1"/>
        </xdr:cNvCxnSpPr>
      </xdr:nvCxnSpPr>
      <xdr:spPr>
        <a:xfrm flipV="1">
          <a:off x="34433092" y="22264413"/>
          <a:ext cx="569993" cy="5715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50</xdr:col>
      <xdr:colOff>171667</xdr:colOff>
      <xdr:row>119</xdr:row>
      <xdr:rowOff>166414</xdr:rowOff>
    </xdr:from>
    <xdr:to>
      <xdr:col>51</xdr:col>
      <xdr:colOff>142132</xdr:colOff>
      <xdr:row>121</xdr:row>
      <xdr:rowOff>88899</xdr:rowOff>
    </xdr:to>
    <xdr:cxnSp macro="">
      <xdr:nvCxnSpPr>
        <xdr:cNvPr id="302" name="Straight Arrow Connector 301">
          <a:extLst>
            <a:ext uri="{FF2B5EF4-FFF2-40B4-BE49-F238E27FC236}">
              <a16:creationId xmlns:a16="http://schemas.microsoft.com/office/drawing/2014/main" id="{6ED3AE52-D01B-4ECE-A642-FCEAB0A60C96}"/>
            </a:ext>
          </a:extLst>
        </xdr:cNvPr>
        <xdr:cNvCxnSpPr>
          <a:stCxn id="298" idx="3"/>
          <a:endCxn id="300" idx="1"/>
        </xdr:cNvCxnSpPr>
      </xdr:nvCxnSpPr>
      <xdr:spPr>
        <a:xfrm>
          <a:off x="34433092" y="22835914"/>
          <a:ext cx="580065" cy="30348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108411</xdr:colOff>
      <xdr:row>114</xdr:row>
      <xdr:rowOff>109918</xdr:rowOff>
    </xdr:from>
    <xdr:to>
      <xdr:col>56</xdr:col>
      <xdr:colOff>148017</xdr:colOff>
      <xdr:row>118</xdr:row>
      <xdr:rowOff>33280</xdr:rowOff>
    </xdr:to>
    <xdr:sp macro="" textlink="">
      <xdr:nvSpPr>
        <xdr:cNvPr id="303" name="Rectangle: Rounded Corners 302">
          <a:extLst>
            <a:ext uri="{FF2B5EF4-FFF2-40B4-BE49-F238E27FC236}">
              <a16:creationId xmlns:a16="http://schemas.microsoft.com/office/drawing/2014/main" id="{012E4C0D-9CC4-422A-826B-6A914D1A8174}"/>
            </a:ext>
          </a:extLst>
        </xdr:cNvPr>
        <xdr:cNvSpPr/>
      </xdr:nvSpPr>
      <xdr:spPr>
        <a:xfrm>
          <a:off x="36808236" y="21826918"/>
          <a:ext cx="1258806" cy="685362"/>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54</xdr:col>
      <xdr:colOff>96586</xdr:colOff>
      <xdr:row>120</xdr:row>
      <xdr:rowOff>32405</xdr:rowOff>
    </xdr:from>
    <xdr:to>
      <xdr:col>56</xdr:col>
      <xdr:colOff>136192</xdr:colOff>
      <xdr:row>122</xdr:row>
      <xdr:rowOff>141888</xdr:rowOff>
    </xdr:to>
    <xdr:sp macro="" textlink="">
      <xdr:nvSpPr>
        <xdr:cNvPr id="304" name="Rectangle: Rounded Corners 303">
          <a:extLst>
            <a:ext uri="{FF2B5EF4-FFF2-40B4-BE49-F238E27FC236}">
              <a16:creationId xmlns:a16="http://schemas.microsoft.com/office/drawing/2014/main" id="{9C893C1B-5FB1-426C-97E9-619E0268272D}"/>
            </a:ext>
          </a:extLst>
        </xdr:cNvPr>
        <xdr:cNvSpPr/>
      </xdr:nvSpPr>
      <xdr:spPr>
        <a:xfrm>
          <a:off x="36796411" y="22892405"/>
          <a:ext cx="1258806" cy="490483"/>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53</xdr:col>
      <xdr:colOff>171666</xdr:colOff>
      <xdr:row>116</xdr:row>
      <xdr:rowOff>164660</xdr:rowOff>
    </xdr:from>
    <xdr:to>
      <xdr:col>54</xdr:col>
      <xdr:colOff>108411</xdr:colOff>
      <xdr:row>116</xdr:row>
      <xdr:rowOff>166413</xdr:rowOff>
    </xdr:to>
    <xdr:cxnSp macro="">
      <xdr:nvCxnSpPr>
        <xdr:cNvPr id="305" name="Straight Arrow Connector 304">
          <a:extLst>
            <a:ext uri="{FF2B5EF4-FFF2-40B4-BE49-F238E27FC236}">
              <a16:creationId xmlns:a16="http://schemas.microsoft.com/office/drawing/2014/main" id="{6B880CBE-A0A0-4160-B7BF-49A56FCF4018}"/>
            </a:ext>
          </a:extLst>
        </xdr:cNvPr>
        <xdr:cNvCxnSpPr>
          <a:stCxn id="299" idx="3"/>
          <a:endCxn id="303" idx="1"/>
        </xdr:cNvCxnSpPr>
      </xdr:nvCxnSpPr>
      <xdr:spPr>
        <a:xfrm flipV="1">
          <a:off x="36261891" y="22262660"/>
          <a:ext cx="546345"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53</xdr:col>
      <xdr:colOff>181738</xdr:colOff>
      <xdr:row>121</xdr:row>
      <xdr:rowOff>87147</xdr:rowOff>
    </xdr:from>
    <xdr:to>
      <xdr:col>54</xdr:col>
      <xdr:colOff>96586</xdr:colOff>
      <xdr:row>121</xdr:row>
      <xdr:rowOff>88899</xdr:rowOff>
    </xdr:to>
    <xdr:cxnSp macro="">
      <xdr:nvCxnSpPr>
        <xdr:cNvPr id="306" name="Straight Arrow Connector 305">
          <a:extLst>
            <a:ext uri="{FF2B5EF4-FFF2-40B4-BE49-F238E27FC236}">
              <a16:creationId xmlns:a16="http://schemas.microsoft.com/office/drawing/2014/main" id="{F165E10A-D638-4749-B3DF-D027FF0CF35E}"/>
            </a:ext>
          </a:extLst>
        </xdr:cNvPr>
        <xdr:cNvCxnSpPr>
          <a:stCxn id="300" idx="3"/>
          <a:endCxn id="304" idx="1"/>
        </xdr:cNvCxnSpPr>
      </xdr:nvCxnSpPr>
      <xdr:spPr>
        <a:xfrm flipV="1">
          <a:off x="36271963" y="23137647"/>
          <a:ext cx="524448"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686454</xdr:colOff>
      <xdr:row>120</xdr:row>
      <xdr:rowOff>77950</xdr:rowOff>
    </xdr:from>
    <xdr:to>
      <xdr:col>17</xdr:col>
      <xdr:colOff>2591236</xdr:colOff>
      <xdr:row>123</xdr:row>
      <xdr:rowOff>88898</xdr:rowOff>
    </xdr:to>
    <xdr:sp macro="" textlink="">
      <xdr:nvSpPr>
        <xdr:cNvPr id="307" name="Rectangle: Rounded Corners 306">
          <a:extLst>
            <a:ext uri="{FF2B5EF4-FFF2-40B4-BE49-F238E27FC236}">
              <a16:creationId xmlns:a16="http://schemas.microsoft.com/office/drawing/2014/main" id="{3BA59A09-0010-4138-ADC8-8A47990A7BD7}"/>
            </a:ext>
          </a:extLst>
        </xdr:cNvPr>
        <xdr:cNvSpPr/>
      </xdr:nvSpPr>
      <xdr:spPr>
        <a:xfrm>
          <a:off x="12630804" y="22937950"/>
          <a:ext cx="1904782"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a:t>
          </a:r>
          <a:endParaRPr lang="en-ID" sz="1100" baseline="0"/>
        </a:p>
        <a:p>
          <a:pPr algn="ctr"/>
          <a:r>
            <a:rPr lang="en-ID" sz="1100" baseline="0"/>
            <a:t>Estimasi masa manfaat</a:t>
          </a:r>
          <a:endParaRPr lang="en-ID" sz="1100"/>
        </a:p>
      </xdr:txBody>
    </xdr:sp>
    <xdr:clientData/>
  </xdr:twoCellAnchor>
  <xdr:twoCellAnchor>
    <xdr:from>
      <xdr:col>17</xdr:col>
      <xdr:colOff>2591236</xdr:colOff>
      <xdr:row>114</xdr:row>
      <xdr:rowOff>33063</xdr:rowOff>
    </xdr:from>
    <xdr:to>
      <xdr:col>18</xdr:col>
      <xdr:colOff>324941</xdr:colOff>
      <xdr:row>121</xdr:row>
      <xdr:rowOff>176485</xdr:rowOff>
    </xdr:to>
    <xdr:cxnSp macro="">
      <xdr:nvCxnSpPr>
        <xdr:cNvPr id="308" name="Straight Arrow Connector 307">
          <a:extLst>
            <a:ext uri="{FF2B5EF4-FFF2-40B4-BE49-F238E27FC236}">
              <a16:creationId xmlns:a16="http://schemas.microsoft.com/office/drawing/2014/main" id="{EB775E0C-690F-4B20-BE76-3D60AB5A6690}"/>
            </a:ext>
          </a:extLst>
        </xdr:cNvPr>
        <xdr:cNvCxnSpPr>
          <a:stCxn id="307" idx="3"/>
          <a:endCxn id="309" idx="1"/>
        </xdr:cNvCxnSpPr>
      </xdr:nvCxnSpPr>
      <xdr:spPr>
        <a:xfrm flipV="1">
          <a:off x="14535586" y="21750063"/>
          <a:ext cx="438805" cy="147692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324941</xdr:colOff>
      <xdr:row>113</xdr:row>
      <xdr:rowOff>5692</xdr:rowOff>
    </xdr:from>
    <xdr:to>
      <xdr:col>20</xdr:col>
      <xdr:colOff>204511</xdr:colOff>
      <xdr:row>115</xdr:row>
      <xdr:rowOff>60434</xdr:rowOff>
    </xdr:to>
    <xdr:sp macro="" textlink="">
      <xdr:nvSpPr>
        <xdr:cNvPr id="309" name="Rectangle: Rounded Corners 308">
          <a:extLst>
            <a:ext uri="{FF2B5EF4-FFF2-40B4-BE49-F238E27FC236}">
              <a16:creationId xmlns:a16="http://schemas.microsoft.com/office/drawing/2014/main" id="{0755A7BB-BAC7-4AA9-B306-779DF90E758B}"/>
            </a:ext>
          </a:extLst>
        </xdr:cNvPr>
        <xdr:cNvSpPr/>
      </xdr:nvSpPr>
      <xdr:spPr>
        <a:xfrm>
          <a:off x="14974391" y="21532192"/>
          <a:ext cx="1203545" cy="43574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20</xdr:col>
      <xdr:colOff>537559</xdr:colOff>
      <xdr:row>113</xdr:row>
      <xdr:rowOff>5692</xdr:rowOff>
    </xdr:from>
    <xdr:to>
      <xdr:col>23</xdr:col>
      <xdr:colOff>54740</xdr:colOff>
      <xdr:row>115</xdr:row>
      <xdr:rowOff>71381</xdr:rowOff>
    </xdr:to>
    <xdr:sp macro="" textlink="">
      <xdr:nvSpPr>
        <xdr:cNvPr id="310" name="Rectangle: Rounded Corners 309">
          <a:extLst>
            <a:ext uri="{FF2B5EF4-FFF2-40B4-BE49-F238E27FC236}">
              <a16:creationId xmlns:a16="http://schemas.microsoft.com/office/drawing/2014/main" id="{9D3383F2-694E-4939-8D2F-A236E3A31D44}"/>
            </a:ext>
          </a:extLst>
        </xdr:cNvPr>
        <xdr:cNvSpPr/>
      </xdr:nvSpPr>
      <xdr:spPr>
        <a:xfrm>
          <a:off x="16510984" y="21532192"/>
          <a:ext cx="1345981" cy="44668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18</xdr:col>
      <xdr:colOff>324284</xdr:colOff>
      <xdr:row>120</xdr:row>
      <xdr:rowOff>24087</xdr:rowOff>
    </xdr:from>
    <xdr:to>
      <xdr:col>22</xdr:col>
      <xdr:colOff>215459</xdr:colOff>
      <xdr:row>123</xdr:row>
      <xdr:rowOff>144518</xdr:rowOff>
    </xdr:to>
    <xdr:sp macro="" textlink="">
      <xdr:nvSpPr>
        <xdr:cNvPr id="311" name="Rectangle: Rounded Corners 310">
          <a:extLst>
            <a:ext uri="{FF2B5EF4-FFF2-40B4-BE49-F238E27FC236}">
              <a16:creationId xmlns:a16="http://schemas.microsoft.com/office/drawing/2014/main" id="{3CF71DA1-9B84-4138-BDA9-EEA823B7AF9C}"/>
            </a:ext>
          </a:extLst>
        </xdr:cNvPr>
        <xdr:cNvSpPr/>
      </xdr:nvSpPr>
      <xdr:spPr>
        <a:xfrm>
          <a:off x="14973734" y="22884087"/>
          <a:ext cx="2434350" cy="6919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17</xdr:col>
      <xdr:colOff>2591236</xdr:colOff>
      <xdr:row>121</xdr:row>
      <xdr:rowOff>176486</xdr:rowOff>
    </xdr:from>
    <xdr:to>
      <xdr:col>18</xdr:col>
      <xdr:colOff>324284</xdr:colOff>
      <xdr:row>121</xdr:row>
      <xdr:rowOff>177365</xdr:rowOff>
    </xdr:to>
    <xdr:cxnSp macro="">
      <xdr:nvCxnSpPr>
        <xdr:cNvPr id="312" name="Straight Arrow Connector 311">
          <a:extLst>
            <a:ext uri="{FF2B5EF4-FFF2-40B4-BE49-F238E27FC236}">
              <a16:creationId xmlns:a16="http://schemas.microsoft.com/office/drawing/2014/main" id="{FBEA9A2D-22FD-400E-B0A9-D82824E7B2CD}"/>
            </a:ext>
          </a:extLst>
        </xdr:cNvPr>
        <xdr:cNvCxnSpPr>
          <a:stCxn id="307" idx="3"/>
          <a:endCxn id="311" idx="1"/>
        </xdr:cNvCxnSpPr>
      </xdr:nvCxnSpPr>
      <xdr:spPr>
        <a:xfrm>
          <a:off x="14535586" y="23226986"/>
          <a:ext cx="438148" cy="8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204511</xdr:colOff>
      <xdr:row>114</xdr:row>
      <xdr:rowOff>33063</xdr:rowOff>
    </xdr:from>
    <xdr:to>
      <xdr:col>20</xdr:col>
      <xdr:colOff>537559</xdr:colOff>
      <xdr:row>114</xdr:row>
      <xdr:rowOff>38536</xdr:rowOff>
    </xdr:to>
    <xdr:cxnSp macro="">
      <xdr:nvCxnSpPr>
        <xdr:cNvPr id="313" name="Straight Arrow Connector 312">
          <a:extLst>
            <a:ext uri="{FF2B5EF4-FFF2-40B4-BE49-F238E27FC236}">
              <a16:creationId xmlns:a16="http://schemas.microsoft.com/office/drawing/2014/main" id="{EC0232AD-2384-4399-98E7-082F99C18B59}"/>
            </a:ext>
          </a:extLst>
        </xdr:cNvPr>
        <xdr:cNvCxnSpPr>
          <a:stCxn id="309" idx="3"/>
          <a:endCxn id="310" idx="1"/>
        </xdr:cNvCxnSpPr>
      </xdr:nvCxnSpPr>
      <xdr:spPr>
        <a:xfrm>
          <a:off x="16177936" y="21750063"/>
          <a:ext cx="333048" cy="547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xdr:col>
      <xdr:colOff>372240</xdr:colOff>
      <xdr:row>119</xdr:row>
      <xdr:rowOff>115174</xdr:rowOff>
    </xdr:from>
    <xdr:to>
      <xdr:col>27</xdr:col>
      <xdr:colOff>481723</xdr:colOff>
      <xdr:row>124</xdr:row>
      <xdr:rowOff>49485</xdr:rowOff>
    </xdr:to>
    <xdr:sp macro="" textlink="">
      <xdr:nvSpPr>
        <xdr:cNvPr id="314" name="Rectangle: Rounded Corners 313">
          <a:extLst>
            <a:ext uri="{FF2B5EF4-FFF2-40B4-BE49-F238E27FC236}">
              <a16:creationId xmlns:a16="http://schemas.microsoft.com/office/drawing/2014/main" id="{1613D2D9-97EB-4D95-AC4D-AB150A1CF08E}"/>
            </a:ext>
          </a:extLst>
        </xdr:cNvPr>
        <xdr:cNvSpPr/>
      </xdr:nvSpPr>
      <xdr:spPr>
        <a:xfrm>
          <a:off x="18174465" y="22784674"/>
          <a:ext cx="2547883" cy="88681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D" sz="1100">
              <a:solidFill>
                <a:schemeClr val="lt1"/>
              </a:solidFill>
              <a:effectLst/>
              <a:latin typeface="+mn-lt"/>
              <a:ea typeface="+mn-ea"/>
              <a:cs typeface="+mn-cs"/>
            </a:rPr>
            <a:t>Is this a newly acquired asset?</a:t>
          </a:r>
          <a:endParaRPr lang="en-ID">
            <a:effectLst/>
          </a:endParaRPr>
        </a:p>
        <a:p>
          <a:r>
            <a:rPr lang="en-ID" sz="1100" b="0" i="0">
              <a:solidFill>
                <a:schemeClr val="lt1"/>
              </a:solidFill>
              <a:effectLst/>
              <a:latin typeface="+mn-lt"/>
              <a:ea typeface="+mn-ea"/>
              <a:cs typeface="+mn-cs"/>
            </a:rPr>
            <a:t>Apakah ini aset baru?</a:t>
          </a:r>
          <a:endParaRPr lang="en-ID">
            <a:effectLst/>
          </a:endParaRPr>
        </a:p>
      </xdr:txBody>
    </xdr:sp>
    <xdr:clientData/>
  </xdr:twoCellAnchor>
  <xdr:twoCellAnchor>
    <xdr:from>
      <xdr:col>22</xdr:col>
      <xdr:colOff>215459</xdr:colOff>
      <xdr:row>121</xdr:row>
      <xdr:rowOff>175390</xdr:rowOff>
    </xdr:from>
    <xdr:to>
      <xdr:col>23</xdr:col>
      <xdr:colOff>372240</xdr:colOff>
      <xdr:row>121</xdr:row>
      <xdr:rowOff>177364</xdr:rowOff>
    </xdr:to>
    <xdr:cxnSp macro="">
      <xdr:nvCxnSpPr>
        <xdr:cNvPr id="315" name="Straight Arrow Connector 314">
          <a:extLst>
            <a:ext uri="{FF2B5EF4-FFF2-40B4-BE49-F238E27FC236}">
              <a16:creationId xmlns:a16="http://schemas.microsoft.com/office/drawing/2014/main" id="{C01F3754-BE0B-437D-93F9-9674064AA140}"/>
            </a:ext>
          </a:extLst>
        </xdr:cNvPr>
        <xdr:cNvCxnSpPr>
          <a:stCxn id="311" idx="3"/>
          <a:endCxn id="314" idx="1"/>
        </xdr:cNvCxnSpPr>
      </xdr:nvCxnSpPr>
      <xdr:spPr>
        <a:xfrm flipV="1">
          <a:off x="17408084" y="23225890"/>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126996</xdr:colOff>
      <xdr:row>120</xdr:row>
      <xdr:rowOff>115175</xdr:rowOff>
    </xdr:from>
    <xdr:to>
      <xdr:col>31</xdr:col>
      <xdr:colOff>105100</xdr:colOff>
      <xdr:row>123</xdr:row>
      <xdr:rowOff>39629</xdr:rowOff>
    </xdr:to>
    <xdr:sp macro="" textlink="">
      <xdr:nvSpPr>
        <xdr:cNvPr id="316" name="Rectangle: Rounded Corners 315">
          <a:extLst>
            <a:ext uri="{FF2B5EF4-FFF2-40B4-BE49-F238E27FC236}">
              <a16:creationId xmlns:a16="http://schemas.microsoft.com/office/drawing/2014/main" id="{2DC7FE1A-D226-447D-9E25-C1859EC4B282}"/>
            </a:ext>
          </a:extLst>
        </xdr:cNvPr>
        <xdr:cNvSpPr/>
      </xdr:nvSpPr>
      <xdr:spPr>
        <a:xfrm>
          <a:off x="21586821" y="22975175"/>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27</xdr:col>
      <xdr:colOff>481723</xdr:colOff>
      <xdr:row>121</xdr:row>
      <xdr:rowOff>170463</xdr:rowOff>
    </xdr:from>
    <xdr:to>
      <xdr:col>29</xdr:col>
      <xdr:colOff>126996</xdr:colOff>
      <xdr:row>121</xdr:row>
      <xdr:rowOff>175390</xdr:rowOff>
    </xdr:to>
    <xdr:cxnSp macro="">
      <xdr:nvCxnSpPr>
        <xdr:cNvPr id="317" name="Straight Arrow Connector 316">
          <a:extLst>
            <a:ext uri="{FF2B5EF4-FFF2-40B4-BE49-F238E27FC236}">
              <a16:creationId xmlns:a16="http://schemas.microsoft.com/office/drawing/2014/main" id="{95932C38-2436-46C4-9BD6-3E28436A2CFF}"/>
            </a:ext>
          </a:extLst>
        </xdr:cNvPr>
        <xdr:cNvCxnSpPr>
          <a:stCxn id="314" idx="3"/>
          <a:endCxn id="316" idx="1"/>
        </xdr:cNvCxnSpPr>
      </xdr:nvCxnSpPr>
      <xdr:spPr>
        <a:xfrm flipV="1">
          <a:off x="20722348" y="23220963"/>
          <a:ext cx="864473" cy="492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105100</xdr:colOff>
      <xdr:row>121</xdr:row>
      <xdr:rowOff>170463</xdr:rowOff>
    </xdr:from>
    <xdr:to>
      <xdr:col>33</xdr:col>
      <xdr:colOff>54741</xdr:colOff>
      <xdr:row>121</xdr:row>
      <xdr:rowOff>176952</xdr:rowOff>
    </xdr:to>
    <xdr:cxnSp macro="">
      <xdr:nvCxnSpPr>
        <xdr:cNvPr id="318" name="Straight Arrow Connector 317">
          <a:extLst>
            <a:ext uri="{FF2B5EF4-FFF2-40B4-BE49-F238E27FC236}">
              <a16:creationId xmlns:a16="http://schemas.microsoft.com/office/drawing/2014/main" id="{6D7C44A9-A7EA-4980-858A-55CF400D8F9A}"/>
            </a:ext>
          </a:extLst>
        </xdr:cNvPr>
        <xdr:cNvCxnSpPr>
          <a:stCxn id="316" idx="3"/>
          <a:endCxn id="288" idx="1"/>
        </xdr:cNvCxnSpPr>
      </xdr:nvCxnSpPr>
      <xdr:spPr>
        <a:xfrm>
          <a:off x="22784125" y="23220963"/>
          <a:ext cx="1168841" cy="648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158965</xdr:colOff>
      <xdr:row>125</xdr:row>
      <xdr:rowOff>125248</xdr:rowOff>
    </xdr:from>
    <xdr:to>
      <xdr:col>31</xdr:col>
      <xdr:colOff>137069</xdr:colOff>
      <xdr:row>128</xdr:row>
      <xdr:rowOff>49702</xdr:rowOff>
    </xdr:to>
    <xdr:sp macro="" textlink="">
      <xdr:nvSpPr>
        <xdr:cNvPr id="319" name="Rectangle: Rounded Corners 318">
          <a:extLst>
            <a:ext uri="{FF2B5EF4-FFF2-40B4-BE49-F238E27FC236}">
              <a16:creationId xmlns:a16="http://schemas.microsoft.com/office/drawing/2014/main" id="{0508F93A-1579-463D-825F-68B89D036986}"/>
            </a:ext>
          </a:extLst>
        </xdr:cNvPr>
        <xdr:cNvSpPr/>
      </xdr:nvSpPr>
      <xdr:spPr>
        <a:xfrm>
          <a:off x="21618790" y="23937748"/>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27</xdr:col>
      <xdr:colOff>481723</xdr:colOff>
      <xdr:row>121</xdr:row>
      <xdr:rowOff>175390</xdr:rowOff>
    </xdr:from>
    <xdr:to>
      <xdr:col>29</xdr:col>
      <xdr:colOff>158965</xdr:colOff>
      <xdr:row>126</xdr:row>
      <xdr:rowOff>180535</xdr:rowOff>
    </xdr:to>
    <xdr:cxnSp macro="">
      <xdr:nvCxnSpPr>
        <xdr:cNvPr id="320" name="Straight Arrow Connector 319">
          <a:extLst>
            <a:ext uri="{FF2B5EF4-FFF2-40B4-BE49-F238E27FC236}">
              <a16:creationId xmlns:a16="http://schemas.microsoft.com/office/drawing/2014/main" id="{A9B5F800-5594-4876-96CB-AB92F227EB37}"/>
            </a:ext>
          </a:extLst>
        </xdr:cNvPr>
        <xdr:cNvCxnSpPr>
          <a:stCxn id="314" idx="3"/>
          <a:endCxn id="319" idx="1"/>
        </xdr:cNvCxnSpPr>
      </xdr:nvCxnSpPr>
      <xdr:spPr>
        <a:xfrm>
          <a:off x="20722348" y="23225890"/>
          <a:ext cx="896442" cy="95764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137069</xdr:colOff>
      <xdr:row>119</xdr:row>
      <xdr:rowOff>166414</xdr:rowOff>
    </xdr:from>
    <xdr:to>
      <xdr:col>46</xdr:col>
      <xdr:colOff>95029</xdr:colOff>
      <xdr:row>126</xdr:row>
      <xdr:rowOff>180535</xdr:rowOff>
    </xdr:to>
    <xdr:cxnSp macro="">
      <xdr:nvCxnSpPr>
        <xdr:cNvPr id="321" name="Connector: Elbow 320">
          <a:extLst>
            <a:ext uri="{FF2B5EF4-FFF2-40B4-BE49-F238E27FC236}">
              <a16:creationId xmlns:a16="http://schemas.microsoft.com/office/drawing/2014/main" id="{F34541DE-D352-473E-95E1-E4628E635B46}"/>
            </a:ext>
          </a:extLst>
        </xdr:cNvPr>
        <xdr:cNvCxnSpPr>
          <a:stCxn id="319" idx="3"/>
          <a:endCxn id="298" idx="1"/>
        </xdr:cNvCxnSpPr>
      </xdr:nvCxnSpPr>
      <xdr:spPr>
        <a:xfrm flipV="1">
          <a:off x="22816094" y="22835914"/>
          <a:ext cx="9101960" cy="1347621"/>
        </a:xfrm>
        <a:prstGeom prst="bentConnector3">
          <a:avLst>
            <a:gd name="adj1" fmla="val 96163"/>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72846</xdr:rowOff>
    </xdr:from>
    <xdr:to>
      <xdr:col>5</xdr:col>
      <xdr:colOff>13631</xdr:colOff>
      <xdr:row>124</xdr:row>
      <xdr:rowOff>12810</xdr:rowOff>
    </xdr:to>
    <xdr:cxnSp macro="">
      <xdr:nvCxnSpPr>
        <xdr:cNvPr id="322" name="Straight Arrow Connector 625">
          <a:extLst>
            <a:ext uri="{FF2B5EF4-FFF2-40B4-BE49-F238E27FC236}">
              <a16:creationId xmlns:a16="http://schemas.microsoft.com/office/drawing/2014/main" id="{8D8A2F63-F2F7-49E6-9CD2-6416C23B2642}"/>
            </a:ext>
          </a:extLst>
        </xdr:cNvPr>
        <xdr:cNvCxnSpPr>
          <a:stCxn id="3" idx="3"/>
          <a:endCxn id="278" idx="1"/>
        </xdr:cNvCxnSpPr>
      </xdr:nvCxnSpPr>
      <xdr:spPr>
        <a:xfrm>
          <a:off x="2164556" y="2549346"/>
          <a:ext cx="1125675" cy="21085464"/>
        </a:xfrm>
        <a:prstGeom prst="bentConnector3">
          <a:avLst>
            <a:gd name="adj1" fmla="val 50000"/>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60570</xdr:colOff>
      <xdr:row>111</xdr:row>
      <xdr:rowOff>11304</xdr:rowOff>
    </xdr:from>
    <xdr:to>
      <xdr:col>61</xdr:col>
      <xdr:colOff>170053</xdr:colOff>
      <xdr:row>111</xdr:row>
      <xdr:rowOff>22252</xdr:rowOff>
    </xdr:to>
    <xdr:cxnSp macro="">
      <xdr:nvCxnSpPr>
        <xdr:cNvPr id="323" name="Straight Connector 322">
          <a:extLst>
            <a:ext uri="{FF2B5EF4-FFF2-40B4-BE49-F238E27FC236}">
              <a16:creationId xmlns:a16="http://schemas.microsoft.com/office/drawing/2014/main" id="{BADFE563-D642-46F6-AC3F-64E376EBDD7B}"/>
            </a:ext>
          </a:extLst>
        </xdr:cNvPr>
        <xdr:cNvCxnSpPr/>
      </xdr:nvCxnSpPr>
      <xdr:spPr>
        <a:xfrm>
          <a:off x="3337170" y="21156804"/>
          <a:ext cx="37799908" cy="10948"/>
        </a:xfrm>
        <a:prstGeom prst="line">
          <a:avLst/>
        </a:prstGeom>
        <a:ln>
          <a:solidFill>
            <a:srgbClr val="FF0000"/>
          </a:solidFill>
          <a:prstDash val="sys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114628</xdr:colOff>
      <xdr:row>139</xdr:row>
      <xdr:rowOff>158777</xdr:rowOff>
    </xdr:from>
    <xdr:to>
      <xdr:col>8</xdr:col>
      <xdr:colOff>112245</xdr:colOff>
      <xdr:row>142</xdr:row>
      <xdr:rowOff>163541</xdr:rowOff>
    </xdr:to>
    <xdr:sp macro="" textlink="">
      <xdr:nvSpPr>
        <xdr:cNvPr id="324" name="Rectangle: Rounded Corners 323">
          <a:extLst>
            <a:ext uri="{FF2B5EF4-FFF2-40B4-BE49-F238E27FC236}">
              <a16:creationId xmlns:a16="http://schemas.microsoft.com/office/drawing/2014/main" id="{CC36468D-13CF-4590-AE13-A5C264CFD2F4}"/>
            </a:ext>
          </a:extLst>
        </xdr:cNvPr>
        <xdr:cNvSpPr/>
      </xdr:nvSpPr>
      <xdr:spPr>
        <a:xfrm>
          <a:off x="3391228" y="26638277"/>
          <a:ext cx="1826417"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Intangible</a:t>
          </a:r>
          <a:r>
            <a:rPr lang="en-ID" sz="1100" baseline="0"/>
            <a:t> asset</a:t>
          </a:r>
          <a:endParaRPr lang="en-ID" sz="1100"/>
        </a:p>
        <a:p>
          <a:pPr algn="ctr"/>
          <a:r>
            <a:rPr lang="en-ID" sz="1100"/>
            <a:t>Asset tidak</a:t>
          </a:r>
          <a:r>
            <a:rPr lang="en-ID" sz="1100" baseline="0"/>
            <a:t> berwujud</a:t>
          </a:r>
          <a:endParaRPr lang="en-ID" sz="1100"/>
        </a:p>
      </xdr:txBody>
    </xdr:sp>
    <xdr:clientData/>
  </xdr:twoCellAnchor>
  <xdr:twoCellAnchor>
    <xdr:from>
      <xdr:col>9</xdr:col>
      <xdr:colOff>134086</xdr:colOff>
      <xdr:row>139</xdr:row>
      <xdr:rowOff>119533</xdr:rowOff>
    </xdr:from>
    <xdr:to>
      <xdr:col>15</xdr:col>
      <xdr:colOff>157899</xdr:colOff>
      <xdr:row>142</xdr:row>
      <xdr:rowOff>179063</xdr:rowOff>
    </xdr:to>
    <xdr:sp macro="" textlink="">
      <xdr:nvSpPr>
        <xdr:cNvPr id="325" name="Rectangle: Rounded Corners 324">
          <a:extLst>
            <a:ext uri="{FF2B5EF4-FFF2-40B4-BE49-F238E27FC236}">
              <a16:creationId xmlns:a16="http://schemas.microsoft.com/office/drawing/2014/main" id="{E0860DFF-42B9-4592-845B-52497A5A7E05}"/>
            </a:ext>
          </a:extLst>
        </xdr:cNvPr>
        <xdr:cNvSpPr/>
      </xdr:nvSpPr>
      <xdr:spPr>
        <a:xfrm>
          <a:off x="5849086" y="26599033"/>
          <a:ext cx="3681413" cy="63103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8</xdr:col>
      <xdr:colOff>112245</xdr:colOff>
      <xdr:row>141</xdr:row>
      <xdr:rowOff>56238</xdr:rowOff>
    </xdr:from>
    <xdr:to>
      <xdr:col>9</xdr:col>
      <xdr:colOff>134086</xdr:colOff>
      <xdr:row>141</xdr:row>
      <xdr:rowOff>68099</xdr:rowOff>
    </xdr:to>
    <xdr:cxnSp macro="">
      <xdr:nvCxnSpPr>
        <xdr:cNvPr id="326" name="Straight Arrow Connector 325">
          <a:extLst>
            <a:ext uri="{FF2B5EF4-FFF2-40B4-BE49-F238E27FC236}">
              <a16:creationId xmlns:a16="http://schemas.microsoft.com/office/drawing/2014/main" id="{C423BE15-855C-4998-B084-DFDE79F9553E}"/>
            </a:ext>
          </a:extLst>
        </xdr:cNvPr>
        <xdr:cNvCxnSpPr>
          <a:stCxn id="324" idx="3"/>
          <a:endCxn id="325" idx="1"/>
        </xdr:cNvCxnSpPr>
      </xdr:nvCxnSpPr>
      <xdr:spPr>
        <a:xfrm flipV="1">
          <a:off x="5217645" y="26916738"/>
          <a:ext cx="631441" cy="1186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290372</xdr:colOff>
      <xdr:row>138</xdr:row>
      <xdr:rowOff>134309</xdr:rowOff>
    </xdr:from>
    <xdr:to>
      <xdr:col>17</xdr:col>
      <xdr:colOff>552310</xdr:colOff>
      <xdr:row>140</xdr:row>
      <xdr:rowOff>74778</xdr:rowOff>
    </xdr:to>
    <xdr:sp macro="" textlink="">
      <xdr:nvSpPr>
        <xdr:cNvPr id="327" name="Rectangle: Rounded Corners 326">
          <a:extLst>
            <a:ext uri="{FF2B5EF4-FFF2-40B4-BE49-F238E27FC236}">
              <a16:creationId xmlns:a16="http://schemas.microsoft.com/office/drawing/2014/main" id="{48F6AB95-2ECA-4D7E-BB81-94014F700D42}"/>
            </a:ext>
          </a:extLst>
        </xdr:cNvPr>
        <xdr:cNvSpPr/>
      </xdr:nvSpPr>
      <xdr:spPr>
        <a:xfrm>
          <a:off x="10272572" y="26423309"/>
          <a:ext cx="2224088"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10,000 / Rp 150,000,000</a:t>
          </a:r>
        </a:p>
      </xdr:txBody>
    </xdr:sp>
    <xdr:clientData/>
  </xdr:twoCellAnchor>
  <xdr:twoCellAnchor>
    <xdr:from>
      <xdr:col>16</xdr:col>
      <xdr:colOff>278466</xdr:colOff>
      <xdr:row>142</xdr:row>
      <xdr:rowOff>170024</xdr:rowOff>
    </xdr:from>
    <xdr:to>
      <xdr:col>17</xdr:col>
      <xdr:colOff>540404</xdr:colOff>
      <xdr:row>144</xdr:row>
      <xdr:rowOff>69740</xdr:rowOff>
    </xdr:to>
    <xdr:sp macro="" textlink="">
      <xdr:nvSpPr>
        <xdr:cNvPr id="328" name="Rectangle: Rounded Corners 327">
          <a:extLst>
            <a:ext uri="{FF2B5EF4-FFF2-40B4-BE49-F238E27FC236}">
              <a16:creationId xmlns:a16="http://schemas.microsoft.com/office/drawing/2014/main" id="{27389893-55F2-4785-B79E-0B16CD237D84}"/>
            </a:ext>
          </a:extLst>
        </xdr:cNvPr>
        <xdr:cNvSpPr/>
      </xdr:nvSpPr>
      <xdr:spPr>
        <a:xfrm>
          <a:off x="10260666" y="27221024"/>
          <a:ext cx="2224088" cy="28071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a:t>
          </a:r>
          <a:r>
            <a:rPr lang="en-ID" sz="1100">
              <a:solidFill>
                <a:schemeClr val="lt1"/>
              </a:solidFill>
              <a:effectLst/>
              <a:latin typeface="+mn-lt"/>
              <a:ea typeface="+mn-ea"/>
              <a:cs typeface="+mn-cs"/>
            </a:rPr>
            <a:t>USD 10,000 / Rp 150,000,000</a:t>
          </a:r>
          <a:endParaRPr lang="en-ID" sz="1100"/>
        </a:p>
      </xdr:txBody>
    </xdr:sp>
    <xdr:clientData/>
  </xdr:twoCellAnchor>
  <xdr:twoCellAnchor>
    <xdr:from>
      <xdr:col>15</xdr:col>
      <xdr:colOff>157899</xdr:colOff>
      <xdr:row>139</xdr:row>
      <xdr:rowOff>104545</xdr:rowOff>
    </xdr:from>
    <xdr:to>
      <xdr:col>16</xdr:col>
      <xdr:colOff>290372</xdr:colOff>
      <xdr:row>141</xdr:row>
      <xdr:rowOff>56238</xdr:rowOff>
    </xdr:to>
    <xdr:cxnSp macro="">
      <xdr:nvCxnSpPr>
        <xdr:cNvPr id="329" name="Straight Arrow Connector 328">
          <a:extLst>
            <a:ext uri="{FF2B5EF4-FFF2-40B4-BE49-F238E27FC236}">
              <a16:creationId xmlns:a16="http://schemas.microsoft.com/office/drawing/2014/main" id="{9B46955C-E20D-40BD-9EFF-E6DDE12197FC}"/>
            </a:ext>
          </a:extLst>
        </xdr:cNvPr>
        <xdr:cNvCxnSpPr>
          <a:stCxn id="325" idx="3"/>
          <a:endCxn id="327" idx="1"/>
        </xdr:cNvCxnSpPr>
      </xdr:nvCxnSpPr>
      <xdr:spPr>
        <a:xfrm flipV="1">
          <a:off x="9530499" y="26584045"/>
          <a:ext cx="742073" cy="33269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157899</xdr:colOff>
      <xdr:row>141</xdr:row>
      <xdr:rowOff>56238</xdr:rowOff>
    </xdr:from>
    <xdr:to>
      <xdr:col>16</xdr:col>
      <xdr:colOff>278466</xdr:colOff>
      <xdr:row>143</xdr:row>
      <xdr:rowOff>119882</xdr:rowOff>
    </xdr:to>
    <xdr:cxnSp macro="">
      <xdr:nvCxnSpPr>
        <xdr:cNvPr id="330" name="Straight Arrow Connector 329">
          <a:extLst>
            <a:ext uri="{FF2B5EF4-FFF2-40B4-BE49-F238E27FC236}">
              <a16:creationId xmlns:a16="http://schemas.microsoft.com/office/drawing/2014/main" id="{7657260A-453C-47BA-8A60-9EE7545713F8}"/>
            </a:ext>
          </a:extLst>
        </xdr:cNvPr>
        <xdr:cNvCxnSpPr>
          <a:stCxn id="325" idx="3"/>
          <a:endCxn id="328" idx="1"/>
        </xdr:cNvCxnSpPr>
      </xdr:nvCxnSpPr>
      <xdr:spPr>
        <a:xfrm>
          <a:off x="9530499" y="26916738"/>
          <a:ext cx="730167" cy="44464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859492</xdr:colOff>
      <xdr:row>142</xdr:row>
      <xdr:rowOff>131925</xdr:rowOff>
    </xdr:from>
    <xdr:to>
      <xdr:col>18</xdr:col>
      <xdr:colOff>193618</xdr:colOff>
      <xdr:row>144</xdr:row>
      <xdr:rowOff>113533</xdr:rowOff>
    </xdr:to>
    <xdr:sp macro="" textlink="">
      <xdr:nvSpPr>
        <xdr:cNvPr id="331" name="Rectangle: Rounded Corners 330">
          <a:extLst>
            <a:ext uri="{FF2B5EF4-FFF2-40B4-BE49-F238E27FC236}">
              <a16:creationId xmlns:a16="http://schemas.microsoft.com/office/drawing/2014/main" id="{A9B844A1-E0DC-4519-8005-55B04C145DDF}"/>
            </a:ext>
          </a:extLst>
        </xdr:cNvPr>
        <xdr:cNvSpPr/>
      </xdr:nvSpPr>
      <xdr:spPr>
        <a:xfrm>
          <a:off x="12803842" y="27182925"/>
          <a:ext cx="2039226" cy="36260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540404</xdr:colOff>
      <xdr:row>143</xdr:row>
      <xdr:rowOff>119882</xdr:rowOff>
    </xdr:from>
    <xdr:to>
      <xdr:col>17</xdr:col>
      <xdr:colOff>859492</xdr:colOff>
      <xdr:row>143</xdr:row>
      <xdr:rowOff>122729</xdr:rowOff>
    </xdr:to>
    <xdr:cxnSp macro="">
      <xdr:nvCxnSpPr>
        <xdr:cNvPr id="332" name="Straight Arrow Connector 331">
          <a:extLst>
            <a:ext uri="{FF2B5EF4-FFF2-40B4-BE49-F238E27FC236}">
              <a16:creationId xmlns:a16="http://schemas.microsoft.com/office/drawing/2014/main" id="{6C8D05F2-D648-4602-9B7F-D7748A6816FD}"/>
            </a:ext>
          </a:extLst>
        </xdr:cNvPr>
        <xdr:cNvCxnSpPr>
          <a:stCxn id="328" idx="3"/>
          <a:endCxn id="331" idx="1"/>
        </xdr:cNvCxnSpPr>
      </xdr:nvCxnSpPr>
      <xdr:spPr>
        <a:xfrm>
          <a:off x="12484754" y="27361382"/>
          <a:ext cx="319088" cy="284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552310</xdr:colOff>
      <xdr:row>136</xdr:row>
      <xdr:rowOff>83823</xdr:rowOff>
    </xdr:from>
    <xdr:to>
      <xdr:col>17</xdr:col>
      <xdr:colOff>835679</xdr:colOff>
      <xdr:row>139</xdr:row>
      <xdr:rowOff>104544</xdr:rowOff>
    </xdr:to>
    <xdr:cxnSp macro="">
      <xdr:nvCxnSpPr>
        <xdr:cNvPr id="333" name="Straight Arrow Connector 332">
          <a:extLst>
            <a:ext uri="{FF2B5EF4-FFF2-40B4-BE49-F238E27FC236}">
              <a16:creationId xmlns:a16="http://schemas.microsoft.com/office/drawing/2014/main" id="{A23DADA8-C13B-4112-BF73-BA20AA8C31CD}"/>
            </a:ext>
          </a:extLst>
        </xdr:cNvPr>
        <xdr:cNvCxnSpPr>
          <a:cxnSpLocks/>
          <a:stCxn id="327" idx="3"/>
          <a:endCxn id="368" idx="1"/>
        </xdr:cNvCxnSpPr>
      </xdr:nvCxnSpPr>
      <xdr:spPr>
        <a:xfrm flipV="1">
          <a:off x="12496660" y="25991823"/>
          <a:ext cx="283369" cy="59222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44</xdr:col>
      <xdr:colOff>72355</xdr:colOff>
      <xdr:row>137</xdr:row>
      <xdr:rowOff>55836</xdr:rowOff>
    </xdr:from>
    <xdr:to>
      <xdr:col>51</xdr:col>
      <xdr:colOff>189010</xdr:colOff>
      <xdr:row>141</xdr:row>
      <xdr:rowOff>27643</xdr:rowOff>
    </xdr:to>
    <xdr:sp macro="" textlink="">
      <xdr:nvSpPr>
        <xdr:cNvPr id="334" name="Rectangle: Rounded Corners 333">
          <a:extLst>
            <a:ext uri="{FF2B5EF4-FFF2-40B4-BE49-F238E27FC236}">
              <a16:creationId xmlns:a16="http://schemas.microsoft.com/office/drawing/2014/main" id="{48E9A893-8385-45D0-8AE7-A2263984D1DD}"/>
            </a:ext>
          </a:extLst>
        </xdr:cNvPr>
        <xdr:cNvSpPr/>
      </xdr:nvSpPr>
      <xdr:spPr>
        <a:xfrm>
          <a:off x="30676180" y="26154336"/>
          <a:ext cx="4383855" cy="733807"/>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ID" sz="1100">
              <a:solidFill>
                <a:schemeClr val="lt1"/>
              </a:solidFill>
              <a:effectLst/>
              <a:latin typeface="+mn-lt"/>
              <a:ea typeface="+mn-ea"/>
              <a:cs typeface="+mn-cs"/>
            </a:rPr>
            <a:t>Is</a:t>
          </a:r>
          <a:r>
            <a:rPr lang="en-ID" sz="1100" baseline="0">
              <a:solidFill>
                <a:schemeClr val="lt1"/>
              </a:solidFill>
              <a:effectLst/>
              <a:latin typeface="+mn-lt"/>
              <a:ea typeface="+mn-ea"/>
              <a:cs typeface="+mn-cs"/>
            </a:rPr>
            <a:t> there any value added? (e.g: adding new function)</a:t>
          </a:r>
          <a:endParaRPr lang="en-ID">
            <a:effectLst/>
          </a:endParaRPr>
        </a:p>
        <a:p>
          <a:r>
            <a:rPr lang="en-ID" sz="1100">
              <a:solidFill>
                <a:schemeClr val="lt1"/>
              </a:solidFill>
              <a:effectLst/>
              <a:latin typeface="+mn-lt"/>
              <a:ea typeface="+mn-ea"/>
              <a:cs typeface="+mn-cs"/>
            </a:rPr>
            <a:t>Apakah ada nilai tambah? (Contoh: Penambahan fungsi)</a:t>
          </a:r>
          <a:endParaRPr lang="en-ID">
            <a:effectLst/>
          </a:endParaRPr>
        </a:p>
      </xdr:txBody>
    </xdr:sp>
    <xdr:clientData/>
  </xdr:twoCellAnchor>
  <xdr:twoCellAnchor>
    <xdr:from>
      <xdr:col>52</xdr:col>
      <xdr:colOff>67563</xdr:colOff>
      <xdr:row>136</xdr:row>
      <xdr:rowOff>65362</xdr:rowOff>
    </xdr:from>
    <xdr:to>
      <xdr:col>53</xdr:col>
      <xdr:colOff>444923</xdr:colOff>
      <xdr:row>138</xdr:row>
      <xdr:rowOff>1451</xdr:rowOff>
    </xdr:to>
    <xdr:sp macro="" textlink="">
      <xdr:nvSpPr>
        <xdr:cNvPr id="335" name="Rectangle: Rounded Corners 334">
          <a:extLst>
            <a:ext uri="{FF2B5EF4-FFF2-40B4-BE49-F238E27FC236}">
              <a16:creationId xmlns:a16="http://schemas.microsoft.com/office/drawing/2014/main" id="{974E27B4-8265-417A-8854-36135DE41BED}"/>
            </a:ext>
          </a:extLst>
        </xdr:cNvPr>
        <xdr:cNvSpPr/>
      </xdr:nvSpPr>
      <xdr:spPr>
        <a:xfrm>
          <a:off x="35548188" y="25973362"/>
          <a:ext cx="986960" cy="31708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52</xdr:col>
      <xdr:colOff>77088</xdr:colOff>
      <xdr:row>139</xdr:row>
      <xdr:rowOff>177664</xdr:rowOff>
    </xdr:from>
    <xdr:to>
      <xdr:col>53</xdr:col>
      <xdr:colOff>454448</xdr:colOff>
      <xdr:row>141</xdr:row>
      <xdr:rowOff>118132</xdr:rowOff>
    </xdr:to>
    <xdr:sp macro="" textlink="">
      <xdr:nvSpPr>
        <xdr:cNvPr id="336" name="Rectangle: Rounded Corners 335">
          <a:extLst>
            <a:ext uri="{FF2B5EF4-FFF2-40B4-BE49-F238E27FC236}">
              <a16:creationId xmlns:a16="http://schemas.microsoft.com/office/drawing/2014/main" id="{D1D2C2FF-9D20-44EC-BCFD-D8B541B8198E}"/>
            </a:ext>
          </a:extLst>
        </xdr:cNvPr>
        <xdr:cNvSpPr/>
      </xdr:nvSpPr>
      <xdr:spPr>
        <a:xfrm>
          <a:off x="35557713" y="26657164"/>
          <a:ext cx="986960" cy="32146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51</xdr:col>
      <xdr:colOff>189010</xdr:colOff>
      <xdr:row>137</xdr:row>
      <xdr:rowOff>31217</xdr:rowOff>
    </xdr:from>
    <xdr:to>
      <xdr:col>52</xdr:col>
      <xdr:colOff>67563</xdr:colOff>
      <xdr:row>139</xdr:row>
      <xdr:rowOff>39551</xdr:rowOff>
    </xdr:to>
    <xdr:cxnSp macro="">
      <xdr:nvCxnSpPr>
        <xdr:cNvPr id="337" name="Straight Arrow Connector 336">
          <a:extLst>
            <a:ext uri="{FF2B5EF4-FFF2-40B4-BE49-F238E27FC236}">
              <a16:creationId xmlns:a16="http://schemas.microsoft.com/office/drawing/2014/main" id="{FAC61064-379A-454A-A5AF-BC600DA6AC50}"/>
            </a:ext>
          </a:extLst>
        </xdr:cNvPr>
        <xdr:cNvCxnSpPr>
          <a:stCxn id="334" idx="3"/>
          <a:endCxn id="335" idx="1"/>
        </xdr:cNvCxnSpPr>
      </xdr:nvCxnSpPr>
      <xdr:spPr>
        <a:xfrm flipV="1">
          <a:off x="35060035" y="26129717"/>
          <a:ext cx="488153" cy="38933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51</xdr:col>
      <xdr:colOff>189010</xdr:colOff>
      <xdr:row>139</xdr:row>
      <xdr:rowOff>39551</xdr:rowOff>
    </xdr:from>
    <xdr:to>
      <xdr:col>52</xdr:col>
      <xdr:colOff>77088</xdr:colOff>
      <xdr:row>140</xdr:row>
      <xdr:rowOff>147898</xdr:rowOff>
    </xdr:to>
    <xdr:cxnSp macro="">
      <xdr:nvCxnSpPr>
        <xdr:cNvPr id="338" name="Straight Arrow Connector 337">
          <a:extLst>
            <a:ext uri="{FF2B5EF4-FFF2-40B4-BE49-F238E27FC236}">
              <a16:creationId xmlns:a16="http://schemas.microsoft.com/office/drawing/2014/main" id="{ED0CFCC5-8F20-4F6B-8818-49860E78B894}"/>
            </a:ext>
          </a:extLst>
        </xdr:cNvPr>
        <xdr:cNvCxnSpPr>
          <a:stCxn id="334" idx="3"/>
          <a:endCxn id="336" idx="1"/>
        </xdr:cNvCxnSpPr>
      </xdr:nvCxnSpPr>
      <xdr:spPr>
        <a:xfrm>
          <a:off x="35060035" y="26519051"/>
          <a:ext cx="497678" cy="29884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215779</xdr:colOff>
      <xdr:row>139</xdr:row>
      <xdr:rowOff>161705</xdr:rowOff>
    </xdr:from>
    <xdr:to>
      <xdr:col>55</xdr:col>
      <xdr:colOff>510287</xdr:colOff>
      <xdr:row>141</xdr:row>
      <xdr:rowOff>140273</xdr:rowOff>
    </xdr:to>
    <xdr:sp macro="" textlink="">
      <xdr:nvSpPr>
        <xdr:cNvPr id="339" name="Rectangle: Rounded Corners 338">
          <a:extLst>
            <a:ext uri="{FF2B5EF4-FFF2-40B4-BE49-F238E27FC236}">
              <a16:creationId xmlns:a16="http://schemas.microsoft.com/office/drawing/2014/main" id="{611E1A74-5EE4-4CDD-A91D-15A177890964}"/>
            </a:ext>
          </a:extLst>
        </xdr:cNvPr>
        <xdr:cNvSpPr/>
      </xdr:nvSpPr>
      <xdr:spPr>
        <a:xfrm>
          <a:off x="36915604" y="26641205"/>
          <a:ext cx="904108"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53</xdr:col>
      <xdr:colOff>454448</xdr:colOff>
      <xdr:row>140</xdr:row>
      <xdr:rowOff>147898</xdr:rowOff>
    </xdr:from>
    <xdr:to>
      <xdr:col>54</xdr:col>
      <xdr:colOff>215779</xdr:colOff>
      <xdr:row>140</xdr:row>
      <xdr:rowOff>150989</xdr:rowOff>
    </xdr:to>
    <xdr:cxnSp macro="">
      <xdr:nvCxnSpPr>
        <xdr:cNvPr id="340" name="Straight Arrow Connector 339">
          <a:extLst>
            <a:ext uri="{FF2B5EF4-FFF2-40B4-BE49-F238E27FC236}">
              <a16:creationId xmlns:a16="http://schemas.microsoft.com/office/drawing/2014/main" id="{87EEA421-0ACA-4B20-9AC3-C6F3530EA193}"/>
            </a:ext>
          </a:extLst>
        </xdr:cNvPr>
        <xdr:cNvCxnSpPr>
          <a:stCxn id="336" idx="3"/>
          <a:endCxn id="339" idx="1"/>
        </xdr:cNvCxnSpPr>
      </xdr:nvCxnSpPr>
      <xdr:spPr>
        <a:xfrm>
          <a:off x="36544673" y="26817898"/>
          <a:ext cx="370931"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52</xdr:col>
      <xdr:colOff>562794</xdr:colOff>
      <xdr:row>134</xdr:row>
      <xdr:rowOff>142874</xdr:rowOff>
    </xdr:from>
    <xdr:to>
      <xdr:col>52</xdr:col>
      <xdr:colOff>568750</xdr:colOff>
      <xdr:row>136</xdr:row>
      <xdr:rowOff>65362</xdr:rowOff>
    </xdr:to>
    <xdr:cxnSp macro="">
      <xdr:nvCxnSpPr>
        <xdr:cNvPr id="341" name="Straight Arrow Connector 340">
          <a:extLst>
            <a:ext uri="{FF2B5EF4-FFF2-40B4-BE49-F238E27FC236}">
              <a16:creationId xmlns:a16="http://schemas.microsoft.com/office/drawing/2014/main" id="{8E2DC645-9542-4504-BCD9-BE032459733B}"/>
            </a:ext>
          </a:extLst>
        </xdr:cNvPr>
        <xdr:cNvCxnSpPr>
          <a:stCxn id="335" idx="0"/>
          <a:endCxn id="342" idx="2"/>
        </xdr:cNvCxnSpPr>
      </xdr:nvCxnSpPr>
      <xdr:spPr>
        <a:xfrm flipV="1">
          <a:off x="36043419" y="25669874"/>
          <a:ext cx="5956" cy="303488"/>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50</xdr:col>
      <xdr:colOff>342559</xdr:colOff>
      <xdr:row>129</xdr:row>
      <xdr:rowOff>124481</xdr:rowOff>
    </xdr:from>
    <xdr:to>
      <xdr:col>55</xdr:col>
      <xdr:colOff>181839</xdr:colOff>
      <xdr:row>134</xdr:row>
      <xdr:rowOff>142874</xdr:rowOff>
    </xdr:to>
    <xdr:sp macro="" textlink="">
      <xdr:nvSpPr>
        <xdr:cNvPr id="342" name="Rectangle: Rounded Corners 341">
          <a:extLst>
            <a:ext uri="{FF2B5EF4-FFF2-40B4-BE49-F238E27FC236}">
              <a16:creationId xmlns:a16="http://schemas.microsoft.com/office/drawing/2014/main" id="{58D3593C-B92B-4DF0-8C25-F18C832C5B2A}"/>
            </a:ext>
          </a:extLst>
        </xdr:cNvPr>
        <xdr:cNvSpPr/>
      </xdr:nvSpPr>
      <xdr:spPr>
        <a:xfrm>
          <a:off x="34603984" y="24698981"/>
          <a:ext cx="2887280" cy="970893"/>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53</xdr:col>
      <xdr:colOff>444923</xdr:colOff>
      <xdr:row>137</xdr:row>
      <xdr:rowOff>29013</xdr:rowOff>
    </xdr:from>
    <xdr:to>
      <xdr:col>57</xdr:col>
      <xdr:colOff>112644</xdr:colOff>
      <xdr:row>137</xdr:row>
      <xdr:rowOff>31217</xdr:rowOff>
    </xdr:to>
    <xdr:cxnSp macro="">
      <xdr:nvCxnSpPr>
        <xdr:cNvPr id="343" name="Straight Arrow Connector 342">
          <a:extLst>
            <a:ext uri="{FF2B5EF4-FFF2-40B4-BE49-F238E27FC236}">
              <a16:creationId xmlns:a16="http://schemas.microsoft.com/office/drawing/2014/main" id="{3628D130-DD34-4362-93BA-70322FD564EB}"/>
            </a:ext>
          </a:extLst>
        </xdr:cNvPr>
        <xdr:cNvCxnSpPr>
          <a:stCxn id="335" idx="3"/>
          <a:endCxn id="344" idx="1"/>
        </xdr:cNvCxnSpPr>
      </xdr:nvCxnSpPr>
      <xdr:spPr>
        <a:xfrm flipV="1">
          <a:off x="36535148" y="26127513"/>
          <a:ext cx="2106121" cy="220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57</xdr:col>
      <xdr:colOff>112644</xdr:colOff>
      <xdr:row>135</xdr:row>
      <xdr:rowOff>120979</xdr:rowOff>
    </xdr:from>
    <xdr:to>
      <xdr:col>61</xdr:col>
      <xdr:colOff>189282</xdr:colOff>
      <xdr:row>138</xdr:row>
      <xdr:rowOff>131927</xdr:rowOff>
    </xdr:to>
    <xdr:sp macro="" textlink="">
      <xdr:nvSpPr>
        <xdr:cNvPr id="344" name="Rectangle: Rounded Corners 343">
          <a:extLst>
            <a:ext uri="{FF2B5EF4-FFF2-40B4-BE49-F238E27FC236}">
              <a16:creationId xmlns:a16="http://schemas.microsoft.com/office/drawing/2014/main" id="{3678EFA0-8DDB-429D-A0CC-73F1EBFD04BD}"/>
            </a:ext>
          </a:extLst>
        </xdr:cNvPr>
        <xdr:cNvSpPr/>
      </xdr:nvSpPr>
      <xdr:spPr>
        <a:xfrm>
          <a:off x="38641269" y="25838479"/>
          <a:ext cx="2515038"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62</xdr:col>
      <xdr:colOff>149675</xdr:colOff>
      <xdr:row>131</xdr:row>
      <xdr:rowOff>164770</xdr:rowOff>
    </xdr:from>
    <xdr:to>
      <xdr:col>64</xdr:col>
      <xdr:colOff>189280</xdr:colOff>
      <xdr:row>135</xdr:row>
      <xdr:rowOff>88132</xdr:rowOff>
    </xdr:to>
    <xdr:sp macro="" textlink="">
      <xdr:nvSpPr>
        <xdr:cNvPr id="345" name="Rectangle: Rounded Corners 344">
          <a:extLst>
            <a:ext uri="{FF2B5EF4-FFF2-40B4-BE49-F238E27FC236}">
              <a16:creationId xmlns:a16="http://schemas.microsoft.com/office/drawing/2014/main" id="{6AAD2C96-2BE3-4FA4-8C85-1C4B9F7B0B6C}"/>
            </a:ext>
          </a:extLst>
        </xdr:cNvPr>
        <xdr:cNvSpPr/>
      </xdr:nvSpPr>
      <xdr:spPr>
        <a:xfrm>
          <a:off x="41726300" y="25120270"/>
          <a:ext cx="1258805" cy="68536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62</xdr:col>
      <xdr:colOff>159747</xdr:colOff>
      <xdr:row>137</xdr:row>
      <xdr:rowOff>87256</xdr:rowOff>
    </xdr:from>
    <xdr:to>
      <xdr:col>64</xdr:col>
      <xdr:colOff>199352</xdr:colOff>
      <xdr:row>140</xdr:row>
      <xdr:rowOff>6239</xdr:rowOff>
    </xdr:to>
    <xdr:sp macro="" textlink="">
      <xdr:nvSpPr>
        <xdr:cNvPr id="346" name="Rectangle: Rounded Corners 345">
          <a:extLst>
            <a:ext uri="{FF2B5EF4-FFF2-40B4-BE49-F238E27FC236}">
              <a16:creationId xmlns:a16="http://schemas.microsoft.com/office/drawing/2014/main" id="{0B57C0E5-FCD0-4C54-89B2-9D77AD22AA8C}"/>
            </a:ext>
          </a:extLst>
        </xdr:cNvPr>
        <xdr:cNvSpPr/>
      </xdr:nvSpPr>
      <xdr:spPr>
        <a:xfrm>
          <a:off x="41736372" y="26185756"/>
          <a:ext cx="1258805" cy="490483"/>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61</xdr:col>
      <xdr:colOff>189282</xdr:colOff>
      <xdr:row>134</xdr:row>
      <xdr:rowOff>29012</xdr:rowOff>
    </xdr:from>
    <xdr:to>
      <xdr:col>62</xdr:col>
      <xdr:colOff>149675</xdr:colOff>
      <xdr:row>137</xdr:row>
      <xdr:rowOff>29013</xdr:rowOff>
    </xdr:to>
    <xdr:cxnSp macro="">
      <xdr:nvCxnSpPr>
        <xdr:cNvPr id="347" name="Straight Arrow Connector 346">
          <a:extLst>
            <a:ext uri="{FF2B5EF4-FFF2-40B4-BE49-F238E27FC236}">
              <a16:creationId xmlns:a16="http://schemas.microsoft.com/office/drawing/2014/main" id="{2253B61F-8258-4EC4-BACC-389321CFCCA1}"/>
            </a:ext>
          </a:extLst>
        </xdr:cNvPr>
        <xdr:cNvCxnSpPr>
          <a:stCxn id="344" idx="3"/>
          <a:endCxn id="345" idx="1"/>
        </xdr:cNvCxnSpPr>
      </xdr:nvCxnSpPr>
      <xdr:spPr>
        <a:xfrm flipV="1">
          <a:off x="41156307" y="25556012"/>
          <a:ext cx="569993" cy="5715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61</xdr:col>
      <xdr:colOff>189282</xdr:colOff>
      <xdr:row>137</xdr:row>
      <xdr:rowOff>29013</xdr:rowOff>
    </xdr:from>
    <xdr:to>
      <xdr:col>62</xdr:col>
      <xdr:colOff>159747</xdr:colOff>
      <xdr:row>138</xdr:row>
      <xdr:rowOff>141998</xdr:rowOff>
    </xdr:to>
    <xdr:cxnSp macro="">
      <xdr:nvCxnSpPr>
        <xdr:cNvPr id="348" name="Straight Arrow Connector 347">
          <a:extLst>
            <a:ext uri="{FF2B5EF4-FFF2-40B4-BE49-F238E27FC236}">
              <a16:creationId xmlns:a16="http://schemas.microsoft.com/office/drawing/2014/main" id="{E5FED46C-D4B0-4369-9FAA-B33A16C0F396}"/>
            </a:ext>
          </a:extLst>
        </xdr:cNvPr>
        <xdr:cNvCxnSpPr>
          <a:stCxn id="344" idx="3"/>
          <a:endCxn id="346" idx="1"/>
        </xdr:cNvCxnSpPr>
      </xdr:nvCxnSpPr>
      <xdr:spPr>
        <a:xfrm>
          <a:off x="41156307" y="26127513"/>
          <a:ext cx="580065" cy="30348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65</xdr:col>
      <xdr:colOff>126026</xdr:colOff>
      <xdr:row>131</xdr:row>
      <xdr:rowOff>163017</xdr:rowOff>
    </xdr:from>
    <xdr:to>
      <xdr:col>67</xdr:col>
      <xdr:colOff>165632</xdr:colOff>
      <xdr:row>135</xdr:row>
      <xdr:rowOff>86379</xdr:rowOff>
    </xdr:to>
    <xdr:sp macro="" textlink="">
      <xdr:nvSpPr>
        <xdr:cNvPr id="349" name="Rectangle: Rounded Corners 348">
          <a:extLst>
            <a:ext uri="{FF2B5EF4-FFF2-40B4-BE49-F238E27FC236}">
              <a16:creationId xmlns:a16="http://schemas.microsoft.com/office/drawing/2014/main" id="{FD82DAA2-3D2F-45E4-A6CB-791D0BE586B1}"/>
            </a:ext>
          </a:extLst>
        </xdr:cNvPr>
        <xdr:cNvSpPr/>
      </xdr:nvSpPr>
      <xdr:spPr>
        <a:xfrm>
          <a:off x="43531451" y="25118517"/>
          <a:ext cx="1258806" cy="685362"/>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65</xdr:col>
      <xdr:colOff>114201</xdr:colOff>
      <xdr:row>137</xdr:row>
      <xdr:rowOff>85504</xdr:rowOff>
    </xdr:from>
    <xdr:to>
      <xdr:col>67</xdr:col>
      <xdr:colOff>153807</xdr:colOff>
      <xdr:row>140</xdr:row>
      <xdr:rowOff>4487</xdr:rowOff>
    </xdr:to>
    <xdr:sp macro="" textlink="">
      <xdr:nvSpPr>
        <xdr:cNvPr id="350" name="Rectangle: Rounded Corners 349">
          <a:extLst>
            <a:ext uri="{FF2B5EF4-FFF2-40B4-BE49-F238E27FC236}">
              <a16:creationId xmlns:a16="http://schemas.microsoft.com/office/drawing/2014/main" id="{BB990285-A1A9-42CC-8B1A-A7DB27E9F8FA}"/>
            </a:ext>
          </a:extLst>
        </xdr:cNvPr>
        <xdr:cNvSpPr/>
      </xdr:nvSpPr>
      <xdr:spPr>
        <a:xfrm>
          <a:off x="43519626" y="26184004"/>
          <a:ext cx="1258806" cy="490483"/>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64</xdr:col>
      <xdr:colOff>189280</xdr:colOff>
      <xdr:row>134</xdr:row>
      <xdr:rowOff>27259</xdr:rowOff>
    </xdr:from>
    <xdr:to>
      <xdr:col>65</xdr:col>
      <xdr:colOff>126026</xdr:colOff>
      <xdr:row>134</xdr:row>
      <xdr:rowOff>29012</xdr:rowOff>
    </xdr:to>
    <xdr:cxnSp macro="">
      <xdr:nvCxnSpPr>
        <xdr:cNvPr id="351" name="Straight Arrow Connector 350">
          <a:extLst>
            <a:ext uri="{FF2B5EF4-FFF2-40B4-BE49-F238E27FC236}">
              <a16:creationId xmlns:a16="http://schemas.microsoft.com/office/drawing/2014/main" id="{D6E10A6D-CA25-4CDA-90DC-A53B59CBD9A7}"/>
            </a:ext>
          </a:extLst>
        </xdr:cNvPr>
        <xdr:cNvCxnSpPr>
          <a:stCxn id="345" idx="3"/>
          <a:endCxn id="349" idx="1"/>
        </xdr:cNvCxnSpPr>
      </xdr:nvCxnSpPr>
      <xdr:spPr>
        <a:xfrm flipV="1">
          <a:off x="42985105" y="25554259"/>
          <a:ext cx="546346"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64</xdr:col>
      <xdr:colOff>199352</xdr:colOff>
      <xdr:row>138</xdr:row>
      <xdr:rowOff>140246</xdr:rowOff>
    </xdr:from>
    <xdr:to>
      <xdr:col>65</xdr:col>
      <xdr:colOff>114201</xdr:colOff>
      <xdr:row>138</xdr:row>
      <xdr:rowOff>141998</xdr:rowOff>
    </xdr:to>
    <xdr:cxnSp macro="">
      <xdr:nvCxnSpPr>
        <xdr:cNvPr id="352" name="Straight Arrow Connector 351">
          <a:extLst>
            <a:ext uri="{FF2B5EF4-FFF2-40B4-BE49-F238E27FC236}">
              <a16:creationId xmlns:a16="http://schemas.microsoft.com/office/drawing/2014/main" id="{EF163AC9-E0A2-48C5-9F0C-46B32F65BBAE}"/>
            </a:ext>
          </a:extLst>
        </xdr:cNvPr>
        <xdr:cNvCxnSpPr>
          <a:stCxn id="346" idx="3"/>
          <a:endCxn id="350" idx="1"/>
        </xdr:cNvCxnSpPr>
      </xdr:nvCxnSpPr>
      <xdr:spPr>
        <a:xfrm flipV="1">
          <a:off x="42995177" y="26429246"/>
          <a:ext cx="524449"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25</xdr:col>
      <xdr:colOff>323069</xdr:colOff>
      <xdr:row>136</xdr:row>
      <xdr:rowOff>35719</xdr:rowOff>
    </xdr:from>
    <xdr:to>
      <xdr:col>28</xdr:col>
      <xdr:colOff>406194</xdr:colOff>
      <xdr:row>141</xdr:row>
      <xdr:rowOff>130969</xdr:rowOff>
    </xdr:to>
    <xdr:sp macro="" textlink="">
      <xdr:nvSpPr>
        <xdr:cNvPr id="353" name="Rectangle: Rounded Corners 352">
          <a:extLst>
            <a:ext uri="{FF2B5EF4-FFF2-40B4-BE49-F238E27FC236}">
              <a16:creationId xmlns:a16="http://schemas.microsoft.com/office/drawing/2014/main" id="{A1156461-A873-484A-B643-D61A48A9DD83}"/>
            </a:ext>
          </a:extLst>
        </xdr:cNvPr>
        <xdr:cNvSpPr/>
      </xdr:nvSpPr>
      <xdr:spPr>
        <a:xfrm>
          <a:off x="19344494" y="25943719"/>
          <a:ext cx="1911925" cy="104775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estimation/renewability</a:t>
          </a:r>
          <a:endParaRPr lang="en-ID" sz="1100" baseline="0"/>
        </a:p>
        <a:p>
          <a:pPr algn="ctr"/>
          <a:r>
            <a:rPr lang="en-ID" sz="1100" baseline="0"/>
            <a:t>Estimasi masa manfaat/pembaharuan aset</a:t>
          </a:r>
          <a:endParaRPr lang="en-ID" sz="1100"/>
        </a:p>
      </xdr:txBody>
    </xdr:sp>
    <xdr:clientData/>
  </xdr:twoCellAnchor>
  <xdr:twoCellAnchor>
    <xdr:from>
      <xdr:col>28</xdr:col>
      <xdr:colOff>406194</xdr:colOff>
      <xdr:row>131</xdr:row>
      <xdr:rowOff>86162</xdr:rowOff>
    </xdr:from>
    <xdr:to>
      <xdr:col>29</xdr:col>
      <xdr:colOff>235400</xdr:colOff>
      <xdr:row>138</xdr:row>
      <xdr:rowOff>178594</xdr:rowOff>
    </xdr:to>
    <xdr:cxnSp macro="">
      <xdr:nvCxnSpPr>
        <xdr:cNvPr id="354" name="Straight Arrow Connector 353">
          <a:extLst>
            <a:ext uri="{FF2B5EF4-FFF2-40B4-BE49-F238E27FC236}">
              <a16:creationId xmlns:a16="http://schemas.microsoft.com/office/drawing/2014/main" id="{EFA162D0-C09D-467B-85C2-E66DF7A2DC22}"/>
            </a:ext>
          </a:extLst>
        </xdr:cNvPr>
        <xdr:cNvCxnSpPr>
          <a:stCxn id="353" idx="3"/>
          <a:endCxn id="355" idx="1"/>
        </xdr:cNvCxnSpPr>
      </xdr:nvCxnSpPr>
      <xdr:spPr>
        <a:xfrm flipV="1">
          <a:off x="21256419" y="25041662"/>
          <a:ext cx="438806" cy="142593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235400</xdr:colOff>
      <xdr:row>130</xdr:row>
      <xdr:rowOff>58791</xdr:rowOff>
    </xdr:from>
    <xdr:to>
      <xdr:col>31</xdr:col>
      <xdr:colOff>222126</xdr:colOff>
      <xdr:row>132</xdr:row>
      <xdr:rowOff>113533</xdr:rowOff>
    </xdr:to>
    <xdr:sp macro="" textlink="">
      <xdr:nvSpPr>
        <xdr:cNvPr id="355" name="Rectangle: Rounded Corners 354">
          <a:extLst>
            <a:ext uri="{FF2B5EF4-FFF2-40B4-BE49-F238E27FC236}">
              <a16:creationId xmlns:a16="http://schemas.microsoft.com/office/drawing/2014/main" id="{57F9EB9B-D23E-4C4B-B234-2DDE71FA0F7D}"/>
            </a:ext>
          </a:extLst>
        </xdr:cNvPr>
        <xdr:cNvSpPr/>
      </xdr:nvSpPr>
      <xdr:spPr>
        <a:xfrm>
          <a:off x="21695225" y="24823791"/>
          <a:ext cx="1205926" cy="43574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31</xdr:col>
      <xdr:colOff>555174</xdr:colOff>
      <xdr:row>130</xdr:row>
      <xdr:rowOff>58791</xdr:rowOff>
    </xdr:from>
    <xdr:to>
      <xdr:col>34</xdr:col>
      <xdr:colOff>72355</xdr:colOff>
      <xdr:row>132</xdr:row>
      <xdr:rowOff>124480</xdr:rowOff>
    </xdr:to>
    <xdr:sp macro="" textlink="">
      <xdr:nvSpPr>
        <xdr:cNvPr id="356" name="Rectangle: Rounded Corners 355">
          <a:extLst>
            <a:ext uri="{FF2B5EF4-FFF2-40B4-BE49-F238E27FC236}">
              <a16:creationId xmlns:a16="http://schemas.microsoft.com/office/drawing/2014/main" id="{D0499ACF-90C5-4BB3-91A7-D63F81491C07}"/>
            </a:ext>
          </a:extLst>
        </xdr:cNvPr>
        <xdr:cNvSpPr/>
      </xdr:nvSpPr>
      <xdr:spPr>
        <a:xfrm>
          <a:off x="23234199" y="24823791"/>
          <a:ext cx="1345981" cy="44668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29</xdr:col>
      <xdr:colOff>234743</xdr:colOff>
      <xdr:row>137</xdr:row>
      <xdr:rowOff>77186</xdr:rowOff>
    </xdr:from>
    <xdr:to>
      <xdr:col>33</xdr:col>
      <xdr:colOff>233074</xdr:colOff>
      <xdr:row>141</xdr:row>
      <xdr:rowOff>7117</xdr:rowOff>
    </xdr:to>
    <xdr:sp macro="" textlink="">
      <xdr:nvSpPr>
        <xdr:cNvPr id="357" name="Rectangle: Rounded Corners 356">
          <a:extLst>
            <a:ext uri="{FF2B5EF4-FFF2-40B4-BE49-F238E27FC236}">
              <a16:creationId xmlns:a16="http://schemas.microsoft.com/office/drawing/2014/main" id="{CF7859E1-CDAC-4681-B303-0CB27C42EA5C}"/>
            </a:ext>
          </a:extLst>
        </xdr:cNvPr>
        <xdr:cNvSpPr/>
      </xdr:nvSpPr>
      <xdr:spPr>
        <a:xfrm>
          <a:off x="21694568" y="26175686"/>
          <a:ext cx="2436731" cy="6919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28</xdr:col>
      <xdr:colOff>406194</xdr:colOff>
      <xdr:row>138</xdr:row>
      <xdr:rowOff>178594</xdr:rowOff>
    </xdr:from>
    <xdr:to>
      <xdr:col>29</xdr:col>
      <xdr:colOff>234743</xdr:colOff>
      <xdr:row>139</xdr:row>
      <xdr:rowOff>42152</xdr:rowOff>
    </xdr:to>
    <xdr:cxnSp macro="">
      <xdr:nvCxnSpPr>
        <xdr:cNvPr id="358" name="Straight Arrow Connector 357">
          <a:extLst>
            <a:ext uri="{FF2B5EF4-FFF2-40B4-BE49-F238E27FC236}">
              <a16:creationId xmlns:a16="http://schemas.microsoft.com/office/drawing/2014/main" id="{34071FBE-D6B1-4B5E-934A-97051BC2C666}"/>
            </a:ext>
          </a:extLst>
        </xdr:cNvPr>
        <xdr:cNvCxnSpPr>
          <a:stCxn id="353" idx="3"/>
          <a:endCxn id="357" idx="1"/>
        </xdr:cNvCxnSpPr>
      </xdr:nvCxnSpPr>
      <xdr:spPr>
        <a:xfrm>
          <a:off x="21256419" y="26467594"/>
          <a:ext cx="438149" cy="54058"/>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34</xdr:col>
      <xdr:colOff>389855</xdr:colOff>
      <xdr:row>136</xdr:row>
      <xdr:rowOff>168273</xdr:rowOff>
    </xdr:from>
    <xdr:to>
      <xdr:col>38</xdr:col>
      <xdr:colOff>499338</xdr:colOff>
      <xdr:row>141</xdr:row>
      <xdr:rowOff>102584</xdr:rowOff>
    </xdr:to>
    <xdr:sp macro="" textlink="">
      <xdr:nvSpPr>
        <xdr:cNvPr id="359" name="Rectangle: Rounded Corners 358">
          <a:extLst>
            <a:ext uri="{FF2B5EF4-FFF2-40B4-BE49-F238E27FC236}">
              <a16:creationId xmlns:a16="http://schemas.microsoft.com/office/drawing/2014/main" id="{1BF3216E-235B-4B28-8151-6CB9398FE12C}"/>
            </a:ext>
          </a:extLst>
        </xdr:cNvPr>
        <xdr:cNvSpPr/>
      </xdr:nvSpPr>
      <xdr:spPr>
        <a:xfrm>
          <a:off x="24897680" y="26076273"/>
          <a:ext cx="2547883" cy="88681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D" sz="1100">
              <a:solidFill>
                <a:schemeClr val="lt1"/>
              </a:solidFill>
              <a:effectLst/>
              <a:latin typeface="+mn-lt"/>
              <a:ea typeface="+mn-ea"/>
              <a:cs typeface="+mn-cs"/>
            </a:rPr>
            <a:t>Is this a newly acquired asset?</a:t>
          </a:r>
          <a:endParaRPr lang="en-ID">
            <a:effectLst/>
          </a:endParaRPr>
        </a:p>
        <a:p>
          <a:r>
            <a:rPr lang="en-ID" sz="1100" b="0" i="0">
              <a:solidFill>
                <a:schemeClr val="lt1"/>
              </a:solidFill>
              <a:effectLst/>
              <a:latin typeface="+mn-lt"/>
              <a:ea typeface="+mn-ea"/>
              <a:cs typeface="+mn-cs"/>
            </a:rPr>
            <a:t>Apakah ini aset baru?</a:t>
          </a:r>
          <a:endParaRPr lang="en-ID">
            <a:effectLst/>
          </a:endParaRPr>
        </a:p>
      </xdr:txBody>
    </xdr:sp>
    <xdr:clientData/>
  </xdr:twoCellAnchor>
  <xdr:twoCellAnchor>
    <xdr:from>
      <xdr:col>33</xdr:col>
      <xdr:colOff>233074</xdr:colOff>
      <xdr:row>139</xdr:row>
      <xdr:rowOff>37989</xdr:rowOff>
    </xdr:from>
    <xdr:to>
      <xdr:col>34</xdr:col>
      <xdr:colOff>389855</xdr:colOff>
      <xdr:row>139</xdr:row>
      <xdr:rowOff>39963</xdr:rowOff>
    </xdr:to>
    <xdr:cxnSp macro="">
      <xdr:nvCxnSpPr>
        <xdr:cNvPr id="360" name="Straight Arrow Connector 359">
          <a:extLst>
            <a:ext uri="{FF2B5EF4-FFF2-40B4-BE49-F238E27FC236}">
              <a16:creationId xmlns:a16="http://schemas.microsoft.com/office/drawing/2014/main" id="{A2689254-C12E-4B52-887F-8A76DBCE673A}"/>
            </a:ext>
          </a:extLst>
        </xdr:cNvPr>
        <xdr:cNvCxnSpPr>
          <a:stCxn id="357" idx="3"/>
          <a:endCxn id="359" idx="1"/>
        </xdr:cNvCxnSpPr>
      </xdr:nvCxnSpPr>
      <xdr:spPr>
        <a:xfrm flipV="1">
          <a:off x="24131299" y="26517489"/>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144610</xdr:colOff>
      <xdr:row>137</xdr:row>
      <xdr:rowOff>168274</xdr:rowOff>
    </xdr:from>
    <xdr:to>
      <xdr:col>42</xdr:col>
      <xdr:colOff>122715</xdr:colOff>
      <xdr:row>140</xdr:row>
      <xdr:rowOff>92728</xdr:rowOff>
    </xdr:to>
    <xdr:sp macro="" textlink="">
      <xdr:nvSpPr>
        <xdr:cNvPr id="361" name="Rectangle: Rounded Corners 360">
          <a:extLst>
            <a:ext uri="{FF2B5EF4-FFF2-40B4-BE49-F238E27FC236}">
              <a16:creationId xmlns:a16="http://schemas.microsoft.com/office/drawing/2014/main" id="{622F7A65-B39C-40DA-BB53-A36A5A4E9719}"/>
            </a:ext>
          </a:extLst>
        </xdr:cNvPr>
        <xdr:cNvSpPr/>
      </xdr:nvSpPr>
      <xdr:spPr>
        <a:xfrm>
          <a:off x="28310035" y="26266774"/>
          <a:ext cx="1197305"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38</xdr:col>
      <xdr:colOff>499338</xdr:colOff>
      <xdr:row>139</xdr:row>
      <xdr:rowOff>33062</xdr:rowOff>
    </xdr:from>
    <xdr:to>
      <xdr:col>40</xdr:col>
      <xdr:colOff>144610</xdr:colOff>
      <xdr:row>139</xdr:row>
      <xdr:rowOff>37989</xdr:rowOff>
    </xdr:to>
    <xdr:cxnSp macro="">
      <xdr:nvCxnSpPr>
        <xdr:cNvPr id="362" name="Straight Arrow Connector 361">
          <a:extLst>
            <a:ext uri="{FF2B5EF4-FFF2-40B4-BE49-F238E27FC236}">
              <a16:creationId xmlns:a16="http://schemas.microsoft.com/office/drawing/2014/main" id="{247608D4-79DB-4A99-82BF-553F07F89017}"/>
            </a:ext>
          </a:extLst>
        </xdr:cNvPr>
        <xdr:cNvCxnSpPr>
          <a:stCxn id="359" idx="3"/>
          <a:endCxn id="361" idx="1"/>
        </xdr:cNvCxnSpPr>
      </xdr:nvCxnSpPr>
      <xdr:spPr>
        <a:xfrm flipV="1">
          <a:off x="27445563" y="26512562"/>
          <a:ext cx="864472" cy="492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42</xdr:col>
      <xdr:colOff>122715</xdr:colOff>
      <xdr:row>139</xdr:row>
      <xdr:rowOff>33062</xdr:rowOff>
    </xdr:from>
    <xdr:to>
      <xdr:col>44</xdr:col>
      <xdr:colOff>72355</xdr:colOff>
      <xdr:row>139</xdr:row>
      <xdr:rowOff>39551</xdr:rowOff>
    </xdr:to>
    <xdr:cxnSp macro="">
      <xdr:nvCxnSpPr>
        <xdr:cNvPr id="363" name="Straight Arrow Connector 362">
          <a:extLst>
            <a:ext uri="{FF2B5EF4-FFF2-40B4-BE49-F238E27FC236}">
              <a16:creationId xmlns:a16="http://schemas.microsoft.com/office/drawing/2014/main" id="{D5450EF4-FAC4-4AB0-ADDB-5CB173673314}"/>
            </a:ext>
          </a:extLst>
        </xdr:cNvPr>
        <xdr:cNvCxnSpPr>
          <a:stCxn id="361" idx="3"/>
          <a:endCxn id="334" idx="1"/>
        </xdr:cNvCxnSpPr>
      </xdr:nvCxnSpPr>
      <xdr:spPr>
        <a:xfrm>
          <a:off x="29507340" y="26512562"/>
          <a:ext cx="1168840" cy="648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176579</xdr:colOff>
      <xdr:row>142</xdr:row>
      <xdr:rowOff>178347</xdr:rowOff>
    </xdr:from>
    <xdr:to>
      <xdr:col>42</xdr:col>
      <xdr:colOff>154684</xdr:colOff>
      <xdr:row>145</xdr:row>
      <xdr:rowOff>102801</xdr:rowOff>
    </xdr:to>
    <xdr:sp macro="" textlink="">
      <xdr:nvSpPr>
        <xdr:cNvPr id="364" name="Rectangle: Rounded Corners 363">
          <a:extLst>
            <a:ext uri="{FF2B5EF4-FFF2-40B4-BE49-F238E27FC236}">
              <a16:creationId xmlns:a16="http://schemas.microsoft.com/office/drawing/2014/main" id="{B07E0103-7159-471F-B7D0-B2A73A7F0033}"/>
            </a:ext>
          </a:extLst>
        </xdr:cNvPr>
        <xdr:cNvSpPr/>
      </xdr:nvSpPr>
      <xdr:spPr>
        <a:xfrm>
          <a:off x="28342004" y="27229347"/>
          <a:ext cx="1197305"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38</xdr:col>
      <xdr:colOff>499338</xdr:colOff>
      <xdr:row>139</xdr:row>
      <xdr:rowOff>37989</xdr:rowOff>
    </xdr:from>
    <xdr:to>
      <xdr:col>40</xdr:col>
      <xdr:colOff>176579</xdr:colOff>
      <xdr:row>144</xdr:row>
      <xdr:rowOff>43134</xdr:rowOff>
    </xdr:to>
    <xdr:cxnSp macro="">
      <xdr:nvCxnSpPr>
        <xdr:cNvPr id="365" name="Straight Arrow Connector 364">
          <a:extLst>
            <a:ext uri="{FF2B5EF4-FFF2-40B4-BE49-F238E27FC236}">
              <a16:creationId xmlns:a16="http://schemas.microsoft.com/office/drawing/2014/main" id="{22BB5945-C3E8-4089-8495-3594AECE24C0}"/>
            </a:ext>
          </a:extLst>
        </xdr:cNvPr>
        <xdr:cNvCxnSpPr>
          <a:stCxn id="359" idx="3"/>
          <a:endCxn id="364" idx="1"/>
        </xdr:cNvCxnSpPr>
      </xdr:nvCxnSpPr>
      <xdr:spPr>
        <a:xfrm>
          <a:off x="27445563" y="26517489"/>
          <a:ext cx="896441" cy="95764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42</xdr:col>
      <xdr:colOff>154684</xdr:colOff>
      <xdr:row>137</xdr:row>
      <xdr:rowOff>29013</xdr:rowOff>
    </xdr:from>
    <xdr:to>
      <xdr:col>57</xdr:col>
      <xdr:colOff>112644</xdr:colOff>
      <xdr:row>144</xdr:row>
      <xdr:rowOff>43134</xdr:rowOff>
    </xdr:to>
    <xdr:cxnSp macro="">
      <xdr:nvCxnSpPr>
        <xdr:cNvPr id="366" name="Connector: Elbow 365">
          <a:extLst>
            <a:ext uri="{FF2B5EF4-FFF2-40B4-BE49-F238E27FC236}">
              <a16:creationId xmlns:a16="http://schemas.microsoft.com/office/drawing/2014/main" id="{7CB9313E-2766-4474-AA0B-ACB6C6B53293}"/>
            </a:ext>
          </a:extLst>
        </xdr:cNvPr>
        <xdr:cNvCxnSpPr>
          <a:stCxn id="364" idx="3"/>
          <a:endCxn id="344" idx="1"/>
        </xdr:cNvCxnSpPr>
      </xdr:nvCxnSpPr>
      <xdr:spPr>
        <a:xfrm flipV="1">
          <a:off x="29539309" y="26127513"/>
          <a:ext cx="9101960" cy="1347621"/>
        </a:xfrm>
        <a:prstGeom prst="bentConnector3">
          <a:avLst>
            <a:gd name="adj1" fmla="val 96163"/>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46282</xdr:colOff>
      <xdr:row>129</xdr:row>
      <xdr:rowOff>92266</xdr:rowOff>
    </xdr:from>
    <xdr:to>
      <xdr:col>61</xdr:col>
      <xdr:colOff>155765</xdr:colOff>
      <xdr:row>129</xdr:row>
      <xdr:rowOff>103214</xdr:rowOff>
    </xdr:to>
    <xdr:cxnSp macro="">
      <xdr:nvCxnSpPr>
        <xdr:cNvPr id="367" name="Straight Connector 366">
          <a:extLst>
            <a:ext uri="{FF2B5EF4-FFF2-40B4-BE49-F238E27FC236}">
              <a16:creationId xmlns:a16="http://schemas.microsoft.com/office/drawing/2014/main" id="{8711C0AE-3A83-4ADB-8571-4DD2F1BEDBAA}"/>
            </a:ext>
          </a:extLst>
        </xdr:cNvPr>
        <xdr:cNvCxnSpPr/>
      </xdr:nvCxnSpPr>
      <xdr:spPr>
        <a:xfrm>
          <a:off x="3322882" y="24666766"/>
          <a:ext cx="37799908" cy="10948"/>
        </a:xfrm>
        <a:prstGeom prst="line">
          <a:avLst/>
        </a:prstGeom>
        <a:ln>
          <a:solidFill>
            <a:srgbClr val="FF0000"/>
          </a:solidFill>
          <a:prstDash val="sys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835679</xdr:colOff>
      <xdr:row>132</xdr:row>
      <xdr:rowOff>11905</xdr:rowOff>
    </xdr:from>
    <xdr:to>
      <xdr:col>18</xdr:col>
      <xdr:colOff>359429</xdr:colOff>
      <xdr:row>140</xdr:row>
      <xdr:rowOff>155740</xdr:rowOff>
    </xdr:to>
    <xdr:sp macro="" textlink="">
      <xdr:nvSpPr>
        <xdr:cNvPr id="368" name="Rectangle: Rounded Corners 367">
          <a:extLst>
            <a:ext uri="{FF2B5EF4-FFF2-40B4-BE49-F238E27FC236}">
              <a16:creationId xmlns:a16="http://schemas.microsoft.com/office/drawing/2014/main" id="{9161228E-A23F-4BE4-B1E2-099149CF6522}"/>
            </a:ext>
          </a:extLst>
        </xdr:cNvPr>
        <xdr:cNvSpPr/>
      </xdr:nvSpPr>
      <xdr:spPr>
        <a:xfrm>
          <a:off x="12780029" y="25157905"/>
          <a:ext cx="2228850" cy="1667835"/>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Is the transaction essential/can't be seperated for the operational of tangible</a:t>
          </a:r>
          <a:r>
            <a:rPr lang="en-ID" sz="1100" baseline="0"/>
            <a:t> asset (e.g machine, equipment,etc)</a:t>
          </a:r>
        </a:p>
        <a:p>
          <a:pPr algn="ctr"/>
          <a:endParaRPr lang="en-ID" sz="1100"/>
        </a:p>
        <a:p>
          <a:pPr algn="ctr"/>
          <a:r>
            <a:rPr lang="en-ID" sz="1100"/>
            <a:t>Apakah transaksi tersebut esensial/tidak dapat dipisahkan untuk operasional aset fisik (misalnya mesin, peralatan, dll)?</a:t>
          </a:r>
        </a:p>
      </xdr:txBody>
    </xdr:sp>
    <xdr:clientData/>
  </xdr:twoCellAnchor>
  <xdr:twoCellAnchor>
    <xdr:from>
      <xdr:col>19</xdr:col>
      <xdr:colOff>500468</xdr:colOff>
      <xdr:row>132</xdr:row>
      <xdr:rowOff>2277</xdr:rowOff>
    </xdr:from>
    <xdr:to>
      <xdr:col>21</xdr:col>
      <xdr:colOff>478573</xdr:colOff>
      <xdr:row>134</xdr:row>
      <xdr:rowOff>117231</xdr:rowOff>
    </xdr:to>
    <xdr:sp macro="" textlink="">
      <xdr:nvSpPr>
        <xdr:cNvPr id="369" name="Rectangle: Rounded Corners 368">
          <a:extLst>
            <a:ext uri="{FF2B5EF4-FFF2-40B4-BE49-F238E27FC236}">
              <a16:creationId xmlns:a16="http://schemas.microsoft.com/office/drawing/2014/main" id="{994094A5-68B9-417A-A957-770CDFCF09DB}"/>
            </a:ext>
          </a:extLst>
        </xdr:cNvPr>
        <xdr:cNvSpPr/>
      </xdr:nvSpPr>
      <xdr:spPr>
        <a:xfrm>
          <a:off x="15864293" y="25148277"/>
          <a:ext cx="1197305"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18</xdr:col>
      <xdr:colOff>359429</xdr:colOff>
      <xdr:row>133</xdr:row>
      <xdr:rowOff>59754</xdr:rowOff>
    </xdr:from>
    <xdr:to>
      <xdr:col>19</xdr:col>
      <xdr:colOff>500468</xdr:colOff>
      <xdr:row>136</xdr:row>
      <xdr:rowOff>83823</xdr:rowOff>
    </xdr:to>
    <xdr:cxnSp macro="">
      <xdr:nvCxnSpPr>
        <xdr:cNvPr id="370" name="Straight Arrow Connector 369">
          <a:extLst>
            <a:ext uri="{FF2B5EF4-FFF2-40B4-BE49-F238E27FC236}">
              <a16:creationId xmlns:a16="http://schemas.microsoft.com/office/drawing/2014/main" id="{9125FAE3-8822-4F5A-B96F-64568BD6BD86}"/>
            </a:ext>
          </a:extLst>
        </xdr:cNvPr>
        <xdr:cNvCxnSpPr>
          <a:stCxn id="368" idx="3"/>
          <a:endCxn id="369" idx="1"/>
        </xdr:cNvCxnSpPr>
      </xdr:nvCxnSpPr>
      <xdr:spPr>
        <a:xfrm flipV="1">
          <a:off x="15008879" y="25396254"/>
          <a:ext cx="855414" cy="59556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19</xdr:col>
      <xdr:colOff>532437</xdr:colOff>
      <xdr:row>137</xdr:row>
      <xdr:rowOff>119499</xdr:rowOff>
    </xdr:from>
    <xdr:to>
      <xdr:col>21</xdr:col>
      <xdr:colOff>510542</xdr:colOff>
      <xdr:row>140</xdr:row>
      <xdr:rowOff>43953</xdr:rowOff>
    </xdr:to>
    <xdr:sp macro="" textlink="">
      <xdr:nvSpPr>
        <xdr:cNvPr id="371" name="Rectangle: Rounded Corners 370">
          <a:extLst>
            <a:ext uri="{FF2B5EF4-FFF2-40B4-BE49-F238E27FC236}">
              <a16:creationId xmlns:a16="http://schemas.microsoft.com/office/drawing/2014/main" id="{59CCE7AF-CB8B-40A5-89DD-F9DEA1988F1A}"/>
            </a:ext>
          </a:extLst>
        </xdr:cNvPr>
        <xdr:cNvSpPr/>
      </xdr:nvSpPr>
      <xdr:spPr>
        <a:xfrm>
          <a:off x="15896262" y="26217999"/>
          <a:ext cx="1197305"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18</xdr:col>
      <xdr:colOff>359429</xdr:colOff>
      <xdr:row>136</xdr:row>
      <xdr:rowOff>83823</xdr:rowOff>
    </xdr:from>
    <xdr:to>
      <xdr:col>19</xdr:col>
      <xdr:colOff>532437</xdr:colOff>
      <xdr:row>138</xdr:row>
      <xdr:rowOff>176976</xdr:rowOff>
    </xdr:to>
    <xdr:cxnSp macro="">
      <xdr:nvCxnSpPr>
        <xdr:cNvPr id="372" name="Straight Arrow Connector 371">
          <a:extLst>
            <a:ext uri="{FF2B5EF4-FFF2-40B4-BE49-F238E27FC236}">
              <a16:creationId xmlns:a16="http://schemas.microsoft.com/office/drawing/2014/main" id="{1A3C3D41-063A-4B0F-A406-343A75AE3B28}"/>
            </a:ext>
          </a:extLst>
        </xdr:cNvPr>
        <xdr:cNvCxnSpPr>
          <a:stCxn id="368" idx="3"/>
          <a:endCxn id="371" idx="1"/>
        </xdr:cNvCxnSpPr>
      </xdr:nvCxnSpPr>
      <xdr:spPr>
        <a:xfrm>
          <a:off x="15008879" y="25991823"/>
          <a:ext cx="887383" cy="4741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21</xdr:col>
      <xdr:colOff>478573</xdr:colOff>
      <xdr:row>133</xdr:row>
      <xdr:rowOff>59532</xdr:rowOff>
    </xdr:from>
    <xdr:to>
      <xdr:col>22</xdr:col>
      <xdr:colOff>226079</xdr:colOff>
      <xdr:row>133</xdr:row>
      <xdr:rowOff>59754</xdr:rowOff>
    </xdr:to>
    <xdr:cxnSp macro="">
      <xdr:nvCxnSpPr>
        <xdr:cNvPr id="373" name="Straight Arrow Connector 372">
          <a:extLst>
            <a:ext uri="{FF2B5EF4-FFF2-40B4-BE49-F238E27FC236}">
              <a16:creationId xmlns:a16="http://schemas.microsoft.com/office/drawing/2014/main" id="{D19AEA50-E0C9-4D4A-AACA-60843F61797C}"/>
            </a:ext>
          </a:extLst>
        </xdr:cNvPr>
        <xdr:cNvCxnSpPr>
          <a:stCxn id="369" idx="3"/>
          <a:endCxn id="374" idx="1"/>
        </xdr:cNvCxnSpPr>
      </xdr:nvCxnSpPr>
      <xdr:spPr>
        <a:xfrm flipV="1">
          <a:off x="17061598" y="25396032"/>
          <a:ext cx="357106" cy="22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22</xdr:col>
      <xdr:colOff>226079</xdr:colOff>
      <xdr:row>131</xdr:row>
      <xdr:rowOff>83345</xdr:rowOff>
    </xdr:from>
    <xdr:to>
      <xdr:col>25</xdr:col>
      <xdr:colOff>595312</xdr:colOff>
      <xdr:row>135</xdr:row>
      <xdr:rowOff>35719</xdr:rowOff>
    </xdr:to>
    <xdr:sp macro="" textlink="">
      <xdr:nvSpPr>
        <xdr:cNvPr id="374" name="Rectangle: Rounded Corners 373">
          <a:extLst>
            <a:ext uri="{FF2B5EF4-FFF2-40B4-BE49-F238E27FC236}">
              <a16:creationId xmlns:a16="http://schemas.microsoft.com/office/drawing/2014/main" id="{7F3EE302-018E-49B2-BD45-A650F5F5823F}"/>
            </a:ext>
          </a:extLst>
        </xdr:cNvPr>
        <xdr:cNvSpPr/>
      </xdr:nvSpPr>
      <xdr:spPr>
        <a:xfrm>
          <a:off x="17418704" y="25038845"/>
          <a:ext cx="2198033" cy="714374"/>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Part of other asset type, please back to 1st question (apa tipe asetnya)</a:t>
          </a:r>
        </a:p>
      </xdr:txBody>
    </xdr:sp>
    <xdr:clientData/>
  </xdr:twoCellAnchor>
  <xdr:twoCellAnchor>
    <xdr:from>
      <xdr:col>21</xdr:col>
      <xdr:colOff>510542</xdr:colOff>
      <xdr:row>138</xdr:row>
      <xdr:rowOff>176976</xdr:rowOff>
    </xdr:from>
    <xdr:to>
      <xdr:col>25</xdr:col>
      <xdr:colOff>323069</xdr:colOff>
      <xdr:row>138</xdr:row>
      <xdr:rowOff>178594</xdr:rowOff>
    </xdr:to>
    <xdr:cxnSp macro="">
      <xdr:nvCxnSpPr>
        <xdr:cNvPr id="375" name="Straight Arrow Connector 374">
          <a:extLst>
            <a:ext uri="{FF2B5EF4-FFF2-40B4-BE49-F238E27FC236}">
              <a16:creationId xmlns:a16="http://schemas.microsoft.com/office/drawing/2014/main" id="{5A7E1C0D-B42E-46D5-AA8F-9C1EC729864A}"/>
            </a:ext>
          </a:extLst>
        </xdr:cNvPr>
        <xdr:cNvCxnSpPr>
          <a:stCxn id="371" idx="3"/>
          <a:endCxn id="353" idx="1"/>
        </xdr:cNvCxnSpPr>
      </xdr:nvCxnSpPr>
      <xdr:spPr>
        <a:xfrm>
          <a:off x="17093567" y="26465976"/>
          <a:ext cx="2250927" cy="1618"/>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72846</xdr:rowOff>
    </xdr:from>
    <xdr:to>
      <xdr:col>5</xdr:col>
      <xdr:colOff>114628</xdr:colOff>
      <xdr:row>141</xdr:row>
      <xdr:rowOff>65909</xdr:rowOff>
    </xdr:to>
    <xdr:cxnSp macro="">
      <xdr:nvCxnSpPr>
        <xdr:cNvPr id="376" name="Straight Arrow Connector 13">
          <a:extLst>
            <a:ext uri="{FF2B5EF4-FFF2-40B4-BE49-F238E27FC236}">
              <a16:creationId xmlns:a16="http://schemas.microsoft.com/office/drawing/2014/main" id="{6B185084-D345-4A82-9B7D-53C4CF321451}"/>
            </a:ext>
          </a:extLst>
        </xdr:cNvPr>
        <xdr:cNvCxnSpPr>
          <a:stCxn id="3" idx="3"/>
          <a:endCxn id="324" idx="1"/>
        </xdr:cNvCxnSpPr>
      </xdr:nvCxnSpPr>
      <xdr:spPr>
        <a:xfrm>
          <a:off x="2164556" y="2549346"/>
          <a:ext cx="1226672" cy="24377063"/>
        </a:xfrm>
        <a:prstGeom prst="bentConnector3">
          <a:avLst>
            <a:gd name="adj1" fmla="val 46102"/>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222126</xdr:colOff>
      <xdr:row>131</xdr:row>
      <xdr:rowOff>86162</xdr:rowOff>
    </xdr:from>
    <xdr:to>
      <xdr:col>31</xdr:col>
      <xdr:colOff>555174</xdr:colOff>
      <xdr:row>131</xdr:row>
      <xdr:rowOff>91636</xdr:rowOff>
    </xdr:to>
    <xdr:cxnSp macro="">
      <xdr:nvCxnSpPr>
        <xdr:cNvPr id="377" name="Straight Arrow Connector 376">
          <a:extLst>
            <a:ext uri="{FF2B5EF4-FFF2-40B4-BE49-F238E27FC236}">
              <a16:creationId xmlns:a16="http://schemas.microsoft.com/office/drawing/2014/main" id="{83F817DC-E627-4F5B-AC55-EB8809CA7EF3}"/>
            </a:ext>
          </a:extLst>
        </xdr:cNvPr>
        <xdr:cNvCxnSpPr>
          <a:stCxn id="355" idx="3"/>
          <a:endCxn id="356" idx="1"/>
        </xdr:cNvCxnSpPr>
      </xdr:nvCxnSpPr>
      <xdr:spPr>
        <a:xfrm>
          <a:off x="22901151" y="25041662"/>
          <a:ext cx="333048" cy="54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45</xdr:col>
      <xdr:colOff>440535</xdr:colOff>
      <xdr:row>42</xdr:row>
      <xdr:rowOff>130970</xdr:rowOff>
    </xdr:from>
    <xdr:to>
      <xdr:col>49</xdr:col>
      <xdr:colOff>517173</xdr:colOff>
      <xdr:row>47</xdr:row>
      <xdr:rowOff>178594</xdr:rowOff>
    </xdr:to>
    <xdr:sp macro="" textlink="">
      <xdr:nvSpPr>
        <xdr:cNvPr id="378" name="Rectangle: Rounded Corners 377">
          <a:extLst>
            <a:ext uri="{FF2B5EF4-FFF2-40B4-BE49-F238E27FC236}">
              <a16:creationId xmlns:a16="http://schemas.microsoft.com/office/drawing/2014/main" id="{F2B4D81A-9DAF-4D13-81F0-CA8CE4514743}"/>
            </a:ext>
          </a:extLst>
        </xdr:cNvPr>
        <xdr:cNvSpPr/>
      </xdr:nvSpPr>
      <xdr:spPr>
        <a:xfrm>
          <a:off x="31653960" y="8131970"/>
          <a:ext cx="2515038" cy="100012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Is the good immediately used in </a:t>
          </a:r>
          <a:r>
            <a:rPr lang="en-ID" sz="1100" baseline="0"/>
            <a:t> this period</a:t>
          </a:r>
          <a:r>
            <a:rPr lang="en-ID" sz="1100"/>
            <a:t>?</a:t>
          </a:r>
          <a:endParaRPr lang="en-ID" sz="1100" baseline="0"/>
        </a:p>
        <a:p>
          <a:pPr algn="ctr"/>
          <a:r>
            <a:rPr lang="en-ID" sz="1100" baseline="0"/>
            <a:t>Apakah barang langsung digunakan di periode ini?</a:t>
          </a:r>
          <a:endParaRPr lang="en-ID" sz="1100"/>
        </a:p>
      </xdr:txBody>
    </xdr:sp>
    <xdr:clientData/>
  </xdr:twoCellAnchor>
  <xdr:twoCellAnchor>
    <xdr:from>
      <xdr:col>50</xdr:col>
      <xdr:colOff>239164</xdr:colOff>
      <xdr:row>44</xdr:row>
      <xdr:rowOff>119062</xdr:rowOff>
    </xdr:from>
    <xdr:to>
      <xdr:col>52</xdr:col>
      <xdr:colOff>95249</xdr:colOff>
      <xdr:row>45</xdr:row>
      <xdr:rowOff>190499</xdr:rowOff>
    </xdr:to>
    <xdr:sp macro="" textlink="">
      <xdr:nvSpPr>
        <xdr:cNvPr id="379" name="Rectangle: Rounded Corners 378">
          <a:extLst>
            <a:ext uri="{FF2B5EF4-FFF2-40B4-BE49-F238E27FC236}">
              <a16:creationId xmlns:a16="http://schemas.microsoft.com/office/drawing/2014/main" id="{C2DD1BA4-0E93-4DA1-BDFB-2F6BFFEF6BBE}"/>
            </a:ext>
          </a:extLst>
        </xdr:cNvPr>
        <xdr:cNvSpPr/>
      </xdr:nvSpPr>
      <xdr:spPr>
        <a:xfrm>
          <a:off x="34500589" y="8501062"/>
          <a:ext cx="1075285" cy="261937"/>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50</xdr:col>
      <xdr:colOff>224877</xdr:colOff>
      <xdr:row>50</xdr:row>
      <xdr:rowOff>21430</xdr:rowOff>
    </xdr:from>
    <xdr:to>
      <xdr:col>51</xdr:col>
      <xdr:colOff>602236</xdr:colOff>
      <xdr:row>51</xdr:row>
      <xdr:rowOff>152398</xdr:rowOff>
    </xdr:to>
    <xdr:sp macro="" textlink="">
      <xdr:nvSpPr>
        <xdr:cNvPr id="380" name="Rectangle: Rounded Corners 379">
          <a:extLst>
            <a:ext uri="{FF2B5EF4-FFF2-40B4-BE49-F238E27FC236}">
              <a16:creationId xmlns:a16="http://schemas.microsoft.com/office/drawing/2014/main" id="{3C87A28E-BC07-4D15-B25C-E376251E61C7}"/>
            </a:ext>
          </a:extLst>
        </xdr:cNvPr>
        <xdr:cNvSpPr/>
      </xdr:nvSpPr>
      <xdr:spPr>
        <a:xfrm>
          <a:off x="34486302" y="9546430"/>
          <a:ext cx="986959" cy="32146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49</xdr:col>
      <xdr:colOff>517173</xdr:colOff>
      <xdr:row>45</xdr:row>
      <xdr:rowOff>59531</xdr:rowOff>
    </xdr:from>
    <xdr:to>
      <xdr:col>50</xdr:col>
      <xdr:colOff>239164</xdr:colOff>
      <xdr:row>45</xdr:row>
      <xdr:rowOff>59532</xdr:rowOff>
    </xdr:to>
    <xdr:cxnSp macro="">
      <xdr:nvCxnSpPr>
        <xdr:cNvPr id="381" name="Straight Arrow Connector 380">
          <a:extLst>
            <a:ext uri="{FF2B5EF4-FFF2-40B4-BE49-F238E27FC236}">
              <a16:creationId xmlns:a16="http://schemas.microsoft.com/office/drawing/2014/main" id="{8B92875F-4E2C-42EB-BC06-4FAC38A28B14}"/>
            </a:ext>
          </a:extLst>
        </xdr:cNvPr>
        <xdr:cNvCxnSpPr>
          <a:stCxn id="378" idx="3"/>
          <a:endCxn id="379" idx="1"/>
        </xdr:cNvCxnSpPr>
      </xdr:nvCxnSpPr>
      <xdr:spPr>
        <a:xfrm flipV="1">
          <a:off x="34168998" y="8632031"/>
          <a:ext cx="331591" cy="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49</xdr:col>
      <xdr:colOff>517173</xdr:colOff>
      <xdr:row>45</xdr:row>
      <xdr:rowOff>59532</xdr:rowOff>
    </xdr:from>
    <xdr:to>
      <xdr:col>50</xdr:col>
      <xdr:colOff>224877</xdr:colOff>
      <xdr:row>50</xdr:row>
      <xdr:rowOff>182164</xdr:rowOff>
    </xdr:to>
    <xdr:cxnSp macro="">
      <xdr:nvCxnSpPr>
        <xdr:cNvPr id="382" name="Straight Arrow Connector 381">
          <a:extLst>
            <a:ext uri="{FF2B5EF4-FFF2-40B4-BE49-F238E27FC236}">
              <a16:creationId xmlns:a16="http://schemas.microsoft.com/office/drawing/2014/main" id="{EFEF854B-3C95-4187-A6E0-33055AF89940}"/>
            </a:ext>
          </a:extLst>
        </xdr:cNvPr>
        <xdr:cNvCxnSpPr>
          <a:stCxn id="378" idx="3"/>
          <a:endCxn id="380" idx="1"/>
        </xdr:cNvCxnSpPr>
      </xdr:nvCxnSpPr>
      <xdr:spPr>
        <a:xfrm>
          <a:off x="34168998" y="8632032"/>
          <a:ext cx="317304" cy="107513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52</xdr:col>
      <xdr:colOff>451155</xdr:colOff>
      <xdr:row>50</xdr:row>
      <xdr:rowOff>5471</xdr:rowOff>
    </xdr:from>
    <xdr:to>
      <xdr:col>54</xdr:col>
      <xdr:colOff>124867</xdr:colOff>
      <xdr:row>51</xdr:row>
      <xdr:rowOff>174539</xdr:rowOff>
    </xdr:to>
    <xdr:sp macro="" textlink="">
      <xdr:nvSpPr>
        <xdr:cNvPr id="383" name="Rectangle: Rounded Corners 382">
          <a:extLst>
            <a:ext uri="{FF2B5EF4-FFF2-40B4-BE49-F238E27FC236}">
              <a16:creationId xmlns:a16="http://schemas.microsoft.com/office/drawing/2014/main" id="{FDAA2830-6409-4457-8C71-9BFFCECC47C1}"/>
            </a:ext>
          </a:extLst>
        </xdr:cNvPr>
        <xdr:cNvSpPr/>
      </xdr:nvSpPr>
      <xdr:spPr>
        <a:xfrm>
          <a:off x="35931780" y="9530471"/>
          <a:ext cx="892912"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Inventory</a:t>
          </a:r>
        </a:p>
      </xdr:txBody>
    </xdr:sp>
    <xdr:clientData/>
  </xdr:twoCellAnchor>
  <xdr:twoCellAnchor>
    <xdr:from>
      <xdr:col>51</xdr:col>
      <xdr:colOff>602236</xdr:colOff>
      <xdr:row>50</xdr:row>
      <xdr:rowOff>182164</xdr:rowOff>
    </xdr:from>
    <xdr:to>
      <xdr:col>52</xdr:col>
      <xdr:colOff>451155</xdr:colOff>
      <xdr:row>50</xdr:row>
      <xdr:rowOff>185255</xdr:rowOff>
    </xdr:to>
    <xdr:cxnSp macro="">
      <xdr:nvCxnSpPr>
        <xdr:cNvPr id="384" name="Straight Arrow Connector 383">
          <a:extLst>
            <a:ext uri="{FF2B5EF4-FFF2-40B4-BE49-F238E27FC236}">
              <a16:creationId xmlns:a16="http://schemas.microsoft.com/office/drawing/2014/main" id="{0031310E-F966-4405-A078-E12C06511945}"/>
            </a:ext>
          </a:extLst>
        </xdr:cNvPr>
        <xdr:cNvCxnSpPr>
          <a:stCxn id="380" idx="3"/>
          <a:endCxn id="383" idx="1"/>
        </xdr:cNvCxnSpPr>
      </xdr:nvCxnSpPr>
      <xdr:spPr>
        <a:xfrm>
          <a:off x="35473261" y="9707164"/>
          <a:ext cx="458519"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52</xdr:col>
      <xdr:colOff>95249</xdr:colOff>
      <xdr:row>45</xdr:row>
      <xdr:rowOff>50801</xdr:rowOff>
    </xdr:from>
    <xdr:to>
      <xdr:col>54</xdr:col>
      <xdr:colOff>118679</xdr:colOff>
      <xdr:row>45</xdr:row>
      <xdr:rowOff>59531</xdr:rowOff>
    </xdr:to>
    <xdr:cxnSp macro="">
      <xdr:nvCxnSpPr>
        <xdr:cNvPr id="385" name="Straight Arrow Connector 384">
          <a:extLst>
            <a:ext uri="{FF2B5EF4-FFF2-40B4-BE49-F238E27FC236}">
              <a16:creationId xmlns:a16="http://schemas.microsoft.com/office/drawing/2014/main" id="{F6A78B3A-26E9-4D17-9473-0D0A208BF60E}"/>
            </a:ext>
          </a:extLst>
        </xdr:cNvPr>
        <xdr:cNvCxnSpPr>
          <a:stCxn id="379" idx="3"/>
          <a:endCxn id="102" idx="1"/>
        </xdr:cNvCxnSpPr>
      </xdr:nvCxnSpPr>
      <xdr:spPr>
        <a:xfrm flipV="1">
          <a:off x="35575874" y="8623301"/>
          <a:ext cx="1242630" cy="873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141941</xdr:colOff>
      <xdr:row>0</xdr:row>
      <xdr:rowOff>149411</xdr:rowOff>
    </xdr:from>
    <xdr:to>
      <xdr:col>1</xdr:col>
      <xdr:colOff>1464235</xdr:colOff>
      <xdr:row>4</xdr:row>
      <xdr:rowOff>39449</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stretch>
          <a:fillRect/>
        </a:stretch>
      </xdr:blipFill>
      <xdr:spPr>
        <a:xfrm>
          <a:off x="141941" y="149411"/>
          <a:ext cx="1598706" cy="846273"/>
        </a:xfrm>
        <a:prstGeom prst="rect">
          <a:avLst/>
        </a:prstGeom>
      </xdr:spPr>
    </xdr:pic>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HO" displayName="HO" ref="B3:B12" totalsRowShown="0" headerRowDxfId="103" dataDxfId="102">
  <autoFilter ref="B3:B12" xr:uid="{00000000-0009-0000-0100-000001000000}"/>
  <tableColumns count="1">
    <tableColumn id="1" xr3:uid="{00000000-0010-0000-0000-000001000000}" name="Directorate" dataDxfId="101"/>
  </tableColumns>
  <tableStyleInfo name="Table Style 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Division" displayName="Division" ref="B17:B41" totalsRowShown="0" headerRowDxfId="100" dataDxfId="99" tableBorderDxfId="98">
  <autoFilter ref="B17:B41" xr:uid="{00000000-0009-0000-0100-000002000000}"/>
  <tableColumns count="1">
    <tableColumn id="1" xr3:uid="{00000000-0010-0000-0100-000001000000}" name="Division / Department" dataDxfId="97"/>
  </tableColumns>
  <tableStyleInfo name="Table Style 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HR" displayName="HR" ref="G3:G4" totalsRowShown="0" headerRowDxfId="96" dataDxfId="95">
  <autoFilter ref="G3:G4" xr:uid="{00000000-0009-0000-0100-000003000000}"/>
  <tableColumns count="1">
    <tableColumn id="1" xr3:uid="{00000000-0010-0000-0200-000001000000}" name="Human Resources" dataDxfId="94"/>
  </tableColumns>
  <tableStyleInfo name="Table Style 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GA" displayName="GA" ref="H3:H4" totalsRowShown="0" headerRowDxfId="93" dataDxfId="92">
  <autoFilter ref="H3:H4" xr:uid="{00000000-0009-0000-0100-000004000000}"/>
  <tableColumns count="1">
    <tableColumn id="1" xr3:uid="{00000000-0010-0000-0300-000001000000}" name="General Affairs" dataDxfId="91"/>
  </tableColumns>
  <tableStyleInfo name="Table Style 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Sales" displayName="Sales" ref="I3:I4" totalsRowShown="0" headerRowDxfId="90" dataDxfId="89">
  <autoFilter ref="I3:I4" xr:uid="{00000000-0009-0000-0100-000005000000}"/>
  <tableColumns count="1">
    <tableColumn id="1" xr3:uid="{00000000-0010-0000-0400-000001000000}" name="Sales" dataDxfId="88"/>
  </tableColumns>
  <tableStyleInfo name="Table Style 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CEOOffice" displayName="CEOOffice" ref="J3:J12" totalsRowShown="0" headerRowDxfId="87" dataDxfId="86">
  <autoFilter ref="J3:J12" xr:uid="{00000000-0009-0000-0100-000006000000}"/>
  <tableColumns count="1">
    <tableColumn id="1" xr3:uid="{00000000-0010-0000-0500-000001000000}" name="CEO Office" dataDxfId="85"/>
  </tableColumns>
  <tableStyleInfo name="Table Style 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CA" displayName="CA" ref="K3:K7" totalsRowShown="0" headerRowDxfId="84" dataDxfId="83">
  <autoFilter ref="K3:K7" xr:uid="{00000000-0009-0000-0100-000007000000}"/>
  <tableColumns count="1">
    <tableColumn id="1" xr3:uid="{00000000-0010-0000-0600-000001000000}" name="Corporate Affairs" dataDxfId="82"/>
  </tableColumns>
  <tableStyleInfo name="Table Style 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Finance" displayName="Finance" ref="L3:L8" totalsRowShown="0" headerRowDxfId="81" dataDxfId="80">
  <autoFilter ref="L3:L8" xr:uid="{00000000-0009-0000-0100-000008000000}"/>
  <tableColumns count="1">
    <tableColumn id="1" xr3:uid="{00000000-0010-0000-0700-000001000000}" name="Finance" dataDxfId="79"/>
  </tableColumns>
  <tableStyleInfo name="Table Style 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SCM" displayName="SCM" ref="M3:M7" totalsRowShown="0" headerRowDxfId="78" dataDxfId="77">
  <autoFilter ref="M3:M7" xr:uid="{00000000-0009-0000-0100-000009000000}"/>
  <tableColumns count="1">
    <tableColumn id="1" xr3:uid="{00000000-0010-0000-0800-000001000000}" name="Supply Chain Management" dataDxfId="76"/>
  </tableColumns>
  <tableStyleInfo name="Table Style 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IT" displayName="IT" ref="N3:N4" totalsRowShown="0" headerRowDxfId="75" dataDxfId="74">
  <autoFilter ref="N3:N4" xr:uid="{00000000-0009-0000-0100-00000A000000}"/>
  <tableColumns count="1">
    <tableColumn id="1" xr3:uid="{00000000-0010-0000-0900-000001000000}" name="Information Technology" dataDxfId="73"/>
  </tableColumns>
  <tableStyleInfo name="Table Style 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O" displayName="TO" ref="O3:O4" totalsRowShown="0" headerRowDxfId="72" dataDxfId="71">
  <autoFilter ref="O3:O4" xr:uid="{00000000-0009-0000-0100-00000B000000}"/>
  <tableColumns count="1">
    <tableColumn id="1" xr3:uid="{00000000-0010-0000-0A00-000001000000}" name="Transformation Office" dataDxfId="70"/>
  </tableColumns>
  <tableStyleInfo name="Table Style 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CC_Sales" displayName="CC_Sales" ref="I17:I20" totalsRowShown="0" headerRowDxfId="69" dataDxfId="68">
  <autoFilter ref="I17:I20" xr:uid="{00000000-0009-0000-0100-00000C000000}"/>
  <tableColumns count="1">
    <tableColumn id="1" xr3:uid="{00000000-0010-0000-0B00-000001000000}" name="Sales" dataDxfId="67"/>
  </tableColumns>
  <tableStyleInfo name="Table Style 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CC_Procurement" displayName="CC_Procurement" ref="M17:M18" totalsRowShown="0" headerRowDxfId="66" dataDxfId="65">
  <autoFilter ref="M17:M18" xr:uid="{00000000-0009-0000-0100-00000D000000}"/>
  <tableColumns count="1">
    <tableColumn id="1" xr3:uid="{00000000-0010-0000-0C00-000001000000}" name="Procurement" dataDxfId="64"/>
  </tableColumns>
  <tableStyleInfo name="Table Style 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CC_Warehouse" displayName="CC_Warehouse" ref="M21:M27" totalsRowShown="0" headerRowDxfId="63" dataDxfId="62">
  <autoFilter ref="M21:M27" xr:uid="{00000000-0009-0000-0100-00000E000000}"/>
  <tableColumns count="1">
    <tableColumn id="1" xr3:uid="{00000000-0010-0000-0D00-000001000000}" name="Warehouse &amp; Inventory" dataDxfId="61"/>
  </tableColumns>
  <tableStyleInfo name="Table Style 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CC_HR" displayName="CC_HR" ref="G17:G25" totalsRowShown="0" headerRowDxfId="60" dataDxfId="59">
  <autoFilter ref="G17:G25" xr:uid="{00000000-0009-0000-0100-00000F000000}"/>
  <tableColumns count="1">
    <tableColumn id="1" xr3:uid="{00000000-0010-0000-0E00-000001000000}" name="HR" dataDxfId="58"/>
  </tableColumns>
  <tableStyleInfo name="Table Style 1"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F000000}" name="CC_GA" displayName="CC_GA" ref="H17:H24" totalsRowShown="0" headerRowDxfId="57" dataDxfId="56">
  <autoFilter ref="H17:H24" xr:uid="{00000000-0009-0000-0100-000010000000}"/>
  <tableColumns count="1">
    <tableColumn id="1" xr3:uid="{00000000-0010-0000-0F00-000001000000}" name="GA" dataDxfId="55"/>
  </tableColumns>
  <tableStyleInfo name="Table Style 1"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10000000}" name="CC_BOD" displayName="CC_BOD" ref="J17:J18" totalsRowShown="0" headerRowDxfId="54" dataDxfId="53">
  <autoFilter ref="J17:J18" xr:uid="{00000000-0009-0000-0100-000011000000}"/>
  <tableColumns count="1">
    <tableColumn id="1" xr3:uid="{00000000-0010-0000-1000-000001000000}" name="BOD" dataDxfId="52"/>
  </tableColumns>
  <tableStyleInfo name="Table Style 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11000000}" name="CC_Corplan" displayName="CC_Corplan" ref="J21:J22" totalsRowShown="0" headerRowDxfId="51" dataDxfId="50">
  <autoFilter ref="J21:J22" xr:uid="{00000000-0009-0000-0100-000012000000}"/>
  <tableColumns count="1">
    <tableColumn id="1" xr3:uid="{00000000-0010-0000-1100-000001000000}" name="Corplan" dataDxfId="49"/>
  </tableColumns>
  <tableStyleInfo name="Table Style 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12000000}" name="CC_IA" displayName="CC_IA" ref="J25:J26" totalsRowShown="0" headerRowDxfId="48" dataDxfId="47">
  <autoFilter ref="J25:J26" xr:uid="{00000000-0009-0000-0100-000013000000}"/>
  <tableColumns count="1">
    <tableColumn id="1" xr3:uid="{00000000-0010-0000-1200-000001000000}" name="IA" dataDxfId="46"/>
  </tableColumns>
  <tableStyleInfo name="Table Style 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13000000}" name="CC_HS" displayName="CC_HS" ref="J29:J31" totalsRowShown="0" headerRowDxfId="45" dataDxfId="44">
  <autoFilter ref="J29:J31" xr:uid="{00000000-0009-0000-0100-000014000000}"/>
  <tableColumns count="1">
    <tableColumn id="1" xr3:uid="{00000000-0010-0000-1300-000001000000}" name="HSE" dataDxfId="43"/>
  </tableColumns>
  <tableStyleInfo name="Table Style 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14000000}" name="CC_Legal" displayName="CC_Legal" ref="K17:K21" totalsRowShown="0" headerRowDxfId="42" dataDxfId="41">
  <autoFilter ref="K17:K21" xr:uid="{00000000-0009-0000-0100-000015000000}"/>
  <tableColumns count="1">
    <tableColumn id="1" xr3:uid="{00000000-0010-0000-1400-000001000000}" name="Legal" dataDxfId="40"/>
  </tableColumns>
  <tableStyleInfo name="Table Style 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15000000}" name="CC_CorComm" displayName="CC_CorComm" ref="K24:K30" totalsRowShown="0" headerRowDxfId="39" dataDxfId="38">
  <autoFilter ref="K24:K30" xr:uid="{00000000-0009-0000-0100-000016000000}"/>
  <tableColumns count="1">
    <tableColumn id="1" xr3:uid="{00000000-0010-0000-1500-000001000000}" name="CorComm" dataDxfId="37"/>
  </tableColumns>
  <tableStyleInfo name="Table Style 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16000000}" name="CC_Accounting" displayName="CC_Accounting" ref="L17:L18" totalsRowShown="0" headerRowDxfId="36" dataDxfId="35">
  <autoFilter ref="L17:L18" xr:uid="{00000000-0009-0000-0100-000017000000}"/>
  <tableColumns count="1">
    <tableColumn id="1" xr3:uid="{00000000-0010-0000-1600-000001000000}" name="Accounting" dataDxfId="34"/>
  </tableColumns>
  <tableStyleInfo name="Table Style 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17000000}" name="CC_FinanceTreasury" displayName="CC_FinanceTreasury" ref="L21:L23" totalsRowShown="0" headerRowDxfId="33" dataDxfId="32">
  <autoFilter ref="L21:L23" xr:uid="{00000000-0009-0000-0100-000018000000}"/>
  <tableColumns count="1">
    <tableColumn id="1" xr3:uid="{00000000-0010-0000-1700-000001000000}" name="Treasury Finance" dataDxfId="31"/>
  </tableColumns>
  <tableStyleInfo name="Table Style 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18000000}" name="CC_FPA" displayName="CC_FPA" ref="L26:L28" totalsRowShown="0" headerRowDxfId="30" dataDxfId="29">
  <autoFilter ref="L26:L28" xr:uid="{00000000-0009-0000-0100-000019000000}"/>
  <tableColumns count="1">
    <tableColumn id="1" xr3:uid="{00000000-0010-0000-1800-000001000000}" name="FPA" dataDxfId="28"/>
  </tableColumns>
  <tableStyleInfo name="Table Style 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19000000}" name="CC_FAM" displayName="CC_FAM" ref="L31:L32" totalsRowShown="0" headerRowDxfId="27" dataDxfId="26">
  <autoFilter ref="L31:L32" xr:uid="{00000000-0009-0000-0100-00001A000000}"/>
  <tableColumns count="1">
    <tableColumn id="1" xr3:uid="{00000000-0010-0000-1900-000001000000}" name="FAM" dataDxfId="25"/>
  </tableColumns>
  <tableStyleInfo name="Table Style 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1A000000}" name="CC_Tax" displayName="CC_Tax" ref="L35:L36" totalsRowShown="0" headerRowDxfId="24" dataDxfId="23">
  <autoFilter ref="L35:L36" xr:uid="{00000000-0009-0000-0100-00001B000000}"/>
  <tableColumns count="1">
    <tableColumn id="1" xr3:uid="{00000000-0010-0000-1A00-000001000000}" name="Tax" dataDxfId="22"/>
  </tableColumns>
  <tableStyleInfo name="Table Style 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1B000000}" name="CC_IT" displayName="CC_IT" ref="N17:N19" totalsRowShown="0" headerRowDxfId="21" dataDxfId="20">
  <autoFilter ref="N17:N19" xr:uid="{00000000-0009-0000-0100-00001C000000}"/>
  <tableColumns count="1">
    <tableColumn id="1" xr3:uid="{00000000-0010-0000-1B00-000001000000}" name="IT" dataDxfId="19"/>
  </tableColumns>
  <tableStyleInfo name="Table Style 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1C000000}" name="CC_TO" displayName="CC_TO" ref="O17:O21" totalsRowShown="0" headerRowDxfId="18" dataDxfId="17">
  <autoFilter ref="O17:O21" xr:uid="{00000000-0009-0000-0100-00001D000000}"/>
  <tableColumns count="1">
    <tableColumn id="1" xr3:uid="{00000000-0010-0000-1C00-000001000000}" name="TO" dataDxfId="16"/>
  </tableColumns>
  <tableStyleInfo name="Table Style 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1D000000}" name="CC_KSO" displayName="CC_KSO" ref="P17:P18" totalsRowShown="0" headerRowDxfId="15" dataDxfId="14">
  <autoFilter ref="P17:P18" xr:uid="{00000000-0009-0000-0100-00001E000000}"/>
  <tableColumns count="1">
    <tableColumn id="1" xr3:uid="{00000000-0010-0000-1D00-000001000000}" name="KSO" dataDxfId="13"/>
  </tableColumns>
  <tableStyleInfo name="Table Style 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1E000000}" name="CC_GRPMedan" displayName="CC_GRPMedan" ref="P21:P22" totalsRowShown="0" headerRowDxfId="12" dataDxfId="11">
  <autoFilter ref="P21:P22" xr:uid="{00000000-0009-0000-0100-00001F000000}"/>
  <tableColumns count="1">
    <tableColumn id="1" xr3:uid="{00000000-0010-0000-1E00-000001000000}" name="GRP Medan" dataDxfId="10"/>
  </tableColumns>
  <tableStyleInfo name="Table Style 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1F000000}" name="CC_Environment" displayName="CC_Environment" ref="K33:K34" totalsRowShown="0" headerRowDxfId="9" dataDxfId="8">
  <autoFilter ref="K33:K34" xr:uid="{00000000-0009-0000-0100-000020000000}"/>
  <tableColumns count="1">
    <tableColumn id="1" xr3:uid="{00000000-0010-0000-1F00-000001000000}" name="Environment" dataDxfId="7"/>
  </tableColumns>
  <tableStyleInfo name="Table Style 1"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20000000}" name="GLLIST" displayName="GLLIST" ref="B202:B347" totalsRowShown="0" headerRowDxfId="6" dataDxfId="4" headerRowBorderDxfId="5" tableBorderDxfId="3" totalsRowBorderDxfId="2">
  <autoFilter ref="B202:B347" xr:uid="{00000000-0009-0000-0100-000021000000}"/>
  <tableColumns count="1">
    <tableColumn id="1" xr3:uid="{00000000-0010-0000-2000-000001000000}" name="G/L account" dataDxfId="1"/>
  </tableColumns>
  <tableStyleInfo name="Table Style 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3" Type="http://schemas.openxmlformats.org/officeDocument/2006/relationships/table" Target="../tables/table12.xml"/><Relationship Id="rId18" Type="http://schemas.openxmlformats.org/officeDocument/2006/relationships/table" Target="../tables/table17.xml"/><Relationship Id="rId26" Type="http://schemas.openxmlformats.org/officeDocument/2006/relationships/table" Target="../tables/table25.xml"/><Relationship Id="rId3" Type="http://schemas.openxmlformats.org/officeDocument/2006/relationships/table" Target="../tables/table2.xml"/><Relationship Id="rId21" Type="http://schemas.openxmlformats.org/officeDocument/2006/relationships/table" Target="../tables/table20.xml"/><Relationship Id="rId34" Type="http://schemas.openxmlformats.org/officeDocument/2006/relationships/table" Target="../tables/table33.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2" Type="http://schemas.openxmlformats.org/officeDocument/2006/relationships/table" Target="../tables/table1.xml"/><Relationship Id="rId16" Type="http://schemas.openxmlformats.org/officeDocument/2006/relationships/table" Target="../tables/table15.xml"/><Relationship Id="rId20" Type="http://schemas.openxmlformats.org/officeDocument/2006/relationships/table" Target="../tables/table19.xml"/><Relationship Id="rId29" Type="http://schemas.openxmlformats.org/officeDocument/2006/relationships/table" Target="../tables/table28.xml"/><Relationship Id="rId1" Type="http://schemas.openxmlformats.org/officeDocument/2006/relationships/printerSettings" Target="../printerSettings/printerSettings8.bin"/><Relationship Id="rId6" Type="http://schemas.openxmlformats.org/officeDocument/2006/relationships/table" Target="../tables/table5.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5" Type="http://schemas.openxmlformats.org/officeDocument/2006/relationships/table" Target="../tables/table4.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10" Type="http://schemas.openxmlformats.org/officeDocument/2006/relationships/table" Target="../tables/table9.xml"/><Relationship Id="rId19" Type="http://schemas.openxmlformats.org/officeDocument/2006/relationships/table" Target="../tables/table18.xml"/><Relationship Id="rId31" Type="http://schemas.openxmlformats.org/officeDocument/2006/relationships/table" Target="../tables/table30.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8" Type="http://schemas.openxmlformats.org/officeDocument/2006/relationships/table" Target="../tables/table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11E0F0-919E-4DA7-8EB9-EDC5F76F1352}">
  <sheetPr codeName="Sheet7">
    <tabColor rgb="FF8A0000"/>
  </sheetPr>
  <dimension ref="A1:W254"/>
  <sheetViews>
    <sheetView showGridLines="0" zoomScale="70" zoomScaleNormal="70" workbookViewId="0"/>
  </sheetViews>
  <sheetFormatPr defaultColWidth="10.28515625" defaultRowHeight="14.25" outlineLevelRow="2" x14ac:dyDescent="0.2"/>
  <cols>
    <col min="1" max="1" width="0.85546875" style="1" customWidth="1"/>
    <col min="2" max="2" width="2.5703125" style="1" customWidth="1"/>
    <col min="3" max="3" width="39.85546875" style="1" customWidth="1"/>
    <col min="4" max="4" width="67.85546875" style="1" bestFit="1" customWidth="1"/>
    <col min="5" max="5" width="127.42578125" style="1" customWidth="1"/>
    <col min="6" max="6" width="33" style="1" customWidth="1"/>
    <col min="7" max="7" width="31.7109375" style="1" customWidth="1"/>
    <col min="8" max="16384" width="10.28515625" style="1"/>
  </cols>
  <sheetData>
    <row r="1" spans="2:16" ht="9" customHeight="1" x14ac:dyDescent="0.2"/>
    <row r="2" spans="2:16" ht="23.25" x14ac:dyDescent="0.35">
      <c r="B2" s="2" t="s">
        <v>1540</v>
      </c>
    </row>
    <row r="3" spans="2:16" ht="9" customHeight="1" x14ac:dyDescent="0.3">
      <c r="B3" s="3"/>
    </row>
    <row r="4" spans="2:16" ht="32.25" customHeight="1" thickBot="1" x14ac:dyDescent="0.3">
      <c r="B4" s="4" t="s">
        <v>0</v>
      </c>
      <c r="C4" s="5"/>
      <c r="D4" s="6"/>
      <c r="E4" s="5"/>
      <c r="F4" s="5"/>
      <c r="G4" s="5"/>
      <c r="H4" s="5"/>
      <c r="I4" s="5"/>
      <c r="J4" s="5"/>
      <c r="K4" s="5"/>
      <c r="L4" s="5"/>
      <c r="M4" s="5"/>
      <c r="N4" s="5"/>
      <c r="O4" s="5"/>
      <c r="P4" s="5"/>
    </row>
    <row r="5" spans="2:16" ht="14.25" customHeight="1" x14ac:dyDescent="0.25">
      <c r="B5" s="7"/>
      <c r="D5" s="8"/>
    </row>
    <row r="6" spans="2:16" ht="14.25" customHeight="1" x14ac:dyDescent="0.2">
      <c r="B6" s="1">
        <v>1</v>
      </c>
      <c r="C6" s="9" t="s">
        <v>1966</v>
      </c>
    </row>
    <row r="7" spans="2:16" ht="14.25" customHeight="1" x14ac:dyDescent="0.2">
      <c r="B7" s="1">
        <v>2</v>
      </c>
      <c r="C7" s="9" t="s">
        <v>1</v>
      </c>
    </row>
    <row r="8" spans="2:16" ht="14.25" customHeight="1" x14ac:dyDescent="0.2">
      <c r="B8" s="10" t="s">
        <v>2</v>
      </c>
      <c r="C8" s="9" t="s">
        <v>1541</v>
      </c>
    </row>
    <row r="9" spans="2:16" ht="14.25" customHeight="1" x14ac:dyDescent="0.2">
      <c r="B9" s="10" t="s">
        <v>2</v>
      </c>
      <c r="C9" s="9" t="s">
        <v>1546</v>
      </c>
    </row>
    <row r="10" spans="2:16" ht="14.25" customHeight="1" x14ac:dyDescent="0.2">
      <c r="B10" s="10" t="s">
        <v>2</v>
      </c>
      <c r="C10" s="9" t="s">
        <v>1542</v>
      </c>
    </row>
    <row r="11" spans="2:16" ht="14.25" customHeight="1" x14ac:dyDescent="0.2">
      <c r="B11" s="10" t="s">
        <v>2</v>
      </c>
      <c r="C11" s="9" t="s">
        <v>1547</v>
      </c>
    </row>
    <row r="12" spans="2:16" ht="14.25" customHeight="1" x14ac:dyDescent="0.2">
      <c r="B12" s="10" t="s">
        <v>2</v>
      </c>
      <c r="C12" s="9" t="s">
        <v>1548</v>
      </c>
    </row>
    <row r="13" spans="2:16" ht="14.25" customHeight="1" x14ac:dyDescent="0.25">
      <c r="B13" s="1">
        <v>3</v>
      </c>
      <c r="C13" s="9" t="s">
        <v>3</v>
      </c>
    </row>
    <row r="14" spans="2:16" ht="14.25" customHeight="1" x14ac:dyDescent="0.2">
      <c r="B14" s="1">
        <v>4</v>
      </c>
      <c r="C14" s="1" t="s">
        <v>4</v>
      </c>
    </row>
    <row r="15" spans="2:16" ht="14.25" customHeight="1" x14ac:dyDescent="0.2">
      <c r="B15" s="1">
        <v>5</v>
      </c>
      <c r="C15" s="1" t="s">
        <v>5</v>
      </c>
    </row>
    <row r="16" spans="2:16" x14ac:dyDescent="0.2">
      <c r="B16" s="1">
        <v>6</v>
      </c>
      <c r="C16" s="1" t="s">
        <v>1953</v>
      </c>
    </row>
    <row r="17" spans="1:23" ht="13.5" customHeight="1" x14ac:dyDescent="0.2"/>
    <row r="18" spans="1:23" ht="32.25" customHeight="1" thickBot="1" x14ac:dyDescent="0.3">
      <c r="B18" s="4" t="s">
        <v>6</v>
      </c>
      <c r="C18" s="5"/>
      <c r="D18" s="6"/>
      <c r="E18" s="5"/>
      <c r="F18" s="5"/>
      <c r="G18" s="5"/>
      <c r="H18" s="5"/>
      <c r="I18" s="5"/>
      <c r="J18" s="5"/>
      <c r="K18" s="5"/>
      <c r="L18" s="5"/>
      <c r="M18" s="5"/>
      <c r="N18" s="5"/>
      <c r="O18" s="5"/>
      <c r="P18" s="5"/>
    </row>
    <row r="20" spans="1:23" ht="14.25" customHeight="1" x14ac:dyDescent="0.2">
      <c r="B20" s="1">
        <v>1</v>
      </c>
      <c r="C20" s="1" t="s">
        <v>7</v>
      </c>
    </row>
    <row r="21" spans="1:23" ht="14.25" customHeight="1" x14ac:dyDescent="0.2">
      <c r="C21" s="11" t="s">
        <v>8</v>
      </c>
    </row>
    <row r="22" spans="1:23" ht="14.25" customHeight="1" x14ac:dyDescent="0.2">
      <c r="C22" s="11" t="s">
        <v>1845</v>
      </c>
    </row>
    <row r="23" spans="1:23" ht="14.25" customHeight="1" x14ac:dyDescent="0.2">
      <c r="C23" s="11" t="s">
        <v>9</v>
      </c>
    </row>
    <row r="24" spans="1:23" ht="14.25" customHeight="1" x14ac:dyDescent="0.2">
      <c r="C24" s="11" t="s">
        <v>1846</v>
      </c>
    </row>
    <row r="25" spans="1:23" ht="14.25" customHeight="1" x14ac:dyDescent="0.25">
      <c r="B25" s="1">
        <v>2</v>
      </c>
      <c r="C25" s="1" t="s">
        <v>1507</v>
      </c>
    </row>
    <row r="26" spans="1:23" ht="14.25" customHeight="1" x14ac:dyDescent="0.25">
      <c r="A26" s="12"/>
      <c r="B26" s="12"/>
      <c r="D26" s="12"/>
      <c r="E26" s="12"/>
      <c r="F26" s="12"/>
      <c r="G26" s="12"/>
      <c r="H26" s="12"/>
      <c r="I26" s="12"/>
      <c r="J26" s="12"/>
      <c r="K26" s="12"/>
      <c r="L26" s="12"/>
      <c r="M26" s="12"/>
      <c r="N26" s="12"/>
      <c r="O26" s="12"/>
      <c r="P26" s="12"/>
      <c r="Q26" s="12"/>
      <c r="R26" s="12"/>
      <c r="S26" s="12"/>
      <c r="T26" s="12"/>
      <c r="U26" s="12"/>
      <c r="V26" s="12"/>
      <c r="W26" s="12"/>
    </row>
    <row r="27" spans="1:23" s="13" customFormat="1" ht="24" customHeight="1" x14ac:dyDescent="0.2">
      <c r="C27" s="14" t="s">
        <v>10</v>
      </c>
      <c r="D27" s="15" t="s">
        <v>11</v>
      </c>
      <c r="E27" s="16"/>
      <c r="F27" s="16"/>
      <c r="G27" s="16"/>
      <c r="H27" s="16"/>
      <c r="I27" s="16"/>
      <c r="J27" s="16"/>
      <c r="K27" s="16"/>
      <c r="L27" s="16"/>
      <c r="M27" s="16"/>
      <c r="N27" s="16"/>
      <c r="O27" s="16"/>
      <c r="P27" s="16"/>
      <c r="Q27" s="16"/>
      <c r="R27" s="16"/>
      <c r="S27" s="16"/>
      <c r="T27" s="16"/>
      <c r="U27" s="16"/>
      <c r="V27" s="16"/>
      <c r="W27" s="16"/>
    </row>
    <row r="29" spans="1:23" outlineLevel="1" x14ac:dyDescent="0.2">
      <c r="C29" s="1" t="s">
        <v>12</v>
      </c>
    </row>
    <row r="30" spans="1:23" outlineLevel="1" x14ac:dyDescent="0.2"/>
    <row r="31" spans="1:23" ht="15" outlineLevel="1" x14ac:dyDescent="0.25">
      <c r="C31" s="17" t="s">
        <v>13</v>
      </c>
      <c r="D31" s="18" t="s">
        <v>14</v>
      </c>
    </row>
    <row r="32" spans="1:23" ht="28.5" outlineLevel="1" x14ac:dyDescent="0.2">
      <c r="C32" s="19" t="s">
        <v>15</v>
      </c>
      <c r="D32" s="20" t="s">
        <v>237</v>
      </c>
    </row>
    <row r="33" spans="3:4" ht="15" outlineLevel="1" x14ac:dyDescent="0.2">
      <c r="C33" s="19" t="s">
        <v>236</v>
      </c>
      <c r="D33" s="20" t="s">
        <v>246</v>
      </c>
    </row>
    <row r="34" spans="3:4" ht="15" outlineLevel="1" x14ac:dyDescent="0.2">
      <c r="C34" s="19" t="s">
        <v>16</v>
      </c>
      <c r="D34" s="20" t="s">
        <v>17</v>
      </c>
    </row>
    <row r="35" spans="3:4" outlineLevel="1" x14ac:dyDescent="0.2"/>
    <row r="36" spans="3:4" ht="25.5" customHeight="1" outlineLevel="1" x14ac:dyDescent="0.2">
      <c r="C36" s="36" t="s">
        <v>1967</v>
      </c>
      <c r="D36" s="36" t="s">
        <v>1968</v>
      </c>
    </row>
    <row r="37" spans="3:4" outlineLevel="2" x14ac:dyDescent="0.2">
      <c r="C37" s="21" t="s">
        <v>236</v>
      </c>
      <c r="D37" s="21" t="s">
        <v>247</v>
      </c>
    </row>
    <row r="38" spans="3:4" outlineLevel="2" x14ac:dyDescent="0.2">
      <c r="C38" s="50" t="s">
        <v>1813</v>
      </c>
      <c r="D38" s="50" t="s">
        <v>1812</v>
      </c>
    </row>
    <row r="39" spans="3:4" outlineLevel="2" x14ac:dyDescent="0.2">
      <c r="C39" s="50" t="s">
        <v>1813</v>
      </c>
      <c r="D39" s="50" t="s">
        <v>1806</v>
      </c>
    </row>
    <row r="40" spans="3:4" outlineLevel="2" x14ac:dyDescent="0.2">
      <c r="C40" s="50" t="s">
        <v>1813</v>
      </c>
      <c r="D40" s="50" t="s">
        <v>1807</v>
      </c>
    </row>
    <row r="41" spans="3:4" outlineLevel="2" x14ac:dyDescent="0.2">
      <c r="C41" s="50" t="s">
        <v>1815</v>
      </c>
      <c r="D41" s="50" t="s">
        <v>1736</v>
      </c>
    </row>
    <row r="42" spans="3:4" outlineLevel="2" x14ac:dyDescent="0.2">
      <c r="C42" s="50" t="s">
        <v>1815</v>
      </c>
      <c r="D42" s="50" t="s">
        <v>1737</v>
      </c>
    </row>
    <row r="43" spans="3:4" outlineLevel="2" x14ac:dyDescent="0.2">
      <c r="C43" s="50" t="s">
        <v>1815</v>
      </c>
      <c r="D43" s="50" t="s">
        <v>1873</v>
      </c>
    </row>
    <row r="44" spans="3:4" outlineLevel="2" x14ac:dyDescent="0.2">
      <c r="C44" s="50" t="s">
        <v>1815</v>
      </c>
      <c r="D44" s="50" t="s">
        <v>1814</v>
      </c>
    </row>
    <row r="45" spans="3:4" outlineLevel="2" x14ac:dyDescent="0.2">
      <c r="C45" s="22" t="s">
        <v>1874</v>
      </c>
      <c r="D45" s="22" t="s">
        <v>31</v>
      </c>
    </row>
    <row r="46" spans="3:4" outlineLevel="2" x14ac:dyDescent="0.2">
      <c r="C46" s="22" t="s">
        <v>1874</v>
      </c>
      <c r="D46" s="22" t="s">
        <v>30</v>
      </c>
    </row>
    <row r="47" spans="3:4" outlineLevel="2" x14ac:dyDescent="0.2">
      <c r="C47" s="22" t="str">
        <f>C46</f>
        <v>HRGA &amp; HSE</v>
      </c>
      <c r="D47" s="22" t="s">
        <v>339</v>
      </c>
    </row>
    <row r="48" spans="3:4" outlineLevel="2" x14ac:dyDescent="0.2">
      <c r="C48" s="22" t="str">
        <f>C47</f>
        <v>HRGA &amp; HSE</v>
      </c>
      <c r="D48" s="22" t="s">
        <v>341</v>
      </c>
    </row>
    <row r="49" spans="3:4" outlineLevel="2" x14ac:dyDescent="0.2">
      <c r="C49" s="22" t="s">
        <v>1558</v>
      </c>
      <c r="D49" s="22" t="s">
        <v>238</v>
      </c>
    </row>
    <row r="50" spans="3:4" outlineLevel="2" x14ac:dyDescent="0.2">
      <c r="C50" s="22" t="s">
        <v>1558</v>
      </c>
      <c r="D50" s="22" t="s">
        <v>33</v>
      </c>
    </row>
    <row r="51" spans="3:4" outlineLevel="2" x14ac:dyDescent="0.2">
      <c r="C51" s="22" t="s">
        <v>242</v>
      </c>
      <c r="D51" s="22" t="s">
        <v>248</v>
      </c>
    </row>
    <row r="52" spans="3:4" outlineLevel="2" x14ac:dyDescent="0.2">
      <c r="C52" s="22" t="s">
        <v>242</v>
      </c>
      <c r="D52" s="22" t="s">
        <v>25</v>
      </c>
    </row>
    <row r="53" spans="3:4" outlineLevel="2" x14ac:dyDescent="0.2">
      <c r="C53" s="22" t="s">
        <v>242</v>
      </c>
      <c r="D53" s="22" t="s">
        <v>20</v>
      </c>
    </row>
    <row r="54" spans="3:4" outlineLevel="2" x14ac:dyDescent="0.2">
      <c r="C54" s="22" t="s">
        <v>242</v>
      </c>
      <c r="D54" s="22" t="s">
        <v>21</v>
      </c>
    </row>
    <row r="55" spans="3:4" outlineLevel="2" x14ac:dyDescent="0.2">
      <c r="C55" s="22" t="s">
        <v>178</v>
      </c>
      <c r="D55" s="22" t="s">
        <v>22</v>
      </c>
    </row>
    <row r="56" spans="3:4" outlineLevel="2" x14ac:dyDescent="0.2">
      <c r="C56" s="22" t="s">
        <v>1559</v>
      </c>
      <c r="D56" s="22" t="s">
        <v>1564</v>
      </c>
    </row>
    <row r="57" spans="3:4" outlineLevel="2" x14ac:dyDescent="0.2">
      <c r="C57" s="22" t="s">
        <v>1559</v>
      </c>
      <c r="D57" s="22" t="s">
        <v>1566</v>
      </c>
    </row>
    <row r="58" spans="3:4" outlineLevel="2" x14ac:dyDescent="0.2">
      <c r="C58" s="22" t="s">
        <v>239</v>
      </c>
      <c r="D58" s="22" t="s">
        <v>239</v>
      </c>
    </row>
    <row r="59" spans="3:4" outlineLevel="2" x14ac:dyDescent="0.2">
      <c r="C59" s="22" t="s">
        <v>1561</v>
      </c>
      <c r="D59" s="22" t="s">
        <v>26</v>
      </c>
    </row>
    <row r="60" spans="3:4" outlineLevel="2" x14ac:dyDescent="0.2">
      <c r="C60" s="22" t="s">
        <v>1561</v>
      </c>
      <c r="D60" s="22" t="s">
        <v>27</v>
      </c>
    </row>
    <row r="61" spans="3:4" outlineLevel="2" x14ac:dyDescent="0.2">
      <c r="C61" s="22" t="s">
        <v>1561</v>
      </c>
      <c r="D61" s="22" t="s">
        <v>28</v>
      </c>
    </row>
    <row r="62" spans="3:4" outlineLevel="2" x14ac:dyDescent="0.2">
      <c r="C62" s="22" t="s">
        <v>1561</v>
      </c>
      <c r="D62" s="22" t="s">
        <v>29</v>
      </c>
    </row>
    <row r="63" spans="3:4" outlineLevel="2" x14ac:dyDescent="0.2">
      <c r="C63" s="22" t="s">
        <v>1561</v>
      </c>
      <c r="D63" s="22" t="s">
        <v>257</v>
      </c>
    </row>
    <row r="64" spans="3:4" outlineLevel="2" x14ac:dyDescent="0.2">
      <c r="C64" s="23" t="s">
        <v>241</v>
      </c>
      <c r="D64" s="22" t="s">
        <v>1562</v>
      </c>
    </row>
    <row r="65" spans="3:23" outlineLevel="2" x14ac:dyDescent="0.2">
      <c r="C65" s="22" t="s">
        <v>241</v>
      </c>
      <c r="D65" s="22" t="s">
        <v>35</v>
      </c>
    </row>
    <row r="66" spans="3:23" outlineLevel="2" x14ac:dyDescent="0.2">
      <c r="C66" s="22" t="s">
        <v>241</v>
      </c>
      <c r="D66" s="22" t="s">
        <v>36</v>
      </c>
    </row>
    <row r="67" spans="3:23" outlineLevel="1" x14ac:dyDescent="0.2"/>
    <row r="68" spans="3:23" outlineLevel="1" x14ac:dyDescent="0.2">
      <c r="C68" s="1" t="s">
        <v>38</v>
      </c>
    </row>
    <row r="70" spans="3:23" s="13" customFormat="1" ht="24" customHeight="1" x14ac:dyDescent="0.2">
      <c r="C70" s="14" t="s">
        <v>1816</v>
      </c>
      <c r="D70" s="51" t="s">
        <v>1817</v>
      </c>
      <c r="E70" s="16"/>
      <c r="F70" s="16"/>
      <c r="G70" s="16"/>
      <c r="H70" s="16"/>
      <c r="I70" s="16"/>
      <c r="J70" s="16"/>
      <c r="K70" s="16"/>
      <c r="L70" s="16"/>
      <c r="M70" s="16"/>
      <c r="N70" s="16"/>
      <c r="O70" s="16"/>
      <c r="P70" s="16"/>
      <c r="Q70" s="16"/>
      <c r="R70" s="16"/>
      <c r="S70" s="16"/>
      <c r="T70" s="16"/>
      <c r="U70" s="16"/>
      <c r="V70" s="16"/>
      <c r="W70" s="16"/>
    </row>
    <row r="72" spans="3:23" outlineLevel="1" x14ac:dyDescent="0.2">
      <c r="C72" s="1" t="s">
        <v>1818</v>
      </c>
    </row>
    <row r="73" spans="3:23" ht="15" outlineLevel="1" x14ac:dyDescent="0.25">
      <c r="C73" s="1" t="s">
        <v>39</v>
      </c>
    </row>
    <row r="74" spans="3:23" outlineLevel="1" x14ac:dyDescent="0.2"/>
    <row r="75" spans="3:23" ht="42.75" outlineLevel="1" x14ac:dyDescent="0.2">
      <c r="C75" s="52" t="s">
        <v>40</v>
      </c>
      <c r="D75" s="53" t="s">
        <v>1819</v>
      </c>
    </row>
    <row r="76" spans="3:23" ht="72.75" customHeight="1" outlineLevel="1" x14ac:dyDescent="0.2">
      <c r="C76" s="52" t="s">
        <v>1820</v>
      </c>
      <c r="D76" s="54" t="s">
        <v>1821</v>
      </c>
    </row>
    <row r="77" spans="3:23" ht="71.25" outlineLevel="1" x14ac:dyDescent="0.2">
      <c r="C77" s="52" t="s">
        <v>1822</v>
      </c>
      <c r="D77" s="53" t="s">
        <v>1823</v>
      </c>
    </row>
    <row r="78" spans="3:23" ht="189.95" customHeight="1" outlineLevel="1" x14ac:dyDescent="0.2">
      <c r="C78" s="52" t="s">
        <v>1824</v>
      </c>
      <c r="D78" s="54" t="s">
        <v>1825</v>
      </c>
    </row>
    <row r="79" spans="3:23" ht="57" outlineLevel="1" x14ac:dyDescent="0.2">
      <c r="C79" s="81" t="s">
        <v>41</v>
      </c>
      <c r="D79" s="82" t="s">
        <v>1826</v>
      </c>
    </row>
    <row r="80" spans="3:23" ht="42.75" outlineLevel="1" x14ac:dyDescent="0.2">
      <c r="C80" s="81" t="s">
        <v>1827</v>
      </c>
      <c r="D80" s="82" t="s">
        <v>1969</v>
      </c>
    </row>
    <row r="81" spans="3:6" ht="85.5" outlineLevel="1" x14ac:dyDescent="0.2">
      <c r="C81" s="52" t="s">
        <v>1544</v>
      </c>
      <c r="D81" s="53" t="s">
        <v>1954</v>
      </c>
    </row>
    <row r="82" spans="3:6" ht="42.75" outlineLevel="1" x14ac:dyDescent="0.2">
      <c r="C82" s="52" t="s">
        <v>1828</v>
      </c>
      <c r="D82" s="53" t="s">
        <v>1829</v>
      </c>
    </row>
    <row r="83" spans="3:6" ht="71.25" outlineLevel="1" x14ac:dyDescent="0.2">
      <c r="C83" s="55" t="s">
        <v>1570</v>
      </c>
      <c r="D83" s="53" t="s">
        <v>1830</v>
      </c>
    </row>
    <row r="84" spans="3:6" ht="15" outlineLevel="1" x14ac:dyDescent="0.2">
      <c r="C84" s="55" t="s">
        <v>1571</v>
      </c>
      <c r="D84" s="56" t="s">
        <v>1831</v>
      </c>
    </row>
    <row r="85" spans="3:6" ht="15" outlineLevel="1" x14ac:dyDescent="0.2">
      <c r="C85" s="55" t="s">
        <v>1572</v>
      </c>
      <c r="D85" s="56" t="s">
        <v>1832</v>
      </c>
    </row>
    <row r="86" spans="3:6" ht="15" outlineLevel="1" x14ac:dyDescent="0.2">
      <c r="C86" s="55" t="s">
        <v>1573</v>
      </c>
      <c r="D86" s="56" t="s">
        <v>1833</v>
      </c>
    </row>
    <row r="87" spans="3:6" ht="15" outlineLevel="1" x14ac:dyDescent="0.2">
      <c r="C87" s="55" t="s">
        <v>1574</v>
      </c>
      <c r="D87" s="56" t="s">
        <v>1834</v>
      </c>
    </row>
    <row r="88" spans="3:6" ht="71.25" hidden="1" outlineLevel="1" x14ac:dyDescent="0.2">
      <c r="C88" s="55" t="s">
        <v>1575</v>
      </c>
      <c r="D88" s="57" t="s">
        <v>1835</v>
      </c>
    </row>
    <row r="89" spans="3:6" outlineLevel="1" x14ac:dyDescent="0.2"/>
    <row r="90" spans="3:6" outlineLevel="1" x14ac:dyDescent="0.2"/>
    <row r="91" spans="3:6" outlineLevel="1" x14ac:dyDescent="0.2">
      <c r="C91" s="24" t="s">
        <v>1836</v>
      </c>
    </row>
    <row r="92" spans="3:6" outlineLevel="2" x14ac:dyDescent="0.2">
      <c r="C92" s="25" t="s">
        <v>42</v>
      </c>
      <c r="D92" s="21" t="s">
        <v>43</v>
      </c>
      <c r="E92" s="26" t="s">
        <v>44</v>
      </c>
      <c r="F92" s="26" t="s">
        <v>45</v>
      </c>
    </row>
    <row r="93" spans="3:6" ht="14.25" customHeight="1" outlineLevel="2" x14ac:dyDescent="0.2">
      <c r="C93" s="58" t="s">
        <v>1789</v>
      </c>
      <c r="D93" s="59"/>
      <c r="E93" s="59"/>
      <c r="F93" s="59"/>
    </row>
    <row r="94" spans="3:6" outlineLevel="2" x14ac:dyDescent="0.2">
      <c r="C94" s="60">
        <v>15000000</v>
      </c>
      <c r="D94" s="27" t="s">
        <v>1747</v>
      </c>
      <c r="E94" s="28" t="s">
        <v>1778</v>
      </c>
      <c r="F94" s="28" t="s">
        <v>46</v>
      </c>
    </row>
    <row r="95" spans="3:6" ht="38.25" outlineLevel="2" x14ac:dyDescent="0.2">
      <c r="C95" s="61">
        <v>15000010</v>
      </c>
      <c r="D95" s="29" t="s">
        <v>1749</v>
      </c>
      <c r="E95" s="30" t="s">
        <v>1779</v>
      </c>
      <c r="F95" s="30" t="s">
        <v>46</v>
      </c>
    </row>
    <row r="96" spans="3:6" ht="38.25" outlineLevel="2" x14ac:dyDescent="0.2">
      <c r="C96" s="61">
        <v>15000020</v>
      </c>
      <c r="D96" s="29" t="s">
        <v>1751</v>
      </c>
      <c r="E96" s="30" t="s">
        <v>1780</v>
      </c>
      <c r="F96" s="30" t="s">
        <v>46</v>
      </c>
    </row>
    <row r="97" spans="3:6" outlineLevel="2" x14ac:dyDescent="0.2">
      <c r="C97" s="61">
        <v>15000030</v>
      </c>
      <c r="D97" s="29" t="s">
        <v>1753</v>
      </c>
      <c r="E97" s="30" t="s">
        <v>1781</v>
      </c>
      <c r="F97" s="30" t="s">
        <v>46</v>
      </c>
    </row>
    <row r="98" spans="3:6" ht="25.5" outlineLevel="2" x14ac:dyDescent="0.2">
      <c r="C98" s="61">
        <v>15000040</v>
      </c>
      <c r="D98" s="29" t="s">
        <v>1755</v>
      </c>
      <c r="E98" s="30" t="s">
        <v>1782</v>
      </c>
      <c r="F98" s="30" t="s">
        <v>46</v>
      </c>
    </row>
    <row r="99" spans="3:6" ht="51" outlineLevel="2" x14ac:dyDescent="0.2">
      <c r="C99" s="61">
        <v>15000050</v>
      </c>
      <c r="D99" s="29" t="s">
        <v>1757</v>
      </c>
      <c r="E99" s="30" t="s">
        <v>1783</v>
      </c>
      <c r="F99" s="30" t="s">
        <v>46</v>
      </c>
    </row>
    <row r="100" spans="3:6" ht="25.5" outlineLevel="2" x14ac:dyDescent="0.2">
      <c r="C100" s="61">
        <v>15000060</v>
      </c>
      <c r="D100" s="29" t="s">
        <v>1759</v>
      </c>
      <c r="E100" s="30" t="s">
        <v>1784</v>
      </c>
      <c r="F100" s="30" t="s">
        <v>46</v>
      </c>
    </row>
    <row r="101" spans="3:6" ht="25.5" outlineLevel="2" x14ac:dyDescent="0.2">
      <c r="C101" s="62">
        <v>15000070</v>
      </c>
      <c r="D101" s="31" t="s">
        <v>1761</v>
      </c>
      <c r="E101" s="32" t="s">
        <v>1785</v>
      </c>
      <c r="F101" s="32" t="s">
        <v>46</v>
      </c>
    </row>
    <row r="102" spans="3:6" outlineLevel="2" x14ac:dyDescent="0.2">
      <c r="C102" s="62">
        <v>15000080</v>
      </c>
      <c r="D102" s="31" t="s">
        <v>1763</v>
      </c>
      <c r="E102" s="32" t="s">
        <v>1786</v>
      </c>
      <c r="F102" s="32" t="s">
        <v>46</v>
      </c>
    </row>
    <row r="103" spans="3:6" outlineLevel="2" x14ac:dyDescent="0.2">
      <c r="C103" s="62">
        <v>15000090</v>
      </c>
      <c r="D103" s="31" t="s">
        <v>1765</v>
      </c>
      <c r="E103" s="63" t="s">
        <v>1787</v>
      </c>
      <c r="F103" s="63" t="s">
        <v>46</v>
      </c>
    </row>
    <row r="104" spans="3:6" outlineLevel="2" x14ac:dyDescent="0.2">
      <c r="C104" s="62">
        <v>15200000</v>
      </c>
      <c r="D104" s="31" t="s">
        <v>1766</v>
      </c>
      <c r="E104" s="63" t="s">
        <v>1837</v>
      </c>
      <c r="F104" s="63" t="s">
        <v>46</v>
      </c>
    </row>
    <row r="105" spans="3:6" ht="25.5" outlineLevel="2" x14ac:dyDescent="0.2">
      <c r="C105" s="62">
        <v>15000250</v>
      </c>
      <c r="D105" s="31" t="s">
        <v>1767</v>
      </c>
      <c r="E105" s="32" t="s">
        <v>1788</v>
      </c>
      <c r="F105" s="63" t="s">
        <v>46</v>
      </c>
    </row>
    <row r="106" spans="3:6" ht="14.25" customHeight="1" outlineLevel="2" x14ac:dyDescent="0.2">
      <c r="C106" s="64" t="s">
        <v>365</v>
      </c>
      <c r="D106" s="65"/>
      <c r="E106" s="65"/>
      <c r="F106" s="66"/>
    </row>
    <row r="107" spans="3:6" ht="34.5" customHeight="1" outlineLevel="2" x14ac:dyDescent="0.2">
      <c r="C107" s="62">
        <v>15020010</v>
      </c>
      <c r="D107" s="31" t="s">
        <v>1769</v>
      </c>
      <c r="E107" s="32" t="s">
        <v>1838</v>
      </c>
      <c r="F107" s="32" t="s">
        <v>46</v>
      </c>
    </row>
    <row r="108" spans="3:6" ht="34.5" customHeight="1" outlineLevel="2" x14ac:dyDescent="0.2">
      <c r="C108" s="62">
        <v>15020020</v>
      </c>
      <c r="D108" s="31" t="s">
        <v>1771</v>
      </c>
      <c r="E108" s="32" t="s">
        <v>1839</v>
      </c>
      <c r="F108" s="32" t="s">
        <v>46</v>
      </c>
    </row>
    <row r="109" spans="3:6" ht="34.5" customHeight="1" outlineLevel="2" x14ac:dyDescent="0.2">
      <c r="C109" s="62">
        <v>15020030</v>
      </c>
      <c r="D109" s="31" t="s">
        <v>1773</v>
      </c>
      <c r="E109" s="32" t="s">
        <v>1840</v>
      </c>
      <c r="F109" s="32" t="s">
        <v>46</v>
      </c>
    </row>
    <row r="110" spans="3:6" ht="34.5" customHeight="1" outlineLevel="2" x14ac:dyDescent="0.2">
      <c r="C110" s="62">
        <v>15020040</v>
      </c>
      <c r="D110" s="31" t="s">
        <v>1775</v>
      </c>
      <c r="E110" s="32" t="s">
        <v>1841</v>
      </c>
      <c r="F110" s="32" t="s">
        <v>46</v>
      </c>
    </row>
    <row r="111" spans="3:6" ht="34.5" customHeight="1" outlineLevel="2" x14ac:dyDescent="0.2">
      <c r="C111" s="62">
        <v>15020080</v>
      </c>
      <c r="D111" s="31" t="s">
        <v>1777</v>
      </c>
      <c r="E111" s="32" t="s">
        <v>1842</v>
      </c>
      <c r="F111" s="32" t="s">
        <v>46</v>
      </c>
    </row>
    <row r="112" spans="3:6" ht="34.5" customHeight="1" outlineLevel="2" x14ac:dyDescent="0.2">
      <c r="C112" s="33">
        <v>15020090</v>
      </c>
      <c r="D112" s="34" t="s">
        <v>1843</v>
      </c>
      <c r="E112" s="35" t="s">
        <v>1844</v>
      </c>
      <c r="F112" s="35" t="s">
        <v>46</v>
      </c>
    </row>
    <row r="113" spans="3:23" ht="34.5" customHeight="1" outlineLevel="2" x14ac:dyDescent="0.2">
      <c r="C113" s="67"/>
      <c r="D113" s="68"/>
      <c r="E113" s="69"/>
      <c r="F113" s="69"/>
    </row>
    <row r="114" spans="3:23" s="13" customFormat="1" ht="24" customHeight="1" x14ac:dyDescent="0.2">
      <c r="C114" s="14" t="s">
        <v>1955</v>
      </c>
      <c r="D114" s="15" t="s">
        <v>1493</v>
      </c>
      <c r="E114" s="16"/>
      <c r="F114" s="16"/>
      <c r="G114" s="16"/>
      <c r="H114" s="16"/>
      <c r="I114" s="16"/>
      <c r="J114" s="16"/>
      <c r="K114" s="16"/>
      <c r="L114" s="16"/>
      <c r="M114" s="16"/>
      <c r="N114" s="16"/>
      <c r="O114" s="16"/>
      <c r="P114" s="16"/>
      <c r="Q114" s="16"/>
      <c r="R114" s="16"/>
      <c r="S114" s="16"/>
      <c r="T114" s="16"/>
      <c r="U114" s="16"/>
      <c r="V114" s="16"/>
      <c r="W114" s="16"/>
    </row>
    <row r="116" spans="3:23" outlineLevel="1" x14ac:dyDescent="0.2">
      <c r="C116" s="1" t="s">
        <v>47</v>
      </c>
    </row>
    <row r="117" spans="3:23" outlineLevel="1" x14ac:dyDescent="0.2">
      <c r="C117" s="1" t="s">
        <v>1543</v>
      </c>
    </row>
    <row r="118" spans="3:23" ht="15" outlineLevel="1" x14ac:dyDescent="0.25">
      <c r="C118" s="1" t="s">
        <v>39</v>
      </c>
    </row>
    <row r="119" spans="3:23" outlineLevel="1" x14ac:dyDescent="0.2"/>
    <row r="120" spans="3:23" ht="99.75" outlineLevel="1" x14ac:dyDescent="0.2">
      <c r="C120" s="37" t="s">
        <v>640</v>
      </c>
      <c r="D120" s="39" t="s">
        <v>1549</v>
      </c>
    </row>
    <row r="121" spans="3:23" ht="57" outlineLevel="1" x14ac:dyDescent="0.2">
      <c r="C121" s="37" t="s">
        <v>644</v>
      </c>
      <c r="D121" s="39" t="s">
        <v>1956</v>
      </c>
    </row>
    <row r="122" spans="3:23" ht="57" outlineLevel="1" x14ac:dyDescent="0.2">
      <c r="C122" s="83" t="s">
        <v>41</v>
      </c>
      <c r="D122" s="84" t="s">
        <v>1554</v>
      </c>
    </row>
    <row r="123" spans="3:23" ht="42.75" outlineLevel="1" x14ac:dyDescent="0.2">
      <c r="C123" s="83" t="s">
        <v>1550</v>
      </c>
      <c r="D123" s="84" t="s">
        <v>1551</v>
      </c>
    </row>
    <row r="124" spans="3:23" ht="85.5" outlineLevel="1" x14ac:dyDescent="0.2">
      <c r="C124" s="37" t="s">
        <v>1544</v>
      </c>
      <c r="D124" s="39" t="s">
        <v>1957</v>
      </c>
      <c r="E124" s="41"/>
    </row>
    <row r="125" spans="3:23" ht="28.5" outlineLevel="1" x14ac:dyDescent="0.2">
      <c r="C125" s="37" t="s">
        <v>1552</v>
      </c>
      <c r="D125" s="39" t="s">
        <v>1958</v>
      </c>
    </row>
    <row r="126" spans="3:23" ht="128.25" hidden="1" outlineLevel="1" x14ac:dyDescent="0.2">
      <c r="C126" s="42" t="s">
        <v>1487</v>
      </c>
      <c r="D126" s="43" t="s">
        <v>1513</v>
      </c>
    </row>
    <row r="127" spans="3:23" ht="127.5" customHeight="1" outlineLevel="1" x14ac:dyDescent="0.2">
      <c r="C127" s="40" t="s">
        <v>1488</v>
      </c>
      <c r="D127" s="38" t="s">
        <v>1959</v>
      </c>
    </row>
    <row r="128" spans="3:23" ht="28.5" outlineLevel="1" x14ac:dyDescent="0.2">
      <c r="C128" s="40" t="s">
        <v>1489</v>
      </c>
      <c r="D128" s="38" t="s">
        <v>1512</v>
      </c>
    </row>
    <row r="129" spans="3:23" ht="57.75" outlineLevel="1" x14ac:dyDescent="0.2">
      <c r="C129" s="40" t="s">
        <v>1491</v>
      </c>
      <c r="D129" s="38" t="s">
        <v>1510</v>
      </c>
    </row>
    <row r="130" spans="3:23" ht="43.5" outlineLevel="1" x14ac:dyDescent="0.2">
      <c r="C130" s="40" t="s">
        <v>455</v>
      </c>
      <c r="D130" s="38" t="s">
        <v>1511</v>
      </c>
    </row>
    <row r="131" spans="3:23" ht="57" outlineLevel="1" x14ac:dyDescent="0.2">
      <c r="C131" s="40" t="s">
        <v>1490</v>
      </c>
      <c r="D131" s="38" t="s">
        <v>1509</v>
      </c>
    </row>
    <row r="132" spans="3:23" ht="78.75" customHeight="1" outlineLevel="1" x14ac:dyDescent="0.2">
      <c r="C132" s="40" t="s">
        <v>646</v>
      </c>
      <c r="D132" s="38" t="s">
        <v>1508</v>
      </c>
    </row>
    <row r="133" spans="3:23" outlineLevel="1" x14ac:dyDescent="0.2"/>
    <row r="135" spans="3:23" s="13" customFormat="1" ht="24" customHeight="1" x14ac:dyDescent="0.2">
      <c r="C135" s="14" t="s">
        <v>1847</v>
      </c>
      <c r="D135" s="15" t="s">
        <v>1514</v>
      </c>
      <c r="E135" s="16"/>
      <c r="F135" s="16"/>
      <c r="G135" s="16"/>
      <c r="H135" s="16"/>
      <c r="I135" s="16"/>
      <c r="J135" s="16"/>
      <c r="K135" s="16"/>
      <c r="L135" s="16"/>
      <c r="M135" s="16"/>
      <c r="N135" s="16"/>
      <c r="O135" s="16"/>
      <c r="P135" s="16"/>
      <c r="Q135" s="16"/>
      <c r="R135" s="16"/>
      <c r="S135" s="16"/>
      <c r="T135" s="16"/>
      <c r="U135" s="16"/>
      <c r="V135" s="16"/>
      <c r="W135" s="16"/>
    </row>
    <row r="137" spans="3:23" outlineLevel="1" x14ac:dyDescent="0.2">
      <c r="C137" s="1" t="s">
        <v>1515</v>
      </c>
    </row>
    <row r="138" spans="3:23" outlineLevel="1" x14ac:dyDescent="0.2"/>
    <row r="139" spans="3:23" outlineLevel="1" x14ac:dyDescent="0.2">
      <c r="C139" s="1" t="s">
        <v>1516</v>
      </c>
    </row>
    <row r="140" spans="3:23" outlineLevel="1" x14ac:dyDescent="0.2">
      <c r="C140" s="1" t="s">
        <v>1553</v>
      </c>
    </row>
    <row r="141" spans="3:23" outlineLevel="1" x14ac:dyDescent="0.2"/>
    <row r="142" spans="3:23" outlineLevel="1" x14ac:dyDescent="0.2">
      <c r="C142" s="1" t="s">
        <v>1545</v>
      </c>
    </row>
    <row r="143" spans="3:23" outlineLevel="1" x14ac:dyDescent="0.2">
      <c r="C143" s="1" t="s">
        <v>1517</v>
      </c>
    </row>
    <row r="144" spans="3:23" ht="15" outlineLevel="1" x14ac:dyDescent="0.25">
      <c r="C144" s="1" t="s">
        <v>39</v>
      </c>
    </row>
    <row r="145" spans="3:6" outlineLevel="1" x14ac:dyDescent="0.2"/>
    <row r="146" spans="3:6" ht="159" outlineLevel="1" x14ac:dyDescent="0.2">
      <c r="C146" s="40" t="s">
        <v>1520</v>
      </c>
      <c r="D146" s="38" t="s">
        <v>1521</v>
      </c>
    </row>
    <row r="147" spans="3:6" ht="15" outlineLevel="1" x14ac:dyDescent="0.2">
      <c r="C147" s="40" t="s">
        <v>643</v>
      </c>
      <c r="D147" s="38" t="s">
        <v>1960</v>
      </c>
    </row>
    <row r="148" spans="3:6" ht="28.5" outlineLevel="1" x14ac:dyDescent="0.2">
      <c r="C148" s="40" t="s">
        <v>48</v>
      </c>
      <c r="D148" s="38" t="s">
        <v>1519</v>
      </c>
    </row>
    <row r="149" spans="3:6" ht="28.5" outlineLevel="1" x14ac:dyDescent="0.2">
      <c r="C149" s="40" t="s">
        <v>642</v>
      </c>
      <c r="D149" s="38" t="s">
        <v>1518</v>
      </c>
    </row>
    <row r="150" spans="3:6" ht="71.25" outlineLevel="1" x14ac:dyDescent="0.2">
      <c r="C150" s="40" t="s">
        <v>451</v>
      </c>
      <c r="D150" s="38" t="s">
        <v>1961</v>
      </c>
    </row>
    <row r="151" spans="3:6" outlineLevel="1" x14ac:dyDescent="0.2"/>
    <row r="152" spans="3:6" outlineLevel="1" x14ac:dyDescent="0.2">
      <c r="C152" s="24" t="s">
        <v>49</v>
      </c>
    </row>
    <row r="153" spans="3:6" outlineLevel="2" x14ac:dyDescent="0.2">
      <c r="C153" s="21" t="s">
        <v>42</v>
      </c>
      <c r="D153" s="21" t="s">
        <v>43</v>
      </c>
      <c r="E153" s="26" t="s">
        <v>44</v>
      </c>
      <c r="F153" s="26" t="s">
        <v>45</v>
      </c>
    </row>
    <row r="154" spans="3:6" outlineLevel="2" x14ac:dyDescent="0.2">
      <c r="C154" s="47" t="s">
        <v>1494</v>
      </c>
      <c r="D154" s="30" t="s">
        <v>50</v>
      </c>
      <c r="E154" s="30" t="s">
        <v>51</v>
      </c>
      <c r="F154" s="45" t="s">
        <v>52</v>
      </c>
    </row>
    <row r="155" spans="3:6" outlineLevel="2" x14ac:dyDescent="0.2">
      <c r="C155" s="47" t="s">
        <v>1495</v>
      </c>
      <c r="D155" s="30" t="s">
        <v>53</v>
      </c>
      <c r="E155" s="30" t="s">
        <v>54</v>
      </c>
      <c r="F155" s="46" t="s">
        <v>52</v>
      </c>
    </row>
    <row r="156" spans="3:6" ht="25.5" outlineLevel="2" x14ac:dyDescent="0.2">
      <c r="C156" s="47" t="s">
        <v>1496</v>
      </c>
      <c r="D156" s="30" t="s">
        <v>55</v>
      </c>
      <c r="E156" s="30" t="s">
        <v>56</v>
      </c>
      <c r="F156" s="30" t="s">
        <v>52</v>
      </c>
    </row>
    <row r="157" spans="3:6" outlineLevel="2" x14ac:dyDescent="0.2">
      <c r="C157" s="47" t="s">
        <v>1497</v>
      </c>
      <c r="D157" s="30" t="s">
        <v>57</v>
      </c>
      <c r="E157" s="30" t="s">
        <v>58</v>
      </c>
      <c r="F157" s="30" t="s">
        <v>52</v>
      </c>
    </row>
    <row r="158" spans="3:6" outlineLevel="2" x14ac:dyDescent="0.2">
      <c r="C158" s="47" t="s">
        <v>1498</v>
      </c>
      <c r="D158" s="30" t="s">
        <v>59</v>
      </c>
      <c r="E158" s="30" t="s">
        <v>60</v>
      </c>
      <c r="F158" s="30" t="s">
        <v>52</v>
      </c>
    </row>
    <row r="159" spans="3:6" outlineLevel="2" x14ac:dyDescent="0.2">
      <c r="C159" s="47" t="s">
        <v>1499</v>
      </c>
      <c r="D159" s="30" t="s">
        <v>61</v>
      </c>
      <c r="E159" s="30" t="s">
        <v>62</v>
      </c>
      <c r="F159" s="30" t="s">
        <v>52</v>
      </c>
    </row>
    <row r="160" spans="3:6" outlineLevel="2" x14ac:dyDescent="0.2">
      <c r="C160" s="47" t="s">
        <v>1500</v>
      </c>
      <c r="D160" s="30" t="s">
        <v>63</v>
      </c>
      <c r="E160" s="30" t="s">
        <v>64</v>
      </c>
      <c r="F160" s="30" t="s">
        <v>52</v>
      </c>
    </row>
    <row r="161" spans="3:6" outlineLevel="2" x14ac:dyDescent="0.2">
      <c r="C161" s="47" t="s">
        <v>1501</v>
      </c>
      <c r="D161" s="30" t="s">
        <v>65</v>
      </c>
      <c r="E161" s="30" t="s">
        <v>66</v>
      </c>
      <c r="F161" s="32" t="s">
        <v>52</v>
      </c>
    </row>
    <row r="162" spans="3:6" outlineLevel="2" x14ac:dyDescent="0.2">
      <c r="C162" s="47" t="s">
        <v>1502</v>
      </c>
      <c r="D162" s="30" t="s">
        <v>67</v>
      </c>
      <c r="E162" s="30" t="s">
        <v>68</v>
      </c>
      <c r="F162" s="32" t="s">
        <v>52</v>
      </c>
    </row>
    <row r="163" spans="3:6" outlineLevel="2" x14ac:dyDescent="0.2">
      <c r="C163" s="47" t="s">
        <v>1503</v>
      </c>
      <c r="D163" s="30" t="s">
        <v>69</v>
      </c>
      <c r="E163" s="30" t="s">
        <v>70</v>
      </c>
      <c r="F163" s="32" t="s">
        <v>52</v>
      </c>
    </row>
    <row r="164" spans="3:6" outlineLevel="2" x14ac:dyDescent="0.2">
      <c r="C164" s="47" t="s">
        <v>1504</v>
      </c>
      <c r="D164" s="30" t="s">
        <v>71</v>
      </c>
      <c r="E164" s="30" t="s">
        <v>72</v>
      </c>
      <c r="F164" s="32" t="s">
        <v>52</v>
      </c>
    </row>
    <row r="165" spans="3:6" outlineLevel="2" x14ac:dyDescent="0.2">
      <c r="C165" s="47" t="s">
        <v>1505</v>
      </c>
      <c r="D165" s="30" t="s">
        <v>73</v>
      </c>
      <c r="E165" s="30" t="s">
        <v>74</v>
      </c>
      <c r="F165" s="32" t="s">
        <v>52</v>
      </c>
    </row>
    <row r="166" spans="3:6" outlineLevel="2" x14ac:dyDescent="0.2">
      <c r="C166" s="47" t="s">
        <v>458</v>
      </c>
      <c r="D166" s="30" t="s">
        <v>75</v>
      </c>
      <c r="E166" s="30" t="s">
        <v>76</v>
      </c>
      <c r="F166" s="32" t="s">
        <v>52</v>
      </c>
    </row>
    <row r="167" spans="3:6" outlineLevel="2" x14ac:dyDescent="0.2">
      <c r="C167" s="47" t="s">
        <v>459</v>
      </c>
      <c r="D167" s="30" t="s">
        <v>77</v>
      </c>
      <c r="E167" s="30" t="s">
        <v>78</v>
      </c>
      <c r="F167" s="32" t="s">
        <v>52</v>
      </c>
    </row>
    <row r="168" spans="3:6" ht="25.5" outlineLevel="2" x14ac:dyDescent="0.2">
      <c r="C168" s="47" t="s">
        <v>460</v>
      </c>
      <c r="D168" s="30" t="s">
        <v>79</v>
      </c>
      <c r="E168" s="30" t="s">
        <v>80</v>
      </c>
      <c r="F168" s="32" t="s">
        <v>52</v>
      </c>
    </row>
    <row r="169" spans="3:6" outlineLevel="2" x14ac:dyDescent="0.2">
      <c r="C169" s="47" t="s">
        <v>461</v>
      </c>
      <c r="D169" s="30" t="s">
        <v>81</v>
      </c>
      <c r="E169" s="30" t="s">
        <v>82</v>
      </c>
      <c r="F169" s="32" t="s">
        <v>52</v>
      </c>
    </row>
    <row r="170" spans="3:6" outlineLevel="2" x14ac:dyDescent="0.2">
      <c r="C170" s="47" t="s">
        <v>462</v>
      </c>
      <c r="D170" s="30" t="s">
        <v>83</v>
      </c>
      <c r="E170" s="30" t="s">
        <v>84</v>
      </c>
      <c r="F170" s="32" t="s">
        <v>52</v>
      </c>
    </row>
    <row r="171" spans="3:6" outlineLevel="2" x14ac:dyDescent="0.2">
      <c r="C171" s="47" t="s">
        <v>463</v>
      </c>
      <c r="D171" s="30" t="s">
        <v>85</v>
      </c>
      <c r="E171" s="30" t="s">
        <v>86</v>
      </c>
      <c r="F171" s="32" t="s">
        <v>52</v>
      </c>
    </row>
    <row r="172" spans="3:6" outlineLevel="2" x14ac:dyDescent="0.2">
      <c r="C172" s="47" t="s">
        <v>464</v>
      </c>
      <c r="D172" s="30" t="s">
        <v>87</v>
      </c>
      <c r="E172" s="30" t="s">
        <v>88</v>
      </c>
      <c r="F172" s="32" t="s">
        <v>52</v>
      </c>
    </row>
    <row r="173" spans="3:6" outlineLevel="2" x14ac:dyDescent="0.2">
      <c r="C173" s="47" t="s">
        <v>465</v>
      </c>
      <c r="D173" s="30" t="s">
        <v>89</v>
      </c>
      <c r="E173" s="30" t="s">
        <v>90</v>
      </c>
      <c r="F173" s="32" t="s">
        <v>52</v>
      </c>
    </row>
    <row r="174" spans="3:6" outlineLevel="2" x14ac:dyDescent="0.2">
      <c r="C174" s="47" t="s">
        <v>466</v>
      </c>
      <c r="D174" s="30" t="s">
        <v>91</v>
      </c>
      <c r="E174" s="30" t="s">
        <v>92</v>
      </c>
      <c r="F174" s="32" t="s">
        <v>52</v>
      </c>
    </row>
    <row r="175" spans="3:6" outlineLevel="2" x14ac:dyDescent="0.2">
      <c r="C175" s="47" t="s">
        <v>467</v>
      </c>
      <c r="D175" s="30" t="s">
        <v>93</v>
      </c>
      <c r="E175" s="30" t="s">
        <v>94</v>
      </c>
      <c r="F175" s="32" t="s">
        <v>52</v>
      </c>
    </row>
    <row r="176" spans="3:6" outlineLevel="2" x14ac:dyDescent="0.2">
      <c r="C176" s="47" t="s">
        <v>468</v>
      </c>
      <c r="D176" s="30" t="s">
        <v>95</v>
      </c>
      <c r="E176" s="30" t="s">
        <v>96</v>
      </c>
      <c r="F176" s="32" t="s">
        <v>52</v>
      </c>
    </row>
    <row r="177" spans="3:6" outlineLevel="2" x14ac:dyDescent="0.2">
      <c r="C177" s="47" t="s">
        <v>469</v>
      </c>
      <c r="D177" s="30" t="s">
        <v>97</v>
      </c>
      <c r="E177" s="30" t="s">
        <v>98</v>
      </c>
      <c r="F177" s="32" t="s">
        <v>52</v>
      </c>
    </row>
    <row r="178" spans="3:6" outlineLevel="2" x14ac:dyDescent="0.2">
      <c r="C178" s="47" t="s">
        <v>1506</v>
      </c>
      <c r="D178" s="30" t="s">
        <v>99</v>
      </c>
      <c r="E178" s="30" t="s">
        <v>100</v>
      </c>
      <c r="F178" s="32" t="s">
        <v>101</v>
      </c>
    </row>
    <row r="179" spans="3:6" outlineLevel="2" x14ac:dyDescent="0.2">
      <c r="C179" s="47" t="s">
        <v>470</v>
      </c>
      <c r="D179" s="30" t="s">
        <v>99</v>
      </c>
      <c r="E179" s="30" t="s">
        <v>100</v>
      </c>
      <c r="F179" s="32" t="s">
        <v>101</v>
      </c>
    </row>
    <row r="180" spans="3:6" outlineLevel="2" x14ac:dyDescent="0.2">
      <c r="C180" s="47" t="s">
        <v>471</v>
      </c>
      <c r="D180" s="30" t="s">
        <v>102</v>
      </c>
      <c r="E180" s="30" t="s">
        <v>103</v>
      </c>
      <c r="F180" s="32" t="s">
        <v>46</v>
      </c>
    </row>
    <row r="181" spans="3:6" outlineLevel="2" x14ac:dyDescent="0.2">
      <c r="C181" s="47" t="s">
        <v>472</v>
      </c>
      <c r="D181" s="30" t="s">
        <v>104</v>
      </c>
      <c r="E181" s="30" t="s">
        <v>105</v>
      </c>
      <c r="F181" s="32" t="s">
        <v>46</v>
      </c>
    </row>
    <row r="182" spans="3:6" outlineLevel="2" x14ac:dyDescent="0.2">
      <c r="C182" s="47" t="s">
        <v>473</v>
      </c>
      <c r="D182" s="30" t="s">
        <v>106</v>
      </c>
      <c r="E182" s="30" t="s">
        <v>107</v>
      </c>
      <c r="F182" s="32" t="s">
        <v>108</v>
      </c>
    </row>
    <row r="183" spans="3:6" outlineLevel="2" x14ac:dyDescent="0.2">
      <c r="C183" s="47" t="s">
        <v>474</v>
      </c>
      <c r="D183" s="30" t="s">
        <v>109</v>
      </c>
      <c r="E183" s="30" t="s">
        <v>110</v>
      </c>
      <c r="F183" s="32" t="s">
        <v>108</v>
      </c>
    </row>
    <row r="184" spans="3:6" outlineLevel="2" x14ac:dyDescent="0.2">
      <c r="C184" s="47" t="s">
        <v>475</v>
      </c>
      <c r="D184" s="30" t="s">
        <v>111</v>
      </c>
      <c r="E184" s="30" t="s">
        <v>112</v>
      </c>
      <c r="F184" s="32" t="s">
        <v>108</v>
      </c>
    </row>
    <row r="185" spans="3:6" outlineLevel="2" x14ac:dyDescent="0.2">
      <c r="C185" s="47" t="s">
        <v>476</v>
      </c>
      <c r="D185" s="30" t="s">
        <v>113</v>
      </c>
      <c r="E185" s="30" t="s">
        <v>114</v>
      </c>
      <c r="F185" s="32" t="s">
        <v>34</v>
      </c>
    </row>
    <row r="186" spans="3:6" ht="25.5" outlineLevel="2" x14ac:dyDescent="0.2">
      <c r="C186" s="47" t="s">
        <v>481</v>
      </c>
      <c r="D186" s="30" t="s">
        <v>115</v>
      </c>
      <c r="E186" s="30" t="s">
        <v>116</v>
      </c>
      <c r="F186" s="32" t="s">
        <v>108</v>
      </c>
    </row>
    <row r="187" spans="3:6" ht="25.5" outlineLevel="2" x14ac:dyDescent="0.2">
      <c r="C187" s="47" t="s">
        <v>477</v>
      </c>
      <c r="D187" s="30" t="s">
        <v>585</v>
      </c>
      <c r="E187" s="30" t="s">
        <v>1522</v>
      </c>
      <c r="F187" s="32" t="s">
        <v>108</v>
      </c>
    </row>
    <row r="188" spans="3:6" ht="25.5" outlineLevel="2" x14ac:dyDescent="0.2">
      <c r="C188" s="47" t="s">
        <v>478</v>
      </c>
      <c r="D188" s="30" t="s">
        <v>586</v>
      </c>
      <c r="E188" s="30" t="s">
        <v>1523</v>
      </c>
      <c r="F188" s="32" t="s">
        <v>46</v>
      </c>
    </row>
    <row r="189" spans="3:6" ht="25.5" outlineLevel="2" x14ac:dyDescent="0.2">
      <c r="C189" s="47" t="s">
        <v>480</v>
      </c>
      <c r="D189" s="30" t="s">
        <v>588</v>
      </c>
      <c r="E189" s="30" t="s">
        <v>1524</v>
      </c>
      <c r="F189" s="32" t="s">
        <v>46</v>
      </c>
    </row>
    <row r="190" spans="3:6" outlineLevel="2" x14ac:dyDescent="0.2">
      <c r="C190" s="47" t="s">
        <v>482</v>
      </c>
      <c r="D190" s="30" t="s">
        <v>117</v>
      </c>
      <c r="E190" s="30" t="s">
        <v>118</v>
      </c>
      <c r="F190" s="32" t="s">
        <v>108</v>
      </c>
    </row>
    <row r="191" spans="3:6" outlineLevel="2" x14ac:dyDescent="0.2">
      <c r="C191" s="47" t="s">
        <v>483</v>
      </c>
      <c r="D191" s="30" t="s">
        <v>119</v>
      </c>
      <c r="E191" s="30" t="s">
        <v>120</v>
      </c>
      <c r="F191" s="32" t="s">
        <v>108</v>
      </c>
    </row>
    <row r="192" spans="3:6" outlineLevel="2" x14ac:dyDescent="0.2">
      <c r="C192" s="47" t="s">
        <v>484</v>
      </c>
      <c r="D192" s="30" t="s">
        <v>121</v>
      </c>
      <c r="E192" s="30" t="s">
        <v>122</v>
      </c>
      <c r="F192" s="32" t="s">
        <v>123</v>
      </c>
    </row>
    <row r="193" spans="3:6" outlineLevel="2" x14ac:dyDescent="0.2">
      <c r="C193" s="47" t="s">
        <v>485</v>
      </c>
      <c r="D193" s="30" t="s">
        <v>124</v>
      </c>
      <c r="E193" s="30" t="s">
        <v>125</v>
      </c>
      <c r="F193" s="32" t="s">
        <v>123</v>
      </c>
    </row>
    <row r="194" spans="3:6" outlineLevel="2" x14ac:dyDescent="0.2">
      <c r="C194" s="47" t="s">
        <v>486</v>
      </c>
      <c r="D194" s="30" t="s">
        <v>126</v>
      </c>
      <c r="E194" s="30" t="s">
        <v>127</v>
      </c>
      <c r="F194" s="32" t="s">
        <v>108</v>
      </c>
    </row>
    <row r="195" spans="3:6" outlineLevel="2" x14ac:dyDescent="0.2">
      <c r="C195" s="47" t="s">
        <v>487</v>
      </c>
      <c r="D195" s="30" t="s">
        <v>128</v>
      </c>
      <c r="E195" s="30" t="s">
        <v>129</v>
      </c>
      <c r="F195" s="32" t="s">
        <v>108</v>
      </c>
    </row>
    <row r="196" spans="3:6" outlineLevel="2" x14ac:dyDescent="0.2">
      <c r="C196" s="47" t="s">
        <v>488</v>
      </c>
      <c r="D196" s="30" t="s">
        <v>130</v>
      </c>
      <c r="E196" s="30" t="s">
        <v>131</v>
      </c>
      <c r="F196" s="32" t="s">
        <v>132</v>
      </c>
    </row>
    <row r="197" spans="3:6" outlineLevel="2" x14ac:dyDescent="0.2">
      <c r="C197" s="47" t="s">
        <v>489</v>
      </c>
      <c r="D197" s="30" t="s">
        <v>133</v>
      </c>
      <c r="E197" s="30" t="s">
        <v>134</v>
      </c>
      <c r="F197" s="32" t="s">
        <v>108</v>
      </c>
    </row>
    <row r="198" spans="3:6" outlineLevel="2" x14ac:dyDescent="0.2">
      <c r="C198" s="47" t="s">
        <v>490</v>
      </c>
      <c r="D198" s="30" t="s">
        <v>135</v>
      </c>
      <c r="E198" s="30" t="s">
        <v>136</v>
      </c>
      <c r="F198" s="32" t="s">
        <v>108</v>
      </c>
    </row>
    <row r="199" spans="3:6" ht="25.5" outlineLevel="2" x14ac:dyDescent="0.2">
      <c r="C199" s="47" t="s">
        <v>525</v>
      </c>
      <c r="D199" s="30" t="s">
        <v>137</v>
      </c>
      <c r="E199" s="30" t="s">
        <v>138</v>
      </c>
      <c r="F199" s="32" t="s">
        <v>46</v>
      </c>
    </row>
    <row r="200" spans="3:6" outlineLevel="2" x14ac:dyDescent="0.2">
      <c r="C200" s="47" t="s">
        <v>526</v>
      </c>
      <c r="D200" s="30" t="s">
        <v>139</v>
      </c>
      <c r="E200" s="30" t="s">
        <v>140</v>
      </c>
      <c r="F200" s="32" t="s">
        <v>46</v>
      </c>
    </row>
    <row r="201" spans="3:6" outlineLevel="2" x14ac:dyDescent="0.2">
      <c r="C201" s="47" t="s">
        <v>527</v>
      </c>
      <c r="D201" s="30" t="s">
        <v>141</v>
      </c>
      <c r="E201" s="30" t="s">
        <v>142</v>
      </c>
      <c r="F201" s="32" t="s">
        <v>46</v>
      </c>
    </row>
    <row r="202" spans="3:6" ht="25.5" outlineLevel="2" x14ac:dyDescent="0.2">
      <c r="C202" s="47" t="s">
        <v>528</v>
      </c>
      <c r="D202" s="30" t="s">
        <v>143</v>
      </c>
      <c r="E202" s="30" t="s">
        <v>144</v>
      </c>
      <c r="F202" s="32" t="s">
        <v>46</v>
      </c>
    </row>
    <row r="203" spans="3:6" ht="25.5" outlineLevel="2" x14ac:dyDescent="0.2">
      <c r="C203" s="47" t="s">
        <v>529</v>
      </c>
      <c r="D203" s="30" t="s">
        <v>145</v>
      </c>
      <c r="E203" s="30" t="s">
        <v>146</v>
      </c>
      <c r="F203" s="32" t="s">
        <v>46</v>
      </c>
    </row>
    <row r="204" spans="3:6" outlineLevel="2" x14ac:dyDescent="0.2">
      <c r="C204" s="47" t="s">
        <v>530</v>
      </c>
      <c r="D204" s="30" t="s">
        <v>147</v>
      </c>
      <c r="E204" s="30" t="s">
        <v>148</v>
      </c>
      <c r="F204" s="32" t="s">
        <v>46</v>
      </c>
    </row>
    <row r="205" spans="3:6" ht="25.5" outlineLevel="2" x14ac:dyDescent="0.2">
      <c r="C205" s="47" t="s">
        <v>531</v>
      </c>
      <c r="D205" s="30" t="s">
        <v>149</v>
      </c>
      <c r="E205" s="30" t="s">
        <v>1526</v>
      </c>
      <c r="F205" s="32" t="s">
        <v>108</v>
      </c>
    </row>
    <row r="206" spans="3:6" ht="25.5" outlineLevel="2" x14ac:dyDescent="0.2">
      <c r="C206" s="47" t="s">
        <v>532</v>
      </c>
      <c r="D206" s="30" t="s">
        <v>150</v>
      </c>
      <c r="E206" s="30" t="s">
        <v>1527</v>
      </c>
      <c r="F206" s="32" t="s">
        <v>151</v>
      </c>
    </row>
    <row r="207" spans="3:6" ht="38.25" outlineLevel="2" x14ac:dyDescent="0.2">
      <c r="C207" s="47" t="s">
        <v>533</v>
      </c>
      <c r="D207" s="30" t="s">
        <v>152</v>
      </c>
      <c r="E207" s="30" t="s">
        <v>1528</v>
      </c>
      <c r="F207" s="32" t="s">
        <v>108</v>
      </c>
    </row>
    <row r="208" spans="3:6" ht="38.25" outlineLevel="2" x14ac:dyDescent="0.2">
      <c r="C208" s="47" t="s">
        <v>534</v>
      </c>
      <c r="D208" s="30" t="s">
        <v>153</v>
      </c>
      <c r="E208" s="30" t="s">
        <v>1529</v>
      </c>
      <c r="F208" s="32" t="s">
        <v>46</v>
      </c>
    </row>
    <row r="209" spans="3:6" ht="38.25" outlineLevel="2" x14ac:dyDescent="0.2">
      <c r="C209" s="47" t="s">
        <v>535</v>
      </c>
      <c r="D209" s="30" t="s">
        <v>625</v>
      </c>
      <c r="E209" s="30" t="s">
        <v>1530</v>
      </c>
      <c r="F209" s="32" t="s">
        <v>46</v>
      </c>
    </row>
    <row r="210" spans="3:6" ht="38.25" outlineLevel="2" x14ac:dyDescent="0.2">
      <c r="C210" s="47" t="s">
        <v>536</v>
      </c>
      <c r="D210" s="30" t="s">
        <v>626</v>
      </c>
      <c r="E210" s="30" t="s">
        <v>1531</v>
      </c>
      <c r="F210" s="32" t="s">
        <v>46</v>
      </c>
    </row>
    <row r="211" spans="3:6" outlineLevel="2" x14ac:dyDescent="0.2">
      <c r="C211" s="47" t="s">
        <v>537</v>
      </c>
      <c r="D211" s="30" t="s">
        <v>154</v>
      </c>
      <c r="E211" s="30" t="s">
        <v>1532</v>
      </c>
      <c r="F211" s="32" t="s">
        <v>46</v>
      </c>
    </row>
    <row r="212" spans="3:6" outlineLevel="2" x14ac:dyDescent="0.2">
      <c r="C212" s="47" t="s">
        <v>538</v>
      </c>
      <c r="D212" s="30" t="s">
        <v>155</v>
      </c>
      <c r="E212" s="30" t="s">
        <v>156</v>
      </c>
      <c r="F212" s="32" t="s">
        <v>123</v>
      </c>
    </row>
    <row r="213" spans="3:6" outlineLevel="2" x14ac:dyDescent="0.2">
      <c r="C213" s="47" t="s">
        <v>539</v>
      </c>
      <c r="D213" s="30" t="s">
        <v>157</v>
      </c>
      <c r="E213" s="30" t="s">
        <v>158</v>
      </c>
      <c r="F213" s="32" t="s">
        <v>108</v>
      </c>
    </row>
    <row r="214" spans="3:6" outlineLevel="2" x14ac:dyDescent="0.2">
      <c r="C214" s="47" t="s">
        <v>540</v>
      </c>
      <c r="D214" s="30" t="s">
        <v>159</v>
      </c>
      <c r="E214" s="30" t="s">
        <v>160</v>
      </c>
      <c r="F214" s="32" t="s">
        <v>108</v>
      </c>
    </row>
    <row r="215" spans="3:6" outlineLevel="2" x14ac:dyDescent="0.2">
      <c r="C215" s="47" t="s">
        <v>541</v>
      </c>
      <c r="D215" s="30" t="s">
        <v>161</v>
      </c>
      <c r="E215" s="30" t="s">
        <v>162</v>
      </c>
      <c r="F215" s="32" t="s">
        <v>108</v>
      </c>
    </row>
    <row r="216" spans="3:6" outlineLevel="2" x14ac:dyDescent="0.2">
      <c r="C216" s="47" t="s">
        <v>542</v>
      </c>
      <c r="D216" s="30" t="s">
        <v>163</v>
      </c>
      <c r="E216" s="30" t="s">
        <v>164</v>
      </c>
      <c r="F216" s="32" t="s">
        <v>151</v>
      </c>
    </row>
    <row r="217" spans="3:6" outlineLevel="2" x14ac:dyDescent="0.2">
      <c r="C217" s="47" t="s">
        <v>543</v>
      </c>
      <c r="D217" s="30" t="s">
        <v>165</v>
      </c>
      <c r="E217" s="30" t="s">
        <v>166</v>
      </c>
      <c r="F217" s="32" t="s">
        <v>151</v>
      </c>
    </row>
    <row r="218" spans="3:6" outlineLevel="2" x14ac:dyDescent="0.2">
      <c r="C218" s="47" t="s">
        <v>544</v>
      </c>
      <c r="D218" s="30" t="s">
        <v>167</v>
      </c>
      <c r="E218" s="30" t="s">
        <v>168</v>
      </c>
      <c r="F218" s="32" t="s">
        <v>169</v>
      </c>
    </row>
    <row r="219" spans="3:6" outlineLevel="2" x14ac:dyDescent="0.2">
      <c r="C219" s="47" t="s">
        <v>545</v>
      </c>
      <c r="D219" s="30" t="s">
        <v>170</v>
      </c>
      <c r="E219" s="30" t="s">
        <v>171</v>
      </c>
      <c r="F219" s="32" t="s">
        <v>46</v>
      </c>
    </row>
    <row r="220" spans="3:6" outlineLevel="2" x14ac:dyDescent="0.2">
      <c r="C220" s="47" t="s">
        <v>546</v>
      </c>
      <c r="D220" s="30" t="s">
        <v>172</v>
      </c>
      <c r="E220" s="30" t="s">
        <v>173</v>
      </c>
      <c r="F220" s="32" t="s">
        <v>46</v>
      </c>
    </row>
    <row r="221" spans="3:6" outlineLevel="2" x14ac:dyDescent="0.2">
      <c r="C221" s="47" t="s">
        <v>547</v>
      </c>
      <c r="D221" s="30" t="s">
        <v>174</v>
      </c>
      <c r="E221" s="30" t="s">
        <v>175</v>
      </c>
      <c r="F221" s="32" t="s">
        <v>46</v>
      </c>
    </row>
    <row r="222" spans="3:6" outlineLevel="2" x14ac:dyDescent="0.2">
      <c r="C222" s="47" t="s">
        <v>548</v>
      </c>
      <c r="D222" s="30" t="s">
        <v>176</v>
      </c>
      <c r="E222" s="30" t="s">
        <v>177</v>
      </c>
      <c r="F222" s="32" t="s">
        <v>178</v>
      </c>
    </row>
    <row r="223" spans="3:6" outlineLevel="2" x14ac:dyDescent="0.2">
      <c r="C223" s="47" t="s">
        <v>549</v>
      </c>
      <c r="D223" s="30" t="s">
        <v>179</v>
      </c>
      <c r="E223" s="30" t="s">
        <v>180</v>
      </c>
      <c r="F223" s="32" t="s">
        <v>181</v>
      </c>
    </row>
    <row r="224" spans="3:6" outlineLevel="2" x14ac:dyDescent="0.2">
      <c r="C224" s="47" t="s">
        <v>550</v>
      </c>
      <c r="D224" s="30" t="s">
        <v>182</v>
      </c>
      <c r="E224" s="30" t="s">
        <v>183</v>
      </c>
      <c r="F224" s="32" t="s">
        <v>101</v>
      </c>
    </row>
    <row r="225" spans="3:6" outlineLevel="2" x14ac:dyDescent="0.2">
      <c r="C225" s="47" t="s">
        <v>551</v>
      </c>
      <c r="D225" s="30" t="s">
        <v>184</v>
      </c>
      <c r="E225" s="30" t="s">
        <v>185</v>
      </c>
      <c r="F225" s="32" t="s">
        <v>46</v>
      </c>
    </row>
    <row r="226" spans="3:6" outlineLevel="2" x14ac:dyDescent="0.2">
      <c r="C226" s="47" t="s">
        <v>1555</v>
      </c>
      <c r="D226" s="30" t="s">
        <v>1556</v>
      </c>
      <c r="E226" s="30" t="s">
        <v>1557</v>
      </c>
      <c r="F226" s="32" t="s">
        <v>46</v>
      </c>
    </row>
    <row r="227" spans="3:6" outlineLevel="2" x14ac:dyDescent="0.2">
      <c r="C227" s="47" t="s">
        <v>552</v>
      </c>
      <c r="D227" s="30" t="s">
        <v>186</v>
      </c>
      <c r="E227" s="30" t="s">
        <v>187</v>
      </c>
      <c r="F227" s="32" t="s">
        <v>46</v>
      </c>
    </row>
    <row r="228" spans="3:6" ht="25.5" outlineLevel="2" x14ac:dyDescent="0.2">
      <c r="C228" s="47" t="s">
        <v>553</v>
      </c>
      <c r="D228" s="30" t="s">
        <v>188</v>
      </c>
      <c r="E228" s="30" t="s">
        <v>189</v>
      </c>
      <c r="F228" s="32" t="s">
        <v>190</v>
      </c>
    </row>
    <row r="229" spans="3:6" outlineLevel="2" x14ac:dyDescent="0.2">
      <c r="C229" s="47" t="s">
        <v>554</v>
      </c>
      <c r="D229" s="30" t="s">
        <v>191</v>
      </c>
      <c r="E229" s="30" t="s">
        <v>192</v>
      </c>
      <c r="F229" s="32" t="s">
        <v>193</v>
      </c>
    </row>
    <row r="230" spans="3:6" outlineLevel="2" x14ac:dyDescent="0.2">
      <c r="C230" s="47" t="s">
        <v>555</v>
      </c>
      <c r="D230" s="30" t="s">
        <v>194</v>
      </c>
      <c r="E230" s="30" t="s">
        <v>195</v>
      </c>
      <c r="F230" s="32" t="s">
        <v>196</v>
      </c>
    </row>
    <row r="231" spans="3:6" outlineLevel="2" x14ac:dyDescent="0.2">
      <c r="C231" s="47" t="s">
        <v>556</v>
      </c>
      <c r="D231" s="30" t="s">
        <v>197</v>
      </c>
      <c r="E231" s="30" t="s">
        <v>198</v>
      </c>
      <c r="F231" s="32" t="s">
        <v>199</v>
      </c>
    </row>
    <row r="232" spans="3:6" outlineLevel="2" x14ac:dyDescent="0.2">
      <c r="C232" s="47" t="s">
        <v>557</v>
      </c>
      <c r="D232" s="30" t="s">
        <v>200</v>
      </c>
      <c r="E232" s="30" t="s">
        <v>201</v>
      </c>
      <c r="F232" s="32" t="s">
        <v>199</v>
      </c>
    </row>
    <row r="233" spans="3:6" outlineLevel="2" x14ac:dyDescent="0.2">
      <c r="C233" s="47" t="s">
        <v>558</v>
      </c>
      <c r="D233" s="30" t="s">
        <v>202</v>
      </c>
      <c r="E233" s="30" t="s">
        <v>203</v>
      </c>
      <c r="F233" s="32" t="s">
        <v>178</v>
      </c>
    </row>
    <row r="234" spans="3:6" outlineLevel="2" x14ac:dyDescent="0.2">
      <c r="C234" s="47" t="s">
        <v>559</v>
      </c>
      <c r="D234" s="30" t="s">
        <v>204</v>
      </c>
      <c r="E234" s="30" t="s">
        <v>205</v>
      </c>
      <c r="F234" s="32" t="s">
        <v>46</v>
      </c>
    </row>
    <row r="235" spans="3:6" outlineLevel="2" x14ac:dyDescent="0.2">
      <c r="C235" s="47" t="s">
        <v>560</v>
      </c>
      <c r="D235" s="30" t="s">
        <v>206</v>
      </c>
      <c r="E235" s="30" t="s">
        <v>207</v>
      </c>
      <c r="F235" s="32" t="s">
        <v>46</v>
      </c>
    </row>
    <row r="236" spans="3:6" ht="25.5" outlineLevel="2" x14ac:dyDescent="0.2">
      <c r="C236" s="47" t="s">
        <v>561</v>
      </c>
      <c r="D236" s="30" t="s">
        <v>208</v>
      </c>
      <c r="E236" s="30" t="s">
        <v>209</v>
      </c>
      <c r="F236" s="32" t="s">
        <v>46</v>
      </c>
    </row>
    <row r="237" spans="3:6" ht="25.5" outlineLevel="2" x14ac:dyDescent="0.2">
      <c r="C237" s="47" t="s">
        <v>562</v>
      </c>
      <c r="D237" s="30" t="s">
        <v>210</v>
      </c>
      <c r="E237" s="30" t="s">
        <v>211</v>
      </c>
      <c r="F237" s="32" t="s">
        <v>46</v>
      </c>
    </row>
    <row r="238" spans="3:6" outlineLevel="2" x14ac:dyDescent="0.2">
      <c r="C238" s="47" t="s">
        <v>563</v>
      </c>
      <c r="D238" s="30" t="s">
        <v>212</v>
      </c>
      <c r="E238" s="30" t="s">
        <v>213</v>
      </c>
      <c r="F238" s="32" t="s">
        <v>46</v>
      </c>
    </row>
    <row r="239" spans="3:6" outlineLevel="2" x14ac:dyDescent="0.2">
      <c r="C239" s="47" t="s">
        <v>564</v>
      </c>
      <c r="D239" s="30" t="s">
        <v>214</v>
      </c>
      <c r="E239" s="30" t="s">
        <v>215</v>
      </c>
      <c r="F239" s="32" t="s">
        <v>46</v>
      </c>
    </row>
    <row r="240" spans="3:6" outlineLevel="2" x14ac:dyDescent="0.2">
      <c r="C240" s="47" t="s">
        <v>565</v>
      </c>
      <c r="D240" s="30" t="s">
        <v>216</v>
      </c>
      <c r="E240" s="30" t="s">
        <v>217</v>
      </c>
      <c r="F240" s="32" t="s">
        <v>46</v>
      </c>
    </row>
    <row r="241" spans="3:6" ht="89.25" outlineLevel="2" x14ac:dyDescent="0.2">
      <c r="C241" s="47" t="s">
        <v>566</v>
      </c>
      <c r="D241" s="30" t="s">
        <v>218</v>
      </c>
      <c r="E241" s="30" t="s">
        <v>219</v>
      </c>
      <c r="F241" s="32" t="s">
        <v>46</v>
      </c>
    </row>
    <row r="242" spans="3:6" outlineLevel="2" x14ac:dyDescent="0.2">
      <c r="C242" s="47" t="s">
        <v>567</v>
      </c>
      <c r="D242" s="30" t="s">
        <v>628</v>
      </c>
      <c r="E242" s="30" t="s">
        <v>1533</v>
      </c>
      <c r="F242" s="32" t="s">
        <v>1536</v>
      </c>
    </row>
    <row r="243" spans="3:6" outlineLevel="2" x14ac:dyDescent="0.2">
      <c r="C243" s="47" t="s">
        <v>568</v>
      </c>
      <c r="D243" s="30" t="s">
        <v>220</v>
      </c>
      <c r="E243" s="30" t="s">
        <v>221</v>
      </c>
      <c r="F243" s="32" t="s">
        <v>222</v>
      </c>
    </row>
    <row r="244" spans="3:6" ht="63.75" outlineLevel="2" x14ac:dyDescent="0.2">
      <c r="C244" s="47" t="s">
        <v>569</v>
      </c>
      <c r="D244" s="30" t="s">
        <v>223</v>
      </c>
      <c r="E244" s="30" t="s">
        <v>224</v>
      </c>
      <c r="F244" s="32" t="s">
        <v>108</v>
      </c>
    </row>
    <row r="245" spans="3:6" ht="63.75" outlineLevel="2" x14ac:dyDescent="0.2">
      <c r="C245" s="47" t="s">
        <v>570</v>
      </c>
      <c r="D245" s="30" t="s">
        <v>225</v>
      </c>
      <c r="E245" s="30" t="s">
        <v>226</v>
      </c>
      <c r="F245" s="32" t="s">
        <v>227</v>
      </c>
    </row>
    <row r="246" spans="3:6" ht="63.75" outlineLevel="2" x14ac:dyDescent="0.2">
      <c r="C246" s="47" t="s">
        <v>571</v>
      </c>
      <c r="D246" s="30" t="s">
        <v>228</v>
      </c>
      <c r="E246" s="30" t="s">
        <v>229</v>
      </c>
      <c r="F246" s="32" t="s">
        <v>46</v>
      </c>
    </row>
    <row r="247" spans="3:6" outlineLevel="2" x14ac:dyDescent="0.2">
      <c r="C247" s="47" t="s">
        <v>572</v>
      </c>
      <c r="D247" s="30" t="s">
        <v>629</v>
      </c>
      <c r="E247" s="30" t="s">
        <v>1535</v>
      </c>
      <c r="F247" s="32" t="s">
        <v>1536</v>
      </c>
    </row>
    <row r="248" spans="3:6" outlineLevel="2" x14ac:dyDescent="0.2">
      <c r="C248" s="47" t="s">
        <v>574</v>
      </c>
      <c r="D248" s="30" t="s">
        <v>230</v>
      </c>
      <c r="E248" s="30" t="s">
        <v>231</v>
      </c>
      <c r="F248" s="32" t="s">
        <v>46</v>
      </c>
    </row>
    <row r="249" spans="3:6" outlineLevel="2" x14ac:dyDescent="0.2">
      <c r="C249" s="47" t="s">
        <v>575</v>
      </c>
      <c r="D249" s="30" t="s">
        <v>232</v>
      </c>
      <c r="E249" s="30" t="s">
        <v>233</v>
      </c>
      <c r="F249" s="32" t="s">
        <v>46</v>
      </c>
    </row>
    <row r="250" spans="3:6" outlineLevel="2" x14ac:dyDescent="0.2">
      <c r="C250" s="47" t="s">
        <v>581</v>
      </c>
      <c r="D250" s="30" t="s">
        <v>234</v>
      </c>
      <c r="E250" s="30" t="s">
        <v>235</v>
      </c>
      <c r="F250" s="32" t="s">
        <v>46</v>
      </c>
    </row>
    <row r="251" spans="3:6" outlineLevel="2" collapsed="1" x14ac:dyDescent="0.2">
      <c r="C251" s="48"/>
      <c r="D251" s="34"/>
      <c r="E251" s="35"/>
      <c r="F251" s="35"/>
    </row>
    <row r="252" spans="3:6" outlineLevel="1" x14ac:dyDescent="0.2"/>
    <row r="253" spans="3:6" outlineLevel="1" x14ac:dyDescent="0.2"/>
    <row r="254" spans="3:6" outlineLevel="1" x14ac:dyDescent="0.2"/>
  </sheetData>
  <sheetProtection formatRows="0"/>
  <hyperlinks>
    <hyperlink ref="D27" location="Cover!A1" display="Cover" xr:uid="{732D7F9A-C5F8-4004-8642-9D41D7C8A77E}"/>
    <hyperlink ref="D114" location="'Budget Opex Detail'!A1" display="Budget Opex Detail" xr:uid="{24C15932-119F-424F-8F83-834822C2BF39}"/>
    <hyperlink ref="D135" location="'Activity Master'!A1" display="Activity Master" xr:uid="{78C74A4B-43E6-480D-A5AB-1281CFAA1C12}"/>
    <hyperlink ref="D70" location="'Capex &amp; Project Detail'!A1" display="'Capex &amp; Project Detail" xr:uid="{3EF324C7-4C47-4375-A607-596B4DCEAA2B}"/>
  </hyperlinks>
  <pageMargins left="0.7" right="0.7" top="0.75" bottom="0.75" header="0.3" footer="0.3"/>
  <pageSetup paperSize="9" orientation="portrait" horizontalDpi="0"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375E0B-1393-470B-8D10-CD4ABEF3960B}">
  <sheetPr codeName="Sheet11">
    <tabColor rgb="FF339966"/>
  </sheetPr>
  <dimension ref="A2:P349"/>
  <sheetViews>
    <sheetView showGridLines="0" zoomScale="80" zoomScaleNormal="80" workbookViewId="0">
      <selection activeCell="D8" sqref="D8"/>
    </sheetView>
  </sheetViews>
  <sheetFormatPr defaultColWidth="10.28515625" defaultRowHeight="15" outlineLevelRow="4" x14ac:dyDescent="0.25"/>
  <cols>
    <col min="1" max="1" width="0.85546875" style="86" customWidth="1"/>
    <col min="2" max="2" width="3.42578125" style="86" bestFit="1" customWidth="1"/>
    <col min="3" max="3" width="42.42578125" style="86" customWidth="1"/>
    <col min="4" max="4" width="66.85546875" style="86" customWidth="1"/>
    <col min="5" max="5" width="103.5703125" style="86" customWidth="1"/>
    <col min="6" max="6" width="33" style="86" customWidth="1"/>
    <col min="7" max="7" width="31.7109375" style="86" customWidth="1"/>
    <col min="8" max="10" width="10.28515625" style="86"/>
    <col min="11" max="11" width="10.28515625" style="86" customWidth="1"/>
    <col min="12" max="16384" width="10.28515625" style="86"/>
  </cols>
  <sheetData>
    <row r="2" spans="2:16" ht="24" x14ac:dyDescent="0.4">
      <c r="B2" s="85" t="s">
        <v>2033</v>
      </c>
    </row>
    <row r="3" spans="2:16" ht="21" x14ac:dyDescent="0.35">
      <c r="B3" s="87"/>
    </row>
    <row r="4" spans="2:16" ht="19.5" thickBot="1" x14ac:dyDescent="0.35">
      <c r="B4" s="417" t="s">
        <v>0</v>
      </c>
      <c r="C4" s="88"/>
      <c r="D4" s="89"/>
      <c r="E4" s="88"/>
      <c r="F4" s="88"/>
      <c r="G4" s="88"/>
      <c r="H4" s="88"/>
      <c r="I4" s="88"/>
      <c r="J4" s="88"/>
      <c r="K4" s="88"/>
      <c r="L4" s="88"/>
      <c r="M4" s="88"/>
      <c r="N4" s="88"/>
      <c r="O4" s="88"/>
      <c r="P4" s="88"/>
    </row>
    <row r="5" spans="2:16" x14ac:dyDescent="0.25">
      <c r="B5" s="90"/>
      <c r="D5" s="91"/>
    </row>
    <row r="6" spans="2:16" x14ac:dyDescent="0.25">
      <c r="B6" s="86">
        <v>1</v>
      </c>
      <c r="C6" s="92" t="s">
        <v>2037</v>
      </c>
    </row>
    <row r="7" spans="2:16" x14ac:dyDescent="0.25">
      <c r="B7" s="86">
        <v>2</v>
      </c>
      <c r="C7" s="92" t="s">
        <v>2063</v>
      </c>
    </row>
    <row r="8" spans="2:16" x14ac:dyDescent="0.25">
      <c r="B8" s="93" t="s">
        <v>2</v>
      </c>
      <c r="C8" s="92" t="s">
        <v>2034</v>
      </c>
    </row>
    <row r="9" spans="2:16" x14ac:dyDescent="0.25">
      <c r="B9" s="93" t="s">
        <v>2</v>
      </c>
      <c r="C9" s="92" t="s">
        <v>2038</v>
      </c>
    </row>
    <row r="10" spans="2:16" x14ac:dyDescent="0.25">
      <c r="B10" s="93" t="s">
        <v>2</v>
      </c>
      <c r="C10" s="92" t="s">
        <v>2064</v>
      </c>
    </row>
    <row r="11" spans="2:16" x14ac:dyDescent="0.25">
      <c r="B11" s="93" t="s">
        <v>2</v>
      </c>
      <c r="C11" s="92" t="s">
        <v>2039</v>
      </c>
    </row>
    <row r="12" spans="2:16" x14ac:dyDescent="0.25">
      <c r="B12" s="93" t="s">
        <v>2</v>
      </c>
      <c r="C12" s="92" t="s">
        <v>2040</v>
      </c>
    </row>
    <row r="13" spans="2:16" x14ac:dyDescent="0.25">
      <c r="B13" s="86">
        <v>3</v>
      </c>
      <c r="C13" s="92" t="s">
        <v>2065</v>
      </c>
    </row>
    <row r="14" spans="2:16" x14ac:dyDescent="0.25">
      <c r="B14" s="86">
        <v>4</v>
      </c>
      <c r="C14" s="86" t="s">
        <v>4</v>
      </c>
    </row>
    <row r="15" spans="2:16" x14ac:dyDescent="0.25">
      <c r="B15" s="86">
        <v>5</v>
      </c>
      <c r="C15" s="86" t="s">
        <v>2066</v>
      </c>
    </row>
    <row r="16" spans="2:16" x14ac:dyDescent="0.25">
      <c r="B16" s="86">
        <v>6</v>
      </c>
      <c r="C16" s="86" t="s">
        <v>2686</v>
      </c>
    </row>
    <row r="18" spans="1:16" ht="19.5" thickBot="1" x14ac:dyDescent="0.35">
      <c r="B18" s="417" t="s">
        <v>6</v>
      </c>
      <c r="C18" s="88"/>
      <c r="D18" s="89"/>
      <c r="E18" s="88"/>
      <c r="F18" s="88"/>
      <c r="G18" s="88"/>
      <c r="H18" s="88"/>
      <c r="I18" s="88"/>
      <c r="J18" s="88"/>
      <c r="K18" s="88"/>
      <c r="L18" s="88"/>
      <c r="M18" s="88"/>
      <c r="N18" s="88"/>
      <c r="O18" s="88"/>
      <c r="P18" s="88"/>
    </row>
    <row r="20" spans="1:16" x14ac:dyDescent="0.25">
      <c r="B20" s="86">
        <v>1</v>
      </c>
      <c r="C20" s="86" t="s">
        <v>7</v>
      </c>
    </row>
    <row r="21" spans="1:16" x14ac:dyDescent="0.25">
      <c r="C21" s="94" t="s">
        <v>8</v>
      </c>
    </row>
    <row r="22" spans="1:16" x14ac:dyDescent="0.25">
      <c r="C22" s="94" t="s">
        <v>2067</v>
      </c>
    </row>
    <row r="23" spans="1:16" x14ac:dyDescent="0.25">
      <c r="C23" s="94" t="s">
        <v>2068</v>
      </c>
    </row>
    <row r="24" spans="1:16" x14ac:dyDescent="0.25">
      <c r="C24" s="94" t="s">
        <v>2069</v>
      </c>
    </row>
    <row r="25" spans="1:16" x14ac:dyDescent="0.25">
      <c r="B25" s="86">
        <v>2</v>
      </c>
      <c r="C25" s="86" t="s">
        <v>2070</v>
      </c>
    </row>
    <row r="26" spans="1:16" x14ac:dyDescent="0.25">
      <c r="B26" s="86">
        <v>3</v>
      </c>
      <c r="C26" s="86" t="s">
        <v>2071</v>
      </c>
    </row>
    <row r="28" spans="1:16" s="408" customFormat="1" ht="15.75" x14ac:dyDescent="0.25">
      <c r="A28" s="423"/>
      <c r="B28" s="423"/>
      <c r="C28" s="406" t="s">
        <v>10</v>
      </c>
      <c r="D28" s="407" t="s">
        <v>11</v>
      </c>
    </row>
    <row r="30" spans="1:16" x14ac:dyDescent="0.25">
      <c r="C30" s="86" t="s">
        <v>12</v>
      </c>
    </row>
    <row r="31" spans="1:16" outlineLevel="1" x14ac:dyDescent="0.25"/>
    <row r="32" spans="1:16" outlineLevel="1" x14ac:dyDescent="0.25">
      <c r="C32" s="95" t="s">
        <v>13</v>
      </c>
      <c r="D32" s="96" t="s">
        <v>14</v>
      </c>
    </row>
    <row r="33" spans="3:4" ht="60" outlineLevel="1" x14ac:dyDescent="0.25">
      <c r="C33" s="97" t="s">
        <v>15</v>
      </c>
      <c r="D33" s="98" t="s">
        <v>2072</v>
      </c>
    </row>
    <row r="34" spans="3:4" outlineLevel="1" x14ac:dyDescent="0.25">
      <c r="C34" s="97" t="s">
        <v>236</v>
      </c>
      <c r="D34" s="98" t="s">
        <v>246</v>
      </c>
    </row>
    <row r="35" spans="3:4" outlineLevel="1" x14ac:dyDescent="0.25">
      <c r="C35" s="97" t="s">
        <v>442</v>
      </c>
      <c r="D35" s="98" t="s">
        <v>2073</v>
      </c>
    </row>
    <row r="36" spans="3:4" outlineLevel="1" x14ac:dyDescent="0.25"/>
    <row r="37" spans="3:4" ht="33" customHeight="1" outlineLevel="1" x14ac:dyDescent="0.25">
      <c r="C37" s="99" t="s">
        <v>2074</v>
      </c>
      <c r="D37" s="99" t="s">
        <v>2075</v>
      </c>
    </row>
    <row r="38" spans="3:4" outlineLevel="2" x14ac:dyDescent="0.25">
      <c r="C38" s="100" t="s">
        <v>2076</v>
      </c>
      <c r="D38" s="100" t="s">
        <v>442</v>
      </c>
    </row>
    <row r="39" spans="3:4" outlineLevel="2" x14ac:dyDescent="0.25">
      <c r="C39" s="101" t="s">
        <v>2077</v>
      </c>
      <c r="D39" s="101" t="s">
        <v>1812</v>
      </c>
    </row>
    <row r="40" spans="3:4" outlineLevel="2" x14ac:dyDescent="0.25">
      <c r="C40" s="101" t="s">
        <v>2077</v>
      </c>
      <c r="D40" s="101" t="s">
        <v>1806</v>
      </c>
    </row>
    <row r="41" spans="3:4" outlineLevel="2" x14ac:dyDescent="0.25">
      <c r="C41" s="101" t="s">
        <v>2077</v>
      </c>
      <c r="D41" s="101" t="s">
        <v>1807</v>
      </c>
    </row>
    <row r="42" spans="3:4" outlineLevel="2" x14ac:dyDescent="0.25">
      <c r="C42" s="101" t="s">
        <v>2078</v>
      </c>
      <c r="D42" s="101" t="s">
        <v>2079</v>
      </c>
    </row>
    <row r="43" spans="3:4" outlineLevel="2" x14ac:dyDescent="0.25">
      <c r="C43" s="101" t="s">
        <v>2078</v>
      </c>
      <c r="D43" s="101" t="s">
        <v>2080</v>
      </c>
    </row>
    <row r="44" spans="3:4" outlineLevel="2" x14ac:dyDescent="0.25">
      <c r="C44" s="101" t="s">
        <v>2078</v>
      </c>
      <c r="D44" s="101" t="s">
        <v>1737</v>
      </c>
    </row>
    <row r="45" spans="3:4" outlineLevel="2" x14ac:dyDescent="0.25">
      <c r="C45" s="101" t="s">
        <v>2078</v>
      </c>
      <c r="D45" s="101" t="s">
        <v>1873</v>
      </c>
    </row>
    <row r="46" spans="3:4" outlineLevel="2" x14ac:dyDescent="0.25">
      <c r="C46" s="101" t="s">
        <v>2078</v>
      </c>
      <c r="D46" s="101" t="s">
        <v>1814</v>
      </c>
    </row>
    <row r="47" spans="3:4" outlineLevel="2" x14ac:dyDescent="0.25">
      <c r="C47" s="96" t="s">
        <v>2081</v>
      </c>
      <c r="D47" s="96" t="s">
        <v>31</v>
      </c>
    </row>
    <row r="48" spans="3:4" outlineLevel="2" x14ac:dyDescent="0.25">
      <c r="C48" s="96" t="s">
        <v>2081</v>
      </c>
      <c r="D48" s="96" t="s">
        <v>30</v>
      </c>
    </row>
    <row r="49" spans="3:4" outlineLevel="2" x14ac:dyDescent="0.25">
      <c r="C49" s="96" t="s">
        <v>23</v>
      </c>
      <c r="D49" s="96" t="s">
        <v>339</v>
      </c>
    </row>
    <row r="50" spans="3:4" outlineLevel="2" x14ac:dyDescent="0.25">
      <c r="C50" s="96" t="str">
        <f>C49</f>
        <v>HSE</v>
      </c>
      <c r="D50" s="96" t="s">
        <v>341</v>
      </c>
    </row>
    <row r="51" spans="3:4" outlineLevel="2" x14ac:dyDescent="0.25">
      <c r="C51" s="96" t="s">
        <v>1558</v>
      </c>
      <c r="D51" s="96" t="s">
        <v>238</v>
      </c>
    </row>
    <row r="52" spans="3:4" outlineLevel="2" x14ac:dyDescent="0.25">
      <c r="C52" s="96" t="s">
        <v>1558</v>
      </c>
      <c r="D52" s="96" t="s">
        <v>33</v>
      </c>
    </row>
    <row r="53" spans="3:4" outlineLevel="2" x14ac:dyDescent="0.25">
      <c r="C53" s="96" t="s">
        <v>1986</v>
      </c>
      <c r="D53" s="96" t="s">
        <v>248</v>
      </c>
    </row>
    <row r="54" spans="3:4" outlineLevel="2" x14ac:dyDescent="0.25">
      <c r="C54" s="96" t="s">
        <v>1986</v>
      </c>
      <c r="D54" s="96" t="s">
        <v>25</v>
      </c>
    </row>
    <row r="55" spans="3:4" outlineLevel="2" x14ac:dyDescent="0.25">
      <c r="C55" s="96" t="s">
        <v>1986</v>
      </c>
      <c r="D55" s="96" t="s">
        <v>20</v>
      </c>
    </row>
    <row r="56" spans="3:4" outlineLevel="2" x14ac:dyDescent="0.25">
      <c r="C56" s="96" t="s">
        <v>1986</v>
      </c>
      <c r="D56" s="96" t="s">
        <v>21</v>
      </c>
    </row>
    <row r="57" spans="3:4" outlineLevel="2" x14ac:dyDescent="0.25">
      <c r="C57" s="96" t="s">
        <v>1986</v>
      </c>
      <c r="D57" s="96" t="s">
        <v>2658</v>
      </c>
    </row>
    <row r="58" spans="3:4" outlineLevel="2" x14ac:dyDescent="0.25">
      <c r="C58" s="96" t="s">
        <v>1986</v>
      </c>
      <c r="D58" s="96" t="s">
        <v>2687</v>
      </c>
    </row>
    <row r="59" spans="3:4" outlineLevel="2" x14ac:dyDescent="0.25">
      <c r="C59" s="96" t="s">
        <v>2651</v>
      </c>
      <c r="D59" s="96" t="s">
        <v>2587</v>
      </c>
    </row>
    <row r="60" spans="3:4" outlineLevel="2" x14ac:dyDescent="0.25">
      <c r="C60" s="96" t="s">
        <v>2651</v>
      </c>
      <c r="D60" s="96" t="s">
        <v>2652</v>
      </c>
    </row>
    <row r="61" spans="3:4" outlineLevel="2" x14ac:dyDescent="0.25">
      <c r="C61" s="96" t="s">
        <v>2651</v>
      </c>
      <c r="D61" s="96" t="s">
        <v>2653</v>
      </c>
    </row>
    <row r="62" spans="3:4" outlineLevel="2" x14ac:dyDescent="0.25">
      <c r="C62" s="96" t="s">
        <v>2654</v>
      </c>
      <c r="D62" s="96" t="s">
        <v>409</v>
      </c>
    </row>
    <row r="63" spans="3:4" outlineLevel="2" x14ac:dyDescent="0.25">
      <c r="C63" s="96" t="s">
        <v>2654</v>
      </c>
      <c r="D63" s="96" t="s">
        <v>1566</v>
      </c>
    </row>
    <row r="64" spans="3:4" outlineLevel="2" x14ac:dyDescent="0.25">
      <c r="C64" s="96" t="s">
        <v>239</v>
      </c>
      <c r="D64" s="96" t="s">
        <v>2696</v>
      </c>
    </row>
    <row r="65" spans="1:4" outlineLevel="2" x14ac:dyDescent="0.25">
      <c r="C65" s="96" t="s">
        <v>239</v>
      </c>
      <c r="D65" s="96" t="s">
        <v>2082</v>
      </c>
    </row>
    <row r="66" spans="1:4" outlineLevel="2" x14ac:dyDescent="0.25">
      <c r="C66" s="96" t="s">
        <v>239</v>
      </c>
      <c r="D66" s="96" t="s">
        <v>2697</v>
      </c>
    </row>
    <row r="67" spans="1:4" outlineLevel="2" x14ac:dyDescent="0.25">
      <c r="C67" s="96" t="s">
        <v>1561</v>
      </c>
      <c r="D67" s="96" t="s">
        <v>2589</v>
      </c>
    </row>
    <row r="68" spans="1:4" outlineLevel="2" x14ac:dyDescent="0.25">
      <c r="C68" s="96" t="s">
        <v>1561</v>
      </c>
      <c r="D68" s="96" t="s">
        <v>27</v>
      </c>
    </row>
    <row r="69" spans="1:4" outlineLevel="2" x14ac:dyDescent="0.25">
      <c r="C69" s="96" t="s">
        <v>1561</v>
      </c>
      <c r="D69" s="96" t="s">
        <v>28</v>
      </c>
    </row>
    <row r="70" spans="1:4" outlineLevel="2" x14ac:dyDescent="0.25">
      <c r="C70" s="96" t="s">
        <v>1561</v>
      </c>
      <c r="D70" s="96" t="s">
        <v>29</v>
      </c>
    </row>
    <row r="71" spans="1:4" outlineLevel="2" x14ac:dyDescent="0.25">
      <c r="C71" s="102" t="s">
        <v>241</v>
      </c>
      <c r="D71" s="96" t="s">
        <v>1562</v>
      </c>
    </row>
    <row r="72" spans="1:4" outlineLevel="2" x14ac:dyDescent="0.25">
      <c r="C72" s="96" t="s">
        <v>241</v>
      </c>
      <c r="D72" s="96" t="s">
        <v>35</v>
      </c>
    </row>
    <row r="73" spans="1:4" outlineLevel="2" x14ac:dyDescent="0.25">
      <c r="C73" s="96" t="s">
        <v>241</v>
      </c>
      <c r="D73" s="96" t="s">
        <v>36</v>
      </c>
    </row>
    <row r="74" spans="1:4" outlineLevel="1" x14ac:dyDescent="0.25"/>
    <row r="75" spans="1:4" outlineLevel="1" x14ac:dyDescent="0.25">
      <c r="C75" s="86" t="s">
        <v>38</v>
      </c>
    </row>
    <row r="77" spans="1:4" s="408" customFormat="1" ht="15.75" x14ac:dyDescent="0.25">
      <c r="A77" s="423"/>
      <c r="B77" s="423"/>
      <c r="C77" s="406" t="s">
        <v>1975</v>
      </c>
      <c r="D77" s="405" t="s">
        <v>2656</v>
      </c>
    </row>
    <row r="79" spans="1:4" x14ac:dyDescent="0.25">
      <c r="C79" s="86" t="s">
        <v>2083</v>
      </c>
    </row>
    <row r="80" spans="1:4" x14ac:dyDescent="0.25">
      <c r="C80" s="403" t="s">
        <v>2084</v>
      </c>
      <c r="D80" s="103"/>
    </row>
    <row r="81" spans="3:4" outlineLevel="1" x14ac:dyDescent="0.25">
      <c r="C81" s="86" t="s">
        <v>1818</v>
      </c>
    </row>
    <row r="82" spans="3:4" outlineLevel="1" x14ac:dyDescent="0.25">
      <c r="C82" s="86" t="s">
        <v>2085</v>
      </c>
    </row>
    <row r="83" spans="3:4" outlineLevel="1" x14ac:dyDescent="0.25"/>
    <row r="84" spans="3:4" outlineLevel="1" x14ac:dyDescent="0.25">
      <c r="C84" s="100" t="s">
        <v>2086</v>
      </c>
      <c r="D84" s="100" t="s">
        <v>2087</v>
      </c>
    </row>
    <row r="85" spans="3:4" ht="60" outlineLevel="1" x14ac:dyDescent="0.25">
      <c r="C85" s="104" t="s">
        <v>1820</v>
      </c>
      <c r="D85" s="105" t="s">
        <v>2088</v>
      </c>
    </row>
    <row r="86" spans="3:4" ht="45" outlineLevel="1" x14ac:dyDescent="0.25">
      <c r="C86" s="104" t="s">
        <v>454</v>
      </c>
      <c r="D86" s="106" t="s">
        <v>2089</v>
      </c>
    </row>
    <row r="87" spans="3:4" ht="75" outlineLevel="1" x14ac:dyDescent="0.25">
      <c r="C87" s="107" t="s">
        <v>1822</v>
      </c>
      <c r="D87" s="108" t="s">
        <v>1823</v>
      </c>
    </row>
    <row r="88" spans="3:4" ht="48" customHeight="1" outlineLevel="1" x14ac:dyDescent="0.25">
      <c r="C88" s="109" t="s">
        <v>1824</v>
      </c>
      <c r="D88" s="110" t="s">
        <v>2090</v>
      </c>
    </row>
    <row r="89" spans="3:4" ht="153.75" customHeight="1" outlineLevel="1" x14ac:dyDescent="0.25">
      <c r="C89" s="111"/>
      <c r="D89" s="112" t="e" vm="1">
        <v>#VALUE!</v>
      </c>
    </row>
    <row r="90" spans="3:4" ht="75" outlineLevel="1" x14ac:dyDescent="0.25">
      <c r="C90" s="113" t="s">
        <v>2028</v>
      </c>
      <c r="D90" s="114" t="s">
        <v>2043</v>
      </c>
    </row>
    <row r="91" spans="3:4" outlineLevel="1" x14ac:dyDescent="0.25">
      <c r="C91" s="115" t="s">
        <v>2091</v>
      </c>
      <c r="D91" s="116" t="s">
        <v>2092</v>
      </c>
    </row>
    <row r="92" spans="3:4" outlineLevel="1" x14ac:dyDescent="0.25">
      <c r="C92" s="115" t="s">
        <v>2093</v>
      </c>
      <c r="D92" s="116" t="s">
        <v>2094</v>
      </c>
    </row>
    <row r="93" spans="3:4" outlineLevel="1" x14ac:dyDescent="0.25">
      <c r="C93" s="115" t="s">
        <v>2703</v>
      </c>
      <c r="D93" s="116" t="s">
        <v>2095</v>
      </c>
    </row>
    <row r="94" spans="3:4" ht="90" outlineLevel="1" x14ac:dyDescent="0.25">
      <c r="C94" s="117" t="s">
        <v>1570</v>
      </c>
      <c r="D94" s="106" t="s">
        <v>2096</v>
      </c>
    </row>
    <row r="95" spans="3:4" outlineLevel="1" x14ac:dyDescent="0.25">
      <c r="C95" s="117" t="s">
        <v>1571</v>
      </c>
      <c r="D95" s="118" t="s">
        <v>1831</v>
      </c>
    </row>
    <row r="96" spans="3:4" outlineLevel="1" x14ac:dyDescent="0.25">
      <c r="C96" s="117" t="s">
        <v>1976</v>
      </c>
      <c r="D96" s="118" t="s">
        <v>2097</v>
      </c>
    </row>
    <row r="97" spans="3:6" outlineLevel="1" x14ac:dyDescent="0.25">
      <c r="C97" s="117" t="s">
        <v>1871</v>
      </c>
      <c r="D97" s="118" t="s">
        <v>1977</v>
      </c>
    </row>
    <row r="98" spans="3:6" outlineLevel="1" x14ac:dyDescent="0.25">
      <c r="C98" s="117" t="s">
        <v>1857</v>
      </c>
      <c r="D98" s="118" t="s">
        <v>2098</v>
      </c>
    </row>
    <row r="99" spans="3:6" outlineLevel="1" x14ac:dyDescent="0.25">
      <c r="C99" s="117" t="s">
        <v>2099</v>
      </c>
      <c r="D99" s="118" t="s">
        <v>1832</v>
      </c>
    </row>
    <row r="100" spans="3:6" outlineLevel="1" x14ac:dyDescent="0.25">
      <c r="C100" s="117" t="s">
        <v>2100</v>
      </c>
      <c r="D100" s="118" t="s">
        <v>1833</v>
      </c>
    </row>
    <row r="101" spans="3:6" outlineLevel="1" x14ac:dyDescent="0.25">
      <c r="C101" s="119" t="s">
        <v>2101</v>
      </c>
      <c r="D101" s="118" t="s">
        <v>2102</v>
      </c>
    </row>
    <row r="102" spans="3:6" outlineLevel="1" x14ac:dyDescent="0.25">
      <c r="C102" s="117" t="s">
        <v>1981</v>
      </c>
      <c r="D102" s="118" t="s">
        <v>1982</v>
      </c>
    </row>
    <row r="103" spans="3:6" outlineLevel="1" x14ac:dyDescent="0.25"/>
    <row r="104" spans="3:6" outlineLevel="1" x14ac:dyDescent="0.25">
      <c r="C104" s="120" t="s">
        <v>1836</v>
      </c>
    </row>
    <row r="105" spans="3:6" outlineLevel="2" x14ac:dyDescent="0.25">
      <c r="C105" s="121" t="s">
        <v>42</v>
      </c>
      <c r="D105" s="100" t="s">
        <v>43</v>
      </c>
      <c r="E105" s="122" t="s">
        <v>2103</v>
      </c>
      <c r="F105" s="123"/>
    </row>
    <row r="106" spans="3:6" outlineLevel="2" x14ac:dyDescent="0.25">
      <c r="C106" s="124" t="s">
        <v>1790</v>
      </c>
      <c r="D106" s="125"/>
      <c r="E106" s="126"/>
      <c r="F106" s="127"/>
    </row>
    <row r="107" spans="3:6" outlineLevel="2" x14ac:dyDescent="0.25">
      <c r="C107" s="128">
        <v>15000000</v>
      </c>
      <c r="D107" s="129" t="s">
        <v>1747</v>
      </c>
      <c r="E107" s="130" t="s">
        <v>2104</v>
      </c>
      <c r="F107" s="131"/>
    </row>
    <row r="108" spans="3:6" ht="30" outlineLevel="2" x14ac:dyDescent="0.25">
      <c r="C108" s="132">
        <v>15000010</v>
      </c>
      <c r="D108" s="133" t="s">
        <v>1749</v>
      </c>
      <c r="E108" s="134" t="s">
        <v>2105</v>
      </c>
      <c r="F108" s="135"/>
    </row>
    <row r="109" spans="3:6" ht="30" outlineLevel="2" x14ac:dyDescent="0.25">
      <c r="C109" s="132">
        <v>15000020</v>
      </c>
      <c r="D109" s="133" t="s">
        <v>1751</v>
      </c>
      <c r="E109" s="134" t="s">
        <v>2106</v>
      </c>
      <c r="F109" s="135"/>
    </row>
    <row r="110" spans="3:6" ht="30" outlineLevel="2" x14ac:dyDescent="0.25">
      <c r="C110" s="132">
        <v>15000030</v>
      </c>
      <c r="D110" s="133" t="s">
        <v>1753</v>
      </c>
      <c r="E110" s="134" t="s">
        <v>2107</v>
      </c>
      <c r="F110" s="135"/>
    </row>
    <row r="111" spans="3:6" ht="30" outlineLevel="2" x14ac:dyDescent="0.25">
      <c r="C111" s="132">
        <v>15000040</v>
      </c>
      <c r="D111" s="133" t="s">
        <v>1755</v>
      </c>
      <c r="E111" s="134" t="s">
        <v>2108</v>
      </c>
      <c r="F111" s="135"/>
    </row>
    <row r="112" spans="3:6" outlineLevel="2" x14ac:dyDescent="0.25">
      <c r="C112" s="132">
        <v>15000050</v>
      </c>
      <c r="D112" s="133" t="s">
        <v>1757</v>
      </c>
      <c r="E112" s="134" t="s">
        <v>2109</v>
      </c>
      <c r="F112" s="135"/>
    </row>
    <row r="113" spans="1:6" ht="30" outlineLevel="2" x14ac:dyDescent="0.25">
      <c r="C113" s="132">
        <v>15000060</v>
      </c>
      <c r="D113" s="133" t="s">
        <v>1759</v>
      </c>
      <c r="E113" s="134" t="s">
        <v>2110</v>
      </c>
      <c r="F113" s="135"/>
    </row>
    <row r="114" spans="1:6" outlineLevel="2" x14ac:dyDescent="0.25">
      <c r="C114" s="136">
        <v>15000070</v>
      </c>
      <c r="D114" s="137" t="s">
        <v>1761</v>
      </c>
      <c r="E114" s="138" t="s">
        <v>2111</v>
      </c>
      <c r="F114" s="135"/>
    </row>
    <row r="115" spans="1:6" outlineLevel="2" x14ac:dyDescent="0.25">
      <c r="C115" s="136">
        <v>15000080</v>
      </c>
      <c r="D115" s="137" t="s">
        <v>1763</v>
      </c>
      <c r="E115" s="138" t="s">
        <v>2112</v>
      </c>
      <c r="F115" s="135"/>
    </row>
    <row r="116" spans="1:6" outlineLevel="2" x14ac:dyDescent="0.25">
      <c r="C116" s="136">
        <v>15200000</v>
      </c>
      <c r="D116" s="137" t="s">
        <v>1766</v>
      </c>
      <c r="E116" s="138" t="s">
        <v>2113</v>
      </c>
      <c r="F116" s="131"/>
    </row>
    <row r="117" spans="1:6" outlineLevel="2" x14ac:dyDescent="0.25">
      <c r="C117" s="139" t="s">
        <v>2114</v>
      </c>
      <c r="D117" s="140"/>
      <c r="E117" s="141"/>
      <c r="F117" s="127"/>
    </row>
    <row r="118" spans="1:6" ht="30" outlineLevel="2" x14ac:dyDescent="0.25">
      <c r="C118" s="136">
        <v>15020010</v>
      </c>
      <c r="D118" s="137" t="s">
        <v>1769</v>
      </c>
      <c r="E118" s="138" t="s">
        <v>2115</v>
      </c>
      <c r="F118" s="135"/>
    </row>
    <row r="119" spans="1:6" ht="30" outlineLevel="2" x14ac:dyDescent="0.25">
      <c r="C119" s="136">
        <v>15020020</v>
      </c>
      <c r="D119" s="137" t="s">
        <v>1771</v>
      </c>
      <c r="E119" s="138" t="s">
        <v>2116</v>
      </c>
      <c r="F119" s="135"/>
    </row>
    <row r="120" spans="1:6" ht="30" outlineLevel="2" x14ac:dyDescent="0.25">
      <c r="C120" s="136">
        <v>15020030</v>
      </c>
      <c r="D120" s="137" t="s">
        <v>1773</v>
      </c>
      <c r="E120" s="138" t="s">
        <v>2117</v>
      </c>
      <c r="F120" s="135"/>
    </row>
    <row r="121" spans="1:6" outlineLevel="2" x14ac:dyDescent="0.25">
      <c r="C121" s="136">
        <v>15020040</v>
      </c>
      <c r="D121" s="137" t="s">
        <v>1775</v>
      </c>
      <c r="E121" s="138" t="s">
        <v>2118</v>
      </c>
      <c r="F121" s="135"/>
    </row>
    <row r="122" spans="1:6" outlineLevel="2" x14ac:dyDescent="0.25">
      <c r="C122" s="136">
        <v>15020080</v>
      </c>
      <c r="D122" s="137" t="s">
        <v>1777</v>
      </c>
      <c r="E122" s="138" t="s">
        <v>2119</v>
      </c>
      <c r="F122" s="135"/>
    </row>
    <row r="123" spans="1:6" ht="30" outlineLevel="2" x14ac:dyDescent="0.25">
      <c r="C123" s="142">
        <v>15020090</v>
      </c>
      <c r="D123" s="143" t="s">
        <v>1843</v>
      </c>
      <c r="E123" s="144" t="s">
        <v>2120</v>
      </c>
      <c r="F123" s="135"/>
    </row>
    <row r="124" spans="1:6" outlineLevel="2" x14ac:dyDescent="0.25">
      <c r="C124" s="409"/>
      <c r="D124" s="131"/>
      <c r="E124" s="135"/>
      <c r="F124" s="135"/>
    </row>
    <row r="125" spans="1:6" s="412" customFormat="1" ht="15.75" x14ac:dyDescent="0.25">
      <c r="A125" s="424"/>
      <c r="B125" s="424"/>
      <c r="C125" s="410" t="s">
        <v>2662</v>
      </c>
      <c r="D125" s="411" t="s">
        <v>1493</v>
      </c>
    </row>
    <row r="127" spans="1:6" outlineLevel="1" x14ac:dyDescent="0.25">
      <c r="C127" s="86" t="s">
        <v>47</v>
      </c>
    </row>
    <row r="128" spans="1:6" outlineLevel="1" x14ac:dyDescent="0.25">
      <c r="C128" s="86" t="s">
        <v>2035</v>
      </c>
    </row>
    <row r="129" spans="3:6" outlineLevel="1" x14ac:dyDescent="0.25">
      <c r="C129" s="86" t="s">
        <v>2085</v>
      </c>
    </row>
    <row r="130" spans="3:6" outlineLevel="1" x14ac:dyDescent="0.25"/>
    <row r="131" spans="3:6" outlineLevel="1" x14ac:dyDescent="0.25">
      <c r="C131" s="418" t="s">
        <v>2663</v>
      </c>
      <c r="D131" s="418"/>
      <c r="E131" s="418" t="s">
        <v>2664</v>
      </c>
      <c r="F131" s="418"/>
    </row>
    <row r="132" spans="3:6" ht="75" outlineLevel="1" x14ac:dyDescent="0.25">
      <c r="C132" s="145" t="s">
        <v>640</v>
      </c>
      <c r="D132" s="146" t="s">
        <v>2121</v>
      </c>
      <c r="E132" s="145" t="s">
        <v>1791</v>
      </c>
      <c r="F132" s="146" t="s">
        <v>2665</v>
      </c>
    </row>
    <row r="133" spans="3:6" ht="49.5" customHeight="1" outlineLevel="1" x14ac:dyDescent="0.25">
      <c r="C133" s="145" t="s">
        <v>644</v>
      </c>
      <c r="D133" s="146" t="s">
        <v>2122</v>
      </c>
      <c r="E133" s="425"/>
      <c r="F133" s="426"/>
    </row>
    <row r="134" spans="3:6" ht="60" outlineLevel="1" x14ac:dyDescent="0.25">
      <c r="C134" s="147" t="s">
        <v>2030</v>
      </c>
      <c r="D134" s="148" t="s">
        <v>2123</v>
      </c>
      <c r="E134" s="427"/>
      <c r="F134" s="426"/>
    </row>
    <row r="135" spans="3:6" ht="45" outlineLevel="1" x14ac:dyDescent="0.25">
      <c r="C135" s="147" t="s">
        <v>2124</v>
      </c>
      <c r="D135" s="148" t="s">
        <v>2125</v>
      </c>
      <c r="E135" s="147" t="s">
        <v>2124</v>
      </c>
      <c r="F135" s="148" t="s">
        <v>2125</v>
      </c>
    </row>
    <row r="136" spans="3:6" ht="105" outlineLevel="1" x14ac:dyDescent="0.25">
      <c r="C136" s="145" t="s">
        <v>2028</v>
      </c>
      <c r="D136" s="146" t="s">
        <v>2126</v>
      </c>
      <c r="E136" s="145" t="s">
        <v>2028</v>
      </c>
      <c r="F136" s="146" t="s">
        <v>2126</v>
      </c>
    </row>
    <row r="137" spans="3:6" ht="45" outlineLevel="1" x14ac:dyDescent="0.25">
      <c r="C137" s="145" t="s">
        <v>2031</v>
      </c>
      <c r="D137" s="146" t="s">
        <v>2127</v>
      </c>
      <c r="E137" s="145" t="s">
        <v>2031</v>
      </c>
      <c r="F137" s="146" t="s">
        <v>2127</v>
      </c>
    </row>
    <row r="138" spans="3:6" ht="135" outlineLevel="1" x14ac:dyDescent="0.25">
      <c r="C138" s="149" t="s">
        <v>1487</v>
      </c>
      <c r="D138" s="146" t="s">
        <v>2128</v>
      </c>
      <c r="E138" s="149" t="s">
        <v>1487</v>
      </c>
      <c r="F138" s="146" t="s">
        <v>2128</v>
      </c>
    </row>
    <row r="139" spans="3:6" ht="165" outlineLevel="1" x14ac:dyDescent="0.25">
      <c r="C139" s="149" t="s">
        <v>1488</v>
      </c>
      <c r="D139" s="150" t="s">
        <v>2129</v>
      </c>
      <c r="E139" s="149" t="s">
        <v>1488</v>
      </c>
      <c r="F139" s="150" t="s">
        <v>2129</v>
      </c>
    </row>
    <row r="140" spans="3:6" ht="30" outlineLevel="1" x14ac:dyDescent="0.25">
      <c r="C140" s="149" t="s">
        <v>1489</v>
      </c>
      <c r="D140" s="150" t="s">
        <v>2130</v>
      </c>
      <c r="E140" s="149" t="s">
        <v>1489</v>
      </c>
      <c r="F140" s="150" t="s">
        <v>2130</v>
      </c>
    </row>
    <row r="141" spans="3:6" ht="60" outlineLevel="1" x14ac:dyDescent="0.25">
      <c r="C141" s="149" t="s">
        <v>1491</v>
      </c>
      <c r="D141" s="150" t="s">
        <v>2131</v>
      </c>
      <c r="E141" s="149" t="s">
        <v>1491</v>
      </c>
      <c r="F141" s="150" t="s">
        <v>2131</v>
      </c>
    </row>
    <row r="142" spans="3:6" ht="30" outlineLevel="1" x14ac:dyDescent="0.25">
      <c r="C142" s="149" t="s">
        <v>455</v>
      </c>
      <c r="D142" s="150" t="s">
        <v>2132</v>
      </c>
      <c r="E142" s="149" t="s">
        <v>455</v>
      </c>
      <c r="F142" s="150" t="s">
        <v>2132</v>
      </c>
    </row>
    <row r="143" spans="3:6" ht="60" outlineLevel="1" x14ac:dyDescent="0.25">
      <c r="C143" s="149" t="s">
        <v>1490</v>
      </c>
      <c r="D143" s="150" t="s">
        <v>2133</v>
      </c>
      <c r="E143" s="149" t="s">
        <v>1490</v>
      </c>
      <c r="F143" s="150" t="s">
        <v>2133</v>
      </c>
    </row>
    <row r="144" spans="3:6" ht="75" outlineLevel="1" x14ac:dyDescent="0.25">
      <c r="C144" s="149" t="s">
        <v>2134</v>
      </c>
      <c r="D144" s="150" t="s">
        <v>2135</v>
      </c>
      <c r="E144" s="149" t="s">
        <v>2134</v>
      </c>
      <c r="F144" s="150" t="s">
        <v>2135</v>
      </c>
    </row>
    <row r="145" spans="3:7" outlineLevel="1" x14ac:dyDescent="0.25"/>
    <row r="147" spans="3:7" x14ac:dyDescent="0.25">
      <c r="C147" s="120" t="s">
        <v>2146</v>
      </c>
    </row>
    <row r="148" spans="3:7" hidden="1" outlineLevel="2" x14ac:dyDescent="0.25">
      <c r="C148" s="100" t="s">
        <v>2147</v>
      </c>
      <c r="D148" s="100" t="s">
        <v>2148</v>
      </c>
      <c r="E148" s="122" t="s">
        <v>2149</v>
      </c>
      <c r="F148" s="122" t="s">
        <v>2150</v>
      </c>
      <c r="G148" s="122" t="s">
        <v>2151</v>
      </c>
    </row>
    <row r="149" spans="3:7" hidden="1" outlineLevel="4" x14ac:dyDescent="0.25">
      <c r="C149" s="151">
        <v>50200010</v>
      </c>
      <c r="D149" s="134" t="s">
        <v>2152</v>
      </c>
      <c r="E149" s="134" t="s">
        <v>2153</v>
      </c>
      <c r="F149" s="152" t="s">
        <v>942</v>
      </c>
      <c r="G149" s="152" t="s">
        <v>2154</v>
      </c>
    </row>
    <row r="150" spans="3:7" hidden="1" outlineLevel="4" x14ac:dyDescent="0.25">
      <c r="C150" s="151">
        <v>50300010</v>
      </c>
      <c r="D150" s="134" t="s">
        <v>50</v>
      </c>
      <c r="E150" s="134" t="s">
        <v>2155</v>
      </c>
      <c r="F150" s="153" t="s">
        <v>947</v>
      </c>
      <c r="G150" s="153" t="s">
        <v>52</v>
      </c>
    </row>
    <row r="151" spans="3:7" hidden="1" outlineLevel="4" x14ac:dyDescent="0.25">
      <c r="C151" s="151">
        <v>50300020</v>
      </c>
      <c r="D151" s="134" t="s">
        <v>53</v>
      </c>
      <c r="E151" s="134" t="s">
        <v>2156</v>
      </c>
      <c r="F151" s="134" t="s">
        <v>947</v>
      </c>
      <c r="G151" s="153" t="s">
        <v>52</v>
      </c>
    </row>
    <row r="152" spans="3:7" hidden="1" outlineLevel="4" x14ac:dyDescent="0.25">
      <c r="C152" s="151">
        <v>50300030</v>
      </c>
      <c r="D152" s="134" t="s">
        <v>55</v>
      </c>
      <c r="E152" s="134" t="s">
        <v>2157</v>
      </c>
      <c r="F152" s="134" t="s">
        <v>947</v>
      </c>
      <c r="G152" s="153" t="s">
        <v>52</v>
      </c>
    </row>
    <row r="153" spans="3:7" hidden="1" outlineLevel="4" x14ac:dyDescent="0.25">
      <c r="C153" s="151">
        <v>50300040</v>
      </c>
      <c r="D153" s="134" t="s">
        <v>57</v>
      </c>
      <c r="E153" s="134" t="s">
        <v>2158</v>
      </c>
      <c r="F153" s="134" t="s">
        <v>947</v>
      </c>
      <c r="G153" s="153" t="s">
        <v>52</v>
      </c>
    </row>
    <row r="154" spans="3:7" hidden="1" outlineLevel="4" x14ac:dyDescent="0.25">
      <c r="C154" s="151">
        <v>50300050</v>
      </c>
      <c r="D154" s="134" t="s">
        <v>59</v>
      </c>
      <c r="E154" s="134" t="s">
        <v>2159</v>
      </c>
      <c r="F154" s="134" t="s">
        <v>947</v>
      </c>
      <c r="G154" s="153" t="s">
        <v>52</v>
      </c>
    </row>
    <row r="155" spans="3:7" hidden="1" outlineLevel="4" x14ac:dyDescent="0.25">
      <c r="C155" s="151">
        <v>50300060</v>
      </c>
      <c r="D155" s="134" t="s">
        <v>2160</v>
      </c>
      <c r="E155" s="134" t="s">
        <v>2161</v>
      </c>
      <c r="F155" s="134" t="s">
        <v>947</v>
      </c>
      <c r="G155" s="153" t="s">
        <v>52</v>
      </c>
    </row>
    <row r="156" spans="3:7" hidden="1" outlineLevel="4" x14ac:dyDescent="0.25">
      <c r="C156" s="151">
        <v>50300070</v>
      </c>
      <c r="D156" s="134" t="s">
        <v>1385</v>
      </c>
      <c r="E156" s="134" t="s">
        <v>2162</v>
      </c>
      <c r="F156" s="138" t="s">
        <v>947</v>
      </c>
      <c r="G156" s="153" t="s">
        <v>52</v>
      </c>
    </row>
    <row r="157" spans="3:7" hidden="1" outlineLevel="4" x14ac:dyDescent="0.25">
      <c r="C157" s="151">
        <v>50300080</v>
      </c>
      <c r="D157" s="134" t="s">
        <v>65</v>
      </c>
      <c r="E157" s="134" t="s">
        <v>2163</v>
      </c>
      <c r="F157" s="138" t="s">
        <v>947</v>
      </c>
      <c r="G157" s="153" t="s">
        <v>52</v>
      </c>
    </row>
    <row r="158" spans="3:7" hidden="1" outlineLevel="4" x14ac:dyDescent="0.25">
      <c r="C158" s="151">
        <v>50300090</v>
      </c>
      <c r="D158" s="134" t="s">
        <v>67</v>
      </c>
      <c r="E158" s="134" t="s">
        <v>2164</v>
      </c>
      <c r="F158" s="138" t="s">
        <v>947</v>
      </c>
      <c r="G158" s="153" t="s">
        <v>52</v>
      </c>
    </row>
    <row r="159" spans="3:7" hidden="1" outlineLevel="4" x14ac:dyDescent="0.25">
      <c r="C159" s="151">
        <v>50300100</v>
      </c>
      <c r="D159" s="134" t="s">
        <v>69</v>
      </c>
      <c r="E159" s="134" t="s">
        <v>2165</v>
      </c>
      <c r="F159" s="138" t="s">
        <v>947</v>
      </c>
      <c r="G159" s="153" t="s">
        <v>52</v>
      </c>
    </row>
    <row r="160" spans="3:7" hidden="1" outlineLevel="4" x14ac:dyDescent="0.25">
      <c r="C160" s="151">
        <v>50300110</v>
      </c>
      <c r="D160" s="134" t="s">
        <v>2166</v>
      </c>
      <c r="E160" s="134" t="s">
        <v>2167</v>
      </c>
      <c r="F160" s="138" t="s">
        <v>947</v>
      </c>
      <c r="G160" s="153" t="s">
        <v>52</v>
      </c>
    </row>
    <row r="161" spans="3:7" hidden="1" outlineLevel="4" x14ac:dyDescent="0.25">
      <c r="C161" s="151">
        <v>50300120</v>
      </c>
      <c r="D161" s="134" t="s">
        <v>2168</v>
      </c>
      <c r="E161" s="134" t="s">
        <v>2169</v>
      </c>
      <c r="F161" s="138" t="s">
        <v>947</v>
      </c>
      <c r="G161" s="153" t="s">
        <v>52</v>
      </c>
    </row>
    <row r="162" spans="3:7" hidden="1" outlineLevel="4" x14ac:dyDescent="0.25">
      <c r="C162" s="151">
        <v>50300990</v>
      </c>
      <c r="D162" s="134" t="s">
        <v>73</v>
      </c>
      <c r="E162" s="134" t="s">
        <v>2170</v>
      </c>
      <c r="F162" s="138" t="s">
        <v>947</v>
      </c>
      <c r="G162" s="153" t="s">
        <v>52</v>
      </c>
    </row>
    <row r="163" spans="3:7" hidden="1" outlineLevel="4" x14ac:dyDescent="0.25">
      <c r="C163" s="151">
        <v>50400010</v>
      </c>
      <c r="D163" s="134" t="s">
        <v>2171</v>
      </c>
      <c r="E163" s="134" t="s">
        <v>2172</v>
      </c>
      <c r="F163" s="138" t="s">
        <v>952</v>
      </c>
      <c r="G163" s="153" t="s">
        <v>52</v>
      </c>
    </row>
    <row r="164" spans="3:7" hidden="1" outlineLevel="4" x14ac:dyDescent="0.25">
      <c r="C164" s="151">
        <v>50500010</v>
      </c>
      <c r="D164" s="134" t="s">
        <v>2173</v>
      </c>
      <c r="E164" s="134" t="s">
        <v>2174</v>
      </c>
      <c r="F164" s="138" t="s">
        <v>957</v>
      </c>
      <c r="G164" s="152" t="s">
        <v>2154</v>
      </c>
    </row>
    <row r="165" spans="3:7" hidden="1" outlineLevel="4" x14ac:dyDescent="0.25">
      <c r="C165" s="151">
        <v>50500020</v>
      </c>
      <c r="D165" s="134" t="s">
        <v>1388</v>
      </c>
      <c r="E165" s="134" t="s">
        <v>2175</v>
      </c>
      <c r="F165" s="138" t="s">
        <v>957</v>
      </c>
      <c r="G165" s="152" t="s">
        <v>2154</v>
      </c>
    </row>
    <row r="166" spans="3:7" hidden="1" outlineLevel="4" x14ac:dyDescent="0.25">
      <c r="C166" s="151">
        <v>50500030</v>
      </c>
      <c r="D166" s="134" t="s">
        <v>2176</v>
      </c>
      <c r="E166" s="134" t="s">
        <v>103</v>
      </c>
      <c r="F166" s="138" t="s">
        <v>957</v>
      </c>
      <c r="G166" s="152" t="s">
        <v>2154</v>
      </c>
    </row>
    <row r="167" spans="3:7" hidden="1" outlineLevel="4" x14ac:dyDescent="0.25">
      <c r="C167" s="151">
        <v>50500040</v>
      </c>
      <c r="D167" s="134" t="s">
        <v>113</v>
      </c>
      <c r="E167" s="134" t="s">
        <v>2177</v>
      </c>
      <c r="F167" s="138" t="s">
        <v>957</v>
      </c>
      <c r="G167" s="152" t="s">
        <v>2154</v>
      </c>
    </row>
    <row r="168" spans="3:7" hidden="1" outlineLevel="4" x14ac:dyDescent="0.25">
      <c r="C168" s="151">
        <v>50600010</v>
      </c>
      <c r="D168" s="134" t="s">
        <v>585</v>
      </c>
      <c r="E168" s="134" t="s">
        <v>2178</v>
      </c>
      <c r="F168" s="138" t="s">
        <v>962</v>
      </c>
      <c r="G168" s="152" t="s">
        <v>2154</v>
      </c>
    </row>
    <row r="169" spans="3:7" hidden="1" outlineLevel="4" x14ac:dyDescent="0.25">
      <c r="C169" s="151">
        <v>50600020</v>
      </c>
      <c r="D169" s="134" t="s">
        <v>586</v>
      </c>
      <c r="E169" s="134" t="s">
        <v>2179</v>
      </c>
      <c r="F169" s="138" t="s">
        <v>962</v>
      </c>
      <c r="G169" s="152" t="s">
        <v>2154</v>
      </c>
    </row>
    <row r="170" spans="3:7" hidden="1" outlineLevel="4" x14ac:dyDescent="0.25">
      <c r="C170" s="151">
        <v>50600030</v>
      </c>
      <c r="D170" s="134" t="s">
        <v>2180</v>
      </c>
      <c r="E170" s="134" t="s">
        <v>2181</v>
      </c>
      <c r="F170" s="138" t="s">
        <v>962</v>
      </c>
      <c r="G170" s="152" t="s">
        <v>2154</v>
      </c>
    </row>
    <row r="171" spans="3:7" hidden="1" outlineLevel="4" x14ac:dyDescent="0.25">
      <c r="C171" s="151">
        <v>50600040</v>
      </c>
      <c r="D171" s="134" t="s">
        <v>588</v>
      </c>
      <c r="E171" s="134" t="s">
        <v>2182</v>
      </c>
      <c r="F171" s="138" t="s">
        <v>962</v>
      </c>
      <c r="G171" s="152" t="s">
        <v>2154</v>
      </c>
    </row>
    <row r="172" spans="3:7" hidden="1" outlineLevel="4" x14ac:dyDescent="0.25">
      <c r="C172" s="151">
        <v>50800010</v>
      </c>
      <c r="D172" s="134" t="s">
        <v>2183</v>
      </c>
      <c r="E172" s="134" t="s">
        <v>2184</v>
      </c>
      <c r="F172" s="138" t="s">
        <v>972</v>
      </c>
      <c r="G172" s="152" t="s">
        <v>2154</v>
      </c>
    </row>
    <row r="173" spans="3:7" hidden="1" outlineLevel="4" x14ac:dyDescent="0.25">
      <c r="C173" s="151">
        <v>50800020</v>
      </c>
      <c r="D173" s="134" t="s">
        <v>121</v>
      </c>
      <c r="E173" s="134" t="s">
        <v>2185</v>
      </c>
      <c r="F173" s="138" t="s">
        <v>972</v>
      </c>
      <c r="G173" s="152" t="s">
        <v>2154</v>
      </c>
    </row>
    <row r="174" spans="3:7" hidden="1" outlineLevel="4" x14ac:dyDescent="0.25">
      <c r="C174" s="151">
        <v>50800030</v>
      </c>
      <c r="D174" s="134" t="s">
        <v>124</v>
      </c>
      <c r="E174" s="134" t="s">
        <v>2186</v>
      </c>
      <c r="F174" s="138" t="s">
        <v>972</v>
      </c>
      <c r="G174" s="152" t="s">
        <v>2154</v>
      </c>
    </row>
    <row r="175" spans="3:7" hidden="1" outlineLevel="4" x14ac:dyDescent="0.25">
      <c r="C175" s="151">
        <v>50800040</v>
      </c>
      <c r="D175" s="134" t="s">
        <v>126</v>
      </c>
      <c r="E175" s="134" t="s">
        <v>2187</v>
      </c>
      <c r="F175" s="138" t="s">
        <v>972</v>
      </c>
      <c r="G175" s="152" t="s">
        <v>2154</v>
      </c>
    </row>
    <row r="176" spans="3:7" hidden="1" outlineLevel="4" x14ac:dyDescent="0.25">
      <c r="C176" s="151">
        <v>50800050</v>
      </c>
      <c r="D176" s="134" t="s">
        <v>128</v>
      </c>
      <c r="E176" s="134" t="s">
        <v>2188</v>
      </c>
      <c r="F176" s="138" t="s">
        <v>972</v>
      </c>
      <c r="G176" s="152" t="s">
        <v>2154</v>
      </c>
    </row>
    <row r="177" spans="3:7" hidden="1" outlineLevel="4" x14ac:dyDescent="0.25">
      <c r="C177" s="151">
        <v>50800060</v>
      </c>
      <c r="D177" s="134" t="s">
        <v>130</v>
      </c>
      <c r="E177" s="134" t="s">
        <v>2189</v>
      </c>
      <c r="F177" s="138" t="s">
        <v>972</v>
      </c>
      <c r="G177" s="152" t="s">
        <v>2154</v>
      </c>
    </row>
    <row r="178" spans="3:7" hidden="1" outlineLevel="4" x14ac:dyDescent="0.25">
      <c r="C178" s="151">
        <v>50800070</v>
      </c>
      <c r="D178" s="134" t="s">
        <v>133</v>
      </c>
      <c r="E178" s="134" t="s">
        <v>2190</v>
      </c>
      <c r="F178" s="138" t="s">
        <v>972</v>
      </c>
      <c r="G178" s="152" t="s">
        <v>2154</v>
      </c>
    </row>
    <row r="179" spans="3:7" hidden="1" outlineLevel="4" x14ac:dyDescent="0.25">
      <c r="C179" s="151">
        <v>51100000</v>
      </c>
      <c r="D179" s="134" t="s">
        <v>604</v>
      </c>
      <c r="E179" s="134" t="s">
        <v>2191</v>
      </c>
      <c r="F179" s="138" t="s">
        <v>987</v>
      </c>
      <c r="G179" s="152" t="s">
        <v>2154</v>
      </c>
    </row>
    <row r="180" spans="3:7" hidden="1" outlineLevel="4" x14ac:dyDescent="0.25">
      <c r="C180" s="151">
        <v>51300010</v>
      </c>
      <c r="D180" s="134" t="s">
        <v>614</v>
      </c>
      <c r="E180" s="134" t="s">
        <v>2192</v>
      </c>
      <c r="F180" s="138" t="s">
        <v>997</v>
      </c>
      <c r="G180" s="138" t="s">
        <v>260</v>
      </c>
    </row>
    <row r="181" spans="3:7" hidden="1" outlineLevel="4" x14ac:dyDescent="0.25">
      <c r="C181" s="151">
        <v>51300040</v>
      </c>
      <c r="D181" s="134" t="s">
        <v>617</v>
      </c>
      <c r="E181" s="134" t="s">
        <v>2193</v>
      </c>
      <c r="F181" s="138" t="s">
        <v>997</v>
      </c>
      <c r="G181" s="138" t="s">
        <v>260</v>
      </c>
    </row>
    <row r="182" spans="3:7" hidden="1" outlineLevel="4" x14ac:dyDescent="0.25">
      <c r="C182" s="151">
        <v>51300050</v>
      </c>
      <c r="D182" s="134" t="s">
        <v>618</v>
      </c>
      <c r="E182" s="134" t="s">
        <v>2194</v>
      </c>
      <c r="F182" s="138" t="s">
        <v>997</v>
      </c>
      <c r="G182" s="138" t="s">
        <v>260</v>
      </c>
    </row>
    <row r="183" spans="3:7" hidden="1" outlineLevel="4" x14ac:dyDescent="0.25">
      <c r="C183" s="151">
        <v>51300060</v>
      </c>
      <c r="D183" s="134" t="s">
        <v>619</v>
      </c>
      <c r="E183" s="134" t="s">
        <v>2195</v>
      </c>
      <c r="F183" s="138" t="s">
        <v>997</v>
      </c>
      <c r="G183" s="138" t="s">
        <v>260</v>
      </c>
    </row>
    <row r="184" spans="3:7" hidden="1" outlineLevel="4" x14ac:dyDescent="0.25">
      <c r="C184" s="151">
        <v>51300090</v>
      </c>
      <c r="D184" s="134" t="s">
        <v>622</v>
      </c>
      <c r="E184" s="134" t="s">
        <v>2196</v>
      </c>
      <c r="F184" s="138" t="s">
        <v>997</v>
      </c>
      <c r="G184" s="138" t="s">
        <v>260</v>
      </c>
    </row>
    <row r="185" spans="3:7" hidden="1" outlineLevel="4" x14ac:dyDescent="0.25">
      <c r="C185" s="151">
        <v>51500010</v>
      </c>
      <c r="D185" s="134" t="s">
        <v>2197</v>
      </c>
      <c r="E185" s="134" t="s">
        <v>2198</v>
      </c>
      <c r="F185" s="138" t="s">
        <v>1007</v>
      </c>
      <c r="G185" s="152" t="s">
        <v>2154</v>
      </c>
    </row>
    <row r="186" spans="3:7" hidden="1" outlineLevel="4" x14ac:dyDescent="0.25">
      <c r="C186" s="151">
        <v>51600010</v>
      </c>
      <c r="D186" s="134" t="s">
        <v>149</v>
      </c>
      <c r="E186" s="134" t="s">
        <v>2199</v>
      </c>
      <c r="F186" s="138" t="s">
        <v>1012</v>
      </c>
      <c r="G186" s="152" t="s">
        <v>2154</v>
      </c>
    </row>
    <row r="187" spans="3:7" hidden="1" outlineLevel="4" x14ac:dyDescent="0.25">
      <c r="C187" s="151">
        <v>51600020</v>
      </c>
      <c r="D187" s="134" t="s">
        <v>150</v>
      </c>
      <c r="E187" s="134" t="s">
        <v>2200</v>
      </c>
      <c r="F187" s="138" t="s">
        <v>1012</v>
      </c>
      <c r="G187" s="152" t="s">
        <v>2154</v>
      </c>
    </row>
    <row r="188" spans="3:7" hidden="1" outlineLevel="4" x14ac:dyDescent="0.25">
      <c r="C188" s="151">
        <v>51600030</v>
      </c>
      <c r="D188" s="134" t="s">
        <v>152</v>
      </c>
      <c r="E188" s="134" t="s">
        <v>2201</v>
      </c>
      <c r="F188" s="138" t="s">
        <v>1012</v>
      </c>
      <c r="G188" s="152" t="s">
        <v>2154</v>
      </c>
    </row>
    <row r="189" spans="3:7" hidden="1" outlineLevel="4" x14ac:dyDescent="0.25">
      <c r="C189" s="151">
        <v>51600040</v>
      </c>
      <c r="D189" s="134" t="s">
        <v>153</v>
      </c>
      <c r="E189" s="134" t="s">
        <v>2202</v>
      </c>
      <c r="F189" s="138" t="s">
        <v>1012</v>
      </c>
      <c r="G189" s="152" t="s">
        <v>2154</v>
      </c>
    </row>
    <row r="190" spans="3:7" hidden="1" outlineLevel="4" x14ac:dyDescent="0.25">
      <c r="C190" s="151">
        <v>51600050</v>
      </c>
      <c r="D190" s="134" t="s">
        <v>625</v>
      </c>
      <c r="E190" s="134" t="s">
        <v>2203</v>
      </c>
      <c r="F190" s="138" t="s">
        <v>1012</v>
      </c>
      <c r="G190" s="152" t="s">
        <v>2154</v>
      </c>
    </row>
    <row r="191" spans="3:7" hidden="1" outlineLevel="4" x14ac:dyDescent="0.25">
      <c r="C191" s="151">
        <v>51600070</v>
      </c>
      <c r="D191" s="134" t="s">
        <v>154</v>
      </c>
      <c r="E191" s="134" t="s">
        <v>2204</v>
      </c>
      <c r="F191" s="138" t="s">
        <v>1012</v>
      </c>
      <c r="G191" s="152" t="s">
        <v>2154</v>
      </c>
    </row>
    <row r="192" spans="3:7" hidden="1" outlineLevel="4" x14ac:dyDescent="0.25">
      <c r="C192" s="151">
        <v>51700010</v>
      </c>
      <c r="D192" s="134" t="s">
        <v>155</v>
      </c>
      <c r="E192" s="134" t="s">
        <v>2205</v>
      </c>
      <c r="F192" s="138" t="s">
        <v>1017</v>
      </c>
      <c r="G192" s="152" t="s">
        <v>2154</v>
      </c>
    </row>
    <row r="193" spans="3:7" hidden="1" outlineLevel="4" x14ac:dyDescent="0.25">
      <c r="C193" s="151">
        <v>51700030</v>
      </c>
      <c r="D193" s="134" t="s">
        <v>157</v>
      </c>
      <c r="E193" s="134" t="s">
        <v>2206</v>
      </c>
      <c r="F193" s="138" t="s">
        <v>1017</v>
      </c>
      <c r="G193" s="152" t="s">
        <v>2154</v>
      </c>
    </row>
    <row r="194" spans="3:7" hidden="1" outlineLevel="4" x14ac:dyDescent="0.25">
      <c r="C194" s="151">
        <v>51700040</v>
      </c>
      <c r="D194" s="134" t="s">
        <v>159</v>
      </c>
      <c r="E194" s="134" t="s">
        <v>2207</v>
      </c>
      <c r="F194" s="138" t="s">
        <v>1017</v>
      </c>
      <c r="G194" s="152" t="s">
        <v>2154</v>
      </c>
    </row>
    <row r="195" spans="3:7" hidden="1" outlineLevel="4" x14ac:dyDescent="0.25">
      <c r="C195" s="151">
        <v>51700050</v>
      </c>
      <c r="D195" s="134" t="s">
        <v>161</v>
      </c>
      <c r="E195" s="134" t="s">
        <v>2208</v>
      </c>
      <c r="F195" s="138" t="s">
        <v>1017</v>
      </c>
      <c r="G195" s="152" t="s">
        <v>2154</v>
      </c>
    </row>
    <row r="196" spans="3:7" hidden="1" outlineLevel="4" x14ac:dyDescent="0.25">
      <c r="C196" s="151">
        <v>51700060</v>
      </c>
      <c r="D196" s="134" t="s">
        <v>163</v>
      </c>
      <c r="E196" s="134" t="s">
        <v>2209</v>
      </c>
      <c r="F196" s="138" t="s">
        <v>1017</v>
      </c>
      <c r="G196" s="152" t="s">
        <v>2154</v>
      </c>
    </row>
    <row r="197" spans="3:7" hidden="1" outlineLevel="4" x14ac:dyDescent="0.25">
      <c r="C197" s="151">
        <v>51700070</v>
      </c>
      <c r="D197" s="134" t="s">
        <v>165</v>
      </c>
      <c r="E197" s="134" t="s">
        <v>2210</v>
      </c>
      <c r="F197" s="138" t="s">
        <v>1017</v>
      </c>
      <c r="G197" s="152" t="s">
        <v>2154</v>
      </c>
    </row>
    <row r="198" spans="3:7" hidden="1" outlineLevel="4" x14ac:dyDescent="0.25">
      <c r="C198" s="151">
        <v>51800010</v>
      </c>
      <c r="D198" s="134" t="s">
        <v>167</v>
      </c>
      <c r="E198" s="134" t="s">
        <v>2211</v>
      </c>
      <c r="F198" s="138" t="s">
        <v>1022</v>
      </c>
      <c r="G198" s="152" t="s">
        <v>2154</v>
      </c>
    </row>
    <row r="199" spans="3:7" hidden="1" outlineLevel="4" x14ac:dyDescent="0.25">
      <c r="C199" s="151">
        <v>51800020</v>
      </c>
      <c r="D199" s="134" t="s">
        <v>170</v>
      </c>
      <c r="E199" s="134" t="s">
        <v>2212</v>
      </c>
      <c r="F199" s="138" t="s">
        <v>1022</v>
      </c>
      <c r="G199" s="152" t="s">
        <v>2154</v>
      </c>
    </row>
    <row r="200" spans="3:7" hidden="1" outlineLevel="4" x14ac:dyDescent="0.25">
      <c r="C200" s="151">
        <v>51800030</v>
      </c>
      <c r="D200" s="134" t="s">
        <v>172</v>
      </c>
      <c r="E200" s="134" t="s">
        <v>2213</v>
      </c>
      <c r="F200" s="138" t="s">
        <v>1022</v>
      </c>
      <c r="G200" s="152" t="s">
        <v>2154</v>
      </c>
    </row>
    <row r="201" spans="3:7" hidden="1" outlineLevel="4" x14ac:dyDescent="0.25">
      <c r="C201" s="151">
        <v>51800090</v>
      </c>
      <c r="D201" s="134" t="s">
        <v>174</v>
      </c>
      <c r="E201" s="134" t="s">
        <v>2214</v>
      </c>
      <c r="F201" s="138" t="s">
        <v>1022</v>
      </c>
      <c r="G201" s="152" t="s">
        <v>2154</v>
      </c>
    </row>
    <row r="202" spans="3:7" hidden="1" outlineLevel="4" x14ac:dyDescent="0.25">
      <c r="C202" s="151">
        <v>51900010</v>
      </c>
      <c r="D202" s="134" t="s">
        <v>176</v>
      </c>
      <c r="E202" s="134" t="s">
        <v>2215</v>
      </c>
      <c r="F202" s="138" t="s">
        <v>456</v>
      </c>
      <c r="G202" s="152" t="s">
        <v>2154</v>
      </c>
    </row>
    <row r="203" spans="3:7" hidden="1" outlineLevel="4" x14ac:dyDescent="0.25">
      <c r="C203" s="151">
        <v>51900020</v>
      </c>
      <c r="D203" s="134" t="s">
        <v>179</v>
      </c>
      <c r="E203" s="134" t="s">
        <v>2216</v>
      </c>
      <c r="F203" s="138" t="s">
        <v>456</v>
      </c>
      <c r="G203" s="152" t="s">
        <v>2154</v>
      </c>
    </row>
    <row r="204" spans="3:7" hidden="1" outlineLevel="4" x14ac:dyDescent="0.25">
      <c r="C204" s="151">
        <v>51900030</v>
      </c>
      <c r="D204" s="134" t="s">
        <v>182</v>
      </c>
      <c r="E204" s="134" t="s">
        <v>2217</v>
      </c>
      <c r="F204" s="138" t="s">
        <v>456</v>
      </c>
      <c r="G204" s="152" t="s">
        <v>2154</v>
      </c>
    </row>
    <row r="205" spans="3:7" hidden="1" outlineLevel="4" x14ac:dyDescent="0.25">
      <c r="C205" s="151">
        <v>51900040</v>
      </c>
      <c r="D205" s="134" t="s">
        <v>184</v>
      </c>
      <c r="E205" s="134" t="s">
        <v>2218</v>
      </c>
      <c r="F205" s="138" t="s">
        <v>456</v>
      </c>
      <c r="G205" s="152" t="s">
        <v>2154</v>
      </c>
    </row>
    <row r="206" spans="3:7" hidden="1" outlineLevel="4" x14ac:dyDescent="0.25">
      <c r="C206" s="151">
        <v>51900090</v>
      </c>
      <c r="D206" s="134" t="s">
        <v>186</v>
      </c>
      <c r="E206" s="134" t="s">
        <v>2219</v>
      </c>
      <c r="F206" s="138" t="s">
        <v>456</v>
      </c>
      <c r="G206" s="152" t="s">
        <v>2154</v>
      </c>
    </row>
    <row r="207" spans="3:7" hidden="1" outlineLevel="4" x14ac:dyDescent="0.25">
      <c r="C207" s="151">
        <v>52100010</v>
      </c>
      <c r="D207" s="134" t="s">
        <v>197</v>
      </c>
      <c r="E207" s="134" t="s">
        <v>198</v>
      </c>
      <c r="F207" s="138" t="s">
        <v>1036</v>
      </c>
      <c r="G207" s="152" t="s">
        <v>2154</v>
      </c>
    </row>
    <row r="208" spans="3:7" hidden="1" outlineLevel="4" x14ac:dyDescent="0.25">
      <c r="C208" s="151">
        <v>52100020</v>
      </c>
      <c r="D208" s="134" t="s">
        <v>200</v>
      </c>
      <c r="E208" s="134" t="s">
        <v>2220</v>
      </c>
      <c r="F208" s="138" t="s">
        <v>1036</v>
      </c>
      <c r="G208" s="152" t="s">
        <v>2154</v>
      </c>
    </row>
    <row r="209" spans="3:7" hidden="1" outlineLevel="4" x14ac:dyDescent="0.25">
      <c r="C209" s="151">
        <v>52100030</v>
      </c>
      <c r="D209" s="134" t="s">
        <v>202</v>
      </c>
      <c r="E209" s="134" t="s">
        <v>203</v>
      </c>
      <c r="F209" s="138" t="s">
        <v>1036</v>
      </c>
      <c r="G209" s="152" t="s">
        <v>2154</v>
      </c>
    </row>
    <row r="210" spans="3:7" hidden="1" outlineLevel="4" x14ac:dyDescent="0.25">
      <c r="C210" s="151">
        <v>52100040</v>
      </c>
      <c r="D210" s="134" t="s">
        <v>204</v>
      </c>
      <c r="E210" s="134" t="s">
        <v>205</v>
      </c>
      <c r="F210" s="138" t="s">
        <v>1036</v>
      </c>
      <c r="G210" s="152" t="s">
        <v>2154</v>
      </c>
    </row>
    <row r="211" spans="3:7" hidden="1" outlineLevel="4" x14ac:dyDescent="0.25">
      <c r="C211" s="151">
        <v>52100050</v>
      </c>
      <c r="D211" s="134" t="s">
        <v>206</v>
      </c>
      <c r="E211" s="134" t="s">
        <v>2221</v>
      </c>
      <c r="F211" s="138" t="s">
        <v>1036</v>
      </c>
      <c r="G211" s="152" t="s">
        <v>2154</v>
      </c>
    </row>
    <row r="212" spans="3:7" ht="30" hidden="1" outlineLevel="4" x14ac:dyDescent="0.25">
      <c r="C212" s="151">
        <v>52200010</v>
      </c>
      <c r="D212" s="134" t="s">
        <v>208</v>
      </c>
      <c r="E212" s="134" t="s">
        <v>209</v>
      </c>
      <c r="F212" s="138" t="s">
        <v>1041</v>
      </c>
      <c r="G212" s="152" t="s">
        <v>2154</v>
      </c>
    </row>
    <row r="213" spans="3:7" ht="30" hidden="1" outlineLevel="4" x14ac:dyDescent="0.25">
      <c r="C213" s="151">
        <v>52200020</v>
      </c>
      <c r="D213" s="134" t="s">
        <v>210</v>
      </c>
      <c r="E213" s="134" t="s">
        <v>211</v>
      </c>
      <c r="F213" s="138" t="s">
        <v>1041</v>
      </c>
      <c r="G213" s="152" t="s">
        <v>2154</v>
      </c>
    </row>
    <row r="214" spans="3:7" hidden="1" outlineLevel="4" x14ac:dyDescent="0.25">
      <c r="C214" s="151">
        <v>52300010</v>
      </c>
      <c r="D214" s="134" t="s">
        <v>212</v>
      </c>
      <c r="E214" s="134" t="s">
        <v>2222</v>
      </c>
      <c r="F214" s="138" t="s">
        <v>1046</v>
      </c>
      <c r="G214" s="152" t="s">
        <v>2154</v>
      </c>
    </row>
    <row r="215" spans="3:7" ht="30" hidden="1" outlineLevel="4" x14ac:dyDescent="0.25">
      <c r="C215" s="151">
        <v>52300020</v>
      </c>
      <c r="D215" s="134" t="s">
        <v>214</v>
      </c>
      <c r="E215" s="134" t="s">
        <v>2223</v>
      </c>
      <c r="F215" s="138" t="s">
        <v>1046</v>
      </c>
      <c r="G215" s="152" t="s">
        <v>2154</v>
      </c>
    </row>
    <row r="216" spans="3:7" hidden="1" outlineLevel="4" x14ac:dyDescent="0.25">
      <c r="C216" s="151">
        <v>52400030</v>
      </c>
      <c r="D216" s="134" t="s">
        <v>216</v>
      </c>
      <c r="E216" s="134" t="s">
        <v>2224</v>
      </c>
      <c r="F216" s="138" t="s">
        <v>1051</v>
      </c>
      <c r="G216" s="152" t="s">
        <v>2154</v>
      </c>
    </row>
    <row r="217" spans="3:7" hidden="1" outlineLevel="4" x14ac:dyDescent="0.25">
      <c r="C217" s="151">
        <v>52400040</v>
      </c>
      <c r="D217" s="134" t="s">
        <v>218</v>
      </c>
      <c r="E217" s="134" t="s">
        <v>2225</v>
      </c>
      <c r="F217" s="138" t="s">
        <v>1051</v>
      </c>
      <c r="G217" s="152" t="s">
        <v>2154</v>
      </c>
    </row>
    <row r="218" spans="3:7" hidden="1" outlineLevel="4" x14ac:dyDescent="0.25">
      <c r="C218" s="151">
        <v>52400060</v>
      </c>
      <c r="D218" s="134" t="s">
        <v>628</v>
      </c>
      <c r="E218" s="134" t="s">
        <v>2226</v>
      </c>
      <c r="F218" s="138" t="s">
        <v>1051</v>
      </c>
      <c r="G218" s="152" t="s">
        <v>2154</v>
      </c>
    </row>
    <row r="219" spans="3:7" hidden="1" outlineLevel="4" x14ac:dyDescent="0.25">
      <c r="C219" s="151">
        <v>52500010</v>
      </c>
      <c r="D219" s="134" t="s">
        <v>220</v>
      </c>
      <c r="E219" s="134" t="s">
        <v>2227</v>
      </c>
      <c r="F219" s="138" t="s">
        <v>220</v>
      </c>
      <c r="G219" s="152" t="s">
        <v>2154</v>
      </c>
    </row>
    <row r="220" spans="3:7" hidden="1" outlineLevel="4" x14ac:dyDescent="0.25">
      <c r="C220" s="151">
        <v>52600020</v>
      </c>
      <c r="D220" s="134" t="s">
        <v>225</v>
      </c>
      <c r="E220" s="134" t="s">
        <v>2228</v>
      </c>
      <c r="F220" s="138" t="s">
        <v>1060</v>
      </c>
      <c r="G220" s="152" t="s">
        <v>2154</v>
      </c>
    </row>
    <row r="221" spans="3:7" hidden="1" outlineLevel="4" x14ac:dyDescent="0.25">
      <c r="C221" s="151">
        <v>52600030</v>
      </c>
      <c r="D221" s="134" t="s">
        <v>228</v>
      </c>
      <c r="E221" s="134" t="s">
        <v>2229</v>
      </c>
      <c r="F221" s="138" t="s">
        <v>1060</v>
      </c>
      <c r="G221" s="152" t="s">
        <v>2154</v>
      </c>
    </row>
    <row r="222" spans="3:7" hidden="1" outlineLevel="4" x14ac:dyDescent="0.25">
      <c r="C222" s="151">
        <v>52900010</v>
      </c>
      <c r="D222" s="134" t="s">
        <v>230</v>
      </c>
      <c r="E222" s="134" t="s">
        <v>2230</v>
      </c>
      <c r="F222" s="138" t="s">
        <v>1074</v>
      </c>
      <c r="G222" s="152" t="s">
        <v>2154</v>
      </c>
    </row>
    <row r="223" spans="3:7" hidden="1" outlineLevel="4" x14ac:dyDescent="0.25">
      <c r="C223" s="151">
        <v>52900020</v>
      </c>
      <c r="D223" s="134" t="s">
        <v>232</v>
      </c>
      <c r="E223" s="134" t="s">
        <v>2231</v>
      </c>
      <c r="F223" s="138" t="s">
        <v>1074</v>
      </c>
      <c r="G223" s="152" t="s">
        <v>2154</v>
      </c>
    </row>
    <row r="224" spans="3:7" hidden="1" outlineLevel="4" x14ac:dyDescent="0.25">
      <c r="C224" s="151">
        <v>53100010</v>
      </c>
      <c r="D224" s="134" t="s">
        <v>634</v>
      </c>
      <c r="E224" s="134" t="s">
        <v>2232</v>
      </c>
      <c r="F224" s="138" t="s">
        <v>634</v>
      </c>
      <c r="G224" s="152" t="s">
        <v>2154</v>
      </c>
    </row>
    <row r="225" spans="3:7" hidden="1" outlineLevel="4" x14ac:dyDescent="0.25">
      <c r="C225" s="154"/>
      <c r="D225" s="143"/>
      <c r="E225" s="144"/>
      <c r="F225" s="144"/>
      <c r="G225" s="144"/>
    </row>
    <row r="226" spans="3:7" collapsed="1" x14ac:dyDescent="0.25"/>
    <row r="228" spans="3:7" x14ac:dyDescent="0.25">
      <c r="C228" s="120" t="s">
        <v>2233</v>
      </c>
    </row>
    <row r="229" spans="3:7" x14ac:dyDescent="0.25">
      <c r="C229" s="100" t="s">
        <v>2147</v>
      </c>
      <c r="D229" s="100" t="s">
        <v>2148</v>
      </c>
      <c r="E229" s="122" t="s">
        <v>2149</v>
      </c>
      <c r="F229" s="122" t="s">
        <v>2150</v>
      </c>
      <c r="G229" s="122" t="s">
        <v>2151</v>
      </c>
    </row>
    <row r="230" spans="3:7" x14ac:dyDescent="0.25">
      <c r="C230" s="151">
        <v>60100010</v>
      </c>
      <c r="D230" s="134" t="s">
        <v>75</v>
      </c>
      <c r="E230" s="134" t="s">
        <v>2234</v>
      </c>
      <c r="F230" s="152" t="s">
        <v>1136</v>
      </c>
      <c r="G230" s="152" t="s">
        <v>52</v>
      </c>
    </row>
    <row r="231" spans="3:7" x14ac:dyDescent="0.25">
      <c r="C231" s="151">
        <v>60100020</v>
      </c>
      <c r="D231" s="134" t="s">
        <v>77</v>
      </c>
      <c r="E231" s="134" t="s">
        <v>2235</v>
      </c>
      <c r="F231" s="153" t="s">
        <v>1136</v>
      </c>
      <c r="G231" s="153" t="s">
        <v>52</v>
      </c>
    </row>
    <row r="232" spans="3:7" x14ac:dyDescent="0.25">
      <c r="C232" s="151">
        <v>60100030</v>
      </c>
      <c r="D232" s="134" t="s">
        <v>79</v>
      </c>
      <c r="E232" s="134" t="s">
        <v>2236</v>
      </c>
      <c r="F232" s="134" t="s">
        <v>1136</v>
      </c>
      <c r="G232" s="153" t="s">
        <v>52</v>
      </c>
    </row>
    <row r="233" spans="3:7" x14ac:dyDescent="0.25">
      <c r="C233" s="151">
        <v>60100040</v>
      </c>
      <c r="D233" s="134" t="s">
        <v>81</v>
      </c>
      <c r="E233" s="134" t="s">
        <v>2237</v>
      </c>
      <c r="F233" s="134" t="s">
        <v>1136</v>
      </c>
      <c r="G233" s="153" t="s">
        <v>52</v>
      </c>
    </row>
    <row r="234" spans="3:7" x14ac:dyDescent="0.25">
      <c r="C234" s="151">
        <v>60100050</v>
      </c>
      <c r="D234" s="134" t="s">
        <v>83</v>
      </c>
      <c r="E234" s="134" t="s">
        <v>2238</v>
      </c>
      <c r="F234" s="134" t="s">
        <v>1136</v>
      </c>
      <c r="G234" s="153" t="s">
        <v>52</v>
      </c>
    </row>
    <row r="235" spans="3:7" x14ac:dyDescent="0.25">
      <c r="C235" s="151">
        <v>60100060</v>
      </c>
      <c r="D235" s="134" t="s">
        <v>85</v>
      </c>
      <c r="E235" s="134" t="s">
        <v>2239</v>
      </c>
      <c r="F235" s="134" t="s">
        <v>1136</v>
      </c>
      <c r="G235" s="153" t="s">
        <v>52</v>
      </c>
    </row>
    <row r="236" spans="3:7" x14ac:dyDescent="0.25">
      <c r="C236" s="151">
        <v>60100070</v>
      </c>
      <c r="D236" s="134" t="s">
        <v>87</v>
      </c>
      <c r="E236" s="134" t="s">
        <v>2240</v>
      </c>
      <c r="F236" s="134" t="s">
        <v>1136</v>
      </c>
      <c r="G236" s="153" t="s">
        <v>52</v>
      </c>
    </row>
    <row r="237" spans="3:7" x14ac:dyDescent="0.25">
      <c r="C237" s="151">
        <v>60100080</v>
      </c>
      <c r="D237" s="134" t="s">
        <v>89</v>
      </c>
      <c r="E237" s="134" t="s">
        <v>2241</v>
      </c>
      <c r="F237" s="138" t="s">
        <v>1136</v>
      </c>
      <c r="G237" s="153" t="s">
        <v>52</v>
      </c>
    </row>
    <row r="238" spans="3:7" x14ac:dyDescent="0.25">
      <c r="C238" s="151">
        <v>60100090</v>
      </c>
      <c r="D238" s="134" t="s">
        <v>91</v>
      </c>
      <c r="E238" s="134" t="s">
        <v>2242</v>
      </c>
      <c r="F238" s="138" t="s">
        <v>1136</v>
      </c>
      <c r="G238" s="153" t="s">
        <v>52</v>
      </c>
    </row>
    <row r="239" spans="3:7" x14ac:dyDescent="0.25">
      <c r="C239" s="151">
        <v>60100100</v>
      </c>
      <c r="D239" s="134" t="s">
        <v>93</v>
      </c>
      <c r="E239" s="134" t="s">
        <v>2243</v>
      </c>
      <c r="F239" s="138" t="s">
        <v>1136</v>
      </c>
      <c r="G239" s="153" t="s">
        <v>52</v>
      </c>
    </row>
    <row r="240" spans="3:7" x14ac:dyDescent="0.25">
      <c r="C240" s="151">
        <v>60100110</v>
      </c>
      <c r="D240" s="134" t="s">
        <v>95</v>
      </c>
      <c r="E240" s="134" t="s">
        <v>2244</v>
      </c>
      <c r="F240" s="138" t="s">
        <v>1136</v>
      </c>
      <c r="G240" s="153" t="s">
        <v>52</v>
      </c>
    </row>
    <row r="241" spans="3:7" x14ac:dyDescent="0.25">
      <c r="C241" s="151">
        <v>60100120</v>
      </c>
      <c r="D241" s="134" t="s">
        <v>2245</v>
      </c>
      <c r="E241" s="134" t="s">
        <v>2237</v>
      </c>
      <c r="F241" s="138" t="s">
        <v>1136</v>
      </c>
      <c r="G241" s="153" t="s">
        <v>52</v>
      </c>
    </row>
    <row r="242" spans="3:7" x14ac:dyDescent="0.25">
      <c r="C242" s="151">
        <v>60100990</v>
      </c>
      <c r="D242" s="134" t="s">
        <v>97</v>
      </c>
      <c r="E242" s="134" t="s">
        <v>2246</v>
      </c>
      <c r="F242" s="138" t="s">
        <v>1136</v>
      </c>
      <c r="G242" s="153" t="s">
        <v>52</v>
      </c>
    </row>
    <row r="243" spans="3:7" x14ac:dyDescent="0.25">
      <c r="C243" s="151">
        <v>60200010</v>
      </c>
      <c r="D243" s="134" t="s">
        <v>99</v>
      </c>
      <c r="E243" s="134" t="s">
        <v>100</v>
      </c>
      <c r="F243" s="138" t="s">
        <v>952</v>
      </c>
      <c r="G243" s="153" t="s">
        <v>52</v>
      </c>
    </row>
    <row r="244" spans="3:7" x14ac:dyDescent="0.25">
      <c r="C244" s="151">
        <v>60300010</v>
      </c>
      <c r="D244" s="134" t="s">
        <v>102</v>
      </c>
      <c r="E244" s="134" t="s">
        <v>103</v>
      </c>
      <c r="F244" s="138" t="s">
        <v>1145</v>
      </c>
      <c r="G244" s="153" t="s">
        <v>52</v>
      </c>
    </row>
    <row r="245" spans="3:7" x14ac:dyDescent="0.25">
      <c r="C245" s="151">
        <v>60600010</v>
      </c>
      <c r="D245" s="134" t="s">
        <v>585</v>
      </c>
      <c r="E245" s="134" t="s">
        <v>2247</v>
      </c>
      <c r="F245" s="138" t="s">
        <v>962</v>
      </c>
      <c r="G245" s="152" t="s">
        <v>108</v>
      </c>
    </row>
    <row r="246" spans="3:7" x14ac:dyDescent="0.25">
      <c r="C246" s="151">
        <v>60600020</v>
      </c>
      <c r="D246" s="134" t="s">
        <v>586</v>
      </c>
      <c r="E246" s="134" t="s">
        <v>2248</v>
      </c>
      <c r="F246" s="138" t="s">
        <v>962</v>
      </c>
      <c r="G246" s="152" t="s">
        <v>108</v>
      </c>
    </row>
    <row r="247" spans="3:7" ht="18" customHeight="1" x14ac:dyDescent="0.25">
      <c r="C247" s="151">
        <v>60600030</v>
      </c>
      <c r="D247" s="134" t="s">
        <v>587</v>
      </c>
      <c r="E247" s="134" t="s">
        <v>2249</v>
      </c>
      <c r="F247" s="138" t="s">
        <v>962</v>
      </c>
      <c r="G247" s="152" t="s">
        <v>108</v>
      </c>
    </row>
    <row r="248" spans="3:7" ht="24.95" customHeight="1" x14ac:dyDescent="0.25">
      <c r="C248" s="151">
        <v>60600050</v>
      </c>
      <c r="D248" s="134" t="s">
        <v>115</v>
      </c>
      <c r="E248" s="134" t="s">
        <v>2688</v>
      </c>
      <c r="F248" s="138" t="s">
        <v>962</v>
      </c>
      <c r="G248" s="152" t="s">
        <v>108</v>
      </c>
    </row>
    <row r="249" spans="3:7" ht="18" customHeight="1" x14ac:dyDescent="0.25">
      <c r="C249" s="151">
        <v>60700010</v>
      </c>
      <c r="D249" s="134" t="s">
        <v>117</v>
      </c>
      <c r="E249" s="134" t="s">
        <v>2689</v>
      </c>
      <c r="F249" s="138" t="s">
        <v>117</v>
      </c>
      <c r="G249" s="152" t="s">
        <v>108</v>
      </c>
    </row>
    <row r="250" spans="3:7" x14ac:dyDescent="0.25">
      <c r="C250" s="151">
        <v>60800010</v>
      </c>
      <c r="D250" s="134" t="s">
        <v>119</v>
      </c>
      <c r="E250" s="134" t="s">
        <v>2184</v>
      </c>
      <c r="F250" s="138" t="s">
        <v>1158</v>
      </c>
      <c r="G250" s="152" t="s">
        <v>2154</v>
      </c>
    </row>
    <row r="251" spans="3:7" x14ac:dyDescent="0.25">
      <c r="C251" s="151">
        <v>60800020</v>
      </c>
      <c r="D251" s="134" t="s">
        <v>121</v>
      </c>
      <c r="E251" s="134" t="s">
        <v>2185</v>
      </c>
      <c r="F251" s="138" t="s">
        <v>1158</v>
      </c>
      <c r="G251" s="152" t="s">
        <v>2154</v>
      </c>
    </row>
    <row r="252" spans="3:7" x14ac:dyDescent="0.25">
      <c r="C252" s="151">
        <v>60800030</v>
      </c>
      <c r="D252" s="134" t="s">
        <v>124</v>
      </c>
      <c r="E252" s="134" t="s">
        <v>2186</v>
      </c>
      <c r="F252" s="138" t="s">
        <v>1158</v>
      </c>
      <c r="G252" s="152" t="s">
        <v>2154</v>
      </c>
    </row>
    <row r="253" spans="3:7" x14ac:dyDescent="0.25">
      <c r="C253" s="151">
        <v>60800040</v>
      </c>
      <c r="D253" s="134" t="s">
        <v>126</v>
      </c>
      <c r="E253" s="134" t="s">
        <v>2187</v>
      </c>
      <c r="F253" s="138" t="s">
        <v>1158</v>
      </c>
      <c r="G253" s="152" t="s">
        <v>2154</v>
      </c>
    </row>
    <row r="254" spans="3:7" x14ac:dyDescent="0.25">
      <c r="C254" s="151">
        <v>60800050</v>
      </c>
      <c r="D254" s="134" t="s">
        <v>128</v>
      </c>
      <c r="E254" s="134" t="s">
        <v>2188</v>
      </c>
      <c r="F254" s="138" t="s">
        <v>1158</v>
      </c>
      <c r="G254" s="152" t="s">
        <v>2154</v>
      </c>
    </row>
    <row r="255" spans="3:7" x14ac:dyDescent="0.25">
      <c r="C255" s="151">
        <v>60800060</v>
      </c>
      <c r="D255" s="134" t="s">
        <v>130</v>
      </c>
      <c r="E255" s="134" t="s">
        <v>2189</v>
      </c>
      <c r="F255" s="138" t="s">
        <v>1158</v>
      </c>
      <c r="G255" s="152" t="s">
        <v>2154</v>
      </c>
    </row>
    <row r="256" spans="3:7" x14ac:dyDescent="0.25">
      <c r="C256" s="151">
        <v>60800070</v>
      </c>
      <c r="D256" s="134" t="s">
        <v>133</v>
      </c>
      <c r="E256" s="134" t="s">
        <v>2190</v>
      </c>
      <c r="F256" s="138" t="s">
        <v>1158</v>
      </c>
      <c r="G256" s="152" t="s">
        <v>2154</v>
      </c>
    </row>
    <row r="257" spans="3:7" x14ac:dyDescent="0.25">
      <c r="C257" s="151">
        <v>60800080</v>
      </c>
      <c r="D257" s="134" t="s">
        <v>135</v>
      </c>
      <c r="E257" s="134" t="s">
        <v>2250</v>
      </c>
      <c r="F257" s="138" t="s">
        <v>1158</v>
      </c>
      <c r="G257" s="152" t="s">
        <v>2154</v>
      </c>
    </row>
    <row r="258" spans="3:7" x14ac:dyDescent="0.25">
      <c r="C258" s="151">
        <v>61100010</v>
      </c>
      <c r="D258" s="134" t="s">
        <v>604</v>
      </c>
      <c r="E258" s="134" t="s">
        <v>2191</v>
      </c>
      <c r="F258" s="138" t="s">
        <v>987</v>
      </c>
      <c r="G258" s="152" t="s">
        <v>2251</v>
      </c>
    </row>
    <row r="259" spans="3:7" x14ac:dyDescent="0.25">
      <c r="C259" s="151">
        <v>61200010</v>
      </c>
      <c r="D259" s="134" t="s">
        <v>605</v>
      </c>
      <c r="E259" s="134" t="s">
        <v>2252</v>
      </c>
      <c r="F259" s="138" t="s">
        <v>992</v>
      </c>
      <c r="G259" s="152" t="s">
        <v>2253</v>
      </c>
    </row>
    <row r="260" spans="3:7" x14ac:dyDescent="0.25">
      <c r="C260" s="151">
        <v>61200020</v>
      </c>
      <c r="D260" s="134" t="s">
        <v>606</v>
      </c>
      <c r="E260" s="134" t="s">
        <v>2254</v>
      </c>
      <c r="F260" s="138" t="s">
        <v>992</v>
      </c>
      <c r="G260" s="152" t="s">
        <v>2253</v>
      </c>
    </row>
    <row r="261" spans="3:7" x14ac:dyDescent="0.25">
      <c r="C261" s="151">
        <v>61200030</v>
      </c>
      <c r="D261" s="134" t="s">
        <v>607</v>
      </c>
      <c r="E261" s="134" t="s">
        <v>2255</v>
      </c>
      <c r="F261" s="138" t="s">
        <v>992</v>
      </c>
      <c r="G261" s="152" t="s">
        <v>2253</v>
      </c>
    </row>
    <row r="262" spans="3:7" x14ac:dyDescent="0.25">
      <c r="C262" s="151">
        <v>61200040</v>
      </c>
      <c r="D262" s="134" t="s">
        <v>608</v>
      </c>
      <c r="E262" s="134" t="s">
        <v>2256</v>
      </c>
      <c r="F262" s="138" t="s">
        <v>992</v>
      </c>
      <c r="G262" s="152" t="s">
        <v>2253</v>
      </c>
    </row>
    <row r="263" spans="3:7" x14ac:dyDescent="0.25">
      <c r="C263" s="151">
        <v>61200050</v>
      </c>
      <c r="D263" s="134" t="s">
        <v>609</v>
      </c>
      <c r="E263" s="134" t="s">
        <v>2257</v>
      </c>
      <c r="F263" s="138" t="s">
        <v>992</v>
      </c>
      <c r="G263" s="152" t="s">
        <v>2253</v>
      </c>
    </row>
    <row r="264" spans="3:7" x14ac:dyDescent="0.25">
      <c r="C264" s="151">
        <v>61200060</v>
      </c>
      <c r="D264" s="134" t="s">
        <v>610</v>
      </c>
      <c r="E264" s="134" t="s">
        <v>2258</v>
      </c>
      <c r="F264" s="138" t="s">
        <v>992</v>
      </c>
      <c r="G264" s="152" t="s">
        <v>2253</v>
      </c>
    </row>
    <row r="265" spans="3:7" x14ac:dyDescent="0.25">
      <c r="C265" s="151">
        <v>61200070</v>
      </c>
      <c r="D265" s="134" t="s">
        <v>611</v>
      </c>
      <c r="E265" s="134" t="s">
        <v>2259</v>
      </c>
      <c r="F265" s="138" t="s">
        <v>992</v>
      </c>
      <c r="G265" s="152" t="s">
        <v>2253</v>
      </c>
    </row>
    <row r="266" spans="3:7" x14ac:dyDescent="0.25">
      <c r="C266" s="151">
        <v>61200080</v>
      </c>
      <c r="D266" s="134" t="s">
        <v>612</v>
      </c>
      <c r="E266" s="134" t="s">
        <v>2260</v>
      </c>
      <c r="F266" s="138" t="s">
        <v>992</v>
      </c>
      <c r="G266" s="152" t="s">
        <v>2253</v>
      </c>
    </row>
    <row r="267" spans="3:7" x14ac:dyDescent="0.25">
      <c r="C267" s="151">
        <v>61200090</v>
      </c>
      <c r="D267" s="134" t="s">
        <v>613</v>
      </c>
      <c r="E267" s="134" t="s">
        <v>2261</v>
      </c>
      <c r="F267" s="138" t="s">
        <v>992</v>
      </c>
      <c r="G267" s="152" t="s">
        <v>2253</v>
      </c>
    </row>
    <row r="268" spans="3:7" x14ac:dyDescent="0.25">
      <c r="C268" s="151">
        <v>61300010</v>
      </c>
      <c r="D268" s="134" t="s">
        <v>614</v>
      </c>
      <c r="E268" s="134" t="s">
        <v>2262</v>
      </c>
      <c r="F268" s="138" t="s">
        <v>997</v>
      </c>
      <c r="G268" s="152" t="s">
        <v>2253</v>
      </c>
    </row>
    <row r="269" spans="3:7" x14ac:dyDescent="0.25">
      <c r="C269" s="151">
        <v>61300020</v>
      </c>
      <c r="D269" s="134" t="s">
        <v>615</v>
      </c>
      <c r="E269" s="134" t="s">
        <v>2263</v>
      </c>
      <c r="F269" s="138" t="s">
        <v>997</v>
      </c>
      <c r="G269" s="152" t="s">
        <v>2253</v>
      </c>
    </row>
    <row r="270" spans="3:7" x14ac:dyDescent="0.25">
      <c r="C270" s="151">
        <v>61300030</v>
      </c>
      <c r="D270" s="134" t="s">
        <v>616</v>
      </c>
      <c r="E270" s="134" t="s">
        <v>2264</v>
      </c>
      <c r="F270" s="138" t="s">
        <v>997</v>
      </c>
      <c r="G270" s="152" t="s">
        <v>2253</v>
      </c>
    </row>
    <row r="271" spans="3:7" x14ac:dyDescent="0.25">
      <c r="C271" s="151">
        <v>61300040</v>
      </c>
      <c r="D271" s="134" t="s">
        <v>617</v>
      </c>
      <c r="E271" s="134" t="s">
        <v>2265</v>
      </c>
      <c r="F271" s="138" t="s">
        <v>997</v>
      </c>
      <c r="G271" s="152" t="s">
        <v>2253</v>
      </c>
    </row>
    <row r="272" spans="3:7" x14ac:dyDescent="0.25">
      <c r="C272" s="151">
        <v>61300050</v>
      </c>
      <c r="D272" s="134" t="s">
        <v>618</v>
      </c>
      <c r="E272" s="134" t="s">
        <v>2266</v>
      </c>
      <c r="F272" s="138" t="s">
        <v>997</v>
      </c>
      <c r="G272" s="152" t="s">
        <v>2253</v>
      </c>
    </row>
    <row r="273" spans="3:7" x14ac:dyDescent="0.25">
      <c r="C273" s="151">
        <v>61300060</v>
      </c>
      <c r="D273" s="134" t="s">
        <v>619</v>
      </c>
      <c r="E273" s="134" t="s">
        <v>2267</v>
      </c>
      <c r="F273" s="138" t="s">
        <v>997</v>
      </c>
      <c r="G273" s="152" t="s">
        <v>2253</v>
      </c>
    </row>
    <row r="274" spans="3:7" x14ac:dyDescent="0.25">
      <c r="C274" s="151">
        <v>61300070</v>
      </c>
      <c r="D274" s="134" t="s">
        <v>620</v>
      </c>
      <c r="E274" s="134" t="s">
        <v>2268</v>
      </c>
      <c r="F274" s="138" t="s">
        <v>997</v>
      </c>
      <c r="G274" s="152" t="s">
        <v>2253</v>
      </c>
    </row>
    <row r="275" spans="3:7" x14ac:dyDescent="0.25">
      <c r="C275" s="151">
        <v>61300080</v>
      </c>
      <c r="D275" s="134" t="s">
        <v>621</v>
      </c>
      <c r="E275" s="134" t="s">
        <v>2269</v>
      </c>
      <c r="F275" s="138" t="s">
        <v>997</v>
      </c>
      <c r="G275" s="152" t="s">
        <v>2253</v>
      </c>
    </row>
    <row r="276" spans="3:7" x14ac:dyDescent="0.25">
      <c r="C276" s="151">
        <v>61300090</v>
      </c>
      <c r="D276" s="134" t="s">
        <v>622</v>
      </c>
      <c r="E276" s="134" t="s">
        <v>2270</v>
      </c>
      <c r="F276" s="138" t="s">
        <v>997</v>
      </c>
      <c r="G276" s="152" t="s">
        <v>2253</v>
      </c>
    </row>
    <row r="277" spans="3:7" x14ac:dyDescent="0.25">
      <c r="C277" s="151">
        <v>61400010</v>
      </c>
      <c r="D277" s="134" t="s">
        <v>137</v>
      </c>
      <c r="E277" s="134" t="s">
        <v>2271</v>
      </c>
      <c r="F277" s="138" t="s">
        <v>1002</v>
      </c>
      <c r="G277" s="152" t="s">
        <v>2272</v>
      </c>
    </row>
    <row r="278" spans="3:7" x14ac:dyDescent="0.25">
      <c r="C278" s="151">
        <v>61400020</v>
      </c>
      <c r="D278" s="134" t="s">
        <v>623</v>
      </c>
      <c r="E278" s="134" t="s">
        <v>2273</v>
      </c>
      <c r="F278" s="138" t="s">
        <v>1002</v>
      </c>
      <c r="G278" s="152" t="s">
        <v>2272</v>
      </c>
    </row>
    <row r="279" spans="3:7" x14ac:dyDescent="0.25">
      <c r="C279" s="151">
        <v>61400030</v>
      </c>
      <c r="D279" s="134" t="s">
        <v>624</v>
      </c>
      <c r="E279" s="134" t="s">
        <v>2274</v>
      </c>
      <c r="F279" s="138" t="s">
        <v>1002</v>
      </c>
      <c r="G279" s="152" t="s">
        <v>2272</v>
      </c>
    </row>
    <row r="280" spans="3:7" x14ac:dyDescent="0.25">
      <c r="C280" s="151">
        <v>61500010</v>
      </c>
      <c r="D280" s="134" t="s">
        <v>143</v>
      </c>
      <c r="E280" s="134" t="s">
        <v>2198</v>
      </c>
      <c r="F280" s="138" t="s">
        <v>1007</v>
      </c>
      <c r="G280" s="152" t="s">
        <v>2154</v>
      </c>
    </row>
    <row r="281" spans="3:7" x14ac:dyDescent="0.25">
      <c r="C281" s="151">
        <v>61500020</v>
      </c>
      <c r="D281" s="134" t="s">
        <v>145</v>
      </c>
      <c r="E281" s="134" t="s">
        <v>2198</v>
      </c>
      <c r="F281" s="138" t="s">
        <v>1007</v>
      </c>
      <c r="G281" s="152" t="s">
        <v>52</v>
      </c>
    </row>
    <row r="282" spans="3:7" ht="30" x14ac:dyDescent="0.25">
      <c r="C282" s="151">
        <v>61600010</v>
      </c>
      <c r="D282" s="134" t="s">
        <v>2275</v>
      </c>
      <c r="E282" s="134" t="s">
        <v>2276</v>
      </c>
      <c r="F282" s="138" t="s">
        <v>1012</v>
      </c>
      <c r="G282" s="152" t="s">
        <v>108</v>
      </c>
    </row>
    <row r="283" spans="3:7" x14ac:dyDescent="0.25">
      <c r="C283" s="151">
        <v>61600030</v>
      </c>
      <c r="D283" s="134" t="s">
        <v>152</v>
      </c>
      <c r="E283" s="134" t="s">
        <v>2277</v>
      </c>
      <c r="F283" s="138" t="s">
        <v>1012</v>
      </c>
      <c r="G283" s="152" t="s">
        <v>108</v>
      </c>
    </row>
    <row r="284" spans="3:7" x14ac:dyDescent="0.25">
      <c r="C284" s="151">
        <v>61600040</v>
      </c>
      <c r="D284" s="134" t="s">
        <v>153</v>
      </c>
      <c r="E284" s="134" t="s">
        <v>2278</v>
      </c>
      <c r="F284" s="138" t="s">
        <v>1012</v>
      </c>
      <c r="G284" s="152" t="s">
        <v>178</v>
      </c>
    </row>
    <row r="285" spans="3:7" x14ac:dyDescent="0.25">
      <c r="C285" s="151">
        <v>61600050</v>
      </c>
      <c r="D285" s="134" t="s">
        <v>2279</v>
      </c>
      <c r="E285" s="134" t="s">
        <v>2280</v>
      </c>
      <c r="F285" s="138" t="s">
        <v>1012</v>
      </c>
      <c r="G285" s="152" t="s">
        <v>178</v>
      </c>
    </row>
    <row r="286" spans="3:7" x14ac:dyDescent="0.25">
      <c r="C286" s="151">
        <v>61600060</v>
      </c>
      <c r="D286" s="134" t="s">
        <v>2281</v>
      </c>
      <c r="E286" s="134" t="s">
        <v>2282</v>
      </c>
      <c r="F286" s="138" t="s">
        <v>1012</v>
      </c>
      <c r="G286" s="152" t="s">
        <v>52</v>
      </c>
    </row>
    <row r="287" spans="3:7" x14ac:dyDescent="0.25">
      <c r="C287" s="151">
        <v>61600070</v>
      </c>
      <c r="D287" s="134" t="s">
        <v>154</v>
      </c>
      <c r="E287" s="134" t="s">
        <v>2690</v>
      </c>
      <c r="F287" s="138" t="s">
        <v>1012</v>
      </c>
      <c r="G287" s="152" t="s">
        <v>2154</v>
      </c>
    </row>
    <row r="288" spans="3:7" x14ac:dyDescent="0.25">
      <c r="C288" s="151">
        <v>61700010</v>
      </c>
      <c r="D288" s="134" t="s">
        <v>155</v>
      </c>
      <c r="E288" s="134" t="s">
        <v>2205</v>
      </c>
      <c r="F288" s="138" t="s">
        <v>1017</v>
      </c>
      <c r="G288" s="152" t="s">
        <v>2283</v>
      </c>
    </row>
    <row r="289" spans="3:7" x14ac:dyDescent="0.25">
      <c r="C289" s="151">
        <v>61700030</v>
      </c>
      <c r="D289" s="134" t="s">
        <v>157</v>
      </c>
      <c r="E289" s="134" t="s">
        <v>2206</v>
      </c>
      <c r="F289" s="138" t="s">
        <v>1017</v>
      </c>
      <c r="G289" s="152" t="s">
        <v>108</v>
      </c>
    </row>
    <row r="290" spans="3:7" x14ac:dyDescent="0.25">
      <c r="C290" s="151">
        <v>61700040</v>
      </c>
      <c r="D290" s="134" t="s">
        <v>159</v>
      </c>
      <c r="E290" s="134" t="s">
        <v>2207</v>
      </c>
      <c r="F290" s="138" t="s">
        <v>1017</v>
      </c>
      <c r="G290" s="152" t="s">
        <v>108</v>
      </c>
    </row>
    <row r="291" spans="3:7" x14ac:dyDescent="0.25">
      <c r="C291" s="151">
        <v>61700050</v>
      </c>
      <c r="D291" s="134" t="s">
        <v>161</v>
      </c>
      <c r="E291" s="134" t="s">
        <v>2208</v>
      </c>
      <c r="F291" s="138" t="s">
        <v>1017</v>
      </c>
      <c r="G291" s="152" t="s">
        <v>108</v>
      </c>
    </row>
    <row r="292" spans="3:7" x14ac:dyDescent="0.25">
      <c r="C292" s="151">
        <v>61700060</v>
      </c>
      <c r="D292" s="134" t="s">
        <v>2284</v>
      </c>
      <c r="E292" s="134" t="s">
        <v>2209</v>
      </c>
      <c r="F292" s="138" t="s">
        <v>1017</v>
      </c>
      <c r="G292" s="152" t="s">
        <v>108</v>
      </c>
    </row>
    <row r="293" spans="3:7" x14ac:dyDescent="0.25">
      <c r="C293" s="151">
        <v>61700070</v>
      </c>
      <c r="D293" s="134" t="s">
        <v>165</v>
      </c>
      <c r="E293" s="134" t="s">
        <v>2210</v>
      </c>
      <c r="F293" s="138" t="s">
        <v>1017</v>
      </c>
      <c r="G293" s="152" t="s">
        <v>2154</v>
      </c>
    </row>
    <row r="294" spans="3:7" x14ac:dyDescent="0.25">
      <c r="C294" s="151">
        <v>61800010</v>
      </c>
      <c r="D294" s="134" t="s">
        <v>167</v>
      </c>
      <c r="E294" s="134" t="s">
        <v>2211</v>
      </c>
      <c r="F294" s="138" t="s">
        <v>1201</v>
      </c>
      <c r="G294" s="152" t="s">
        <v>2154</v>
      </c>
    </row>
    <row r="295" spans="3:7" x14ac:dyDescent="0.25">
      <c r="C295" s="151">
        <v>61800020</v>
      </c>
      <c r="D295" s="151" t="s">
        <v>170</v>
      </c>
      <c r="E295" s="151" t="s">
        <v>2212</v>
      </c>
      <c r="F295" s="151" t="s">
        <v>1201</v>
      </c>
      <c r="G295" s="152" t="s">
        <v>2154</v>
      </c>
    </row>
    <row r="296" spans="3:7" x14ac:dyDescent="0.25">
      <c r="C296" s="151">
        <v>61800030</v>
      </c>
      <c r="D296" s="151" t="s">
        <v>172</v>
      </c>
      <c r="E296" s="151" t="s">
        <v>2213</v>
      </c>
      <c r="F296" s="151" t="s">
        <v>1201</v>
      </c>
      <c r="G296" s="152" t="s">
        <v>2154</v>
      </c>
    </row>
    <row r="297" spans="3:7" x14ac:dyDescent="0.25">
      <c r="C297" s="151">
        <v>61800090</v>
      </c>
      <c r="D297" s="151" t="s">
        <v>174</v>
      </c>
      <c r="E297" s="151" t="s">
        <v>2285</v>
      </c>
      <c r="F297" s="151" t="s">
        <v>1201</v>
      </c>
      <c r="G297" s="152" t="s">
        <v>2154</v>
      </c>
    </row>
    <row r="298" spans="3:7" x14ac:dyDescent="0.25">
      <c r="C298" s="151">
        <v>61900010</v>
      </c>
      <c r="D298" s="151" t="s">
        <v>176</v>
      </c>
      <c r="E298" s="151" t="s">
        <v>2215</v>
      </c>
      <c r="F298" s="151" t="s">
        <v>456</v>
      </c>
      <c r="G298" s="152" t="s">
        <v>2154</v>
      </c>
    </row>
    <row r="299" spans="3:7" x14ac:dyDescent="0.25">
      <c r="C299" s="151">
        <v>61900020</v>
      </c>
      <c r="D299" s="151" t="s">
        <v>179</v>
      </c>
      <c r="E299" s="151" t="s">
        <v>2286</v>
      </c>
      <c r="F299" s="151" t="s">
        <v>456</v>
      </c>
      <c r="G299" s="152" t="s">
        <v>2154</v>
      </c>
    </row>
    <row r="300" spans="3:7" x14ac:dyDescent="0.25">
      <c r="C300" s="151">
        <v>61900030</v>
      </c>
      <c r="D300" s="151" t="s">
        <v>182</v>
      </c>
      <c r="E300" s="151" t="s">
        <v>2217</v>
      </c>
      <c r="F300" s="151" t="s">
        <v>456</v>
      </c>
      <c r="G300" s="152" t="s">
        <v>2154</v>
      </c>
    </row>
    <row r="301" spans="3:7" x14ac:dyDescent="0.25">
      <c r="C301" s="151">
        <v>61900040</v>
      </c>
      <c r="D301" s="151" t="s">
        <v>184</v>
      </c>
      <c r="E301" s="151" t="s">
        <v>2287</v>
      </c>
      <c r="F301" s="151" t="s">
        <v>456</v>
      </c>
      <c r="G301" s="152" t="s">
        <v>2154</v>
      </c>
    </row>
    <row r="302" spans="3:7" x14ac:dyDescent="0.25">
      <c r="C302" s="151">
        <v>61900090</v>
      </c>
      <c r="D302" s="151" t="s">
        <v>186</v>
      </c>
      <c r="E302" s="151" t="s">
        <v>2288</v>
      </c>
      <c r="F302" s="151" t="s">
        <v>456</v>
      </c>
      <c r="G302" s="152" t="s">
        <v>2154</v>
      </c>
    </row>
    <row r="303" spans="3:7" x14ac:dyDescent="0.25">
      <c r="C303" s="151">
        <v>62000010</v>
      </c>
      <c r="D303" s="151" t="s">
        <v>188</v>
      </c>
      <c r="E303" s="151" t="s">
        <v>2289</v>
      </c>
      <c r="F303" s="151" t="s">
        <v>1031</v>
      </c>
      <c r="G303" s="151" t="s">
        <v>238</v>
      </c>
    </row>
    <row r="304" spans="3:7" x14ac:dyDescent="0.25">
      <c r="C304" s="151">
        <v>62000020</v>
      </c>
      <c r="D304" s="151" t="s">
        <v>191</v>
      </c>
      <c r="E304" s="151" t="s">
        <v>2290</v>
      </c>
      <c r="F304" s="151" t="s">
        <v>1031</v>
      </c>
      <c r="G304" s="151" t="s">
        <v>409</v>
      </c>
    </row>
    <row r="305" spans="3:7" x14ac:dyDescent="0.25">
      <c r="C305" s="151">
        <v>62000040</v>
      </c>
      <c r="D305" s="151" t="s">
        <v>194</v>
      </c>
      <c r="E305" s="151" t="s">
        <v>2291</v>
      </c>
      <c r="F305" s="151" t="s">
        <v>1031</v>
      </c>
      <c r="G305" s="152" t="s">
        <v>2154</v>
      </c>
    </row>
    <row r="306" spans="3:7" x14ac:dyDescent="0.25">
      <c r="C306" s="151">
        <v>62100010</v>
      </c>
      <c r="D306" s="151" t="s">
        <v>197</v>
      </c>
      <c r="E306" s="151" t="s">
        <v>198</v>
      </c>
      <c r="F306" s="151" t="s">
        <v>1036</v>
      </c>
      <c r="G306" s="151" t="s">
        <v>178</v>
      </c>
    </row>
    <row r="307" spans="3:7" x14ac:dyDescent="0.25">
      <c r="C307" s="151">
        <v>62100020</v>
      </c>
      <c r="D307" s="151" t="s">
        <v>200</v>
      </c>
      <c r="E307" s="151" t="s">
        <v>2220</v>
      </c>
      <c r="F307" s="151" t="s">
        <v>1036</v>
      </c>
      <c r="G307" s="151" t="s">
        <v>178</v>
      </c>
    </row>
    <row r="308" spans="3:7" x14ac:dyDescent="0.25">
      <c r="C308" s="151">
        <v>62100030</v>
      </c>
      <c r="D308" s="151" t="s">
        <v>202</v>
      </c>
      <c r="E308" s="151" t="s">
        <v>203</v>
      </c>
      <c r="F308" s="151" t="s">
        <v>1036</v>
      </c>
      <c r="G308" s="151" t="s">
        <v>178</v>
      </c>
    </row>
    <row r="309" spans="3:7" x14ac:dyDescent="0.25">
      <c r="C309" s="151">
        <v>62100040</v>
      </c>
      <c r="D309" s="151" t="s">
        <v>204</v>
      </c>
      <c r="E309" s="151" t="s">
        <v>205</v>
      </c>
      <c r="F309" s="151" t="s">
        <v>1036</v>
      </c>
      <c r="G309" s="151" t="s">
        <v>178</v>
      </c>
    </row>
    <row r="310" spans="3:7" x14ac:dyDescent="0.25">
      <c r="C310" s="151">
        <v>62100050</v>
      </c>
      <c r="D310" s="151" t="s">
        <v>627</v>
      </c>
      <c r="E310" s="151" t="s">
        <v>2221</v>
      </c>
      <c r="F310" s="151" t="s">
        <v>1036</v>
      </c>
      <c r="G310" s="151" t="s">
        <v>178</v>
      </c>
    </row>
    <row r="311" spans="3:7" ht="30" x14ac:dyDescent="0.25">
      <c r="C311" s="151">
        <v>62200010</v>
      </c>
      <c r="D311" s="151" t="s">
        <v>208</v>
      </c>
      <c r="E311" s="151" t="s">
        <v>209</v>
      </c>
      <c r="F311" s="151" t="s">
        <v>1041</v>
      </c>
      <c r="G311" s="152" t="s">
        <v>2154</v>
      </c>
    </row>
    <row r="312" spans="3:7" ht="30" x14ac:dyDescent="0.25">
      <c r="C312" s="151">
        <v>62200020</v>
      </c>
      <c r="D312" s="151" t="s">
        <v>210</v>
      </c>
      <c r="E312" s="151" t="s">
        <v>211</v>
      </c>
      <c r="F312" s="151" t="s">
        <v>1041</v>
      </c>
      <c r="G312" s="152" t="s">
        <v>2154</v>
      </c>
    </row>
    <row r="313" spans="3:7" x14ac:dyDescent="0.25">
      <c r="C313" s="151">
        <v>62300010</v>
      </c>
      <c r="D313" s="151" t="s">
        <v>212</v>
      </c>
      <c r="E313" s="151" t="s">
        <v>213</v>
      </c>
      <c r="F313" s="151" t="s">
        <v>1046</v>
      </c>
      <c r="G313" s="152" t="s">
        <v>2154</v>
      </c>
    </row>
    <row r="314" spans="3:7" ht="30" x14ac:dyDescent="0.25">
      <c r="C314" s="151">
        <v>62300020</v>
      </c>
      <c r="D314" s="151" t="s">
        <v>214</v>
      </c>
      <c r="E314" s="151" t="s">
        <v>215</v>
      </c>
      <c r="F314" s="151" t="s">
        <v>1046</v>
      </c>
      <c r="G314" s="152" t="s">
        <v>2154</v>
      </c>
    </row>
    <row r="315" spans="3:7" ht="30" x14ac:dyDescent="0.25">
      <c r="C315" s="151">
        <v>62400030</v>
      </c>
      <c r="D315" s="151" t="s">
        <v>216</v>
      </c>
      <c r="E315" s="151" t="s">
        <v>217</v>
      </c>
      <c r="F315" s="151" t="s">
        <v>1051</v>
      </c>
      <c r="G315" s="152" t="s">
        <v>2154</v>
      </c>
    </row>
    <row r="316" spans="3:7" ht="30" x14ac:dyDescent="0.25">
      <c r="C316" s="151">
        <v>62400040</v>
      </c>
      <c r="D316" s="151" t="s">
        <v>218</v>
      </c>
      <c r="E316" s="151" t="s">
        <v>2292</v>
      </c>
      <c r="F316" s="151" t="s">
        <v>1051</v>
      </c>
      <c r="G316" s="152" t="s">
        <v>2154</v>
      </c>
    </row>
    <row r="317" spans="3:7" x14ac:dyDescent="0.25">
      <c r="C317" s="151">
        <v>62400060</v>
      </c>
      <c r="D317" s="151" t="s">
        <v>628</v>
      </c>
      <c r="E317" s="151" t="s">
        <v>1533</v>
      </c>
      <c r="F317" s="151" t="s">
        <v>1051</v>
      </c>
      <c r="G317" s="151" t="s">
        <v>238</v>
      </c>
    </row>
    <row r="318" spans="3:7" x14ac:dyDescent="0.25">
      <c r="C318" s="151">
        <v>62500010</v>
      </c>
      <c r="D318" s="151" t="s">
        <v>220</v>
      </c>
      <c r="E318" s="151" t="s">
        <v>221</v>
      </c>
      <c r="F318" s="151" t="s">
        <v>220</v>
      </c>
      <c r="G318" s="151" t="s">
        <v>23</v>
      </c>
    </row>
    <row r="319" spans="3:7" ht="30" x14ac:dyDescent="0.25">
      <c r="C319" s="151">
        <v>62600010</v>
      </c>
      <c r="D319" s="151" t="s">
        <v>223</v>
      </c>
      <c r="E319" s="151" t="s">
        <v>2293</v>
      </c>
      <c r="F319" s="151" t="s">
        <v>1060</v>
      </c>
      <c r="G319" s="152" t="s">
        <v>2154</v>
      </c>
    </row>
    <row r="320" spans="3:7" x14ac:dyDescent="0.25">
      <c r="C320" s="151">
        <v>62600020</v>
      </c>
      <c r="D320" s="151" t="s">
        <v>225</v>
      </c>
      <c r="E320" s="151" t="s">
        <v>2294</v>
      </c>
      <c r="F320" s="151" t="s">
        <v>1060</v>
      </c>
      <c r="G320" s="152" t="s">
        <v>2154</v>
      </c>
    </row>
    <row r="321" spans="1:7" x14ac:dyDescent="0.25">
      <c r="C321" s="151">
        <v>62600030</v>
      </c>
      <c r="D321" s="151" t="s">
        <v>228</v>
      </c>
      <c r="E321" s="151" t="s">
        <v>2295</v>
      </c>
      <c r="F321" s="151" t="s">
        <v>1060</v>
      </c>
      <c r="G321" s="152" t="s">
        <v>2154</v>
      </c>
    </row>
    <row r="322" spans="1:7" x14ac:dyDescent="0.25">
      <c r="C322" s="151">
        <v>62700010</v>
      </c>
      <c r="D322" s="151" t="s">
        <v>629</v>
      </c>
      <c r="E322" s="151" t="s">
        <v>2296</v>
      </c>
      <c r="F322" s="151" t="s">
        <v>629</v>
      </c>
      <c r="G322" s="151" t="s">
        <v>238</v>
      </c>
    </row>
    <row r="323" spans="1:7" x14ac:dyDescent="0.25">
      <c r="C323" s="151">
        <v>62800010</v>
      </c>
      <c r="D323" s="151" t="s">
        <v>630</v>
      </c>
      <c r="E323" s="151" t="s">
        <v>2297</v>
      </c>
      <c r="F323" s="151" t="s">
        <v>630</v>
      </c>
      <c r="G323" s="151" t="s">
        <v>240</v>
      </c>
    </row>
    <row r="324" spans="1:7" x14ac:dyDescent="0.25">
      <c r="C324" s="151">
        <v>62900010</v>
      </c>
      <c r="D324" s="151" t="s">
        <v>230</v>
      </c>
      <c r="E324" s="151" t="s">
        <v>231</v>
      </c>
      <c r="F324" s="151" t="s">
        <v>1074</v>
      </c>
      <c r="G324" s="152" t="s">
        <v>2154</v>
      </c>
    </row>
    <row r="325" spans="1:7" x14ac:dyDescent="0.25">
      <c r="C325" s="151">
        <v>62900020</v>
      </c>
      <c r="D325" s="151" t="s">
        <v>232</v>
      </c>
      <c r="E325" s="151" t="s">
        <v>233</v>
      </c>
      <c r="F325" s="151" t="s">
        <v>1074</v>
      </c>
      <c r="G325" s="152" t="s">
        <v>2154</v>
      </c>
    </row>
    <row r="326" spans="1:7" x14ac:dyDescent="0.25">
      <c r="C326" s="151">
        <v>63300010</v>
      </c>
      <c r="D326" s="151" t="s">
        <v>2298</v>
      </c>
      <c r="E326" s="151" t="s">
        <v>2299</v>
      </c>
      <c r="F326" s="151" t="s">
        <v>456</v>
      </c>
      <c r="G326" s="151"/>
    </row>
    <row r="327" spans="1:7" x14ac:dyDescent="0.25">
      <c r="C327" s="422">
        <v>63900010</v>
      </c>
      <c r="D327" s="143" t="s">
        <v>234</v>
      </c>
      <c r="E327" s="144" t="s">
        <v>2669</v>
      </c>
      <c r="F327" s="144" t="s">
        <v>1331</v>
      </c>
      <c r="G327" s="144" t="s">
        <v>2154</v>
      </c>
    </row>
    <row r="330" spans="1:7" s="413" customFormat="1" ht="15.75" x14ac:dyDescent="0.25">
      <c r="A330" s="428"/>
      <c r="B330" s="428"/>
      <c r="C330" s="414" t="s">
        <v>1847</v>
      </c>
      <c r="D330" s="404" t="s">
        <v>1514</v>
      </c>
    </row>
    <row r="331" spans="1:7" outlineLevel="1" x14ac:dyDescent="0.25"/>
    <row r="332" spans="1:7" outlineLevel="1" x14ac:dyDescent="0.25">
      <c r="C332" s="86" t="s">
        <v>2136</v>
      </c>
    </row>
    <row r="333" spans="1:7" outlineLevel="1" x14ac:dyDescent="0.25"/>
    <row r="334" spans="1:7" outlineLevel="1" x14ac:dyDescent="0.25">
      <c r="B334" s="120" t="s">
        <v>2137</v>
      </c>
      <c r="C334" s="120" t="s">
        <v>1516</v>
      </c>
    </row>
    <row r="335" spans="1:7" outlineLevel="1" x14ac:dyDescent="0.25">
      <c r="C335" s="86" t="s">
        <v>2032</v>
      </c>
    </row>
    <row r="336" spans="1:7" outlineLevel="1" x14ac:dyDescent="0.25"/>
    <row r="337" spans="2:5" outlineLevel="1" x14ac:dyDescent="0.25">
      <c r="B337" s="120" t="s">
        <v>2138</v>
      </c>
      <c r="C337" s="120" t="s">
        <v>2036</v>
      </c>
    </row>
    <row r="338" spans="2:5" outlineLevel="1" x14ac:dyDescent="0.25">
      <c r="C338" s="86" t="s">
        <v>1517</v>
      </c>
    </row>
    <row r="339" spans="2:5" outlineLevel="1" x14ac:dyDescent="0.25">
      <c r="C339" s="86" t="s">
        <v>2085</v>
      </c>
    </row>
    <row r="340" spans="2:5" outlineLevel="1" x14ac:dyDescent="0.25"/>
    <row r="341" spans="2:5" s="120" customFormat="1" outlineLevel="1" x14ac:dyDescent="0.25">
      <c r="B341" s="120" t="s">
        <v>2139</v>
      </c>
      <c r="C341" s="120" t="s">
        <v>2140</v>
      </c>
    </row>
    <row r="342" spans="2:5" outlineLevel="1" x14ac:dyDescent="0.25">
      <c r="C342" s="86" t="s">
        <v>2141</v>
      </c>
    </row>
    <row r="343" spans="2:5" outlineLevel="1" x14ac:dyDescent="0.25">
      <c r="C343" s="86" t="s">
        <v>2085</v>
      </c>
    </row>
    <row r="344" spans="2:5" outlineLevel="1" x14ac:dyDescent="0.25"/>
    <row r="345" spans="2:5" ht="90" outlineLevel="1" x14ac:dyDescent="0.25">
      <c r="C345" s="149" t="s">
        <v>1520</v>
      </c>
      <c r="D345" s="150" t="s">
        <v>2142</v>
      </c>
    </row>
    <row r="346" spans="2:5" ht="30" outlineLevel="1" x14ac:dyDescent="0.25">
      <c r="C346" s="149" t="s">
        <v>643</v>
      </c>
      <c r="D346" s="150" t="s">
        <v>2143</v>
      </c>
    </row>
    <row r="347" spans="2:5" ht="30" outlineLevel="1" x14ac:dyDescent="0.25">
      <c r="C347" s="149" t="s">
        <v>48</v>
      </c>
      <c r="D347" s="150" t="s">
        <v>2660</v>
      </c>
      <c r="E347" s="416" t="s">
        <v>2657</v>
      </c>
    </row>
    <row r="348" spans="2:5" ht="45.75" customHeight="1" outlineLevel="1" x14ac:dyDescent="0.25">
      <c r="C348" s="149" t="s">
        <v>642</v>
      </c>
      <c r="D348" s="150" t="s">
        <v>2144</v>
      </c>
    </row>
    <row r="349" spans="2:5" ht="45" outlineLevel="1" x14ac:dyDescent="0.25">
      <c r="C349" s="149" t="s">
        <v>451</v>
      </c>
      <c r="D349" s="150" t="s">
        <v>2145</v>
      </c>
    </row>
  </sheetData>
  <sheetProtection formatRows="0"/>
  <hyperlinks>
    <hyperlink ref="D28" location="Cover!A1" display="Cover" xr:uid="{1E4205B3-F154-4E63-BF81-9F54D4DBFB5D}"/>
    <hyperlink ref="D125" location="'Budget Opex Detail'!A1" display="Budget Opex Detail" xr:uid="{6D1BD227-ABAF-4722-BA89-91509BAE6A41}"/>
    <hyperlink ref="D330" location="'Activity Master Opex'!A1" display="Activity Master" xr:uid="{C752BCAC-DA8C-4682-8CD0-947CFF3B8290}"/>
    <hyperlink ref="C80" location="'Asset determination'!A1" display="'Asset determination" xr:uid="{5E71CF8D-2D90-40B8-8A15-BCFE66E1E76D}"/>
    <hyperlink ref="E347" location="'Master Data'!A1" display="Master Data" xr:uid="{3473768D-7FD2-4FDA-AD74-9E10436FC255}"/>
    <hyperlink ref="D77" location="'Budget Capex Detail'!A1" display="Budget Capex Detail" xr:uid="{A80E258B-06A7-4161-AC07-70E60FFEF836}"/>
  </hyperlinks>
  <pageMargins left="0.7" right="0.7" top="0.75" bottom="0.75" header="0.3" footer="0.3"/>
  <pageSetup paperSize="9" orientation="portrait" horizontalDpi="0"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536571-5552-4273-BD95-0037596CB442}">
  <sheetPr codeName="Sheet12">
    <tabColor rgb="FF339966"/>
  </sheetPr>
  <dimension ref="A2:P349"/>
  <sheetViews>
    <sheetView showGridLines="0" zoomScale="80" zoomScaleNormal="80" workbookViewId="0"/>
  </sheetViews>
  <sheetFormatPr defaultColWidth="10.28515625" defaultRowHeight="15" outlineLevelRow="4" x14ac:dyDescent="0.25"/>
  <cols>
    <col min="1" max="1" width="0.85546875" style="86" customWidth="1"/>
    <col min="2" max="2" width="3.42578125" style="86" bestFit="1" customWidth="1"/>
    <col min="3" max="3" width="45" style="86" bestFit="1" customWidth="1"/>
    <col min="4" max="4" width="70.7109375" style="86" bestFit="1" customWidth="1"/>
    <col min="5" max="5" width="68.7109375" style="86" customWidth="1"/>
    <col min="6" max="6" width="33" style="86" customWidth="1"/>
    <col min="7" max="7" width="31.7109375" style="86" customWidth="1"/>
    <col min="8" max="10" width="10.28515625" style="86"/>
    <col min="11" max="11" width="10.28515625" style="86" customWidth="1"/>
    <col min="12" max="16384" width="10.28515625" style="86"/>
  </cols>
  <sheetData>
    <row r="2" spans="2:16" ht="24" x14ac:dyDescent="0.4">
      <c r="B2" s="85" t="s">
        <v>2027</v>
      </c>
    </row>
    <row r="3" spans="2:16" ht="21" x14ac:dyDescent="0.35">
      <c r="B3" s="87"/>
    </row>
    <row r="4" spans="2:16" ht="19.5" thickBot="1" x14ac:dyDescent="0.35">
      <c r="B4" s="417" t="s">
        <v>1978</v>
      </c>
      <c r="C4" s="88"/>
      <c r="D4" s="89"/>
      <c r="E4" s="88"/>
      <c r="F4" s="88"/>
      <c r="G4" s="88"/>
      <c r="H4" s="88"/>
      <c r="I4" s="88"/>
      <c r="J4" s="88"/>
      <c r="K4" s="88"/>
      <c r="L4" s="88"/>
      <c r="M4" s="88"/>
      <c r="N4" s="88"/>
      <c r="O4" s="88"/>
      <c r="P4" s="88"/>
    </row>
    <row r="5" spans="2:16" x14ac:dyDescent="0.25">
      <c r="B5" s="90"/>
      <c r="D5" s="91"/>
    </row>
    <row r="6" spans="2:16" x14ac:dyDescent="0.25">
      <c r="B6" s="86">
        <v>1</v>
      </c>
      <c r="C6" s="92" t="s">
        <v>2300</v>
      </c>
    </row>
    <row r="7" spans="2:16" x14ac:dyDescent="0.25">
      <c r="B7" s="86">
        <v>2</v>
      </c>
      <c r="C7" s="92" t="s">
        <v>2301</v>
      </c>
    </row>
    <row r="8" spans="2:16" x14ac:dyDescent="0.25">
      <c r="B8" s="93" t="s">
        <v>2</v>
      </c>
      <c r="C8" s="92" t="s">
        <v>2302</v>
      </c>
    </row>
    <row r="9" spans="2:16" x14ac:dyDescent="0.25">
      <c r="B9" s="93" t="s">
        <v>2</v>
      </c>
      <c r="C9" s="92" t="s">
        <v>2303</v>
      </c>
    </row>
    <row r="10" spans="2:16" x14ac:dyDescent="0.25">
      <c r="B10" s="93" t="s">
        <v>2</v>
      </c>
      <c r="C10" s="92" t="s">
        <v>2304</v>
      </c>
    </row>
    <row r="11" spans="2:16" x14ac:dyDescent="0.25">
      <c r="B11" s="93" t="s">
        <v>2</v>
      </c>
      <c r="C11" s="92" t="s">
        <v>2305</v>
      </c>
    </row>
    <row r="12" spans="2:16" x14ac:dyDescent="0.25">
      <c r="B12" s="93" t="s">
        <v>2</v>
      </c>
      <c r="C12" s="92" t="s">
        <v>2306</v>
      </c>
    </row>
    <row r="13" spans="2:16" x14ac:dyDescent="0.25">
      <c r="B13" s="86">
        <v>3</v>
      </c>
      <c r="C13" s="155" t="s">
        <v>2307</v>
      </c>
    </row>
    <row r="14" spans="2:16" x14ac:dyDescent="0.25">
      <c r="B14" s="86">
        <v>4</v>
      </c>
      <c r="C14" s="86" t="s">
        <v>2308</v>
      </c>
    </row>
    <row r="15" spans="2:16" x14ac:dyDescent="0.25">
      <c r="B15" s="86">
        <v>5</v>
      </c>
      <c r="C15" s="86" t="s">
        <v>2309</v>
      </c>
    </row>
    <row r="16" spans="2:16" x14ac:dyDescent="0.25">
      <c r="B16" s="86">
        <v>6</v>
      </c>
      <c r="C16" s="86" t="s">
        <v>2691</v>
      </c>
    </row>
    <row r="18" spans="1:16" ht="19.5" thickBot="1" x14ac:dyDescent="0.35">
      <c r="B18" s="417" t="s">
        <v>2310</v>
      </c>
      <c r="C18" s="88"/>
      <c r="D18" s="89"/>
      <c r="E18" s="88"/>
      <c r="F18" s="88"/>
      <c r="G18" s="88"/>
      <c r="H18" s="88"/>
      <c r="I18" s="88"/>
      <c r="J18" s="88"/>
      <c r="K18" s="88"/>
      <c r="L18" s="88"/>
      <c r="M18" s="88"/>
      <c r="N18" s="88"/>
      <c r="O18" s="88"/>
      <c r="P18" s="88"/>
    </row>
    <row r="20" spans="1:16" x14ac:dyDescent="0.25">
      <c r="B20" s="86">
        <v>1</v>
      </c>
      <c r="C20" s="86" t="s">
        <v>2311</v>
      </c>
    </row>
    <row r="21" spans="1:16" x14ac:dyDescent="0.25">
      <c r="C21" s="94" t="s">
        <v>8</v>
      </c>
    </row>
    <row r="22" spans="1:16" x14ac:dyDescent="0.25">
      <c r="C22" s="94" t="s">
        <v>2312</v>
      </c>
    </row>
    <row r="23" spans="1:16" x14ac:dyDescent="0.25">
      <c r="C23" s="94" t="s">
        <v>2313</v>
      </c>
    </row>
    <row r="24" spans="1:16" x14ac:dyDescent="0.25">
      <c r="C24" s="94" t="s">
        <v>2314</v>
      </c>
    </row>
    <row r="25" spans="1:16" x14ac:dyDescent="0.25">
      <c r="B25" s="86">
        <v>2</v>
      </c>
      <c r="C25" s="86" t="s">
        <v>2315</v>
      </c>
    </row>
    <row r="26" spans="1:16" x14ac:dyDescent="0.25">
      <c r="B26" s="86">
        <v>3</v>
      </c>
      <c r="C26" s="86" t="s">
        <v>2316</v>
      </c>
    </row>
    <row r="28" spans="1:16" s="408" customFormat="1" ht="15.75" x14ac:dyDescent="0.25">
      <c r="A28" s="423"/>
      <c r="B28" s="423"/>
      <c r="C28" s="406" t="s">
        <v>10</v>
      </c>
      <c r="D28" s="407" t="s">
        <v>11</v>
      </c>
    </row>
    <row r="30" spans="1:16" x14ac:dyDescent="0.25">
      <c r="C30" s="86" t="s">
        <v>2317</v>
      </c>
    </row>
    <row r="31" spans="1:16" outlineLevel="1" x14ac:dyDescent="0.25"/>
    <row r="32" spans="1:16" outlineLevel="1" x14ac:dyDescent="0.25">
      <c r="C32" s="95" t="s">
        <v>13</v>
      </c>
      <c r="D32" s="96" t="s">
        <v>2318</v>
      </c>
    </row>
    <row r="33" spans="3:4" ht="60" outlineLevel="1" x14ac:dyDescent="0.25">
      <c r="C33" s="97" t="s">
        <v>15</v>
      </c>
      <c r="D33" s="98" t="s">
        <v>2319</v>
      </c>
    </row>
    <row r="34" spans="3:4" outlineLevel="1" x14ac:dyDescent="0.25">
      <c r="C34" s="97" t="s">
        <v>236</v>
      </c>
      <c r="D34" s="98" t="s">
        <v>2320</v>
      </c>
    </row>
    <row r="35" spans="3:4" outlineLevel="1" x14ac:dyDescent="0.25">
      <c r="C35" s="97" t="s">
        <v>442</v>
      </c>
      <c r="D35" s="98" t="s">
        <v>2321</v>
      </c>
    </row>
    <row r="36" spans="3:4" outlineLevel="1" x14ac:dyDescent="0.25"/>
    <row r="37" spans="3:4" ht="33" customHeight="1" outlineLevel="1" x14ac:dyDescent="0.25">
      <c r="C37" s="99" t="s">
        <v>2041</v>
      </c>
      <c r="D37" s="99" t="s">
        <v>2042</v>
      </c>
    </row>
    <row r="38" spans="3:4" outlineLevel="2" x14ac:dyDescent="0.25">
      <c r="C38" s="100" t="s">
        <v>2076</v>
      </c>
      <c r="D38" s="100" t="s">
        <v>442</v>
      </c>
    </row>
    <row r="39" spans="3:4" outlineLevel="2" x14ac:dyDescent="0.25">
      <c r="C39" s="101" t="s">
        <v>2077</v>
      </c>
      <c r="D39" s="101" t="s">
        <v>1812</v>
      </c>
    </row>
    <row r="40" spans="3:4" outlineLevel="2" x14ac:dyDescent="0.25">
      <c r="C40" s="101" t="s">
        <v>2077</v>
      </c>
      <c r="D40" s="101" t="s">
        <v>1806</v>
      </c>
    </row>
    <row r="41" spans="3:4" outlineLevel="2" x14ac:dyDescent="0.25">
      <c r="C41" s="101" t="s">
        <v>2077</v>
      </c>
      <c r="D41" s="101" t="s">
        <v>1807</v>
      </c>
    </row>
    <row r="42" spans="3:4" outlineLevel="2" x14ac:dyDescent="0.25">
      <c r="C42" s="101" t="s">
        <v>2078</v>
      </c>
      <c r="D42" s="101" t="s">
        <v>2079</v>
      </c>
    </row>
    <row r="43" spans="3:4" outlineLevel="2" x14ac:dyDescent="0.25">
      <c r="C43" s="101" t="s">
        <v>2078</v>
      </c>
      <c r="D43" s="101" t="s">
        <v>2080</v>
      </c>
    </row>
    <row r="44" spans="3:4" outlineLevel="2" x14ac:dyDescent="0.25">
      <c r="C44" s="101" t="s">
        <v>2078</v>
      </c>
      <c r="D44" s="101" t="s">
        <v>1737</v>
      </c>
    </row>
    <row r="45" spans="3:4" outlineLevel="2" x14ac:dyDescent="0.25">
      <c r="C45" s="101" t="s">
        <v>2078</v>
      </c>
      <c r="D45" s="101" t="s">
        <v>1873</v>
      </c>
    </row>
    <row r="46" spans="3:4" outlineLevel="2" x14ac:dyDescent="0.25">
      <c r="C46" s="101" t="s">
        <v>2078</v>
      </c>
      <c r="D46" s="101" t="s">
        <v>1814</v>
      </c>
    </row>
    <row r="47" spans="3:4" outlineLevel="2" x14ac:dyDescent="0.25">
      <c r="C47" s="96" t="s">
        <v>2081</v>
      </c>
      <c r="D47" s="96" t="s">
        <v>31</v>
      </c>
    </row>
    <row r="48" spans="3:4" outlineLevel="2" x14ac:dyDescent="0.25">
      <c r="C48" s="96" t="s">
        <v>2081</v>
      </c>
      <c r="D48" s="96" t="s">
        <v>30</v>
      </c>
    </row>
    <row r="49" spans="3:4" outlineLevel="2" x14ac:dyDescent="0.25">
      <c r="C49" s="96" t="s">
        <v>23</v>
      </c>
      <c r="D49" s="96" t="s">
        <v>339</v>
      </c>
    </row>
    <row r="50" spans="3:4" outlineLevel="2" x14ac:dyDescent="0.25">
      <c r="C50" s="96" t="str">
        <f>C49</f>
        <v>HSE</v>
      </c>
      <c r="D50" s="96" t="s">
        <v>341</v>
      </c>
    </row>
    <row r="51" spans="3:4" outlineLevel="2" x14ac:dyDescent="0.25">
      <c r="C51" s="96" t="s">
        <v>1558</v>
      </c>
      <c r="D51" s="96" t="s">
        <v>238</v>
      </c>
    </row>
    <row r="52" spans="3:4" outlineLevel="2" x14ac:dyDescent="0.25">
      <c r="C52" s="96" t="s">
        <v>1558</v>
      </c>
      <c r="D52" s="96" t="s">
        <v>33</v>
      </c>
    </row>
    <row r="53" spans="3:4" outlineLevel="2" x14ac:dyDescent="0.25">
      <c r="C53" s="96" t="s">
        <v>1986</v>
      </c>
      <c r="D53" s="96" t="s">
        <v>248</v>
      </c>
    </row>
    <row r="54" spans="3:4" outlineLevel="2" x14ac:dyDescent="0.25">
      <c r="C54" s="96" t="s">
        <v>1986</v>
      </c>
      <c r="D54" s="96" t="s">
        <v>25</v>
      </c>
    </row>
    <row r="55" spans="3:4" outlineLevel="2" x14ac:dyDescent="0.25">
      <c r="C55" s="96" t="s">
        <v>1986</v>
      </c>
      <c r="D55" s="96" t="s">
        <v>20</v>
      </c>
    </row>
    <row r="56" spans="3:4" outlineLevel="2" x14ac:dyDescent="0.25">
      <c r="C56" s="96" t="s">
        <v>1986</v>
      </c>
      <c r="D56" s="96" t="s">
        <v>21</v>
      </c>
    </row>
    <row r="57" spans="3:4" outlineLevel="2" x14ac:dyDescent="0.25">
      <c r="C57" s="96" t="s">
        <v>1986</v>
      </c>
      <c r="D57" s="96" t="s">
        <v>2658</v>
      </c>
    </row>
    <row r="58" spans="3:4" outlineLevel="2" x14ac:dyDescent="0.25">
      <c r="C58" s="96" t="s">
        <v>1986</v>
      </c>
      <c r="D58" s="96" t="s">
        <v>2687</v>
      </c>
    </row>
    <row r="59" spans="3:4" outlineLevel="2" x14ac:dyDescent="0.25">
      <c r="C59" s="96" t="s">
        <v>2651</v>
      </c>
      <c r="D59" s="96" t="s">
        <v>2587</v>
      </c>
    </row>
    <row r="60" spans="3:4" outlineLevel="2" x14ac:dyDescent="0.25">
      <c r="C60" s="96" t="s">
        <v>2651</v>
      </c>
      <c r="D60" s="96" t="s">
        <v>2652</v>
      </c>
    </row>
    <row r="61" spans="3:4" outlineLevel="2" x14ac:dyDescent="0.25">
      <c r="C61" s="96" t="s">
        <v>2651</v>
      </c>
      <c r="D61" s="96" t="s">
        <v>2653</v>
      </c>
    </row>
    <row r="62" spans="3:4" outlineLevel="2" x14ac:dyDescent="0.25">
      <c r="C62" s="96" t="s">
        <v>2654</v>
      </c>
      <c r="D62" s="96" t="s">
        <v>409</v>
      </c>
    </row>
    <row r="63" spans="3:4" outlineLevel="2" x14ac:dyDescent="0.25">
      <c r="C63" s="96" t="s">
        <v>2654</v>
      </c>
      <c r="D63" s="96" t="s">
        <v>1566</v>
      </c>
    </row>
    <row r="64" spans="3:4" outlineLevel="2" x14ac:dyDescent="0.25">
      <c r="C64" s="96" t="s">
        <v>239</v>
      </c>
      <c r="D64" s="96" t="s">
        <v>2696</v>
      </c>
    </row>
    <row r="65" spans="1:4" outlineLevel="2" x14ac:dyDescent="0.25">
      <c r="C65" s="96" t="s">
        <v>239</v>
      </c>
      <c r="D65" s="96" t="s">
        <v>2082</v>
      </c>
    </row>
    <row r="66" spans="1:4" outlineLevel="2" x14ac:dyDescent="0.25">
      <c r="C66" s="96" t="s">
        <v>239</v>
      </c>
      <c r="D66" s="96" t="s">
        <v>2697</v>
      </c>
    </row>
    <row r="67" spans="1:4" outlineLevel="2" x14ac:dyDescent="0.25">
      <c r="C67" s="96" t="s">
        <v>1561</v>
      </c>
      <c r="D67" s="96" t="s">
        <v>2589</v>
      </c>
    </row>
    <row r="68" spans="1:4" outlineLevel="2" x14ac:dyDescent="0.25">
      <c r="C68" s="96" t="s">
        <v>1561</v>
      </c>
      <c r="D68" s="96" t="s">
        <v>27</v>
      </c>
    </row>
    <row r="69" spans="1:4" outlineLevel="2" x14ac:dyDescent="0.25">
      <c r="C69" s="96" t="s">
        <v>1561</v>
      </c>
      <c r="D69" s="96" t="s">
        <v>28</v>
      </c>
    </row>
    <row r="70" spans="1:4" outlineLevel="2" x14ac:dyDescent="0.25">
      <c r="C70" s="96" t="s">
        <v>1561</v>
      </c>
      <c r="D70" s="96" t="s">
        <v>29</v>
      </c>
    </row>
    <row r="71" spans="1:4" outlineLevel="2" x14ac:dyDescent="0.25">
      <c r="C71" s="102" t="s">
        <v>241</v>
      </c>
      <c r="D71" s="96" t="s">
        <v>1562</v>
      </c>
    </row>
    <row r="72" spans="1:4" outlineLevel="2" x14ac:dyDescent="0.25">
      <c r="C72" s="96" t="s">
        <v>241</v>
      </c>
      <c r="D72" s="96" t="s">
        <v>35</v>
      </c>
    </row>
    <row r="73" spans="1:4" outlineLevel="2" x14ac:dyDescent="0.25">
      <c r="C73" s="96" t="s">
        <v>241</v>
      </c>
      <c r="D73" s="96" t="s">
        <v>36</v>
      </c>
    </row>
    <row r="74" spans="1:4" outlineLevel="1" x14ac:dyDescent="0.25"/>
    <row r="75" spans="1:4" outlineLevel="1" x14ac:dyDescent="0.25">
      <c r="C75" s="86" t="s">
        <v>2322</v>
      </c>
    </row>
    <row r="77" spans="1:4" s="408" customFormat="1" ht="15.75" x14ac:dyDescent="0.25">
      <c r="A77" s="423"/>
      <c r="B77" s="423"/>
      <c r="C77" s="406" t="s">
        <v>1975</v>
      </c>
      <c r="D77" s="405" t="s">
        <v>2656</v>
      </c>
    </row>
    <row r="79" spans="1:4" x14ac:dyDescent="0.25">
      <c r="C79" s="86" t="s">
        <v>2323</v>
      </c>
    </row>
    <row r="80" spans="1:4" x14ac:dyDescent="0.25">
      <c r="C80" s="403" t="s">
        <v>2084</v>
      </c>
      <c r="D80" s="103"/>
    </row>
    <row r="81" spans="3:4" outlineLevel="1" x14ac:dyDescent="0.25">
      <c r="C81" s="86" t="s">
        <v>2324</v>
      </c>
    </row>
    <row r="82" spans="3:4" outlineLevel="1" x14ac:dyDescent="0.25">
      <c r="C82" s="86" t="s">
        <v>2325</v>
      </c>
    </row>
    <row r="83" spans="3:4" outlineLevel="1" x14ac:dyDescent="0.25"/>
    <row r="84" spans="3:4" outlineLevel="1" x14ac:dyDescent="0.25">
      <c r="C84" s="100" t="s">
        <v>2086</v>
      </c>
      <c r="D84" s="100" t="s">
        <v>2087</v>
      </c>
    </row>
    <row r="85" spans="3:4" ht="66.75" customHeight="1" outlineLevel="1" x14ac:dyDescent="0.25">
      <c r="C85" s="104" t="s">
        <v>1820</v>
      </c>
      <c r="D85" s="105" t="s">
        <v>2326</v>
      </c>
    </row>
    <row r="86" spans="3:4" ht="45" outlineLevel="1" x14ac:dyDescent="0.25">
      <c r="C86" s="104" t="s">
        <v>454</v>
      </c>
      <c r="D86" s="106" t="s">
        <v>2327</v>
      </c>
    </row>
    <row r="87" spans="3:4" ht="75" outlineLevel="1" x14ac:dyDescent="0.25">
      <c r="C87" s="107" t="s">
        <v>1822</v>
      </c>
      <c r="D87" s="108" t="s">
        <v>2328</v>
      </c>
    </row>
    <row r="88" spans="3:4" ht="33" customHeight="1" outlineLevel="1" x14ac:dyDescent="0.25">
      <c r="C88" s="109" t="s">
        <v>1824</v>
      </c>
      <c r="D88" s="110" t="s">
        <v>2329</v>
      </c>
    </row>
    <row r="89" spans="3:4" ht="153.75" customHeight="1" outlineLevel="1" x14ac:dyDescent="0.25">
      <c r="C89" s="111"/>
      <c r="D89" s="112" t="e" vm="1">
        <v>#VALUE!</v>
      </c>
    </row>
    <row r="90" spans="3:4" ht="60" outlineLevel="1" x14ac:dyDescent="0.25">
      <c r="C90" s="113" t="s">
        <v>2028</v>
      </c>
      <c r="D90" s="114" t="s">
        <v>2330</v>
      </c>
    </row>
    <row r="91" spans="3:4" outlineLevel="1" x14ac:dyDescent="0.25">
      <c r="C91" s="115" t="s">
        <v>2091</v>
      </c>
      <c r="D91" s="116" t="s">
        <v>2331</v>
      </c>
    </row>
    <row r="92" spans="3:4" outlineLevel="1" x14ac:dyDescent="0.25">
      <c r="C92" s="115" t="s">
        <v>2093</v>
      </c>
      <c r="D92" s="116" t="s">
        <v>2332</v>
      </c>
    </row>
    <row r="93" spans="3:4" outlineLevel="1" x14ac:dyDescent="0.25">
      <c r="C93" s="115" t="s">
        <v>2703</v>
      </c>
      <c r="D93" s="116" t="s">
        <v>2333</v>
      </c>
    </row>
    <row r="94" spans="3:4" ht="75" outlineLevel="1" x14ac:dyDescent="0.25">
      <c r="C94" s="117" t="s">
        <v>1570</v>
      </c>
      <c r="D94" s="106" t="s">
        <v>2334</v>
      </c>
    </row>
    <row r="95" spans="3:4" outlineLevel="1" x14ac:dyDescent="0.25">
      <c r="C95" s="117" t="s">
        <v>1571</v>
      </c>
      <c r="D95" s="118" t="s">
        <v>2335</v>
      </c>
    </row>
    <row r="96" spans="3:4" outlineLevel="1" x14ac:dyDescent="0.25">
      <c r="C96" s="117" t="s">
        <v>1976</v>
      </c>
      <c r="D96" s="118" t="s">
        <v>2336</v>
      </c>
    </row>
    <row r="97" spans="3:6" outlineLevel="1" x14ac:dyDescent="0.25">
      <c r="C97" s="117" t="s">
        <v>1871</v>
      </c>
      <c r="D97" s="118" t="s">
        <v>2337</v>
      </c>
    </row>
    <row r="98" spans="3:6" outlineLevel="1" x14ac:dyDescent="0.25">
      <c r="C98" s="117" t="s">
        <v>1857</v>
      </c>
      <c r="D98" s="118" t="s">
        <v>2338</v>
      </c>
    </row>
    <row r="99" spans="3:6" outlineLevel="1" x14ac:dyDescent="0.25">
      <c r="C99" s="117" t="s">
        <v>2339</v>
      </c>
      <c r="D99" s="118" t="s">
        <v>1979</v>
      </c>
    </row>
    <row r="100" spans="3:6" outlineLevel="1" x14ac:dyDescent="0.25">
      <c r="C100" s="117" t="s">
        <v>2340</v>
      </c>
      <c r="D100" s="118" t="s">
        <v>1980</v>
      </c>
    </row>
    <row r="101" spans="3:6" outlineLevel="1" x14ac:dyDescent="0.25">
      <c r="C101" s="119" t="s">
        <v>2101</v>
      </c>
      <c r="D101" s="118" t="s">
        <v>2341</v>
      </c>
    </row>
    <row r="102" spans="3:6" outlineLevel="1" x14ac:dyDescent="0.25">
      <c r="C102" s="117" t="s">
        <v>1981</v>
      </c>
      <c r="D102" s="118" t="s">
        <v>2342</v>
      </c>
    </row>
    <row r="103" spans="3:6" outlineLevel="1" x14ac:dyDescent="0.25"/>
    <row r="104" spans="3:6" outlineLevel="1" x14ac:dyDescent="0.25">
      <c r="C104" s="120" t="s">
        <v>2343</v>
      </c>
    </row>
    <row r="105" spans="3:6" outlineLevel="2" x14ac:dyDescent="0.25">
      <c r="C105" s="121" t="s">
        <v>42</v>
      </c>
      <c r="D105" s="100" t="s">
        <v>43</v>
      </c>
      <c r="E105" s="122" t="s">
        <v>2344</v>
      </c>
      <c r="F105" s="123"/>
    </row>
    <row r="106" spans="3:6" outlineLevel="2" x14ac:dyDescent="0.25">
      <c r="C106" s="124" t="s">
        <v>1790</v>
      </c>
      <c r="D106" s="125"/>
      <c r="E106" s="126"/>
      <c r="F106" s="127"/>
    </row>
    <row r="107" spans="3:6" outlineLevel="2" x14ac:dyDescent="0.25">
      <c r="C107" s="128">
        <v>15000000</v>
      </c>
      <c r="D107" s="129" t="s">
        <v>1747</v>
      </c>
      <c r="E107" s="130" t="s">
        <v>2345</v>
      </c>
      <c r="F107" s="131"/>
    </row>
    <row r="108" spans="3:6" ht="45" outlineLevel="2" x14ac:dyDescent="0.25">
      <c r="C108" s="132">
        <v>15000010</v>
      </c>
      <c r="D108" s="133" t="s">
        <v>1749</v>
      </c>
      <c r="E108" s="134" t="s">
        <v>2346</v>
      </c>
      <c r="F108" s="135"/>
    </row>
    <row r="109" spans="3:6" ht="30" outlineLevel="2" x14ac:dyDescent="0.25">
      <c r="C109" s="132">
        <v>15000020</v>
      </c>
      <c r="D109" s="133" t="s">
        <v>1751</v>
      </c>
      <c r="E109" s="134" t="s">
        <v>2347</v>
      </c>
      <c r="F109" s="135"/>
    </row>
    <row r="110" spans="3:6" ht="30" outlineLevel="2" x14ac:dyDescent="0.25">
      <c r="C110" s="132">
        <v>15000030</v>
      </c>
      <c r="D110" s="133" t="s">
        <v>1753</v>
      </c>
      <c r="E110" s="134" t="s">
        <v>2348</v>
      </c>
      <c r="F110" s="135"/>
    </row>
    <row r="111" spans="3:6" ht="30" outlineLevel="2" x14ac:dyDescent="0.25">
      <c r="C111" s="132">
        <v>15000040</v>
      </c>
      <c r="D111" s="133" t="s">
        <v>1755</v>
      </c>
      <c r="E111" s="134" t="s">
        <v>2349</v>
      </c>
      <c r="F111" s="135"/>
    </row>
    <row r="112" spans="3:6" ht="30" outlineLevel="2" x14ac:dyDescent="0.25">
      <c r="C112" s="132">
        <v>15000050</v>
      </c>
      <c r="D112" s="133" t="s">
        <v>1757</v>
      </c>
      <c r="E112" s="134" t="s">
        <v>2350</v>
      </c>
      <c r="F112" s="135"/>
    </row>
    <row r="113" spans="1:6" ht="30" outlineLevel="2" x14ac:dyDescent="0.25">
      <c r="C113" s="132">
        <v>15000060</v>
      </c>
      <c r="D113" s="133" t="s">
        <v>1759</v>
      </c>
      <c r="E113" s="134" t="s">
        <v>2351</v>
      </c>
      <c r="F113" s="135"/>
    </row>
    <row r="114" spans="1:6" ht="30" outlineLevel="2" x14ac:dyDescent="0.25">
      <c r="C114" s="136">
        <v>15000070</v>
      </c>
      <c r="D114" s="137" t="s">
        <v>1761</v>
      </c>
      <c r="E114" s="138" t="s">
        <v>2352</v>
      </c>
      <c r="F114" s="135"/>
    </row>
    <row r="115" spans="1:6" ht="16.5" customHeight="1" outlineLevel="2" x14ac:dyDescent="0.25">
      <c r="C115" s="136">
        <v>15000080</v>
      </c>
      <c r="D115" s="137" t="s">
        <v>1763</v>
      </c>
      <c r="E115" s="138" t="s">
        <v>2353</v>
      </c>
      <c r="F115" s="135"/>
    </row>
    <row r="116" spans="1:6" ht="30" outlineLevel="2" x14ac:dyDescent="0.25">
      <c r="C116" s="136">
        <v>15200000</v>
      </c>
      <c r="D116" s="137" t="s">
        <v>1766</v>
      </c>
      <c r="E116" s="138" t="s">
        <v>2354</v>
      </c>
      <c r="F116" s="131"/>
    </row>
    <row r="117" spans="1:6" outlineLevel="2" x14ac:dyDescent="0.25">
      <c r="C117" s="139" t="s">
        <v>2355</v>
      </c>
      <c r="D117" s="140"/>
      <c r="E117" s="141"/>
      <c r="F117" s="127"/>
    </row>
    <row r="118" spans="1:6" ht="60" outlineLevel="2" x14ac:dyDescent="0.25">
      <c r="C118" s="136">
        <v>15020010</v>
      </c>
      <c r="D118" s="137" t="s">
        <v>1769</v>
      </c>
      <c r="E118" s="138" t="s">
        <v>2356</v>
      </c>
      <c r="F118" s="135"/>
    </row>
    <row r="119" spans="1:6" ht="45" outlineLevel="2" x14ac:dyDescent="0.25">
      <c r="C119" s="136">
        <v>15020020</v>
      </c>
      <c r="D119" s="137" t="s">
        <v>1771</v>
      </c>
      <c r="E119" s="138" t="s">
        <v>2357</v>
      </c>
      <c r="F119" s="135"/>
    </row>
    <row r="120" spans="1:6" ht="30" outlineLevel="2" x14ac:dyDescent="0.25">
      <c r="C120" s="136">
        <v>15020030</v>
      </c>
      <c r="D120" s="137" t="s">
        <v>1773</v>
      </c>
      <c r="E120" s="138" t="s">
        <v>2358</v>
      </c>
      <c r="F120" s="135"/>
    </row>
    <row r="121" spans="1:6" ht="30" outlineLevel="2" x14ac:dyDescent="0.25">
      <c r="C121" s="136">
        <v>15020040</v>
      </c>
      <c r="D121" s="137" t="s">
        <v>1775</v>
      </c>
      <c r="E121" s="138" t="s">
        <v>2359</v>
      </c>
      <c r="F121" s="135"/>
    </row>
    <row r="122" spans="1:6" outlineLevel="2" x14ac:dyDescent="0.25">
      <c r="C122" s="136">
        <v>15020080</v>
      </c>
      <c r="D122" s="137" t="s">
        <v>1777</v>
      </c>
      <c r="E122" s="138" t="s">
        <v>2360</v>
      </c>
      <c r="F122" s="135"/>
    </row>
    <row r="123" spans="1:6" ht="45" outlineLevel="2" x14ac:dyDescent="0.25">
      <c r="C123" s="142">
        <v>15020090</v>
      </c>
      <c r="D123" s="143" t="s">
        <v>1843</v>
      </c>
      <c r="E123" s="144" t="s">
        <v>2361</v>
      </c>
      <c r="F123" s="135"/>
    </row>
    <row r="124" spans="1:6" outlineLevel="2" x14ac:dyDescent="0.25">
      <c r="C124" s="409"/>
      <c r="D124" s="131"/>
      <c r="E124" s="135"/>
      <c r="F124" s="135"/>
    </row>
    <row r="125" spans="1:6" s="412" customFormat="1" ht="15.75" x14ac:dyDescent="0.25">
      <c r="A125" s="424"/>
      <c r="B125" s="424"/>
      <c r="C125" s="410" t="s">
        <v>2662</v>
      </c>
      <c r="D125" s="411" t="s">
        <v>1493</v>
      </c>
    </row>
    <row r="127" spans="1:6" outlineLevel="1" x14ac:dyDescent="0.25">
      <c r="C127" s="86" t="s">
        <v>2362</v>
      </c>
    </row>
    <row r="128" spans="1:6" outlineLevel="1" x14ac:dyDescent="0.25">
      <c r="C128" s="86" t="s">
        <v>2363</v>
      </c>
    </row>
    <row r="129" spans="3:6" outlineLevel="1" x14ac:dyDescent="0.25">
      <c r="C129" s="86" t="s">
        <v>2364</v>
      </c>
    </row>
    <row r="130" spans="3:6" outlineLevel="1" x14ac:dyDescent="0.25"/>
    <row r="131" spans="3:6" outlineLevel="1" x14ac:dyDescent="0.25">
      <c r="C131" s="418" t="s">
        <v>2667</v>
      </c>
      <c r="D131" s="418"/>
      <c r="E131" s="418" t="s">
        <v>2668</v>
      </c>
      <c r="F131" s="418"/>
    </row>
    <row r="132" spans="3:6" ht="75" outlineLevel="1" x14ac:dyDescent="0.25">
      <c r="C132" s="145" t="s">
        <v>640</v>
      </c>
      <c r="D132" s="146" t="s">
        <v>2365</v>
      </c>
      <c r="E132" s="145" t="s">
        <v>1791</v>
      </c>
      <c r="F132" s="146" t="s">
        <v>2666</v>
      </c>
    </row>
    <row r="133" spans="3:6" ht="49.5" customHeight="1" outlineLevel="1" x14ac:dyDescent="0.25">
      <c r="C133" s="145" t="s">
        <v>644</v>
      </c>
      <c r="D133" s="146" t="s">
        <v>2366</v>
      </c>
      <c r="E133" s="419"/>
      <c r="F133" s="420"/>
    </row>
    <row r="134" spans="3:6" ht="45" outlineLevel="1" x14ac:dyDescent="0.25">
      <c r="C134" s="147" t="s">
        <v>2030</v>
      </c>
      <c r="D134" s="148" t="s">
        <v>2367</v>
      </c>
      <c r="E134" s="421"/>
      <c r="F134" s="420"/>
    </row>
    <row r="135" spans="3:6" ht="60" outlineLevel="1" x14ac:dyDescent="0.25">
      <c r="C135" s="147" t="s">
        <v>2124</v>
      </c>
      <c r="D135" s="148" t="s">
        <v>2368</v>
      </c>
      <c r="E135" s="147" t="s">
        <v>2124</v>
      </c>
      <c r="F135" s="148" t="s">
        <v>2368</v>
      </c>
    </row>
    <row r="136" spans="3:6" ht="60" outlineLevel="1" x14ac:dyDescent="0.25">
      <c r="C136" s="145" t="s">
        <v>2028</v>
      </c>
      <c r="D136" s="146" t="s">
        <v>2369</v>
      </c>
      <c r="E136" s="145" t="s">
        <v>2028</v>
      </c>
      <c r="F136" s="146" t="s">
        <v>2369</v>
      </c>
    </row>
    <row r="137" spans="3:6" ht="15" customHeight="1" outlineLevel="1" x14ac:dyDescent="0.25">
      <c r="C137" s="145" t="s">
        <v>2031</v>
      </c>
      <c r="D137" s="146" t="s">
        <v>2370</v>
      </c>
      <c r="E137" s="145" t="s">
        <v>2031</v>
      </c>
      <c r="F137" s="146" t="s">
        <v>2370</v>
      </c>
    </row>
    <row r="138" spans="3:6" ht="150" outlineLevel="1" x14ac:dyDescent="0.25">
      <c r="C138" s="149" t="s">
        <v>1487</v>
      </c>
      <c r="D138" s="146" t="s">
        <v>2371</v>
      </c>
      <c r="E138" s="149" t="s">
        <v>1487</v>
      </c>
      <c r="F138" s="146" t="s">
        <v>2371</v>
      </c>
    </row>
    <row r="139" spans="3:6" ht="135" outlineLevel="1" x14ac:dyDescent="0.25">
      <c r="C139" s="149" t="s">
        <v>1488</v>
      </c>
      <c r="D139" s="150" t="s">
        <v>2372</v>
      </c>
      <c r="E139" s="149" t="s">
        <v>1488</v>
      </c>
      <c r="F139" s="150" t="s">
        <v>2372</v>
      </c>
    </row>
    <row r="140" spans="3:6" ht="30" outlineLevel="1" x14ac:dyDescent="0.25">
      <c r="C140" s="149" t="s">
        <v>1489</v>
      </c>
      <c r="D140" s="150" t="s">
        <v>2373</v>
      </c>
      <c r="E140" s="149" t="s">
        <v>1489</v>
      </c>
      <c r="F140" s="150" t="s">
        <v>2373</v>
      </c>
    </row>
    <row r="141" spans="3:6" ht="60" outlineLevel="1" x14ac:dyDescent="0.25">
      <c r="C141" s="149" t="s">
        <v>1491</v>
      </c>
      <c r="D141" s="150" t="s">
        <v>2374</v>
      </c>
      <c r="E141" s="149" t="s">
        <v>1491</v>
      </c>
      <c r="F141" s="150" t="s">
        <v>2374</v>
      </c>
    </row>
    <row r="142" spans="3:6" ht="45" outlineLevel="1" x14ac:dyDescent="0.25">
      <c r="C142" s="149" t="s">
        <v>455</v>
      </c>
      <c r="D142" s="150" t="s">
        <v>2375</v>
      </c>
      <c r="E142" s="149" t="s">
        <v>455</v>
      </c>
      <c r="F142" s="150" t="s">
        <v>2375</v>
      </c>
    </row>
    <row r="143" spans="3:6" ht="60" outlineLevel="1" x14ac:dyDescent="0.25">
      <c r="C143" s="149" t="s">
        <v>1490</v>
      </c>
      <c r="D143" s="150" t="s">
        <v>2376</v>
      </c>
      <c r="E143" s="149" t="s">
        <v>1490</v>
      </c>
      <c r="F143" s="150" t="s">
        <v>2376</v>
      </c>
    </row>
    <row r="144" spans="3:6" ht="75" outlineLevel="1" x14ac:dyDescent="0.25">
      <c r="C144" s="149" t="s">
        <v>2134</v>
      </c>
      <c r="D144" s="150" t="s">
        <v>2377</v>
      </c>
      <c r="E144" s="149" t="s">
        <v>2134</v>
      </c>
      <c r="F144" s="150" t="s">
        <v>2377</v>
      </c>
    </row>
    <row r="145" spans="3:14" outlineLevel="1" x14ac:dyDescent="0.25"/>
    <row r="147" spans="3:14" x14ac:dyDescent="0.25">
      <c r="C147" s="120" t="s">
        <v>2146</v>
      </c>
    </row>
    <row r="148" spans="3:14" outlineLevel="2" x14ac:dyDescent="0.25">
      <c r="C148" s="100" t="s">
        <v>2147</v>
      </c>
      <c r="D148" s="100" t="s">
        <v>2148</v>
      </c>
      <c r="E148" s="122" t="s">
        <v>2149</v>
      </c>
      <c r="F148" s="122" t="s">
        <v>2150</v>
      </c>
      <c r="G148" s="156" t="s">
        <v>2151</v>
      </c>
      <c r="H148" s="157"/>
      <c r="L148" s="158"/>
      <c r="M148" s="158"/>
      <c r="N148" s="158"/>
    </row>
    <row r="149" spans="3:14" outlineLevel="4" x14ac:dyDescent="0.25">
      <c r="C149" s="151">
        <v>50200010</v>
      </c>
      <c r="D149" s="134" t="s">
        <v>2152</v>
      </c>
      <c r="E149" s="134" t="s">
        <v>2388</v>
      </c>
      <c r="F149" s="152" t="s">
        <v>942</v>
      </c>
      <c r="G149" s="159" t="s">
        <v>2154</v>
      </c>
      <c r="H149" s="160"/>
      <c r="L149" s="415"/>
      <c r="M149" s="415"/>
      <c r="N149" s="415"/>
    </row>
    <row r="150" spans="3:14" outlineLevel="4" x14ac:dyDescent="0.25">
      <c r="C150" s="151">
        <v>50300010</v>
      </c>
      <c r="D150" s="134" t="s">
        <v>50</v>
      </c>
      <c r="E150" s="134" t="s">
        <v>2389</v>
      </c>
      <c r="F150" s="153" t="s">
        <v>947</v>
      </c>
      <c r="G150" s="161" t="s">
        <v>52</v>
      </c>
      <c r="H150" s="160"/>
      <c r="L150" s="415"/>
      <c r="M150" s="415"/>
      <c r="N150" s="415"/>
    </row>
    <row r="151" spans="3:14" outlineLevel="4" x14ac:dyDescent="0.25">
      <c r="C151" s="151">
        <v>50300020</v>
      </c>
      <c r="D151" s="134" t="s">
        <v>53</v>
      </c>
      <c r="E151" s="134" t="s">
        <v>2390</v>
      </c>
      <c r="F151" s="134" t="s">
        <v>947</v>
      </c>
      <c r="G151" s="161" t="s">
        <v>52</v>
      </c>
      <c r="H151" s="160"/>
      <c r="L151" s="415"/>
      <c r="M151" s="415"/>
      <c r="N151" s="415"/>
    </row>
    <row r="152" spans="3:14" outlineLevel="4" x14ac:dyDescent="0.25">
      <c r="C152" s="151">
        <v>50300030</v>
      </c>
      <c r="D152" s="134" t="s">
        <v>55</v>
      </c>
      <c r="E152" s="134" t="s">
        <v>2391</v>
      </c>
      <c r="F152" s="134" t="s">
        <v>947</v>
      </c>
      <c r="G152" s="161" t="s">
        <v>52</v>
      </c>
      <c r="H152" s="160"/>
      <c r="L152" s="415"/>
      <c r="M152" s="415"/>
      <c r="N152" s="415"/>
    </row>
    <row r="153" spans="3:14" outlineLevel="4" x14ac:dyDescent="0.25">
      <c r="C153" s="151">
        <v>50300040</v>
      </c>
      <c r="D153" s="134" t="s">
        <v>57</v>
      </c>
      <c r="E153" s="134" t="s">
        <v>2392</v>
      </c>
      <c r="F153" s="134" t="s">
        <v>947</v>
      </c>
      <c r="G153" s="161" t="s">
        <v>52</v>
      </c>
      <c r="H153" s="160"/>
      <c r="L153" s="415"/>
      <c r="M153" s="415"/>
      <c r="N153" s="415"/>
    </row>
    <row r="154" spans="3:14" outlineLevel="4" x14ac:dyDescent="0.25">
      <c r="C154" s="151">
        <v>50300050</v>
      </c>
      <c r="D154" s="134" t="s">
        <v>59</v>
      </c>
      <c r="E154" s="134" t="s">
        <v>2393</v>
      </c>
      <c r="F154" s="134" t="s">
        <v>947</v>
      </c>
      <c r="G154" s="161" t="s">
        <v>52</v>
      </c>
      <c r="H154" s="160"/>
      <c r="L154" s="415"/>
      <c r="M154" s="415"/>
      <c r="N154" s="415"/>
    </row>
    <row r="155" spans="3:14" outlineLevel="4" x14ac:dyDescent="0.25">
      <c r="C155" s="151">
        <v>50300060</v>
      </c>
      <c r="D155" s="134" t="s">
        <v>2160</v>
      </c>
      <c r="E155" s="134" t="s">
        <v>2394</v>
      </c>
      <c r="F155" s="134" t="s">
        <v>947</v>
      </c>
      <c r="G155" s="161" t="s">
        <v>52</v>
      </c>
      <c r="H155" s="160"/>
      <c r="L155" s="415"/>
      <c r="M155" s="415"/>
      <c r="N155" s="415"/>
    </row>
    <row r="156" spans="3:14" outlineLevel="4" x14ac:dyDescent="0.25">
      <c r="C156" s="151">
        <v>50300070</v>
      </c>
      <c r="D156" s="134" t="s">
        <v>1385</v>
      </c>
      <c r="E156" s="134" t="s">
        <v>2395</v>
      </c>
      <c r="F156" s="138" t="s">
        <v>947</v>
      </c>
      <c r="G156" s="161" t="s">
        <v>52</v>
      </c>
      <c r="H156" s="160"/>
      <c r="L156" s="415"/>
      <c r="M156" s="415"/>
      <c r="N156" s="415"/>
    </row>
    <row r="157" spans="3:14" outlineLevel="4" x14ac:dyDescent="0.25">
      <c r="C157" s="151">
        <v>50300080</v>
      </c>
      <c r="D157" s="134" t="s">
        <v>65</v>
      </c>
      <c r="E157" s="134" t="s">
        <v>2396</v>
      </c>
      <c r="F157" s="138" t="s">
        <v>947</v>
      </c>
      <c r="G157" s="161" t="s">
        <v>52</v>
      </c>
      <c r="H157" s="160"/>
      <c r="L157" s="415"/>
      <c r="M157" s="415"/>
      <c r="N157" s="415"/>
    </row>
    <row r="158" spans="3:14" outlineLevel="4" x14ac:dyDescent="0.25">
      <c r="C158" s="151">
        <v>50300090</v>
      </c>
      <c r="D158" s="134" t="s">
        <v>67</v>
      </c>
      <c r="E158" s="134" t="s">
        <v>2397</v>
      </c>
      <c r="F158" s="138" t="s">
        <v>947</v>
      </c>
      <c r="G158" s="161" t="s">
        <v>52</v>
      </c>
      <c r="H158" s="160"/>
      <c r="L158" s="415"/>
      <c r="M158" s="415"/>
      <c r="N158" s="415"/>
    </row>
    <row r="159" spans="3:14" outlineLevel="4" x14ac:dyDescent="0.25">
      <c r="C159" s="151">
        <v>50300100</v>
      </c>
      <c r="D159" s="134" t="s">
        <v>69</v>
      </c>
      <c r="E159" s="134" t="s">
        <v>2398</v>
      </c>
      <c r="F159" s="138" t="s">
        <v>947</v>
      </c>
      <c r="G159" s="161" t="s">
        <v>52</v>
      </c>
      <c r="H159" s="160"/>
      <c r="L159" s="415"/>
      <c r="M159" s="415"/>
      <c r="N159" s="415"/>
    </row>
    <row r="160" spans="3:14" outlineLevel="4" x14ac:dyDescent="0.25">
      <c r="C160" s="151">
        <v>50300110</v>
      </c>
      <c r="D160" s="134" t="s">
        <v>2166</v>
      </c>
      <c r="E160" s="134" t="s">
        <v>2399</v>
      </c>
      <c r="F160" s="138" t="s">
        <v>947</v>
      </c>
      <c r="G160" s="161" t="s">
        <v>52</v>
      </c>
      <c r="H160" s="160"/>
      <c r="L160" s="415"/>
      <c r="M160" s="415"/>
      <c r="N160" s="415"/>
    </row>
    <row r="161" spans="3:14" outlineLevel="4" x14ac:dyDescent="0.25">
      <c r="C161" s="151">
        <v>50300120</v>
      </c>
      <c r="D161" s="134" t="s">
        <v>2168</v>
      </c>
      <c r="E161" s="134" t="s">
        <v>2400</v>
      </c>
      <c r="F161" s="138" t="s">
        <v>947</v>
      </c>
      <c r="G161" s="161" t="s">
        <v>52</v>
      </c>
      <c r="H161" s="160"/>
      <c r="L161" s="415"/>
      <c r="M161" s="415"/>
      <c r="N161" s="415"/>
    </row>
    <row r="162" spans="3:14" outlineLevel="4" x14ac:dyDescent="0.25">
      <c r="C162" s="151">
        <v>50300990</v>
      </c>
      <c r="D162" s="134" t="s">
        <v>73</v>
      </c>
      <c r="E162" s="134" t="s">
        <v>2401</v>
      </c>
      <c r="F162" s="138" t="s">
        <v>947</v>
      </c>
      <c r="G162" s="161" t="s">
        <v>52</v>
      </c>
      <c r="H162" s="160"/>
      <c r="L162" s="415"/>
      <c r="M162" s="415"/>
      <c r="N162" s="415"/>
    </row>
    <row r="163" spans="3:14" outlineLevel="4" x14ac:dyDescent="0.25">
      <c r="C163" s="151">
        <v>50400010</v>
      </c>
      <c r="D163" s="134" t="s">
        <v>2171</v>
      </c>
      <c r="E163" s="134" t="s">
        <v>2402</v>
      </c>
      <c r="F163" s="138" t="s">
        <v>952</v>
      </c>
      <c r="G163" s="161" t="s">
        <v>52</v>
      </c>
      <c r="H163" s="160"/>
      <c r="L163" s="415"/>
      <c r="M163" s="415"/>
      <c r="N163" s="415"/>
    </row>
    <row r="164" spans="3:14" outlineLevel="4" x14ac:dyDescent="0.25">
      <c r="C164" s="151">
        <v>50500010</v>
      </c>
      <c r="D164" s="134" t="s">
        <v>2173</v>
      </c>
      <c r="E164" s="134" t="s">
        <v>2403</v>
      </c>
      <c r="F164" s="138" t="s">
        <v>957</v>
      </c>
      <c r="G164" s="159" t="s">
        <v>2154</v>
      </c>
      <c r="H164" s="160"/>
      <c r="L164" s="415"/>
      <c r="M164" s="415"/>
      <c r="N164" s="415"/>
    </row>
    <row r="165" spans="3:14" outlineLevel="4" x14ac:dyDescent="0.25">
      <c r="C165" s="151">
        <v>50500020</v>
      </c>
      <c r="D165" s="134" t="s">
        <v>1388</v>
      </c>
      <c r="E165" s="134" t="s">
        <v>2404</v>
      </c>
      <c r="F165" s="138" t="s">
        <v>957</v>
      </c>
      <c r="G165" s="159" t="s">
        <v>2154</v>
      </c>
      <c r="H165" s="160"/>
      <c r="L165" s="415"/>
      <c r="M165" s="415"/>
      <c r="N165" s="415"/>
    </row>
    <row r="166" spans="3:14" outlineLevel="4" x14ac:dyDescent="0.25">
      <c r="C166" s="151">
        <v>50500030</v>
      </c>
      <c r="D166" s="134" t="s">
        <v>2176</v>
      </c>
      <c r="E166" s="134" t="s">
        <v>2405</v>
      </c>
      <c r="F166" s="138" t="s">
        <v>957</v>
      </c>
      <c r="G166" s="159" t="s">
        <v>2154</v>
      </c>
      <c r="H166" s="160"/>
      <c r="L166" s="415"/>
      <c r="M166" s="415"/>
      <c r="N166" s="415"/>
    </row>
    <row r="167" spans="3:14" outlineLevel="4" x14ac:dyDescent="0.25">
      <c r="C167" s="151">
        <v>50500040</v>
      </c>
      <c r="D167" s="134" t="s">
        <v>113</v>
      </c>
      <c r="E167" s="134" t="s">
        <v>2406</v>
      </c>
      <c r="F167" s="138" t="s">
        <v>957</v>
      </c>
      <c r="G167" s="159" t="s">
        <v>2154</v>
      </c>
      <c r="H167" s="160"/>
      <c r="L167" s="415"/>
      <c r="M167" s="415"/>
      <c r="N167" s="415"/>
    </row>
    <row r="168" spans="3:14" outlineLevel="4" x14ac:dyDescent="0.25">
      <c r="C168" s="151">
        <v>50600010</v>
      </c>
      <c r="D168" s="134" t="s">
        <v>585</v>
      </c>
      <c r="E168" s="134" t="s">
        <v>2407</v>
      </c>
      <c r="F168" s="138" t="s">
        <v>962</v>
      </c>
      <c r="G168" s="159" t="s">
        <v>2154</v>
      </c>
      <c r="H168" s="160"/>
      <c r="L168" s="415"/>
      <c r="M168" s="415"/>
      <c r="N168" s="415"/>
    </row>
    <row r="169" spans="3:14" outlineLevel="4" x14ac:dyDescent="0.25">
      <c r="C169" s="151">
        <v>50600020</v>
      </c>
      <c r="D169" s="134" t="s">
        <v>586</v>
      </c>
      <c r="E169" s="134" t="s">
        <v>2408</v>
      </c>
      <c r="F169" s="138" t="s">
        <v>962</v>
      </c>
      <c r="G169" s="159" t="s">
        <v>2154</v>
      </c>
      <c r="H169" s="160"/>
      <c r="L169" s="415"/>
      <c r="M169" s="415"/>
      <c r="N169" s="415"/>
    </row>
    <row r="170" spans="3:14" outlineLevel="4" x14ac:dyDescent="0.25">
      <c r="C170" s="151">
        <v>50600030</v>
      </c>
      <c r="D170" s="134" t="s">
        <v>2180</v>
      </c>
      <c r="E170" s="134" t="s">
        <v>2409</v>
      </c>
      <c r="F170" s="138" t="s">
        <v>962</v>
      </c>
      <c r="G170" s="159" t="s">
        <v>2154</v>
      </c>
      <c r="H170" s="160"/>
      <c r="L170" s="415"/>
      <c r="M170" s="415"/>
      <c r="N170" s="415"/>
    </row>
    <row r="171" spans="3:14" outlineLevel="4" x14ac:dyDescent="0.25">
      <c r="C171" s="151">
        <v>50600040</v>
      </c>
      <c r="D171" s="134" t="s">
        <v>588</v>
      </c>
      <c r="E171" s="134" t="s">
        <v>2410</v>
      </c>
      <c r="F171" s="138" t="s">
        <v>962</v>
      </c>
      <c r="G171" s="159" t="s">
        <v>2154</v>
      </c>
      <c r="H171" s="160"/>
      <c r="L171" s="415"/>
      <c r="M171" s="415"/>
      <c r="N171" s="415"/>
    </row>
    <row r="172" spans="3:14" outlineLevel="4" x14ac:dyDescent="0.25">
      <c r="C172" s="151">
        <v>50800010</v>
      </c>
      <c r="D172" s="134" t="s">
        <v>2183</v>
      </c>
      <c r="E172" s="134" t="s">
        <v>2411</v>
      </c>
      <c r="F172" s="138" t="s">
        <v>972</v>
      </c>
      <c r="G172" s="159" t="s">
        <v>2154</v>
      </c>
      <c r="H172" s="160"/>
      <c r="L172" s="415"/>
      <c r="M172" s="415"/>
      <c r="N172" s="415"/>
    </row>
    <row r="173" spans="3:14" outlineLevel="4" x14ac:dyDescent="0.25">
      <c r="C173" s="151">
        <v>50800020</v>
      </c>
      <c r="D173" s="134" t="s">
        <v>121</v>
      </c>
      <c r="E173" s="134" t="s">
        <v>2412</v>
      </c>
      <c r="F173" s="138" t="s">
        <v>972</v>
      </c>
      <c r="G173" s="159" t="s">
        <v>2154</v>
      </c>
      <c r="H173" s="160"/>
      <c r="L173" s="415"/>
      <c r="M173" s="415"/>
      <c r="N173" s="415"/>
    </row>
    <row r="174" spans="3:14" outlineLevel="4" x14ac:dyDescent="0.25">
      <c r="C174" s="151">
        <v>50800030</v>
      </c>
      <c r="D174" s="134" t="s">
        <v>124</v>
      </c>
      <c r="E174" s="134" t="s">
        <v>2413</v>
      </c>
      <c r="F174" s="138" t="s">
        <v>972</v>
      </c>
      <c r="G174" s="159" t="s">
        <v>2154</v>
      </c>
      <c r="H174" s="160"/>
      <c r="L174" s="415"/>
      <c r="M174" s="415"/>
      <c r="N174" s="415"/>
    </row>
    <row r="175" spans="3:14" outlineLevel="4" x14ac:dyDescent="0.25">
      <c r="C175" s="151">
        <v>50800040</v>
      </c>
      <c r="D175" s="134" t="s">
        <v>126</v>
      </c>
      <c r="E175" s="134" t="s">
        <v>2414</v>
      </c>
      <c r="F175" s="138" t="s">
        <v>972</v>
      </c>
      <c r="G175" s="159" t="s">
        <v>2154</v>
      </c>
      <c r="H175" s="160"/>
      <c r="L175" s="415"/>
      <c r="M175" s="415"/>
      <c r="N175" s="415"/>
    </row>
    <row r="176" spans="3:14" outlineLevel="4" x14ac:dyDescent="0.25">
      <c r="C176" s="151">
        <v>50800050</v>
      </c>
      <c r="D176" s="134" t="s">
        <v>128</v>
      </c>
      <c r="E176" s="134" t="s">
        <v>2415</v>
      </c>
      <c r="F176" s="138" t="s">
        <v>972</v>
      </c>
      <c r="G176" s="159" t="s">
        <v>2154</v>
      </c>
      <c r="H176" s="160"/>
      <c r="L176" s="415"/>
      <c r="M176" s="415"/>
      <c r="N176" s="415"/>
    </row>
    <row r="177" spans="3:14" outlineLevel="4" x14ac:dyDescent="0.25">
      <c r="C177" s="151">
        <v>50800060</v>
      </c>
      <c r="D177" s="134" t="s">
        <v>130</v>
      </c>
      <c r="E177" s="134" t="s">
        <v>2416</v>
      </c>
      <c r="F177" s="138" t="s">
        <v>972</v>
      </c>
      <c r="G177" s="159" t="s">
        <v>2154</v>
      </c>
      <c r="H177" s="160"/>
      <c r="L177" s="415"/>
      <c r="M177" s="415"/>
      <c r="N177" s="415"/>
    </row>
    <row r="178" spans="3:14" outlineLevel="4" x14ac:dyDescent="0.25">
      <c r="C178" s="151">
        <v>50800070</v>
      </c>
      <c r="D178" s="134" t="s">
        <v>133</v>
      </c>
      <c r="E178" s="134" t="s">
        <v>2417</v>
      </c>
      <c r="F178" s="138" t="s">
        <v>972</v>
      </c>
      <c r="G178" s="159" t="s">
        <v>2154</v>
      </c>
      <c r="H178" s="160"/>
      <c r="L178" s="415"/>
      <c r="M178" s="415"/>
      <c r="N178" s="415"/>
    </row>
    <row r="179" spans="3:14" outlineLevel="4" x14ac:dyDescent="0.25">
      <c r="C179" s="151">
        <v>51100000</v>
      </c>
      <c r="D179" s="134" t="s">
        <v>604</v>
      </c>
      <c r="E179" s="134" t="s">
        <v>2418</v>
      </c>
      <c r="F179" s="138" t="s">
        <v>987</v>
      </c>
      <c r="G179" s="159" t="s">
        <v>2154</v>
      </c>
      <c r="H179" s="160"/>
      <c r="L179" s="415"/>
      <c r="M179" s="415"/>
      <c r="N179" s="415"/>
    </row>
    <row r="180" spans="3:14" outlineLevel="4" x14ac:dyDescent="0.25">
      <c r="C180" s="151">
        <v>51300010</v>
      </c>
      <c r="D180" s="134" t="s">
        <v>614</v>
      </c>
      <c r="E180" s="134" t="s">
        <v>2419</v>
      </c>
      <c r="F180" s="138" t="s">
        <v>997</v>
      </c>
      <c r="G180" s="162" t="s">
        <v>260</v>
      </c>
      <c r="H180" s="160"/>
      <c r="L180" s="415"/>
      <c r="M180" s="415"/>
      <c r="N180" s="415"/>
    </row>
    <row r="181" spans="3:14" outlineLevel="4" x14ac:dyDescent="0.25">
      <c r="C181" s="151">
        <v>51300040</v>
      </c>
      <c r="D181" s="134" t="s">
        <v>617</v>
      </c>
      <c r="E181" s="134" t="s">
        <v>2420</v>
      </c>
      <c r="F181" s="138" t="s">
        <v>997</v>
      </c>
      <c r="G181" s="162" t="s">
        <v>260</v>
      </c>
      <c r="H181" s="160"/>
      <c r="L181" s="415"/>
      <c r="M181" s="415"/>
      <c r="N181" s="415"/>
    </row>
    <row r="182" spans="3:14" outlineLevel="4" x14ac:dyDescent="0.25">
      <c r="C182" s="151">
        <v>51300050</v>
      </c>
      <c r="D182" s="134" t="s">
        <v>618</v>
      </c>
      <c r="E182" s="134" t="s">
        <v>2421</v>
      </c>
      <c r="F182" s="138" t="s">
        <v>997</v>
      </c>
      <c r="G182" s="162" t="s">
        <v>260</v>
      </c>
      <c r="H182" s="160"/>
      <c r="L182" s="415"/>
      <c r="M182" s="415"/>
      <c r="N182" s="415"/>
    </row>
    <row r="183" spans="3:14" outlineLevel="4" x14ac:dyDescent="0.25">
      <c r="C183" s="151">
        <v>51300060</v>
      </c>
      <c r="D183" s="134" t="s">
        <v>619</v>
      </c>
      <c r="E183" s="134" t="s">
        <v>2422</v>
      </c>
      <c r="F183" s="138" t="s">
        <v>997</v>
      </c>
      <c r="G183" s="162" t="s">
        <v>260</v>
      </c>
      <c r="H183" s="160"/>
      <c r="L183" s="415"/>
      <c r="M183" s="415"/>
      <c r="N183" s="415"/>
    </row>
    <row r="184" spans="3:14" outlineLevel="4" x14ac:dyDescent="0.25">
      <c r="C184" s="151">
        <v>51300090</v>
      </c>
      <c r="D184" s="134" t="s">
        <v>622</v>
      </c>
      <c r="E184" s="134" t="s">
        <v>2423</v>
      </c>
      <c r="F184" s="138" t="s">
        <v>997</v>
      </c>
      <c r="G184" s="162" t="s">
        <v>260</v>
      </c>
      <c r="H184" s="160"/>
      <c r="L184" s="415"/>
      <c r="M184" s="415"/>
      <c r="N184" s="415"/>
    </row>
    <row r="185" spans="3:14" outlineLevel="4" x14ac:dyDescent="0.25">
      <c r="C185" s="151">
        <v>51500010</v>
      </c>
      <c r="D185" s="134" t="s">
        <v>2197</v>
      </c>
      <c r="E185" s="134" t="s">
        <v>2424</v>
      </c>
      <c r="F185" s="138" t="s">
        <v>1007</v>
      </c>
      <c r="G185" s="159" t="s">
        <v>2154</v>
      </c>
      <c r="H185" s="160"/>
      <c r="L185" s="415"/>
      <c r="M185" s="415"/>
      <c r="N185" s="415"/>
    </row>
    <row r="186" spans="3:14" outlineLevel="4" x14ac:dyDescent="0.25">
      <c r="C186" s="151">
        <v>51600010</v>
      </c>
      <c r="D186" s="134" t="s">
        <v>149</v>
      </c>
      <c r="E186" s="134" t="s">
        <v>2425</v>
      </c>
      <c r="F186" s="138" t="s">
        <v>1012</v>
      </c>
      <c r="G186" s="159" t="s">
        <v>2154</v>
      </c>
      <c r="H186" s="160"/>
      <c r="L186" s="415"/>
      <c r="M186" s="415"/>
      <c r="N186" s="415"/>
    </row>
    <row r="187" spans="3:14" outlineLevel="4" x14ac:dyDescent="0.25">
      <c r="C187" s="151">
        <v>51600020</v>
      </c>
      <c r="D187" s="134" t="s">
        <v>150</v>
      </c>
      <c r="E187" s="134" t="s">
        <v>2426</v>
      </c>
      <c r="F187" s="138" t="s">
        <v>1012</v>
      </c>
      <c r="G187" s="159" t="s">
        <v>2154</v>
      </c>
      <c r="H187" s="160"/>
      <c r="L187" s="415"/>
      <c r="M187" s="415"/>
      <c r="N187" s="415"/>
    </row>
    <row r="188" spans="3:14" outlineLevel="4" x14ac:dyDescent="0.25">
      <c r="C188" s="151">
        <v>51600030</v>
      </c>
      <c r="D188" s="134" t="s">
        <v>152</v>
      </c>
      <c r="E188" s="134" t="s">
        <v>2427</v>
      </c>
      <c r="F188" s="138" t="s">
        <v>1012</v>
      </c>
      <c r="G188" s="159" t="s">
        <v>2154</v>
      </c>
      <c r="H188" s="160"/>
      <c r="L188" s="415"/>
      <c r="M188" s="415"/>
      <c r="N188" s="415"/>
    </row>
    <row r="189" spans="3:14" outlineLevel="4" x14ac:dyDescent="0.25">
      <c r="C189" s="151">
        <v>51600040</v>
      </c>
      <c r="D189" s="134" t="s">
        <v>153</v>
      </c>
      <c r="E189" s="134" t="s">
        <v>2428</v>
      </c>
      <c r="F189" s="138" t="s">
        <v>1012</v>
      </c>
      <c r="G189" s="159" t="s">
        <v>2154</v>
      </c>
      <c r="H189" s="160"/>
      <c r="L189" s="415"/>
      <c r="M189" s="415"/>
      <c r="N189" s="415"/>
    </row>
    <row r="190" spans="3:14" outlineLevel="4" x14ac:dyDescent="0.25">
      <c r="C190" s="151">
        <v>51600050</v>
      </c>
      <c r="D190" s="134" t="s">
        <v>625</v>
      </c>
      <c r="E190" s="134" t="s">
        <v>2429</v>
      </c>
      <c r="F190" s="138" t="s">
        <v>1012</v>
      </c>
      <c r="G190" s="159" t="s">
        <v>2154</v>
      </c>
      <c r="H190" s="160"/>
      <c r="L190" s="415"/>
      <c r="M190" s="415"/>
      <c r="N190" s="415"/>
    </row>
    <row r="191" spans="3:14" outlineLevel="4" x14ac:dyDescent="0.25">
      <c r="C191" s="151">
        <v>51600070</v>
      </c>
      <c r="D191" s="134" t="s">
        <v>154</v>
      </c>
      <c r="E191" s="134" t="s">
        <v>2430</v>
      </c>
      <c r="F191" s="138" t="s">
        <v>1012</v>
      </c>
      <c r="G191" s="159" t="s">
        <v>2154</v>
      </c>
      <c r="H191" s="160"/>
      <c r="L191" s="415"/>
      <c r="M191" s="415"/>
      <c r="N191" s="415"/>
    </row>
    <row r="192" spans="3:14" outlineLevel="4" x14ac:dyDescent="0.25">
      <c r="C192" s="151">
        <v>51700010</v>
      </c>
      <c r="D192" s="134" t="s">
        <v>155</v>
      </c>
      <c r="E192" s="134" t="s">
        <v>2431</v>
      </c>
      <c r="F192" s="138" t="s">
        <v>1017</v>
      </c>
      <c r="G192" s="159" t="s">
        <v>2154</v>
      </c>
      <c r="H192" s="160"/>
      <c r="L192" s="415"/>
      <c r="M192" s="415"/>
      <c r="N192" s="415"/>
    </row>
    <row r="193" spans="3:14" outlineLevel="4" x14ac:dyDescent="0.25">
      <c r="C193" s="151">
        <v>51700030</v>
      </c>
      <c r="D193" s="134" t="s">
        <v>157</v>
      </c>
      <c r="E193" s="134" t="s">
        <v>2432</v>
      </c>
      <c r="F193" s="138" t="s">
        <v>1017</v>
      </c>
      <c r="G193" s="159" t="s">
        <v>2154</v>
      </c>
      <c r="H193" s="160"/>
      <c r="L193" s="415"/>
      <c r="M193" s="415"/>
      <c r="N193" s="415"/>
    </row>
    <row r="194" spans="3:14" outlineLevel="4" x14ac:dyDescent="0.25">
      <c r="C194" s="151">
        <v>51700040</v>
      </c>
      <c r="D194" s="134" t="s">
        <v>159</v>
      </c>
      <c r="E194" s="134" t="s">
        <v>2433</v>
      </c>
      <c r="F194" s="138" t="s">
        <v>1017</v>
      </c>
      <c r="G194" s="159" t="s">
        <v>2154</v>
      </c>
      <c r="H194" s="160"/>
      <c r="L194" s="415"/>
      <c r="M194" s="415"/>
      <c r="N194" s="415"/>
    </row>
    <row r="195" spans="3:14" outlineLevel="4" x14ac:dyDescent="0.25">
      <c r="C195" s="151">
        <v>51700050</v>
      </c>
      <c r="D195" s="134" t="s">
        <v>161</v>
      </c>
      <c r="E195" s="134" t="s">
        <v>2434</v>
      </c>
      <c r="F195" s="138" t="s">
        <v>1017</v>
      </c>
      <c r="G195" s="159" t="s">
        <v>2154</v>
      </c>
      <c r="H195" s="160"/>
      <c r="L195" s="415"/>
      <c r="M195" s="415"/>
      <c r="N195" s="415"/>
    </row>
    <row r="196" spans="3:14" outlineLevel="4" x14ac:dyDescent="0.25">
      <c r="C196" s="151">
        <v>51700060</v>
      </c>
      <c r="D196" s="134" t="s">
        <v>163</v>
      </c>
      <c r="E196" s="134" t="s">
        <v>2435</v>
      </c>
      <c r="F196" s="138" t="s">
        <v>1017</v>
      </c>
      <c r="G196" s="159" t="s">
        <v>2154</v>
      </c>
      <c r="H196" s="160"/>
      <c r="L196" s="415"/>
      <c r="M196" s="415"/>
      <c r="N196" s="415"/>
    </row>
    <row r="197" spans="3:14" outlineLevel="4" x14ac:dyDescent="0.25">
      <c r="C197" s="151">
        <v>51700070</v>
      </c>
      <c r="D197" s="134" t="s">
        <v>165</v>
      </c>
      <c r="E197" s="134" t="s">
        <v>2436</v>
      </c>
      <c r="F197" s="138" t="s">
        <v>1017</v>
      </c>
      <c r="G197" s="159" t="s">
        <v>2154</v>
      </c>
      <c r="H197" s="160"/>
      <c r="L197" s="415"/>
      <c r="M197" s="415"/>
      <c r="N197" s="415"/>
    </row>
    <row r="198" spans="3:14" outlineLevel="4" x14ac:dyDescent="0.25">
      <c r="C198" s="151">
        <v>51800010</v>
      </c>
      <c r="D198" s="134" t="s">
        <v>167</v>
      </c>
      <c r="E198" s="134" t="s">
        <v>2437</v>
      </c>
      <c r="F198" s="138" t="s">
        <v>1022</v>
      </c>
      <c r="G198" s="159" t="s">
        <v>2154</v>
      </c>
      <c r="H198" s="160"/>
    </row>
    <row r="199" spans="3:14" outlineLevel="4" x14ac:dyDescent="0.25">
      <c r="C199" s="151">
        <v>51800020</v>
      </c>
      <c r="D199" s="134" t="s">
        <v>170</v>
      </c>
      <c r="E199" s="134" t="s">
        <v>2438</v>
      </c>
      <c r="F199" s="138" t="s">
        <v>1022</v>
      </c>
      <c r="G199" s="159" t="s">
        <v>2154</v>
      </c>
      <c r="H199" s="160"/>
    </row>
    <row r="200" spans="3:14" outlineLevel="4" x14ac:dyDescent="0.25">
      <c r="C200" s="151">
        <v>51800030</v>
      </c>
      <c r="D200" s="134" t="s">
        <v>172</v>
      </c>
      <c r="E200" s="134" t="s">
        <v>2439</v>
      </c>
      <c r="F200" s="138" t="s">
        <v>1022</v>
      </c>
      <c r="G200" s="159" t="s">
        <v>2154</v>
      </c>
      <c r="H200" s="160"/>
    </row>
    <row r="201" spans="3:14" outlineLevel="4" x14ac:dyDescent="0.25">
      <c r="C201" s="151">
        <v>51800090</v>
      </c>
      <c r="D201" s="134" t="s">
        <v>174</v>
      </c>
      <c r="E201" s="134" t="s">
        <v>2440</v>
      </c>
      <c r="F201" s="138" t="s">
        <v>1022</v>
      </c>
      <c r="G201" s="159" t="s">
        <v>2154</v>
      </c>
      <c r="H201" s="160"/>
    </row>
    <row r="202" spans="3:14" outlineLevel="4" x14ac:dyDescent="0.25">
      <c r="C202" s="151">
        <v>51900010</v>
      </c>
      <c r="D202" s="134" t="s">
        <v>176</v>
      </c>
      <c r="E202" s="134" t="s">
        <v>2441</v>
      </c>
      <c r="F202" s="138" t="s">
        <v>456</v>
      </c>
      <c r="G202" s="159" t="s">
        <v>2154</v>
      </c>
      <c r="H202" s="160"/>
    </row>
    <row r="203" spans="3:14" outlineLevel="4" x14ac:dyDescent="0.25">
      <c r="C203" s="151">
        <v>51900020</v>
      </c>
      <c r="D203" s="134" t="s">
        <v>179</v>
      </c>
      <c r="E203" s="134" t="s">
        <v>2442</v>
      </c>
      <c r="F203" s="138" t="s">
        <v>456</v>
      </c>
      <c r="G203" s="159" t="s">
        <v>2154</v>
      </c>
      <c r="H203" s="160"/>
    </row>
    <row r="204" spans="3:14" outlineLevel="4" x14ac:dyDescent="0.25">
      <c r="C204" s="151">
        <v>51900030</v>
      </c>
      <c r="D204" s="134" t="s">
        <v>182</v>
      </c>
      <c r="E204" s="134" t="s">
        <v>2443</v>
      </c>
      <c r="F204" s="138" t="s">
        <v>456</v>
      </c>
      <c r="G204" s="159" t="s">
        <v>2154</v>
      </c>
      <c r="H204" s="160"/>
    </row>
    <row r="205" spans="3:14" outlineLevel="4" x14ac:dyDescent="0.25">
      <c r="C205" s="151">
        <v>51900040</v>
      </c>
      <c r="D205" s="134" t="s">
        <v>184</v>
      </c>
      <c r="E205" s="134" t="s">
        <v>2444</v>
      </c>
      <c r="F205" s="138" t="s">
        <v>456</v>
      </c>
      <c r="G205" s="159" t="s">
        <v>2154</v>
      </c>
      <c r="H205" s="160"/>
    </row>
    <row r="206" spans="3:14" outlineLevel="4" x14ac:dyDescent="0.25">
      <c r="C206" s="151">
        <v>51900090</v>
      </c>
      <c r="D206" s="134" t="s">
        <v>186</v>
      </c>
      <c r="E206" s="134" t="s">
        <v>2445</v>
      </c>
      <c r="F206" s="138" t="s">
        <v>456</v>
      </c>
      <c r="G206" s="159" t="s">
        <v>2154</v>
      </c>
      <c r="H206" s="160"/>
    </row>
    <row r="207" spans="3:14" outlineLevel="4" x14ac:dyDescent="0.25">
      <c r="C207" s="151">
        <v>52100010</v>
      </c>
      <c r="D207" s="134" t="s">
        <v>197</v>
      </c>
      <c r="E207" s="134" t="s">
        <v>2446</v>
      </c>
      <c r="F207" s="138" t="s">
        <v>1036</v>
      </c>
      <c r="G207" s="159" t="s">
        <v>2154</v>
      </c>
      <c r="H207" s="160"/>
    </row>
    <row r="208" spans="3:14" outlineLevel="4" x14ac:dyDescent="0.25">
      <c r="C208" s="151">
        <v>52100020</v>
      </c>
      <c r="D208" s="134" t="s">
        <v>200</v>
      </c>
      <c r="E208" s="134" t="s">
        <v>2447</v>
      </c>
      <c r="F208" s="138" t="s">
        <v>1036</v>
      </c>
      <c r="G208" s="159" t="s">
        <v>2154</v>
      </c>
      <c r="H208" s="160"/>
    </row>
    <row r="209" spans="3:8" outlineLevel="4" x14ac:dyDescent="0.25">
      <c r="C209" s="151">
        <v>52100030</v>
      </c>
      <c r="D209" s="134" t="s">
        <v>202</v>
      </c>
      <c r="E209" s="134" t="s">
        <v>2448</v>
      </c>
      <c r="F209" s="138" t="s">
        <v>1036</v>
      </c>
      <c r="G209" s="159" t="s">
        <v>2154</v>
      </c>
      <c r="H209" s="160"/>
    </row>
    <row r="210" spans="3:8" outlineLevel="4" x14ac:dyDescent="0.25">
      <c r="C210" s="151">
        <v>52100040</v>
      </c>
      <c r="D210" s="134" t="s">
        <v>204</v>
      </c>
      <c r="E210" s="134" t="s">
        <v>2449</v>
      </c>
      <c r="F210" s="138" t="s">
        <v>1036</v>
      </c>
      <c r="G210" s="159" t="s">
        <v>2154</v>
      </c>
      <c r="H210" s="160"/>
    </row>
    <row r="211" spans="3:8" outlineLevel="4" x14ac:dyDescent="0.25">
      <c r="C211" s="151">
        <v>52100050</v>
      </c>
      <c r="D211" s="134" t="s">
        <v>206</v>
      </c>
      <c r="E211" s="134" t="s">
        <v>2450</v>
      </c>
      <c r="F211" s="138" t="s">
        <v>1036</v>
      </c>
      <c r="G211" s="159" t="s">
        <v>2154</v>
      </c>
      <c r="H211" s="160"/>
    </row>
    <row r="212" spans="3:8" ht="30" outlineLevel="4" x14ac:dyDescent="0.25">
      <c r="C212" s="151">
        <v>52200010</v>
      </c>
      <c r="D212" s="134" t="s">
        <v>208</v>
      </c>
      <c r="E212" s="134" t="s">
        <v>2451</v>
      </c>
      <c r="F212" s="138" t="s">
        <v>1041</v>
      </c>
      <c r="G212" s="159" t="s">
        <v>2154</v>
      </c>
      <c r="H212" s="160"/>
    </row>
    <row r="213" spans="3:8" ht="30" outlineLevel="4" x14ac:dyDescent="0.25">
      <c r="C213" s="151">
        <v>52200020</v>
      </c>
      <c r="D213" s="134" t="s">
        <v>210</v>
      </c>
      <c r="E213" s="134" t="s">
        <v>2452</v>
      </c>
      <c r="F213" s="138" t="s">
        <v>1041</v>
      </c>
      <c r="G213" s="159" t="s">
        <v>2154</v>
      </c>
      <c r="H213" s="160"/>
    </row>
    <row r="214" spans="3:8" ht="30" outlineLevel="4" x14ac:dyDescent="0.25">
      <c r="C214" s="151">
        <v>52300010</v>
      </c>
      <c r="D214" s="134" t="s">
        <v>212</v>
      </c>
      <c r="E214" s="134" t="s">
        <v>2453</v>
      </c>
      <c r="F214" s="138" t="s">
        <v>1046</v>
      </c>
      <c r="G214" s="159" t="s">
        <v>2154</v>
      </c>
      <c r="H214" s="160"/>
    </row>
    <row r="215" spans="3:8" ht="30" outlineLevel="4" x14ac:dyDescent="0.25">
      <c r="C215" s="151">
        <v>52300020</v>
      </c>
      <c r="D215" s="134" t="s">
        <v>214</v>
      </c>
      <c r="E215" s="134" t="s">
        <v>2454</v>
      </c>
      <c r="F215" s="138" t="s">
        <v>1046</v>
      </c>
      <c r="G215" s="159" t="s">
        <v>2154</v>
      </c>
      <c r="H215" s="160"/>
    </row>
    <row r="216" spans="3:8" ht="30" outlineLevel="4" x14ac:dyDescent="0.25">
      <c r="C216" s="151">
        <v>52400030</v>
      </c>
      <c r="D216" s="134" t="s">
        <v>216</v>
      </c>
      <c r="E216" s="134" t="s">
        <v>2455</v>
      </c>
      <c r="F216" s="138" t="s">
        <v>1051</v>
      </c>
      <c r="G216" s="159" t="s">
        <v>2154</v>
      </c>
      <c r="H216" s="160"/>
    </row>
    <row r="217" spans="3:8" outlineLevel="4" x14ac:dyDescent="0.25">
      <c r="C217" s="151">
        <v>52400040</v>
      </c>
      <c r="D217" s="134" t="s">
        <v>218</v>
      </c>
      <c r="E217" s="134" t="s">
        <v>2456</v>
      </c>
      <c r="F217" s="138" t="s">
        <v>1051</v>
      </c>
      <c r="G217" s="159" t="s">
        <v>2154</v>
      </c>
      <c r="H217" s="160"/>
    </row>
    <row r="218" spans="3:8" outlineLevel="4" x14ac:dyDescent="0.25">
      <c r="C218" s="151">
        <v>52400060</v>
      </c>
      <c r="D218" s="134" t="s">
        <v>628</v>
      </c>
      <c r="E218" s="134" t="s">
        <v>2457</v>
      </c>
      <c r="F218" s="138" t="s">
        <v>1051</v>
      </c>
      <c r="G218" s="159" t="s">
        <v>2154</v>
      </c>
      <c r="H218" s="160"/>
    </row>
    <row r="219" spans="3:8" outlineLevel="4" x14ac:dyDescent="0.25">
      <c r="C219" s="151">
        <v>52500010</v>
      </c>
      <c r="D219" s="134" t="s">
        <v>220</v>
      </c>
      <c r="E219" s="134" t="s">
        <v>2458</v>
      </c>
      <c r="F219" s="138" t="s">
        <v>220</v>
      </c>
      <c r="G219" s="159" t="s">
        <v>2154</v>
      </c>
      <c r="H219" s="160"/>
    </row>
    <row r="220" spans="3:8" outlineLevel="4" x14ac:dyDescent="0.25">
      <c r="C220" s="151">
        <v>52600020</v>
      </c>
      <c r="D220" s="134" t="s">
        <v>225</v>
      </c>
      <c r="E220" s="134" t="s">
        <v>2459</v>
      </c>
      <c r="F220" s="138" t="s">
        <v>1060</v>
      </c>
      <c r="G220" s="159" t="s">
        <v>2154</v>
      </c>
      <c r="H220" s="160"/>
    </row>
    <row r="221" spans="3:8" outlineLevel="4" x14ac:dyDescent="0.25">
      <c r="C221" s="151">
        <v>52600030</v>
      </c>
      <c r="D221" s="134" t="s">
        <v>228</v>
      </c>
      <c r="E221" s="134" t="s">
        <v>2460</v>
      </c>
      <c r="F221" s="138" t="s">
        <v>1060</v>
      </c>
      <c r="G221" s="159" t="s">
        <v>2154</v>
      </c>
      <c r="H221" s="160"/>
    </row>
    <row r="222" spans="3:8" outlineLevel="4" x14ac:dyDescent="0.25">
      <c r="C222" s="151">
        <v>52900010</v>
      </c>
      <c r="D222" s="134" t="s">
        <v>230</v>
      </c>
      <c r="E222" s="134" t="s">
        <v>2461</v>
      </c>
      <c r="F222" s="138" t="s">
        <v>1074</v>
      </c>
      <c r="G222" s="159" t="s">
        <v>2154</v>
      </c>
      <c r="H222" s="160"/>
    </row>
    <row r="223" spans="3:8" outlineLevel="4" x14ac:dyDescent="0.25">
      <c r="C223" s="151">
        <v>52900020</v>
      </c>
      <c r="D223" s="134" t="s">
        <v>232</v>
      </c>
      <c r="E223" s="134" t="s">
        <v>2462</v>
      </c>
      <c r="F223" s="138" t="s">
        <v>1074</v>
      </c>
      <c r="G223" s="159" t="s">
        <v>2154</v>
      </c>
      <c r="H223" s="160"/>
    </row>
    <row r="224" spans="3:8" ht="30" outlineLevel="4" x14ac:dyDescent="0.25">
      <c r="C224" s="151">
        <v>53100010</v>
      </c>
      <c r="D224" s="134" t="s">
        <v>634</v>
      </c>
      <c r="E224" s="134" t="s">
        <v>2463</v>
      </c>
      <c r="F224" s="138" t="s">
        <v>634</v>
      </c>
      <c r="G224" s="159" t="s">
        <v>2154</v>
      </c>
      <c r="H224" s="160"/>
    </row>
    <row r="225" spans="3:7" outlineLevel="4" x14ac:dyDescent="0.25">
      <c r="C225" s="154"/>
      <c r="D225" s="143"/>
      <c r="E225" s="144"/>
      <c r="F225" s="144"/>
      <c r="G225" s="144"/>
    </row>
    <row r="228" spans="3:7" x14ac:dyDescent="0.25">
      <c r="C228" s="120" t="s">
        <v>2233</v>
      </c>
    </row>
    <row r="229" spans="3:7" x14ac:dyDescent="0.25">
      <c r="C229" s="100" t="s">
        <v>2147</v>
      </c>
      <c r="D229" s="100" t="s">
        <v>2148</v>
      </c>
      <c r="E229" s="122" t="s">
        <v>2149</v>
      </c>
      <c r="F229" s="122" t="s">
        <v>2150</v>
      </c>
      <c r="G229" s="122" t="s">
        <v>2151</v>
      </c>
    </row>
    <row r="230" spans="3:7" x14ac:dyDescent="0.25">
      <c r="C230" s="151">
        <v>60100010</v>
      </c>
      <c r="D230" s="134" t="s">
        <v>75</v>
      </c>
      <c r="E230" s="134" t="s">
        <v>2464</v>
      </c>
      <c r="F230" s="152" t="s">
        <v>1136</v>
      </c>
      <c r="G230" s="152" t="s">
        <v>52</v>
      </c>
    </row>
    <row r="231" spans="3:7" x14ac:dyDescent="0.25">
      <c r="C231" s="151">
        <v>60100020</v>
      </c>
      <c r="D231" s="134" t="s">
        <v>77</v>
      </c>
      <c r="E231" s="134" t="s">
        <v>2465</v>
      </c>
      <c r="F231" s="153" t="s">
        <v>1136</v>
      </c>
      <c r="G231" s="153" t="s">
        <v>52</v>
      </c>
    </row>
    <row r="232" spans="3:7" x14ac:dyDescent="0.25">
      <c r="C232" s="151">
        <v>60100030</v>
      </c>
      <c r="D232" s="134" t="s">
        <v>79</v>
      </c>
      <c r="E232" s="134" t="s">
        <v>2236</v>
      </c>
      <c r="F232" s="134" t="s">
        <v>1136</v>
      </c>
      <c r="G232" s="153" t="s">
        <v>52</v>
      </c>
    </row>
    <row r="233" spans="3:7" x14ac:dyDescent="0.25">
      <c r="C233" s="151">
        <v>60100040</v>
      </c>
      <c r="D233" s="134" t="s">
        <v>81</v>
      </c>
      <c r="E233" s="134" t="s">
        <v>2466</v>
      </c>
      <c r="F233" s="134" t="s">
        <v>1136</v>
      </c>
      <c r="G233" s="153" t="s">
        <v>52</v>
      </c>
    </row>
    <row r="234" spans="3:7" x14ac:dyDescent="0.25">
      <c r="C234" s="151">
        <v>60100050</v>
      </c>
      <c r="D234" s="134" t="s">
        <v>83</v>
      </c>
      <c r="E234" s="134" t="s">
        <v>2467</v>
      </c>
      <c r="F234" s="134" t="s">
        <v>1136</v>
      </c>
      <c r="G234" s="153" t="s">
        <v>52</v>
      </c>
    </row>
    <row r="235" spans="3:7" x14ac:dyDescent="0.25">
      <c r="C235" s="151">
        <v>60100060</v>
      </c>
      <c r="D235" s="134" t="s">
        <v>85</v>
      </c>
      <c r="E235" s="134" t="s">
        <v>2468</v>
      </c>
      <c r="F235" s="134" t="s">
        <v>1136</v>
      </c>
      <c r="G235" s="153" t="s">
        <v>52</v>
      </c>
    </row>
    <row r="236" spans="3:7" x14ac:dyDescent="0.25">
      <c r="C236" s="151">
        <v>60100070</v>
      </c>
      <c r="D236" s="134" t="s">
        <v>87</v>
      </c>
      <c r="E236" s="134" t="s">
        <v>2469</v>
      </c>
      <c r="F236" s="134" t="s">
        <v>1136</v>
      </c>
      <c r="G236" s="153" t="s">
        <v>52</v>
      </c>
    </row>
    <row r="237" spans="3:7" x14ac:dyDescent="0.25">
      <c r="C237" s="151">
        <v>60100080</v>
      </c>
      <c r="D237" s="134" t="s">
        <v>89</v>
      </c>
      <c r="E237" s="134" t="s">
        <v>2470</v>
      </c>
      <c r="F237" s="138" t="s">
        <v>1136</v>
      </c>
      <c r="G237" s="153" t="s">
        <v>52</v>
      </c>
    </row>
    <row r="238" spans="3:7" x14ac:dyDescent="0.25">
      <c r="C238" s="151">
        <v>60100090</v>
      </c>
      <c r="D238" s="134" t="s">
        <v>91</v>
      </c>
      <c r="E238" s="134" t="s">
        <v>2471</v>
      </c>
      <c r="F238" s="138" t="s">
        <v>1136</v>
      </c>
      <c r="G238" s="153" t="s">
        <v>52</v>
      </c>
    </row>
    <row r="239" spans="3:7" x14ac:dyDescent="0.25">
      <c r="C239" s="151">
        <v>60100100</v>
      </c>
      <c r="D239" s="134" t="s">
        <v>93</v>
      </c>
      <c r="E239" s="134" t="s">
        <v>2472</v>
      </c>
      <c r="F239" s="138" t="s">
        <v>1136</v>
      </c>
      <c r="G239" s="153" t="s">
        <v>52</v>
      </c>
    </row>
    <row r="240" spans="3:7" x14ac:dyDescent="0.25">
      <c r="C240" s="151">
        <v>60100110</v>
      </c>
      <c r="D240" s="134" t="s">
        <v>95</v>
      </c>
      <c r="E240" s="134" t="s">
        <v>2473</v>
      </c>
      <c r="F240" s="138" t="s">
        <v>1136</v>
      </c>
      <c r="G240" s="153" t="s">
        <v>52</v>
      </c>
    </row>
    <row r="241" spans="1:7" x14ac:dyDescent="0.25">
      <c r="C241" s="151">
        <v>60100120</v>
      </c>
      <c r="D241" s="134" t="s">
        <v>2245</v>
      </c>
      <c r="E241" s="134" t="s">
        <v>2466</v>
      </c>
      <c r="F241" s="138" t="s">
        <v>1136</v>
      </c>
      <c r="G241" s="153" t="s">
        <v>52</v>
      </c>
    </row>
    <row r="242" spans="1:7" x14ac:dyDescent="0.25">
      <c r="C242" s="151">
        <v>60100990</v>
      </c>
      <c r="D242" s="134" t="s">
        <v>97</v>
      </c>
      <c r="E242" s="134" t="s">
        <v>2474</v>
      </c>
      <c r="F242" s="138" t="s">
        <v>1136</v>
      </c>
      <c r="G242" s="153" t="s">
        <v>52</v>
      </c>
    </row>
    <row r="243" spans="1:7" x14ac:dyDescent="0.25">
      <c r="C243" s="151">
        <v>60200010</v>
      </c>
      <c r="D243" s="134" t="s">
        <v>99</v>
      </c>
      <c r="E243" s="134" t="s">
        <v>2475</v>
      </c>
      <c r="F243" s="138" t="s">
        <v>952</v>
      </c>
      <c r="G243" s="153" t="s">
        <v>52</v>
      </c>
    </row>
    <row r="244" spans="1:7" x14ac:dyDescent="0.25">
      <c r="C244" s="151">
        <v>60300010</v>
      </c>
      <c r="D244" s="134" t="s">
        <v>102</v>
      </c>
      <c r="E244" s="134" t="s">
        <v>2476</v>
      </c>
      <c r="F244" s="138" t="s">
        <v>1145</v>
      </c>
      <c r="G244" s="153" t="s">
        <v>52</v>
      </c>
    </row>
    <row r="245" spans="1:7" x14ac:dyDescent="0.25">
      <c r="C245" s="151">
        <v>60600010</v>
      </c>
      <c r="D245" s="134" t="s">
        <v>585</v>
      </c>
      <c r="E245" s="134" t="s">
        <v>2477</v>
      </c>
      <c r="F245" s="138" t="s">
        <v>962</v>
      </c>
      <c r="G245" s="152" t="s">
        <v>108</v>
      </c>
    </row>
    <row r="246" spans="1:7" x14ac:dyDescent="0.25">
      <c r="C246" s="151">
        <v>60600020</v>
      </c>
      <c r="D246" s="134" t="s">
        <v>586</v>
      </c>
      <c r="E246" s="134" t="s">
        <v>2478</v>
      </c>
      <c r="F246" s="138" t="s">
        <v>962</v>
      </c>
      <c r="G246" s="152" t="s">
        <v>108</v>
      </c>
    </row>
    <row r="247" spans="1:7" ht="14.25" customHeight="1" x14ac:dyDescent="0.25">
      <c r="C247" s="151">
        <v>60600030</v>
      </c>
      <c r="D247" s="134" t="s">
        <v>587</v>
      </c>
      <c r="E247" s="134" t="s">
        <v>2479</v>
      </c>
      <c r="F247" s="138" t="s">
        <v>962</v>
      </c>
      <c r="G247" s="152" t="s">
        <v>108</v>
      </c>
    </row>
    <row r="248" spans="1:7" ht="14.25" customHeight="1" x14ac:dyDescent="0.25">
      <c r="C248" s="151">
        <v>60600050</v>
      </c>
      <c r="D248" s="134" t="s">
        <v>115</v>
      </c>
      <c r="E248" s="134" t="s">
        <v>2692</v>
      </c>
      <c r="F248" s="138" t="s">
        <v>962</v>
      </c>
      <c r="G248" s="152" t="s">
        <v>108</v>
      </c>
    </row>
    <row r="249" spans="1:7" ht="14.25" customHeight="1" x14ac:dyDescent="0.25">
      <c r="A249" s="134"/>
      <c r="B249" s="134"/>
      <c r="C249" s="151">
        <v>60700010</v>
      </c>
      <c r="D249" s="134" t="s">
        <v>117</v>
      </c>
      <c r="E249" s="134" t="s">
        <v>2693</v>
      </c>
      <c r="F249" s="138" t="s">
        <v>117</v>
      </c>
      <c r="G249" s="152" t="s">
        <v>108</v>
      </c>
    </row>
    <row r="250" spans="1:7" x14ac:dyDescent="0.25">
      <c r="C250" s="151">
        <v>60800010</v>
      </c>
      <c r="D250" s="134" t="s">
        <v>119</v>
      </c>
      <c r="E250" s="134" t="s">
        <v>2480</v>
      </c>
      <c r="F250" s="138" t="s">
        <v>1158</v>
      </c>
      <c r="G250" s="152" t="s">
        <v>2154</v>
      </c>
    </row>
    <row r="251" spans="1:7" x14ac:dyDescent="0.25">
      <c r="C251" s="151">
        <v>60800020</v>
      </c>
      <c r="D251" s="134" t="s">
        <v>121</v>
      </c>
      <c r="E251" s="134" t="s">
        <v>2481</v>
      </c>
      <c r="F251" s="138" t="s">
        <v>1158</v>
      </c>
      <c r="G251" s="152" t="s">
        <v>2154</v>
      </c>
    </row>
    <row r="252" spans="1:7" x14ac:dyDescent="0.25">
      <c r="C252" s="151">
        <v>60800030</v>
      </c>
      <c r="D252" s="134" t="s">
        <v>124</v>
      </c>
      <c r="E252" s="134" t="s">
        <v>2482</v>
      </c>
      <c r="F252" s="138" t="s">
        <v>1158</v>
      </c>
      <c r="G252" s="152" t="s">
        <v>2154</v>
      </c>
    </row>
    <row r="253" spans="1:7" x14ac:dyDescent="0.25">
      <c r="C253" s="151">
        <v>60800040</v>
      </c>
      <c r="D253" s="134" t="s">
        <v>126</v>
      </c>
      <c r="E253" s="134" t="s">
        <v>2483</v>
      </c>
      <c r="F253" s="138" t="s">
        <v>1158</v>
      </c>
      <c r="G253" s="152" t="s">
        <v>2154</v>
      </c>
    </row>
    <row r="254" spans="1:7" x14ac:dyDescent="0.25">
      <c r="C254" s="151">
        <v>60800050</v>
      </c>
      <c r="D254" s="134" t="s">
        <v>128</v>
      </c>
      <c r="E254" s="134" t="s">
        <v>2484</v>
      </c>
      <c r="F254" s="138" t="s">
        <v>1158</v>
      </c>
      <c r="G254" s="152" t="s">
        <v>2154</v>
      </c>
    </row>
    <row r="255" spans="1:7" x14ac:dyDescent="0.25">
      <c r="C255" s="151">
        <v>60800060</v>
      </c>
      <c r="D255" s="134" t="s">
        <v>130</v>
      </c>
      <c r="E255" s="134" t="s">
        <v>2416</v>
      </c>
      <c r="F255" s="138" t="s">
        <v>1158</v>
      </c>
      <c r="G255" s="152" t="s">
        <v>2154</v>
      </c>
    </row>
    <row r="256" spans="1:7" x14ac:dyDescent="0.25">
      <c r="C256" s="151">
        <v>60800070</v>
      </c>
      <c r="D256" s="134" t="s">
        <v>133</v>
      </c>
      <c r="E256" s="134" t="s">
        <v>2417</v>
      </c>
      <c r="F256" s="138" t="s">
        <v>1158</v>
      </c>
      <c r="G256" s="152" t="s">
        <v>2154</v>
      </c>
    </row>
    <row r="257" spans="3:7" x14ac:dyDescent="0.25">
      <c r="C257" s="151">
        <v>60800080</v>
      </c>
      <c r="D257" s="134" t="s">
        <v>135</v>
      </c>
      <c r="E257" s="134" t="s">
        <v>2485</v>
      </c>
      <c r="F257" s="138" t="s">
        <v>1158</v>
      </c>
      <c r="G257" s="152" t="s">
        <v>2154</v>
      </c>
    </row>
    <row r="258" spans="3:7" x14ac:dyDescent="0.25">
      <c r="C258" s="151">
        <v>61100010</v>
      </c>
      <c r="D258" s="134" t="s">
        <v>604</v>
      </c>
      <c r="E258" s="134" t="s">
        <v>2418</v>
      </c>
      <c r="F258" s="138" t="s">
        <v>987</v>
      </c>
      <c r="G258" s="152" t="s">
        <v>2251</v>
      </c>
    </row>
    <row r="259" spans="3:7" x14ac:dyDescent="0.25">
      <c r="C259" s="151">
        <v>61200010</v>
      </c>
      <c r="D259" s="134" t="s">
        <v>605</v>
      </c>
      <c r="E259" s="134" t="s">
        <v>2486</v>
      </c>
      <c r="F259" s="138" t="s">
        <v>992</v>
      </c>
      <c r="G259" s="152" t="s">
        <v>2253</v>
      </c>
    </row>
    <row r="260" spans="3:7" x14ac:dyDescent="0.25">
      <c r="C260" s="151">
        <v>61200020</v>
      </c>
      <c r="D260" s="134" t="s">
        <v>606</v>
      </c>
      <c r="E260" s="134" t="s">
        <v>2487</v>
      </c>
      <c r="F260" s="138" t="s">
        <v>992</v>
      </c>
      <c r="G260" s="152" t="s">
        <v>2253</v>
      </c>
    </row>
    <row r="261" spans="3:7" x14ac:dyDescent="0.25">
      <c r="C261" s="151">
        <v>61200030</v>
      </c>
      <c r="D261" s="134" t="s">
        <v>607</v>
      </c>
      <c r="E261" s="134" t="s">
        <v>2488</v>
      </c>
      <c r="F261" s="138" t="s">
        <v>992</v>
      </c>
      <c r="G261" s="152" t="s">
        <v>2253</v>
      </c>
    </row>
    <row r="262" spans="3:7" x14ac:dyDescent="0.25">
      <c r="C262" s="151">
        <v>61200040</v>
      </c>
      <c r="D262" s="134" t="s">
        <v>608</v>
      </c>
      <c r="E262" s="134" t="s">
        <v>2489</v>
      </c>
      <c r="F262" s="138" t="s">
        <v>992</v>
      </c>
      <c r="G262" s="152" t="s">
        <v>2253</v>
      </c>
    </row>
    <row r="263" spans="3:7" x14ac:dyDescent="0.25">
      <c r="C263" s="151">
        <v>61200050</v>
      </c>
      <c r="D263" s="134" t="s">
        <v>609</v>
      </c>
      <c r="E263" s="134" t="s">
        <v>2490</v>
      </c>
      <c r="F263" s="138" t="s">
        <v>992</v>
      </c>
      <c r="G263" s="152" t="s">
        <v>2253</v>
      </c>
    </row>
    <row r="264" spans="3:7" x14ac:dyDescent="0.25">
      <c r="C264" s="151">
        <v>61200060</v>
      </c>
      <c r="D264" s="134" t="s">
        <v>610</v>
      </c>
      <c r="E264" s="134" t="s">
        <v>2491</v>
      </c>
      <c r="F264" s="138" t="s">
        <v>992</v>
      </c>
      <c r="G264" s="152" t="s">
        <v>2253</v>
      </c>
    </row>
    <row r="265" spans="3:7" x14ac:dyDescent="0.25">
      <c r="C265" s="151">
        <v>61200070</v>
      </c>
      <c r="D265" s="134" t="s">
        <v>611</v>
      </c>
      <c r="E265" s="134" t="s">
        <v>2492</v>
      </c>
      <c r="F265" s="138" t="s">
        <v>992</v>
      </c>
      <c r="G265" s="152" t="s">
        <v>2253</v>
      </c>
    </row>
    <row r="266" spans="3:7" x14ac:dyDescent="0.25">
      <c r="C266" s="151">
        <v>61200080</v>
      </c>
      <c r="D266" s="134" t="s">
        <v>612</v>
      </c>
      <c r="E266" s="134" t="s">
        <v>2493</v>
      </c>
      <c r="F266" s="138" t="s">
        <v>992</v>
      </c>
      <c r="G266" s="152" t="s">
        <v>2253</v>
      </c>
    </row>
    <row r="267" spans="3:7" x14ac:dyDescent="0.25">
      <c r="C267" s="151">
        <v>61200090</v>
      </c>
      <c r="D267" s="134" t="s">
        <v>613</v>
      </c>
      <c r="E267" s="134" t="s">
        <v>2494</v>
      </c>
      <c r="F267" s="138" t="s">
        <v>992</v>
      </c>
      <c r="G267" s="152" t="s">
        <v>2253</v>
      </c>
    </row>
    <row r="268" spans="3:7" x14ac:dyDescent="0.25">
      <c r="C268" s="151">
        <v>61300010</v>
      </c>
      <c r="D268" s="134" t="s">
        <v>614</v>
      </c>
      <c r="E268" s="134" t="s">
        <v>2495</v>
      </c>
      <c r="F268" s="138" t="s">
        <v>997</v>
      </c>
      <c r="G268" s="152" t="s">
        <v>2253</v>
      </c>
    </row>
    <row r="269" spans="3:7" x14ac:dyDescent="0.25">
      <c r="C269" s="151">
        <v>61300020</v>
      </c>
      <c r="D269" s="134" t="s">
        <v>615</v>
      </c>
      <c r="E269" s="134" t="s">
        <v>2496</v>
      </c>
      <c r="F269" s="138" t="s">
        <v>997</v>
      </c>
      <c r="G269" s="152" t="s">
        <v>2253</v>
      </c>
    </row>
    <row r="270" spans="3:7" x14ac:dyDescent="0.25">
      <c r="C270" s="151">
        <v>61300030</v>
      </c>
      <c r="D270" s="134" t="s">
        <v>616</v>
      </c>
      <c r="E270" s="134" t="s">
        <v>2497</v>
      </c>
      <c r="F270" s="138" t="s">
        <v>997</v>
      </c>
      <c r="G270" s="152" t="s">
        <v>2253</v>
      </c>
    </row>
    <row r="271" spans="3:7" x14ac:dyDescent="0.25">
      <c r="C271" s="151">
        <v>61300040</v>
      </c>
      <c r="D271" s="134" t="s">
        <v>617</v>
      </c>
      <c r="E271" s="134" t="s">
        <v>2498</v>
      </c>
      <c r="F271" s="138" t="s">
        <v>997</v>
      </c>
      <c r="G271" s="152" t="s">
        <v>2253</v>
      </c>
    </row>
    <row r="272" spans="3:7" x14ac:dyDescent="0.25">
      <c r="C272" s="151">
        <v>61300050</v>
      </c>
      <c r="D272" s="134" t="s">
        <v>618</v>
      </c>
      <c r="E272" s="134" t="s">
        <v>2499</v>
      </c>
      <c r="F272" s="138" t="s">
        <v>997</v>
      </c>
      <c r="G272" s="152" t="s">
        <v>2253</v>
      </c>
    </row>
    <row r="273" spans="3:7" x14ac:dyDescent="0.25">
      <c r="C273" s="151">
        <v>61300060</v>
      </c>
      <c r="D273" s="134" t="s">
        <v>619</v>
      </c>
      <c r="E273" s="134" t="s">
        <v>2500</v>
      </c>
      <c r="F273" s="138" t="s">
        <v>997</v>
      </c>
      <c r="G273" s="152" t="s">
        <v>2253</v>
      </c>
    </row>
    <row r="274" spans="3:7" x14ac:dyDescent="0.25">
      <c r="C274" s="151">
        <v>61300070</v>
      </c>
      <c r="D274" s="134" t="s">
        <v>620</v>
      </c>
      <c r="E274" s="134" t="s">
        <v>2501</v>
      </c>
      <c r="F274" s="138" t="s">
        <v>997</v>
      </c>
      <c r="G274" s="152" t="s">
        <v>2253</v>
      </c>
    </row>
    <row r="275" spans="3:7" x14ac:dyDescent="0.25">
      <c r="C275" s="151">
        <v>61300080</v>
      </c>
      <c r="D275" s="134" t="s">
        <v>621</v>
      </c>
      <c r="E275" s="134" t="s">
        <v>2502</v>
      </c>
      <c r="F275" s="138" t="s">
        <v>997</v>
      </c>
      <c r="G275" s="152" t="s">
        <v>2253</v>
      </c>
    </row>
    <row r="276" spans="3:7" ht="30" x14ac:dyDescent="0.25">
      <c r="C276" s="151">
        <v>61300090</v>
      </c>
      <c r="D276" s="134" t="s">
        <v>622</v>
      </c>
      <c r="E276" s="134" t="s">
        <v>2503</v>
      </c>
      <c r="F276" s="138" t="s">
        <v>997</v>
      </c>
      <c r="G276" s="152" t="s">
        <v>2253</v>
      </c>
    </row>
    <row r="277" spans="3:7" x14ac:dyDescent="0.25">
      <c r="C277" s="151">
        <v>61400010</v>
      </c>
      <c r="D277" s="134" t="s">
        <v>137</v>
      </c>
      <c r="E277" s="134" t="s">
        <v>2504</v>
      </c>
      <c r="F277" s="138" t="s">
        <v>1002</v>
      </c>
      <c r="G277" s="152" t="s">
        <v>2272</v>
      </c>
    </row>
    <row r="278" spans="3:7" x14ac:dyDescent="0.25">
      <c r="C278" s="151">
        <v>61400020</v>
      </c>
      <c r="D278" s="134" t="s">
        <v>623</v>
      </c>
      <c r="E278" s="134" t="s">
        <v>2505</v>
      </c>
      <c r="F278" s="138" t="s">
        <v>1002</v>
      </c>
      <c r="G278" s="152" t="s">
        <v>2272</v>
      </c>
    </row>
    <row r="279" spans="3:7" x14ac:dyDescent="0.25">
      <c r="C279" s="151">
        <v>61400030</v>
      </c>
      <c r="D279" s="134" t="s">
        <v>624</v>
      </c>
      <c r="E279" s="134" t="s">
        <v>2506</v>
      </c>
      <c r="F279" s="138" t="s">
        <v>1002</v>
      </c>
      <c r="G279" s="152" t="s">
        <v>2272</v>
      </c>
    </row>
    <row r="280" spans="3:7" x14ac:dyDescent="0.25">
      <c r="C280" s="151">
        <v>61500010</v>
      </c>
      <c r="D280" s="134" t="s">
        <v>143</v>
      </c>
      <c r="E280" s="134" t="s">
        <v>2424</v>
      </c>
      <c r="F280" s="138" t="s">
        <v>1007</v>
      </c>
      <c r="G280" s="152" t="s">
        <v>2154</v>
      </c>
    </row>
    <row r="281" spans="3:7" x14ac:dyDescent="0.25">
      <c r="C281" s="151">
        <v>61500020</v>
      </c>
      <c r="D281" s="134" t="s">
        <v>145</v>
      </c>
      <c r="E281" s="134" t="s">
        <v>2424</v>
      </c>
      <c r="F281" s="138" t="s">
        <v>1007</v>
      </c>
      <c r="G281" s="152" t="s">
        <v>52</v>
      </c>
    </row>
    <row r="282" spans="3:7" ht="30" x14ac:dyDescent="0.25">
      <c r="C282" s="151">
        <v>61600010</v>
      </c>
      <c r="D282" s="134" t="s">
        <v>2275</v>
      </c>
      <c r="E282" s="134" t="s">
        <v>2507</v>
      </c>
      <c r="F282" s="138" t="s">
        <v>1012</v>
      </c>
      <c r="G282" s="152" t="s">
        <v>108</v>
      </c>
    </row>
    <row r="283" spans="3:7" x14ac:dyDescent="0.25">
      <c r="C283" s="151">
        <v>61600030</v>
      </c>
      <c r="D283" s="134" t="s">
        <v>152</v>
      </c>
      <c r="E283" s="134" t="s">
        <v>2508</v>
      </c>
      <c r="F283" s="138" t="s">
        <v>1012</v>
      </c>
      <c r="G283" s="152" t="s">
        <v>108</v>
      </c>
    </row>
    <row r="284" spans="3:7" ht="45" x14ac:dyDescent="0.25">
      <c r="C284" s="151">
        <v>61600040</v>
      </c>
      <c r="D284" s="134" t="s">
        <v>153</v>
      </c>
      <c r="E284" s="134" t="s">
        <v>2509</v>
      </c>
      <c r="F284" s="138" t="s">
        <v>1012</v>
      </c>
      <c r="G284" s="152" t="s">
        <v>178</v>
      </c>
    </row>
    <row r="285" spans="3:7" ht="31.5" customHeight="1" x14ac:dyDescent="0.25">
      <c r="C285" s="151">
        <v>61600050</v>
      </c>
      <c r="D285" s="134" t="s">
        <v>2279</v>
      </c>
      <c r="E285" s="134" t="s">
        <v>2510</v>
      </c>
      <c r="F285" s="138" t="s">
        <v>1012</v>
      </c>
      <c r="G285" s="152" t="s">
        <v>178</v>
      </c>
    </row>
    <row r="286" spans="3:7" ht="30" x14ac:dyDescent="0.25">
      <c r="C286" s="151">
        <v>61600060</v>
      </c>
      <c r="D286" s="134" t="s">
        <v>2281</v>
      </c>
      <c r="E286" s="134" t="s">
        <v>2511</v>
      </c>
      <c r="F286" s="138" t="s">
        <v>1012</v>
      </c>
      <c r="G286" s="152" t="s">
        <v>52</v>
      </c>
    </row>
    <row r="287" spans="3:7" ht="30" x14ac:dyDescent="0.25">
      <c r="C287" s="151">
        <v>61600070</v>
      </c>
      <c r="D287" s="134" t="s">
        <v>154</v>
      </c>
      <c r="E287" s="134" t="s">
        <v>2694</v>
      </c>
      <c r="F287" s="138" t="s">
        <v>1012</v>
      </c>
      <c r="G287" s="152" t="s">
        <v>2154</v>
      </c>
    </row>
    <row r="288" spans="3:7" x14ac:dyDescent="0.25">
      <c r="C288" s="151">
        <v>61700010</v>
      </c>
      <c r="D288" s="134" t="s">
        <v>155</v>
      </c>
      <c r="E288" s="134" t="s">
        <v>2431</v>
      </c>
      <c r="F288" s="138" t="s">
        <v>1017</v>
      </c>
      <c r="G288" s="152" t="s">
        <v>2283</v>
      </c>
    </row>
    <row r="289" spans="3:7" x14ac:dyDescent="0.25">
      <c r="C289" s="151">
        <v>61700030</v>
      </c>
      <c r="D289" s="134" t="s">
        <v>157</v>
      </c>
      <c r="E289" s="134" t="s">
        <v>2432</v>
      </c>
      <c r="F289" s="138" t="s">
        <v>1017</v>
      </c>
      <c r="G289" s="152" t="s">
        <v>108</v>
      </c>
    </row>
    <row r="290" spans="3:7" x14ac:dyDescent="0.25">
      <c r="C290" s="151">
        <v>61700040</v>
      </c>
      <c r="D290" s="134" t="s">
        <v>159</v>
      </c>
      <c r="E290" s="134" t="s">
        <v>2433</v>
      </c>
      <c r="F290" s="138" t="s">
        <v>1017</v>
      </c>
      <c r="G290" s="152" t="s">
        <v>108</v>
      </c>
    </row>
    <row r="291" spans="3:7" x14ac:dyDescent="0.25">
      <c r="C291" s="151">
        <v>61700050</v>
      </c>
      <c r="D291" s="134" t="s">
        <v>161</v>
      </c>
      <c r="E291" s="134" t="s">
        <v>2434</v>
      </c>
      <c r="F291" s="138" t="s">
        <v>1017</v>
      </c>
      <c r="G291" s="152" t="s">
        <v>108</v>
      </c>
    </row>
    <row r="292" spans="3:7" x14ac:dyDescent="0.25">
      <c r="C292" s="151">
        <v>61700060</v>
      </c>
      <c r="D292" s="134" t="s">
        <v>2284</v>
      </c>
      <c r="E292" s="134" t="s">
        <v>2435</v>
      </c>
      <c r="F292" s="138" t="s">
        <v>1017</v>
      </c>
      <c r="G292" s="152" t="s">
        <v>108</v>
      </c>
    </row>
    <row r="293" spans="3:7" x14ac:dyDescent="0.25">
      <c r="C293" s="151">
        <v>61700070</v>
      </c>
      <c r="D293" s="134" t="s">
        <v>165</v>
      </c>
      <c r="E293" s="134" t="s">
        <v>2436</v>
      </c>
      <c r="F293" s="138" t="s">
        <v>1017</v>
      </c>
      <c r="G293" s="152" t="s">
        <v>2154</v>
      </c>
    </row>
    <row r="294" spans="3:7" x14ac:dyDescent="0.25">
      <c r="C294" s="151">
        <v>61800010</v>
      </c>
      <c r="D294" s="134" t="s">
        <v>167</v>
      </c>
      <c r="E294" s="134" t="s">
        <v>2437</v>
      </c>
      <c r="F294" s="138" t="s">
        <v>1201</v>
      </c>
      <c r="G294" s="152" t="s">
        <v>2154</v>
      </c>
    </row>
    <row r="295" spans="3:7" x14ac:dyDescent="0.25">
      <c r="C295" s="151">
        <v>61800020</v>
      </c>
      <c r="D295" s="151" t="s">
        <v>170</v>
      </c>
      <c r="E295" s="151" t="s">
        <v>2512</v>
      </c>
      <c r="F295" s="151" t="s">
        <v>1201</v>
      </c>
      <c r="G295" s="152" t="s">
        <v>2154</v>
      </c>
    </row>
    <row r="296" spans="3:7" x14ac:dyDescent="0.25">
      <c r="C296" s="151">
        <v>61800030</v>
      </c>
      <c r="D296" s="151" t="s">
        <v>172</v>
      </c>
      <c r="E296" s="151" t="s">
        <v>2439</v>
      </c>
      <c r="F296" s="151" t="s">
        <v>1201</v>
      </c>
      <c r="G296" s="152" t="s">
        <v>2154</v>
      </c>
    </row>
    <row r="297" spans="3:7" x14ac:dyDescent="0.25">
      <c r="C297" s="151">
        <v>61800090</v>
      </c>
      <c r="D297" s="151" t="s">
        <v>174</v>
      </c>
      <c r="E297" s="151" t="s">
        <v>2513</v>
      </c>
      <c r="F297" s="151" t="s">
        <v>1201</v>
      </c>
      <c r="G297" s="152" t="s">
        <v>2154</v>
      </c>
    </row>
    <row r="298" spans="3:7" x14ac:dyDescent="0.25">
      <c r="C298" s="151">
        <v>61900010</v>
      </c>
      <c r="D298" s="151" t="s">
        <v>176</v>
      </c>
      <c r="E298" s="151" t="s">
        <v>2514</v>
      </c>
      <c r="F298" s="151" t="s">
        <v>456</v>
      </c>
      <c r="G298" s="152" t="s">
        <v>2154</v>
      </c>
    </row>
    <row r="299" spans="3:7" x14ac:dyDescent="0.25">
      <c r="C299" s="151">
        <v>61900020</v>
      </c>
      <c r="D299" s="151" t="s">
        <v>179</v>
      </c>
      <c r="E299" s="151" t="s">
        <v>2515</v>
      </c>
      <c r="F299" s="151" t="s">
        <v>456</v>
      </c>
      <c r="G299" s="152" t="s">
        <v>2154</v>
      </c>
    </row>
    <row r="300" spans="3:7" x14ac:dyDescent="0.25">
      <c r="C300" s="151">
        <v>61900030</v>
      </c>
      <c r="D300" s="151" t="s">
        <v>182</v>
      </c>
      <c r="E300" s="151" t="s">
        <v>2516</v>
      </c>
      <c r="F300" s="151" t="s">
        <v>456</v>
      </c>
      <c r="G300" s="152" t="s">
        <v>2154</v>
      </c>
    </row>
    <row r="301" spans="3:7" x14ac:dyDescent="0.25">
      <c r="C301" s="151">
        <v>61900040</v>
      </c>
      <c r="D301" s="151" t="s">
        <v>184</v>
      </c>
      <c r="E301" s="151" t="s">
        <v>2517</v>
      </c>
      <c r="F301" s="151" t="s">
        <v>456</v>
      </c>
      <c r="G301" s="152" t="s">
        <v>2154</v>
      </c>
    </row>
    <row r="302" spans="3:7" x14ac:dyDescent="0.25">
      <c r="C302" s="151">
        <v>61900090</v>
      </c>
      <c r="D302" s="151" t="s">
        <v>186</v>
      </c>
      <c r="E302" s="151" t="s">
        <v>2518</v>
      </c>
      <c r="F302" s="151" t="s">
        <v>456</v>
      </c>
      <c r="G302" s="152" t="s">
        <v>2154</v>
      </c>
    </row>
    <row r="303" spans="3:7" x14ac:dyDescent="0.25">
      <c r="C303" s="151">
        <v>62000010</v>
      </c>
      <c r="D303" s="151" t="s">
        <v>188</v>
      </c>
      <c r="E303" s="151" t="s">
        <v>2519</v>
      </c>
      <c r="F303" s="151" t="s">
        <v>1031</v>
      </c>
      <c r="G303" s="151" t="s">
        <v>238</v>
      </c>
    </row>
    <row r="304" spans="3:7" x14ac:dyDescent="0.25">
      <c r="C304" s="151">
        <v>62000020</v>
      </c>
      <c r="D304" s="151" t="s">
        <v>191</v>
      </c>
      <c r="E304" s="151" t="s">
        <v>2520</v>
      </c>
      <c r="F304" s="151" t="s">
        <v>1031</v>
      </c>
      <c r="G304" s="151" t="s">
        <v>409</v>
      </c>
    </row>
    <row r="305" spans="3:7" x14ac:dyDescent="0.25">
      <c r="C305" s="151">
        <v>62000040</v>
      </c>
      <c r="D305" s="151" t="s">
        <v>194</v>
      </c>
      <c r="E305" s="151" t="s">
        <v>2521</v>
      </c>
      <c r="F305" s="151" t="s">
        <v>1031</v>
      </c>
      <c r="G305" s="152" t="s">
        <v>2154</v>
      </c>
    </row>
    <row r="306" spans="3:7" x14ac:dyDescent="0.25">
      <c r="C306" s="151">
        <v>62100010</v>
      </c>
      <c r="D306" s="151" t="s">
        <v>197</v>
      </c>
      <c r="E306" s="151" t="s">
        <v>2522</v>
      </c>
      <c r="F306" s="151" t="s">
        <v>1036</v>
      </c>
      <c r="G306" s="151" t="s">
        <v>178</v>
      </c>
    </row>
    <row r="307" spans="3:7" x14ac:dyDescent="0.25">
      <c r="C307" s="151">
        <v>62100020</v>
      </c>
      <c r="D307" s="151" t="s">
        <v>200</v>
      </c>
      <c r="E307" s="151" t="s">
        <v>2523</v>
      </c>
      <c r="F307" s="151" t="s">
        <v>1036</v>
      </c>
      <c r="G307" s="151" t="s">
        <v>178</v>
      </c>
    </row>
    <row r="308" spans="3:7" x14ac:dyDescent="0.25">
      <c r="C308" s="151">
        <v>62100030</v>
      </c>
      <c r="D308" s="151" t="s">
        <v>202</v>
      </c>
      <c r="E308" s="151" t="s">
        <v>2524</v>
      </c>
      <c r="F308" s="151" t="s">
        <v>1036</v>
      </c>
      <c r="G308" s="151" t="s">
        <v>178</v>
      </c>
    </row>
    <row r="309" spans="3:7" x14ac:dyDescent="0.25">
      <c r="C309" s="151">
        <v>62100040</v>
      </c>
      <c r="D309" s="151" t="s">
        <v>204</v>
      </c>
      <c r="E309" s="151" t="s">
        <v>2525</v>
      </c>
      <c r="F309" s="151" t="s">
        <v>1036</v>
      </c>
      <c r="G309" s="151" t="s">
        <v>178</v>
      </c>
    </row>
    <row r="310" spans="3:7" x14ac:dyDescent="0.25">
      <c r="C310" s="151">
        <v>62100050</v>
      </c>
      <c r="D310" s="151" t="s">
        <v>627</v>
      </c>
      <c r="E310" s="151" t="s">
        <v>2526</v>
      </c>
      <c r="F310" s="151" t="s">
        <v>1036</v>
      </c>
      <c r="G310" s="151" t="s">
        <v>178</v>
      </c>
    </row>
    <row r="311" spans="3:7" x14ac:dyDescent="0.25">
      <c r="C311" s="151">
        <v>62200010</v>
      </c>
      <c r="D311" s="151" t="s">
        <v>208</v>
      </c>
      <c r="E311" s="151" t="s">
        <v>2527</v>
      </c>
      <c r="F311" s="151" t="s">
        <v>1041</v>
      </c>
      <c r="G311" s="152" t="s">
        <v>2154</v>
      </c>
    </row>
    <row r="312" spans="3:7" ht="30" x14ac:dyDescent="0.25">
      <c r="C312" s="151">
        <v>62200020</v>
      </c>
      <c r="D312" s="151" t="s">
        <v>210</v>
      </c>
      <c r="E312" s="151" t="s">
        <v>2528</v>
      </c>
      <c r="F312" s="151" t="s">
        <v>1041</v>
      </c>
      <c r="G312" s="152" t="s">
        <v>2154</v>
      </c>
    </row>
    <row r="313" spans="3:7" x14ac:dyDescent="0.25">
      <c r="C313" s="151">
        <v>62300010</v>
      </c>
      <c r="D313" s="151" t="s">
        <v>212</v>
      </c>
      <c r="E313" s="151" t="s">
        <v>2529</v>
      </c>
      <c r="F313" s="151" t="s">
        <v>1046</v>
      </c>
      <c r="G313" s="152" t="s">
        <v>2154</v>
      </c>
    </row>
    <row r="314" spans="3:7" ht="30" x14ac:dyDescent="0.25">
      <c r="C314" s="151">
        <v>62300020</v>
      </c>
      <c r="D314" s="151" t="s">
        <v>214</v>
      </c>
      <c r="E314" s="151" t="s">
        <v>2530</v>
      </c>
      <c r="F314" s="151" t="s">
        <v>1046</v>
      </c>
      <c r="G314" s="152" t="s">
        <v>2154</v>
      </c>
    </row>
    <row r="315" spans="3:7" ht="30" x14ac:dyDescent="0.25">
      <c r="C315" s="151">
        <v>62400030</v>
      </c>
      <c r="D315" s="151" t="s">
        <v>216</v>
      </c>
      <c r="E315" s="151" t="s">
        <v>2531</v>
      </c>
      <c r="F315" s="151" t="s">
        <v>1051</v>
      </c>
      <c r="G315" s="152" t="s">
        <v>2154</v>
      </c>
    </row>
    <row r="316" spans="3:7" ht="30" x14ac:dyDescent="0.25">
      <c r="C316" s="151">
        <v>62400040</v>
      </c>
      <c r="D316" s="151" t="s">
        <v>218</v>
      </c>
      <c r="E316" s="151" t="s">
        <v>2532</v>
      </c>
      <c r="F316" s="151" t="s">
        <v>1051</v>
      </c>
      <c r="G316" s="152" t="s">
        <v>2154</v>
      </c>
    </row>
    <row r="317" spans="3:7" x14ac:dyDescent="0.25">
      <c r="C317" s="151">
        <v>62400060</v>
      </c>
      <c r="D317" s="151" t="s">
        <v>628</v>
      </c>
      <c r="E317" s="151" t="s">
        <v>2533</v>
      </c>
      <c r="F317" s="151" t="s">
        <v>1051</v>
      </c>
      <c r="G317" s="151" t="s">
        <v>238</v>
      </c>
    </row>
    <row r="318" spans="3:7" x14ac:dyDescent="0.25">
      <c r="C318" s="151">
        <v>62500010</v>
      </c>
      <c r="D318" s="151" t="s">
        <v>220</v>
      </c>
      <c r="E318" s="151" t="s">
        <v>2534</v>
      </c>
      <c r="F318" s="151" t="s">
        <v>220</v>
      </c>
      <c r="G318" s="151" t="s">
        <v>23</v>
      </c>
    </row>
    <row r="319" spans="3:7" ht="30" x14ac:dyDescent="0.25">
      <c r="C319" s="151">
        <v>62600010</v>
      </c>
      <c r="D319" s="151" t="s">
        <v>223</v>
      </c>
      <c r="E319" s="151" t="s">
        <v>2535</v>
      </c>
      <c r="F319" s="151" t="s">
        <v>1060</v>
      </c>
      <c r="G319" s="152" t="s">
        <v>2154</v>
      </c>
    </row>
    <row r="320" spans="3:7" x14ac:dyDescent="0.25">
      <c r="C320" s="151">
        <v>62600020</v>
      </c>
      <c r="D320" s="151" t="s">
        <v>225</v>
      </c>
      <c r="E320" s="151" t="s">
        <v>2536</v>
      </c>
      <c r="F320" s="151" t="s">
        <v>1060</v>
      </c>
      <c r="G320" s="152" t="s">
        <v>2154</v>
      </c>
    </row>
    <row r="321" spans="1:7" ht="30" x14ac:dyDescent="0.25">
      <c r="C321" s="151">
        <v>62600030</v>
      </c>
      <c r="D321" s="151" t="s">
        <v>228</v>
      </c>
      <c r="E321" s="151" t="s">
        <v>2537</v>
      </c>
      <c r="F321" s="151" t="s">
        <v>1060</v>
      </c>
      <c r="G321" s="152" t="s">
        <v>2154</v>
      </c>
    </row>
    <row r="322" spans="1:7" x14ac:dyDescent="0.25">
      <c r="C322" s="151">
        <v>62700010</v>
      </c>
      <c r="D322" s="151" t="s">
        <v>629</v>
      </c>
      <c r="E322" s="151" t="s">
        <v>2538</v>
      </c>
      <c r="F322" s="151" t="s">
        <v>629</v>
      </c>
      <c r="G322" s="151" t="s">
        <v>238</v>
      </c>
    </row>
    <row r="323" spans="1:7" x14ac:dyDescent="0.25">
      <c r="C323" s="151">
        <v>62800010</v>
      </c>
      <c r="D323" s="151" t="s">
        <v>630</v>
      </c>
      <c r="E323" s="151" t="s">
        <v>2539</v>
      </c>
      <c r="F323" s="151" t="s">
        <v>630</v>
      </c>
      <c r="G323" s="151" t="s">
        <v>240</v>
      </c>
    </row>
    <row r="324" spans="1:7" x14ac:dyDescent="0.25">
      <c r="C324" s="151">
        <v>62900010</v>
      </c>
      <c r="D324" s="151" t="s">
        <v>230</v>
      </c>
      <c r="E324" s="151" t="s">
        <v>1984</v>
      </c>
      <c r="F324" s="151" t="s">
        <v>1074</v>
      </c>
      <c r="G324" s="152" t="s">
        <v>2154</v>
      </c>
    </row>
    <row r="325" spans="1:7" x14ac:dyDescent="0.25">
      <c r="C325" s="151">
        <v>62900020</v>
      </c>
      <c r="D325" s="151" t="s">
        <v>232</v>
      </c>
      <c r="E325" s="151" t="s">
        <v>2540</v>
      </c>
      <c r="F325" s="151" t="s">
        <v>1074</v>
      </c>
      <c r="G325" s="152" t="s">
        <v>2154</v>
      </c>
    </row>
    <row r="326" spans="1:7" x14ac:dyDescent="0.25">
      <c r="C326" s="151">
        <v>63300010</v>
      </c>
      <c r="D326" s="151" t="s">
        <v>2298</v>
      </c>
      <c r="E326" s="151" t="s">
        <v>2541</v>
      </c>
      <c r="F326" s="151" t="s">
        <v>456</v>
      </c>
      <c r="G326" s="151"/>
    </row>
    <row r="327" spans="1:7" x14ac:dyDescent="0.25">
      <c r="C327" s="422">
        <v>63900010</v>
      </c>
      <c r="D327" s="143" t="s">
        <v>234</v>
      </c>
      <c r="E327" s="144" t="s">
        <v>2670</v>
      </c>
      <c r="F327" s="144" t="s">
        <v>1331</v>
      </c>
      <c r="G327" s="144" t="s">
        <v>2154</v>
      </c>
    </row>
    <row r="330" spans="1:7" s="413" customFormat="1" ht="15.75" x14ac:dyDescent="0.25">
      <c r="A330" s="428"/>
      <c r="B330" s="428"/>
      <c r="C330" s="414" t="s">
        <v>1847</v>
      </c>
      <c r="D330" s="404" t="s">
        <v>1514</v>
      </c>
    </row>
    <row r="331" spans="1:7" outlineLevel="1" x14ac:dyDescent="0.25"/>
    <row r="332" spans="1:7" outlineLevel="1" x14ac:dyDescent="0.25">
      <c r="C332" s="86" t="s">
        <v>2378</v>
      </c>
    </row>
    <row r="333" spans="1:7" outlineLevel="1" x14ac:dyDescent="0.25"/>
    <row r="334" spans="1:7" outlineLevel="1" x14ac:dyDescent="0.25">
      <c r="B334" s="120" t="s">
        <v>2137</v>
      </c>
      <c r="C334" s="120" t="s">
        <v>1983</v>
      </c>
    </row>
    <row r="335" spans="1:7" outlineLevel="1" x14ac:dyDescent="0.25">
      <c r="C335" s="86" t="s">
        <v>2379</v>
      </c>
    </row>
    <row r="336" spans="1:7" outlineLevel="1" x14ac:dyDescent="0.25"/>
    <row r="337" spans="2:5" outlineLevel="1" x14ac:dyDescent="0.25">
      <c r="B337" s="120" t="s">
        <v>2138</v>
      </c>
      <c r="C337" s="120" t="s">
        <v>2029</v>
      </c>
    </row>
    <row r="338" spans="2:5" outlineLevel="1" x14ac:dyDescent="0.25">
      <c r="C338" s="86" t="s">
        <v>2380</v>
      </c>
    </row>
    <row r="339" spans="2:5" outlineLevel="1" x14ac:dyDescent="0.25">
      <c r="C339" s="86" t="s">
        <v>2381</v>
      </c>
    </row>
    <row r="340" spans="2:5" outlineLevel="1" x14ac:dyDescent="0.25"/>
    <row r="341" spans="2:5" s="120" customFormat="1" outlineLevel="1" x14ac:dyDescent="0.25">
      <c r="B341" s="120" t="s">
        <v>2139</v>
      </c>
      <c r="C341" s="120" t="s">
        <v>2382</v>
      </c>
    </row>
    <row r="342" spans="2:5" outlineLevel="1" x14ac:dyDescent="0.25">
      <c r="C342" s="86" t="s">
        <v>2383</v>
      </c>
    </row>
    <row r="343" spans="2:5" outlineLevel="1" x14ac:dyDescent="0.25">
      <c r="C343" s="86" t="s">
        <v>2381</v>
      </c>
    </row>
    <row r="344" spans="2:5" outlineLevel="1" x14ac:dyDescent="0.25"/>
    <row r="345" spans="2:5" ht="105" outlineLevel="1" x14ac:dyDescent="0.25">
      <c r="C345" s="149" t="s">
        <v>1520</v>
      </c>
      <c r="D345" s="150" t="s">
        <v>2384</v>
      </c>
    </row>
    <row r="346" spans="2:5" ht="15.75" customHeight="1" outlineLevel="1" x14ac:dyDescent="0.25">
      <c r="C346" s="149" t="s">
        <v>643</v>
      </c>
      <c r="D346" s="150" t="s">
        <v>2385</v>
      </c>
    </row>
    <row r="347" spans="2:5" ht="30" outlineLevel="1" x14ac:dyDescent="0.25">
      <c r="C347" s="149" t="s">
        <v>48</v>
      </c>
      <c r="D347" s="150" t="s">
        <v>2695</v>
      </c>
      <c r="E347" s="416" t="s">
        <v>2657</v>
      </c>
    </row>
    <row r="348" spans="2:5" ht="45.75" customHeight="1" outlineLevel="1" x14ac:dyDescent="0.25">
      <c r="C348" s="149" t="s">
        <v>642</v>
      </c>
      <c r="D348" s="150" t="s">
        <v>2386</v>
      </c>
    </row>
    <row r="349" spans="2:5" ht="45" outlineLevel="1" x14ac:dyDescent="0.25">
      <c r="C349" s="149" t="s">
        <v>451</v>
      </c>
      <c r="D349" s="150" t="s">
        <v>2387</v>
      </c>
    </row>
  </sheetData>
  <sheetProtection formatRows="0"/>
  <hyperlinks>
    <hyperlink ref="D28" location="Cover!A1" display="Cover" xr:uid="{2340A801-A591-4374-A7BF-41F1D5C93850}"/>
    <hyperlink ref="D125" location="'Budget Opex Detail'!A1" display="Budget Opex Detail" xr:uid="{2E2527EA-B885-41C5-8E45-4F6B89D2A6DD}"/>
    <hyperlink ref="D330" location="'Activity Master Opex'!A1" display="Activity Master" xr:uid="{762FD76D-82C4-4FB8-8BCE-F1B6CDB9EA1B}"/>
    <hyperlink ref="D77" location="'Budget Capex Detail'!A1" display="Budget Capex Detail" xr:uid="{87A82258-73C4-4C93-9387-463955E3F7AF}"/>
    <hyperlink ref="C80" location="'Asset determination'!A1" display="'Asset determination" xr:uid="{714ED36A-FD66-4E28-A836-8719676EC472}"/>
    <hyperlink ref="E347" location="'Master Data'!A1" display="Master Data" xr:uid="{5442D8BD-6BD7-49AA-9099-2995309A9F98}"/>
  </hyperlinks>
  <pageMargins left="0.7" right="0.7" top="0.75" bottom="0.75" header="0.3" footer="0.3"/>
  <pageSetup paperSize="9" orientation="portrait" horizontalDpi="0" verticalDpi="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BF16D7-FBBE-4FF5-9545-68B858031F18}">
  <sheetPr>
    <tabColor rgb="FF339966"/>
  </sheetPr>
  <dimension ref="B1:D15"/>
  <sheetViews>
    <sheetView showGridLines="0" zoomScale="80" zoomScaleNormal="80" workbookViewId="0">
      <pane xSplit="8" topLeftCell="I1" activePane="topRight" state="frozen"/>
      <selection activeCell="E328" sqref="E328"/>
      <selection pane="topRight"/>
    </sheetView>
  </sheetViews>
  <sheetFormatPr defaultColWidth="9.140625" defaultRowHeight="15" outlineLevelRow="1" x14ac:dyDescent="0.25"/>
  <cols>
    <col min="1" max="1" width="5.28515625" style="167" customWidth="1"/>
    <col min="2" max="2" width="14.85546875" style="167" customWidth="1"/>
    <col min="3" max="3" width="10.7109375" style="167" bestFit="1" customWidth="1"/>
    <col min="4" max="16" width="9.140625" style="167"/>
    <col min="17" max="17" width="29.42578125" style="167" bestFit="1" customWidth="1"/>
    <col min="18" max="18" width="40.5703125" style="167" bestFit="1" customWidth="1"/>
    <col min="19" max="19" width="10.7109375" style="167" bestFit="1" customWidth="1"/>
    <col min="20" max="16384" width="9.140625" style="167"/>
  </cols>
  <sheetData>
    <row r="1" spans="2:4" outlineLevel="1" x14ac:dyDescent="0.25"/>
    <row r="2" spans="2:4" outlineLevel="1" x14ac:dyDescent="0.25">
      <c r="B2" s="179"/>
      <c r="C2" s="401"/>
    </row>
    <row r="3" spans="2:4" outlineLevel="1" x14ac:dyDescent="0.25"/>
    <row r="4" spans="2:4" outlineLevel="1" x14ac:dyDescent="0.25"/>
    <row r="5" spans="2:4" outlineLevel="1" x14ac:dyDescent="0.25"/>
    <row r="6" spans="2:4" outlineLevel="1" x14ac:dyDescent="0.25"/>
    <row r="7" spans="2:4" outlineLevel="1" x14ac:dyDescent="0.25"/>
    <row r="8" spans="2:4" outlineLevel="1" x14ac:dyDescent="0.25"/>
    <row r="9" spans="2:4" outlineLevel="1" x14ac:dyDescent="0.25"/>
    <row r="10" spans="2:4" outlineLevel="1" x14ac:dyDescent="0.25">
      <c r="C10" s="402"/>
    </row>
    <row r="15" spans="2:4" x14ac:dyDescent="0.25">
      <c r="D15" s="167" t="s">
        <v>2542</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5" tint="0.39997558519241921"/>
  </sheetPr>
  <dimension ref="A1:O65"/>
  <sheetViews>
    <sheetView showGridLines="0" tabSelected="1" zoomScale="80" zoomScaleNormal="80" workbookViewId="0">
      <selection activeCell="I9" sqref="I9"/>
    </sheetView>
  </sheetViews>
  <sheetFormatPr defaultColWidth="9.140625" defaultRowHeight="15" x14ac:dyDescent="0.25"/>
  <cols>
    <col min="1" max="1" width="4" style="167" customWidth="1"/>
    <col min="2" max="2" width="27" style="167" customWidth="1"/>
    <col min="3" max="3" width="2.7109375" style="167" customWidth="1"/>
    <col min="4" max="4" width="27.85546875" style="167" customWidth="1"/>
    <col min="5" max="5" width="7.85546875" style="167" customWidth="1"/>
    <col min="6" max="6" width="31.140625" style="167" customWidth="1"/>
    <col min="7" max="7" width="3.28515625" style="167" customWidth="1"/>
    <col min="8" max="8" width="4.140625" style="167" hidden="1" customWidth="1"/>
    <col min="9" max="9" width="9.140625" style="167"/>
    <col min="10" max="15" width="18.5703125" style="167" customWidth="1"/>
    <col min="16" max="16384" width="9.140625" style="167"/>
  </cols>
  <sheetData>
    <row r="1" spans="1:10" x14ac:dyDescent="0.25">
      <c r="A1" s="86"/>
      <c r="B1" s="86"/>
      <c r="C1" s="86"/>
      <c r="D1" s="86"/>
      <c r="E1" s="86"/>
      <c r="F1" s="86"/>
      <c r="G1" s="86"/>
      <c r="H1" s="86"/>
    </row>
    <row r="2" spans="1:10" ht="31.5" x14ac:dyDescent="0.5">
      <c r="A2" s="86"/>
      <c r="B2" s="86"/>
      <c r="C2" s="386" t="s">
        <v>244</v>
      </c>
      <c r="D2" s="120"/>
      <c r="E2" s="86"/>
      <c r="F2" s="86"/>
      <c r="G2" s="86"/>
      <c r="H2" s="86"/>
    </row>
    <row r="3" spans="1:10" x14ac:dyDescent="0.25">
      <c r="A3" s="86"/>
      <c r="B3" s="86"/>
      <c r="C3" s="86"/>
      <c r="D3" s="86"/>
      <c r="E3" s="86"/>
      <c r="F3" s="86"/>
      <c r="G3" s="86"/>
      <c r="H3" s="86"/>
    </row>
    <row r="4" spans="1:10" x14ac:dyDescent="0.25">
      <c r="A4" s="86"/>
      <c r="B4" s="86"/>
      <c r="C4" s="86"/>
      <c r="D4" s="86"/>
      <c r="E4" s="86"/>
      <c r="F4" s="86"/>
      <c r="G4" s="86"/>
      <c r="H4" s="86"/>
    </row>
    <row r="5" spans="1:10" x14ac:dyDescent="0.25">
      <c r="A5" s="86"/>
      <c r="B5" s="86"/>
      <c r="C5" s="86"/>
      <c r="D5" s="86"/>
      <c r="E5" s="86"/>
      <c r="F5" s="86"/>
      <c r="G5" s="86"/>
      <c r="H5" s="86"/>
    </row>
    <row r="6" spans="1:10" x14ac:dyDescent="0.25">
      <c r="A6" s="86"/>
      <c r="B6" s="120" t="s">
        <v>13</v>
      </c>
      <c r="C6" s="180" t="s">
        <v>245</v>
      </c>
      <c r="D6" s="181">
        <v>2026</v>
      </c>
      <c r="E6" s="86"/>
      <c r="F6" s="86"/>
      <c r="G6" s="86"/>
      <c r="H6" s="86"/>
    </row>
    <row r="7" spans="1:10" x14ac:dyDescent="0.25">
      <c r="A7" s="86"/>
      <c r="B7" s="120" t="s">
        <v>15</v>
      </c>
      <c r="C7" s="180" t="s">
        <v>245</v>
      </c>
      <c r="D7" s="181" t="s">
        <v>18</v>
      </c>
      <c r="E7" s="86"/>
      <c r="F7" s="86"/>
      <c r="G7" s="86"/>
      <c r="H7" s="86"/>
    </row>
    <row r="8" spans="1:10" x14ac:dyDescent="0.25">
      <c r="A8" s="86"/>
      <c r="B8" s="120" t="s">
        <v>236</v>
      </c>
      <c r="C8" s="180" t="s">
        <v>245</v>
      </c>
      <c r="D8" s="181" t="s">
        <v>23</v>
      </c>
      <c r="E8" s="86"/>
      <c r="F8" s="86"/>
      <c r="G8" s="86"/>
      <c r="H8" s="86"/>
    </row>
    <row r="9" spans="1:10" x14ac:dyDescent="0.25">
      <c r="A9" s="182"/>
      <c r="B9" s="120" t="s">
        <v>16</v>
      </c>
      <c r="C9" s="180" t="s">
        <v>245</v>
      </c>
      <c r="D9" s="181" t="s">
        <v>1875</v>
      </c>
      <c r="E9" s="86"/>
      <c r="F9" s="86"/>
      <c r="G9" s="86"/>
      <c r="H9" s="86"/>
    </row>
    <row r="10" spans="1:10" x14ac:dyDescent="0.25">
      <c r="A10" s="183"/>
      <c r="B10" s="183"/>
      <c r="C10" s="183"/>
      <c r="D10" s="183"/>
      <c r="E10" s="183"/>
      <c r="F10" s="183"/>
      <c r="G10" s="183"/>
      <c r="H10" s="183"/>
    </row>
    <row r="11" spans="1:10" x14ac:dyDescent="0.25">
      <c r="A11" s="183"/>
      <c r="B11" s="183"/>
      <c r="C11" s="183"/>
      <c r="D11" s="183"/>
      <c r="E11" s="183"/>
      <c r="F11" s="183"/>
      <c r="G11" s="183"/>
      <c r="H11" s="183"/>
    </row>
    <row r="12" spans="1:10" s="183" customFormat="1" ht="14.25" customHeight="1" x14ac:dyDescent="0.25">
      <c r="B12" s="184"/>
      <c r="C12" s="184"/>
      <c r="D12" s="184"/>
      <c r="E12" s="184"/>
      <c r="F12" s="184"/>
      <c r="G12" s="184"/>
      <c r="H12" s="184"/>
    </row>
    <row r="13" spans="1:10" s="183" customFormat="1" ht="14.25" customHeight="1" x14ac:dyDescent="0.25">
      <c r="B13" s="458" t="s">
        <v>1867</v>
      </c>
      <c r="C13" s="459"/>
      <c r="D13" s="459"/>
      <c r="E13" s="460"/>
      <c r="F13" s="184"/>
      <c r="G13" s="184"/>
      <c r="H13" s="184"/>
    </row>
    <row r="14" spans="1:10" s="183" customFormat="1" ht="14.25" customHeight="1" x14ac:dyDescent="0.25">
      <c r="B14" s="457" t="s">
        <v>2704</v>
      </c>
      <c r="C14" s="457"/>
      <c r="D14" s="461" t="s">
        <v>1973</v>
      </c>
      <c r="E14" s="462"/>
      <c r="F14" s="184"/>
      <c r="G14" s="184"/>
      <c r="H14" s="184"/>
      <c r="I14" s="184"/>
      <c r="J14" s="184"/>
    </row>
    <row r="15" spans="1:10" s="183" customFormat="1" ht="14.25" customHeight="1" x14ac:dyDescent="0.25">
      <c r="B15" s="457"/>
      <c r="C15" s="457"/>
      <c r="D15" s="463"/>
      <c r="E15" s="464"/>
      <c r="F15" s="184"/>
      <c r="G15" s="184"/>
      <c r="H15" s="184"/>
      <c r="I15" s="184"/>
      <c r="J15" s="184"/>
    </row>
    <row r="16" spans="1:10" s="183" customFormat="1" ht="14.25" customHeight="1" x14ac:dyDescent="0.25">
      <c r="B16" s="451"/>
      <c r="C16" s="452"/>
      <c r="D16" s="467"/>
      <c r="E16" s="468"/>
      <c r="F16" s="184"/>
      <c r="G16" s="184"/>
      <c r="H16" s="184"/>
      <c r="I16" s="184"/>
      <c r="J16" s="184"/>
    </row>
    <row r="17" spans="2:15" s="183" customFormat="1" ht="14.25" customHeight="1" x14ac:dyDescent="0.25">
      <c r="B17" s="453"/>
      <c r="C17" s="454"/>
      <c r="D17" s="467"/>
      <c r="E17" s="468"/>
      <c r="F17" s="184"/>
      <c r="G17" s="184"/>
      <c r="H17" s="184"/>
      <c r="I17" s="184"/>
      <c r="J17" s="184"/>
    </row>
    <row r="18" spans="2:15" s="183" customFormat="1" ht="14.25" customHeight="1" x14ac:dyDescent="0.25">
      <c r="B18" s="453"/>
      <c r="C18" s="454"/>
      <c r="D18" s="467"/>
      <c r="E18" s="468"/>
      <c r="F18" s="184"/>
      <c r="G18" s="184"/>
      <c r="H18" s="184"/>
      <c r="I18" s="184"/>
      <c r="J18" s="184"/>
    </row>
    <row r="19" spans="2:15" s="183" customFormat="1" ht="14.25" customHeight="1" x14ac:dyDescent="0.25">
      <c r="B19" s="455" t="s">
        <v>1962</v>
      </c>
      <c r="C19" s="456"/>
      <c r="D19" s="465" t="s">
        <v>1974</v>
      </c>
      <c r="E19" s="466"/>
      <c r="F19" s="184"/>
      <c r="G19" s="184"/>
      <c r="H19" s="184"/>
      <c r="I19" s="184"/>
      <c r="J19" s="184"/>
    </row>
    <row r="20" spans="2:15" s="183" customFormat="1" ht="14.25" customHeight="1" x14ac:dyDescent="0.25">
      <c r="E20" s="184"/>
      <c r="F20" s="184"/>
      <c r="G20" s="184"/>
      <c r="H20" s="184"/>
      <c r="I20" s="184"/>
      <c r="J20" s="184"/>
    </row>
    <row r="21" spans="2:15" s="183" customFormat="1" ht="14.25" customHeight="1" x14ac:dyDescent="0.25">
      <c r="G21" s="184"/>
      <c r="H21" s="184"/>
      <c r="I21" s="184"/>
      <c r="J21" s="184"/>
    </row>
    <row r="22" spans="2:15" s="183" customFormat="1" ht="14.25" customHeight="1" x14ac:dyDescent="0.25">
      <c r="H22" s="185"/>
      <c r="I22" s="186"/>
    </row>
    <row r="23" spans="2:15" s="183" customFormat="1" ht="15" customHeight="1" x14ac:dyDescent="0.25">
      <c r="H23" s="185"/>
      <c r="I23" s="186"/>
    </row>
    <row r="24" spans="2:15" s="183" customFormat="1" ht="15" customHeight="1" x14ac:dyDescent="0.25">
      <c r="B24" s="448" t="s">
        <v>1538</v>
      </c>
      <c r="C24" s="449"/>
      <c r="D24" s="449"/>
      <c r="E24" s="449"/>
      <c r="F24" s="449"/>
      <c r="G24" s="449"/>
      <c r="H24" s="449"/>
      <c r="I24" s="449"/>
      <c r="J24" s="449"/>
      <c r="K24" s="449"/>
      <c r="L24" s="450"/>
      <c r="M24" s="185"/>
      <c r="N24" s="185"/>
      <c r="O24" s="185"/>
    </row>
    <row r="25" spans="2:15" s="183" customFormat="1" ht="32.25" customHeight="1" x14ac:dyDescent="0.25">
      <c r="B25" s="445" t="s">
        <v>2044</v>
      </c>
      <c r="C25" s="446"/>
      <c r="D25" s="447" t="s">
        <v>2026</v>
      </c>
      <c r="E25" s="447"/>
      <c r="F25" s="447" t="s">
        <v>1970</v>
      </c>
      <c r="G25" s="447"/>
      <c r="H25" s="187"/>
      <c r="I25" s="436" t="s">
        <v>1971</v>
      </c>
      <c r="J25" s="437"/>
      <c r="K25" s="436" t="s">
        <v>1972</v>
      </c>
      <c r="L25" s="437"/>
      <c r="M25" s="185"/>
      <c r="N25" s="185"/>
      <c r="O25" s="185"/>
    </row>
    <row r="26" spans="2:15" s="183" customFormat="1" ht="15" customHeight="1" x14ac:dyDescent="0.25">
      <c r="B26" s="188"/>
      <c r="C26" s="189"/>
      <c r="D26" s="190"/>
      <c r="E26" s="191"/>
      <c r="F26" s="190"/>
      <c r="G26" s="191"/>
      <c r="H26" s="191"/>
      <c r="I26" s="189"/>
      <c r="J26" s="192"/>
      <c r="K26" s="189"/>
      <c r="L26" s="192"/>
      <c r="M26" s="185"/>
      <c r="N26" s="185"/>
      <c r="O26" s="186"/>
    </row>
    <row r="27" spans="2:15" s="183" customFormat="1" ht="15" customHeight="1" x14ac:dyDescent="0.25">
      <c r="B27" s="193"/>
      <c r="C27" s="184"/>
      <c r="D27" s="194"/>
      <c r="E27" s="195"/>
      <c r="F27" s="194"/>
      <c r="G27" s="195"/>
      <c r="H27" s="195"/>
      <c r="I27" s="184"/>
      <c r="J27" s="196"/>
      <c r="K27" s="184"/>
      <c r="L27" s="196"/>
      <c r="M27" s="185"/>
      <c r="N27" s="185"/>
      <c r="O27" s="186"/>
    </row>
    <row r="28" spans="2:15" s="183" customFormat="1" ht="15" customHeight="1" x14ac:dyDescent="0.25">
      <c r="B28" s="193"/>
      <c r="C28" s="184"/>
      <c r="D28" s="194"/>
      <c r="E28" s="195"/>
      <c r="F28" s="194"/>
      <c r="G28" s="195"/>
      <c r="H28" s="195"/>
      <c r="I28" s="184"/>
      <c r="J28" s="196"/>
      <c r="K28" s="184"/>
      <c r="L28" s="196"/>
      <c r="M28" s="185"/>
      <c r="N28" s="185"/>
      <c r="O28" s="186"/>
    </row>
    <row r="29" spans="2:15" s="183" customFormat="1" ht="15" customHeight="1" x14ac:dyDescent="0.25">
      <c r="B29" s="438" t="s">
        <v>1863</v>
      </c>
      <c r="C29" s="439"/>
      <c r="D29" s="440" t="s">
        <v>1864</v>
      </c>
      <c r="E29" s="441"/>
      <c r="F29" s="442" t="s">
        <v>1539</v>
      </c>
      <c r="G29" s="442"/>
      <c r="H29" s="197"/>
      <c r="I29" s="443" t="s">
        <v>1865</v>
      </c>
      <c r="J29" s="444"/>
      <c r="K29" s="443" t="s">
        <v>1866</v>
      </c>
      <c r="L29" s="444"/>
      <c r="M29" s="185"/>
      <c r="N29" s="185"/>
      <c r="O29" s="185"/>
    </row>
    <row r="30" spans="2:15" s="183" customFormat="1" ht="15" customHeight="1" x14ac:dyDescent="0.25"/>
    <row r="31" spans="2:15" s="198" customFormat="1" x14ac:dyDescent="0.25"/>
    <row r="32" spans="2:15" s="198" customFormat="1" x14ac:dyDescent="0.25"/>
    <row r="33" s="198" customFormat="1" x14ac:dyDescent="0.25"/>
    <row r="34" s="198" customFormat="1" x14ac:dyDescent="0.25"/>
    <row r="35" s="198" customFormat="1" x14ac:dyDescent="0.25"/>
    <row r="36" s="198" customFormat="1" x14ac:dyDescent="0.25"/>
    <row r="37" s="198" customFormat="1" x14ac:dyDescent="0.25"/>
    <row r="38" s="198" customFormat="1" x14ac:dyDescent="0.25"/>
    <row r="39" s="198" customFormat="1" x14ac:dyDescent="0.25"/>
    <row r="40" s="198" customFormat="1" x14ac:dyDescent="0.25"/>
    <row r="41" s="198" customFormat="1" x14ac:dyDescent="0.25"/>
    <row r="42" s="198" customFormat="1" x14ac:dyDescent="0.25"/>
    <row r="43" s="198" customFormat="1" x14ac:dyDescent="0.25"/>
    <row r="44" s="198" customFormat="1" x14ac:dyDescent="0.25"/>
    <row r="45" s="198" customFormat="1" x14ac:dyDescent="0.25"/>
    <row r="46" s="198" customFormat="1" x14ac:dyDescent="0.25"/>
    <row r="47" s="198" customFormat="1" x14ac:dyDescent="0.25"/>
    <row r="48" s="198" customFormat="1" x14ac:dyDescent="0.25"/>
    <row r="49" s="198" customFormat="1" x14ac:dyDescent="0.25"/>
    <row r="50" s="198" customFormat="1" x14ac:dyDescent="0.25"/>
    <row r="51" s="198" customFormat="1" x14ac:dyDescent="0.25"/>
    <row r="52" s="198" customFormat="1" x14ac:dyDescent="0.25"/>
    <row r="53" s="198" customFormat="1" x14ac:dyDescent="0.25"/>
    <row r="54" s="198" customFormat="1" x14ac:dyDescent="0.25"/>
    <row r="55" s="198" customFormat="1" x14ac:dyDescent="0.25"/>
    <row r="56" s="198" customFormat="1" x14ac:dyDescent="0.25"/>
    <row r="57" s="198" customFormat="1" x14ac:dyDescent="0.25"/>
    <row r="58" s="198" customFormat="1" x14ac:dyDescent="0.25"/>
    <row r="59" s="198" customFormat="1" x14ac:dyDescent="0.25"/>
    <row r="60" s="198" customFormat="1" x14ac:dyDescent="0.25"/>
    <row r="61" s="198" customFormat="1" x14ac:dyDescent="0.25"/>
    <row r="62" s="198" customFormat="1" x14ac:dyDescent="0.25"/>
    <row r="63" s="198" customFormat="1" x14ac:dyDescent="0.25"/>
    <row r="64" s="198" customFormat="1" x14ac:dyDescent="0.25"/>
    <row r="65" s="198" customFormat="1" x14ac:dyDescent="0.25"/>
  </sheetData>
  <mergeCells count="18">
    <mergeCell ref="B24:L24"/>
    <mergeCell ref="B16:C18"/>
    <mergeCell ref="B19:C19"/>
    <mergeCell ref="B14:C15"/>
    <mergeCell ref="B13:E13"/>
    <mergeCell ref="D14:E15"/>
    <mergeCell ref="D19:E19"/>
    <mergeCell ref="D16:E18"/>
    <mergeCell ref="K25:L25"/>
    <mergeCell ref="B29:C29"/>
    <mergeCell ref="D29:E29"/>
    <mergeCell ref="F29:G29"/>
    <mergeCell ref="K29:L29"/>
    <mergeCell ref="I25:J25"/>
    <mergeCell ref="I29:J29"/>
    <mergeCell ref="B25:C25"/>
    <mergeCell ref="D25:E25"/>
    <mergeCell ref="F25:G25"/>
  </mergeCells>
  <dataValidations count="3">
    <dataValidation showInputMessage="1" showErrorMessage="1" sqref="D7" xr:uid="{00000000-0002-0000-0100-000000000000}"/>
    <dataValidation type="whole" allowBlank="1" showInputMessage="1" showErrorMessage="1" sqref="D6" xr:uid="{00000000-0002-0000-0100-000001000000}">
      <formula1>2022</formula1>
      <formula2>2050</formula2>
    </dataValidation>
    <dataValidation showInputMessage="1" showErrorMessage="1" error="Check BU/HO" sqref="D9" xr:uid="{00000000-0002-0000-0100-000002000000}"/>
  </dataValidations>
  <pageMargins left="0.7" right="0.7" top="0.75" bottom="0.75" header="0.3" footer="0.3"/>
  <pageSetup orientation="portrait" horizontalDpi="0" verticalDpi="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F16E70F-5AF8-4B8D-BD7A-5FF3E2D26073}">
          <x14:formula1>
            <xm:f>'Master Data'!$B$7:$B$15</xm:f>
          </x14:formula1>
          <xm:sqref>D8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DA31A2-7F85-4DEF-8921-9D2AFA3650B5}">
  <sheetPr>
    <tabColor theme="5" tint="0.39997558519241921"/>
    <pageSetUpPr fitToPage="1"/>
  </sheetPr>
  <dimension ref="A1:BN56"/>
  <sheetViews>
    <sheetView showGridLines="0" zoomScale="80" zoomScaleNormal="80" workbookViewId="0">
      <pane xSplit="3" ySplit="3" topLeftCell="D4" activePane="bottomRight" state="frozen"/>
      <selection activeCell="C20" sqref="C20"/>
      <selection pane="topRight" activeCell="C20" sqref="C20"/>
      <selection pane="bottomLeft" activeCell="C20" sqref="C20"/>
      <selection pane="bottomRight" activeCell="BI3" sqref="BI3"/>
    </sheetView>
  </sheetViews>
  <sheetFormatPr defaultColWidth="13.7109375" defaultRowHeight="15" customHeight="1" outlineLevelCol="1" x14ac:dyDescent="0.25"/>
  <cols>
    <col min="1" max="1" width="15.42578125" style="329" customWidth="1"/>
    <col min="2" max="2" width="11.42578125" style="329" customWidth="1"/>
    <col min="3" max="3" width="29.140625" style="330" customWidth="1"/>
    <col min="4" max="4" width="13.42578125" style="330" customWidth="1"/>
    <col min="5" max="5" width="9.140625" style="330" customWidth="1"/>
    <col min="6" max="6" width="30.5703125" style="331" customWidth="1"/>
    <col min="7" max="7" width="15.5703125" style="330" customWidth="1"/>
    <col min="8" max="8" width="13.42578125" style="330" customWidth="1"/>
    <col min="9" max="9" width="13.5703125" style="330" customWidth="1"/>
    <col min="10" max="10" width="20.7109375" style="330" customWidth="1"/>
    <col min="11" max="11" width="12.85546875" style="363" customWidth="1"/>
    <col min="12" max="12" width="20.42578125" style="330" customWidth="1"/>
    <col min="13" max="14" width="42.85546875" style="332" customWidth="1"/>
    <col min="15" max="15" width="14.42578125" style="334" bestFit="1" customWidth="1" outlineLevel="1"/>
    <col min="16" max="16" width="14.85546875" style="334" bestFit="1" customWidth="1" outlineLevel="1"/>
    <col min="17" max="17" width="15" style="334" bestFit="1" customWidth="1" outlineLevel="1"/>
    <col min="18" max="18" width="14.5703125" style="334" bestFit="1" customWidth="1" outlineLevel="1"/>
    <col min="19" max="19" width="15.140625" style="334" bestFit="1" customWidth="1" outlineLevel="1"/>
    <col min="20" max="20" width="14.42578125" style="334" bestFit="1" customWidth="1" outlineLevel="1"/>
    <col min="21" max="21" width="13.85546875" style="334" bestFit="1" customWidth="1" outlineLevel="1"/>
    <col min="22" max="22" width="15" style="334" bestFit="1" customWidth="1" outlineLevel="1"/>
    <col min="23" max="24" width="14.85546875" style="334" bestFit="1" customWidth="1" outlineLevel="1"/>
    <col min="25" max="25" width="15" style="334" bestFit="1" customWidth="1" outlineLevel="1"/>
    <col min="26" max="26" width="15.140625" style="334" bestFit="1" customWidth="1" outlineLevel="1"/>
    <col min="27" max="27" width="15.85546875" style="334" bestFit="1" customWidth="1"/>
    <col min="28" max="28" width="3.7109375" style="334" customWidth="1"/>
    <col min="29" max="29" width="14.42578125" style="332" customWidth="1" outlineLevel="1"/>
    <col min="30" max="30" width="14.85546875" style="332" bestFit="1" customWidth="1" outlineLevel="1"/>
    <col min="31" max="31" width="15" style="332" bestFit="1" customWidth="1" outlineLevel="1"/>
    <col min="32" max="32" width="14.5703125" style="332" bestFit="1" customWidth="1" outlineLevel="1"/>
    <col min="33" max="33" width="15.140625" style="332" bestFit="1" customWidth="1" outlineLevel="1"/>
    <col min="34" max="34" width="14.42578125" style="332" bestFit="1" customWidth="1" outlineLevel="1"/>
    <col min="35" max="35" width="13.85546875" style="364" bestFit="1" customWidth="1" outlineLevel="1"/>
    <col min="36" max="36" width="15" style="364" bestFit="1" customWidth="1" outlineLevel="1"/>
    <col min="37" max="37" width="14.85546875" style="364" bestFit="1" customWidth="1" outlineLevel="1"/>
    <col min="38" max="38" width="9.140625" style="332" bestFit="1" customWidth="1" outlineLevel="1"/>
    <col min="39" max="39" width="9.28515625" style="332" bestFit="1" customWidth="1" outlineLevel="1"/>
    <col min="40" max="40" width="9.42578125" style="332" bestFit="1" customWidth="1" outlineLevel="1"/>
    <col min="41" max="41" width="10.140625" style="332" bestFit="1" customWidth="1"/>
    <col min="42" max="42" width="4.140625" style="332" customWidth="1"/>
    <col min="43" max="43" width="8.7109375" style="332" bestFit="1" customWidth="1" outlineLevel="1"/>
    <col min="44" max="44" width="9.140625" style="332" bestFit="1" customWidth="1" outlineLevel="1"/>
    <col min="45" max="45" width="9.28515625" style="332" bestFit="1" customWidth="1" outlineLevel="1"/>
    <col min="46" max="46" width="8.85546875" style="332" bestFit="1" customWidth="1" outlineLevel="1"/>
    <col min="47" max="47" width="9.42578125" style="332" bestFit="1" customWidth="1" outlineLevel="1"/>
    <col min="48" max="48" width="8.7109375" style="332" bestFit="1" customWidth="1" outlineLevel="1"/>
    <col min="49" max="49" width="8.140625" style="332" bestFit="1" customWidth="1" outlineLevel="1"/>
    <col min="50" max="50" width="9.28515625" style="332" bestFit="1" customWidth="1" outlineLevel="1"/>
    <col min="51" max="52" width="9.140625" style="332" bestFit="1" customWidth="1" outlineLevel="1"/>
    <col min="53" max="53" width="9.28515625" style="332" bestFit="1" customWidth="1" outlineLevel="1"/>
    <col min="54" max="54" width="9.42578125" style="332" bestFit="1" customWidth="1" outlineLevel="1"/>
    <col min="55" max="55" width="10.140625" style="332" bestFit="1" customWidth="1"/>
    <col min="56" max="56" width="7.85546875" style="332" bestFit="1" customWidth="1"/>
    <col min="57" max="57" width="7.7109375" style="332" bestFit="1" customWidth="1"/>
    <col min="58" max="58" width="21.5703125" style="332" bestFit="1" customWidth="1"/>
    <col min="59" max="59" width="19.5703125" style="332" bestFit="1" customWidth="1"/>
    <col min="60" max="60" width="16.85546875" style="332" bestFit="1" customWidth="1"/>
    <col min="61" max="61" width="10.85546875" style="332" customWidth="1"/>
    <col min="62" max="63" width="10.85546875" style="332" bestFit="1" customWidth="1"/>
    <col min="64" max="64" width="11.28515625" style="332" bestFit="1" customWidth="1"/>
    <col min="65" max="65" width="25.140625" style="332" bestFit="1" customWidth="1"/>
    <col min="66" max="66" width="9.140625" style="332" bestFit="1" customWidth="1"/>
    <col min="67" max="16384" width="13.7109375" style="332"/>
  </cols>
  <sheetData>
    <row r="1" spans="1:66" ht="15" customHeight="1" x14ac:dyDescent="0.25">
      <c r="K1" s="331"/>
      <c r="O1" s="333"/>
      <c r="AB1" s="335"/>
      <c r="AC1" s="336"/>
      <c r="AD1" s="336"/>
      <c r="AE1" s="334"/>
      <c r="AF1" s="334"/>
      <c r="AG1" s="334"/>
      <c r="AH1" s="334"/>
      <c r="AI1" s="334"/>
      <c r="AJ1" s="334"/>
      <c r="AK1" s="334"/>
      <c r="AL1" s="334"/>
      <c r="AM1" s="334"/>
      <c r="AN1" s="334"/>
      <c r="AO1" s="334"/>
      <c r="AP1" s="337"/>
      <c r="AQ1" s="336"/>
      <c r="AR1" s="336"/>
      <c r="AS1" s="334"/>
      <c r="AT1" s="334"/>
      <c r="AU1" s="334"/>
      <c r="AV1" s="334"/>
      <c r="AW1" s="334"/>
      <c r="AX1" s="334"/>
      <c r="AY1" s="334"/>
      <c r="AZ1" s="334"/>
      <c r="BA1" s="334"/>
      <c r="BB1" s="334"/>
      <c r="BC1" s="334"/>
      <c r="BD1" s="334"/>
      <c r="BE1" s="338"/>
      <c r="BK1" s="339"/>
      <c r="BL1" s="339"/>
      <c r="BM1" s="339"/>
    </row>
    <row r="2" spans="1:66" ht="15" customHeight="1" x14ac:dyDescent="0.25">
      <c r="A2" s="365"/>
      <c r="B2" s="366"/>
      <c r="C2" s="367"/>
      <c r="D2" s="368"/>
      <c r="E2" s="369"/>
      <c r="F2" s="370"/>
      <c r="G2" s="367"/>
      <c r="H2" s="367"/>
      <c r="I2" s="367"/>
      <c r="J2" s="367"/>
      <c r="K2" s="370"/>
      <c r="L2" s="367"/>
      <c r="M2" s="371"/>
      <c r="N2" s="371"/>
      <c r="O2" s="372" t="s">
        <v>2632</v>
      </c>
      <c r="P2" s="373"/>
      <c r="Q2" s="373"/>
      <c r="R2" s="373"/>
      <c r="S2" s="372"/>
      <c r="T2" s="373"/>
      <c r="U2" s="373"/>
      <c r="V2" s="373"/>
      <c r="W2" s="373"/>
      <c r="X2" s="373"/>
      <c r="Y2" s="373"/>
      <c r="Z2" s="373"/>
      <c r="AA2" s="373"/>
      <c r="AB2" s="374"/>
      <c r="AC2" s="372" t="s">
        <v>2633</v>
      </c>
      <c r="AD2" s="373"/>
      <c r="AE2" s="373"/>
      <c r="AF2" s="373"/>
      <c r="AG2" s="372"/>
      <c r="AH2" s="373"/>
      <c r="AI2" s="373"/>
      <c r="AJ2" s="373"/>
      <c r="AK2" s="373"/>
      <c r="AL2" s="373"/>
      <c r="AM2" s="373"/>
      <c r="AN2" s="373"/>
      <c r="AO2" s="373"/>
      <c r="AP2" s="375"/>
      <c r="AQ2" s="372" t="s">
        <v>2661</v>
      </c>
      <c r="AR2" s="373"/>
      <c r="AS2" s="373"/>
      <c r="AT2" s="373"/>
      <c r="AU2" s="372"/>
      <c r="AV2" s="373"/>
      <c r="AW2" s="373"/>
      <c r="AX2" s="373"/>
      <c r="AY2" s="373"/>
      <c r="AZ2" s="373"/>
      <c r="BA2" s="373"/>
      <c r="BB2" s="373"/>
      <c r="BC2" s="376"/>
      <c r="BD2" s="334"/>
      <c r="BE2" s="338"/>
      <c r="BG2" s="290" t="s">
        <v>2061</v>
      </c>
      <c r="BH2" s="340">
        <v>16500</v>
      </c>
      <c r="BK2" s="339"/>
      <c r="BL2" s="339"/>
      <c r="BM2" s="339"/>
    </row>
    <row r="3" spans="1:66" s="384" customFormat="1" ht="41.25" customHeight="1" x14ac:dyDescent="0.25">
      <c r="A3" s="377" t="s">
        <v>236</v>
      </c>
      <c r="B3" s="378" t="s">
        <v>15</v>
      </c>
      <c r="C3" s="378" t="s">
        <v>16</v>
      </c>
      <c r="D3" s="469" t="s">
        <v>48</v>
      </c>
      <c r="E3" s="469"/>
      <c r="F3" s="379" t="s">
        <v>439</v>
      </c>
      <c r="G3" s="378" t="s">
        <v>454</v>
      </c>
      <c r="H3" s="378" t="s">
        <v>1848</v>
      </c>
      <c r="I3" s="378" t="s">
        <v>1810</v>
      </c>
      <c r="J3" s="378" t="s">
        <v>2634</v>
      </c>
      <c r="K3" s="379" t="s">
        <v>1809</v>
      </c>
      <c r="L3" s="378" t="s">
        <v>2635</v>
      </c>
      <c r="M3" s="378" t="s">
        <v>1568</v>
      </c>
      <c r="N3" s="378" t="s">
        <v>1569</v>
      </c>
      <c r="O3" s="380" t="s">
        <v>2636</v>
      </c>
      <c r="P3" s="380" t="s">
        <v>2637</v>
      </c>
      <c r="Q3" s="380" t="s">
        <v>2638</v>
      </c>
      <c r="R3" s="380" t="s">
        <v>2639</v>
      </c>
      <c r="S3" s="380" t="s">
        <v>2640</v>
      </c>
      <c r="T3" s="380" t="s">
        <v>2641</v>
      </c>
      <c r="U3" s="380" t="s">
        <v>2642</v>
      </c>
      <c r="V3" s="380" t="s">
        <v>2643</v>
      </c>
      <c r="W3" s="380" t="s">
        <v>2644</v>
      </c>
      <c r="X3" s="380" t="s">
        <v>2645</v>
      </c>
      <c r="Y3" s="380" t="s">
        <v>2646</v>
      </c>
      <c r="Z3" s="380" t="s">
        <v>2647</v>
      </c>
      <c r="AA3" s="380" t="s">
        <v>2057</v>
      </c>
      <c r="AB3" s="381"/>
      <c r="AC3" s="380" t="s">
        <v>2636</v>
      </c>
      <c r="AD3" s="380" t="s">
        <v>2637</v>
      </c>
      <c r="AE3" s="380" t="s">
        <v>2638</v>
      </c>
      <c r="AF3" s="380" t="s">
        <v>2639</v>
      </c>
      <c r="AG3" s="380" t="s">
        <v>2640</v>
      </c>
      <c r="AH3" s="380" t="s">
        <v>2641</v>
      </c>
      <c r="AI3" s="380" t="s">
        <v>2642</v>
      </c>
      <c r="AJ3" s="380" t="s">
        <v>2643</v>
      </c>
      <c r="AK3" s="380" t="s">
        <v>2644</v>
      </c>
      <c r="AL3" s="380" t="s">
        <v>2645</v>
      </c>
      <c r="AM3" s="380" t="s">
        <v>2646</v>
      </c>
      <c r="AN3" s="380" t="s">
        <v>2647</v>
      </c>
      <c r="AO3" s="380" t="s">
        <v>2057</v>
      </c>
      <c r="AP3" s="382"/>
      <c r="AQ3" s="380" t="s">
        <v>2636</v>
      </c>
      <c r="AR3" s="380" t="s">
        <v>2637</v>
      </c>
      <c r="AS3" s="380" t="s">
        <v>2638</v>
      </c>
      <c r="AT3" s="380" t="s">
        <v>2639</v>
      </c>
      <c r="AU3" s="380" t="s">
        <v>2640</v>
      </c>
      <c r="AV3" s="380" t="s">
        <v>2641</v>
      </c>
      <c r="AW3" s="380" t="s">
        <v>2642</v>
      </c>
      <c r="AX3" s="380" t="s">
        <v>2643</v>
      </c>
      <c r="AY3" s="380" t="s">
        <v>2644</v>
      </c>
      <c r="AZ3" s="380" t="s">
        <v>2645</v>
      </c>
      <c r="BA3" s="380" t="s">
        <v>2646</v>
      </c>
      <c r="BB3" s="380" t="s">
        <v>2647</v>
      </c>
      <c r="BC3" s="380" t="s">
        <v>2057</v>
      </c>
      <c r="BD3" s="292" t="s">
        <v>1964</v>
      </c>
      <c r="BE3" s="328" t="s">
        <v>1570</v>
      </c>
      <c r="BF3" s="293" t="s">
        <v>1491</v>
      </c>
      <c r="BG3" s="293" t="s">
        <v>1870</v>
      </c>
      <c r="BH3" s="293" t="s">
        <v>1871</v>
      </c>
      <c r="BI3" s="293" t="s">
        <v>2059</v>
      </c>
      <c r="BJ3" s="328" t="s">
        <v>1857</v>
      </c>
      <c r="BK3" s="383" t="s">
        <v>1572</v>
      </c>
      <c r="BL3" s="383" t="s">
        <v>1573</v>
      </c>
      <c r="BM3" s="383" t="s">
        <v>2060</v>
      </c>
      <c r="BN3" s="383" t="s">
        <v>1981</v>
      </c>
    </row>
    <row r="4" spans="1:66" s="357" customFormat="1" x14ac:dyDescent="0.25">
      <c r="A4" s="341" t="str">
        <f>IF(D4="","",Cover!$D$8)</f>
        <v/>
      </c>
      <c r="B4" s="341" t="str">
        <f>IF(D4="","",Cover!$D$7)</f>
        <v/>
      </c>
      <c r="C4" s="297" t="str">
        <f>IF(F4="","",IFERROR(VLOOKUP(F4,'Master Data'!$E$59:$J$146,6,FALSE),0))</f>
        <v/>
      </c>
      <c r="D4" s="342" t="str">
        <f>IF(F4="","",IFERROR(VLOOKUP(F4,Reference!$D$48:$AT$196,43,FALSE),0))</f>
        <v/>
      </c>
      <c r="E4" s="297" t="str">
        <f>IF(D4="","",IFERROR(VLOOKUP(D4,'Master Data'!$D$59:$I$146,6,FALSE),0))</f>
        <v/>
      </c>
      <c r="F4" s="343"/>
      <c r="G4" s="344"/>
      <c r="H4" s="345">
        <f>IFERROR(VLOOKUP(G4,'Master Data'!$C$336:$I$353,7,FALSE),0)</f>
        <v>0</v>
      </c>
      <c r="I4" s="346">
        <f>IFERROR(VLOOKUP(H4,'Master Data'!$B$336:$D$351,3,FALSE),0)</f>
        <v>0</v>
      </c>
      <c r="J4" s="347">
        <f>IFERROR(VLOOKUP(H4,'Master Data'!$B$336:$H$353,7,FALSE),0)</f>
        <v>0</v>
      </c>
      <c r="K4" s="348"/>
      <c r="L4" s="349" t="str">
        <f>IFERROR(IF(I4="FIXED ASSET",J4&amp;E4&amp;K4,VLOOKUP(F4,'Master Data'!$E$59:$H$146,4,FALSE)&amp;"-"&amp;J4&amp;"-"&amp;K4),"-")</f>
        <v>-</v>
      </c>
      <c r="M4" s="343"/>
      <c r="N4" s="350"/>
      <c r="O4" s="306"/>
      <c r="P4" s="306"/>
      <c r="Q4" s="306"/>
      <c r="R4" s="306"/>
      <c r="S4" s="306"/>
      <c r="T4" s="306"/>
      <c r="U4" s="306"/>
      <c r="V4" s="306"/>
      <c r="W4" s="306"/>
      <c r="X4" s="306"/>
      <c r="Y4" s="306"/>
      <c r="Z4" s="306"/>
      <c r="AA4" s="351">
        <f>SUM(O4:Z4)</f>
        <v>0</v>
      </c>
      <c r="AB4" s="327"/>
      <c r="AC4" s="306"/>
      <c r="AD4" s="306"/>
      <c r="AE4" s="306"/>
      <c r="AF4" s="306"/>
      <c r="AG4" s="306"/>
      <c r="AH4" s="306"/>
      <c r="AI4" s="306"/>
      <c r="AJ4" s="306"/>
      <c r="AK4" s="306"/>
      <c r="AL4" s="306"/>
      <c r="AM4" s="306"/>
      <c r="AN4" s="306"/>
      <c r="AO4" s="307">
        <f t="shared" ref="AO4:AO12" si="0">SUM(AC4:AN4)</f>
        <v>0</v>
      </c>
      <c r="AP4" s="352"/>
      <c r="AQ4" s="306"/>
      <c r="AR4" s="306"/>
      <c r="AS4" s="306"/>
      <c r="AT4" s="306"/>
      <c r="AU4" s="306"/>
      <c r="AV4" s="306"/>
      <c r="AW4" s="306"/>
      <c r="AX4" s="306"/>
      <c r="AY4" s="306"/>
      <c r="AZ4" s="306"/>
      <c r="BA4" s="306"/>
      <c r="BB4" s="306"/>
      <c r="BC4" s="307">
        <f t="shared" ref="BC4:BC12" si="1">SUM(AQ4:BB4)</f>
        <v>0</v>
      </c>
      <c r="BD4" s="353">
        <f>+AA4-BI4</f>
        <v>0</v>
      </c>
      <c r="BE4" s="344"/>
      <c r="BF4" s="354"/>
      <c r="BG4" s="354"/>
      <c r="BH4" s="354"/>
      <c r="BI4" s="318">
        <f>IF(BG4="USD",BH4*$BH$2,IF(BG4="IDR",BH4,0))</f>
        <v>0</v>
      </c>
      <c r="BJ4" s="354"/>
      <c r="BK4" s="355" t="str">
        <f t="shared" ref="BK4:BK56" si="2">IF($I4="PROJECT","Please Fill Start Date","")</f>
        <v/>
      </c>
      <c r="BL4" s="355" t="str">
        <f>IF($I4="PROJECT","Please Fill Finish Date","")</f>
        <v/>
      </c>
      <c r="BM4" s="355" t="str">
        <f t="shared" ref="BM4:BM12" si="3">IF(AA4&gt;0,"Please Fill Remarks","")</f>
        <v/>
      </c>
      <c r="BN4" s="356"/>
    </row>
    <row r="5" spans="1:66" s="357" customFormat="1" x14ac:dyDescent="0.25">
      <c r="A5" s="341" t="str">
        <f>IF(D5="","",Cover!$D$8)</f>
        <v/>
      </c>
      <c r="B5" s="341" t="str">
        <f>IF(D5="","",Cover!$D$7)</f>
        <v/>
      </c>
      <c r="C5" s="297" t="str">
        <f>IF(F5="","",IFERROR(VLOOKUP(F5,'Master Data'!$E$59:$J$146,6,FALSE),0))</f>
        <v/>
      </c>
      <c r="D5" s="342" t="str">
        <f>IF(F5="","",IFERROR(VLOOKUP(F5,Reference!$D$48:$AT$196,43,FALSE),0))</f>
        <v/>
      </c>
      <c r="E5" s="297" t="str">
        <f>IF(D5="","",IFERROR(VLOOKUP(D5,'Master Data'!$D$59:$I$146,6,FALSE),0))</f>
        <v/>
      </c>
      <c r="F5" s="343"/>
      <c r="G5" s="344"/>
      <c r="H5" s="345">
        <f>IFERROR(VLOOKUP(G5,'Master Data'!$C$336:$I$353,7,FALSE),0)</f>
        <v>0</v>
      </c>
      <c r="I5" s="346">
        <f>IFERROR(VLOOKUP(H5,'Master Data'!$B$336:$D$351,3,FALSE),0)</f>
        <v>0</v>
      </c>
      <c r="J5" s="347">
        <f>IFERROR(VLOOKUP(H5,'Master Data'!$B$336:$H$353,7,FALSE),0)</f>
        <v>0</v>
      </c>
      <c r="K5" s="348"/>
      <c r="L5" s="349" t="str">
        <f>IFERROR(IF(I5="FIXED ASSET",J5&amp;E5&amp;K5,VLOOKUP(F5,'Master Data'!$E$59:$H$146,4,FALSE)&amp;"-"&amp;J5&amp;"-"&amp;K5),"-")</f>
        <v>-</v>
      </c>
      <c r="M5" s="343"/>
      <c r="N5" s="350"/>
      <c r="O5" s="306"/>
      <c r="P5" s="306"/>
      <c r="Q5" s="306"/>
      <c r="R5" s="306"/>
      <c r="S5" s="306"/>
      <c r="T5" s="306"/>
      <c r="U5" s="306"/>
      <c r="V5" s="306"/>
      <c r="W5" s="306"/>
      <c r="X5" s="306"/>
      <c r="Y5" s="306"/>
      <c r="Z5" s="306"/>
      <c r="AA5" s="351">
        <f t="shared" ref="AA5:AA25" si="4">SUM(O5:Z5)</f>
        <v>0</v>
      </c>
      <c r="AB5" s="327"/>
      <c r="AC5" s="306"/>
      <c r="AD5" s="306"/>
      <c r="AE5" s="306"/>
      <c r="AF5" s="306"/>
      <c r="AG5" s="306"/>
      <c r="AH5" s="306"/>
      <c r="AI5" s="306"/>
      <c r="AJ5" s="306"/>
      <c r="AK5" s="306"/>
      <c r="AL5" s="306"/>
      <c r="AM5" s="306"/>
      <c r="AN5" s="306"/>
      <c r="AO5" s="307">
        <f t="shared" si="0"/>
        <v>0</v>
      </c>
      <c r="AP5" s="352"/>
      <c r="AQ5" s="306"/>
      <c r="AR5" s="306"/>
      <c r="AS5" s="306"/>
      <c r="AT5" s="306"/>
      <c r="AU5" s="306"/>
      <c r="AV5" s="306"/>
      <c r="AW5" s="306"/>
      <c r="AX5" s="306"/>
      <c r="AY5" s="306"/>
      <c r="AZ5" s="306"/>
      <c r="BA5" s="306"/>
      <c r="BB5" s="306"/>
      <c r="BC5" s="307">
        <f t="shared" si="1"/>
        <v>0</v>
      </c>
      <c r="BD5" s="353">
        <f t="shared" ref="BD5:BD56" si="5">+AA5-BI5</f>
        <v>0</v>
      </c>
      <c r="BE5" s="344"/>
      <c r="BF5" s="354"/>
      <c r="BG5" s="354"/>
      <c r="BH5" s="354"/>
      <c r="BI5" s="318">
        <f t="shared" ref="BI5:BI56" si="6">IF(BG5="USD",BH5*$BH$2,IF(BG5="IDR",BH5,0))</f>
        <v>0</v>
      </c>
      <c r="BJ5" s="354"/>
      <c r="BK5" s="355" t="str">
        <f t="shared" si="2"/>
        <v/>
      </c>
      <c r="BL5" s="355" t="str">
        <f t="shared" ref="BL5:BL56" si="7">IF($I5="PROJECT","Please Fill Finish Date","")</f>
        <v/>
      </c>
      <c r="BM5" s="355" t="str">
        <f t="shared" si="3"/>
        <v/>
      </c>
      <c r="BN5" s="356"/>
    </row>
    <row r="6" spans="1:66" s="357" customFormat="1" ht="15" customHeight="1" x14ac:dyDescent="0.25">
      <c r="A6" s="341" t="str">
        <f>IF(D6="","",Cover!$D$8)</f>
        <v/>
      </c>
      <c r="B6" s="341" t="str">
        <f>IF(D6="","",Cover!$D$7)</f>
        <v/>
      </c>
      <c r="C6" s="297" t="str">
        <f>IF(F6="","",IFERROR(VLOOKUP(F6,'Master Data'!$E$59:$J$146,6,FALSE),0))</f>
        <v/>
      </c>
      <c r="D6" s="342" t="str">
        <f>IF(F6="","",IFERROR(VLOOKUP(F6,Reference!$D$48:$AT$196,43,FALSE),0))</f>
        <v/>
      </c>
      <c r="E6" s="297" t="str">
        <f>IF(D6="","",IFERROR(VLOOKUP(D6,'Master Data'!$D$59:$I$146,6,FALSE),0))</f>
        <v/>
      </c>
      <c r="F6" s="343"/>
      <c r="G6" s="344"/>
      <c r="H6" s="345">
        <f>IFERROR(VLOOKUP(G6,'Master Data'!$C$336:$I$353,7,FALSE),0)</f>
        <v>0</v>
      </c>
      <c r="I6" s="346">
        <f>IFERROR(VLOOKUP(H6,'Master Data'!$B$336:$D$351,3,FALSE),0)</f>
        <v>0</v>
      </c>
      <c r="J6" s="347">
        <f>IFERROR(VLOOKUP(H6,'Master Data'!$B$336:$H$353,7,FALSE),0)</f>
        <v>0</v>
      </c>
      <c r="K6" s="348"/>
      <c r="L6" s="349" t="str">
        <f>IFERROR(IF(I6="FIXED ASSET",J6&amp;E6&amp;K6,VLOOKUP(F6,'Master Data'!$E$59:$H$146,4,FALSE)&amp;"-"&amp;J6&amp;"-"&amp;K6),"-")</f>
        <v>-</v>
      </c>
      <c r="M6" s="343"/>
      <c r="N6" s="350"/>
      <c r="O6" s="306"/>
      <c r="P6" s="306"/>
      <c r="Q6" s="306"/>
      <c r="R6" s="306"/>
      <c r="S6" s="306"/>
      <c r="T6" s="306"/>
      <c r="U6" s="306"/>
      <c r="V6" s="306"/>
      <c r="W6" s="306"/>
      <c r="X6" s="306"/>
      <c r="Y6" s="306"/>
      <c r="Z6" s="306"/>
      <c r="AA6" s="351">
        <f t="shared" si="4"/>
        <v>0</v>
      </c>
      <c r="AB6" s="327"/>
      <c r="AC6" s="306"/>
      <c r="AD6" s="306"/>
      <c r="AE6" s="306"/>
      <c r="AF6" s="306"/>
      <c r="AG6" s="306"/>
      <c r="AH6" s="306"/>
      <c r="AI6" s="306"/>
      <c r="AJ6" s="306"/>
      <c r="AK6" s="306"/>
      <c r="AL6" s="306"/>
      <c r="AM6" s="306"/>
      <c r="AN6" s="306"/>
      <c r="AO6" s="307">
        <f t="shared" si="0"/>
        <v>0</v>
      </c>
      <c r="AP6" s="352"/>
      <c r="AQ6" s="306"/>
      <c r="AR6" s="306"/>
      <c r="AS6" s="306"/>
      <c r="AT6" s="306"/>
      <c r="AU6" s="306"/>
      <c r="AV6" s="306"/>
      <c r="AW6" s="306"/>
      <c r="AX6" s="306"/>
      <c r="AY6" s="306"/>
      <c r="AZ6" s="306"/>
      <c r="BA6" s="306"/>
      <c r="BB6" s="306"/>
      <c r="BC6" s="307">
        <f t="shared" si="1"/>
        <v>0</v>
      </c>
      <c r="BD6" s="353">
        <f t="shared" si="5"/>
        <v>0</v>
      </c>
      <c r="BE6" s="344"/>
      <c r="BF6" s="354"/>
      <c r="BG6" s="354"/>
      <c r="BH6" s="354"/>
      <c r="BI6" s="318">
        <f t="shared" si="6"/>
        <v>0</v>
      </c>
      <c r="BJ6" s="354"/>
      <c r="BK6" s="355" t="str">
        <f t="shared" si="2"/>
        <v/>
      </c>
      <c r="BL6" s="355" t="str">
        <f t="shared" si="7"/>
        <v/>
      </c>
      <c r="BM6" s="355" t="str">
        <f t="shared" si="3"/>
        <v/>
      </c>
      <c r="BN6" s="356"/>
    </row>
    <row r="7" spans="1:66" s="135" customFormat="1" ht="15" customHeight="1" x14ac:dyDescent="0.25">
      <c r="A7" s="341" t="str">
        <f>IF(D7="","",Cover!$D$8)</f>
        <v/>
      </c>
      <c r="B7" s="341" t="str">
        <f>IF(D7="","",Cover!$D$7)</f>
        <v/>
      </c>
      <c r="C7" s="297" t="str">
        <f>IF(F7="","",IFERROR(VLOOKUP(F7,'Master Data'!$E$59:$J$146,6,FALSE),0))</f>
        <v/>
      </c>
      <c r="D7" s="342" t="str">
        <f>IF(F7="","",IFERROR(VLOOKUP(F7,Reference!$D$48:$AT$196,43,FALSE),0))</f>
        <v/>
      </c>
      <c r="E7" s="297" t="str">
        <f>IF(D7="","",IFERROR(VLOOKUP(D7,'Master Data'!$D$59:$I$146,6,FALSE),0))</f>
        <v/>
      </c>
      <c r="F7" s="343"/>
      <c r="G7" s="344"/>
      <c r="H7" s="345">
        <f>IFERROR(VLOOKUP(G7,'Master Data'!$C$336:$I$353,7,FALSE),0)</f>
        <v>0</v>
      </c>
      <c r="I7" s="346">
        <f>IFERROR(VLOOKUP(H7,'Master Data'!$B$336:$D$351,3,FALSE),0)</f>
        <v>0</v>
      </c>
      <c r="J7" s="347">
        <f>IFERROR(VLOOKUP(H7,'Master Data'!$B$336:$H$353,7,FALSE),0)</f>
        <v>0</v>
      </c>
      <c r="K7" s="348"/>
      <c r="L7" s="349" t="str">
        <f>IFERROR(IF(I7="FIXED ASSET",J7&amp;E7&amp;K7,VLOOKUP(F7,'Master Data'!$E$59:$H$146,4,FALSE)&amp;"-"&amp;J7&amp;"-"&amp;K7),"-")</f>
        <v>-</v>
      </c>
      <c r="M7" s="343"/>
      <c r="N7" s="350"/>
      <c r="O7" s="358"/>
      <c r="P7" s="358"/>
      <c r="Q7" s="358"/>
      <c r="R7" s="358"/>
      <c r="S7" s="358"/>
      <c r="T7" s="358"/>
      <c r="U7" s="358"/>
      <c r="V7" s="358"/>
      <c r="W7" s="358"/>
      <c r="X7" s="358"/>
      <c r="Y7" s="358"/>
      <c r="Z7" s="358"/>
      <c r="AA7" s="351">
        <f t="shared" si="4"/>
        <v>0</v>
      </c>
      <c r="AB7" s="327"/>
      <c r="AC7" s="306"/>
      <c r="AD7" s="306"/>
      <c r="AE7" s="306"/>
      <c r="AF7" s="306"/>
      <c r="AG7" s="306"/>
      <c r="AH7" s="306"/>
      <c r="AI7" s="306"/>
      <c r="AJ7" s="306"/>
      <c r="AK7" s="306"/>
      <c r="AL7" s="306"/>
      <c r="AM7" s="306"/>
      <c r="AN7" s="306"/>
      <c r="AO7" s="307">
        <f t="shared" si="0"/>
        <v>0</v>
      </c>
      <c r="AP7" s="352"/>
      <c r="AQ7" s="306"/>
      <c r="AR7" s="306"/>
      <c r="AS7" s="306"/>
      <c r="AT7" s="306"/>
      <c r="AU7" s="306"/>
      <c r="AV7" s="306"/>
      <c r="AW7" s="306"/>
      <c r="AX7" s="306"/>
      <c r="AY7" s="306"/>
      <c r="AZ7" s="306"/>
      <c r="BA7" s="306"/>
      <c r="BB7" s="306"/>
      <c r="BC7" s="307">
        <f t="shared" si="1"/>
        <v>0</v>
      </c>
      <c r="BD7" s="353">
        <f t="shared" si="5"/>
        <v>0</v>
      </c>
      <c r="BE7" s="344"/>
      <c r="BF7" s="354"/>
      <c r="BG7" s="354"/>
      <c r="BH7" s="354"/>
      <c r="BI7" s="318">
        <f t="shared" si="6"/>
        <v>0</v>
      </c>
      <c r="BJ7" s="354"/>
      <c r="BK7" s="355" t="str">
        <f t="shared" si="2"/>
        <v/>
      </c>
      <c r="BL7" s="355" t="str">
        <f t="shared" si="7"/>
        <v/>
      </c>
      <c r="BM7" s="355" t="str">
        <f t="shared" si="3"/>
        <v/>
      </c>
      <c r="BN7" s="356"/>
    </row>
    <row r="8" spans="1:66" s="135" customFormat="1" ht="15" customHeight="1" x14ac:dyDescent="0.25">
      <c r="A8" s="341" t="str">
        <f>IF(D8="","",Cover!$D$8)</f>
        <v/>
      </c>
      <c r="B8" s="341" t="str">
        <f>IF(D8="","",Cover!$D$7)</f>
        <v/>
      </c>
      <c r="C8" s="297" t="str">
        <f>IF(F8="","",IFERROR(VLOOKUP(F8,'Master Data'!$E$59:$J$146,6,FALSE),0))</f>
        <v/>
      </c>
      <c r="D8" s="342" t="str">
        <f>IF(F8="","",IFERROR(VLOOKUP(F8,Reference!$D$48:$AT$196,43,FALSE),0))</f>
        <v/>
      </c>
      <c r="E8" s="297" t="str">
        <f>IF(D8="","",IFERROR(VLOOKUP(D8,'Master Data'!$D$59:$I$146,6,FALSE),0))</f>
        <v/>
      </c>
      <c r="F8" s="343"/>
      <c r="G8" s="344"/>
      <c r="H8" s="345">
        <f>IFERROR(VLOOKUP(G8,'Master Data'!$C$336:$I$353,7,FALSE),0)</f>
        <v>0</v>
      </c>
      <c r="I8" s="346">
        <f>IFERROR(VLOOKUP(H8,'Master Data'!$B$336:$D$351,3,FALSE),0)</f>
        <v>0</v>
      </c>
      <c r="J8" s="347">
        <f>IFERROR(VLOOKUP(H8,'Master Data'!$B$336:$H$353,7,FALSE),0)</f>
        <v>0</v>
      </c>
      <c r="K8" s="348"/>
      <c r="L8" s="349" t="str">
        <f>IFERROR(IF(I8="FIXED ASSET",J8&amp;E8&amp;K8,VLOOKUP(F8,'Master Data'!$E$59:$H$146,4,FALSE)&amp;"-"&amp;J8&amp;"-"&amp;K8),"-")</f>
        <v>-</v>
      </c>
      <c r="M8" s="343"/>
      <c r="N8" s="350"/>
      <c r="O8" s="358"/>
      <c r="P8" s="358"/>
      <c r="Q8" s="358"/>
      <c r="R8" s="358"/>
      <c r="S8" s="358"/>
      <c r="T8" s="358"/>
      <c r="U8" s="358"/>
      <c r="V8" s="358"/>
      <c r="W8" s="358"/>
      <c r="X8" s="358"/>
      <c r="Y8" s="358"/>
      <c r="Z8" s="358"/>
      <c r="AA8" s="351">
        <f t="shared" si="4"/>
        <v>0</v>
      </c>
      <c r="AB8" s="327"/>
      <c r="AC8" s="306"/>
      <c r="AD8" s="306"/>
      <c r="AE8" s="306"/>
      <c r="AF8" s="306"/>
      <c r="AG8" s="306"/>
      <c r="AH8" s="306"/>
      <c r="AI8" s="306"/>
      <c r="AJ8" s="306"/>
      <c r="AK8" s="306"/>
      <c r="AL8" s="306"/>
      <c r="AM8" s="306"/>
      <c r="AN8" s="306"/>
      <c r="AO8" s="307">
        <f t="shared" si="0"/>
        <v>0</v>
      </c>
      <c r="AP8" s="352"/>
      <c r="AQ8" s="306"/>
      <c r="AR8" s="306"/>
      <c r="AS8" s="306"/>
      <c r="AT8" s="306"/>
      <c r="AU8" s="306"/>
      <c r="AV8" s="306"/>
      <c r="AW8" s="306"/>
      <c r="AX8" s="306"/>
      <c r="AY8" s="306"/>
      <c r="AZ8" s="306"/>
      <c r="BA8" s="306"/>
      <c r="BB8" s="306"/>
      <c r="BC8" s="307">
        <f t="shared" si="1"/>
        <v>0</v>
      </c>
      <c r="BD8" s="353">
        <f t="shared" si="5"/>
        <v>0</v>
      </c>
      <c r="BE8" s="344"/>
      <c r="BF8" s="354"/>
      <c r="BG8" s="354"/>
      <c r="BH8" s="354"/>
      <c r="BI8" s="318">
        <f t="shared" si="6"/>
        <v>0</v>
      </c>
      <c r="BJ8" s="354"/>
      <c r="BK8" s="355" t="str">
        <f t="shared" si="2"/>
        <v/>
      </c>
      <c r="BL8" s="355" t="str">
        <f t="shared" si="7"/>
        <v/>
      </c>
      <c r="BM8" s="355" t="str">
        <f t="shared" si="3"/>
        <v/>
      </c>
      <c r="BN8" s="356"/>
    </row>
    <row r="9" spans="1:66" s="135" customFormat="1" ht="15" customHeight="1" x14ac:dyDescent="0.25">
      <c r="A9" s="341" t="str">
        <f>IF(D9="","",Cover!$D$8)</f>
        <v/>
      </c>
      <c r="B9" s="341" t="str">
        <f>IF(D9="","",Cover!$D$7)</f>
        <v/>
      </c>
      <c r="C9" s="297" t="str">
        <f>IF(F9="","",IFERROR(VLOOKUP(F9,'Master Data'!$E$59:$J$146,6,FALSE),0))</f>
        <v/>
      </c>
      <c r="D9" s="342" t="str">
        <f>IF(F9="","",IFERROR(VLOOKUP(F9,Reference!$D$48:$AT$196,43,FALSE),0))</f>
        <v/>
      </c>
      <c r="E9" s="297" t="str">
        <f>IF(D9="","",IFERROR(VLOOKUP(D9,'Master Data'!$D$59:$I$146,6,FALSE),0))</f>
        <v/>
      </c>
      <c r="F9" s="343"/>
      <c r="G9" s="344"/>
      <c r="H9" s="345">
        <f>IFERROR(VLOOKUP(G9,'Master Data'!$C$336:$I$353,7,FALSE),0)</f>
        <v>0</v>
      </c>
      <c r="I9" s="346">
        <f>IFERROR(VLOOKUP(H9,'Master Data'!$B$336:$D$351,3,FALSE),0)</f>
        <v>0</v>
      </c>
      <c r="J9" s="347">
        <f>IFERROR(VLOOKUP(H9,'Master Data'!$B$336:$H$353,7,FALSE),0)</f>
        <v>0</v>
      </c>
      <c r="K9" s="348"/>
      <c r="L9" s="349" t="str">
        <f>IFERROR(IF(I9="FIXED ASSET",J9&amp;E9&amp;K9,VLOOKUP(F9,'Master Data'!$E$59:$H$146,4,FALSE)&amp;"-"&amp;J9&amp;"-"&amp;K9),"-")</f>
        <v>-</v>
      </c>
      <c r="M9" s="343"/>
      <c r="N9" s="350"/>
      <c r="O9" s="358"/>
      <c r="P9" s="358"/>
      <c r="Q9" s="358"/>
      <c r="R9" s="358"/>
      <c r="S9" s="358"/>
      <c r="T9" s="358"/>
      <c r="U9" s="358"/>
      <c r="V9" s="358"/>
      <c r="W9" s="358"/>
      <c r="X9" s="358"/>
      <c r="Y9" s="358"/>
      <c r="Z9" s="358"/>
      <c r="AA9" s="351">
        <f t="shared" si="4"/>
        <v>0</v>
      </c>
      <c r="AB9" s="327"/>
      <c r="AC9" s="306"/>
      <c r="AD9" s="306"/>
      <c r="AE9" s="306"/>
      <c r="AF9" s="306"/>
      <c r="AG9" s="306"/>
      <c r="AH9" s="306"/>
      <c r="AI9" s="306"/>
      <c r="AJ9" s="306"/>
      <c r="AK9" s="306"/>
      <c r="AL9" s="306"/>
      <c r="AM9" s="306"/>
      <c r="AN9" s="306"/>
      <c r="AO9" s="307">
        <f t="shared" si="0"/>
        <v>0</v>
      </c>
      <c r="AP9" s="352"/>
      <c r="AQ9" s="306"/>
      <c r="AR9" s="306"/>
      <c r="AS9" s="306"/>
      <c r="AT9" s="306"/>
      <c r="AU9" s="306"/>
      <c r="AV9" s="306"/>
      <c r="AW9" s="306"/>
      <c r="AX9" s="306"/>
      <c r="AY9" s="306"/>
      <c r="AZ9" s="306"/>
      <c r="BA9" s="306"/>
      <c r="BB9" s="306"/>
      <c r="BC9" s="307">
        <f t="shared" si="1"/>
        <v>0</v>
      </c>
      <c r="BD9" s="353">
        <f t="shared" si="5"/>
        <v>0</v>
      </c>
      <c r="BE9" s="344"/>
      <c r="BF9" s="354"/>
      <c r="BG9" s="354"/>
      <c r="BH9" s="354"/>
      <c r="BI9" s="318">
        <f t="shared" si="6"/>
        <v>0</v>
      </c>
      <c r="BJ9" s="354"/>
      <c r="BK9" s="355" t="str">
        <f t="shared" si="2"/>
        <v/>
      </c>
      <c r="BL9" s="355" t="str">
        <f t="shared" si="7"/>
        <v/>
      </c>
      <c r="BM9" s="355" t="str">
        <f t="shared" si="3"/>
        <v/>
      </c>
      <c r="BN9" s="356"/>
    </row>
    <row r="10" spans="1:66" s="135" customFormat="1" ht="15" customHeight="1" x14ac:dyDescent="0.25">
      <c r="A10" s="341" t="str">
        <f>IF(D10="","",Cover!$D$8)</f>
        <v/>
      </c>
      <c r="B10" s="341" t="str">
        <f>IF(D10="","",Cover!$D$7)</f>
        <v/>
      </c>
      <c r="C10" s="297" t="str">
        <f>IF(F10="","",IFERROR(VLOOKUP(F10,'Master Data'!$E$59:$J$146,6,FALSE),0))</f>
        <v/>
      </c>
      <c r="D10" s="342" t="str">
        <f>IF(F10="","",IFERROR(VLOOKUP(F10,Reference!$D$48:$AT$196,43,FALSE),0))</f>
        <v/>
      </c>
      <c r="E10" s="297" t="str">
        <f>IF(D10="","",IFERROR(VLOOKUP(D10,'Master Data'!$D$59:$I$146,6,FALSE),0))</f>
        <v/>
      </c>
      <c r="F10" s="343"/>
      <c r="G10" s="344"/>
      <c r="H10" s="345">
        <f>IFERROR(VLOOKUP(G10,'Master Data'!$C$336:$I$353,7,FALSE),0)</f>
        <v>0</v>
      </c>
      <c r="I10" s="346">
        <f>IFERROR(VLOOKUP(H10,'Master Data'!$B$336:$D$351,3,FALSE),0)</f>
        <v>0</v>
      </c>
      <c r="J10" s="347">
        <f>IFERROR(VLOOKUP(H10,'Master Data'!$B$336:$H$353,7,FALSE),0)</f>
        <v>0</v>
      </c>
      <c r="K10" s="348"/>
      <c r="L10" s="349" t="str">
        <f>IFERROR(IF(I10="FIXED ASSET",J10&amp;E10&amp;K10,VLOOKUP(F10,'Master Data'!$E$59:$H$146,4,FALSE)&amp;"-"&amp;J10&amp;"-"&amp;K10),"-")</f>
        <v>-</v>
      </c>
      <c r="M10" s="343"/>
      <c r="N10" s="350"/>
      <c r="O10" s="358"/>
      <c r="P10" s="358"/>
      <c r="Q10" s="358"/>
      <c r="R10" s="358"/>
      <c r="S10" s="358"/>
      <c r="T10" s="358"/>
      <c r="U10" s="358"/>
      <c r="V10" s="358"/>
      <c r="W10" s="358"/>
      <c r="X10" s="358"/>
      <c r="Y10" s="358"/>
      <c r="Z10" s="358"/>
      <c r="AA10" s="351">
        <f t="shared" si="4"/>
        <v>0</v>
      </c>
      <c r="AB10" s="327"/>
      <c r="AC10" s="306"/>
      <c r="AD10" s="306"/>
      <c r="AE10" s="306"/>
      <c r="AF10" s="306"/>
      <c r="AG10" s="306"/>
      <c r="AH10" s="306"/>
      <c r="AI10" s="306"/>
      <c r="AJ10" s="306"/>
      <c r="AK10" s="306"/>
      <c r="AL10" s="306"/>
      <c r="AM10" s="306"/>
      <c r="AN10" s="306"/>
      <c r="AO10" s="307">
        <f t="shared" si="0"/>
        <v>0</v>
      </c>
      <c r="AP10" s="352"/>
      <c r="AQ10" s="306"/>
      <c r="AR10" s="306"/>
      <c r="AS10" s="306"/>
      <c r="AT10" s="306"/>
      <c r="AU10" s="306"/>
      <c r="AV10" s="306"/>
      <c r="AW10" s="306"/>
      <c r="AX10" s="306"/>
      <c r="AY10" s="306"/>
      <c r="AZ10" s="306"/>
      <c r="BA10" s="306"/>
      <c r="BB10" s="306"/>
      <c r="BC10" s="307">
        <f t="shared" si="1"/>
        <v>0</v>
      </c>
      <c r="BD10" s="353">
        <f t="shared" si="5"/>
        <v>0</v>
      </c>
      <c r="BE10" s="344"/>
      <c r="BF10" s="354"/>
      <c r="BG10" s="354"/>
      <c r="BH10" s="354"/>
      <c r="BI10" s="318">
        <f t="shared" si="6"/>
        <v>0</v>
      </c>
      <c r="BJ10" s="354"/>
      <c r="BK10" s="355" t="str">
        <f t="shared" si="2"/>
        <v/>
      </c>
      <c r="BL10" s="355" t="str">
        <f t="shared" si="7"/>
        <v/>
      </c>
      <c r="BM10" s="355" t="str">
        <f t="shared" si="3"/>
        <v/>
      </c>
      <c r="BN10" s="356"/>
    </row>
    <row r="11" spans="1:66" s="135" customFormat="1" ht="15" customHeight="1" x14ac:dyDescent="0.25">
      <c r="A11" s="341" t="str">
        <f>IF(D11="","",Cover!$D$8)</f>
        <v/>
      </c>
      <c r="B11" s="341" t="str">
        <f>IF(D11="","",Cover!$D$7)</f>
        <v/>
      </c>
      <c r="C11" s="297" t="str">
        <f>IF(F11="","",IFERROR(VLOOKUP(F11,'Master Data'!$E$59:$J$146,6,FALSE),0))</f>
        <v/>
      </c>
      <c r="D11" s="342" t="str">
        <f>IF(F11="","",IFERROR(VLOOKUP(F11,Reference!$D$48:$AT$196,43,FALSE),0))</f>
        <v/>
      </c>
      <c r="E11" s="297" t="str">
        <f>IF(D11="","",IFERROR(VLOOKUP(D11,'Master Data'!$D$59:$I$146,6,FALSE),0))</f>
        <v/>
      </c>
      <c r="F11" s="343"/>
      <c r="G11" s="344"/>
      <c r="H11" s="345">
        <f>IFERROR(VLOOKUP(G11,'Master Data'!$C$336:$I$353,7,FALSE),0)</f>
        <v>0</v>
      </c>
      <c r="I11" s="346">
        <f>IFERROR(VLOOKUP(H11,'Master Data'!$B$336:$D$351,3,FALSE),0)</f>
        <v>0</v>
      </c>
      <c r="J11" s="347">
        <f>IFERROR(VLOOKUP(H11,'Master Data'!$B$336:$H$353,7,FALSE),0)</f>
        <v>0</v>
      </c>
      <c r="K11" s="348"/>
      <c r="L11" s="349" t="str">
        <f>IFERROR(IF(I11="FIXED ASSET",J11&amp;E11&amp;K11,VLOOKUP(F11,'Master Data'!$E$59:$H$146,4,FALSE)&amp;"-"&amp;J11&amp;"-"&amp;K11),"-")</f>
        <v>-</v>
      </c>
      <c r="M11" s="343"/>
      <c r="N11" s="350"/>
      <c r="O11" s="358"/>
      <c r="P11" s="358"/>
      <c r="Q11" s="358"/>
      <c r="R11" s="358"/>
      <c r="S11" s="358"/>
      <c r="T11" s="358"/>
      <c r="U11" s="358"/>
      <c r="V11" s="358"/>
      <c r="W11" s="358"/>
      <c r="X11" s="358"/>
      <c r="Y11" s="358"/>
      <c r="Z11" s="358"/>
      <c r="AA11" s="351">
        <f t="shared" si="4"/>
        <v>0</v>
      </c>
      <c r="AB11" s="327"/>
      <c r="AC11" s="306"/>
      <c r="AD11" s="306"/>
      <c r="AE11" s="306"/>
      <c r="AF11" s="306"/>
      <c r="AG11" s="306"/>
      <c r="AH11" s="306"/>
      <c r="AI11" s="306"/>
      <c r="AJ11" s="306"/>
      <c r="AK11" s="306"/>
      <c r="AL11" s="306"/>
      <c r="AM11" s="306"/>
      <c r="AN11" s="306"/>
      <c r="AO11" s="307">
        <f t="shared" si="0"/>
        <v>0</v>
      </c>
      <c r="AP11" s="352"/>
      <c r="AQ11" s="306"/>
      <c r="AR11" s="306"/>
      <c r="AS11" s="306"/>
      <c r="AT11" s="306"/>
      <c r="AU11" s="306"/>
      <c r="AV11" s="306"/>
      <c r="AW11" s="306"/>
      <c r="AX11" s="306"/>
      <c r="AY11" s="306"/>
      <c r="AZ11" s="306"/>
      <c r="BA11" s="306"/>
      <c r="BB11" s="306"/>
      <c r="BC11" s="307">
        <f t="shared" si="1"/>
        <v>0</v>
      </c>
      <c r="BD11" s="353">
        <f t="shared" si="5"/>
        <v>0</v>
      </c>
      <c r="BE11" s="344"/>
      <c r="BF11" s="354"/>
      <c r="BG11" s="354"/>
      <c r="BH11" s="354"/>
      <c r="BI11" s="318">
        <f t="shared" si="6"/>
        <v>0</v>
      </c>
      <c r="BJ11" s="354"/>
      <c r="BK11" s="355" t="str">
        <f t="shared" si="2"/>
        <v/>
      </c>
      <c r="BL11" s="355" t="str">
        <f t="shared" si="7"/>
        <v/>
      </c>
      <c r="BM11" s="355" t="str">
        <f t="shared" si="3"/>
        <v/>
      </c>
      <c r="BN11" s="356"/>
    </row>
    <row r="12" spans="1:66" s="135" customFormat="1" ht="15" customHeight="1" x14ac:dyDescent="0.25">
      <c r="A12" s="341" t="str">
        <f>IF(D12="","",Cover!$D$8)</f>
        <v/>
      </c>
      <c r="B12" s="341" t="str">
        <f>IF(D12="","",Cover!$D$7)</f>
        <v/>
      </c>
      <c r="C12" s="297" t="str">
        <f>IF(F12="","",IFERROR(VLOOKUP(F12,'Master Data'!$E$59:$J$146,6,FALSE),0))</f>
        <v/>
      </c>
      <c r="D12" s="342" t="str">
        <f>IF(F12="","",IFERROR(VLOOKUP(F12,Reference!$D$48:$AT$196,43,FALSE),0))</f>
        <v/>
      </c>
      <c r="E12" s="297" t="str">
        <f>IF(D12="","",IFERROR(VLOOKUP(D12,'Master Data'!$D$59:$I$146,6,FALSE),0))</f>
        <v/>
      </c>
      <c r="F12" s="343"/>
      <c r="G12" s="344"/>
      <c r="H12" s="345">
        <f>IFERROR(VLOOKUP(G12,'Master Data'!$C$336:$I$353,7,FALSE),0)</f>
        <v>0</v>
      </c>
      <c r="I12" s="346">
        <f>IFERROR(VLOOKUP(H12,'Master Data'!$B$336:$D$351,3,FALSE),0)</f>
        <v>0</v>
      </c>
      <c r="J12" s="347">
        <f>IFERROR(VLOOKUP(H12,'Master Data'!$B$336:$H$353,7,FALSE),0)</f>
        <v>0</v>
      </c>
      <c r="K12" s="348"/>
      <c r="L12" s="349" t="str">
        <f>IFERROR(IF(I12="FIXED ASSET",J12&amp;E12&amp;K12,VLOOKUP(F12,'Master Data'!$E$59:$H$146,4,FALSE)&amp;"-"&amp;J12&amp;"-"&amp;K12),"-")</f>
        <v>-</v>
      </c>
      <c r="M12" s="343"/>
      <c r="N12" s="350"/>
      <c r="O12" s="358"/>
      <c r="P12" s="358"/>
      <c r="Q12" s="358"/>
      <c r="R12" s="358"/>
      <c r="S12" s="358"/>
      <c r="T12" s="358"/>
      <c r="U12" s="358"/>
      <c r="V12" s="358"/>
      <c r="W12" s="358"/>
      <c r="X12" s="358"/>
      <c r="Y12" s="358"/>
      <c r="Z12" s="358"/>
      <c r="AA12" s="351">
        <f t="shared" si="4"/>
        <v>0</v>
      </c>
      <c r="AB12" s="327"/>
      <c r="AC12" s="306"/>
      <c r="AD12" s="306"/>
      <c r="AE12" s="306"/>
      <c r="AF12" s="306"/>
      <c r="AG12" s="306"/>
      <c r="AH12" s="306"/>
      <c r="AI12" s="306"/>
      <c r="AJ12" s="306"/>
      <c r="AK12" s="306"/>
      <c r="AL12" s="306"/>
      <c r="AM12" s="306"/>
      <c r="AN12" s="306"/>
      <c r="AO12" s="307">
        <f t="shared" si="0"/>
        <v>0</v>
      </c>
      <c r="AP12" s="352"/>
      <c r="AQ12" s="306"/>
      <c r="AR12" s="306"/>
      <c r="AS12" s="306"/>
      <c r="AT12" s="306"/>
      <c r="AU12" s="306"/>
      <c r="AV12" s="306"/>
      <c r="AW12" s="306"/>
      <c r="AX12" s="306"/>
      <c r="AY12" s="306"/>
      <c r="AZ12" s="306"/>
      <c r="BA12" s="306"/>
      <c r="BB12" s="306"/>
      <c r="BC12" s="307">
        <f t="shared" si="1"/>
        <v>0</v>
      </c>
      <c r="BD12" s="353">
        <f t="shared" si="5"/>
        <v>0</v>
      </c>
      <c r="BE12" s="344"/>
      <c r="BF12" s="354"/>
      <c r="BG12" s="354"/>
      <c r="BH12" s="354"/>
      <c r="BI12" s="318">
        <f t="shared" si="6"/>
        <v>0</v>
      </c>
      <c r="BJ12" s="354"/>
      <c r="BK12" s="355" t="str">
        <f t="shared" si="2"/>
        <v/>
      </c>
      <c r="BL12" s="355" t="str">
        <f t="shared" si="7"/>
        <v/>
      </c>
      <c r="BM12" s="355" t="str">
        <f t="shared" si="3"/>
        <v/>
      </c>
      <c r="BN12" s="356"/>
    </row>
    <row r="13" spans="1:66" s="135" customFormat="1" ht="15" customHeight="1" x14ac:dyDescent="0.25">
      <c r="A13" s="341" t="str">
        <f>IF(D13="","",Cover!$D$8)</f>
        <v/>
      </c>
      <c r="B13" s="341" t="str">
        <f>IF(D13="","",Cover!$D$7)</f>
        <v/>
      </c>
      <c r="C13" s="297" t="str">
        <f>IF(F13="","",IFERROR(VLOOKUP(F13,'Master Data'!$E$59:$J$146,6,FALSE),0))</f>
        <v/>
      </c>
      <c r="D13" s="342" t="str">
        <f>IF(F13="","",IFERROR(VLOOKUP(F13,Reference!$D$48:$AT$196,43,FALSE),0))</f>
        <v/>
      </c>
      <c r="E13" s="297" t="str">
        <f>IF(D13="","",IFERROR(VLOOKUP(D13,'Master Data'!$D$59:$I$146,6,FALSE),0))</f>
        <v/>
      </c>
      <c r="F13" s="343"/>
      <c r="G13" s="344"/>
      <c r="H13" s="345">
        <f>IFERROR(VLOOKUP(G13,'Master Data'!$C$336:$I$353,7,FALSE),0)</f>
        <v>0</v>
      </c>
      <c r="I13" s="346">
        <f>IFERROR(VLOOKUP(H13,'Master Data'!$B$336:$D$351,3,FALSE),0)</f>
        <v>0</v>
      </c>
      <c r="J13" s="347">
        <f>IFERROR(VLOOKUP(H13,'Master Data'!$B$336:$H$353,7,FALSE),0)</f>
        <v>0</v>
      </c>
      <c r="K13" s="348"/>
      <c r="L13" s="349" t="str">
        <f>IFERROR(IF(I13="FIXED ASSET",J13&amp;E13&amp;K13,VLOOKUP(F13,'Master Data'!$E$59:$H$146,4,FALSE)&amp;"-"&amp;J13&amp;"-"&amp;K13),"-")</f>
        <v>-</v>
      </c>
      <c r="M13" s="343"/>
      <c r="N13" s="350"/>
      <c r="O13" s="358"/>
      <c r="P13" s="358"/>
      <c r="Q13" s="358"/>
      <c r="R13" s="358"/>
      <c r="S13" s="358"/>
      <c r="T13" s="358"/>
      <c r="U13" s="358"/>
      <c r="V13" s="358"/>
      <c r="W13" s="358"/>
      <c r="X13" s="358"/>
      <c r="Y13" s="358"/>
      <c r="Z13" s="358"/>
      <c r="AA13" s="351">
        <f t="shared" si="4"/>
        <v>0</v>
      </c>
      <c r="AB13" s="327"/>
      <c r="AC13" s="306"/>
      <c r="AD13" s="306"/>
      <c r="AE13" s="306"/>
      <c r="AF13" s="306"/>
      <c r="AG13" s="306"/>
      <c r="AH13" s="306"/>
      <c r="AI13" s="306"/>
      <c r="AJ13" s="306"/>
      <c r="AK13" s="306"/>
      <c r="AL13" s="306"/>
      <c r="AM13" s="306"/>
      <c r="AN13" s="306"/>
      <c r="AO13" s="307">
        <f>SUM(AC13:AN13)</f>
        <v>0</v>
      </c>
      <c r="AP13" s="352"/>
      <c r="AQ13" s="306"/>
      <c r="AR13" s="306"/>
      <c r="AS13" s="306"/>
      <c r="AT13" s="306"/>
      <c r="AU13" s="306"/>
      <c r="AV13" s="306"/>
      <c r="AW13" s="306"/>
      <c r="AX13" s="306"/>
      <c r="AY13" s="306"/>
      <c r="AZ13" s="306"/>
      <c r="BA13" s="306"/>
      <c r="BB13" s="306"/>
      <c r="BC13" s="307">
        <f>SUM(AQ13:BB13)</f>
        <v>0</v>
      </c>
      <c r="BD13" s="353">
        <f t="shared" si="5"/>
        <v>0</v>
      </c>
      <c r="BE13" s="344"/>
      <c r="BF13" s="354"/>
      <c r="BG13" s="354"/>
      <c r="BH13" s="354"/>
      <c r="BI13" s="318">
        <f t="shared" si="6"/>
        <v>0</v>
      </c>
      <c r="BJ13" s="354"/>
      <c r="BK13" s="355" t="str">
        <f t="shared" si="2"/>
        <v/>
      </c>
      <c r="BL13" s="355" t="str">
        <f t="shared" si="7"/>
        <v/>
      </c>
      <c r="BM13" s="355" t="str">
        <f>IF(AA13&gt;0,"Please Fill Remarks","")</f>
        <v/>
      </c>
      <c r="BN13" s="356"/>
    </row>
    <row r="14" spans="1:66" s="135" customFormat="1" ht="15" customHeight="1" x14ac:dyDescent="0.25">
      <c r="A14" s="341" t="str">
        <f>IF(D14="","",Cover!$D$8)</f>
        <v/>
      </c>
      <c r="B14" s="341" t="str">
        <f>IF(D14="","",Cover!$D$7)</f>
        <v/>
      </c>
      <c r="C14" s="297" t="str">
        <f>IF(F14="","",IFERROR(VLOOKUP(F14,'Master Data'!$E$59:$J$146,6,FALSE),0))</f>
        <v/>
      </c>
      <c r="D14" s="342" t="str">
        <f>IF(F14="","",IFERROR(VLOOKUP(F14,Reference!$D$48:$AT$196,43,FALSE),0))</f>
        <v/>
      </c>
      <c r="E14" s="297" t="str">
        <f>IF(D14="","",IFERROR(VLOOKUP(D14,'Master Data'!$D$59:$I$146,6,FALSE),0))</f>
        <v/>
      </c>
      <c r="F14" s="343"/>
      <c r="G14" s="344"/>
      <c r="H14" s="345">
        <f>IFERROR(VLOOKUP(G14,'Master Data'!$C$336:$I$353,7,FALSE),0)</f>
        <v>0</v>
      </c>
      <c r="I14" s="346">
        <f>IFERROR(VLOOKUP(H14,'Master Data'!$B$336:$D$351,3,FALSE),0)</f>
        <v>0</v>
      </c>
      <c r="J14" s="347">
        <f>IFERROR(VLOOKUP(H14,'Master Data'!$B$336:$H$353,7,FALSE),0)</f>
        <v>0</v>
      </c>
      <c r="K14" s="348"/>
      <c r="L14" s="349" t="str">
        <f>IFERROR(IF(I14="FIXED ASSET",J14&amp;E14&amp;K14,VLOOKUP(F14,'Master Data'!$E$59:$H$146,4,FALSE)&amp;"-"&amp;J14&amp;"-"&amp;K14),"-")</f>
        <v>-</v>
      </c>
      <c r="M14" s="343"/>
      <c r="N14" s="350"/>
      <c r="O14" s="358"/>
      <c r="P14" s="358"/>
      <c r="Q14" s="358"/>
      <c r="R14" s="358"/>
      <c r="S14" s="358"/>
      <c r="T14" s="358"/>
      <c r="U14" s="358"/>
      <c r="V14" s="358"/>
      <c r="W14" s="358"/>
      <c r="X14" s="358"/>
      <c r="Y14" s="358"/>
      <c r="Z14" s="358"/>
      <c r="AA14" s="351">
        <f t="shared" si="4"/>
        <v>0</v>
      </c>
      <c r="AB14" s="327"/>
      <c r="AC14" s="344"/>
      <c r="AD14" s="359"/>
      <c r="AE14" s="354"/>
      <c r="AF14" s="359"/>
      <c r="AG14" s="359"/>
      <c r="AH14" s="354"/>
      <c r="AI14" s="355" t="str">
        <f t="shared" ref="AI14:AJ19" si="8">IF($I14="PROJECT","Please Fill Start Date","")</f>
        <v/>
      </c>
      <c r="AJ14" s="355" t="str">
        <f t="shared" si="8"/>
        <v/>
      </c>
      <c r="AK14" s="355" t="str">
        <f t="shared" ref="AK14:AK25" si="9">IF(AA14&gt;0,"Please Fill Remarks","")</f>
        <v/>
      </c>
      <c r="AL14" s="313"/>
      <c r="AM14" s="313"/>
      <c r="AN14" s="313"/>
      <c r="AO14" s="307">
        <f t="shared" ref="AO14:AO56" si="10">SUM(AC14:AN14)</f>
        <v>0</v>
      </c>
      <c r="AP14" s="385"/>
      <c r="AQ14" s="313"/>
      <c r="AR14" s="313"/>
      <c r="AS14" s="313"/>
      <c r="AT14" s="313"/>
      <c r="AU14" s="313"/>
      <c r="AV14" s="313"/>
      <c r="AW14" s="313"/>
      <c r="AX14" s="313"/>
      <c r="AY14" s="313"/>
      <c r="AZ14" s="313"/>
      <c r="BA14" s="313"/>
      <c r="BB14" s="313"/>
      <c r="BC14" s="307">
        <f t="shared" ref="BC14:BC56" si="11">SUM(AQ14:BB14)</f>
        <v>0</v>
      </c>
      <c r="BD14" s="353">
        <f t="shared" si="5"/>
        <v>0</v>
      </c>
      <c r="BE14" s="344"/>
      <c r="BF14" s="313"/>
      <c r="BG14" s="354"/>
      <c r="BH14" s="313"/>
      <c r="BI14" s="318">
        <f t="shared" si="6"/>
        <v>0</v>
      </c>
      <c r="BJ14" s="354"/>
      <c r="BK14" s="355" t="str">
        <f t="shared" si="2"/>
        <v/>
      </c>
      <c r="BL14" s="355" t="str">
        <f t="shared" si="7"/>
        <v/>
      </c>
      <c r="BM14" s="355" t="str">
        <f t="shared" ref="BM14:BM56" si="12">IF(AA14&gt;0,"Please Fill Remarks","")</f>
        <v/>
      </c>
      <c r="BN14" s="313"/>
    </row>
    <row r="15" spans="1:66" s="135" customFormat="1" ht="15" customHeight="1" x14ac:dyDescent="0.25">
      <c r="A15" s="341" t="str">
        <f>IF(D15="","",Cover!$D$8)</f>
        <v/>
      </c>
      <c r="B15" s="341" t="str">
        <f>IF(D15="","",Cover!$D$7)</f>
        <v/>
      </c>
      <c r="C15" s="297" t="str">
        <f>IF(F15="","",IFERROR(VLOOKUP(F15,'Master Data'!$E$59:$J$146,6,FALSE),0))</f>
        <v/>
      </c>
      <c r="D15" s="342" t="str">
        <f>IF(F15="","",IFERROR(VLOOKUP(F15,Reference!$D$48:$AT$196,43,FALSE),0))</f>
        <v/>
      </c>
      <c r="E15" s="297" t="str">
        <f>IF(D15="","",IFERROR(VLOOKUP(D15,'Master Data'!$D$59:$I$146,6,FALSE),0))</f>
        <v/>
      </c>
      <c r="F15" s="343"/>
      <c r="G15" s="344"/>
      <c r="H15" s="345">
        <f>IFERROR(VLOOKUP(G15,'Master Data'!$C$336:$I$353,7,FALSE),0)</f>
        <v>0</v>
      </c>
      <c r="I15" s="346">
        <f>IFERROR(VLOOKUP(H15,'Master Data'!$B$336:$D$351,3,FALSE),0)</f>
        <v>0</v>
      </c>
      <c r="J15" s="347">
        <f>IFERROR(VLOOKUP(H15,'Master Data'!$B$336:$H$353,7,FALSE),0)</f>
        <v>0</v>
      </c>
      <c r="K15" s="348"/>
      <c r="L15" s="349" t="str">
        <f>IFERROR(IF(I15="FIXED ASSET",J15&amp;E15&amp;K15,VLOOKUP(F15,'Master Data'!$E$59:$H$146,4,FALSE)&amp;"-"&amp;J15&amp;"-"&amp;K15),"-")</f>
        <v>-</v>
      </c>
      <c r="M15" s="343"/>
      <c r="N15" s="350"/>
      <c r="O15" s="358"/>
      <c r="P15" s="358"/>
      <c r="Q15" s="358"/>
      <c r="R15" s="358"/>
      <c r="S15" s="358"/>
      <c r="T15" s="358"/>
      <c r="U15" s="358"/>
      <c r="V15" s="358"/>
      <c r="W15" s="358"/>
      <c r="X15" s="358"/>
      <c r="Y15" s="358"/>
      <c r="Z15" s="358"/>
      <c r="AA15" s="351">
        <f t="shared" si="4"/>
        <v>0</v>
      </c>
      <c r="AB15" s="327"/>
      <c r="AC15" s="344"/>
      <c r="AD15" s="359"/>
      <c r="AE15" s="354"/>
      <c r="AF15" s="359"/>
      <c r="AG15" s="359"/>
      <c r="AH15" s="354"/>
      <c r="AI15" s="355" t="str">
        <f t="shared" si="8"/>
        <v/>
      </c>
      <c r="AJ15" s="355" t="str">
        <f t="shared" si="8"/>
        <v/>
      </c>
      <c r="AK15" s="355" t="str">
        <f t="shared" si="9"/>
        <v/>
      </c>
      <c r="AL15" s="313"/>
      <c r="AM15" s="313"/>
      <c r="AN15" s="313"/>
      <c r="AO15" s="307">
        <f t="shared" si="10"/>
        <v>0</v>
      </c>
      <c r="AP15" s="385"/>
      <c r="AQ15" s="313"/>
      <c r="AR15" s="313"/>
      <c r="AS15" s="313"/>
      <c r="AT15" s="313"/>
      <c r="AU15" s="313"/>
      <c r="AV15" s="313"/>
      <c r="AW15" s="313"/>
      <c r="AX15" s="313"/>
      <c r="AY15" s="313"/>
      <c r="AZ15" s="313"/>
      <c r="BA15" s="313"/>
      <c r="BB15" s="313"/>
      <c r="BC15" s="307">
        <f t="shared" si="11"/>
        <v>0</v>
      </c>
      <c r="BD15" s="353">
        <f t="shared" si="5"/>
        <v>0</v>
      </c>
      <c r="BE15" s="344"/>
      <c r="BF15" s="313"/>
      <c r="BG15" s="354"/>
      <c r="BH15" s="313"/>
      <c r="BI15" s="318">
        <f t="shared" si="6"/>
        <v>0</v>
      </c>
      <c r="BJ15" s="354"/>
      <c r="BK15" s="355" t="str">
        <f t="shared" si="2"/>
        <v/>
      </c>
      <c r="BL15" s="355" t="str">
        <f t="shared" si="7"/>
        <v/>
      </c>
      <c r="BM15" s="355" t="str">
        <f t="shared" si="12"/>
        <v/>
      </c>
      <c r="BN15" s="313"/>
    </row>
    <row r="16" spans="1:66" s="135" customFormat="1" ht="15" customHeight="1" x14ac:dyDescent="0.25">
      <c r="A16" s="341" t="str">
        <f>IF(D16="","",Cover!$D$8)</f>
        <v/>
      </c>
      <c r="B16" s="341" t="str">
        <f>IF(D16="","",Cover!$D$7)</f>
        <v/>
      </c>
      <c r="C16" s="297" t="str">
        <f>IF(F16="","",IFERROR(VLOOKUP(F16,'Master Data'!$E$59:$J$146,6,FALSE),0))</f>
        <v/>
      </c>
      <c r="D16" s="342" t="str">
        <f>IF(F16="","",IFERROR(VLOOKUP(F16,Reference!$D$48:$AT$196,43,FALSE),0))</f>
        <v/>
      </c>
      <c r="E16" s="297" t="str">
        <f>IF(D16="","",IFERROR(VLOOKUP(D16,'Master Data'!$D$59:$I$146,6,FALSE),0))</f>
        <v/>
      </c>
      <c r="F16" s="343"/>
      <c r="G16" s="344"/>
      <c r="H16" s="345">
        <f>IFERROR(VLOOKUP(G16,'Master Data'!$C$336:$I$353,7,FALSE),0)</f>
        <v>0</v>
      </c>
      <c r="I16" s="346">
        <f>IFERROR(VLOOKUP(H16,'Master Data'!$B$336:$D$351,3,FALSE),0)</f>
        <v>0</v>
      </c>
      <c r="J16" s="347">
        <f>IFERROR(VLOOKUP(H16,'Master Data'!$B$336:$H$353,7,FALSE),0)</f>
        <v>0</v>
      </c>
      <c r="K16" s="348"/>
      <c r="L16" s="349" t="str">
        <f>IFERROR(IF(I16="FIXED ASSET",J16&amp;E16&amp;K16,VLOOKUP(F16,'Master Data'!$E$59:$H$146,4,FALSE)&amp;"-"&amp;J16&amp;"-"&amp;K16),"-")</f>
        <v>-</v>
      </c>
      <c r="M16" s="343"/>
      <c r="N16" s="350"/>
      <c r="O16" s="358"/>
      <c r="P16" s="358"/>
      <c r="Q16" s="358"/>
      <c r="R16" s="358"/>
      <c r="S16" s="358"/>
      <c r="T16" s="358"/>
      <c r="U16" s="358"/>
      <c r="V16" s="358"/>
      <c r="W16" s="358"/>
      <c r="X16" s="358"/>
      <c r="Y16" s="358"/>
      <c r="Z16" s="358"/>
      <c r="AA16" s="351">
        <f t="shared" si="4"/>
        <v>0</v>
      </c>
      <c r="AB16" s="327"/>
      <c r="AC16" s="344"/>
      <c r="AD16" s="359"/>
      <c r="AE16" s="354"/>
      <c r="AF16" s="359"/>
      <c r="AG16" s="359"/>
      <c r="AH16" s="354"/>
      <c r="AI16" s="355" t="str">
        <f t="shared" si="8"/>
        <v/>
      </c>
      <c r="AJ16" s="355" t="str">
        <f t="shared" si="8"/>
        <v/>
      </c>
      <c r="AK16" s="355" t="str">
        <f t="shared" si="9"/>
        <v/>
      </c>
      <c r="AL16" s="313"/>
      <c r="AM16" s="313"/>
      <c r="AN16" s="313"/>
      <c r="AO16" s="307">
        <f t="shared" si="10"/>
        <v>0</v>
      </c>
      <c r="AP16" s="385"/>
      <c r="AQ16" s="313"/>
      <c r="AR16" s="313"/>
      <c r="AS16" s="313"/>
      <c r="AT16" s="313"/>
      <c r="AU16" s="313"/>
      <c r="AV16" s="313"/>
      <c r="AW16" s="313"/>
      <c r="AX16" s="313"/>
      <c r="AY16" s="313"/>
      <c r="AZ16" s="313"/>
      <c r="BA16" s="313"/>
      <c r="BB16" s="313"/>
      <c r="BC16" s="307">
        <f t="shared" si="11"/>
        <v>0</v>
      </c>
      <c r="BD16" s="353">
        <f t="shared" si="5"/>
        <v>0</v>
      </c>
      <c r="BE16" s="344"/>
      <c r="BF16" s="313"/>
      <c r="BG16" s="354"/>
      <c r="BH16" s="313"/>
      <c r="BI16" s="318">
        <f t="shared" si="6"/>
        <v>0</v>
      </c>
      <c r="BJ16" s="354"/>
      <c r="BK16" s="355" t="str">
        <f t="shared" si="2"/>
        <v/>
      </c>
      <c r="BL16" s="355" t="str">
        <f t="shared" si="7"/>
        <v/>
      </c>
      <c r="BM16" s="355" t="str">
        <f t="shared" si="12"/>
        <v/>
      </c>
      <c r="BN16" s="313"/>
    </row>
    <row r="17" spans="1:66" s="135" customFormat="1" ht="15" customHeight="1" x14ac:dyDescent="0.25">
      <c r="A17" s="341" t="str">
        <f>IF(D17="","",Cover!$D$8)</f>
        <v/>
      </c>
      <c r="B17" s="341" t="str">
        <f>IF(D17="","",Cover!$D$7)</f>
        <v/>
      </c>
      <c r="C17" s="297" t="str">
        <f>IF(F17="","",IFERROR(VLOOKUP(F17,'Master Data'!$E$59:$J$146,6,FALSE),0))</f>
        <v/>
      </c>
      <c r="D17" s="342" t="str">
        <f>IF(F17="","",IFERROR(VLOOKUP(F17,Reference!$D$48:$AT$196,43,FALSE),0))</f>
        <v/>
      </c>
      <c r="E17" s="297" t="str">
        <f>IF(D17="","",IFERROR(VLOOKUP(D17,'Master Data'!$D$59:$I$146,6,FALSE),0))</f>
        <v/>
      </c>
      <c r="F17" s="343"/>
      <c r="G17" s="344"/>
      <c r="H17" s="345">
        <f>IFERROR(VLOOKUP(G17,'Master Data'!$C$336:$I$353,7,FALSE),0)</f>
        <v>0</v>
      </c>
      <c r="I17" s="346">
        <f>IFERROR(VLOOKUP(H17,'Master Data'!$B$336:$D$351,3,FALSE),0)</f>
        <v>0</v>
      </c>
      <c r="J17" s="347">
        <f>IFERROR(VLOOKUP(H17,'Master Data'!$B$336:$H$353,7,FALSE),0)</f>
        <v>0</v>
      </c>
      <c r="K17" s="348"/>
      <c r="L17" s="349" t="str">
        <f>IFERROR(IF(I17="FIXED ASSET",J17&amp;E17&amp;K17,VLOOKUP(F17,'Master Data'!$E$59:$H$146,4,FALSE)&amp;"-"&amp;J17&amp;"-"&amp;K17),"-")</f>
        <v>-</v>
      </c>
      <c r="M17" s="343"/>
      <c r="N17" s="350"/>
      <c r="O17" s="358"/>
      <c r="P17" s="358"/>
      <c r="Q17" s="358"/>
      <c r="R17" s="358"/>
      <c r="S17" s="358"/>
      <c r="T17" s="358"/>
      <c r="U17" s="358"/>
      <c r="V17" s="358"/>
      <c r="W17" s="358"/>
      <c r="X17" s="358"/>
      <c r="Y17" s="358"/>
      <c r="Z17" s="358"/>
      <c r="AA17" s="351">
        <f t="shared" si="4"/>
        <v>0</v>
      </c>
      <c r="AB17" s="327"/>
      <c r="AC17" s="344"/>
      <c r="AD17" s="359"/>
      <c r="AE17" s="354"/>
      <c r="AF17" s="359"/>
      <c r="AG17" s="359"/>
      <c r="AH17" s="354"/>
      <c r="AI17" s="355" t="str">
        <f t="shared" si="8"/>
        <v/>
      </c>
      <c r="AJ17" s="355" t="str">
        <f t="shared" si="8"/>
        <v/>
      </c>
      <c r="AK17" s="355" t="str">
        <f t="shared" si="9"/>
        <v/>
      </c>
      <c r="AL17" s="313"/>
      <c r="AM17" s="313"/>
      <c r="AN17" s="313"/>
      <c r="AO17" s="307">
        <f t="shared" si="10"/>
        <v>0</v>
      </c>
      <c r="AP17" s="385"/>
      <c r="AQ17" s="313"/>
      <c r="AR17" s="313"/>
      <c r="AS17" s="313"/>
      <c r="AT17" s="313"/>
      <c r="AU17" s="313"/>
      <c r="AV17" s="313"/>
      <c r="AW17" s="313"/>
      <c r="AX17" s="313"/>
      <c r="AY17" s="313"/>
      <c r="AZ17" s="313"/>
      <c r="BA17" s="313"/>
      <c r="BB17" s="313"/>
      <c r="BC17" s="307">
        <f t="shared" si="11"/>
        <v>0</v>
      </c>
      <c r="BD17" s="353">
        <f t="shared" si="5"/>
        <v>0</v>
      </c>
      <c r="BE17" s="344"/>
      <c r="BF17" s="313"/>
      <c r="BG17" s="354"/>
      <c r="BH17" s="313"/>
      <c r="BI17" s="318">
        <f t="shared" si="6"/>
        <v>0</v>
      </c>
      <c r="BJ17" s="354"/>
      <c r="BK17" s="355" t="str">
        <f t="shared" si="2"/>
        <v/>
      </c>
      <c r="BL17" s="355" t="str">
        <f t="shared" si="7"/>
        <v/>
      </c>
      <c r="BM17" s="355" t="str">
        <f t="shared" si="12"/>
        <v/>
      </c>
      <c r="BN17" s="313"/>
    </row>
    <row r="18" spans="1:66" s="135" customFormat="1" ht="15" customHeight="1" x14ac:dyDescent="0.25">
      <c r="A18" s="341" t="str">
        <f>IF(D18="","",Cover!$D$8)</f>
        <v/>
      </c>
      <c r="B18" s="341" t="str">
        <f>IF(D18="","",Cover!$D$7)</f>
        <v/>
      </c>
      <c r="C18" s="297" t="str">
        <f>IF(F18="","",IFERROR(VLOOKUP(F18,'Master Data'!$E$59:$J$146,6,FALSE),0))</f>
        <v/>
      </c>
      <c r="D18" s="342" t="str">
        <f>IF(F18="","",IFERROR(VLOOKUP(F18,Reference!$D$48:$AT$196,43,FALSE),0))</f>
        <v/>
      </c>
      <c r="E18" s="297" t="str">
        <f>IF(D18="","",IFERROR(VLOOKUP(D18,'Master Data'!$D$59:$I$146,6,FALSE),0))</f>
        <v/>
      </c>
      <c r="F18" s="343"/>
      <c r="G18" s="344"/>
      <c r="H18" s="345">
        <f>IFERROR(VLOOKUP(G18,'Master Data'!$C$336:$I$353,7,FALSE),0)</f>
        <v>0</v>
      </c>
      <c r="I18" s="346">
        <f>IFERROR(VLOOKUP(H18,'Master Data'!$B$336:$D$351,3,FALSE),0)</f>
        <v>0</v>
      </c>
      <c r="J18" s="347">
        <f>IFERROR(VLOOKUP(H18,'Master Data'!$B$336:$H$353,7,FALSE),0)</f>
        <v>0</v>
      </c>
      <c r="K18" s="348"/>
      <c r="L18" s="349" t="str">
        <f>IFERROR(IF(I18="FIXED ASSET",J18&amp;E18&amp;K18,VLOOKUP(F18,'Master Data'!$E$59:$H$146,4,FALSE)&amp;"-"&amp;J18&amp;"-"&amp;K18),"-")</f>
        <v>-</v>
      </c>
      <c r="M18" s="343"/>
      <c r="N18" s="350"/>
      <c r="O18" s="358"/>
      <c r="P18" s="358"/>
      <c r="Q18" s="358"/>
      <c r="R18" s="358"/>
      <c r="S18" s="358"/>
      <c r="T18" s="358"/>
      <c r="U18" s="358"/>
      <c r="V18" s="358"/>
      <c r="W18" s="358"/>
      <c r="X18" s="358"/>
      <c r="Y18" s="358"/>
      <c r="Z18" s="358"/>
      <c r="AA18" s="351">
        <f t="shared" si="4"/>
        <v>0</v>
      </c>
      <c r="AB18" s="327"/>
      <c r="AC18" s="344"/>
      <c r="AD18" s="359"/>
      <c r="AE18" s="354"/>
      <c r="AF18" s="359"/>
      <c r="AG18" s="359"/>
      <c r="AH18" s="354"/>
      <c r="AI18" s="355" t="str">
        <f t="shared" si="8"/>
        <v/>
      </c>
      <c r="AJ18" s="355" t="str">
        <f t="shared" si="8"/>
        <v/>
      </c>
      <c r="AK18" s="355" t="str">
        <f t="shared" si="9"/>
        <v/>
      </c>
      <c r="AL18" s="313"/>
      <c r="AM18" s="313"/>
      <c r="AN18" s="313"/>
      <c r="AO18" s="307">
        <f t="shared" si="10"/>
        <v>0</v>
      </c>
      <c r="AP18" s="385"/>
      <c r="AQ18" s="313"/>
      <c r="AR18" s="313"/>
      <c r="AS18" s="313"/>
      <c r="AT18" s="313"/>
      <c r="AU18" s="313"/>
      <c r="AV18" s="313"/>
      <c r="AW18" s="313"/>
      <c r="AX18" s="313"/>
      <c r="AY18" s="313"/>
      <c r="AZ18" s="313"/>
      <c r="BA18" s="313"/>
      <c r="BB18" s="313"/>
      <c r="BC18" s="307">
        <f t="shared" si="11"/>
        <v>0</v>
      </c>
      <c r="BD18" s="353">
        <f t="shared" si="5"/>
        <v>0</v>
      </c>
      <c r="BE18" s="344"/>
      <c r="BF18" s="313"/>
      <c r="BG18" s="354"/>
      <c r="BH18" s="313"/>
      <c r="BI18" s="318">
        <f t="shared" si="6"/>
        <v>0</v>
      </c>
      <c r="BJ18" s="354"/>
      <c r="BK18" s="355" t="str">
        <f t="shared" si="2"/>
        <v/>
      </c>
      <c r="BL18" s="355" t="str">
        <f t="shared" si="7"/>
        <v/>
      </c>
      <c r="BM18" s="355" t="str">
        <f t="shared" si="12"/>
        <v/>
      </c>
      <c r="BN18" s="313"/>
    </row>
    <row r="19" spans="1:66" s="135" customFormat="1" ht="15" customHeight="1" x14ac:dyDescent="0.25">
      <c r="A19" s="341" t="str">
        <f>IF(D19="","",Cover!$D$8)</f>
        <v/>
      </c>
      <c r="B19" s="341" t="str">
        <f>IF(D19="","",Cover!$D$7)</f>
        <v/>
      </c>
      <c r="C19" s="297" t="str">
        <f>IF(F19="","",IFERROR(VLOOKUP(F19,'Master Data'!$E$59:$J$146,6,FALSE),0))</f>
        <v/>
      </c>
      <c r="D19" s="342" t="str">
        <f>IF(F19="","",IFERROR(VLOOKUP(F19,Reference!$D$48:$AT$196,43,FALSE),0))</f>
        <v/>
      </c>
      <c r="E19" s="297" t="str">
        <f>IF(D19="","",IFERROR(VLOOKUP(D19,'Master Data'!$D$59:$I$146,6,FALSE),0))</f>
        <v/>
      </c>
      <c r="F19" s="343"/>
      <c r="G19" s="344"/>
      <c r="H19" s="345">
        <f>IFERROR(VLOOKUP(G19,'Master Data'!$C$336:$I$353,7,FALSE),0)</f>
        <v>0</v>
      </c>
      <c r="I19" s="346">
        <f>IFERROR(VLOOKUP(H19,'Master Data'!$B$336:$D$351,3,FALSE),0)</f>
        <v>0</v>
      </c>
      <c r="J19" s="347">
        <f>IFERROR(VLOOKUP(H19,'Master Data'!$B$336:$H$353,7,FALSE),0)</f>
        <v>0</v>
      </c>
      <c r="K19" s="348"/>
      <c r="L19" s="349" t="str">
        <f>IFERROR(IF(I19="FIXED ASSET",J19&amp;E19&amp;K19,VLOOKUP(F19,'Master Data'!$E$59:$H$146,4,FALSE)&amp;"-"&amp;J19&amp;"-"&amp;K19),"-")</f>
        <v>-</v>
      </c>
      <c r="M19" s="343"/>
      <c r="N19" s="350"/>
      <c r="O19" s="358"/>
      <c r="P19" s="358"/>
      <c r="Q19" s="358"/>
      <c r="R19" s="358"/>
      <c r="S19" s="358"/>
      <c r="T19" s="358"/>
      <c r="U19" s="358"/>
      <c r="V19" s="358"/>
      <c r="W19" s="358"/>
      <c r="X19" s="358"/>
      <c r="Y19" s="358"/>
      <c r="Z19" s="358"/>
      <c r="AA19" s="351">
        <f t="shared" si="4"/>
        <v>0</v>
      </c>
      <c r="AB19" s="327"/>
      <c r="AC19" s="344"/>
      <c r="AD19" s="359"/>
      <c r="AE19" s="354"/>
      <c r="AF19" s="359"/>
      <c r="AG19" s="359"/>
      <c r="AH19" s="354"/>
      <c r="AI19" s="355" t="str">
        <f t="shared" si="8"/>
        <v/>
      </c>
      <c r="AJ19" s="355" t="str">
        <f t="shared" si="8"/>
        <v/>
      </c>
      <c r="AK19" s="355" t="str">
        <f t="shared" si="9"/>
        <v/>
      </c>
      <c r="AL19" s="313"/>
      <c r="AM19" s="313"/>
      <c r="AN19" s="313"/>
      <c r="AO19" s="307">
        <f t="shared" si="10"/>
        <v>0</v>
      </c>
      <c r="AP19" s="385"/>
      <c r="AQ19" s="313"/>
      <c r="AR19" s="313"/>
      <c r="AS19" s="313"/>
      <c r="AT19" s="313"/>
      <c r="AU19" s="313"/>
      <c r="AV19" s="313"/>
      <c r="AW19" s="313"/>
      <c r="AX19" s="313"/>
      <c r="AY19" s="313"/>
      <c r="AZ19" s="313"/>
      <c r="BA19" s="313"/>
      <c r="BB19" s="313"/>
      <c r="BC19" s="307">
        <f t="shared" si="11"/>
        <v>0</v>
      </c>
      <c r="BD19" s="353">
        <f t="shared" si="5"/>
        <v>0</v>
      </c>
      <c r="BE19" s="344"/>
      <c r="BF19" s="313"/>
      <c r="BG19" s="354"/>
      <c r="BH19" s="313"/>
      <c r="BI19" s="318">
        <f t="shared" si="6"/>
        <v>0</v>
      </c>
      <c r="BJ19" s="354"/>
      <c r="BK19" s="355" t="str">
        <f t="shared" si="2"/>
        <v/>
      </c>
      <c r="BL19" s="355" t="str">
        <f t="shared" si="7"/>
        <v/>
      </c>
      <c r="BM19" s="355" t="str">
        <f t="shared" si="12"/>
        <v/>
      </c>
      <c r="BN19" s="313"/>
    </row>
    <row r="20" spans="1:66" s="135" customFormat="1" ht="15" customHeight="1" x14ac:dyDescent="0.25">
      <c r="A20" s="341" t="str">
        <f>IF(D20="","",Cover!$D$8)</f>
        <v/>
      </c>
      <c r="B20" s="341" t="str">
        <f>IF(D20="","",Cover!$D$7)</f>
        <v/>
      </c>
      <c r="C20" s="297" t="str">
        <f>IF(F20="","",IFERROR(VLOOKUP(F20,'Master Data'!$E$59:$J$146,6,FALSE),0))</f>
        <v/>
      </c>
      <c r="D20" s="342" t="str">
        <f>IF(F20="","",IFERROR(VLOOKUP(F20,Reference!$D$48:$AT$196,43,FALSE),0))</f>
        <v/>
      </c>
      <c r="E20" s="297" t="str">
        <f>IF(D20="","",IFERROR(VLOOKUP(D20,'Master Data'!$D$59:$I$146,6,FALSE),0))</f>
        <v/>
      </c>
      <c r="F20" s="343"/>
      <c r="G20" s="344"/>
      <c r="H20" s="345">
        <f>IFERROR(VLOOKUP(G20,'Master Data'!$C$336:$I$353,7,FALSE),0)</f>
        <v>0</v>
      </c>
      <c r="I20" s="346">
        <f>IFERROR(VLOOKUP(H20,'Master Data'!$B$336:$D$351,3,FALSE),0)</f>
        <v>0</v>
      </c>
      <c r="J20" s="347">
        <f>IFERROR(VLOOKUP(H20,'Master Data'!$B$336:$H$353,7,FALSE),0)</f>
        <v>0</v>
      </c>
      <c r="K20" s="348"/>
      <c r="L20" s="349" t="str">
        <f>IFERROR(IF(I20="FIXED ASSET",J20&amp;E20&amp;K20,VLOOKUP(F20,'Master Data'!$E$59:$H$146,4,FALSE)&amp;"-"&amp;J20&amp;"-"&amp;K20),"-")</f>
        <v>-</v>
      </c>
      <c r="M20" s="343"/>
      <c r="N20" s="350"/>
      <c r="O20" s="358"/>
      <c r="P20" s="358"/>
      <c r="Q20" s="358"/>
      <c r="R20" s="358"/>
      <c r="S20" s="358"/>
      <c r="T20" s="358"/>
      <c r="U20" s="358"/>
      <c r="V20" s="358"/>
      <c r="W20" s="358"/>
      <c r="X20" s="358"/>
      <c r="Y20" s="358"/>
      <c r="Z20" s="358"/>
      <c r="AA20" s="351">
        <f t="shared" si="4"/>
        <v>0</v>
      </c>
      <c r="AB20" s="327"/>
      <c r="AC20" s="344"/>
      <c r="AD20" s="359"/>
      <c r="AE20" s="354"/>
      <c r="AF20" s="359"/>
      <c r="AG20" s="359"/>
      <c r="AH20" s="354"/>
      <c r="AI20" s="355" t="str">
        <f t="shared" ref="AI20:AJ35" si="13">IF($I20="PROJECT","Please Fill Start Date","")</f>
        <v/>
      </c>
      <c r="AJ20" s="355" t="str">
        <f t="shared" si="13"/>
        <v/>
      </c>
      <c r="AK20" s="355" t="str">
        <f t="shared" si="9"/>
        <v/>
      </c>
      <c r="AL20" s="313"/>
      <c r="AM20" s="313"/>
      <c r="AN20" s="313"/>
      <c r="AO20" s="307">
        <f t="shared" si="10"/>
        <v>0</v>
      </c>
      <c r="AP20" s="385"/>
      <c r="AQ20" s="313"/>
      <c r="AR20" s="313"/>
      <c r="AS20" s="313"/>
      <c r="AT20" s="313"/>
      <c r="AU20" s="313"/>
      <c r="AV20" s="313"/>
      <c r="AW20" s="313"/>
      <c r="AX20" s="313"/>
      <c r="AY20" s="313"/>
      <c r="AZ20" s="313"/>
      <c r="BA20" s="313"/>
      <c r="BB20" s="313"/>
      <c r="BC20" s="307">
        <f t="shared" si="11"/>
        <v>0</v>
      </c>
      <c r="BD20" s="353">
        <f t="shared" si="5"/>
        <v>0</v>
      </c>
      <c r="BE20" s="344"/>
      <c r="BF20" s="313"/>
      <c r="BG20" s="354"/>
      <c r="BH20" s="313"/>
      <c r="BI20" s="318">
        <f t="shared" si="6"/>
        <v>0</v>
      </c>
      <c r="BJ20" s="354"/>
      <c r="BK20" s="355" t="str">
        <f t="shared" si="2"/>
        <v/>
      </c>
      <c r="BL20" s="355" t="str">
        <f t="shared" si="7"/>
        <v/>
      </c>
      <c r="BM20" s="355" t="str">
        <f t="shared" si="12"/>
        <v/>
      </c>
      <c r="BN20" s="313"/>
    </row>
    <row r="21" spans="1:66" s="135" customFormat="1" ht="15" customHeight="1" x14ac:dyDescent="0.25">
      <c r="A21" s="341" t="str">
        <f>IF(D21="","",Cover!$D$8)</f>
        <v/>
      </c>
      <c r="B21" s="341" t="str">
        <f>IF(D21="","",Cover!$D$7)</f>
        <v/>
      </c>
      <c r="C21" s="297" t="str">
        <f>IF(F21="","",IFERROR(VLOOKUP(F21,'Master Data'!$E$59:$J$146,6,FALSE),0))</f>
        <v/>
      </c>
      <c r="D21" s="342" t="str">
        <f>IF(F21="","",IFERROR(VLOOKUP(F21,Reference!$D$48:$AT$196,43,FALSE),0))</f>
        <v/>
      </c>
      <c r="E21" s="297" t="str">
        <f>IF(D21="","",IFERROR(VLOOKUP(D21,'Master Data'!$D$59:$I$146,6,FALSE),0))</f>
        <v/>
      </c>
      <c r="F21" s="343"/>
      <c r="G21" s="344"/>
      <c r="H21" s="345">
        <f>IFERROR(VLOOKUP(G21,'Master Data'!$C$336:$I$353,7,FALSE),0)</f>
        <v>0</v>
      </c>
      <c r="I21" s="346">
        <f>IFERROR(VLOOKUP(H21,'Master Data'!$B$336:$D$351,3,FALSE),0)</f>
        <v>0</v>
      </c>
      <c r="J21" s="347">
        <f>IFERROR(VLOOKUP(H21,'Master Data'!$B$336:$H$353,7,FALSE),0)</f>
        <v>0</v>
      </c>
      <c r="K21" s="348"/>
      <c r="L21" s="349" t="str">
        <f>IFERROR(IF(I21="FIXED ASSET",J21&amp;E21&amp;K21,VLOOKUP(F21,'Master Data'!$E$59:$H$146,4,FALSE)&amp;"-"&amp;J21&amp;"-"&amp;K21),"-")</f>
        <v>-</v>
      </c>
      <c r="M21" s="343"/>
      <c r="N21" s="350"/>
      <c r="O21" s="358"/>
      <c r="P21" s="358"/>
      <c r="Q21" s="358"/>
      <c r="R21" s="358"/>
      <c r="S21" s="358"/>
      <c r="T21" s="358"/>
      <c r="U21" s="358"/>
      <c r="V21" s="358"/>
      <c r="W21" s="358"/>
      <c r="X21" s="358"/>
      <c r="Y21" s="358"/>
      <c r="Z21" s="358"/>
      <c r="AA21" s="351">
        <f t="shared" si="4"/>
        <v>0</v>
      </c>
      <c r="AB21" s="327"/>
      <c r="AC21" s="344"/>
      <c r="AD21" s="359"/>
      <c r="AE21" s="354"/>
      <c r="AF21" s="359"/>
      <c r="AG21" s="359"/>
      <c r="AH21" s="354"/>
      <c r="AI21" s="355" t="str">
        <f t="shared" si="13"/>
        <v/>
      </c>
      <c r="AJ21" s="355" t="str">
        <f t="shared" si="13"/>
        <v/>
      </c>
      <c r="AK21" s="355" t="str">
        <f t="shared" si="9"/>
        <v/>
      </c>
      <c r="AL21" s="313"/>
      <c r="AM21" s="313"/>
      <c r="AN21" s="313"/>
      <c r="AO21" s="307">
        <f t="shared" si="10"/>
        <v>0</v>
      </c>
      <c r="AP21" s="385"/>
      <c r="AQ21" s="313"/>
      <c r="AR21" s="313"/>
      <c r="AS21" s="313"/>
      <c r="AT21" s="313"/>
      <c r="AU21" s="313"/>
      <c r="AV21" s="313"/>
      <c r="AW21" s="313"/>
      <c r="AX21" s="313"/>
      <c r="AY21" s="313"/>
      <c r="AZ21" s="313"/>
      <c r="BA21" s="313"/>
      <c r="BB21" s="313"/>
      <c r="BC21" s="307">
        <f t="shared" si="11"/>
        <v>0</v>
      </c>
      <c r="BD21" s="353">
        <f t="shared" si="5"/>
        <v>0</v>
      </c>
      <c r="BE21" s="344"/>
      <c r="BF21" s="313"/>
      <c r="BG21" s="354"/>
      <c r="BH21" s="313"/>
      <c r="BI21" s="318">
        <f t="shared" si="6"/>
        <v>0</v>
      </c>
      <c r="BJ21" s="354"/>
      <c r="BK21" s="355" t="str">
        <f t="shared" si="2"/>
        <v/>
      </c>
      <c r="BL21" s="355" t="str">
        <f t="shared" si="7"/>
        <v/>
      </c>
      <c r="BM21" s="355" t="str">
        <f t="shared" si="12"/>
        <v/>
      </c>
      <c r="BN21" s="313"/>
    </row>
    <row r="22" spans="1:66" s="135" customFormat="1" ht="15" customHeight="1" x14ac:dyDescent="0.25">
      <c r="A22" s="341" t="str">
        <f>IF(D22="","",Cover!$D$8)</f>
        <v/>
      </c>
      <c r="B22" s="341" t="str">
        <f>IF(D22="","",Cover!$D$7)</f>
        <v/>
      </c>
      <c r="C22" s="297" t="str">
        <f>IF(F22="","",IFERROR(VLOOKUP(F22,'Master Data'!$E$59:$J$146,6,FALSE),0))</f>
        <v/>
      </c>
      <c r="D22" s="342" t="str">
        <f>IF(F22="","",IFERROR(VLOOKUP(F22,Reference!$D$48:$AT$196,43,FALSE),0))</f>
        <v/>
      </c>
      <c r="E22" s="297" t="str">
        <f>IF(D22="","",IFERROR(VLOOKUP(D22,'Master Data'!$D$59:$I$146,6,FALSE),0))</f>
        <v/>
      </c>
      <c r="F22" s="343"/>
      <c r="G22" s="344"/>
      <c r="H22" s="345">
        <f>IFERROR(VLOOKUP(G22,'Master Data'!$C$336:$I$353,7,FALSE),0)</f>
        <v>0</v>
      </c>
      <c r="I22" s="346">
        <f>IFERROR(VLOOKUP(H22,'Master Data'!$B$336:$D$351,3,FALSE),0)</f>
        <v>0</v>
      </c>
      <c r="J22" s="347">
        <f>IFERROR(VLOOKUP(H22,'Master Data'!$B$336:$H$353,7,FALSE),0)</f>
        <v>0</v>
      </c>
      <c r="K22" s="348"/>
      <c r="L22" s="349" t="str">
        <f>IFERROR(IF(I22="FIXED ASSET",J22&amp;E22&amp;K22,VLOOKUP(F22,'Master Data'!$E$59:$H$146,4,FALSE)&amp;"-"&amp;J22&amp;"-"&amp;K22),"-")</f>
        <v>-</v>
      </c>
      <c r="M22" s="343"/>
      <c r="N22" s="350"/>
      <c r="O22" s="358"/>
      <c r="P22" s="358"/>
      <c r="Q22" s="358"/>
      <c r="R22" s="358"/>
      <c r="S22" s="358"/>
      <c r="T22" s="358"/>
      <c r="U22" s="358"/>
      <c r="V22" s="358"/>
      <c r="W22" s="358"/>
      <c r="X22" s="358"/>
      <c r="Y22" s="358"/>
      <c r="Z22" s="358"/>
      <c r="AA22" s="351">
        <f t="shared" si="4"/>
        <v>0</v>
      </c>
      <c r="AB22" s="327"/>
      <c r="AC22" s="344"/>
      <c r="AD22" s="359"/>
      <c r="AE22" s="354"/>
      <c r="AF22" s="359"/>
      <c r="AG22" s="359"/>
      <c r="AH22" s="354"/>
      <c r="AI22" s="355" t="str">
        <f t="shared" si="13"/>
        <v/>
      </c>
      <c r="AJ22" s="355" t="str">
        <f t="shared" si="13"/>
        <v/>
      </c>
      <c r="AK22" s="355" t="str">
        <f t="shared" si="9"/>
        <v/>
      </c>
      <c r="AL22" s="313"/>
      <c r="AM22" s="313"/>
      <c r="AN22" s="313"/>
      <c r="AO22" s="307">
        <f t="shared" si="10"/>
        <v>0</v>
      </c>
      <c r="AP22" s="385"/>
      <c r="AQ22" s="313"/>
      <c r="AR22" s="313"/>
      <c r="AS22" s="313"/>
      <c r="AT22" s="313"/>
      <c r="AU22" s="313"/>
      <c r="AV22" s="313"/>
      <c r="AW22" s="313"/>
      <c r="AX22" s="313"/>
      <c r="AY22" s="313"/>
      <c r="AZ22" s="313"/>
      <c r="BA22" s="313"/>
      <c r="BB22" s="313"/>
      <c r="BC22" s="307">
        <f t="shared" si="11"/>
        <v>0</v>
      </c>
      <c r="BD22" s="353">
        <f t="shared" si="5"/>
        <v>0</v>
      </c>
      <c r="BE22" s="344"/>
      <c r="BF22" s="313"/>
      <c r="BG22" s="354"/>
      <c r="BH22" s="313"/>
      <c r="BI22" s="318">
        <f t="shared" si="6"/>
        <v>0</v>
      </c>
      <c r="BJ22" s="354"/>
      <c r="BK22" s="355" t="str">
        <f t="shared" si="2"/>
        <v/>
      </c>
      <c r="BL22" s="355" t="str">
        <f t="shared" si="7"/>
        <v/>
      </c>
      <c r="BM22" s="355" t="str">
        <f t="shared" si="12"/>
        <v/>
      </c>
      <c r="BN22" s="313"/>
    </row>
    <row r="23" spans="1:66" s="135" customFormat="1" ht="15" customHeight="1" x14ac:dyDescent="0.25">
      <c r="A23" s="341" t="str">
        <f>IF(D23="","",Cover!$D$8)</f>
        <v/>
      </c>
      <c r="B23" s="341" t="str">
        <f>IF(D23="","",Cover!$D$7)</f>
        <v/>
      </c>
      <c r="C23" s="297" t="str">
        <f>IF(F23="","",IFERROR(VLOOKUP(F23,'Master Data'!$E$59:$J$146,6,FALSE),0))</f>
        <v/>
      </c>
      <c r="D23" s="342" t="str">
        <f>IF(F23="","",IFERROR(VLOOKUP(F23,Reference!$D$48:$AT$196,43,FALSE),0))</f>
        <v/>
      </c>
      <c r="E23" s="297" t="str">
        <f>IF(D23="","",IFERROR(VLOOKUP(D23,'Master Data'!$D$59:$I$146,6,FALSE),0))</f>
        <v/>
      </c>
      <c r="F23" s="343"/>
      <c r="G23" s="344"/>
      <c r="H23" s="345">
        <f>IFERROR(VLOOKUP(G23,'Master Data'!$C$336:$I$353,7,FALSE),0)</f>
        <v>0</v>
      </c>
      <c r="I23" s="346">
        <f>IFERROR(VLOOKUP(H23,'Master Data'!$B$336:$D$351,3,FALSE),0)</f>
        <v>0</v>
      </c>
      <c r="J23" s="347">
        <f>IFERROR(VLOOKUP(H23,'Master Data'!$B$336:$H$353,7,FALSE),0)</f>
        <v>0</v>
      </c>
      <c r="K23" s="348"/>
      <c r="L23" s="349" t="str">
        <f>IFERROR(IF(I23="FIXED ASSET",J23&amp;E23&amp;K23,VLOOKUP(F23,'Master Data'!$E$59:$H$146,4,FALSE)&amp;"-"&amp;J23&amp;"-"&amp;K23),"-")</f>
        <v>-</v>
      </c>
      <c r="M23" s="343"/>
      <c r="N23" s="350"/>
      <c r="O23" s="358"/>
      <c r="P23" s="358"/>
      <c r="Q23" s="358"/>
      <c r="R23" s="358"/>
      <c r="S23" s="358"/>
      <c r="T23" s="358"/>
      <c r="U23" s="358"/>
      <c r="V23" s="358"/>
      <c r="W23" s="358"/>
      <c r="X23" s="358"/>
      <c r="Y23" s="358"/>
      <c r="Z23" s="358"/>
      <c r="AA23" s="351">
        <f t="shared" si="4"/>
        <v>0</v>
      </c>
      <c r="AB23" s="327"/>
      <c r="AC23" s="344"/>
      <c r="AD23" s="359"/>
      <c r="AE23" s="354"/>
      <c r="AF23" s="359"/>
      <c r="AG23" s="359"/>
      <c r="AH23" s="354"/>
      <c r="AI23" s="355" t="str">
        <f t="shared" si="13"/>
        <v/>
      </c>
      <c r="AJ23" s="355" t="str">
        <f t="shared" si="13"/>
        <v/>
      </c>
      <c r="AK23" s="355" t="str">
        <f t="shared" si="9"/>
        <v/>
      </c>
      <c r="AL23" s="313"/>
      <c r="AM23" s="313"/>
      <c r="AN23" s="313"/>
      <c r="AO23" s="307">
        <f t="shared" si="10"/>
        <v>0</v>
      </c>
      <c r="AP23" s="385"/>
      <c r="AQ23" s="313"/>
      <c r="AR23" s="313"/>
      <c r="AS23" s="313"/>
      <c r="AT23" s="313"/>
      <c r="AU23" s="313"/>
      <c r="AV23" s="313"/>
      <c r="AW23" s="313"/>
      <c r="AX23" s="313"/>
      <c r="AY23" s="313"/>
      <c r="AZ23" s="313"/>
      <c r="BA23" s="313"/>
      <c r="BB23" s="313"/>
      <c r="BC23" s="307">
        <f t="shared" si="11"/>
        <v>0</v>
      </c>
      <c r="BD23" s="353">
        <f t="shared" si="5"/>
        <v>0</v>
      </c>
      <c r="BE23" s="344"/>
      <c r="BF23" s="313"/>
      <c r="BG23" s="354"/>
      <c r="BH23" s="313"/>
      <c r="BI23" s="318">
        <f t="shared" si="6"/>
        <v>0</v>
      </c>
      <c r="BJ23" s="354"/>
      <c r="BK23" s="355" t="str">
        <f t="shared" si="2"/>
        <v/>
      </c>
      <c r="BL23" s="355" t="str">
        <f t="shared" si="7"/>
        <v/>
      </c>
      <c r="BM23" s="355" t="str">
        <f t="shared" si="12"/>
        <v/>
      </c>
      <c r="BN23" s="313"/>
    </row>
    <row r="24" spans="1:66" s="135" customFormat="1" ht="15" customHeight="1" x14ac:dyDescent="0.25">
      <c r="A24" s="341" t="str">
        <f>IF(D24="","",Cover!$D$8)</f>
        <v/>
      </c>
      <c r="B24" s="341" t="str">
        <f>IF(D24="","",Cover!$D$7)</f>
        <v/>
      </c>
      <c r="C24" s="297" t="str">
        <f>IF(F24="","",IFERROR(VLOOKUP(F24,'Master Data'!$E$59:$J$146,6,FALSE),0))</f>
        <v/>
      </c>
      <c r="D24" s="342" t="str">
        <f>IF(F24="","",IFERROR(VLOOKUP(F24,Reference!$D$48:$AT$196,43,FALSE),0))</f>
        <v/>
      </c>
      <c r="E24" s="297" t="str">
        <f>IF(D24="","",IFERROR(VLOOKUP(D24,'Master Data'!$D$59:$I$146,6,FALSE),0))</f>
        <v/>
      </c>
      <c r="F24" s="343"/>
      <c r="G24" s="344"/>
      <c r="H24" s="345">
        <f>IFERROR(VLOOKUP(G24,'Master Data'!$C$336:$I$353,7,FALSE),0)</f>
        <v>0</v>
      </c>
      <c r="I24" s="346">
        <f>IFERROR(VLOOKUP(H24,'Master Data'!$B$336:$D$351,3,FALSE),0)</f>
        <v>0</v>
      </c>
      <c r="J24" s="347">
        <f>IFERROR(VLOOKUP(H24,'Master Data'!$B$336:$H$353,7,FALSE),0)</f>
        <v>0</v>
      </c>
      <c r="K24" s="348"/>
      <c r="L24" s="349" t="str">
        <f>IFERROR(IF(I24="FIXED ASSET",J24&amp;E24&amp;K24,VLOOKUP(F24,'Master Data'!$E$59:$H$146,4,FALSE)&amp;"-"&amp;J24&amp;"-"&amp;K24),"-")</f>
        <v>-</v>
      </c>
      <c r="M24" s="343"/>
      <c r="N24" s="350"/>
      <c r="O24" s="358"/>
      <c r="P24" s="358"/>
      <c r="Q24" s="358"/>
      <c r="R24" s="358"/>
      <c r="S24" s="358"/>
      <c r="T24" s="358"/>
      <c r="U24" s="358"/>
      <c r="V24" s="358"/>
      <c r="W24" s="358"/>
      <c r="X24" s="358"/>
      <c r="Y24" s="358"/>
      <c r="Z24" s="358"/>
      <c r="AA24" s="351">
        <f t="shared" si="4"/>
        <v>0</v>
      </c>
      <c r="AB24" s="327"/>
      <c r="AC24" s="344"/>
      <c r="AD24" s="359"/>
      <c r="AE24" s="354"/>
      <c r="AF24" s="359"/>
      <c r="AG24" s="359"/>
      <c r="AH24" s="354"/>
      <c r="AI24" s="355" t="str">
        <f t="shared" si="13"/>
        <v/>
      </c>
      <c r="AJ24" s="355" t="str">
        <f t="shared" si="13"/>
        <v/>
      </c>
      <c r="AK24" s="355" t="str">
        <f t="shared" si="9"/>
        <v/>
      </c>
      <c r="AL24" s="313"/>
      <c r="AM24" s="313"/>
      <c r="AN24" s="313"/>
      <c r="AO24" s="307">
        <f t="shared" si="10"/>
        <v>0</v>
      </c>
      <c r="AP24" s="385"/>
      <c r="AQ24" s="313"/>
      <c r="AR24" s="313"/>
      <c r="AS24" s="313"/>
      <c r="AT24" s="313"/>
      <c r="AU24" s="313"/>
      <c r="AV24" s="313"/>
      <c r="AW24" s="313"/>
      <c r="AX24" s="313"/>
      <c r="AY24" s="313"/>
      <c r="AZ24" s="313"/>
      <c r="BA24" s="313"/>
      <c r="BB24" s="313"/>
      <c r="BC24" s="307">
        <f t="shared" si="11"/>
        <v>0</v>
      </c>
      <c r="BD24" s="353">
        <f t="shared" si="5"/>
        <v>0</v>
      </c>
      <c r="BE24" s="344"/>
      <c r="BF24" s="313"/>
      <c r="BG24" s="354"/>
      <c r="BH24" s="313"/>
      <c r="BI24" s="318">
        <f t="shared" si="6"/>
        <v>0</v>
      </c>
      <c r="BJ24" s="354"/>
      <c r="BK24" s="355" t="str">
        <f t="shared" si="2"/>
        <v/>
      </c>
      <c r="BL24" s="355" t="str">
        <f t="shared" si="7"/>
        <v/>
      </c>
      <c r="BM24" s="355" t="str">
        <f t="shared" si="12"/>
        <v/>
      </c>
      <c r="BN24" s="313"/>
    </row>
    <row r="25" spans="1:66" ht="15" customHeight="1" x14ac:dyDescent="0.25">
      <c r="A25" s="341" t="str">
        <f>IF(D25="","",Cover!$D$8)</f>
        <v/>
      </c>
      <c r="B25" s="341" t="str">
        <f>IF(D25="","",Cover!$D$7)</f>
        <v/>
      </c>
      <c r="C25" s="297" t="str">
        <f>IF(F25="","",IFERROR(VLOOKUP(F25,'Master Data'!$E$59:$J$146,6,FALSE),0))</f>
        <v/>
      </c>
      <c r="D25" s="342" t="str">
        <f>IF(F25="","",IFERROR(VLOOKUP(F25,Reference!$D$48:$AT$196,43,FALSE),0))</f>
        <v/>
      </c>
      <c r="E25" s="297" t="str">
        <f>IF(D25="","",IFERROR(VLOOKUP(D25,'Master Data'!$D$59:$I$146,6,FALSE),0))</f>
        <v/>
      </c>
      <c r="F25" s="343"/>
      <c r="G25" s="344"/>
      <c r="H25" s="345">
        <f>IFERROR(VLOOKUP(G25,'Master Data'!$C$336:$I$353,7,FALSE),0)</f>
        <v>0</v>
      </c>
      <c r="I25" s="346">
        <f>IFERROR(VLOOKUP(H25,'Master Data'!$B$336:$D$351,3,FALSE),0)</f>
        <v>0</v>
      </c>
      <c r="J25" s="347">
        <f>IFERROR(VLOOKUP(H25,'Master Data'!$B$336:$H$353,7,FALSE),0)</f>
        <v>0</v>
      </c>
      <c r="K25" s="348"/>
      <c r="L25" s="349" t="str">
        <f>IFERROR(IF(I25="FIXED ASSET",J25&amp;E25&amp;K25,VLOOKUP(F25,'Master Data'!$E$59:$H$146,4,FALSE)&amp;"-"&amp;J25&amp;"-"&amp;K25),"-")</f>
        <v>-</v>
      </c>
      <c r="M25" s="360"/>
      <c r="N25" s="361"/>
      <c r="O25" s="358"/>
      <c r="P25" s="358"/>
      <c r="Q25" s="358"/>
      <c r="R25" s="358"/>
      <c r="S25" s="358"/>
      <c r="T25" s="358"/>
      <c r="U25" s="358"/>
      <c r="V25" s="358"/>
      <c r="W25" s="358"/>
      <c r="X25" s="358"/>
      <c r="Y25" s="358"/>
      <c r="Z25" s="358"/>
      <c r="AA25" s="351">
        <f t="shared" si="4"/>
        <v>0</v>
      </c>
      <c r="AB25" s="327"/>
      <c r="AC25" s="344"/>
      <c r="AD25" s="362"/>
      <c r="AE25" s="354"/>
      <c r="AF25" s="362"/>
      <c r="AG25" s="362"/>
      <c r="AH25" s="354"/>
      <c r="AI25" s="355" t="str">
        <f t="shared" si="13"/>
        <v/>
      </c>
      <c r="AJ25" s="355" t="str">
        <f t="shared" si="13"/>
        <v/>
      </c>
      <c r="AK25" s="355" t="str">
        <f t="shared" si="9"/>
        <v/>
      </c>
      <c r="AL25" s="313"/>
      <c r="AM25" s="313"/>
      <c r="AN25" s="313"/>
      <c r="AO25" s="307">
        <f t="shared" si="10"/>
        <v>0</v>
      </c>
      <c r="AP25" s="385"/>
      <c r="AQ25" s="313"/>
      <c r="AR25" s="313"/>
      <c r="AS25" s="313"/>
      <c r="AT25" s="313"/>
      <c r="AU25" s="313"/>
      <c r="AV25" s="313"/>
      <c r="AW25" s="313"/>
      <c r="AX25" s="313"/>
      <c r="AY25" s="313"/>
      <c r="AZ25" s="313"/>
      <c r="BA25" s="313"/>
      <c r="BB25" s="313"/>
      <c r="BC25" s="307">
        <f t="shared" si="11"/>
        <v>0</v>
      </c>
      <c r="BD25" s="353">
        <f t="shared" si="5"/>
        <v>0</v>
      </c>
      <c r="BE25" s="344"/>
      <c r="BF25" s="313"/>
      <c r="BG25" s="354"/>
      <c r="BH25" s="313"/>
      <c r="BI25" s="318">
        <f t="shared" si="6"/>
        <v>0</v>
      </c>
      <c r="BJ25" s="354"/>
      <c r="BK25" s="355" t="str">
        <f t="shared" si="2"/>
        <v/>
      </c>
      <c r="BL25" s="355" t="str">
        <f t="shared" si="7"/>
        <v/>
      </c>
      <c r="BM25" s="355" t="str">
        <f t="shared" si="12"/>
        <v/>
      </c>
      <c r="BN25" s="313"/>
    </row>
    <row r="26" spans="1:66" ht="15" customHeight="1" x14ac:dyDescent="0.25">
      <c r="A26" s="341" t="str">
        <f>IF(D26="","",Cover!$D$8)</f>
        <v/>
      </c>
      <c r="B26" s="341" t="str">
        <f>IF(D26="","",Cover!$D$7)</f>
        <v/>
      </c>
      <c r="C26" s="297" t="str">
        <f>IF(F26="","",IFERROR(VLOOKUP(F26,'Master Data'!$E$59:$J$146,6,FALSE),0))</f>
        <v/>
      </c>
      <c r="D26" s="342" t="str">
        <f>IF(F26="","",IFERROR(VLOOKUP(F26,Reference!$D$48:$AT$196,43,FALSE),0))</f>
        <v/>
      </c>
      <c r="E26" s="297" t="str">
        <f>IF(D26="","",IFERROR(VLOOKUP(D26,'Master Data'!$D$59:$I$146,6,FALSE),0))</f>
        <v/>
      </c>
      <c r="F26" s="343"/>
      <c r="G26" s="344"/>
      <c r="H26" s="345">
        <f>IFERROR(VLOOKUP(G26,'Master Data'!$C$336:$I$353,7,FALSE),0)</f>
        <v>0</v>
      </c>
      <c r="I26" s="346">
        <f>IFERROR(VLOOKUP(H26,'Master Data'!$B$336:$D$351,3,FALSE),0)</f>
        <v>0</v>
      </c>
      <c r="J26" s="347">
        <f>IFERROR(VLOOKUP(H26,'Master Data'!$B$336:$H$353,7,FALSE),0)</f>
        <v>0</v>
      </c>
      <c r="K26" s="348"/>
      <c r="L26" s="349" t="str">
        <f>IFERROR(IF(I26="FIXED ASSET",J26&amp;E26&amp;K26,VLOOKUP(F26,'Master Data'!$E$59:$H$146,4,FALSE)&amp;"-"&amp;J26&amp;"-"&amp;K26),"-")</f>
        <v>-</v>
      </c>
      <c r="M26" s="360"/>
      <c r="N26" s="361"/>
      <c r="O26" s="358"/>
      <c r="P26" s="358"/>
      <c r="Q26" s="358"/>
      <c r="R26" s="358"/>
      <c r="S26" s="358"/>
      <c r="T26" s="358"/>
      <c r="U26" s="358"/>
      <c r="V26" s="358"/>
      <c r="W26" s="358"/>
      <c r="X26" s="358"/>
      <c r="Y26" s="358"/>
      <c r="Z26" s="358"/>
      <c r="AA26" s="351">
        <f t="shared" ref="AA26:AA56" si="14">SUM(O26:Z26)</f>
        <v>0</v>
      </c>
      <c r="AB26" s="327"/>
      <c r="AC26" s="344"/>
      <c r="AD26" s="362"/>
      <c r="AE26" s="354"/>
      <c r="AF26" s="362"/>
      <c r="AG26" s="362"/>
      <c r="AH26" s="354"/>
      <c r="AI26" s="355" t="str">
        <f t="shared" si="13"/>
        <v/>
      </c>
      <c r="AJ26" s="355" t="str">
        <f t="shared" si="13"/>
        <v/>
      </c>
      <c r="AK26" s="355" t="str">
        <f t="shared" ref="AK26:AK56" si="15">IF(AA26&gt;0,"Please Fill Remarks","")</f>
        <v/>
      </c>
      <c r="AL26" s="313"/>
      <c r="AM26" s="313"/>
      <c r="AN26" s="313"/>
      <c r="AO26" s="307">
        <f t="shared" si="10"/>
        <v>0</v>
      </c>
      <c r="AP26" s="385"/>
      <c r="AQ26" s="313"/>
      <c r="AR26" s="313"/>
      <c r="AS26" s="313"/>
      <c r="AT26" s="313"/>
      <c r="AU26" s="313"/>
      <c r="AV26" s="313"/>
      <c r="AW26" s="313"/>
      <c r="AX26" s="313"/>
      <c r="AY26" s="313"/>
      <c r="AZ26" s="313"/>
      <c r="BA26" s="313"/>
      <c r="BB26" s="313"/>
      <c r="BC26" s="307">
        <f t="shared" si="11"/>
        <v>0</v>
      </c>
      <c r="BD26" s="353">
        <f t="shared" si="5"/>
        <v>0</v>
      </c>
      <c r="BE26" s="344"/>
      <c r="BF26" s="313"/>
      <c r="BG26" s="354"/>
      <c r="BH26" s="313"/>
      <c r="BI26" s="318">
        <f t="shared" si="6"/>
        <v>0</v>
      </c>
      <c r="BJ26" s="354"/>
      <c r="BK26" s="355" t="str">
        <f t="shared" si="2"/>
        <v/>
      </c>
      <c r="BL26" s="355" t="str">
        <f t="shared" si="7"/>
        <v/>
      </c>
      <c r="BM26" s="355" t="str">
        <f t="shared" si="12"/>
        <v/>
      </c>
      <c r="BN26" s="313"/>
    </row>
    <row r="27" spans="1:66" ht="15" customHeight="1" x14ac:dyDescent="0.25">
      <c r="A27" s="341" t="str">
        <f>IF(D27="","",Cover!$D$8)</f>
        <v/>
      </c>
      <c r="B27" s="341" t="str">
        <f>IF(D27="","",Cover!$D$7)</f>
        <v/>
      </c>
      <c r="C27" s="297" t="str">
        <f>IF(F27="","",IFERROR(VLOOKUP(F27,'Master Data'!$E$59:$J$146,6,FALSE),0))</f>
        <v/>
      </c>
      <c r="D27" s="342" t="str">
        <f>IF(F27="","",IFERROR(VLOOKUP(F27,Reference!$D$48:$AT$196,43,FALSE),0))</f>
        <v/>
      </c>
      <c r="E27" s="297" t="str">
        <f>IF(D27="","",IFERROR(VLOOKUP(D27,'Master Data'!$D$59:$I$146,6,FALSE),0))</f>
        <v/>
      </c>
      <c r="F27" s="343"/>
      <c r="G27" s="344"/>
      <c r="H27" s="345">
        <f>IFERROR(VLOOKUP(G27,'Master Data'!$C$336:$I$353,7,FALSE),0)</f>
        <v>0</v>
      </c>
      <c r="I27" s="346">
        <f>IFERROR(VLOOKUP(H27,'Master Data'!$B$336:$D$351,3,FALSE),0)</f>
        <v>0</v>
      </c>
      <c r="J27" s="347">
        <f>IFERROR(VLOOKUP(H27,'Master Data'!$B$336:$H$353,7,FALSE),0)</f>
        <v>0</v>
      </c>
      <c r="K27" s="348"/>
      <c r="L27" s="349" t="str">
        <f>IFERROR(IF(I27="FIXED ASSET",J27&amp;E27&amp;K27,VLOOKUP(F27,'Master Data'!$E$59:$H$146,4,FALSE)&amp;"-"&amp;J27&amp;"-"&amp;K27),"-")</f>
        <v>-</v>
      </c>
      <c r="M27" s="360"/>
      <c r="N27" s="361"/>
      <c r="O27" s="358"/>
      <c r="P27" s="358"/>
      <c r="Q27" s="358"/>
      <c r="R27" s="358"/>
      <c r="S27" s="358"/>
      <c r="T27" s="358"/>
      <c r="U27" s="358"/>
      <c r="V27" s="358"/>
      <c r="W27" s="358"/>
      <c r="X27" s="358"/>
      <c r="Y27" s="358"/>
      <c r="Z27" s="358"/>
      <c r="AA27" s="351">
        <f t="shared" si="14"/>
        <v>0</v>
      </c>
      <c r="AB27" s="327"/>
      <c r="AC27" s="344"/>
      <c r="AD27" s="362"/>
      <c r="AE27" s="354"/>
      <c r="AF27" s="362"/>
      <c r="AG27" s="362"/>
      <c r="AH27" s="354"/>
      <c r="AI27" s="355" t="str">
        <f t="shared" si="13"/>
        <v/>
      </c>
      <c r="AJ27" s="355" t="str">
        <f t="shared" si="13"/>
        <v/>
      </c>
      <c r="AK27" s="355" t="str">
        <f t="shared" si="15"/>
        <v/>
      </c>
      <c r="AL27" s="313"/>
      <c r="AM27" s="313"/>
      <c r="AN27" s="313"/>
      <c r="AO27" s="307">
        <f t="shared" si="10"/>
        <v>0</v>
      </c>
      <c r="AP27" s="385"/>
      <c r="AQ27" s="313"/>
      <c r="AR27" s="313"/>
      <c r="AS27" s="313"/>
      <c r="AT27" s="313"/>
      <c r="AU27" s="313"/>
      <c r="AV27" s="313"/>
      <c r="AW27" s="313"/>
      <c r="AX27" s="313"/>
      <c r="AY27" s="313"/>
      <c r="AZ27" s="313"/>
      <c r="BA27" s="313"/>
      <c r="BB27" s="313"/>
      <c r="BC27" s="307">
        <f t="shared" si="11"/>
        <v>0</v>
      </c>
      <c r="BD27" s="353">
        <f t="shared" si="5"/>
        <v>0</v>
      </c>
      <c r="BE27" s="344"/>
      <c r="BF27" s="313"/>
      <c r="BG27" s="354"/>
      <c r="BH27" s="313"/>
      <c r="BI27" s="318">
        <f t="shared" si="6"/>
        <v>0</v>
      </c>
      <c r="BJ27" s="354"/>
      <c r="BK27" s="355" t="str">
        <f t="shared" si="2"/>
        <v/>
      </c>
      <c r="BL27" s="355" t="str">
        <f t="shared" si="7"/>
        <v/>
      </c>
      <c r="BM27" s="355" t="str">
        <f t="shared" si="12"/>
        <v/>
      </c>
      <c r="BN27" s="313"/>
    </row>
    <row r="28" spans="1:66" ht="15" customHeight="1" x14ac:dyDescent="0.25">
      <c r="A28" s="341" t="str">
        <f>IF(D28="","",Cover!$D$8)</f>
        <v/>
      </c>
      <c r="B28" s="341" t="str">
        <f>IF(D28="","",Cover!$D$7)</f>
        <v/>
      </c>
      <c r="C28" s="297" t="str">
        <f>IF(F28="","",IFERROR(VLOOKUP(F28,'Master Data'!$E$59:$J$146,6,FALSE),0))</f>
        <v/>
      </c>
      <c r="D28" s="342" t="str">
        <f>IF(F28="","",IFERROR(VLOOKUP(F28,Reference!$D$48:$AT$196,43,FALSE),0))</f>
        <v/>
      </c>
      <c r="E28" s="297" t="str">
        <f>IF(D28="","",IFERROR(VLOOKUP(D28,'Master Data'!$D$59:$I$146,6,FALSE),0))</f>
        <v/>
      </c>
      <c r="F28" s="343"/>
      <c r="G28" s="344"/>
      <c r="H28" s="345">
        <f>IFERROR(VLOOKUP(G28,'Master Data'!$C$336:$I$353,7,FALSE),0)</f>
        <v>0</v>
      </c>
      <c r="I28" s="346">
        <f>IFERROR(VLOOKUP(H28,'Master Data'!$B$336:$D$351,3,FALSE),0)</f>
        <v>0</v>
      </c>
      <c r="J28" s="347">
        <f>IFERROR(VLOOKUP(H28,'Master Data'!$B$336:$H$353,7,FALSE),0)</f>
        <v>0</v>
      </c>
      <c r="K28" s="348"/>
      <c r="L28" s="349" t="str">
        <f>IFERROR(IF(I28="FIXED ASSET",J28&amp;E28&amp;K28,VLOOKUP(F28,'Master Data'!$E$59:$H$146,4,FALSE)&amp;"-"&amp;J28&amp;"-"&amp;K28),"-")</f>
        <v>-</v>
      </c>
      <c r="M28" s="360"/>
      <c r="N28" s="361"/>
      <c r="O28" s="358"/>
      <c r="P28" s="358"/>
      <c r="Q28" s="358"/>
      <c r="R28" s="358"/>
      <c r="S28" s="358"/>
      <c r="T28" s="358"/>
      <c r="U28" s="358"/>
      <c r="V28" s="358"/>
      <c r="W28" s="358"/>
      <c r="X28" s="358"/>
      <c r="Y28" s="358"/>
      <c r="Z28" s="358"/>
      <c r="AA28" s="351">
        <f t="shared" si="14"/>
        <v>0</v>
      </c>
      <c r="AB28" s="327"/>
      <c r="AC28" s="344"/>
      <c r="AD28" s="362"/>
      <c r="AE28" s="354"/>
      <c r="AF28" s="362"/>
      <c r="AG28" s="362"/>
      <c r="AH28" s="354"/>
      <c r="AI28" s="355" t="str">
        <f t="shared" si="13"/>
        <v/>
      </c>
      <c r="AJ28" s="355" t="str">
        <f t="shared" si="13"/>
        <v/>
      </c>
      <c r="AK28" s="355" t="str">
        <f t="shared" si="15"/>
        <v/>
      </c>
      <c r="AL28" s="313"/>
      <c r="AM28" s="313"/>
      <c r="AN28" s="313"/>
      <c r="AO28" s="307">
        <f t="shared" si="10"/>
        <v>0</v>
      </c>
      <c r="AP28" s="385"/>
      <c r="AQ28" s="313"/>
      <c r="AR28" s="313"/>
      <c r="AS28" s="313"/>
      <c r="AT28" s="313"/>
      <c r="AU28" s="313"/>
      <c r="AV28" s="313"/>
      <c r="AW28" s="313"/>
      <c r="AX28" s="313"/>
      <c r="AY28" s="313"/>
      <c r="AZ28" s="313"/>
      <c r="BA28" s="313"/>
      <c r="BB28" s="313"/>
      <c r="BC28" s="307">
        <f t="shared" si="11"/>
        <v>0</v>
      </c>
      <c r="BD28" s="353">
        <f t="shared" si="5"/>
        <v>0</v>
      </c>
      <c r="BE28" s="344"/>
      <c r="BF28" s="313"/>
      <c r="BG28" s="354"/>
      <c r="BH28" s="313"/>
      <c r="BI28" s="318">
        <f t="shared" si="6"/>
        <v>0</v>
      </c>
      <c r="BJ28" s="354"/>
      <c r="BK28" s="355" t="str">
        <f t="shared" si="2"/>
        <v/>
      </c>
      <c r="BL28" s="355" t="str">
        <f t="shared" si="7"/>
        <v/>
      </c>
      <c r="BM28" s="355" t="str">
        <f t="shared" si="12"/>
        <v/>
      </c>
      <c r="BN28" s="313"/>
    </row>
    <row r="29" spans="1:66" ht="15" customHeight="1" x14ac:dyDescent="0.25">
      <c r="A29" s="341" t="str">
        <f>IF(D29="","",Cover!$D$8)</f>
        <v/>
      </c>
      <c r="B29" s="341" t="str">
        <f>IF(D29="","",Cover!$D$7)</f>
        <v/>
      </c>
      <c r="C29" s="297" t="str">
        <f>IF(F29="","",IFERROR(VLOOKUP(F29,'Master Data'!$E$59:$J$146,6,FALSE),0))</f>
        <v/>
      </c>
      <c r="D29" s="342" t="str">
        <f>IF(F29="","",IFERROR(VLOOKUP(F29,Reference!$D$48:$AT$196,43,FALSE),0))</f>
        <v/>
      </c>
      <c r="E29" s="297" t="str">
        <f>IF(D29="","",IFERROR(VLOOKUP(D29,'Master Data'!$D$59:$I$146,6,FALSE),0))</f>
        <v/>
      </c>
      <c r="F29" s="343"/>
      <c r="G29" s="344"/>
      <c r="H29" s="345">
        <f>IFERROR(VLOOKUP(G29,'Master Data'!$C$336:$I$353,7,FALSE),0)</f>
        <v>0</v>
      </c>
      <c r="I29" s="346">
        <f>IFERROR(VLOOKUP(H29,'Master Data'!$B$336:$D$351,3,FALSE),0)</f>
        <v>0</v>
      </c>
      <c r="J29" s="347">
        <f>IFERROR(VLOOKUP(H29,'Master Data'!$B$336:$H$353,7,FALSE),0)</f>
        <v>0</v>
      </c>
      <c r="K29" s="348"/>
      <c r="L29" s="349" t="str">
        <f>IFERROR(IF(I29="FIXED ASSET",J29&amp;E29&amp;K29,VLOOKUP(F29,'Master Data'!$E$59:$H$146,4,FALSE)&amp;"-"&amp;J29&amp;"-"&amp;K29),"-")</f>
        <v>-</v>
      </c>
      <c r="M29" s="360"/>
      <c r="N29" s="361"/>
      <c r="O29" s="358"/>
      <c r="P29" s="358"/>
      <c r="Q29" s="358"/>
      <c r="R29" s="358"/>
      <c r="S29" s="358"/>
      <c r="T29" s="358"/>
      <c r="U29" s="358"/>
      <c r="V29" s="358"/>
      <c r="W29" s="358"/>
      <c r="X29" s="358"/>
      <c r="Y29" s="358"/>
      <c r="Z29" s="358"/>
      <c r="AA29" s="351">
        <f t="shared" si="14"/>
        <v>0</v>
      </c>
      <c r="AB29" s="327"/>
      <c r="AC29" s="344"/>
      <c r="AD29" s="362"/>
      <c r="AE29" s="354"/>
      <c r="AF29" s="362"/>
      <c r="AG29" s="362"/>
      <c r="AH29" s="354"/>
      <c r="AI29" s="355" t="str">
        <f t="shared" si="13"/>
        <v/>
      </c>
      <c r="AJ29" s="355" t="str">
        <f t="shared" si="13"/>
        <v/>
      </c>
      <c r="AK29" s="355" t="str">
        <f t="shared" si="15"/>
        <v/>
      </c>
      <c r="AL29" s="313"/>
      <c r="AM29" s="313"/>
      <c r="AN29" s="313"/>
      <c r="AO29" s="307">
        <f t="shared" si="10"/>
        <v>0</v>
      </c>
      <c r="AP29" s="385"/>
      <c r="AQ29" s="313"/>
      <c r="AR29" s="313"/>
      <c r="AS29" s="313"/>
      <c r="AT29" s="313"/>
      <c r="AU29" s="313"/>
      <c r="AV29" s="313"/>
      <c r="AW29" s="313"/>
      <c r="AX29" s="313"/>
      <c r="AY29" s="313"/>
      <c r="AZ29" s="313"/>
      <c r="BA29" s="313"/>
      <c r="BB29" s="313"/>
      <c r="BC29" s="307">
        <f t="shared" si="11"/>
        <v>0</v>
      </c>
      <c r="BD29" s="353">
        <f t="shared" si="5"/>
        <v>0</v>
      </c>
      <c r="BE29" s="344"/>
      <c r="BF29" s="313"/>
      <c r="BG29" s="354"/>
      <c r="BH29" s="313"/>
      <c r="BI29" s="318">
        <f t="shared" si="6"/>
        <v>0</v>
      </c>
      <c r="BJ29" s="354"/>
      <c r="BK29" s="355" t="str">
        <f t="shared" si="2"/>
        <v/>
      </c>
      <c r="BL29" s="355" t="str">
        <f t="shared" si="7"/>
        <v/>
      </c>
      <c r="BM29" s="355" t="str">
        <f t="shared" si="12"/>
        <v/>
      </c>
      <c r="BN29" s="313"/>
    </row>
    <row r="30" spans="1:66" ht="15" customHeight="1" x14ac:dyDescent="0.25">
      <c r="A30" s="341" t="str">
        <f>IF(D30="","",Cover!$D$8)</f>
        <v/>
      </c>
      <c r="B30" s="341" t="str">
        <f>IF(D30="","",Cover!$D$7)</f>
        <v/>
      </c>
      <c r="C30" s="297" t="str">
        <f>IF(F30="","",IFERROR(VLOOKUP(F30,'Master Data'!$E$59:$J$146,6,FALSE),0))</f>
        <v/>
      </c>
      <c r="D30" s="342" t="str">
        <f>IF(F30="","",IFERROR(VLOOKUP(F30,Reference!$D$48:$AT$196,43,FALSE),0))</f>
        <v/>
      </c>
      <c r="E30" s="297" t="str">
        <f>IF(D30="","",IFERROR(VLOOKUP(D30,'Master Data'!$D$59:$I$146,6,FALSE),0))</f>
        <v/>
      </c>
      <c r="F30" s="343"/>
      <c r="G30" s="344"/>
      <c r="H30" s="345">
        <f>IFERROR(VLOOKUP(G30,'Master Data'!$C$336:$I$353,7,FALSE),0)</f>
        <v>0</v>
      </c>
      <c r="I30" s="346">
        <f>IFERROR(VLOOKUP(H30,'Master Data'!$B$336:$D$351,3,FALSE),0)</f>
        <v>0</v>
      </c>
      <c r="J30" s="347">
        <f>IFERROR(VLOOKUP(H30,'Master Data'!$B$336:$H$353,7,FALSE),0)</f>
        <v>0</v>
      </c>
      <c r="K30" s="348"/>
      <c r="L30" s="349" t="str">
        <f>IFERROR(IF(I30="FIXED ASSET",J30&amp;E30&amp;K30,VLOOKUP(F30,'Master Data'!$E$59:$H$146,4,FALSE)&amp;"-"&amp;J30&amp;"-"&amp;K30),"-")</f>
        <v>-</v>
      </c>
      <c r="M30" s="360"/>
      <c r="N30" s="361"/>
      <c r="O30" s="358"/>
      <c r="P30" s="358"/>
      <c r="Q30" s="358"/>
      <c r="R30" s="358"/>
      <c r="S30" s="358"/>
      <c r="T30" s="358"/>
      <c r="U30" s="358"/>
      <c r="V30" s="358"/>
      <c r="W30" s="358"/>
      <c r="X30" s="358"/>
      <c r="Y30" s="358"/>
      <c r="Z30" s="358"/>
      <c r="AA30" s="351">
        <f t="shared" si="14"/>
        <v>0</v>
      </c>
      <c r="AB30" s="327"/>
      <c r="AC30" s="344"/>
      <c r="AD30" s="362"/>
      <c r="AE30" s="354"/>
      <c r="AF30" s="362"/>
      <c r="AG30" s="362"/>
      <c r="AH30" s="354"/>
      <c r="AI30" s="355" t="str">
        <f t="shared" si="13"/>
        <v/>
      </c>
      <c r="AJ30" s="355" t="str">
        <f t="shared" si="13"/>
        <v/>
      </c>
      <c r="AK30" s="355" t="str">
        <f t="shared" si="15"/>
        <v/>
      </c>
      <c r="AL30" s="313"/>
      <c r="AM30" s="313"/>
      <c r="AN30" s="313"/>
      <c r="AO30" s="307">
        <f t="shared" si="10"/>
        <v>0</v>
      </c>
      <c r="AP30" s="385"/>
      <c r="AQ30" s="313"/>
      <c r="AR30" s="313"/>
      <c r="AS30" s="313"/>
      <c r="AT30" s="313"/>
      <c r="AU30" s="313"/>
      <c r="AV30" s="313"/>
      <c r="AW30" s="313"/>
      <c r="AX30" s="313"/>
      <c r="AY30" s="313"/>
      <c r="AZ30" s="313"/>
      <c r="BA30" s="313"/>
      <c r="BB30" s="313"/>
      <c r="BC30" s="307">
        <f t="shared" si="11"/>
        <v>0</v>
      </c>
      <c r="BD30" s="353">
        <f t="shared" si="5"/>
        <v>0</v>
      </c>
      <c r="BE30" s="344"/>
      <c r="BF30" s="313"/>
      <c r="BG30" s="354"/>
      <c r="BH30" s="313"/>
      <c r="BI30" s="318">
        <f t="shared" si="6"/>
        <v>0</v>
      </c>
      <c r="BJ30" s="354"/>
      <c r="BK30" s="355" t="str">
        <f t="shared" si="2"/>
        <v/>
      </c>
      <c r="BL30" s="355" t="str">
        <f t="shared" si="7"/>
        <v/>
      </c>
      <c r="BM30" s="355" t="str">
        <f t="shared" si="12"/>
        <v/>
      </c>
      <c r="BN30" s="313"/>
    </row>
    <row r="31" spans="1:66" ht="15" customHeight="1" x14ac:dyDescent="0.25">
      <c r="A31" s="341" t="str">
        <f>IF(D31="","",Cover!$D$8)</f>
        <v/>
      </c>
      <c r="B31" s="341" t="str">
        <f>IF(D31="","",Cover!$D$7)</f>
        <v/>
      </c>
      <c r="C31" s="297" t="str">
        <f>IF(F31="","",IFERROR(VLOOKUP(F31,'Master Data'!$E$59:$J$146,6,FALSE),0))</f>
        <v/>
      </c>
      <c r="D31" s="342" t="str">
        <f>IF(F31="","",IFERROR(VLOOKUP(F31,Reference!$D$48:$AT$196,43,FALSE),0))</f>
        <v/>
      </c>
      <c r="E31" s="297" t="str">
        <f>IF(D31="","",IFERROR(VLOOKUP(D31,'Master Data'!$D$59:$I$146,6,FALSE),0))</f>
        <v/>
      </c>
      <c r="F31" s="343"/>
      <c r="G31" s="344"/>
      <c r="H31" s="345">
        <f>IFERROR(VLOOKUP(G31,'Master Data'!$C$336:$I$353,7,FALSE),0)</f>
        <v>0</v>
      </c>
      <c r="I31" s="346">
        <f>IFERROR(VLOOKUP(H31,'Master Data'!$B$336:$D$351,3,FALSE),0)</f>
        <v>0</v>
      </c>
      <c r="J31" s="347">
        <f>IFERROR(VLOOKUP(H31,'Master Data'!$B$336:$H$353,7,FALSE),0)</f>
        <v>0</v>
      </c>
      <c r="K31" s="348"/>
      <c r="L31" s="349" t="str">
        <f>IFERROR(IF(I31="FIXED ASSET",J31&amp;E31&amp;K31,VLOOKUP(F31,'Master Data'!$E$59:$H$146,4,FALSE)&amp;"-"&amp;J31&amp;"-"&amp;K31),"-")</f>
        <v>-</v>
      </c>
      <c r="M31" s="360"/>
      <c r="N31" s="361"/>
      <c r="O31" s="358"/>
      <c r="P31" s="358"/>
      <c r="Q31" s="358"/>
      <c r="R31" s="358"/>
      <c r="S31" s="358"/>
      <c r="T31" s="358"/>
      <c r="U31" s="358"/>
      <c r="V31" s="358"/>
      <c r="W31" s="358"/>
      <c r="X31" s="358"/>
      <c r="Y31" s="358"/>
      <c r="Z31" s="358"/>
      <c r="AA31" s="351">
        <f t="shared" si="14"/>
        <v>0</v>
      </c>
      <c r="AB31" s="327"/>
      <c r="AC31" s="344"/>
      <c r="AD31" s="362"/>
      <c r="AE31" s="354"/>
      <c r="AF31" s="362"/>
      <c r="AG31" s="362"/>
      <c r="AH31" s="354"/>
      <c r="AI31" s="355" t="str">
        <f t="shared" si="13"/>
        <v/>
      </c>
      <c r="AJ31" s="355" t="str">
        <f t="shared" si="13"/>
        <v/>
      </c>
      <c r="AK31" s="355" t="str">
        <f t="shared" si="15"/>
        <v/>
      </c>
      <c r="AL31" s="313"/>
      <c r="AM31" s="313"/>
      <c r="AN31" s="313"/>
      <c r="AO31" s="307">
        <f t="shared" si="10"/>
        <v>0</v>
      </c>
      <c r="AP31" s="385"/>
      <c r="AQ31" s="313"/>
      <c r="AR31" s="313"/>
      <c r="AS31" s="313"/>
      <c r="AT31" s="313"/>
      <c r="AU31" s="313"/>
      <c r="AV31" s="313"/>
      <c r="AW31" s="313"/>
      <c r="AX31" s="313"/>
      <c r="AY31" s="313"/>
      <c r="AZ31" s="313"/>
      <c r="BA31" s="313"/>
      <c r="BB31" s="313"/>
      <c r="BC31" s="307">
        <f t="shared" si="11"/>
        <v>0</v>
      </c>
      <c r="BD31" s="353">
        <f t="shared" si="5"/>
        <v>0</v>
      </c>
      <c r="BE31" s="344"/>
      <c r="BF31" s="313"/>
      <c r="BG31" s="354"/>
      <c r="BH31" s="313"/>
      <c r="BI31" s="318">
        <f t="shared" si="6"/>
        <v>0</v>
      </c>
      <c r="BJ31" s="354"/>
      <c r="BK31" s="355" t="str">
        <f t="shared" si="2"/>
        <v/>
      </c>
      <c r="BL31" s="355" t="str">
        <f t="shared" si="7"/>
        <v/>
      </c>
      <c r="BM31" s="355" t="str">
        <f t="shared" si="12"/>
        <v/>
      </c>
      <c r="BN31" s="313"/>
    </row>
    <row r="32" spans="1:66" ht="15" customHeight="1" x14ac:dyDescent="0.25">
      <c r="A32" s="341" t="str">
        <f>IF(D32="","",Cover!$D$8)</f>
        <v/>
      </c>
      <c r="B32" s="341" t="str">
        <f>IF(D32="","",Cover!$D$7)</f>
        <v/>
      </c>
      <c r="C32" s="297" t="str">
        <f>IF(F32="","",IFERROR(VLOOKUP(F32,'Master Data'!$E$59:$J$146,6,FALSE),0))</f>
        <v/>
      </c>
      <c r="D32" s="342" t="str">
        <f>IF(F32="","",IFERROR(VLOOKUP(F32,Reference!$D$48:$AT$196,43,FALSE),0))</f>
        <v/>
      </c>
      <c r="E32" s="297" t="str">
        <f>IF(D32="","",IFERROR(VLOOKUP(D32,'Master Data'!$D$59:$I$146,6,FALSE),0))</f>
        <v/>
      </c>
      <c r="F32" s="343"/>
      <c r="G32" s="344"/>
      <c r="H32" s="345">
        <f>IFERROR(VLOOKUP(G32,'Master Data'!$C$336:$I$353,7,FALSE),0)</f>
        <v>0</v>
      </c>
      <c r="I32" s="346">
        <f>IFERROR(VLOOKUP(H32,'Master Data'!$B$336:$D$351,3,FALSE),0)</f>
        <v>0</v>
      </c>
      <c r="J32" s="347">
        <f>IFERROR(VLOOKUP(H32,'Master Data'!$B$336:$H$353,7,FALSE),0)</f>
        <v>0</v>
      </c>
      <c r="K32" s="348"/>
      <c r="L32" s="349" t="str">
        <f>IFERROR(IF(I32="FIXED ASSET",J32&amp;E32&amp;K32,VLOOKUP(F32,'Master Data'!$E$59:$H$146,4,FALSE)&amp;"-"&amp;J32&amp;"-"&amp;K32),"-")</f>
        <v>-</v>
      </c>
      <c r="M32" s="360"/>
      <c r="N32" s="361"/>
      <c r="O32" s="358"/>
      <c r="P32" s="358"/>
      <c r="Q32" s="358"/>
      <c r="R32" s="358"/>
      <c r="S32" s="358"/>
      <c r="T32" s="358"/>
      <c r="U32" s="358"/>
      <c r="V32" s="358"/>
      <c r="W32" s="358"/>
      <c r="X32" s="358"/>
      <c r="Y32" s="358"/>
      <c r="Z32" s="358"/>
      <c r="AA32" s="351">
        <f t="shared" si="14"/>
        <v>0</v>
      </c>
      <c r="AB32" s="327"/>
      <c r="AC32" s="344"/>
      <c r="AD32" s="362"/>
      <c r="AE32" s="354"/>
      <c r="AF32" s="362"/>
      <c r="AG32" s="362"/>
      <c r="AH32" s="354"/>
      <c r="AI32" s="355" t="str">
        <f t="shared" si="13"/>
        <v/>
      </c>
      <c r="AJ32" s="355" t="str">
        <f t="shared" si="13"/>
        <v/>
      </c>
      <c r="AK32" s="355" t="str">
        <f t="shared" si="15"/>
        <v/>
      </c>
      <c r="AL32" s="313"/>
      <c r="AM32" s="313"/>
      <c r="AN32" s="313"/>
      <c r="AO32" s="307">
        <f t="shared" si="10"/>
        <v>0</v>
      </c>
      <c r="AP32" s="385"/>
      <c r="AQ32" s="313"/>
      <c r="AR32" s="313"/>
      <c r="AS32" s="313"/>
      <c r="AT32" s="313"/>
      <c r="AU32" s="313"/>
      <c r="AV32" s="313"/>
      <c r="AW32" s="313"/>
      <c r="AX32" s="313"/>
      <c r="AY32" s="313"/>
      <c r="AZ32" s="313"/>
      <c r="BA32" s="313"/>
      <c r="BB32" s="313"/>
      <c r="BC32" s="307">
        <f t="shared" si="11"/>
        <v>0</v>
      </c>
      <c r="BD32" s="353">
        <f t="shared" si="5"/>
        <v>0</v>
      </c>
      <c r="BE32" s="344"/>
      <c r="BF32" s="313"/>
      <c r="BG32" s="354"/>
      <c r="BH32" s="313"/>
      <c r="BI32" s="318">
        <f t="shared" si="6"/>
        <v>0</v>
      </c>
      <c r="BJ32" s="354"/>
      <c r="BK32" s="355" t="str">
        <f t="shared" si="2"/>
        <v/>
      </c>
      <c r="BL32" s="355" t="str">
        <f t="shared" si="7"/>
        <v/>
      </c>
      <c r="BM32" s="355" t="str">
        <f t="shared" si="12"/>
        <v/>
      </c>
      <c r="BN32" s="313"/>
    </row>
    <row r="33" spans="1:66" ht="15" customHeight="1" x14ac:dyDescent="0.25">
      <c r="A33" s="341" t="str">
        <f>IF(D33="","",Cover!$D$8)</f>
        <v/>
      </c>
      <c r="B33" s="341" t="str">
        <f>IF(D33="","",Cover!$D$7)</f>
        <v/>
      </c>
      <c r="C33" s="297" t="str">
        <f>IF(F33="","",IFERROR(VLOOKUP(F33,'Master Data'!$E$59:$J$146,6,FALSE),0))</f>
        <v/>
      </c>
      <c r="D33" s="342" t="str">
        <f>IF(F33="","",IFERROR(VLOOKUP(F33,Reference!$D$48:$AT$196,43,FALSE),0))</f>
        <v/>
      </c>
      <c r="E33" s="297" t="str">
        <f>IF(D33="","",IFERROR(VLOOKUP(D33,'Master Data'!$D$59:$I$146,6,FALSE),0))</f>
        <v/>
      </c>
      <c r="F33" s="343"/>
      <c r="G33" s="344"/>
      <c r="H33" s="345">
        <f>IFERROR(VLOOKUP(G33,'Master Data'!$C$336:$I$353,7,FALSE),0)</f>
        <v>0</v>
      </c>
      <c r="I33" s="346">
        <f>IFERROR(VLOOKUP(H33,'Master Data'!$B$336:$D$351,3,FALSE),0)</f>
        <v>0</v>
      </c>
      <c r="J33" s="347">
        <f>IFERROR(VLOOKUP(H33,'Master Data'!$B$336:$H$353,7,FALSE),0)</f>
        <v>0</v>
      </c>
      <c r="K33" s="348"/>
      <c r="L33" s="349" t="str">
        <f>IFERROR(IF(I33="FIXED ASSET",J33&amp;E33&amp;K33,VLOOKUP(F33,'Master Data'!$E$59:$H$146,4,FALSE)&amp;"-"&amp;J33&amp;"-"&amp;K33),"-")</f>
        <v>-</v>
      </c>
      <c r="M33" s="360"/>
      <c r="N33" s="361"/>
      <c r="O33" s="358"/>
      <c r="P33" s="358"/>
      <c r="Q33" s="358"/>
      <c r="R33" s="358"/>
      <c r="S33" s="358"/>
      <c r="T33" s="358"/>
      <c r="U33" s="358"/>
      <c r="V33" s="358"/>
      <c r="W33" s="358"/>
      <c r="X33" s="358"/>
      <c r="Y33" s="358"/>
      <c r="Z33" s="358"/>
      <c r="AA33" s="351">
        <f t="shared" si="14"/>
        <v>0</v>
      </c>
      <c r="AB33" s="327"/>
      <c r="AC33" s="344"/>
      <c r="AD33" s="362"/>
      <c r="AE33" s="354"/>
      <c r="AF33" s="362"/>
      <c r="AG33" s="362"/>
      <c r="AH33" s="354"/>
      <c r="AI33" s="355" t="str">
        <f t="shared" si="13"/>
        <v/>
      </c>
      <c r="AJ33" s="355" t="str">
        <f t="shared" si="13"/>
        <v/>
      </c>
      <c r="AK33" s="355" t="str">
        <f t="shared" si="15"/>
        <v/>
      </c>
      <c r="AL33" s="313"/>
      <c r="AM33" s="313"/>
      <c r="AN33" s="313"/>
      <c r="AO33" s="307">
        <f t="shared" si="10"/>
        <v>0</v>
      </c>
      <c r="AP33" s="385"/>
      <c r="AQ33" s="313"/>
      <c r="AR33" s="313"/>
      <c r="AS33" s="313"/>
      <c r="AT33" s="313"/>
      <c r="AU33" s="313"/>
      <c r="AV33" s="313"/>
      <c r="AW33" s="313"/>
      <c r="AX33" s="313"/>
      <c r="AY33" s="313"/>
      <c r="AZ33" s="313"/>
      <c r="BA33" s="313"/>
      <c r="BB33" s="313"/>
      <c r="BC33" s="307">
        <f t="shared" si="11"/>
        <v>0</v>
      </c>
      <c r="BD33" s="353">
        <f t="shared" si="5"/>
        <v>0</v>
      </c>
      <c r="BE33" s="344"/>
      <c r="BF33" s="313"/>
      <c r="BG33" s="354"/>
      <c r="BH33" s="313"/>
      <c r="BI33" s="318">
        <f t="shared" si="6"/>
        <v>0</v>
      </c>
      <c r="BJ33" s="354"/>
      <c r="BK33" s="355" t="str">
        <f t="shared" si="2"/>
        <v/>
      </c>
      <c r="BL33" s="355" t="str">
        <f t="shared" si="7"/>
        <v/>
      </c>
      <c r="BM33" s="355" t="str">
        <f t="shared" si="12"/>
        <v/>
      </c>
      <c r="BN33" s="313"/>
    </row>
    <row r="34" spans="1:66" ht="15" customHeight="1" x14ac:dyDescent="0.25">
      <c r="A34" s="341" t="str">
        <f>IF(D34="","",Cover!$D$8)</f>
        <v/>
      </c>
      <c r="B34" s="341" t="str">
        <f>IF(D34="","",Cover!$D$7)</f>
        <v/>
      </c>
      <c r="C34" s="297" t="str">
        <f>IF(F34="","",IFERROR(VLOOKUP(F34,'Master Data'!$E$59:$J$146,6,FALSE),0))</f>
        <v/>
      </c>
      <c r="D34" s="342" t="str">
        <f>IF(F34="","",IFERROR(VLOOKUP(F34,Reference!$D$48:$AT$196,43,FALSE),0))</f>
        <v/>
      </c>
      <c r="E34" s="297" t="str">
        <f>IF(D34="","",IFERROR(VLOOKUP(D34,'Master Data'!$D$59:$I$146,6,FALSE),0))</f>
        <v/>
      </c>
      <c r="F34" s="343"/>
      <c r="G34" s="344"/>
      <c r="H34" s="345">
        <f>IFERROR(VLOOKUP(G34,'Master Data'!$C$336:$I$353,7,FALSE),0)</f>
        <v>0</v>
      </c>
      <c r="I34" s="346">
        <f>IFERROR(VLOOKUP(H34,'Master Data'!$B$336:$D$351,3,FALSE),0)</f>
        <v>0</v>
      </c>
      <c r="J34" s="347">
        <f>IFERROR(VLOOKUP(H34,'Master Data'!$B$336:$H$353,7,FALSE),0)</f>
        <v>0</v>
      </c>
      <c r="K34" s="348"/>
      <c r="L34" s="349" t="str">
        <f>IFERROR(IF(I34="FIXED ASSET",J34&amp;E34&amp;K34,VLOOKUP(F34,'Master Data'!$E$59:$H$146,4,FALSE)&amp;"-"&amp;J34&amp;"-"&amp;K34),"-")</f>
        <v>-</v>
      </c>
      <c r="M34" s="360"/>
      <c r="N34" s="361"/>
      <c r="O34" s="358"/>
      <c r="P34" s="358"/>
      <c r="Q34" s="358"/>
      <c r="R34" s="358"/>
      <c r="S34" s="358"/>
      <c r="T34" s="358"/>
      <c r="U34" s="358"/>
      <c r="V34" s="358"/>
      <c r="W34" s="358"/>
      <c r="X34" s="358"/>
      <c r="Y34" s="358"/>
      <c r="Z34" s="358"/>
      <c r="AA34" s="351">
        <f t="shared" si="14"/>
        <v>0</v>
      </c>
      <c r="AB34" s="327"/>
      <c r="AC34" s="344"/>
      <c r="AD34" s="362"/>
      <c r="AE34" s="354"/>
      <c r="AF34" s="362"/>
      <c r="AG34" s="362"/>
      <c r="AH34" s="354"/>
      <c r="AI34" s="355" t="str">
        <f t="shared" si="13"/>
        <v/>
      </c>
      <c r="AJ34" s="355" t="str">
        <f t="shared" si="13"/>
        <v/>
      </c>
      <c r="AK34" s="355" t="str">
        <f t="shared" si="15"/>
        <v/>
      </c>
      <c r="AL34" s="313"/>
      <c r="AM34" s="313"/>
      <c r="AN34" s="313"/>
      <c r="AO34" s="307">
        <f t="shared" si="10"/>
        <v>0</v>
      </c>
      <c r="AP34" s="385"/>
      <c r="AQ34" s="313"/>
      <c r="AR34" s="313"/>
      <c r="AS34" s="313"/>
      <c r="AT34" s="313"/>
      <c r="AU34" s="313"/>
      <c r="AV34" s="313"/>
      <c r="AW34" s="313"/>
      <c r="AX34" s="313"/>
      <c r="AY34" s="313"/>
      <c r="AZ34" s="313"/>
      <c r="BA34" s="313"/>
      <c r="BB34" s="313"/>
      <c r="BC34" s="307">
        <f t="shared" si="11"/>
        <v>0</v>
      </c>
      <c r="BD34" s="353">
        <f t="shared" si="5"/>
        <v>0</v>
      </c>
      <c r="BE34" s="344"/>
      <c r="BF34" s="313"/>
      <c r="BG34" s="354"/>
      <c r="BH34" s="313"/>
      <c r="BI34" s="318">
        <f t="shared" si="6"/>
        <v>0</v>
      </c>
      <c r="BJ34" s="354"/>
      <c r="BK34" s="355" t="str">
        <f t="shared" si="2"/>
        <v/>
      </c>
      <c r="BL34" s="355" t="str">
        <f t="shared" si="7"/>
        <v/>
      </c>
      <c r="BM34" s="355" t="str">
        <f t="shared" si="12"/>
        <v/>
      </c>
      <c r="BN34" s="313"/>
    </row>
    <row r="35" spans="1:66" ht="15" customHeight="1" x14ac:dyDescent="0.25">
      <c r="A35" s="341" t="str">
        <f>IF(D35="","",Cover!$D$8)</f>
        <v/>
      </c>
      <c r="B35" s="341" t="str">
        <f>IF(D35="","",Cover!$D$7)</f>
        <v/>
      </c>
      <c r="C35" s="297" t="str">
        <f>IF(F35="","",IFERROR(VLOOKUP(F35,'Master Data'!$E$59:$J$146,6,FALSE),0))</f>
        <v/>
      </c>
      <c r="D35" s="342" t="str">
        <f>IF(F35="","",IFERROR(VLOOKUP(F35,Reference!$D$48:$AT$196,43,FALSE),0))</f>
        <v/>
      </c>
      <c r="E35" s="297" t="str">
        <f>IF(D35="","",IFERROR(VLOOKUP(D35,'Master Data'!$D$59:$I$146,6,FALSE),0))</f>
        <v/>
      </c>
      <c r="F35" s="343"/>
      <c r="G35" s="344"/>
      <c r="H35" s="345">
        <f>IFERROR(VLOOKUP(G35,'Master Data'!$C$336:$I$353,7,FALSE),0)</f>
        <v>0</v>
      </c>
      <c r="I35" s="346">
        <f>IFERROR(VLOOKUP(H35,'Master Data'!$B$336:$D$351,3,FALSE),0)</f>
        <v>0</v>
      </c>
      <c r="J35" s="347">
        <f>IFERROR(VLOOKUP(H35,'Master Data'!$B$336:$H$353,7,FALSE),0)</f>
        <v>0</v>
      </c>
      <c r="K35" s="348"/>
      <c r="L35" s="349" t="str">
        <f>IFERROR(IF(I35="FIXED ASSET",J35&amp;E35&amp;K35,VLOOKUP(F35,'Master Data'!$E$59:$H$146,4,FALSE)&amp;"-"&amp;J35&amp;"-"&amp;K35),"-")</f>
        <v>-</v>
      </c>
      <c r="M35" s="360"/>
      <c r="N35" s="361"/>
      <c r="O35" s="358"/>
      <c r="P35" s="358"/>
      <c r="Q35" s="358"/>
      <c r="R35" s="358"/>
      <c r="S35" s="358"/>
      <c r="T35" s="358"/>
      <c r="U35" s="358"/>
      <c r="V35" s="358"/>
      <c r="W35" s="358"/>
      <c r="X35" s="358"/>
      <c r="Y35" s="358"/>
      <c r="Z35" s="358"/>
      <c r="AA35" s="351">
        <f t="shared" si="14"/>
        <v>0</v>
      </c>
      <c r="AB35" s="327"/>
      <c r="AC35" s="344"/>
      <c r="AD35" s="362"/>
      <c r="AE35" s="354"/>
      <c r="AF35" s="362"/>
      <c r="AG35" s="362"/>
      <c r="AH35" s="354"/>
      <c r="AI35" s="355" t="str">
        <f t="shared" si="13"/>
        <v/>
      </c>
      <c r="AJ35" s="355" t="str">
        <f t="shared" si="13"/>
        <v/>
      </c>
      <c r="AK35" s="355" t="str">
        <f t="shared" si="15"/>
        <v/>
      </c>
      <c r="AL35" s="313"/>
      <c r="AM35" s="313"/>
      <c r="AN35" s="313"/>
      <c r="AO35" s="307">
        <f t="shared" si="10"/>
        <v>0</v>
      </c>
      <c r="AP35" s="385"/>
      <c r="AQ35" s="313"/>
      <c r="AR35" s="313"/>
      <c r="AS35" s="313"/>
      <c r="AT35" s="313"/>
      <c r="AU35" s="313"/>
      <c r="AV35" s="313"/>
      <c r="AW35" s="313"/>
      <c r="AX35" s="313"/>
      <c r="AY35" s="313"/>
      <c r="AZ35" s="313"/>
      <c r="BA35" s="313"/>
      <c r="BB35" s="313"/>
      <c r="BC35" s="307">
        <f t="shared" si="11"/>
        <v>0</v>
      </c>
      <c r="BD35" s="353">
        <f t="shared" si="5"/>
        <v>0</v>
      </c>
      <c r="BE35" s="344"/>
      <c r="BF35" s="313"/>
      <c r="BG35" s="354"/>
      <c r="BH35" s="313"/>
      <c r="BI35" s="318">
        <f t="shared" si="6"/>
        <v>0</v>
      </c>
      <c r="BJ35" s="354"/>
      <c r="BK35" s="355" t="str">
        <f t="shared" si="2"/>
        <v/>
      </c>
      <c r="BL35" s="355" t="str">
        <f t="shared" si="7"/>
        <v/>
      </c>
      <c r="BM35" s="355" t="str">
        <f t="shared" si="12"/>
        <v/>
      </c>
      <c r="BN35" s="313"/>
    </row>
    <row r="36" spans="1:66" ht="15" customHeight="1" x14ac:dyDescent="0.25">
      <c r="A36" s="341" t="str">
        <f>IF(D36="","",Cover!$D$8)</f>
        <v/>
      </c>
      <c r="B36" s="341" t="str">
        <f>IF(D36="","",Cover!$D$7)</f>
        <v/>
      </c>
      <c r="C36" s="297" t="str">
        <f>IF(F36="","",IFERROR(VLOOKUP(F36,'Master Data'!$E$59:$J$146,6,FALSE),0))</f>
        <v/>
      </c>
      <c r="D36" s="342" t="str">
        <f>IF(F36="","",IFERROR(VLOOKUP(F36,Reference!$D$48:$AT$196,43,FALSE),0))</f>
        <v/>
      </c>
      <c r="E36" s="297" t="str">
        <f>IF(D36="","",IFERROR(VLOOKUP(D36,'Master Data'!$D$59:$I$146,6,FALSE),0))</f>
        <v/>
      </c>
      <c r="F36" s="343"/>
      <c r="G36" s="344"/>
      <c r="H36" s="345">
        <f>IFERROR(VLOOKUP(G36,'Master Data'!$C$336:$I$353,7,FALSE),0)</f>
        <v>0</v>
      </c>
      <c r="I36" s="346">
        <f>IFERROR(VLOOKUP(H36,'Master Data'!$B$336:$D$351,3,FALSE),0)</f>
        <v>0</v>
      </c>
      <c r="J36" s="347">
        <f>IFERROR(VLOOKUP(H36,'Master Data'!$B$336:$H$353,7,FALSE),0)</f>
        <v>0</v>
      </c>
      <c r="K36" s="348"/>
      <c r="L36" s="349" t="str">
        <f>IFERROR(IF(I36="FIXED ASSET",J36&amp;E36&amp;K36,VLOOKUP(F36,'Master Data'!$E$59:$H$146,4,FALSE)&amp;"-"&amp;J36&amp;"-"&amp;K36),"-")</f>
        <v>-</v>
      </c>
      <c r="M36" s="360"/>
      <c r="N36" s="361"/>
      <c r="O36" s="358"/>
      <c r="P36" s="358"/>
      <c r="Q36" s="358"/>
      <c r="R36" s="358"/>
      <c r="S36" s="358"/>
      <c r="T36" s="358"/>
      <c r="U36" s="358"/>
      <c r="V36" s="358"/>
      <c r="W36" s="358"/>
      <c r="X36" s="358"/>
      <c r="Y36" s="358"/>
      <c r="Z36" s="358"/>
      <c r="AA36" s="351">
        <f t="shared" si="14"/>
        <v>0</v>
      </c>
      <c r="AB36" s="327"/>
      <c r="AC36" s="344"/>
      <c r="AD36" s="362"/>
      <c r="AE36" s="354"/>
      <c r="AF36" s="362"/>
      <c r="AG36" s="362"/>
      <c r="AH36" s="354"/>
      <c r="AI36" s="355" t="str">
        <f t="shared" ref="AI36:AJ56" si="16">IF($I36="PROJECT","Please Fill Start Date","")</f>
        <v/>
      </c>
      <c r="AJ36" s="355" t="str">
        <f t="shared" si="16"/>
        <v/>
      </c>
      <c r="AK36" s="355" t="str">
        <f t="shared" si="15"/>
        <v/>
      </c>
      <c r="AL36" s="313"/>
      <c r="AM36" s="313"/>
      <c r="AN36" s="313"/>
      <c r="AO36" s="307">
        <f t="shared" si="10"/>
        <v>0</v>
      </c>
      <c r="AP36" s="385"/>
      <c r="AQ36" s="313"/>
      <c r="AR36" s="313"/>
      <c r="AS36" s="313"/>
      <c r="AT36" s="313"/>
      <c r="AU36" s="313"/>
      <c r="AV36" s="313"/>
      <c r="AW36" s="313"/>
      <c r="AX36" s="313"/>
      <c r="AY36" s="313"/>
      <c r="AZ36" s="313"/>
      <c r="BA36" s="313"/>
      <c r="BB36" s="313"/>
      <c r="BC36" s="307">
        <f t="shared" si="11"/>
        <v>0</v>
      </c>
      <c r="BD36" s="353">
        <f t="shared" si="5"/>
        <v>0</v>
      </c>
      <c r="BE36" s="344"/>
      <c r="BF36" s="313"/>
      <c r="BG36" s="354"/>
      <c r="BH36" s="313"/>
      <c r="BI36" s="318">
        <f t="shared" si="6"/>
        <v>0</v>
      </c>
      <c r="BJ36" s="354"/>
      <c r="BK36" s="355" t="str">
        <f t="shared" si="2"/>
        <v/>
      </c>
      <c r="BL36" s="355" t="str">
        <f t="shared" si="7"/>
        <v/>
      </c>
      <c r="BM36" s="355" t="str">
        <f t="shared" si="12"/>
        <v/>
      </c>
      <c r="BN36" s="313"/>
    </row>
    <row r="37" spans="1:66" ht="15" customHeight="1" x14ac:dyDescent="0.25">
      <c r="A37" s="341" t="str">
        <f>IF(D37="","",Cover!$D$8)</f>
        <v/>
      </c>
      <c r="B37" s="341" t="str">
        <f>IF(D37="","",Cover!$D$7)</f>
        <v/>
      </c>
      <c r="C37" s="297" t="str">
        <f>IF(F37="","",IFERROR(VLOOKUP(F37,'Master Data'!$E$59:$J$146,6,FALSE),0))</f>
        <v/>
      </c>
      <c r="D37" s="342" t="str">
        <f>IF(F37="","",IFERROR(VLOOKUP(F37,Reference!$D$48:$AT$196,43,FALSE),0))</f>
        <v/>
      </c>
      <c r="E37" s="297" t="str">
        <f>IF(D37="","",IFERROR(VLOOKUP(D37,'Master Data'!$D$59:$I$146,6,FALSE),0))</f>
        <v/>
      </c>
      <c r="F37" s="343"/>
      <c r="G37" s="344"/>
      <c r="H37" s="345">
        <f>IFERROR(VLOOKUP(G37,'Master Data'!$C$336:$I$353,7,FALSE),0)</f>
        <v>0</v>
      </c>
      <c r="I37" s="346">
        <f>IFERROR(VLOOKUP(H37,'Master Data'!$B$336:$D$351,3,FALSE),0)</f>
        <v>0</v>
      </c>
      <c r="J37" s="347">
        <f>IFERROR(VLOOKUP(H37,'Master Data'!$B$336:$H$353,7,FALSE),0)</f>
        <v>0</v>
      </c>
      <c r="K37" s="348"/>
      <c r="L37" s="349" t="str">
        <f>IFERROR(IF(I37="FIXED ASSET",J37&amp;E37&amp;K37,VLOOKUP(F37,'Master Data'!$E$59:$H$146,4,FALSE)&amp;"-"&amp;J37&amp;"-"&amp;K37),"-")</f>
        <v>-</v>
      </c>
      <c r="M37" s="360"/>
      <c r="N37" s="361"/>
      <c r="O37" s="358"/>
      <c r="P37" s="358"/>
      <c r="Q37" s="358"/>
      <c r="R37" s="358"/>
      <c r="S37" s="358"/>
      <c r="T37" s="358"/>
      <c r="U37" s="358"/>
      <c r="V37" s="358"/>
      <c r="W37" s="358"/>
      <c r="X37" s="358"/>
      <c r="Y37" s="358"/>
      <c r="Z37" s="358"/>
      <c r="AA37" s="351">
        <f t="shared" si="14"/>
        <v>0</v>
      </c>
      <c r="AB37" s="327"/>
      <c r="AC37" s="344"/>
      <c r="AD37" s="362"/>
      <c r="AE37" s="354"/>
      <c r="AF37" s="362"/>
      <c r="AG37" s="362"/>
      <c r="AH37" s="354"/>
      <c r="AI37" s="355" t="str">
        <f t="shared" si="16"/>
        <v/>
      </c>
      <c r="AJ37" s="355" t="str">
        <f t="shared" si="16"/>
        <v/>
      </c>
      <c r="AK37" s="355" t="str">
        <f t="shared" si="15"/>
        <v/>
      </c>
      <c r="AL37" s="313"/>
      <c r="AM37" s="313"/>
      <c r="AN37" s="313"/>
      <c r="AO37" s="307">
        <f t="shared" si="10"/>
        <v>0</v>
      </c>
      <c r="AP37" s="385"/>
      <c r="AQ37" s="313"/>
      <c r="AR37" s="313"/>
      <c r="AS37" s="313"/>
      <c r="AT37" s="313"/>
      <c r="AU37" s="313"/>
      <c r="AV37" s="313"/>
      <c r="AW37" s="313"/>
      <c r="AX37" s="313"/>
      <c r="AY37" s="313"/>
      <c r="AZ37" s="313"/>
      <c r="BA37" s="313"/>
      <c r="BB37" s="313"/>
      <c r="BC37" s="307">
        <f t="shared" si="11"/>
        <v>0</v>
      </c>
      <c r="BD37" s="353">
        <f t="shared" si="5"/>
        <v>0</v>
      </c>
      <c r="BE37" s="344"/>
      <c r="BF37" s="313"/>
      <c r="BG37" s="354"/>
      <c r="BH37" s="313"/>
      <c r="BI37" s="318">
        <f t="shared" si="6"/>
        <v>0</v>
      </c>
      <c r="BJ37" s="354"/>
      <c r="BK37" s="355" t="str">
        <f t="shared" si="2"/>
        <v/>
      </c>
      <c r="BL37" s="355" t="str">
        <f t="shared" si="7"/>
        <v/>
      </c>
      <c r="BM37" s="355" t="str">
        <f t="shared" si="12"/>
        <v/>
      </c>
      <c r="BN37" s="313"/>
    </row>
    <row r="38" spans="1:66" ht="15" customHeight="1" x14ac:dyDescent="0.25">
      <c r="A38" s="341" t="str">
        <f>IF(D38="","",Cover!$D$8)</f>
        <v/>
      </c>
      <c r="B38" s="341" t="str">
        <f>IF(D38="","",Cover!$D$7)</f>
        <v/>
      </c>
      <c r="C38" s="297" t="str">
        <f>IF(F38="","",IFERROR(VLOOKUP(F38,'Master Data'!$E$59:$J$146,6,FALSE),0))</f>
        <v/>
      </c>
      <c r="D38" s="342" t="str">
        <f>IF(F38="","",IFERROR(VLOOKUP(F38,Reference!$D$48:$AT$196,43,FALSE),0))</f>
        <v/>
      </c>
      <c r="E38" s="297" t="str">
        <f>IF(D38="","",IFERROR(VLOOKUP(D38,'Master Data'!$D$59:$I$146,6,FALSE),0))</f>
        <v/>
      </c>
      <c r="F38" s="343"/>
      <c r="G38" s="344"/>
      <c r="H38" s="345">
        <f>IFERROR(VLOOKUP(G38,'Master Data'!$C$336:$I$353,7,FALSE),0)</f>
        <v>0</v>
      </c>
      <c r="I38" s="346">
        <f>IFERROR(VLOOKUP(H38,'Master Data'!$B$336:$D$351,3,FALSE),0)</f>
        <v>0</v>
      </c>
      <c r="J38" s="347">
        <f>IFERROR(VLOOKUP(H38,'Master Data'!$B$336:$H$353,7,FALSE),0)</f>
        <v>0</v>
      </c>
      <c r="K38" s="348"/>
      <c r="L38" s="349" t="str">
        <f>IFERROR(IF(I38="FIXED ASSET",J38&amp;E38&amp;K38,VLOOKUP(F38,'Master Data'!$E$59:$H$146,4,FALSE)&amp;"-"&amp;J38&amp;"-"&amp;K38),"-")</f>
        <v>-</v>
      </c>
      <c r="M38" s="360"/>
      <c r="N38" s="361"/>
      <c r="O38" s="358"/>
      <c r="P38" s="358"/>
      <c r="Q38" s="358"/>
      <c r="R38" s="358"/>
      <c r="S38" s="358"/>
      <c r="T38" s="358"/>
      <c r="U38" s="358"/>
      <c r="V38" s="358"/>
      <c r="W38" s="358"/>
      <c r="X38" s="358"/>
      <c r="Y38" s="358"/>
      <c r="Z38" s="358"/>
      <c r="AA38" s="351">
        <f t="shared" si="14"/>
        <v>0</v>
      </c>
      <c r="AB38" s="327"/>
      <c r="AC38" s="344"/>
      <c r="AD38" s="362"/>
      <c r="AE38" s="354"/>
      <c r="AF38" s="362"/>
      <c r="AG38" s="362"/>
      <c r="AH38" s="354"/>
      <c r="AI38" s="355" t="str">
        <f t="shared" si="16"/>
        <v/>
      </c>
      <c r="AJ38" s="355" t="str">
        <f t="shared" si="16"/>
        <v/>
      </c>
      <c r="AK38" s="355" t="str">
        <f t="shared" si="15"/>
        <v/>
      </c>
      <c r="AL38" s="313"/>
      <c r="AM38" s="313"/>
      <c r="AN38" s="313"/>
      <c r="AO38" s="307">
        <f t="shared" si="10"/>
        <v>0</v>
      </c>
      <c r="AP38" s="385"/>
      <c r="AQ38" s="313"/>
      <c r="AR38" s="313"/>
      <c r="AS38" s="313"/>
      <c r="AT38" s="313"/>
      <c r="AU38" s="313"/>
      <c r="AV38" s="313"/>
      <c r="AW38" s="313"/>
      <c r="AX38" s="313"/>
      <c r="AY38" s="313"/>
      <c r="AZ38" s="313"/>
      <c r="BA38" s="313"/>
      <c r="BB38" s="313"/>
      <c r="BC38" s="307">
        <f t="shared" si="11"/>
        <v>0</v>
      </c>
      <c r="BD38" s="353">
        <f t="shared" si="5"/>
        <v>0</v>
      </c>
      <c r="BE38" s="344"/>
      <c r="BF38" s="313"/>
      <c r="BG38" s="354"/>
      <c r="BH38" s="313"/>
      <c r="BI38" s="318">
        <f t="shared" si="6"/>
        <v>0</v>
      </c>
      <c r="BJ38" s="354"/>
      <c r="BK38" s="355" t="str">
        <f t="shared" si="2"/>
        <v/>
      </c>
      <c r="BL38" s="355" t="str">
        <f t="shared" si="7"/>
        <v/>
      </c>
      <c r="BM38" s="355" t="str">
        <f t="shared" si="12"/>
        <v/>
      </c>
      <c r="BN38" s="313"/>
    </row>
    <row r="39" spans="1:66" ht="15" customHeight="1" x14ac:dyDescent="0.25">
      <c r="A39" s="341" t="str">
        <f>IF(D39="","",Cover!$D$8)</f>
        <v/>
      </c>
      <c r="B39" s="341" t="str">
        <f>IF(D39="","",Cover!$D$7)</f>
        <v/>
      </c>
      <c r="C39" s="297" t="str">
        <f>IF(F39="","",IFERROR(VLOOKUP(F39,'Master Data'!$E$59:$J$146,6,FALSE),0))</f>
        <v/>
      </c>
      <c r="D39" s="342" t="str">
        <f>IF(F39="","",IFERROR(VLOOKUP(F39,Reference!$D$48:$AT$196,43,FALSE),0))</f>
        <v/>
      </c>
      <c r="E39" s="297" t="str">
        <f>IF(D39="","",IFERROR(VLOOKUP(D39,'Master Data'!$D$59:$I$146,6,FALSE),0))</f>
        <v/>
      </c>
      <c r="F39" s="343"/>
      <c r="G39" s="344"/>
      <c r="H39" s="345">
        <f>IFERROR(VLOOKUP(G39,'Master Data'!$C$336:$I$353,7,FALSE),0)</f>
        <v>0</v>
      </c>
      <c r="I39" s="346">
        <f>IFERROR(VLOOKUP(H39,'Master Data'!$B$336:$D$351,3,FALSE),0)</f>
        <v>0</v>
      </c>
      <c r="J39" s="347">
        <f>IFERROR(VLOOKUP(H39,'Master Data'!$B$336:$H$353,7,FALSE),0)</f>
        <v>0</v>
      </c>
      <c r="K39" s="348"/>
      <c r="L39" s="349" t="str">
        <f>IFERROR(IF(I39="FIXED ASSET",J39&amp;E39&amp;K39,VLOOKUP(F39,'Master Data'!$E$59:$H$146,4,FALSE)&amp;"-"&amp;J39&amp;"-"&amp;K39),"-")</f>
        <v>-</v>
      </c>
      <c r="M39" s="360"/>
      <c r="N39" s="361"/>
      <c r="O39" s="358"/>
      <c r="P39" s="358"/>
      <c r="Q39" s="358"/>
      <c r="R39" s="358"/>
      <c r="S39" s="358"/>
      <c r="T39" s="358"/>
      <c r="U39" s="358"/>
      <c r="V39" s="358"/>
      <c r="W39" s="358"/>
      <c r="X39" s="358"/>
      <c r="Y39" s="358"/>
      <c r="Z39" s="358"/>
      <c r="AA39" s="351">
        <f t="shared" si="14"/>
        <v>0</v>
      </c>
      <c r="AB39" s="327"/>
      <c r="AC39" s="344"/>
      <c r="AD39" s="362"/>
      <c r="AE39" s="354"/>
      <c r="AF39" s="362"/>
      <c r="AG39" s="362"/>
      <c r="AH39" s="354"/>
      <c r="AI39" s="355" t="str">
        <f t="shared" si="16"/>
        <v/>
      </c>
      <c r="AJ39" s="355" t="str">
        <f t="shared" si="16"/>
        <v/>
      </c>
      <c r="AK39" s="355" t="str">
        <f t="shared" si="15"/>
        <v/>
      </c>
      <c r="AL39" s="313"/>
      <c r="AM39" s="313"/>
      <c r="AN39" s="313"/>
      <c r="AO39" s="307">
        <f t="shared" si="10"/>
        <v>0</v>
      </c>
      <c r="AP39" s="385"/>
      <c r="AQ39" s="313"/>
      <c r="AR39" s="313"/>
      <c r="AS39" s="313"/>
      <c r="AT39" s="313"/>
      <c r="AU39" s="313"/>
      <c r="AV39" s="313"/>
      <c r="AW39" s="313"/>
      <c r="AX39" s="313"/>
      <c r="AY39" s="313"/>
      <c r="AZ39" s="313"/>
      <c r="BA39" s="313"/>
      <c r="BB39" s="313"/>
      <c r="BC39" s="307">
        <f t="shared" si="11"/>
        <v>0</v>
      </c>
      <c r="BD39" s="353">
        <f t="shared" si="5"/>
        <v>0</v>
      </c>
      <c r="BE39" s="344"/>
      <c r="BF39" s="313"/>
      <c r="BG39" s="354"/>
      <c r="BH39" s="313"/>
      <c r="BI39" s="318">
        <f t="shared" si="6"/>
        <v>0</v>
      </c>
      <c r="BJ39" s="354"/>
      <c r="BK39" s="355" t="str">
        <f t="shared" si="2"/>
        <v/>
      </c>
      <c r="BL39" s="355" t="str">
        <f t="shared" si="7"/>
        <v/>
      </c>
      <c r="BM39" s="355" t="str">
        <f t="shared" si="12"/>
        <v/>
      </c>
      <c r="BN39" s="313"/>
    </row>
    <row r="40" spans="1:66" ht="15" customHeight="1" x14ac:dyDescent="0.25">
      <c r="A40" s="341" t="str">
        <f>IF(D40="","",Cover!$D$8)</f>
        <v/>
      </c>
      <c r="B40" s="341" t="str">
        <f>IF(D40="","",Cover!$D$7)</f>
        <v/>
      </c>
      <c r="C40" s="297" t="str">
        <f>IF(F40="","",IFERROR(VLOOKUP(F40,'Master Data'!$E$59:$J$146,6,FALSE),0))</f>
        <v/>
      </c>
      <c r="D40" s="342" t="str">
        <f>IF(F40="","",IFERROR(VLOOKUP(F40,Reference!$D$48:$AT$196,43,FALSE),0))</f>
        <v/>
      </c>
      <c r="E40" s="297" t="str">
        <f>IF(D40="","",IFERROR(VLOOKUP(D40,'Master Data'!$D$59:$I$146,6,FALSE),0))</f>
        <v/>
      </c>
      <c r="F40" s="343"/>
      <c r="G40" s="344"/>
      <c r="H40" s="345">
        <f>IFERROR(VLOOKUP(G40,'Master Data'!$C$336:$I$353,7,FALSE),0)</f>
        <v>0</v>
      </c>
      <c r="I40" s="346">
        <f>IFERROR(VLOOKUP(H40,'Master Data'!$B$336:$D$351,3,FALSE),0)</f>
        <v>0</v>
      </c>
      <c r="J40" s="347">
        <f>IFERROR(VLOOKUP(H40,'Master Data'!$B$336:$H$353,7,FALSE),0)</f>
        <v>0</v>
      </c>
      <c r="K40" s="348"/>
      <c r="L40" s="349" t="str">
        <f>IFERROR(IF(I40="FIXED ASSET",J40&amp;E40&amp;K40,VLOOKUP(F40,'Master Data'!$E$59:$H$146,4,FALSE)&amp;"-"&amp;J40&amp;"-"&amp;K40),"-")</f>
        <v>-</v>
      </c>
      <c r="M40" s="360"/>
      <c r="N40" s="361"/>
      <c r="O40" s="358"/>
      <c r="P40" s="358"/>
      <c r="Q40" s="358"/>
      <c r="R40" s="358"/>
      <c r="S40" s="358"/>
      <c r="T40" s="358"/>
      <c r="U40" s="358"/>
      <c r="V40" s="358"/>
      <c r="W40" s="358"/>
      <c r="X40" s="358"/>
      <c r="Y40" s="358"/>
      <c r="Z40" s="358"/>
      <c r="AA40" s="351">
        <f t="shared" si="14"/>
        <v>0</v>
      </c>
      <c r="AB40" s="327"/>
      <c r="AC40" s="344"/>
      <c r="AD40" s="362"/>
      <c r="AE40" s="354"/>
      <c r="AF40" s="362"/>
      <c r="AG40" s="362"/>
      <c r="AH40" s="354"/>
      <c r="AI40" s="355" t="str">
        <f t="shared" si="16"/>
        <v/>
      </c>
      <c r="AJ40" s="355" t="str">
        <f t="shared" si="16"/>
        <v/>
      </c>
      <c r="AK40" s="355" t="str">
        <f t="shared" si="15"/>
        <v/>
      </c>
      <c r="AL40" s="313"/>
      <c r="AM40" s="313"/>
      <c r="AN40" s="313"/>
      <c r="AO40" s="307">
        <f t="shared" si="10"/>
        <v>0</v>
      </c>
      <c r="AP40" s="385"/>
      <c r="AQ40" s="313"/>
      <c r="AR40" s="313"/>
      <c r="AS40" s="313"/>
      <c r="AT40" s="313"/>
      <c r="AU40" s="313"/>
      <c r="AV40" s="313"/>
      <c r="AW40" s="313"/>
      <c r="AX40" s="313"/>
      <c r="AY40" s="313"/>
      <c r="AZ40" s="313"/>
      <c r="BA40" s="313"/>
      <c r="BB40" s="313"/>
      <c r="BC40" s="307">
        <f t="shared" si="11"/>
        <v>0</v>
      </c>
      <c r="BD40" s="353">
        <f t="shared" si="5"/>
        <v>0</v>
      </c>
      <c r="BE40" s="344"/>
      <c r="BF40" s="313"/>
      <c r="BG40" s="354"/>
      <c r="BH40" s="313"/>
      <c r="BI40" s="318">
        <f t="shared" si="6"/>
        <v>0</v>
      </c>
      <c r="BJ40" s="354"/>
      <c r="BK40" s="355" t="str">
        <f t="shared" si="2"/>
        <v/>
      </c>
      <c r="BL40" s="355" t="str">
        <f t="shared" si="7"/>
        <v/>
      </c>
      <c r="BM40" s="355" t="str">
        <f t="shared" si="12"/>
        <v/>
      </c>
      <c r="BN40" s="313"/>
    </row>
    <row r="41" spans="1:66" ht="15" customHeight="1" x14ac:dyDescent="0.25">
      <c r="A41" s="341" t="str">
        <f>IF(D41="","",Cover!$D$8)</f>
        <v/>
      </c>
      <c r="B41" s="341" t="str">
        <f>IF(D41="","",Cover!$D$7)</f>
        <v/>
      </c>
      <c r="C41" s="297" t="str">
        <f>IF(F41="","",IFERROR(VLOOKUP(F41,'Master Data'!$E$59:$J$146,6,FALSE),0))</f>
        <v/>
      </c>
      <c r="D41" s="342" t="str">
        <f>IF(F41="","",IFERROR(VLOOKUP(F41,Reference!$D$48:$AT$196,43,FALSE),0))</f>
        <v/>
      </c>
      <c r="E41" s="297" t="str">
        <f>IF(D41="","",IFERROR(VLOOKUP(D41,'Master Data'!$D$59:$I$146,6,FALSE),0))</f>
        <v/>
      </c>
      <c r="F41" s="343"/>
      <c r="G41" s="344"/>
      <c r="H41" s="345">
        <f>IFERROR(VLOOKUP(G41,'Master Data'!$C$336:$I$353,7,FALSE),0)</f>
        <v>0</v>
      </c>
      <c r="I41" s="346">
        <f>IFERROR(VLOOKUP(H41,'Master Data'!$B$336:$D$351,3,FALSE),0)</f>
        <v>0</v>
      </c>
      <c r="J41" s="347">
        <f>IFERROR(VLOOKUP(H41,'Master Data'!$B$336:$H$353,7,FALSE),0)</f>
        <v>0</v>
      </c>
      <c r="K41" s="348"/>
      <c r="L41" s="349" t="str">
        <f>IFERROR(IF(I41="FIXED ASSET",J41&amp;E41&amp;K41,VLOOKUP(F41,'Master Data'!$E$59:$H$146,4,FALSE)&amp;"-"&amp;J41&amp;"-"&amp;K41),"-")</f>
        <v>-</v>
      </c>
      <c r="M41" s="360"/>
      <c r="N41" s="361"/>
      <c r="O41" s="358"/>
      <c r="P41" s="358"/>
      <c r="Q41" s="358"/>
      <c r="R41" s="358"/>
      <c r="S41" s="358"/>
      <c r="T41" s="358"/>
      <c r="U41" s="358"/>
      <c r="V41" s="358"/>
      <c r="W41" s="358"/>
      <c r="X41" s="358"/>
      <c r="Y41" s="358"/>
      <c r="Z41" s="358"/>
      <c r="AA41" s="351">
        <f t="shared" si="14"/>
        <v>0</v>
      </c>
      <c r="AB41" s="327"/>
      <c r="AC41" s="344"/>
      <c r="AD41" s="362"/>
      <c r="AE41" s="354"/>
      <c r="AF41" s="362"/>
      <c r="AG41" s="362"/>
      <c r="AH41" s="354"/>
      <c r="AI41" s="355" t="str">
        <f t="shared" si="16"/>
        <v/>
      </c>
      <c r="AJ41" s="355" t="str">
        <f t="shared" si="16"/>
        <v/>
      </c>
      <c r="AK41" s="355" t="str">
        <f t="shared" si="15"/>
        <v/>
      </c>
      <c r="AL41" s="313"/>
      <c r="AM41" s="313"/>
      <c r="AN41" s="313"/>
      <c r="AO41" s="307">
        <f t="shared" si="10"/>
        <v>0</v>
      </c>
      <c r="AP41" s="385"/>
      <c r="AQ41" s="313"/>
      <c r="AR41" s="313"/>
      <c r="AS41" s="313"/>
      <c r="AT41" s="313"/>
      <c r="AU41" s="313"/>
      <c r="AV41" s="313"/>
      <c r="AW41" s="313"/>
      <c r="AX41" s="313"/>
      <c r="AY41" s="313"/>
      <c r="AZ41" s="313"/>
      <c r="BA41" s="313"/>
      <c r="BB41" s="313"/>
      <c r="BC41" s="307">
        <f t="shared" si="11"/>
        <v>0</v>
      </c>
      <c r="BD41" s="353">
        <f t="shared" si="5"/>
        <v>0</v>
      </c>
      <c r="BE41" s="344"/>
      <c r="BF41" s="313"/>
      <c r="BG41" s="354"/>
      <c r="BH41" s="313"/>
      <c r="BI41" s="318">
        <f t="shared" si="6"/>
        <v>0</v>
      </c>
      <c r="BJ41" s="354"/>
      <c r="BK41" s="355" t="str">
        <f t="shared" si="2"/>
        <v/>
      </c>
      <c r="BL41" s="355" t="str">
        <f t="shared" si="7"/>
        <v/>
      </c>
      <c r="BM41" s="355" t="str">
        <f t="shared" si="12"/>
        <v/>
      </c>
      <c r="BN41" s="313"/>
    </row>
    <row r="42" spans="1:66" ht="15" customHeight="1" x14ac:dyDescent="0.25">
      <c r="A42" s="341" t="str">
        <f>IF(D42="","",Cover!$D$8)</f>
        <v/>
      </c>
      <c r="B42" s="341" t="str">
        <f>IF(D42="","",Cover!$D$7)</f>
        <v/>
      </c>
      <c r="C42" s="297" t="str">
        <f>IF(F42="","",IFERROR(VLOOKUP(F42,'Master Data'!$E$59:$J$146,6,FALSE),0))</f>
        <v/>
      </c>
      <c r="D42" s="342" t="str">
        <f>IF(F42="","",IFERROR(VLOOKUP(F42,Reference!$D$48:$AT$196,43,FALSE),0))</f>
        <v/>
      </c>
      <c r="E42" s="297" t="str">
        <f>IF(D42="","",IFERROR(VLOOKUP(D42,'Master Data'!$D$59:$I$146,6,FALSE),0))</f>
        <v/>
      </c>
      <c r="F42" s="343"/>
      <c r="G42" s="344"/>
      <c r="H42" s="345">
        <f>IFERROR(VLOOKUP(G42,'Master Data'!$C$336:$I$353,7,FALSE),0)</f>
        <v>0</v>
      </c>
      <c r="I42" s="346">
        <f>IFERROR(VLOOKUP(H42,'Master Data'!$B$336:$D$351,3,FALSE),0)</f>
        <v>0</v>
      </c>
      <c r="J42" s="347">
        <f>IFERROR(VLOOKUP(H42,'Master Data'!$B$336:$H$353,7,FALSE),0)</f>
        <v>0</v>
      </c>
      <c r="K42" s="348"/>
      <c r="L42" s="349" t="str">
        <f>IFERROR(IF(I42="FIXED ASSET",J42&amp;E42&amp;K42,VLOOKUP(F42,'Master Data'!$E$59:$H$146,4,FALSE)&amp;"-"&amp;J42&amp;"-"&amp;K42),"-")</f>
        <v>-</v>
      </c>
      <c r="M42" s="360"/>
      <c r="N42" s="361"/>
      <c r="O42" s="358"/>
      <c r="P42" s="358"/>
      <c r="Q42" s="358"/>
      <c r="R42" s="358"/>
      <c r="S42" s="358"/>
      <c r="T42" s="358"/>
      <c r="U42" s="358"/>
      <c r="V42" s="358"/>
      <c r="W42" s="358"/>
      <c r="X42" s="358"/>
      <c r="Y42" s="358"/>
      <c r="Z42" s="358"/>
      <c r="AA42" s="351">
        <f t="shared" si="14"/>
        <v>0</v>
      </c>
      <c r="AB42" s="327"/>
      <c r="AC42" s="344"/>
      <c r="AD42" s="362"/>
      <c r="AE42" s="354"/>
      <c r="AF42" s="362"/>
      <c r="AG42" s="362"/>
      <c r="AH42" s="354"/>
      <c r="AI42" s="355" t="str">
        <f t="shared" si="16"/>
        <v/>
      </c>
      <c r="AJ42" s="355" t="str">
        <f t="shared" si="16"/>
        <v/>
      </c>
      <c r="AK42" s="355" t="str">
        <f t="shared" si="15"/>
        <v/>
      </c>
      <c r="AL42" s="313"/>
      <c r="AM42" s="313"/>
      <c r="AN42" s="313"/>
      <c r="AO42" s="307">
        <f t="shared" si="10"/>
        <v>0</v>
      </c>
      <c r="AP42" s="385"/>
      <c r="AQ42" s="313"/>
      <c r="AR42" s="313"/>
      <c r="AS42" s="313"/>
      <c r="AT42" s="313"/>
      <c r="AU42" s="313"/>
      <c r="AV42" s="313"/>
      <c r="AW42" s="313"/>
      <c r="AX42" s="313"/>
      <c r="AY42" s="313"/>
      <c r="AZ42" s="313"/>
      <c r="BA42" s="313"/>
      <c r="BB42" s="313"/>
      <c r="BC42" s="307">
        <f t="shared" si="11"/>
        <v>0</v>
      </c>
      <c r="BD42" s="353">
        <f t="shared" si="5"/>
        <v>0</v>
      </c>
      <c r="BE42" s="344"/>
      <c r="BF42" s="313"/>
      <c r="BG42" s="354"/>
      <c r="BH42" s="313"/>
      <c r="BI42" s="318">
        <f t="shared" si="6"/>
        <v>0</v>
      </c>
      <c r="BJ42" s="354"/>
      <c r="BK42" s="355" t="str">
        <f t="shared" si="2"/>
        <v/>
      </c>
      <c r="BL42" s="355" t="str">
        <f t="shared" si="7"/>
        <v/>
      </c>
      <c r="BM42" s="355" t="str">
        <f t="shared" si="12"/>
        <v/>
      </c>
      <c r="BN42" s="313"/>
    </row>
    <row r="43" spans="1:66" ht="15" customHeight="1" x14ac:dyDescent="0.25">
      <c r="A43" s="341" t="str">
        <f>IF(D43="","",Cover!$D$8)</f>
        <v/>
      </c>
      <c r="B43" s="341" t="str">
        <f>IF(D43="","",Cover!$D$7)</f>
        <v/>
      </c>
      <c r="C43" s="297" t="str">
        <f>IF(F43="","",IFERROR(VLOOKUP(F43,'Master Data'!$E$59:$J$146,6,FALSE),0))</f>
        <v/>
      </c>
      <c r="D43" s="342" t="str">
        <f>IF(F43="","",IFERROR(VLOOKUP(F43,Reference!$D$48:$AT$196,43,FALSE),0))</f>
        <v/>
      </c>
      <c r="E43" s="297" t="str">
        <f>IF(D43="","",IFERROR(VLOOKUP(D43,'Master Data'!$D$59:$I$146,6,FALSE),0))</f>
        <v/>
      </c>
      <c r="F43" s="343"/>
      <c r="G43" s="344"/>
      <c r="H43" s="345">
        <f>IFERROR(VLOOKUP(G43,'Master Data'!$C$336:$I$353,7,FALSE),0)</f>
        <v>0</v>
      </c>
      <c r="I43" s="346">
        <f>IFERROR(VLOOKUP(H43,'Master Data'!$B$336:$D$351,3,FALSE),0)</f>
        <v>0</v>
      </c>
      <c r="J43" s="347">
        <f>IFERROR(VLOOKUP(H43,'Master Data'!$B$336:$H$353,7,FALSE),0)</f>
        <v>0</v>
      </c>
      <c r="K43" s="348"/>
      <c r="L43" s="349" t="str">
        <f>IFERROR(IF(I43="FIXED ASSET",J43&amp;E43&amp;K43,VLOOKUP(F43,'Master Data'!$E$59:$H$146,4,FALSE)&amp;"-"&amp;J43&amp;"-"&amp;K43),"-")</f>
        <v>-</v>
      </c>
      <c r="M43" s="360"/>
      <c r="N43" s="361"/>
      <c r="O43" s="358"/>
      <c r="P43" s="358"/>
      <c r="Q43" s="358"/>
      <c r="R43" s="358"/>
      <c r="S43" s="358"/>
      <c r="T43" s="358"/>
      <c r="U43" s="358"/>
      <c r="V43" s="358"/>
      <c r="W43" s="358"/>
      <c r="X43" s="358"/>
      <c r="Y43" s="358"/>
      <c r="Z43" s="358"/>
      <c r="AA43" s="351">
        <f t="shared" si="14"/>
        <v>0</v>
      </c>
      <c r="AB43" s="327"/>
      <c r="AC43" s="344"/>
      <c r="AD43" s="362"/>
      <c r="AE43" s="354"/>
      <c r="AF43" s="362"/>
      <c r="AG43" s="362"/>
      <c r="AH43" s="354"/>
      <c r="AI43" s="355" t="str">
        <f t="shared" si="16"/>
        <v/>
      </c>
      <c r="AJ43" s="355" t="str">
        <f t="shared" si="16"/>
        <v/>
      </c>
      <c r="AK43" s="355" t="str">
        <f t="shared" si="15"/>
        <v/>
      </c>
      <c r="AL43" s="313"/>
      <c r="AM43" s="313"/>
      <c r="AN43" s="313"/>
      <c r="AO43" s="307">
        <f t="shared" si="10"/>
        <v>0</v>
      </c>
      <c r="AP43" s="385"/>
      <c r="AQ43" s="313"/>
      <c r="AR43" s="313"/>
      <c r="AS43" s="313"/>
      <c r="AT43" s="313"/>
      <c r="AU43" s="313"/>
      <c r="AV43" s="313"/>
      <c r="AW43" s="313"/>
      <c r="AX43" s="313"/>
      <c r="AY43" s="313"/>
      <c r="AZ43" s="313"/>
      <c r="BA43" s="313"/>
      <c r="BB43" s="313"/>
      <c r="BC43" s="307">
        <f t="shared" si="11"/>
        <v>0</v>
      </c>
      <c r="BD43" s="353">
        <f t="shared" si="5"/>
        <v>0</v>
      </c>
      <c r="BE43" s="344"/>
      <c r="BF43" s="313"/>
      <c r="BG43" s="354"/>
      <c r="BH43" s="313"/>
      <c r="BI43" s="318">
        <f t="shared" si="6"/>
        <v>0</v>
      </c>
      <c r="BJ43" s="354"/>
      <c r="BK43" s="355" t="str">
        <f t="shared" si="2"/>
        <v/>
      </c>
      <c r="BL43" s="355" t="str">
        <f t="shared" si="7"/>
        <v/>
      </c>
      <c r="BM43" s="355" t="str">
        <f t="shared" si="12"/>
        <v/>
      </c>
      <c r="BN43" s="313"/>
    </row>
    <row r="44" spans="1:66" ht="15" customHeight="1" x14ac:dyDescent="0.25">
      <c r="A44" s="341" t="str">
        <f>IF(D44="","",Cover!$D$8)</f>
        <v/>
      </c>
      <c r="B44" s="341" t="str">
        <f>IF(D44="","",Cover!$D$7)</f>
        <v/>
      </c>
      <c r="C44" s="297" t="str">
        <f>IF(F44="","",IFERROR(VLOOKUP(F44,'Master Data'!$E$59:$J$146,6,FALSE),0))</f>
        <v/>
      </c>
      <c r="D44" s="342" t="str">
        <f>IF(F44="","",IFERROR(VLOOKUP(F44,Reference!$D$48:$AT$196,43,FALSE),0))</f>
        <v/>
      </c>
      <c r="E44" s="297" t="str">
        <f>IF(D44="","",IFERROR(VLOOKUP(D44,'Master Data'!$D$59:$I$146,6,FALSE),0))</f>
        <v/>
      </c>
      <c r="F44" s="343"/>
      <c r="G44" s="344"/>
      <c r="H44" s="345">
        <f>IFERROR(VLOOKUP(G44,'Master Data'!$C$336:$I$353,7,FALSE),0)</f>
        <v>0</v>
      </c>
      <c r="I44" s="346">
        <f>IFERROR(VLOOKUP(H44,'Master Data'!$B$336:$D$351,3,FALSE),0)</f>
        <v>0</v>
      </c>
      <c r="J44" s="347">
        <f>IFERROR(VLOOKUP(H44,'Master Data'!$B$336:$H$353,7,FALSE),0)</f>
        <v>0</v>
      </c>
      <c r="K44" s="348"/>
      <c r="L44" s="349" t="str">
        <f>IFERROR(IF(I44="FIXED ASSET",J44&amp;E44&amp;K44,VLOOKUP(F44,'Master Data'!$E$59:$H$146,4,FALSE)&amp;"-"&amp;J44&amp;"-"&amp;K44),"-")</f>
        <v>-</v>
      </c>
      <c r="M44" s="360"/>
      <c r="N44" s="361"/>
      <c r="O44" s="358"/>
      <c r="P44" s="358"/>
      <c r="Q44" s="358"/>
      <c r="R44" s="358"/>
      <c r="S44" s="358"/>
      <c r="T44" s="358"/>
      <c r="U44" s="358"/>
      <c r="V44" s="358"/>
      <c r="W44" s="358"/>
      <c r="X44" s="358"/>
      <c r="Y44" s="358"/>
      <c r="Z44" s="358"/>
      <c r="AA44" s="351">
        <f t="shared" si="14"/>
        <v>0</v>
      </c>
      <c r="AB44" s="327"/>
      <c r="AC44" s="344"/>
      <c r="AD44" s="362"/>
      <c r="AE44" s="354"/>
      <c r="AF44" s="362"/>
      <c r="AG44" s="362"/>
      <c r="AH44" s="354"/>
      <c r="AI44" s="355" t="str">
        <f t="shared" si="16"/>
        <v/>
      </c>
      <c r="AJ44" s="355" t="str">
        <f t="shared" si="16"/>
        <v/>
      </c>
      <c r="AK44" s="355" t="str">
        <f t="shared" si="15"/>
        <v/>
      </c>
      <c r="AL44" s="313"/>
      <c r="AM44" s="313"/>
      <c r="AN44" s="313"/>
      <c r="AO44" s="307">
        <f t="shared" si="10"/>
        <v>0</v>
      </c>
      <c r="AP44" s="385"/>
      <c r="AQ44" s="313"/>
      <c r="AR44" s="313"/>
      <c r="AS44" s="313"/>
      <c r="AT44" s="313"/>
      <c r="AU44" s="313"/>
      <c r="AV44" s="313"/>
      <c r="AW44" s="313"/>
      <c r="AX44" s="313"/>
      <c r="AY44" s="313"/>
      <c r="AZ44" s="313"/>
      <c r="BA44" s="313"/>
      <c r="BB44" s="313"/>
      <c r="BC44" s="307">
        <f t="shared" si="11"/>
        <v>0</v>
      </c>
      <c r="BD44" s="353">
        <f t="shared" si="5"/>
        <v>0</v>
      </c>
      <c r="BE44" s="344"/>
      <c r="BF44" s="313"/>
      <c r="BG44" s="354"/>
      <c r="BH44" s="313"/>
      <c r="BI44" s="318">
        <f t="shared" si="6"/>
        <v>0</v>
      </c>
      <c r="BJ44" s="354"/>
      <c r="BK44" s="355" t="str">
        <f t="shared" si="2"/>
        <v/>
      </c>
      <c r="BL44" s="355" t="str">
        <f t="shared" si="7"/>
        <v/>
      </c>
      <c r="BM44" s="355" t="str">
        <f t="shared" si="12"/>
        <v/>
      </c>
      <c r="BN44" s="313"/>
    </row>
    <row r="45" spans="1:66" ht="15" customHeight="1" x14ac:dyDescent="0.25">
      <c r="A45" s="341" t="str">
        <f>IF(D45="","",Cover!$D$8)</f>
        <v/>
      </c>
      <c r="B45" s="341" t="str">
        <f>IF(D45="","",Cover!$D$7)</f>
        <v/>
      </c>
      <c r="C45" s="297" t="str">
        <f>IF(F45="","",IFERROR(VLOOKUP(F45,'Master Data'!$E$59:$J$146,6,FALSE),0))</f>
        <v/>
      </c>
      <c r="D45" s="342" t="str">
        <f>IF(F45="","",IFERROR(VLOOKUP(F45,Reference!$D$48:$AT$196,43,FALSE),0))</f>
        <v/>
      </c>
      <c r="E45" s="297" t="str">
        <f>IF(D45="","",IFERROR(VLOOKUP(D45,'Master Data'!$D$59:$I$146,6,FALSE),0))</f>
        <v/>
      </c>
      <c r="F45" s="343"/>
      <c r="G45" s="344"/>
      <c r="H45" s="345">
        <f>IFERROR(VLOOKUP(G45,'Master Data'!$C$336:$I$353,7,FALSE),0)</f>
        <v>0</v>
      </c>
      <c r="I45" s="346">
        <f>IFERROR(VLOOKUP(H45,'Master Data'!$B$336:$D$351,3,FALSE),0)</f>
        <v>0</v>
      </c>
      <c r="J45" s="347">
        <f>IFERROR(VLOOKUP(H45,'Master Data'!$B$336:$H$353,7,FALSE),0)</f>
        <v>0</v>
      </c>
      <c r="K45" s="348"/>
      <c r="L45" s="349" t="str">
        <f>IFERROR(IF(I45="FIXED ASSET",J45&amp;E45&amp;K45,VLOOKUP(F45,'Master Data'!$E$59:$H$146,4,FALSE)&amp;"-"&amp;J45&amp;"-"&amp;K45),"-")</f>
        <v>-</v>
      </c>
      <c r="M45" s="360"/>
      <c r="N45" s="361"/>
      <c r="O45" s="358"/>
      <c r="P45" s="358"/>
      <c r="Q45" s="358"/>
      <c r="R45" s="358"/>
      <c r="S45" s="358"/>
      <c r="T45" s="358"/>
      <c r="U45" s="358"/>
      <c r="V45" s="358"/>
      <c r="W45" s="358"/>
      <c r="X45" s="358"/>
      <c r="Y45" s="358"/>
      <c r="Z45" s="358"/>
      <c r="AA45" s="351">
        <f t="shared" si="14"/>
        <v>0</v>
      </c>
      <c r="AB45" s="327"/>
      <c r="AC45" s="344"/>
      <c r="AD45" s="362"/>
      <c r="AE45" s="354"/>
      <c r="AF45" s="362"/>
      <c r="AG45" s="362"/>
      <c r="AH45" s="354"/>
      <c r="AI45" s="355" t="str">
        <f t="shared" si="16"/>
        <v/>
      </c>
      <c r="AJ45" s="355" t="str">
        <f t="shared" si="16"/>
        <v/>
      </c>
      <c r="AK45" s="355" t="str">
        <f t="shared" si="15"/>
        <v/>
      </c>
      <c r="AL45" s="313"/>
      <c r="AM45" s="313"/>
      <c r="AN45" s="313"/>
      <c r="AO45" s="307">
        <f t="shared" si="10"/>
        <v>0</v>
      </c>
      <c r="AP45" s="385"/>
      <c r="AQ45" s="313"/>
      <c r="AR45" s="313"/>
      <c r="AS45" s="313"/>
      <c r="AT45" s="313"/>
      <c r="AU45" s="313"/>
      <c r="AV45" s="313"/>
      <c r="AW45" s="313"/>
      <c r="AX45" s="313"/>
      <c r="AY45" s="313"/>
      <c r="AZ45" s="313"/>
      <c r="BA45" s="313"/>
      <c r="BB45" s="313"/>
      <c r="BC45" s="307">
        <f t="shared" si="11"/>
        <v>0</v>
      </c>
      <c r="BD45" s="353">
        <f t="shared" si="5"/>
        <v>0</v>
      </c>
      <c r="BE45" s="344"/>
      <c r="BF45" s="313"/>
      <c r="BG45" s="354"/>
      <c r="BH45" s="313"/>
      <c r="BI45" s="318">
        <f t="shared" si="6"/>
        <v>0</v>
      </c>
      <c r="BJ45" s="354"/>
      <c r="BK45" s="355" t="str">
        <f t="shared" si="2"/>
        <v/>
      </c>
      <c r="BL45" s="355" t="str">
        <f t="shared" si="7"/>
        <v/>
      </c>
      <c r="BM45" s="355" t="str">
        <f t="shared" si="12"/>
        <v/>
      </c>
      <c r="BN45" s="313"/>
    </row>
    <row r="46" spans="1:66" ht="15" customHeight="1" x14ac:dyDescent="0.25">
      <c r="A46" s="341" t="str">
        <f>IF(D46="","",Cover!$D$8)</f>
        <v/>
      </c>
      <c r="B46" s="341" t="str">
        <f>IF(D46="","",Cover!$D$7)</f>
        <v/>
      </c>
      <c r="C46" s="297" t="str">
        <f>IF(F46="","",IFERROR(VLOOKUP(F46,'Master Data'!$E$59:$J$146,6,FALSE),0))</f>
        <v/>
      </c>
      <c r="D46" s="342" t="str">
        <f>IF(F46="","",IFERROR(VLOOKUP(F46,Reference!$D$48:$AT$196,43,FALSE),0))</f>
        <v/>
      </c>
      <c r="E46" s="297" t="str">
        <f>IF(D46="","",IFERROR(VLOOKUP(D46,'Master Data'!$D$59:$I$146,6,FALSE),0))</f>
        <v/>
      </c>
      <c r="F46" s="343"/>
      <c r="G46" s="344"/>
      <c r="H46" s="345">
        <f>IFERROR(VLOOKUP(G46,'Master Data'!$C$336:$I$353,7,FALSE),0)</f>
        <v>0</v>
      </c>
      <c r="I46" s="346">
        <f>IFERROR(VLOOKUP(H46,'Master Data'!$B$336:$D$351,3,FALSE),0)</f>
        <v>0</v>
      </c>
      <c r="J46" s="347">
        <f>IFERROR(VLOOKUP(H46,'Master Data'!$B$336:$H$353,7,FALSE),0)</f>
        <v>0</v>
      </c>
      <c r="K46" s="348"/>
      <c r="L46" s="349" t="str">
        <f>IFERROR(IF(I46="FIXED ASSET",J46&amp;E46&amp;K46,VLOOKUP(F46,'Master Data'!$E$59:$H$146,4,FALSE)&amp;"-"&amp;J46&amp;"-"&amp;K46),"-")</f>
        <v>-</v>
      </c>
      <c r="M46" s="360"/>
      <c r="N46" s="361"/>
      <c r="O46" s="358"/>
      <c r="P46" s="358"/>
      <c r="Q46" s="358"/>
      <c r="R46" s="358"/>
      <c r="S46" s="358"/>
      <c r="T46" s="358"/>
      <c r="U46" s="358"/>
      <c r="V46" s="358"/>
      <c r="W46" s="358"/>
      <c r="X46" s="358"/>
      <c r="Y46" s="358"/>
      <c r="Z46" s="358"/>
      <c r="AA46" s="351">
        <f>SUM(O46:Z46)</f>
        <v>0</v>
      </c>
      <c r="AB46" s="327"/>
      <c r="AC46" s="344"/>
      <c r="AD46" s="362"/>
      <c r="AE46" s="354"/>
      <c r="AF46" s="362"/>
      <c r="AG46" s="362"/>
      <c r="AH46" s="354"/>
      <c r="AI46" s="355" t="str">
        <f t="shared" si="16"/>
        <v/>
      </c>
      <c r="AJ46" s="355" t="str">
        <f t="shared" si="16"/>
        <v/>
      </c>
      <c r="AK46" s="355" t="str">
        <f t="shared" si="15"/>
        <v/>
      </c>
      <c r="AL46" s="313"/>
      <c r="AM46" s="313"/>
      <c r="AN46" s="313"/>
      <c r="AO46" s="307">
        <f t="shared" si="10"/>
        <v>0</v>
      </c>
      <c r="AP46" s="385"/>
      <c r="AQ46" s="313"/>
      <c r="AR46" s="313"/>
      <c r="AS46" s="313"/>
      <c r="AT46" s="313"/>
      <c r="AU46" s="313"/>
      <c r="AV46" s="313"/>
      <c r="AW46" s="313"/>
      <c r="AX46" s="313"/>
      <c r="AY46" s="313"/>
      <c r="AZ46" s="313"/>
      <c r="BA46" s="313"/>
      <c r="BB46" s="313"/>
      <c r="BC46" s="307">
        <f t="shared" si="11"/>
        <v>0</v>
      </c>
      <c r="BD46" s="353">
        <f t="shared" si="5"/>
        <v>0</v>
      </c>
      <c r="BE46" s="344"/>
      <c r="BF46" s="313"/>
      <c r="BG46" s="354"/>
      <c r="BH46" s="313"/>
      <c r="BI46" s="318">
        <f t="shared" si="6"/>
        <v>0</v>
      </c>
      <c r="BJ46" s="354"/>
      <c r="BK46" s="355" t="str">
        <f t="shared" si="2"/>
        <v/>
      </c>
      <c r="BL46" s="355" t="str">
        <f t="shared" si="7"/>
        <v/>
      </c>
      <c r="BM46" s="355" t="str">
        <f t="shared" si="12"/>
        <v/>
      </c>
      <c r="BN46" s="313"/>
    </row>
    <row r="47" spans="1:66" ht="15" customHeight="1" x14ac:dyDescent="0.25">
      <c r="A47" s="341" t="str">
        <f>IF(D47="","",Cover!$D$8)</f>
        <v/>
      </c>
      <c r="B47" s="341" t="str">
        <f>IF(D47="","",Cover!$D$7)</f>
        <v/>
      </c>
      <c r="C47" s="297" t="str">
        <f>IF(F47="","",IFERROR(VLOOKUP(F47,'Master Data'!$E$59:$J$146,6,FALSE),0))</f>
        <v/>
      </c>
      <c r="D47" s="342" t="str">
        <f>IF(F47="","",IFERROR(VLOOKUP(F47,Reference!$D$48:$AT$196,43,FALSE),0))</f>
        <v/>
      </c>
      <c r="E47" s="297" t="str">
        <f>IF(D47="","",IFERROR(VLOOKUP(D47,'Master Data'!$D$59:$I$146,6,FALSE),0))</f>
        <v/>
      </c>
      <c r="F47" s="343"/>
      <c r="G47" s="344"/>
      <c r="H47" s="345">
        <f>IFERROR(VLOOKUP(G47,'Master Data'!$C$336:$I$353,7,FALSE),0)</f>
        <v>0</v>
      </c>
      <c r="I47" s="346">
        <f>IFERROR(VLOOKUP(H47,'Master Data'!$B$336:$D$351,3,FALSE),0)</f>
        <v>0</v>
      </c>
      <c r="J47" s="347">
        <f>IFERROR(VLOOKUP(H47,'Master Data'!$B$336:$H$353,7,FALSE),0)</f>
        <v>0</v>
      </c>
      <c r="K47" s="348"/>
      <c r="L47" s="349" t="str">
        <f>IFERROR(IF(I47="FIXED ASSET",J47&amp;E47&amp;K47,VLOOKUP(F47,'Master Data'!$E$59:$H$146,4,FALSE)&amp;"-"&amp;J47&amp;"-"&amp;K47),"-")</f>
        <v>-</v>
      </c>
      <c r="M47" s="360"/>
      <c r="N47" s="361"/>
      <c r="O47" s="358"/>
      <c r="P47" s="358"/>
      <c r="Q47" s="358"/>
      <c r="R47" s="358"/>
      <c r="S47" s="358"/>
      <c r="T47" s="358"/>
      <c r="U47" s="358"/>
      <c r="V47" s="358"/>
      <c r="W47" s="358"/>
      <c r="X47" s="358"/>
      <c r="Y47" s="358"/>
      <c r="Z47" s="358"/>
      <c r="AA47" s="351">
        <f t="shared" si="14"/>
        <v>0</v>
      </c>
      <c r="AB47" s="327"/>
      <c r="AC47" s="344"/>
      <c r="AD47" s="362"/>
      <c r="AE47" s="354"/>
      <c r="AF47" s="362"/>
      <c r="AG47" s="362"/>
      <c r="AH47" s="354"/>
      <c r="AI47" s="355" t="str">
        <f t="shared" si="16"/>
        <v/>
      </c>
      <c r="AJ47" s="355" t="str">
        <f t="shared" si="16"/>
        <v/>
      </c>
      <c r="AK47" s="355" t="str">
        <f t="shared" si="15"/>
        <v/>
      </c>
      <c r="AL47" s="313"/>
      <c r="AM47" s="313"/>
      <c r="AN47" s="313"/>
      <c r="AO47" s="307">
        <f t="shared" si="10"/>
        <v>0</v>
      </c>
      <c r="AP47" s="385"/>
      <c r="AQ47" s="313"/>
      <c r="AR47" s="313"/>
      <c r="AS47" s="313"/>
      <c r="AT47" s="313"/>
      <c r="AU47" s="313"/>
      <c r="AV47" s="313"/>
      <c r="AW47" s="313"/>
      <c r="AX47" s="313"/>
      <c r="AY47" s="313"/>
      <c r="AZ47" s="313"/>
      <c r="BA47" s="313"/>
      <c r="BB47" s="313"/>
      <c r="BC47" s="307">
        <f t="shared" si="11"/>
        <v>0</v>
      </c>
      <c r="BD47" s="353">
        <f t="shared" si="5"/>
        <v>0</v>
      </c>
      <c r="BE47" s="344"/>
      <c r="BF47" s="313"/>
      <c r="BG47" s="354"/>
      <c r="BH47" s="313"/>
      <c r="BI47" s="318">
        <f t="shared" si="6"/>
        <v>0</v>
      </c>
      <c r="BJ47" s="354"/>
      <c r="BK47" s="355" t="str">
        <f t="shared" si="2"/>
        <v/>
      </c>
      <c r="BL47" s="355" t="str">
        <f t="shared" si="7"/>
        <v/>
      </c>
      <c r="BM47" s="355" t="str">
        <f t="shared" si="12"/>
        <v/>
      </c>
      <c r="BN47" s="313"/>
    </row>
    <row r="48" spans="1:66" ht="15" customHeight="1" x14ac:dyDescent="0.25">
      <c r="A48" s="341" t="str">
        <f>IF(D48="","",Cover!$D$8)</f>
        <v/>
      </c>
      <c r="B48" s="341" t="str">
        <f>IF(D48="","",Cover!$D$7)</f>
        <v/>
      </c>
      <c r="C48" s="297" t="str">
        <f>IF(F48="","",IFERROR(VLOOKUP(F48,'Master Data'!$E$59:$J$146,6,FALSE),0))</f>
        <v/>
      </c>
      <c r="D48" s="342" t="str">
        <f>IF(F48="","",IFERROR(VLOOKUP(F48,Reference!$D$48:$AT$196,43,FALSE),0))</f>
        <v/>
      </c>
      <c r="E48" s="297" t="str">
        <f>IF(D48="","",IFERROR(VLOOKUP(D48,'Master Data'!$D$59:$I$146,6,FALSE),0))</f>
        <v/>
      </c>
      <c r="F48" s="343"/>
      <c r="G48" s="344"/>
      <c r="H48" s="345">
        <f>IFERROR(VLOOKUP(G48,'Master Data'!$C$336:$I$353,7,FALSE),0)</f>
        <v>0</v>
      </c>
      <c r="I48" s="346">
        <f>IFERROR(VLOOKUP(H48,'Master Data'!$B$336:$D$351,3,FALSE),0)</f>
        <v>0</v>
      </c>
      <c r="J48" s="347">
        <f>IFERROR(VLOOKUP(H48,'Master Data'!$B$336:$H$353,7,FALSE),0)</f>
        <v>0</v>
      </c>
      <c r="K48" s="348"/>
      <c r="L48" s="349" t="str">
        <f>IFERROR(IF(I48="FIXED ASSET",J48&amp;E48&amp;K48,VLOOKUP(F48,'Master Data'!$E$59:$H$146,4,FALSE)&amp;"-"&amp;J48&amp;"-"&amp;K48),"-")</f>
        <v>-</v>
      </c>
      <c r="M48" s="360"/>
      <c r="N48" s="361"/>
      <c r="O48" s="358"/>
      <c r="P48" s="358"/>
      <c r="Q48" s="358"/>
      <c r="R48" s="358"/>
      <c r="S48" s="358"/>
      <c r="T48" s="358"/>
      <c r="U48" s="358"/>
      <c r="V48" s="358"/>
      <c r="W48" s="358"/>
      <c r="X48" s="358"/>
      <c r="Y48" s="358"/>
      <c r="Z48" s="358"/>
      <c r="AA48" s="351">
        <f t="shared" si="14"/>
        <v>0</v>
      </c>
      <c r="AB48" s="327"/>
      <c r="AC48" s="344"/>
      <c r="AD48" s="362"/>
      <c r="AE48" s="354"/>
      <c r="AF48" s="362"/>
      <c r="AG48" s="362"/>
      <c r="AH48" s="354"/>
      <c r="AI48" s="355" t="str">
        <f t="shared" si="16"/>
        <v/>
      </c>
      <c r="AJ48" s="355" t="str">
        <f t="shared" si="16"/>
        <v/>
      </c>
      <c r="AK48" s="355" t="str">
        <f t="shared" si="15"/>
        <v/>
      </c>
      <c r="AL48" s="313"/>
      <c r="AM48" s="313"/>
      <c r="AN48" s="313"/>
      <c r="AO48" s="307">
        <f t="shared" si="10"/>
        <v>0</v>
      </c>
      <c r="AP48" s="385"/>
      <c r="AQ48" s="313"/>
      <c r="AR48" s="313"/>
      <c r="AS48" s="313"/>
      <c r="AT48" s="313"/>
      <c r="AU48" s="313"/>
      <c r="AV48" s="313"/>
      <c r="AW48" s="313"/>
      <c r="AX48" s="313"/>
      <c r="AY48" s="313"/>
      <c r="AZ48" s="313"/>
      <c r="BA48" s="313"/>
      <c r="BB48" s="313"/>
      <c r="BC48" s="307">
        <f t="shared" si="11"/>
        <v>0</v>
      </c>
      <c r="BD48" s="353">
        <f t="shared" si="5"/>
        <v>0</v>
      </c>
      <c r="BE48" s="344"/>
      <c r="BF48" s="313"/>
      <c r="BG48" s="354"/>
      <c r="BH48" s="313"/>
      <c r="BI48" s="318">
        <f t="shared" si="6"/>
        <v>0</v>
      </c>
      <c r="BJ48" s="354"/>
      <c r="BK48" s="355" t="str">
        <f t="shared" si="2"/>
        <v/>
      </c>
      <c r="BL48" s="355" t="str">
        <f t="shared" si="7"/>
        <v/>
      </c>
      <c r="BM48" s="355" t="str">
        <f t="shared" si="12"/>
        <v/>
      </c>
      <c r="BN48" s="313"/>
    </row>
    <row r="49" spans="1:66" ht="15" customHeight="1" x14ac:dyDescent="0.25">
      <c r="A49" s="341" t="str">
        <f>IF(D49="","",Cover!$D$8)</f>
        <v/>
      </c>
      <c r="B49" s="341" t="str">
        <f>IF(D49="","",Cover!$D$7)</f>
        <v/>
      </c>
      <c r="C49" s="297" t="str">
        <f>IF(F49="","",IFERROR(VLOOKUP(F49,'Master Data'!$E$59:$J$146,6,FALSE),0))</f>
        <v/>
      </c>
      <c r="D49" s="342" t="str">
        <f>IF(F49="","",IFERROR(VLOOKUP(F49,Reference!$D$48:$AT$196,43,FALSE),0))</f>
        <v/>
      </c>
      <c r="E49" s="297" t="str">
        <f>IF(D49="","",IFERROR(VLOOKUP(D49,'Master Data'!$D$59:$I$146,6,FALSE),0))</f>
        <v/>
      </c>
      <c r="F49" s="343"/>
      <c r="G49" s="344"/>
      <c r="H49" s="345">
        <f>IFERROR(VLOOKUP(G49,'Master Data'!$C$336:$I$353,7,FALSE),0)</f>
        <v>0</v>
      </c>
      <c r="I49" s="346">
        <f>IFERROR(VLOOKUP(H49,'Master Data'!$B$336:$D$351,3,FALSE),0)</f>
        <v>0</v>
      </c>
      <c r="J49" s="347">
        <f>IFERROR(VLOOKUP(H49,'Master Data'!$B$336:$H$353,7,FALSE),0)</f>
        <v>0</v>
      </c>
      <c r="K49" s="348"/>
      <c r="L49" s="349" t="str">
        <f>IFERROR(IF(I49="FIXED ASSET",J49&amp;E49&amp;K49,VLOOKUP(F49,'Master Data'!$E$59:$H$146,4,FALSE)&amp;"-"&amp;J49&amp;"-"&amp;K49),"-")</f>
        <v>-</v>
      </c>
      <c r="M49" s="360"/>
      <c r="N49" s="361"/>
      <c r="O49" s="358"/>
      <c r="P49" s="358"/>
      <c r="Q49" s="358"/>
      <c r="R49" s="358"/>
      <c r="S49" s="358"/>
      <c r="T49" s="358"/>
      <c r="U49" s="358"/>
      <c r="V49" s="358"/>
      <c r="W49" s="358"/>
      <c r="X49" s="358"/>
      <c r="Y49" s="358"/>
      <c r="Z49" s="358"/>
      <c r="AA49" s="351">
        <f t="shared" si="14"/>
        <v>0</v>
      </c>
      <c r="AB49" s="327"/>
      <c r="AC49" s="344"/>
      <c r="AD49" s="362"/>
      <c r="AE49" s="354"/>
      <c r="AF49" s="362"/>
      <c r="AG49" s="362"/>
      <c r="AH49" s="354"/>
      <c r="AI49" s="355" t="str">
        <f t="shared" si="16"/>
        <v/>
      </c>
      <c r="AJ49" s="355" t="str">
        <f t="shared" si="16"/>
        <v/>
      </c>
      <c r="AK49" s="355" t="str">
        <f t="shared" si="15"/>
        <v/>
      </c>
      <c r="AL49" s="313"/>
      <c r="AM49" s="313"/>
      <c r="AN49" s="313"/>
      <c r="AO49" s="307">
        <f t="shared" si="10"/>
        <v>0</v>
      </c>
      <c r="AP49" s="385"/>
      <c r="AQ49" s="313"/>
      <c r="AR49" s="313"/>
      <c r="AS49" s="313"/>
      <c r="AT49" s="313"/>
      <c r="AU49" s="313"/>
      <c r="AV49" s="313"/>
      <c r="AW49" s="313"/>
      <c r="AX49" s="313"/>
      <c r="AY49" s="313"/>
      <c r="AZ49" s="313"/>
      <c r="BA49" s="313"/>
      <c r="BB49" s="313"/>
      <c r="BC49" s="307">
        <f t="shared" si="11"/>
        <v>0</v>
      </c>
      <c r="BD49" s="353">
        <f t="shared" si="5"/>
        <v>0</v>
      </c>
      <c r="BE49" s="344"/>
      <c r="BF49" s="313"/>
      <c r="BG49" s="354"/>
      <c r="BH49" s="313"/>
      <c r="BI49" s="318">
        <f t="shared" si="6"/>
        <v>0</v>
      </c>
      <c r="BJ49" s="354"/>
      <c r="BK49" s="355" t="str">
        <f t="shared" si="2"/>
        <v/>
      </c>
      <c r="BL49" s="355" t="str">
        <f t="shared" si="7"/>
        <v/>
      </c>
      <c r="BM49" s="355" t="str">
        <f t="shared" si="12"/>
        <v/>
      </c>
      <c r="BN49" s="313"/>
    </row>
    <row r="50" spans="1:66" ht="15" customHeight="1" x14ac:dyDescent="0.25">
      <c r="A50" s="341" t="str">
        <f>IF(D50="","",Cover!$D$8)</f>
        <v/>
      </c>
      <c r="B50" s="341" t="str">
        <f>IF(D50="","",Cover!$D$7)</f>
        <v/>
      </c>
      <c r="C50" s="297" t="str">
        <f>IF(F50="","",IFERROR(VLOOKUP(F50,'Master Data'!$E$59:$J$146,6,FALSE),0))</f>
        <v/>
      </c>
      <c r="D50" s="342" t="str">
        <f>IF(F50="","",IFERROR(VLOOKUP(F50,Reference!$D$48:$AT$196,43,FALSE),0))</f>
        <v/>
      </c>
      <c r="E50" s="297" t="str">
        <f>IF(D50="","",IFERROR(VLOOKUP(D50,'Master Data'!$D$59:$I$146,6,FALSE),0))</f>
        <v/>
      </c>
      <c r="F50" s="343"/>
      <c r="G50" s="344"/>
      <c r="H50" s="345">
        <f>IFERROR(VLOOKUP(G50,'Master Data'!$C$336:$I$353,7,FALSE),0)</f>
        <v>0</v>
      </c>
      <c r="I50" s="346">
        <f>IFERROR(VLOOKUP(H50,'Master Data'!$B$336:$D$351,3,FALSE),0)</f>
        <v>0</v>
      </c>
      <c r="J50" s="347">
        <f>IFERROR(VLOOKUP(H50,'Master Data'!$B$336:$H$353,7,FALSE),0)</f>
        <v>0</v>
      </c>
      <c r="K50" s="348"/>
      <c r="L50" s="349" t="str">
        <f>IFERROR(IF(I50="FIXED ASSET",J50&amp;E50&amp;K50,VLOOKUP(F50,'Master Data'!$E$59:$H$146,4,FALSE)&amp;"-"&amp;J50&amp;"-"&amp;K50),"-")</f>
        <v>-</v>
      </c>
      <c r="M50" s="360"/>
      <c r="N50" s="361"/>
      <c r="O50" s="358"/>
      <c r="P50" s="358"/>
      <c r="Q50" s="358"/>
      <c r="R50" s="358"/>
      <c r="S50" s="358"/>
      <c r="T50" s="358"/>
      <c r="U50" s="358"/>
      <c r="V50" s="358"/>
      <c r="W50" s="358"/>
      <c r="X50" s="358"/>
      <c r="Y50" s="358"/>
      <c r="Z50" s="358"/>
      <c r="AA50" s="351">
        <f t="shared" si="14"/>
        <v>0</v>
      </c>
      <c r="AB50" s="327"/>
      <c r="AC50" s="344"/>
      <c r="AD50" s="362"/>
      <c r="AE50" s="354"/>
      <c r="AF50" s="362"/>
      <c r="AG50" s="362"/>
      <c r="AH50" s="354"/>
      <c r="AI50" s="355" t="str">
        <f t="shared" si="16"/>
        <v/>
      </c>
      <c r="AJ50" s="355" t="str">
        <f t="shared" si="16"/>
        <v/>
      </c>
      <c r="AK50" s="355" t="str">
        <f t="shared" si="15"/>
        <v/>
      </c>
      <c r="AL50" s="313"/>
      <c r="AM50" s="313"/>
      <c r="AN50" s="313"/>
      <c r="AO50" s="307">
        <f t="shared" si="10"/>
        <v>0</v>
      </c>
      <c r="AP50" s="385"/>
      <c r="AQ50" s="313"/>
      <c r="AR50" s="313"/>
      <c r="AS50" s="313"/>
      <c r="AT50" s="313"/>
      <c r="AU50" s="313"/>
      <c r="AV50" s="313"/>
      <c r="AW50" s="313"/>
      <c r="AX50" s="313"/>
      <c r="AY50" s="313"/>
      <c r="AZ50" s="313"/>
      <c r="BA50" s="313"/>
      <c r="BB50" s="313"/>
      <c r="BC50" s="307">
        <f t="shared" si="11"/>
        <v>0</v>
      </c>
      <c r="BD50" s="353">
        <f t="shared" si="5"/>
        <v>0</v>
      </c>
      <c r="BE50" s="344"/>
      <c r="BF50" s="313"/>
      <c r="BG50" s="354"/>
      <c r="BH50" s="313"/>
      <c r="BI50" s="318">
        <f t="shared" si="6"/>
        <v>0</v>
      </c>
      <c r="BJ50" s="354"/>
      <c r="BK50" s="355" t="str">
        <f t="shared" si="2"/>
        <v/>
      </c>
      <c r="BL50" s="355" t="str">
        <f t="shared" si="7"/>
        <v/>
      </c>
      <c r="BM50" s="355" t="str">
        <f t="shared" si="12"/>
        <v/>
      </c>
      <c r="BN50" s="313"/>
    </row>
    <row r="51" spans="1:66" ht="15" customHeight="1" x14ac:dyDescent="0.25">
      <c r="A51" s="341" t="str">
        <f>IF(D51="","",Cover!$D$8)</f>
        <v/>
      </c>
      <c r="B51" s="341" t="str">
        <f>IF(D51="","",Cover!$D$7)</f>
        <v/>
      </c>
      <c r="C51" s="297" t="str">
        <f>IF(F51="","",IFERROR(VLOOKUP(F51,'Master Data'!$E$59:$J$146,6,FALSE),0))</f>
        <v/>
      </c>
      <c r="D51" s="342" t="str">
        <f>IF(F51="","",IFERROR(VLOOKUP(F51,Reference!$D$48:$AT$196,43,FALSE),0))</f>
        <v/>
      </c>
      <c r="E51" s="297" t="str">
        <f>IF(D51="","",IFERROR(VLOOKUP(D51,'Master Data'!$D$59:$I$146,6,FALSE),0))</f>
        <v/>
      </c>
      <c r="F51" s="343"/>
      <c r="G51" s="344"/>
      <c r="H51" s="345">
        <f>IFERROR(VLOOKUP(G51,'Master Data'!$C$336:$I$353,7,FALSE),0)</f>
        <v>0</v>
      </c>
      <c r="I51" s="346">
        <f>IFERROR(VLOOKUP(H51,'Master Data'!$B$336:$D$351,3,FALSE),0)</f>
        <v>0</v>
      </c>
      <c r="J51" s="347">
        <f>IFERROR(VLOOKUP(H51,'Master Data'!$B$336:$H$353,7,FALSE),0)</f>
        <v>0</v>
      </c>
      <c r="K51" s="348"/>
      <c r="L51" s="349" t="str">
        <f>IFERROR(IF(I51="FIXED ASSET",J51&amp;E51&amp;K51,VLOOKUP(F51,'Master Data'!$E$59:$H$146,4,FALSE)&amp;"-"&amp;J51&amp;"-"&amp;K51),"-")</f>
        <v>-</v>
      </c>
      <c r="M51" s="360"/>
      <c r="N51" s="361"/>
      <c r="O51" s="358"/>
      <c r="P51" s="358"/>
      <c r="Q51" s="358"/>
      <c r="R51" s="358"/>
      <c r="S51" s="358"/>
      <c r="T51" s="358"/>
      <c r="U51" s="358"/>
      <c r="V51" s="358"/>
      <c r="W51" s="358"/>
      <c r="X51" s="358"/>
      <c r="Y51" s="358"/>
      <c r="Z51" s="358"/>
      <c r="AA51" s="351">
        <f t="shared" si="14"/>
        <v>0</v>
      </c>
      <c r="AB51" s="327"/>
      <c r="AC51" s="344"/>
      <c r="AD51" s="362"/>
      <c r="AE51" s="354"/>
      <c r="AF51" s="362"/>
      <c r="AG51" s="362"/>
      <c r="AH51" s="354"/>
      <c r="AI51" s="355" t="str">
        <f t="shared" si="16"/>
        <v/>
      </c>
      <c r="AJ51" s="355" t="str">
        <f t="shared" si="16"/>
        <v/>
      </c>
      <c r="AK51" s="355" t="str">
        <f t="shared" si="15"/>
        <v/>
      </c>
      <c r="AL51" s="313"/>
      <c r="AM51" s="313"/>
      <c r="AN51" s="313"/>
      <c r="AO51" s="307">
        <f t="shared" si="10"/>
        <v>0</v>
      </c>
      <c r="AP51" s="385"/>
      <c r="AQ51" s="313"/>
      <c r="AR51" s="313"/>
      <c r="AS51" s="313"/>
      <c r="AT51" s="313"/>
      <c r="AU51" s="313"/>
      <c r="AV51" s="313"/>
      <c r="AW51" s="313"/>
      <c r="AX51" s="313"/>
      <c r="AY51" s="313"/>
      <c r="AZ51" s="313"/>
      <c r="BA51" s="313"/>
      <c r="BB51" s="313"/>
      <c r="BC51" s="307">
        <f t="shared" si="11"/>
        <v>0</v>
      </c>
      <c r="BD51" s="353">
        <f t="shared" si="5"/>
        <v>0</v>
      </c>
      <c r="BE51" s="344"/>
      <c r="BF51" s="313"/>
      <c r="BG51" s="354"/>
      <c r="BH51" s="313"/>
      <c r="BI51" s="318">
        <f t="shared" si="6"/>
        <v>0</v>
      </c>
      <c r="BJ51" s="354"/>
      <c r="BK51" s="355" t="str">
        <f t="shared" si="2"/>
        <v/>
      </c>
      <c r="BL51" s="355" t="str">
        <f t="shared" si="7"/>
        <v/>
      </c>
      <c r="BM51" s="355" t="str">
        <f t="shared" si="12"/>
        <v/>
      </c>
      <c r="BN51" s="313"/>
    </row>
    <row r="52" spans="1:66" ht="15" customHeight="1" x14ac:dyDescent="0.25">
      <c r="A52" s="341" t="str">
        <f>IF(D52="","",Cover!$D$8)</f>
        <v/>
      </c>
      <c r="B52" s="341" t="str">
        <f>IF(D52="","",Cover!$D$7)</f>
        <v/>
      </c>
      <c r="C52" s="297" t="str">
        <f>IF(F52="","",IFERROR(VLOOKUP(F52,'Master Data'!$E$59:$J$146,6,FALSE),0))</f>
        <v/>
      </c>
      <c r="D52" s="342" t="str">
        <f>IF(F52="","",IFERROR(VLOOKUP(F52,Reference!$D$48:$AT$196,43,FALSE),0))</f>
        <v/>
      </c>
      <c r="E52" s="297" t="str">
        <f>IF(D52="","",IFERROR(VLOOKUP(D52,'Master Data'!$D$59:$I$146,6,FALSE),0))</f>
        <v/>
      </c>
      <c r="F52" s="343"/>
      <c r="G52" s="344"/>
      <c r="H52" s="345">
        <f>IFERROR(VLOOKUP(G52,'Master Data'!$C$336:$I$353,7,FALSE),0)</f>
        <v>0</v>
      </c>
      <c r="I52" s="346">
        <f>IFERROR(VLOOKUP(H52,'Master Data'!$B$336:$D$351,3,FALSE),0)</f>
        <v>0</v>
      </c>
      <c r="J52" s="347">
        <f>IFERROR(VLOOKUP(H52,'Master Data'!$B$336:$H$353,7,FALSE),0)</f>
        <v>0</v>
      </c>
      <c r="K52" s="348"/>
      <c r="L52" s="349" t="str">
        <f>IFERROR(IF(I52="FIXED ASSET",J52&amp;E52&amp;K52,VLOOKUP(F52,'Master Data'!$E$59:$H$146,4,FALSE)&amp;"-"&amp;J52&amp;"-"&amp;K52),"-")</f>
        <v>-</v>
      </c>
      <c r="M52" s="360"/>
      <c r="N52" s="361"/>
      <c r="O52" s="358"/>
      <c r="P52" s="358"/>
      <c r="Q52" s="358"/>
      <c r="R52" s="358"/>
      <c r="S52" s="358"/>
      <c r="T52" s="358"/>
      <c r="U52" s="358"/>
      <c r="V52" s="358"/>
      <c r="W52" s="358"/>
      <c r="X52" s="358"/>
      <c r="Y52" s="358"/>
      <c r="Z52" s="358"/>
      <c r="AA52" s="351">
        <f t="shared" si="14"/>
        <v>0</v>
      </c>
      <c r="AB52" s="327"/>
      <c r="AC52" s="344"/>
      <c r="AD52" s="362"/>
      <c r="AE52" s="354"/>
      <c r="AF52" s="362"/>
      <c r="AG52" s="362"/>
      <c r="AH52" s="354"/>
      <c r="AI52" s="355" t="str">
        <f t="shared" si="16"/>
        <v/>
      </c>
      <c r="AJ52" s="355" t="str">
        <f t="shared" si="16"/>
        <v/>
      </c>
      <c r="AK52" s="355" t="str">
        <f t="shared" si="15"/>
        <v/>
      </c>
      <c r="AL52" s="313"/>
      <c r="AM52" s="313"/>
      <c r="AN52" s="313"/>
      <c r="AO52" s="307">
        <f t="shared" si="10"/>
        <v>0</v>
      </c>
      <c r="AP52" s="385"/>
      <c r="AQ52" s="313"/>
      <c r="AR52" s="313"/>
      <c r="AS52" s="313"/>
      <c r="AT52" s="313"/>
      <c r="AU52" s="313"/>
      <c r="AV52" s="313"/>
      <c r="AW52" s="313"/>
      <c r="AX52" s="313"/>
      <c r="AY52" s="313"/>
      <c r="AZ52" s="313"/>
      <c r="BA52" s="313"/>
      <c r="BB52" s="313"/>
      <c r="BC52" s="307">
        <f t="shared" si="11"/>
        <v>0</v>
      </c>
      <c r="BD52" s="353">
        <f t="shared" si="5"/>
        <v>0</v>
      </c>
      <c r="BE52" s="344"/>
      <c r="BF52" s="313"/>
      <c r="BG52" s="354"/>
      <c r="BH52" s="313"/>
      <c r="BI52" s="318">
        <f t="shared" si="6"/>
        <v>0</v>
      </c>
      <c r="BJ52" s="354"/>
      <c r="BK52" s="355" t="str">
        <f t="shared" si="2"/>
        <v/>
      </c>
      <c r="BL52" s="355" t="str">
        <f t="shared" si="7"/>
        <v/>
      </c>
      <c r="BM52" s="355" t="str">
        <f t="shared" si="12"/>
        <v/>
      </c>
      <c r="BN52" s="313"/>
    </row>
    <row r="53" spans="1:66" ht="15" customHeight="1" x14ac:dyDescent="0.25">
      <c r="A53" s="341" t="str">
        <f>IF(D53="","",Cover!$D$8)</f>
        <v/>
      </c>
      <c r="B53" s="341" t="str">
        <f>IF(D53="","",Cover!$D$7)</f>
        <v/>
      </c>
      <c r="C53" s="297" t="str">
        <f>IF(F53="","",IFERROR(VLOOKUP(F53,'Master Data'!$E$59:$J$146,6,FALSE),0))</f>
        <v/>
      </c>
      <c r="D53" s="342" t="str">
        <f>IF(F53="","",IFERROR(VLOOKUP(F53,Reference!$D$48:$AT$196,43,FALSE),0))</f>
        <v/>
      </c>
      <c r="E53" s="297" t="str">
        <f>IF(D53="","",IFERROR(VLOOKUP(D53,'Master Data'!$D$59:$I$146,6,FALSE),0))</f>
        <v/>
      </c>
      <c r="F53" s="343"/>
      <c r="G53" s="344"/>
      <c r="H53" s="345">
        <f>IFERROR(VLOOKUP(G53,'Master Data'!$C$336:$I$353,7,FALSE),0)</f>
        <v>0</v>
      </c>
      <c r="I53" s="346">
        <f>IFERROR(VLOOKUP(H53,'Master Data'!$B$336:$D$351,3,FALSE),0)</f>
        <v>0</v>
      </c>
      <c r="J53" s="347">
        <f>IFERROR(VLOOKUP(H53,'Master Data'!$B$336:$H$353,7,FALSE),0)</f>
        <v>0</v>
      </c>
      <c r="K53" s="348"/>
      <c r="L53" s="349" t="str">
        <f>IFERROR(IF(I53="FIXED ASSET",J53&amp;E53&amp;K53,VLOOKUP(F53,'Master Data'!$E$59:$H$146,4,FALSE)&amp;"-"&amp;J53&amp;"-"&amp;K53),"-")</f>
        <v>-</v>
      </c>
      <c r="M53" s="360"/>
      <c r="N53" s="361"/>
      <c r="O53" s="358"/>
      <c r="P53" s="358"/>
      <c r="Q53" s="358"/>
      <c r="R53" s="358"/>
      <c r="S53" s="358"/>
      <c r="T53" s="358"/>
      <c r="U53" s="358"/>
      <c r="V53" s="358"/>
      <c r="W53" s="358"/>
      <c r="X53" s="358"/>
      <c r="Y53" s="358"/>
      <c r="Z53" s="358"/>
      <c r="AA53" s="351">
        <f t="shared" si="14"/>
        <v>0</v>
      </c>
      <c r="AB53" s="327"/>
      <c r="AC53" s="344"/>
      <c r="AD53" s="362"/>
      <c r="AE53" s="354"/>
      <c r="AF53" s="362"/>
      <c r="AG53" s="362"/>
      <c r="AH53" s="354"/>
      <c r="AI53" s="355" t="str">
        <f t="shared" si="16"/>
        <v/>
      </c>
      <c r="AJ53" s="355" t="str">
        <f t="shared" si="16"/>
        <v/>
      </c>
      <c r="AK53" s="355" t="str">
        <f t="shared" si="15"/>
        <v/>
      </c>
      <c r="AL53" s="313"/>
      <c r="AM53" s="313"/>
      <c r="AN53" s="313"/>
      <c r="AO53" s="307">
        <f t="shared" si="10"/>
        <v>0</v>
      </c>
      <c r="AP53" s="385"/>
      <c r="AQ53" s="313"/>
      <c r="AR53" s="313"/>
      <c r="AS53" s="313"/>
      <c r="AT53" s="313"/>
      <c r="AU53" s="313"/>
      <c r="AV53" s="313"/>
      <c r="AW53" s="313"/>
      <c r="AX53" s="313"/>
      <c r="AY53" s="313"/>
      <c r="AZ53" s="313"/>
      <c r="BA53" s="313"/>
      <c r="BB53" s="313"/>
      <c r="BC53" s="307">
        <f t="shared" si="11"/>
        <v>0</v>
      </c>
      <c r="BD53" s="353">
        <f t="shared" si="5"/>
        <v>0</v>
      </c>
      <c r="BE53" s="344"/>
      <c r="BF53" s="313"/>
      <c r="BG53" s="354"/>
      <c r="BH53" s="313"/>
      <c r="BI53" s="318">
        <f t="shared" si="6"/>
        <v>0</v>
      </c>
      <c r="BJ53" s="354"/>
      <c r="BK53" s="355" t="str">
        <f t="shared" si="2"/>
        <v/>
      </c>
      <c r="BL53" s="355" t="str">
        <f t="shared" si="7"/>
        <v/>
      </c>
      <c r="BM53" s="355" t="str">
        <f t="shared" si="12"/>
        <v/>
      </c>
      <c r="BN53" s="313"/>
    </row>
    <row r="54" spans="1:66" ht="15" customHeight="1" x14ac:dyDescent="0.25">
      <c r="A54" s="341" t="str">
        <f>IF(D54="","",Cover!$D$8)</f>
        <v/>
      </c>
      <c r="B54" s="341" t="str">
        <f>IF(D54="","",Cover!$D$7)</f>
        <v/>
      </c>
      <c r="C54" s="297" t="str">
        <f>IF(F54="","",IFERROR(VLOOKUP(F54,'Master Data'!$E$59:$J$146,6,FALSE),0))</f>
        <v/>
      </c>
      <c r="D54" s="342" t="str">
        <f>IF(F54="","",IFERROR(VLOOKUP(F54,Reference!$D$48:$AT$196,43,FALSE),0))</f>
        <v/>
      </c>
      <c r="E54" s="297" t="str">
        <f>IF(D54="","",IFERROR(VLOOKUP(D54,'Master Data'!$D$59:$I$146,6,FALSE),0))</f>
        <v/>
      </c>
      <c r="F54" s="343"/>
      <c r="G54" s="344"/>
      <c r="H54" s="345">
        <f>IFERROR(VLOOKUP(G54,'Master Data'!$C$336:$I$353,7,FALSE),0)</f>
        <v>0</v>
      </c>
      <c r="I54" s="346">
        <f>IFERROR(VLOOKUP(H54,'Master Data'!$B$336:$D$351,3,FALSE),0)</f>
        <v>0</v>
      </c>
      <c r="J54" s="347">
        <f>IFERROR(VLOOKUP(H54,'Master Data'!$B$336:$H$353,7,FALSE),0)</f>
        <v>0</v>
      </c>
      <c r="K54" s="348"/>
      <c r="L54" s="349" t="str">
        <f>IFERROR(IF(I54="FIXED ASSET",J54&amp;E54&amp;K54,VLOOKUP(F54,'Master Data'!$E$59:$H$146,4,FALSE)&amp;"-"&amp;J54&amp;"-"&amp;K54),"-")</f>
        <v>-</v>
      </c>
      <c r="M54" s="360"/>
      <c r="N54" s="361"/>
      <c r="O54" s="358"/>
      <c r="P54" s="358"/>
      <c r="Q54" s="358"/>
      <c r="R54" s="358"/>
      <c r="S54" s="358"/>
      <c r="T54" s="358"/>
      <c r="U54" s="358"/>
      <c r="V54" s="358"/>
      <c r="W54" s="358"/>
      <c r="X54" s="358"/>
      <c r="Y54" s="358"/>
      <c r="Z54" s="358"/>
      <c r="AA54" s="351">
        <f t="shared" si="14"/>
        <v>0</v>
      </c>
      <c r="AB54" s="327"/>
      <c r="AC54" s="344"/>
      <c r="AD54" s="362"/>
      <c r="AE54" s="354"/>
      <c r="AF54" s="362"/>
      <c r="AG54" s="362"/>
      <c r="AH54" s="354"/>
      <c r="AI54" s="355" t="str">
        <f t="shared" si="16"/>
        <v/>
      </c>
      <c r="AJ54" s="355" t="str">
        <f t="shared" si="16"/>
        <v/>
      </c>
      <c r="AK54" s="355" t="str">
        <f t="shared" si="15"/>
        <v/>
      </c>
      <c r="AL54" s="313"/>
      <c r="AM54" s="313"/>
      <c r="AN54" s="313"/>
      <c r="AO54" s="307">
        <f t="shared" si="10"/>
        <v>0</v>
      </c>
      <c r="AP54" s="385"/>
      <c r="AQ54" s="313"/>
      <c r="AR54" s="313"/>
      <c r="AS54" s="313"/>
      <c r="AT54" s="313"/>
      <c r="AU54" s="313"/>
      <c r="AV54" s="313"/>
      <c r="AW54" s="313"/>
      <c r="AX54" s="313"/>
      <c r="AY54" s="313"/>
      <c r="AZ54" s="313"/>
      <c r="BA54" s="313"/>
      <c r="BB54" s="313"/>
      <c r="BC54" s="307">
        <f t="shared" si="11"/>
        <v>0</v>
      </c>
      <c r="BD54" s="353">
        <f t="shared" si="5"/>
        <v>0</v>
      </c>
      <c r="BE54" s="344"/>
      <c r="BF54" s="313"/>
      <c r="BG54" s="354"/>
      <c r="BH54" s="313"/>
      <c r="BI54" s="318">
        <f t="shared" si="6"/>
        <v>0</v>
      </c>
      <c r="BJ54" s="354"/>
      <c r="BK54" s="355" t="str">
        <f t="shared" si="2"/>
        <v/>
      </c>
      <c r="BL54" s="355" t="str">
        <f t="shared" si="7"/>
        <v/>
      </c>
      <c r="BM54" s="355" t="str">
        <f t="shared" si="12"/>
        <v/>
      </c>
      <c r="BN54" s="313"/>
    </row>
    <row r="55" spans="1:66" ht="15" customHeight="1" x14ac:dyDescent="0.25">
      <c r="A55" s="341" t="str">
        <f>IF(D55="","",Cover!$D$8)</f>
        <v/>
      </c>
      <c r="B55" s="341" t="str">
        <f>IF(D55="","",Cover!$D$7)</f>
        <v/>
      </c>
      <c r="C55" s="297" t="str">
        <f>IF(F55="","",IFERROR(VLOOKUP(F55,'Master Data'!$E$59:$J$146,6,FALSE),0))</f>
        <v/>
      </c>
      <c r="D55" s="342" t="str">
        <f>IF(F55="","",IFERROR(VLOOKUP(F55,Reference!$D$48:$AT$196,43,FALSE),0))</f>
        <v/>
      </c>
      <c r="E55" s="297" t="str">
        <f>IF(D55="","",IFERROR(VLOOKUP(D55,'Master Data'!$D$59:$I$146,6,FALSE),0))</f>
        <v/>
      </c>
      <c r="F55" s="343"/>
      <c r="G55" s="344"/>
      <c r="H55" s="345">
        <f>IFERROR(VLOOKUP(G55,'Master Data'!$C$336:$I$353,7,FALSE),0)</f>
        <v>0</v>
      </c>
      <c r="I55" s="346">
        <f>IFERROR(VLOOKUP(H55,'Master Data'!$B$336:$D$351,3,FALSE),0)</f>
        <v>0</v>
      </c>
      <c r="J55" s="347">
        <f>IFERROR(VLOOKUP(H55,'Master Data'!$B$336:$H$353,7,FALSE),0)</f>
        <v>0</v>
      </c>
      <c r="K55" s="348"/>
      <c r="L55" s="349" t="str">
        <f>IFERROR(IF(I55="FIXED ASSET",J55&amp;E55&amp;K55,VLOOKUP(F55,'Master Data'!$E$59:$H$146,4,FALSE)&amp;"-"&amp;J55&amp;"-"&amp;K55),"-")</f>
        <v>-</v>
      </c>
      <c r="M55" s="360"/>
      <c r="N55" s="361"/>
      <c r="O55" s="358"/>
      <c r="P55" s="358"/>
      <c r="Q55" s="358"/>
      <c r="R55" s="358"/>
      <c r="S55" s="358"/>
      <c r="T55" s="358"/>
      <c r="U55" s="358"/>
      <c r="V55" s="358"/>
      <c r="W55" s="358"/>
      <c r="X55" s="358"/>
      <c r="Y55" s="358"/>
      <c r="Z55" s="358"/>
      <c r="AA55" s="351">
        <f t="shared" si="14"/>
        <v>0</v>
      </c>
      <c r="AB55" s="327"/>
      <c r="AC55" s="344"/>
      <c r="AD55" s="362"/>
      <c r="AE55" s="354"/>
      <c r="AF55" s="362"/>
      <c r="AG55" s="362"/>
      <c r="AH55" s="354"/>
      <c r="AI55" s="355" t="str">
        <f t="shared" si="16"/>
        <v/>
      </c>
      <c r="AJ55" s="355" t="str">
        <f t="shared" si="16"/>
        <v/>
      </c>
      <c r="AK55" s="355" t="str">
        <f t="shared" si="15"/>
        <v/>
      </c>
      <c r="AL55" s="313"/>
      <c r="AM55" s="313"/>
      <c r="AN55" s="313"/>
      <c r="AO55" s="307">
        <f t="shared" si="10"/>
        <v>0</v>
      </c>
      <c r="AP55" s="385"/>
      <c r="AQ55" s="313"/>
      <c r="AR55" s="313"/>
      <c r="AS55" s="313"/>
      <c r="AT55" s="313"/>
      <c r="AU55" s="313"/>
      <c r="AV55" s="313"/>
      <c r="AW55" s="313"/>
      <c r="AX55" s="313"/>
      <c r="AY55" s="313"/>
      <c r="AZ55" s="313"/>
      <c r="BA55" s="313"/>
      <c r="BB55" s="313"/>
      <c r="BC55" s="307">
        <f t="shared" si="11"/>
        <v>0</v>
      </c>
      <c r="BD55" s="353">
        <f t="shared" si="5"/>
        <v>0</v>
      </c>
      <c r="BE55" s="344"/>
      <c r="BF55" s="313"/>
      <c r="BG55" s="354"/>
      <c r="BH55" s="313"/>
      <c r="BI55" s="318">
        <f t="shared" si="6"/>
        <v>0</v>
      </c>
      <c r="BJ55" s="354"/>
      <c r="BK55" s="355" t="str">
        <f t="shared" si="2"/>
        <v/>
      </c>
      <c r="BL55" s="355" t="str">
        <f t="shared" si="7"/>
        <v/>
      </c>
      <c r="BM55" s="355" t="str">
        <f t="shared" si="12"/>
        <v/>
      </c>
      <c r="BN55" s="313"/>
    </row>
    <row r="56" spans="1:66" ht="15" customHeight="1" x14ac:dyDescent="0.25">
      <c r="A56" s="341" t="str">
        <f>IF(D56="","",Cover!$D$8)</f>
        <v/>
      </c>
      <c r="B56" s="341" t="str">
        <f>IF(D56="","",Cover!$D$7)</f>
        <v/>
      </c>
      <c r="C56" s="297" t="str">
        <f>IF(F56="","",IFERROR(VLOOKUP(F56,'Master Data'!$E$59:$J$146,6,FALSE),0))</f>
        <v/>
      </c>
      <c r="D56" s="342" t="str">
        <f>IF(F56="","",IFERROR(VLOOKUP(F56,Reference!$D$48:$AT$196,43,FALSE),0))</f>
        <v/>
      </c>
      <c r="E56" s="297" t="str">
        <f>IF(D56="","",IFERROR(VLOOKUP(D56,'Master Data'!$D$59:$I$146,6,FALSE),0))</f>
        <v/>
      </c>
      <c r="F56" s="343"/>
      <c r="G56" s="344"/>
      <c r="H56" s="345">
        <f>IFERROR(VLOOKUP(G56,'Master Data'!$C$336:$I$353,7,FALSE),0)</f>
        <v>0</v>
      </c>
      <c r="I56" s="346">
        <f>IFERROR(VLOOKUP(H56,'Master Data'!$B$336:$D$351,3,FALSE),0)</f>
        <v>0</v>
      </c>
      <c r="J56" s="347">
        <f>IFERROR(VLOOKUP(H56,'Master Data'!$B$336:$H$353,7,FALSE),0)</f>
        <v>0</v>
      </c>
      <c r="K56" s="348"/>
      <c r="L56" s="349" t="str">
        <f>IFERROR(IF(I56="FIXED ASSET",J56&amp;E56&amp;K56,VLOOKUP(F56,'Master Data'!$E$59:$H$146,4,FALSE)&amp;"-"&amp;J56&amp;"-"&amp;K56),"-")</f>
        <v>-</v>
      </c>
      <c r="M56" s="360"/>
      <c r="N56" s="361"/>
      <c r="O56" s="358"/>
      <c r="P56" s="358"/>
      <c r="Q56" s="358"/>
      <c r="R56" s="358"/>
      <c r="S56" s="358"/>
      <c r="T56" s="358"/>
      <c r="U56" s="358"/>
      <c r="V56" s="358"/>
      <c r="W56" s="358"/>
      <c r="X56" s="358"/>
      <c r="Y56" s="358"/>
      <c r="Z56" s="358"/>
      <c r="AA56" s="351">
        <f t="shared" si="14"/>
        <v>0</v>
      </c>
      <c r="AB56" s="327"/>
      <c r="AC56" s="344"/>
      <c r="AD56" s="362"/>
      <c r="AE56" s="354"/>
      <c r="AF56" s="362"/>
      <c r="AG56" s="362"/>
      <c r="AH56" s="354"/>
      <c r="AI56" s="355" t="str">
        <f t="shared" si="16"/>
        <v/>
      </c>
      <c r="AJ56" s="355" t="str">
        <f t="shared" si="16"/>
        <v/>
      </c>
      <c r="AK56" s="355" t="str">
        <f t="shared" si="15"/>
        <v/>
      </c>
      <c r="AL56" s="313"/>
      <c r="AM56" s="313"/>
      <c r="AN56" s="313"/>
      <c r="AO56" s="307">
        <f t="shared" si="10"/>
        <v>0</v>
      </c>
      <c r="AP56" s="385"/>
      <c r="AQ56" s="313"/>
      <c r="AR56" s="313"/>
      <c r="AS56" s="313"/>
      <c r="AT56" s="313"/>
      <c r="AU56" s="313"/>
      <c r="AV56" s="313"/>
      <c r="AW56" s="313"/>
      <c r="AX56" s="313"/>
      <c r="AY56" s="313"/>
      <c r="AZ56" s="313"/>
      <c r="BA56" s="313"/>
      <c r="BB56" s="313"/>
      <c r="BC56" s="307">
        <f t="shared" si="11"/>
        <v>0</v>
      </c>
      <c r="BD56" s="353">
        <f t="shared" si="5"/>
        <v>0</v>
      </c>
      <c r="BE56" s="344"/>
      <c r="BF56" s="313"/>
      <c r="BG56" s="354"/>
      <c r="BH56" s="313"/>
      <c r="BI56" s="318">
        <f t="shared" si="6"/>
        <v>0</v>
      </c>
      <c r="BJ56" s="354"/>
      <c r="BK56" s="355" t="str">
        <f t="shared" si="2"/>
        <v/>
      </c>
      <c r="BL56" s="355" t="str">
        <f t="shared" si="7"/>
        <v/>
      </c>
      <c r="BM56" s="355" t="str">
        <f t="shared" si="12"/>
        <v/>
      </c>
      <c r="BN56" s="313"/>
    </row>
  </sheetData>
  <sheetProtection formatColumns="0" formatRows="0" autoFilter="0"/>
  <autoFilter ref="A3:AK25" xr:uid="{00000000-0009-0000-0000-000003000000}"/>
  <dataConsolidate/>
  <mergeCells count="1">
    <mergeCell ref="D3:E3"/>
  </mergeCells>
  <conditionalFormatting sqref="AI14:AI56">
    <cfRule type="containsText" dxfId="113" priority="11" operator="containsText" text="Please Fill Start Date">
      <formula>NOT(ISERROR(SEARCH("Please Fill Start Date",AI14)))</formula>
    </cfRule>
  </conditionalFormatting>
  <conditionalFormatting sqref="AJ14:AJ56">
    <cfRule type="containsText" dxfId="112" priority="10" operator="containsText" text="Please Fill Start Date">
      <formula>NOT(ISERROR(SEARCH("Please Fill Start Date",AJ14)))</formula>
    </cfRule>
  </conditionalFormatting>
  <conditionalFormatting sqref="AK14:AK56">
    <cfRule type="containsText" dxfId="111" priority="8" operator="containsText" text="Please Fill Remarks">
      <formula>NOT(ISERROR(SEARCH("Please Fill Remarks",AK14)))</formula>
    </cfRule>
    <cfRule type="containsText" dxfId="110" priority="9" operator="containsText" text="Please Fill Start Date">
      <formula>NOT(ISERROR(SEARCH("Please Fill Start Date",AK14)))</formula>
    </cfRule>
  </conditionalFormatting>
  <conditionalFormatting sqref="BM4:BM56">
    <cfRule type="containsText" dxfId="109" priority="4" operator="containsText" text="Please Fill Remarks">
      <formula>NOT(ISERROR(SEARCH("Please Fill Remarks",BM4)))</formula>
    </cfRule>
    <cfRule type="containsText" dxfId="108" priority="5" operator="containsText" text="Please Fill Start Date">
      <formula>NOT(ISERROR(SEARCH("Please Fill Start Date",BM4)))</formula>
    </cfRule>
  </conditionalFormatting>
  <conditionalFormatting sqref="K4:K56">
    <cfRule type="containsText" dxfId="107" priority="3" operator="containsText" text="Please Fill Sequence Number">
      <formula>NOT(ISERROR(SEARCH("Please Fill Sequence Number",K4)))</formula>
    </cfRule>
  </conditionalFormatting>
  <conditionalFormatting sqref="BK4:BK56">
    <cfRule type="containsText" dxfId="106" priority="2" operator="containsText" text="Please Fill Start Date">
      <formula>NOT(ISERROR(SEARCH("Please Fill Start Date",BK4)))</formula>
    </cfRule>
  </conditionalFormatting>
  <conditionalFormatting sqref="BL4:BL56">
    <cfRule type="containsText" dxfId="105" priority="1" operator="containsText" text="Please Fill Start Date">
      <formula>NOT(ISERROR(SEARCH("Please Fill Start Date",BL4)))</formula>
    </cfRule>
  </conditionalFormatting>
  <dataValidations count="3">
    <dataValidation showInputMessage="1" showErrorMessage="1" error="Ledger tidak sesuai atau isi Divisi/Dept. pada halaman Cover." sqref="A4:B56" xr:uid="{D9601B00-C2AC-4715-B511-30FF4AA18573}"/>
    <dataValidation type="custom" showInputMessage="1" showErrorMessage="1" error="Pastikan Ledger Number dan Cost Center sudah terisi" sqref="O4:Z56 AC4:AN13 AQ4:BB13" xr:uid="{2BA74905-C126-4D70-848D-E0403D5A4B5B}">
      <formula1>AND($A4&lt;&gt;"",$J4&lt;&gt;"")</formula1>
    </dataValidation>
    <dataValidation allowBlank="1" showInputMessage="1" showErrorMessage="1" promptTitle="Mandatory for FA &amp; PROJECT" prompt="Started from 01 for each ledger description_x000a_For 01 to 09, please enter them with a leading apostrophe, e.g. : _x000a_'01, '02, ..., '09_x000a_Restart from '01 when switching to different ledger description" sqref="K4:K56" xr:uid="{1FC1AAD5-BB21-4E28-8509-4D6334053A51}"/>
  </dataValidations>
  <pageMargins left="0.27" right="0.28000000000000003" top="0.44" bottom="0.75" header="0" footer="0"/>
  <pageSetup paperSize="9" scale="85" orientation="landscape" r:id="rId1"/>
  <ignoredErrors>
    <ignoredError sqref="AI26:AK56 AI14:AK25 BK4:BM56" unlockedFormula="1"/>
  </ignoredErrors>
  <extLst>
    <ext xmlns:x14="http://schemas.microsoft.com/office/spreadsheetml/2009/9/main" uri="{CCE6A557-97BC-4b89-ADB6-D9C93CAAB3DF}">
      <x14:dataValidations xmlns:xm="http://schemas.microsoft.com/office/excel/2006/main" count="8">
        <x14:dataValidation type="list" allowBlank="1" showInputMessage="1" showErrorMessage="1" xr:uid="{ACF71F85-B3BC-4408-82A6-0CFF88381C0F}">
          <x14:formula1>
            <xm:f>Reference!$B$749:$B$752</xm:f>
          </x14:formula1>
          <xm:sqref>AH14:AH56</xm:sqref>
        </x14:dataValidation>
        <x14:dataValidation type="list" allowBlank="1" showInputMessage="1" showErrorMessage="1" xr:uid="{B7829F63-409D-4C9B-A2EB-5FC6659B1148}">
          <x14:formula1>
            <xm:f>Reference!$B$755:$B$756</xm:f>
          </x14:formula1>
          <xm:sqref>AE14:AE56</xm:sqref>
        </x14:dataValidation>
        <x14:dataValidation type="list" allowBlank="1" showInputMessage="1" showErrorMessage="1" promptTitle="Please Fill Priority" prompt="These field should be filled from listed priority options_x000a_- High_x000a_- Medium_x000a_- Low" xr:uid="{C283EE86-E240-42F7-9A96-97012A7D80D6}">
          <x14:formula1>
            <xm:f>Reference!$B$743:$B$745</xm:f>
          </x14:formula1>
          <xm:sqref>AC14:AC56</xm:sqref>
        </x14:dataValidation>
        <x14:dataValidation type="list" allowBlank="1" showInputMessage="1" showErrorMessage="1" xr:uid="{02EF8148-E2F5-4C56-82E1-AF935DCFB62D}">
          <x14:formula1>
            <xm:f>'Master Data'!$E$125:$E$126</xm:f>
          </x14:formula1>
          <xm:sqref>F4:F56</xm:sqref>
        </x14:dataValidation>
        <x14:dataValidation type="list" allowBlank="1" showInputMessage="1" showErrorMessage="1" xr:uid="{86CB32D7-7070-47AD-9DD8-5350D64CC838}">
          <x14:formula1>
            <xm:f>'Master Data'!$C$336:$C$353</xm:f>
          </x14:formula1>
          <xm:sqref>G4:G56</xm:sqref>
        </x14:dataValidation>
        <x14:dataValidation type="list" allowBlank="1" showInputMessage="1" showErrorMessage="1" promptTitle="Please Fill Priority" prompt="These field should be filled from listed priority options_x000a_- High_x000a_- Medium_x000a_- Low" xr:uid="{8C5E9572-C373-4761-99F3-945D3948F1D6}">
          <x14:formula1>
            <xm:f>'Master Data'!$B$357:$B$359</xm:f>
          </x14:formula1>
          <xm:sqref>BE4:BE56</xm:sqref>
        </x14:dataValidation>
        <x14:dataValidation type="list" allowBlank="1" showInputMessage="1" showErrorMessage="1" xr:uid="{5FD855D3-943E-46CF-99E7-D6EF29370D81}">
          <x14:formula1>
            <xm:f>'Master Data'!$B$372:$B$373</xm:f>
          </x14:formula1>
          <xm:sqref>BG4:BG56</xm:sqref>
        </x14:dataValidation>
        <x14:dataValidation type="list" allowBlank="1" showInputMessage="1" showErrorMessage="1" xr:uid="{AC15CB45-4B8A-4EC8-B66B-CEDE50FB72E4}">
          <x14:formula1>
            <xm:f>'Master Data'!$B$365:$B$368</xm:f>
          </x14:formula1>
          <xm:sqref>BJ4:BJ56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theme="5" tint="0.39997558519241921"/>
  </sheetPr>
  <dimension ref="A1:BT41"/>
  <sheetViews>
    <sheetView showGridLines="0" zoomScale="80" zoomScaleNormal="80" workbookViewId="0">
      <pane xSplit="5" ySplit="3" topLeftCell="F4" activePane="bottomRight" state="frozen"/>
      <selection activeCell="C20" sqref="C20"/>
      <selection pane="topRight" activeCell="C20" sqref="C20"/>
      <selection pane="bottomLeft" activeCell="C20" sqref="C20"/>
      <selection pane="bottomRight" activeCell="A3" sqref="A3"/>
    </sheetView>
  </sheetViews>
  <sheetFormatPr defaultColWidth="9.140625" defaultRowHeight="15" outlineLevelCol="1" x14ac:dyDescent="0.25"/>
  <cols>
    <col min="1" max="1" width="17.28515625" style="167" customWidth="1"/>
    <col min="2" max="2" width="29" style="167" bestFit="1" customWidth="1"/>
    <col min="3" max="3" width="16.42578125" style="167" customWidth="1"/>
    <col min="4" max="4" width="36.7109375" style="198" customWidth="1"/>
    <col min="5" max="5" width="16.28515625" style="167" customWidth="1"/>
    <col min="6" max="6" width="15.28515625" style="167" customWidth="1" outlineLevel="1"/>
    <col min="7" max="7" width="27.140625" style="167" customWidth="1" outlineLevel="1"/>
    <col min="8" max="8" width="19.5703125" style="167" customWidth="1" outlineLevel="1"/>
    <col min="9" max="9" width="39.5703125" style="167" customWidth="1" outlineLevel="1"/>
    <col min="10" max="10" width="15.5703125" style="167" customWidth="1"/>
    <col min="11" max="11" width="13.7109375" style="167" customWidth="1"/>
    <col min="12" max="23" width="16.42578125" style="167" bestFit="1" customWidth="1" outlineLevel="1"/>
    <col min="24" max="24" width="18.5703125" style="167" bestFit="1" customWidth="1"/>
    <col min="25" max="25" width="2.5703125" style="167" customWidth="1"/>
    <col min="26" max="26" width="16.42578125" style="167" bestFit="1" customWidth="1" outlineLevel="1"/>
    <col min="27" max="27" width="16.42578125" style="247" bestFit="1" customWidth="1" outlineLevel="1"/>
    <col min="28" max="29" width="16.42578125" style="167" bestFit="1" customWidth="1" outlineLevel="1"/>
    <col min="30" max="30" width="16.42578125" style="324" bestFit="1" customWidth="1" outlineLevel="1"/>
    <col min="31" max="31" width="16.42578125" style="325" bestFit="1" customWidth="1" outlineLevel="1"/>
    <col min="32" max="34" width="16.42578125" style="167" bestFit="1" customWidth="1" outlineLevel="1"/>
    <col min="35" max="36" width="16.42578125" style="325" bestFit="1" customWidth="1" outlineLevel="1"/>
    <col min="37" max="37" width="16.42578125" style="167" bestFit="1" customWidth="1" outlineLevel="1"/>
    <col min="38" max="38" width="14" style="167" bestFit="1" customWidth="1"/>
    <col min="39" max="39" width="4.28515625" style="325" customWidth="1"/>
    <col min="40" max="40" width="16.42578125" style="167" bestFit="1" customWidth="1" outlineLevel="1"/>
    <col min="41" max="44" width="16.42578125" style="291" bestFit="1" customWidth="1" outlineLevel="1"/>
    <col min="45" max="51" width="10" style="291" bestFit="1" customWidth="1" outlineLevel="1"/>
    <col min="52" max="52" width="9.140625" style="291"/>
    <col min="53" max="53" width="19.140625" style="291" customWidth="1"/>
    <col min="54" max="54" width="24" style="291" customWidth="1"/>
    <col min="55" max="55" width="9.140625" style="291"/>
    <col min="56" max="68" width="20.42578125" style="291" customWidth="1"/>
    <col min="69" max="69" width="9.140625" style="291"/>
    <col min="70" max="70" width="30.42578125" style="291" bestFit="1" customWidth="1"/>
    <col min="71" max="71" width="23.85546875" style="291" bestFit="1" customWidth="1"/>
    <col min="72" max="72" width="30.140625" style="291" bestFit="1" customWidth="1"/>
    <col min="73" max="16384" width="9.140625" style="291"/>
  </cols>
  <sheetData>
    <row r="1" spans="1:72" x14ac:dyDescent="0.25">
      <c r="Y1" s="335"/>
      <c r="Z1" s="336"/>
      <c r="AA1" s="336"/>
      <c r="AB1" s="334"/>
      <c r="AC1" s="334"/>
      <c r="AD1" s="334"/>
      <c r="AE1" s="334"/>
      <c r="AF1" s="334"/>
      <c r="AG1" s="334"/>
      <c r="AH1" s="334"/>
      <c r="AI1" s="334"/>
      <c r="AJ1" s="334"/>
      <c r="AK1" s="334"/>
      <c r="AL1" s="334"/>
      <c r="AM1" s="387"/>
      <c r="AN1" s="336"/>
      <c r="AO1" s="336"/>
      <c r="AP1" s="334"/>
      <c r="AQ1" s="334"/>
      <c r="AR1" s="334"/>
      <c r="AS1" s="334"/>
      <c r="AT1" s="334"/>
      <c r="AU1" s="334"/>
      <c r="AV1" s="334"/>
      <c r="AW1" s="334"/>
      <c r="AX1" s="334"/>
      <c r="AY1" s="334"/>
      <c r="AZ1" s="334"/>
      <c r="BA1" s="167"/>
      <c r="BB1" s="167"/>
      <c r="BC1" s="167"/>
      <c r="BD1" s="167"/>
      <c r="BE1" s="167"/>
      <c r="BF1" s="324"/>
      <c r="BG1" s="325"/>
      <c r="BH1" s="167"/>
      <c r="BI1" s="167"/>
      <c r="BL1" s="325"/>
      <c r="BM1" s="179"/>
      <c r="BN1" s="167"/>
      <c r="BO1" s="325"/>
      <c r="BP1" s="167"/>
    </row>
    <row r="2" spans="1:72" x14ac:dyDescent="0.25">
      <c r="A2" s="388"/>
      <c r="B2" s="388"/>
      <c r="C2" s="388"/>
      <c r="D2" s="389"/>
      <c r="E2" s="388"/>
      <c r="F2" s="388"/>
      <c r="G2" s="388"/>
      <c r="H2" s="388"/>
      <c r="I2" s="388"/>
      <c r="J2" s="388"/>
      <c r="K2" s="388"/>
      <c r="L2" s="390" t="s">
        <v>2632</v>
      </c>
      <c r="M2" s="391"/>
      <c r="N2" s="391"/>
      <c r="O2" s="391"/>
      <c r="P2" s="390"/>
      <c r="Q2" s="391"/>
      <c r="R2" s="391"/>
      <c r="S2" s="391"/>
      <c r="T2" s="391"/>
      <c r="U2" s="391"/>
      <c r="V2" s="391"/>
      <c r="W2" s="391"/>
      <c r="X2" s="391"/>
      <c r="Y2" s="387"/>
      <c r="Z2" s="390" t="s">
        <v>2633</v>
      </c>
      <c r="AA2" s="391"/>
      <c r="AB2" s="391"/>
      <c r="AC2" s="391"/>
      <c r="AD2" s="390"/>
      <c r="AE2" s="391"/>
      <c r="AF2" s="391"/>
      <c r="AG2" s="391"/>
      <c r="AH2" s="391"/>
      <c r="AI2" s="391"/>
      <c r="AJ2" s="391"/>
      <c r="AK2" s="391"/>
      <c r="AL2" s="391"/>
      <c r="AM2" s="387"/>
      <c r="AN2" s="372" t="s">
        <v>2661</v>
      </c>
      <c r="AO2" s="391"/>
      <c r="AP2" s="391"/>
      <c r="AQ2" s="391"/>
      <c r="AR2" s="390"/>
      <c r="AS2" s="391"/>
      <c r="AT2" s="391"/>
      <c r="AU2" s="391"/>
      <c r="AV2" s="391"/>
      <c r="AW2" s="391"/>
      <c r="AX2" s="391"/>
      <c r="AY2" s="391"/>
      <c r="AZ2" s="391"/>
      <c r="BA2" s="388"/>
      <c r="BB2" s="388"/>
      <c r="BC2" s="167"/>
      <c r="BD2" s="167"/>
      <c r="BE2" s="167"/>
      <c r="BF2" s="324"/>
      <c r="BG2" s="325"/>
      <c r="BH2" s="167"/>
      <c r="BI2" s="167"/>
      <c r="BJ2" s="392" t="s">
        <v>2649</v>
      </c>
      <c r="BK2" s="340">
        <v>16500</v>
      </c>
      <c r="BL2" s="325"/>
      <c r="BM2" s="179"/>
      <c r="BN2" s="167"/>
      <c r="BO2" s="325"/>
      <c r="BP2" s="167"/>
    </row>
    <row r="3" spans="1:72" s="295" customFormat="1" ht="60" x14ac:dyDescent="0.25">
      <c r="A3" s="393" t="s">
        <v>236</v>
      </c>
      <c r="B3" s="393" t="s">
        <v>16</v>
      </c>
      <c r="C3" s="393" t="s">
        <v>640</v>
      </c>
      <c r="D3" s="394" t="s">
        <v>643</v>
      </c>
      <c r="E3" s="393" t="s">
        <v>644</v>
      </c>
      <c r="F3" s="393" t="s">
        <v>48</v>
      </c>
      <c r="G3" s="393" t="s">
        <v>439</v>
      </c>
      <c r="H3" s="393" t="s">
        <v>40</v>
      </c>
      <c r="I3" s="393" t="s">
        <v>454</v>
      </c>
      <c r="J3" s="395" t="s">
        <v>2019</v>
      </c>
      <c r="K3" s="396" t="s">
        <v>2018</v>
      </c>
      <c r="L3" s="393" t="s">
        <v>2045</v>
      </c>
      <c r="M3" s="393" t="s">
        <v>2046</v>
      </c>
      <c r="N3" s="393" t="s">
        <v>2047</v>
      </c>
      <c r="O3" s="393" t="s">
        <v>2048</v>
      </c>
      <c r="P3" s="393" t="s">
        <v>2049</v>
      </c>
      <c r="Q3" s="393" t="s">
        <v>2050</v>
      </c>
      <c r="R3" s="393" t="s">
        <v>2051</v>
      </c>
      <c r="S3" s="393" t="s">
        <v>2052</v>
      </c>
      <c r="T3" s="393" t="s">
        <v>2053</v>
      </c>
      <c r="U3" s="393" t="s">
        <v>2054</v>
      </c>
      <c r="V3" s="393" t="s">
        <v>2055</v>
      </c>
      <c r="W3" s="393" t="s">
        <v>2056</v>
      </c>
      <c r="X3" s="393" t="s">
        <v>2020</v>
      </c>
      <c r="Y3" s="397"/>
      <c r="Z3" s="393" t="s">
        <v>2045</v>
      </c>
      <c r="AA3" s="393" t="s">
        <v>2046</v>
      </c>
      <c r="AB3" s="393" t="s">
        <v>2047</v>
      </c>
      <c r="AC3" s="393" t="s">
        <v>2048</v>
      </c>
      <c r="AD3" s="393" t="s">
        <v>2049</v>
      </c>
      <c r="AE3" s="393" t="s">
        <v>2050</v>
      </c>
      <c r="AF3" s="393" t="s">
        <v>2051</v>
      </c>
      <c r="AG3" s="393" t="s">
        <v>2052</v>
      </c>
      <c r="AH3" s="393" t="s">
        <v>2053</v>
      </c>
      <c r="AI3" s="393" t="s">
        <v>2054</v>
      </c>
      <c r="AJ3" s="393" t="s">
        <v>2055</v>
      </c>
      <c r="AK3" s="393" t="s">
        <v>2056</v>
      </c>
      <c r="AL3" s="393" t="s">
        <v>2057</v>
      </c>
      <c r="AM3" s="398"/>
      <c r="AN3" s="393" t="s">
        <v>2045</v>
      </c>
      <c r="AO3" s="393" t="s">
        <v>2046</v>
      </c>
      <c r="AP3" s="393" t="s">
        <v>2047</v>
      </c>
      <c r="AQ3" s="393" t="s">
        <v>2048</v>
      </c>
      <c r="AR3" s="393" t="s">
        <v>2049</v>
      </c>
      <c r="AS3" s="393" t="s">
        <v>2050</v>
      </c>
      <c r="AT3" s="393" t="s">
        <v>2051</v>
      </c>
      <c r="AU3" s="393" t="s">
        <v>2052</v>
      </c>
      <c r="AV3" s="393" t="s">
        <v>2053</v>
      </c>
      <c r="AW3" s="393" t="s">
        <v>2054</v>
      </c>
      <c r="AX3" s="393" t="s">
        <v>2055</v>
      </c>
      <c r="AY3" s="393" t="s">
        <v>2056</v>
      </c>
      <c r="AZ3" s="393" t="s">
        <v>2057</v>
      </c>
      <c r="BA3" s="393" t="s">
        <v>1121</v>
      </c>
      <c r="BB3" s="393" t="s">
        <v>1963</v>
      </c>
      <c r="BC3" s="292" t="s">
        <v>1964</v>
      </c>
      <c r="BD3" s="293" t="s">
        <v>2021</v>
      </c>
      <c r="BE3" s="293" t="s">
        <v>1488</v>
      </c>
      <c r="BF3" s="293" t="s">
        <v>1489</v>
      </c>
      <c r="BG3" s="328" t="s">
        <v>1857</v>
      </c>
      <c r="BH3" s="293" t="s">
        <v>1487</v>
      </c>
      <c r="BI3" s="293" t="s">
        <v>1491</v>
      </c>
      <c r="BJ3" s="293" t="s">
        <v>1870</v>
      </c>
      <c r="BK3" s="293" t="s">
        <v>2025</v>
      </c>
      <c r="BL3" s="293" t="s">
        <v>2022</v>
      </c>
      <c r="BM3" s="293" t="s">
        <v>2023</v>
      </c>
      <c r="BN3" s="293" t="s">
        <v>2058</v>
      </c>
      <c r="BO3" s="293" t="s">
        <v>2024</v>
      </c>
      <c r="BP3" s="294" t="s">
        <v>2134</v>
      </c>
      <c r="BQ3" s="399" t="s">
        <v>2650</v>
      </c>
      <c r="BR3" s="326" t="s">
        <v>2618</v>
      </c>
      <c r="BS3" s="326" t="s">
        <v>2619</v>
      </c>
      <c r="BT3" s="326" t="s">
        <v>1326</v>
      </c>
    </row>
    <row r="4" spans="1:72" s="321" customFormat="1" x14ac:dyDescent="0.25">
      <c r="A4" s="296" t="str">
        <f>IF(D4="","",Cover!$D$8)</f>
        <v>HSE</v>
      </c>
      <c r="B4" s="297" t="str">
        <f>IF(D4="","",IFERROR(VLOOKUP(G4,'Master Data'!$E$59:$J$146,6,FALSE),0))</f>
        <v>Health &amp; Safety</v>
      </c>
      <c r="C4" s="435" t="str">
        <f>IF(D4="","",_xlfn.XLOOKUP(D4,'Activity Master Opex'!C:C,'Activity Master Opex'!B:B,0,0,1))</f>
        <v>HS001-00001</v>
      </c>
      <c r="D4" s="299" t="s">
        <v>1877</v>
      </c>
      <c r="E4" s="298" t="str">
        <f>IF(D4="","",IFERROR(VLOOKUP(D4,'Activity Master Opex'!$C$4:$M$70,6,FALSE),0))</f>
        <v>Entertainment for Disnaker, Fire Department (Damkar), &amp; BNPB</v>
      </c>
      <c r="F4" s="300" t="str">
        <f>IF($C4="","",VLOOKUP($C4,'Activity Master Opex'!$B:$I,3,0))</f>
        <v>10301HS001</v>
      </c>
      <c r="G4" s="298" t="str">
        <f>IF($C4="","",VLOOKUP($F4,'Master Data'!$D$59:$E$146,2,FALSE))</f>
        <v>HEALTH &amp; SAFETY</v>
      </c>
      <c r="H4" s="301">
        <f>IF($C4="","",VLOOKUP($C4,'Activity Master Opex'!$B:$I,5,0))</f>
        <v>62000040</v>
      </c>
      <c r="I4" s="296" t="str">
        <f>IFERROR(VLOOKUP(H4,'Activity Master Opex'!$F$4:$G$45,2,FALSE),"")</f>
        <v>Ent. Exp - Others Entertainment</v>
      </c>
      <c r="J4" s="302">
        <f>258*15500</f>
        <v>3999000</v>
      </c>
      <c r="K4" s="302">
        <v>0</v>
      </c>
      <c r="L4" s="303"/>
      <c r="M4" s="303"/>
      <c r="N4" s="303"/>
      <c r="O4" s="303"/>
      <c r="P4" s="303"/>
      <c r="Q4" s="303"/>
      <c r="R4" s="303"/>
      <c r="S4" s="303"/>
      <c r="T4" s="303"/>
      <c r="U4" s="303"/>
      <c r="V4" s="303"/>
      <c r="W4" s="303"/>
      <c r="X4" s="304">
        <f t="shared" ref="X4:X21" si="0">SUM(L4:W4)</f>
        <v>0</v>
      </c>
      <c r="Y4" s="305"/>
      <c r="Z4" s="306"/>
      <c r="AA4" s="306"/>
      <c r="AB4" s="306"/>
      <c r="AC4" s="306"/>
      <c r="AD4" s="306"/>
      <c r="AE4" s="306"/>
      <c r="AF4" s="306"/>
      <c r="AG4" s="306"/>
      <c r="AH4" s="306"/>
      <c r="AI4" s="306"/>
      <c r="AJ4" s="306"/>
      <c r="AK4" s="306"/>
      <c r="AL4" s="307">
        <f t="shared" ref="AL4:AL21" si="1">SUM(Z4:AK4)</f>
        <v>0</v>
      </c>
      <c r="AM4" s="308"/>
      <c r="AN4" s="306"/>
      <c r="AO4" s="306"/>
      <c r="AP4" s="306"/>
      <c r="AQ4" s="306"/>
      <c r="AR4" s="306"/>
      <c r="AS4" s="306"/>
      <c r="AT4" s="306"/>
      <c r="AU4" s="306"/>
      <c r="AV4" s="306"/>
      <c r="AW4" s="306"/>
      <c r="AX4" s="306"/>
      <c r="AY4" s="306"/>
      <c r="AZ4" s="307">
        <f t="shared" ref="AZ4:AZ21" si="2">SUM(AN4:AY4)</f>
        <v>0</v>
      </c>
      <c r="BA4" s="309">
        <f t="shared" ref="BA4:BA21" si="3">X4-J4</f>
        <v>-3999000</v>
      </c>
      <c r="BB4" s="310"/>
      <c r="BC4" s="311">
        <f t="shared" ref="BC4:BC21" si="4">X4-BO4</f>
        <v>0</v>
      </c>
      <c r="BD4" s="304" t="str">
        <f>IF('Budget Opex Detail'!C4="","",IF(COUNTIFS('Activity Master Opex'!$B$4:$B$49,'Budget Opex Detail'!$C4)&gt;0,"","New Activity"))</f>
        <v/>
      </c>
      <c r="BE4" s="312"/>
      <c r="BF4" s="313"/>
      <c r="BG4" s="314"/>
      <c r="BH4" s="315"/>
      <c r="BI4" s="316"/>
      <c r="BJ4" s="316"/>
      <c r="BK4" s="317"/>
      <c r="BL4" s="318">
        <f>IF(BJ4="USD",BK4*$BK$2,IF(BJ4="IDR",BK4,0))</f>
        <v>0</v>
      </c>
      <c r="BM4" s="315"/>
      <c r="BN4" s="315"/>
      <c r="BO4" s="319">
        <f t="shared" ref="BO4:BO21" si="5">BL4+BN4</f>
        <v>0</v>
      </c>
      <c r="BP4" s="320"/>
      <c r="BR4" s="322" t="str">
        <f>IF($H4="","",VLOOKUP($H4,'Master Data'!$B:$D,3,FALSE))</f>
        <v>Entertainment Expenses</v>
      </c>
      <c r="BS4" s="322" t="str">
        <f t="shared" ref="BS4:BS41" si="6">IF(C4="","",IF($A4&lt;&gt;"human resources",IF(LEFT(F4,6)="10301S","Selling","General Administrative"),IFERROR(IF(FIND("Selling",D4)&gt;0,"Selling","General Administrative"),"General Administrative")))</f>
        <v>General Administrative</v>
      </c>
      <c r="BT4" s="322" t="str">
        <f>IF($H4="","",VLOOKUP(VALUE($H4),'Master Data'!B:I,8,FALSE))</f>
        <v xml:space="preserve">Entertainment </v>
      </c>
    </row>
    <row r="5" spans="1:72" s="321" customFormat="1" x14ac:dyDescent="0.25">
      <c r="A5" s="296" t="str">
        <f>IF(D5="","",Cover!$D$8)</f>
        <v>HSE</v>
      </c>
      <c r="B5" s="297" t="str">
        <f>IF(D5="","",IFERROR(VLOOKUP(G5,'Master Data'!$E$59:$J$146,6,FALSE),0))</f>
        <v>Health &amp; Safety</v>
      </c>
      <c r="C5" s="435" t="str">
        <f>IF(D5="","",_xlfn.XLOOKUP(D5,'Activity Master Opex'!C:C,'Activity Master Opex'!B:B,0,0,1))</f>
        <v>HS001-00002</v>
      </c>
      <c r="D5" s="299" t="s">
        <v>1879</v>
      </c>
      <c r="E5" s="298" t="str">
        <f>IF(D5="","",IFERROR(VLOOKUP(D5,'Activity Master Opex'!$C$4:$M$70,6,FALSE),0))</f>
        <v>Coordination meeting with Damkar, P2K3 reporting meeting to Disnaker</v>
      </c>
      <c r="F5" s="300" t="str">
        <f>IF($C5="","",VLOOKUP($C5,'Activity Master Opex'!$B:$I,3,0))</f>
        <v>10301HS001</v>
      </c>
      <c r="G5" s="298" t="str">
        <f>IF($C5="","",VLOOKUP($F5,'Master Data'!$D$59:$E$146,2,FALSE))</f>
        <v>HEALTH &amp; SAFETY</v>
      </c>
      <c r="H5" s="301">
        <f>IF($C5="","",VLOOKUP($C5,'Activity Master Opex'!$B:$I,5,0))</f>
        <v>62300010</v>
      </c>
      <c r="I5" s="296" t="str">
        <f>IFERROR(VLOOKUP(H5,'Activity Master Opex'!$F$4:$G$45,2,FALSE),"")</f>
        <v>Meeting Expenses</v>
      </c>
      <c r="J5" s="302">
        <f>258*15500</f>
        <v>3999000</v>
      </c>
      <c r="K5" s="302">
        <v>1559000</v>
      </c>
      <c r="L5" s="303"/>
      <c r="M5" s="303"/>
      <c r="N5" s="303"/>
      <c r="O5" s="303"/>
      <c r="P5" s="303"/>
      <c r="Q5" s="303"/>
      <c r="R5" s="303"/>
      <c r="S5" s="303"/>
      <c r="T5" s="303"/>
      <c r="U5" s="303"/>
      <c r="V5" s="303"/>
      <c r="W5" s="303"/>
      <c r="X5" s="304">
        <f t="shared" si="0"/>
        <v>0</v>
      </c>
      <c r="Y5" s="305"/>
      <c r="Z5" s="306"/>
      <c r="AA5" s="306"/>
      <c r="AB5" s="306"/>
      <c r="AC5" s="306"/>
      <c r="AD5" s="306"/>
      <c r="AE5" s="306"/>
      <c r="AF5" s="306"/>
      <c r="AG5" s="306"/>
      <c r="AH5" s="306"/>
      <c r="AI5" s="306"/>
      <c r="AJ5" s="306"/>
      <c r="AK5" s="306"/>
      <c r="AL5" s="307">
        <f t="shared" si="1"/>
        <v>0</v>
      </c>
      <c r="AM5" s="308"/>
      <c r="AN5" s="306"/>
      <c r="AO5" s="306"/>
      <c r="AP5" s="306"/>
      <c r="AQ5" s="306"/>
      <c r="AR5" s="306"/>
      <c r="AS5" s="306"/>
      <c r="AT5" s="306"/>
      <c r="AU5" s="306"/>
      <c r="AV5" s="306"/>
      <c r="AW5" s="306"/>
      <c r="AX5" s="306"/>
      <c r="AY5" s="306"/>
      <c r="AZ5" s="307">
        <f t="shared" si="2"/>
        <v>0</v>
      </c>
      <c r="BA5" s="309">
        <f t="shared" si="3"/>
        <v>-3999000</v>
      </c>
      <c r="BB5" s="310"/>
      <c r="BC5" s="311">
        <f t="shared" si="4"/>
        <v>0</v>
      </c>
      <c r="BD5" s="304" t="str">
        <f>IF('Budget Opex Detail'!C5="","",IF(COUNTIFS('Activity Master Opex'!$B$4:$B$49,'Budget Opex Detail'!$C5)&gt;0,"","New Activity"))</f>
        <v/>
      </c>
      <c r="BE5" s="312"/>
      <c r="BF5" s="313"/>
      <c r="BG5" s="314"/>
      <c r="BH5" s="315"/>
      <c r="BI5" s="316"/>
      <c r="BJ5" s="316"/>
      <c r="BK5" s="317"/>
      <c r="BL5" s="318">
        <f t="shared" ref="BL5:BL41" si="7">IF(BJ5="USD",BK5*$BK$2,IF(BJ5="IDR",BK5,0))</f>
        <v>0</v>
      </c>
      <c r="BM5" s="315"/>
      <c r="BN5" s="315"/>
      <c r="BO5" s="319">
        <f t="shared" si="5"/>
        <v>0</v>
      </c>
      <c r="BP5" s="320"/>
      <c r="BR5" s="322" t="str">
        <f>IF($H5="","",VLOOKUP($H5,'Master Data'!$B:$D,3,FALSE))</f>
        <v>Meeting &amp; Ceremony Expense</v>
      </c>
      <c r="BS5" s="322" t="str">
        <f t="shared" si="6"/>
        <v>General Administrative</v>
      </c>
      <c r="BT5" s="322" t="str">
        <f>IF($H5="","",VLOOKUP(VALUE($H5),'Master Data'!B:I,8,FALSE))</f>
        <v>Meeting and ceremony</v>
      </c>
    </row>
    <row r="6" spans="1:72" s="321" customFormat="1" x14ac:dyDescent="0.25">
      <c r="A6" s="296" t="str">
        <f>IF(D6="","",Cover!$D$8)</f>
        <v>HSE</v>
      </c>
      <c r="B6" s="297" t="str">
        <f>IF(D6="","",IFERROR(VLOOKUP(G6,'Master Data'!$E$59:$J$146,6,FALSE),0))</f>
        <v>Health &amp; Safety</v>
      </c>
      <c r="C6" s="435" t="str">
        <f>IF(D6="","",_xlfn.XLOOKUP(D6,'Activity Master Opex'!C:C,'Activity Master Opex'!B:B,0,0,1))</f>
        <v>HS001-00003</v>
      </c>
      <c r="D6" s="299" t="s">
        <v>1965</v>
      </c>
      <c r="E6" s="298" t="str">
        <f>IF(D6="","",IFERROR(VLOOKUP(D6,'Activity Master Opex'!$C$4:$M$70,6,FALSE),0))</f>
        <v>Guest Safety PPE Laundry Services</v>
      </c>
      <c r="F6" s="300" t="str">
        <f>IF($C6="","",VLOOKUP($C6,'Activity Master Opex'!$B:$I,3,0))</f>
        <v>10301HS001</v>
      </c>
      <c r="G6" s="298" t="str">
        <f>IF($C6="","",VLOOKUP($F6,'Master Data'!$D$59:$E$146,2,FALSE))</f>
        <v>HEALTH &amp; SAFETY</v>
      </c>
      <c r="H6" s="301">
        <f>IF($C6="","",VLOOKUP($C6,'Activity Master Opex'!$B:$I,5,0))</f>
        <v>63900010</v>
      </c>
      <c r="I6" s="296" t="str">
        <f>IFERROR(VLOOKUP(H6,'Activity Master Opex'!$F$4:$G$45,2,FALSE),"")</f>
        <v>Miscellaneous Expenses</v>
      </c>
      <c r="J6" s="302">
        <f>807*15500</f>
        <v>12508500</v>
      </c>
      <c r="K6" s="302">
        <v>1936000</v>
      </c>
      <c r="L6" s="303"/>
      <c r="M6" s="303"/>
      <c r="N6" s="303"/>
      <c r="O6" s="303"/>
      <c r="P6" s="303"/>
      <c r="Q6" s="303"/>
      <c r="R6" s="303"/>
      <c r="S6" s="303"/>
      <c r="T6" s="303"/>
      <c r="U6" s="303"/>
      <c r="V6" s="303"/>
      <c r="W6" s="303"/>
      <c r="X6" s="304">
        <f t="shared" si="0"/>
        <v>0</v>
      </c>
      <c r="Y6" s="305"/>
      <c r="Z6" s="306"/>
      <c r="AA6" s="306"/>
      <c r="AB6" s="306"/>
      <c r="AC6" s="306"/>
      <c r="AD6" s="306"/>
      <c r="AE6" s="306"/>
      <c r="AF6" s="306"/>
      <c r="AG6" s="306"/>
      <c r="AH6" s="306"/>
      <c r="AI6" s="306"/>
      <c r="AJ6" s="306"/>
      <c r="AK6" s="306"/>
      <c r="AL6" s="307">
        <f t="shared" si="1"/>
        <v>0</v>
      </c>
      <c r="AM6" s="308"/>
      <c r="AN6" s="306"/>
      <c r="AO6" s="306"/>
      <c r="AP6" s="306"/>
      <c r="AQ6" s="306"/>
      <c r="AR6" s="306"/>
      <c r="AS6" s="306"/>
      <c r="AT6" s="306"/>
      <c r="AU6" s="306"/>
      <c r="AV6" s="306"/>
      <c r="AW6" s="306"/>
      <c r="AX6" s="306"/>
      <c r="AY6" s="306"/>
      <c r="AZ6" s="307">
        <f t="shared" si="2"/>
        <v>0</v>
      </c>
      <c r="BA6" s="309">
        <f t="shared" si="3"/>
        <v>-12508500</v>
      </c>
      <c r="BB6" s="310"/>
      <c r="BC6" s="311">
        <f t="shared" si="4"/>
        <v>0</v>
      </c>
      <c r="BD6" s="304" t="str">
        <f>IF('Budget Opex Detail'!C6="","",IF(COUNTIFS('Activity Master Opex'!$B$4:$B$49,'Budget Opex Detail'!$C6)&gt;0,"","New Activity"))</f>
        <v/>
      </c>
      <c r="BE6" s="312"/>
      <c r="BF6" s="313"/>
      <c r="BG6" s="314"/>
      <c r="BH6" s="315"/>
      <c r="BI6" s="316"/>
      <c r="BJ6" s="316"/>
      <c r="BK6" s="317"/>
      <c r="BL6" s="318">
        <f t="shared" si="7"/>
        <v>0</v>
      </c>
      <c r="BM6" s="315"/>
      <c r="BN6" s="315"/>
      <c r="BO6" s="319">
        <f t="shared" si="5"/>
        <v>0</v>
      </c>
      <c r="BP6" s="320"/>
      <c r="BR6" s="322" t="str">
        <f>IF($H6="","",VLOOKUP($H6,'Master Data'!$B:$D,3,FALSE))</f>
        <v>Miscellaneous expense</v>
      </c>
      <c r="BS6" s="322" t="str">
        <f t="shared" si="6"/>
        <v>General Administrative</v>
      </c>
      <c r="BT6" s="322" t="str">
        <f>IF($H6="","",VLOOKUP(VALUE($H6),'Master Data'!B:I,8,FALSE))</f>
        <v>Miscellaneous expense</v>
      </c>
    </row>
    <row r="7" spans="1:72" s="321" customFormat="1" x14ac:dyDescent="0.25">
      <c r="A7" s="296" t="str">
        <f>IF(D7="","",Cover!$D$8)</f>
        <v>HSE</v>
      </c>
      <c r="B7" s="297" t="str">
        <f>IF(D7="","",IFERROR(VLOOKUP(G7,'Master Data'!$E$59:$J$146,6,FALSE),0))</f>
        <v>Health &amp; Safety</v>
      </c>
      <c r="C7" s="435" t="str">
        <f>IF(D7="","",_xlfn.XLOOKUP(D7,'Activity Master Opex'!C:C,'Activity Master Opex'!B:B,0,0,1))</f>
        <v>HS001-00004</v>
      </c>
      <c r="D7" s="299" t="s">
        <v>1882</v>
      </c>
      <c r="E7" s="298" t="str">
        <f>IF(D7="","",IFERROR(VLOOKUP(D7,'Activity Master Opex'!$C$4:$M$70,6,FALSE),0))</f>
        <v>Helmets, shoes, gloves, earplugs, glasses, and masks are provided for VIP visitors</v>
      </c>
      <c r="F7" s="300" t="str">
        <f>IF($C7="","",VLOOKUP($C7,'Activity Master Opex'!$B:$I,3,0))</f>
        <v>10301HS001</v>
      </c>
      <c r="G7" s="298" t="str">
        <f>IF($C7="","",VLOOKUP($F7,'Master Data'!$D$59:$E$146,2,FALSE))</f>
        <v>HEALTH &amp; SAFETY</v>
      </c>
      <c r="H7" s="301">
        <f>IF($C7="","",VLOOKUP($C7,'Activity Master Opex'!$B:$I,5,0))</f>
        <v>62600030</v>
      </c>
      <c r="I7" s="296" t="str">
        <f>IFERROR(VLOOKUP(H7,'Activity Master Opex'!$F$4:$G$45,2,FALSE),"")</f>
        <v>Office Equipment Expenses</v>
      </c>
      <c r="J7" s="302">
        <f>12519.6*15500</f>
        <v>194053800</v>
      </c>
      <c r="K7" s="302">
        <v>34521791</v>
      </c>
      <c r="L7" s="303"/>
      <c r="M7" s="303"/>
      <c r="N7" s="303"/>
      <c r="O7" s="303"/>
      <c r="P7" s="303"/>
      <c r="Q7" s="303"/>
      <c r="R7" s="303"/>
      <c r="S7" s="303"/>
      <c r="T7" s="303"/>
      <c r="U7" s="303"/>
      <c r="V7" s="303"/>
      <c r="W7" s="303"/>
      <c r="X7" s="304">
        <f t="shared" si="0"/>
        <v>0</v>
      </c>
      <c r="Y7" s="305"/>
      <c r="Z7" s="306"/>
      <c r="AA7" s="306"/>
      <c r="AB7" s="306"/>
      <c r="AC7" s="306"/>
      <c r="AD7" s="306"/>
      <c r="AE7" s="306"/>
      <c r="AF7" s="306"/>
      <c r="AG7" s="306"/>
      <c r="AH7" s="306"/>
      <c r="AI7" s="306"/>
      <c r="AJ7" s="306"/>
      <c r="AK7" s="306"/>
      <c r="AL7" s="307">
        <f t="shared" si="1"/>
        <v>0</v>
      </c>
      <c r="AM7" s="308"/>
      <c r="AN7" s="306"/>
      <c r="AO7" s="306"/>
      <c r="AP7" s="306"/>
      <c r="AQ7" s="306"/>
      <c r="AR7" s="306"/>
      <c r="AS7" s="306"/>
      <c r="AT7" s="306"/>
      <c r="AU7" s="306"/>
      <c r="AV7" s="306"/>
      <c r="AW7" s="306"/>
      <c r="AX7" s="306"/>
      <c r="AY7" s="306"/>
      <c r="AZ7" s="307">
        <f t="shared" si="2"/>
        <v>0</v>
      </c>
      <c r="BA7" s="309">
        <f t="shared" si="3"/>
        <v>-194053800</v>
      </c>
      <c r="BB7" s="310"/>
      <c r="BC7" s="311">
        <f t="shared" si="4"/>
        <v>0</v>
      </c>
      <c r="BD7" s="304" t="str">
        <f>IF('Budget Opex Detail'!C7="","",IF(COUNTIFS('Activity Master Opex'!$B$4:$B$49,'Budget Opex Detail'!$C7)&gt;0,"","New Activity"))</f>
        <v/>
      </c>
      <c r="BE7" s="312"/>
      <c r="BF7" s="313"/>
      <c r="BG7" s="314"/>
      <c r="BH7" s="315"/>
      <c r="BI7" s="316"/>
      <c r="BJ7" s="316"/>
      <c r="BK7" s="317"/>
      <c r="BL7" s="318">
        <f t="shared" si="7"/>
        <v>0</v>
      </c>
      <c r="BM7" s="315"/>
      <c r="BN7" s="315"/>
      <c r="BO7" s="319">
        <f t="shared" si="5"/>
        <v>0</v>
      </c>
      <c r="BP7" s="320"/>
      <c r="BR7" s="322" t="str">
        <f>IF($H7="","",VLOOKUP($H7,'Master Data'!$B:$D,3,FALSE))</f>
        <v>Equipment Expenses</v>
      </c>
      <c r="BS7" s="322" t="str">
        <f t="shared" si="6"/>
        <v>General Administrative</v>
      </c>
      <c r="BT7" s="322" t="str">
        <f>IF($H7="","",VLOOKUP(VALUE($H7),'Master Data'!B:I,8,FALSE))</f>
        <v>Equipment Expenses</v>
      </c>
    </row>
    <row r="8" spans="1:72" s="321" customFormat="1" x14ac:dyDescent="0.25">
      <c r="A8" s="296" t="str">
        <f>IF(D8="","",Cover!$D$8)</f>
        <v>HSE</v>
      </c>
      <c r="B8" s="297" t="str">
        <f>IF(D8="","",IFERROR(VLOOKUP(G8,'Master Data'!$E$59:$J$146,6,FALSE),0))</f>
        <v>Health &amp; Safety</v>
      </c>
      <c r="C8" s="435" t="str">
        <f>IF(D8="","",_xlfn.XLOOKUP(D8,'Activity Master Opex'!C:C,'Activity Master Opex'!B:B,0,0,1))</f>
        <v>HS001-00006</v>
      </c>
      <c r="D8" s="299" t="s">
        <v>1886</v>
      </c>
      <c r="E8" s="298" t="str">
        <f>IF(D8="","",IFERROR(VLOOKUP(D8,'Activity Master Opex'!$C$4:$M$70,6,FALSE),0))</f>
        <v>Printing banner related K3 safety</v>
      </c>
      <c r="F8" s="300" t="str">
        <f>IF($C8="","",VLOOKUP($C8,'Activity Master Opex'!$B:$I,3,0))</f>
        <v>10301HS001</v>
      </c>
      <c r="G8" s="298" t="str">
        <f>IF($C8="","",VLOOKUP($F8,'Master Data'!$D$59:$E$146,2,FALSE))</f>
        <v>HEALTH &amp; SAFETY</v>
      </c>
      <c r="H8" s="301">
        <f>IF($C8="","",VLOOKUP($C8,'Activity Master Opex'!$B:$I,5,0))</f>
        <v>62200020</v>
      </c>
      <c r="I8" s="296" t="str">
        <f>IFERROR(VLOOKUP(H8,'Activity Master Opex'!$F$4:$G$45,2,FALSE),"")</f>
        <v>Printing and Supplies Expenses</v>
      </c>
      <c r="J8" s="302">
        <f>1200*15500</f>
        <v>18600000</v>
      </c>
      <c r="K8" s="302">
        <v>9415000</v>
      </c>
      <c r="L8" s="303"/>
      <c r="M8" s="303"/>
      <c r="N8" s="303"/>
      <c r="O8" s="303"/>
      <c r="P8" s="303"/>
      <c r="Q8" s="303"/>
      <c r="R8" s="303"/>
      <c r="S8" s="303"/>
      <c r="T8" s="303"/>
      <c r="U8" s="303"/>
      <c r="V8" s="303"/>
      <c r="W8" s="303"/>
      <c r="X8" s="304">
        <f t="shared" si="0"/>
        <v>0</v>
      </c>
      <c r="Y8" s="305"/>
      <c r="Z8" s="306"/>
      <c r="AA8" s="306"/>
      <c r="AB8" s="306"/>
      <c r="AC8" s="306"/>
      <c r="AD8" s="306"/>
      <c r="AE8" s="306"/>
      <c r="AF8" s="306"/>
      <c r="AG8" s="306"/>
      <c r="AH8" s="306"/>
      <c r="AI8" s="306"/>
      <c r="AJ8" s="306"/>
      <c r="AK8" s="306"/>
      <c r="AL8" s="307">
        <f t="shared" si="1"/>
        <v>0</v>
      </c>
      <c r="AM8" s="308"/>
      <c r="AN8" s="306"/>
      <c r="AO8" s="306"/>
      <c r="AP8" s="306"/>
      <c r="AQ8" s="306"/>
      <c r="AR8" s="306"/>
      <c r="AS8" s="306"/>
      <c r="AT8" s="306"/>
      <c r="AU8" s="306"/>
      <c r="AV8" s="306"/>
      <c r="AW8" s="306"/>
      <c r="AX8" s="306"/>
      <c r="AY8" s="306"/>
      <c r="AZ8" s="307">
        <f t="shared" si="2"/>
        <v>0</v>
      </c>
      <c r="BA8" s="309">
        <f t="shared" si="3"/>
        <v>-18600000</v>
      </c>
      <c r="BB8" s="310"/>
      <c r="BC8" s="311">
        <f t="shared" si="4"/>
        <v>0</v>
      </c>
      <c r="BD8" s="304" t="str">
        <f>IF('Budget Opex Detail'!C8="","",IF(COUNTIFS('Activity Master Opex'!$B$4:$B$49,'Budget Opex Detail'!$C8)&gt;0,"","New Activity"))</f>
        <v/>
      </c>
      <c r="BE8" s="312"/>
      <c r="BF8" s="313"/>
      <c r="BG8" s="314"/>
      <c r="BH8" s="315"/>
      <c r="BI8" s="316"/>
      <c r="BJ8" s="316"/>
      <c r="BK8" s="317"/>
      <c r="BL8" s="318">
        <f t="shared" si="7"/>
        <v>0</v>
      </c>
      <c r="BM8" s="315"/>
      <c r="BN8" s="315"/>
      <c r="BO8" s="319">
        <f t="shared" si="5"/>
        <v>0</v>
      </c>
      <c r="BP8" s="320"/>
      <c r="BR8" s="322" t="str">
        <f>IF($H8="","",VLOOKUP($H8,'Master Data'!$B:$D,3,FALSE))</f>
        <v>Stationery &amp; Supplies Expe</v>
      </c>
      <c r="BS8" s="322" t="str">
        <f t="shared" si="6"/>
        <v>General Administrative</v>
      </c>
      <c r="BT8" s="322" t="str">
        <f>IF($H8="","",VLOOKUP(VALUE($H8),'Master Data'!B:I,8,FALSE))</f>
        <v>Stationery and supplies</v>
      </c>
    </row>
    <row r="9" spans="1:72" s="321" customFormat="1" x14ac:dyDescent="0.25">
      <c r="A9" s="296" t="str">
        <f>IF(D9="","",Cover!$D$8)</f>
        <v>HSE</v>
      </c>
      <c r="B9" s="297" t="str">
        <f>IF(D9="","",IFERROR(VLOOKUP(G9,'Master Data'!$E$59:$J$146,6,FALSE),0))</f>
        <v>Health &amp; Safety</v>
      </c>
      <c r="C9" s="435" t="str">
        <f>IF(D9="","",_xlfn.XLOOKUP(D9,'Activity Master Opex'!C:C,'Activity Master Opex'!B:B,0,0,1))</f>
        <v>HS001-00007</v>
      </c>
      <c r="D9" s="299" t="s">
        <v>1888</v>
      </c>
      <c r="E9" s="298" t="str">
        <f>IF(D9="","",IFERROR(VLOOKUP(D9,'Activity Master Opex'!$C$4:$M$70,6,FALSE),0))</f>
        <v>Yearly maintenance</v>
      </c>
      <c r="F9" s="300" t="str">
        <f>IF($C9="","",VLOOKUP($C9,'Activity Master Opex'!$B:$I,3,0))</f>
        <v>10301HS001</v>
      </c>
      <c r="G9" s="298" t="str">
        <f>IF($C9="","",VLOOKUP($F9,'Master Data'!$D$59:$E$146,2,FALSE))</f>
        <v>HEALTH &amp; SAFETY</v>
      </c>
      <c r="H9" s="301">
        <f>IF($C9="","",VLOOKUP($C9,'Activity Master Opex'!$B:$I,5,0))</f>
        <v>60800060</v>
      </c>
      <c r="I9" s="296" t="str">
        <f>IFERROR(VLOOKUP(H9,'Activity Master Opex'!$F$4:$G$45,2,FALSE),"")</f>
        <v>RM Exp - Office and Other Equipment</v>
      </c>
      <c r="J9" s="302">
        <f>516*15500</f>
        <v>7998000</v>
      </c>
      <c r="K9" s="302">
        <v>0</v>
      </c>
      <c r="L9" s="303"/>
      <c r="M9" s="303"/>
      <c r="N9" s="303"/>
      <c r="O9" s="303"/>
      <c r="P9" s="303"/>
      <c r="Q9" s="303"/>
      <c r="R9" s="303"/>
      <c r="S9" s="303"/>
      <c r="T9" s="303"/>
      <c r="U9" s="303"/>
      <c r="V9" s="303"/>
      <c r="W9" s="303"/>
      <c r="X9" s="304">
        <f t="shared" si="0"/>
        <v>0</v>
      </c>
      <c r="Y9" s="305"/>
      <c r="Z9" s="306"/>
      <c r="AA9" s="306"/>
      <c r="AB9" s="306"/>
      <c r="AC9" s="306"/>
      <c r="AD9" s="306"/>
      <c r="AE9" s="306"/>
      <c r="AF9" s="306"/>
      <c r="AG9" s="306"/>
      <c r="AH9" s="306"/>
      <c r="AI9" s="306"/>
      <c r="AJ9" s="306"/>
      <c r="AK9" s="306"/>
      <c r="AL9" s="307">
        <f t="shared" si="1"/>
        <v>0</v>
      </c>
      <c r="AM9" s="308"/>
      <c r="AN9" s="306"/>
      <c r="AO9" s="306"/>
      <c r="AP9" s="306"/>
      <c r="AQ9" s="306"/>
      <c r="AR9" s="306"/>
      <c r="AS9" s="306"/>
      <c r="AT9" s="306"/>
      <c r="AU9" s="306"/>
      <c r="AV9" s="306"/>
      <c r="AW9" s="306"/>
      <c r="AX9" s="306"/>
      <c r="AY9" s="306"/>
      <c r="AZ9" s="307">
        <f t="shared" si="2"/>
        <v>0</v>
      </c>
      <c r="BA9" s="309">
        <f t="shared" si="3"/>
        <v>-7998000</v>
      </c>
      <c r="BB9" s="310"/>
      <c r="BC9" s="311">
        <f t="shared" si="4"/>
        <v>0</v>
      </c>
      <c r="BD9" s="304" t="str">
        <f>IF('Budget Opex Detail'!C9="","",IF(COUNTIFS('Activity Master Opex'!$B$4:$B$49,'Budget Opex Detail'!$C9)&gt;0,"","New Activity"))</f>
        <v/>
      </c>
      <c r="BE9" s="312"/>
      <c r="BF9" s="313"/>
      <c r="BG9" s="314"/>
      <c r="BH9" s="315"/>
      <c r="BI9" s="316"/>
      <c r="BJ9" s="316"/>
      <c r="BK9" s="317"/>
      <c r="BL9" s="318">
        <f t="shared" si="7"/>
        <v>0</v>
      </c>
      <c r="BM9" s="315"/>
      <c r="BN9" s="315"/>
      <c r="BO9" s="319">
        <f t="shared" si="5"/>
        <v>0</v>
      </c>
      <c r="BP9" s="320"/>
      <c r="BR9" s="322" t="str">
        <f>IF($H9="","",VLOOKUP($H9,'Master Data'!$B:$D,3,FALSE))</f>
        <v>Repairs &amp; Maintenance Expe</v>
      </c>
      <c r="BS9" s="322" t="str">
        <f t="shared" si="6"/>
        <v>General Administrative</v>
      </c>
      <c r="BT9" s="322" t="str">
        <f>IF($H9="","",VLOOKUP(VALUE($H9),'Master Data'!B:I,8,FALSE))</f>
        <v>Repairs and maintenance</v>
      </c>
    </row>
    <row r="10" spans="1:72" s="321" customFormat="1" x14ac:dyDescent="0.25">
      <c r="A10" s="296" t="str">
        <f>IF(D10="","",Cover!$D$8)</f>
        <v>HSE</v>
      </c>
      <c r="B10" s="297" t="str">
        <f>IF(D10="","",IFERROR(VLOOKUP(G10,'Master Data'!$E$59:$J$146,6,FALSE),0))</f>
        <v>Health &amp; Safety</v>
      </c>
      <c r="C10" s="435" t="str">
        <f>IF(D10="","",_xlfn.XLOOKUP(D10,'Activity Master Opex'!C:C,'Activity Master Opex'!B:B,0,0,1))</f>
        <v>HS001-00015</v>
      </c>
      <c r="D10" s="299" t="s">
        <v>1924</v>
      </c>
      <c r="E10" s="298" t="str">
        <f>IF(D10="","",IFERROR(VLOOKUP(D10,'Activity Master Opex'!$C$4:$M$70,6,FALSE),0))</f>
        <v>Annual routine event refers to the National Occupational Safety and Health (K3) campaign</v>
      </c>
      <c r="F10" s="300" t="str">
        <f>IF($C10="","",VLOOKUP($C10,'Activity Master Opex'!$B:$I,3,0))</f>
        <v>10301HS001</v>
      </c>
      <c r="G10" s="298" t="str">
        <f>IF($C10="","",VLOOKUP($F10,'Master Data'!$D$59:$E$146,2,FALSE))</f>
        <v>HEALTH &amp; SAFETY</v>
      </c>
      <c r="H10" s="301">
        <f>IF($C10="","",VLOOKUP($C10,'Activity Master Opex'!$B:$I,5,0))</f>
        <v>62300020</v>
      </c>
      <c r="I10" s="296" t="str">
        <f>IFERROR(VLOOKUP(H10,'Activity Master Opex'!$F$4:$G$45,2,FALSE),"")</f>
        <v>Ceremony Expenses</v>
      </c>
      <c r="J10" s="302">
        <f>9439*15500</f>
        <v>146304500</v>
      </c>
      <c r="K10" s="302">
        <v>0</v>
      </c>
      <c r="L10" s="303"/>
      <c r="M10" s="303"/>
      <c r="N10" s="303"/>
      <c r="O10" s="303"/>
      <c r="P10" s="303"/>
      <c r="Q10" s="303"/>
      <c r="R10" s="303"/>
      <c r="S10" s="303"/>
      <c r="T10" s="303"/>
      <c r="U10" s="303"/>
      <c r="V10" s="303"/>
      <c r="W10" s="303"/>
      <c r="X10" s="304">
        <f t="shared" si="0"/>
        <v>0</v>
      </c>
      <c r="Y10" s="305"/>
      <c r="Z10" s="306"/>
      <c r="AA10" s="306"/>
      <c r="AB10" s="306"/>
      <c r="AC10" s="306"/>
      <c r="AD10" s="306"/>
      <c r="AE10" s="306"/>
      <c r="AF10" s="306"/>
      <c r="AG10" s="306"/>
      <c r="AH10" s="306"/>
      <c r="AI10" s="306"/>
      <c r="AJ10" s="306"/>
      <c r="AK10" s="306"/>
      <c r="AL10" s="307">
        <f t="shared" si="1"/>
        <v>0</v>
      </c>
      <c r="AM10" s="308"/>
      <c r="AN10" s="306"/>
      <c r="AO10" s="306"/>
      <c r="AP10" s="306"/>
      <c r="AQ10" s="306"/>
      <c r="AR10" s="306"/>
      <c r="AS10" s="306"/>
      <c r="AT10" s="306"/>
      <c r="AU10" s="306"/>
      <c r="AV10" s="306"/>
      <c r="AW10" s="306"/>
      <c r="AX10" s="306"/>
      <c r="AY10" s="306"/>
      <c r="AZ10" s="307">
        <f t="shared" si="2"/>
        <v>0</v>
      </c>
      <c r="BA10" s="309">
        <f t="shared" si="3"/>
        <v>-146304500</v>
      </c>
      <c r="BB10" s="310"/>
      <c r="BC10" s="311">
        <f t="shared" si="4"/>
        <v>0</v>
      </c>
      <c r="BD10" s="304" t="str">
        <f>IF('Budget Opex Detail'!C10="","",IF(COUNTIFS('Activity Master Opex'!$B$4:$B$49,'Budget Opex Detail'!$C10)&gt;0,"","New Activity"))</f>
        <v/>
      </c>
      <c r="BE10" s="312"/>
      <c r="BF10" s="313"/>
      <c r="BG10" s="314"/>
      <c r="BH10" s="315"/>
      <c r="BI10" s="316"/>
      <c r="BJ10" s="316"/>
      <c r="BK10" s="317"/>
      <c r="BL10" s="318">
        <f t="shared" si="7"/>
        <v>0</v>
      </c>
      <c r="BM10" s="315"/>
      <c r="BN10" s="315"/>
      <c r="BO10" s="319">
        <f t="shared" si="5"/>
        <v>0</v>
      </c>
      <c r="BP10" s="320"/>
      <c r="BR10" s="322" t="str">
        <f>IF($H10="","",VLOOKUP($H10,'Master Data'!$B:$D,3,FALSE))</f>
        <v>Meeting &amp; Ceremony Expense</v>
      </c>
      <c r="BS10" s="322" t="str">
        <f t="shared" si="6"/>
        <v>General Administrative</v>
      </c>
      <c r="BT10" s="322" t="str">
        <f>IF($H10="","",VLOOKUP(VALUE($H10),'Master Data'!B:I,8,FALSE))</f>
        <v>Meeting and ceremony</v>
      </c>
    </row>
    <row r="11" spans="1:72" s="321" customFormat="1" x14ac:dyDescent="0.25">
      <c r="A11" s="296" t="str">
        <f>IF(D11="","",Cover!$D$8)</f>
        <v>HSE</v>
      </c>
      <c r="B11" s="297" t="str">
        <f>IF(D11="","",IFERROR(VLOOKUP(G11,'Master Data'!$E$59:$J$146,6,FALSE),0))</f>
        <v>Environment</v>
      </c>
      <c r="C11" s="435" t="str">
        <f>IF(D11="","",_xlfn.XLOOKUP(D11,'Activity Master Opex'!C:C,'Activity Master Opex'!B:B,0,0,1))</f>
        <v>HS002-00002</v>
      </c>
      <c r="D11" s="299" t="s">
        <v>1898</v>
      </c>
      <c r="E11" s="298" t="str">
        <f>IF(D11="","",IFERROR(VLOOKUP(D11,'Activity Master Opex'!$C$4:$M$70,6,FALSE),0))</f>
        <v>Mandatory to regulation compliance</v>
      </c>
      <c r="F11" s="300" t="str">
        <f>IF($C11="","",VLOOKUP($C11,'Activity Master Opex'!$B:$I,3,0))</f>
        <v>10301HS002</v>
      </c>
      <c r="G11" s="298" t="str">
        <f>IF($C11="","",VLOOKUP($F11,'Master Data'!$D$59:$E$146,2,FALSE))</f>
        <v>ENVIRONMENT</v>
      </c>
      <c r="H11" s="301">
        <f>IF($C11="","",VLOOKUP($C11,'Activity Master Opex'!$B:$I,5,0))</f>
        <v>61900090</v>
      </c>
      <c r="I11" s="296" t="str">
        <f>IFERROR(VLOOKUP(H11,'Activity Master Opex'!$F$4:$G$45,2,FALSE),"")</f>
        <v>PF - Other Professional Fees</v>
      </c>
      <c r="J11" s="323">
        <f>5022*15500</f>
        <v>77841000</v>
      </c>
      <c r="K11" s="302">
        <v>0</v>
      </c>
      <c r="L11" s="303"/>
      <c r="M11" s="303"/>
      <c r="N11" s="303"/>
      <c r="O11" s="303"/>
      <c r="P11" s="303"/>
      <c r="Q11" s="303"/>
      <c r="R11" s="303"/>
      <c r="S11" s="303"/>
      <c r="T11" s="303"/>
      <c r="U11" s="303"/>
      <c r="V11" s="303"/>
      <c r="W11" s="303"/>
      <c r="X11" s="304">
        <f t="shared" si="0"/>
        <v>0</v>
      </c>
      <c r="Y11" s="305"/>
      <c r="Z11" s="306"/>
      <c r="AA11" s="306"/>
      <c r="AB11" s="306"/>
      <c r="AC11" s="306"/>
      <c r="AD11" s="306"/>
      <c r="AE11" s="306"/>
      <c r="AF11" s="306"/>
      <c r="AG11" s="306"/>
      <c r="AH11" s="306"/>
      <c r="AI11" s="306"/>
      <c r="AJ11" s="306"/>
      <c r="AK11" s="306"/>
      <c r="AL11" s="307">
        <f t="shared" si="1"/>
        <v>0</v>
      </c>
      <c r="AM11" s="308"/>
      <c r="AN11" s="306"/>
      <c r="AO11" s="306"/>
      <c r="AP11" s="306"/>
      <c r="AQ11" s="306"/>
      <c r="AR11" s="306"/>
      <c r="AS11" s="306"/>
      <c r="AT11" s="306"/>
      <c r="AU11" s="306"/>
      <c r="AV11" s="306"/>
      <c r="AW11" s="306"/>
      <c r="AX11" s="306"/>
      <c r="AY11" s="306"/>
      <c r="AZ11" s="307">
        <f t="shared" si="2"/>
        <v>0</v>
      </c>
      <c r="BA11" s="309">
        <f t="shared" si="3"/>
        <v>-77841000</v>
      </c>
      <c r="BB11" s="310"/>
      <c r="BC11" s="311">
        <f t="shared" si="4"/>
        <v>0</v>
      </c>
      <c r="BD11" s="304" t="str">
        <f>IF('Budget Opex Detail'!C11="","",IF(COUNTIFS('Activity Master Opex'!$B$4:$B$49,'Budget Opex Detail'!$C11)&gt;0,"","New Activity"))</f>
        <v/>
      </c>
      <c r="BE11" s="312"/>
      <c r="BF11" s="313"/>
      <c r="BG11" s="314"/>
      <c r="BH11" s="315"/>
      <c r="BI11" s="316"/>
      <c r="BJ11" s="316"/>
      <c r="BK11" s="317"/>
      <c r="BL11" s="318">
        <f t="shared" si="7"/>
        <v>0</v>
      </c>
      <c r="BM11" s="315"/>
      <c r="BN11" s="315"/>
      <c r="BO11" s="319">
        <f t="shared" si="5"/>
        <v>0</v>
      </c>
      <c r="BP11" s="320"/>
      <c r="BR11" s="322" t="str">
        <f>IF($H11="","",VLOOKUP($H11,'Master Data'!$B:$D,3,FALSE))</f>
        <v>Professional Fees</v>
      </c>
      <c r="BS11" s="322" t="str">
        <f t="shared" si="6"/>
        <v>General Administrative</v>
      </c>
      <c r="BT11" s="322" t="str">
        <f>IF($H11="","",VLOOKUP(VALUE($H11),'Master Data'!B:I,8,FALSE))</f>
        <v>Professional fees</v>
      </c>
    </row>
    <row r="12" spans="1:72" s="321" customFormat="1" x14ac:dyDescent="0.25">
      <c r="A12" s="296" t="str">
        <f>IF(D12="","",Cover!$D$8)</f>
        <v>HSE</v>
      </c>
      <c r="B12" s="297" t="str">
        <f>IF(D12="","",IFERROR(VLOOKUP(G12,'Master Data'!$E$59:$J$146,6,FALSE),0))</f>
        <v>Environment</v>
      </c>
      <c r="C12" s="435" t="str">
        <f>IF(D12="","",_xlfn.XLOOKUP(D12,'Activity Master Opex'!C:C,'Activity Master Opex'!B:B,0,0,1))</f>
        <v>HS002-00009</v>
      </c>
      <c r="D12" s="299" t="s">
        <v>2000</v>
      </c>
      <c r="E12" s="298" t="str">
        <f>IF(D12="","",IFERROR(VLOOKUP(D12,'Activity Master Opex'!$C$4:$M$70,6,FALSE),0))</f>
        <v>The excavator is used to manage mill scale in the TPS area and is used for transporting mill scale from the TPS to vendor/customer trucks as waste to be sold</v>
      </c>
      <c r="F12" s="300" t="str">
        <f>IF($C12="","",VLOOKUP($C12,'Activity Master Opex'!$B:$I,3,0))</f>
        <v>10301HS002</v>
      </c>
      <c r="G12" s="298" t="str">
        <f>IF($C12="","",VLOOKUP($F12,'Master Data'!$D$59:$E$146,2,FALSE))</f>
        <v>ENVIRONMENT</v>
      </c>
      <c r="H12" s="301">
        <f>IF($C12="","",VLOOKUP($C12,'Activity Master Opex'!$B:$I,5,0))</f>
        <v>62400040</v>
      </c>
      <c r="I12" s="296" t="str">
        <f>IFERROR(VLOOKUP(H12,'Activity Master Opex'!$F$4:$G$45,2,FALSE),"")</f>
        <v>Gen. Transp. Others</v>
      </c>
      <c r="J12" s="323">
        <f>40861.92*15500</f>
        <v>633359760</v>
      </c>
      <c r="K12" s="302">
        <v>15880000</v>
      </c>
      <c r="L12" s="303"/>
      <c r="M12" s="303"/>
      <c r="N12" s="303"/>
      <c r="O12" s="303"/>
      <c r="P12" s="303"/>
      <c r="Q12" s="303"/>
      <c r="R12" s="303"/>
      <c r="S12" s="303"/>
      <c r="T12" s="303"/>
      <c r="U12" s="303"/>
      <c r="V12" s="303"/>
      <c r="W12" s="303"/>
      <c r="X12" s="304">
        <f t="shared" si="0"/>
        <v>0</v>
      </c>
      <c r="Y12" s="305"/>
      <c r="Z12" s="306"/>
      <c r="AA12" s="306"/>
      <c r="AB12" s="306"/>
      <c r="AC12" s="306"/>
      <c r="AD12" s="306"/>
      <c r="AE12" s="306"/>
      <c r="AF12" s="306"/>
      <c r="AG12" s="306"/>
      <c r="AH12" s="306"/>
      <c r="AI12" s="306"/>
      <c r="AJ12" s="306"/>
      <c r="AK12" s="306"/>
      <c r="AL12" s="307">
        <f t="shared" si="1"/>
        <v>0</v>
      </c>
      <c r="AM12" s="308"/>
      <c r="AN12" s="306"/>
      <c r="AO12" s="306"/>
      <c r="AP12" s="306"/>
      <c r="AQ12" s="306"/>
      <c r="AR12" s="306"/>
      <c r="AS12" s="306"/>
      <c r="AT12" s="306"/>
      <c r="AU12" s="306"/>
      <c r="AV12" s="306"/>
      <c r="AW12" s="306"/>
      <c r="AX12" s="306"/>
      <c r="AY12" s="306"/>
      <c r="AZ12" s="307">
        <f t="shared" si="2"/>
        <v>0</v>
      </c>
      <c r="BA12" s="309">
        <f t="shared" si="3"/>
        <v>-633359760</v>
      </c>
      <c r="BB12" s="310"/>
      <c r="BC12" s="311">
        <f t="shared" si="4"/>
        <v>0</v>
      </c>
      <c r="BD12" s="304" t="str">
        <f>IF('Budget Opex Detail'!C12="","",IF(COUNTIFS('Activity Master Opex'!$B$4:$B$49,'Budget Opex Detail'!$C12)&gt;0,"","New Activity"))</f>
        <v/>
      </c>
      <c r="BE12" s="312"/>
      <c r="BF12" s="313"/>
      <c r="BG12" s="314"/>
      <c r="BH12" s="315"/>
      <c r="BI12" s="316"/>
      <c r="BJ12" s="316"/>
      <c r="BK12" s="317"/>
      <c r="BL12" s="318">
        <f t="shared" si="7"/>
        <v>0</v>
      </c>
      <c r="BM12" s="315"/>
      <c r="BN12" s="315"/>
      <c r="BO12" s="319">
        <f t="shared" si="5"/>
        <v>0</v>
      </c>
      <c r="BP12" s="320"/>
      <c r="BR12" s="322" t="str">
        <f>IF($H12="","",VLOOKUP($H12,'Master Data'!$B:$D,3,FALSE))</f>
        <v>General Transportation Exp</v>
      </c>
      <c r="BS12" s="322" t="str">
        <f t="shared" si="6"/>
        <v>General Administrative</v>
      </c>
      <c r="BT12" s="322" t="str">
        <f>IF($H12="","",VLOOKUP(VALUE($H12),'Master Data'!B:I,8,FALSE))</f>
        <v>General transportation</v>
      </c>
    </row>
    <row r="13" spans="1:72" s="321" customFormat="1" x14ac:dyDescent="0.25">
      <c r="A13" s="296" t="str">
        <f>IF(D13="","",Cover!$D$8)</f>
        <v>HSE</v>
      </c>
      <c r="B13" s="297" t="str">
        <f>IF(D13="","",IFERROR(VLOOKUP(G13,'Master Data'!$E$59:$J$146,6,FALSE),0))</f>
        <v>Environment</v>
      </c>
      <c r="C13" s="435" t="str">
        <f>IF(D13="","",_xlfn.XLOOKUP(D13,'Activity Master Opex'!C:C,'Activity Master Opex'!B:B,0,0,1))</f>
        <v>HS002-00012</v>
      </c>
      <c r="D13" s="299" t="s">
        <v>1916</v>
      </c>
      <c r="E13" s="298" t="str">
        <f>IF(D13="","",IFERROR(VLOOKUP(D13,'Activity Master Opex'!$C$4:$M$70,6,FALSE),0))</f>
        <v>A Spill Kit is a set of tools used to handle spills or leaks of hazardous and toxic materials (B3) or infectious fluids such as blood, mucus, urine, and others</v>
      </c>
      <c r="F13" s="300" t="str">
        <f>IF($C13="","",VLOOKUP($C13,'Activity Master Opex'!$B:$I,3,0))</f>
        <v>10301HS002</v>
      </c>
      <c r="G13" s="298" t="str">
        <f>IF($C13="","",VLOOKUP($F13,'Master Data'!$D$59:$E$146,2,FALSE))</f>
        <v>ENVIRONMENT</v>
      </c>
      <c r="H13" s="301">
        <f>IF($C13="","",VLOOKUP($C13,'Activity Master Opex'!$B:$I,5,0))</f>
        <v>62600030</v>
      </c>
      <c r="I13" s="296" t="str">
        <f>IFERROR(VLOOKUP(H13,'Activity Master Opex'!$F$4:$G$45,2,FALSE),"")</f>
        <v>Office Equipment Expenses</v>
      </c>
      <c r="J13" s="323">
        <f>226*15500</f>
        <v>3503000</v>
      </c>
      <c r="K13" s="302">
        <v>0</v>
      </c>
      <c r="L13" s="303"/>
      <c r="M13" s="303"/>
      <c r="N13" s="303"/>
      <c r="O13" s="303"/>
      <c r="P13" s="303"/>
      <c r="Q13" s="303"/>
      <c r="R13" s="303"/>
      <c r="S13" s="303"/>
      <c r="T13" s="303"/>
      <c r="U13" s="303"/>
      <c r="V13" s="303"/>
      <c r="W13" s="303"/>
      <c r="X13" s="304">
        <f t="shared" si="0"/>
        <v>0</v>
      </c>
      <c r="Y13" s="305"/>
      <c r="Z13" s="306"/>
      <c r="AA13" s="306"/>
      <c r="AB13" s="306"/>
      <c r="AC13" s="306"/>
      <c r="AD13" s="306"/>
      <c r="AE13" s="306"/>
      <c r="AF13" s="306"/>
      <c r="AG13" s="306"/>
      <c r="AH13" s="306"/>
      <c r="AI13" s="306"/>
      <c r="AJ13" s="306"/>
      <c r="AK13" s="306"/>
      <c r="AL13" s="307">
        <f t="shared" si="1"/>
        <v>0</v>
      </c>
      <c r="AM13" s="308"/>
      <c r="AN13" s="306"/>
      <c r="AO13" s="306"/>
      <c r="AP13" s="306"/>
      <c r="AQ13" s="306"/>
      <c r="AR13" s="306"/>
      <c r="AS13" s="306"/>
      <c r="AT13" s="306"/>
      <c r="AU13" s="306"/>
      <c r="AV13" s="306"/>
      <c r="AW13" s="306"/>
      <c r="AX13" s="306"/>
      <c r="AY13" s="306"/>
      <c r="AZ13" s="307">
        <f t="shared" si="2"/>
        <v>0</v>
      </c>
      <c r="BA13" s="309">
        <f t="shared" si="3"/>
        <v>-3503000</v>
      </c>
      <c r="BB13" s="310"/>
      <c r="BC13" s="311">
        <f t="shared" si="4"/>
        <v>0</v>
      </c>
      <c r="BD13" s="304" t="str">
        <f>IF('Budget Opex Detail'!C13="","",IF(COUNTIFS('Activity Master Opex'!$B$4:$B$49,'Budget Opex Detail'!$C13)&gt;0,"","New Activity"))</f>
        <v/>
      </c>
      <c r="BE13" s="312"/>
      <c r="BF13" s="313"/>
      <c r="BG13" s="314"/>
      <c r="BH13" s="315"/>
      <c r="BI13" s="316"/>
      <c r="BJ13" s="316"/>
      <c r="BK13" s="317"/>
      <c r="BL13" s="318">
        <f t="shared" si="7"/>
        <v>0</v>
      </c>
      <c r="BM13" s="315"/>
      <c r="BN13" s="315"/>
      <c r="BO13" s="319">
        <f t="shared" si="5"/>
        <v>0</v>
      </c>
      <c r="BP13" s="320"/>
      <c r="BR13" s="322" t="str">
        <f>IF($H13="","",VLOOKUP($H13,'Master Data'!$B:$D,3,FALSE))</f>
        <v>Equipment Expenses</v>
      </c>
      <c r="BS13" s="322" t="str">
        <f t="shared" si="6"/>
        <v>General Administrative</v>
      </c>
      <c r="BT13" s="322" t="str">
        <f>IF($H13="","",VLOOKUP(VALUE($H13),'Master Data'!B:I,8,FALSE))</f>
        <v>Equipment Expenses</v>
      </c>
    </row>
    <row r="14" spans="1:72" s="321" customFormat="1" x14ac:dyDescent="0.25">
      <c r="A14" s="296" t="str">
        <f>IF(D14="","",Cover!$D$8)</f>
        <v>HSE</v>
      </c>
      <c r="B14" s="297" t="str">
        <f>IF(D14="","",IFERROR(VLOOKUP(G14,'Master Data'!$E$59:$J$146,6,FALSE),0))</f>
        <v>Environment</v>
      </c>
      <c r="C14" s="435" t="str">
        <f>IF(D14="","",_xlfn.XLOOKUP(D14,'Activity Master Opex'!C:C,'Activity Master Opex'!B:B,0,0,1))</f>
        <v>HS002-00021</v>
      </c>
      <c r="D14" s="299" t="s">
        <v>2012</v>
      </c>
      <c r="E14" s="298" t="str">
        <f>IF(D14="","",IFERROR(VLOOKUP(D14,'Activity Master Opex'!$C$4:$M$70,6,FALSE),0))</f>
        <v>The emission testing of smoke stacks ( LSM , SMS EAF 1  &amp; EAF2, &amp; BP)</v>
      </c>
      <c r="F14" s="300" t="str">
        <f>IF($C14="","",VLOOKUP($C14,'Activity Master Opex'!$B:$I,3,0))</f>
        <v>10301HS002</v>
      </c>
      <c r="G14" s="298" t="str">
        <f>IF($C14="","",VLOOKUP($F14,'Master Data'!$D$59:$E$146,2,FALSE))</f>
        <v>ENVIRONMENT</v>
      </c>
      <c r="H14" s="301">
        <f>IF($C14="","",VLOOKUP($C14,'Activity Master Opex'!$B:$I,5,0))</f>
        <v>61900090</v>
      </c>
      <c r="I14" s="296" t="str">
        <f>IFERROR(VLOOKUP(H14,'Activity Master Opex'!$F$4:$G$45,2,FALSE),"")</f>
        <v>PF - Other Professional Fees</v>
      </c>
      <c r="J14" s="323">
        <f>5815*15500</f>
        <v>90132500</v>
      </c>
      <c r="K14" s="302">
        <v>36000000</v>
      </c>
      <c r="L14" s="303"/>
      <c r="M14" s="303"/>
      <c r="N14" s="303"/>
      <c r="O14" s="303"/>
      <c r="P14" s="303"/>
      <c r="Q14" s="303"/>
      <c r="R14" s="303"/>
      <c r="S14" s="303"/>
      <c r="T14" s="303"/>
      <c r="U14" s="303"/>
      <c r="V14" s="303"/>
      <c r="W14" s="303"/>
      <c r="X14" s="304">
        <f t="shared" si="0"/>
        <v>0</v>
      </c>
      <c r="Y14" s="305"/>
      <c r="Z14" s="306"/>
      <c r="AA14" s="306"/>
      <c r="AB14" s="306"/>
      <c r="AC14" s="306"/>
      <c r="AD14" s="306"/>
      <c r="AE14" s="306"/>
      <c r="AF14" s="306"/>
      <c r="AG14" s="306"/>
      <c r="AH14" s="306"/>
      <c r="AI14" s="306"/>
      <c r="AJ14" s="306"/>
      <c r="AK14" s="306"/>
      <c r="AL14" s="307">
        <f t="shared" si="1"/>
        <v>0</v>
      </c>
      <c r="AM14" s="308"/>
      <c r="AN14" s="306"/>
      <c r="AO14" s="306"/>
      <c r="AP14" s="306"/>
      <c r="AQ14" s="306"/>
      <c r="AR14" s="306"/>
      <c r="AS14" s="306"/>
      <c r="AT14" s="306"/>
      <c r="AU14" s="306"/>
      <c r="AV14" s="306"/>
      <c r="AW14" s="306"/>
      <c r="AX14" s="306"/>
      <c r="AY14" s="306"/>
      <c r="AZ14" s="307">
        <f t="shared" si="2"/>
        <v>0</v>
      </c>
      <c r="BA14" s="309">
        <f t="shared" si="3"/>
        <v>-90132500</v>
      </c>
      <c r="BB14" s="310"/>
      <c r="BC14" s="311">
        <f t="shared" si="4"/>
        <v>0</v>
      </c>
      <c r="BD14" s="304" t="str">
        <f>IF('Budget Opex Detail'!C14="","",IF(COUNTIFS('Activity Master Opex'!$B$4:$B$49,'Budget Opex Detail'!$C14)&gt;0,"","New Activity"))</f>
        <v/>
      </c>
      <c r="BE14" s="312"/>
      <c r="BF14" s="313"/>
      <c r="BG14" s="314"/>
      <c r="BH14" s="315"/>
      <c r="BI14" s="316"/>
      <c r="BJ14" s="316"/>
      <c r="BK14" s="317"/>
      <c r="BL14" s="318">
        <f t="shared" si="7"/>
        <v>0</v>
      </c>
      <c r="BM14" s="315"/>
      <c r="BN14" s="315"/>
      <c r="BO14" s="319">
        <f t="shared" si="5"/>
        <v>0</v>
      </c>
      <c r="BP14" s="320"/>
      <c r="BR14" s="322" t="str">
        <f>IF($H14="","",VLOOKUP($H14,'Master Data'!$B:$D,3,FALSE))</f>
        <v>Professional Fees</v>
      </c>
      <c r="BS14" s="322" t="str">
        <f t="shared" si="6"/>
        <v>General Administrative</v>
      </c>
      <c r="BT14" s="322" t="str">
        <f>IF($H14="","",VLOOKUP(VALUE($H14),'Master Data'!B:I,8,FALSE))</f>
        <v>Professional fees</v>
      </c>
    </row>
    <row r="15" spans="1:72" s="321" customFormat="1" x14ac:dyDescent="0.25">
      <c r="A15" s="296" t="str">
        <f>IF(D15="","",Cover!$D$8)</f>
        <v>HSE</v>
      </c>
      <c r="B15" s="297" t="str">
        <f>IF(D15="","",IFERROR(VLOOKUP(G15,'Master Data'!$E$59:$J$146,6,FALSE),0))</f>
        <v>Environment</v>
      </c>
      <c r="C15" s="435" t="str">
        <f>IF(D15="","",_xlfn.XLOOKUP(D15,'Activity Master Opex'!C:C,'Activity Master Opex'!B:B,0,0,1))</f>
        <v>HS002-00022</v>
      </c>
      <c r="D15" s="299" t="s">
        <v>2014</v>
      </c>
      <c r="E15" s="298" t="str">
        <f>IF(D15="","",IFERROR(VLOOKUP(D15,'Activity Master Opex'!$C$4:$M$70,6,FALSE),0))</f>
        <v>The calculation of the v/c (volume-to-capacity) ratio for traffic is conducted every 6 months.</v>
      </c>
      <c r="F15" s="300" t="str">
        <f>IF($C15="","",VLOOKUP($C15,'Activity Master Opex'!$B:$I,3,0))</f>
        <v>10301HS002</v>
      </c>
      <c r="G15" s="298" t="str">
        <f>IF($C15="","",VLOOKUP($F15,'Master Data'!$D$59:$E$146,2,FALSE))</f>
        <v>ENVIRONMENT</v>
      </c>
      <c r="H15" s="301">
        <f>IF($C15="","",VLOOKUP($C15,'Activity Master Opex'!$B:$I,5,0))</f>
        <v>61900090</v>
      </c>
      <c r="I15" s="296" t="str">
        <f>IFERROR(VLOOKUP(H15,'Activity Master Opex'!$F$4:$G$45,2,FALSE),"")</f>
        <v>PF - Other Professional Fees</v>
      </c>
      <c r="J15" s="323">
        <f>1432.25*15500</f>
        <v>22199875</v>
      </c>
      <c r="K15" s="302">
        <v>0</v>
      </c>
      <c r="L15" s="303"/>
      <c r="M15" s="303"/>
      <c r="N15" s="303"/>
      <c r="O15" s="303"/>
      <c r="P15" s="303"/>
      <c r="Q15" s="303"/>
      <c r="R15" s="303"/>
      <c r="S15" s="303"/>
      <c r="T15" s="303"/>
      <c r="U15" s="303"/>
      <c r="V15" s="303"/>
      <c r="W15" s="303"/>
      <c r="X15" s="304">
        <f t="shared" si="0"/>
        <v>0</v>
      </c>
      <c r="Y15" s="305"/>
      <c r="Z15" s="306"/>
      <c r="AA15" s="306"/>
      <c r="AB15" s="306"/>
      <c r="AC15" s="306"/>
      <c r="AD15" s="306"/>
      <c r="AE15" s="306"/>
      <c r="AF15" s="306"/>
      <c r="AG15" s="306"/>
      <c r="AH15" s="306"/>
      <c r="AI15" s="306"/>
      <c r="AJ15" s="306"/>
      <c r="AK15" s="306"/>
      <c r="AL15" s="307">
        <f t="shared" si="1"/>
        <v>0</v>
      </c>
      <c r="AM15" s="308"/>
      <c r="AN15" s="306"/>
      <c r="AO15" s="306"/>
      <c r="AP15" s="306"/>
      <c r="AQ15" s="306"/>
      <c r="AR15" s="306"/>
      <c r="AS15" s="306"/>
      <c r="AT15" s="306"/>
      <c r="AU15" s="306"/>
      <c r="AV15" s="306"/>
      <c r="AW15" s="306"/>
      <c r="AX15" s="306"/>
      <c r="AY15" s="306"/>
      <c r="AZ15" s="307">
        <f t="shared" si="2"/>
        <v>0</v>
      </c>
      <c r="BA15" s="309">
        <f t="shared" si="3"/>
        <v>-22199875</v>
      </c>
      <c r="BB15" s="310"/>
      <c r="BC15" s="311">
        <f t="shared" si="4"/>
        <v>0</v>
      </c>
      <c r="BD15" s="304" t="str">
        <f>IF('Budget Opex Detail'!C15="","",IF(COUNTIFS('Activity Master Opex'!$B$4:$B$49,'Budget Opex Detail'!$C15)&gt;0,"","New Activity"))</f>
        <v/>
      </c>
      <c r="BE15" s="312"/>
      <c r="BF15" s="313"/>
      <c r="BG15" s="314"/>
      <c r="BH15" s="315"/>
      <c r="BI15" s="316"/>
      <c r="BJ15" s="316"/>
      <c r="BK15" s="317"/>
      <c r="BL15" s="318">
        <f t="shared" si="7"/>
        <v>0</v>
      </c>
      <c r="BM15" s="315"/>
      <c r="BN15" s="315"/>
      <c r="BO15" s="319">
        <f t="shared" si="5"/>
        <v>0</v>
      </c>
      <c r="BP15" s="320"/>
      <c r="BR15" s="322" t="str">
        <f>IF($H15="","",VLOOKUP($H15,'Master Data'!$B:$D,3,FALSE))</f>
        <v>Professional Fees</v>
      </c>
      <c r="BS15" s="322" t="str">
        <f t="shared" si="6"/>
        <v>General Administrative</v>
      </c>
      <c r="BT15" s="322" t="str">
        <f>IF($H15="","",VLOOKUP(VALUE($H15),'Master Data'!B:I,8,FALSE))</f>
        <v>Professional fees</v>
      </c>
    </row>
    <row r="16" spans="1:72" s="321" customFormat="1" x14ac:dyDescent="0.25">
      <c r="A16" s="296" t="str">
        <f>IF(D16="","",Cover!$D$8)</f>
        <v>HSE</v>
      </c>
      <c r="B16" s="297" t="str">
        <f>IF(D16="","",IFERROR(VLOOKUP(G16,'Master Data'!$E$59:$J$146,6,FALSE),0))</f>
        <v>Health &amp; Safety</v>
      </c>
      <c r="C16" s="435" t="str">
        <f>IF(D16="","",_xlfn.XLOOKUP(D16,'Activity Master Opex'!C:C,'Activity Master Opex'!B:B,0,0,1))</f>
        <v>HS001-00018</v>
      </c>
      <c r="D16" s="299" t="s">
        <v>1993</v>
      </c>
      <c r="E16" s="298" t="str">
        <f>IF(D16="","",IFERROR(VLOOKUP(D16,'Activity Master Opex'!$C$4:$M$70,6,FALSE),0))</f>
        <v>License mekari HSE</v>
      </c>
      <c r="F16" s="300" t="str">
        <f>IF($C16="","",VLOOKUP($C16,'Activity Master Opex'!$B:$I,3,0))</f>
        <v>10301HS001</v>
      </c>
      <c r="G16" s="298" t="str">
        <f>IF($C16="","",VLOOKUP($F16,'Master Data'!$D$59:$E$146,2,FALSE))</f>
        <v>HEALTH &amp; SAFETY</v>
      </c>
      <c r="H16" s="301">
        <f>IF($C16="","",VLOOKUP($C16,'Activity Master Opex'!$B:$I,5,0))</f>
        <v>62900020</v>
      </c>
      <c r="I16" s="296" t="str">
        <f>IFERROR(VLOOKUP(H16,'Activity Master Opex'!$F$4:$G$45,2,FALSE),"")</f>
        <v>Subscriptions and Periodicals</v>
      </c>
      <c r="J16" s="323">
        <f>161.29*15500</f>
        <v>2499995</v>
      </c>
      <c r="K16" s="302">
        <v>1575000</v>
      </c>
      <c r="L16" s="303"/>
      <c r="M16" s="303"/>
      <c r="N16" s="303"/>
      <c r="O16" s="303"/>
      <c r="P16" s="303"/>
      <c r="Q16" s="303"/>
      <c r="R16" s="303"/>
      <c r="S16" s="303"/>
      <c r="T16" s="303"/>
      <c r="U16" s="303"/>
      <c r="V16" s="303"/>
      <c r="W16" s="303"/>
      <c r="X16" s="304">
        <f t="shared" si="0"/>
        <v>0</v>
      </c>
      <c r="Y16" s="305"/>
      <c r="Z16" s="306"/>
      <c r="AA16" s="306"/>
      <c r="AB16" s="306"/>
      <c r="AC16" s="306"/>
      <c r="AD16" s="306"/>
      <c r="AE16" s="306"/>
      <c r="AF16" s="306"/>
      <c r="AG16" s="306"/>
      <c r="AH16" s="306"/>
      <c r="AI16" s="306"/>
      <c r="AJ16" s="306"/>
      <c r="AK16" s="306"/>
      <c r="AL16" s="307">
        <f t="shared" si="1"/>
        <v>0</v>
      </c>
      <c r="AM16" s="308"/>
      <c r="AN16" s="306"/>
      <c r="AO16" s="306"/>
      <c r="AP16" s="306"/>
      <c r="AQ16" s="306"/>
      <c r="AR16" s="306"/>
      <c r="AS16" s="306"/>
      <c r="AT16" s="306"/>
      <c r="AU16" s="306"/>
      <c r="AV16" s="306"/>
      <c r="AW16" s="306"/>
      <c r="AX16" s="306"/>
      <c r="AY16" s="306"/>
      <c r="AZ16" s="307">
        <f t="shared" si="2"/>
        <v>0</v>
      </c>
      <c r="BA16" s="309">
        <f t="shared" si="3"/>
        <v>-2499995</v>
      </c>
      <c r="BB16" s="310"/>
      <c r="BC16" s="311">
        <f t="shared" si="4"/>
        <v>0</v>
      </c>
      <c r="BD16" s="304" t="str">
        <f>IF('Budget Opex Detail'!C16="","",IF(COUNTIFS('Activity Master Opex'!$B$4:$B$49,'Budget Opex Detail'!$C16)&gt;0,"","New Activity"))</f>
        <v/>
      </c>
      <c r="BE16" s="312"/>
      <c r="BF16" s="313"/>
      <c r="BG16" s="314"/>
      <c r="BH16" s="315"/>
      <c r="BI16" s="316"/>
      <c r="BJ16" s="316"/>
      <c r="BK16" s="317"/>
      <c r="BL16" s="318">
        <f t="shared" si="7"/>
        <v>0</v>
      </c>
      <c r="BM16" s="315"/>
      <c r="BN16" s="315"/>
      <c r="BO16" s="319">
        <f t="shared" si="5"/>
        <v>0</v>
      </c>
      <c r="BP16" s="320"/>
      <c r="BR16" s="322" t="str">
        <f>IF($H16="","",VLOOKUP($H16,'Master Data'!$B:$D,3,FALSE))</f>
        <v>Membership &amp; Sponsorship</v>
      </c>
      <c r="BS16" s="322" t="str">
        <f t="shared" si="6"/>
        <v>General Administrative</v>
      </c>
      <c r="BT16" s="322" t="str">
        <f>IF($H16="","",VLOOKUP(VALUE($H16),'Master Data'!B:I,8,FALSE))</f>
        <v>Subscriptions and Periodicals</v>
      </c>
    </row>
    <row r="17" spans="1:72" s="321" customFormat="1" x14ac:dyDescent="0.25">
      <c r="A17" s="296" t="str">
        <f>IF(D17="","",Cover!$D$8)</f>
        <v>HSE</v>
      </c>
      <c r="B17" s="297" t="str">
        <f>IF(D17="","",IFERROR(VLOOKUP(G17,'Master Data'!$E$59:$J$146,6,FALSE),0))</f>
        <v>Health &amp; Safety</v>
      </c>
      <c r="C17" s="435" t="str">
        <f>IF(D17="","",_xlfn.XLOOKUP(D17,'Activity Master Opex'!C:C,'Activity Master Opex'!B:B,0,0,1))</f>
        <v>HS001-00019</v>
      </c>
      <c r="D17" s="299" t="s">
        <v>1995</v>
      </c>
      <c r="E17" s="298" t="str">
        <f>IF(D17="","",IFERROR(VLOOKUP(D17,'Activity Master Opex'!$C$4:$M$70,6,FALSE),0))</f>
        <v>For noise measurement in the work area</v>
      </c>
      <c r="F17" s="300" t="str">
        <f>IF($C17="","",VLOOKUP($C17,'Activity Master Opex'!$B:$I,3,0))</f>
        <v>10301HS001</v>
      </c>
      <c r="G17" s="298" t="str">
        <f>IF($C17="","",VLOOKUP($F17,'Master Data'!$D$59:$E$146,2,FALSE))</f>
        <v>HEALTH &amp; SAFETY</v>
      </c>
      <c r="H17" s="301">
        <f>IF($C17="","",VLOOKUP($C17,'Activity Master Opex'!$B:$I,5,0))</f>
        <v>62600030</v>
      </c>
      <c r="I17" s="296" t="str">
        <f>IFERROR(VLOOKUP(H17,'Activity Master Opex'!$F$4:$G$45,2,FALSE),"")</f>
        <v>Office Equipment Expenses</v>
      </c>
      <c r="J17" s="323">
        <f>90.32*15500</f>
        <v>1399960</v>
      </c>
      <c r="K17" s="302">
        <v>1250000</v>
      </c>
      <c r="L17" s="303"/>
      <c r="M17" s="303"/>
      <c r="N17" s="303"/>
      <c r="O17" s="303"/>
      <c r="P17" s="303"/>
      <c r="Q17" s="303"/>
      <c r="R17" s="303"/>
      <c r="S17" s="303"/>
      <c r="T17" s="303"/>
      <c r="U17" s="303"/>
      <c r="V17" s="303"/>
      <c r="W17" s="303"/>
      <c r="X17" s="304">
        <f t="shared" si="0"/>
        <v>0</v>
      </c>
      <c r="Y17" s="305"/>
      <c r="Z17" s="306"/>
      <c r="AA17" s="306"/>
      <c r="AB17" s="306"/>
      <c r="AC17" s="306"/>
      <c r="AD17" s="306"/>
      <c r="AE17" s="306"/>
      <c r="AF17" s="306"/>
      <c r="AG17" s="306"/>
      <c r="AH17" s="306"/>
      <c r="AI17" s="306"/>
      <c r="AJ17" s="306"/>
      <c r="AK17" s="306"/>
      <c r="AL17" s="307">
        <f t="shared" si="1"/>
        <v>0</v>
      </c>
      <c r="AM17" s="308"/>
      <c r="AN17" s="306"/>
      <c r="AO17" s="306"/>
      <c r="AP17" s="306"/>
      <c r="AQ17" s="306"/>
      <c r="AR17" s="306"/>
      <c r="AS17" s="306"/>
      <c r="AT17" s="306"/>
      <c r="AU17" s="306"/>
      <c r="AV17" s="306"/>
      <c r="AW17" s="306"/>
      <c r="AX17" s="306"/>
      <c r="AY17" s="306"/>
      <c r="AZ17" s="307">
        <f t="shared" si="2"/>
        <v>0</v>
      </c>
      <c r="BA17" s="309">
        <f t="shared" si="3"/>
        <v>-1399960</v>
      </c>
      <c r="BB17" s="310"/>
      <c r="BC17" s="311">
        <f t="shared" si="4"/>
        <v>0</v>
      </c>
      <c r="BD17" s="304" t="str">
        <f>IF('Budget Opex Detail'!C17="","",IF(COUNTIFS('Activity Master Opex'!$B$4:$B$49,'Budget Opex Detail'!$C17)&gt;0,"","New Activity"))</f>
        <v/>
      </c>
      <c r="BE17" s="312"/>
      <c r="BF17" s="313"/>
      <c r="BG17" s="314"/>
      <c r="BH17" s="315"/>
      <c r="BI17" s="316"/>
      <c r="BJ17" s="316"/>
      <c r="BK17" s="317"/>
      <c r="BL17" s="318">
        <f t="shared" si="7"/>
        <v>0</v>
      </c>
      <c r="BM17" s="315"/>
      <c r="BN17" s="315"/>
      <c r="BO17" s="319">
        <f t="shared" si="5"/>
        <v>0</v>
      </c>
      <c r="BP17" s="320"/>
      <c r="BR17" s="322" t="str">
        <f>IF($H17="","",VLOOKUP($H17,'Master Data'!$B:$D,3,FALSE))</f>
        <v>Equipment Expenses</v>
      </c>
      <c r="BS17" s="322" t="str">
        <f t="shared" si="6"/>
        <v>General Administrative</v>
      </c>
      <c r="BT17" s="322" t="str">
        <f>IF($H17="","",VLOOKUP(VALUE($H17),'Master Data'!B:I,8,FALSE))</f>
        <v>Equipment Expenses</v>
      </c>
    </row>
    <row r="18" spans="1:72" s="321" customFormat="1" x14ac:dyDescent="0.25">
      <c r="A18" s="296" t="str">
        <f>IF(D18="","",Cover!$D$8)</f>
        <v>HSE</v>
      </c>
      <c r="B18" s="297" t="str">
        <f>IF(D18="","",IFERROR(VLOOKUP(G18,'Master Data'!$E$59:$J$146,6,FALSE),0))</f>
        <v>Health &amp; Safety</v>
      </c>
      <c r="C18" s="435" t="str">
        <f>IF(D18="","",_xlfn.XLOOKUP(D18,'Activity Master Opex'!C:C,'Activity Master Opex'!B:B,0,0,1))</f>
        <v>HS001-00017</v>
      </c>
      <c r="D18" s="299" t="s">
        <v>1991</v>
      </c>
      <c r="E18" s="298" t="str">
        <f>IF(D18="","",IFERROR(VLOOKUP(D18,'Activity Master Opex'!$C$4:$M$70,6,FALSE),0))</f>
        <v>Safety Rewards</v>
      </c>
      <c r="F18" s="300" t="str">
        <f>IF($C18="","",VLOOKUP($C18,'Activity Master Opex'!$B:$I,3,0))</f>
        <v>10301HS001</v>
      </c>
      <c r="G18" s="298" t="str">
        <f>IF($C18="","",VLOOKUP($F18,'Master Data'!$D$59:$E$146,2,FALSE))</f>
        <v>HEALTH &amp; SAFETY</v>
      </c>
      <c r="H18" s="301">
        <f>IF($C18="","",VLOOKUP($C18,'Activity Master Opex'!$B:$I,5,0))</f>
        <v>62000020</v>
      </c>
      <c r="I18" s="296" t="str">
        <f>IFERROR(VLOOKUP(H18,'Activity Master Opex'!$F$4:$G$45,2,FALSE),"")</f>
        <v>Ent. Exp - Donation and Social Contribution</v>
      </c>
      <c r="J18" s="323">
        <f>1935*15500</f>
        <v>29992500</v>
      </c>
      <c r="K18" s="302">
        <v>10800000</v>
      </c>
      <c r="L18" s="303"/>
      <c r="M18" s="303"/>
      <c r="N18" s="303"/>
      <c r="O18" s="303"/>
      <c r="P18" s="303"/>
      <c r="Q18" s="303"/>
      <c r="R18" s="303"/>
      <c r="S18" s="303"/>
      <c r="T18" s="303"/>
      <c r="U18" s="303"/>
      <c r="V18" s="303"/>
      <c r="W18" s="303"/>
      <c r="X18" s="304">
        <f t="shared" si="0"/>
        <v>0</v>
      </c>
      <c r="Y18" s="305"/>
      <c r="Z18" s="306"/>
      <c r="AA18" s="306"/>
      <c r="AB18" s="306"/>
      <c r="AC18" s="306"/>
      <c r="AD18" s="306"/>
      <c r="AE18" s="306"/>
      <c r="AF18" s="306"/>
      <c r="AG18" s="306"/>
      <c r="AH18" s="306"/>
      <c r="AI18" s="306"/>
      <c r="AJ18" s="306"/>
      <c r="AK18" s="306"/>
      <c r="AL18" s="307">
        <f t="shared" si="1"/>
        <v>0</v>
      </c>
      <c r="AM18" s="308"/>
      <c r="AN18" s="306"/>
      <c r="AO18" s="306"/>
      <c r="AP18" s="306"/>
      <c r="AQ18" s="306"/>
      <c r="AR18" s="306"/>
      <c r="AS18" s="306"/>
      <c r="AT18" s="306"/>
      <c r="AU18" s="306"/>
      <c r="AV18" s="306"/>
      <c r="AW18" s="306"/>
      <c r="AX18" s="306"/>
      <c r="AY18" s="306"/>
      <c r="AZ18" s="307">
        <f t="shared" si="2"/>
        <v>0</v>
      </c>
      <c r="BA18" s="309">
        <f t="shared" si="3"/>
        <v>-29992500</v>
      </c>
      <c r="BB18" s="310"/>
      <c r="BC18" s="311">
        <f t="shared" si="4"/>
        <v>0</v>
      </c>
      <c r="BD18" s="304" t="str">
        <f>IF('Budget Opex Detail'!C18="","",IF(COUNTIFS('Activity Master Opex'!$B$4:$B$49,'Budget Opex Detail'!$C18)&gt;0,"","New Activity"))</f>
        <v/>
      </c>
      <c r="BE18" s="312"/>
      <c r="BF18" s="313"/>
      <c r="BG18" s="314"/>
      <c r="BH18" s="315"/>
      <c r="BI18" s="316"/>
      <c r="BJ18" s="316"/>
      <c r="BK18" s="317"/>
      <c r="BL18" s="318">
        <f t="shared" si="7"/>
        <v>0</v>
      </c>
      <c r="BM18" s="315"/>
      <c r="BN18" s="315"/>
      <c r="BO18" s="319">
        <f t="shared" si="5"/>
        <v>0</v>
      </c>
      <c r="BP18" s="320"/>
      <c r="BR18" s="322" t="str">
        <f>IF($H18="","",VLOOKUP($H18,'Master Data'!$B:$D,3,FALSE))</f>
        <v>Entertainment Expenses</v>
      </c>
      <c r="BS18" s="322" t="str">
        <f t="shared" si="6"/>
        <v>General Administrative</v>
      </c>
      <c r="BT18" s="322" t="str">
        <f>IF($H18="","",VLOOKUP(VALUE($H18),'Master Data'!B:I,8,FALSE))</f>
        <v xml:space="preserve">Entertainment </v>
      </c>
    </row>
    <row r="19" spans="1:72" s="321" customFormat="1" x14ac:dyDescent="0.25">
      <c r="A19" s="296" t="str">
        <f>IF(D19="","",Cover!$D$8)</f>
        <v>HSE</v>
      </c>
      <c r="B19" s="297" t="str">
        <f>IF(D19="","",IFERROR(VLOOKUP(G19,'Master Data'!$E$59:$J$146,6,FALSE),0))</f>
        <v>Health &amp; Safety</v>
      </c>
      <c r="C19" s="435" t="str">
        <f>IF(D19="","",_xlfn.XLOOKUP(D19,'Activity Master Opex'!C:C,'Activity Master Opex'!B:B,0,0,1))</f>
        <v>HS001-00021</v>
      </c>
      <c r="D19" s="299" t="s">
        <v>1999</v>
      </c>
      <c r="E19" s="298" t="str">
        <f>IF(D19="","",IFERROR(VLOOKUP(D19,'Activity Master Opex'!$C$4:$M$70,6,FALSE),0))</f>
        <v>Rewards for selected BU/SU</v>
      </c>
      <c r="F19" s="300" t="str">
        <f>IF($C19="","",VLOOKUP($C19,'Activity Master Opex'!$B:$I,3,0))</f>
        <v>10301HS001</v>
      </c>
      <c r="G19" s="298" t="str">
        <f>IF($C19="","",VLOOKUP($F19,'Master Data'!$D$59:$E$146,2,FALSE))</f>
        <v>HEALTH &amp; SAFETY</v>
      </c>
      <c r="H19" s="301">
        <f>IF($C19="","",VLOOKUP($C19,'Activity Master Opex'!$B:$I,5,0))</f>
        <v>62300020</v>
      </c>
      <c r="I19" s="296" t="str">
        <f>IFERROR(VLOOKUP(H19,'Activity Master Opex'!$F$4:$G$45,2,FALSE),"")</f>
        <v>Ceremony Expenses</v>
      </c>
      <c r="J19" s="302">
        <f>19355*15500</f>
        <v>300002500</v>
      </c>
      <c r="K19" s="302">
        <v>0</v>
      </c>
      <c r="L19" s="303"/>
      <c r="M19" s="303"/>
      <c r="N19" s="303"/>
      <c r="O19" s="303"/>
      <c r="P19" s="303"/>
      <c r="Q19" s="303"/>
      <c r="R19" s="303"/>
      <c r="S19" s="303"/>
      <c r="T19" s="303"/>
      <c r="U19" s="303"/>
      <c r="V19" s="303"/>
      <c r="W19" s="303"/>
      <c r="X19" s="304">
        <f t="shared" si="0"/>
        <v>0</v>
      </c>
      <c r="Y19" s="305"/>
      <c r="Z19" s="306"/>
      <c r="AA19" s="306"/>
      <c r="AB19" s="306"/>
      <c r="AC19" s="306"/>
      <c r="AD19" s="306"/>
      <c r="AE19" s="306"/>
      <c r="AF19" s="306"/>
      <c r="AG19" s="306"/>
      <c r="AH19" s="306"/>
      <c r="AI19" s="306"/>
      <c r="AJ19" s="306"/>
      <c r="AK19" s="306"/>
      <c r="AL19" s="307">
        <f t="shared" si="1"/>
        <v>0</v>
      </c>
      <c r="AM19" s="308"/>
      <c r="AN19" s="306"/>
      <c r="AO19" s="306"/>
      <c r="AP19" s="306"/>
      <c r="AQ19" s="306"/>
      <c r="AR19" s="306"/>
      <c r="AS19" s="306"/>
      <c r="AT19" s="306"/>
      <c r="AU19" s="306"/>
      <c r="AV19" s="306"/>
      <c r="AW19" s="306"/>
      <c r="AX19" s="306"/>
      <c r="AY19" s="306"/>
      <c r="AZ19" s="307">
        <f t="shared" si="2"/>
        <v>0</v>
      </c>
      <c r="BA19" s="309">
        <f t="shared" si="3"/>
        <v>-300002500</v>
      </c>
      <c r="BB19" s="310"/>
      <c r="BC19" s="311">
        <f t="shared" si="4"/>
        <v>0</v>
      </c>
      <c r="BD19" s="304" t="str">
        <f>IF('Budget Opex Detail'!C19="","",IF(COUNTIFS('Activity Master Opex'!$B$4:$B$49,'Budget Opex Detail'!$C19)&gt;0,"","New Activity"))</f>
        <v/>
      </c>
      <c r="BE19" s="312"/>
      <c r="BF19" s="313"/>
      <c r="BG19" s="314"/>
      <c r="BH19" s="315"/>
      <c r="BI19" s="316"/>
      <c r="BJ19" s="316"/>
      <c r="BK19" s="317"/>
      <c r="BL19" s="318">
        <f t="shared" si="7"/>
        <v>0</v>
      </c>
      <c r="BM19" s="315"/>
      <c r="BN19" s="315"/>
      <c r="BO19" s="319">
        <f t="shared" si="5"/>
        <v>0</v>
      </c>
      <c r="BP19" s="320"/>
      <c r="BR19" s="322" t="str">
        <f>IF($H19="","",VLOOKUP($H19,'Master Data'!$B:$D,3,FALSE))</f>
        <v>Meeting &amp; Ceremony Expense</v>
      </c>
      <c r="BS19" s="322" t="str">
        <f t="shared" si="6"/>
        <v>General Administrative</v>
      </c>
      <c r="BT19" s="322" t="str">
        <f>IF($H19="","",VLOOKUP(VALUE($H19),'Master Data'!B:I,8,FALSE))</f>
        <v>Meeting and ceremony</v>
      </c>
    </row>
    <row r="20" spans="1:72" s="321" customFormat="1" x14ac:dyDescent="0.25">
      <c r="A20" s="296" t="str">
        <f>IF(D20="","",Cover!$D$8)</f>
        <v>HSE</v>
      </c>
      <c r="B20" s="297" t="str">
        <f>IF(D20="","",IFERROR(VLOOKUP(G20,'Master Data'!$E$59:$J$146,6,FALSE),0))</f>
        <v>Health &amp; Safety</v>
      </c>
      <c r="C20" s="435" t="str">
        <f>IF(D20="","",_xlfn.XLOOKUP(D20,'Activity Master Opex'!C:C,'Activity Master Opex'!B:B,0,0,1))</f>
        <v>HS001-00020</v>
      </c>
      <c r="D20" s="299" t="s">
        <v>1997</v>
      </c>
      <c r="E20" s="298" t="str">
        <f>IF(D20="","",IFERROR(VLOOKUP(D20,'Activity Master Opex'!$C$4:$M$70,6,FALSE),0))</f>
        <v>Rewards for selected BU/SU</v>
      </c>
      <c r="F20" s="300" t="str">
        <f>IF($C20="","",VLOOKUP($C20,'Activity Master Opex'!$B:$I,3,0))</f>
        <v>10301HS001</v>
      </c>
      <c r="G20" s="298" t="str">
        <f>IF($C20="","",VLOOKUP($F20,'Master Data'!$D$59:$E$146,2,FALSE))</f>
        <v>HEALTH &amp; SAFETY</v>
      </c>
      <c r="H20" s="301">
        <f>IF($C20="","",VLOOKUP($C20,'Activity Master Opex'!$B:$I,5,0))</f>
        <v>62300020</v>
      </c>
      <c r="I20" s="296" t="str">
        <f>IFERROR(VLOOKUP(H20,'Activity Master Opex'!$F$4:$G$45,2,FALSE),"")</f>
        <v>Ceremony Expenses</v>
      </c>
      <c r="J20" s="302">
        <f>25806*15500</f>
        <v>399993000</v>
      </c>
      <c r="K20" s="302">
        <v>0</v>
      </c>
      <c r="L20" s="303"/>
      <c r="M20" s="303"/>
      <c r="N20" s="303"/>
      <c r="O20" s="303"/>
      <c r="P20" s="303"/>
      <c r="Q20" s="303"/>
      <c r="R20" s="303"/>
      <c r="S20" s="303"/>
      <c r="T20" s="303"/>
      <c r="U20" s="303"/>
      <c r="V20" s="303"/>
      <c r="W20" s="303"/>
      <c r="X20" s="304">
        <f t="shared" si="0"/>
        <v>0</v>
      </c>
      <c r="Y20" s="305"/>
      <c r="Z20" s="306"/>
      <c r="AA20" s="306"/>
      <c r="AB20" s="306"/>
      <c r="AC20" s="306"/>
      <c r="AD20" s="306"/>
      <c r="AE20" s="306"/>
      <c r="AF20" s="306"/>
      <c r="AG20" s="306"/>
      <c r="AH20" s="306"/>
      <c r="AI20" s="306"/>
      <c r="AJ20" s="306"/>
      <c r="AK20" s="306"/>
      <c r="AL20" s="307">
        <f t="shared" si="1"/>
        <v>0</v>
      </c>
      <c r="AM20" s="308"/>
      <c r="AN20" s="306"/>
      <c r="AO20" s="306"/>
      <c r="AP20" s="306"/>
      <c r="AQ20" s="306"/>
      <c r="AR20" s="306"/>
      <c r="AS20" s="306"/>
      <c r="AT20" s="306"/>
      <c r="AU20" s="306"/>
      <c r="AV20" s="306"/>
      <c r="AW20" s="306"/>
      <c r="AX20" s="306"/>
      <c r="AY20" s="306"/>
      <c r="AZ20" s="307">
        <f t="shared" si="2"/>
        <v>0</v>
      </c>
      <c r="BA20" s="309">
        <f t="shared" si="3"/>
        <v>-399993000</v>
      </c>
      <c r="BB20" s="310"/>
      <c r="BC20" s="311">
        <f t="shared" si="4"/>
        <v>0</v>
      </c>
      <c r="BD20" s="304" t="str">
        <f>IF('Budget Opex Detail'!C20="","",IF(COUNTIFS('Activity Master Opex'!$B$4:$B$49,'Budget Opex Detail'!$C20)&gt;0,"","New Activity"))</f>
        <v/>
      </c>
      <c r="BE20" s="312"/>
      <c r="BF20" s="313"/>
      <c r="BG20" s="314"/>
      <c r="BH20" s="315"/>
      <c r="BI20" s="316"/>
      <c r="BJ20" s="316"/>
      <c r="BK20" s="317"/>
      <c r="BL20" s="318">
        <f t="shared" si="7"/>
        <v>0</v>
      </c>
      <c r="BM20" s="315"/>
      <c r="BN20" s="315"/>
      <c r="BO20" s="319">
        <f t="shared" si="5"/>
        <v>0</v>
      </c>
      <c r="BP20" s="320"/>
      <c r="BR20" s="322" t="str">
        <f>IF($H20="","",VLOOKUP($H20,'Master Data'!$B:$D,3,FALSE))</f>
        <v>Meeting &amp; Ceremony Expense</v>
      </c>
      <c r="BS20" s="322" t="str">
        <f t="shared" si="6"/>
        <v>General Administrative</v>
      </c>
      <c r="BT20" s="322" t="str">
        <f>IF($H20="","",VLOOKUP(VALUE($H20),'Master Data'!B:I,8,FALSE))</f>
        <v>Meeting and ceremony</v>
      </c>
    </row>
    <row r="21" spans="1:72" s="321" customFormat="1" x14ac:dyDescent="0.25">
      <c r="A21" s="296" t="str">
        <f>IF(D21="","",Cover!$D$8)</f>
        <v>HSE</v>
      </c>
      <c r="B21" s="297" t="str">
        <f>IF(D21="","",IFERROR(VLOOKUP(G21,'Master Data'!$E$59:$J$146,6,FALSE),0))</f>
        <v>Environment</v>
      </c>
      <c r="C21" s="435" t="str">
        <f>IF(D21="","",_xlfn.XLOOKUP(D21,'Activity Master Opex'!C:C,'Activity Master Opex'!B:B,0,0,1))</f>
        <v>HS002-00023</v>
      </c>
      <c r="D21" s="299" t="s">
        <v>2016</v>
      </c>
      <c r="E21" s="298" t="str">
        <f>IF(D21="","",IFERROR(VLOOKUP(D21,'Activity Master Opex'!$C$4:$M$70,6,FALSE),0))</f>
        <v>Vendor for household wastewater treatment plant (IPAL) management</v>
      </c>
      <c r="F21" s="300" t="str">
        <f>IF($C21="","",VLOOKUP($C21,'Activity Master Opex'!$B:$I,3,0))</f>
        <v>10301HS002</v>
      </c>
      <c r="G21" s="298" t="str">
        <f>IF($C21="","",VLOOKUP($F21,'Master Data'!$D$59:$E$146,2,FALSE))</f>
        <v>ENVIRONMENT</v>
      </c>
      <c r="H21" s="301">
        <f>IF($C21="","",VLOOKUP($C21,'Activity Master Opex'!$B:$I,5,0))</f>
        <v>61900090</v>
      </c>
      <c r="I21" s="296" t="str">
        <f>IFERROR(VLOOKUP(H21,'Activity Master Opex'!$F$4:$G$45,2,FALSE),"")</f>
        <v>PF - Other Professional Fees</v>
      </c>
      <c r="J21" s="302">
        <f>15483.96*15500</f>
        <v>240001380</v>
      </c>
      <c r="K21" s="302">
        <v>0</v>
      </c>
      <c r="L21" s="303"/>
      <c r="M21" s="303"/>
      <c r="N21" s="303"/>
      <c r="O21" s="303"/>
      <c r="P21" s="303"/>
      <c r="Q21" s="303"/>
      <c r="R21" s="303"/>
      <c r="S21" s="303"/>
      <c r="T21" s="303"/>
      <c r="U21" s="303"/>
      <c r="V21" s="303"/>
      <c r="W21" s="303"/>
      <c r="X21" s="304">
        <f t="shared" si="0"/>
        <v>0</v>
      </c>
      <c r="Y21" s="305"/>
      <c r="Z21" s="306"/>
      <c r="AA21" s="306"/>
      <c r="AB21" s="306"/>
      <c r="AC21" s="306"/>
      <c r="AD21" s="306"/>
      <c r="AE21" s="306"/>
      <c r="AF21" s="306"/>
      <c r="AG21" s="306"/>
      <c r="AH21" s="306"/>
      <c r="AI21" s="306"/>
      <c r="AJ21" s="306"/>
      <c r="AK21" s="306"/>
      <c r="AL21" s="307">
        <f t="shared" si="1"/>
        <v>0</v>
      </c>
      <c r="AM21" s="308"/>
      <c r="AN21" s="306"/>
      <c r="AO21" s="306"/>
      <c r="AP21" s="306"/>
      <c r="AQ21" s="306"/>
      <c r="AR21" s="306"/>
      <c r="AS21" s="306"/>
      <c r="AT21" s="306"/>
      <c r="AU21" s="306"/>
      <c r="AV21" s="306"/>
      <c r="AW21" s="306"/>
      <c r="AX21" s="306"/>
      <c r="AY21" s="306"/>
      <c r="AZ21" s="307">
        <f t="shared" si="2"/>
        <v>0</v>
      </c>
      <c r="BA21" s="309">
        <f t="shared" si="3"/>
        <v>-240001380</v>
      </c>
      <c r="BB21" s="310"/>
      <c r="BC21" s="311">
        <f t="shared" si="4"/>
        <v>0</v>
      </c>
      <c r="BD21" s="304" t="str">
        <f>IF('Budget Opex Detail'!C21="","",IF(COUNTIFS('Activity Master Opex'!$B$4:$B$49,'Budget Opex Detail'!$C21)&gt;0,"","New Activity"))</f>
        <v/>
      </c>
      <c r="BE21" s="312"/>
      <c r="BF21" s="313"/>
      <c r="BG21" s="314"/>
      <c r="BH21" s="315"/>
      <c r="BI21" s="316"/>
      <c r="BJ21" s="316"/>
      <c r="BK21" s="317"/>
      <c r="BL21" s="318">
        <f t="shared" si="7"/>
        <v>0</v>
      </c>
      <c r="BM21" s="315"/>
      <c r="BN21" s="315"/>
      <c r="BO21" s="319">
        <f t="shared" si="5"/>
        <v>0</v>
      </c>
      <c r="BP21" s="320"/>
      <c r="BR21" s="322" t="str">
        <f>IF($H21="","",VLOOKUP($H21,'Master Data'!$B:$D,3,FALSE))</f>
        <v>Professional Fees</v>
      </c>
      <c r="BS21" s="322" t="str">
        <f t="shared" si="6"/>
        <v>General Administrative</v>
      </c>
      <c r="BT21" s="322" t="str">
        <f>IF($H21="","",VLOOKUP(VALUE($H21),'Master Data'!B:I,8,FALSE))</f>
        <v>Professional fees</v>
      </c>
    </row>
    <row r="22" spans="1:72" s="321" customFormat="1" x14ac:dyDescent="0.25">
      <c r="A22" s="296" t="str">
        <f>IF(D22="","",Cover!$D$8)</f>
        <v/>
      </c>
      <c r="B22" s="297" t="str">
        <f>IF(D22="","",IFERROR(VLOOKUP(G22,'Master Data'!$E$59:$J$146,6,FALSE),0))</f>
        <v/>
      </c>
      <c r="C22" s="435" t="str">
        <f>IF(D22="","",_xlfn.XLOOKUP(D22,'Activity Master Opex'!C:C,'Activity Master Opex'!B:B,0,0,1))</f>
        <v/>
      </c>
      <c r="D22" s="299"/>
      <c r="E22" s="298" t="str">
        <f>IF(D22="","",IFERROR(VLOOKUP(D22,'Activity Master Opex'!$C$4:$M$70,6,FALSE),0))</f>
        <v/>
      </c>
      <c r="F22" s="300" t="str">
        <f>IF($C22="","",VLOOKUP($C22,'Activity Master Opex'!$B:$I,3,0))</f>
        <v/>
      </c>
      <c r="G22" s="298" t="str">
        <f>IF($C22="","",VLOOKUP($F22,'Master Data'!$D$59:$E$146,2,FALSE))</f>
        <v/>
      </c>
      <c r="H22" s="300" t="str">
        <f>IF($C22="","",VLOOKUP($C22,'Activity Master Opex'!$B:$I,5,0))</f>
        <v/>
      </c>
      <c r="I22" s="296" t="str">
        <f>IFERROR(VLOOKUP(H22,'Master Data'!B:C,2,FALSE),"")</f>
        <v/>
      </c>
      <c r="J22" s="302">
        <v>0</v>
      </c>
      <c r="K22" s="302">
        <v>0</v>
      </c>
      <c r="L22" s="303"/>
      <c r="M22" s="303"/>
      <c r="N22" s="303"/>
      <c r="O22" s="303"/>
      <c r="P22" s="303"/>
      <c r="Q22" s="303"/>
      <c r="R22" s="303"/>
      <c r="S22" s="303"/>
      <c r="T22" s="303"/>
      <c r="U22" s="303"/>
      <c r="V22" s="303"/>
      <c r="W22" s="303"/>
      <c r="X22" s="304">
        <f t="shared" ref="X22:X41" si="8">SUM(L22:W22)</f>
        <v>0</v>
      </c>
      <c r="Y22" s="305"/>
      <c r="Z22" s="306"/>
      <c r="AA22" s="306"/>
      <c r="AB22" s="306"/>
      <c r="AC22" s="306"/>
      <c r="AD22" s="306"/>
      <c r="AE22" s="306"/>
      <c r="AF22" s="306"/>
      <c r="AG22" s="306"/>
      <c r="AH22" s="306"/>
      <c r="AI22" s="306"/>
      <c r="AJ22" s="306"/>
      <c r="AK22" s="306"/>
      <c r="AL22" s="307">
        <f t="shared" ref="AL22:AL41" si="9">SUM(Z22:AK22)</f>
        <v>0</v>
      </c>
      <c r="AM22" s="308"/>
      <c r="AN22" s="306"/>
      <c r="AO22" s="306"/>
      <c r="AP22" s="306"/>
      <c r="AQ22" s="306"/>
      <c r="AR22" s="306"/>
      <c r="AS22" s="306"/>
      <c r="AT22" s="306"/>
      <c r="AU22" s="306"/>
      <c r="AV22" s="306"/>
      <c r="AW22" s="306"/>
      <c r="AX22" s="306"/>
      <c r="AY22" s="306"/>
      <c r="AZ22" s="307">
        <f t="shared" ref="AZ22:AZ41" si="10">SUM(AN22:AY22)</f>
        <v>0</v>
      </c>
      <c r="BA22" s="309">
        <f t="shared" ref="BA22:BA41" si="11">X22-J22</f>
        <v>0</v>
      </c>
      <c r="BB22" s="310"/>
      <c r="BC22" s="311">
        <f t="shared" ref="BC22:BC41" si="12">X22-BO22</f>
        <v>0</v>
      </c>
      <c r="BD22" s="304" t="str">
        <f>IF('Budget Opex Detail'!C22="","",IF(COUNTIFS('Activity Master Opex'!$B$4:$B$49,'Budget Opex Detail'!$C22)&gt;0,"","New Activity"))</f>
        <v/>
      </c>
      <c r="BE22" s="312"/>
      <c r="BF22" s="313"/>
      <c r="BG22" s="314"/>
      <c r="BH22" s="315"/>
      <c r="BI22" s="316"/>
      <c r="BJ22" s="316"/>
      <c r="BK22" s="317"/>
      <c r="BL22" s="318">
        <f t="shared" si="7"/>
        <v>0</v>
      </c>
      <c r="BM22" s="315"/>
      <c r="BN22" s="315"/>
      <c r="BO22" s="319">
        <f t="shared" ref="BO22:BO41" si="13">BL22+BN22</f>
        <v>0</v>
      </c>
      <c r="BP22" s="320"/>
      <c r="BR22" s="322" t="str">
        <f>IF($H22="","",VLOOKUP($H22,'Master Data'!$B:$D,3,FALSE))</f>
        <v/>
      </c>
      <c r="BS22" s="322" t="str">
        <f t="shared" si="6"/>
        <v/>
      </c>
      <c r="BT22" s="322" t="str">
        <f>IF($H22="","",VLOOKUP(VALUE($H22),'Master Data'!B:I,8,FALSE))</f>
        <v/>
      </c>
    </row>
    <row r="23" spans="1:72" s="321" customFormat="1" x14ac:dyDescent="0.25">
      <c r="A23" s="296" t="str">
        <f>IF(D23="","",Cover!$D$8)</f>
        <v/>
      </c>
      <c r="B23" s="297" t="str">
        <f>IF(D23="","",IFERROR(VLOOKUP(G23,'Master Data'!$E$59:$J$146,6,FALSE),0))</f>
        <v/>
      </c>
      <c r="C23" s="435" t="str">
        <f>IF(D23="","",_xlfn.XLOOKUP(D23,'Activity Master Opex'!C:C,'Activity Master Opex'!B:B,0,0,1))</f>
        <v/>
      </c>
      <c r="D23" s="299"/>
      <c r="E23" s="298" t="str">
        <f>IF(D23="","",IFERROR(VLOOKUP(D23,'Activity Master Opex'!$C$4:$M$70,6,FALSE),0))</f>
        <v/>
      </c>
      <c r="F23" s="300" t="str">
        <f>IF($C23="","",VLOOKUP($C23,'Activity Master Opex'!$B:$I,3,0))</f>
        <v/>
      </c>
      <c r="G23" s="298" t="str">
        <f>IF($C23="","",VLOOKUP($F23,'Master Data'!$D$59:$E$146,2,FALSE))</f>
        <v/>
      </c>
      <c r="H23" s="300" t="str">
        <f>IF($C23="","",VLOOKUP($C23,'Activity Master Opex'!$B:$I,5,0))</f>
        <v/>
      </c>
      <c r="I23" s="296" t="str">
        <f>IFERROR(VLOOKUP(H23,'Master Data'!B:C,2,FALSE),"")</f>
        <v/>
      </c>
      <c r="J23" s="302">
        <v>0</v>
      </c>
      <c r="K23" s="302">
        <v>0</v>
      </c>
      <c r="L23" s="303"/>
      <c r="M23" s="303"/>
      <c r="N23" s="303"/>
      <c r="O23" s="303"/>
      <c r="P23" s="303"/>
      <c r="Q23" s="303"/>
      <c r="R23" s="303"/>
      <c r="S23" s="303"/>
      <c r="T23" s="303"/>
      <c r="U23" s="303"/>
      <c r="V23" s="303"/>
      <c r="W23" s="303"/>
      <c r="X23" s="304">
        <f t="shared" si="8"/>
        <v>0</v>
      </c>
      <c r="Y23" s="305"/>
      <c r="Z23" s="306"/>
      <c r="AA23" s="306"/>
      <c r="AB23" s="306"/>
      <c r="AC23" s="306"/>
      <c r="AD23" s="306"/>
      <c r="AE23" s="306"/>
      <c r="AF23" s="306"/>
      <c r="AG23" s="306"/>
      <c r="AH23" s="306"/>
      <c r="AI23" s="306"/>
      <c r="AJ23" s="306"/>
      <c r="AK23" s="306"/>
      <c r="AL23" s="307">
        <f t="shared" si="9"/>
        <v>0</v>
      </c>
      <c r="AM23" s="308"/>
      <c r="AN23" s="306"/>
      <c r="AO23" s="306"/>
      <c r="AP23" s="306"/>
      <c r="AQ23" s="306"/>
      <c r="AR23" s="306"/>
      <c r="AS23" s="306"/>
      <c r="AT23" s="306"/>
      <c r="AU23" s="306"/>
      <c r="AV23" s="306"/>
      <c r="AW23" s="306"/>
      <c r="AX23" s="306"/>
      <c r="AY23" s="306"/>
      <c r="AZ23" s="307">
        <f t="shared" si="10"/>
        <v>0</v>
      </c>
      <c r="BA23" s="309">
        <f t="shared" si="11"/>
        <v>0</v>
      </c>
      <c r="BB23" s="310"/>
      <c r="BC23" s="311">
        <f t="shared" si="12"/>
        <v>0</v>
      </c>
      <c r="BD23" s="304" t="str">
        <f>IF('Budget Opex Detail'!C23="","",IF(COUNTIFS('Activity Master Opex'!$B$4:$B$49,'Budget Opex Detail'!$C23)&gt;0,"","New Activity"))</f>
        <v/>
      </c>
      <c r="BE23" s="312"/>
      <c r="BF23" s="313"/>
      <c r="BG23" s="314"/>
      <c r="BH23" s="315"/>
      <c r="BI23" s="316"/>
      <c r="BJ23" s="316"/>
      <c r="BK23" s="317"/>
      <c r="BL23" s="318">
        <f t="shared" si="7"/>
        <v>0</v>
      </c>
      <c r="BM23" s="315"/>
      <c r="BN23" s="315"/>
      <c r="BO23" s="319">
        <f t="shared" si="13"/>
        <v>0</v>
      </c>
      <c r="BP23" s="320"/>
      <c r="BR23" s="322" t="str">
        <f>IF($H23="","",VLOOKUP($H23,'Master Data'!$B:$D,3,FALSE))</f>
        <v/>
      </c>
      <c r="BS23" s="322" t="str">
        <f t="shared" si="6"/>
        <v/>
      </c>
      <c r="BT23" s="322" t="str">
        <f>IF($H23="","",VLOOKUP(VALUE($H23),'Master Data'!B:I,8,FALSE))</f>
        <v/>
      </c>
    </row>
    <row r="24" spans="1:72" s="321" customFormat="1" x14ac:dyDescent="0.25">
      <c r="A24" s="296" t="str">
        <f>IF(D24="","",Cover!$D$8)</f>
        <v/>
      </c>
      <c r="B24" s="297" t="str">
        <f>IF(D24="","",IFERROR(VLOOKUP(G24,'Master Data'!$E$59:$J$146,6,FALSE),0))</f>
        <v/>
      </c>
      <c r="C24" s="435" t="str">
        <f>IF(D24="","",_xlfn.XLOOKUP(D24,'Activity Master Opex'!C:C,'Activity Master Opex'!B:B,0,0,1))</f>
        <v/>
      </c>
      <c r="D24" s="299"/>
      <c r="E24" s="298" t="str">
        <f>IF(D24="","",IFERROR(VLOOKUP(D24,'Activity Master Opex'!$C$4:$M$70,6,FALSE),0))</f>
        <v/>
      </c>
      <c r="F24" s="300" t="str">
        <f>IF($C24="","",VLOOKUP($C24,'Activity Master Opex'!$B:$I,3,0))</f>
        <v/>
      </c>
      <c r="G24" s="298" t="str">
        <f>IF($C24="","",VLOOKUP($F24,'Master Data'!$D$59:$E$146,2,FALSE))</f>
        <v/>
      </c>
      <c r="H24" s="300" t="str">
        <f>IF($C24="","",VLOOKUP($C24,'Activity Master Opex'!$B:$I,5,0))</f>
        <v/>
      </c>
      <c r="I24" s="296" t="str">
        <f>IFERROR(VLOOKUP(H24,'Master Data'!B:C,2,FALSE),"")</f>
        <v/>
      </c>
      <c r="J24" s="302">
        <v>0</v>
      </c>
      <c r="K24" s="302">
        <v>0</v>
      </c>
      <c r="L24" s="303"/>
      <c r="M24" s="303"/>
      <c r="N24" s="303"/>
      <c r="O24" s="303"/>
      <c r="P24" s="303"/>
      <c r="Q24" s="303"/>
      <c r="R24" s="303"/>
      <c r="S24" s="303"/>
      <c r="T24" s="303"/>
      <c r="U24" s="303"/>
      <c r="V24" s="303"/>
      <c r="W24" s="303"/>
      <c r="X24" s="304">
        <f t="shared" si="8"/>
        <v>0</v>
      </c>
      <c r="Y24" s="305"/>
      <c r="Z24" s="306"/>
      <c r="AA24" s="306"/>
      <c r="AB24" s="306"/>
      <c r="AC24" s="306"/>
      <c r="AD24" s="306"/>
      <c r="AE24" s="306"/>
      <c r="AF24" s="306"/>
      <c r="AG24" s="306"/>
      <c r="AH24" s="306"/>
      <c r="AI24" s="306"/>
      <c r="AJ24" s="306"/>
      <c r="AK24" s="306"/>
      <c r="AL24" s="307">
        <f t="shared" si="9"/>
        <v>0</v>
      </c>
      <c r="AM24" s="308"/>
      <c r="AN24" s="306"/>
      <c r="AO24" s="306"/>
      <c r="AP24" s="306"/>
      <c r="AQ24" s="306"/>
      <c r="AR24" s="306"/>
      <c r="AS24" s="306"/>
      <c r="AT24" s="306"/>
      <c r="AU24" s="306"/>
      <c r="AV24" s="306"/>
      <c r="AW24" s="306"/>
      <c r="AX24" s="306"/>
      <c r="AY24" s="306"/>
      <c r="AZ24" s="307">
        <f t="shared" si="10"/>
        <v>0</v>
      </c>
      <c r="BA24" s="309">
        <f t="shared" si="11"/>
        <v>0</v>
      </c>
      <c r="BB24" s="310"/>
      <c r="BC24" s="311">
        <f t="shared" si="12"/>
        <v>0</v>
      </c>
      <c r="BD24" s="304" t="str">
        <f>IF('Budget Opex Detail'!C24="","",IF(COUNTIFS('Activity Master Opex'!$B$4:$B$49,'Budget Opex Detail'!$C24)&gt;0,"","New Activity"))</f>
        <v/>
      </c>
      <c r="BE24" s="312"/>
      <c r="BF24" s="313"/>
      <c r="BG24" s="314"/>
      <c r="BH24" s="315"/>
      <c r="BI24" s="316"/>
      <c r="BJ24" s="316"/>
      <c r="BK24" s="317"/>
      <c r="BL24" s="318">
        <f t="shared" si="7"/>
        <v>0</v>
      </c>
      <c r="BM24" s="315"/>
      <c r="BN24" s="315"/>
      <c r="BO24" s="319">
        <f t="shared" si="13"/>
        <v>0</v>
      </c>
      <c r="BP24" s="320"/>
      <c r="BR24" s="322" t="str">
        <f>IF($H24="","",VLOOKUP($H24,'Master Data'!$B:$D,3,FALSE))</f>
        <v/>
      </c>
      <c r="BS24" s="322" t="str">
        <f t="shared" si="6"/>
        <v/>
      </c>
      <c r="BT24" s="322" t="str">
        <f>IF($H24="","",VLOOKUP(VALUE($H24),'Master Data'!B:I,8,FALSE))</f>
        <v/>
      </c>
    </row>
    <row r="25" spans="1:72" s="321" customFormat="1" x14ac:dyDescent="0.25">
      <c r="A25" s="296" t="str">
        <f>IF(D25="","",Cover!$D$8)</f>
        <v/>
      </c>
      <c r="B25" s="297" t="str">
        <f>IF(D25="","",IFERROR(VLOOKUP(G25,'Master Data'!$E$59:$J$146,6,FALSE),0))</f>
        <v/>
      </c>
      <c r="C25" s="435" t="str">
        <f>IF(D25="","",_xlfn.XLOOKUP(D25,'Activity Master Opex'!C:C,'Activity Master Opex'!B:B,0,0,1))</f>
        <v/>
      </c>
      <c r="D25" s="299"/>
      <c r="E25" s="298" t="str">
        <f>IF(D25="","",IFERROR(VLOOKUP(D25,'Activity Master Opex'!$C$4:$M$70,6,FALSE),0))</f>
        <v/>
      </c>
      <c r="F25" s="300" t="str">
        <f>IF($C25="","",VLOOKUP($C25,'Activity Master Opex'!$B:$I,3,0))</f>
        <v/>
      </c>
      <c r="G25" s="298" t="str">
        <f>IF($C25="","",VLOOKUP($F25,'Master Data'!$D$59:$E$146,2,FALSE))</f>
        <v/>
      </c>
      <c r="H25" s="300" t="str">
        <f>IF($C25="","",VLOOKUP($C25,'Activity Master Opex'!$B:$I,5,0))</f>
        <v/>
      </c>
      <c r="I25" s="296" t="str">
        <f>IFERROR(VLOOKUP(H25,'Master Data'!B:C,2,FALSE),"")</f>
        <v/>
      </c>
      <c r="J25" s="302">
        <v>0</v>
      </c>
      <c r="K25" s="302">
        <v>0</v>
      </c>
      <c r="L25" s="303"/>
      <c r="M25" s="303"/>
      <c r="N25" s="303"/>
      <c r="O25" s="303"/>
      <c r="P25" s="303"/>
      <c r="Q25" s="303"/>
      <c r="R25" s="303"/>
      <c r="S25" s="303"/>
      <c r="T25" s="303"/>
      <c r="U25" s="303"/>
      <c r="V25" s="303"/>
      <c r="W25" s="303"/>
      <c r="X25" s="304">
        <f t="shared" si="8"/>
        <v>0</v>
      </c>
      <c r="Y25" s="305"/>
      <c r="Z25" s="306"/>
      <c r="AA25" s="306"/>
      <c r="AB25" s="306"/>
      <c r="AC25" s="306"/>
      <c r="AD25" s="306"/>
      <c r="AE25" s="306"/>
      <c r="AF25" s="306"/>
      <c r="AG25" s="306"/>
      <c r="AH25" s="306"/>
      <c r="AI25" s="306"/>
      <c r="AJ25" s="306"/>
      <c r="AK25" s="306"/>
      <c r="AL25" s="307">
        <f t="shared" si="9"/>
        <v>0</v>
      </c>
      <c r="AM25" s="308"/>
      <c r="AN25" s="306"/>
      <c r="AO25" s="306"/>
      <c r="AP25" s="306"/>
      <c r="AQ25" s="306"/>
      <c r="AR25" s="306"/>
      <c r="AS25" s="306"/>
      <c r="AT25" s="306"/>
      <c r="AU25" s="306"/>
      <c r="AV25" s="306"/>
      <c r="AW25" s="306"/>
      <c r="AX25" s="306"/>
      <c r="AY25" s="306"/>
      <c r="AZ25" s="307">
        <f t="shared" si="10"/>
        <v>0</v>
      </c>
      <c r="BA25" s="309">
        <f t="shared" si="11"/>
        <v>0</v>
      </c>
      <c r="BB25" s="310"/>
      <c r="BC25" s="311">
        <f t="shared" si="12"/>
        <v>0</v>
      </c>
      <c r="BD25" s="304" t="str">
        <f>IF('Budget Opex Detail'!C25="","",IF(COUNTIFS('Activity Master Opex'!$B$4:$B$49,'Budget Opex Detail'!$C25)&gt;0,"","New Activity"))</f>
        <v/>
      </c>
      <c r="BE25" s="312"/>
      <c r="BF25" s="313"/>
      <c r="BG25" s="314"/>
      <c r="BH25" s="315"/>
      <c r="BI25" s="316"/>
      <c r="BJ25" s="316"/>
      <c r="BK25" s="317"/>
      <c r="BL25" s="318">
        <f t="shared" si="7"/>
        <v>0</v>
      </c>
      <c r="BM25" s="315"/>
      <c r="BN25" s="315"/>
      <c r="BO25" s="319">
        <f t="shared" si="13"/>
        <v>0</v>
      </c>
      <c r="BP25" s="320"/>
      <c r="BR25" s="322" t="str">
        <f>IF($H25="","",VLOOKUP($H25,'Master Data'!$B:$D,3,FALSE))</f>
        <v/>
      </c>
      <c r="BS25" s="322" t="str">
        <f t="shared" si="6"/>
        <v/>
      </c>
      <c r="BT25" s="322" t="str">
        <f>IF($H25="","",VLOOKUP(VALUE($H25),'Master Data'!B:I,8,FALSE))</f>
        <v/>
      </c>
    </row>
    <row r="26" spans="1:72" s="321" customFormat="1" x14ac:dyDescent="0.25">
      <c r="A26" s="296" t="str">
        <f>IF(D26="","",Cover!$D$8)</f>
        <v/>
      </c>
      <c r="B26" s="297" t="str">
        <f>IF(D26="","",IFERROR(VLOOKUP(G26,'Master Data'!$E$59:$J$146,6,FALSE),0))</f>
        <v/>
      </c>
      <c r="C26" s="435" t="str">
        <f>IF(D26="","",_xlfn.XLOOKUP(D26,'Activity Master Opex'!C:C,'Activity Master Opex'!B:B,0,0,1))</f>
        <v/>
      </c>
      <c r="D26" s="299"/>
      <c r="E26" s="298" t="str">
        <f>IF(D26="","",IFERROR(VLOOKUP(D26,'Activity Master Opex'!$C$4:$M$70,6,FALSE),0))</f>
        <v/>
      </c>
      <c r="F26" s="300" t="str">
        <f>IF($C26="","",VLOOKUP($C26,'Activity Master Opex'!$B:$I,3,0))</f>
        <v/>
      </c>
      <c r="G26" s="298" t="str">
        <f>IF($C26="","",VLOOKUP($F26,'Master Data'!$D$59:$E$146,2,FALSE))</f>
        <v/>
      </c>
      <c r="H26" s="300" t="str">
        <f>IF($C26="","",VLOOKUP($C26,'Activity Master Opex'!$B:$I,5,0))</f>
        <v/>
      </c>
      <c r="I26" s="296" t="str">
        <f>IFERROR(VLOOKUP(H26,'Master Data'!B:C,2,FALSE),"")</f>
        <v/>
      </c>
      <c r="J26" s="302">
        <v>0</v>
      </c>
      <c r="K26" s="302">
        <v>0</v>
      </c>
      <c r="L26" s="303"/>
      <c r="M26" s="303"/>
      <c r="N26" s="303"/>
      <c r="O26" s="303"/>
      <c r="P26" s="303"/>
      <c r="Q26" s="303"/>
      <c r="R26" s="303"/>
      <c r="S26" s="303"/>
      <c r="T26" s="303"/>
      <c r="U26" s="303"/>
      <c r="V26" s="303"/>
      <c r="W26" s="303"/>
      <c r="X26" s="304">
        <f t="shared" si="8"/>
        <v>0</v>
      </c>
      <c r="Y26" s="305"/>
      <c r="Z26" s="306"/>
      <c r="AA26" s="306"/>
      <c r="AB26" s="306"/>
      <c r="AC26" s="306"/>
      <c r="AD26" s="306"/>
      <c r="AE26" s="306"/>
      <c r="AF26" s="306"/>
      <c r="AG26" s="306"/>
      <c r="AH26" s="306"/>
      <c r="AI26" s="306"/>
      <c r="AJ26" s="306"/>
      <c r="AK26" s="306"/>
      <c r="AL26" s="307">
        <f t="shared" si="9"/>
        <v>0</v>
      </c>
      <c r="AM26" s="308"/>
      <c r="AN26" s="306"/>
      <c r="AO26" s="306"/>
      <c r="AP26" s="306"/>
      <c r="AQ26" s="306"/>
      <c r="AR26" s="306"/>
      <c r="AS26" s="306"/>
      <c r="AT26" s="306"/>
      <c r="AU26" s="306"/>
      <c r="AV26" s="306"/>
      <c r="AW26" s="306"/>
      <c r="AX26" s="306"/>
      <c r="AY26" s="306"/>
      <c r="AZ26" s="307">
        <f t="shared" si="10"/>
        <v>0</v>
      </c>
      <c r="BA26" s="309">
        <f t="shared" si="11"/>
        <v>0</v>
      </c>
      <c r="BB26" s="310"/>
      <c r="BC26" s="311">
        <f t="shared" si="12"/>
        <v>0</v>
      </c>
      <c r="BD26" s="304" t="str">
        <f>IF('Budget Opex Detail'!C26="","",IF(COUNTIFS('Activity Master Opex'!$B$4:$B$49,'Budget Opex Detail'!$C26)&gt;0,"","New Activity"))</f>
        <v/>
      </c>
      <c r="BE26" s="312"/>
      <c r="BF26" s="313"/>
      <c r="BG26" s="314"/>
      <c r="BH26" s="315"/>
      <c r="BI26" s="316"/>
      <c r="BJ26" s="316"/>
      <c r="BK26" s="317"/>
      <c r="BL26" s="318">
        <f t="shared" si="7"/>
        <v>0</v>
      </c>
      <c r="BM26" s="315"/>
      <c r="BN26" s="315"/>
      <c r="BO26" s="319">
        <f t="shared" si="13"/>
        <v>0</v>
      </c>
      <c r="BP26" s="320"/>
      <c r="BR26" s="322" t="str">
        <f>IF($H26="","",VLOOKUP($H26,'Master Data'!$B:$D,3,FALSE))</f>
        <v/>
      </c>
      <c r="BS26" s="322" t="str">
        <f t="shared" si="6"/>
        <v/>
      </c>
      <c r="BT26" s="322" t="str">
        <f>IF($H26="","",VLOOKUP(VALUE($H26),'Master Data'!B:I,8,FALSE))</f>
        <v/>
      </c>
    </row>
    <row r="27" spans="1:72" s="321" customFormat="1" x14ac:dyDescent="0.25">
      <c r="A27" s="296" t="str">
        <f>IF(D27="","",Cover!$D$8)</f>
        <v/>
      </c>
      <c r="B27" s="297" t="str">
        <f>IF(D27="","",IFERROR(VLOOKUP(G27,'Master Data'!$E$59:$J$146,6,FALSE),0))</f>
        <v/>
      </c>
      <c r="C27" s="435" t="str">
        <f>IF(D27="","",_xlfn.XLOOKUP(D27,'Activity Master Opex'!C:C,'Activity Master Opex'!B:B,0,0,1))</f>
        <v/>
      </c>
      <c r="D27" s="299"/>
      <c r="E27" s="298" t="str">
        <f>IF(D27="","",IFERROR(VLOOKUP(D27,'Activity Master Opex'!$C$4:$M$70,6,FALSE),0))</f>
        <v/>
      </c>
      <c r="F27" s="300" t="str">
        <f>IF($C27="","",VLOOKUP($C27,'Activity Master Opex'!$B:$I,3,0))</f>
        <v/>
      </c>
      <c r="G27" s="298" t="str">
        <f>IF($C27="","",VLOOKUP($F27,'Master Data'!$D$59:$E$146,2,FALSE))</f>
        <v/>
      </c>
      <c r="H27" s="300" t="str">
        <f>IF($C27="","",VLOOKUP($C27,'Activity Master Opex'!$B:$I,5,0))</f>
        <v/>
      </c>
      <c r="I27" s="296" t="str">
        <f>IFERROR(VLOOKUP(H27,'Master Data'!B:C,2,FALSE),"")</f>
        <v/>
      </c>
      <c r="J27" s="302">
        <v>0</v>
      </c>
      <c r="K27" s="302">
        <v>0</v>
      </c>
      <c r="L27" s="303"/>
      <c r="M27" s="303"/>
      <c r="N27" s="303"/>
      <c r="O27" s="303"/>
      <c r="P27" s="303"/>
      <c r="Q27" s="303"/>
      <c r="R27" s="303"/>
      <c r="S27" s="303"/>
      <c r="T27" s="303"/>
      <c r="U27" s="303"/>
      <c r="V27" s="303"/>
      <c r="W27" s="303"/>
      <c r="X27" s="304">
        <f t="shared" si="8"/>
        <v>0</v>
      </c>
      <c r="Y27" s="305"/>
      <c r="Z27" s="306"/>
      <c r="AA27" s="306"/>
      <c r="AB27" s="306"/>
      <c r="AC27" s="306"/>
      <c r="AD27" s="306"/>
      <c r="AE27" s="306"/>
      <c r="AF27" s="306"/>
      <c r="AG27" s="306"/>
      <c r="AH27" s="306"/>
      <c r="AI27" s="306"/>
      <c r="AJ27" s="306"/>
      <c r="AK27" s="306"/>
      <c r="AL27" s="307">
        <f t="shared" si="9"/>
        <v>0</v>
      </c>
      <c r="AM27" s="308"/>
      <c r="AN27" s="306"/>
      <c r="AO27" s="306"/>
      <c r="AP27" s="306"/>
      <c r="AQ27" s="306"/>
      <c r="AR27" s="306"/>
      <c r="AS27" s="306"/>
      <c r="AT27" s="306"/>
      <c r="AU27" s="306"/>
      <c r="AV27" s="306"/>
      <c r="AW27" s="306"/>
      <c r="AX27" s="306"/>
      <c r="AY27" s="306"/>
      <c r="AZ27" s="307">
        <f t="shared" si="10"/>
        <v>0</v>
      </c>
      <c r="BA27" s="309">
        <f t="shared" si="11"/>
        <v>0</v>
      </c>
      <c r="BB27" s="310"/>
      <c r="BC27" s="311">
        <f t="shared" si="12"/>
        <v>0</v>
      </c>
      <c r="BD27" s="304" t="str">
        <f>IF('Budget Opex Detail'!C27="","",IF(COUNTIFS('Activity Master Opex'!$B$4:$B$49,'Budget Opex Detail'!$C27)&gt;0,"","New Activity"))</f>
        <v/>
      </c>
      <c r="BE27" s="312"/>
      <c r="BF27" s="313"/>
      <c r="BG27" s="314"/>
      <c r="BH27" s="315"/>
      <c r="BI27" s="316"/>
      <c r="BJ27" s="316"/>
      <c r="BK27" s="317"/>
      <c r="BL27" s="318">
        <f t="shared" si="7"/>
        <v>0</v>
      </c>
      <c r="BM27" s="315"/>
      <c r="BN27" s="315"/>
      <c r="BO27" s="319">
        <f t="shared" si="13"/>
        <v>0</v>
      </c>
      <c r="BP27" s="320"/>
      <c r="BR27" s="322" t="str">
        <f>IF($H27="","",VLOOKUP($H27,'Master Data'!$B:$D,3,FALSE))</f>
        <v/>
      </c>
      <c r="BS27" s="322" t="str">
        <f t="shared" si="6"/>
        <v/>
      </c>
      <c r="BT27" s="322" t="str">
        <f>IF($H27="","",VLOOKUP(VALUE($H27),'Master Data'!B:I,8,FALSE))</f>
        <v/>
      </c>
    </row>
    <row r="28" spans="1:72" s="321" customFormat="1" x14ac:dyDescent="0.25">
      <c r="A28" s="296" t="str">
        <f>IF(D28="","",Cover!$D$8)</f>
        <v/>
      </c>
      <c r="B28" s="297" t="str">
        <f>IF(D28="","",IFERROR(VLOOKUP(G28,'Master Data'!$E$59:$J$146,6,FALSE),0))</f>
        <v/>
      </c>
      <c r="C28" s="435" t="str">
        <f>IF(D28="","",_xlfn.XLOOKUP(D28,'Activity Master Opex'!C:C,'Activity Master Opex'!B:B,0,0,1))</f>
        <v/>
      </c>
      <c r="D28" s="299"/>
      <c r="E28" s="298" t="str">
        <f>IF(D28="","",IFERROR(VLOOKUP(D28,'Activity Master Opex'!$C$4:$M$70,6,FALSE),0))</f>
        <v/>
      </c>
      <c r="F28" s="300" t="str">
        <f>IF($C28="","",VLOOKUP($C28,'Activity Master Opex'!$B:$I,3,0))</f>
        <v/>
      </c>
      <c r="G28" s="298" t="str">
        <f>IF($C28="","",VLOOKUP($F28,'Master Data'!$D$59:$E$146,2,FALSE))</f>
        <v/>
      </c>
      <c r="H28" s="300" t="str">
        <f>IF($C28="","",VLOOKUP($C28,'Activity Master Opex'!$B:$I,5,0))</f>
        <v/>
      </c>
      <c r="I28" s="296" t="str">
        <f>IFERROR(VLOOKUP(H28,'Master Data'!B:C,2,FALSE),"")</f>
        <v/>
      </c>
      <c r="J28" s="302">
        <v>0</v>
      </c>
      <c r="K28" s="302">
        <v>0</v>
      </c>
      <c r="L28" s="303"/>
      <c r="M28" s="303"/>
      <c r="N28" s="303"/>
      <c r="O28" s="303"/>
      <c r="P28" s="303"/>
      <c r="Q28" s="303"/>
      <c r="R28" s="303"/>
      <c r="S28" s="303"/>
      <c r="T28" s="303"/>
      <c r="U28" s="303"/>
      <c r="V28" s="303"/>
      <c r="W28" s="303"/>
      <c r="X28" s="304">
        <f t="shared" si="8"/>
        <v>0</v>
      </c>
      <c r="Y28" s="305"/>
      <c r="Z28" s="306"/>
      <c r="AA28" s="306"/>
      <c r="AB28" s="306"/>
      <c r="AC28" s="306"/>
      <c r="AD28" s="306"/>
      <c r="AE28" s="306"/>
      <c r="AF28" s="306"/>
      <c r="AG28" s="306"/>
      <c r="AH28" s="306"/>
      <c r="AI28" s="306"/>
      <c r="AJ28" s="306"/>
      <c r="AK28" s="306"/>
      <c r="AL28" s="307">
        <f t="shared" si="9"/>
        <v>0</v>
      </c>
      <c r="AM28" s="308"/>
      <c r="AN28" s="306"/>
      <c r="AO28" s="306"/>
      <c r="AP28" s="306"/>
      <c r="AQ28" s="306"/>
      <c r="AR28" s="306"/>
      <c r="AS28" s="306"/>
      <c r="AT28" s="306"/>
      <c r="AU28" s="306"/>
      <c r="AV28" s="306"/>
      <c r="AW28" s="306"/>
      <c r="AX28" s="306"/>
      <c r="AY28" s="306"/>
      <c r="AZ28" s="307">
        <f t="shared" si="10"/>
        <v>0</v>
      </c>
      <c r="BA28" s="309">
        <f t="shared" si="11"/>
        <v>0</v>
      </c>
      <c r="BB28" s="310"/>
      <c r="BC28" s="311">
        <f t="shared" si="12"/>
        <v>0</v>
      </c>
      <c r="BD28" s="304" t="str">
        <f>IF('Budget Opex Detail'!C28="","",IF(COUNTIFS('Activity Master Opex'!$B$4:$B$49,'Budget Opex Detail'!$C28)&gt;0,"","New Activity"))</f>
        <v/>
      </c>
      <c r="BE28" s="312"/>
      <c r="BF28" s="313"/>
      <c r="BG28" s="314"/>
      <c r="BH28" s="315"/>
      <c r="BI28" s="316"/>
      <c r="BJ28" s="316"/>
      <c r="BK28" s="317"/>
      <c r="BL28" s="318">
        <f t="shared" si="7"/>
        <v>0</v>
      </c>
      <c r="BM28" s="315"/>
      <c r="BN28" s="315"/>
      <c r="BO28" s="319">
        <f t="shared" si="13"/>
        <v>0</v>
      </c>
      <c r="BP28" s="320"/>
      <c r="BR28" s="322" t="str">
        <f>IF($H28="","",VLOOKUP($H28,'Master Data'!$B:$D,3,FALSE))</f>
        <v/>
      </c>
      <c r="BS28" s="322" t="str">
        <f t="shared" si="6"/>
        <v/>
      </c>
      <c r="BT28" s="322" t="str">
        <f>IF($H28="","",VLOOKUP(VALUE($H28),'Master Data'!B:I,8,FALSE))</f>
        <v/>
      </c>
    </row>
    <row r="29" spans="1:72" s="321" customFormat="1" x14ac:dyDescent="0.25">
      <c r="A29" s="296" t="str">
        <f>IF(D29="","",Cover!$D$8)</f>
        <v/>
      </c>
      <c r="B29" s="297" t="str">
        <f>IF(D29="","",IFERROR(VLOOKUP(G29,'Master Data'!$E$59:$J$146,6,FALSE),0))</f>
        <v/>
      </c>
      <c r="C29" s="435" t="str">
        <f>IF(D29="","",_xlfn.XLOOKUP(D29,'Activity Master Opex'!C:C,'Activity Master Opex'!B:B,0,0,1))</f>
        <v/>
      </c>
      <c r="D29" s="299"/>
      <c r="E29" s="298" t="str">
        <f>IF(D29="","",IFERROR(VLOOKUP(D29,'Activity Master Opex'!$C$4:$M$70,6,FALSE),0))</f>
        <v/>
      </c>
      <c r="F29" s="300" t="str">
        <f>IF($C29="","",VLOOKUP($C29,'Activity Master Opex'!$B:$I,3,0))</f>
        <v/>
      </c>
      <c r="G29" s="298" t="str">
        <f>IF($C29="","",VLOOKUP($F29,'Master Data'!$D$59:$E$146,2,FALSE))</f>
        <v/>
      </c>
      <c r="H29" s="300" t="str">
        <f>IF($C29="","",VLOOKUP($C29,'Activity Master Opex'!$B:$I,5,0))</f>
        <v/>
      </c>
      <c r="I29" s="296" t="str">
        <f>IFERROR(VLOOKUP(H29,'Master Data'!B:C,2,FALSE),"")</f>
        <v/>
      </c>
      <c r="J29" s="302">
        <v>0</v>
      </c>
      <c r="K29" s="302">
        <v>0</v>
      </c>
      <c r="L29" s="303"/>
      <c r="M29" s="303"/>
      <c r="N29" s="303"/>
      <c r="O29" s="303"/>
      <c r="P29" s="303"/>
      <c r="Q29" s="303"/>
      <c r="R29" s="303"/>
      <c r="S29" s="303"/>
      <c r="T29" s="303"/>
      <c r="U29" s="303"/>
      <c r="V29" s="303"/>
      <c r="W29" s="303"/>
      <c r="X29" s="304">
        <f t="shared" si="8"/>
        <v>0</v>
      </c>
      <c r="Y29" s="305"/>
      <c r="Z29" s="306"/>
      <c r="AA29" s="306"/>
      <c r="AB29" s="306"/>
      <c r="AC29" s="306"/>
      <c r="AD29" s="306"/>
      <c r="AE29" s="306"/>
      <c r="AF29" s="306"/>
      <c r="AG29" s="306"/>
      <c r="AH29" s="306"/>
      <c r="AI29" s="306"/>
      <c r="AJ29" s="306"/>
      <c r="AK29" s="306"/>
      <c r="AL29" s="307">
        <f t="shared" si="9"/>
        <v>0</v>
      </c>
      <c r="AM29" s="308"/>
      <c r="AN29" s="306"/>
      <c r="AO29" s="306"/>
      <c r="AP29" s="306"/>
      <c r="AQ29" s="306"/>
      <c r="AR29" s="306"/>
      <c r="AS29" s="306"/>
      <c r="AT29" s="306"/>
      <c r="AU29" s="306"/>
      <c r="AV29" s="306"/>
      <c r="AW29" s="306"/>
      <c r="AX29" s="306"/>
      <c r="AY29" s="306"/>
      <c r="AZ29" s="307">
        <f t="shared" si="10"/>
        <v>0</v>
      </c>
      <c r="BA29" s="309">
        <f t="shared" si="11"/>
        <v>0</v>
      </c>
      <c r="BB29" s="310"/>
      <c r="BC29" s="311">
        <f t="shared" si="12"/>
        <v>0</v>
      </c>
      <c r="BD29" s="304" t="str">
        <f>IF('Budget Opex Detail'!C29="","",IF(COUNTIFS('Activity Master Opex'!$B$4:$B$49,'Budget Opex Detail'!$C29)&gt;0,"","New Activity"))</f>
        <v/>
      </c>
      <c r="BE29" s="312"/>
      <c r="BF29" s="313"/>
      <c r="BG29" s="314"/>
      <c r="BH29" s="315"/>
      <c r="BI29" s="316"/>
      <c r="BJ29" s="316"/>
      <c r="BK29" s="317"/>
      <c r="BL29" s="318">
        <f t="shared" si="7"/>
        <v>0</v>
      </c>
      <c r="BM29" s="315"/>
      <c r="BN29" s="315"/>
      <c r="BO29" s="319">
        <f t="shared" si="13"/>
        <v>0</v>
      </c>
      <c r="BP29" s="320"/>
      <c r="BR29" s="322" t="str">
        <f>IF($H29="","",VLOOKUP($H29,'Master Data'!$B:$D,3,FALSE))</f>
        <v/>
      </c>
      <c r="BS29" s="322" t="str">
        <f t="shared" si="6"/>
        <v/>
      </c>
      <c r="BT29" s="322" t="str">
        <f>IF($H29="","",VLOOKUP(VALUE($H29),'Master Data'!B:I,8,FALSE))</f>
        <v/>
      </c>
    </row>
    <row r="30" spans="1:72" s="321" customFormat="1" x14ac:dyDescent="0.25">
      <c r="A30" s="296" t="str">
        <f>IF(D30="","",Cover!$D$8)</f>
        <v/>
      </c>
      <c r="B30" s="297" t="str">
        <f>IF(D30="","",IFERROR(VLOOKUP(G30,'Master Data'!$E$59:$J$146,6,FALSE),0))</f>
        <v/>
      </c>
      <c r="C30" s="435" t="str">
        <f>IF(D30="","",_xlfn.XLOOKUP(D30,'Activity Master Opex'!C:C,'Activity Master Opex'!B:B,0,0,1))</f>
        <v/>
      </c>
      <c r="D30" s="299"/>
      <c r="E30" s="298" t="str">
        <f>IF(D30="","",IFERROR(VLOOKUP(D30,'Activity Master Opex'!$C$4:$M$70,6,FALSE),0))</f>
        <v/>
      </c>
      <c r="F30" s="300" t="str">
        <f>IF($C30="","",VLOOKUP($C30,'Activity Master Opex'!$B:$I,3,0))</f>
        <v/>
      </c>
      <c r="G30" s="298" t="str">
        <f>IF($C30="","",VLOOKUP($F30,'Master Data'!$D$59:$E$146,2,FALSE))</f>
        <v/>
      </c>
      <c r="H30" s="300" t="str">
        <f>IF($C30="","",VLOOKUP($C30,'Activity Master Opex'!$B:$I,5,0))</f>
        <v/>
      </c>
      <c r="I30" s="296" t="str">
        <f>IFERROR(VLOOKUP(H30,'Master Data'!B:C,2,FALSE),"")</f>
        <v/>
      </c>
      <c r="J30" s="302">
        <v>0</v>
      </c>
      <c r="K30" s="302">
        <v>0</v>
      </c>
      <c r="L30" s="303"/>
      <c r="M30" s="303"/>
      <c r="N30" s="303"/>
      <c r="O30" s="303"/>
      <c r="P30" s="303"/>
      <c r="Q30" s="303"/>
      <c r="R30" s="303"/>
      <c r="S30" s="303"/>
      <c r="T30" s="303"/>
      <c r="U30" s="303"/>
      <c r="V30" s="303"/>
      <c r="W30" s="303"/>
      <c r="X30" s="304">
        <f t="shared" si="8"/>
        <v>0</v>
      </c>
      <c r="Y30" s="305"/>
      <c r="Z30" s="306"/>
      <c r="AA30" s="306"/>
      <c r="AB30" s="306"/>
      <c r="AC30" s="306"/>
      <c r="AD30" s="306"/>
      <c r="AE30" s="306"/>
      <c r="AF30" s="306"/>
      <c r="AG30" s="306"/>
      <c r="AH30" s="306"/>
      <c r="AI30" s="306"/>
      <c r="AJ30" s="306"/>
      <c r="AK30" s="306"/>
      <c r="AL30" s="307">
        <f t="shared" si="9"/>
        <v>0</v>
      </c>
      <c r="AM30" s="308"/>
      <c r="AN30" s="306"/>
      <c r="AO30" s="306"/>
      <c r="AP30" s="306"/>
      <c r="AQ30" s="306"/>
      <c r="AR30" s="306"/>
      <c r="AS30" s="306"/>
      <c r="AT30" s="306"/>
      <c r="AU30" s="306"/>
      <c r="AV30" s="306"/>
      <c r="AW30" s="306"/>
      <c r="AX30" s="306"/>
      <c r="AY30" s="306"/>
      <c r="AZ30" s="307">
        <f t="shared" si="10"/>
        <v>0</v>
      </c>
      <c r="BA30" s="309">
        <f t="shared" si="11"/>
        <v>0</v>
      </c>
      <c r="BB30" s="310"/>
      <c r="BC30" s="311">
        <f t="shared" si="12"/>
        <v>0</v>
      </c>
      <c r="BD30" s="304" t="str">
        <f>IF('Budget Opex Detail'!C30="","",IF(COUNTIFS('Activity Master Opex'!$B$4:$B$49,'Budget Opex Detail'!$C30)&gt;0,"","New Activity"))</f>
        <v/>
      </c>
      <c r="BE30" s="312"/>
      <c r="BF30" s="313"/>
      <c r="BG30" s="314"/>
      <c r="BH30" s="315"/>
      <c r="BI30" s="316"/>
      <c r="BJ30" s="316"/>
      <c r="BK30" s="317"/>
      <c r="BL30" s="318">
        <f t="shared" si="7"/>
        <v>0</v>
      </c>
      <c r="BM30" s="315"/>
      <c r="BN30" s="315"/>
      <c r="BO30" s="319">
        <f t="shared" si="13"/>
        <v>0</v>
      </c>
      <c r="BP30" s="320"/>
      <c r="BR30" s="322" t="str">
        <f>IF($H30="","",VLOOKUP($H30,'Master Data'!$B:$D,3,FALSE))</f>
        <v/>
      </c>
      <c r="BS30" s="322" t="str">
        <f t="shared" si="6"/>
        <v/>
      </c>
      <c r="BT30" s="322" t="str">
        <f>IF($H30="","",VLOOKUP(VALUE($H30),'Master Data'!B:I,8,FALSE))</f>
        <v/>
      </c>
    </row>
    <row r="31" spans="1:72" s="321" customFormat="1" x14ac:dyDescent="0.25">
      <c r="A31" s="296" t="str">
        <f>IF(D31="","",Cover!$D$8)</f>
        <v/>
      </c>
      <c r="B31" s="297" t="str">
        <f>IF(D31="","",IFERROR(VLOOKUP(G31,'Master Data'!$E$59:$J$146,6,FALSE),0))</f>
        <v/>
      </c>
      <c r="C31" s="435" t="str">
        <f>IF(D31="","",_xlfn.XLOOKUP(D31,'Activity Master Opex'!C:C,'Activity Master Opex'!B:B,0,0,1))</f>
        <v/>
      </c>
      <c r="D31" s="299"/>
      <c r="E31" s="298" t="str">
        <f>IF(D31="","",IFERROR(VLOOKUP(D31,'Activity Master Opex'!$C$4:$M$70,6,FALSE),0))</f>
        <v/>
      </c>
      <c r="F31" s="300" t="str">
        <f>IF($C31="","",VLOOKUP($C31,'Activity Master Opex'!$B:$I,3,0))</f>
        <v/>
      </c>
      <c r="G31" s="298" t="str">
        <f>IF($C31="","",VLOOKUP($F31,'Master Data'!$D$59:$E$146,2,FALSE))</f>
        <v/>
      </c>
      <c r="H31" s="300" t="str">
        <f>IF($C31="","",VLOOKUP($C31,'Activity Master Opex'!$B:$I,5,0))</f>
        <v/>
      </c>
      <c r="I31" s="296" t="str">
        <f>IFERROR(VLOOKUP(H31,'Master Data'!B:C,2,FALSE),"")</f>
        <v/>
      </c>
      <c r="J31" s="302">
        <v>0</v>
      </c>
      <c r="K31" s="302">
        <v>0</v>
      </c>
      <c r="L31" s="303"/>
      <c r="M31" s="303"/>
      <c r="N31" s="303"/>
      <c r="O31" s="303"/>
      <c r="P31" s="303"/>
      <c r="Q31" s="303"/>
      <c r="R31" s="303"/>
      <c r="S31" s="303"/>
      <c r="T31" s="303"/>
      <c r="U31" s="303"/>
      <c r="V31" s="303"/>
      <c r="W31" s="303"/>
      <c r="X31" s="304">
        <f t="shared" si="8"/>
        <v>0</v>
      </c>
      <c r="Y31" s="305"/>
      <c r="Z31" s="306"/>
      <c r="AA31" s="306"/>
      <c r="AB31" s="306"/>
      <c r="AC31" s="306"/>
      <c r="AD31" s="306"/>
      <c r="AE31" s="306"/>
      <c r="AF31" s="306"/>
      <c r="AG31" s="306"/>
      <c r="AH31" s="306"/>
      <c r="AI31" s="306"/>
      <c r="AJ31" s="306"/>
      <c r="AK31" s="306"/>
      <c r="AL31" s="307">
        <f t="shared" si="9"/>
        <v>0</v>
      </c>
      <c r="AM31" s="308"/>
      <c r="AN31" s="306"/>
      <c r="AO31" s="306"/>
      <c r="AP31" s="306"/>
      <c r="AQ31" s="306"/>
      <c r="AR31" s="306"/>
      <c r="AS31" s="306"/>
      <c r="AT31" s="306"/>
      <c r="AU31" s="306"/>
      <c r="AV31" s="306"/>
      <c r="AW31" s="306"/>
      <c r="AX31" s="306"/>
      <c r="AY31" s="306"/>
      <c r="AZ31" s="307">
        <f t="shared" si="10"/>
        <v>0</v>
      </c>
      <c r="BA31" s="309">
        <f t="shared" si="11"/>
        <v>0</v>
      </c>
      <c r="BB31" s="310"/>
      <c r="BC31" s="311">
        <f t="shared" si="12"/>
        <v>0</v>
      </c>
      <c r="BD31" s="304" t="str">
        <f>IF('Budget Opex Detail'!C31="","",IF(COUNTIFS('Activity Master Opex'!$B$4:$B$49,'Budget Opex Detail'!$C31)&gt;0,"","New Activity"))</f>
        <v/>
      </c>
      <c r="BE31" s="312"/>
      <c r="BF31" s="313"/>
      <c r="BG31" s="314"/>
      <c r="BH31" s="315"/>
      <c r="BI31" s="316"/>
      <c r="BJ31" s="316"/>
      <c r="BK31" s="317"/>
      <c r="BL31" s="318">
        <f t="shared" si="7"/>
        <v>0</v>
      </c>
      <c r="BM31" s="315"/>
      <c r="BN31" s="315"/>
      <c r="BO31" s="319">
        <f t="shared" si="13"/>
        <v>0</v>
      </c>
      <c r="BP31" s="320"/>
      <c r="BR31" s="322" t="str">
        <f>IF($H31="","",VLOOKUP($H31,'Master Data'!$B:$D,3,FALSE))</f>
        <v/>
      </c>
      <c r="BS31" s="322" t="str">
        <f t="shared" si="6"/>
        <v/>
      </c>
      <c r="BT31" s="322" t="str">
        <f>IF($H31="","",VLOOKUP(VALUE($H31),'Master Data'!B:I,8,FALSE))</f>
        <v/>
      </c>
    </row>
    <row r="32" spans="1:72" s="321" customFormat="1" x14ac:dyDescent="0.25">
      <c r="A32" s="296" t="str">
        <f>IF(D32="","",Cover!$D$8)</f>
        <v/>
      </c>
      <c r="B32" s="297" t="str">
        <f>IF(D32="","",IFERROR(VLOOKUP(G32,'Master Data'!$E$59:$J$146,6,FALSE),0))</f>
        <v/>
      </c>
      <c r="C32" s="435" t="str">
        <f>IF(D32="","",_xlfn.XLOOKUP(D32,'Activity Master Opex'!C:C,'Activity Master Opex'!B:B,0,0,1))</f>
        <v/>
      </c>
      <c r="D32" s="299"/>
      <c r="E32" s="298" t="str">
        <f>IF(D32="","",IFERROR(VLOOKUP(D32,'Activity Master Opex'!$C$4:$M$70,6,FALSE),0))</f>
        <v/>
      </c>
      <c r="F32" s="300" t="str">
        <f>IF($C32="","",VLOOKUP($C32,'Activity Master Opex'!$B:$I,3,0))</f>
        <v/>
      </c>
      <c r="G32" s="298" t="str">
        <f>IF($C32="","",VLOOKUP($F32,'Master Data'!$D$59:$E$146,2,FALSE))</f>
        <v/>
      </c>
      <c r="H32" s="300" t="str">
        <f>IF($C32="","",VLOOKUP($C32,'Activity Master Opex'!$B:$I,5,0))</f>
        <v/>
      </c>
      <c r="I32" s="296" t="str">
        <f>IFERROR(VLOOKUP(H32,'Master Data'!B:C,2,FALSE),"")</f>
        <v/>
      </c>
      <c r="J32" s="302">
        <v>0</v>
      </c>
      <c r="K32" s="302">
        <v>0</v>
      </c>
      <c r="L32" s="303"/>
      <c r="M32" s="303"/>
      <c r="N32" s="303"/>
      <c r="O32" s="303"/>
      <c r="P32" s="303"/>
      <c r="Q32" s="303"/>
      <c r="R32" s="303"/>
      <c r="S32" s="303"/>
      <c r="T32" s="303"/>
      <c r="U32" s="303"/>
      <c r="V32" s="303"/>
      <c r="W32" s="303"/>
      <c r="X32" s="304">
        <f t="shared" si="8"/>
        <v>0</v>
      </c>
      <c r="Y32" s="305"/>
      <c r="Z32" s="306"/>
      <c r="AA32" s="306"/>
      <c r="AB32" s="306"/>
      <c r="AC32" s="306"/>
      <c r="AD32" s="306"/>
      <c r="AE32" s="306"/>
      <c r="AF32" s="306"/>
      <c r="AG32" s="306"/>
      <c r="AH32" s="306"/>
      <c r="AI32" s="306"/>
      <c r="AJ32" s="306"/>
      <c r="AK32" s="306"/>
      <c r="AL32" s="307">
        <f t="shared" si="9"/>
        <v>0</v>
      </c>
      <c r="AM32" s="308"/>
      <c r="AN32" s="306"/>
      <c r="AO32" s="306"/>
      <c r="AP32" s="306"/>
      <c r="AQ32" s="306"/>
      <c r="AR32" s="306"/>
      <c r="AS32" s="306"/>
      <c r="AT32" s="306"/>
      <c r="AU32" s="306"/>
      <c r="AV32" s="306"/>
      <c r="AW32" s="306"/>
      <c r="AX32" s="306"/>
      <c r="AY32" s="306"/>
      <c r="AZ32" s="307">
        <f t="shared" si="10"/>
        <v>0</v>
      </c>
      <c r="BA32" s="309">
        <f t="shared" si="11"/>
        <v>0</v>
      </c>
      <c r="BB32" s="310"/>
      <c r="BC32" s="311">
        <f t="shared" si="12"/>
        <v>0</v>
      </c>
      <c r="BD32" s="304" t="str">
        <f>IF('Budget Opex Detail'!C32="","",IF(COUNTIFS('Activity Master Opex'!$B$4:$B$49,'Budget Opex Detail'!$C32)&gt;0,"","New Activity"))</f>
        <v/>
      </c>
      <c r="BE32" s="312"/>
      <c r="BF32" s="313"/>
      <c r="BG32" s="314"/>
      <c r="BH32" s="315"/>
      <c r="BI32" s="316"/>
      <c r="BJ32" s="316"/>
      <c r="BK32" s="317"/>
      <c r="BL32" s="318">
        <f t="shared" si="7"/>
        <v>0</v>
      </c>
      <c r="BM32" s="315"/>
      <c r="BN32" s="315"/>
      <c r="BO32" s="319">
        <f t="shared" si="13"/>
        <v>0</v>
      </c>
      <c r="BP32" s="320"/>
      <c r="BR32" s="322" t="str">
        <f>IF($H32="","",VLOOKUP($H32,'Master Data'!$B:$D,3,FALSE))</f>
        <v/>
      </c>
      <c r="BS32" s="322" t="str">
        <f t="shared" si="6"/>
        <v/>
      </c>
      <c r="BT32" s="322" t="str">
        <f>IF($H32="","",VLOOKUP(VALUE($H32),'Master Data'!B:I,8,FALSE))</f>
        <v/>
      </c>
    </row>
    <row r="33" spans="1:72" s="321" customFormat="1" x14ac:dyDescent="0.25">
      <c r="A33" s="296" t="str">
        <f>IF(D33="","",Cover!$D$8)</f>
        <v/>
      </c>
      <c r="B33" s="297" t="str">
        <f>IF(D33="","",IFERROR(VLOOKUP(G33,'Master Data'!$E$59:$J$146,6,FALSE),0))</f>
        <v/>
      </c>
      <c r="C33" s="435" t="str">
        <f>IF(D33="","",_xlfn.XLOOKUP(D33,'Activity Master Opex'!C:C,'Activity Master Opex'!B:B,0,0,1))</f>
        <v/>
      </c>
      <c r="D33" s="299"/>
      <c r="E33" s="298" t="str">
        <f>IF(D33="","",IFERROR(VLOOKUP(D33,'Activity Master Opex'!$C$4:$M$70,6,FALSE),0))</f>
        <v/>
      </c>
      <c r="F33" s="300" t="str">
        <f>IF($C33="","",VLOOKUP($C33,'Activity Master Opex'!$B:$I,3,0))</f>
        <v/>
      </c>
      <c r="G33" s="298" t="str">
        <f>IF($C33="","",VLOOKUP($F33,'Master Data'!$D$59:$E$146,2,FALSE))</f>
        <v/>
      </c>
      <c r="H33" s="300" t="str">
        <f>IF($C33="","",VLOOKUP($C33,'Activity Master Opex'!$B:$I,5,0))</f>
        <v/>
      </c>
      <c r="I33" s="296" t="str">
        <f>IFERROR(VLOOKUP(H33,'Master Data'!B:C,2,FALSE),"")</f>
        <v/>
      </c>
      <c r="J33" s="302">
        <v>0</v>
      </c>
      <c r="K33" s="302">
        <v>0</v>
      </c>
      <c r="L33" s="303"/>
      <c r="M33" s="303"/>
      <c r="N33" s="303"/>
      <c r="O33" s="303"/>
      <c r="P33" s="303"/>
      <c r="Q33" s="303"/>
      <c r="R33" s="303"/>
      <c r="S33" s="303"/>
      <c r="T33" s="303"/>
      <c r="U33" s="303"/>
      <c r="V33" s="303"/>
      <c r="W33" s="303"/>
      <c r="X33" s="304">
        <f t="shared" si="8"/>
        <v>0</v>
      </c>
      <c r="Y33" s="305"/>
      <c r="Z33" s="306"/>
      <c r="AA33" s="306"/>
      <c r="AB33" s="306"/>
      <c r="AC33" s="306"/>
      <c r="AD33" s="306"/>
      <c r="AE33" s="306"/>
      <c r="AF33" s="306"/>
      <c r="AG33" s="306"/>
      <c r="AH33" s="306"/>
      <c r="AI33" s="306"/>
      <c r="AJ33" s="306"/>
      <c r="AK33" s="306"/>
      <c r="AL33" s="307">
        <f t="shared" si="9"/>
        <v>0</v>
      </c>
      <c r="AM33" s="308"/>
      <c r="AN33" s="306"/>
      <c r="AO33" s="306"/>
      <c r="AP33" s="306"/>
      <c r="AQ33" s="306"/>
      <c r="AR33" s="306"/>
      <c r="AS33" s="306"/>
      <c r="AT33" s="306"/>
      <c r="AU33" s="306"/>
      <c r="AV33" s="306"/>
      <c r="AW33" s="306"/>
      <c r="AX33" s="306"/>
      <c r="AY33" s="306"/>
      <c r="AZ33" s="307">
        <f t="shared" si="10"/>
        <v>0</v>
      </c>
      <c r="BA33" s="309">
        <f t="shared" si="11"/>
        <v>0</v>
      </c>
      <c r="BB33" s="310"/>
      <c r="BC33" s="311">
        <f t="shared" si="12"/>
        <v>0</v>
      </c>
      <c r="BD33" s="304" t="str">
        <f>IF('Budget Opex Detail'!C33="","",IF(COUNTIFS('Activity Master Opex'!$B$4:$B$49,'Budget Opex Detail'!$C33)&gt;0,"","New Activity"))</f>
        <v/>
      </c>
      <c r="BE33" s="312"/>
      <c r="BF33" s="313"/>
      <c r="BG33" s="314"/>
      <c r="BH33" s="315"/>
      <c r="BI33" s="316"/>
      <c r="BJ33" s="316"/>
      <c r="BK33" s="317"/>
      <c r="BL33" s="318">
        <f t="shared" si="7"/>
        <v>0</v>
      </c>
      <c r="BM33" s="315"/>
      <c r="BN33" s="315"/>
      <c r="BO33" s="319">
        <f t="shared" si="13"/>
        <v>0</v>
      </c>
      <c r="BP33" s="320"/>
      <c r="BR33" s="322" t="str">
        <f>IF($H33="","",VLOOKUP($H33,'Master Data'!$B:$D,3,FALSE))</f>
        <v/>
      </c>
      <c r="BS33" s="322" t="str">
        <f t="shared" si="6"/>
        <v/>
      </c>
      <c r="BT33" s="322" t="str">
        <f>IF($H33="","",VLOOKUP(VALUE($H33),'Master Data'!B:I,8,FALSE))</f>
        <v/>
      </c>
    </row>
    <row r="34" spans="1:72" s="321" customFormat="1" x14ac:dyDescent="0.25">
      <c r="A34" s="296" t="str">
        <f>IF(D34="","",Cover!$D$8)</f>
        <v/>
      </c>
      <c r="B34" s="297" t="str">
        <f>IF(D34="","",IFERROR(VLOOKUP(G34,'Master Data'!$E$59:$J$146,6,FALSE),0))</f>
        <v/>
      </c>
      <c r="C34" s="435" t="str">
        <f>IF(D34="","",_xlfn.XLOOKUP(D34,'Activity Master Opex'!C:C,'Activity Master Opex'!B:B,0,0,1))</f>
        <v/>
      </c>
      <c r="D34" s="299"/>
      <c r="E34" s="298" t="str">
        <f>IF(D34="","",IFERROR(VLOOKUP(D34,'Activity Master Opex'!$C$4:$M$70,6,FALSE),0))</f>
        <v/>
      </c>
      <c r="F34" s="300" t="str">
        <f>IF($C34="","",VLOOKUP($C34,'Activity Master Opex'!$B:$I,3,0))</f>
        <v/>
      </c>
      <c r="G34" s="298" t="str">
        <f>IF($C34="","",VLOOKUP($F34,'Master Data'!$D$59:$E$146,2,FALSE))</f>
        <v/>
      </c>
      <c r="H34" s="300" t="str">
        <f>IF($C34="","",VLOOKUP($C34,'Activity Master Opex'!$B:$I,5,0))</f>
        <v/>
      </c>
      <c r="I34" s="296" t="str">
        <f>IFERROR(VLOOKUP(H34,'Master Data'!B:C,2,FALSE),"")</f>
        <v/>
      </c>
      <c r="J34" s="302">
        <v>0</v>
      </c>
      <c r="K34" s="302">
        <v>0</v>
      </c>
      <c r="L34" s="303"/>
      <c r="M34" s="303"/>
      <c r="N34" s="303"/>
      <c r="O34" s="303"/>
      <c r="P34" s="303"/>
      <c r="Q34" s="303"/>
      <c r="R34" s="303"/>
      <c r="S34" s="303"/>
      <c r="T34" s="303"/>
      <c r="U34" s="303"/>
      <c r="V34" s="303"/>
      <c r="W34" s="303"/>
      <c r="X34" s="304">
        <f t="shared" si="8"/>
        <v>0</v>
      </c>
      <c r="Y34" s="305"/>
      <c r="Z34" s="306"/>
      <c r="AA34" s="306"/>
      <c r="AB34" s="306"/>
      <c r="AC34" s="306"/>
      <c r="AD34" s="306"/>
      <c r="AE34" s="306"/>
      <c r="AF34" s="306"/>
      <c r="AG34" s="306"/>
      <c r="AH34" s="306"/>
      <c r="AI34" s="306"/>
      <c r="AJ34" s="306"/>
      <c r="AK34" s="306"/>
      <c r="AL34" s="307">
        <f t="shared" si="9"/>
        <v>0</v>
      </c>
      <c r="AM34" s="308"/>
      <c r="AN34" s="306"/>
      <c r="AO34" s="306"/>
      <c r="AP34" s="306"/>
      <c r="AQ34" s="306"/>
      <c r="AR34" s="306"/>
      <c r="AS34" s="306"/>
      <c r="AT34" s="306"/>
      <c r="AU34" s="306"/>
      <c r="AV34" s="306"/>
      <c r="AW34" s="306"/>
      <c r="AX34" s="306"/>
      <c r="AY34" s="306"/>
      <c r="AZ34" s="307">
        <f t="shared" si="10"/>
        <v>0</v>
      </c>
      <c r="BA34" s="309">
        <f t="shared" si="11"/>
        <v>0</v>
      </c>
      <c r="BB34" s="310"/>
      <c r="BC34" s="311">
        <f t="shared" si="12"/>
        <v>0</v>
      </c>
      <c r="BD34" s="304" t="str">
        <f>IF('Budget Opex Detail'!C34="","",IF(COUNTIFS('Activity Master Opex'!$B$4:$B$49,'Budget Opex Detail'!$C34)&gt;0,"","New Activity"))</f>
        <v/>
      </c>
      <c r="BE34" s="312"/>
      <c r="BF34" s="313"/>
      <c r="BG34" s="314"/>
      <c r="BH34" s="315"/>
      <c r="BI34" s="316"/>
      <c r="BJ34" s="316"/>
      <c r="BK34" s="317"/>
      <c r="BL34" s="318">
        <f t="shared" si="7"/>
        <v>0</v>
      </c>
      <c r="BM34" s="315"/>
      <c r="BN34" s="315"/>
      <c r="BO34" s="319">
        <f t="shared" si="13"/>
        <v>0</v>
      </c>
      <c r="BP34" s="320"/>
      <c r="BR34" s="322" t="str">
        <f>IF($H34="","",VLOOKUP($H34,'Master Data'!$B:$D,3,FALSE))</f>
        <v/>
      </c>
      <c r="BS34" s="322" t="str">
        <f t="shared" si="6"/>
        <v/>
      </c>
      <c r="BT34" s="322" t="str">
        <f>IF($H34="","",VLOOKUP(VALUE($H34),'Master Data'!B:I,8,FALSE))</f>
        <v/>
      </c>
    </row>
    <row r="35" spans="1:72" s="321" customFormat="1" x14ac:dyDescent="0.25">
      <c r="A35" s="296" t="str">
        <f>IF(D35="","",Cover!$D$8)</f>
        <v/>
      </c>
      <c r="B35" s="297" t="str">
        <f>IF(D35="","",IFERROR(VLOOKUP(G35,'Master Data'!$E$59:$J$146,6,FALSE),0))</f>
        <v/>
      </c>
      <c r="C35" s="435" t="str">
        <f>IF(D35="","",_xlfn.XLOOKUP(D35,'Activity Master Opex'!C:C,'Activity Master Opex'!B:B,0,0,1))</f>
        <v/>
      </c>
      <c r="D35" s="299"/>
      <c r="E35" s="298" t="str">
        <f>IF(D35="","",IFERROR(VLOOKUP(D35,'Activity Master Opex'!$C$4:$M$70,6,FALSE),0))</f>
        <v/>
      </c>
      <c r="F35" s="300" t="str">
        <f>IF($C35="","",VLOOKUP($C35,'Activity Master Opex'!$B:$I,3,0))</f>
        <v/>
      </c>
      <c r="G35" s="298" t="str">
        <f>IF($C35="","",VLOOKUP($F35,'Master Data'!$D$59:$E$146,2,FALSE))</f>
        <v/>
      </c>
      <c r="H35" s="300" t="str">
        <f>IF($C35="","",VLOOKUP($C35,'Activity Master Opex'!$B:$I,5,0))</f>
        <v/>
      </c>
      <c r="I35" s="296" t="str">
        <f>IFERROR(VLOOKUP(H35,'Master Data'!B:C,2,FALSE),"")</f>
        <v/>
      </c>
      <c r="J35" s="302">
        <v>0</v>
      </c>
      <c r="K35" s="302">
        <v>0</v>
      </c>
      <c r="L35" s="303"/>
      <c r="M35" s="303"/>
      <c r="N35" s="303"/>
      <c r="O35" s="303"/>
      <c r="P35" s="303"/>
      <c r="Q35" s="303"/>
      <c r="R35" s="303"/>
      <c r="S35" s="303"/>
      <c r="T35" s="303"/>
      <c r="U35" s="303"/>
      <c r="V35" s="303"/>
      <c r="W35" s="303"/>
      <c r="X35" s="304">
        <f t="shared" si="8"/>
        <v>0</v>
      </c>
      <c r="Y35" s="305"/>
      <c r="Z35" s="306"/>
      <c r="AA35" s="306"/>
      <c r="AB35" s="306"/>
      <c r="AC35" s="306"/>
      <c r="AD35" s="306"/>
      <c r="AE35" s="306"/>
      <c r="AF35" s="306"/>
      <c r="AG35" s="306"/>
      <c r="AH35" s="306"/>
      <c r="AI35" s="306"/>
      <c r="AJ35" s="306"/>
      <c r="AK35" s="306"/>
      <c r="AL35" s="307">
        <f t="shared" si="9"/>
        <v>0</v>
      </c>
      <c r="AM35" s="308"/>
      <c r="AN35" s="306"/>
      <c r="AO35" s="306"/>
      <c r="AP35" s="306"/>
      <c r="AQ35" s="306"/>
      <c r="AR35" s="306"/>
      <c r="AS35" s="306"/>
      <c r="AT35" s="306"/>
      <c r="AU35" s="306"/>
      <c r="AV35" s="306"/>
      <c r="AW35" s="306"/>
      <c r="AX35" s="306"/>
      <c r="AY35" s="306"/>
      <c r="AZ35" s="307">
        <f t="shared" si="10"/>
        <v>0</v>
      </c>
      <c r="BA35" s="309">
        <f t="shared" si="11"/>
        <v>0</v>
      </c>
      <c r="BB35" s="310"/>
      <c r="BC35" s="311">
        <f t="shared" si="12"/>
        <v>0</v>
      </c>
      <c r="BD35" s="304" t="str">
        <f>IF('Budget Opex Detail'!C35="","",IF(COUNTIFS('Activity Master Opex'!$B$4:$B$49,'Budget Opex Detail'!$C35)&gt;0,"","New Activity"))</f>
        <v/>
      </c>
      <c r="BE35" s="312"/>
      <c r="BF35" s="313"/>
      <c r="BG35" s="314"/>
      <c r="BH35" s="315"/>
      <c r="BI35" s="316"/>
      <c r="BJ35" s="316"/>
      <c r="BK35" s="317"/>
      <c r="BL35" s="318">
        <f t="shared" si="7"/>
        <v>0</v>
      </c>
      <c r="BM35" s="315"/>
      <c r="BN35" s="315"/>
      <c r="BO35" s="319">
        <f t="shared" si="13"/>
        <v>0</v>
      </c>
      <c r="BP35" s="320"/>
      <c r="BR35" s="322" t="str">
        <f>IF($H35="","",VLOOKUP($H35,'Master Data'!$B:$D,3,FALSE))</f>
        <v/>
      </c>
      <c r="BS35" s="322" t="str">
        <f t="shared" si="6"/>
        <v/>
      </c>
      <c r="BT35" s="322" t="str">
        <f>IF($H35="","",VLOOKUP(VALUE($H35),'Master Data'!B:I,8,FALSE))</f>
        <v/>
      </c>
    </row>
    <row r="36" spans="1:72" s="321" customFormat="1" x14ac:dyDescent="0.25">
      <c r="A36" s="296" t="str">
        <f>IF(D36="","",Cover!$D$8)</f>
        <v/>
      </c>
      <c r="B36" s="297" t="str">
        <f>IF(D36="","",IFERROR(VLOOKUP(G36,'Master Data'!$E$59:$J$146,6,FALSE),0))</f>
        <v/>
      </c>
      <c r="C36" s="435" t="str">
        <f>IF(D36="","",_xlfn.XLOOKUP(D36,'Activity Master Opex'!C:C,'Activity Master Opex'!B:B,0,0,1))</f>
        <v/>
      </c>
      <c r="D36" s="299"/>
      <c r="E36" s="298" t="str">
        <f>IF(D36="","",IFERROR(VLOOKUP(D36,'Activity Master Opex'!$C$4:$M$70,6,FALSE),0))</f>
        <v/>
      </c>
      <c r="F36" s="300" t="str">
        <f>IF($C36="","",VLOOKUP($C36,'Activity Master Opex'!$B:$I,3,0))</f>
        <v/>
      </c>
      <c r="G36" s="298" t="str">
        <f>IF($C36="","",VLOOKUP($F36,'Master Data'!$D$59:$E$146,2,FALSE))</f>
        <v/>
      </c>
      <c r="H36" s="300" t="str">
        <f>IF($C36="","",VLOOKUP($C36,'Activity Master Opex'!$B:$I,5,0))</f>
        <v/>
      </c>
      <c r="I36" s="296" t="str">
        <f>IFERROR(VLOOKUP(H36,'Master Data'!B:C,2,FALSE),"")</f>
        <v/>
      </c>
      <c r="J36" s="302">
        <v>0</v>
      </c>
      <c r="K36" s="302">
        <v>0</v>
      </c>
      <c r="L36" s="303"/>
      <c r="M36" s="303"/>
      <c r="N36" s="303"/>
      <c r="O36" s="303"/>
      <c r="P36" s="303"/>
      <c r="Q36" s="303"/>
      <c r="R36" s="303"/>
      <c r="S36" s="303"/>
      <c r="T36" s="303"/>
      <c r="U36" s="303"/>
      <c r="V36" s="303"/>
      <c r="W36" s="303"/>
      <c r="X36" s="304">
        <f t="shared" si="8"/>
        <v>0</v>
      </c>
      <c r="Y36" s="305"/>
      <c r="Z36" s="306"/>
      <c r="AA36" s="306"/>
      <c r="AB36" s="306"/>
      <c r="AC36" s="306"/>
      <c r="AD36" s="306"/>
      <c r="AE36" s="306"/>
      <c r="AF36" s="306"/>
      <c r="AG36" s="306"/>
      <c r="AH36" s="306"/>
      <c r="AI36" s="306"/>
      <c r="AJ36" s="306"/>
      <c r="AK36" s="306"/>
      <c r="AL36" s="307">
        <f t="shared" si="9"/>
        <v>0</v>
      </c>
      <c r="AM36" s="308"/>
      <c r="AN36" s="306"/>
      <c r="AO36" s="306"/>
      <c r="AP36" s="306"/>
      <c r="AQ36" s="306"/>
      <c r="AR36" s="306"/>
      <c r="AS36" s="306"/>
      <c r="AT36" s="306"/>
      <c r="AU36" s="306"/>
      <c r="AV36" s="306"/>
      <c r="AW36" s="306"/>
      <c r="AX36" s="306"/>
      <c r="AY36" s="306"/>
      <c r="AZ36" s="307">
        <f t="shared" si="10"/>
        <v>0</v>
      </c>
      <c r="BA36" s="309">
        <f t="shared" si="11"/>
        <v>0</v>
      </c>
      <c r="BB36" s="310"/>
      <c r="BC36" s="311">
        <f t="shared" si="12"/>
        <v>0</v>
      </c>
      <c r="BD36" s="304" t="str">
        <f>IF('Budget Opex Detail'!C36="","",IF(COUNTIFS('Activity Master Opex'!$B$4:$B$49,'Budget Opex Detail'!$C36)&gt;0,"","New Activity"))</f>
        <v/>
      </c>
      <c r="BE36" s="312"/>
      <c r="BF36" s="313"/>
      <c r="BG36" s="314"/>
      <c r="BH36" s="315"/>
      <c r="BI36" s="316"/>
      <c r="BJ36" s="316"/>
      <c r="BK36" s="317"/>
      <c r="BL36" s="318">
        <f t="shared" si="7"/>
        <v>0</v>
      </c>
      <c r="BM36" s="315"/>
      <c r="BN36" s="315"/>
      <c r="BO36" s="319">
        <f t="shared" si="13"/>
        <v>0</v>
      </c>
      <c r="BP36" s="320"/>
      <c r="BR36" s="322" t="str">
        <f>IF($H36="","",VLOOKUP($H36,'Master Data'!$B:$D,3,FALSE))</f>
        <v/>
      </c>
      <c r="BS36" s="322" t="str">
        <f t="shared" si="6"/>
        <v/>
      </c>
      <c r="BT36" s="322" t="str">
        <f>IF($H36="","",VLOOKUP(VALUE($H36),'Master Data'!B:I,8,FALSE))</f>
        <v/>
      </c>
    </row>
    <row r="37" spans="1:72" s="321" customFormat="1" x14ac:dyDescent="0.25">
      <c r="A37" s="296" t="str">
        <f>IF(D37="","",Cover!$D$8)</f>
        <v/>
      </c>
      <c r="B37" s="297" t="str">
        <f>IF(D37="","",IFERROR(VLOOKUP(G37,'Master Data'!$E$59:$J$146,6,FALSE),0))</f>
        <v/>
      </c>
      <c r="C37" s="435" t="str">
        <f>IF(D37="","",_xlfn.XLOOKUP(D37,'Activity Master Opex'!C:C,'Activity Master Opex'!B:B,0,0,1))</f>
        <v/>
      </c>
      <c r="D37" s="299"/>
      <c r="E37" s="298" t="str">
        <f>IF(D37="","",IFERROR(VLOOKUP(D37,'Activity Master Opex'!$C$4:$M$70,6,FALSE),0))</f>
        <v/>
      </c>
      <c r="F37" s="300" t="str">
        <f>IF($C37="","",VLOOKUP($C37,'Activity Master Opex'!$B:$I,3,0))</f>
        <v/>
      </c>
      <c r="G37" s="298" t="str">
        <f>IF($C37="","",VLOOKUP($F37,'Master Data'!$D$59:$E$146,2,FALSE))</f>
        <v/>
      </c>
      <c r="H37" s="300" t="str">
        <f>IF($C37="","",VLOOKUP($C37,'Activity Master Opex'!$B:$I,5,0))</f>
        <v/>
      </c>
      <c r="I37" s="296" t="str">
        <f>IFERROR(VLOOKUP(H37,'Master Data'!B:C,2,FALSE),"")</f>
        <v/>
      </c>
      <c r="J37" s="302">
        <v>0</v>
      </c>
      <c r="K37" s="302">
        <v>0</v>
      </c>
      <c r="L37" s="303"/>
      <c r="M37" s="303"/>
      <c r="N37" s="303"/>
      <c r="O37" s="303"/>
      <c r="P37" s="303"/>
      <c r="Q37" s="303"/>
      <c r="R37" s="303"/>
      <c r="S37" s="303"/>
      <c r="T37" s="303"/>
      <c r="U37" s="303"/>
      <c r="V37" s="303"/>
      <c r="W37" s="303"/>
      <c r="X37" s="304">
        <f t="shared" si="8"/>
        <v>0</v>
      </c>
      <c r="Y37" s="305"/>
      <c r="Z37" s="306"/>
      <c r="AA37" s="306"/>
      <c r="AB37" s="306"/>
      <c r="AC37" s="306"/>
      <c r="AD37" s="306"/>
      <c r="AE37" s="306"/>
      <c r="AF37" s="306"/>
      <c r="AG37" s="306"/>
      <c r="AH37" s="306"/>
      <c r="AI37" s="306"/>
      <c r="AJ37" s="306"/>
      <c r="AK37" s="306"/>
      <c r="AL37" s="307">
        <f t="shared" si="9"/>
        <v>0</v>
      </c>
      <c r="AM37" s="308"/>
      <c r="AN37" s="306"/>
      <c r="AO37" s="306"/>
      <c r="AP37" s="306"/>
      <c r="AQ37" s="306"/>
      <c r="AR37" s="306"/>
      <c r="AS37" s="306"/>
      <c r="AT37" s="306"/>
      <c r="AU37" s="306"/>
      <c r="AV37" s="306"/>
      <c r="AW37" s="306"/>
      <c r="AX37" s="306"/>
      <c r="AY37" s="306"/>
      <c r="AZ37" s="307">
        <f t="shared" si="10"/>
        <v>0</v>
      </c>
      <c r="BA37" s="309">
        <f t="shared" si="11"/>
        <v>0</v>
      </c>
      <c r="BB37" s="310"/>
      <c r="BC37" s="311">
        <f t="shared" si="12"/>
        <v>0</v>
      </c>
      <c r="BD37" s="304" t="str">
        <f>IF('Budget Opex Detail'!C37="","",IF(COUNTIFS('Activity Master Opex'!$B$4:$B$49,'Budget Opex Detail'!$C37)&gt;0,"","New Activity"))</f>
        <v/>
      </c>
      <c r="BE37" s="312"/>
      <c r="BF37" s="313"/>
      <c r="BG37" s="314"/>
      <c r="BH37" s="315"/>
      <c r="BI37" s="316"/>
      <c r="BJ37" s="316"/>
      <c r="BK37" s="317"/>
      <c r="BL37" s="318">
        <f t="shared" si="7"/>
        <v>0</v>
      </c>
      <c r="BM37" s="315"/>
      <c r="BN37" s="315"/>
      <c r="BO37" s="319">
        <f t="shared" si="13"/>
        <v>0</v>
      </c>
      <c r="BP37" s="320"/>
      <c r="BR37" s="322" t="str">
        <f>IF($H37="","",VLOOKUP($H37,'Master Data'!$B:$D,3,FALSE))</f>
        <v/>
      </c>
      <c r="BS37" s="322" t="str">
        <f t="shared" si="6"/>
        <v/>
      </c>
      <c r="BT37" s="322" t="str">
        <f>IF($H37="","",VLOOKUP(VALUE($H37),'Master Data'!B:I,8,FALSE))</f>
        <v/>
      </c>
    </row>
    <row r="38" spans="1:72" s="321" customFormat="1" x14ac:dyDescent="0.25">
      <c r="A38" s="296" t="str">
        <f>IF(D38="","",Cover!$D$8)</f>
        <v/>
      </c>
      <c r="B38" s="297" t="str">
        <f>IF(D38="","",IFERROR(VLOOKUP(G38,'Master Data'!$E$59:$J$146,6,FALSE),0))</f>
        <v/>
      </c>
      <c r="C38" s="435" t="str">
        <f>IF(D38="","",_xlfn.XLOOKUP(D38,'Activity Master Opex'!C:C,'Activity Master Opex'!B:B,0,0,1))</f>
        <v/>
      </c>
      <c r="D38" s="299"/>
      <c r="E38" s="298" t="str">
        <f>IF(D38="","",IFERROR(VLOOKUP(D38,'Activity Master Opex'!$C$4:$M$70,6,FALSE),0))</f>
        <v/>
      </c>
      <c r="F38" s="300" t="str">
        <f>IF($C38="","",VLOOKUP($C38,'Activity Master Opex'!$B:$I,3,0))</f>
        <v/>
      </c>
      <c r="G38" s="298" t="str">
        <f>IF($C38="","",VLOOKUP($F38,'Master Data'!$D$59:$E$146,2,FALSE))</f>
        <v/>
      </c>
      <c r="H38" s="300" t="str">
        <f>IF($C38="","",VLOOKUP($C38,'Activity Master Opex'!$B:$I,5,0))</f>
        <v/>
      </c>
      <c r="I38" s="296" t="str">
        <f>IFERROR(VLOOKUP(H38,'Master Data'!B:C,2,FALSE),"")</f>
        <v/>
      </c>
      <c r="J38" s="302">
        <v>0</v>
      </c>
      <c r="K38" s="302">
        <v>0</v>
      </c>
      <c r="L38" s="303"/>
      <c r="M38" s="303"/>
      <c r="N38" s="303"/>
      <c r="O38" s="303"/>
      <c r="P38" s="303"/>
      <c r="Q38" s="303"/>
      <c r="R38" s="303"/>
      <c r="S38" s="303"/>
      <c r="T38" s="303"/>
      <c r="U38" s="303"/>
      <c r="V38" s="303"/>
      <c r="W38" s="303"/>
      <c r="X38" s="304">
        <f t="shared" si="8"/>
        <v>0</v>
      </c>
      <c r="Y38" s="305"/>
      <c r="Z38" s="306"/>
      <c r="AA38" s="306"/>
      <c r="AB38" s="306"/>
      <c r="AC38" s="306"/>
      <c r="AD38" s="306"/>
      <c r="AE38" s="306"/>
      <c r="AF38" s="306"/>
      <c r="AG38" s="306"/>
      <c r="AH38" s="306"/>
      <c r="AI38" s="306"/>
      <c r="AJ38" s="306"/>
      <c r="AK38" s="306"/>
      <c r="AL38" s="307">
        <f t="shared" si="9"/>
        <v>0</v>
      </c>
      <c r="AM38" s="308"/>
      <c r="AN38" s="306"/>
      <c r="AO38" s="306"/>
      <c r="AP38" s="306"/>
      <c r="AQ38" s="306"/>
      <c r="AR38" s="306"/>
      <c r="AS38" s="306"/>
      <c r="AT38" s="306"/>
      <c r="AU38" s="306"/>
      <c r="AV38" s="306"/>
      <c r="AW38" s="306"/>
      <c r="AX38" s="306"/>
      <c r="AY38" s="306"/>
      <c r="AZ38" s="307">
        <f t="shared" si="10"/>
        <v>0</v>
      </c>
      <c r="BA38" s="309">
        <f t="shared" si="11"/>
        <v>0</v>
      </c>
      <c r="BB38" s="310"/>
      <c r="BC38" s="311">
        <f t="shared" si="12"/>
        <v>0</v>
      </c>
      <c r="BD38" s="304" t="str">
        <f>IF('Budget Opex Detail'!C38="","",IF(COUNTIFS('Activity Master Opex'!$B$4:$B$49,'Budget Opex Detail'!$C38)&gt;0,"","New Activity"))</f>
        <v/>
      </c>
      <c r="BE38" s="312"/>
      <c r="BF38" s="313"/>
      <c r="BG38" s="314"/>
      <c r="BH38" s="315"/>
      <c r="BI38" s="316"/>
      <c r="BJ38" s="316"/>
      <c r="BK38" s="317"/>
      <c r="BL38" s="318">
        <f t="shared" si="7"/>
        <v>0</v>
      </c>
      <c r="BM38" s="315"/>
      <c r="BN38" s="315"/>
      <c r="BO38" s="319">
        <f t="shared" si="13"/>
        <v>0</v>
      </c>
      <c r="BP38" s="320"/>
      <c r="BR38" s="322" t="str">
        <f>IF($H38="","",VLOOKUP(LEFT($H38,3),Reference!$B:$I,6,0))</f>
        <v/>
      </c>
      <c r="BS38" s="322" t="str">
        <f t="shared" si="6"/>
        <v/>
      </c>
      <c r="BT38" s="322" t="str">
        <f>IF($H38="","",VLOOKUP(VALUE($H38),'Master Data'!B:I,8,FALSE))</f>
        <v/>
      </c>
    </row>
    <row r="39" spans="1:72" s="321" customFormat="1" x14ac:dyDescent="0.25">
      <c r="A39" s="296" t="str">
        <f>IF(D39="","",Cover!$D$8)</f>
        <v/>
      </c>
      <c r="B39" s="297" t="str">
        <f>IF(D39="","",IFERROR(VLOOKUP(G39,'Master Data'!$E$59:$J$146,6,FALSE),0))</f>
        <v/>
      </c>
      <c r="C39" s="435" t="str">
        <f>IF(D39="","",_xlfn.XLOOKUP(D39,'Activity Master Opex'!C:C,'Activity Master Opex'!B:B,0,0,1))</f>
        <v/>
      </c>
      <c r="D39" s="299"/>
      <c r="E39" s="298" t="str">
        <f>IF(D39="","",IFERROR(VLOOKUP(D39,'Activity Master Opex'!$C$4:$M$70,6,FALSE),0))</f>
        <v/>
      </c>
      <c r="F39" s="300" t="str">
        <f>IF($C39="","",VLOOKUP($C39,'Activity Master Opex'!$B:$I,3,0))</f>
        <v/>
      </c>
      <c r="G39" s="298" t="str">
        <f>IF($C39="","",VLOOKUP($F39,'Master Data'!$D$59:$E$146,2,FALSE))</f>
        <v/>
      </c>
      <c r="H39" s="300" t="str">
        <f>IF($C39="","",VLOOKUP($C39,'Activity Master Opex'!$B:$I,5,0))</f>
        <v/>
      </c>
      <c r="I39" s="296" t="str">
        <f>IFERROR(VLOOKUP(H39,'Master Data'!B:C,2,FALSE),"")</f>
        <v/>
      </c>
      <c r="J39" s="302">
        <v>0</v>
      </c>
      <c r="K39" s="302">
        <v>0</v>
      </c>
      <c r="L39" s="303"/>
      <c r="M39" s="303"/>
      <c r="N39" s="303"/>
      <c r="O39" s="303"/>
      <c r="P39" s="303"/>
      <c r="Q39" s="303"/>
      <c r="R39" s="303"/>
      <c r="S39" s="303"/>
      <c r="T39" s="303"/>
      <c r="U39" s="303"/>
      <c r="V39" s="303"/>
      <c r="W39" s="303"/>
      <c r="X39" s="304">
        <f t="shared" si="8"/>
        <v>0</v>
      </c>
      <c r="Y39" s="305"/>
      <c r="Z39" s="306"/>
      <c r="AA39" s="306"/>
      <c r="AB39" s="306"/>
      <c r="AC39" s="306"/>
      <c r="AD39" s="306"/>
      <c r="AE39" s="306"/>
      <c r="AF39" s="306"/>
      <c r="AG39" s="306"/>
      <c r="AH39" s="306"/>
      <c r="AI39" s="306"/>
      <c r="AJ39" s="306"/>
      <c r="AK39" s="306"/>
      <c r="AL39" s="307">
        <f t="shared" si="9"/>
        <v>0</v>
      </c>
      <c r="AM39" s="308"/>
      <c r="AN39" s="306"/>
      <c r="AO39" s="306"/>
      <c r="AP39" s="306"/>
      <c r="AQ39" s="306"/>
      <c r="AR39" s="306"/>
      <c r="AS39" s="306"/>
      <c r="AT39" s="306"/>
      <c r="AU39" s="306"/>
      <c r="AV39" s="306"/>
      <c r="AW39" s="306"/>
      <c r="AX39" s="306"/>
      <c r="AY39" s="306"/>
      <c r="AZ39" s="307">
        <f t="shared" si="10"/>
        <v>0</v>
      </c>
      <c r="BA39" s="309">
        <f t="shared" si="11"/>
        <v>0</v>
      </c>
      <c r="BB39" s="310"/>
      <c r="BC39" s="311">
        <f t="shared" si="12"/>
        <v>0</v>
      </c>
      <c r="BD39" s="304" t="str">
        <f>IF('Budget Opex Detail'!C39="","",IF(COUNTIFS('Activity Master Opex'!$B$4:$B$49,'Budget Opex Detail'!$C39)&gt;0,"","New Activity"))</f>
        <v/>
      </c>
      <c r="BE39" s="312"/>
      <c r="BF39" s="313"/>
      <c r="BG39" s="314"/>
      <c r="BH39" s="315"/>
      <c r="BI39" s="316"/>
      <c r="BJ39" s="316"/>
      <c r="BK39" s="317"/>
      <c r="BL39" s="318">
        <f t="shared" si="7"/>
        <v>0</v>
      </c>
      <c r="BM39" s="315"/>
      <c r="BN39" s="315"/>
      <c r="BO39" s="319">
        <f t="shared" si="13"/>
        <v>0</v>
      </c>
      <c r="BP39" s="320"/>
      <c r="BR39" s="322" t="str">
        <f>IF($H39="","",VLOOKUP(LEFT($H39,3),Reference!$B:$I,6,0))</f>
        <v/>
      </c>
      <c r="BS39" s="322" t="str">
        <f t="shared" si="6"/>
        <v/>
      </c>
      <c r="BT39" s="322" t="str">
        <f>IF($H39="","",VLOOKUP(VALUE($H39),'Master Data'!B:I,8,FALSE))</f>
        <v/>
      </c>
    </row>
    <row r="40" spans="1:72" s="321" customFormat="1" x14ac:dyDescent="0.25">
      <c r="A40" s="296" t="str">
        <f>IF(D40="","",Cover!$D$8)</f>
        <v/>
      </c>
      <c r="B40" s="297" t="str">
        <f>IF(D40="","",IFERROR(VLOOKUP(G40,'Master Data'!$E$59:$J$146,6,FALSE),0))</f>
        <v/>
      </c>
      <c r="C40" s="435" t="str">
        <f>IF(D40="","",_xlfn.XLOOKUP(D40,'Activity Master Opex'!C:C,'Activity Master Opex'!B:B,0,0,1))</f>
        <v/>
      </c>
      <c r="D40" s="299"/>
      <c r="E40" s="298" t="str">
        <f>IF(D40="","",IFERROR(VLOOKUP(D40,'Activity Master Opex'!$C$4:$M$70,6,FALSE),0))</f>
        <v/>
      </c>
      <c r="F40" s="300" t="str">
        <f>IF($C40="","",VLOOKUP($C40,'Activity Master Opex'!$B:$I,3,0))</f>
        <v/>
      </c>
      <c r="G40" s="298" t="str">
        <f>IF($C40="","",VLOOKUP($F40,'Master Data'!$D$59:$E$146,2,FALSE))</f>
        <v/>
      </c>
      <c r="H40" s="300" t="str">
        <f>IF($C40="","",VLOOKUP($C40,'Activity Master Opex'!$B:$I,5,0))</f>
        <v/>
      </c>
      <c r="I40" s="296" t="str">
        <f>IFERROR(VLOOKUP(H40,'Master Data'!B:C,2,FALSE),"")</f>
        <v/>
      </c>
      <c r="J40" s="302">
        <v>0</v>
      </c>
      <c r="K40" s="302">
        <v>0</v>
      </c>
      <c r="L40" s="303"/>
      <c r="M40" s="303"/>
      <c r="N40" s="303"/>
      <c r="O40" s="303"/>
      <c r="P40" s="303"/>
      <c r="Q40" s="303"/>
      <c r="R40" s="303"/>
      <c r="S40" s="303"/>
      <c r="T40" s="303"/>
      <c r="U40" s="303"/>
      <c r="V40" s="303"/>
      <c r="W40" s="303"/>
      <c r="X40" s="304">
        <f t="shared" si="8"/>
        <v>0</v>
      </c>
      <c r="Y40" s="305"/>
      <c r="Z40" s="306"/>
      <c r="AA40" s="306"/>
      <c r="AB40" s="306"/>
      <c r="AC40" s="306"/>
      <c r="AD40" s="306"/>
      <c r="AE40" s="306"/>
      <c r="AF40" s="306"/>
      <c r="AG40" s="306"/>
      <c r="AH40" s="306"/>
      <c r="AI40" s="306"/>
      <c r="AJ40" s="306"/>
      <c r="AK40" s="306"/>
      <c r="AL40" s="307">
        <f t="shared" si="9"/>
        <v>0</v>
      </c>
      <c r="AM40" s="308"/>
      <c r="AN40" s="306"/>
      <c r="AO40" s="306"/>
      <c r="AP40" s="306"/>
      <c r="AQ40" s="306"/>
      <c r="AR40" s="306"/>
      <c r="AS40" s="306"/>
      <c r="AT40" s="306"/>
      <c r="AU40" s="306"/>
      <c r="AV40" s="306"/>
      <c r="AW40" s="306"/>
      <c r="AX40" s="306"/>
      <c r="AY40" s="306"/>
      <c r="AZ40" s="307">
        <f t="shared" si="10"/>
        <v>0</v>
      </c>
      <c r="BA40" s="309">
        <f t="shared" si="11"/>
        <v>0</v>
      </c>
      <c r="BB40" s="310"/>
      <c r="BC40" s="311">
        <f t="shared" si="12"/>
        <v>0</v>
      </c>
      <c r="BD40" s="304" t="str">
        <f>IF('Budget Opex Detail'!C40="","",IF(COUNTIFS('Activity Master Opex'!$B$4:$B$49,'Budget Opex Detail'!$C40)&gt;0,"","New Activity"))</f>
        <v/>
      </c>
      <c r="BE40" s="312"/>
      <c r="BF40" s="313"/>
      <c r="BG40" s="314"/>
      <c r="BH40" s="315"/>
      <c r="BI40" s="316"/>
      <c r="BJ40" s="316"/>
      <c r="BK40" s="317"/>
      <c r="BL40" s="318">
        <f t="shared" si="7"/>
        <v>0</v>
      </c>
      <c r="BM40" s="315"/>
      <c r="BN40" s="315"/>
      <c r="BO40" s="319">
        <f t="shared" si="13"/>
        <v>0</v>
      </c>
      <c r="BP40" s="320"/>
      <c r="BR40" s="322" t="str">
        <f>IF($H40="","",VLOOKUP(LEFT($H40,3),Reference!$B:$I,6,0))</f>
        <v/>
      </c>
      <c r="BS40" s="322" t="str">
        <f t="shared" si="6"/>
        <v/>
      </c>
      <c r="BT40" s="322" t="str">
        <f>IF($H40="","",VLOOKUP(VALUE($H40),'Master Data'!B:I,8,FALSE))</f>
        <v/>
      </c>
    </row>
    <row r="41" spans="1:72" s="321" customFormat="1" x14ac:dyDescent="0.25">
      <c r="A41" s="296" t="str">
        <f>IF(D41="","",Cover!$D$8)</f>
        <v/>
      </c>
      <c r="B41" s="297" t="str">
        <f>IF(D41="","",IFERROR(VLOOKUP(G41,'Master Data'!$E$59:$J$146,6,FALSE),0))</f>
        <v/>
      </c>
      <c r="C41" s="435" t="str">
        <f>IF(D41="","",_xlfn.XLOOKUP(D41,'Activity Master Opex'!C:C,'Activity Master Opex'!B:B,0,0,1))</f>
        <v/>
      </c>
      <c r="D41" s="299"/>
      <c r="E41" s="298" t="str">
        <f>IF(D41="","",IFERROR(VLOOKUP(D41,'Activity Master Opex'!$C$4:$M$70,6,FALSE),0))</f>
        <v/>
      </c>
      <c r="F41" s="300" t="str">
        <f>IF($C41="","",VLOOKUP($C41,'Activity Master Opex'!$B:$I,3,0))</f>
        <v/>
      </c>
      <c r="G41" s="298" t="str">
        <f>IF($C41="","",VLOOKUP($F41,'Master Data'!$D$59:$E$146,2,FALSE))</f>
        <v/>
      </c>
      <c r="H41" s="300" t="str">
        <f>IF($C41="","",VLOOKUP($C41,'Activity Master Opex'!$B:$I,5,0))</f>
        <v/>
      </c>
      <c r="I41" s="296" t="str">
        <f>IFERROR(VLOOKUP(H41,'Master Data'!B:C,2,FALSE),"")</f>
        <v/>
      </c>
      <c r="J41" s="302">
        <v>0</v>
      </c>
      <c r="K41" s="302">
        <v>0</v>
      </c>
      <c r="L41" s="303"/>
      <c r="M41" s="303"/>
      <c r="N41" s="303"/>
      <c r="O41" s="303"/>
      <c r="P41" s="303"/>
      <c r="Q41" s="303"/>
      <c r="R41" s="303"/>
      <c r="S41" s="303"/>
      <c r="T41" s="303"/>
      <c r="U41" s="303"/>
      <c r="V41" s="303"/>
      <c r="W41" s="303"/>
      <c r="X41" s="304">
        <f t="shared" si="8"/>
        <v>0</v>
      </c>
      <c r="Y41" s="305"/>
      <c r="Z41" s="306"/>
      <c r="AA41" s="306"/>
      <c r="AB41" s="306"/>
      <c r="AC41" s="306"/>
      <c r="AD41" s="306"/>
      <c r="AE41" s="306"/>
      <c r="AF41" s="306"/>
      <c r="AG41" s="306"/>
      <c r="AH41" s="306"/>
      <c r="AI41" s="306"/>
      <c r="AJ41" s="306"/>
      <c r="AK41" s="306"/>
      <c r="AL41" s="307">
        <f t="shared" si="9"/>
        <v>0</v>
      </c>
      <c r="AM41" s="308"/>
      <c r="AN41" s="306"/>
      <c r="AO41" s="306"/>
      <c r="AP41" s="306"/>
      <c r="AQ41" s="306"/>
      <c r="AR41" s="306"/>
      <c r="AS41" s="306"/>
      <c r="AT41" s="306"/>
      <c r="AU41" s="306"/>
      <c r="AV41" s="306"/>
      <c r="AW41" s="306"/>
      <c r="AX41" s="306"/>
      <c r="AY41" s="306"/>
      <c r="AZ41" s="307">
        <f t="shared" si="10"/>
        <v>0</v>
      </c>
      <c r="BA41" s="309">
        <f t="shared" si="11"/>
        <v>0</v>
      </c>
      <c r="BB41" s="310"/>
      <c r="BC41" s="311">
        <f t="shared" si="12"/>
        <v>0</v>
      </c>
      <c r="BD41" s="304" t="str">
        <f>IF('Budget Opex Detail'!C41="","",IF(COUNTIFS('Activity Master Opex'!$B$4:$B$49,'Budget Opex Detail'!$C41)&gt;0,"","New Activity"))</f>
        <v/>
      </c>
      <c r="BE41" s="312"/>
      <c r="BF41" s="313"/>
      <c r="BG41" s="314"/>
      <c r="BH41" s="315"/>
      <c r="BI41" s="316"/>
      <c r="BJ41" s="316"/>
      <c r="BK41" s="317"/>
      <c r="BL41" s="318">
        <f t="shared" si="7"/>
        <v>0</v>
      </c>
      <c r="BM41" s="315"/>
      <c r="BN41" s="315"/>
      <c r="BO41" s="319">
        <f t="shared" si="13"/>
        <v>0</v>
      </c>
      <c r="BP41" s="320"/>
      <c r="BR41" s="322" t="str">
        <f>IF($H41="","",VLOOKUP(LEFT($H41,3),Reference!$B:$I,6,0))</f>
        <v/>
      </c>
      <c r="BS41" s="322" t="str">
        <f t="shared" si="6"/>
        <v/>
      </c>
      <c r="BT41" s="322" t="str">
        <f>IF($H41="","",VLOOKUP(VALUE($H41),'Master Data'!B:I,8,FALSE))</f>
        <v/>
      </c>
    </row>
  </sheetData>
  <sheetProtection formatColumns="0" formatRows="0" sort="0" autoFilter="0" pivotTables="0"/>
  <autoFilter ref="A3:AR21" xr:uid="{00000000-0009-0000-0000-000003000000}"/>
  <dataValidations count="4">
    <dataValidation type="list" allowBlank="1" showInputMessage="1" showErrorMessage="1" sqref="BH4:BH41" xr:uid="{00000000-0002-0000-0300-000000000000}">
      <formula1>"Essentials, Moderate, Not Essentials"</formula1>
    </dataValidation>
    <dataValidation type="list" allowBlank="1" showInputMessage="1" showErrorMessage="1" sqref="BE4:BE41" xr:uid="{00000000-0002-0000-0300-000001000000}">
      <formula1>"Monthly Recurring, Periodically (Quarterly/Yearly) Recurring, One Off, Conditional"</formula1>
    </dataValidation>
    <dataValidation type="custom" showInputMessage="1" showErrorMessage="1" error="Pastikan Ledger Number dan Cost Center sudah terisi" sqref="AN4:AY41 Z4:AK41" xr:uid="{77EF82AE-F7CE-41FE-A52C-DDE781718777}">
      <formula1>AND($A4&lt;&gt;"",$J4&lt;&gt;"")</formula1>
    </dataValidation>
    <dataValidation type="custom" showInputMessage="1" showErrorMessage="1" error="Pastikan Master Activity Number sudah terisi dan format isian adalah angka_x000a_" sqref="L4:W41" xr:uid="{00000000-0002-0000-0300-000003000000}">
      <formula1>AND(ISNUMBER(L4),$C4&lt;&gt;"")</formula1>
    </dataValidation>
  </dataValidations>
  <pageMargins left="0.7" right="0.7" top="0.75" bottom="0.75" header="0.3" footer="0.3"/>
  <pageSetup orientation="portrait" r:id="rId1"/>
  <ignoredErrors>
    <ignoredError sqref="E4:E21" unlockedFormula="1"/>
  </ignoredErrors>
  <legacyDrawing r:id="rId2"/>
  <extLst>
    <ext xmlns:x14="http://schemas.microsoft.com/office/spreadsheetml/2009/9/main" uri="{78C0D931-6437-407d-A8EE-F0AAD7539E65}">
      <x14:conditionalFormattings>
        <x14:conditionalFormatting xmlns:xm="http://schemas.microsoft.com/office/excel/2006/main">
          <x14:cfRule type="iconSet" priority="7" id="{F2BB861E-42D4-42CE-A28E-3A7118988E61}">
            <x14:iconSet iconSet="3Triangles">
              <x14:cfvo type="percent">
                <xm:f>0</xm:f>
              </x14:cfvo>
              <x14:cfvo type="num">
                <xm:f>0</xm:f>
              </x14:cfvo>
              <x14:cfvo type="num" gte="0">
                <xm:f>0</xm:f>
              </x14:cfvo>
            </x14:iconSet>
          </x14:cfRule>
          <xm:sqref>BA4:BA41</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2CD11C85-3AF4-4073-AE08-150143AB5965}">
          <x14:formula1>
            <xm:f>'Activity Master Opex'!$C:$C</xm:f>
          </x14:formula1>
          <xm:sqref>D4:D41</xm:sqref>
        </x14:dataValidation>
        <x14:dataValidation type="list" allowBlank="1" showInputMessage="1" showErrorMessage="1" xr:uid="{2FCA2929-5D9C-4270-BA79-6967578C99A6}">
          <x14:formula1>
            <xm:f>'Master Data'!$C$365:$C$367</xm:f>
          </x14:formula1>
          <xm:sqref>BG4:BG41</xm:sqref>
        </x14:dataValidation>
        <x14:dataValidation type="list" allowBlank="1" showInputMessage="1" showErrorMessage="1" xr:uid="{58A39C05-F1B4-4A9D-AEA0-9F80955CA7FE}">
          <x14:formula1>
            <xm:f>'Master Data'!$B$372:$B$373</xm:f>
          </x14:formula1>
          <xm:sqref>BJ4:BJ41</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5" tint="0.39997558519241921"/>
  </sheetPr>
  <dimension ref="A1:M84"/>
  <sheetViews>
    <sheetView showGridLines="0" zoomScale="70" zoomScaleNormal="70" workbookViewId="0">
      <selection activeCell="B5" sqref="B5"/>
    </sheetView>
  </sheetViews>
  <sheetFormatPr defaultColWidth="9.140625" defaultRowHeight="15" x14ac:dyDescent="0.25"/>
  <cols>
    <col min="1" max="1" width="4.140625" style="167" customWidth="1"/>
    <col min="2" max="2" width="30.140625" style="167" bestFit="1" customWidth="1"/>
    <col min="3" max="3" width="38.28515625" style="167" bestFit="1" customWidth="1"/>
    <col min="4" max="4" width="11.28515625" style="167" bestFit="1" customWidth="1"/>
    <col min="5" max="5" width="31.85546875" style="167" bestFit="1" customWidth="1"/>
    <col min="6" max="6" width="14.7109375" style="167" customWidth="1"/>
    <col min="7" max="7" width="56.28515625" style="167" customWidth="1"/>
    <col min="8" max="8" width="79.7109375" style="168" customWidth="1"/>
    <col min="9" max="9" width="14.7109375" style="167" customWidth="1"/>
    <col min="10" max="12" width="9.140625" style="167"/>
    <col min="13" max="13" width="8.7109375" style="247" customWidth="1"/>
    <col min="14" max="16384" width="9.140625" style="167"/>
  </cols>
  <sheetData>
    <row r="1" spans="1:13" x14ac:dyDescent="0.25">
      <c r="A1" s="245"/>
      <c r="F1" s="246" t="s">
        <v>1492</v>
      </c>
    </row>
    <row r="2" spans="1:13" x14ac:dyDescent="0.25">
      <c r="B2" s="475" t="s">
        <v>645</v>
      </c>
      <c r="C2" s="476"/>
      <c r="D2" s="476"/>
      <c r="E2" s="476"/>
      <c r="F2" s="476"/>
      <c r="G2" s="476"/>
      <c r="H2" s="476"/>
    </row>
    <row r="3" spans="1:13" s="248" customFormat="1" x14ac:dyDescent="0.25">
      <c r="B3" s="249" t="s">
        <v>1520</v>
      </c>
      <c r="C3" s="250" t="s">
        <v>643</v>
      </c>
      <c r="D3" s="250" t="s">
        <v>48</v>
      </c>
      <c r="E3" s="250" t="s">
        <v>641</v>
      </c>
      <c r="F3" s="250" t="s">
        <v>642</v>
      </c>
      <c r="G3" s="250" t="s">
        <v>642</v>
      </c>
      <c r="H3" s="251" t="s">
        <v>451</v>
      </c>
      <c r="I3" s="252" t="s">
        <v>2620</v>
      </c>
      <c r="M3" s="253"/>
    </row>
    <row r="4" spans="1:13" s="248" customFormat="1" x14ac:dyDescent="0.25">
      <c r="B4" s="254" t="s">
        <v>1876</v>
      </c>
      <c r="C4" s="255" t="s">
        <v>1877</v>
      </c>
      <c r="D4" s="255" t="s">
        <v>270</v>
      </c>
      <c r="E4" s="255" t="s">
        <v>389</v>
      </c>
      <c r="F4" s="256">
        <v>62000040</v>
      </c>
      <c r="G4" s="255" t="str">
        <f>VLOOKUP(F4,'Master Data'!$B$233:$C$335,2,0)</f>
        <v>Ent. Exp - Others Entertainment</v>
      </c>
      <c r="H4" s="257" t="s">
        <v>2671</v>
      </c>
      <c r="I4" s="258">
        <f>IFERROR(VLOOKUP(F4,'Master Data'!B:B,1,FALSE),0)</f>
        <v>62000040</v>
      </c>
      <c r="M4" s="253"/>
    </row>
    <row r="5" spans="1:13" s="248" customFormat="1" x14ac:dyDescent="0.25">
      <c r="B5" s="254" t="s">
        <v>1878</v>
      </c>
      <c r="C5" s="255" t="s">
        <v>1879</v>
      </c>
      <c r="D5" s="255" t="s">
        <v>270</v>
      </c>
      <c r="E5" s="255" t="s">
        <v>389</v>
      </c>
      <c r="F5" s="256">
        <v>62300010</v>
      </c>
      <c r="G5" s="255" t="str">
        <f>VLOOKUP(F5,'Master Data'!$B$233:$C$335,2,0)</f>
        <v>Meeting Expenses</v>
      </c>
      <c r="H5" s="259" t="s">
        <v>2672</v>
      </c>
      <c r="I5" s="258">
        <f>IFERROR(VLOOKUP(F5,'Master Data'!B:B,1,FALSE),0)</f>
        <v>62300010</v>
      </c>
      <c r="M5" s="253"/>
    </row>
    <row r="6" spans="1:13" s="248" customFormat="1" x14ac:dyDescent="0.25">
      <c r="B6" s="254" t="s">
        <v>1880</v>
      </c>
      <c r="C6" s="255" t="s">
        <v>1965</v>
      </c>
      <c r="D6" s="255" t="s">
        <v>270</v>
      </c>
      <c r="E6" s="255" t="s">
        <v>389</v>
      </c>
      <c r="F6" s="256">
        <v>63900010</v>
      </c>
      <c r="G6" s="255" t="str">
        <f>VLOOKUP(F6,'Master Data'!$B$233:$C$335,2,0)</f>
        <v>Miscellaneous Expenses</v>
      </c>
      <c r="H6" s="260" t="s">
        <v>2673</v>
      </c>
      <c r="I6" s="258">
        <f>IFERROR(VLOOKUP(F6,'Master Data'!B:B,1,FALSE),0)</f>
        <v>63900010</v>
      </c>
      <c r="M6" s="253"/>
    </row>
    <row r="7" spans="1:13" s="248" customFormat="1" x14ac:dyDescent="0.25">
      <c r="B7" s="254" t="s">
        <v>1881</v>
      </c>
      <c r="C7" s="255" t="s">
        <v>1882</v>
      </c>
      <c r="D7" s="255" t="s">
        <v>270</v>
      </c>
      <c r="E7" s="255" t="s">
        <v>389</v>
      </c>
      <c r="F7" s="256">
        <v>62600030</v>
      </c>
      <c r="G7" s="255" t="str">
        <f>VLOOKUP(F7,'Master Data'!$B$233:$C$335,2,0)</f>
        <v>Office Equipment Expenses</v>
      </c>
      <c r="H7" s="260" t="s">
        <v>2674</v>
      </c>
      <c r="I7" s="258">
        <f>IFERROR(VLOOKUP(F7,'Master Data'!B:B,1,FALSE),0)</f>
        <v>62600030</v>
      </c>
      <c r="M7" s="253"/>
    </row>
    <row r="8" spans="1:13" s="248" customFormat="1" x14ac:dyDescent="0.25">
      <c r="B8" s="254" t="s">
        <v>1883</v>
      </c>
      <c r="C8" s="255" t="s">
        <v>1884</v>
      </c>
      <c r="D8" s="255" t="s">
        <v>270</v>
      </c>
      <c r="E8" s="255" t="s">
        <v>389</v>
      </c>
      <c r="F8" s="256">
        <v>61900090</v>
      </c>
      <c r="G8" s="255" t="str">
        <f>VLOOKUP(F8,'Master Data'!$B$233:$C$335,2,0)</f>
        <v>PF - Other Professional Fees</v>
      </c>
      <c r="H8" s="260"/>
      <c r="I8" s="258">
        <f>IFERROR(VLOOKUP(F8,'Master Data'!B:B,1,FALSE),0)</f>
        <v>61900090</v>
      </c>
      <c r="M8" s="253"/>
    </row>
    <row r="9" spans="1:13" s="248" customFormat="1" x14ac:dyDescent="0.25">
      <c r="B9" s="254" t="s">
        <v>1885</v>
      </c>
      <c r="C9" s="255" t="s">
        <v>1886</v>
      </c>
      <c r="D9" s="255" t="s">
        <v>270</v>
      </c>
      <c r="E9" s="255" t="s">
        <v>389</v>
      </c>
      <c r="F9" s="256">
        <v>62200020</v>
      </c>
      <c r="G9" s="255" t="str">
        <f>VLOOKUP(F9,'Master Data'!$B$233:$C$335,2,0)</f>
        <v>Printing and Supplies Expenses</v>
      </c>
      <c r="H9" s="260" t="s">
        <v>2675</v>
      </c>
      <c r="I9" s="258">
        <f>IFERROR(VLOOKUP(F9,'Master Data'!B:B,1,FALSE),0)</f>
        <v>62200020</v>
      </c>
      <c r="M9" s="253"/>
    </row>
    <row r="10" spans="1:13" s="248" customFormat="1" x14ac:dyDescent="0.25">
      <c r="B10" s="254" t="s">
        <v>1887</v>
      </c>
      <c r="C10" s="255" t="s">
        <v>1888</v>
      </c>
      <c r="D10" s="255" t="s">
        <v>270</v>
      </c>
      <c r="E10" s="255" t="s">
        <v>389</v>
      </c>
      <c r="F10" s="256">
        <v>60800060</v>
      </c>
      <c r="G10" s="255" t="str">
        <f>VLOOKUP(F10,'Master Data'!$B$233:$C$335,2,0)</f>
        <v>RM Exp - Office and Other Equipment</v>
      </c>
      <c r="H10" s="260" t="s">
        <v>2676</v>
      </c>
      <c r="I10" s="258">
        <f>IFERROR(VLOOKUP(F10,'Master Data'!B:B,1,FALSE),0)</f>
        <v>60800060</v>
      </c>
      <c r="M10" s="253"/>
    </row>
    <row r="11" spans="1:13" s="248" customFormat="1" x14ac:dyDescent="0.25">
      <c r="B11" s="254" t="s">
        <v>1889</v>
      </c>
      <c r="C11" s="255" t="s">
        <v>1890</v>
      </c>
      <c r="D11" s="255" t="s">
        <v>270</v>
      </c>
      <c r="E11" s="255" t="s">
        <v>389</v>
      </c>
      <c r="F11" s="256">
        <v>60800040</v>
      </c>
      <c r="G11" s="255" t="str">
        <f>VLOOKUP(F11,'Master Data'!$B$233:$C$335,2,0)</f>
        <v>RM Exp - Vehicles</v>
      </c>
      <c r="H11" s="260"/>
      <c r="I11" s="258">
        <f>IFERROR(VLOOKUP(F11,'Master Data'!B:B,1,FALSE),0)</f>
        <v>60800040</v>
      </c>
      <c r="M11" s="253"/>
    </row>
    <row r="12" spans="1:13" s="248" customFormat="1" x14ac:dyDescent="0.25">
      <c r="B12" s="254" t="s">
        <v>1891</v>
      </c>
      <c r="C12" s="255" t="s">
        <v>1892</v>
      </c>
      <c r="D12" s="255" t="s">
        <v>270</v>
      </c>
      <c r="E12" s="255" t="s">
        <v>389</v>
      </c>
      <c r="F12" s="256">
        <v>60600050</v>
      </c>
      <c r="G12" s="255" t="str">
        <f>VLOOKUP(F12,'Master Data'!$B$233:$C$335,2,0)</f>
        <v>Utilities - Factory Sundries</v>
      </c>
      <c r="H12" s="260"/>
      <c r="I12" s="258">
        <f>IFERROR(VLOOKUP(F12,'Master Data'!B:B,1,FALSE),0)</f>
        <v>60600050</v>
      </c>
      <c r="M12" s="253"/>
    </row>
    <row r="13" spans="1:13" s="248" customFormat="1" x14ac:dyDescent="0.25">
      <c r="B13" s="254" t="s">
        <v>1893</v>
      </c>
      <c r="C13" s="255" t="s">
        <v>1894</v>
      </c>
      <c r="D13" s="255" t="s">
        <v>270</v>
      </c>
      <c r="E13" s="255" t="s">
        <v>389</v>
      </c>
      <c r="F13" s="256">
        <v>61700030</v>
      </c>
      <c r="G13" s="255" t="str">
        <f>VLOOKUP(F13,'Master Data'!$B$233:$C$335,2,0)</f>
        <v>RE - Rental Vehicle</v>
      </c>
      <c r="H13" s="260"/>
      <c r="I13" s="258">
        <f>IFERROR(VLOOKUP(F13,'Master Data'!B:B,1,FALSE),0)</f>
        <v>61700030</v>
      </c>
      <c r="M13" s="253"/>
    </row>
    <row r="14" spans="1:13" s="248" customFormat="1" x14ac:dyDescent="0.25">
      <c r="B14" s="254" t="s">
        <v>1927</v>
      </c>
      <c r="C14" s="255" t="s">
        <v>1925</v>
      </c>
      <c r="D14" s="255" t="s">
        <v>270</v>
      </c>
      <c r="E14" s="255" t="s">
        <v>389</v>
      </c>
      <c r="F14" s="256">
        <v>62900020</v>
      </c>
      <c r="G14" s="255" t="str">
        <f>VLOOKUP(F14,'Master Data'!$B$233:$C$335,2,0)</f>
        <v>Subscriptions and Periodicals</v>
      </c>
      <c r="H14" s="260"/>
      <c r="I14" s="258">
        <f>IFERROR(VLOOKUP(F14,'Master Data'!B:B,1,FALSE),0)</f>
        <v>62900020</v>
      </c>
      <c r="M14" s="253"/>
    </row>
    <row r="15" spans="1:13" s="248" customFormat="1" x14ac:dyDescent="0.25">
      <c r="B15" s="254" t="s">
        <v>1928</v>
      </c>
      <c r="C15" s="255" t="s">
        <v>1926</v>
      </c>
      <c r="D15" s="255" t="s">
        <v>270</v>
      </c>
      <c r="E15" s="255" t="s">
        <v>389</v>
      </c>
      <c r="F15" s="256">
        <v>62900020</v>
      </c>
      <c r="G15" s="255" t="str">
        <f>VLOOKUP(F15,'Master Data'!$B$233:$C$335,2,0)</f>
        <v>Subscriptions and Periodicals</v>
      </c>
      <c r="H15" s="260"/>
      <c r="I15" s="258">
        <f>IFERROR(VLOOKUP(F15,'Master Data'!B:B,1,FALSE),0)</f>
        <v>62900020</v>
      </c>
      <c r="M15" s="253"/>
    </row>
    <row r="16" spans="1:13" s="248" customFormat="1" x14ac:dyDescent="0.25">
      <c r="B16" s="254" t="s">
        <v>1923</v>
      </c>
      <c r="C16" s="255" t="s">
        <v>1924</v>
      </c>
      <c r="D16" s="255" t="s">
        <v>270</v>
      </c>
      <c r="E16" s="255" t="s">
        <v>389</v>
      </c>
      <c r="F16" s="256">
        <v>62300020</v>
      </c>
      <c r="G16" s="255" t="str">
        <f>VLOOKUP(F16,'Master Data'!$B$233:$C$335,2,0)</f>
        <v>Ceremony Expenses</v>
      </c>
      <c r="H16" s="260" t="s">
        <v>2677</v>
      </c>
      <c r="I16" s="258">
        <f>IFERROR(VLOOKUP(F16,'Master Data'!B:B,1,FALSE),0)</f>
        <v>62300020</v>
      </c>
      <c r="M16" s="253"/>
    </row>
    <row r="17" spans="2:13" s="248" customFormat="1" x14ac:dyDescent="0.25">
      <c r="B17" s="254" t="s">
        <v>1988</v>
      </c>
      <c r="C17" s="255" t="s">
        <v>1989</v>
      </c>
      <c r="D17" s="255" t="s">
        <v>270</v>
      </c>
      <c r="E17" s="255" t="s">
        <v>389</v>
      </c>
      <c r="F17" s="256">
        <v>61900090</v>
      </c>
      <c r="G17" s="255" t="str">
        <f>VLOOKUP(F17,'Master Data'!$B$233:$C$335,2,0)</f>
        <v>PF - Other Professional Fees</v>
      </c>
      <c r="H17" s="260"/>
      <c r="I17" s="258">
        <f>IFERROR(VLOOKUP(F17,'Master Data'!B:B,1,FALSE),0)</f>
        <v>61900090</v>
      </c>
      <c r="M17" s="253"/>
    </row>
    <row r="18" spans="2:13" s="248" customFormat="1" x14ac:dyDescent="0.25">
      <c r="B18" s="254" t="s">
        <v>1990</v>
      </c>
      <c r="C18" s="255" t="s">
        <v>1991</v>
      </c>
      <c r="D18" s="255" t="s">
        <v>270</v>
      </c>
      <c r="E18" s="255" t="s">
        <v>389</v>
      </c>
      <c r="F18" s="256">
        <v>62000020</v>
      </c>
      <c r="G18" s="255" t="str">
        <f>VLOOKUP(F18,'Master Data'!$B$233:$C$335,2,0)</f>
        <v>Ent. Exp - Donation and Social Contribution</v>
      </c>
      <c r="H18" s="260" t="s">
        <v>1991</v>
      </c>
      <c r="I18" s="258">
        <f>IFERROR(VLOOKUP(F18,'Master Data'!B:B,1,FALSE),0)</f>
        <v>62000020</v>
      </c>
      <c r="M18" s="253"/>
    </row>
    <row r="19" spans="2:13" s="248" customFormat="1" x14ac:dyDescent="0.25">
      <c r="B19" s="254" t="s">
        <v>1992</v>
      </c>
      <c r="C19" s="255" t="s">
        <v>1993</v>
      </c>
      <c r="D19" s="255" t="s">
        <v>270</v>
      </c>
      <c r="E19" s="255" t="s">
        <v>389</v>
      </c>
      <c r="F19" s="256">
        <v>62900020</v>
      </c>
      <c r="G19" s="255" t="str">
        <f>VLOOKUP(F19,'Master Data'!$B$233:$C$335,2,0)</f>
        <v>Subscriptions and Periodicals</v>
      </c>
      <c r="H19" s="260" t="s">
        <v>1993</v>
      </c>
      <c r="I19" s="258">
        <f>IFERROR(VLOOKUP(F19,'Master Data'!B:B,1,FALSE),0)</f>
        <v>62900020</v>
      </c>
      <c r="M19" s="253"/>
    </row>
    <row r="20" spans="2:13" s="248" customFormat="1" x14ac:dyDescent="0.25">
      <c r="B20" s="254" t="s">
        <v>1994</v>
      </c>
      <c r="C20" s="255" t="s">
        <v>1995</v>
      </c>
      <c r="D20" s="255" t="s">
        <v>270</v>
      </c>
      <c r="E20" s="255" t="s">
        <v>389</v>
      </c>
      <c r="F20" s="256">
        <v>62600030</v>
      </c>
      <c r="G20" s="255" t="str">
        <f>VLOOKUP(F20,'Master Data'!$B$233:$C$335,2,0)</f>
        <v>Office Equipment Expenses</v>
      </c>
      <c r="H20" s="260" t="s">
        <v>2680</v>
      </c>
      <c r="I20" s="258">
        <f>IFERROR(VLOOKUP(F20,'Master Data'!B:B,1,FALSE),0)</f>
        <v>62600030</v>
      </c>
      <c r="M20" s="253"/>
    </row>
    <row r="21" spans="2:13" s="248" customFormat="1" x14ac:dyDescent="0.25">
      <c r="B21" s="254" t="s">
        <v>1996</v>
      </c>
      <c r="C21" s="255" t="s">
        <v>1997</v>
      </c>
      <c r="D21" s="255" t="s">
        <v>270</v>
      </c>
      <c r="E21" s="255" t="s">
        <v>389</v>
      </c>
      <c r="F21" s="256">
        <v>62300020</v>
      </c>
      <c r="G21" s="255" t="str">
        <f>VLOOKUP(F21,'Master Data'!$B$233:$C$335,2,0)</f>
        <v>Ceremony Expenses</v>
      </c>
      <c r="H21" s="260" t="s">
        <v>2681</v>
      </c>
      <c r="I21" s="258">
        <f>IFERROR(VLOOKUP(F21,'Master Data'!B:B,1,FALSE),0)</f>
        <v>62300020</v>
      </c>
      <c r="M21" s="253"/>
    </row>
    <row r="22" spans="2:13" s="248" customFormat="1" x14ac:dyDescent="0.25">
      <c r="B22" s="254" t="s">
        <v>1998</v>
      </c>
      <c r="C22" s="255" t="s">
        <v>1999</v>
      </c>
      <c r="D22" s="255" t="s">
        <v>270</v>
      </c>
      <c r="E22" s="255" t="s">
        <v>389</v>
      </c>
      <c r="F22" s="256">
        <v>62300020</v>
      </c>
      <c r="G22" s="255" t="str">
        <f>VLOOKUP(F22,'Master Data'!$B$233:$C$335,2,0)</f>
        <v>Ceremony Expenses</v>
      </c>
      <c r="H22" s="260" t="s">
        <v>2681</v>
      </c>
      <c r="I22" s="258">
        <f>IFERROR(VLOOKUP(F22,'Master Data'!B:B,1,FALSE),0)</f>
        <v>62300020</v>
      </c>
      <c r="M22" s="253"/>
    </row>
    <row r="23" spans="2:13" s="248" customFormat="1" x14ac:dyDescent="0.25">
      <c r="B23" s="261" t="s">
        <v>1895</v>
      </c>
      <c r="C23" s="262" t="s">
        <v>1896</v>
      </c>
      <c r="D23" s="262" t="s">
        <v>309</v>
      </c>
      <c r="E23" s="262" t="s">
        <v>391</v>
      </c>
      <c r="F23" s="263">
        <v>61600070</v>
      </c>
      <c r="G23" s="255" t="str">
        <f>VLOOKUP(F23,'Master Data'!$B$233:$C$335,2,0)</f>
        <v>Ins. Exp. - Insurance Others</v>
      </c>
      <c r="H23" s="260"/>
      <c r="I23" s="258">
        <f>IFERROR(VLOOKUP(F23,'Master Data'!B:B,1,FALSE),0)</f>
        <v>61600070</v>
      </c>
      <c r="M23" s="253"/>
    </row>
    <row r="24" spans="2:13" s="248" customFormat="1" x14ac:dyDescent="0.25">
      <c r="B24" s="261" t="s">
        <v>1897</v>
      </c>
      <c r="C24" s="262" t="s">
        <v>1898</v>
      </c>
      <c r="D24" s="262" t="s">
        <v>309</v>
      </c>
      <c r="E24" s="262" t="s">
        <v>391</v>
      </c>
      <c r="F24" s="263">
        <v>61900090</v>
      </c>
      <c r="G24" s="255" t="str">
        <f>VLOOKUP(F24,'Master Data'!$B$233:$C$335,2,0)</f>
        <v>PF - Other Professional Fees</v>
      </c>
      <c r="H24" s="260" t="s">
        <v>2678</v>
      </c>
      <c r="I24" s="258">
        <f>IFERROR(VLOOKUP(F24,'Master Data'!B:B,1,FALSE),0)</f>
        <v>61900090</v>
      </c>
      <c r="M24" s="253"/>
    </row>
    <row r="25" spans="2:13" s="248" customFormat="1" x14ac:dyDescent="0.25">
      <c r="B25" s="261" t="s">
        <v>1899</v>
      </c>
      <c r="C25" s="262" t="s">
        <v>1900</v>
      </c>
      <c r="D25" s="262" t="s">
        <v>309</v>
      </c>
      <c r="E25" s="262" t="s">
        <v>391</v>
      </c>
      <c r="F25" s="263">
        <v>61900090</v>
      </c>
      <c r="G25" s="255" t="str">
        <f>VLOOKUP(F25,'Master Data'!$B$233:$C$335,2,0)</f>
        <v>PF - Other Professional Fees</v>
      </c>
      <c r="H25" s="260"/>
      <c r="I25" s="258">
        <f>IFERROR(VLOOKUP(F25,'Master Data'!B:B,1,FALSE),0)</f>
        <v>61900090</v>
      </c>
      <c r="M25" s="253"/>
    </row>
    <row r="26" spans="2:13" s="248" customFormat="1" x14ac:dyDescent="0.25">
      <c r="B26" s="261" t="s">
        <v>1901</v>
      </c>
      <c r="C26" s="262" t="s">
        <v>1902</v>
      </c>
      <c r="D26" s="262" t="s">
        <v>309</v>
      </c>
      <c r="E26" s="262" t="s">
        <v>391</v>
      </c>
      <c r="F26" s="263">
        <v>61900090</v>
      </c>
      <c r="G26" s="255" t="str">
        <f>VLOOKUP(F26,'Master Data'!$B$233:$C$335,2,0)</f>
        <v>PF - Other Professional Fees</v>
      </c>
      <c r="H26" s="260"/>
      <c r="I26" s="258">
        <f>IFERROR(VLOOKUP(F26,'Master Data'!B:B,1,FALSE),0)</f>
        <v>61900090</v>
      </c>
      <c r="M26" s="253"/>
    </row>
    <row r="27" spans="2:13" s="248" customFormat="1" x14ac:dyDescent="0.25">
      <c r="B27" s="261" t="s">
        <v>1903</v>
      </c>
      <c r="C27" s="262" t="s">
        <v>1904</v>
      </c>
      <c r="D27" s="262" t="s">
        <v>309</v>
      </c>
      <c r="E27" s="262" t="s">
        <v>391</v>
      </c>
      <c r="F27" s="263">
        <v>61900090</v>
      </c>
      <c r="G27" s="255" t="str">
        <f>VLOOKUP(F27,'Master Data'!$B$233:$C$335,2,0)</f>
        <v>PF - Other Professional Fees</v>
      </c>
      <c r="H27" s="260"/>
      <c r="I27" s="258">
        <f>IFERROR(VLOOKUP(F27,'Master Data'!B:B,1,FALSE),0)</f>
        <v>61900090</v>
      </c>
      <c r="M27" s="253"/>
    </row>
    <row r="28" spans="2:13" s="248" customFormat="1" x14ac:dyDescent="0.25">
      <c r="B28" s="261" t="s">
        <v>1905</v>
      </c>
      <c r="C28" s="262" t="s">
        <v>1906</v>
      </c>
      <c r="D28" s="262" t="s">
        <v>309</v>
      </c>
      <c r="E28" s="262" t="s">
        <v>391</v>
      </c>
      <c r="F28" s="263">
        <v>62000040</v>
      </c>
      <c r="G28" s="255" t="str">
        <f>VLOOKUP(F28,'Master Data'!$B$233:$C$335,2,0)</f>
        <v>Ent. Exp - Others Entertainment</v>
      </c>
      <c r="H28" s="260"/>
      <c r="I28" s="258">
        <f>IFERROR(VLOOKUP(F28,'Master Data'!B:B,1,FALSE),0)</f>
        <v>62000040</v>
      </c>
      <c r="M28" s="253"/>
    </row>
    <row r="29" spans="2:13" s="248" customFormat="1" x14ac:dyDescent="0.25">
      <c r="B29" s="261" t="s">
        <v>1907</v>
      </c>
      <c r="C29" s="262" t="s">
        <v>1908</v>
      </c>
      <c r="D29" s="262" t="s">
        <v>309</v>
      </c>
      <c r="E29" s="262" t="s">
        <v>391</v>
      </c>
      <c r="F29" s="263">
        <v>62200020</v>
      </c>
      <c r="G29" s="255" t="str">
        <f>VLOOKUP(F29,'Master Data'!$B$233:$C$335,2,0)</f>
        <v>Printing and Supplies Expenses</v>
      </c>
      <c r="H29" s="260"/>
      <c r="I29" s="258">
        <f>IFERROR(VLOOKUP(F29,'Master Data'!B:B,1,FALSE),0)</f>
        <v>62200020</v>
      </c>
      <c r="M29" s="253"/>
    </row>
    <row r="30" spans="2:13" s="248" customFormat="1" x14ac:dyDescent="0.25">
      <c r="B30" s="261" t="s">
        <v>1909</v>
      </c>
      <c r="C30" s="262" t="s">
        <v>1886</v>
      </c>
      <c r="D30" s="262" t="s">
        <v>309</v>
      </c>
      <c r="E30" s="262" t="s">
        <v>391</v>
      </c>
      <c r="F30" s="263">
        <v>62200020</v>
      </c>
      <c r="G30" s="255" t="str">
        <f>VLOOKUP(F30,'Master Data'!$B$233:$C$335,2,0)</f>
        <v>Printing and Supplies Expenses</v>
      </c>
      <c r="H30" s="260"/>
      <c r="I30" s="258">
        <f>IFERROR(VLOOKUP(F30,'Master Data'!B:B,1,FALSE),0)</f>
        <v>62200020</v>
      </c>
      <c r="M30" s="253"/>
    </row>
    <row r="31" spans="2:13" s="248" customFormat="1" ht="30" x14ac:dyDescent="0.25">
      <c r="B31" s="261" t="s">
        <v>1910</v>
      </c>
      <c r="C31" s="262" t="s">
        <v>2000</v>
      </c>
      <c r="D31" s="262" t="s">
        <v>309</v>
      </c>
      <c r="E31" s="262" t="s">
        <v>391</v>
      </c>
      <c r="F31" s="263">
        <v>62400040</v>
      </c>
      <c r="G31" s="255" t="str">
        <f>VLOOKUP(F31,'Master Data'!$B$233:$C$335,2,0)</f>
        <v>Gen. Transp. Others</v>
      </c>
      <c r="H31" s="259" t="s">
        <v>2682</v>
      </c>
      <c r="I31" s="258">
        <f>IFERROR(VLOOKUP(F31,'Master Data'!B:B,1,FALSE),0)</f>
        <v>62400040</v>
      </c>
      <c r="M31" s="253"/>
    </row>
    <row r="32" spans="2:13" s="248" customFormat="1" x14ac:dyDescent="0.25">
      <c r="B32" s="261" t="s">
        <v>1911</v>
      </c>
      <c r="C32" s="262" t="s">
        <v>1912</v>
      </c>
      <c r="D32" s="262" t="s">
        <v>309</v>
      </c>
      <c r="E32" s="262" t="s">
        <v>391</v>
      </c>
      <c r="F32" s="263">
        <v>62500010</v>
      </c>
      <c r="G32" s="255" t="str">
        <f>VLOOKUP(F32,'Master Data'!$B$233:$C$335,2,0)</f>
        <v>Waste Removal Expenses</v>
      </c>
      <c r="H32" s="260"/>
      <c r="I32" s="258">
        <f>IFERROR(VLOOKUP(F32,'Master Data'!B:B,1,FALSE),0)</f>
        <v>62500010</v>
      </c>
      <c r="M32" s="253"/>
    </row>
    <row r="33" spans="2:13" s="248" customFormat="1" x14ac:dyDescent="0.25">
      <c r="B33" s="261" t="s">
        <v>1913</v>
      </c>
      <c r="C33" s="262" t="s">
        <v>1914</v>
      </c>
      <c r="D33" s="262" t="s">
        <v>309</v>
      </c>
      <c r="E33" s="262" t="s">
        <v>391</v>
      </c>
      <c r="F33" s="263">
        <v>62600030</v>
      </c>
      <c r="G33" s="255" t="str">
        <f>VLOOKUP(F33,'Master Data'!$B$233:$C$335,2,0)</f>
        <v>Office Equipment Expenses</v>
      </c>
      <c r="H33" s="260"/>
      <c r="I33" s="258">
        <f>IFERROR(VLOOKUP(F33,'Master Data'!B:B,1,FALSE),0)</f>
        <v>62600030</v>
      </c>
      <c r="M33" s="253"/>
    </row>
    <row r="34" spans="2:13" s="248" customFormat="1" x14ac:dyDescent="0.25">
      <c r="B34" s="261" t="s">
        <v>1915</v>
      </c>
      <c r="C34" s="262" t="s">
        <v>1916</v>
      </c>
      <c r="D34" s="262" t="s">
        <v>309</v>
      </c>
      <c r="E34" s="262" t="s">
        <v>391</v>
      </c>
      <c r="F34" s="263">
        <v>62600030</v>
      </c>
      <c r="G34" s="255" t="str">
        <f>VLOOKUP(F34,'Master Data'!$B$233:$C$335,2,0)</f>
        <v>Office Equipment Expenses</v>
      </c>
      <c r="H34" s="260" t="s">
        <v>2683</v>
      </c>
      <c r="I34" s="258">
        <f>IFERROR(VLOOKUP(F34,'Master Data'!B:B,1,FALSE),0)</f>
        <v>62600030</v>
      </c>
      <c r="M34" s="253"/>
    </row>
    <row r="35" spans="2:13" s="248" customFormat="1" x14ac:dyDescent="0.25">
      <c r="B35" s="261" t="s">
        <v>1917</v>
      </c>
      <c r="C35" s="262" t="s">
        <v>1918</v>
      </c>
      <c r="D35" s="262" t="s">
        <v>309</v>
      </c>
      <c r="E35" s="262" t="s">
        <v>391</v>
      </c>
      <c r="F35" s="263">
        <v>62600030</v>
      </c>
      <c r="G35" s="255" t="str">
        <f>VLOOKUP(F35,'Master Data'!$B$233:$C$335,2,0)</f>
        <v>Office Equipment Expenses</v>
      </c>
      <c r="H35" s="260"/>
      <c r="I35" s="258">
        <f>IFERROR(VLOOKUP(F35,'Master Data'!B:B,1,FALSE),0)</f>
        <v>62600030</v>
      </c>
      <c r="M35" s="253"/>
    </row>
    <row r="36" spans="2:13" s="248" customFormat="1" x14ac:dyDescent="0.25">
      <c r="B36" s="261" t="s">
        <v>2001</v>
      </c>
      <c r="C36" s="262" t="s">
        <v>2002</v>
      </c>
      <c r="D36" s="262" t="s">
        <v>309</v>
      </c>
      <c r="E36" s="262" t="s">
        <v>391</v>
      </c>
      <c r="F36" s="263">
        <v>62500010</v>
      </c>
      <c r="G36" s="255" t="str">
        <f>VLOOKUP(F36,'Master Data'!$B$233:$C$335,2,0)</f>
        <v>Waste Removal Expenses</v>
      </c>
      <c r="H36" s="260"/>
      <c r="I36" s="258">
        <f>IFERROR(VLOOKUP(F36,'Master Data'!B:B,1,FALSE),0)</f>
        <v>62500010</v>
      </c>
      <c r="M36" s="253"/>
    </row>
    <row r="37" spans="2:13" s="248" customFormat="1" x14ac:dyDescent="0.25">
      <c r="B37" s="261" t="s">
        <v>2003</v>
      </c>
      <c r="C37" s="262" t="s">
        <v>2004</v>
      </c>
      <c r="D37" s="262" t="s">
        <v>309</v>
      </c>
      <c r="E37" s="262" t="s">
        <v>391</v>
      </c>
      <c r="F37" s="263">
        <v>62500010</v>
      </c>
      <c r="G37" s="255" t="str">
        <f>VLOOKUP(F37,'Master Data'!$B$233:$C$335,2,0)</f>
        <v>Waste Removal Expenses</v>
      </c>
      <c r="H37" s="260"/>
      <c r="I37" s="258">
        <f>IFERROR(VLOOKUP(F37,'Master Data'!B:B,1,FALSE),0)</f>
        <v>62500010</v>
      </c>
      <c r="M37" s="253"/>
    </row>
    <row r="38" spans="2:13" s="248" customFormat="1" x14ac:dyDescent="0.25">
      <c r="B38" s="261" t="s">
        <v>2005</v>
      </c>
      <c r="C38" s="262" t="s">
        <v>2006</v>
      </c>
      <c r="D38" s="262" t="s">
        <v>309</v>
      </c>
      <c r="E38" s="262" t="s">
        <v>391</v>
      </c>
      <c r="F38" s="263">
        <v>62500010</v>
      </c>
      <c r="G38" s="255" t="str">
        <f>VLOOKUP(F38,'Master Data'!$B$233:$C$335,2,0)</f>
        <v>Waste Removal Expenses</v>
      </c>
      <c r="H38" s="260"/>
      <c r="I38" s="258">
        <f>IFERROR(VLOOKUP(F38,'Master Data'!B:B,1,FALSE),0)</f>
        <v>62500010</v>
      </c>
      <c r="M38" s="253"/>
    </row>
    <row r="39" spans="2:13" s="248" customFormat="1" x14ac:dyDescent="0.25">
      <c r="B39" s="261" t="s">
        <v>2007</v>
      </c>
      <c r="C39" s="262" t="s">
        <v>2008</v>
      </c>
      <c r="D39" s="262" t="s">
        <v>309</v>
      </c>
      <c r="E39" s="262" t="s">
        <v>391</v>
      </c>
      <c r="F39" s="263">
        <v>62500010</v>
      </c>
      <c r="G39" s="255" t="str">
        <f>VLOOKUP(F39,'Master Data'!$B$233:$C$335,2,0)</f>
        <v>Waste Removal Expenses</v>
      </c>
      <c r="H39" s="260"/>
      <c r="I39" s="258">
        <f>IFERROR(VLOOKUP(F39,'Master Data'!B:B,1,FALSE),0)</f>
        <v>62500010</v>
      </c>
      <c r="M39" s="253"/>
    </row>
    <row r="40" spans="2:13" s="248" customFormat="1" x14ac:dyDescent="0.25">
      <c r="B40" s="261" t="s">
        <v>2009</v>
      </c>
      <c r="C40" s="262" t="s">
        <v>2010</v>
      </c>
      <c r="D40" s="262" t="s">
        <v>309</v>
      </c>
      <c r="E40" s="262" t="s">
        <v>391</v>
      </c>
      <c r="F40" s="263">
        <v>62500010</v>
      </c>
      <c r="G40" s="255" t="str">
        <f>VLOOKUP(F40,'Master Data'!$B$233:$C$335,2,0)</f>
        <v>Waste Removal Expenses</v>
      </c>
      <c r="H40" s="260"/>
      <c r="I40" s="258">
        <f>IFERROR(VLOOKUP(F40,'Master Data'!B:B,1,FALSE),0)</f>
        <v>62500010</v>
      </c>
      <c r="M40" s="253"/>
    </row>
    <row r="41" spans="2:13" s="248" customFormat="1" x14ac:dyDescent="0.25">
      <c r="B41" s="261" t="s">
        <v>1919</v>
      </c>
      <c r="C41" s="262" t="s">
        <v>1920</v>
      </c>
      <c r="D41" s="262" t="s">
        <v>309</v>
      </c>
      <c r="E41" s="262" t="s">
        <v>391</v>
      </c>
      <c r="F41" s="263">
        <v>61900090</v>
      </c>
      <c r="G41" s="255" t="str">
        <f>VLOOKUP(F41,'Master Data'!$B$233:$C$335,2,0)</f>
        <v>PF - Other Professional Fees</v>
      </c>
      <c r="H41" s="260"/>
      <c r="I41" s="258">
        <f>IFERROR(VLOOKUP(F41,'Master Data'!B:B,1,FALSE),0)</f>
        <v>61900090</v>
      </c>
      <c r="M41" s="253"/>
    </row>
    <row r="42" spans="2:13" s="248" customFormat="1" x14ac:dyDescent="0.25">
      <c r="B42" s="261" t="s">
        <v>1921</v>
      </c>
      <c r="C42" s="262" t="s">
        <v>1922</v>
      </c>
      <c r="D42" s="262" t="s">
        <v>309</v>
      </c>
      <c r="E42" s="262" t="s">
        <v>391</v>
      </c>
      <c r="F42" s="263">
        <v>60600020</v>
      </c>
      <c r="G42" s="255" t="str">
        <f>VLOOKUP(F42,'Master Data'!$B$233:$C$335,2,0)</f>
        <v>Utilities - Water Expenses</v>
      </c>
      <c r="H42" s="260"/>
      <c r="I42" s="258">
        <f>IFERROR(VLOOKUP(F42,'Master Data'!B:B,1,FALSE),0)</f>
        <v>60600020</v>
      </c>
      <c r="M42" s="253"/>
    </row>
    <row r="43" spans="2:13" s="248" customFormat="1" x14ac:dyDescent="0.25">
      <c r="B43" s="261" t="s">
        <v>2011</v>
      </c>
      <c r="C43" s="262" t="s">
        <v>2012</v>
      </c>
      <c r="D43" s="262" t="s">
        <v>309</v>
      </c>
      <c r="E43" s="262" t="s">
        <v>391</v>
      </c>
      <c r="F43" s="263">
        <v>61900090</v>
      </c>
      <c r="G43" s="255" t="str">
        <f>VLOOKUP(F43,'Master Data'!$B$233:$C$335,2,0)</f>
        <v>PF - Other Professional Fees</v>
      </c>
      <c r="H43" s="260" t="s">
        <v>2679</v>
      </c>
      <c r="I43" s="258">
        <f>IFERROR(VLOOKUP(F43,'Master Data'!B:B,1,FALSE),0)</f>
        <v>61900090</v>
      </c>
      <c r="M43" s="253"/>
    </row>
    <row r="44" spans="2:13" s="248" customFormat="1" x14ac:dyDescent="0.25">
      <c r="B44" s="261" t="s">
        <v>2013</v>
      </c>
      <c r="C44" s="262" t="s">
        <v>2014</v>
      </c>
      <c r="D44" s="262" t="s">
        <v>309</v>
      </c>
      <c r="E44" s="262" t="s">
        <v>391</v>
      </c>
      <c r="F44" s="263">
        <v>61900090</v>
      </c>
      <c r="G44" s="255" t="str">
        <f>VLOOKUP(F44,'Master Data'!$B$233:$C$335,2,0)</f>
        <v>PF - Other Professional Fees</v>
      </c>
      <c r="H44" s="260" t="s">
        <v>2684</v>
      </c>
      <c r="I44" s="258">
        <f>IFERROR(VLOOKUP(F44,'Master Data'!B:B,1,FALSE),0)</f>
        <v>61900090</v>
      </c>
      <c r="M44" s="253"/>
    </row>
    <row r="45" spans="2:13" s="248" customFormat="1" x14ac:dyDescent="0.25">
      <c r="B45" s="261" t="s">
        <v>2015</v>
      </c>
      <c r="C45" s="262" t="s">
        <v>2016</v>
      </c>
      <c r="D45" s="262" t="s">
        <v>309</v>
      </c>
      <c r="E45" s="262" t="s">
        <v>391</v>
      </c>
      <c r="F45" s="263">
        <v>61900090</v>
      </c>
      <c r="G45" s="255" t="str">
        <f>VLOOKUP(F45,'Master Data'!$B$233:$C$335,2,0)</f>
        <v>PF - Other Professional Fees</v>
      </c>
      <c r="H45" s="260" t="s">
        <v>2685</v>
      </c>
      <c r="I45" s="258">
        <f>IFERROR(VLOOKUP(F45,'Master Data'!B:B,1,FALSE),0)</f>
        <v>61900090</v>
      </c>
      <c r="M45" s="253"/>
    </row>
    <row r="46" spans="2:13" s="248" customFormat="1" x14ac:dyDescent="0.25">
      <c r="B46" s="261"/>
      <c r="C46" s="262"/>
      <c r="D46" s="262"/>
      <c r="E46" s="262"/>
      <c r="F46" s="262"/>
      <c r="G46" s="255"/>
      <c r="H46" s="260"/>
      <c r="I46" s="258"/>
      <c r="M46" s="253"/>
    </row>
    <row r="47" spans="2:13" ht="15.75" thickBot="1" x14ac:dyDescent="0.3">
      <c r="B47" s="264"/>
      <c r="C47" s="265"/>
      <c r="D47" s="265"/>
      <c r="E47" s="265"/>
      <c r="F47" s="265"/>
      <c r="G47" s="265"/>
      <c r="H47" s="266"/>
      <c r="M47" s="253"/>
    </row>
    <row r="48" spans="2:13" ht="15.75" thickBot="1" x14ac:dyDescent="0.3">
      <c r="M48" s="253"/>
    </row>
    <row r="49" spans="2:13" ht="21" customHeight="1" x14ac:dyDescent="0.25">
      <c r="B49" s="470" t="s">
        <v>2017</v>
      </c>
      <c r="C49" s="471"/>
      <c r="D49" s="471"/>
      <c r="E49" s="471"/>
      <c r="F49" s="471"/>
      <c r="G49" s="471"/>
      <c r="H49" s="472"/>
      <c r="I49" s="473" t="s">
        <v>1537</v>
      </c>
      <c r="M49" s="253"/>
    </row>
    <row r="50" spans="2:13" ht="15.75" thickBot="1" x14ac:dyDescent="0.3">
      <c r="B50" s="267" t="s">
        <v>1520</v>
      </c>
      <c r="C50" s="268" t="s">
        <v>643</v>
      </c>
      <c r="D50" s="268" t="s">
        <v>48</v>
      </c>
      <c r="E50" s="268" t="s">
        <v>641</v>
      </c>
      <c r="F50" s="269" t="s">
        <v>642</v>
      </c>
      <c r="G50" s="270" t="s">
        <v>642</v>
      </c>
      <c r="H50" s="270" t="s">
        <v>451</v>
      </c>
      <c r="I50" s="474"/>
      <c r="M50" s="253"/>
    </row>
    <row r="51" spans="2:13" x14ac:dyDescent="0.25">
      <c r="B51" s="271"/>
      <c r="C51" s="272"/>
      <c r="D51" s="273">
        <f>IFERROR(VLOOKUP(E51,#REF!,8,FALSE),0)</f>
        <v>0</v>
      </c>
      <c r="E51" s="274"/>
      <c r="F51" s="275">
        <f>IFERROR(VLOOKUP(G51,#REF!,6,FALSE),0)</f>
        <v>0</v>
      </c>
      <c r="G51" s="276"/>
      <c r="H51" s="277"/>
      <c r="I51" s="278" t="str">
        <f t="shared" ref="I51:I56" si="0">IF(B51="","",IF(AND(RIGHT(D51,5)=LEFT(B51,5),MID(B51,6,1)="-",COUNTIFS(B:B,"*"&amp;RIGHT(B51,5))=1),"Benar","Salah"))</f>
        <v/>
      </c>
      <c r="M51" s="253"/>
    </row>
    <row r="52" spans="2:13" x14ac:dyDescent="0.25">
      <c r="B52" s="271"/>
      <c r="C52" s="198"/>
      <c r="D52" s="279">
        <f>IFERROR(VLOOKUP(E52,#REF!,8,FALSE),0)</f>
        <v>0</v>
      </c>
      <c r="F52" s="280">
        <f>IFERROR(VLOOKUP(G52,#REF!,6,FALSE),0)</f>
        <v>0</v>
      </c>
      <c r="G52" s="281"/>
      <c r="H52" s="282"/>
      <c r="I52" s="278" t="str">
        <f t="shared" si="0"/>
        <v/>
      </c>
      <c r="M52" s="253"/>
    </row>
    <row r="53" spans="2:13" x14ac:dyDescent="0.25">
      <c r="B53" s="271"/>
      <c r="C53" s="198"/>
      <c r="D53" s="279">
        <f>IFERROR(VLOOKUP(E53,#REF!,8,FALSE),0)</f>
        <v>0</v>
      </c>
      <c r="F53" s="280">
        <f>IFERROR(VLOOKUP(G53,#REF!,6,FALSE),0)</f>
        <v>0</v>
      </c>
      <c r="G53" s="281"/>
      <c r="H53" s="282"/>
      <c r="I53" s="278" t="str">
        <f t="shared" si="0"/>
        <v/>
      </c>
      <c r="M53" s="253"/>
    </row>
    <row r="54" spans="2:13" x14ac:dyDescent="0.25">
      <c r="B54" s="271"/>
      <c r="C54" s="198"/>
      <c r="D54" s="279">
        <f>IFERROR(VLOOKUP(E54,#REF!,8,FALSE),0)</f>
        <v>0</v>
      </c>
      <c r="F54" s="280">
        <f>IFERROR(VLOOKUP(G54,#REF!,6,FALSE),0)</f>
        <v>0</v>
      </c>
      <c r="G54" s="281"/>
      <c r="H54" s="282"/>
      <c r="I54" s="278" t="str">
        <f t="shared" si="0"/>
        <v/>
      </c>
      <c r="M54" s="253"/>
    </row>
    <row r="55" spans="2:13" x14ac:dyDescent="0.25">
      <c r="B55" s="271"/>
      <c r="C55" s="198"/>
      <c r="D55" s="279">
        <f>IFERROR(VLOOKUP(E55,#REF!,8,FALSE),0)</f>
        <v>0</v>
      </c>
      <c r="F55" s="280">
        <f>IFERROR(VLOOKUP(G55,#REF!,6,FALSE),0)</f>
        <v>0</v>
      </c>
      <c r="G55" s="281"/>
      <c r="H55" s="282"/>
      <c r="I55" s="278" t="str">
        <f t="shared" si="0"/>
        <v/>
      </c>
      <c r="M55" s="253"/>
    </row>
    <row r="56" spans="2:13" x14ac:dyDescent="0.25">
      <c r="B56" s="271"/>
      <c r="C56" s="198"/>
      <c r="D56" s="279">
        <f>IFERROR(VLOOKUP(E56,#REF!,8,FALSE),0)</f>
        <v>0</v>
      </c>
      <c r="F56" s="280">
        <f>IFERROR(VLOOKUP(G56,#REF!,6,FALSE),0)</f>
        <v>0</v>
      </c>
      <c r="G56" s="281"/>
      <c r="H56" s="282"/>
      <c r="I56" s="278" t="str">
        <f t="shared" si="0"/>
        <v/>
      </c>
      <c r="M56" s="253"/>
    </row>
    <row r="57" spans="2:13" x14ac:dyDescent="0.25">
      <c r="B57" s="271"/>
      <c r="C57" s="198"/>
      <c r="D57" s="279">
        <f>IFERROR(VLOOKUP(E57,#REF!,8,FALSE),0)</f>
        <v>0</v>
      </c>
      <c r="F57" s="280">
        <f>IFERROR(VLOOKUP(G57,#REF!,6,FALSE),0)</f>
        <v>0</v>
      </c>
      <c r="G57" s="281"/>
      <c r="H57" s="282"/>
      <c r="I57" s="278"/>
      <c r="M57" s="253"/>
    </row>
    <row r="58" spans="2:13" x14ac:dyDescent="0.25">
      <c r="B58" s="271"/>
      <c r="C58" s="198"/>
      <c r="D58" s="279">
        <f>IFERROR(VLOOKUP(E58,#REF!,8,FALSE),0)</f>
        <v>0</v>
      </c>
      <c r="F58" s="280">
        <f>IFERROR(VLOOKUP(G58,#REF!,6,FALSE),0)</f>
        <v>0</v>
      </c>
      <c r="G58" s="281"/>
      <c r="H58" s="282"/>
      <c r="I58" s="278" t="str">
        <f>IF(B58="","",IF(AND(RIGHT(D58,5)=LEFT(B58,5),MID(B58,6,1)="-",COUNTIFS(B:B,"*"&amp;RIGHT(B58,5))=1),"Benar","Salah"))</f>
        <v/>
      </c>
      <c r="M58" s="253"/>
    </row>
    <row r="59" spans="2:13" x14ac:dyDescent="0.25">
      <c r="B59" s="271"/>
      <c r="C59" s="198"/>
      <c r="D59" s="279">
        <f>IFERROR(VLOOKUP(E59,#REF!,8,FALSE),0)</f>
        <v>0</v>
      </c>
      <c r="F59" s="280">
        <f>IFERROR(VLOOKUP(G59,#REF!,6,FALSE),0)</f>
        <v>0</v>
      </c>
      <c r="G59" s="281"/>
      <c r="H59" s="282"/>
      <c r="I59" s="278"/>
      <c r="M59" s="253"/>
    </row>
    <row r="60" spans="2:13" ht="15.75" thickBot="1" x14ac:dyDescent="0.3">
      <c r="B60" s="283"/>
      <c r="C60" s="284"/>
      <c r="D60" s="285">
        <f>IFERROR(VLOOKUP(E60,#REF!,8,FALSE),0)</f>
        <v>0</v>
      </c>
      <c r="E60" s="286"/>
      <c r="F60" s="287">
        <f>IFERROR(VLOOKUP(G60,#REF!,6,FALSE),0)</f>
        <v>0</v>
      </c>
      <c r="G60" s="288"/>
      <c r="H60" s="289"/>
      <c r="I60" s="278" t="str">
        <f>IF(B60="","",IF(AND(RIGHT(D60,5)=LEFT(B60,5),MID(B60,6,1)="-",COUNTIFS(B:B,"*"&amp;RIGHT(B60,5))=1),"Benar","Salah"))</f>
        <v/>
      </c>
      <c r="M60" s="253"/>
    </row>
    <row r="61" spans="2:13" x14ac:dyDescent="0.25">
      <c r="I61" s="247"/>
      <c r="M61" s="253"/>
    </row>
    <row r="62" spans="2:13" ht="15.75" thickBot="1" x14ac:dyDescent="0.3">
      <c r="I62" s="247"/>
      <c r="M62" s="253"/>
    </row>
    <row r="63" spans="2:13" x14ac:dyDescent="0.25">
      <c r="B63" s="470" t="s">
        <v>2062</v>
      </c>
      <c r="C63" s="471"/>
      <c r="D63" s="471"/>
      <c r="E63" s="471"/>
      <c r="F63" s="471"/>
      <c r="G63" s="471"/>
      <c r="H63" s="472"/>
      <c r="I63" s="473" t="s">
        <v>1537</v>
      </c>
      <c r="M63" s="253"/>
    </row>
    <row r="64" spans="2:13" ht="15.75" thickBot="1" x14ac:dyDescent="0.3">
      <c r="B64" s="267" t="s">
        <v>1520</v>
      </c>
      <c r="C64" s="268" t="s">
        <v>643</v>
      </c>
      <c r="D64" s="268" t="s">
        <v>48</v>
      </c>
      <c r="E64" s="268" t="s">
        <v>641</v>
      </c>
      <c r="F64" s="269" t="s">
        <v>642</v>
      </c>
      <c r="G64" s="270" t="s">
        <v>642</v>
      </c>
      <c r="H64" s="270" t="s">
        <v>451</v>
      </c>
      <c r="I64" s="474"/>
      <c r="M64" s="253"/>
    </row>
    <row r="65" spans="2:13" x14ac:dyDescent="0.25">
      <c r="B65" s="271"/>
      <c r="C65" s="198"/>
      <c r="D65" s="279">
        <f>IFERROR(VLOOKUP(E65,#REF!,8,FALSE),0)</f>
        <v>0</v>
      </c>
      <c r="E65" s="274"/>
      <c r="F65" s="275">
        <f>IFERROR(VLOOKUP(G65,#REF!,6,FALSE),0)</f>
        <v>0</v>
      </c>
      <c r="G65" s="276"/>
      <c r="H65" s="282"/>
      <c r="I65" s="278" t="str">
        <f t="shared" ref="I65:I70" si="1">IF(B65="","",IF(AND(RIGHT(D65,5)=LEFT(B65,5),MID(B65,6,1)="-",COUNTIFS(B:B,"*"&amp;RIGHT(B65,5))=1),"Benar","Salah"))</f>
        <v/>
      </c>
      <c r="M65" s="253"/>
    </row>
    <row r="66" spans="2:13" x14ac:dyDescent="0.25">
      <c r="B66" s="271"/>
      <c r="C66" s="198"/>
      <c r="D66" s="279">
        <f>IFERROR(VLOOKUP(E66,#REF!,8,FALSE),0)</f>
        <v>0</v>
      </c>
      <c r="F66" s="280">
        <f>IFERROR(VLOOKUP(G66,#REF!,6,FALSE),0)</f>
        <v>0</v>
      </c>
      <c r="G66" s="281"/>
      <c r="H66" s="282"/>
      <c r="I66" s="278" t="str">
        <f t="shared" si="1"/>
        <v/>
      </c>
      <c r="M66" s="253"/>
    </row>
    <row r="67" spans="2:13" x14ac:dyDescent="0.25">
      <c r="B67" s="271"/>
      <c r="C67" s="198"/>
      <c r="D67" s="279">
        <f>IFERROR(VLOOKUP(E67,#REF!,8,FALSE),0)</f>
        <v>0</v>
      </c>
      <c r="F67" s="280">
        <f>IFERROR(VLOOKUP(G67,#REF!,6,FALSE),0)</f>
        <v>0</v>
      </c>
      <c r="G67" s="281"/>
      <c r="H67" s="282"/>
      <c r="I67" s="278" t="str">
        <f t="shared" si="1"/>
        <v/>
      </c>
      <c r="M67" s="253"/>
    </row>
    <row r="68" spans="2:13" x14ac:dyDescent="0.25">
      <c r="B68" s="271"/>
      <c r="C68" s="198"/>
      <c r="D68" s="279">
        <f>IFERROR(VLOOKUP(E68,#REF!,8,FALSE),0)</f>
        <v>0</v>
      </c>
      <c r="F68" s="280">
        <f>IFERROR(VLOOKUP(G68,#REF!,6,FALSE),0)</f>
        <v>0</v>
      </c>
      <c r="G68" s="281"/>
      <c r="H68" s="282"/>
      <c r="I68" s="278" t="str">
        <f t="shared" si="1"/>
        <v/>
      </c>
      <c r="M68" s="253"/>
    </row>
    <row r="69" spans="2:13" x14ac:dyDescent="0.25">
      <c r="B69" s="271"/>
      <c r="C69" s="198"/>
      <c r="D69" s="279">
        <f>IFERROR(VLOOKUP(E69,#REF!,8,FALSE),0)</f>
        <v>0</v>
      </c>
      <c r="F69" s="280">
        <f>IFERROR(VLOOKUP(G69,#REF!,6,FALSE),0)</f>
        <v>0</v>
      </c>
      <c r="G69" s="281"/>
      <c r="H69" s="282"/>
      <c r="I69" s="278" t="str">
        <f t="shared" si="1"/>
        <v/>
      </c>
      <c r="M69" s="253"/>
    </row>
    <row r="70" spans="2:13" x14ac:dyDescent="0.25">
      <c r="B70" s="271"/>
      <c r="C70" s="198"/>
      <c r="D70" s="279">
        <f>IFERROR(VLOOKUP(E70,#REF!,8,FALSE),0)</f>
        <v>0</v>
      </c>
      <c r="F70" s="280">
        <f>IFERROR(VLOOKUP(G70,#REF!,6,FALSE),0)</f>
        <v>0</v>
      </c>
      <c r="G70" s="281"/>
      <c r="H70" s="282"/>
      <c r="I70" s="278" t="str">
        <f t="shared" si="1"/>
        <v/>
      </c>
      <c r="M70" s="253"/>
    </row>
    <row r="71" spans="2:13" x14ac:dyDescent="0.25">
      <c r="B71" s="271"/>
      <c r="C71" s="198"/>
      <c r="D71" s="279">
        <f>IFERROR(VLOOKUP(E71,#REF!,8,FALSE),0)</f>
        <v>0</v>
      </c>
      <c r="F71" s="280">
        <f>IFERROR(VLOOKUP(G71,#REF!,6,FALSE),0)</f>
        <v>0</v>
      </c>
      <c r="G71" s="281"/>
      <c r="H71" s="282"/>
      <c r="I71" s="278"/>
      <c r="M71" s="253"/>
    </row>
    <row r="72" spans="2:13" x14ac:dyDescent="0.25">
      <c r="B72" s="271"/>
      <c r="C72" s="198"/>
      <c r="D72" s="279">
        <f>IFERROR(VLOOKUP(E72,#REF!,8,FALSE),0)</f>
        <v>0</v>
      </c>
      <c r="F72" s="280">
        <f>IFERROR(VLOOKUP(G72,#REF!,6,FALSE),0)</f>
        <v>0</v>
      </c>
      <c r="G72" s="281"/>
      <c r="H72" s="282"/>
      <c r="I72" s="278"/>
      <c r="M72" s="253"/>
    </row>
    <row r="73" spans="2:13" x14ac:dyDescent="0.25">
      <c r="B73" s="271"/>
      <c r="C73" s="198"/>
      <c r="D73" s="279">
        <f>IFERROR(VLOOKUP(E73,#REF!,8,FALSE),0)</f>
        <v>0</v>
      </c>
      <c r="F73" s="280">
        <f>IFERROR(VLOOKUP(G73,#REF!,6,FALSE),0)</f>
        <v>0</v>
      </c>
      <c r="G73" s="281"/>
      <c r="H73" s="282"/>
      <c r="I73" s="278" t="str">
        <f>IF(B73="","",IF(AND(RIGHT(D73,5)=LEFT(B73,5),MID(B73,6,1)="-",COUNTIFS(B:B,"*"&amp;RIGHT(B73,5))=1),"Benar","Salah"))</f>
        <v/>
      </c>
      <c r="M73" s="253"/>
    </row>
    <row r="74" spans="2:13" ht="15.75" thickBot="1" x14ac:dyDescent="0.3">
      <c r="B74" s="283"/>
      <c r="C74" s="284"/>
      <c r="D74" s="285">
        <f>IFERROR(VLOOKUP(E74,#REF!,8,FALSE),0)</f>
        <v>0</v>
      </c>
      <c r="E74" s="286"/>
      <c r="F74" s="287">
        <f>IFERROR(VLOOKUP(G74,#REF!,6,FALSE),0)</f>
        <v>0</v>
      </c>
      <c r="G74" s="288"/>
      <c r="H74" s="289"/>
      <c r="I74" s="278" t="str">
        <f>IF(B74="","",IF(AND(RIGHT(D74,5)=LEFT(B74,5),MID(B74,6,1)="-",COUNTIFS(B:B,"*"&amp;RIGHT(B74,5))=1),"Benar","Salah"))</f>
        <v/>
      </c>
      <c r="M74" s="253"/>
    </row>
    <row r="75" spans="2:13" x14ac:dyDescent="0.25">
      <c r="M75" s="253"/>
    </row>
    <row r="76" spans="2:13" x14ac:dyDescent="0.25">
      <c r="M76" s="253"/>
    </row>
    <row r="77" spans="2:13" x14ac:dyDescent="0.25">
      <c r="M77" s="253"/>
    </row>
    <row r="78" spans="2:13" x14ac:dyDescent="0.25">
      <c r="M78" s="253"/>
    </row>
    <row r="79" spans="2:13" x14ac:dyDescent="0.25">
      <c r="M79" s="253"/>
    </row>
    <row r="80" spans="2:13" x14ac:dyDescent="0.25">
      <c r="M80" s="253"/>
    </row>
    <row r="81" spans="13:13" x14ac:dyDescent="0.25">
      <c r="M81" s="253"/>
    </row>
    <row r="82" spans="13:13" x14ac:dyDescent="0.25">
      <c r="M82" s="253"/>
    </row>
    <row r="83" spans="13:13" x14ac:dyDescent="0.25">
      <c r="M83" s="253"/>
    </row>
    <row r="84" spans="13:13" x14ac:dyDescent="0.25">
      <c r="M84" s="253"/>
    </row>
  </sheetData>
  <sheetProtection autoFilter="0"/>
  <autoFilter ref="B3:G70" xr:uid="{00000000-0009-0000-0000-000004000000}"/>
  <mergeCells count="5">
    <mergeCell ref="B63:H63"/>
    <mergeCell ref="I63:I64"/>
    <mergeCell ref="I49:I50"/>
    <mergeCell ref="B2:H2"/>
    <mergeCell ref="B49:H49"/>
  </mergeCells>
  <pageMargins left="0.7" right="0.7" top="0.75" bottom="0.75" header="0.3" footer="0.3"/>
  <pageSetup orientation="portrait" r:id="rId1"/>
  <ignoredErrors>
    <ignoredError sqref="D51:F60 D65:F74" unlockedFormula="1"/>
  </ignoredErrors>
  <extLst>
    <ext xmlns:x14="http://schemas.microsoft.com/office/spreadsheetml/2009/9/main" uri="{CCE6A557-97BC-4b89-ADB6-D9C93CAAB3DF}">
      <x14:dataValidations xmlns:xm="http://schemas.microsoft.com/office/excel/2006/main" count="2">
        <x14:dataValidation type="list" allowBlank="1" showInputMessage="1" showErrorMessage="1" xr:uid="{03DEFED6-46A5-4992-B727-60B943145138}">
          <x14:formula1>
            <xm:f>'Master Data'!$E$125:$E$126</xm:f>
          </x14:formula1>
          <xm:sqref>E51:E60 E65:E74</xm:sqref>
        </x14:dataValidation>
        <x14:dataValidation type="list" allowBlank="1" showInputMessage="1" showErrorMessage="1" xr:uid="{B9FB1512-B836-4E28-AE71-C1BD81D5E313}">
          <x14:formula1>
            <xm:f>'Master Data'!$C$233:$C$326</xm:f>
          </x14:formula1>
          <xm:sqref>G51:G60 G65:G74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U756"/>
  <sheetViews>
    <sheetView showGridLines="0" zoomScale="72" workbookViewId="0">
      <selection activeCell="C34" sqref="C34"/>
    </sheetView>
  </sheetViews>
  <sheetFormatPr defaultColWidth="9.140625" defaultRowHeight="15" outlineLevelRow="2" outlineLevelCol="1" x14ac:dyDescent="0.25"/>
  <cols>
    <col min="1" max="1" width="9.140625" style="167"/>
    <col min="2" max="2" width="31.28515625" style="167" bestFit="1" customWidth="1"/>
    <col min="3" max="4" width="58.140625" style="167" customWidth="1"/>
    <col min="5" max="5" width="2.85546875" style="167" customWidth="1"/>
    <col min="6" max="6" width="38" style="167" bestFit="1" customWidth="1"/>
    <col min="7" max="7" width="33.42578125" style="167" bestFit="1" customWidth="1"/>
    <col min="8" max="8" width="24.5703125" style="167" customWidth="1"/>
    <col min="9" max="9" width="24.140625" style="167" hidden="1" customWidth="1" outlineLevel="1"/>
    <col min="10" max="10" width="35.85546875" style="167" hidden="1" customWidth="1" outlineLevel="1"/>
    <col min="11" max="11" width="32.7109375" style="167" hidden="1" customWidth="1" outlineLevel="1"/>
    <col min="12" max="12" width="27.140625" style="167" hidden="1" customWidth="1" outlineLevel="1"/>
    <col min="13" max="13" width="31.28515625" style="167" hidden="1" customWidth="1" outlineLevel="1" collapsed="1"/>
    <col min="14" max="14" width="31.28515625" style="167" hidden="1" customWidth="1" outlineLevel="1"/>
    <col min="15" max="15" width="22.5703125" style="167" hidden="1" customWidth="1" outlineLevel="1"/>
    <col min="16" max="16" width="24.7109375" style="167" hidden="1" customWidth="1" outlineLevel="1"/>
    <col min="17" max="17" width="22.28515625" style="167" hidden="1" customWidth="1" outlineLevel="1"/>
    <col min="18" max="18" width="27.140625" style="167" hidden="1" customWidth="1" outlineLevel="1"/>
    <col min="19" max="19" width="8.5703125" style="167" hidden="1" customWidth="1" outlineLevel="1"/>
    <col min="20" max="20" width="18" style="167" hidden="1" customWidth="1" outlineLevel="1"/>
    <col min="21" max="21" width="2.5703125" style="167" hidden="1" customWidth="1" outlineLevel="1"/>
    <col min="22" max="22" width="31.28515625" style="167" hidden="1" customWidth="1" outlineLevel="1"/>
    <col min="23" max="23" width="13.28515625" style="167" hidden="1" customWidth="1" outlineLevel="1"/>
    <col min="24" max="24" width="16.7109375" style="167" hidden="1" customWidth="1" outlineLevel="1"/>
    <col min="25" max="25" width="22.42578125" style="167" hidden="1" customWidth="1" outlineLevel="1"/>
    <col min="26" max="26" width="20.7109375" style="167" hidden="1" customWidth="1" outlineLevel="1"/>
    <col min="27" max="27" width="11.140625" style="167" hidden="1" customWidth="1" outlineLevel="1"/>
    <col min="28" max="28" width="4.5703125" style="167" hidden="1" customWidth="1" outlineLevel="1"/>
    <col min="29" max="44" width="8.7109375" style="167" hidden="1" customWidth="1" outlineLevel="1"/>
    <col min="45" max="45" width="9.140625" style="167" collapsed="1"/>
    <col min="46" max="46" width="12.7109375" style="167" customWidth="1"/>
    <col min="47" max="16384" width="9.140625" style="167"/>
  </cols>
  <sheetData>
    <row r="1" spans="1:15" s="200" customFormat="1" ht="27.75" customHeight="1" outlineLevel="1" x14ac:dyDescent="0.25">
      <c r="A1" s="200" t="s">
        <v>2648</v>
      </c>
      <c r="B1" s="199" t="s">
        <v>236</v>
      </c>
    </row>
    <row r="2" spans="1:15" outlineLevel="1" x14ac:dyDescent="0.25">
      <c r="E2" s="201"/>
    </row>
    <row r="3" spans="1:15" ht="15.75" outlineLevel="2" x14ac:dyDescent="0.25">
      <c r="B3" s="202" t="s">
        <v>236</v>
      </c>
      <c r="C3" s="203" t="s">
        <v>259</v>
      </c>
      <c r="E3" s="201"/>
      <c r="G3" s="167" t="s">
        <v>31</v>
      </c>
      <c r="H3" s="167" t="s">
        <v>30</v>
      </c>
      <c r="I3" s="167" t="s">
        <v>238</v>
      </c>
      <c r="J3" s="167" t="s">
        <v>242</v>
      </c>
      <c r="K3" s="167" t="s">
        <v>243</v>
      </c>
      <c r="L3" s="167" t="s">
        <v>240</v>
      </c>
      <c r="M3" s="167" t="s">
        <v>241</v>
      </c>
      <c r="N3" s="167" t="s">
        <v>239</v>
      </c>
      <c r="O3" s="167" t="s">
        <v>37</v>
      </c>
    </row>
    <row r="4" spans="1:15" ht="15.75" outlineLevel="2" x14ac:dyDescent="0.25">
      <c r="B4" s="204" t="s">
        <v>1874</v>
      </c>
      <c r="C4" s="205" t="s">
        <v>1874</v>
      </c>
      <c r="E4" s="201"/>
      <c r="G4" s="167" t="s">
        <v>31</v>
      </c>
      <c r="H4" s="167" t="s">
        <v>30</v>
      </c>
      <c r="I4" s="167" t="s">
        <v>238</v>
      </c>
      <c r="J4" s="167" t="s">
        <v>248</v>
      </c>
      <c r="K4" s="167" t="s">
        <v>22</v>
      </c>
      <c r="L4" s="167" t="s">
        <v>29</v>
      </c>
      <c r="M4" s="167" t="s">
        <v>33</v>
      </c>
      <c r="N4" s="167" t="s">
        <v>239</v>
      </c>
      <c r="O4" s="167" t="s">
        <v>37</v>
      </c>
    </row>
    <row r="5" spans="1:15" ht="15.75" outlineLevel="2" x14ac:dyDescent="0.25">
      <c r="B5" s="204" t="s">
        <v>1558</v>
      </c>
      <c r="C5" s="205" t="s">
        <v>1558</v>
      </c>
      <c r="E5" s="201"/>
      <c r="J5" s="167" t="s">
        <v>20</v>
      </c>
      <c r="K5" s="167" t="s">
        <v>24</v>
      </c>
      <c r="L5" s="167" t="s">
        <v>26</v>
      </c>
      <c r="M5" s="167" t="s">
        <v>34</v>
      </c>
    </row>
    <row r="6" spans="1:15" ht="15.75" outlineLevel="2" x14ac:dyDescent="0.25">
      <c r="B6" s="206" t="s">
        <v>1874</v>
      </c>
      <c r="C6" s="207" t="s">
        <v>1874</v>
      </c>
      <c r="E6" s="201"/>
      <c r="J6" s="167" t="s">
        <v>21</v>
      </c>
      <c r="K6" s="167" t="s">
        <v>25</v>
      </c>
      <c r="L6" s="167" t="s">
        <v>27</v>
      </c>
      <c r="M6" s="167" t="s">
        <v>35</v>
      </c>
    </row>
    <row r="7" spans="1:15" ht="15.75" outlineLevel="2" x14ac:dyDescent="0.25">
      <c r="B7" s="204" t="s">
        <v>1986</v>
      </c>
      <c r="C7" s="205" t="s">
        <v>1987</v>
      </c>
      <c r="E7" s="201"/>
      <c r="J7" s="208" t="s">
        <v>342</v>
      </c>
      <c r="K7" s="208" t="s">
        <v>341</v>
      </c>
      <c r="L7" s="167" t="s">
        <v>257</v>
      </c>
      <c r="M7" s="167" t="s">
        <v>36</v>
      </c>
    </row>
    <row r="8" spans="1:15" ht="15.75" outlineLevel="2" x14ac:dyDescent="0.25">
      <c r="B8" s="204" t="s">
        <v>1559</v>
      </c>
      <c r="C8" s="205" t="s">
        <v>1560</v>
      </c>
      <c r="E8" s="201"/>
      <c r="J8" s="208" t="s">
        <v>344</v>
      </c>
      <c r="L8" s="167" t="s">
        <v>28</v>
      </c>
    </row>
    <row r="9" spans="1:15" ht="15.75" outlineLevel="2" x14ac:dyDescent="0.25">
      <c r="B9" s="204" t="s">
        <v>178</v>
      </c>
      <c r="C9" s="205" t="s">
        <v>178</v>
      </c>
      <c r="E9" s="201"/>
      <c r="J9" s="167" t="s">
        <v>343</v>
      </c>
    </row>
    <row r="10" spans="1:15" ht="15.75" outlineLevel="2" x14ac:dyDescent="0.25">
      <c r="B10" s="204" t="s">
        <v>239</v>
      </c>
      <c r="C10" s="205" t="s">
        <v>32</v>
      </c>
      <c r="E10" s="201"/>
      <c r="J10" s="208" t="s">
        <v>256</v>
      </c>
    </row>
    <row r="11" spans="1:15" ht="15.75" outlineLevel="2" x14ac:dyDescent="0.25">
      <c r="B11" s="204" t="s">
        <v>1561</v>
      </c>
      <c r="C11" s="205" t="s">
        <v>1561</v>
      </c>
      <c r="E11" s="201"/>
      <c r="J11" s="167" t="s">
        <v>345</v>
      </c>
    </row>
    <row r="12" spans="1:15" ht="15.75" outlineLevel="2" x14ac:dyDescent="0.25">
      <c r="B12" s="204" t="s">
        <v>241</v>
      </c>
      <c r="C12" s="205" t="s">
        <v>255</v>
      </c>
      <c r="E12" s="201"/>
      <c r="J12" s="208" t="s">
        <v>339</v>
      </c>
    </row>
    <row r="13" spans="1:15" outlineLevel="2" x14ac:dyDescent="0.25">
      <c r="E13" s="201"/>
    </row>
    <row r="14" spans="1:15" outlineLevel="2" x14ac:dyDescent="0.25">
      <c r="E14" s="201"/>
    </row>
    <row r="15" spans="1:15" s="200" customFormat="1" ht="27.75" customHeight="1" outlineLevel="1" x14ac:dyDescent="0.25">
      <c r="B15" s="199" t="s">
        <v>247</v>
      </c>
      <c r="E15" s="201"/>
    </row>
    <row r="16" spans="1:15" outlineLevel="1" x14ac:dyDescent="0.25">
      <c r="E16" s="201"/>
    </row>
    <row r="17" spans="2:16" outlineLevel="1" x14ac:dyDescent="0.25">
      <c r="B17" s="167" t="s">
        <v>247</v>
      </c>
      <c r="C17" s="209" t="s">
        <v>259</v>
      </c>
      <c r="E17" s="201"/>
      <c r="G17" s="167" t="s">
        <v>52</v>
      </c>
      <c r="H17" s="167" t="s">
        <v>108</v>
      </c>
      <c r="I17" s="167" t="s">
        <v>238</v>
      </c>
      <c r="J17" s="167" t="s">
        <v>19</v>
      </c>
      <c r="K17" s="167" t="s">
        <v>178</v>
      </c>
      <c r="L17" s="167" t="s">
        <v>101</v>
      </c>
      <c r="M17" s="167" t="s">
        <v>260</v>
      </c>
      <c r="N17" s="167" t="s">
        <v>32</v>
      </c>
      <c r="O17" s="167" t="s">
        <v>251</v>
      </c>
      <c r="P17" s="167" t="s">
        <v>252</v>
      </c>
    </row>
    <row r="18" spans="2:16" outlineLevel="1" x14ac:dyDescent="0.25">
      <c r="B18" s="167" t="s">
        <v>31</v>
      </c>
      <c r="C18" s="210" t="s">
        <v>326</v>
      </c>
      <c r="D18" s="167">
        <f>COUNTIFS($F$4:$Q$12,Division[[#This Row],[Division / Department]])</f>
        <v>1</v>
      </c>
      <c r="E18" s="201"/>
      <c r="G18" s="167" t="s">
        <v>271</v>
      </c>
      <c r="H18" s="167" t="s">
        <v>269</v>
      </c>
      <c r="I18" s="167" t="s">
        <v>262</v>
      </c>
      <c r="J18" s="167" t="s">
        <v>266</v>
      </c>
      <c r="K18" s="167" t="s">
        <v>274</v>
      </c>
      <c r="L18" s="167" t="s">
        <v>265</v>
      </c>
      <c r="M18" s="167" t="s">
        <v>263</v>
      </c>
      <c r="N18" s="167" t="s">
        <v>273</v>
      </c>
      <c r="O18" s="167" t="s">
        <v>279</v>
      </c>
      <c r="P18" s="167" t="s">
        <v>280</v>
      </c>
    </row>
    <row r="19" spans="2:16" outlineLevel="1" x14ac:dyDescent="0.25">
      <c r="B19" s="167" t="s">
        <v>238</v>
      </c>
      <c r="C19" s="210" t="s">
        <v>325</v>
      </c>
      <c r="D19" s="167">
        <f>COUNTIFS($F$4:$Q$12,Division[[#This Row],[Division / Department]])</f>
        <v>1</v>
      </c>
      <c r="E19" s="201"/>
      <c r="G19" s="167" t="s">
        <v>288</v>
      </c>
      <c r="H19" s="167" t="s">
        <v>286</v>
      </c>
      <c r="I19" s="167" t="s">
        <v>281</v>
      </c>
      <c r="K19" s="167" t="s">
        <v>290</v>
      </c>
      <c r="N19" s="167" t="s">
        <v>289</v>
      </c>
      <c r="O19" s="167" t="s">
        <v>293</v>
      </c>
    </row>
    <row r="20" spans="2:16" outlineLevel="1" x14ac:dyDescent="0.25">
      <c r="B20" s="167" t="s">
        <v>30</v>
      </c>
      <c r="C20" s="210" t="s">
        <v>324</v>
      </c>
      <c r="D20" s="167">
        <f>COUNTIFS($F$4:$Q$12,Division[[#This Row],[Division / Department]])</f>
        <v>1</v>
      </c>
      <c r="E20" s="201"/>
      <c r="G20" s="167" t="s">
        <v>297</v>
      </c>
      <c r="H20" s="167" t="s">
        <v>296</v>
      </c>
      <c r="I20" s="167" t="s">
        <v>294</v>
      </c>
      <c r="K20" s="167" t="s">
        <v>298</v>
      </c>
      <c r="O20" s="167" t="s">
        <v>300</v>
      </c>
    </row>
    <row r="21" spans="2:16" outlineLevel="1" x14ac:dyDescent="0.25">
      <c r="B21" s="167" t="s">
        <v>248</v>
      </c>
      <c r="C21" s="210" t="s">
        <v>323</v>
      </c>
      <c r="D21" s="167">
        <f>COUNTIFS($F$4:$Q$12,Division[[#This Row],[Division / Department]])</f>
        <v>1</v>
      </c>
      <c r="E21" s="201"/>
      <c r="G21" s="167" t="s">
        <v>303</v>
      </c>
      <c r="H21" s="167" t="s">
        <v>302</v>
      </c>
      <c r="J21" s="167" t="s">
        <v>253</v>
      </c>
      <c r="K21" s="167" t="s">
        <v>304</v>
      </c>
      <c r="L21" s="167" t="s">
        <v>261</v>
      </c>
      <c r="M21" s="167" t="s">
        <v>36</v>
      </c>
      <c r="O21" s="167" t="s">
        <v>306</v>
      </c>
      <c r="P21" s="167" t="s">
        <v>256</v>
      </c>
    </row>
    <row r="22" spans="2:16" outlineLevel="1" x14ac:dyDescent="0.25">
      <c r="B22" s="167" t="s">
        <v>20</v>
      </c>
      <c r="C22" s="210" t="s">
        <v>322</v>
      </c>
      <c r="D22" s="167">
        <f>COUNTIFS($F$4:$Q$12,Division[[#This Row],[Division / Department]])</f>
        <v>1</v>
      </c>
      <c r="E22" s="201"/>
      <c r="G22" s="167" t="s">
        <v>308</v>
      </c>
      <c r="H22" s="167" t="s">
        <v>307</v>
      </c>
      <c r="J22" s="167" t="s">
        <v>267</v>
      </c>
      <c r="L22" s="167" t="s">
        <v>277</v>
      </c>
      <c r="M22" s="167" t="s">
        <v>264</v>
      </c>
      <c r="P22" s="167" t="s">
        <v>278</v>
      </c>
    </row>
    <row r="23" spans="2:16" outlineLevel="1" x14ac:dyDescent="0.25">
      <c r="B23" s="167" t="s">
        <v>21</v>
      </c>
      <c r="C23" s="210" t="s">
        <v>321</v>
      </c>
      <c r="D23" s="167">
        <f>COUNTIFS($F$4:$Q$12,Division[[#This Row],[Division / Department]])</f>
        <v>1</v>
      </c>
      <c r="E23" s="201"/>
      <c r="G23" s="167" t="s">
        <v>311</v>
      </c>
      <c r="H23" s="167" t="s">
        <v>310</v>
      </c>
      <c r="L23" s="167" t="s">
        <v>292</v>
      </c>
      <c r="M23" s="167" t="s">
        <v>282</v>
      </c>
    </row>
    <row r="24" spans="2:16" outlineLevel="1" x14ac:dyDescent="0.25">
      <c r="B24" s="167" t="s">
        <v>22</v>
      </c>
      <c r="C24" s="210" t="s">
        <v>327</v>
      </c>
      <c r="D24" s="167">
        <f>COUNTIFS($F$4:$Q$12,Division[[#This Row],[Division / Department]])</f>
        <v>1</v>
      </c>
      <c r="E24" s="201"/>
      <c r="G24" s="167" t="s">
        <v>314</v>
      </c>
      <c r="H24" s="167" t="s">
        <v>313</v>
      </c>
      <c r="K24" s="167" t="s">
        <v>254</v>
      </c>
      <c r="M24" s="167" t="s">
        <v>295</v>
      </c>
    </row>
    <row r="25" spans="2:16" outlineLevel="1" x14ac:dyDescent="0.25">
      <c r="B25" s="167" t="s">
        <v>339</v>
      </c>
      <c r="C25" s="210" t="s">
        <v>340</v>
      </c>
      <c r="D25" s="167">
        <f>COUNTIFS($F$4:$Q$12,Division[[#This Row],[Division / Department]])</f>
        <v>1</v>
      </c>
      <c r="E25" s="201"/>
      <c r="G25" s="167" t="s">
        <v>317</v>
      </c>
      <c r="J25" s="167" t="s">
        <v>249</v>
      </c>
      <c r="K25" s="167" t="s">
        <v>275</v>
      </c>
      <c r="M25" s="167" t="s">
        <v>301</v>
      </c>
    </row>
    <row r="26" spans="2:16" outlineLevel="1" x14ac:dyDescent="0.25">
      <c r="B26" s="167" t="s">
        <v>24</v>
      </c>
      <c r="C26" s="210" t="s">
        <v>328</v>
      </c>
      <c r="D26" s="167">
        <f>COUNTIFS($F$4:$Q$12,Division[[#This Row],[Division / Department]])</f>
        <v>1</v>
      </c>
      <c r="E26" s="201"/>
      <c r="J26" s="167" t="s">
        <v>272</v>
      </c>
      <c r="K26" s="167" t="s">
        <v>291</v>
      </c>
      <c r="L26" s="167" t="s">
        <v>250</v>
      </c>
      <c r="M26" s="167" t="s">
        <v>423</v>
      </c>
    </row>
    <row r="27" spans="2:16" outlineLevel="1" x14ac:dyDescent="0.25">
      <c r="B27" s="167" t="s">
        <v>341</v>
      </c>
      <c r="C27" s="210" t="s">
        <v>346</v>
      </c>
      <c r="D27" s="167">
        <f>COUNTIFS($F$4:$Q$12,Division[[#This Row],[Division / Department]])</f>
        <v>1</v>
      </c>
      <c r="E27" s="201"/>
      <c r="K27" s="167" t="s">
        <v>299</v>
      </c>
      <c r="L27" s="167" t="s">
        <v>268</v>
      </c>
      <c r="M27" s="167" t="s">
        <v>426</v>
      </c>
    </row>
    <row r="28" spans="2:16" outlineLevel="1" x14ac:dyDescent="0.25">
      <c r="B28" s="167" t="s">
        <v>25</v>
      </c>
      <c r="C28" s="210" t="s">
        <v>329</v>
      </c>
      <c r="D28" s="167">
        <f>COUNTIFS($F$4:$Q$12,Division[[#This Row],[Division / Department]])</f>
        <v>1</v>
      </c>
      <c r="E28" s="201"/>
      <c r="K28" s="167" t="s">
        <v>305</v>
      </c>
      <c r="L28" s="167" t="s">
        <v>285</v>
      </c>
    </row>
    <row r="29" spans="2:16" outlineLevel="1" x14ac:dyDescent="0.25">
      <c r="B29" s="167" t="s">
        <v>26</v>
      </c>
      <c r="C29" s="210" t="s">
        <v>330</v>
      </c>
      <c r="D29" s="167">
        <f>COUNTIFS($F$4:$Q$12,Division[[#This Row],[Division / Department]])</f>
        <v>1</v>
      </c>
      <c r="E29" s="201"/>
      <c r="J29" s="167" t="s">
        <v>23</v>
      </c>
      <c r="K29" s="167" t="s">
        <v>312</v>
      </c>
    </row>
    <row r="30" spans="2:16" outlineLevel="1" x14ac:dyDescent="0.25">
      <c r="B30" s="167" t="s">
        <v>27</v>
      </c>
      <c r="C30" s="210" t="s">
        <v>331</v>
      </c>
      <c r="D30" s="167">
        <f>COUNTIFS($F$4:$Q$12,Division[[#This Row],[Division / Department]])</f>
        <v>1</v>
      </c>
      <c r="E30" s="201"/>
      <c r="J30" s="167" t="s">
        <v>270</v>
      </c>
      <c r="K30" s="167" t="s">
        <v>315</v>
      </c>
    </row>
    <row r="31" spans="2:16" outlineLevel="1" x14ac:dyDescent="0.25">
      <c r="B31" s="167" t="s">
        <v>28</v>
      </c>
      <c r="C31" s="210" t="s">
        <v>332</v>
      </c>
      <c r="D31" s="167">
        <f>COUNTIFS($F$4:$Q$12,Division[[#This Row],[Division / Department]])</f>
        <v>1</v>
      </c>
      <c r="E31" s="201"/>
      <c r="J31" s="167" t="s">
        <v>287</v>
      </c>
      <c r="L31" s="167" t="s">
        <v>258</v>
      </c>
    </row>
    <row r="32" spans="2:16" outlineLevel="1" x14ac:dyDescent="0.25">
      <c r="B32" s="167" t="s">
        <v>29</v>
      </c>
      <c r="C32" s="210" t="s">
        <v>333</v>
      </c>
      <c r="D32" s="167">
        <f>COUNTIFS($F$4:$Q$12,Division[[#This Row],[Division / Department]])</f>
        <v>1</v>
      </c>
      <c r="E32" s="201"/>
      <c r="L32" s="167" t="s">
        <v>283</v>
      </c>
    </row>
    <row r="33" spans="2:47" outlineLevel="1" x14ac:dyDescent="0.25">
      <c r="B33" s="167" t="s">
        <v>257</v>
      </c>
      <c r="C33" s="210" t="s">
        <v>334</v>
      </c>
      <c r="D33" s="167">
        <f>COUNTIFS($F$4:$Q$12,Division[[#This Row],[Division / Department]])</f>
        <v>1</v>
      </c>
      <c r="E33" s="201"/>
      <c r="K33" s="167" t="s">
        <v>341</v>
      </c>
    </row>
    <row r="34" spans="2:47" outlineLevel="1" x14ac:dyDescent="0.25">
      <c r="B34" s="167" t="s">
        <v>239</v>
      </c>
      <c r="C34" s="210" t="s">
        <v>335</v>
      </c>
      <c r="D34" s="167">
        <f>COUNTIFS($F$4:$Q$12,Division[[#This Row],[Division / Department]])</f>
        <v>1</v>
      </c>
      <c r="E34" s="201"/>
      <c r="K34" s="167" t="s">
        <v>309</v>
      </c>
    </row>
    <row r="35" spans="2:47" outlineLevel="1" x14ac:dyDescent="0.25">
      <c r="B35" s="167" t="s">
        <v>33</v>
      </c>
      <c r="C35" s="210" t="s">
        <v>336</v>
      </c>
      <c r="D35" s="167">
        <f>COUNTIFS($F$4:$Q$12,Division[[#This Row],[Division / Department]])</f>
        <v>1</v>
      </c>
      <c r="E35" s="201"/>
      <c r="L35" s="167" t="s">
        <v>181</v>
      </c>
    </row>
    <row r="36" spans="2:47" outlineLevel="1" x14ac:dyDescent="0.25">
      <c r="B36" s="167" t="s">
        <v>1562</v>
      </c>
      <c r="C36" s="210" t="s">
        <v>1563</v>
      </c>
      <c r="D36" s="167">
        <f>COUNTIFS($F$4:$Q$12,Division[[#This Row],[Division / Department]])</f>
        <v>0</v>
      </c>
      <c r="E36" s="201"/>
      <c r="L36" s="167" t="s">
        <v>276</v>
      </c>
    </row>
    <row r="37" spans="2:47" outlineLevel="1" x14ac:dyDescent="0.25">
      <c r="B37" s="167" t="s">
        <v>35</v>
      </c>
      <c r="C37" s="210" t="s">
        <v>337</v>
      </c>
      <c r="D37" s="167">
        <f>COUNTIFS($F$4:$Q$12,Division[[#This Row],[Division / Department]])</f>
        <v>1</v>
      </c>
      <c r="E37" s="201"/>
      <c r="K37" s="211" t="s">
        <v>24</v>
      </c>
    </row>
    <row r="38" spans="2:47" outlineLevel="1" x14ac:dyDescent="0.25">
      <c r="B38" s="167" t="s">
        <v>36</v>
      </c>
      <c r="C38" s="210" t="s">
        <v>338</v>
      </c>
      <c r="D38" s="167">
        <f>COUNTIFS($F$4:$Q$12,Division[[#This Row],[Division / Department]])</f>
        <v>1</v>
      </c>
      <c r="E38" s="201"/>
    </row>
    <row r="39" spans="2:47" outlineLevel="1" x14ac:dyDescent="0.25">
      <c r="B39" s="167" t="s">
        <v>1564</v>
      </c>
      <c r="C39" s="210" t="s">
        <v>1565</v>
      </c>
      <c r="D39" s="167">
        <f>COUNTIFS($F$4:$Q$12,Division[[#This Row],[Division / Department]])</f>
        <v>0</v>
      </c>
      <c r="E39" s="201"/>
    </row>
    <row r="40" spans="2:47" outlineLevel="1" x14ac:dyDescent="0.25">
      <c r="B40" s="167" t="s">
        <v>1566</v>
      </c>
      <c r="C40" s="210" t="s">
        <v>1567</v>
      </c>
      <c r="D40" s="167">
        <f>COUNTIFS($F$4:$Q$12,Division[[#This Row],[Division / Department]])</f>
        <v>0</v>
      </c>
      <c r="E40" s="201"/>
    </row>
    <row r="41" spans="2:47" outlineLevel="1" collapsed="1" x14ac:dyDescent="0.25">
      <c r="C41" s="210"/>
      <c r="E41" s="201"/>
    </row>
    <row r="42" spans="2:47" outlineLevel="1" x14ac:dyDescent="0.25">
      <c r="E42" s="201"/>
    </row>
    <row r="43" spans="2:47" outlineLevel="1" x14ac:dyDescent="0.25">
      <c r="E43" s="201"/>
    </row>
    <row r="44" spans="2:47" outlineLevel="1" x14ac:dyDescent="0.25">
      <c r="E44" s="201"/>
    </row>
    <row r="45" spans="2:47" s="200" customFormat="1" ht="27.75" customHeight="1" x14ac:dyDescent="0.25">
      <c r="B45" s="199" t="s">
        <v>347</v>
      </c>
      <c r="E45" s="201"/>
    </row>
    <row r="47" spans="2:47" outlineLevel="1" x14ac:dyDescent="0.25">
      <c r="B47" s="212" t="s">
        <v>438</v>
      </c>
      <c r="C47" s="212" t="s">
        <v>48</v>
      </c>
      <c r="D47" s="212" t="s">
        <v>439</v>
      </c>
      <c r="E47" s="212"/>
      <c r="F47" s="212" t="s">
        <v>440</v>
      </c>
      <c r="G47" s="212" t="s">
        <v>441</v>
      </c>
      <c r="H47" s="212" t="s">
        <v>442</v>
      </c>
      <c r="I47" s="212" t="s">
        <v>443</v>
      </c>
      <c r="J47" s="212" t="s">
        <v>444</v>
      </c>
      <c r="K47" s="212" t="s">
        <v>445</v>
      </c>
      <c r="L47" s="213" t="s">
        <v>451</v>
      </c>
    </row>
    <row r="48" spans="2:47" outlineLevel="1" x14ac:dyDescent="0.25">
      <c r="B48" s="214">
        <v>103010</v>
      </c>
      <c r="C48" s="214" t="s">
        <v>284</v>
      </c>
      <c r="D48" s="214" t="s">
        <v>348</v>
      </c>
      <c r="E48" s="214"/>
      <c r="F48" s="214" t="s">
        <v>1576</v>
      </c>
      <c r="G48" s="214" t="s">
        <v>349</v>
      </c>
      <c r="H48" s="214" t="s">
        <v>350</v>
      </c>
      <c r="I48" s="214" t="s">
        <v>351</v>
      </c>
      <c r="J48" s="214" t="s">
        <v>352</v>
      </c>
      <c r="K48" s="214" t="s">
        <v>446</v>
      </c>
      <c r="L48" s="215" t="s">
        <v>453</v>
      </c>
      <c r="M48" s="167">
        <f>COUNTIFS($F$18:$Q$40,C48)</f>
        <v>0</v>
      </c>
      <c r="N48" s="167">
        <f>COUNTIFS($J$16:$J$32,C48)</f>
        <v>0</v>
      </c>
      <c r="AT48" s="167" t="str">
        <f>C48</f>
        <v>10301BA001</v>
      </c>
      <c r="AU48" s="167" t="str">
        <f>RIGHT(C48,5)</f>
        <v>BA001</v>
      </c>
    </row>
    <row r="49" spans="2:47" outlineLevel="1" x14ac:dyDescent="0.25">
      <c r="B49" s="214">
        <v>103010</v>
      </c>
      <c r="C49" s="214" t="s">
        <v>266</v>
      </c>
      <c r="D49" s="214" t="s">
        <v>353</v>
      </c>
      <c r="E49" s="214"/>
      <c r="F49" s="214" t="s">
        <v>1576</v>
      </c>
      <c r="G49" s="214" t="s">
        <v>349</v>
      </c>
      <c r="H49" s="214" t="s">
        <v>19</v>
      </c>
      <c r="I49" s="214" t="s">
        <v>351</v>
      </c>
      <c r="J49" s="214" t="s">
        <v>352</v>
      </c>
      <c r="K49" s="214" t="s">
        <v>446</v>
      </c>
      <c r="L49" s="214"/>
      <c r="M49" s="167">
        <f t="shared" ref="M49:M111" si="0">COUNTIFS($F$18:$Q$40,C49)</f>
        <v>1</v>
      </c>
      <c r="N49" s="167">
        <f t="shared" ref="N49" si="1">COUNTIFS($J$16:$J$32,C49)</f>
        <v>1</v>
      </c>
      <c r="AT49" s="167" t="str">
        <f t="shared" ref="AT49:AT113" si="2">C49</f>
        <v>10301BD001</v>
      </c>
      <c r="AU49" s="167" t="str">
        <f t="shared" ref="AU49:AU113" si="3">RIGHT(C49,5)</f>
        <v>BD001</v>
      </c>
    </row>
    <row r="50" spans="2:47" outlineLevel="1" x14ac:dyDescent="0.25">
      <c r="B50" s="214">
        <v>103010</v>
      </c>
      <c r="C50" s="214" t="s">
        <v>274</v>
      </c>
      <c r="D50" s="214" t="s">
        <v>354</v>
      </c>
      <c r="E50" s="214"/>
      <c r="F50" s="214" t="s">
        <v>1576</v>
      </c>
      <c r="G50" s="214" t="s">
        <v>349</v>
      </c>
      <c r="H50" s="214" t="s">
        <v>355</v>
      </c>
      <c r="I50" s="214" t="s">
        <v>351</v>
      </c>
      <c r="J50" s="214" t="s">
        <v>352</v>
      </c>
      <c r="K50" s="214" t="s">
        <v>446</v>
      </c>
      <c r="L50" s="214"/>
      <c r="M50" s="167">
        <f t="shared" si="0"/>
        <v>1</v>
      </c>
      <c r="N50" s="167">
        <f>COUNTIFS($K$16:$K$44,C50)</f>
        <v>1</v>
      </c>
      <c r="AT50" s="167" t="str">
        <f t="shared" si="2"/>
        <v>10301CL001</v>
      </c>
      <c r="AU50" s="167" t="str">
        <f t="shared" si="3"/>
        <v>CL001</v>
      </c>
    </row>
    <row r="51" spans="2:47" outlineLevel="1" x14ac:dyDescent="0.25">
      <c r="B51" s="214">
        <v>103010</v>
      </c>
      <c r="C51" s="214" t="s">
        <v>267</v>
      </c>
      <c r="D51" s="214" t="s">
        <v>356</v>
      </c>
      <c r="E51" s="214"/>
      <c r="F51" s="214" t="s">
        <v>1576</v>
      </c>
      <c r="G51" s="214" t="s">
        <v>349</v>
      </c>
      <c r="H51" s="214" t="s">
        <v>357</v>
      </c>
      <c r="I51" s="214" t="s">
        <v>351</v>
      </c>
      <c r="J51" s="214" t="s">
        <v>352</v>
      </c>
      <c r="K51" s="214" t="s">
        <v>446</v>
      </c>
      <c r="L51" s="214"/>
      <c r="M51" s="167">
        <f t="shared" si="0"/>
        <v>1</v>
      </c>
      <c r="N51" s="167">
        <f>COUNTIFS($J$16:$J$32,C51)</f>
        <v>1</v>
      </c>
      <c r="AT51" s="167" t="str">
        <f t="shared" si="2"/>
        <v>10301CP001</v>
      </c>
      <c r="AU51" s="167" t="str">
        <f t="shared" si="3"/>
        <v>CP001</v>
      </c>
    </row>
    <row r="52" spans="2:47" outlineLevel="1" x14ac:dyDescent="0.25">
      <c r="B52" s="214">
        <v>103010</v>
      </c>
      <c r="C52" s="214" t="s">
        <v>290</v>
      </c>
      <c r="D52" s="214" t="s">
        <v>358</v>
      </c>
      <c r="E52" s="214"/>
      <c r="F52" s="214" t="s">
        <v>1576</v>
      </c>
      <c r="G52" s="214" t="s">
        <v>349</v>
      </c>
      <c r="H52" s="214" t="s">
        <v>359</v>
      </c>
      <c r="I52" s="214" t="s">
        <v>351</v>
      </c>
      <c r="J52" s="214" t="s">
        <v>352</v>
      </c>
      <c r="K52" s="214" t="s">
        <v>446</v>
      </c>
      <c r="L52" s="214"/>
      <c r="M52" s="167">
        <f t="shared" si="0"/>
        <v>1</v>
      </c>
      <c r="N52" s="167">
        <f>COUNTIFS($K$16:$K$44,C52)</f>
        <v>1</v>
      </c>
      <c r="AT52" s="167" t="str">
        <f t="shared" si="2"/>
        <v>10301CS001</v>
      </c>
      <c r="AU52" s="167" t="str">
        <f t="shared" si="3"/>
        <v>CS001</v>
      </c>
    </row>
    <row r="53" spans="2:47" outlineLevel="1" x14ac:dyDescent="0.25">
      <c r="B53" s="214">
        <v>103010</v>
      </c>
      <c r="C53" s="214" t="s">
        <v>277</v>
      </c>
      <c r="D53" s="214" t="s">
        <v>360</v>
      </c>
      <c r="E53" s="214"/>
      <c r="F53" s="214" t="s">
        <v>1576</v>
      </c>
      <c r="G53" s="214" t="s">
        <v>349</v>
      </c>
      <c r="H53" s="214" t="s">
        <v>361</v>
      </c>
      <c r="I53" s="214" t="s">
        <v>351</v>
      </c>
      <c r="J53" s="214" t="s">
        <v>352</v>
      </c>
      <c r="K53" s="214" t="s">
        <v>446</v>
      </c>
      <c r="L53" s="214"/>
      <c r="M53" s="167">
        <f t="shared" si="0"/>
        <v>1</v>
      </c>
      <c r="N53" s="167">
        <f>+COUNTIFS( $L$17:$L$36,C53)</f>
        <v>1</v>
      </c>
      <c r="AT53" s="167" t="str">
        <f t="shared" si="2"/>
        <v>10301FA001</v>
      </c>
      <c r="AU53" s="167" t="str">
        <f t="shared" si="3"/>
        <v>FA001</v>
      </c>
    </row>
    <row r="54" spans="2:47" outlineLevel="1" x14ac:dyDescent="0.25">
      <c r="B54" s="214">
        <v>103010</v>
      </c>
      <c r="C54" s="214" t="s">
        <v>265</v>
      </c>
      <c r="D54" s="214" t="s">
        <v>362</v>
      </c>
      <c r="E54" s="214"/>
      <c r="F54" s="214" t="s">
        <v>1576</v>
      </c>
      <c r="G54" s="214" t="s">
        <v>349</v>
      </c>
      <c r="H54" s="214" t="s">
        <v>361</v>
      </c>
      <c r="I54" s="214" t="s">
        <v>351</v>
      </c>
      <c r="J54" s="214" t="s">
        <v>352</v>
      </c>
      <c r="K54" s="214" t="s">
        <v>446</v>
      </c>
      <c r="L54" s="214"/>
      <c r="M54" s="167">
        <f t="shared" si="0"/>
        <v>1</v>
      </c>
      <c r="N54" s="167">
        <f t="shared" ref="N54:N60" si="4">+COUNTIFS( $L$17:$L$36,C54)</f>
        <v>1</v>
      </c>
      <c r="AT54" s="167" t="str">
        <f t="shared" si="2"/>
        <v>10301FA002</v>
      </c>
      <c r="AU54" s="167" t="str">
        <f t="shared" si="3"/>
        <v>FA002</v>
      </c>
    </row>
    <row r="55" spans="2:47" outlineLevel="1" x14ac:dyDescent="0.25">
      <c r="B55" s="214">
        <v>103010</v>
      </c>
      <c r="C55" s="214" t="s">
        <v>276</v>
      </c>
      <c r="D55" s="214" t="s">
        <v>363</v>
      </c>
      <c r="E55" s="214"/>
      <c r="F55" s="214" t="s">
        <v>1576</v>
      </c>
      <c r="G55" s="214" t="s">
        <v>349</v>
      </c>
      <c r="H55" s="214" t="s">
        <v>361</v>
      </c>
      <c r="I55" s="214" t="s">
        <v>351</v>
      </c>
      <c r="J55" s="214" t="s">
        <v>352</v>
      </c>
      <c r="K55" s="214" t="s">
        <v>446</v>
      </c>
      <c r="L55" s="214"/>
      <c r="M55" s="167">
        <f t="shared" si="0"/>
        <v>1</v>
      </c>
      <c r="N55" s="167">
        <f t="shared" si="4"/>
        <v>1</v>
      </c>
      <c r="AT55" s="167" t="str">
        <f t="shared" si="2"/>
        <v>10301FA003</v>
      </c>
      <c r="AU55" s="167" t="str">
        <f t="shared" si="3"/>
        <v>FA003</v>
      </c>
    </row>
    <row r="56" spans="2:47" outlineLevel="1" x14ac:dyDescent="0.25">
      <c r="B56" s="214">
        <v>103010</v>
      </c>
      <c r="C56" s="214" t="s">
        <v>268</v>
      </c>
      <c r="D56" s="214" t="s">
        <v>364</v>
      </c>
      <c r="E56" s="214"/>
      <c r="F56" s="214" t="s">
        <v>1576</v>
      </c>
      <c r="G56" s="214" t="s">
        <v>349</v>
      </c>
      <c r="H56" s="214" t="s">
        <v>361</v>
      </c>
      <c r="I56" s="214" t="s">
        <v>351</v>
      </c>
      <c r="J56" s="214" t="s">
        <v>352</v>
      </c>
      <c r="K56" s="214" t="s">
        <v>446</v>
      </c>
      <c r="L56" s="214"/>
      <c r="M56" s="167">
        <f t="shared" si="0"/>
        <v>1</v>
      </c>
      <c r="N56" s="167">
        <f t="shared" si="4"/>
        <v>1</v>
      </c>
      <c r="AT56" s="167" t="str">
        <f t="shared" si="2"/>
        <v>10301FA004</v>
      </c>
      <c r="AU56" s="167" t="str">
        <f t="shared" si="3"/>
        <v>FA004</v>
      </c>
    </row>
    <row r="57" spans="2:47" outlineLevel="1" x14ac:dyDescent="0.25">
      <c r="B57" s="214">
        <v>103010</v>
      </c>
      <c r="C57" s="214" t="s">
        <v>285</v>
      </c>
      <c r="D57" s="214" t="s">
        <v>365</v>
      </c>
      <c r="E57" s="214"/>
      <c r="F57" s="214" t="s">
        <v>1576</v>
      </c>
      <c r="G57" s="214" t="s">
        <v>349</v>
      </c>
      <c r="H57" s="214" t="s">
        <v>361</v>
      </c>
      <c r="I57" s="214" t="s">
        <v>351</v>
      </c>
      <c r="J57" s="214" t="s">
        <v>352</v>
      </c>
      <c r="K57" s="214" t="s">
        <v>446</v>
      </c>
      <c r="L57" s="214"/>
      <c r="M57" s="167">
        <f t="shared" si="0"/>
        <v>1</v>
      </c>
      <c r="N57" s="167">
        <f t="shared" si="4"/>
        <v>1</v>
      </c>
      <c r="AT57" s="167" t="str">
        <f t="shared" si="2"/>
        <v>10301FA005</v>
      </c>
      <c r="AU57" s="167" t="str">
        <f t="shared" si="3"/>
        <v>FA005</v>
      </c>
    </row>
    <row r="58" spans="2:47" outlineLevel="1" x14ac:dyDescent="0.25">
      <c r="B58" s="214">
        <v>103010</v>
      </c>
      <c r="C58" s="214" t="s">
        <v>292</v>
      </c>
      <c r="D58" s="214" t="s">
        <v>366</v>
      </c>
      <c r="E58" s="214"/>
      <c r="F58" s="214" t="s">
        <v>1576</v>
      </c>
      <c r="G58" s="214" t="s">
        <v>349</v>
      </c>
      <c r="H58" s="214" t="s">
        <v>361</v>
      </c>
      <c r="I58" s="214" t="s">
        <v>351</v>
      </c>
      <c r="J58" s="214" t="s">
        <v>352</v>
      </c>
      <c r="K58" s="214" t="s">
        <v>446</v>
      </c>
      <c r="L58" s="214"/>
      <c r="M58" s="167">
        <f t="shared" si="0"/>
        <v>1</v>
      </c>
      <c r="N58" s="167">
        <f t="shared" si="4"/>
        <v>1</v>
      </c>
      <c r="AT58" s="167" t="str">
        <f t="shared" si="2"/>
        <v>10301FA006</v>
      </c>
      <c r="AU58" s="167" t="str">
        <f t="shared" si="3"/>
        <v>FA006</v>
      </c>
    </row>
    <row r="59" spans="2:47" outlineLevel="1" x14ac:dyDescent="0.25">
      <c r="B59" s="214">
        <v>103010</v>
      </c>
      <c r="C59" s="214" t="s">
        <v>283</v>
      </c>
      <c r="D59" s="214" t="s">
        <v>367</v>
      </c>
      <c r="E59" s="214"/>
      <c r="F59" s="214" t="s">
        <v>368</v>
      </c>
      <c r="G59" s="214" t="s">
        <v>349</v>
      </c>
      <c r="H59" s="214" t="s">
        <v>361</v>
      </c>
      <c r="I59" s="214" t="s">
        <v>351</v>
      </c>
      <c r="J59" s="214" t="s">
        <v>352</v>
      </c>
      <c r="K59" s="214" t="s">
        <v>446</v>
      </c>
      <c r="L59" s="214"/>
      <c r="M59" s="167">
        <f t="shared" si="0"/>
        <v>1</v>
      </c>
      <c r="N59" s="167">
        <f t="shared" si="4"/>
        <v>1</v>
      </c>
      <c r="AT59" s="167" t="str">
        <f t="shared" si="2"/>
        <v>10301FA007</v>
      </c>
      <c r="AU59" s="167" t="str">
        <f t="shared" si="3"/>
        <v>FA007</v>
      </c>
    </row>
    <row r="60" spans="2:47" outlineLevel="1" x14ac:dyDescent="0.25">
      <c r="B60" s="214">
        <v>103010</v>
      </c>
      <c r="C60" s="214" t="s">
        <v>369</v>
      </c>
      <c r="D60" s="214" t="s">
        <v>370</v>
      </c>
      <c r="E60" s="214"/>
      <c r="F60" s="214" t="s">
        <v>1576</v>
      </c>
      <c r="G60" s="214" t="s">
        <v>349</v>
      </c>
      <c r="H60" s="214" t="s">
        <v>361</v>
      </c>
      <c r="I60" s="214" t="s">
        <v>351</v>
      </c>
      <c r="J60" s="214" t="s">
        <v>352</v>
      </c>
      <c r="K60" s="214" t="s">
        <v>446</v>
      </c>
      <c r="L60" s="216" t="s">
        <v>450</v>
      </c>
      <c r="M60" s="167">
        <f t="shared" si="0"/>
        <v>0</v>
      </c>
      <c r="N60" s="167">
        <f t="shared" si="4"/>
        <v>0</v>
      </c>
      <c r="AT60" s="167" t="str">
        <f t="shared" si="2"/>
        <v>10301FA999</v>
      </c>
      <c r="AU60" s="167" t="str">
        <f t="shared" si="3"/>
        <v>FA999</v>
      </c>
    </row>
    <row r="61" spans="2:47" outlineLevel="1" x14ac:dyDescent="0.25">
      <c r="B61" s="214">
        <v>103010</v>
      </c>
      <c r="C61" s="214" t="s">
        <v>269</v>
      </c>
      <c r="D61" s="214" t="s">
        <v>371</v>
      </c>
      <c r="E61" s="214"/>
      <c r="F61" s="214" t="s">
        <v>1576</v>
      </c>
      <c r="G61" s="214" t="s">
        <v>349</v>
      </c>
      <c r="H61" s="214" t="s">
        <v>108</v>
      </c>
      <c r="I61" s="214" t="s">
        <v>351</v>
      </c>
      <c r="J61" s="214" t="s">
        <v>352</v>
      </c>
      <c r="K61" s="214" t="s">
        <v>446</v>
      </c>
      <c r="L61" s="214"/>
      <c r="M61" s="167">
        <f t="shared" si="0"/>
        <v>1</v>
      </c>
      <c r="N61" s="167">
        <f>COUNTIFS($H$16:$H$44,C61)</f>
        <v>1</v>
      </c>
      <c r="AT61" s="167" t="str">
        <f t="shared" si="2"/>
        <v>10301GA001</v>
      </c>
      <c r="AU61" s="167" t="str">
        <f t="shared" si="3"/>
        <v>GA001</v>
      </c>
    </row>
    <row r="62" spans="2:47" outlineLevel="1" x14ac:dyDescent="0.25">
      <c r="B62" s="214">
        <v>103010</v>
      </c>
      <c r="C62" s="214" t="s">
        <v>286</v>
      </c>
      <c r="D62" s="214" t="s">
        <v>372</v>
      </c>
      <c r="E62" s="214"/>
      <c r="F62" s="214" t="s">
        <v>1576</v>
      </c>
      <c r="G62" s="214" t="s">
        <v>349</v>
      </c>
      <c r="H62" s="214" t="s">
        <v>108</v>
      </c>
      <c r="I62" s="214" t="s">
        <v>351</v>
      </c>
      <c r="J62" s="214" t="s">
        <v>352</v>
      </c>
      <c r="K62" s="214" t="s">
        <v>446</v>
      </c>
      <c r="L62" s="214"/>
      <c r="M62" s="167">
        <f t="shared" si="0"/>
        <v>1</v>
      </c>
      <c r="N62" s="167">
        <f t="shared" ref="N62:N70" si="5">COUNTIFS($H$16:$H$44,C62)</f>
        <v>1</v>
      </c>
      <c r="AT62" s="167" t="str">
        <f t="shared" si="2"/>
        <v>10301GA002</v>
      </c>
      <c r="AU62" s="167" t="str">
        <f t="shared" si="3"/>
        <v>GA002</v>
      </c>
    </row>
    <row r="63" spans="2:47" outlineLevel="1" x14ac:dyDescent="0.25">
      <c r="B63" s="214">
        <v>103010</v>
      </c>
      <c r="C63" s="214" t="s">
        <v>296</v>
      </c>
      <c r="D63" s="214" t="s">
        <v>373</v>
      </c>
      <c r="E63" s="214"/>
      <c r="F63" s="214" t="s">
        <v>1576</v>
      </c>
      <c r="G63" s="214" t="s">
        <v>349</v>
      </c>
      <c r="H63" s="214" t="s">
        <v>108</v>
      </c>
      <c r="I63" s="214" t="s">
        <v>351</v>
      </c>
      <c r="J63" s="214" t="s">
        <v>352</v>
      </c>
      <c r="K63" s="214" t="s">
        <v>446</v>
      </c>
      <c r="L63" s="214"/>
      <c r="M63" s="167">
        <f t="shared" si="0"/>
        <v>1</v>
      </c>
      <c r="N63" s="167">
        <f t="shared" si="5"/>
        <v>1</v>
      </c>
      <c r="AT63" s="167" t="str">
        <f t="shared" si="2"/>
        <v>10301GA003</v>
      </c>
      <c r="AU63" s="167" t="str">
        <f t="shared" si="3"/>
        <v>GA003</v>
      </c>
    </row>
    <row r="64" spans="2:47" outlineLevel="1" x14ac:dyDescent="0.25">
      <c r="B64" s="214">
        <v>103010</v>
      </c>
      <c r="C64" s="214" t="s">
        <v>302</v>
      </c>
      <c r="D64" s="214" t="s">
        <v>374</v>
      </c>
      <c r="E64" s="214"/>
      <c r="F64" s="214" t="s">
        <v>1576</v>
      </c>
      <c r="G64" s="214" t="s">
        <v>349</v>
      </c>
      <c r="H64" s="214" t="s">
        <v>108</v>
      </c>
      <c r="I64" s="214" t="s">
        <v>351</v>
      </c>
      <c r="J64" s="214" t="s">
        <v>352</v>
      </c>
      <c r="K64" s="214" t="s">
        <v>446</v>
      </c>
      <c r="L64" s="214"/>
      <c r="M64" s="167">
        <f t="shared" si="0"/>
        <v>1</v>
      </c>
      <c r="N64" s="167">
        <f t="shared" si="5"/>
        <v>1</v>
      </c>
      <c r="AT64" s="167" t="str">
        <f t="shared" si="2"/>
        <v>10301GA004</v>
      </c>
      <c r="AU64" s="167" t="str">
        <f t="shared" si="3"/>
        <v>GA004</v>
      </c>
    </row>
    <row r="65" spans="2:47" outlineLevel="1" x14ac:dyDescent="0.25">
      <c r="B65" s="214">
        <v>103010</v>
      </c>
      <c r="C65" s="214" t="s">
        <v>307</v>
      </c>
      <c r="D65" s="214" t="s">
        <v>375</v>
      </c>
      <c r="E65" s="214"/>
      <c r="F65" s="214" t="s">
        <v>1576</v>
      </c>
      <c r="G65" s="214" t="s">
        <v>349</v>
      </c>
      <c r="H65" s="214" t="s">
        <v>108</v>
      </c>
      <c r="I65" s="214" t="s">
        <v>351</v>
      </c>
      <c r="J65" s="214" t="s">
        <v>352</v>
      </c>
      <c r="K65" s="214" t="s">
        <v>446</v>
      </c>
      <c r="L65" s="214"/>
      <c r="M65" s="167">
        <f t="shared" si="0"/>
        <v>1</v>
      </c>
      <c r="N65" s="167">
        <f t="shared" si="5"/>
        <v>1</v>
      </c>
      <c r="AT65" s="167" t="str">
        <f t="shared" si="2"/>
        <v>10301GA005</v>
      </c>
      <c r="AU65" s="167" t="str">
        <f t="shared" si="3"/>
        <v>GA005</v>
      </c>
    </row>
    <row r="66" spans="2:47" outlineLevel="1" x14ac:dyDescent="0.25">
      <c r="B66" s="214">
        <v>103010</v>
      </c>
      <c r="C66" s="214" t="s">
        <v>316</v>
      </c>
      <c r="D66" s="214" t="s">
        <v>376</v>
      </c>
      <c r="E66" s="214"/>
      <c r="F66" s="214" t="s">
        <v>1576</v>
      </c>
      <c r="G66" s="214" t="s">
        <v>349</v>
      </c>
      <c r="H66" s="214" t="s">
        <v>108</v>
      </c>
      <c r="I66" s="214" t="s">
        <v>351</v>
      </c>
      <c r="J66" s="214" t="s">
        <v>352</v>
      </c>
      <c r="K66" s="214" t="s">
        <v>446</v>
      </c>
      <c r="L66" s="215" t="s">
        <v>447</v>
      </c>
      <c r="M66" s="167">
        <f t="shared" si="0"/>
        <v>0</v>
      </c>
      <c r="N66" s="167">
        <f t="shared" si="5"/>
        <v>0</v>
      </c>
      <c r="AT66" s="167" t="str">
        <f t="shared" si="2"/>
        <v>10301GA006</v>
      </c>
      <c r="AU66" s="167" t="str">
        <f t="shared" si="3"/>
        <v>GA006</v>
      </c>
    </row>
    <row r="67" spans="2:47" outlineLevel="1" x14ac:dyDescent="0.25">
      <c r="B67" s="214">
        <v>103010</v>
      </c>
      <c r="C67" s="214" t="s">
        <v>318</v>
      </c>
      <c r="D67" s="214" t="s">
        <v>377</v>
      </c>
      <c r="E67" s="214"/>
      <c r="F67" s="214" t="s">
        <v>1576</v>
      </c>
      <c r="G67" s="214" t="s">
        <v>349</v>
      </c>
      <c r="H67" s="214" t="s">
        <v>108</v>
      </c>
      <c r="I67" s="214" t="s">
        <v>351</v>
      </c>
      <c r="J67" s="214" t="s">
        <v>352</v>
      </c>
      <c r="K67" s="214" t="s">
        <v>446</v>
      </c>
      <c r="L67" s="215" t="s">
        <v>447</v>
      </c>
      <c r="M67" s="167">
        <f t="shared" si="0"/>
        <v>0</v>
      </c>
      <c r="N67" s="167">
        <f t="shared" si="5"/>
        <v>0</v>
      </c>
      <c r="AT67" s="167" t="str">
        <f t="shared" si="2"/>
        <v>10301GA007</v>
      </c>
      <c r="AU67" s="167" t="str">
        <f t="shared" si="3"/>
        <v>GA007</v>
      </c>
    </row>
    <row r="68" spans="2:47" outlineLevel="1" x14ac:dyDescent="0.25">
      <c r="B68" s="214">
        <v>103010</v>
      </c>
      <c r="C68" s="214" t="s">
        <v>310</v>
      </c>
      <c r="D68" s="214" t="s">
        <v>378</v>
      </c>
      <c r="E68" s="214"/>
      <c r="F68" s="214" t="s">
        <v>1576</v>
      </c>
      <c r="G68" s="214" t="s">
        <v>349</v>
      </c>
      <c r="H68" s="214" t="s">
        <v>108</v>
      </c>
      <c r="I68" s="214" t="s">
        <v>351</v>
      </c>
      <c r="J68" s="214" t="s">
        <v>352</v>
      </c>
      <c r="K68" s="214" t="s">
        <v>446</v>
      </c>
      <c r="L68" s="214"/>
      <c r="M68" s="167">
        <f t="shared" si="0"/>
        <v>1</v>
      </c>
      <c r="N68" s="167">
        <f t="shared" si="5"/>
        <v>1</v>
      </c>
      <c r="AT68" s="167" t="str">
        <f t="shared" si="2"/>
        <v>10301GA008</v>
      </c>
      <c r="AU68" s="167" t="str">
        <f t="shared" si="3"/>
        <v>GA008</v>
      </c>
    </row>
    <row r="69" spans="2:47" outlineLevel="1" x14ac:dyDescent="0.25">
      <c r="B69" s="214">
        <v>103010</v>
      </c>
      <c r="C69" s="214" t="s">
        <v>319</v>
      </c>
      <c r="D69" s="214" t="s">
        <v>379</v>
      </c>
      <c r="E69" s="214"/>
      <c r="F69" s="214" t="s">
        <v>1576</v>
      </c>
      <c r="G69" s="214" t="s">
        <v>349</v>
      </c>
      <c r="H69" s="214" t="s">
        <v>108</v>
      </c>
      <c r="I69" s="214" t="s">
        <v>351</v>
      </c>
      <c r="J69" s="214" t="s">
        <v>352</v>
      </c>
      <c r="K69" s="214" t="s">
        <v>446</v>
      </c>
      <c r="L69" s="215" t="s">
        <v>447</v>
      </c>
      <c r="M69" s="167">
        <f t="shared" si="0"/>
        <v>0</v>
      </c>
      <c r="N69" s="167">
        <f t="shared" si="5"/>
        <v>0</v>
      </c>
      <c r="AT69" s="167" t="str">
        <f t="shared" si="2"/>
        <v>10301GA009</v>
      </c>
      <c r="AU69" s="167" t="str">
        <f t="shared" si="3"/>
        <v>GA009</v>
      </c>
    </row>
    <row r="70" spans="2:47" outlineLevel="1" x14ac:dyDescent="0.25">
      <c r="B70" s="214">
        <v>103010</v>
      </c>
      <c r="C70" s="214" t="s">
        <v>320</v>
      </c>
      <c r="D70" s="214" t="s">
        <v>380</v>
      </c>
      <c r="E70" s="214"/>
      <c r="F70" s="214" t="s">
        <v>1576</v>
      </c>
      <c r="G70" s="214" t="s">
        <v>349</v>
      </c>
      <c r="H70" s="214" t="s">
        <v>108</v>
      </c>
      <c r="I70" s="214" t="s">
        <v>351</v>
      </c>
      <c r="J70" s="214" t="s">
        <v>352</v>
      </c>
      <c r="K70" s="214" t="s">
        <v>446</v>
      </c>
      <c r="L70" s="215" t="s">
        <v>447</v>
      </c>
      <c r="M70" s="167">
        <f t="shared" si="0"/>
        <v>0</v>
      </c>
      <c r="N70" s="167">
        <f t="shared" si="5"/>
        <v>0</v>
      </c>
      <c r="AT70" s="167" t="str">
        <f t="shared" si="2"/>
        <v>10301GA010</v>
      </c>
      <c r="AU70" s="167" t="str">
        <f t="shared" si="3"/>
        <v>GA010</v>
      </c>
    </row>
    <row r="71" spans="2:47" outlineLevel="1" x14ac:dyDescent="0.25">
      <c r="B71" s="214">
        <v>103010</v>
      </c>
      <c r="C71" s="214" t="s">
        <v>271</v>
      </c>
      <c r="D71" s="214" t="s">
        <v>381</v>
      </c>
      <c r="E71" s="214"/>
      <c r="F71" s="214" t="s">
        <v>1576</v>
      </c>
      <c r="G71" s="214" t="s">
        <v>349</v>
      </c>
      <c r="H71" s="214" t="s">
        <v>52</v>
      </c>
      <c r="I71" s="214" t="s">
        <v>351</v>
      </c>
      <c r="J71" s="214" t="s">
        <v>352</v>
      </c>
      <c r="K71" s="214" t="s">
        <v>446</v>
      </c>
      <c r="L71" s="214"/>
      <c r="M71" s="167">
        <f t="shared" si="0"/>
        <v>1</v>
      </c>
      <c r="N71" s="167">
        <f>COUNTIFS($G$16:$G$44,C71)</f>
        <v>1</v>
      </c>
      <c r="AT71" s="167" t="str">
        <f t="shared" si="2"/>
        <v>10301HR001</v>
      </c>
      <c r="AU71" s="167" t="str">
        <f t="shared" si="3"/>
        <v>HR001</v>
      </c>
    </row>
    <row r="72" spans="2:47" outlineLevel="1" x14ac:dyDescent="0.25">
      <c r="B72" s="214">
        <v>103010</v>
      </c>
      <c r="C72" s="214" t="s">
        <v>288</v>
      </c>
      <c r="D72" s="214" t="s">
        <v>382</v>
      </c>
      <c r="E72" s="214"/>
      <c r="F72" s="214" t="s">
        <v>1576</v>
      </c>
      <c r="G72" s="214" t="s">
        <v>349</v>
      </c>
      <c r="H72" s="214" t="s">
        <v>52</v>
      </c>
      <c r="I72" s="214" t="s">
        <v>351</v>
      </c>
      <c r="J72" s="214" t="s">
        <v>352</v>
      </c>
      <c r="K72" s="214" t="s">
        <v>446</v>
      </c>
      <c r="L72" s="214"/>
      <c r="M72" s="167">
        <f t="shared" si="0"/>
        <v>1</v>
      </c>
      <c r="N72" s="167">
        <f t="shared" ref="N72:N78" si="6">COUNTIFS($G$16:$G$44,C72)</f>
        <v>1</v>
      </c>
      <c r="AT72" s="167" t="str">
        <f t="shared" si="2"/>
        <v>10301HR002</v>
      </c>
      <c r="AU72" s="167" t="str">
        <f t="shared" si="3"/>
        <v>HR002</v>
      </c>
    </row>
    <row r="73" spans="2:47" outlineLevel="1" x14ac:dyDescent="0.25">
      <c r="B73" s="214">
        <v>103010</v>
      </c>
      <c r="C73" s="214" t="s">
        <v>297</v>
      </c>
      <c r="D73" s="214" t="s">
        <v>383</v>
      </c>
      <c r="E73" s="214"/>
      <c r="F73" s="214" t="s">
        <v>1576</v>
      </c>
      <c r="G73" s="214" t="s">
        <v>349</v>
      </c>
      <c r="H73" s="214" t="s">
        <v>52</v>
      </c>
      <c r="I73" s="214" t="s">
        <v>351</v>
      </c>
      <c r="J73" s="214" t="s">
        <v>352</v>
      </c>
      <c r="K73" s="214" t="s">
        <v>446</v>
      </c>
      <c r="L73" s="214"/>
      <c r="M73" s="167">
        <f t="shared" si="0"/>
        <v>1</v>
      </c>
      <c r="N73" s="167">
        <f t="shared" si="6"/>
        <v>1</v>
      </c>
      <c r="AT73" s="167" t="str">
        <f t="shared" si="2"/>
        <v>10301HR003</v>
      </c>
      <c r="AU73" s="167" t="str">
        <f t="shared" si="3"/>
        <v>HR003</v>
      </c>
    </row>
    <row r="74" spans="2:47" outlineLevel="1" x14ac:dyDescent="0.25">
      <c r="B74" s="214">
        <v>103010</v>
      </c>
      <c r="C74" s="214" t="s">
        <v>303</v>
      </c>
      <c r="D74" s="214" t="s">
        <v>384</v>
      </c>
      <c r="E74" s="214"/>
      <c r="F74" s="214" t="s">
        <v>1576</v>
      </c>
      <c r="G74" s="214" t="s">
        <v>349</v>
      </c>
      <c r="H74" s="214" t="s">
        <v>52</v>
      </c>
      <c r="I74" s="214" t="s">
        <v>351</v>
      </c>
      <c r="J74" s="214" t="s">
        <v>352</v>
      </c>
      <c r="K74" s="214" t="s">
        <v>446</v>
      </c>
      <c r="L74" s="214"/>
      <c r="M74" s="167">
        <f t="shared" si="0"/>
        <v>1</v>
      </c>
      <c r="N74" s="167">
        <f t="shared" si="6"/>
        <v>1</v>
      </c>
      <c r="AT74" s="167" t="str">
        <f t="shared" si="2"/>
        <v>10301HR004</v>
      </c>
      <c r="AU74" s="167" t="str">
        <f t="shared" si="3"/>
        <v>HR004</v>
      </c>
    </row>
    <row r="75" spans="2:47" outlineLevel="1" x14ac:dyDescent="0.25">
      <c r="B75" s="214">
        <v>103010</v>
      </c>
      <c r="C75" s="214" t="s">
        <v>308</v>
      </c>
      <c r="D75" s="214" t="s">
        <v>385</v>
      </c>
      <c r="E75" s="214"/>
      <c r="F75" s="214" t="s">
        <v>1576</v>
      </c>
      <c r="G75" s="214" t="s">
        <v>349</v>
      </c>
      <c r="H75" s="214" t="s">
        <v>52</v>
      </c>
      <c r="I75" s="214" t="s">
        <v>351</v>
      </c>
      <c r="J75" s="214" t="s">
        <v>352</v>
      </c>
      <c r="K75" s="214" t="s">
        <v>446</v>
      </c>
      <c r="L75" s="214"/>
      <c r="M75" s="167">
        <f t="shared" si="0"/>
        <v>1</v>
      </c>
      <c r="N75" s="167">
        <f t="shared" si="6"/>
        <v>1</v>
      </c>
      <c r="AT75" s="167" t="str">
        <f t="shared" si="2"/>
        <v>10301HR005</v>
      </c>
      <c r="AU75" s="167" t="str">
        <f t="shared" si="3"/>
        <v>HR005</v>
      </c>
    </row>
    <row r="76" spans="2:47" outlineLevel="1" x14ac:dyDescent="0.25">
      <c r="B76" s="214">
        <v>103010</v>
      </c>
      <c r="C76" s="214" t="s">
        <v>314</v>
      </c>
      <c r="D76" s="214" t="s">
        <v>386</v>
      </c>
      <c r="E76" s="214"/>
      <c r="F76" s="214" t="s">
        <v>1576</v>
      </c>
      <c r="G76" s="214" t="s">
        <v>349</v>
      </c>
      <c r="H76" s="214" t="s">
        <v>52</v>
      </c>
      <c r="I76" s="214" t="s">
        <v>351</v>
      </c>
      <c r="J76" s="214" t="s">
        <v>352</v>
      </c>
      <c r="K76" s="214" t="s">
        <v>446</v>
      </c>
      <c r="L76" s="214"/>
      <c r="M76" s="167">
        <f t="shared" si="0"/>
        <v>1</v>
      </c>
      <c r="N76" s="167">
        <f t="shared" si="6"/>
        <v>1</v>
      </c>
      <c r="AT76" s="167" t="str">
        <f t="shared" si="2"/>
        <v>10301HR006</v>
      </c>
      <c r="AU76" s="167" t="str">
        <f t="shared" si="3"/>
        <v>HR006</v>
      </c>
    </row>
    <row r="77" spans="2:47" outlineLevel="1" x14ac:dyDescent="0.25">
      <c r="B77" s="214">
        <v>103010</v>
      </c>
      <c r="C77" s="214" t="s">
        <v>311</v>
      </c>
      <c r="D77" s="214" t="s">
        <v>387</v>
      </c>
      <c r="E77" s="214"/>
      <c r="F77" s="214" t="s">
        <v>1576</v>
      </c>
      <c r="G77" s="214" t="s">
        <v>349</v>
      </c>
      <c r="H77" s="214" t="s">
        <v>52</v>
      </c>
      <c r="I77" s="214" t="s">
        <v>351</v>
      </c>
      <c r="J77" s="214" t="s">
        <v>352</v>
      </c>
      <c r="K77" s="214" t="s">
        <v>446</v>
      </c>
      <c r="L77" s="214"/>
      <c r="M77" s="167">
        <f t="shared" si="0"/>
        <v>1</v>
      </c>
      <c r="N77" s="167">
        <f t="shared" si="6"/>
        <v>1</v>
      </c>
      <c r="AT77" s="167" t="str">
        <f t="shared" si="2"/>
        <v>10301HR007</v>
      </c>
      <c r="AU77" s="167" t="str">
        <f t="shared" si="3"/>
        <v>HR007</v>
      </c>
    </row>
    <row r="78" spans="2:47" outlineLevel="1" x14ac:dyDescent="0.25">
      <c r="B78" s="214">
        <v>103010</v>
      </c>
      <c r="C78" s="214" t="s">
        <v>317</v>
      </c>
      <c r="D78" s="214" t="s">
        <v>388</v>
      </c>
      <c r="E78" s="214"/>
      <c r="F78" s="214" t="s">
        <v>1576</v>
      </c>
      <c r="G78" s="214" t="s">
        <v>349</v>
      </c>
      <c r="H78" s="214" t="s">
        <v>52</v>
      </c>
      <c r="I78" s="214" t="s">
        <v>351</v>
      </c>
      <c r="J78" s="214" t="s">
        <v>352</v>
      </c>
      <c r="K78" s="214" t="s">
        <v>446</v>
      </c>
      <c r="L78" s="214"/>
      <c r="M78" s="167">
        <f t="shared" si="0"/>
        <v>1</v>
      </c>
      <c r="N78" s="167">
        <f t="shared" si="6"/>
        <v>1</v>
      </c>
      <c r="AT78" s="167" t="str">
        <f t="shared" si="2"/>
        <v>10301HR008</v>
      </c>
      <c r="AU78" s="167" t="str">
        <f t="shared" si="3"/>
        <v>HR008</v>
      </c>
    </row>
    <row r="79" spans="2:47" outlineLevel="1" x14ac:dyDescent="0.25">
      <c r="B79" s="214">
        <v>103010</v>
      </c>
      <c r="C79" s="214" t="s">
        <v>270</v>
      </c>
      <c r="D79" s="214" t="s">
        <v>389</v>
      </c>
      <c r="E79" s="214"/>
      <c r="F79" s="214" t="s">
        <v>1576</v>
      </c>
      <c r="G79" s="214" t="s">
        <v>349</v>
      </c>
      <c r="H79" s="214" t="s">
        <v>390</v>
      </c>
      <c r="I79" s="214" t="s">
        <v>351</v>
      </c>
      <c r="J79" s="214" t="s">
        <v>352</v>
      </c>
      <c r="K79" s="214" t="s">
        <v>446</v>
      </c>
      <c r="L79" s="214"/>
      <c r="M79" s="167">
        <f t="shared" si="0"/>
        <v>1</v>
      </c>
      <c r="N79" s="167">
        <f>COUNTIFS($J$16:$J$32,C79)</f>
        <v>1</v>
      </c>
      <c r="AT79" s="167" t="str">
        <f t="shared" si="2"/>
        <v>10301HS001</v>
      </c>
      <c r="AU79" s="167" t="str">
        <f t="shared" si="3"/>
        <v>HS001</v>
      </c>
    </row>
    <row r="80" spans="2:47" outlineLevel="1" x14ac:dyDescent="0.25">
      <c r="B80" s="214">
        <v>103010</v>
      </c>
      <c r="C80" s="214" t="s">
        <v>309</v>
      </c>
      <c r="D80" s="214" t="s">
        <v>391</v>
      </c>
      <c r="E80" s="214"/>
      <c r="F80" s="214" t="s">
        <v>1576</v>
      </c>
      <c r="G80" s="214" t="s">
        <v>349</v>
      </c>
      <c r="H80" s="214" t="s">
        <v>392</v>
      </c>
      <c r="I80" s="214" t="s">
        <v>351</v>
      </c>
      <c r="J80" s="214" t="s">
        <v>352</v>
      </c>
      <c r="K80" s="214" t="s">
        <v>446</v>
      </c>
      <c r="L80" s="214"/>
      <c r="M80" s="167">
        <f t="shared" si="0"/>
        <v>1</v>
      </c>
      <c r="N80" s="167">
        <f>COUNTIFS($K$16:$K$44,C80)</f>
        <v>1</v>
      </c>
      <c r="AT80" s="167" t="str">
        <f t="shared" si="2"/>
        <v>10301HS002</v>
      </c>
      <c r="AU80" s="167" t="str">
        <f t="shared" si="3"/>
        <v>HS002</v>
      </c>
    </row>
    <row r="81" spans="2:47" outlineLevel="1" x14ac:dyDescent="0.25">
      <c r="B81" s="214">
        <v>103010</v>
      </c>
      <c r="C81" s="214" t="s">
        <v>272</v>
      </c>
      <c r="D81" s="214" t="s">
        <v>393</v>
      </c>
      <c r="E81" s="214"/>
      <c r="F81" s="214" t="s">
        <v>1576</v>
      </c>
      <c r="G81" s="214" t="s">
        <v>349</v>
      </c>
      <c r="H81" s="214" t="s">
        <v>249</v>
      </c>
      <c r="I81" s="214" t="s">
        <v>351</v>
      </c>
      <c r="J81" s="214" t="s">
        <v>352</v>
      </c>
      <c r="K81" s="214" t="s">
        <v>446</v>
      </c>
      <c r="L81" s="214"/>
      <c r="M81" s="167">
        <f t="shared" si="0"/>
        <v>1</v>
      </c>
      <c r="N81" s="167">
        <f>COUNTIFS($J$16:$J$32,C81)</f>
        <v>1</v>
      </c>
      <c r="AT81" s="167" t="str">
        <f t="shared" si="2"/>
        <v>10301IA001</v>
      </c>
      <c r="AU81" s="167" t="str">
        <f t="shared" si="3"/>
        <v>IA001</v>
      </c>
    </row>
    <row r="82" spans="2:47" outlineLevel="1" x14ac:dyDescent="0.25">
      <c r="B82" s="214">
        <v>103010</v>
      </c>
      <c r="C82" s="214" t="s">
        <v>273</v>
      </c>
      <c r="D82" s="214" t="s">
        <v>394</v>
      </c>
      <c r="E82" s="214"/>
      <c r="F82" s="214" t="s">
        <v>1576</v>
      </c>
      <c r="G82" s="214" t="s">
        <v>349</v>
      </c>
      <c r="H82" s="214" t="s">
        <v>32</v>
      </c>
      <c r="I82" s="214" t="s">
        <v>351</v>
      </c>
      <c r="J82" s="214" t="s">
        <v>352</v>
      </c>
      <c r="K82" s="214" t="s">
        <v>446</v>
      </c>
      <c r="L82" s="214"/>
      <c r="M82" s="167">
        <f t="shared" si="0"/>
        <v>1</v>
      </c>
      <c r="N82" s="167">
        <f>COUNTIFS($N$17:$N$43,C82)</f>
        <v>1</v>
      </c>
      <c r="AT82" s="167" t="str">
        <f t="shared" si="2"/>
        <v>10301IT001</v>
      </c>
      <c r="AU82" s="167" t="str">
        <f t="shared" si="3"/>
        <v>IT001</v>
      </c>
    </row>
    <row r="83" spans="2:47" outlineLevel="1" x14ac:dyDescent="0.25">
      <c r="B83" s="214">
        <v>103010</v>
      </c>
      <c r="C83" s="214" t="s">
        <v>395</v>
      </c>
      <c r="D83" s="214" t="s">
        <v>1985</v>
      </c>
      <c r="E83" s="214"/>
      <c r="F83" s="214" t="s">
        <v>1576</v>
      </c>
      <c r="G83" s="214" t="s">
        <v>349</v>
      </c>
      <c r="H83" s="214" t="s">
        <v>32</v>
      </c>
      <c r="I83" s="214" t="s">
        <v>351</v>
      </c>
      <c r="J83" s="214" t="s">
        <v>352</v>
      </c>
      <c r="K83" s="214" t="s">
        <v>446</v>
      </c>
      <c r="L83" s="214"/>
      <c r="M83" s="167">
        <f t="shared" ref="M83" si="7">COUNTIFS($F$18:$Q$40,C83)</f>
        <v>0</v>
      </c>
      <c r="N83" s="167">
        <f>COUNTIFS($N$17:$N$43,C83)</f>
        <v>0</v>
      </c>
      <c r="AT83" s="167" t="str">
        <f t="shared" ref="AT83" si="8">C83</f>
        <v>10301IT002</v>
      </c>
      <c r="AU83" s="167" t="str">
        <f t="shared" ref="AU83" si="9">RIGHT(C83,5)</f>
        <v>IT002</v>
      </c>
    </row>
    <row r="84" spans="2:47" outlineLevel="1" x14ac:dyDescent="0.25">
      <c r="B84" s="214">
        <v>103010</v>
      </c>
      <c r="C84" s="214" t="s">
        <v>289</v>
      </c>
      <c r="D84" s="214" t="s">
        <v>399</v>
      </c>
      <c r="E84" s="214"/>
      <c r="F84" s="214" t="s">
        <v>1576</v>
      </c>
      <c r="G84" s="214" t="s">
        <v>349</v>
      </c>
      <c r="H84" s="214" t="s">
        <v>32</v>
      </c>
      <c r="I84" s="214" t="s">
        <v>351</v>
      </c>
      <c r="J84" s="214" t="s">
        <v>352</v>
      </c>
      <c r="K84" s="214" t="s">
        <v>446</v>
      </c>
      <c r="L84" s="214"/>
      <c r="M84" s="167">
        <f t="shared" si="0"/>
        <v>1</v>
      </c>
      <c r="N84" s="167">
        <f>COUNTIFS($N$17:$N$43,C84)</f>
        <v>1</v>
      </c>
      <c r="AT84" s="167" t="str">
        <f t="shared" si="2"/>
        <v>10301IT003</v>
      </c>
      <c r="AU84" s="167" t="str">
        <f t="shared" si="3"/>
        <v>IT003</v>
      </c>
    </row>
    <row r="85" spans="2:47" outlineLevel="1" x14ac:dyDescent="0.25">
      <c r="B85" s="214">
        <v>103010</v>
      </c>
      <c r="C85" s="214" t="s">
        <v>313</v>
      </c>
      <c r="D85" s="214" t="s">
        <v>400</v>
      </c>
      <c r="E85" s="214"/>
      <c r="F85" s="214" t="s">
        <v>1576</v>
      </c>
      <c r="G85" s="214" t="s">
        <v>349</v>
      </c>
      <c r="H85" s="214" t="s">
        <v>108</v>
      </c>
      <c r="I85" s="214" t="s">
        <v>351</v>
      </c>
      <c r="J85" s="214" t="s">
        <v>352</v>
      </c>
      <c r="K85" s="214" t="s">
        <v>446</v>
      </c>
      <c r="L85" s="214"/>
      <c r="M85" s="167">
        <f t="shared" si="0"/>
        <v>1</v>
      </c>
      <c r="N85" s="167">
        <f>COUNTIFS($H$16:$H$44,C85)</f>
        <v>1</v>
      </c>
      <c r="AT85" s="167" t="str">
        <f t="shared" si="2"/>
        <v>10301MS001</v>
      </c>
      <c r="AU85" s="167" t="str">
        <f t="shared" si="3"/>
        <v>MS001</v>
      </c>
    </row>
    <row r="86" spans="2:47" outlineLevel="1" x14ac:dyDescent="0.25">
      <c r="B86" s="214">
        <v>103010</v>
      </c>
      <c r="C86" s="214" t="s">
        <v>291</v>
      </c>
      <c r="D86" s="214" t="s">
        <v>401</v>
      </c>
      <c r="E86" s="214"/>
      <c r="F86" s="214" t="s">
        <v>1576</v>
      </c>
      <c r="G86" s="214" t="s">
        <v>349</v>
      </c>
      <c r="H86" s="214" t="s">
        <v>402</v>
      </c>
      <c r="I86" s="214" t="s">
        <v>351</v>
      </c>
      <c r="J86" s="214" t="s">
        <v>352</v>
      </c>
      <c r="K86" s="214" t="s">
        <v>446</v>
      </c>
      <c r="L86" s="214"/>
      <c r="M86" s="167">
        <f t="shared" si="0"/>
        <v>1</v>
      </c>
      <c r="N86" s="167">
        <f>COUNTIFS($K$16:$K$44,C86)</f>
        <v>1</v>
      </c>
      <c r="AT86" s="167" t="str">
        <f t="shared" si="2"/>
        <v>10301MS002</v>
      </c>
      <c r="AU86" s="167" t="str">
        <f t="shared" si="3"/>
        <v>MS002</v>
      </c>
    </row>
    <row r="87" spans="2:47" outlineLevel="1" x14ac:dyDescent="0.25">
      <c r="B87" s="214">
        <v>103010</v>
      </c>
      <c r="C87" s="214" t="s">
        <v>287</v>
      </c>
      <c r="D87" s="214" t="s">
        <v>403</v>
      </c>
      <c r="E87" s="214"/>
      <c r="F87" s="214" t="s">
        <v>1576</v>
      </c>
      <c r="G87" s="214" t="s">
        <v>349</v>
      </c>
      <c r="H87" s="214" t="s">
        <v>390</v>
      </c>
      <c r="I87" s="214" t="s">
        <v>351</v>
      </c>
      <c r="J87" s="214" t="s">
        <v>352</v>
      </c>
      <c r="K87" s="214" t="s">
        <v>446</v>
      </c>
      <c r="L87" s="214"/>
      <c r="M87" s="167">
        <f t="shared" si="0"/>
        <v>1</v>
      </c>
      <c r="N87" s="167">
        <f>COUNTIFS($J$16:$J$32,C87)</f>
        <v>1</v>
      </c>
      <c r="AT87" s="167" t="str">
        <f t="shared" si="2"/>
        <v>10301MS003</v>
      </c>
      <c r="AU87" s="167" t="str">
        <f t="shared" si="3"/>
        <v>MS003</v>
      </c>
    </row>
    <row r="88" spans="2:47" outlineLevel="1" x14ac:dyDescent="0.25">
      <c r="B88" s="214">
        <v>103010</v>
      </c>
      <c r="C88" s="214" t="s">
        <v>304</v>
      </c>
      <c r="D88" s="214" t="s">
        <v>404</v>
      </c>
      <c r="E88" s="214"/>
      <c r="F88" s="214" t="s">
        <v>1576</v>
      </c>
      <c r="G88" s="214" t="s">
        <v>349</v>
      </c>
      <c r="H88" s="214" t="s">
        <v>405</v>
      </c>
      <c r="I88" s="214" t="s">
        <v>351</v>
      </c>
      <c r="J88" s="214" t="s">
        <v>352</v>
      </c>
      <c r="K88" s="214" t="s">
        <v>446</v>
      </c>
      <c r="L88" s="214"/>
      <c r="M88" s="167">
        <f t="shared" si="0"/>
        <v>1</v>
      </c>
      <c r="N88" s="167">
        <f t="shared" ref="N88:N92" si="10">COUNTIFS($K$16:$K$44,C88)</f>
        <v>1</v>
      </c>
      <c r="AT88" s="167" t="str">
        <f t="shared" si="2"/>
        <v>10301MS004</v>
      </c>
      <c r="AU88" s="167" t="str">
        <f t="shared" si="3"/>
        <v>MS004</v>
      </c>
    </row>
    <row r="89" spans="2:47" outlineLevel="1" x14ac:dyDescent="0.25">
      <c r="B89" s="214">
        <v>103010</v>
      </c>
      <c r="C89" s="214" t="s">
        <v>298</v>
      </c>
      <c r="D89" s="214" t="s">
        <v>406</v>
      </c>
      <c r="E89" s="214"/>
      <c r="F89" s="214" t="s">
        <v>1576</v>
      </c>
      <c r="G89" s="214" t="s">
        <v>349</v>
      </c>
      <c r="H89" s="214" t="s">
        <v>407</v>
      </c>
      <c r="I89" s="214" t="s">
        <v>351</v>
      </c>
      <c r="J89" s="214" t="s">
        <v>352</v>
      </c>
      <c r="K89" s="214" t="s">
        <v>446</v>
      </c>
      <c r="L89" s="214"/>
      <c r="M89" s="167">
        <f t="shared" si="0"/>
        <v>1</v>
      </c>
      <c r="N89" s="167">
        <f t="shared" si="10"/>
        <v>1</v>
      </c>
      <c r="AT89" s="167" t="str">
        <f t="shared" si="2"/>
        <v>10301MS005</v>
      </c>
      <c r="AU89" s="167" t="str">
        <f t="shared" si="3"/>
        <v>MS005</v>
      </c>
    </row>
    <row r="90" spans="2:47" outlineLevel="1" x14ac:dyDescent="0.25">
      <c r="B90" s="214">
        <v>103010</v>
      </c>
      <c r="C90" s="214" t="s">
        <v>299</v>
      </c>
      <c r="D90" s="214" t="s">
        <v>408</v>
      </c>
      <c r="E90" s="214"/>
      <c r="F90" s="214" t="s">
        <v>1576</v>
      </c>
      <c r="G90" s="214" t="s">
        <v>349</v>
      </c>
      <c r="H90" s="214" t="s">
        <v>409</v>
      </c>
      <c r="I90" s="214" t="s">
        <v>351</v>
      </c>
      <c r="J90" s="214" t="s">
        <v>352</v>
      </c>
      <c r="K90" s="214" t="s">
        <v>446</v>
      </c>
      <c r="L90" s="214"/>
      <c r="M90" s="167">
        <f t="shared" si="0"/>
        <v>1</v>
      </c>
      <c r="N90" s="167">
        <f t="shared" si="10"/>
        <v>1</v>
      </c>
      <c r="AT90" s="167" t="str">
        <f t="shared" si="2"/>
        <v>10301MS006</v>
      </c>
      <c r="AU90" s="167" t="str">
        <f t="shared" si="3"/>
        <v>MS006</v>
      </c>
    </row>
    <row r="91" spans="2:47" outlineLevel="1" x14ac:dyDescent="0.25">
      <c r="B91" s="214">
        <v>103010</v>
      </c>
      <c r="C91" s="214" t="s">
        <v>305</v>
      </c>
      <c r="D91" s="214" t="s">
        <v>410</v>
      </c>
      <c r="E91" s="214"/>
      <c r="F91" s="214" t="s">
        <v>1576</v>
      </c>
      <c r="G91" s="214" t="s">
        <v>349</v>
      </c>
      <c r="H91" s="214" t="s">
        <v>411</v>
      </c>
      <c r="I91" s="214" t="s">
        <v>351</v>
      </c>
      <c r="J91" s="214" t="s">
        <v>352</v>
      </c>
      <c r="K91" s="214" t="s">
        <v>446</v>
      </c>
      <c r="L91" s="214"/>
      <c r="M91" s="167">
        <f t="shared" si="0"/>
        <v>1</v>
      </c>
      <c r="N91" s="167">
        <f t="shared" si="10"/>
        <v>1</v>
      </c>
      <c r="AT91" s="167" t="str">
        <f t="shared" si="2"/>
        <v>10301MS007</v>
      </c>
      <c r="AU91" s="167" t="str">
        <f t="shared" si="3"/>
        <v>MS007</v>
      </c>
    </row>
    <row r="92" spans="2:47" outlineLevel="1" x14ac:dyDescent="0.25">
      <c r="B92" s="214">
        <v>103010</v>
      </c>
      <c r="C92" s="214" t="s">
        <v>275</v>
      </c>
      <c r="D92" s="214" t="s">
        <v>412</v>
      </c>
      <c r="E92" s="214"/>
      <c r="F92" s="214" t="s">
        <v>1576</v>
      </c>
      <c r="G92" s="214" t="s">
        <v>349</v>
      </c>
      <c r="H92" s="214" t="s">
        <v>413</v>
      </c>
      <c r="I92" s="214" t="s">
        <v>351</v>
      </c>
      <c r="J92" s="214" t="s">
        <v>352</v>
      </c>
      <c r="K92" s="214" t="s">
        <v>446</v>
      </c>
      <c r="L92" s="214"/>
      <c r="M92" s="167">
        <f t="shared" si="0"/>
        <v>1</v>
      </c>
      <c r="N92" s="167">
        <f t="shared" si="10"/>
        <v>1</v>
      </c>
      <c r="AT92" s="167" t="str">
        <f t="shared" si="2"/>
        <v>10301MS008</v>
      </c>
      <c r="AU92" s="167" t="str">
        <f t="shared" si="3"/>
        <v>MS008</v>
      </c>
    </row>
    <row r="93" spans="2:47" outlineLevel="1" x14ac:dyDescent="0.25">
      <c r="B93" s="214">
        <v>103010</v>
      </c>
      <c r="C93" s="214" t="s">
        <v>278</v>
      </c>
      <c r="D93" s="214" t="s">
        <v>414</v>
      </c>
      <c r="E93" s="214"/>
      <c r="F93" s="214" t="s">
        <v>1576</v>
      </c>
      <c r="G93" s="214" t="s">
        <v>349</v>
      </c>
      <c r="H93" s="214" t="s">
        <v>361</v>
      </c>
      <c r="I93" s="214" t="s">
        <v>351</v>
      </c>
      <c r="J93" s="214" t="s">
        <v>352</v>
      </c>
      <c r="K93" s="214" t="s">
        <v>446</v>
      </c>
      <c r="L93" s="215" t="s">
        <v>452</v>
      </c>
      <c r="M93" s="167">
        <f t="shared" si="0"/>
        <v>1</v>
      </c>
      <c r="N93" s="167">
        <f>+COUNTIFS( $L$17:$L$36,C93)</f>
        <v>0</v>
      </c>
      <c r="AT93" s="167" t="str">
        <f t="shared" si="2"/>
        <v>10301MS009</v>
      </c>
      <c r="AU93" s="167" t="str">
        <f t="shared" si="3"/>
        <v>MS009</v>
      </c>
    </row>
    <row r="94" spans="2:47" outlineLevel="1" x14ac:dyDescent="0.25">
      <c r="B94" s="214">
        <v>103010</v>
      </c>
      <c r="C94" s="214" t="s">
        <v>312</v>
      </c>
      <c r="D94" s="214" t="s">
        <v>415</v>
      </c>
      <c r="E94" s="214"/>
      <c r="F94" s="214" t="s">
        <v>1576</v>
      </c>
      <c r="G94" s="214" t="s">
        <v>349</v>
      </c>
      <c r="H94" s="214" t="s">
        <v>416</v>
      </c>
      <c r="I94" s="214" t="s">
        <v>351</v>
      </c>
      <c r="J94" s="214" t="s">
        <v>352</v>
      </c>
      <c r="K94" s="214" t="s">
        <v>446</v>
      </c>
      <c r="L94" s="214"/>
      <c r="M94" s="167">
        <f t="shared" si="0"/>
        <v>1</v>
      </c>
      <c r="N94" s="167">
        <f t="shared" ref="N94:N95" si="11">COUNTIFS($K$16:$K$44,C94)</f>
        <v>1</v>
      </c>
      <c r="AT94" s="167" t="str">
        <f t="shared" si="2"/>
        <v>10301PR001</v>
      </c>
      <c r="AU94" s="167" t="str">
        <f t="shared" si="3"/>
        <v>PR001</v>
      </c>
    </row>
    <row r="95" spans="2:47" outlineLevel="1" x14ac:dyDescent="0.25">
      <c r="B95" s="214">
        <v>103010</v>
      </c>
      <c r="C95" s="214" t="s">
        <v>315</v>
      </c>
      <c r="D95" s="214" t="s">
        <v>417</v>
      </c>
      <c r="E95" s="214"/>
      <c r="F95" s="214" t="s">
        <v>1576</v>
      </c>
      <c r="G95" s="214" t="s">
        <v>349</v>
      </c>
      <c r="H95" s="214" t="s">
        <v>416</v>
      </c>
      <c r="I95" s="214" t="s">
        <v>351</v>
      </c>
      <c r="J95" s="214" t="s">
        <v>352</v>
      </c>
      <c r="K95" s="214" t="s">
        <v>446</v>
      </c>
      <c r="L95" s="214"/>
      <c r="M95" s="167">
        <f t="shared" si="0"/>
        <v>1</v>
      </c>
      <c r="N95" s="167">
        <f t="shared" si="11"/>
        <v>1</v>
      </c>
      <c r="AT95" s="167" t="str">
        <f t="shared" si="2"/>
        <v>10301PR002</v>
      </c>
      <c r="AU95" s="167" t="str">
        <f t="shared" si="3"/>
        <v>PR002</v>
      </c>
    </row>
    <row r="96" spans="2:47" outlineLevel="1" x14ac:dyDescent="0.25">
      <c r="B96" s="214">
        <v>103010</v>
      </c>
      <c r="C96" s="214" t="s">
        <v>263</v>
      </c>
      <c r="D96" s="214" t="s">
        <v>418</v>
      </c>
      <c r="E96" s="214"/>
      <c r="F96" s="214" t="s">
        <v>1576</v>
      </c>
      <c r="G96" s="214" t="s">
        <v>349</v>
      </c>
      <c r="H96" s="214" t="s">
        <v>255</v>
      </c>
      <c r="I96" s="214" t="s">
        <v>351</v>
      </c>
      <c r="J96" s="214" t="s">
        <v>352</v>
      </c>
      <c r="K96" s="214" t="s">
        <v>446</v>
      </c>
      <c r="L96" s="214"/>
      <c r="M96" s="167">
        <f t="shared" si="0"/>
        <v>1</v>
      </c>
      <c r="N96" s="167">
        <f t="shared" ref="N96:N101" si="12">COUNTIF($M$16:$M$44,C96)</f>
        <v>1</v>
      </c>
      <c r="AT96" s="167" t="str">
        <f t="shared" si="2"/>
        <v>10301SC001</v>
      </c>
      <c r="AU96" s="167" t="str">
        <f t="shared" si="3"/>
        <v>SC001</v>
      </c>
    </row>
    <row r="97" spans="2:47" outlineLevel="1" x14ac:dyDescent="0.25">
      <c r="B97" s="214">
        <v>103010</v>
      </c>
      <c r="C97" s="214" t="s">
        <v>301</v>
      </c>
      <c r="D97" s="214" t="s">
        <v>419</v>
      </c>
      <c r="E97" s="214"/>
      <c r="F97" s="214" t="s">
        <v>1576</v>
      </c>
      <c r="G97" s="214" t="s">
        <v>349</v>
      </c>
      <c r="H97" s="214" t="s">
        <v>255</v>
      </c>
      <c r="I97" s="214" t="s">
        <v>351</v>
      </c>
      <c r="J97" s="214" t="s">
        <v>352</v>
      </c>
      <c r="K97" s="214" t="s">
        <v>446</v>
      </c>
      <c r="L97" s="214"/>
      <c r="M97" s="167">
        <f t="shared" si="0"/>
        <v>1</v>
      </c>
      <c r="N97" s="167">
        <f t="shared" si="12"/>
        <v>1</v>
      </c>
      <c r="AT97" s="167" t="str">
        <f t="shared" si="2"/>
        <v>10301SC002</v>
      </c>
      <c r="AU97" s="167" t="str">
        <f t="shared" si="3"/>
        <v>SC002</v>
      </c>
    </row>
    <row r="98" spans="2:47" outlineLevel="1" x14ac:dyDescent="0.25">
      <c r="B98" s="214">
        <v>103010</v>
      </c>
      <c r="C98" s="214" t="s">
        <v>282</v>
      </c>
      <c r="D98" s="214" t="s">
        <v>420</v>
      </c>
      <c r="E98" s="214"/>
      <c r="F98" s="214" t="s">
        <v>1576</v>
      </c>
      <c r="G98" s="214" t="s">
        <v>349</v>
      </c>
      <c r="H98" s="214" t="s">
        <v>255</v>
      </c>
      <c r="I98" s="214" t="s">
        <v>351</v>
      </c>
      <c r="J98" s="214" t="s">
        <v>352</v>
      </c>
      <c r="K98" s="214" t="s">
        <v>446</v>
      </c>
      <c r="L98" s="214"/>
      <c r="M98" s="167">
        <f t="shared" si="0"/>
        <v>1</v>
      </c>
      <c r="N98" s="167">
        <f t="shared" si="12"/>
        <v>1</v>
      </c>
      <c r="AT98" s="167" t="str">
        <f t="shared" si="2"/>
        <v>10301SC003</v>
      </c>
      <c r="AU98" s="167" t="str">
        <f t="shared" si="3"/>
        <v>SC003</v>
      </c>
    </row>
    <row r="99" spans="2:47" outlineLevel="1" x14ac:dyDescent="0.25">
      <c r="B99" s="214">
        <v>103010</v>
      </c>
      <c r="C99" s="214" t="s">
        <v>264</v>
      </c>
      <c r="D99" s="214" t="s">
        <v>421</v>
      </c>
      <c r="E99" s="214"/>
      <c r="F99" s="214" t="s">
        <v>1576</v>
      </c>
      <c r="G99" s="214" t="s">
        <v>349</v>
      </c>
      <c r="H99" s="214" t="s">
        <v>255</v>
      </c>
      <c r="I99" s="214" t="s">
        <v>351</v>
      </c>
      <c r="J99" s="214" t="s">
        <v>352</v>
      </c>
      <c r="K99" s="214" t="s">
        <v>446</v>
      </c>
      <c r="L99" s="214"/>
      <c r="M99" s="167">
        <f t="shared" si="0"/>
        <v>1</v>
      </c>
      <c r="N99" s="167">
        <f t="shared" si="12"/>
        <v>1</v>
      </c>
      <c r="AT99" s="167" t="str">
        <f t="shared" si="2"/>
        <v>10301SC004</v>
      </c>
      <c r="AU99" s="167" t="str">
        <f t="shared" si="3"/>
        <v>SC004</v>
      </c>
    </row>
    <row r="100" spans="2:47" outlineLevel="1" x14ac:dyDescent="0.25">
      <c r="B100" s="214">
        <v>103010</v>
      </c>
      <c r="C100" s="214" t="s">
        <v>295</v>
      </c>
      <c r="D100" s="214" t="s">
        <v>422</v>
      </c>
      <c r="E100" s="214"/>
      <c r="F100" s="214" t="s">
        <v>1576</v>
      </c>
      <c r="G100" s="214" t="s">
        <v>349</v>
      </c>
      <c r="H100" s="214" t="s">
        <v>255</v>
      </c>
      <c r="I100" s="214" t="s">
        <v>351</v>
      </c>
      <c r="J100" s="214" t="s">
        <v>352</v>
      </c>
      <c r="K100" s="214" t="s">
        <v>446</v>
      </c>
      <c r="L100" s="214"/>
      <c r="M100" s="167">
        <f t="shared" si="0"/>
        <v>1</v>
      </c>
      <c r="N100" s="167">
        <f t="shared" si="12"/>
        <v>1</v>
      </c>
      <c r="AT100" s="167" t="str">
        <f t="shared" si="2"/>
        <v>10301SC005</v>
      </c>
      <c r="AU100" s="167" t="str">
        <f t="shared" si="3"/>
        <v>SC005</v>
      </c>
    </row>
    <row r="101" spans="2:47" outlineLevel="1" x14ac:dyDescent="0.25">
      <c r="B101" s="214">
        <v>103010</v>
      </c>
      <c r="C101" s="214" t="s">
        <v>423</v>
      </c>
      <c r="D101" s="214" t="s">
        <v>424</v>
      </c>
      <c r="E101" s="214"/>
      <c r="F101" s="214" t="s">
        <v>425</v>
      </c>
      <c r="G101" s="214" t="s">
        <v>349</v>
      </c>
      <c r="H101" s="214" t="s">
        <v>255</v>
      </c>
      <c r="I101" s="214" t="s">
        <v>351</v>
      </c>
      <c r="J101" s="214" t="s">
        <v>352</v>
      </c>
      <c r="K101" s="214" t="s">
        <v>446</v>
      </c>
      <c r="L101" s="214"/>
      <c r="M101" s="167">
        <f t="shared" si="0"/>
        <v>1</v>
      </c>
      <c r="N101" s="167">
        <f t="shared" si="12"/>
        <v>1</v>
      </c>
      <c r="AT101" s="167" t="str">
        <f t="shared" si="2"/>
        <v>10301SC006</v>
      </c>
      <c r="AU101" s="167" t="str">
        <f t="shared" si="3"/>
        <v>SC006</v>
      </c>
    </row>
    <row r="102" spans="2:47" outlineLevel="1" x14ac:dyDescent="0.25">
      <c r="B102" s="214">
        <v>103010</v>
      </c>
      <c r="C102" s="214" t="s">
        <v>426</v>
      </c>
      <c r="D102" s="214" t="s">
        <v>427</v>
      </c>
      <c r="E102" s="214"/>
      <c r="F102" s="214" t="s">
        <v>428</v>
      </c>
      <c r="G102" s="214" t="s">
        <v>349</v>
      </c>
      <c r="H102" s="214" t="s">
        <v>255</v>
      </c>
      <c r="I102" s="214" t="s">
        <v>351</v>
      </c>
      <c r="J102" s="214" t="s">
        <v>352</v>
      </c>
      <c r="K102" s="214" t="s">
        <v>446</v>
      </c>
      <c r="L102" s="214"/>
      <c r="M102" s="167">
        <f t="shared" si="0"/>
        <v>1</v>
      </c>
      <c r="N102" s="167">
        <f>COUNTIF($M$16:$M$44,C102)</f>
        <v>1</v>
      </c>
      <c r="AT102" s="167" t="str">
        <f t="shared" si="2"/>
        <v>10301SC007</v>
      </c>
      <c r="AU102" s="167" t="str">
        <f t="shared" si="3"/>
        <v>SC007</v>
      </c>
    </row>
    <row r="103" spans="2:47" outlineLevel="1" x14ac:dyDescent="0.25">
      <c r="B103" s="214">
        <v>103010</v>
      </c>
      <c r="C103" s="214" t="s">
        <v>262</v>
      </c>
      <c r="D103" s="214" t="s">
        <v>429</v>
      </c>
      <c r="E103" s="214"/>
      <c r="F103" s="214" t="s">
        <v>1576</v>
      </c>
      <c r="G103" s="214" t="s">
        <v>349</v>
      </c>
      <c r="H103" s="214" t="s">
        <v>430</v>
      </c>
      <c r="I103" s="214" t="s">
        <v>431</v>
      </c>
      <c r="J103" s="214" t="s">
        <v>352</v>
      </c>
      <c r="K103" s="214" t="s">
        <v>446</v>
      </c>
      <c r="L103" s="214"/>
      <c r="M103" s="167">
        <f t="shared" si="0"/>
        <v>1</v>
      </c>
      <c r="N103" s="167">
        <f>COUNTIFS($I$16:$I$44,C103)</f>
        <v>1</v>
      </c>
      <c r="AT103" s="167" t="str">
        <f t="shared" si="2"/>
        <v>10301SM001</v>
      </c>
      <c r="AU103" s="167" t="str">
        <f t="shared" si="3"/>
        <v>SM001</v>
      </c>
    </row>
    <row r="104" spans="2:47" outlineLevel="1" x14ac:dyDescent="0.25">
      <c r="B104" s="214">
        <v>103010</v>
      </c>
      <c r="C104" s="214" t="s">
        <v>294</v>
      </c>
      <c r="D104" s="214" t="s">
        <v>432</v>
      </c>
      <c r="E104" s="214"/>
      <c r="F104" s="214" t="s">
        <v>1576</v>
      </c>
      <c r="G104" s="214" t="s">
        <v>349</v>
      </c>
      <c r="H104" s="214" t="s">
        <v>430</v>
      </c>
      <c r="I104" s="214" t="s">
        <v>431</v>
      </c>
      <c r="J104" s="214" t="s">
        <v>352</v>
      </c>
      <c r="K104" s="214" t="s">
        <v>446</v>
      </c>
      <c r="L104" s="214"/>
      <c r="M104" s="167">
        <f t="shared" si="0"/>
        <v>1</v>
      </c>
      <c r="N104" s="167">
        <f t="shared" ref="N104:N105" si="13">COUNTIFS($I$16:$I$44,C104)</f>
        <v>1</v>
      </c>
      <c r="AT104" s="167" t="str">
        <f t="shared" si="2"/>
        <v>10301SM002</v>
      </c>
      <c r="AU104" s="167" t="str">
        <f t="shared" si="3"/>
        <v>SM002</v>
      </c>
    </row>
    <row r="105" spans="2:47" outlineLevel="1" x14ac:dyDescent="0.25">
      <c r="B105" s="214">
        <v>103010</v>
      </c>
      <c r="C105" s="214" t="s">
        <v>281</v>
      </c>
      <c r="D105" s="214" t="s">
        <v>433</v>
      </c>
      <c r="E105" s="214"/>
      <c r="F105" s="214" t="s">
        <v>1576</v>
      </c>
      <c r="G105" s="214" t="s">
        <v>349</v>
      </c>
      <c r="H105" s="214" t="s">
        <v>430</v>
      </c>
      <c r="I105" s="214" t="s">
        <v>431</v>
      </c>
      <c r="J105" s="214" t="s">
        <v>352</v>
      </c>
      <c r="K105" s="214" t="s">
        <v>446</v>
      </c>
      <c r="L105" s="214"/>
      <c r="M105" s="167">
        <f t="shared" si="0"/>
        <v>1</v>
      </c>
      <c r="N105" s="167">
        <f t="shared" si="13"/>
        <v>1</v>
      </c>
      <c r="AT105" s="167" t="str">
        <f t="shared" si="2"/>
        <v>10301SM003</v>
      </c>
      <c r="AU105" s="167" t="str">
        <f t="shared" si="3"/>
        <v>SM003</v>
      </c>
    </row>
    <row r="106" spans="2:47" outlineLevel="1" x14ac:dyDescent="0.25">
      <c r="B106" s="214">
        <v>103010</v>
      </c>
      <c r="C106" s="214" t="s">
        <v>279</v>
      </c>
      <c r="D106" s="214" t="s">
        <v>434</v>
      </c>
      <c r="E106" s="214"/>
      <c r="F106" s="214" t="s">
        <v>397</v>
      </c>
      <c r="G106" s="214" t="s">
        <v>349</v>
      </c>
      <c r="H106" s="214" t="s">
        <v>251</v>
      </c>
      <c r="I106" s="214" t="s">
        <v>351</v>
      </c>
      <c r="J106" s="214" t="s">
        <v>352</v>
      </c>
      <c r="K106" s="214" t="s">
        <v>446</v>
      </c>
      <c r="L106" s="214"/>
      <c r="M106" s="167">
        <f t="shared" si="0"/>
        <v>1</v>
      </c>
      <c r="N106" s="167">
        <f>COUNTIFS(O16:$O$44,C106)</f>
        <v>1</v>
      </c>
      <c r="AT106" s="167" t="str">
        <f t="shared" si="2"/>
        <v>10301TO001</v>
      </c>
      <c r="AU106" s="167" t="str">
        <f t="shared" si="3"/>
        <v>TO001</v>
      </c>
    </row>
    <row r="107" spans="2:47" outlineLevel="1" x14ac:dyDescent="0.25">
      <c r="B107" s="214">
        <v>103010</v>
      </c>
      <c r="C107" s="214" t="s">
        <v>293</v>
      </c>
      <c r="D107" s="214" t="s">
        <v>435</v>
      </c>
      <c r="E107" s="214"/>
      <c r="F107" s="214" t="s">
        <v>397</v>
      </c>
      <c r="G107" s="214" t="s">
        <v>349</v>
      </c>
      <c r="H107" s="214" t="s">
        <v>251</v>
      </c>
      <c r="I107" s="214" t="s">
        <v>351</v>
      </c>
      <c r="J107" s="214" t="s">
        <v>352</v>
      </c>
      <c r="K107" s="214" t="s">
        <v>446</v>
      </c>
      <c r="L107" s="214"/>
      <c r="M107" s="167">
        <f t="shared" si="0"/>
        <v>1</v>
      </c>
      <c r="N107" s="167">
        <f>COUNTIFS(O17:$O$44,C107)</f>
        <v>1</v>
      </c>
      <c r="AT107" s="167" t="str">
        <f t="shared" si="2"/>
        <v>10301TO002</v>
      </c>
      <c r="AU107" s="167" t="str">
        <f t="shared" si="3"/>
        <v>TO002</v>
      </c>
    </row>
    <row r="108" spans="2:47" outlineLevel="1" x14ac:dyDescent="0.25">
      <c r="B108" s="214">
        <v>103010</v>
      </c>
      <c r="C108" s="214" t="s">
        <v>300</v>
      </c>
      <c r="D108" s="214" t="s">
        <v>436</v>
      </c>
      <c r="E108" s="214"/>
      <c r="F108" s="214" t="s">
        <v>397</v>
      </c>
      <c r="G108" s="214" t="s">
        <v>349</v>
      </c>
      <c r="H108" s="214" t="s">
        <v>251</v>
      </c>
      <c r="I108" s="214" t="s">
        <v>351</v>
      </c>
      <c r="J108" s="214" t="s">
        <v>352</v>
      </c>
      <c r="K108" s="214" t="s">
        <v>446</v>
      </c>
      <c r="L108" s="214"/>
      <c r="M108" s="167">
        <f t="shared" si="0"/>
        <v>1</v>
      </c>
      <c r="N108" s="167">
        <f>COUNTIFS(O18:$O$44,C108)</f>
        <v>1</v>
      </c>
      <c r="AT108" s="167" t="str">
        <f t="shared" si="2"/>
        <v>10301TO003</v>
      </c>
      <c r="AU108" s="167" t="str">
        <f t="shared" si="3"/>
        <v>TO003</v>
      </c>
    </row>
    <row r="109" spans="2:47" outlineLevel="1" x14ac:dyDescent="0.25">
      <c r="B109" s="214">
        <v>103010</v>
      </c>
      <c r="C109" s="214" t="s">
        <v>306</v>
      </c>
      <c r="D109" s="214" t="s">
        <v>437</v>
      </c>
      <c r="E109" s="214"/>
      <c r="F109" s="214" t="s">
        <v>397</v>
      </c>
      <c r="G109" s="214" t="s">
        <v>349</v>
      </c>
      <c r="H109" s="214" t="s">
        <v>251</v>
      </c>
      <c r="I109" s="214" t="s">
        <v>351</v>
      </c>
      <c r="J109" s="214" t="s">
        <v>352</v>
      </c>
      <c r="K109" s="214" t="s">
        <v>446</v>
      </c>
      <c r="L109" s="214"/>
      <c r="M109" s="167">
        <f t="shared" si="0"/>
        <v>1</v>
      </c>
      <c r="N109" s="167">
        <f>COUNTIFS(O19:$O$44,C109)</f>
        <v>1</v>
      </c>
      <c r="AT109" s="167" t="str">
        <f t="shared" si="2"/>
        <v>10301TO004</v>
      </c>
      <c r="AU109" s="167" t="str">
        <f t="shared" si="3"/>
        <v>TO004</v>
      </c>
    </row>
    <row r="110" spans="2:47" outlineLevel="1" x14ac:dyDescent="0.25">
      <c r="B110" s="214">
        <v>103010</v>
      </c>
      <c r="C110" s="214" t="s">
        <v>395</v>
      </c>
      <c r="D110" s="214" t="s">
        <v>396</v>
      </c>
      <c r="E110" s="214"/>
      <c r="F110" s="214" t="s">
        <v>398</v>
      </c>
      <c r="G110" s="214" t="s">
        <v>349</v>
      </c>
      <c r="H110" s="214" t="s">
        <v>251</v>
      </c>
      <c r="I110" s="214" t="s">
        <v>351</v>
      </c>
      <c r="J110" s="214" t="s">
        <v>352</v>
      </c>
      <c r="K110" s="214" t="s">
        <v>446</v>
      </c>
      <c r="L110" s="216" t="s">
        <v>448</v>
      </c>
      <c r="M110" s="167">
        <f t="shared" si="0"/>
        <v>0</v>
      </c>
      <c r="N110" s="167">
        <f>COUNTIFS(O20:$O$44,C110)</f>
        <v>0</v>
      </c>
      <c r="AT110" s="167" t="str">
        <f t="shared" si="2"/>
        <v>10301IT002</v>
      </c>
      <c r="AU110" s="167" t="str">
        <f t="shared" si="3"/>
        <v>IT002</v>
      </c>
    </row>
    <row r="111" spans="2:47" outlineLevel="1" x14ac:dyDescent="0.25">
      <c r="B111" s="214">
        <v>103020</v>
      </c>
      <c r="C111" s="214" t="s">
        <v>1577</v>
      </c>
      <c r="D111" s="214" t="s">
        <v>1578</v>
      </c>
      <c r="E111" s="214"/>
      <c r="F111" s="214" t="s">
        <v>1576</v>
      </c>
      <c r="G111" s="214" t="s">
        <v>349</v>
      </c>
      <c r="H111" s="214" t="s">
        <v>252</v>
      </c>
      <c r="I111" s="214" t="s">
        <v>351</v>
      </c>
      <c r="J111" s="214" t="s">
        <v>352</v>
      </c>
      <c r="K111" s="214" t="s">
        <v>446</v>
      </c>
      <c r="L111" s="214"/>
      <c r="M111" s="167">
        <f t="shared" si="0"/>
        <v>0</v>
      </c>
      <c r="N111" s="167">
        <f>COUNTIFS($P$16:$P$20,C111)</f>
        <v>0</v>
      </c>
      <c r="AT111" s="167" t="str">
        <f t="shared" si="2"/>
        <v>10131PP001</v>
      </c>
      <c r="AU111" s="167" t="str">
        <f t="shared" si="3"/>
        <v>PP001</v>
      </c>
    </row>
    <row r="112" spans="2:47" outlineLevel="1" x14ac:dyDescent="0.25">
      <c r="B112" s="214">
        <v>101310</v>
      </c>
      <c r="C112" s="214" t="s">
        <v>1579</v>
      </c>
      <c r="D112" s="214" t="s">
        <v>1580</v>
      </c>
      <c r="E112" s="214"/>
      <c r="F112" s="214" t="s">
        <v>1576</v>
      </c>
      <c r="G112" s="214" t="s">
        <v>349</v>
      </c>
      <c r="H112" s="214" t="s">
        <v>1806</v>
      </c>
      <c r="I112" s="214"/>
      <c r="J112" s="214"/>
      <c r="K112" s="214"/>
      <c r="L112" s="214"/>
      <c r="AT112" s="167" t="str">
        <f t="shared" si="2"/>
        <v>10131PP002</v>
      </c>
      <c r="AU112" s="167" t="str">
        <f t="shared" si="3"/>
        <v>PP002</v>
      </c>
    </row>
    <row r="113" spans="2:47" outlineLevel="1" x14ac:dyDescent="0.25">
      <c r="B113" s="214">
        <v>101310</v>
      </c>
      <c r="C113" s="214" t="s">
        <v>1581</v>
      </c>
      <c r="D113" s="214" t="s">
        <v>1582</v>
      </c>
      <c r="E113" s="214"/>
      <c r="F113" s="214" t="s">
        <v>1576</v>
      </c>
      <c r="G113" s="214" t="s">
        <v>349</v>
      </c>
      <c r="H113" s="214" t="s">
        <v>1806</v>
      </c>
      <c r="I113" s="214"/>
      <c r="J113" s="214"/>
      <c r="K113" s="214"/>
      <c r="L113" s="214"/>
      <c r="AT113" s="167" t="str">
        <f t="shared" si="2"/>
        <v>10131PP003</v>
      </c>
      <c r="AU113" s="167" t="str">
        <f t="shared" si="3"/>
        <v>PP003</v>
      </c>
    </row>
    <row r="114" spans="2:47" outlineLevel="1" x14ac:dyDescent="0.25">
      <c r="B114" s="214">
        <v>101310</v>
      </c>
      <c r="C114" s="214" t="s">
        <v>1583</v>
      </c>
      <c r="D114" s="214" t="s">
        <v>1584</v>
      </c>
      <c r="E114" s="214"/>
      <c r="F114" s="214" t="s">
        <v>1576</v>
      </c>
      <c r="G114" s="214" t="s">
        <v>349</v>
      </c>
      <c r="H114" s="214" t="s">
        <v>1806</v>
      </c>
      <c r="I114" s="214"/>
      <c r="J114" s="214"/>
      <c r="K114" s="214"/>
      <c r="L114" s="214"/>
      <c r="AT114" s="167" t="str">
        <f t="shared" ref="AT114:AT177" si="14">C114</f>
        <v>10131PP004</v>
      </c>
      <c r="AU114" s="167" t="str">
        <f t="shared" ref="AU114:AU177" si="15">RIGHT(C114,5)</f>
        <v>PP004</v>
      </c>
    </row>
    <row r="115" spans="2:47" outlineLevel="1" x14ac:dyDescent="0.25">
      <c r="B115" s="214">
        <v>101310</v>
      </c>
      <c r="C115" s="214" t="s">
        <v>1585</v>
      </c>
      <c r="D115" s="214" t="s">
        <v>1586</v>
      </c>
      <c r="E115" s="214"/>
      <c r="F115" s="214" t="s">
        <v>1576</v>
      </c>
      <c r="G115" s="214" t="s">
        <v>349</v>
      </c>
      <c r="H115" s="214" t="s">
        <v>1806</v>
      </c>
      <c r="I115" s="214"/>
      <c r="J115" s="214"/>
      <c r="K115" s="214"/>
      <c r="L115" s="214"/>
      <c r="AT115" s="167" t="str">
        <f t="shared" si="14"/>
        <v>10131PP005</v>
      </c>
      <c r="AU115" s="167" t="str">
        <f t="shared" si="15"/>
        <v>PP005</v>
      </c>
    </row>
    <row r="116" spans="2:47" outlineLevel="1" x14ac:dyDescent="0.25">
      <c r="B116" s="214">
        <v>101310</v>
      </c>
      <c r="C116" s="214" t="s">
        <v>1587</v>
      </c>
      <c r="D116" s="214" t="s">
        <v>1588</v>
      </c>
      <c r="E116" s="214"/>
      <c r="F116" s="214" t="s">
        <v>1576</v>
      </c>
      <c r="G116" s="214" t="s">
        <v>349</v>
      </c>
      <c r="H116" s="214" t="s">
        <v>1806</v>
      </c>
      <c r="I116" s="214"/>
      <c r="J116" s="214"/>
      <c r="K116" s="214"/>
      <c r="L116" s="214"/>
      <c r="AT116" s="167" t="str">
        <f t="shared" si="14"/>
        <v>10131PP006</v>
      </c>
      <c r="AU116" s="167" t="str">
        <f t="shared" si="15"/>
        <v>PP006</v>
      </c>
    </row>
    <row r="117" spans="2:47" outlineLevel="1" x14ac:dyDescent="0.25">
      <c r="B117" s="214">
        <v>101310</v>
      </c>
      <c r="C117" s="214" t="s">
        <v>1589</v>
      </c>
      <c r="D117" s="214" t="s">
        <v>1590</v>
      </c>
      <c r="E117" s="214"/>
      <c r="F117" s="214" t="s">
        <v>1576</v>
      </c>
      <c r="G117" s="214" t="s">
        <v>349</v>
      </c>
      <c r="H117" s="214" t="s">
        <v>1806</v>
      </c>
      <c r="I117" s="214"/>
      <c r="J117" s="214"/>
      <c r="K117" s="214"/>
      <c r="L117" s="214"/>
      <c r="AT117" s="167" t="str">
        <f t="shared" si="14"/>
        <v>10131PP007</v>
      </c>
      <c r="AU117" s="167" t="str">
        <f t="shared" si="15"/>
        <v>PP007</v>
      </c>
    </row>
    <row r="118" spans="2:47" outlineLevel="1" x14ac:dyDescent="0.25">
      <c r="B118" s="214">
        <v>101310</v>
      </c>
      <c r="C118" s="214" t="s">
        <v>1591</v>
      </c>
      <c r="D118" s="214" t="s">
        <v>1592</v>
      </c>
      <c r="E118" s="214"/>
      <c r="F118" s="214" t="s">
        <v>1576</v>
      </c>
      <c r="G118" s="214" t="s">
        <v>349</v>
      </c>
      <c r="H118" s="214" t="s">
        <v>1806</v>
      </c>
      <c r="I118" s="214"/>
      <c r="J118" s="214"/>
      <c r="K118" s="214"/>
      <c r="L118" s="214"/>
      <c r="AT118" s="167" t="str">
        <f t="shared" si="14"/>
        <v>10131PP008</v>
      </c>
      <c r="AU118" s="167" t="str">
        <f t="shared" si="15"/>
        <v>PP008</v>
      </c>
    </row>
    <row r="119" spans="2:47" outlineLevel="1" x14ac:dyDescent="0.25">
      <c r="B119" s="214">
        <v>101310</v>
      </c>
      <c r="C119" s="214" t="s">
        <v>1593</v>
      </c>
      <c r="D119" s="214" t="s">
        <v>1594</v>
      </c>
      <c r="E119" s="214"/>
      <c r="F119" s="214" t="s">
        <v>1576</v>
      </c>
      <c r="G119" s="214" t="s">
        <v>349</v>
      </c>
      <c r="H119" s="214" t="s">
        <v>1806</v>
      </c>
      <c r="I119" s="214"/>
      <c r="J119" s="214"/>
      <c r="K119" s="214"/>
      <c r="L119" s="214"/>
      <c r="AT119" s="167" t="str">
        <f t="shared" si="14"/>
        <v>10131PP009</v>
      </c>
      <c r="AU119" s="167" t="str">
        <f t="shared" si="15"/>
        <v>PP009</v>
      </c>
    </row>
    <row r="120" spans="2:47" outlineLevel="1" x14ac:dyDescent="0.25">
      <c r="B120" s="214">
        <v>101310</v>
      </c>
      <c r="C120" s="214" t="s">
        <v>1595</v>
      </c>
      <c r="D120" s="214" t="s">
        <v>1596</v>
      </c>
      <c r="E120" s="214"/>
      <c r="F120" s="214" t="s">
        <v>1576</v>
      </c>
      <c r="G120" s="214" t="s">
        <v>349</v>
      </c>
      <c r="H120" s="214" t="s">
        <v>1806</v>
      </c>
      <c r="I120" s="214"/>
      <c r="J120" s="214"/>
      <c r="K120" s="214"/>
      <c r="L120" s="214"/>
      <c r="AT120" s="167" t="str">
        <f t="shared" si="14"/>
        <v>10131PP010</v>
      </c>
      <c r="AU120" s="167" t="str">
        <f t="shared" si="15"/>
        <v>PP010</v>
      </c>
    </row>
    <row r="121" spans="2:47" outlineLevel="1" x14ac:dyDescent="0.25">
      <c r="B121" s="214">
        <v>101310</v>
      </c>
      <c r="C121" s="214" t="s">
        <v>1597</v>
      </c>
      <c r="D121" s="214" t="s">
        <v>1598</v>
      </c>
      <c r="E121" s="214"/>
      <c r="F121" s="214" t="s">
        <v>1576</v>
      </c>
      <c r="G121" s="214" t="s">
        <v>349</v>
      </c>
      <c r="H121" s="214" t="s">
        <v>1806</v>
      </c>
      <c r="I121" s="214"/>
      <c r="J121" s="214"/>
      <c r="K121" s="214"/>
      <c r="L121" s="214"/>
      <c r="AT121" s="167" t="str">
        <f t="shared" si="14"/>
        <v>10131PS001</v>
      </c>
      <c r="AU121" s="167" t="str">
        <f t="shared" si="15"/>
        <v>PS001</v>
      </c>
    </row>
    <row r="122" spans="2:47" outlineLevel="1" x14ac:dyDescent="0.25">
      <c r="B122" s="214">
        <v>101310</v>
      </c>
      <c r="C122" s="214" t="s">
        <v>1599</v>
      </c>
      <c r="D122" s="214" t="s">
        <v>1600</v>
      </c>
      <c r="E122" s="214"/>
      <c r="F122" s="214" t="s">
        <v>1576</v>
      </c>
      <c r="G122" s="214" t="s">
        <v>349</v>
      </c>
      <c r="H122" s="214" t="s">
        <v>1806</v>
      </c>
      <c r="I122" s="214"/>
      <c r="J122" s="214"/>
      <c r="K122" s="214"/>
      <c r="L122" s="214"/>
      <c r="AT122" s="167" t="str">
        <f t="shared" si="14"/>
        <v>10131PS002</v>
      </c>
      <c r="AU122" s="167" t="str">
        <f t="shared" si="15"/>
        <v>PS002</v>
      </c>
    </row>
    <row r="123" spans="2:47" outlineLevel="1" x14ac:dyDescent="0.25">
      <c r="B123" s="214">
        <v>101310</v>
      </c>
      <c r="C123" s="214" t="s">
        <v>1601</v>
      </c>
      <c r="D123" s="214" t="s">
        <v>1602</v>
      </c>
      <c r="E123" s="214"/>
      <c r="F123" s="214" t="s">
        <v>1576</v>
      </c>
      <c r="G123" s="214" t="s">
        <v>349</v>
      </c>
      <c r="H123" s="214" t="s">
        <v>1806</v>
      </c>
      <c r="I123" s="214"/>
      <c r="J123" s="214"/>
      <c r="K123" s="214"/>
      <c r="L123" s="214"/>
      <c r="AT123" s="167" t="str">
        <f t="shared" si="14"/>
        <v>10131PS003</v>
      </c>
      <c r="AU123" s="167" t="str">
        <f t="shared" si="15"/>
        <v>PS003</v>
      </c>
    </row>
    <row r="124" spans="2:47" outlineLevel="1" x14ac:dyDescent="0.25">
      <c r="B124" s="214">
        <v>101310</v>
      </c>
      <c r="C124" s="214" t="s">
        <v>1603</v>
      </c>
      <c r="D124" s="214" t="s">
        <v>1604</v>
      </c>
      <c r="E124" s="214"/>
      <c r="F124" s="214" t="s">
        <v>1576</v>
      </c>
      <c r="G124" s="214" t="s">
        <v>349</v>
      </c>
      <c r="H124" s="214" t="s">
        <v>1806</v>
      </c>
      <c r="I124" s="214"/>
      <c r="J124" s="214"/>
      <c r="K124" s="214"/>
      <c r="L124" s="214"/>
      <c r="AT124" s="167" t="str">
        <f t="shared" si="14"/>
        <v>10131PS004</v>
      </c>
      <c r="AU124" s="167" t="str">
        <f t="shared" si="15"/>
        <v>PS004</v>
      </c>
    </row>
    <row r="125" spans="2:47" outlineLevel="1" x14ac:dyDescent="0.25">
      <c r="B125" s="214">
        <v>101310</v>
      </c>
      <c r="C125" s="214" t="s">
        <v>1605</v>
      </c>
      <c r="D125" s="214" t="s">
        <v>1606</v>
      </c>
      <c r="E125" s="214"/>
      <c r="F125" s="214" t="s">
        <v>1576</v>
      </c>
      <c r="G125" s="214" t="s">
        <v>349</v>
      </c>
      <c r="H125" s="214" t="s">
        <v>1806</v>
      </c>
      <c r="I125" s="214"/>
      <c r="J125" s="214"/>
      <c r="K125" s="214"/>
      <c r="L125" s="214"/>
      <c r="AT125" s="167" t="str">
        <f t="shared" si="14"/>
        <v>10131PS005</v>
      </c>
      <c r="AU125" s="167" t="str">
        <f t="shared" si="15"/>
        <v>PS005</v>
      </c>
    </row>
    <row r="126" spans="2:47" outlineLevel="1" x14ac:dyDescent="0.25">
      <c r="B126" s="214">
        <v>101310</v>
      </c>
      <c r="C126" s="214" t="s">
        <v>1607</v>
      </c>
      <c r="D126" s="214" t="s">
        <v>1608</v>
      </c>
      <c r="E126" s="214"/>
      <c r="F126" s="214" t="s">
        <v>1576</v>
      </c>
      <c r="G126" s="214" t="s">
        <v>349</v>
      </c>
      <c r="H126" s="214" t="s">
        <v>1806</v>
      </c>
      <c r="I126" s="214"/>
      <c r="J126" s="214"/>
      <c r="K126" s="214"/>
      <c r="L126" s="214"/>
      <c r="AT126" s="167" t="str">
        <f t="shared" si="14"/>
        <v>10131PS006</v>
      </c>
      <c r="AU126" s="167" t="str">
        <f t="shared" si="15"/>
        <v>PS006</v>
      </c>
    </row>
    <row r="127" spans="2:47" outlineLevel="1" x14ac:dyDescent="0.25">
      <c r="B127" s="214">
        <v>101310</v>
      </c>
      <c r="C127" s="214" t="s">
        <v>1609</v>
      </c>
      <c r="D127" s="214" t="s">
        <v>1610</v>
      </c>
      <c r="E127" s="214"/>
      <c r="F127" s="214" t="s">
        <v>1576</v>
      </c>
      <c r="G127" s="214" t="s">
        <v>349</v>
      </c>
      <c r="H127" s="214" t="s">
        <v>1806</v>
      </c>
      <c r="I127" s="214"/>
      <c r="J127" s="214"/>
      <c r="K127" s="214"/>
      <c r="L127" s="214"/>
      <c r="AT127" s="167" t="str">
        <f t="shared" si="14"/>
        <v>10131PS007</v>
      </c>
      <c r="AU127" s="167" t="str">
        <f t="shared" si="15"/>
        <v>PS007</v>
      </c>
    </row>
    <row r="128" spans="2:47" outlineLevel="1" x14ac:dyDescent="0.25">
      <c r="B128" s="214">
        <v>101310</v>
      </c>
      <c r="C128" s="214" t="s">
        <v>1611</v>
      </c>
      <c r="D128" s="214" t="s">
        <v>1612</v>
      </c>
      <c r="E128" s="214"/>
      <c r="F128" s="214" t="s">
        <v>1576</v>
      </c>
      <c r="G128" s="214" t="s">
        <v>349</v>
      </c>
      <c r="H128" s="214" t="s">
        <v>1806</v>
      </c>
      <c r="I128" s="214"/>
      <c r="J128" s="214"/>
      <c r="K128" s="214"/>
      <c r="L128" s="214"/>
      <c r="AT128" s="167" t="str">
        <f t="shared" si="14"/>
        <v>10131PS008</v>
      </c>
      <c r="AU128" s="167" t="str">
        <f t="shared" si="15"/>
        <v>PS008</v>
      </c>
    </row>
    <row r="129" spans="2:47" outlineLevel="1" x14ac:dyDescent="0.25">
      <c r="B129" s="214"/>
      <c r="C129" s="214" t="s">
        <v>1613</v>
      </c>
      <c r="D129" s="214" t="s">
        <v>1614</v>
      </c>
      <c r="E129" s="214"/>
      <c r="F129" s="214" t="s">
        <v>1576</v>
      </c>
      <c r="G129" s="214" t="s">
        <v>349</v>
      </c>
      <c r="H129" s="214" t="s">
        <v>1807</v>
      </c>
      <c r="I129" s="214"/>
      <c r="J129" s="214"/>
      <c r="K129" s="214"/>
      <c r="L129" s="214"/>
      <c r="AT129" s="167" t="str">
        <f t="shared" si="14"/>
        <v>10101PP001</v>
      </c>
      <c r="AU129" s="167" t="str">
        <f t="shared" si="15"/>
        <v>PP001</v>
      </c>
    </row>
    <row r="130" spans="2:47" outlineLevel="1" x14ac:dyDescent="0.25">
      <c r="B130" s="214"/>
      <c r="C130" s="214" t="s">
        <v>1615</v>
      </c>
      <c r="D130" s="214" t="s">
        <v>1616</v>
      </c>
      <c r="E130" s="214"/>
      <c r="F130" s="214" t="s">
        <v>1576</v>
      </c>
      <c r="G130" s="214" t="s">
        <v>349</v>
      </c>
      <c r="H130" s="214" t="s">
        <v>1807</v>
      </c>
      <c r="I130" s="214"/>
      <c r="J130" s="214"/>
      <c r="K130" s="214"/>
      <c r="L130" s="214"/>
      <c r="AT130" s="167" t="str">
        <f t="shared" si="14"/>
        <v>10101PP002</v>
      </c>
      <c r="AU130" s="167" t="str">
        <f t="shared" si="15"/>
        <v>PP002</v>
      </c>
    </row>
    <row r="131" spans="2:47" outlineLevel="1" x14ac:dyDescent="0.25">
      <c r="B131" s="214"/>
      <c r="C131" s="214" t="s">
        <v>1617</v>
      </c>
      <c r="D131" s="214" t="s">
        <v>1618</v>
      </c>
      <c r="E131" s="214"/>
      <c r="F131" s="214" t="s">
        <v>1576</v>
      </c>
      <c r="G131" s="214" t="s">
        <v>349</v>
      </c>
      <c r="H131" s="214" t="s">
        <v>1807</v>
      </c>
      <c r="I131" s="214"/>
      <c r="J131" s="214"/>
      <c r="K131" s="214"/>
      <c r="L131" s="214"/>
      <c r="AT131" s="167" t="str">
        <f t="shared" si="14"/>
        <v>10101PP003</v>
      </c>
      <c r="AU131" s="167" t="str">
        <f t="shared" si="15"/>
        <v>PP003</v>
      </c>
    </row>
    <row r="132" spans="2:47" outlineLevel="1" x14ac:dyDescent="0.25">
      <c r="B132" s="214"/>
      <c r="C132" s="214" t="s">
        <v>1619</v>
      </c>
      <c r="D132" s="214" t="s">
        <v>1620</v>
      </c>
      <c r="E132" s="214"/>
      <c r="F132" s="214" t="s">
        <v>1576</v>
      </c>
      <c r="G132" s="214" t="s">
        <v>349</v>
      </c>
      <c r="H132" s="214" t="s">
        <v>1807</v>
      </c>
      <c r="I132" s="214"/>
      <c r="J132" s="214"/>
      <c r="K132" s="214"/>
      <c r="L132" s="214"/>
      <c r="AT132" s="167" t="str">
        <f t="shared" si="14"/>
        <v>10101PP004</v>
      </c>
      <c r="AU132" s="167" t="str">
        <f t="shared" si="15"/>
        <v>PP004</v>
      </c>
    </row>
    <row r="133" spans="2:47" outlineLevel="1" x14ac:dyDescent="0.25">
      <c r="B133" s="214"/>
      <c r="C133" s="214" t="s">
        <v>1621</v>
      </c>
      <c r="D133" s="214" t="s">
        <v>1622</v>
      </c>
      <c r="E133" s="214"/>
      <c r="F133" s="214" t="s">
        <v>1576</v>
      </c>
      <c r="G133" s="214" t="s">
        <v>349</v>
      </c>
      <c r="H133" s="214" t="s">
        <v>1807</v>
      </c>
      <c r="I133" s="214"/>
      <c r="J133" s="214"/>
      <c r="K133" s="214"/>
      <c r="L133" s="214"/>
      <c r="AT133" s="167" t="str">
        <f t="shared" si="14"/>
        <v>10101PP005</v>
      </c>
      <c r="AU133" s="167" t="str">
        <f t="shared" si="15"/>
        <v>PP005</v>
      </c>
    </row>
    <row r="134" spans="2:47" outlineLevel="1" x14ac:dyDescent="0.25">
      <c r="B134" s="214"/>
      <c r="C134" s="214" t="s">
        <v>1623</v>
      </c>
      <c r="D134" s="214" t="s">
        <v>1624</v>
      </c>
      <c r="E134" s="214"/>
      <c r="F134" s="214" t="s">
        <v>1576</v>
      </c>
      <c r="G134" s="214" t="s">
        <v>349</v>
      </c>
      <c r="H134" s="214" t="s">
        <v>1807</v>
      </c>
      <c r="I134" s="214"/>
      <c r="J134" s="214"/>
      <c r="K134" s="214"/>
      <c r="L134" s="214"/>
      <c r="AT134" s="167" t="str">
        <f t="shared" si="14"/>
        <v>10101PP006</v>
      </c>
      <c r="AU134" s="167" t="str">
        <f t="shared" si="15"/>
        <v>PP006</v>
      </c>
    </row>
    <row r="135" spans="2:47" outlineLevel="1" x14ac:dyDescent="0.25">
      <c r="B135" s="214"/>
      <c r="C135" s="214" t="s">
        <v>1625</v>
      </c>
      <c r="D135" s="214" t="s">
        <v>1626</v>
      </c>
      <c r="E135" s="214"/>
      <c r="F135" s="214" t="s">
        <v>1576</v>
      </c>
      <c r="G135" s="214" t="s">
        <v>349</v>
      </c>
      <c r="H135" s="214" t="s">
        <v>1807</v>
      </c>
      <c r="I135" s="214"/>
      <c r="J135" s="214"/>
      <c r="K135" s="214"/>
      <c r="L135" s="214"/>
      <c r="AT135" s="167" t="str">
        <f t="shared" si="14"/>
        <v>10101PP007</v>
      </c>
      <c r="AU135" s="167" t="str">
        <f t="shared" si="15"/>
        <v>PP007</v>
      </c>
    </row>
    <row r="136" spans="2:47" outlineLevel="1" x14ac:dyDescent="0.25">
      <c r="B136" s="214"/>
      <c r="C136" s="214" t="s">
        <v>1627</v>
      </c>
      <c r="D136" s="214" t="s">
        <v>1628</v>
      </c>
      <c r="E136" s="214"/>
      <c r="F136" s="214" t="s">
        <v>1576</v>
      </c>
      <c r="G136" s="214" t="s">
        <v>349</v>
      </c>
      <c r="H136" s="214" t="s">
        <v>1807</v>
      </c>
      <c r="I136" s="214"/>
      <c r="J136" s="214"/>
      <c r="K136" s="214"/>
      <c r="L136" s="214"/>
      <c r="AT136" s="167" t="str">
        <f t="shared" si="14"/>
        <v>10101PS001</v>
      </c>
      <c r="AU136" s="167" t="str">
        <f t="shared" si="15"/>
        <v>PS001</v>
      </c>
    </row>
    <row r="137" spans="2:47" outlineLevel="1" x14ac:dyDescent="0.25">
      <c r="B137" s="214"/>
      <c r="C137" s="214" t="s">
        <v>1629</v>
      </c>
      <c r="D137" s="214" t="s">
        <v>1630</v>
      </c>
      <c r="E137" s="214"/>
      <c r="F137" s="214" t="s">
        <v>1576</v>
      </c>
      <c r="G137" s="214" t="s">
        <v>349</v>
      </c>
      <c r="H137" s="214" t="s">
        <v>1807</v>
      </c>
      <c r="I137" s="214"/>
      <c r="J137" s="214"/>
      <c r="K137" s="214"/>
      <c r="L137" s="214"/>
      <c r="AT137" s="167" t="str">
        <f t="shared" si="14"/>
        <v>10101PS002</v>
      </c>
      <c r="AU137" s="167" t="str">
        <f t="shared" si="15"/>
        <v>PS002</v>
      </c>
    </row>
    <row r="138" spans="2:47" outlineLevel="1" x14ac:dyDescent="0.25">
      <c r="B138" s="214"/>
      <c r="C138" s="214" t="s">
        <v>1631</v>
      </c>
      <c r="D138" s="214" t="s">
        <v>1632</v>
      </c>
      <c r="E138" s="214"/>
      <c r="F138" s="214" t="s">
        <v>1576</v>
      </c>
      <c r="G138" s="214" t="s">
        <v>349</v>
      </c>
      <c r="H138" s="214" t="s">
        <v>1807</v>
      </c>
      <c r="I138" s="214"/>
      <c r="J138" s="214"/>
      <c r="K138" s="214"/>
      <c r="L138" s="214"/>
      <c r="AT138" s="167" t="str">
        <f t="shared" si="14"/>
        <v>10101PS003</v>
      </c>
      <c r="AU138" s="167" t="str">
        <f t="shared" si="15"/>
        <v>PS003</v>
      </c>
    </row>
    <row r="139" spans="2:47" outlineLevel="1" x14ac:dyDescent="0.25">
      <c r="B139" s="214"/>
      <c r="C139" s="214" t="s">
        <v>1633</v>
      </c>
      <c r="D139" s="214" t="s">
        <v>1634</v>
      </c>
      <c r="E139" s="214"/>
      <c r="F139" s="214" t="s">
        <v>1576</v>
      </c>
      <c r="G139" s="214" t="s">
        <v>349</v>
      </c>
      <c r="H139" s="214" t="s">
        <v>1807</v>
      </c>
      <c r="I139" s="214"/>
      <c r="J139" s="214"/>
      <c r="K139" s="214"/>
      <c r="L139" s="214"/>
      <c r="AT139" s="167" t="str">
        <f t="shared" si="14"/>
        <v>10101PS004</v>
      </c>
      <c r="AU139" s="167" t="str">
        <f t="shared" si="15"/>
        <v>PS004</v>
      </c>
    </row>
    <row r="140" spans="2:47" outlineLevel="1" x14ac:dyDescent="0.25">
      <c r="B140" s="214"/>
      <c r="C140" s="214" t="s">
        <v>1635</v>
      </c>
      <c r="D140" s="214" t="s">
        <v>1636</v>
      </c>
      <c r="E140" s="214"/>
      <c r="F140" s="214" t="s">
        <v>1576</v>
      </c>
      <c r="G140" s="214" t="s">
        <v>349</v>
      </c>
      <c r="H140" s="214" t="s">
        <v>1807</v>
      </c>
      <c r="I140" s="214"/>
      <c r="J140" s="214"/>
      <c r="K140" s="214"/>
      <c r="L140" s="214"/>
      <c r="AT140" s="167" t="str">
        <f t="shared" si="14"/>
        <v>10101PS005</v>
      </c>
      <c r="AU140" s="167" t="str">
        <f t="shared" si="15"/>
        <v>PS005</v>
      </c>
    </row>
    <row r="141" spans="2:47" outlineLevel="1" x14ac:dyDescent="0.25">
      <c r="B141" s="214"/>
      <c r="C141" s="214" t="s">
        <v>1637</v>
      </c>
      <c r="D141" s="214" t="s">
        <v>1638</v>
      </c>
      <c r="E141" s="214"/>
      <c r="F141" s="214" t="s">
        <v>1576</v>
      </c>
      <c r="G141" s="214" t="s">
        <v>349</v>
      </c>
      <c r="H141" s="214" t="s">
        <v>1807</v>
      </c>
      <c r="I141" s="214"/>
      <c r="J141" s="214"/>
      <c r="K141" s="214"/>
      <c r="L141" s="214"/>
      <c r="AT141" s="167" t="str">
        <f t="shared" si="14"/>
        <v>10101PS006</v>
      </c>
      <c r="AU141" s="167" t="str">
        <f t="shared" si="15"/>
        <v>PS006</v>
      </c>
    </row>
    <row r="142" spans="2:47" outlineLevel="1" x14ac:dyDescent="0.25">
      <c r="B142" s="214"/>
      <c r="C142" s="214" t="s">
        <v>1639</v>
      </c>
      <c r="D142" s="214" t="s">
        <v>1640</v>
      </c>
      <c r="E142" s="214"/>
      <c r="F142" s="214" t="s">
        <v>1576</v>
      </c>
      <c r="G142" s="214" t="s">
        <v>349</v>
      </c>
      <c r="H142" s="214" t="s">
        <v>1807</v>
      </c>
      <c r="I142" s="214"/>
      <c r="J142" s="214"/>
      <c r="K142" s="214"/>
      <c r="L142" s="214"/>
      <c r="AT142" s="167" t="str">
        <f t="shared" si="14"/>
        <v>10101PS007</v>
      </c>
      <c r="AU142" s="167" t="str">
        <f t="shared" si="15"/>
        <v>PS007</v>
      </c>
    </row>
    <row r="143" spans="2:47" outlineLevel="1" x14ac:dyDescent="0.25">
      <c r="B143" s="214"/>
      <c r="C143" s="214" t="s">
        <v>1641</v>
      </c>
      <c r="D143" s="214" t="s">
        <v>1642</v>
      </c>
      <c r="E143" s="214"/>
      <c r="F143" s="214" t="s">
        <v>1576</v>
      </c>
      <c r="G143" s="214" t="s">
        <v>349</v>
      </c>
      <c r="H143" s="214" t="s">
        <v>1807</v>
      </c>
      <c r="I143" s="214"/>
      <c r="J143" s="214"/>
      <c r="K143" s="214"/>
      <c r="L143" s="214"/>
      <c r="AT143" s="167" t="str">
        <f t="shared" si="14"/>
        <v>10101PS008</v>
      </c>
      <c r="AU143" s="167" t="str">
        <f t="shared" si="15"/>
        <v>PS008</v>
      </c>
    </row>
    <row r="144" spans="2:47" outlineLevel="1" x14ac:dyDescent="0.25">
      <c r="B144" s="214"/>
      <c r="C144" s="214" t="s">
        <v>1643</v>
      </c>
      <c r="D144" s="214" t="s">
        <v>1644</v>
      </c>
      <c r="E144" s="214"/>
      <c r="F144" s="214" t="s">
        <v>1576</v>
      </c>
      <c r="G144" s="214" t="s">
        <v>349</v>
      </c>
      <c r="H144" s="214" t="s">
        <v>1808</v>
      </c>
      <c r="I144" s="214"/>
      <c r="J144" s="214"/>
      <c r="K144" s="214"/>
      <c r="L144" s="214"/>
      <c r="AT144" s="167" t="str">
        <f t="shared" si="14"/>
        <v>10103PP001</v>
      </c>
      <c r="AU144" s="167" t="str">
        <f t="shared" si="15"/>
        <v>PP001</v>
      </c>
    </row>
    <row r="145" spans="2:47" outlineLevel="1" x14ac:dyDescent="0.25">
      <c r="B145" s="214"/>
      <c r="C145" s="214" t="s">
        <v>1645</v>
      </c>
      <c r="D145" s="214" t="s">
        <v>1646</v>
      </c>
      <c r="E145" s="214"/>
      <c r="F145" s="214" t="s">
        <v>1576</v>
      </c>
      <c r="G145" s="214" t="s">
        <v>349</v>
      </c>
      <c r="H145" s="214" t="s">
        <v>1808</v>
      </c>
      <c r="I145" s="214"/>
      <c r="J145" s="214"/>
      <c r="K145" s="214"/>
      <c r="L145" s="214"/>
      <c r="AT145" s="167" t="str">
        <f t="shared" si="14"/>
        <v>10103PP002</v>
      </c>
      <c r="AU145" s="167" t="str">
        <f t="shared" si="15"/>
        <v>PP002</v>
      </c>
    </row>
    <row r="146" spans="2:47" outlineLevel="1" x14ac:dyDescent="0.25">
      <c r="B146" s="214"/>
      <c r="C146" s="214" t="s">
        <v>1647</v>
      </c>
      <c r="D146" s="214" t="s">
        <v>1648</v>
      </c>
      <c r="E146" s="214"/>
      <c r="F146" s="214" t="s">
        <v>1576</v>
      </c>
      <c r="G146" s="214" t="s">
        <v>349</v>
      </c>
      <c r="H146" s="214" t="s">
        <v>1808</v>
      </c>
      <c r="I146" s="214"/>
      <c r="J146" s="214"/>
      <c r="K146" s="214"/>
      <c r="L146" s="214"/>
      <c r="AT146" s="167" t="str">
        <f t="shared" si="14"/>
        <v>10103PP003</v>
      </c>
      <c r="AU146" s="167" t="str">
        <f t="shared" si="15"/>
        <v>PP003</v>
      </c>
    </row>
    <row r="147" spans="2:47" outlineLevel="1" x14ac:dyDescent="0.25">
      <c r="B147" s="214"/>
      <c r="C147" s="214" t="s">
        <v>1649</v>
      </c>
      <c r="D147" s="214" t="s">
        <v>1650</v>
      </c>
      <c r="E147" s="214"/>
      <c r="F147" s="214" t="s">
        <v>1576</v>
      </c>
      <c r="G147" s="214" t="s">
        <v>349</v>
      </c>
      <c r="H147" s="214" t="s">
        <v>1808</v>
      </c>
      <c r="I147" s="214"/>
      <c r="J147" s="214"/>
      <c r="K147" s="214"/>
      <c r="L147" s="214"/>
      <c r="AT147" s="167" t="str">
        <f t="shared" si="14"/>
        <v>10103PP004</v>
      </c>
      <c r="AU147" s="167" t="str">
        <f t="shared" si="15"/>
        <v>PP004</v>
      </c>
    </row>
    <row r="148" spans="2:47" outlineLevel="1" x14ac:dyDescent="0.25">
      <c r="B148" s="214"/>
      <c r="C148" s="214" t="s">
        <v>1651</v>
      </c>
      <c r="D148" s="214" t="s">
        <v>1652</v>
      </c>
      <c r="E148" s="214"/>
      <c r="F148" s="214" t="s">
        <v>1576</v>
      </c>
      <c r="G148" s="214" t="s">
        <v>349</v>
      </c>
      <c r="H148" s="214" t="s">
        <v>1808</v>
      </c>
      <c r="I148" s="214"/>
      <c r="J148" s="214"/>
      <c r="K148" s="214"/>
      <c r="L148" s="214"/>
      <c r="AT148" s="167" t="str">
        <f t="shared" si="14"/>
        <v>10103PP005</v>
      </c>
      <c r="AU148" s="167" t="str">
        <f t="shared" si="15"/>
        <v>PP005</v>
      </c>
    </row>
    <row r="149" spans="2:47" outlineLevel="1" x14ac:dyDescent="0.25">
      <c r="B149" s="214"/>
      <c r="C149" s="214" t="s">
        <v>1653</v>
      </c>
      <c r="D149" s="214" t="s">
        <v>1654</v>
      </c>
      <c r="E149" s="214"/>
      <c r="F149" s="214" t="s">
        <v>1576</v>
      </c>
      <c r="G149" s="214" t="s">
        <v>349</v>
      </c>
      <c r="H149" s="214" t="s">
        <v>1808</v>
      </c>
      <c r="I149" s="214"/>
      <c r="J149" s="214"/>
      <c r="K149" s="214"/>
      <c r="L149" s="214"/>
      <c r="AT149" s="167" t="str">
        <f t="shared" si="14"/>
        <v>10103PP006</v>
      </c>
      <c r="AU149" s="167" t="str">
        <f t="shared" si="15"/>
        <v>PP006</v>
      </c>
    </row>
    <row r="150" spans="2:47" outlineLevel="1" x14ac:dyDescent="0.25">
      <c r="B150" s="214"/>
      <c r="C150" s="214" t="s">
        <v>1655</v>
      </c>
      <c r="D150" s="214" t="s">
        <v>1656</v>
      </c>
      <c r="E150" s="214"/>
      <c r="F150" s="214" t="s">
        <v>1576</v>
      </c>
      <c r="G150" s="214" t="s">
        <v>349</v>
      </c>
      <c r="H150" s="214" t="s">
        <v>1808</v>
      </c>
      <c r="I150" s="214"/>
      <c r="J150" s="214"/>
      <c r="K150" s="214"/>
      <c r="L150" s="214"/>
      <c r="AT150" s="167" t="str">
        <f t="shared" si="14"/>
        <v>10103PP007</v>
      </c>
      <c r="AU150" s="167" t="str">
        <f t="shared" si="15"/>
        <v>PP007</v>
      </c>
    </row>
    <row r="151" spans="2:47" outlineLevel="1" x14ac:dyDescent="0.25">
      <c r="B151" s="214"/>
      <c r="C151" s="214" t="s">
        <v>1657</v>
      </c>
      <c r="D151" s="214" t="s">
        <v>1658</v>
      </c>
      <c r="E151" s="214"/>
      <c r="F151" s="214" t="s">
        <v>1576</v>
      </c>
      <c r="G151" s="214" t="s">
        <v>349</v>
      </c>
      <c r="H151" s="214" t="s">
        <v>1808</v>
      </c>
      <c r="I151" s="214"/>
      <c r="J151" s="214"/>
      <c r="K151" s="214"/>
      <c r="L151" s="214"/>
      <c r="AT151" s="167" t="str">
        <f t="shared" si="14"/>
        <v>10103PP008</v>
      </c>
      <c r="AU151" s="167" t="str">
        <f t="shared" si="15"/>
        <v>PP008</v>
      </c>
    </row>
    <row r="152" spans="2:47" outlineLevel="1" x14ac:dyDescent="0.25">
      <c r="B152" s="214"/>
      <c r="C152" s="214" t="s">
        <v>1659</v>
      </c>
      <c r="D152" s="214" t="s">
        <v>1660</v>
      </c>
      <c r="E152" s="214"/>
      <c r="F152" s="214" t="s">
        <v>1576</v>
      </c>
      <c r="G152" s="214" t="s">
        <v>349</v>
      </c>
      <c r="H152" s="214" t="s">
        <v>1808</v>
      </c>
      <c r="I152" s="214"/>
      <c r="J152" s="214"/>
      <c r="K152" s="214"/>
      <c r="L152" s="214"/>
      <c r="AT152" s="167" t="str">
        <f t="shared" si="14"/>
        <v>10103PP009</v>
      </c>
      <c r="AU152" s="167" t="str">
        <f t="shared" si="15"/>
        <v>PP009</v>
      </c>
    </row>
    <row r="153" spans="2:47" outlineLevel="1" x14ac:dyDescent="0.25">
      <c r="B153" s="214"/>
      <c r="C153" s="214" t="s">
        <v>1661</v>
      </c>
      <c r="D153" s="214" t="s">
        <v>1662</v>
      </c>
      <c r="E153" s="214"/>
      <c r="F153" s="214" t="s">
        <v>1576</v>
      </c>
      <c r="G153" s="214" t="s">
        <v>349</v>
      </c>
      <c r="H153" s="214" t="s">
        <v>1808</v>
      </c>
      <c r="I153" s="214"/>
      <c r="J153" s="214"/>
      <c r="K153" s="214"/>
      <c r="L153" s="214"/>
      <c r="AT153" s="167" t="str">
        <f t="shared" si="14"/>
        <v>10103PP010</v>
      </c>
      <c r="AU153" s="167" t="str">
        <f t="shared" si="15"/>
        <v>PP010</v>
      </c>
    </row>
    <row r="154" spans="2:47" outlineLevel="1" x14ac:dyDescent="0.25">
      <c r="B154" s="214"/>
      <c r="C154" s="214" t="s">
        <v>1663</v>
      </c>
      <c r="D154" s="214" t="s">
        <v>1664</v>
      </c>
      <c r="E154" s="214"/>
      <c r="F154" s="214" t="s">
        <v>1576</v>
      </c>
      <c r="G154" s="214" t="s">
        <v>349</v>
      </c>
      <c r="H154" s="214" t="s">
        <v>1808</v>
      </c>
      <c r="I154" s="214"/>
      <c r="J154" s="214"/>
      <c r="K154" s="214"/>
      <c r="L154" s="214"/>
      <c r="AT154" s="167" t="str">
        <f t="shared" si="14"/>
        <v>10103PS001</v>
      </c>
      <c r="AU154" s="167" t="str">
        <f t="shared" si="15"/>
        <v>PS001</v>
      </c>
    </row>
    <row r="155" spans="2:47" outlineLevel="1" x14ac:dyDescent="0.25">
      <c r="B155" s="214"/>
      <c r="C155" s="214" t="s">
        <v>1665</v>
      </c>
      <c r="D155" s="214" t="s">
        <v>1666</v>
      </c>
      <c r="E155" s="214"/>
      <c r="F155" s="214" t="s">
        <v>1576</v>
      </c>
      <c r="G155" s="214" t="s">
        <v>349</v>
      </c>
      <c r="H155" s="214" t="s">
        <v>1808</v>
      </c>
      <c r="I155" s="214"/>
      <c r="J155" s="214"/>
      <c r="K155" s="214"/>
      <c r="L155" s="214"/>
      <c r="AT155" s="167" t="str">
        <f t="shared" si="14"/>
        <v>10103PS002</v>
      </c>
      <c r="AU155" s="167" t="str">
        <f t="shared" si="15"/>
        <v>PS002</v>
      </c>
    </row>
    <row r="156" spans="2:47" outlineLevel="1" x14ac:dyDescent="0.25">
      <c r="B156" s="214"/>
      <c r="C156" s="214" t="s">
        <v>1667</v>
      </c>
      <c r="D156" s="214" t="s">
        <v>1668</v>
      </c>
      <c r="E156" s="214"/>
      <c r="F156" s="214" t="s">
        <v>1576</v>
      </c>
      <c r="G156" s="214" t="s">
        <v>349</v>
      </c>
      <c r="H156" s="214" t="s">
        <v>1808</v>
      </c>
      <c r="I156" s="214"/>
      <c r="J156" s="214"/>
      <c r="K156" s="214"/>
      <c r="L156" s="214"/>
      <c r="AT156" s="167" t="str">
        <f t="shared" si="14"/>
        <v>10103PS003</v>
      </c>
      <c r="AU156" s="167" t="str">
        <f t="shared" si="15"/>
        <v>PS003</v>
      </c>
    </row>
    <row r="157" spans="2:47" outlineLevel="1" x14ac:dyDescent="0.25">
      <c r="B157" s="214"/>
      <c r="C157" s="214" t="s">
        <v>1669</v>
      </c>
      <c r="D157" s="214" t="s">
        <v>1670</v>
      </c>
      <c r="E157" s="214"/>
      <c r="F157" s="214" t="s">
        <v>1576</v>
      </c>
      <c r="G157" s="214" t="s">
        <v>349</v>
      </c>
      <c r="H157" s="214" t="s">
        <v>1808</v>
      </c>
      <c r="I157" s="214"/>
      <c r="J157" s="214"/>
      <c r="K157" s="214"/>
      <c r="L157" s="214"/>
      <c r="AT157" s="167" t="str">
        <f t="shared" si="14"/>
        <v>10103PS004</v>
      </c>
      <c r="AU157" s="167" t="str">
        <f t="shared" si="15"/>
        <v>PS004</v>
      </c>
    </row>
    <row r="158" spans="2:47" outlineLevel="1" x14ac:dyDescent="0.25">
      <c r="B158" s="214"/>
      <c r="C158" s="214" t="s">
        <v>1671</v>
      </c>
      <c r="D158" s="214" t="s">
        <v>1672</v>
      </c>
      <c r="E158" s="214"/>
      <c r="F158" s="214" t="s">
        <v>1576</v>
      </c>
      <c r="G158" s="214" t="s">
        <v>349</v>
      </c>
      <c r="H158" s="214" t="s">
        <v>1808</v>
      </c>
      <c r="I158" s="214"/>
      <c r="J158" s="214"/>
      <c r="K158" s="214"/>
      <c r="L158" s="214"/>
      <c r="AT158" s="167" t="str">
        <f t="shared" si="14"/>
        <v>10103PS005</v>
      </c>
      <c r="AU158" s="167" t="str">
        <f t="shared" si="15"/>
        <v>PS005</v>
      </c>
    </row>
    <row r="159" spans="2:47" outlineLevel="1" x14ac:dyDescent="0.25">
      <c r="B159" s="214"/>
      <c r="C159" s="214" t="s">
        <v>1673</v>
      </c>
      <c r="D159" s="214" t="s">
        <v>1674</v>
      </c>
      <c r="E159" s="214"/>
      <c r="F159" s="214" t="s">
        <v>1576</v>
      </c>
      <c r="G159" s="214" t="s">
        <v>349</v>
      </c>
      <c r="H159" s="214" t="s">
        <v>1808</v>
      </c>
      <c r="I159" s="214"/>
      <c r="J159" s="214"/>
      <c r="K159" s="214"/>
      <c r="L159" s="214"/>
      <c r="AT159" s="167" t="str">
        <f t="shared" si="14"/>
        <v>10103PS006</v>
      </c>
      <c r="AU159" s="167" t="str">
        <f t="shared" si="15"/>
        <v>PS006</v>
      </c>
    </row>
    <row r="160" spans="2:47" outlineLevel="1" x14ac:dyDescent="0.25">
      <c r="B160" s="214"/>
      <c r="C160" s="214" t="s">
        <v>1675</v>
      </c>
      <c r="D160" s="214" t="s">
        <v>1676</v>
      </c>
      <c r="E160" s="214"/>
      <c r="F160" s="214" t="s">
        <v>1576</v>
      </c>
      <c r="G160" s="214" t="s">
        <v>349</v>
      </c>
      <c r="H160" s="214" t="s">
        <v>1808</v>
      </c>
      <c r="I160" s="214"/>
      <c r="J160" s="214"/>
      <c r="K160" s="214"/>
      <c r="L160" s="214"/>
      <c r="AT160" s="167" t="str">
        <f t="shared" si="14"/>
        <v>10103PS007</v>
      </c>
      <c r="AU160" s="167" t="str">
        <f t="shared" si="15"/>
        <v>PS007</v>
      </c>
    </row>
    <row r="161" spans="2:47" outlineLevel="1" x14ac:dyDescent="0.25">
      <c r="B161" s="214"/>
      <c r="C161" s="214" t="s">
        <v>1677</v>
      </c>
      <c r="D161" s="214" t="s">
        <v>1678</v>
      </c>
      <c r="E161" s="214"/>
      <c r="F161" s="214" t="s">
        <v>1576</v>
      </c>
      <c r="G161" s="214" t="s">
        <v>349</v>
      </c>
      <c r="H161" s="214" t="s">
        <v>1808</v>
      </c>
      <c r="I161" s="214"/>
      <c r="J161" s="214"/>
      <c r="K161" s="214"/>
      <c r="L161" s="214"/>
      <c r="AT161" s="167" t="str">
        <f t="shared" si="14"/>
        <v>10103PS008</v>
      </c>
      <c r="AU161" s="167" t="str">
        <f t="shared" si="15"/>
        <v>PS008</v>
      </c>
    </row>
    <row r="162" spans="2:47" outlineLevel="1" x14ac:dyDescent="0.25">
      <c r="B162" s="214"/>
      <c r="C162" s="214" t="s">
        <v>1679</v>
      </c>
      <c r="D162" s="214" t="s">
        <v>1680</v>
      </c>
      <c r="E162" s="214"/>
      <c r="F162" s="214" t="s">
        <v>1576</v>
      </c>
      <c r="G162" s="214" t="s">
        <v>349</v>
      </c>
      <c r="H162" s="214"/>
      <c r="I162" s="214"/>
      <c r="J162" s="214"/>
      <c r="K162" s="214"/>
      <c r="L162" s="214"/>
      <c r="AT162" s="167" t="str">
        <f t="shared" si="14"/>
        <v>10201PS001</v>
      </c>
      <c r="AU162" s="167" t="str">
        <f t="shared" si="15"/>
        <v>PS001</v>
      </c>
    </row>
    <row r="163" spans="2:47" outlineLevel="1" x14ac:dyDescent="0.25">
      <c r="B163" s="214"/>
      <c r="C163" s="214" t="s">
        <v>1681</v>
      </c>
      <c r="D163" s="214" t="s">
        <v>1682</v>
      </c>
      <c r="E163" s="214"/>
      <c r="F163" s="214" t="s">
        <v>1576</v>
      </c>
      <c r="G163" s="214" t="s">
        <v>349</v>
      </c>
      <c r="H163" s="214"/>
      <c r="I163" s="214"/>
      <c r="J163" s="214"/>
      <c r="K163" s="214"/>
      <c r="L163" s="214"/>
      <c r="AT163" s="167" t="str">
        <f t="shared" si="14"/>
        <v>10201PS002</v>
      </c>
      <c r="AU163" s="167" t="str">
        <f t="shared" si="15"/>
        <v>PS002</v>
      </c>
    </row>
    <row r="164" spans="2:47" outlineLevel="1" x14ac:dyDescent="0.25">
      <c r="B164" s="214"/>
      <c r="C164" s="214" t="s">
        <v>1683</v>
      </c>
      <c r="D164" s="214" t="s">
        <v>1684</v>
      </c>
      <c r="E164" s="214"/>
      <c r="F164" s="214" t="s">
        <v>1576</v>
      </c>
      <c r="G164" s="214" t="s">
        <v>349</v>
      </c>
      <c r="H164" s="214"/>
      <c r="I164" s="214"/>
      <c r="J164" s="214"/>
      <c r="K164" s="214"/>
      <c r="L164" s="214"/>
      <c r="AT164" s="167" t="str">
        <f t="shared" si="14"/>
        <v>10201PS003</v>
      </c>
      <c r="AU164" s="167" t="str">
        <f t="shared" si="15"/>
        <v>PS003</v>
      </c>
    </row>
    <row r="165" spans="2:47" outlineLevel="1" x14ac:dyDescent="0.25">
      <c r="B165" s="214"/>
      <c r="C165" s="214" t="s">
        <v>1685</v>
      </c>
      <c r="D165" s="214" t="s">
        <v>1686</v>
      </c>
      <c r="E165" s="214"/>
      <c r="F165" s="214" t="s">
        <v>1576</v>
      </c>
      <c r="G165" s="214" t="s">
        <v>349</v>
      </c>
      <c r="H165" s="214"/>
      <c r="I165" s="214"/>
      <c r="J165" s="214"/>
      <c r="K165" s="214"/>
      <c r="L165" s="214"/>
      <c r="AT165" s="167" t="str">
        <f t="shared" si="14"/>
        <v>10201PS004</v>
      </c>
      <c r="AU165" s="167" t="str">
        <f t="shared" si="15"/>
        <v>PS004</v>
      </c>
    </row>
    <row r="166" spans="2:47" outlineLevel="1" x14ac:dyDescent="0.25">
      <c r="B166" s="214"/>
      <c r="C166" s="214" t="s">
        <v>1687</v>
      </c>
      <c r="D166" s="214" t="s">
        <v>1688</v>
      </c>
      <c r="E166" s="214"/>
      <c r="F166" s="214" t="s">
        <v>1576</v>
      </c>
      <c r="G166" s="214" t="s">
        <v>349</v>
      </c>
      <c r="H166" s="214"/>
      <c r="I166" s="214"/>
      <c r="J166" s="214"/>
      <c r="K166" s="214"/>
      <c r="L166" s="214"/>
      <c r="AT166" s="167" t="str">
        <f t="shared" si="14"/>
        <v>10201PS005</v>
      </c>
      <c r="AU166" s="167" t="str">
        <f t="shared" si="15"/>
        <v>PS005</v>
      </c>
    </row>
    <row r="167" spans="2:47" outlineLevel="1" x14ac:dyDescent="0.25">
      <c r="B167" s="214"/>
      <c r="C167" s="214" t="s">
        <v>1689</v>
      </c>
      <c r="D167" s="214" t="s">
        <v>1690</v>
      </c>
      <c r="E167" s="214"/>
      <c r="F167" s="214" t="s">
        <v>1576</v>
      </c>
      <c r="G167" s="214" t="s">
        <v>349</v>
      </c>
      <c r="H167" s="214"/>
      <c r="I167" s="214"/>
      <c r="J167" s="214"/>
      <c r="K167" s="214"/>
      <c r="L167" s="214"/>
      <c r="AT167" s="167" t="str">
        <f t="shared" si="14"/>
        <v>10201PS006</v>
      </c>
      <c r="AU167" s="167" t="str">
        <f t="shared" si="15"/>
        <v>PS006</v>
      </c>
    </row>
    <row r="168" spans="2:47" outlineLevel="1" x14ac:dyDescent="0.25">
      <c r="B168" s="214"/>
      <c r="C168" s="214" t="s">
        <v>1691</v>
      </c>
      <c r="D168" s="214" t="s">
        <v>1692</v>
      </c>
      <c r="E168" s="214"/>
      <c r="F168" s="214" t="s">
        <v>1576</v>
      </c>
      <c r="G168" s="214" t="s">
        <v>349</v>
      </c>
      <c r="H168" s="214"/>
      <c r="I168" s="214"/>
      <c r="J168" s="214"/>
      <c r="K168" s="214"/>
      <c r="L168" s="214"/>
      <c r="AT168" s="167" t="str">
        <f t="shared" si="14"/>
        <v>10201PS007</v>
      </c>
      <c r="AU168" s="167" t="str">
        <f t="shared" si="15"/>
        <v>PS007</v>
      </c>
    </row>
    <row r="169" spans="2:47" outlineLevel="1" x14ac:dyDescent="0.25">
      <c r="B169" s="214"/>
      <c r="C169" s="214" t="s">
        <v>1693</v>
      </c>
      <c r="D169" s="214" t="s">
        <v>1694</v>
      </c>
      <c r="E169" s="214"/>
      <c r="F169" s="214" t="s">
        <v>1576</v>
      </c>
      <c r="G169" s="214" t="s">
        <v>349</v>
      </c>
      <c r="H169" s="214"/>
      <c r="I169" s="214"/>
      <c r="J169" s="214"/>
      <c r="K169" s="214"/>
      <c r="L169" s="214"/>
      <c r="AT169" s="167" t="str">
        <f t="shared" si="14"/>
        <v>10201PS008</v>
      </c>
      <c r="AU169" s="167" t="str">
        <f t="shared" si="15"/>
        <v>PS008</v>
      </c>
    </row>
    <row r="170" spans="2:47" outlineLevel="1" x14ac:dyDescent="0.25">
      <c r="B170" s="214"/>
      <c r="C170" s="214" t="s">
        <v>1695</v>
      </c>
      <c r="D170" s="214" t="s">
        <v>1696</v>
      </c>
      <c r="E170" s="214"/>
      <c r="F170" s="214" t="s">
        <v>1576</v>
      </c>
      <c r="G170" s="214" t="s">
        <v>349</v>
      </c>
      <c r="H170" s="214"/>
      <c r="I170" s="214"/>
      <c r="J170" s="214"/>
      <c r="K170" s="214"/>
      <c r="L170" s="214"/>
      <c r="AT170" s="167" t="str">
        <f t="shared" si="14"/>
        <v>10201SU001</v>
      </c>
      <c r="AU170" s="167" t="str">
        <f t="shared" si="15"/>
        <v>SU001</v>
      </c>
    </row>
    <row r="171" spans="2:47" outlineLevel="1" x14ac:dyDescent="0.25">
      <c r="B171" s="214"/>
      <c r="C171" s="214" t="s">
        <v>1697</v>
      </c>
      <c r="D171" s="214" t="s">
        <v>1698</v>
      </c>
      <c r="E171" s="214"/>
      <c r="F171" s="214" t="s">
        <v>1576</v>
      </c>
      <c r="G171" s="214" t="s">
        <v>349</v>
      </c>
      <c r="H171" s="214"/>
      <c r="I171" s="214"/>
      <c r="J171" s="214"/>
      <c r="K171" s="214"/>
      <c r="L171" s="214"/>
      <c r="AT171" s="167" t="str">
        <f t="shared" si="14"/>
        <v>10201SU002</v>
      </c>
      <c r="AU171" s="167" t="str">
        <f t="shared" si="15"/>
        <v>SU002</v>
      </c>
    </row>
    <row r="172" spans="2:47" outlineLevel="1" x14ac:dyDescent="0.25">
      <c r="B172" s="214"/>
      <c r="C172" s="214" t="s">
        <v>1699</v>
      </c>
      <c r="D172" s="214" t="s">
        <v>1700</v>
      </c>
      <c r="E172" s="214"/>
      <c r="F172" s="214" t="s">
        <v>1576</v>
      </c>
      <c r="G172" s="214" t="s">
        <v>349</v>
      </c>
      <c r="H172" s="214"/>
      <c r="I172" s="214"/>
      <c r="J172" s="214"/>
      <c r="K172" s="214"/>
      <c r="L172" s="214"/>
      <c r="AT172" s="167" t="str">
        <f t="shared" si="14"/>
        <v>10201SU003</v>
      </c>
      <c r="AU172" s="167" t="str">
        <f t="shared" si="15"/>
        <v>SU003</v>
      </c>
    </row>
    <row r="173" spans="2:47" outlineLevel="1" x14ac:dyDescent="0.25">
      <c r="B173" s="214"/>
      <c r="C173" s="214" t="s">
        <v>1701</v>
      </c>
      <c r="D173" s="214" t="s">
        <v>1702</v>
      </c>
      <c r="E173" s="214"/>
      <c r="F173" s="214" t="s">
        <v>1576</v>
      </c>
      <c r="G173" s="214" t="s">
        <v>349</v>
      </c>
      <c r="H173" s="214"/>
      <c r="I173" s="214"/>
      <c r="J173" s="214"/>
      <c r="K173" s="214"/>
      <c r="L173" s="214"/>
      <c r="AT173" s="167" t="str">
        <f t="shared" si="14"/>
        <v>10201SU004</v>
      </c>
      <c r="AU173" s="167" t="str">
        <f t="shared" si="15"/>
        <v>SU004</v>
      </c>
    </row>
    <row r="174" spans="2:47" outlineLevel="1" x14ac:dyDescent="0.25">
      <c r="B174" s="214"/>
      <c r="C174" s="214" t="s">
        <v>1703</v>
      </c>
      <c r="D174" s="214" t="s">
        <v>1704</v>
      </c>
      <c r="E174" s="214"/>
      <c r="F174" s="214" t="s">
        <v>1576</v>
      </c>
      <c r="G174" s="214" t="s">
        <v>349</v>
      </c>
      <c r="H174" s="214"/>
      <c r="I174" s="214"/>
      <c r="J174" s="214"/>
      <c r="K174" s="214"/>
      <c r="L174" s="214"/>
      <c r="AT174" s="167" t="str">
        <f t="shared" si="14"/>
        <v>10201SU005</v>
      </c>
      <c r="AU174" s="167" t="str">
        <f t="shared" si="15"/>
        <v>SU005</v>
      </c>
    </row>
    <row r="175" spans="2:47" outlineLevel="1" x14ac:dyDescent="0.25">
      <c r="B175" s="214"/>
      <c r="C175" s="214" t="s">
        <v>1705</v>
      </c>
      <c r="D175" s="214" t="s">
        <v>1706</v>
      </c>
      <c r="E175" s="214"/>
      <c r="F175" s="214" t="s">
        <v>1576</v>
      </c>
      <c r="G175" s="214" t="s">
        <v>349</v>
      </c>
      <c r="H175" s="214"/>
      <c r="I175" s="214"/>
      <c r="J175" s="214"/>
      <c r="K175" s="214"/>
      <c r="L175" s="214"/>
      <c r="AT175" s="167" t="str">
        <f t="shared" si="14"/>
        <v>10201SU006</v>
      </c>
      <c r="AU175" s="167" t="str">
        <f t="shared" si="15"/>
        <v>SU006</v>
      </c>
    </row>
    <row r="176" spans="2:47" outlineLevel="1" x14ac:dyDescent="0.25">
      <c r="B176" s="214"/>
      <c r="C176" s="214" t="s">
        <v>1707</v>
      </c>
      <c r="D176" s="214" t="s">
        <v>1708</v>
      </c>
      <c r="E176" s="214"/>
      <c r="F176" s="214" t="s">
        <v>1576</v>
      </c>
      <c r="G176" s="214" t="s">
        <v>349</v>
      </c>
      <c r="H176" s="214"/>
      <c r="I176" s="214"/>
      <c r="J176" s="214"/>
      <c r="K176" s="214"/>
      <c r="L176" s="214"/>
      <c r="AT176" s="167" t="str">
        <f t="shared" si="14"/>
        <v>10201SU007</v>
      </c>
      <c r="AU176" s="167" t="str">
        <f t="shared" si="15"/>
        <v>SU007</v>
      </c>
    </row>
    <row r="177" spans="2:47" outlineLevel="1" x14ac:dyDescent="0.25">
      <c r="B177" s="214"/>
      <c r="C177" s="214" t="s">
        <v>1709</v>
      </c>
      <c r="D177" s="214" t="s">
        <v>1710</v>
      </c>
      <c r="E177" s="214"/>
      <c r="F177" s="214" t="s">
        <v>1576</v>
      </c>
      <c r="G177" s="214" t="s">
        <v>349</v>
      </c>
      <c r="H177" s="214"/>
      <c r="I177" s="214"/>
      <c r="J177" s="214"/>
      <c r="K177" s="214"/>
      <c r="L177" s="214"/>
      <c r="AT177" s="167" t="str">
        <f t="shared" si="14"/>
        <v>10201SU008</v>
      </c>
      <c r="AU177" s="167" t="str">
        <f t="shared" si="15"/>
        <v>SU008</v>
      </c>
    </row>
    <row r="178" spans="2:47" outlineLevel="1" x14ac:dyDescent="0.25">
      <c r="B178" s="214"/>
      <c r="C178" s="214" t="s">
        <v>1711</v>
      </c>
      <c r="D178" s="214" t="s">
        <v>1712</v>
      </c>
      <c r="E178" s="214"/>
      <c r="F178" s="214" t="s">
        <v>1576</v>
      </c>
      <c r="G178" s="214" t="s">
        <v>349</v>
      </c>
      <c r="H178" s="214"/>
      <c r="I178" s="214"/>
      <c r="J178" s="214"/>
      <c r="K178" s="214"/>
      <c r="L178" s="214"/>
      <c r="AT178" s="167" t="str">
        <f t="shared" ref="AT178:AT195" si="16">C178</f>
        <v>10201SU009</v>
      </c>
      <c r="AU178" s="167" t="str">
        <f t="shared" ref="AU178:AU196" si="17">RIGHT(C178,5)</f>
        <v>SU009</v>
      </c>
    </row>
    <row r="179" spans="2:47" outlineLevel="1" x14ac:dyDescent="0.25">
      <c r="B179" s="214"/>
      <c r="C179" s="214" t="s">
        <v>1713</v>
      </c>
      <c r="D179" s="214" t="s">
        <v>1714</v>
      </c>
      <c r="E179" s="214"/>
      <c r="F179" s="214" t="s">
        <v>1576</v>
      </c>
      <c r="G179" s="214" t="s">
        <v>349</v>
      </c>
      <c r="H179" s="214"/>
      <c r="I179" s="214"/>
      <c r="J179" s="214"/>
      <c r="K179" s="214"/>
      <c r="L179" s="214"/>
      <c r="AT179" s="167" t="str">
        <f t="shared" si="16"/>
        <v>10201SU010</v>
      </c>
      <c r="AU179" s="167" t="str">
        <f t="shared" si="17"/>
        <v>SU010</v>
      </c>
    </row>
    <row r="180" spans="2:47" outlineLevel="1" x14ac:dyDescent="0.25">
      <c r="B180" s="214"/>
      <c r="C180" s="214" t="s">
        <v>1715</v>
      </c>
      <c r="D180" s="214" t="s">
        <v>1716</v>
      </c>
      <c r="E180" s="214"/>
      <c r="F180" s="214" t="s">
        <v>1576</v>
      </c>
      <c r="G180" s="214" t="s">
        <v>349</v>
      </c>
      <c r="H180" s="214"/>
      <c r="I180" s="214"/>
      <c r="J180" s="214"/>
      <c r="K180" s="214"/>
      <c r="L180" s="214"/>
      <c r="AT180" s="167" t="str">
        <f t="shared" si="16"/>
        <v>10201SU011</v>
      </c>
      <c r="AU180" s="167" t="str">
        <f t="shared" si="17"/>
        <v>SU011</v>
      </c>
    </row>
    <row r="181" spans="2:47" outlineLevel="1" x14ac:dyDescent="0.25">
      <c r="B181" s="214"/>
      <c r="C181" s="214" t="s">
        <v>1717</v>
      </c>
      <c r="D181" s="214" t="s">
        <v>1718</v>
      </c>
      <c r="E181" s="214"/>
      <c r="F181" s="214" t="s">
        <v>1576</v>
      </c>
      <c r="G181" s="214" t="s">
        <v>349</v>
      </c>
      <c r="H181" s="214"/>
      <c r="I181" s="214"/>
      <c r="J181" s="214"/>
      <c r="K181" s="214"/>
      <c r="L181" s="214"/>
      <c r="AT181" s="167" t="str">
        <f t="shared" si="16"/>
        <v>10201SU012</v>
      </c>
      <c r="AU181" s="167" t="str">
        <f t="shared" si="17"/>
        <v>SU012</v>
      </c>
    </row>
    <row r="182" spans="2:47" outlineLevel="1" x14ac:dyDescent="0.25">
      <c r="B182" s="214"/>
      <c r="C182" s="214" t="s">
        <v>1719</v>
      </c>
      <c r="D182" s="214" t="s">
        <v>1720</v>
      </c>
      <c r="E182" s="214"/>
      <c r="F182" s="214" t="s">
        <v>1576</v>
      </c>
      <c r="G182" s="214" t="s">
        <v>349</v>
      </c>
      <c r="H182" s="214"/>
      <c r="I182" s="214"/>
      <c r="J182" s="214"/>
      <c r="K182" s="214"/>
      <c r="L182" s="214"/>
      <c r="AT182" s="167" t="str">
        <f t="shared" si="16"/>
        <v>10201SU013</v>
      </c>
      <c r="AU182" s="167" t="str">
        <f t="shared" si="17"/>
        <v>SU013</v>
      </c>
    </row>
    <row r="183" spans="2:47" outlineLevel="1" x14ac:dyDescent="0.25">
      <c r="B183" s="214"/>
      <c r="C183" s="214" t="s">
        <v>1721</v>
      </c>
      <c r="D183" s="214" t="s">
        <v>1722</v>
      </c>
      <c r="E183" s="214"/>
      <c r="F183" s="214" t="s">
        <v>1576</v>
      </c>
      <c r="G183" s="214" t="s">
        <v>349</v>
      </c>
      <c r="H183" s="214"/>
      <c r="I183" s="214"/>
      <c r="J183" s="214"/>
      <c r="K183" s="214"/>
      <c r="L183" s="214"/>
      <c r="AT183" s="167" t="str">
        <f t="shared" si="16"/>
        <v>10201SU014</v>
      </c>
      <c r="AU183" s="167" t="str">
        <f t="shared" si="17"/>
        <v>SU014</v>
      </c>
    </row>
    <row r="184" spans="2:47" outlineLevel="1" x14ac:dyDescent="0.25">
      <c r="B184" s="214"/>
      <c r="C184" s="214" t="s">
        <v>1723</v>
      </c>
      <c r="D184" s="214" t="s">
        <v>1724</v>
      </c>
      <c r="E184" s="214"/>
      <c r="F184" s="214" t="s">
        <v>1576</v>
      </c>
      <c r="G184" s="214" t="s">
        <v>349</v>
      </c>
      <c r="H184" s="214"/>
      <c r="I184" s="214"/>
      <c r="J184" s="214"/>
      <c r="K184" s="214"/>
      <c r="L184" s="214"/>
      <c r="AT184" s="167" t="str">
        <f t="shared" si="16"/>
        <v>10201SU015</v>
      </c>
      <c r="AU184" s="167" t="str">
        <f t="shared" si="17"/>
        <v>SU015</v>
      </c>
    </row>
    <row r="185" spans="2:47" outlineLevel="1" x14ac:dyDescent="0.25">
      <c r="B185" s="214"/>
      <c r="C185" s="214" t="s">
        <v>1725</v>
      </c>
      <c r="D185" s="214" t="s">
        <v>1726</v>
      </c>
      <c r="E185" s="214"/>
      <c r="F185" s="214" t="s">
        <v>1576</v>
      </c>
      <c r="G185" s="214" t="s">
        <v>349</v>
      </c>
      <c r="H185" s="214"/>
      <c r="I185" s="214"/>
      <c r="J185" s="214"/>
      <c r="K185" s="214"/>
      <c r="L185" s="214"/>
      <c r="AT185" s="167" t="str">
        <f t="shared" si="16"/>
        <v>10201SU016</v>
      </c>
      <c r="AU185" s="167" t="str">
        <f t="shared" si="17"/>
        <v>SU016</v>
      </c>
    </row>
    <row r="186" spans="2:47" outlineLevel="1" x14ac:dyDescent="0.25">
      <c r="B186" s="214"/>
      <c r="C186" s="214" t="s">
        <v>1727</v>
      </c>
      <c r="D186" s="214" t="s">
        <v>1728</v>
      </c>
      <c r="E186" s="214"/>
      <c r="F186" s="214" t="s">
        <v>1576</v>
      </c>
      <c r="G186" s="214" t="s">
        <v>349</v>
      </c>
      <c r="H186" s="214"/>
      <c r="I186" s="214"/>
      <c r="J186" s="214"/>
      <c r="K186" s="214"/>
      <c r="L186" s="214"/>
      <c r="AT186" s="167" t="str">
        <f t="shared" si="16"/>
        <v>10201SU017</v>
      </c>
      <c r="AU186" s="167" t="str">
        <f t="shared" si="17"/>
        <v>SU017</v>
      </c>
    </row>
    <row r="187" spans="2:47" outlineLevel="1" x14ac:dyDescent="0.25">
      <c r="B187" s="214"/>
      <c r="C187" s="214" t="s">
        <v>1729</v>
      </c>
      <c r="D187" s="214" t="s">
        <v>1730</v>
      </c>
      <c r="E187" s="214"/>
      <c r="F187" s="214" t="s">
        <v>1576</v>
      </c>
      <c r="G187" s="214" t="s">
        <v>349</v>
      </c>
      <c r="H187" s="214"/>
      <c r="I187" s="214"/>
      <c r="J187" s="214"/>
      <c r="K187" s="214"/>
      <c r="L187" s="214"/>
      <c r="AT187" s="167" t="str">
        <f t="shared" si="16"/>
        <v>10201SU018</v>
      </c>
      <c r="AU187" s="167" t="str">
        <f t="shared" si="17"/>
        <v>SU018</v>
      </c>
    </row>
    <row r="188" spans="2:47" outlineLevel="1" x14ac:dyDescent="0.25">
      <c r="B188" s="214"/>
      <c r="C188" s="214" t="s">
        <v>1731</v>
      </c>
      <c r="D188" s="214" t="s">
        <v>1732</v>
      </c>
      <c r="E188" s="214"/>
      <c r="F188" s="214" t="s">
        <v>1576</v>
      </c>
      <c r="G188" s="214" t="s">
        <v>349</v>
      </c>
      <c r="H188" s="214"/>
      <c r="I188" s="214"/>
      <c r="J188" s="214"/>
      <c r="K188" s="214"/>
      <c r="L188" s="214"/>
      <c r="AT188" s="167" t="str">
        <f t="shared" si="16"/>
        <v>10201SU019</v>
      </c>
      <c r="AU188" s="167" t="str">
        <f t="shared" si="17"/>
        <v>SU019</v>
      </c>
    </row>
    <row r="189" spans="2:47" outlineLevel="1" x14ac:dyDescent="0.25">
      <c r="B189" s="214"/>
      <c r="C189" s="214" t="s">
        <v>1733</v>
      </c>
      <c r="D189" s="214" t="s">
        <v>1734</v>
      </c>
      <c r="E189" s="214"/>
      <c r="F189" s="214" t="s">
        <v>1576</v>
      </c>
      <c r="G189" s="214" t="s">
        <v>349</v>
      </c>
      <c r="H189" s="214"/>
      <c r="I189" s="214"/>
      <c r="J189" s="214"/>
      <c r="K189" s="214"/>
      <c r="L189" s="214"/>
      <c r="AT189" s="167" t="str">
        <f t="shared" si="16"/>
        <v>10201SU020</v>
      </c>
      <c r="AU189" s="167" t="str">
        <f t="shared" si="17"/>
        <v>SU020</v>
      </c>
    </row>
    <row r="190" spans="2:47" outlineLevel="1" x14ac:dyDescent="0.25">
      <c r="B190" s="214"/>
      <c r="C190" s="214" t="s">
        <v>1739</v>
      </c>
      <c r="D190" s="214" t="s">
        <v>1738</v>
      </c>
      <c r="E190" s="214"/>
      <c r="F190" s="214" t="s">
        <v>1576</v>
      </c>
      <c r="G190" s="214" t="s">
        <v>349</v>
      </c>
      <c r="H190" s="214"/>
      <c r="I190" s="214"/>
      <c r="J190" s="214"/>
      <c r="K190" s="214"/>
      <c r="L190" s="214"/>
      <c r="AT190" s="167" t="str">
        <f t="shared" si="16"/>
        <v>10202SU005</v>
      </c>
      <c r="AU190" s="167" t="str">
        <f t="shared" si="17"/>
        <v>SU005</v>
      </c>
    </row>
    <row r="191" spans="2:47" outlineLevel="1" x14ac:dyDescent="0.25">
      <c r="B191" s="214"/>
      <c r="C191" s="217"/>
      <c r="D191" s="217" t="s">
        <v>1745</v>
      </c>
      <c r="E191" s="214"/>
      <c r="F191" s="214" t="s">
        <v>1576</v>
      </c>
      <c r="G191" s="214" t="s">
        <v>349</v>
      </c>
      <c r="H191" s="214"/>
      <c r="I191" s="214"/>
      <c r="J191" s="214"/>
      <c r="K191" s="214"/>
      <c r="L191" s="214"/>
      <c r="AT191" s="167">
        <f t="shared" si="16"/>
        <v>0</v>
      </c>
      <c r="AU191" s="167" t="str">
        <f t="shared" si="17"/>
        <v/>
      </c>
    </row>
    <row r="192" spans="2:47" outlineLevel="1" x14ac:dyDescent="0.25">
      <c r="B192" s="214"/>
      <c r="C192" s="217"/>
      <c r="D192" s="217" t="s">
        <v>1735</v>
      </c>
      <c r="E192" s="214"/>
      <c r="F192" s="214" t="s">
        <v>1576</v>
      </c>
      <c r="G192" s="214" t="s">
        <v>349</v>
      </c>
      <c r="H192" s="214"/>
      <c r="I192" s="214"/>
      <c r="J192" s="214"/>
      <c r="K192" s="214"/>
      <c r="L192" s="214"/>
      <c r="AT192" s="167">
        <f t="shared" si="16"/>
        <v>0</v>
      </c>
      <c r="AU192" s="167" t="str">
        <f t="shared" si="17"/>
        <v/>
      </c>
    </row>
    <row r="193" spans="2:47" outlineLevel="1" x14ac:dyDescent="0.25">
      <c r="B193" s="214"/>
      <c r="C193" s="217" t="s">
        <v>1744</v>
      </c>
      <c r="D193" s="217" t="s">
        <v>1746</v>
      </c>
      <c r="E193" s="214"/>
      <c r="F193" s="214" t="s">
        <v>1576</v>
      </c>
      <c r="G193" s="214" t="s">
        <v>349</v>
      </c>
      <c r="H193" s="214"/>
      <c r="I193" s="214"/>
      <c r="J193" s="214"/>
      <c r="K193" s="214"/>
      <c r="L193" s="214"/>
      <c r="AT193" s="167" t="str">
        <f t="shared" si="16"/>
        <v>10202SU011</v>
      </c>
      <c r="AU193" s="167" t="str">
        <f t="shared" si="17"/>
        <v>SU011</v>
      </c>
    </row>
    <row r="194" spans="2:47" outlineLevel="1" x14ac:dyDescent="0.25">
      <c r="B194" s="214"/>
      <c r="C194" s="214" t="s">
        <v>1740</v>
      </c>
      <c r="D194" s="214" t="s">
        <v>1741</v>
      </c>
      <c r="E194" s="214"/>
      <c r="F194" s="214" t="s">
        <v>1576</v>
      </c>
      <c r="G194" s="214" t="s">
        <v>349</v>
      </c>
      <c r="H194" s="214"/>
      <c r="I194" s="214"/>
      <c r="J194" s="214"/>
      <c r="K194" s="214"/>
      <c r="L194" s="214"/>
      <c r="AT194" s="167" t="str">
        <f t="shared" si="16"/>
        <v>10202SU006</v>
      </c>
      <c r="AU194" s="167" t="str">
        <f t="shared" si="17"/>
        <v>SU006</v>
      </c>
    </row>
    <row r="195" spans="2:47" outlineLevel="1" x14ac:dyDescent="0.25">
      <c r="B195" s="214"/>
      <c r="C195" s="214" t="s">
        <v>1743</v>
      </c>
      <c r="D195" s="214" t="s">
        <v>1742</v>
      </c>
      <c r="E195" s="214"/>
      <c r="F195" s="214" t="s">
        <v>1576</v>
      </c>
      <c r="G195" s="214" t="s">
        <v>349</v>
      </c>
      <c r="H195" s="214"/>
      <c r="I195" s="214"/>
      <c r="J195" s="214"/>
      <c r="K195" s="214"/>
      <c r="L195" s="214"/>
      <c r="AT195" s="167" t="str">
        <f t="shared" si="16"/>
        <v>10202SU007</v>
      </c>
      <c r="AU195" s="167" t="str">
        <f t="shared" si="17"/>
        <v>SU007</v>
      </c>
    </row>
    <row r="196" spans="2:47" outlineLevel="1" x14ac:dyDescent="0.25">
      <c r="B196" s="214"/>
      <c r="C196" s="214"/>
      <c r="D196" s="214"/>
      <c r="E196" s="214"/>
      <c r="F196" s="214"/>
      <c r="G196" s="214"/>
      <c r="H196" s="214"/>
      <c r="I196" s="214"/>
      <c r="J196" s="214"/>
      <c r="K196" s="214"/>
      <c r="L196" s="214"/>
      <c r="AU196" s="167" t="str">
        <f t="shared" si="17"/>
        <v/>
      </c>
    </row>
    <row r="197" spans="2:47" outlineLevel="1" x14ac:dyDescent="0.25">
      <c r="B197" s="214"/>
      <c r="C197" s="214"/>
      <c r="D197" s="214"/>
      <c r="E197" s="214"/>
      <c r="F197" s="214"/>
      <c r="G197" s="214"/>
      <c r="H197" s="214"/>
      <c r="I197" s="214"/>
      <c r="J197" s="214"/>
      <c r="K197" s="214"/>
      <c r="L197" s="214"/>
    </row>
    <row r="198" spans="2:47" outlineLevel="1" x14ac:dyDescent="0.25"/>
    <row r="199" spans="2:47" outlineLevel="1" x14ac:dyDescent="0.25"/>
    <row r="200" spans="2:47" s="200" customFormat="1" ht="27.75" customHeight="1" x14ac:dyDescent="0.25">
      <c r="B200" s="199" t="s">
        <v>449</v>
      </c>
      <c r="E200" s="201"/>
    </row>
    <row r="202" spans="2:47" outlineLevel="1" x14ac:dyDescent="0.25">
      <c r="B202" s="218" t="s">
        <v>457</v>
      </c>
      <c r="C202" s="219" t="s">
        <v>639</v>
      </c>
    </row>
    <row r="203" spans="2:47" outlineLevel="1" x14ac:dyDescent="0.25">
      <c r="B203" s="220" t="s">
        <v>707</v>
      </c>
      <c r="C203" s="221" t="s">
        <v>1747</v>
      </c>
      <c r="D203" s="167" t="e">
        <f>COUNTIFS(#REF!,B203)</f>
        <v>#REF!</v>
      </c>
      <c r="F203" s="167" t="s">
        <v>1790</v>
      </c>
      <c r="G203" s="222" t="s">
        <v>707</v>
      </c>
    </row>
    <row r="204" spans="2:47" outlineLevel="1" x14ac:dyDescent="0.25">
      <c r="B204" s="220" t="s">
        <v>1748</v>
      </c>
      <c r="C204" s="221" t="s">
        <v>1749</v>
      </c>
      <c r="D204" s="167" t="e">
        <f>COUNTIFS(#REF!,B204)</f>
        <v>#REF!</v>
      </c>
      <c r="F204" s="167" t="s">
        <v>1790</v>
      </c>
      <c r="G204" s="222" t="s">
        <v>1748</v>
      </c>
    </row>
    <row r="205" spans="2:47" outlineLevel="1" x14ac:dyDescent="0.25">
      <c r="B205" s="220" t="s">
        <v>1750</v>
      </c>
      <c r="C205" s="221" t="s">
        <v>1751</v>
      </c>
      <c r="D205" s="167" t="e">
        <f>COUNTIFS(#REF!,B205)</f>
        <v>#REF!</v>
      </c>
      <c r="F205" s="167" t="s">
        <v>1790</v>
      </c>
      <c r="G205" s="222" t="s">
        <v>1750</v>
      </c>
    </row>
    <row r="206" spans="2:47" outlineLevel="1" x14ac:dyDescent="0.25">
      <c r="B206" s="220" t="s">
        <v>1752</v>
      </c>
      <c r="C206" s="221" t="s">
        <v>1753</v>
      </c>
      <c r="D206" s="167" t="e">
        <f>COUNTIFS(#REF!,B206)</f>
        <v>#REF!</v>
      </c>
      <c r="F206" s="167" t="s">
        <v>1790</v>
      </c>
      <c r="G206" s="222" t="s">
        <v>1752</v>
      </c>
    </row>
    <row r="207" spans="2:47" outlineLevel="1" x14ac:dyDescent="0.25">
      <c r="B207" s="220" t="s">
        <v>1754</v>
      </c>
      <c r="C207" s="221" t="s">
        <v>1755</v>
      </c>
      <c r="D207" s="167" t="e">
        <f>COUNTIFS(#REF!,B207)</f>
        <v>#REF!</v>
      </c>
      <c r="F207" s="167" t="s">
        <v>1790</v>
      </c>
      <c r="G207" s="222" t="s">
        <v>1754</v>
      </c>
    </row>
    <row r="208" spans="2:47" outlineLevel="1" x14ac:dyDescent="0.25">
      <c r="B208" s="220" t="s">
        <v>1756</v>
      </c>
      <c r="C208" s="221" t="s">
        <v>1757</v>
      </c>
      <c r="D208" s="167" t="e">
        <f>COUNTIFS(#REF!,B208)</f>
        <v>#REF!</v>
      </c>
      <c r="F208" s="167" t="s">
        <v>1790</v>
      </c>
      <c r="G208" s="222" t="s">
        <v>1756</v>
      </c>
    </row>
    <row r="209" spans="2:7" outlineLevel="1" x14ac:dyDescent="0.25">
      <c r="B209" s="220" t="s">
        <v>1758</v>
      </c>
      <c r="C209" s="221" t="s">
        <v>1759</v>
      </c>
      <c r="D209" s="167" t="e">
        <f>COUNTIFS(#REF!,B209)</f>
        <v>#REF!</v>
      </c>
      <c r="F209" s="167" t="s">
        <v>1790</v>
      </c>
      <c r="G209" s="222" t="s">
        <v>1758</v>
      </c>
    </row>
    <row r="210" spans="2:7" outlineLevel="1" x14ac:dyDescent="0.25">
      <c r="B210" s="220" t="s">
        <v>1760</v>
      </c>
      <c r="C210" s="221" t="s">
        <v>1761</v>
      </c>
      <c r="D210" s="167" t="e">
        <f>COUNTIFS(#REF!,B210)</f>
        <v>#REF!</v>
      </c>
      <c r="F210" s="167" t="s">
        <v>1790</v>
      </c>
      <c r="G210" s="222" t="s">
        <v>1760</v>
      </c>
    </row>
    <row r="211" spans="2:7" outlineLevel="1" x14ac:dyDescent="0.25">
      <c r="B211" s="220" t="s">
        <v>1762</v>
      </c>
      <c r="C211" s="221" t="s">
        <v>1763</v>
      </c>
      <c r="D211" s="167" t="e">
        <f>COUNTIFS(#REF!,B211)</f>
        <v>#REF!</v>
      </c>
      <c r="F211" s="167" t="s">
        <v>1790</v>
      </c>
      <c r="G211" s="222" t="s">
        <v>1762</v>
      </c>
    </row>
    <row r="212" spans="2:7" outlineLevel="1" x14ac:dyDescent="0.25">
      <c r="B212" s="220" t="s">
        <v>1764</v>
      </c>
      <c r="C212" s="221" t="s">
        <v>1765</v>
      </c>
      <c r="D212" s="167" t="e">
        <f>COUNTIFS(#REF!,B212)</f>
        <v>#REF!</v>
      </c>
      <c r="F212" s="167" t="s">
        <v>1790</v>
      </c>
      <c r="G212" s="222" t="s">
        <v>1764</v>
      </c>
    </row>
    <row r="213" spans="2:7" outlineLevel="1" x14ac:dyDescent="0.25">
      <c r="B213" s="220" t="s">
        <v>717</v>
      </c>
      <c r="C213" s="221" t="s">
        <v>1766</v>
      </c>
      <c r="D213" s="167" t="e">
        <f>COUNTIFS(#REF!,B213)</f>
        <v>#REF!</v>
      </c>
      <c r="F213" s="167" t="s">
        <v>1790</v>
      </c>
      <c r="G213" s="222" t="s">
        <v>717</v>
      </c>
    </row>
    <row r="214" spans="2:7" outlineLevel="1" x14ac:dyDescent="0.25">
      <c r="B214" s="223">
        <v>15000250</v>
      </c>
      <c r="C214" s="221" t="s">
        <v>1767</v>
      </c>
      <c r="D214" s="167" t="e">
        <f>COUNTIFS(#REF!,B214)</f>
        <v>#REF!</v>
      </c>
      <c r="F214" s="167" t="s">
        <v>1790</v>
      </c>
      <c r="G214" s="222">
        <v>15000250</v>
      </c>
    </row>
    <row r="215" spans="2:7" outlineLevel="1" x14ac:dyDescent="0.25">
      <c r="B215" s="220" t="s">
        <v>1768</v>
      </c>
      <c r="C215" s="221" t="s">
        <v>1769</v>
      </c>
      <c r="D215" s="167" t="e">
        <f>COUNTIFS(#REF!,B215)</f>
        <v>#REF!</v>
      </c>
      <c r="F215" s="167" t="s">
        <v>365</v>
      </c>
      <c r="G215" s="222" t="s">
        <v>1768</v>
      </c>
    </row>
    <row r="216" spans="2:7" outlineLevel="1" x14ac:dyDescent="0.25">
      <c r="B216" s="220" t="s">
        <v>1770</v>
      </c>
      <c r="C216" s="221" t="s">
        <v>1771</v>
      </c>
      <c r="D216" s="167" t="e">
        <f>COUNTIFS(#REF!,B216)</f>
        <v>#REF!</v>
      </c>
      <c r="F216" s="167" t="s">
        <v>365</v>
      </c>
      <c r="G216" s="222" t="s">
        <v>1770</v>
      </c>
    </row>
    <row r="217" spans="2:7" outlineLevel="1" x14ac:dyDescent="0.25">
      <c r="B217" s="220" t="s">
        <v>1772</v>
      </c>
      <c r="C217" s="221" t="s">
        <v>1773</v>
      </c>
      <c r="D217" s="167" t="e">
        <f>COUNTIFS(#REF!,B217)</f>
        <v>#REF!</v>
      </c>
      <c r="F217" s="167" t="s">
        <v>365</v>
      </c>
      <c r="G217" s="222" t="s">
        <v>1772</v>
      </c>
    </row>
    <row r="218" spans="2:7" outlineLevel="1" x14ac:dyDescent="0.25">
      <c r="B218" s="220" t="s">
        <v>1774</v>
      </c>
      <c r="C218" s="221" t="s">
        <v>1775</v>
      </c>
      <c r="D218" s="167" t="e">
        <f>COUNTIFS(#REF!,B218)</f>
        <v>#REF!</v>
      </c>
      <c r="F218" s="167" t="s">
        <v>365</v>
      </c>
      <c r="G218" s="222" t="s">
        <v>1774</v>
      </c>
    </row>
    <row r="219" spans="2:7" outlineLevel="1" x14ac:dyDescent="0.25">
      <c r="B219" s="220" t="s">
        <v>1776</v>
      </c>
      <c r="C219" s="221" t="s">
        <v>1777</v>
      </c>
      <c r="D219" s="167" t="e">
        <f>COUNTIFS(#REF!,B219)</f>
        <v>#REF!</v>
      </c>
      <c r="F219" s="167" t="s">
        <v>365</v>
      </c>
      <c r="G219" s="222" t="s">
        <v>1776</v>
      </c>
    </row>
    <row r="220" spans="2:7" outlineLevel="1" x14ac:dyDescent="0.25">
      <c r="B220" s="220"/>
      <c r="C220" s="221"/>
    </row>
    <row r="221" spans="2:7" outlineLevel="1" x14ac:dyDescent="0.25">
      <c r="B221" s="224" t="s">
        <v>458</v>
      </c>
      <c r="C221" s="169" t="s">
        <v>75</v>
      </c>
      <c r="D221" s="167" t="e">
        <f>COUNTIFS(#REF!,B221)</f>
        <v>#REF!</v>
      </c>
    </row>
    <row r="222" spans="2:7" outlineLevel="1" x14ac:dyDescent="0.25">
      <c r="B222" s="224" t="s">
        <v>459</v>
      </c>
      <c r="C222" s="169" t="s">
        <v>77</v>
      </c>
      <c r="D222" s="167" t="e">
        <f>COUNTIFS(#REF!,B222)</f>
        <v>#REF!</v>
      </c>
    </row>
    <row r="223" spans="2:7" outlineLevel="1" x14ac:dyDescent="0.25">
      <c r="B223" s="224" t="s">
        <v>460</v>
      </c>
      <c r="C223" s="169" t="s">
        <v>79</v>
      </c>
      <c r="D223" s="167" t="e">
        <f>COUNTIFS(#REF!,B223)</f>
        <v>#REF!</v>
      </c>
    </row>
    <row r="224" spans="2:7" outlineLevel="1" x14ac:dyDescent="0.25">
      <c r="B224" s="224" t="s">
        <v>461</v>
      </c>
      <c r="C224" s="169" t="s">
        <v>81</v>
      </c>
      <c r="D224" s="167" t="e">
        <f>COUNTIFS(#REF!,B224)</f>
        <v>#REF!</v>
      </c>
    </row>
    <row r="225" spans="2:4" outlineLevel="1" x14ac:dyDescent="0.25">
      <c r="B225" s="224" t="s">
        <v>462</v>
      </c>
      <c r="C225" s="169" t="s">
        <v>83</v>
      </c>
      <c r="D225" s="167" t="e">
        <f>COUNTIFS(#REF!,B225)</f>
        <v>#REF!</v>
      </c>
    </row>
    <row r="226" spans="2:4" outlineLevel="1" x14ac:dyDescent="0.25">
      <c r="B226" s="224" t="s">
        <v>463</v>
      </c>
      <c r="C226" s="169" t="s">
        <v>85</v>
      </c>
      <c r="D226" s="167" t="e">
        <f>COUNTIFS(#REF!,B226)</f>
        <v>#REF!</v>
      </c>
    </row>
    <row r="227" spans="2:4" outlineLevel="1" x14ac:dyDescent="0.25">
      <c r="B227" s="224" t="s">
        <v>464</v>
      </c>
      <c r="C227" s="169" t="s">
        <v>87</v>
      </c>
      <c r="D227" s="167" t="e">
        <f>COUNTIFS(#REF!,B227)</f>
        <v>#REF!</v>
      </c>
    </row>
    <row r="228" spans="2:4" outlineLevel="1" x14ac:dyDescent="0.25">
      <c r="B228" s="224" t="s">
        <v>465</v>
      </c>
      <c r="C228" s="169" t="s">
        <v>89</v>
      </c>
      <c r="D228" s="167" t="e">
        <f>COUNTIFS(#REF!,B228)</f>
        <v>#REF!</v>
      </c>
    </row>
    <row r="229" spans="2:4" outlineLevel="1" x14ac:dyDescent="0.25">
      <c r="B229" s="224" t="s">
        <v>466</v>
      </c>
      <c r="C229" s="169" t="s">
        <v>91</v>
      </c>
      <c r="D229" s="167" t="e">
        <f>COUNTIFS(#REF!,B229)</f>
        <v>#REF!</v>
      </c>
    </row>
    <row r="230" spans="2:4" outlineLevel="1" x14ac:dyDescent="0.25">
      <c r="B230" s="224" t="s">
        <v>467</v>
      </c>
      <c r="C230" s="169" t="s">
        <v>93</v>
      </c>
      <c r="D230" s="167" t="e">
        <f>COUNTIFS(#REF!,B230)</f>
        <v>#REF!</v>
      </c>
    </row>
    <row r="231" spans="2:4" outlineLevel="1" x14ac:dyDescent="0.25">
      <c r="B231" s="224" t="s">
        <v>468</v>
      </c>
      <c r="C231" s="169" t="s">
        <v>95</v>
      </c>
      <c r="D231" s="167" t="e">
        <f>COUNTIFS(#REF!,B231)</f>
        <v>#REF!</v>
      </c>
    </row>
    <row r="232" spans="2:4" outlineLevel="1" x14ac:dyDescent="0.25">
      <c r="B232" s="224" t="s">
        <v>469</v>
      </c>
      <c r="C232" s="169" t="s">
        <v>97</v>
      </c>
      <c r="D232" s="167" t="e">
        <f>COUNTIFS(#REF!,B232)</f>
        <v>#REF!</v>
      </c>
    </row>
    <row r="233" spans="2:4" outlineLevel="1" x14ac:dyDescent="0.25">
      <c r="B233" s="224" t="s">
        <v>470</v>
      </c>
      <c r="C233" s="169" t="s">
        <v>99</v>
      </c>
      <c r="D233" s="167" t="e">
        <f>COUNTIFS(#REF!,B233)</f>
        <v>#REF!</v>
      </c>
    </row>
    <row r="234" spans="2:4" outlineLevel="1" x14ac:dyDescent="0.25">
      <c r="B234" s="224" t="s">
        <v>471</v>
      </c>
      <c r="C234" s="169" t="s">
        <v>102</v>
      </c>
      <c r="D234" s="167" t="e">
        <f>COUNTIFS(#REF!,B234)</f>
        <v>#REF!</v>
      </c>
    </row>
    <row r="235" spans="2:4" outlineLevel="1" x14ac:dyDescent="0.25">
      <c r="B235" s="224" t="s">
        <v>472</v>
      </c>
      <c r="C235" s="169" t="s">
        <v>104</v>
      </c>
      <c r="D235" s="167" t="e">
        <f>COUNTIFS(#REF!,B235)</f>
        <v>#REF!</v>
      </c>
    </row>
    <row r="236" spans="2:4" outlineLevel="1" x14ac:dyDescent="0.25">
      <c r="B236" s="224" t="s">
        <v>473</v>
      </c>
      <c r="C236" s="169" t="s">
        <v>106</v>
      </c>
      <c r="D236" s="167" t="e">
        <f>COUNTIFS(#REF!,B236)</f>
        <v>#REF!</v>
      </c>
    </row>
    <row r="237" spans="2:4" outlineLevel="1" x14ac:dyDescent="0.25">
      <c r="B237" s="224" t="s">
        <v>474</v>
      </c>
      <c r="C237" s="169" t="s">
        <v>109</v>
      </c>
      <c r="D237" s="167" t="e">
        <f>COUNTIFS(#REF!,B237)</f>
        <v>#REF!</v>
      </c>
    </row>
    <row r="238" spans="2:4" outlineLevel="1" x14ac:dyDescent="0.25">
      <c r="B238" s="224" t="s">
        <v>475</v>
      </c>
      <c r="C238" s="169" t="s">
        <v>111</v>
      </c>
      <c r="D238" s="167" t="e">
        <f>COUNTIFS(#REF!,B238)</f>
        <v>#REF!</v>
      </c>
    </row>
    <row r="239" spans="2:4" outlineLevel="1" x14ac:dyDescent="0.25">
      <c r="B239" s="224" t="s">
        <v>476</v>
      </c>
      <c r="C239" s="169" t="s">
        <v>113</v>
      </c>
      <c r="D239" s="167" t="e">
        <f>COUNTIFS(#REF!,B239)</f>
        <v>#REF!</v>
      </c>
    </row>
    <row r="240" spans="2:4" outlineLevel="1" x14ac:dyDescent="0.25">
      <c r="B240" s="225" t="s">
        <v>477</v>
      </c>
      <c r="C240" s="226" t="s">
        <v>585</v>
      </c>
      <c r="D240" s="208" t="e">
        <f>COUNTIFS(#REF!,B240)</f>
        <v>#REF!</v>
      </c>
    </row>
    <row r="241" spans="2:4" outlineLevel="1" x14ac:dyDescent="0.25">
      <c r="B241" s="225" t="s">
        <v>478</v>
      </c>
      <c r="C241" s="226" t="s">
        <v>586</v>
      </c>
      <c r="D241" s="208" t="e">
        <f>COUNTIFS(#REF!,B241)</f>
        <v>#REF!</v>
      </c>
    </row>
    <row r="242" spans="2:4" outlineLevel="1" x14ac:dyDescent="0.25">
      <c r="B242" s="225" t="s">
        <v>479</v>
      </c>
      <c r="C242" s="226" t="s">
        <v>587</v>
      </c>
      <c r="D242" s="208" t="e">
        <f>COUNTIFS(#REF!,B242)</f>
        <v>#REF!</v>
      </c>
    </row>
    <row r="243" spans="2:4" outlineLevel="1" x14ac:dyDescent="0.25">
      <c r="B243" s="225" t="s">
        <v>480</v>
      </c>
      <c r="C243" s="226" t="s">
        <v>588</v>
      </c>
      <c r="D243" s="208" t="e">
        <f>COUNTIFS(#REF!,B243)</f>
        <v>#REF!</v>
      </c>
    </row>
    <row r="244" spans="2:4" outlineLevel="1" x14ac:dyDescent="0.25">
      <c r="B244" s="224" t="s">
        <v>481</v>
      </c>
      <c r="C244" s="169" t="s">
        <v>115</v>
      </c>
      <c r="D244" s="167" t="e">
        <f>COUNTIFS(#REF!,B244)</f>
        <v>#REF!</v>
      </c>
    </row>
    <row r="245" spans="2:4" outlineLevel="1" x14ac:dyDescent="0.25">
      <c r="B245" s="224" t="s">
        <v>482</v>
      </c>
      <c r="C245" s="169" t="s">
        <v>117</v>
      </c>
      <c r="D245" s="167" t="e">
        <f>COUNTIFS(#REF!,B245)</f>
        <v>#REF!</v>
      </c>
    </row>
    <row r="246" spans="2:4" outlineLevel="1" x14ac:dyDescent="0.25">
      <c r="B246" s="224" t="s">
        <v>483</v>
      </c>
      <c r="C246" s="169" t="s">
        <v>119</v>
      </c>
      <c r="D246" s="167" t="e">
        <f>COUNTIFS(#REF!,B246)</f>
        <v>#REF!</v>
      </c>
    </row>
    <row r="247" spans="2:4" outlineLevel="1" x14ac:dyDescent="0.25">
      <c r="B247" s="224" t="s">
        <v>484</v>
      </c>
      <c r="C247" s="169" t="s">
        <v>121</v>
      </c>
      <c r="D247" s="167" t="e">
        <f>COUNTIFS(#REF!,B247)</f>
        <v>#REF!</v>
      </c>
    </row>
    <row r="248" spans="2:4" outlineLevel="1" x14ac:dyDescent="0.25">
      <c r="B248" s="224" t="s">
        <v>485</v>
      </c>
      <c r="C248" s="169" t="s">
        <v>124</v>
      </c>
      <c r="D248" s="167" t="e">
        <f>COUNTIFS(#REF!,B248)</f>
        <v>#REF!</v>
      </c>
    </row>
    <row r="249" spans="2:4" outlineLevel="1" x14ac:dyDescent="0.25">
      <c r="B249" s="224" t="s">
        <v>486</v>
      </c>
      <c r="C249" s="169" t="s">
        <v>126</v>
      </c>
      <c r="D249" s="167" t="e">
        <f>COUNTIFS(#REF!,B249)</f>
        <v>#REF!</v>
      </c>
    </row>
    <row r="250" spans="2:4" outlineLevel="1" x14ac:dyDescent="0.25">
      <c r="B250" s="224" t="s">
        <v>487</v>
      </c>
      <c r="C250" s="169" t="s">
        <v>128</v>
      </c>
      <c r="D250" s="167" t="e">
        <f>COUNTIFS(#REF!,B250)</f>
        <v>#REF!</v>
      </c>
    </row>
    <row r="251" spans="2:4" outlineLevel="1" x14ac:dyDescent="0.25">
      <c r="B251" s="224" t="s">
        <v>488</v>
      </c>
      <c r="C251" s="169" t="s">
        <v>130</v>
      </c>
      <c r="D251" s="167" t="e">
        <f>COUNTIFS(#REF!,B251)</f>
        <v>#REF!</v>
      </c>
    </row>
    <row r="252" spans="2:4" outlineLevel="1" x14ac:dyDescent="0.25">
      <c r="B252" s="224" t="s">
        <v>489</v>
      </c>
      <c r="C252" s="169" t="s">
        <v>133</v>
      </c>
      <c r="D252" s="167" t="e">
        <f>COUNTIFS(#REF!,B252)</f>
        <v>#REF!</v>
      </c>
    </row>
    <row r="253" spans="2:4" outlineLevel="1" x14ac:dyDescent="0.25">
      <c r="B253" s="227" t="s">
        <v>490</v>
      </c>
      <c r="C253" s="228" t="s">
        <v>135</v>
      </c>
      <c r="D253" s="229" t="e">
        <f>COUNTIFS(#REF!,B253)</f>
        <v>#REF!</v>
      </c>
    </row>
    <row r="254" spans="2:4" outlineLevel="1" x14ac:dyDescent="0.25">
      <c r="B254" s="227" t="s">
        <v>491</v>
      </c>
      <c r="C254" s="228" t="s">
        <v>589</v>
      </c>
      <c r="D254" s="229" t="e">
        <f>COUNTIFS(#REF!,B254)</f>
        <v>#REF!</v>
      </c>
    </row>
    <row r="255" spans="2:4" outlineLevel="1" x14ac:dyDescent="0.25">
      <c r="B255" s="227" t="s">
        <v>492</v>
      </c>
      <c r="C255" s="228" t="s">
        <v>590</v>
      </c>
      <c r="D255" s="229" t="e">
        <f>COUNTIFS(#REF!,B255)</f>
        <v>#REF!</v>
      </c>
    </row>
    <row r="256" spans="2:4" outlineLevel="1" x14ac:dyDescent="0.25">
      <c r="B256" s="227" t="s">
        <v>493</v>
      </c>
      <c r="C256" s="228" t="s">
        <v>591</v>
      </c>
      <c r="D256" s="229" t="e">
        <f>COUNTIFS(#REF!,B256)</f>
        <v>#REF!</v>
      </c>
    </row>
    <row r="257" spans="2:4" outlineLevel="1" x14ac:dyDescent="0.25">
      <c r="B257" s="227" t="s">
        <v>494</v>
      </c>
      <c r="C257" s="228" t="s">
        <v>592</v>
      </c>
      <c r="D257" s="229" t="e">
        <f>COUNTIFS(#REF!,B257)</f>
        <v>#REF!</v>
      </c>
    </row>
    <row r="258" spans="2:4" outlineLevel="1" x14ac:dyDescent="0.25">
      <c r="B258" s="227" t="s">
        <v>495</v>
      </c>
      <c r="C258" s="228" t="s">
        <v>593</v>
      </c>
      <c r="D258" s="229" t="e">
        <f>COUNTIFS(#REF!,B258)</f>
        <v>#REF!</v>
      </c>
    </row>
    <row r="259" spans="2:4" outlineLevel="1" x14ac:dyDescent="0.25">
      <c r="B259" s="227" t="s">
        <v>496</v>
      </c>
      <c r="C259" s="228" t="s">
        <v>594</v>
      </c>
      <c r="D259" s="229" t="e">
        <f>COUNTIFS(#REF!,B259)</f>
        <v>#REF!</v>
      </c>
    </row>
    <row r="260" spans="2:4" outlineLevel="1" x14ac:dyDescent="0.25">
      <c r="B260" s="227" t="s">
        <v>497</v>
      </c>
      <c r="C260" s="228" t="s">
        <v>595</v>
      </c>
      <c r="D260" s="229" t="e">
        <f>COUNTIFS(#REF!,B260)</f>
        <v>#REF!</v>
      </c>
    </row>
    <row r="261" spans="2:4" outlineLevel="1" x14ac:dyDescent="0.25">
      <c r="B261" s="227" t="s">
        <v>498</v>
      </c>
      <c r="C261" s="228" t="s">
        <v>596</v>
      </c>
      <c r="D261" s="229" t="e">
        <f>COUNTIFS(#REF!,B261)</f>
        <v>#REF!</v>
      </c>
    </row>
    <row r="262" spans="2:4" outlineLevel="1" x14ac:dyDescent="0.25">
      <c r="B262" s="227" t="s">
        <v>499</v>
      </c>
      <c r="C262" s="228" t="s">
        <v>597</v>
      </c>
      <c r="D262" s="229" t="e">
        <f>COUNTIFS(#REF!,B262)</f>
        <v>#REF!</v>
      </c>
    </row>
    <row r="263" spans="2:4" outlineLevel="1" x14ac:dyDescent="0.25">
      <c r="B263" s="227" t="s">
        <v>500</v>
      </c>
      <c r="C263" s="228" t="s">
        <v>598</v>
      </c>
      <c r="D263" s="229" t="e">
        <f>COUNTIFS(#REF!,B263)</f>
        <v>#REF!</v>
      </c>
    </row>
    <row r="264" spans="2:4" outlineLevel="1" x14ac:dyDescent="0.25">
      <c r="B264" s="227" t="s">
        <v>501</v>
      </c>
      <c r="C264" s="228" t="s">
        <v>599</v>
      </c>
      <c r="D264" s="229" t="e">
        <f>COUNTIFS(#REF!,B264)</f>
        <v>#REF!</v>
      </c>
    </row>
    <row r="265" spans="2:4" outlineLevel="1" x14ac:dyDescent="0.25">
      <c r="B265" s="227" t="s">
        <v>502</v>
      </c>
      <c r="C265" s="228" t="s">
        <v>600</v>
      </c>
      <c r="D265" s="229" t="e">
        <f>COUNTIFS(#REF!,B265)</f>
        <v>#REF!</v>
      </c>
    </row>
    <row r="266" spans="2:4" outlineLevel="1" x14ac:dyDescent="0.25">
      <c r="B266" s="227" t="s">
        <v>503</v>
      </c>
      <c r="C266" s="228" t="s">
        <v>601</v>
      </c>
      <c r="D266" s="229" t="e">
        <f>COUNTIFS(#REF!,B266)</f>
        <v>#REF!</v>
      </c>
    </row>
    <row r="267" spans="2:4" outlineLevel="1" x14ac:dyDescent="0.25">
      <c r="B267" s="227" t="s">
        <v>504</v>
      </c>
      <c r="C267" s="228" t="s">
        <v>602</v>
      </c>
      <c r="D267" s="229" t="e">
        <f>COUNTIFS(#REF!,B267)</f>
        <v>#REF!</v>
      </c>
    </row>
    <row r="268" spans="2:4" outlineLevel="1" x14ac:dyDescent="0.25">
      <c r="B268" s="227" t="s">
        <v>505</v>
      </c>
      <c r="C268" s="228" t="s">
        <v>603</v>
      </c>
      <c r="D268" s="229" t="e">
        <f>COUNTIFS(#REF!,B268)</f>
        <v>#REF!</v>
      </c>
    </row>
    <row r="269" spans="2:4" outlineLevel="1" x14ac:dyDescent="0.25">
      <c r="B269" s="225" t="s">
        <v>506</v>
      </c>
      <c r="C269" s="226" t="s">
        <v>604</v>
      </c>
      <c r="D269" s="208" t="e">
        <f>COUNTIFS(#REF!,B269)</f>
        <v>#REF!</v>
      </c>
    </row>
    <row r="270" spans="2:4" outlineLevel="1" x14ac:dyDescent="0.25">
      <c r="B270" s="225" t="s">
        <v>507</v>
      </c>
      <c r="C270" s="226" t="s">
        <v>605</v>
      </c>
      <c r="D270" s="208" t="e">
        <f>COUNTIFS(#REF!,B270)</f>
        <v>#REF!</v>
      </c>
    </row>
    <row r="271" spans="2:4" outlineLevel="1" x14ac:dyDescent="0.25">
      <c r="B271" s="225" t="s">
        <v>508</v>
      </c>
      <c r="C271" s="226" t="s">
        <v>606</v>
      </c>
      <c r="D271" s="208" t="e">
        <f>COUNTIFS(#REF!,B271)</f>
        <v>#REF!</v>
      </c>
    </row>
    <row r="272" spans="2:4" outlineLevel="1" x14ac:dyDescent="0.25">
      <c r="B272" s="225" t="s">
        <v>509</v>
      </c>
      <c r="C272" s="226" t="s">
        <v>607</v>
      </c>
      <c r="D272" s="208" t="e">
        <f>COUNTIFS(#REF!,B272)</f>
        <v>#REF!</v>
      </c>
    </row>
    <row r="273" spans="2:5" outlineLevel="1" x14ac:dyDescent="0.25">
      <c r="B273" s="225" t="s">
        <v>510</v>
      </c>
      <c r="C273" s="226" t="s">
        <v>608</v>
      </c>
      <c r="D273" s="208" t="e">
        <f>COUNTIFS(#REF!,B273)</f>
        <v>#REF!</v>
      </c>
    </row>
    <row r="274" spans="2:5" outlineLevel="1" x14ac:dyDescent="0.25">
      <c r="B274" s="225" t="s">
        <v>511</v>
      </c>
      <c r="C274" s="226" t="s">
        <v>609</v>
      </c>
      <c r="D274" s="208" t="e">
        <f>COUNTIFS(#REF!,B274)</f>
        <v>#REF!</v>
      </c>
    </row>
    <row r="275" spans="2:5" outlineLevel="1" x14ac:dyDescent="0.25">
      <c r="B275" s="225" t="s">
        <v>512</v>
      </c>
      <c r="C275" s="226" t="s">
        <v>610</v>
      </c>
      <c r="D275" s="208" t="e">
        <f>COUNTIFS(#REF!,B275)</f>
        <v>#REF!</v>
      </c>
    </row>
    <row r="276" spans="2:5" outlineLevel="1" x14ac:dyDescent="0.25">
      <c r="B276" s="225" t="s">
        <v>513</v>
      </c>
      <c r="C276" s="226" t="s">
        <v>611</v>
      </c>
      <c r="D276" s="208" t="e">
        <f>COUNTIFS(#REF!,B276)</f>
        <v>#REF!</v>
      </c>
    </row>
    <row r="277" spans="2:5" outlineLevel="1" x14ac:dyDescent="0.25">
      <c r="B277" s="225" t="s">
        <v>514</v>
      </c>
      <c r="C277" s="226" t="s">
        <v>612</v>
      </c>
      <c r="D277" s="208" t="e">
        <f>COUNTIFS(#REF!,B277)</f>
        <v>#REF!</v>
      </c>
    </row>
    <row r="278" spans="2:5" outlineLevel="1" x14ac:dyDescent="0.25">
      <c r="B278" s="225" t="s">
        <v>515</v>
      </c>
      <c r="C278" s="226" t="s">
        <v>613</v>
      </c>
      <c r="D278" s="208" t="e">
        <f>COUNTIFS(#REF!,B278)</f>
        <v>#REF!</v>
      </c>
    </row>
    <row r="279" spans="2:5" outlineLevel="1" x14ac:dyDescent="0.25">
      <c r="B279" s="225" t="s">
        <v>516</v>
      </c>
      <c r="C279" s="226" t="s">
        <v>614</v>
      </c>
      <c r="D279" s="208" t="e">
        <f>COUNTIFS(#REF!,B279)</f>
        <v>#REF!</v>
      </c>
      <c r="E279" s="167" t="s">
        <v>1525</v>
      </c>
    </row>
    <row r="280" spans="2:5" outlineLevel="1" x14ac:dyDescent="0.25">
      <c r="B280" s="225" t="s">
        <v>517</v>
      </c>
      <c r="C280" s="226" t="s">
        <v>615</v>
      </c>
      <c r="D280" s="208" t="e">
        <f>COUNTIFS(#REF!,B280)</f>
        <v>#REF!</v>
      </c>
    </row>
    <row r="281" spans="2:5" outlineLevel="1" x14ac:dyDescent="0.25">
      <c r="B281" s="225" t="s">
        <v>518</v>
      </c>
      <c r="C281" s="226" t="s">
        <v>616</v>
      </c>
      <c r="D281" s="208" t="e">
        <f>COUNTIFS(#REF!,B281)</f>
        <v>#REF!</v>
      </c>
    </row>
    <row r="282" spans="2:5" outlineLevel="1" x14ac:dyDescent="0.25">
      <c r="B282" s="225" t="s">
        <v>519</v>
      </c>
      <c r="C282" s="226" t="s">
        <v>617</v>
      </c>
      <c r="D282" s="208" t="e">
        <f>COUNTIFS(#REF!,B282)</f>
        <v>#REF!</v>
      </c>
      <c r="E282" s="167" t="s">
        <v>1525</v>
      </c>
    </row>
    <row r="283" spans="2:5" outlineLevel="1" x14ac:dyDescent="0.25">
      <c r="B283" s="225" t="s">
        <v>520</v>
      </c>
      <c r="C283" s="226" t="s">
        <v>618</v>
      </c>
      <c r="D283" s="208" t="e">
        <f>COUNTIFS(#REF!,B283)</f>
        <v>#REF!</v>
      </c>
      <c r="E283" s="167" t="s">
        <v>1525</v>
      </c>
    </row>
    <row r="284" spans="2:5" outlineLevel="1" x14ac:dyDescent="0.25">
      <c r="B284" s="225" t="s">
        <v>521</v>
      </c>
      <c r="C284" s="226" t="s">
        <v>619</v>
      </c>
      <c r="D284" s="208" t="e">
        <f>COUNTIFS(#REF!,B284)</f>
        <v>#REF!</v>
      </c>
      <c r="E284" s="167" t="s">
        <v>1525</v>
      </c>
    </row>
    <row r="285" spans="2:5" outlineLevel="1" x14ac:dyDescent="0.25">
      <c r="B285" s="225" t="s">
        <v>522</v>
      </c>
      <c r="C285" s="226" t="s">
        <v>620</v>
      </c>
      <c r="D285" s="208" t="e">
        <f>COUNTIFS(#REF!,B285)</f>
        <v>#REF!</v>
      </c>
    </row>
    <row r="286" spans="2:5" outlineLevel="1" x14ac:dyDescent="0.25">
      <c r="B286" s="225" t="s">
        <v>523</v>
      </c>
      <c r="C286" s="226" t="s">
        <v>621</v>
      </c>
      <c r="D286" s="208" t="e">
        <f>COUNTIFS(#REF!,B286)</f>
        <v>#REF!</v>
      </c>
    </row>
    <row r="287" spans="2:5" outlineLevel="1" x14ac:dyDescent="0.25">
      <c r="B287" s="225" t="s">
        <v>524</v>
      </c>
      <c r="C287" s="226" t="s">
        <v>622</v>
      </c>
      <c r="D287" s="208" t="e">
        <f>COUNTIFS(#REF!,B287)</f>
        <v>#REF!</v>
      </c>
      <c r="E287" s="167" t="s">
        <v>1525</v>
      </c>
    </row>
    <row r="288" spans="2:5" outlineLevel="1" x14ac:dyDescent="0.25">
      <c r="B288" s="224" t="s">
        <v>525</v>
      </c>
      <c r="C288" s="169" t="s">
        <v>137</v>
      </c>
      <c r="D288" s="167" t="e">
        <f>COUNTIFS(#REF!,B288)</f>
        <v>#REF!</v>
      </c>
    </row>
    <row r="289" spans="2:4" outlineLevel="1" x14ac:dyDescent="0.25">
      <c r="B289" s="224" t="s">
        <v>526</v>
      </c>
      <c r="C289" s="169" t="s">
        <v>623</v>
      </c>
      <c r="D289" s="167" t="e">
        <f>COUNTIFS(#REF!,B289)</f>
        <v>#REF!</v>
      </c>
    </row>
    <row r="290" spans="2:4" outlineLevel="1" x14ac:dyDescent="0.25">
      <c r="B290" s="224" t="s">
        <v>527</v>
      </c>
      <c r="C290" s="169" t="s">
        <v>624</v>
      </c>
      <c r="D290" s="167" t="e">
        <f>COUNTIFS(#REF!,B290)</f>
        <v>#REF!</v>
      </c>
    </row>
    <row r="291" spans="2:4" outlineLevel="1" x14ac:dyDescent="0.25">
      <c r="B291" s="224" t="s">
        <v>528</v>
      </c>
      <c r="C291" s="169" t="s">
        <v>143</v>
      </c>
      <c r="D291" s="167" t="e">
        <f>COUNTIFS(#REF!,B291)</f>
        <v>#REF!</v>
      </c>
    </row>
    <row r="292" spans="2:4" outlineLevel="1" x14ac:dyDescent="0.25">
      <c r="B292" s="224" t="s">
        <v>529</v>
      </c>
      <c r="C292" s="169" t="s">
        <v>145</v>
      </c>
      <c r="D292" s="167" t="e">
        <f>COUNTIFS(#REF!,B292)</f>
        <v>#REF!</v>
      </c>
    </row>
    <row r="293" spans="2:4" outlineLevel="1" x14ac:dyDescent="0.25">
      <c r="B293" s="224" t="s">
        <v>530</v>
      </c>
      <c r="C293" s="169" t="s">
        <v>147</v>
      </c>
      <c r="D293" s="167" t="e">
        <f>COUNTIFS(#REF!,B293)</f>
        <v>#REF!</v>
      </c>
    </row>
    <row r="294" spans="2:4" outlineLevel="1" x14ac:dyDescent="0.25">
      <c r="B294" s="224" t="s">
        <v>531</v>
      </c>
      <c r="C294" s="169" t="s">
        <v>149</v>
      </c>
      <c r="D294" s="167" t="e">
        <f>COUNTIFS(#REF!,B294)</f>
        <v>#REF!</v>
      </c>
    </row>
    <row r="295" spans="2:4" outlineLevel="1" x14ac:dyDescent="0.25">
      <c r="B295" s="224" t="s">
        <v>532</v>
      </c>
      <c r="C295" s="169" t="s">
        <v>150</v>
      </c>
      <c r="D295" s="167" t="e">
        <f>COUNTIFS(#REF!,B295)</f>
        <v>#REF!</v>
      </c>
    </row>
    <row r="296" spans="2:4" outlineLevel="1" x14ac:dyDescent="0.25">
      <c r="B296" s="224" t="s">
        <v>533</v>
      </c>
      <c r="C296" s="169" t="s">
        <v>152</v>
      </c>
      <c r="D296" s="167" t="e">
        <f>COUNTIFS(#REF!,B296)</f>
        <v>#REF!</v>
      </c>
    </row>
    <row r="297" spans="2:4" outlineLevel="1" x14ac:dyDescent="0.25">
      <c r="B297" s="224" t="s">
        <v>534</v>
      </c>
      <c r="C297" s="169" t="s">
        <v>153</v>
      </c>
      <c r="D297" s="167" t="e">
        <f>COUNTIFS(#REF!,B297)</f>
        <v>#REF!</v>
      </c>
    </row>
    <row r="298" spans="2:4" outlineLevel="1" x14ac:dyDescent="0.25">
      <c r="B298" s="224" t="s">
        <v>535</v>
      </c>
      <c r="C298" s="169" t="s">
        <v>625</v>
      </c>
      <c r="D298" s="167" t="e">
        <f>COUNTIFS(#REF!,B298)</f>
        <v>#REF!</v>
      </c>
    </row>
    <row r="299" spans="2:4" outlineLevel="1" x14ac:dyDescent="0.25">
      <c r="B299" s="224" t="s">
        <v>536</v>
      </c>
      <c r="C299" s="169" t="s">
        <v>626</v>
      </c>
      <c r="D299" s="167" t="e">
        <f>COUNTIFS(#REF!,B299)</f>
        <v>#REF!</v>
      </c>
    </row>
    <row r="300" spans="2:4" outlineLevel="1" x14ac:dyDescent="0.25">
      <c r="B300" s="224" t="s">
        <v>537</v>
      </c>
      <c r="C300" s="169" t="s">
        <v>154</v>
      </c>
      <c r="D300" s="167" t="e">
        <f>COUNTIFS(#REF!,B300)</f>
        <v>#REF!</v>
      </c>
    </row>
    <row r="301" spans="2:4" outlineLevel="1" x14ac:dyDescent="0.25">
      <c r="B301" s="224" t="s">
        <v>538</v>
      </c>
      <c r="C301" s="169" t="s">
        <v>155</v>
      </c>
      <c r="D301" s="167" t="e">
        <f>COUNTIFS(#REF!,B301)</f>
        <v>#REF!</v>
      </c>
    </row>
    <row r="302" spans="2:4" outlineLevel="1" x14ac:dyDescent="0.25">
      <c r="B302" s="224" t="s">
        <v>539</v>
      </c>
      <c r="C302" s="169" t="s">
        <v>157</v>
      </c>
      <c r="D302" s="167" t="e">
        <f>COUNTIFS(#REF!,B302)</f>
        <v>#REF!</v>
      </c>
    </row>
    <row r="303" spans="2:4" outlineLevel="1" x14ac:dyDescent="0.25">
      <c r="B303" s="224" t="s">
        <v>540</v>
      </c>
      <c r="C303" s="169" t="s">
        <v>159</v>
      </c>
      <c r="D303" s="167" t="e">
        <f>COUNTIFS(#REF!,B303)</f>
        <v>#REF!</v>
      </c>
    </row>
    <row r="304" spans="2:4" outlineLevel="1" x14ac:dyDescent="0.25">
      <c r="B304" s="224" t="s">
        <v>541</v>
      </c>
      <c r="C304" s="169" t="s">
        <v>161</v>
      </c>
      <c r="D304" s="167" t="e">
        <f>COUNTIFS(#REF!,B304)</f>
        <v>#REF!</v>
      </c>
    </row>
    <row r="305" spans="2:4" outlineLevel="1" x14ac:dyDescent="0.25">
      <c r="B305" s="224" t="s">
        <v>542</v>
      </c>
      <c r="C305" s="169" t="s">
        <v>163</v>
      </c>
      <c r="D305" s="167" t="e">
        <f>COUNTIFS(#REF!,B305)</f>
        <v>#REF!</v>
      </c>
    </row>
    <row r="306" spans="2:4" outlineLevel="1" x14ac:dyDescent="0.25">
      <c r="B306" s="224" t="s">
        <v>543</v>
      </c>
      <c r="C306" s="169" t="s">
        <v>165</v>
      </c>
      <c r="D306" s="167" t="e">
        <f>COUNTIFS(#REF!,B306)</f>
        <v>#REF!</v>
      </c>
    </row>
    <row r="307" spans="2:4" outlineLevel="1" x14ac:dyDescent="0.25">
      <c r="B307" s="224" t="s">
        <v>544</v>
      </c>
      <c r="C307" s="169" t="s">
        <v>167</v>
      </c>
      <c r="D307" s="167" t="e">
        <f>COUNTIFS(#REF!,B307)</f>
        <v>#REF!</v>
      </c>
    </row>
    <row r="308" spans="2:4" outlineLevel="1" x14ac:dyDescent="0.25">
      <c r="B308" s="224" t="s">
        <v>545</v>
      </c>
      <c r="C308" s="169" t="s">
        <v>170</v>
      </c>
      <c r="D308" s="167" t="e">
        <f>COUNTIFS(#REF!,B308)</f>
        <v>#REF!</v>
      </c>
    </row>
    <row r="309" spans="2:4" outlineLevel="1" x14ac:dyDescent="0.25">
      <c r="B309" s="224" t="s">
        <v>546</v>
      </c>
      <c r="C309" s="169" t="s">
        <v>172</v>
      </c>
      <c r="D309" s="167" t="e">
        <f>COUNTIFS(#REF!,B309)</f>
        <v>#REF!</v>
      </c>
    </row>
    <row r="310" spans="2:4" outlineLevel="1" x14ac:dyDescent="0.25">
      <c r="B310" s="224" t="s">
        <v>547</v>
      </c>
      <c r="C310" s="169" t="s">
        <v>174</v>
      </c>
      <c r="D310" s="167" t="e">
        <f>COUNTIFS(#REF!,B310)</f>
        <v>#REF!</v>
      </c>
    </row>
    <row r="311" spans="2:4" outlineLevel="1" x14ac:dyDescent="0.25">
      <c r="B311" s="224" t="s">
        <v>548</v>
      </c>
      <c r="C311" s="169" t="s">
        <v>176</v>
      </c>
      <c r="D311" s="167" t="e">
        <f>COUNTIFS(#REF!,B311)</f>
        <v>#REF!</v>
      </c>
    </row>
    <row r="312" spans="2:4" outlineLevel="1" x14ac:dyDescent="0.25">
      <c r="B312" s="224" t="s">
        <v>549</v>
      </c>
      <c r="C312" s="169" t="s">
        <v>179</v>
      </c>
      <c r="D312" s="167" t="e">
        <f>COUNTIFS(#REF!,B312)</f>
        <v>#REF!</v>
      </c>
    </row>
    <row r="313" spans="2:4" outlineLevel="1" x14ac:dyDescent="0.25">
      <c r="B313" s="224" t="s">
        <v>550</v>
      </c>
      <c r="C313" s="169" t="s">
        <v>182</v>
      </c>
      <c r="D313" s="167" t="e">
        <f>COUNTIFS(#REF!,B313)</f>
        <v>#REF!</v>
      </c>
    </row>
    <row r="314" spans="2:4" outlineLevel="1" x14ac:dyDescent="0.25">
      <c r="B314" s="224" t="s">
        <v>551</v>
      </c>
      <c r="C314" s="169" t="s">
        <v>184</v>
      </c>
      <c r="D314" s="167" t="e">
        <f>COUNTIFS(#REF!,B314)</f>
        <v>#REF!</v>
      </c>
    </row>
    <row r="315" spans="2:4" outlineLevel="1" x14ac:dyDescent="0.25">
      <c r="B315" s="230">
        <v>61900050</v>
      </c>
      <c r="C315" s="169" t="s">
        <v>1556</v>
      </c>
    </row>
    <row r="316" spans="2:4" outlineLevel="1" x14ac:dyDescent="0.25">
      <c r="B316" s="224" t="s">
        <v>552</v>
      </c>
      <c r="C316" s="169" t="s">
        <v>186</v>
      </c>
      <c r="D316" s="167" t="e">
        <f>COUNTIFS(#REF!,B316)</f>
        <v>#REF!</v>
      </c>
    </row>
    <row r="317" spans="2:4" outlineLevel="1" x14ac:dyDescent="0.25">
      <c r="B317" s="224" t="s">
        <v>553</v>
      </c>
      <c r="C317" s="169" t="s">
        <v>188</v>
      </c>
      <c r="D317" s="167" t="e">
        <f>COUNTIFS(#REF!,B317)</f>
        <v>#REF!</v>
      </c>
    </row>
    <row r="318" spans="2:4" outlineLevel="1" x14ac:dyDescent="0.25">
      <c r="B318" s="224" t="s">
        <v>554</v>
      </c>
      <c r="C318" s="169" t="s">
        <v>191</v>
      </c>
      <c r="D318" s="167" t="e">
        <f>COUNTIFS(#REF!,B318)</f>
        <v>#REF!</v>
      </c>
    </row>
    <row r="319" spans="2:4" outlineLevel="1" x14ac:dyDescent="0.25">
      <c r="B319" s="224" t="s">
        <v>555</v>
      </c>
      <c r="C319" s="169" t="s">
        <v>194</v>
      </c>
      <c r="D319" s="167" t="e">
        <f>COUNTIFS(#REF!,B319)</f>
        <v>#REF!</v>
      </c>
    </row>
    <row r="320" spans="2:4" outlineLevel="1" x14ac:dyDescent="0.25">
      <c r="B320" s="224" t="s">
        <v>556</v>
      </c>
      <c r="C320" s="169" t="s">
        <v>197</v>
      </c>
      <c r="D320" s="167" t="e">
        <f>COUNTIFS(#REF!,B320)</f>
        <v>#REF!</v>
      </c>
    </row>
    <row r="321" spans="2:4" outlineLevel="1" x14ac:dyDescent="0.25">
      <c r="B321" s="224" t="s">
        <v>557</v>
      </c>
      <c r="C321" s="169" t="s">
        <v>200</v>
      </c>
      <c r="D321" s="167" t="e">
        <f>COUNTIFS(#REF!,B321)</f>
        <v>#REF!</v>
      </c>
    </row>
    <row r="322" spans="2:4" outlineLevel="1" x14ac:dyDescent="0.25">
      <c r="B322" s="224" t="s">
        <v>558</v>
      </c>
      <c r="C322" s="169" t="s">
        <v>202</v>
      </c>
      <c r="D322" s="167" t="e">
        <f>COUNTIFS(#REF!,B322)</f>
        <v>#REF!</v>
      </c>
    </row>
    <row r="323" spans="2:4" outlineLevel="1" x14ac:dyDescent="0.25">
      <c r="B323" s="224" t="s">
        <v>559</v>
      </c>
      <c r="C323" s="169" t="s">
        <v>204</v>
      </c>
      <c r="D323" s="167" t="e">
        <f>COUNTIFS(#REF!,B323)</f>
        <v>#REF!</v>
      </c>
    </row>
    <row r="324" spans="2:4" outlineLevel="1" x14ac:dyDescent="0.25">
      <c r="B324" s="224" t="s">
        <v>560</v>
      </c>
      <c r="C324" s="169" t="s">
        <v>627</v>
      </c>
      <c r="D324" s="167" t="e">
        <f>COUNTIFS(#REF!,B324)</f>
        <v>#REF!</v>
      </c>
    </row>
    <row r="325" spans="2:4" outlineLevel="1" x14ac:dyDescent="0.25">
      <c r="B325" s="224" t="s">
        <v>561</v>
      </c>
      <c r="C325" s="169" t="s">
        <v>208</v>
      </c>
      <c r="D325" s="167" t="e">
        <f>COUNTIFS(#REF!,B325)</f>
        <v>#REF!</v>
      </c>
    </row>
    <row r="326" spans="2:4" outlineLevel="1" x14ac:dyDescent="0.25">
      <c r="B326" s="224" t="s">
        <v>562</v>
      </c>
      <c r="C326" s="169" t="s">
        <v>210</v>
      </c>
      <c r="D326" s="167" t="e">
        <f>COUNTIFS(#REF!,B326)</f>
        <v>#REF!</v>
      </c>
    </row>
    <row r="327" spans="2:4" outlineLevel="1" x14ac:dyDescent="0.25">
      <c r="B327" s="224" t="s">
        <v>563</v>
      </c>
      <c r="C327" s="169" t="s">
        <v>212</v>
      </c>
      <c r="D327" s="167" t="e">
        <f>COUNTIFS(#REF!,B327)</f>
        <v>#REF!</v>
      </c>
    </row>
    <row r="328" spans="2:4" outlineLevel="1" x14ac:dyDescent="0.25">
      <c r="B328" s="224" t="s">
        <v>564</v>
      </c>
      <c r="C328" s="169" t="s">
        <v>214</v>
      </c>
      <c r="D328" s="167" t="e">
        <f>COUNTIFS(#REF!,B328)</f>
        <v>#REF!</v>
      </c>
    </row>
    <row r="329" spans="2:4" outlineLevel="1" x14ac:dyDescent="0.25">
      <c r="B329" s="224" t="s">
        <v>565</v>
      </c>
      <c r="C329" s="169" t="s">
        <v>216</v>
      </c>
      <c r="D329" s="167" t="e">
        <f>COUNTIFS(#REF!,B329)</f>
        <v>#REF!</v>
      </c>
    </row>
    <row r="330" spans="2:4" outlineLevel="1" x14ac:dyDescent="0.25">
      <c r="B330" s="224" t="s">
        <v>566</v>
      </c>
      <c r="C330" s="169" t="s">
        <v>218</v>
      </c>
      <c r="D330" s="167" t="e">
        <f>COUNTIFS(#REF!,B330)</f>
        <v>#REF!</v>
      </c>
    </row>
    <row r="331" spans="2:4" outlineLevel="1" x14ac:dyDescent="0.25">
      <c r="B331" s="224" t="s">
        <v>567</v>
      </c>
      <c r="C331" s="169" t="s">
        <v>628</v>
      </c>
      <c r="D331" s="167" t="e">
        <f>COUNTIFS(#REF!,B331)</f>
        <v>#REF!</v>
      </c>
    </row>
    <row r="332" spans="2:4" outlineLevel="1" x14ac:dyDescent="0.25">
      <c r="B332" s="224" t="s">
        <v>568</v>
      </c>
      <c r="C332" s="169" t="s">
        <v>220</v>
      </c>
      <c r="D332" s="167" t="e">
        <f>COUNTIFS(#REF!,B332)</f>
        <v>#REF!</v>
      </c>
    </row>
    <row r="333" spans="2:4" outlineLevel="1" x14ac:dyDescent="0.25">
      <c r="B333" s="224" t="s">
        <v>569</v>
      </c>
      <c r="C333" s="169" t="s">
        <v>223</v>
      </c>
      <c r="D333" s="167" t="e">
        <f>COUNTIFS(#REF!,B333)</f>
        <v>#REF!</v>
      </c>
    </row>
    <row r="334" spans="2:4" outlineLevel="1" x14ac:dyDescent="0.25">
      <c r="B334" s="224" t="s">
        <v>570</v>
      </c>
      <c r="C334" s="169" t="s">
        <v>225</v>
      </c>
      <c r="D334" s="167" t="e">
        <f>COUNTIFS(#REF!,B334)</f>
        <v>#REF!</v>
      </c>
    </row>
    <row r="335" spans="2:4" outlineLevel="1" x14ac:dyDescent="0.25">
      <c r="B335" s="224" t="s">
        <v>571</v>
      </c>
      <c r="C335" s="169" t="s">
        <v>228</v>
      </c>
      <c r="D335" s="167" t="e">
        <f>COUNTIFS(#REF!,B335)</f>
        <v>#REF!</v>
      </c>
    </row>
    <row r="336" spans="2:4" outlineLevel="1" x14ac:dyDescent="0.25">
      <c r="B336" s="225" t="s">
        <v>572</v>
      </c>
      <c r="C336" s="226" t="s">
        <v>629</v>
      </c>
      <c r="D336" s="208" t="e">
        <f>COUNTIFS(#REF!,B336)</f>
        <v>#REF!</v>
      </c>
    </row>
    <row r="337" spans="2:5" outlineLevel="1" x14ac:dyDescent="0.25">
      <c r="B337" s="224" t="s">
        <v>574</v>
      </c>
      <c r="C337" s="169" t="s">
        <v>230</v>
      </c>
      <c r="D337" s="167" t="e">
        <f>COUNTIFS(#REF!,B337)</f>
        <v>#REF!</v>
      </c>
    </row>
    <row r="338" spans="2:5" outlineLevel="1" x14ac:dyDescent="0.25">
      <c r="B338" s="224" t="s">
        <v>575</v>
      </c>
      <c r="C338" s="169" t="s">
        <v>232</v>
      </c>
      <c r="D338" s="167" t="e">
        <f>COUNTIFS(#REF!,B338)</f>
        <v>#REF!</v>
      </c>
    </row>
    <row r="339" spans="2:5" outlineLevel="1" x14ac:dyDescent="0.25">
      <c r="B339" s="225" t="s">
        <v>576</v>
      </c>
      <c r="C339" s="226" t="s">
        <v>631</v>
      </c>
      <c r="D339" s="208" t="e">
        <f>COUNTIFS(#REF!,B339)</f>
        <v>#REF!</v>
      </c>
    </row>
    <row r="340" spans="2:5" outlineLevel="1" x14ac:dyDescent="0.25">
      <c r="B340" s="225" t="s">
        <v>577</v>
      </c>
      <c r="C340" s="226" t="s">
        <v>632</v>
      </c>
      <c r="D340" s="208" t="e">
        <f>COUNTIFS(#REF!,B340)</f>
        <v>#REF!</v>
      </c>
    </row>
    <row r="341" spans="2:5" outlineLevel="1" x14ac:dyDescent="0.25">
      <c r="B341" s="225" t="s">
        <v>578</v>
      </c>
      <c r="C341" s="226" t="s">
        <v>633</v>
      </c>
      <c r="D341" s="208" t="e">
        <f>COUNTIFS(#REF!,B341)</f>
        <v>#REF!</v>
      </c>
    </row>
    <row r="342" spans="2:5" outlineLevel="1" x14ac:dyDescent="0.25">
      <c r="B342" s="225" t="s">
        <v>579</v>
      </c>
      <c r="C342" s="226" t="s">
        <v>634</v>
      </c>
      <c r="D342" s="208" t="e">
        <f>COUNTIFS(#REF!,B342)</f>
        <v>#REF!</v>
      </c>
    </row>
    <row r="343" spans="2:5" outlineLevel="1" x14ac:dyDescent="0.25">
      <c r="B343" s="225" t="s">
        <v>580</v>
      </c>
      <c r="C343" s="226" t="s">
        <v>635</v>
      </c>
      <c r="D343" s="208" t="e">
        <f>COUNTIFS(#REF!,B343)</f>
        <v>#REF!</v>
      </c>
    </row>
    <row r="344" spans="2:5" outlineLevel="1" x14ac:dyDescent="0.25">
      <c r="B344" s="224" t="s">
        <v>581</v>
      </c>
      <c r="C344" s="169" t="s">
        <v>234</v>
      </c>
      <c r="D344" s="167" t="e">
        <f>COUNTIFS(#REF!,B344)</f>
        <v>#REF!</v>
      </c>
    </row>
    <row r="345" spans="2:5" outlineLevel="1" x14ac:dyDescent="0.25">
      <c r="B345" s="225" t="s">
        <v>582</v>
      </c>
      <c r="C345" s="226" t="s">
        <v>636</v>
      </c>
      <c r="D345" s="208" t="e">
        <f>COUNTIFS(#REF!,B345)</f>
        <v>#REF!</v>
      </c>
    </row>
    <row r="346" spans="2:5" outlineLevel="1" x14ac:dyDescent="0.25">
      <c r="B346" s="225" t="s">
        <v>583</v>
      </c>
      <c r="C346" s="226" t="s">
        <v>637</v>
      </c>
      <c r="D346" s="208" t="e">
        <f>COUNTIFS(#REF!,B346)</f>
        <v>#REF!</v>
      </c>
    </row>
    <row r="347" spans="2:5" outlineLevel="1" x14ac:dyDescent="0.25">
      <c r="B347" s="231" t="s">
        <v>584</v>
      </c>
      <c r="C347" s="226" t="s">
        <v>638</v>
      </c>
      <c r="D347" s="208" t="e">
        <f>COUNTIFS(#REF!,B347)</f>
        <v>#REF!</v>
      </c>
    </row>
    <row r="349" spans="2:5" outlineLevel="1" x14ac:dyDescent="0.25">
      <c r="B349" s="225" t="s">
        <v>573</v>
      </c>
      <c r="C349" s="226" t="s">
        <v>630</v>
      </c>
      <c r="D349" s="208" t="e">
        <f>COUNTIFS(#REF!,B349)</f>
        <v>#REF!</v>
      </c>
      <c r="E349" s="167" t="s">
        <v>1534</v>
      </c>
    </row>
    <row r="351" spans="2:5" s="200" customFormat="1" ht="27.75" customHeight="1" outlineLevel="1" x14ac:dyDescent="0.25">
      <c r="B351" s="199" t="s">
        <v>1327</v>
      </c>
      <c r="E351" s="201"/>
    </row>
    <row r="352" spans="2:5" outlineLevel="1" x14ac:dyDescent="0.25"/>
    <row r="353" spans="2:7" outlineLevel="2" x14ac:dyDescent="0.25">
      <c r="B353" s="219" t="s">
        <v>647</v>
      </c>
      <c r="C353" s="219" t="s">
        <v>648</v>
      </c>
      <c r="D353" s="219" t="s">
        <v>649</v>
      </c>
      <c r="E353" s="219"/>
      <c r="F353" s="219" t="s">
        <v>650</v>
      </c>
      <c r="G353" s="219" t="s">
        <v>650</v>
      </c>
    </row>
    <row r="354" spans="2:7" outlineLevel="2" x14ac:dyDescent="0.25">
      <c r="B354" s="169" t="s">
        <v>651</v>
      </c>
      <c r="C354" s="169" t="s">
        <v>652</v>
      </c>
      <c r="D354" s="169" t="s">
        <v>653</v>
      </c>
      <c r="E354" s="169"/>
      <c r="F354" s="169" t="s">
        <v>654</v>
      </c>
      <c r="G354" s="169" t="s">
        <v>655</v>
      </c>
    </row>
    <row r="355" spans="2:7" outlineLevel="2" x14ac:dyDescent="0.25">
      <c r="B355" s="169" t="s">
        <v>656</v>
      </c>
      <c r="C355" s="169" t="s">
        <v>657</v>
      </c>
      <c r="D355" s="169" t="s">
        <v>658</v>
      </c>
      <c r="E355" s="169"/>
      <c r="F355" s="169" t="s">
        <v>659</v>
      </c>
      <c r="G355" s="169" t="s">
        <v>660</v>
      </c>
    </row>
    <row r="356" spans="2:7" outlineLevel="2" x14ac:dyDescent="0.25">
      <c r="B356" s="169" t="s">
        <v>661</v>
      </c>
      <c r="C356" s="169" t="s">
        <v>662</v>
      </c>
      <c r="D356" s="169" t="s">
        <v>663</v>
      </c>
      <c r="E356" s="169"/>
      <c r="F356" s="169" t="s">
        <v>664</v>
      </c>
      <c r="G356" s="169" t="s">
        <v>665</v>
      </c>
    </row>
    <row r="357" spans="2:7" outlineLevel="2" x14ac:dyDescent="0.25">
      <c r="B357" s="169" t="s">
        <v>666</v>
      </c>
      <c r="C357" s="169" t="s">
        <v>667</v>
      </c>
      <c r="D357" s="169" t="s">
        <v>668</v>
      </c>
      <c r="E357" s="169"/>
      <c r="F357" s="169" t="s">
        <v>669</v>
      </c>
      <c r="G357" s="169" t="s">
        <v>670</v>
      </c>
    </row>
    <row r="358" spans="2:7" outlineLevel="2" x14ac:dyDescent="0.25">
      <c r="B358" s="169" t="s">
        <v>671</v>
      </c>
      <c r="C358" s="169" t="s">
        <v>672</v>
      </c>
      <c r="D358" s="169" t="s">
        <v>673</v>
      </c>
      <c r="E358" s="169"/>
      <c r="F358" s="169" t="s">
        <v>674</v>
      </c>
      <c r="G358" s="169" t="s">
        <v>675</v>
      </c>
    </row>
    <row r="359" spans="2:7" outlineLevel="2" x14ac:dyDescent="0.25">
      <c r="B359" s="169" t="s">
        <v>676</v>
      </c>
      <c r="C359" s="169" t="s">
        <v>677</v>
      </c>
      <c r="D359" s="169" t="s">
        <v>678</v>
      </c>
      <c r="E359" s="169"/>
      <c r="F359" s="169" t="s">
        <v>679</v>
      </c>
      <c r="G359" s="169" t="s">
        <v>680</v>
      </c>
    </row>
    <row r="360" spans="2:7" outlineLevel="2" x14ac:dyDescent="0.25">
      <c r="B360" s="169" t="s">
        <v>681</v>
      </c>
      <c r="C360" s="169" t="s">
        <v>682</v>
      </c>
      <c r="D360" s="169" t="s">
        <v>683</v>
      </c>
      <c r="E360" s="169"/>
      <c r="F360" s="169" t="s">
        <v>684</v>
      </c>
      <c r="G360" s="169" t="s">
        <v>685</v>
      </c>
    </row>
    <row r="361" spans="2:7" outlineLevel="2" x14ac:dyDescent="0.25">
      <c r="B361" s="169" t="s">
        <v>686</v>
      </c>
      <c r="C361" s="169" t="s">
        <v>687</v>
      </c>
      <c r="D361" s="169" t="s">
        <v>688</v>
      </c>
      <c r="E361" s="169"/>
      <c r="F361" s="169" t="s">
        <v>689</v>
      </c>
      <c r="G361" s="169" t="s">
        <v>690</v>
      </c>
    </row>
    <row r="362" spans="2:7" outlineLevel="2" x14ac:dyDescent="0.25">
      <c r="B362" s="169" t="s">
        <v>691</v>
      </c>
      <c r="C362" s="169" t="s">
        <v>692</v>
      </c>
      <c r="D362" s="169" t="s">
        <v>693</v>
      </c>
      <c r="E362" s="169"/>
      <c r="F362" s="169" t="s">
        <v>694</v>
      </c>
      <c r="G362" s="169" t="s">
        <v>695</v>
      </c>
    </row>
    <row r="363" spans="2:7" outlineLevel="2" x14ac:dyDescent="0.25">
      <c r="B363" s="169" t="s">
        <v>696</v>
      </c>
      <c r="C363" s="169" t="s">
        <v>697</v>
      </c>
      <c r="D363" s="169" t="s">
        <v>698</v>
      </c>
      <c r="E363" s="169"/>
      <c r="F363" s="169" t="s">
        <v>699</v>
      </c>
      <c r="G363" s="169" t="s">
        <v>700</v>
      </c>
    </row>
    <row r="364" spans="2:7" outlineLevel="2" x14ac:dyDescent="0.25">
      <c r="B364" s="169" t="s">
        <v>701</v>
      </c>
      <c r="C364" s="169" t="s">
        <v>702</v>
      </c>
      <c r="D364" s="169" t="s">
        <v>703</v>
      </c>
      <c r="E364" s="169"/>
      <c r="F364" s="169" t="s">
        <v>704</v>
      </c>
      <c r="G364" s="169" t="s">
        <v>705</v>
      </c>
    </row>
    <row r="365" spans="2:7" outlineLevel="2" x14ac:dyDescent="0.25">
      <c r="B365" s="169" t="s">
        <v>706</v>
      </c>
      <c r="C365" s="169" t="s">
        <v>707</v>
      </c>
      <c r="D365" s="169" t="s">
        <v>708</v>
      </c>
      <c r="E365" s="169"/>
      <c r="F365" s="169" t="s">
        <v>709</v>
      </c>
      <c r="G365" s="169" t="s">
        <v>710</v>
      </c>
    </row>
    <row r="366" spans="2:7" outlineLevel="2" x14ac:dyDescent="0.25">
      <c r="B366" s="169" t="s">
        <v>711</v>
      </c>
      <c r="C366" s="169" t="s">
        <v>712</v>
      </c>
      <c r="D366" s="169" t="s">
        <v>713</v>
      </c>
      <c r="E366" s="169"/>
      <c r="F366" s="169" t="s">
        <v>714</v>
      </c>
      <c r="G366" s="169" t="s">
        <v>715</v>
      </c>
    </row>
    <row r="367" spans="2:7" outlineLevel="2" x14ac:dyDescent="0.25">
      <c r="B367" s="169" t="s">
        <v>716</v>
      </c>
      <c r="C367" s="169" t="s">
        <v>717</v>
      </c>
      <c r="D367" s="169" t="s">
        <v>718</v>
      </c>
      <c r="E367" s="169"/>
      <c r="F367" s="169" t="s">
        <v>719</v>
      </c>
      <c r="G367" s="169" t="s">
        <v>720</v>
      </c>
    </row>
    <row r="368" spans="2:7" outlineLevel="2" x14ac:dyDescent="0.25">
      <c r="B368" s="169" t="s">
        <v>721</v>
      </c>
      <c r="C368" s="169" t="s">
        <v>722</v>
      </c>
      <c r="D368" s="169" t="s">
        <v>723</v>
      </c>
      <c r="E368" s="169"/>
      <c r="F368" s="169" t="s">
        <v>724</v>
      </c>
      <c r="G368" s="169" t="s">
        <v>725</v>
      </c>
    </row>
    <row r="369" spans="2:7" outlineLevel="2" x14ac:dyDescent="0.25">
      <c r="B369" s="169" t="s">
        <v>726</v>
      </c>
      <c r="C369" s="169" t="s">
        <v>727</v>
      </c>
      <c r="D369" s="169" t="s">
        <v>728</v>
      </c>
      <c r="E369" s="169"/>
      <c r="F369" s="169" t="s">
        <v>729</v>
      </c>
      <c r="G369" s="169" t="s">
        <v>730</v>
      </c>
    </row>
    <row r="370" spans="2:7" outlineLevel="2" x14ac:dyDescent="0.25">
      <c r="B370" s="169" t="s">
        <v>731</v>
      </c>
      <c r="C370" s="169" t="s">
        <v>732</v>
      </c>
      <c r="D370" s="169" t="s">
        <v>733</v>
      </c>
      <c r="E370" s="169"/>
      <c r="F370" s="169" t="s">
        <v>734</v>
      </c>
      <c r="G370" s="169" t="s">
        <v>735</v>
      </c>
    </row>
    <row r="371" spans="2:7" outlineLevel="2" x14ac:dyDescent="0.25">
      <c r="B371" s="169" t="s">
        <v>736</v>
      </c>
      <c r="C371" s="169" t="s">
        <v>737</v>
      </c>
      <c r="D371" s="169" t="s">
        <v>738</v>
      </c>
      <c r="E371" s="169"/>
      <c r="F371" s="169" t="s">
        <v>739</v>
      </c>
      <c r="G371" s="169" t="s">
        <v>740</v>
      </c>
    </row>
    <row r="372" spans="2:7" outlineLevel="2" x14ac:dyDescent="0.25">
      <c r="B372" s="169" t="s">
        <v>741</v>
      </c>
      <c r="C372" s="169" t="s">
        <v>742</v>
      </c>
      <c r="D372" s="169" t="s">
        <v>743</v>
      </c>
      <c r="E372" s="169"/>
      <c r="F372" s="169" t="s">
        <v>744</v>
      </c>
      <c r="G372" s="169" t="s">
        <v>745</v>
      </c>
    </row>
    <row r="373" spans="2:7" outlineLevel="2" x14ac:dyDescent="0.25">
      <c r="B373" s="169" t="s">
        <v>746</v>
      </c>
      <c r="C373" s="169" t="s">
        <v>747</v>
      </c>
      <c r="D373" s="169" t="s">
        <v>748</v>
      </c>
      <c r="E373" s="169"/>
      <c r="F373" s="169" t="s">
        <v>749</v>
      </c>
      <c r="G373" s="169" t="s">
        <v>750</v>
      </c>
    </row>
    <row r="374" spans="2:7" outlineLevel="2" x14ac:dyDescent="0.25">
      <c r="B374" s="169" t="s">
        <v>751</v>
      </c>
      <c r="C374" s="169" t="s">
        <v>752</v>
      </c>
      <c r="D374" s="169" t="s">
        <v>753</v>
      </c>
      <c r="E374" s="169"/>
      <c r="F374" s="169" t="s">
        <v>754</v>
      </c>
      <c r="G374" s="169" t="s">
        <v>755</v>
      </c>
    </row>
    <row r="375" spans="2:7" outlineLevel="2" x14ac:dyDescent="0.25">
      <c r="B375" s="169" t="s">
        <v>756</v>
      </c>
      <c r="C375" s="169" t="s">
        <v>757</v>
      </c>
      <c r="D375" s="169" t="s">
        <v>758</v>
      </c>
      <c r="E375" s="169"/>
      <c r="F375" s="169" t="s">
        <v>759</v>
      </c>
      <c r="G375" s="169" t="s">
        <v>760</v>
      </c>
    </row>
    <row r="376" spans="2:7" outlineLevel="2" x14ac:dyDescent="0.25">
      <c r="B376" s="169" t="s">
        <v>761</v>
      </c>
      <c r="C376" s="169" t="s">
        <v>762</v>
      </c>
      <c r="D376" s="169" t="s">
        <v>763</v>
      </c>
      <c r="E376" s="169"/>
      <c r="F376" s="169" t="s">
        <v>764</v>
      </c>
      <c r="G376" s="169" t="s">
        <v>765</v>
      </c>
    </row>
    <row r="377" spans="2:7" outlineLevel="2" x14ac:dyDescent="0.25">
      <c r="B377" s="169" t="s">
        <v>766</v>
      </c>
      <c r="C377" s="169" t="s">
        <v>767</v>
      </c>
      <c r="D377" s="169" t="s">
        <v>768</v>
      </c>
      <c r="E377" s="169"/>
      <c r="F377" s="169" t="s">
        <v>769</v>
      </c>
      <c r="G377" s="169" t="s">
        <v>770</v>
      </c>
    </row>
    <row r="378" spans="2:7" outlineLevel="2" x14ac:dyDescent="0.25">
      <c r="B378" s="169" t="s">
        <v>771</v>
      </c>
      <c r="C378" s="169" t="s">
        <v>772</v>
      </c>
      <c r="D378" s="169" t="s">
        <v>773</v>
      </c>
      <c r="E378" s="169"/>
      <c r="F378" s="169" t="s">
        <v>774</v>
      </c>
      <c r="G378" s="169" t="s">
        <v>775</v>
      </c>
    </row>
    <row r="379" spans="2:7" outlineLevel="2" x14ac:dyDescent="0.25">
      <c r="B379" s="169" t="s">
        <v>776</v>
      </c>
      <c r="C379" s="169" t="s">
        <v>777</v>
      </c>
      <c r="D379" s="169" t="s">
        <v>778</v>
      </c>
      <c r="E379" s="169"/>
      <c r="F379" s="169" t="s">
        <v>779</v>
      </c>
      <c r="G379" s="169" t="s">
        <v>780</v>
      </c>
    </row>
    <row r="380" spans="2:7" outlineLevel="2" x14ac:dyDescent="0.25">
      <c r="B380" s="169" t="s">
        <v>781</v>
      </c>
      <c r="C380" s="169" t="s">
        <v>782</v>
      </c>
      <c r="D380" s="169" t="s">
        <v>783</v>
      </c>
      <c r="E380" s="169"/>
      <c r="F380" s="169" t="s">
        <v>784</v>
      </c>
      <c r="G380" s="169" t="s">
        <v>785</v>
      </c>
    </row>
    <row r="381" spans="2:7" outlineLevel="2" x14ac:dyDescent="0.25">
      <c r="B381" s="169" t="s">
        <v>786</v>
      </c>
      <c r="C381" s="169" t="s">
        <v>787</v>
      </c>
      <c r="D381" s="169" t="s">
        <v>788</v>
      </c>
      <c r="E381" s="169"/>
      <c r="F381" s="169" t="s">
        <v>789</v>
      </c>
      <c r="G381" s="169" t="s">
        <v>790</v>
      </c>
    </row>
    <row r="382" spans="2:7" outlineLevel="2" x14ac:dyDescent="0.25">
      <c r="B382" s="169" t="s">
        <v>791</v>
      </c>
      <c r="C382" s="169" t="s">
        <v>792</v>
      </c>
      <c r="D382" s="169" t="s">
        <v>793</v>
      </c>
      <c r="E382" s="169"/>
      <c r="F382" s="169" t="s">
        <v>794</v>
      </c>
      <c r="G382" s="169" t="s">
        <v>795</v>
      </c>
    </row>
    <row r="383" spans="2:7" outlineLevel="2" x14ac:dyDescent="0.25">
      <c r="B383" s="169" t="s">
        <v>796</v>
      </c>
      <c r="C383" s="169" t="s">
        <v>797</v>
      </c>
      <c r="D383" s="169" t="s">
        <v>798</v>
      </c>
      <c r="E383" s="169"/>
      <c r="F383" s="169" t="s">
        <v>799</v>
      </c>
      <c r="G383" s="169" t="s">
        <v>800</v>
      </c>
    </row>
    <row r="384" spans="2:7" outlineLevel="2" x14ac:dyDescent="0.25">
      <c r="B384" s="169" t="s">
        <v>801</v>
      </c>
      <c r="C384" s="169" t="s">
        <v>802</v>
      </c>
      <c r="D384" s="169" t="s">
        <v>803</v>
      </c>
      <c r="E384" s="169"/>
      <c r="F384" s="169" t="s">
        <v>804</v>
      </c>
      <c r="G384" s="169" t="s">
        <v>805</v>
      </c>
    </row>
    <row r="385" spans="2:7" outlineLevel="2" x14ac:dyDescent="0.25">
      <c r="B385" s="169" t="s">
        <v>806</v>
      </c>
      <c r="C385" s="169" t="s">
        <v>807</v>
      </c>
      <c r="D385" s="169" t="s">
        <v>808</v>
      </c>
      <c r="E385" s="169"/>
      <c r="F385" s="169" t="s">
        <v>809</v>
      </c>
      <c r="G385" s="169" t="s">
        <v>810</v>
      </c>
    </row>
    <row r="386" spans="2:7" outlineLevel="2" x14ac:dyDescent="0.25">
      <c r="B386" s="169" t="s">
        <v>811</v>
      </c>
      <c r="C386" s="169" t="s">
        <v>812</v>
      </c>
      <c r="D386" s="169" t="s">
        <v>813</v>
      </c>
      <c r="E386" s="169"/>
      <c r="F386" s="169" t="s">
        <v>814</v>
      </c>
      <c r="G386" s="169" t="s">
        <v>815</v>
      </c>
    </row>
    <row r="387" spans="2:7" outlineLevel="2" x14ac:dyDescent="0.25">
      <c r="B387" s="169" t="s">
        <v>816</v>
      </c>
      <c r="C387" s="169" t="s">
        <v>817</v>
      </c>
      <c r="D387" s="169" t="s">
        <v>818</v>
      </c>
      <c r="E387" s="169"/>
      <c r="F387" s="169" t="s">
        <v>819</v>
      </c>
      <c r="G387" s="169" t="s">
        <v>820</v>
      </c>
    </row>
    <row r="388" spans="2:7" outlineLevel="2" x14ac:dyDescent="0.25">
      <c r="B388" s="169" t="s">
        <v>821</v>
      </c>
      <c r="C388" s="169" t="s">
        <v>822</v>
      </c>
      <c r="D388" s="169" t="s">
        <v>813</v>
      </c>
      <c r="E388" s="169"/>
      <c r="F388" s="169" t="s">
        <v>823</v>
      </c>
      <c r="G388" s="169" t="s">
        <v>700</v>
      </c>
    </row>
    <row r="389" spans="2:7" outlineLevel="2" x14ac:dyDescent="0.25">
      <c r="B389" s="169" t="s">
        <v>824</v>
      </c>
      <c r="C389" s="169" t="s">
        <v>825</v>
      </c>
      <c r="D389" s="169" t="s">
        <v>826</v>
      </c>
      <c r="E389" s="169"/>
      <c r="F389" s="169" t="s">
        <v>827</v>
      </c>
      <c r="G389" s="169" t="s">
        <v>828</v>
      </c>
    </row>
    <row r="390" spans="2:7" outlineLevel="2" x14ac:dyDescent="0.25">
      <c r="B390" s="169" t="s">
        <v>829</v>
      </c>
      <c r="C390" s="169" t="s">
        <v>830</v>
      </c>
      <c r="D390" s="169" t="s">
        <v>831</v>
      </c>
      <c r="E390" s="169"/>
      <c r="F390" s="169" t="s">
        <v>832</v>
      </c>
      <c r="G390" s="169" t="s">
        <v>833</v>
      </c>
    </row>
    <row r="391" spans="2:7" outlineLevel="2" x14ac:dyDescent="0.25">
      <c r="B391" s="169" t="s">
        <v>834</v>
      </c>
      <c r="C391" s="169" t="s">
        <v>835</v>
      </c>
      <c r="D391" s="169" t="s">
        <v>836</v>
      </c>
      <c r="E391" s="169"/>
      <c r="F391" s="169" t="s">
        <v>837</v>
      </c>
      <c r="G391" s="169" t="s">
        <v>838</v>
      </c>
    </row>
    <row r="392" spans="2:7" outlineLevel="2" x14ac:dyDescent="0.25">
      <c r="B392" s="169" t="s">
        <v>839</v>
      </c>
      <c r="C392" s="169" t="s">
        <v>840</v>
      </c>
      <c r="D392" s="169" t="s">
        <v>841</v>
      </c>
      <c r="E392" s="169"/>
      <c r="F392" s="169" t="s">
        <v>842</v>
      </c>
      <c r="G392" s="169" t="s">
        <v>843</v>
      </c>
    </row>
    <row r="393" spans="2:7" outlineLevel="2" x14ac:dyDescent="0.25">
      <c r="B393" s="169" t="s">
        <v>844</v>
      </c>
      <c r="C393" s="169" t="s">
        <v>845</v>
      </c>
      <c r="D393" s="169" t="s">
        <v>846</v>
      </c>
      <c r="E393" s="169"/>
      <c r="F393" s="169" t="s">
        <v>847</v>
      </c>
      <c r="G393" s="169" t="s">
        <v>848</v>
      </c>
    </row>
    <row r="394" spans="2:7" outlineLevel="2" x14ac:dyDescent="0.25">
      <c r="B394" s="169" t="s">
        <v>849</v>
      </c>
      <c r="C394" s="169" t="s">
        <v>850</v>
      </c>
      <c r="D394" s="169" t="s">
        <v>851</v>
      </c>
      <c r="E394" s="169"/>
      <c r="F394" s="169" t="s">
        <v>852</v>
      </c>
      <c r="G394" s="169" t="s">
        <v>745</v>
      </c>
    </row>
    <row r="395" spans="2:7" outlineLevel="2" x14ac:dyDescent="0.25">
      <c r="B395" s="169" t="s">
        <v>853</v>
      </c>
      <c r="C395" s="169" t="s">
        <v>854</v>
      </c>
      <c r="D395" s="169" t="s">
        <v>855</v>
      </c>
      <c r="E395" s="169"/>
      <c r="F395" s="169" t="s">
        <v>856</v>
      </c>
      <c r="G395" s="169" t="s">
        <v>857</v>
      </c>
    </row>
    <row r="396" spans="2:7" outlineLevel="2" x14ac:dyDescent="0.25">
      <c r="B396" s="169" t="s">
        <v>858</v>
      </c>
      <c r="C396" s="169" t="s">
        <v>859</v>
      </c>
      <c r="D396" s="169" t="s">
        <v>860</v>
      </c>
      <c r="E396" s="169"/>
      <c r="F396" s="169" t="s">
        <v>861</v>
      </c>
      <c r="G396" s="169" t="s">
        <v>862</v>
      </c>
    </row>
    <row r="397" spans="2:7" outlineLevel="2" x14ac:dyDescent="0.25">
      <c r="B397" s="169" t="s">
        <v>863</v>
      </c>
      <c r="C397" s="169" t="s">
        <v>864</v>
      </c>
      <c r="D397" s="169" t="s">
        <v>865</v>
      </c>
      <c r="E397" s="169"/>
      <c r="F397" s="169" t="s">
        <v>866</v>
      </c>
      <c r="G397" s="169" t="s">
        <v>867</v>
      </c>
    </row>
    <row r="398" spans="2:7" outlineLevel="2" x14ac:dyDescent="0.25">
      <c r="B398" s="169" t="s">
        <v>868</v>
      </c>
      <c r="C398" s="169" t="s">
        <v>869</v>
      </c>
      <c r="D398" s="169" t="s">
        <v>870</v>
      </c>
      <c r="E398" s="169"/>
      <c r="F398" s="169" t="s">
        <v>871</v>
      </c>
      <c r="G398" s="169" t="s">
        <v>872</v>
      </c>
    </row>
    <row r="399" spans="2:7" outlineLevel="2" x14ac:dyDescent="0.25">
      <c r="B399" s="169" t="s">
        <v>873</v>
      </c>
      <c r="C399" s="169" t="s">
        <v>874</v>
      </c>
      <c r="D399" s="169" t="s">
        <v>875</v>
      </c>
      <c r="E399" s="169"/>
      <c r="F399" s="169" t="s">
        <v>876</v>
      </c>
      <c r="G399" s="169" t="s">
        <v>877</v>
      </c>
    </row>
    <row r="400" spans="2:7" outlineLevel="2" x14ac:dyDescent="0.25">
      <c r="B400" s="169" t="s">
        <v>878</v>
      </c>
      <c r="C400" s="169" t="s">
        <v>879</v>
      </c>
      <c r="D400" s="169" t="s">
        <v>880</v>
      </c>
      <c r="E400" s="169"/>
      <c r="F400" s="169" t="s">
        <v>881</v>
      </c>
      <c r="G400" s="169" t="s">
        <v>882</v>
      </c>
    </row>
    <row r="401" spans="2:7" outlineLevel="2" x14ac:dyDescent="0.25">
      <c r="B401" s="169" t="s">
        <v>883</v>
      </c>
      <c r="C401" s="169" t="s">
        <v>884</v>
      </c>
      <c r="D401" s="169" t="s">
        <v>885</v>
      </c>
      <c r="E401" s="169"/>
      <c r="F401" s="169" t="s">
        <v>886</v>
      </c>
      <c r="G401" s="169" t="s">
        <v>887</v>
      </c>
    </row>
    <row r="402" spans="2:7" outlineLevel="2" x14ac:dyDescent="0.25">
      <c r="B402" s="169" t="s">
        <v>888</v>
      </c>
      <c r="C402" s="169" t="s">
        <v>889</v>
      </c>
      <c r="D402" s="169" t="s">
        <v>890</v>
      </c>
      <c r="E402" s="169"/>
      <c r="F402" s="169" t="s">
        <v>891</v>
      </c>
      <c r="G402" s="169" t="s">
        <v>892</v>
      </c>
    </row>
    <row r="403" spans="2:7" outlineLevel="2" x14ac:dyDescent="0.25">
      <c r="B403" s="169" t="s">
        <v>893</v>
      </c>
      <c r="C403" s="169" t="s">
        <v>894</v>
      </c>
      <c r="D403" s="169" t="s">
        <v>895</v>
      </c>
      <c r="E403" s="169"/>
      <c r="F403" s="169" t="s">
        <v>896</v>
      </c>
      <c r="G403" s="169" t="s">
        <v>897</v>
      </c>
    </row>
    <row r="404" spans="2:7" outlineLevel="2" x14ac:dyDescent="0.25">
      <c r="B404" s="169" t="s">
        <v>898</v>
      </c>
      <c r="C404" s="169" t="s">
        <v>899</v>
      </c>
      <c r="D404" s="169" t="s">
        <v>900</v>
      </c>
      <c r="E404" s="169"/>
      <c r="F404" s="169" t="s">
        <v>901</v>
      </c>
      <c r="G404" s="169" t="s">
        <v>902</v>
      </c>
    </row>
    <row r="405" spans="2:7" outlineLevel="2" x14ac:dyDescent="0.25">
      <c r="B405" s="169" t="s">
        <v>903</v>
      </c>
      <c r="C405" s="169" t="s">
        <v>904</v>
      </c>
      <c r="D405" s="169" t="s">
        <v>905</v>
      </c>
      <c r="E405" s="169"/>
      <c r="F405" s="169" t="s">
        <v>906</v>
      </c>
      <c r="G405" s="169" t="s">
        <v>907</v>
      </c>
    </row>
    <row r="406" spans="2:7" outlineLevel="2" x14ac:dyDescent="0.25">
      <c r="B406" s="169" t="s">
        <v>908</v>
      </c>
      <c r="C406" s="169" t="s">
        <v>909</v>
      </c>
      <c r="D406" s="169" t="s">
        <v>910</v>
      </c>
      <c r="E406" s="169"/>
      <c r="F406" s="169" t="s">
        <v>911</v>
      </c>
      <c r="G406" s="169" t="s">
        <v>912</v>
      </c>
    </row>
    <row r="407" spans="2:7" outlineLevel="2" x14ac:dyDescent="0.25">
      <c r="B407" s="169" t="s">
        <v>913</v>
      </c>
      <c r="C407" s="169" t="s">
        <v>914</v>
      </c>
      <c r="D407" s="169" t="s">
        <v>915</v>
      </c>
      <c r="E407" s="169"/>
      <c r="F407" s="169" t="s">
        <v>916</v>
      </c>
      <c r="G407" s="169" t="s">
        <v>917</v>
      </c>
    </row>
    <row r="408" spans="2:7" outlineLevel="2" x14ac:dyDescent="0.25">
      <c r="B408" s="169" t="s">
        <v>918</v>
      </c>
      <c r="C408" s="169" t="s">
        <v>919</v>
      </c>
      <c r="D408" s="169" t="s">
        <v>920</v>
      </c>
      <c r="E408" s="169"/>
      <c r="F408" s="169" t="s">
        <v>921</v>
      </c>
      <c r="G408" s="169" t="s">
        <v>922</v>
      </c>
    </row>
    <row r="409" spans="2:7" outlineLevel="2" x14ac:dyDescent="0.25">
      <c r="B409" s="169" t="s">
        <v>923</v>
      </c>
      <c r="C409" s="169" t="s">
        <v>924</v>
      </c>
      <c r="D409" s="169" t="s">
        <v>925</v>
      </c>
      <c r="E409" s="169"/>
      <c r="F409" s="169" t="s">
        <v>926</v>
      </c>
      <c r="G409" s="169" t="s">
        <v>927</v>
      </c>
    </row>
    <row r="410" spans="2:7" outlineLevel="2" x14ac:dyDescent="0.25">
      <c r="B410" s="169" t="s">
        <v>928</v>
      </c>
      <c r="C410" s="169" t="s">
        <v>929</v>
      </c>
      <c r="D410" s="169" t="s">
        <v>930</v>
      </c>
      <c r="E410" s="169"/>
      <c r="F410" s="169" t="s">
        <v>931</v>
      </c>
      <c r="G410" s="169" t="s">
        <v>932</v>
      </c>
    </row>
    <row r="411" spans="2:7" outlineLevel="2" x14ac:dyDescent="0.25">
      <c r="B411" s="169" t="s">
        <v>933</v>
      </c>
      <c r="C411" s="169" t="s">
        <v>934</v>
      </c>
      <c r="D411" s="169" t="s">
        <v>935</v>
      </c>
      <c r="E411" s="169"/>
      <c r="F411" s="169" t="s">
        <v>936</v>
      </c>
      <c r="G411" s="169" t="s">
        <v>937</v>
      </c>
    </row>
    <row r="412" spans="2:7" outlineLevel="2" x14ac:dyDescent="0.25">
      <c r="B412" s="169" t="s">
        <v>938</v>
      </c>
      <c r="C412" s="169" t="s">
        <v>939</v>
      </c>
      <c r="D412" s="169" t="s">
        <v>940</v>
      </c>
      <c r="E412" s="169"/>
      <c r="F412" s="169" t="s">
        <v>941</v>
      </c>
      <c r="G412" s="169" t="s">
        <v>942</v>
      </c>
    </row>
    <row r="413" spans="2:7" outlineLevel="2" x14ac:dyDescent="0.25">
      <c r="B413" s="169" t="s">
        <v>943</v>
      </c>
      <c r="C413" s="169" t="s">
        <v>944</v>
      </c>
      <c r="D413" s="169" t="s">
        <v>945</v>
      </c>
      <c r="E413" s="169"/>
      <c r="F413" s="169" t="s">
        <v>946</v>
      </c>
      <c r="G413" s="169" t="s">
        <v>947</v>
      </c>
    </row>
    <row r="414" spans="2:7" outlineLevel="2" x14ac:dyDescent="0.25">
      <c r="B414" s="169" t="s">
        <v>948</v>
      </c>
      <c r="C414" s="169" t="s">
        <v>949</v>
      </c>
      <c r="D414" s="169" t="s">
        <v>950</v>
      </c>
      <c r="E414" s="169"/>
      <c r="F414" s="169" t="s">
        <v>951</v>
      </c>
      <c r="G414" s="169" t="s">
        <v>952</v>
      </c>
    </row>
    <row r="415" spans="2:7" outlineLevel="2" x14ac:dyDescent="0.25">
      <c r="B415" s="169" t="s">
        <v>953</v>
      </c>
      <c r="C415" s="169" t="s">
        <v>954</v>
      </c>
      <c r="D415" s="169" t="s">
        <v>955</v>
      </c>
      <c r="E415" s="169"/>
      <c r="F415" s="169" t="s">
        <v>956</v>
      </c>
      <c r="G415" s="169" t="s">
        <v>957</v>
      </c>
    </row>
    <row r="416" spans="2:7" outlineLevel="2" x14ac:dyDescent="0.25">
      <c r="B416" s="169" t="s">
        <v>958</v>
      </c>
      <c r="C416" s="169" t="s">
        <v>959</v>
      </c>
      <c r="D416" s="169" t="s">
        <v>960</v>
      </c>
      <c r="E416" s="169"/>
      <c r="F416" s="169" t="s">
        <v>961</v>
      </c>
      <c r="G416" s="169" t="s">
        <v>962</v>
      </c>
    </row>
    <row r="417" spans="2:7" outlineLevel="2" x14ac:dyDescent="0.25">
      <c r="B417" s="169" t="s">
        <v>963</v>
      </c>
      <c r="C417" s="169" t="s">
        <v>964</v>
      </c>
      <c r="D417" s="169" t="s">
        <v>965</v>
      </c>
      <c r="E417" s="169"/>
      <c r="F417" s="169" t="s">
        <v>966</v>
      </c>
      <c r="G417" s="169" t="s">
        <v>967</v>
      </c>
    </row>
    <row r="418" spans="2:7" outlineLevel="2" x14ac:dyDescent="0.25">
      <c r="B418" s="169" t="s">
        <v>968</v>
      </c>
      <c r="C418" s="169" t="s">
        <v>969</v>
      </c>
      <c r="D418" s="169" t="s">
        <v>970</v>
      </c>
      <c r="E418" s="169"/>
      <c r="F418" s="169" t="s">
        <v>971</v>
      </c>
      <c r="G418" s="169" t="s">
        <v>972</v>
      </c>
    </row>
    <row r="419" spans="2:7" outlineLevel="2" x14ac:dyDescent="0.25">
      <c r="B419" s="169" t="s">
        <v>973</v>
      </c>
      <c r="C419" s="169" t="s">
        <v>974</v>
      </c>
      <c r="D419" s="169" t="s">
        <v>975</v>
      </c>
      <c r="E419" s="169"/>
      <c r="F419" s="169" t="s">
        <v>976</v>
      </c>
      <c r="G419" s="169" t="s">
        <v>977</v>
      </c>
    </row>
    <row r="420" spans="2:7" outlineLevel="2" x14ac:dyDescent="0.25">
      <c r="B420" s="169" t="s">
        <v>978</v>
      </c>
      <c r="C420" s="169" t="s">
        <v>979</v>
      </c>
      <c r="D420" s="169" t="s">
        <v>980</v>
      </c>
      <c r="E420" s="169"/>
      <c r="F420" s="169" t="s">
        <v>981</v>
      </c>
      <c r="G420" s="169" t="s">
        <v>982</v>
      </c>
    </row>
    <row r="421" spans="2:7" outlineLevel="2" x14ac:dyDescent="0.25">
      <c r="B421" s="169" t="s">
        <v>983</v>
      </c>
      <c r="C421" s="169" t="s">
        <v>984</v>
      </c>
      <c r="D421" s="169" t="s">
        <v>985</v>
      </c>
      <c r="E421" s="169"/>
      <c r="F421" s="169" t="s">
        <v>986</v>
      </c>
      <c r="G421" s="169" t="s">
        <v>987</v>
      </c>
    </row>
    <row r="422" spans="2:7" outlineLevel="2" x14ac:dyDescent="0.25">
      <c r="B422" s="169" t="s">
        <v>988</v>
      </c>
      <c r="C422" s="169" t="s">
        <v>989</v>
      </c>
      <c r="D422" s="169" t="s">
        <v>990</v>
      </c>
      <c r="E422" s="169"/>
      <c r="F422" s="169" t="s">
        <v>991</v>
      </c>
      <c r="G422" s="169" t="s">
        <v>992</v>
      </c>
    </row>
    <row r="423" spans="2:7" outlineLevel="2" x14ac:dyDescent="0.25">
      <c r="B423" s="169" t="s">
        <v>993</v>
      </c>
      <c r="C423" s="169" t="s">
        <v>994</v>
      </c>
      <c r="D423" s="169" t="s">
        <v>995</v>
      </c>
      <c r="E423" s="169"/>
      <c r="F423" s="169" t="s">
        <v>996</v>
      </c>
      <c r="G423" s="169" t="s">
        <v>997</v>
      </c>
    </row>
    <row r="424" spans="2:7" outlineLevel="2" x14ac:dyDescent="0.25">
      <c r="B424" s="169" t="s">
        <v>998</v>
      </c>
      <c r="C424" s="169" t="s">
        <v>999</v>
      </c>
      <c r="D424" s="169" t="s">
        <v>1000</v>
      </c>
      <c r="E424" s="169"/>
      <c r="F424" s="169" t="s">
        <v>1001</v>
      </c>
      <c r="G424" s="169" t="s">
        <v>1002</v>
      </c>
    </row>
    <row r="425" spans="2:7" outlineLevel="2" x14ac:dyDescent="0.25">
      <c r="B425" s="169" t="s">
        <v>1003</v>
      </c>
      <c r="C425" s="169" t="s">
        <v>1004</v>
      </c>
      <c r="D425" s="169" t="s">
        <v>1005</v>
      </c>
      <c r="E425" s="169"/>
      <c r="F425" s="169" t="s">
        <v>1006</v>
      </c>
      <c r="G425" s="169" t="s">
        <v>1007</v>
      </c>
    </row>
    <row r="426" spans="2:7" outlineLevel="2" x14ac:dyDescent="0.25">
      <c r="B426" s="169" t="s">
        <v>1008</v>
      </c>
      <c r="C426" s="169" t="s">
        <v>1009</v>
      </c>
      <c r="D426" s="169" t="s">
        <v>1010</v>
      </c>
      <c r="E426" s="169"/>
      <c r="F426" s="169" t="s">
        <v>1011</v>
      </c>
      <c r="G426" s="169" t="s">
        <v>1012</v>
      </c>
    </row>
    <row r="427" spans="2:7" outlineLevel="2" x14ac:dyDescent="0.25">
      <c r="B427" s="169" t="s">
        <v>1013</v>
      </c>
      <c r="C427" s="169" t="s">
        <v>1014</v>
      </c>
      <c r="D427" s="169" t="s">
        <v>1015</v>
      </c>
      <c r="E427" s="169"/>
      <c r="F427" s="169" t="s">
        <v>1016</v>
      </c>
      <c r="G427" s="169" t="s">
        <v>1017</v>
      </c>
    </row>
    <row r="428" spans="2:7" outlineLevel="2" x14ac:dyDescent="0.25">
      <c r="B428" s="169" t="s">
        <v>1018</v>
      </c>
      <c r="C428" s="169" t="s">
        <v>1019</v>
      </c>
      <c r="D428" s="169" t="s">
        <v>1020</v>
      </c>
      <c r="E428" s="169"/>
      <c r="F428" s="169" t="s">
        <v>1021</v>
      </c>
      <c r="G428" s="169" t="s">
        <v>1022</v>
      </c>
    </row>
    <row r="429" spans="2:7" outlineLevel="2" x14ac:dyDescent="0.25">
      <c r="B429" s="169" t="s">
        <v>1023</v>
      </c>
      <c r="C429" s="169" t="s">
        <v>1024</v>
      </c>
      <c r="D429" s="169" t="s">
        <v>1025</v>
      </c>
      <c r="E429" s="169"/>
      <c r="F429" s="169" t="s">
        <v>1026</v>
      </c>
      <c r="G429" s="169" t="s">
        <v>456</v>
      </c>
    </row>
    <row r="430" spans="2:7" outlineLevel="2" x14ac:dyDescent="0.25">
      <c r="B430" s="169" t="s">
        <v>1027</v>
      </c>
      <c r="C430" s="169" t="s">
        <v>1028</v>
      </c>
      <c r="D430" s="169" t="s">
        <v>1029</v>
      </c>
      <c r="E430" s="169"/>
      <c r="F430" s="169" t="s">
        <v>1030</v>
      </c>
      <c r="G430" s="169" t="s">
        <v>1031</v>
      </c>
    </row>
    <row r="431" spans="2:7" outlineLevel="2" x14ac:dyDescent="0.25">
      <c r="B431" s="169" t="s">
        <v>1032</v>
      </c>
      <c r="C431" s="169" t="s">
        <v>1033</v>
      </c>
      <c r="D431" s="169" t="s">
        <v>1034</v>
      </c>
      <c r="E431" s="169"/>
      <c r="F431" s="169" t="s">
        <v>1035</v>
      </c>
      <c r="G431" s="169" t="s">
        <v>1036</v>
      </c>
    </row>
    <row r="432" spans="2:7" outlineLevel="2" x14ac:dyDescent="0.25">
      <c r="B432" s="169" t="s">
        <v>1037</v>
      </c>
      <c r="C432" s="169" t="s">
        <v>1038</v>
      </c>
      <c r="D432" s="169" t="s">
        <v>1039</v>
      </c>
      <c r="E432" s="169"/>
      <c r="F432" s="169" t="s">
        <v>1040</v>
      </c>
      <c r="G432" s="169" t="s">
        <v>1041</v>
      </c>
    </row>
    <row r="433" spans="2:7" outlineLevel="2" x14ac:dyDescent="0.25">
      <c r="B433" s="169" t="s">
        <v>1042</v>
      </c>
      <c r="C433" s="169" t="s">
        <v>1043</v>
      </c>
      <c r="D433" s="169" t="s">
        <v>1044</v>
      </c>
      <c r="E433" s="169"/>
      <c r="F433" s="169" t="s">
        <v>1045</v>
      </c>
      <c r="G433" s="169" t="s">
        <v>1046</v>
      </c>
    </row>
    <row r="434" spans="2:7" outlineLevel="2" x14ac:dyDescent="0.25">
      <c r="B434" s="169" t="s">
        <v>1047</v>
      </c>
      <c r="C434" s="169" t="s">
        <v>1048</v>
      </c>
      <c r="D434" s="169" t="s">
        <v>1049</v>
      </c>
      <c r="E434" s="169"/>
      <c r="F434" s="169" t="s">
        <v>1050</v>
      </c>
      <c r="G434" s="169" t="s">
        <v>1051</v>
      </c>
    </row>
    <row r="435" spans="2:7" outlineLevel="2" x14ac:dyDescent="0.25">
      <c r="B435" s="169" t="s">
        <v>1052</v>
      </c>
      <c r="C435" s="169" t="s">
        <v>1053</v>
      </c>
      <c r="D435" s="169" t="s">
        <v>1054</v>
      </c>
      <c r="E435" s="169"/>
      <c r="F435" s="169" t="s">
        <v>1055</v>
      </c>
      <c r="G435" s="169" t="s">
        <v>220</v>
      </c>
    </row>
    <row r="436" spans="2:7" outlineLevel="2" x14ac:dyDescent="0.25">
      <c r="B436" s="169" t="s">
        <v>1056</v>
      </c>
      <c r="C436" s="169" t="s">
        <v>1057</v>
      </c>
      <c r="D436" s="169" t="s">
        <v>1058</v>
      </c>
      <c r="E436" s="169"/>
      <c r="F436" s="169" t="s">
        <v>1059</v>
      </c>
      <c r="G436" s="169" t="s">
        <v>1060</v>
      </c>
    </row>
    <row r="437" spans="2:7" outlineLevel="2" x14ac:dyDescent="0.25">
      <c r="B437" s="169" t="s">
        <v>1061</v>
      </c>
      <c r="C437" s="169" t="s">
        <v>1062</v>
      </c>
      <c r="D437" s="169" t="s">
        <v>1063</v>
      </c>
      <c r="E437" s="169"/>
      <c r="F437" s="169" t="s">
        <v>1064</v>
      </c>
      <c r="G437" s="169" t="s">
        <v>1065</v>
      </c>
    </row>
    <row r="438" spans="2:7" outlineLevel="2" x14ac:dyDescent="0.25">
      <c r="B438" s="169" t="s">
        <v>1066</v>
      </c>
      <c r="C438" s="169" t="s">
        <v>1067</v>
      </c>
      <c r="D438" s="169" t="s">
        <v>1068</v>
      </c>
      <c r="E438" s="169"/>
      <c r="F438" s="169" t="s">
        <v>1069</v>
      </c>
      <c r="G438" s="169" t="s">
        <v>630</v>
      </c>
    </row>
    <row r="439" spans="2:7" outlineLevel="2" x14ac:dyDescent="0.25">
      <c r="B439" s="169" t="s">
        <v>1070</v>
      </c>
      <c r="C439" s="169" t="s">
        <v>1071</v>
      </c>
      <c r="D439" s="169" t="s">
        <v>1072</v>
      </c>
      <c r="E439" s="169"/>
      <c r="F439" s="169" t="s">
        <v>1073</v>
      </c>
      <c r="G439" s="169" t="s">
        <v>1074</v>
      </c>
    </row>
    <row r="440" spans="2:7" outlineLevel="2" x14ac:dyDescent="0.25">
      <c r="B440" s="169" t="s">
        <v>1075</v>
      </c>
      <c r="C440" s="169" t="s">
        <v>1076</v>
      </c>
      <c r="D440" s="169" t="s">
        <v>1077</v>
      </c>
      <c r="E440" s="169"/>
      <c r="F440" s="169" t="s">
        <v>1078</v>
      </c>
      <c r="G440" s="169" t="s">
        <v>631</v>
      </c>
    </row>
    <row r="441" spans="2:7" outlineLevel="2" x14ac:dyDescent="0.25">
      <c r="B441" s="169" t="s">
        <v>1079</v>
      </c>
      <c r="C441" s="169" t="s">
        <v>1080</v>
      </c>
      <c r="D441" s="169" t="s">
        <v>1081</v>
      </c>
      <c r="E441" s="169"/>
      <c r="F441" s="169" t="s">
        <v>1082</v>
      </c>
      <c r="G441" s="169" t="s">
        <v>634</v>
      </c>
    </row>
    <row r="442" spans="2:7" outlineLevel="2" x14ac:dyDescent="0.25">
      <c r="B442" s="169" t="s">
        <v>1083</v>
      </c>
      <c r="C442" s="169" t="s">
        <v>1084</v>
      </c>
      <c r="D442" s="169" t="s">
        <v>1085</v>
      </c>
      <c r="E442" s="169"/>
      <c r="F442" s="169" t="s">
        <v>1086</v>
      </c>
      <c r="G442" s="169" t="s">
        <v>1087</v>
      </c>
    </row>
    <row r="443" spans="2:7" outlineLevel="2" x14ac:dyDescent="0.25">
      <c r="B443" s="169" t="s">
        <v>1088</v>
      </c>
      <c r="C443" s="169" t="s">
        <v>1089</v>
      </c>
      <c r="D443" s="169" t="s">
        <v>1090</v>
      </c>
      <c r="E443" s="169"/>
      <c r="F443" s="169" t="s">
        <v>1091</v>
      </c>
      <c r="G443" s="169" t="s">
        <v>1092</v>
      </c>
    </row>
    <row r="444" spans="2:7" outlineLevel="2" x14ac:dyDescent="0.25">
      <c r="B444" s="169" t="s">
        <v>1093</v>
      </c>
      <c r="C444" s="169" t="s">
        <v>1094</v>
      </c>
      <c r="D444" s="169" t="s">
        <v>1095</v>
      </c>
      <c r="E444" s="169"/>
      <c r="F444" s="169" t="s">
        <v>1096</v>
      </c>
      <c r="G444" s="169" t="s">
        <v>234</v>
      </c>
    </row>
    <row r="445" spans="2:7" outlineLevel="2" x14ac:dyDescent="0.25">
      <c r="B445" s="169" t="s">
        <v>1097</v>
      </c>
      <c r="C445" s="169" t="s">
        <v>1098</v>
      </c>
      <c r="D445" s="169" t="s">
        <v>1099</v>
      </c>
      <c r="E445" s="169"/>
      <c r="F445" s="169" t="s">
        <v>1100</v>
      </c>
      <c r="G445" s="169" t="s">
        <v>1101</v>
      </c>
    </row>
    <row r="446" spans="2:7" outlineLevel="2" x14ac:dyDescent="0.25">
      <c r="B446" s="169" t="s">
        <v>1102</v>
      </c>
      <c r="C446" s="169" t="s">
        <v>1103</v>
      </c>
      <c r="D446" s="169" t="s">
        <v>1104</v>
      </c>
      <c r="E446" s="169"/>
      <c r="F446" s="169" t="s">
        <v>1105</v>
      </c>
      <c r="G446" s="169" t="s">
        <v>1106</v>
      </c>
    </row>
    <row r="447" spans="2:7" outlineLevel="2" x14ac:dyDescent="0.25">
      <c r="B447" s="169" t="s">
        <v>1107</v>
      </c>
      <c r="C447" s="169" t="s">
        <v>1108</v>
      </c>
      <c r="D447" s="169" t="s">
        <v>1109</v>
      </c>
      <c r="E447" s="169"/>
      <c r="F447" s="169" t="s">
        <v>1110</v>
      </c>
      <c r="G447" s="169" t="s">
        <v>1111</v>
      </c>
    </row>
    <row r="448" spans="2:7" outlineLevel="2" x14ac:dyDescent="0.25">
      <c r="B448" s="169" t="s">
        <v>1112</v>
      </c>
      <c r="C448" s="169" t="s">
        <v>1113</v>
      </c>
      <c r="D448" s="169" t="s">
        <v>1114</v>
      </c>
      <c r="E448" s="169"/>
      <c r="F448" s="169" t="s">
        <v>1115</v>
      </c>
      <c r="G448" s="169" t="s">
        <v>1116</v>
      </c>
    </row>
    <row r="449" spans="2:7" outlineLevel="2" x14ac:dyDescent="0.25">
      <c r="B449" s="169" t="s">
        <v>1117</v>
      </c>
      <c r="C449" s="169" t="s">
        <v>1118</v>
      </c>
      <c r="D449" s="169" t="s">
        <v>1119</v>
      </c>
      <c r="E449" s="169"/>
      <c r="F449" s="169" t="s">
        <v>1120</v>
      </c>
      <c r="G449" s="169" t="s">
        <v>1121</v>
      </c>
    </row>
    <row r="450" spans="2:7" outlineLevel="2" x14ac:dyDescent="0.25">
      <c r="B450" s="169" t="s">
        <v>1122</v>
      </c>
      <c r="C450" s="169" t="s">
        <v>1123</v>
      </c>
      <c r="D450" s="169" t="s">
        <v>1124</v>
      </c>
      <c r="E450" s="169"/>
      <c r="F450" s="169" t="s">
        <v>1125</v>
      </c>
      <c r="G450" s="169" t="s">
        <v>1126</v>
      </c>
    </row>
    <row r="451" spans="2:7" outlineLevel="2" x14ac:dyDescent="0.25">
      <c r="B451" s="169" t="s">
        <v>1127</v>
      </c>
      <c r="C451" s="169" t="s">
        <v>1128</v>
      </c>
      <c r="D451" s="169" t="s">
        <v>1129</v>
      </c>
      <c r="E451" s="169"/>
      <c r="F451" s="169" t="s">
        <v>1130</v>
      </c>
      <c r="G451" s="169" t="s">
        <v>1131</v>
      </c>
    </row>
    <row r="452" spans="2:7" outlineLevel="2" x14ac:dyDescent="0.25">
      <c r="B452" s="169" t="s">
        <v>1132</v>
      </c>
      <c r="C452" s="169" t="s">
        <v>1133</v>
      </c>
      <c r="D452" s="169" t="s">
        <v>1134</v>
      </c>
      <c r="E452" s="169"/>
      <c r="F452" s="169" t="s">
        <v>1135</v>
      </c>
      <c r="G452" s="169" t="s">
        <v>1136</v>
      </c>
    </row>
    <row r="453" spans="2:7" outlineLevel="2" x14ac:dyDescent="0.25">
      <c r="B453" s="169" t="s">
        <v>1137</v>
      </c>
      <c r="C453" s="169" t="s">
        <v>1138</v>
      </c>
      <c r="D453" s="169" t="s">
        <v>1139</v>
      </c>
      <c r="E453" s="169"/>
      <c r="F453" s="169" t="s">
        <v>1140</v>
      </c>
      <c r="G453" s="169" t="s">
        <v>952</v>
      </c>
    </row>
    <row r="454" spans="2:7" outlineLevel="2" x14ac:dyDescent="0.25">
      <c r="B454" s="169" t="s">
        <v>1141</v>
      </c>
      <c r="C454" s="169" t="s">
        <v>1142</v>
      </c>
      <c r="D454" s="169" t="s">
        <v>1143</v>
      </c>
      <c r="E454" s="169"/>
      <c r="F454" s="169" t="s">
        <v>1144</v>
      </c>
      <c r="G454" s="169" t="s">
        <v>1145</v>
      </c>
    </row>
    <row r="455" spans="2:7" outlineLevel="2" x14ac:dyDescent="0.25">
      <c r="B455" s="169" t="s">
        <v>1146</v>
      </c>
      <c r="C455" s="169" t="s">
        <v>1147</v>
      </c>
      <c r="D455" s="169" t="s">
        <v>1148</v>
      </c>
      <c r="E455" s="169"/>
      <c r="F455" s="169" t="s">
        <v>1149</v>
      </c>
      <c r="G455" s="169" t="s">
        <v>962</v>
      </c>
    </row>
    <row r="456" spans="2:7" outlineLevel="2" x14ac:dyDescent="0.25">
      <c r="B456" s="169" t="s">
        <v>1150</v>
      </c>
      <c r="C456" s="169" t="s">
        <v>1151</v>
      </c>
      <c r="D456" s="169" t="s">
        <v>1152</v>
      </c>
      <c r="E456" s="169"/>
      <c r="F456" s="169" t="s">
        <v>1153</v>
      </c>
      <c r="G456" s="169" t="s">
        <v>967</v>
      </c>
    </row>
    <row r="457" spans="2:7" outlineLevel="2" x14ac:dyDescent="0.25">
      <c r="B457" s="169" t="s">
        <v>1154</v>
      </c>
      <c r="C457" s="169" t="s">
        <v>1155</v>
      </c>
      <c r="D457" s="169" t="s">
        <v>1156</v>
      </c>
      <c r="E457" s="169"/>
      <c r="F457" s="169" t="s">
        <v>1157</v>
      </c>
      <c r="G457" s="169" t="s">
        <v>1158</v>
      </c>
    </row>
    <row r="458" spans="2:7" outlineLevel="2" x14ac:dyDescent="0.25">
      <c r="B458" s="169" t="s">
        <v>1159</v>
      </c>
      <c r="C458" s="169" t="s">
        <v>1160</v>
      </c>
      <c r="D458" s="169" t="s">
        <v>1161</v>
      </c>
      <c r="E458" s="169"/>
      <c r="F458" s="169" t="s">
        <v>1162</v>
      </c>
      <c r="G458" s="169" t="s">
        <v>1163</v>
      </c>
    </row>
    <row r="459" spans="2:7" outlineLevel="2" x14ac:dyDescent="0.25">
      <c r="B459" s="169" t="s">
        <v>1164</v>
      </c>
      <c r="C459" s="169" t="s">
        <v>1165</v>
      </c>
      <c r="D459" s="169" t="s">
        <v>1166</v>
      </c>
      <c r="E459" s="169"/>
      <c r="F459" s="169" t="s">
        <v>1167</v>
      </c>
      <c r="G459" s="169" t="s">
        <v>1168</v>
      </c>
    </row>
    <row r="460" spans="2:7" outlineLevel="2" x14ac:dyDescent="0.25">
      <c r="B460" s="169" t="s">
        <v>1169</v>
      </c>
      <c r="C460" s="169" t="s">
        <v>1170</v>
      </c>
      <c r="D460" s="169" t="s">
        <v>1171</v>
      </c>
      <c r="E460" s="169"/>
      <c r="F460" s="169" t="s">
        <v>1172</v>
      </c>
      <c r="G460" s="169" t="s">
        <v>987</v>
      </c>
    </row>
    <row r="461" spans="2:7" outlineLevel="2" x14ac:dyDescent="0.25">
      <c r="B461" s="169" t="s">
        <v>1173</v>
      </c>
      <c r="C461" s="169" t="s">
        <v>1174</v>
      </c>
      <c r="D461" s="169" t="s">
        <v>1175</v>
      </c>
      <c r="E461" s="169"/>
      <c r="F461" s="169" t="s">
        <v>1176</v>
      </c>
      <c r="G461" s="169" t="s">
        <v>992</v>
      </c>
    </row>
    <row r="462" spans="2:7" outlineLevel="2" x14ac:dyDescent="0.25">
      <c r="B462" s="169" t="s">
        <v>1177</v>
      </c>
      <c r="C462" s="169" t="s">
        <v>1178</v>
      </c>
      <c r="D462" s="169" t="s">
        <v>1179</v>
      </c>
      <c r="E462" s="169"/>
      <c r="F462" s="169" t="s">
        <v>1180</v>
      </c>
      <c r="G462" s="169" t="s">
        <v>997</v>
      </c>
    </row>
    <row r="463" spans="2:7" outlineLevel="2" x14ac:dyDescent="0.25">
      <c r="B463" s="169" t="s">
        <v>1181</v>
      </c>
      <c r="C463" s="169" t="s">
        <v>1182</v>
      </c>
      <c r="D463" s="169" t="s">
        <v>1183</v>
      </c>
      <c r="E463" s="169"/>
      <c r="F463" s="169" t="s">
        <v>1184</v>
      </c>
      <c r="G463" s="169" t="s">
        <v>1002</v>
      </c>
    </row>
    <row r="464" spans="2:7" outlineLevel="2" x14ac:dyDescent="0.25">
      <c r="B464" s="169" t="s">
        <v>1185</v>
      </c>
      <c r="C464" s="169" t="s">
        <v>1186</v>
      </c>
      <c r="D464" s="169" t="s">
        <v>1187</v>
      </c>
      <c r="E464" s="169"/>
      <c r="F464" s="169" t="s">
        <v>1188</v>
      </c>
      <c r="G464" s="169" t="s">
        <v>1007</v>
      </c>
    </row>
    <row r="465" spans="2:7" outlineLevel="2" x14ac:dyDescent="0.25">
      <c r="B465" s="169" t="s">
        <v>1189</v>
      </c>
      <c r="C465" s="169" t="s">
        <v>1190</v>
      </c>
      <c r="D465" s="169" t="s">
        <v>1191</v>
      </c>
      <c r="E465" s="169"/>
      <c r="F465" s="169" t="s">
        <v>1192</v>
      </c>
      <c r="G465" s="169" t="s">
        <v>1012</v>
      </c>
    </row>
    <row r="466" spans="2:7" outlineLevel="2" x14ac:dyDescent="0.25">
      <c r="B466" s="169" t="s">
        <v>1193</v>
      </c>
      <c r="C466" s="169" t="s">
        <v>1194</v>
      </c>
      <c r="D466" s="169" t="s">
        <v>1195</v>
      </c>
      <c r="E466" s="169"/>
      <c r="F466" s="169" t="s">
        <v>1196</v>
      </c>
      <c r="G466" s="169" t="s">
        <v>1017</v>
      </c>
    </row>
    <row r="467" spans="2:7" outlineLevel="2" x14ac:dyDescent="0.25">
      <c r="B467" s="169" t="s">
        <v>1197</v>
      </c>
      <c r="C467" s="169" t="s">
        <v>1198</v>
      </c>
      <c r="D467" s="169" t="s">
        <v>1199</v>
      </c>
      <c r="E467" s="169"/>
      <c r="F467" s="169" t="s">
        <v>1200</v>
      </c>
      <c r="G467" s="169" t="s">
        <v>1201</v>
      </c>
    </row>
    <row r="468" spans="2:7" outlineLevel="2" x14ac:dyDescent="0.25">
      <c r="B468" s="169" t="s">
        <v>1202</v>
      </c>
      <c r="C468" s="169" t="s">
        <v>1203</v>
      </c>
      <c r="D468" s="169" t="s">
        <v>1204</v>
      </c>
      <c r="E468" s="169"/>
      <c r="F468" s="169" t="s">
        <v>1205</v>
      </c>
      <c r="G468" s="169" t="s">
        <v>456</v>
      </c>
    </row>
    <row r="469" spans="2:7" outlineLevel="2" x14ac:dyDescent="0.25">
      <c r="B469" s="169" t="s">
        <v>1206</v>
      </c>
      <c r="C469" s="169" t="s">
        <v>1207</v>
      </c>
      <c r="D469" s="169" t="s">
        <v>1208</v>
      </c>
      <c r="E469" s="169"/>
      <c r="F469" s="169" t="s">
        <v>1209</v>
      </c>
      <c r="G469" s="169" t="s">
        <v>1031</v>
      </c>
    </row>
    <row r="470" spans="2:7" outlineLevel="2" x14ac:dyDescent="0.25">
      <c r="B470" s="169" t="s">
        <v>1210</v>
      </c>
      <c r="C470" s="169" t="s">
        <v>1211</v>
      </c>
      <c r="D470" s="169" t="s">
        <v>1212</v>
      </c>
      <c r="E470" s="169"/>
      <c r="F470" s="169" t="s">
        <v>1213</v>
      </c>
      <c r="G470" s="169" t="s">
        <v>1036</v>
      </c>
    </row>
    <row r="471" spans="2:7" outlineLevel="2" x14ac:dyDescent="0.25">
      <c r="B471" s="169" t="s">
        <v>1214</v>
      </c>
      <c r="C471" s="169" t="s">
        <v>1215</v>
      </c>
      <c r="D471" s="169" t="s">
        <v>1216</v>
      </c>
      <c r="E471" s="169"/>
      <c r="F471" s="169" t="s">
        <v>1217</v>
      </c>
      <c r="G471" s="169" t="s">
        <v>1041</v>
      </c>
    </row>
    <row r="472" spans="2:7" outlineLevel="2" x14ac:dyDescent="0.25">
      <c r="B472" s="169" t="s">
        <v>1218</v>
      </c>
      <c r="C472" s="169" t="s">
        <v>1219</v>
      </c>
      <c r="D472" s="169" t="s">
        <v>1220</v>
      </c>
      <c r="E472" s="169"/>
      <c r="F472" s="169" t="s">
        <v>1221</v>
      </c>
      <c r="G472" s="169" t="s">
        <v>1046</v>
      </c>
    </row>
    <row r="473" spans="2:7" outlineLevel="2" x14ac:dyDescent="0.25">
      <c r="B473" s="169" t="s">
        <v>1222</v>
      </c>
      <c r="C473" s="169" t="s">
        <v>1223</v>
      </c>
      <c r="D473" s="169" t="s">
        <v>1224</v>
      </c>
      <c r="E473" s="169"/>
      <c r="F473" s="169" t="s">
        <v>1225</v>
      </c>
      <c r="G473" s="169" t="s">
        <v>1051</v>
      </c>
    </row>
    <row r="474" spans="2:7" outlineLevel="2" x14ac:dyDescent="0.25">
      <c r="B474" s="169" t="s">
        <v>1226</v>
      </c>
      <c r="C474" s="169" t="s">
        <v>1227</v>
      </c>
      <c r="D474" s="169" t="s">
        <v>1228</v>
      </c>
      <c r="E474" s="169"/>
      <c r="F474" s="169" t="s">
        <v>1229</v>
      </c>
      <c r="G474" s="169" t="s">
        <v>220</v>
      </c>
    </row>
    <row r="475" spans="2:7" outlineLevel="2" x14ac:dyDescent="0.25">
      <c r="B475" s="169" t="s">
        <v>1230</v>
      </c>
      <c r="C475" s="169" t="s">
        <v>1231</v>
      </c>
      <c r="D475" s="169" t="s">
        <v>1232</v>
      </c>
      <c r="E475" s="169"/>
      <c r="F475" s="169" t="s">
        <v>1233</v>
      </c>
      <c r="G475" s="169" t="s">
        <v>1060</v>
      </c>
    </row>
    <row r="476" spans="2:7" outlineLevel="2" x14ac:dyDescent="0.25">
      <c r="B476" s="169" t="s">
        <v>1234</v>
      </c>
      <c r="C476" s="169" t="s">
        <v>1235</v>
      </c>
      <c r="D476" s="169" t="s">
        <v>1236</v>
      </c>
      <c r="E476" s="169"/>
      <c r="F476" s="169" t="s">
        <v>1237</v>
      </c>
      <c r="G476" s="169" t="s">
        <v>629</v>
      </c>
    </row>
    <row r="477" spans="2:7" outlineLevel="2" x14ac:dyDescent="0.25">
      <c r="B477" s="169" t="s">
        <v>1238</v>
      </c>
      <c r="C477" s="169" t="s">
        <v>1239</v>
      </c>
      <c r="D477" s="169" t="s">
        <v>1240</v>
      </c>
      <c r="E477" s="169"/>
      <c r="F477" s="169" t="s">
        <v>1069</v>
      </c>
      <c r="G477" s="169" t="s">
        <v>630</v>
      </c>
    </row>
    <row r="478" spans="2:7" outlineLevel="2" x14ac:dyDescent="0.25">
      <c r="B478" s="169" t="s">
        <v>1241</v>
      </c>
      <c r="C478" s="169" t="s">
        <v>1242</v>
      </c>
      <c r="D478" s="169" t="s">
        <v>1243</v>
      </c>
      <c r="E478" s="169"/>
      <c r="F478" s="169" t="s">
        <v>1244</v>
      </c>
      <c r="G478" s="169" t="s">
        <v>1074</v>
      </c>
    </row>
    <row r="479" spans="2:7" outlineLevel="2" x14ac:dyDescent="0.25">
      <c r="B479" s="169" t="s">
        <v>1245</v>
      </c>
      <c r="C479" s="169" t="s">
        <v>1246</v>
      </c>
      <c r="D479" s="169" t="s">
        <v>1247</v>
      </c>
      <c r="E479" s="169"/>
      <c r="F479" s="169" t="s">
        <v>1248</v>
      </c>
      <c r="G479" s="169" t="s">
        <v>631</v>
      </c>
    </row>
    <row r="480" spans="2:7" outlineLevel="2" x14ac:dyDescent="0.25">
      <c r="B480" s="169" t="s">
        <v>1249</v>
      </c>
      <c r="C480" s="169" t="s">
        <v>1250</v>
      </c>
      <c r="D480" s="169" t="s">
        <v>1251</v>
      </c>
      <c r="E480" s="169"/>
      <c r="F480" s="169" t="s">
        <v>1252</v>
      </c>
      <c r="G480" s="169" t="s">
        <v>1253</v>
      </c>
    </row>
    <row r="481" spans="2:7" outlineLevel="2" x14ac:dyDescent="0.25">
      <c r="B481" s="169" t="s">
        <v>1254</v>
      </c>
      <c r="C481" s="169" t="s">
        <v>1255</v>
      </c>
      <c r="D481" s="169" t="s">
        <v>1256</v>
      </c>
      <c r="E481" s="169"/>
      <c r="F481" s="169" t="s">
        <v>1257</v>
      </c>
      <c r="G481" s="169" t="s">
        <v>635</v>
      </c>
    </row>
    <row r="482" spans="2:7" outlineLevel="2" x14ac:dyDescent="0.25">
      <c r="B482" s="169" t="s">
        <v>1258</v>
      </c>
      <c r="C482" s="169" t="s">
        <v>1259</v>
      </c>
      <c r="D482" s="169" t="s">
        <v>1260</v>
      </c>
      <c r="E482" s="169"/>
      <c r="F482" s="169" t="s">
        <v>1096</v>
      </c>
      <c r="G482" s="169" t="s">
        <v>234</v>
      </c>
    </row>
    <row r="483" spans="2:7" outlineLevel="2" x14ac:dyDescent="0.25">
      <c r="B483" s="169" t="s">
        <v>1261</v>
      </c>
      <c r="C483" s="169" t="s">
        <v>1262</v>
      </c>
      <c r="D483" s="169" t="s">
        <v>1263</v>
      </c>
      <c r="E483" s="169"/>
      <c r="F483" s="169" t="s">
        <v>1264</v>
      </c>
      <c r="G483" s="169" t="s">
        <v>1265</v>
      </c>
    </row>
    <row r="484" spans="2:7" outlineLevel="2" x14ac:dyDescent="0.25">
      <c r="B484" s="169" t="s">
        <v>1266</v>
      </c>
      <c r="C484" s="169" t="s">
        <v>1267</v>
      </c>
      <c r="D484" s="169" t="s">
        <v>1268</v>
      </c>
      <c r="E484" s="169"/>
      <c r="F484" s="169" t="s">
        <v>1269</v>
      </c>
      <c r="G484" s="169" t="s">
        <v>1270</v>
      </c>
    </row>
    <row r="485" spans="2:7" outlineLevel="2" x14ac:dyDescent="0.25">
      <c r="B485" s="169" t="s">
        <v>1271</v>
      </c>
      <c r="C485" s="169" t="s">
        <v>1272</v>
      </c>
      <c r="D485" s="169" t="s">
        <v>1273</v>
      </c>
      <c r="E485" s="169"/>
      <c r="F485" s="169" t="s">
        <v>1274</v>
      </c>
      <c r="G485" s="169" t="s">
        <v>1275</v>
      </c>
    </row>
    <row r="486" spans="2:7" outlineLevel="2" x14ac:dyDescent="0.25">
      <c r="B486" s="169" t="s">
        <v>1276</v>
      </c>
      <c r="C486" s="169" t="s">
        <v>1277</v>
      </c>
      <c r="D486" s="169" t="s">
        <v>1278</v>
      </c>
      <c r="E486" s="169"/>
      <c r="F486" s="169" t="s">
        <v>1279</v>
      </c>
      <c r="G486" s="169" t="s">
        <v>1280</v>
      </c>
    </row>
    <row r="487" spans="2:7" outlineLevel="2" x14ac:dyDescent="0.25">
      <c r="B487" s="169" t="s">
        <v>1281</v>
      </c>
      <c r="C487" s="169" t="s">
        <v>1282</v>
      </c>
      <c r="D487" s="169" t="s">
        <v>1283</v>
      </c>
      <c r="E487" s="169"/>
      <c r="F487" s="169" t="s">
        <v>1284</v>
      </c>
      <c r="G487" s="169" t="s">
        <v>1285</v>
      </c>
    </row>
    <row r="488" spans="2:7" outlineLevel="2" x14ac:dyDescent="0.25">
      <c r="B488" s="169" t="s">
        <v>1286</v>
      </c>
      <c r="C488" s="169" t="s">
        <v>1287</v>
      </c>
      <c r="D488" s="169" t="s">
        <v>1288</v>
      </c>
      <c r="E488" s="169"/>
      <c r="F488" s="169" t="s">
        <v>1289</v>
      </c>
      <c r="G488" s="169" t="s">
        <v>1290</v>
      </c>
    </row>
    <row r="489" spans="2:7" outlineLevel="2" x14ac:dyDescent="0.25">
      <c r="B489" s="169" t="s">
        <v>1291</v>
      </c>
      <c r="C489" s="169" t="s">
        <v>1292</v>
      </c>
      <c r="D489" s="169" t="s">
        <v>1293</v>
      </c>
      <c r="E489" s="169"/>
      <c r="F489" s="169" t="s">
        <v>1294</v>
      </c>
      <c r="G489" s="169" t="s">
        <v>1295</v>
      </c>
    </row>
    <row r="490" spans="2:7" outlineLevel="2" x14ac:dyDescent="0.25">
      <c r="B490" s="169" t="s">
        <v>1296</v>
      </c>
      <c r="C490" s="169" t="s">
        <v>1297</v>
      </c>
      <c r="D490" s="169" t="s">
        <v>1298</v>
      </c>
      <c r="E490" s="169"/>
      <c r="F490" s="169" t="s">
        <v>1299</v>
      </c>
      <c r="G490" s="169" t="s">
        <v>1300</v>
      </c>
    </row>
    <row r="491" spans="2:7" outlineLevel="2" x14ac:dyDescent="0.25">
      <c r="B491" s="169" t="s">
        <v>1301</v>
      </c>
      <c r="C491" s="169" t="s">
        <v>1302</v>
      </c>
      <c r="D491" s="169" t="s">
        <v>1303</v>
      </c>
      <c r="E491" s="169"/>
      <c r="F491" s="169" t="s">
        <v>1304</v>
      </c>
      <c r="G491" s="169" t="s">
        <v>1305</v>
      </c>
    </row>
    <row r="492" spans="2:7" outlineLevel="2" x14ac:dyDescent="0.25">
      <c r="B492" s="169" t="s">
        <v>1306</v>
      </c>
      <c r="C492" s="169" t="s">
        <v>1307</v>
      </c>
      <c r="D492" s="169" t="s">
        <v>1308</v>
      </c>
      <c r="E492" s="169"/>
      <c r="F492" s="169" t="s">
        <v>1309</v>
      </c>
      <c r="G492" s="169" t="s">
        <v>1310</v>
      </c>
    </row>
    <row r="493" spans="2:7" outlineLevel="2" x14ac:dyDescent="0.25">
      <c r="B493" s="169" t="s">
        <v>1311</v>
      </c>
      <c r="C493" s="169" t="s">
        <v>1312</v>
      </c>
      <c r="D493" s="169" t="s">
        <v>1313</v>
      </c>
      <c r="E493" s="169"/>
      <c r="F493" s="169" t="s">
        <v>1314</v>
      </c>
      <c r="G493" s="169" t="s">
        <v>1315</v>
      </c>
    </row>
    <row r="494" spans="2:7" outlineLevel="2" x14ac:dyDescent="0.25">
      <c r="B494" s="169" t="s">
        <v>1316</v>
      </c>
      <c r="C494" s="169" t="s">
        <v>1317</v>
      </c>
      <c r="D494" s="169" t="s">
        <v>1318</v>
      </c>
      <c r="E494" s="169"/>
      <c r="F494" s="169" t="s">
        <v>1319</v>
      </c>
      <c r="G494" s="169" t="s">
        <v>1320</v>
      </c>
    </row>
    <row r="495" spans="2:7" outlineLevel="2" x14ac:dyDescent="0.25">
      <c r="B495" s="169" t="s">
        <v>1321</v>
      </c>
      <c r="C495" s="169" t="s">
        <v>1322</v>
      </c>
      <c r="D495" s="169" t="s">
        <v>1323</v>
      </c>
      <c r="E495" s="169"/>
      <c r="F495" s="169" t="s">
        <v>1324</v>
      </c>
      <c r="G495" s="169" t="s">
        <v>1325</v>
      </c>
    </row>
    <row r="496" spans="2:7" outlineLevel="2" x14ac:dyDescent="0.25"/>
    <row r="497" spans="2:4" s="200" customFormat="1" ht="27.75" customHeight="1" outlineLevel="1" x14ac:dyDescent="0.25">
      <c r="B497" s="199" t="s">
        <v>1326</v>
      </c>
    </row>
    <row r="498" spans="2:4" outlineLevel="1" x14ac:dyDescent="0.25"/>
    <row r="499" spans="2:4" outlineLevel="2" x14ac:dyDescent="0.25">
      <c r="B499" s="232" t="s">
        <v>642</v>
      </c>
      <c r="C499" s="233" t="s">
        <v>1357</v>
      </c>
      <c r="D499" s="234" t="s">
        <v>1328</v>
      </c>
    </row>
    <row r="500" spans="2:4" outlineLevel="2" x14ac:dyDescent="0.25">
      <c r="B500" s="235">
        <v>40100100</v>
      </c>
      <c r="C500" s="235" t="s">
        <v>1358</v>
      </c>
      <c r="D500" s="236"/>
    </row>
    <row r="501" spans="2:4" outlineLevel="2" x14ac:dyDescent="0.25">
      <c r="B501" s="235">
        <v>40100110</v>
      </c>
      <c r="C501" s="235" t="s">
        <v>1359</v>
      </c>
      <c r="D501" s="236"/>
    </row>
    <row r="502" spans="2:4" outlineLevel="2" x14ac:dyDescent="0.25">
      <c r="B502" s="235">
        <v>40100120</v>
      </c>
      <c r="C502" s="235" t="s">
        <v>1360</v>
      </c>
      <c r="D502" s="236"/>
    </row>
    <row r="503" spans="2:4" outlineLevel="2" x14ac:dyDescent="0.25">
      <c r="B503" s="235">
        <v>40100200</v>
      </c>
      <c r="C503" s="235" t="s">
        <v>1361</v>
      </c>
      <c r="D503" s="236"/>
    </row>
    <row r="504" spans="2:4" outlineLevel="2" x14ac:dyDescent="0.25">
      <c r="B504" s="235">
        <v>40100220</v>
      </c>
      <c r="C504" s="235" t="s">
        <v>1362</v>
      </c>
      <c r="D504" s="236"/>
    </row>
    <row r="505" spans="2:4" outlineLevel="2" x14ac:dyDescent="0.25">
      <c r="B505" s="235">
        <v>41000100</v>
      </c>
      <c r="C505" s="235" t="s">
        <v>1363</v>
      </c>
      <c r="D505" s="236"/>
    </row>
    <row r="506" spans="2:4" outlineLevel="2" x14ac:dyDescent="0.25">
      <c r="B506" s="235">
        <v>50000100</v>
      </c>
      <c r="C506" s="235" t="s">
        <v>1364</v>
      </c>
      <c r="D506" s="236"/>
    </row>
    <row r="507" spans="2:4" outlineLevel="2" x14ac:dyDescent="0.25">
      <c r="B507" s="235">
        <v>50000109</v>
      </c>
      <c r="C507" s="235" t="s">
        <v>1365</v>
      </c>
      <c r="D507" s="236"/>
    </row>
    <row r="508" spans="2:4" outlineLevel="2" x14ac:dyDescent="0.25">
      <c r="B508" s="235">
        <v>50000200</v>
      </c>
      <c r="C508" s="235" t="s">
        <v>1366</v>
      </c>
      <c r="D508" s="236"/>
    </row>
    <row r="509" spans="2:4" outlineLevel="2" x14ac:dyDescent="0.25">
      <c r="B509" s="235">
        <v>50000209</v>
      </c>
      <c r="C509" s="235" t="s">
        <v>1367</v>
      </c>
      <c r="D509" s="236"/>
    </row>
    <row r="510" spans="2:4" outlineLevel="2" x14ac:dyDescent="0.25">
      <c r="B510" s="235">
        <v>50000300</v>
      </c>
      <c r="C510" s="235" t="s">
        <v>1368</v>
      </c>
      <c r="D510" s="236"/>
    </row>
    <row r="511" spans="2:4" outlineLevel="2" x14ac:dyDescent="0.25">
      <c r="B511" s="235">
        <v>50000309</v>
      </c>
      <c r="C511" s="235" t="s">
        <v>1369</v>
      </c>
      <c r="D511" s="236"/>
    </row>
    <row r="512" spans="2:4" outlineLevel="2" x14ac:dyDescent="0.25">
      <c r="B512" s="235">
        <v>50010100</v>
      </c>
      <c r="C512" s="235" t="s">
        <v>1370</v>
      </c>
      <c r="D512" s="236" t="s">
        <v>1329</v>
      </c>
    </row>
    <row r="513" spans="2:4" outlineLevel="2" x14ac:dyDescent="0.25">
      <c r="B513" s="235">
        <v>50010200</v>
      </c>
      <c r="C513" s="235" t="s">
        <v>1371</v>
      </c>
      <c r="D513" s="236" t="s">
        <v>1329</v>
      </c>
    </row>
    <row r="514" spans="2:4" outlineLevel="2" x14ac:dyDescent="0.25">
      <c r="B514" s="235">
        <v>50010300</v>
      </c>
      <c r="C514" s="235" t="s">
        <v>1372</v>
      </c>
      <c r="D514" s="236" t="s">
        <v>1329</v>
      </c>
    </row>
    <row r="515" spans="2:4" outlineLevel="2" x14ac:dyDescent="0.25">
      <c r="B515" s="235">
        <v>50010400</v>
      </c>
      <c r="C515" s="235" t="s">
        <v>1373</v>
      </c>
      <c r="D515" s="236" t="s">
        <v>1329</v>
      </c>
    </row>
    <row r="516" spans="2:4" outlineLevel="2" x14ac:dyDescent="0.25">
      <c r="B516" s="235">
        <v>50010500</v>
      </c>
      <c r="C516" s="235" t="s">
        <v>1374</v>
      </c>
      <c r="D516" s="236" t="s">
        <v>1329</v>
      </c>
    </row>
    <row r="517" spans="2:4" outlineLevel="2" x14ac:dyDescent="0.25">
      <c r="B517" s="235">
        <v>50010600</v>
      </c>
      <c r="C517" s="235" t="s">
        <v>1375</v>
      </c>
      <c r="D517" s="236" t="s">
        <v>1329</v>
      </c>
    </row>
    <row r="518" spans="2:4" outlineLevel="2" x14ac:dyDescent="0.25">
      <c r="B518" s="235">
        <v>50010700</v>
      </c>
      <c r="C518" s="235" t="s">
        <v>1376</v>
      </c>
      <c r="D518" s="236" t="s">
        <v>1329</v>
      </c>
    </row>
    <row r="519" spans="2:4" outlineLevel="2" x14ac:dyDescent="0.25">
      <c r="B519" s="235">
        <v>50010800</v>
      </c>
      <c r="C519" s="235" t="s">
        <v>1377</v>
      </c>
      <c r="D519" s="236" t="s">
        <v>1329</v>
      </c>
    </row>
    <row r="520" spans="2:4" outlineLevel="2" x14ac:dyDescent="0.25">
      <c r="B520" s="235">
        <v>50010900</v>
      </c>
      <c r="C520" s="235" t="s">
        <v>1378</v>
      </c>
      <c r="D520" s="236" t="s">
        <v>1329</v>
      </c>
    </row>
    <row r="521" spans="2:4" outlineLevel="2" x14ac:dyDescent="0.25">
      <c r="B521" s="235">
        <v>50011000</v>
      </c>
      <c r="C521" s="235" t="s">
        <v>1379</v>
      </c>
      <c r="D521" s="236" t="s">
        <v>1329</v>
      </c>
    </row>
    <row r="522" spans="2:4" outlineLevel="2" x14ac:dyDescent="0.25">
      <c r="B522" s="235">
        <v>50011100</v>
      </c>
      <c r="C522" s="235" t="s">
        <v>1380</v>
      </c>
      <c r="D522" s="236" t="s">
        <v>1329</v>
      </c>
    </row>
    <row r="523" spans="2:4" outlineLevel="2" x14ac:dyDescent="0.25">
      <c r="B523" s="235">
        <v>50011200</v>
      </c>
      <c r="C523" s="235" t="s">
        <v>1381</v>
      </c>
      <c r="D523" s="236" t="s">
        <v>1329</v>
      </c>
    </row>
    <row r="524" spans="2:4" outlineLevel="2" x14ac:dyDescent="0.25">
      <c r="B524" s="235">
        <v>50100010</v>
      </c>
      <c r="C524" s="235" t="s">
        <v>1382</v>
      </c>
      <c r="D524" s="236" t="s">
        <v>1329</v>
      </c>
    </row>
    <row r="525" spans="2:4" outlineLevel="2" x14ac:dyDescent="0.25">
      <c r="B525" s="235">
        <v>50100020</v>
      </c>
      <c r="C525" s="235" t="s">
        <v>632</v>
      </c>
      <c r="D525" s="236"/>
    </row>
    <row r="526" spans="2:4" outlineLevel="2" x14ac:dyDescent="0.25">
      <c r="B526" s="235">
        <v>50100030</v>
      </c>
      <c r="C526" s="235" t="s">
        <v>1383</v>
      </c>
      <c r="D526" s="236" t="s">
        <v>1329</v>
      </c>
    </row>
    <row r="527" spans="2:4" outlineLevel="2" x14ac:dyDescent="0.25">
      <c r="B527" s="235">
        <v>50200010</v>
      </c>
      <c r="C527" s="235" t="s">
        <v>1384</v>
      </c>
      <c r="D527" s="236" t="s">
        <v>1329</v>
      </c>
    </row>
    <row r="528" spans="2:4" outlineLevel="2" x14ac:dyDescent="0.25">
      <c r="B528" s="237">
        <v>50300010</v>
      </c>
      <c r="C528" s="237" t="s">
        <v>50</v>
      </c>
      <c r="D528" s="236" t="s">
        <v>1329</v>
      </c>
    </row>
    <row r="529" spans="2:4" outlineLevel="2" x14ac:dyDescent="0.25">
      <c r="B529" s="237">
        <v>50300020</v>
      </c>
      <c r="C529" s="237" t="s">
        <v>53</v>
      </c>
      <c r="D529" s="236" t="s">
        <v>1329</v>
      </c>
    </row>
    <row r="530" spans="2:4" outlineLevel="2" x14ac:dyDescent="0.25">
      <c r="B530" s="238">
        <v>50300030</v>
      </c>
      <c r="C530" s="238" t="s">
        <v>55</v>
      </c>
      <c r="D530" s="236" t="s">
        <v>1329</v>
      </c>
    </row>
    <row r="531" spans="2:4" outlineLevel="2" x14ac:dyDescent="0.25">
      <c r="B531" s="237">
        <v>50300040</v>
      </c>
      <c r="C531" s="237" t="s">
        <v>57</v>
      </c>
      <c r="D531" s="236" t="s">
        <v>1329</v>
      </c>
    </row>
    <row r="532" spans="2:4" outlineLevel="2" x14ac:dyDescent="0.25">
      <c r="B532" s="238">
        <v>50300050</v>
      </c>
      <c r="C532" s="238" t="s">
        <v>59</v>
      </c>
      <c r="D532" s="236"/>
    </row>
    <row r="533" spans="2:4" outlineLevel="2" x14ac:dyDescent="0.25">
      <c r="B533" s="237">
        <v>50300070</v>
      </c>
      <c r="C533" s="237" t="s">
        <v>1385</v>
      </c>
      <c r="D533" s="236" t="s">
        <v>1329</v>
      </c>
    </row>
    <row r="534" spans="2:4" outlineLevel="2" x14ac:dyDescent="0.25">
      <c r="B534" s="238">
        <v>50300080</v>
      </c>
      <c r="C534" s="238" t="s">
        <v>1386</v>
      </c>
      <c r="D534" s="236" t="s">
        <v>1329</v>
      </c>
    </row>
    <row r="535" spans="2:4" outlineLevel="2" x14ac:dyDescent="0.25">
      <c r="B535" s="238">
        <v>50300090</v>
      </c>
      <c r="C535" s="238" t="s">
        <v>67</v>
      </c>
      <c r="D535" s="236" t="s">
        <v>1329</v>
      </c>
    </row>
    <row r="536" spans="2:4" outlineLevel="2" x14ac:dyDescent="0.25">
      <c r="B536" s="238">
        <v>50300100</v>
      </c>
      <c r="C536" s="238" t="s">
        <v>69</v>
      </c>
      <c r="D536" s="236" t="s">
        <v>1330</v>
      </c>
    </row>
    <row r="537" spans="2:4" outlineLevel="2" x14ac:dyDescent="0.25">
      <c r="B537" s="237">
        <v>50300990</v>
      </c>
      <c r="C537" s="237" t="s">
        <v>73</v>
      </c>
      <c r="D537" s="236" t="s">
        <v>1329</v>
      </c>
    </row>
    <row r="538" spans="2:4" outlineLevel="2" x14ac:dyDescent="0.25">
      <c r="B538" s="235">
        <v>50500010</v>
      </c>
      <c r="C538" s="235" t="s">
        <v>1387</v>
      </c>
      <c r="D538" s="236" t="s">
        <v>1331</v>
      </c>
    </row>
    <row r="539" spans="2:4" outlineLevel="2" x14ac:dyDescent="0.25">
      <c r="B539" s="235">
        <v>50500020</v>
      </c>
      <c r="C539" s="235" t="s">
        <v>1388</v>
      </c>
      <c r="D539" s="236" t="s">
        <v>1329</v>
      </c>
    </row>
    <row r="540" spans="2:4" outlineLevel="2" x14ac:dyDescent="0.25">
      <c r="B540" s="235">
        <v>50500030</v>
      </c>
      <c r="C540" s="235" t="s">
        <v>1389</v>
      </c>
      <c r="D540" s="236" t="s">
        <v>1329</v>
      </c>
    </row>
    <row r="541" spans="2:4" outlineLevel="2" x14ac:dyDescent="0.25">
      <c r="B541" s="235">
        <v>50500040</v>
      </c>
      <c r="C541" s="235" t="s">
        <v>113</v>
      </c>
      <c r="D541" s="236" t="s">
        <v>1329</v>
      </c>
    </row>
    <row r="542" spans="2:4" outlineLevel="2" x14ac:dyDescent="0.25">
      <c r="B542" s="235">
        <v>50600010</v>
      </c>
      <c r="C542" s="235" t="s">
        <v>1390</v>
      </c>
      <c r="D542" s="236" t="s">
        <v>962</v>
      </c>
    </row>
    <row r="543" spans="2:4" outlineLevel="2" x14ac:dyDescent="0.25">
      <c r="B543" s="235">
        <v>50600030</v>
      </c>
      <c r="C543" s="235" t="s">
        <v>1391</v>
      </c>
      <c r="D543" s="236" t="s">
        <v>962</v>
      </c>
    </row>
    <row r="544" spans="2:4" outlineLevel="2" x14ac:dyDescent="0.25">
      <c r="B544" s="235">
        <v>50600040</v>
      </c>
      <c r="C544" s="235" t="s">
        <v>1392</v>
      </c>
      <c r="D544" s="236" t="s">
        <v>962</v>
      </c>
    </row>
    <row r="545" spans="2:4" outlineLevel="2" x14ac:dyDescent="0.25">
      <c r="B545" s="235">
        <v>50600050</v>
      </c>
      <c r="C545" s="235" t="s">
        <v>1393</v>
      </c>
      <c r="D545" s="236" t="s">
        <v>962</v>
      </c>
    </row>
    <row r="546" spans="2:4" outlineLevel="2" x14ac:dyDescent="0.25">
      <c r="B546" s="235">
        <v>50700010</v>
      </c>
      <c r="C546" s="235" t="s">
        <v>117</v>
      </c>
      <c r="D546" s="236" t="s">
        <v>1329</v>
      </c>
    </row>
    <row r="547" spans="2:4" outlineLevel="2" x14ac:dyDescent="0.25">
      <c r="B547" s="235">
        <v>50800010</v>
      </c>
      <c r="C547" s="235" t="s">
        <v>1394</v>
      </c>
      <c r="D547" s="236"/>
    </row>
    <row r="548" spans="2:4" outlineLevel="2" x14ac:dyDescent="0.25">
      <c r="B548" s="235">
        <v>50800020</v>
      </c>
      <c r="C548" s="235" t="s">
        <v>1395</v>
      </c>
      <c r="D548" s="236" t="s">
        <v>1329</v>
      </c>
    </row>
    <row r="549" spans="2:4" outlineLevel="2" x14ac:dyDescent="0.25">
      <c r="B549" s="235">
        <v>50800030</v>
      </c>
      <c r="C549" s="235" t="s">
        <v>1395</v>
      </c>
      <c r="D549" s="236" t="s">
        <v>1329</v>
      </c>
    </row>
    <row r="550" spans="2:4" outlineLevel="2" x14ac:dyDescent="0.25">
      <c r="B550" s="235">
        <v>50800060</v>
      </c>
      <c r="C550" s="235" t="s">
        <v>1396</v>
      </c>
      <c r="D550" s="236" t="s">
        <v>1329</v>
      </c>
    </row>
    <row r="551" spans="2:4" outlineLevel="2" x14ac:dyDescent="0.25">
      <c r="B551" s="235">
        <v>50800070</v>
      </c>
      <c r="C551" s="235" t="s">
        <v>1397</v>
      </c>
      <c r="D551" s="236" t="s">
        <v>1329</v>
      </c>
    </row>
    <row r="552" spans="2:4" outlineLevel="2" x14ac:dyDescent="0.25">
      <c r="B552" s="235">
        <v>50900000</v>
      </c>
      <c r="C552" s="235" t="s">
        <v>1398</v>
      </c>
      <c r="D552" s="236" t="s">
        <v>1332</v>
      </c>
    </row>
    <row r="553" spans="2:4" outlineLevel="2" x14ac:dyDescent="0.25">
      <c r="B553" s="235">
        <v>50900010</v>
      </c>
      <c r="C553" s="235" t="s">
        <v>1399</v>
      </c>
      <c r="D553" s="236" t="s">
        <v>1332</v>
      </c>
    </row>
    <row r="554" spans="2:4" outlineLevel="2" x14ac:dyDescent="0.25">
      <c r="B554" s="235">
        <v>50900020</v>
      </c>
      <c r="C554" s="235" t="s">
        <v>1400</v>
      </c>
      <c r="D554" s="236" t="s">
        <v>1332</v>
      </c>
    </row>
    <row r="555" spans="2:4" outlineLevel="2" x14ac:dyDescent="0.25">
      <c r="B555" s="235">
        <v>50900030</v>
      </c>
      <c r="C555" s="235" t="s">
        <v>1401</v>
      </c>
      <c r="D555" s="236" t="s">
        <v>1329</v>
      </c>
    </row>
    <row r="556" spans="2:4" outlineLevel="2" x14ac:dyDescent="0.25">
      <c r="B556" s="235">
        <v>50900050</v>
      </c>
      <c r="C556" s="235" t="s">
        <v>1402</v>
      </c>
      <c r="D556" s="236" t="s">
        <v>1332</v>
      </c>
    </row>
    <row r="557" spans="2:4" outlineLevel="2" x14ac:dyDescent="0.25">
      <c r="B557" s="235">
        <v>50900060</v>
      </c>
      <c r="C557" s="235" t="s">
        <v>1403</v>
      </c>
      <c r="D557" s="236" t="s">
        <v>1332</v>
      </c>
    </row>
    <row r="558" spans="2:4" outlineLevel="2" x14ac:dyDescent="0.25">
      <c r="B558" s="235">
        <v>50900070</v>
      </c>
      <c r="C558" s="235" t="s">
        <v>1404</v>
      </c>
      <c r="D558" s="236" t="s">
        <v>1332</v>
      </c>
    </row>
    <row r="559" spans="2:4" outlineLevel="2" x14ac:dyDescent="0.25">
      <c r="B559" s="235">
        <v>51000000</v>
      </c>
      <c r="C559" s="235" t="s">
        <v>1405</v>
      </c>
      <c r="D559" s="236" t="s">
        <v>1332</v>
      </c>
    </row>
    <row r="560" spans="2:4" outlineLevel="2" x14ac:dyDescent="0.25">
      <c r="B560" s="235">
        <v>51000020</v>
      </c>
      <c r="C560" s="235" t="s">
        <v>1406</v>
      </c>
      <c r="D560" s="236" t="s">
        <v>1332</v>
      </c>
    </row>
    <row r="561" spans="2:4" outlineLevel="2" x14ac:dyDescent="0.25">
      <c r="B561" s="235">
        <v>50900090</v>
      </c>
      <c r="C561" s="235" t="s">
        <v>1407</v>
      </c>
      <c r="D561" s="236" t="s">
        <v>1332</v>
      </c>
    </row>
    <row r="562" spans="2:4" outlineLevel="2" x14ac:dyDescent="0.25">
      <c r="B562" s="235">
        <v>51300010</v>
      </c>
      <c r="C562" s="235" t="s">
        <v>614</v>
      </c>
      <c r="D562" s="236" t="s">
        <v>1329</v>
      </c>
    </row>
    <row r="563" spans="2:4" outlineLevel="2" x14ac:dyDescent="0.25">
      <c r="B563" s="235">
        <v>51300030</v>
      </c>
      <c r="C563" s="235" t="s">
        <v>616</v>
      </c>
      <c r="D563" s="236" t="s">
        <v>1329</v>
      </c>
    </row>
    <row r="564" spans="2:4" outlineLevel="2" x14ac:dyDescent="0.25">
      <c r="B564" s="235">
        <v>51300040</v>
      </c>
      <c r="C564" s="235" t="s">
        <v>617</v>
      </c>
      <c r="D564" s="236" t="s">
        <v>1329</v>
      </c>
    </row>
    <row r="565" spans="2:4" outlineLevel="2" x14ac:dyDescent="0.25">
      <c r="B565" s="235">
        <v>51300060</v>
      </c>
      <c r="C565" s="235" t="s">
        <v>619</v>
      </c>
      <c r="D565" s="236" t="s">
        <v>1329</v>
      </c>
    </row>
    <row r="566" spans="2:4" outlineLevel="2" x14ac:dyDescent="0.25">
      <c r="B566" s="235">
        <v>51300070</v>
      </c>
      <c r="C566" s="235" t="s">
        <v>1408</v>
      </c>
      <c r="D566" s="236"/>
    </row>
    <row r="567" spans="2:4" outlineLevel="2" x14ac:dyDescent="0.25">
      <c r="B567" s="235">
        <v>51300080</v>
      </c>
      <c r="C567" s="235" t="s">
        <v>621</v>
      </c>
      <c r="D567" s="236" t="s">
        <v>1329</v>
      </c>
    </row>
    <row r="568" spans="2:4" outlineLevel="2" x14ac:dyDescent="0.25">
      <c r="B568" s="235">
        <v>51300090</v>
      </c>
      <c r="C568" s="235" t="s">
        <v>622</v>
      </c>
      <c r="D568" s="236" t="s">
        <v>1329</v>
      </c>
    </row>
    <row r="569" spans="2:4" outlineLevel="2" x14ac:dyDescent="0.25">
      <c r="B569" s="235">
        <v>51600020</v>
      </c>
      <c r="C569" s="235" t="s">
        <v>1409</v>
      </c>
      <c r="D569" s="236" t="s">
        <v>1329</v>
      </c>
    </row>
    <row r="570" spans="2:4" outlineLevel="2" x14ac:dyDescent="0.25">
      <c r="B570" s="235">
        <v>51600050</v>
      </c>
      <c r="C570" s="235" t="s">
        <v>1410</v>
      </c>
      <c r="D570" s="236" t="s">
        <v>1329</v>
      </c>
    </row>
    <row r="571" spans="2:4" outlineLevel="2" x14ac:dyDescent="0.25">
      <c r="B571" s="235">
        <v>51700030</v>
      </c>
      <c r="C571" s="235" t="s">
        <v>1411</v>
      </c>
      <c r="D571" s="236" t="s">
        <v>1329</v>
      </c>
    </row>
    <row r="572" spans="2:4" outlineLevel="2" x14ac:dyDescent="0.25">
      <c r="B572" s="235">
        <v>51800010</v>
      </c>
      <c r="C572" s="235" t="s">
        <v>1412</v>
      </c>
      <c r="D572" s="236" t="s">
        <v>1329</v>
      </c>
    </row>
    <row r="573" spans="2:4" outlineLevel="2" x14ac:dyDescent="0.25">
      <c r="B573" s="235">
        <v>51800030</v>
      </c>
      <c r="C573" s="235" t="s">
        <v>172</v>
      </c>
      <c r="D573" s="236" t="s">
        <v>1329</v>
      </c>
    </row>
    <row r="574" spans="2:4" outlineLevel="2" x14ac:dyDescent="0.25">
      <c r="B574" s="235">
        <v>51900030</v>
      </c>
      <c r="C574" s="235" t="s">
        <v>182</v>
      </c>
      <c r="D574" s="236"/>
    </row>
    <row r="575" spans="2:4" outlineLevel="2" x14ac:dyDescent="0.25">
      <c r="B575" s="235">
        <v>52000040</v>
      </c>
      <c r="C575" s="235" t="s">
        <v>1413</v>
      </c>
      <c r="D575" s="236"/>
    </row>
    <row r="576" spans="2:4" outlineLevel="2" x14ac:dyDescent="0.25">
      <c r="B576" s="235">
        <v>52200010</v>
      </c>
      <c r="C576" s="235" t="s">
        <v>208</v>
      </c>
      <c r="D576" s="236" t="s">
        <v>1329</v>
      </c>
    </row>
    <row r="577" spans="2:4" outlineLevel="2" x14ac:dyDescent="0.25">
      <c r="B577" s="235">
        <v>52200020</v>
      </c>
      <c r="C577" s="235" t="s">
        <v>1414</v>
      </c>
      <c r="D577" s="236" t="s">
        <v>1329</v>
      </c>
    </row>
    <row r="578" spans="2:4" outlineLevel="2" x14ac:dyDescent="0.25">
      <c r="B578" s="235">
        <v>52300010</v>
      </c>
      <c r="C578" s="235" t="s">
        <v>1415</v>
      </c>
      <c r="D578" s="236"/>
    </row>
    <row r="579" spans="2:4" outlineLevel="2" x14ac:dyDescent="0.25">
      <c r="B579" s="235">
        <v>52400030</v>
      </c>
      <c r="C579" s="235" t="s">
        <v>1416</v>
      </c>
      <c r="D579" s="236" t="s">
        <v>1329</v>
      </c>
    </row>
    <row r="580" spans="2:4" outlineLevel="2" x14ac:dyDescent="0.25">
      <c r="B580" s="235">
        <v>52400060</v>
      </c>
      <c r="C580" s="235" t="s">
        <v>1417</v>
      </c>
      <c r="D580" s="236" t="s">
        <v>1329</v>
      </c>
    </row>
    <row r="581" spans="2:4" outlineLevel="2" x14ac:dyDescent="0.25">
      <c r="B581" s="235">
        <v>52600020</v>
      </c>
      <c r="C581" s="235" t="s">
        <v>1418</v>
      </c>
      <c r="D581" s="236" t="s">
        <v>1329</v>
      </c>
    </row>
    <row r="582" spans="2:4" outlineLevel="2" x14ac:dyDescent="0.25">
      <c r="B582" s="235">
        <v>52600030</v>
      </c>
      <c r="C582" s="235" t="s">
        <v>1419</v>
      </c>
      <c r="D582" s="236" t="s">
        <v>1329</v>
      </c>
    </row>
    <row r="583" spans="2:4" outlineLevel="2" x14ac:dyDescent="0.25">
      <c r="B583" s="235">
        <v>52800010</v>
      </c>
      <c r="C583" s="235" t="s">
        <v>630</v>
      </c>
      <c r="D583" s="236" t="s">
        <v>1329</v>
      </c>
    </row>
    <row r="584" spans="2:4" outlineLevel="2" x14ac:dyDescent="0.25">
      <c r="B584" s="235">
        <v>53000010</v>
      </c>
      <c r="C584" s="235" t="s">
        <v>631</v>
      </c>
      <c r="D584" s="236" t="s">
        <v>1329</v>
      </c>
    </row>
    <row r="585" spans="2:4" outlineLevel="2" x14ac:dyDescent="0.25">
      <c r="B585" s="235">
        <v>53100010</v>
      </c>
      <c r="C585" s="235" t="s">
        <v>1420</v>
      </c>
      <c r="D585" s="236"/>
    </row>
    <row r="586" spans="2:4" outlineLevel="2" x14ac:dyDescent="0.25">
      <c r="B586" s="235">
        <v>53900010</v>
      </c>
      <c r="C586" s="235" t="s">
        <v>1421</v>
      </c>
      <c r="D586" s="236" t="s">
        <v>1329</v>
      </c>
    </row>
    <row r="587" spans="2:4" outlineLevel="2" x14ac:dyDescent="0.25">
      <c r="B587" s="235">
        <v>53900020</v>
      </c>
      <c r="C587" s="235" t="s">
        <v>1422</v>
      </c>
      <c r="D587" s="236"/>
    </row>
    <row r="588" spans="2:4" outlineLevel="2" x14ac:dyDescent="0.25">
      <c r="B588" s="235">
        <v>55100040</v>
      </c>
      <c r="C588" s="235" t="s">
        <v>1423</v>
      </c>
      <c r="D588" s="236" t="s">
        <v>1329</v>
      </c>
    </row>
    <row r="589" spans="2:4" outlineLevel="2" x14ac:dyDescent="0.25">
      <c r="B589" s="235">
        <v>59000010</v>
      </c>
      <c r="C589" s="235" t="s">
        <v>1424</v>
      </c>
      <c r="D589" s="236"/>
    </row>
    <row r="590" spans="2:4" outlineLevel="2" x14ac:dyDescent="0.25">
      <c r="B590" s="235">
        <v>59100000</v>
      </c>
      <c r="C590" s="235" t="s">
        <v>1425</v>
      </c>
      <c r="D590" s="236" t="s">
        <v>1329</v>
      </c>
    </row>
    <row r="591" spans="2:4" outlineLevel="2" x14ac:dyDescent="0.25">
      <c r="B591" s="235">
        <v>59900010</v>
      </c>
      <c r="C591" s="235" t="s">
        <v>1426</v>
      </c>
      <c r="D591" s="239" t="s">
        <v>1329</v>
      </c>
    </row>
    <row r="592" spans="2:4" outlineLevel="2" x14ac:dyDescent="0.25">
      <c r="B592" s="235">
        <v>59900020</v>
      </c>
      <c r="C592" s="235" t="s">
        <v>1427</v>
      </c>
      <c r="D592" s="239"/>
    </row>
    <row r="593" spans="2:4" outlineLevel="2" x14ac:dyDescent="0.25">
      <c r="B593" s="235">
        <v>59922010</v>
      </c>
      <c r="C593" s="235" t="s">
        <v>1428</v>
      </c>
      <c r="D593" s="239" t="s">
        <v>1329</v>
      </c>
    </row>
    <row r="594" spans="2:4" outlineLevel="2" x14ac:dyDescent="0.25">
      <c r="B594" s="237">
        <v>60100010</v>
      </c>
      <c r="C594" s="237" t="s">
        <v>75</v>
      </c>
      <c r="D594" s="239" t="s">
        <v>1330</v>
      </c>
    </row>
    <row r="595" spans="2:4" outlineLevel="2" x14ac:dyDescent="0.25">
      <c r="B595" s="237">
        <v>60100020</v>
      </c>
      <c r="C595" s="237" t="s">
        <v>77</v>
      </c>
      <c r="D595" s="239" t="s">
        <v>1330</v>
      </c>
    </row>
    <row r="596" spans="2:4" outlineLevel="2" x14ac:dyDescent="0.25">
      <c r="B596" s="238">
        <v>60100030</v>
      </c>
      <c r="C596" s="238" t="s">
        <v>79</v>
      </c>
      <c r="D596" s="239" t="s">
        <v>1330</v>
      </c>
    </row>
    <row r="597" spans="2:4" outlineLevel="2" x14ac:dyDescent="0.25">
      <c r="B597" s="237">
        <v>60100040</v>
      </c>
      <c r="C597" s="237" t="s">
        <v>81</v>
      </c>
      <c r="D597" s="239" t="s">
        <v>1330</v>
      </c>
    </row>
    <row r="598" spans="2:4" outlineLevel="2" x14ac:dyDescent="0.25">
      <c r="B598" s="238">
        <v>60100050</v>
      </c>
      <c r="C598" s="238" t="s">
        <v>83</v>
      </c>
      <c r="D598" s="239" t="s">
        <v>1330</v>
      </c>
    </row>
    <row r="599" spans="2:4" outlineLevel="2" x14ac:dyDescent="0.25">
      <c r="B599" s="238">
        <v>60100060</v>
      </c>
      <c r="C599" s="238" t="s">
        <v>1429</v>
      </c>
      <c r="D599" s="239" t="s">
        <v>1330</v>
      </c>
    </row>
    <row r="600" spans="2:4" outlineLevel="2" x14ac:dyDescent="0.25">
      <c r="B600" s="237">
        <v>60100070</v>
      </c>
      <c r="C600" s="237" t="s">
        <v>87</v>
      </c>
      <c r="D600" s="239" t="s">
        <v>1330</v>
      </c>
    </row>
    <row r="601" spans="2:4" outlineLevel="2" x14ac:dyDescent="0.25">
      <c r="B601" s="238">
        <v>60100080</v>
      </c>
      <c r="C601" s="238" t="s">
        <v>1430</v>
      </c>
      <c r="D601" s="239" t="s">
        <v>1330</v>
      </c>
    </row>
    <row r="602" spans="2:4" outlineLevel="2" x14ac:dyDescent="0.25">
      <c r="B602" s="238">
        <v>60100090</v>
      </c>
      <c r="C602" s="238" t="s">
        <v>91</v>
      </c>
      <c r="D602" s="239" t="s">
        <v>1330</v>
      </c>
    </row>
    <row r="603" spans="2:4" outlineLevel="2" x14ac:dyDescent="0.25">
      <c r="B603" s="238">
        <v>60100100</v>
      </c>
      <c r="C603" s="238" t="s">
        <v>93</v>
      </c>
      <c r="D603" s="239" t="s">
        <v>1330</v>
      </c>
    </row>
    <row r="604" spans="2:4" outlineLevel="2" x14ac:dyDescent="0.25">
      <c r="B604" s="237">
        <v>60100120</v>
      </c>
      <c r="C604" s="237" t="s">
        <v>97</v>
      </c>
      <c r="D604" s="239" t="s">
        <v>1330</v>
      </c>
    </row>
    <row r="605" spans="2:4" outlineLevel="2" x14ac:dyDescent="0.25">
      <c r="B605" s="235">
        <v>60200010</v>
      </c>
      <c r="C605" s="235" t="s">
        <v>1431</v>
      </c>
      <c r="D605" s="239" t="s">
        <v>1333</v>
      </c>
    </row>
    <row r="606" spans="2:4" outlineLevel="2" x14ac:dyDescent="0.25">
      <c r="B606" s="235">
        <v>60300010</v>
      </c>
      <c r="C606" s="235" t="s">
        <v>102</v>
      </c>
      <c r="D606" s="239" t="s">
        <v>957</v>
      </c>
    </row>
    <row r="607" spans="2:4" outlineLevel="2" x14ac:dyDescent="0.25">
      <c r="B607" s="235">
        <v>60600010</v>
      </c>
      <c r="C607" s="235" t="s">
        <v>1390</v>
      </c>
      <c r="D607" s="239" t="s">
        <v>962</v>
      </c>
    </row>
    <row r="608" spans="2:4" outlineLevel="2" x14ac:dyDescent="0.25">
      <c r="B608" s="235">
        <v>60600020</v>
      </c>
      <c r="C608" s="235" t="s">
        <v>1432</v>
      </c>
      <c r="D608" s="239" t="s">
        <v>962</v>
      </c>
    </row>
    <row r="609" spans="2:4" outlineLevel="2" x14ac:dyDescent="0.25">
      <c r="B609" s="235">
        <v>60600040</v>
      </c>
      <c r="C609" s="235" t="s">
        <v>1392</v>
      </c>
      <c r="D609" s="239" t="s">
        <v>962</v>
      </c>
    </row>
    <row r="610" spans="2:4" outlineLevel="2" x14ac:dyDescent="0.25">
      <c r="B610" s="235">
        <v>60600050</v>
      </c>
      <c r="C610" s="235" t="s">
        <v>1393</v>
      </c>
      <c r="D610" s="239" t="s">
        <v>962</v>
      </c>
    </row>
    <row r="611" spans="2:4" outlineLevel="2" x14ac:dyDescent="0.25">
      <c r="B611" s="235">
        <v>60700010</v>
      </c>
      <c r="C611" s="235" t="s">
        <v>117</v>
      </c>
      <c r="D611" s="239" t="s">
        <v>117</v>
      </c>
    </row>
    <row r="612" spans="2:4" outlineLevel="2" x14ac:dyDescent="0.25">
      <c r="B612" s="235">
        <v>60800010</v>
      </c>
      <c r="C612" s="235" t="s">
        <v>1433</v>
      </c>
      <c r="D612" s="239" t="s">
        <v>1334</v>
      </c>
    </row>
    <row r="613" spans="2:4" outlineLevel="2" x14ac:dyDescent="0.25">
      <c r="B613" s="235">
        <v>60800020</v>
      </c>
      <c r="C613" s="235" t="s">
        <v>1395</v>
      </c>
      <c r="D613" s="239" t="s">
        <v>1334</v>
      </c>
    </row>
    <row r="614" spans="2:4" outlineLevel="2" x14ac:dyDescent="0.25">
      <c r="B614" s="235">
        <v>60800040</v>
      </c>
      <c r="C614" s="235" t="s">
        <v>126</v>
      </c>
      <c r="D614" s="239" t="s">
        <v>1334</v>
      </c>
    </row>
    <row r="615" spans="2:4" outlineLevel="2" x14ac:dyDescent="0.25">
      <c r="B615" s="235">
        <v>60800050</v>
      </c>
      <c r="C615" s="235" t="s">
        <v>1434</v>
      </c>
      <c r="D615" s="239" t="s">
        <v>1334</v>
      </c>
    </row>
    <row r="616" spans="2:4" outlineLevel="2" x14ac:dyDescent="0.25">
      <c r="B616" s="235">
        <v>60800060</v>
      </c>
      <c r="C616" s="235" t="s">
        <v>1396</v>
      </c>
      <c r="D616" s="239" t="s">
        <v>1334</v>
      </c>
    </row>
    <row r="617" spans="2:4" outlineLevel="2" x14ac:dyDescent="0.25">
      <c r="B617" s="235">
        <v>60800070</v>
      </c>
      <c r="C617" s="235" t="s">
        <v>1397</v>
      </c>
      <c r="D617" s="239" t="s">
        <v>1334</v>
      </c>
    </row>
    <row r="618" spans="2:4" outlineLevel="2" x14ac:dyDescent="0.25">
      <c r="B618" s="235">
        <v>60800080</v>
      </c>
      <c r="C618" s="235" t="s">
        <v>1435</v>
      </c>
      <c r="D618" s="239" t="s">
        <v>1334</v>
      </c>
    </row>
    <row r="619" spans="2:4" outlineLevel="2" x14ac:dyDescent="0.25">
      <c r="B619" s="235">
        <v>60900010</v>
      </c>
      <c r="C619" s="235" t="s">
        <v>1398</v>
      </c>
      <c r="D619" s="239" t="s">
        <v>1332</v>
      </c>
    </row>
    <row r="620" spans="2:4" outlineLevel="2" x14ac:dyDescent="0.25">
      <c r="B620" s="235">
        <v>60900020</v>
      </c>
      <c r="C620" s="235" t="s">
        <v>1399</v>
      </c>
      <c r="D620" s="239" t="s">
        <v>1332</v>
      </c>
    </row>
    <row r="621" spans="2:4" outlineLevel="2" x14ac:dyDescent="0.25">
      <c r="B621" s="235">
        <v>60900030</v>
      </c>
      <c r="C621" s="235" t="s">
        <v>1400</v>
      </c>
      <c r="D621" s="239" t="s">
        <v>1332</v>
      </c>
    </row>
    <row r="622" spans="2:4" outlineLevel="2" x14ac:dyDescent="0.25">
      <c r="B622" s="235">
        <v>60900050</v>
      </c>
      <c r="C622" s="235" t="s">
        <v>593</v>
      </c>
      <c r="D622" s="239" t="s">
        <v>1332</v>
      </c>
    </row>
    <row r="623" spans="2:4" outlineLevel="2" x14ac:dyDescent="0.25">
      <c r="B623" s="235">
        <v>60900060</v>
      </c>
      <c r="C623" s="235" t="s">
        <v>1402</v>
      </c>
      <c r="D623" s="239" t="s">
        <v>1332</v>
      </c>
    </row>
    <row r="624" spans="2:4" outlineLevel="2" x14ac:dyDescent="0.25">
      <c r="B624" s="235">
        <v>60900070</v>
      </c>
      <c r="C624" s="235" t="s">
        <v>1403</v>
      </c>
      <c r="D624" s="239" t="s">
        <v>1332</v>
      </c>
    </row>
    <row r="625" spans="2:4" outlineLevel="2" x14ac:dyDescent="0.25">
      <c r="B625" s="235">
        <v>60900080</v>
      </c>
      <c r="C625" s="235" t="s">
        <v>1404</v>
      </c>
      <c r="D625" s="239" t="s">
        <v>1332</v>
      </c>
    </row>
    <row r="626" spans="2:4" outlineLevel="2" x14ac:dyDescent="0.25">
      <c r="B626" s="235">
        <v>60900100</v>
      </c>
      <c r="C626" s="235" t="s">
        <v>1436</v>
      </c>
      <c r="D626" s="239" t="s">
        <v>1332</v>
      </c>
    </row>
    <row r="627" spans="2:4" outlineLevel="2" x14ac:dyDescent="0.25">
      <c r="B627" s="235">
        <v>60900190</v>
      </c>
      <c r="C627" s="235" t="s">
        <v>1407</v>
      </c>
      <c r="D627" s="239" t="s">
        <v>1332</v>
      </c>
    </row>
    <row r="628" spans="2:4" outlineLevel="2" x14ac:dyDescent="0.25">
      <c r="B628" s="235">
        <v>61000010</v>
      </c>
      <c r="C628" s="235" t="s">
        <v>1405</v>
      </c>
      <c r="D628" s="239" t="s">
        <v>1332</v>
      </c>
    </row>
    <row r="629" spans="2:4" outlineLevel="2" x14ac:dyDescent="0.25">
      <c r="B629" s="235">
        <v>61000040</v>
      </c>
      <c r="C629" s="235" t="s">
        <v>1437</v>
      </c>
      <c r="D629" s="239" t="s">
        <v>1332</v>
      </c>
    </row>
    <row r="630" spans="2:4" outlineLevel="2" x14ac:dyDescent="0.25">
      <c r="B630" s="235">
        <v>61200010</v>
      </c>
      <c r="C630" s="235" t="s">
        <v>605</v>
      </c>
      <c r="D630" s="239" t="s">
        <v>1335</v>
      </c>
    </row>
    <row r="631" spans="2:4" outlineLevel="2" x14ac:dyDescent="0.25">
      <c r="B631" s="235">
        <v>61200050</v>
      </c>
      <c r="C631" s="235" t="s">
        <v>1438</v>
      </c>
      <c r="D631" s="239" t="s">
        <v>1335</v>
      </c>
    </row>
    <row r="632" spans="2:4" outlineLevel="2" x14ac:dyDescent="0.25">
      <c r="B632" s="235">
        <v>61200020</v>
      </c>
      <c r="C632" s="235" t="s">
        <v>1439</v>
      </c>
      <c r="D632" s="239" t="s">
        <v>1335</v>
      </c>
    </row>
    <row r="633" spans="2:4" outlineLevel="2" x14ac:dyDescent="0.25">
      <c r="B633" s="235">
        <v>61200030</v>
      </c>
      <c r="C633" s="235" t="s">
        <v>607</v>
      </c>
      <c r="D633" s="239" t="s">
        <v>1335</v>
      </c>
    </row>
    <row r="634" spans="2:4" outlineLevel="2" x14ac:dyDescent="0.25">
      <c r="B634" s="235">
        <v>61200090</v>
      </c>
      <c r="C634" s="235" t="s">
        <v>613</v>
      </c>
      <c r="D634" s="239" t="s">
        <v>1335</v>
      </c>
    </row>
    <row r="635" spans="2:4" outlineLevel="2" x14ac:dyDescent="0.25">
      <c r="B635" s="235">
        <v>61300010</v>
      </c>
      <c r="C635" s="235" t="s">
        <v>614</v>
      </c>
      <c r="D635" s="239" t="s">
        <v>1336</v>
      </c>
    </row>
    <row r="636" spans="2:4" outlineLevel="2" x14ac:dyDescent="0.25">
      <c r="B636" s="235">
        <v>61300050</v>
      </c>
      <c r="C636" s="235" t="s">
        <v>1440</v>
      </c>
      <c r="D636" s="239" t="s">
        <v>1336</v>
      </c>
    </row>
    <row r="637" spans="2:4" outlineLevel="2" x14ac:dyDescent="0.25">
      <c r="B637" s="235">
        <v>61300060</v>
      </c>
      <c r="C637" s="235" t="s">
        <v>619</v>
      </c>
      <c r="D637" s="239" t="s">
        <v>1336</v>
      </c>
    </row>
    <row r="638" spans="2:4" outlineLevel="2" x14ac:dyDescent="0.25">
      <c r="B638" s="235">
        <v>61300040</v>
      </c>
      <c r="C638" s="235" t="s">
        <v>617</v>
      </c>
      <c r="D638" s="239" t="s">
        <v>1336</v>
      </c>
    </row>
    <row r="639" spans="2:4" outlineLevel="2" x14ac:dyDescent="0.25">
      <c r="B639" s="235">
        <v>61300090</v>
      </c>
      <c r="C639" s="235" t="s">
        <v>622</v>
      </c>
      <c r="D639" s="239" t="s">
        <v>1336</v>
      </c>
    </row>
    <row r="640" spans="2:4" outlineLevel="2" x14ac:dyDescent="0.25">
      <c r="B640" s="235">
        <v>61400010</v>
      </c>
      <c r="C640" s="235" t="s">
        <v>1441</v>
      </c>
      <c r="D640" s="239" t="s">
        <v>1337</v>
      </c>
    </row>
    <row r="641" spans="2:4" outlineLevel="2" x14ac:dyDescent="0.25">
      <c r="B641" s="235">
        <v>61400020</v>
      </c>
      <c r="C641" s="235" t="s">
        <v>139</v>
      </c>
      <c r="D641" s="239" t="s">
        <v>1337</v>
      </c>
    </row>
    <row r="642" spans="2:4" outlineLevel="2" x14ac:dyDescent="0.25">
      <c r="B642" s="235">
        <v>61400030</v>
      </c>
      <c r="C642" s="235" t="s">
        <v>141</v>
      </c>
      <c r="D642" s="239" t="s">
        <v>1337</v>
      </c>
    </row>
    <row r="643" spans="2:4" outlineLevel="2" x14ac:dyDescent="0.25">
      <c r="B643" s="235">
        <v>61500010</v>
      </c>
      <c r="C643" s="235" t="s">
        <v>143</v>
      </c>
      <c r="D643" s="239" t="s">
        <v>1338</v>
      </c>
    </row>
    <row r="644" spans="2:4" outlineLevel="2" x14ac:dyDescent="0.25">
      <c r="B644" s="235">
        <v>61500020</v>
      </c>
      <c r="C644" s="235" t="s">
        <v>145</v>
      </c>
      <c r="D644" s="239" t="s">
        <v>1338</v>
      </c>
    </row>
    <row r="645" spans="2:4" outlineLevel="2" x14ac:dyDescent="0.25">
      <c r="B645" s="235">
        <v>61600010</v>
      </c>
      <c r="C645" s="235" t="s">
        <v>1442</v>
      </c>
      <c r="D645" s="239" t="s">
        <v>1339</v>
      </c>
    </row>
    <row r="646" spans="2:4" outlineLevel="2" x14ac:dyDescent="0.25">
      <c r="B646" s="235">
        <v>61600040</v>
      </c>
      <c r="C646" s="235" t="s">
        <v>1443</v>
      </c>
      <c r="D646" s="239" t="s">
        <v>1339</v>
      </c>
    </row>
    <row r="647" spans="2:4" outlineLevel="2" x14ac:dyDescent="0.25">
      <c r="B647" s="235">
        <v>61600070</v>
      </c>
      <c r="C647" s="235" t="s">
        <v>1444</v>
      </c>
      <c r="D647" s="239" t="s">
        <v>1339</v>
      </c>
    </row>
    <row r="648" spans="2:4" outlineLevel="2" x14ac:dyDescent="0.25">
      <c r="B648" s="235">
        <v>61600020</v>
      </c>
      <c r="C648" s="235" t="s">
        <v>1409</v>
      </c>
      <c r="D648" s="239" t="s">
        <v>1339</v>
      </c>
    </row>
    <row r="649" spans="2:4" outlineLevel="2" x14ac:dyDescent="0.25">
      <c r="B649" s="235">
        <v>61600060</v>
      </c>
      <c r="C649" s="235" t="s">
        <v>1445</v>
      </c>
      <c r="D649" s="239" t="s">
        <v>1339</v>
      </c>
    </row>
    <row r="650" spans="2:4" outlineLevel="2" x14ac:dyDescent="0.25">
      <c r="B650" s="235">
        <v>61700030</v>
      </c>
      <c r="C650" s="235" t="s">
        <v>1411</v>
      </c>
      <c r="D650" s="239" t="s">
        <v>1340</v>
      </c>
    </row>
    <row r="651" spans="2:4" outlineLevel="2" x14ac:dyDescent="0.25">
      <c r="B651" s="235">
        <v>61700050</v>
      </c>
      <c r="C651" s="235" t="s">
        <v>1446</v>
      </c>
      <c r="D651" s="239" t="s">
        <v>1340</v>
      </c>
    </row>
    <row r="652" spans="2:4" outlineLevel="2" x14ac:dyDescent="0.25">
      <c r="B652" s="235">
        <v>61700070</v>
      </c>
      <c r="C652" s="235" t="s">
        <v>1447</v>
      </c>
      <c r="D652" s="239" t="s">
        <v>1340</v>
      </c>
    </row>
    <row r="653" spans="2:4" outlineLevel="2" x14ac:dyDescent="0.25">
      <c r="B653" s="235">
        <v>61800010</v>
      </c>
      <c r="C653" s="235" t="s">
        <v>1412</v>
      </c>
      <c r="D653" s="239" t="s">
        <v>1341</v>
      </c>
    </row>
    <row r="654" spans="2:4" outlineLevel="2" x14ac:dyDescent="0.25">
      <c r="B654" s="235">
        <v>61800020</v>
      </c>
      <c r="C654" s="235" t="s">
        <v>1448</v>
      </c>
      <c r="D654" s="239" t="s">
        <v>1341</v>
      </c>
    </row>
    <row r="655" spans="2:4" outlineLevel="2" x14ac:dyDescent="0.25">
      <c r="B655" s="235">
        <v>61800030</v>
      </c>
      <c r="C655" s="235" t="s">
        <v>172</v>
      </c>
      <c r="D655" s="239" t="s">
        <v>1341</v>
      </c>
    </row>
    <row r="656" spans="2:4" outlineLevel="2" x14ac:dyDescent="0.25">
      <c r="B656" s="235">
        <v>61900010</v>
      </c>
      <c r="C656" s="235" t="s">
        <v>176</v>
      </c>
      <c r="D656" s="239" t="s">
        <v>1342</v>
      </c>
    </row>
    <row r="657" spans="2:4" outlineLevel="2" x14ac:dyDescent="0.25">
      <c r="B657" s="235">
        <v>61900020</v>
      </c>
      <c r="C657" s="235" t="s">
        <v>1449</v>
      </c>
      <c r="D657" s="239" t="s">
        <v>1342</v>
      </c>
    </row>
    <row r="658" spans="2:4" outlineLevel="2" x14ac:dyDescent="0.25">
      <c r="B658" s="235">
        <v>61900030</v>
      </c>
      <c r="C658" s="235" t="s">
        <v>182</v>
      </c>
      <c r="D658" s="239" t="s">
        <v>1342</v>
      </c>
    </row>
    <row r="659" spans="2:4" outlineLevel="2" x14ac:dyDescent="0.25">
      <c r="B659" s="235">
        <v>61900040</v>
      </c>
      <c r="C659" s="235" t="s">
        <v>184</v>
      </c>
      <c r="D659" s="239" t="s">
        <v>1342</v>
      </c>
    </row>
    <row r="660" spans="2:4" outlineLevel="2" x14ac:dyDescent="0.25">
      <c r="B660" s="235">
        <v>61900090</v>
      </c>
      <c r="C660" s="235" t="s">
        <v>1450</v>
      </c>
      <c r="D660" s="239" t="s">
        <v>1342</v>
      </c>
    </row>
    <row r="661" spans="2:4" outlineLevel="2" x14ac:dyDescent="0.25">
      <c r="B661" s="235">
        <v>62000020</v>
      </c>
      <c r="C661" s="235" t="s">
        <v>1451</v>
      </c>
      <c r="D661" s="239" t="s">
        <v>1343</v>
      </c>
    </row>
    <row r="662" spans="2:4" outlineLevel="2" x14ac:dyDescent="0.25">
      <c r="B662" s="235">
        <v>62000040</v>
      </c>
      <c r="C662" s="235" t="s">
        <v>1413</v>
      </c>
      <c r="D662" s="239" t="s">
        <v>1343</v>
      </c>
    </row>
    <row r="663" spans="2:4" outlineLevel="2" x14ac:dyDescent="0.25">
      <c r="B663" s="235">
        <v>62100010</v>
      </c>
      <c r="C663" s="235" t="s">
        <v>1452</v>
      </c>
      <c r="D663" s="239" t="s">
        <v>1344</v>
      </c>
    </row>
    <row r="664" spans="2:4" outlineLevel="2" x14ac:dyDescent="0.25">
      <c r="B664" s="235">
        <v>62100030</v>
      </c>
      <c r="C664" s="235" t="s">
        <v>202</v>
      </c>
      <c r="D664" s="239" t="s">
        <v>1344</v>
      </c>
    </row>
    <row r="665" spans="2:4" outlineLevel="2" x14ac:dyDescent="0.25">
      <c r="B665" s="235">
        <v>62100040</v>
      </c>
      <c r="C665" s="235" t="s">
        <v>204</v>
      </c>
      <c r="D665" s="239" t="s">
        <v>1344</v>
      </c>
    </row>
    <row r="666" spans="2:4" outlineLevel="2" x14ac:dyDescent="0.25">
      <c r="B666" s="235">
        <v>62100050</v>
      </c>
      <c r="C666" s="235" t="s">
        <v>1453</v>
      </c>
      <c r="D666" s="239" t="s">
        <v>1344</v>
      </c>
    </row>
    <row r="667" spans="2:4" outlineLevel="2" x14ac:dyDescent="0.25">
      <c r="B667" s="235">
        <v>62200010</v>
      </c>
      <c r="C667" s="235" t="s">
        <v>208</v>
      </c>
      <c r="D667" s="239" t="s">
        <v>1345</v>
      </c>
    </row>
    <row r="668" spans="2:4" outlineLevel="2" x14ac:dyDescent="0.25">
      <c r="B668" s="235">
        <v>62200020</v>
      </c>
      <c r="C668" s="235" t="s">
        <v>1414</v>
      </c>
      <c r="D668" s="239" t="s">
        <v>1345</v>
      </c>
    </row>
    <row r="669" spans="2:4" outlineLevel="2" x14ac:dyDescent="0.25">
      <c r="B669" s="235">
        <v>62300010</v>
      </c>
      <c r="C669" s="235" t="s">
        <v>1415</v>
      </c>
      <c r="D669" s="239" t="s">
        <v>1346</v>
      </c>
    </row>
    <row r="670" spans="2:4" outlineLevel="2" x14ac:dyDescent="0.25">
      <c r="B670" s="235">
        <v>62300020</v>
      </c>
      <c r="C670" s="235" t="s">
        <v>214</v>
      </c>
      <c r="D670" s="239" t="s">
        <v>1346</v>
      </c>
    </row>
    <row r="671" spans="2:4" outlineLevel="2" x14ac:dyDescent="0.25">
      <c r="B671" s="235">
        <v>62400030</v>
      </c>
      <c r="C671" s="235" t="s">
        <v>1416</v>
      </c>
      <c r="D671" s="239" t="s">
        <v>1347</v>
      </c>
    </row>
    <row r="672" spans="2:4" outlineLevel="2" x14ac:dyDescent="0.25">
      <c r="B672" s="235">
        <v>62400040</v>
      </c>
      <c r="C672" s="235" t="s">
        <v>218</v>
      </c>
      <c r="D672" s="239" t="s">
        <v>1347</v>
      </c>
    </row>
    <row r="673" spans="2:4" outlineLevel="2" x14ac:dyDescent="0.25">
      <c r="B673" s="235">
        <v>62400060</v>
      </c>
      <c r="C673" s="235" t="s">
        <v>1417</v>
      </c>
      <c r="D673" s="239" t="s">
        <v>1347</v>
      </c>
    </row>
    <row r="674" spans="2:4" outlineLevel="2" x14ac:dyDescent="0.25">
      <c r="B674" s="235">
        <v>62500010</v>
      </c>
      <c r="C674" s="235" t="s">
        <v>1454</v>
      </c>
      <c r="D674" s="239" t="s">
        <v>1060</v>
      </c>
    </row>
    <row r="675" spans="2:4" outlineLevel="2" x14ac:dyDescent="0.25">
      <c r="B675" s="235">
        <v>62600010</v>
      </c>
      <c r="C675" s="235" t="s">
        <v>1455</v>
      </c>
      <c r="D675" s="239" t="s">
        <v>1060</v>
      </c>
    </row>
    <row r="676" spans="2:4" outlineLevel="2" x14ac:dyDescent="0.25">
      <c r="B676" s="235">
        <v>62600020</v>
      </c>
      <c r="C676" s="235" t="s">
        <v>1418</v>
      </c>
      <c r="D676" s="239" t="s">
        <v>1060</v>
      </c>
    </row>
    <row r="677" spans="2:4" outlineLevel="2" x14ac:dyDescent="0.25">
      <c r="B677" s="235">
        <v>62600030</v>
      </c>
      <c r="C677" s="235" t="s">
        <v>1419</v>
      </c>
      <c r="D677" s="239" t="s">
        <v>1060</v>
      </c>
    </row>
    <row r="678" spans="2:4" outlineLevel="2" x14ac:dyDescent="0.25">
      <c r="B678" s="235">
        <v>62700010</v>
      </c>
      <c r="C678" s="235" t="s">
        <v>629</v>
      </c>
      <c r="D678" s="239" t="s">
        <v>1348</v>
      </c>
    </row>
    <row r="679" spans="2:4" outlineLevel="2" x14ac:dyDescent="0.25">
      <c r="B679" s="235">
        <v>62800010</v>
      </c>
      <c r="C679" s="235" t="s">
        <v>630</v>
      </c>
      <c r="D679" s="239" t="s">
        <v>630</v>
      </c>
    </row>
    <row r="680" spans="2:4" outlineLevel="2" x14ac:dyDescent="0.25">
      <c r="B680" s="235">
        <v>62900010</v>
      </c>
      <c r="C680" s="235" t="s">
        <v>1456</v>
      </c>
      <c r="D680" s="239" t="s">
        <v>230</v>
      </c>
    </row>
    <row r="681" spans="2:4" outlineLevel="2" x14ac:dyDescent="0.25">
      <c r="B681" s="235">
        <v>62900020</v>
      </c>
      <c r="C681" s="235" t="s">
        <v>1457</v>
      </c>
      <c r="D681" s="239" t="s">
        <v>232</v>
      </c>
    </row>
    <row r="682" spans="2:4" outlineLevel="2" x14ac:dyDescent="0.25">
      <c r="B682" s="235">
        <v>63000010</v>
      </c>
      <c r="C682" s="235" t="s">
        <v>631</v>
      </c>
      <c r="D682" s="239" t="s">
        <v>1331</v>
      </c>
    </row>
    <row r="683" spans="2:4" outlineLevel="2" x14ac:dyDescent="0.25">
      <c r="B683" s="235">
        <v>63100020</v>
      </c>
      <c r="C683" s="235" t="s">
        <v>633</v>
      </c>
      <c r="D683" s="239" t="s">
        <v>1331</v>
      </c>
    </row>
    <row r="684" spans="2:4" outlineLevel="2" x14ac:dyDescent="0.25">
      <c r="B684" s="235">
        <v>63100030</v>
      </c>
      <c r="C684" s="235" t="s">
        <v>1420</v>
      </c>
      <c r="D684" s="239" t="s">
        <v>1331</v>
      </c>
    </row>
    <row r="685" spans="2:4" outlineLevel="2" x14ac:dyDescent="0.25">
      <c r="B685" s="235">
        <v>63900010</v>
      </c>
      <c r="C685" s="235" t="s">
        <v>1421</v>
      </c>
      <c r="D685" s="239" t="s">
        <v>1331</v>
      </c>
    </row>
    <row r="686" spans="2:4" outlineLevel="2" x14ac:dyDescent="0.25">
      <c r="B686" s="235">
        <v>63900020</v>
      </c>
      <c r="C686" s="235" t="s">
        <v>1458</v>
      </c>
      <c r="D686" s="239" t="s">
        <v>1331</v>
      </c>
    </row>
    <row r="687" spans="2:4" outlineLevel="2" x14ac:dyDescent="0.25">
      <c r="B687" s="235">
        <v>69922010</v>
      </c>
      <c r="C687" s="235" t="s">
        <v>1428</v>
      </c>
      <c r="D687" s="239" t="s">
        <v>1331</v>
      </c>
    </row>
    <row r="688" spans="2:4" outlineLevel="2" x14ac:dyDescent="0.25">
      <c r="B688" s="235">
        <v>70100010</v>
      </c>
      <c r="C688" s="235" t="s">
        <v>1459</v>
      </c>
      <c r="D688" s="239" t="s">
        <v>1349</v>
      </c>
    </row>
    <row r="689" spans="2:4" outlineLevel="2" x14ac:dyDescent="0.25">
      <c r="B689" s="235">
        <v>70200010</v>
      </c>
      <c r="C689" s="235" t="s">
        <v>1460</v>
      </c>
      <c r="D689" s="239" t="s">
        <v>1350</v>
      </c>
    </row>
    <row r="690" spans="2:4" outlineLevel="2" x14ac:dyDescent="0.25">
      <c r="B690" s="235">
        <v>70200030</v>
      </c>
      <c r="C690" s="235" t="s">
        <v>1461</v>
      </c>
      <c r="D690" s="239" t="s">
        <v>1351</v>
      </c>
    </row>
    <row r="691" spans="2:4" outlineLevel="2" x14ac:dyDescent="0.25">
      <c r="B691" s="235">
        <v>70200050</v>
      </c>
      <c r="C691" s="235" t="s">
        <v>1462</v>
      </c>
      <c r="D691" s="239" t="s">
        <v>1351</v>
      </c>
    </row>
    <row r="692" spans="2:4" outlineLevel="2" x14ac:dyDescent="0.25">
      <c r="B692" s="235">
        <v>70200060</v>
      </c>
      <c r="C692" s="235" t="s">
        <v>1463</v>
      </c>
      <c r="D692" s="239" t="s">
        <v>1351</v>
      </c>
    </row>
    <row r="693" spans="2:4" outlineLevel="2" x14ac:dyDescent="0.25">
      <c r="B693" s="235">
        <v>70200061</v>
      </c>
      <c r="C693" s="235" t="s">
        <v>1464</v>
      </c>
      <c r="D693" s="239" t="s">
        <v>1349</v>
      </c>
    </row>
    <row r="694" spans="2:4" outlineLevel="2" x14ac:dyDescent="0.25">
      <c r="B694" s="235">
        <v>70200062</v>
      </c>
      <c r="C694" s="235" t="s">
        <v>1465</v>
      </c>
      <c r="D694" s="239" t="s">
        <v>1349</v>
      </c>
    </row>
    <row r="695" spans="2:4" outlineLevel="2" x14ac:dyDescent="0.25">
      <c r="B695" s="235">
        <v>70200080</v>
      </c>
      <c r="C695" s="235" t="s">
        <v>1466</v>
      </c>
      <c r="D695" s="239" t="s">
        <v>1351</v>
      </c>
    </row>
    <row r="696" spans="2:4" outlineLevel="2" x14ac:dyDescent="0.25">
      <c r="B696" s="235">
        <v>70200090</v>
      </c>
      <c r="C696" s="235" t="s">
        <v>1461</v>
      </c>
      <c r="D696" s="239" t="s">
        <v>1351</v>
      </c>
    </row>
    <row r="697" spans="2:4" outlineLevel="2" x14ac:dyDescent="0.25">
      <c r="B697" s="235">
        <v>70500010</v>
      </c>
      <c r="C697" s="235" t="s">
        <v>1467</v>
      </c>
      <c r="D697" s="239" t="s">
        <v>1352</v>
      </c>
    </row>
    <row r="698" spans="2:4" outlineLevel="2" x14ac:dyDescent="0.25">
      <c r="B698" s="235">
        <v>70600010</v>
      </c>
      <c r="C698" s="235" t="s">
        <v>1468</v>
      </c>
      <c r="D698" s="239" t="s">
        <v>1353</v>
      </c>
    </row>
    <row r="699" spans="2:4" outlineLevel="2" x14ac:dyDescent="0.25">
      <c r="B699" s="235">
        <v>70900010</v>
      </c>
      <c r="C699" s="235" t="s">
        <v>1469</v>
      </c>
      <c r="D699" s="239" t="s">
        <v>1351</v>
      </c>
    </row>
    <row r="700" spans="2:4" outlineLevel="2" x14ac:dyDescent="0.25">
      <c r="B700" s="235">
        <v>72000000</v>
      </c>
      <c r="C700" s="235" t="s">
        <v>1295</v>
      </c>
      <c r="D700" s="239" t="s">
        <v>1354</v>
      </c>
    </row>
    <row r="701" spans="2:4" outlineLevel="2" x14ac:dyDescent="0.25">
      <c r="B701" s="235">
        <v>73000010</v>
      </c>
      <c r="C701" s="235" t="s">
        <v>1470</v>
      </c>
      <c r="D701" s="239" t="s">
        <v>1355</v>
      </c>
    </row>
    <row r="702" spans="2:4" outlineLevel="2" x14ac:dyDescent="0.25">
      <c r="B702" s="235">
        <v>73100010</v>
      </c>
      <c r="C702" s="235" t="s">
        <v>1471</v>
      </c>
      <c r="D702" s="239" t="s">
        <v>1355</v>
      </c>
    </row>
    <row r="703" spans="2:4" outlineLevel="2" x14ac:dyDescent="0.25">
      <c r="B703" s="235">
        <v>73200010</v>
      </c>
      <c r="C703" s="235" t="s">
        <v>1472</v>
      </c>
      <c r="D703" s="239" t="s">
        <v>1356</v>
      </c>
    </row>
    <row r="704" spans="2:4" outlineLevel="2" x14ac:dyDescent="0.25">
      <c r="B704" s="235">
        <v>99921010</v>
      </c>
      <c r="C704" s="235" t="s">
        <v>1473</v>
      </c>
      <c r="D704" s="239" t="s">
        <v>1116</v>
      </c>
    </row>
    <row r="705" spans="2:4" outlineLevel="2" x14ac:dyDescent="0.25">
      <c r="B705" s="235">
        <v>99942010</v>
      </c>
      <c r="C705" s="235" t="s">
        <v>1474</v>
      </c>
      <c r="D705" s="239" t="s">
        <v>1116</v>
      </c>
    </row>
    <row r="706" spans="2:4" outlineLevel="2" x14ac:dyDescent="0.25">
      <c r="B706" s="235">
        <v>99942020</v>
      </c>
      <c r="C706" s="235" t="s">
        <v>1475</v>
      </c>
      <c r="D706" s="239" t="s">
        <v>1116</v>
      </c>
    </row>
    <row r="707" spans="2:4" outlineLevel="2" x14ac:dyDescent="0.25">
      <c r="B707" s="235">
        <v>99942140</v>
      </c>
      <c r="C707" s="235" t="s">
        <v>1476</v>
      </c>
      <c r="D707" s="239" t="s">
        <v>1116</v>
      </c>
    </row>
    <row r="708" spans="2:4" outlineLevel="2" x14ac:dyDescent="0.25">
      <c r="B708" s="235">
        <v>99942150</v>
      </c>
      <c r="C708" s="235" t="s">
        <v>1477</v>
      </c>
      <c r="D708" s="239" t="s">
        <v>1116</v>
      </c>
    </row>
    <row r="709" spans="2:4" outlineLevel="2" x14ac:dyDescent="0.25">
      <c r="B709" s="235">
        <v>99943010</v>
      </c>
      <c r="C709" s="235" t="s">
        <v>1478</v>
      </c>
      <c r="D709" s="239" t="s">
        <v>1116</v>
      </c>
    </row>
    <row r="710" spans="2:4" outlineLevel="2" x14ac:dyDescent="0.25">
      <c r="B710" s="235">
        <v>99943020</v>
      </c>
      <c r="C710" s="235" t="s">
        <v>1479</v>
      </c>
      <c r="D710" s="239" t="s">
        <v>1116</v>
      </c>
    </row>
    <row r="711" spans="2:4" outlineLevel="2" x14ac:dyDescent="0.25">
      <c r="B711" s="235">
        <v>99943030</v>
      </c>
      <c r="C711" s="235" t="s">
        <v>1480</v>
      </c>
      <c r="D711" s="239" t="s">
        <v>1116</v>
      </c>
    </row>
    <row r="712" spans="2:4" outlineLevel="2" x14ac:dyDescent="0.25">
      <c r="B712" s="235">
        <v>99943040</v>
      </c>
      <c r="C712" s="235" t="s">
        <v>1481</v>
      </c>
      <c r="D712" s="239" t="s">
        <v>1116</v>
      </c>
    </row>
    <row r="713" spans="2:4" outlineLevel="2" x14ac:dyDescent="0.25">
      <c r="B713" s="235">
        <v>99943050</v>
      </c>
      <c r="C713" s="235" t="s">
        <v>1482</v>
      </c>
      <c r="D713" s="239" t="s">
        <v>1116</v>
      </c>
    </row>
    <row r="714" spans="2:4" outlineLevel="2" x14ac:dyDescent="0.25">
      <c r="B714" s="235">
        <v>99943060</v>
      </c>
      <c r="C714" s="235" t="s">
        <v>1483</v>
      </c>
      <c r="D714" s="239" t="s">
        <v>1116</v>
      </c>
    </row>
    <row r="715" spans="2:4" outlineLevel="2" x14ac:dyDescent="0.25">
      <c r="B715" s="235">
        <v>99943070</v>
      </c>
      <c r="C715" s="235" t="s">
        <v>1477</v>
      </c>
      <c r="D715" s="239" t="s">
        <v>1116</v>
      </c>
    </row>
    <row r="716" spans="2:4" outlineLevel="2" x14ac:dyDescent="0.25">
      <c r="B716" s="235">
        <v>99943080</v>
      </c>
      <c r="C716" s="235" t="s">
        <v>1484</v>
      </c>
      <c r="D716" s="239" t="s">
        <v>1116</v>
      </c>
    </row>
    <row r="717" spans="2:4" outlineLevel="2" x14ac:dyDescent="0.25">
      <c r="B717" s="235">
        <v>99943090</v>
      </c>
      <c r="C717" s="235" t="s">
        <v>1485</v>
      </c>
      <c r="D717" s="239" t="s">
        <v>1116</v>
      </c>
    </row>
    <row r="718" spans="2:4" outlineLevel="2" x14ac:dyDescent="0.25">
      <c r="B718" s="235">
        <v>99943510</v>
      </c>
      <c r="C718" s="235" t="s">
        <v>1486</v>
      </c>
      <c r="D718" s="239" t="s">
        <v>1116</v>
      </c>
    </row>
    <row r="719" spans="2:4" outlineLevel="2" x14ac:dyDescent="0.25"/>
    <row r="720" spans="2:4" outlineLevel="2" x14ac:dyDescent="0.25"/>
    <row r="721" spans="1:4" outlineLevel="1" x14ac:dyDescent="0.25"/>
    <row r="724" spans="1:4" s="241" customFormat="1" ht="29.1" customHeight="1" x14ac:dyDescent="0.25">
      <c r="A724" s="240"/>
      <c r="B724" s="199" t="s">
        <v>1811</v>
      </c>
    </row>
    <row r="726" spans="1:4" x14ac:dyDescent="0.25">
      <c r="B726" s="242" t="s">
        <v>1791</v>
      </c>
      <c r="C726" s="242" t="s">
        <v>1792</v>
      </c>
      <c r="D726" s="242" t="s">
        <v>1793</v>
      </c>
    </row>
    <row r="727" spans="1:4" x14ac:dyDescent="0.25">
      <c r="B727" s="169" t="s">
        <v>707</v>
      </c>
      <c r="C727" s="169" t="s">
        <v>1747</v>
      </c>
      <c r="D727" s="169" t="s">
        <v>1794</v>
      </c>
    </row>
    <row r="728" spans="1:4" x14ac:dyDescent="0.25">
      <c r="B728" s="169" t="s">
        <v>1748</v>
      </c>
      <c r="C728" s="169" t="s">
        <v>1749</v>
      </c>
      <c r="D728" s="169" t="s">
        <v>1795</v>
      </c>
    </row>
    <row r="729" spans="1:4" x14ac:dyDescent="0.25">
      <c r="B729" s="169" t="s">
        <v>1750</v>
      </c>
      <c r="C729" s="169" t="s">
        <v>1751</v>
      </c>
      <c r="D729" s="169" t="s">
        <v>1796</v>
      </c>
    </row>
    <row r="730" spans="1:4" x14ac:dyDescent="0.25">
      <c r="B730" s="169" t="s">
        <v>1752</v>
      </c>
      <c r="C730" s="169" t="s">
        <v>1753</v>
      </c>
      <c r="D730" s="169" t="s">
        <v>1797</v>
      </c>
    </row>
    <row r="731" spans="1:4" x14ac:dyDescent="0.25">
      <c r="B731" s="169" t="s">
        <v>1754</v>
      </c>
      <c r="C731" s="169" t="s">
        <v>1755</v>
      </c>
      <c r="D731" s="169" t="s">
        <v>1798</v>
      </c>
    </row>
    <row r="732" spans="1:4" x14ac:dyDescent="0.25">
      <c r="B732" s="169" t="s">
        <v>1756</v>
      </c>
      <c r="C732" s="169" t="s">
        <v>1757</v>
      </c>
      <c r="D732" s="169" t="s">
        <v>1799</v>
      </c>
    </row>
    <row r="733" spans="1:4" x14ac:dyDescent="0.25">
      <c r="B733" s="169" t="s">
        <v>1758</v>
      </c>
      <c r="C733" s="169" t="s">
        <v>1759</v>
      </c>
      <c r="D733" s="169" t="s">
        <v>1800</v>
      </c>
    </row>
    <row r="734" spans="1:4" x14ac:dyDescent="0.25">
      <c r="B734" s="169" t="s">
        <v>1760</v>
      </c>
      <c r="C734" s="169" t="s">
        <v>1761</v>
      </c>
      <c r="D734" s="169" t="s">
        <v>1801</v>
      </c>
    </row>
    <row r="735" spans="1:4" x14ac:dyDescent="0.25">
      <c r="B735" s="169" t="s">
        <v>1762</v>
      </c>
      <c r="C735" s="169" t="s">
        <v>1763</v>
      </c>
      <c r="D735" s="169" t="s">
        <v>1802</v>
      </c>
    </row>
    <row r="736" spans="1:4" x14ac:dyDescent="0.25">
      <c r="B736" s="169" t="s">
        <v>1764</v>
      </c>
      <c r="C736" s="169" t="s">
        <v>1765</v>
      </c>
      <c r="D736" s="169" t="s">
        <v>1803</v>
      </c>
    </row>
    <row r="737" spans="1:4" x14ac:dyDescent="0.25">
      <c r="B737" s="169" t="s">
        <v>717</v>
      </c>
      <c r="C737" s="169" t="s">
        <v>1766</v>
      </c>
      <c r="D737" s="169" t="s">
        <v>1804</v>
      </c>
    </row>
    <row r="738" spans="1:4" x14ac:dyDescent="0.25">
      <c r="B738" s="243">
        <v>15000250</v>
      </c>
      <c r="C738" s="221" t="s">
        <v>1767</v>
      </c>
      <c r="D738" s="169" t="s">
        <v>1805</v>
      </c>
    </row>
    <row r="739" spans="1:4" x14ac:dyDescent="0.25">
      <c r="A739" s="223"/>
      <c r="B739" s="223"/>
      <c r="C739" s="223"/>
      <c r="D739" s="223"/>
    </row>
    <row r="740" spans="1:4" s="241" customFormat="1" ht="29.1" customHeight="1" x14ac:dyDescent="0.25">
      <c r="A740" s="240"/>
      <c r="B740" s="199" t="s">
        <v>1849</v>
      </c>
    </row>
    <row r="742" spans="1:4" x14ac:dyDescent="0.25">
      <c r="B742" s="242" t="s">
        <v>1570</v>
      </c>
      <c r="C742" s="242" t="s">
        <v>1850</v>
      </c>
    </row>
    <row r="743" spans="1:4" x14ac:dyDescent="0.25">
      <c r="B743" s="221" t="s">
        <v>1851</v>
      </c>
      <c r="C743" s="221" t="s">
        <v>1854</v>
      </c>
    </row>
    <row r="744" spans="1:4" x14ac:dyDescent="0.25">
      <c r="B744" s="221" t="s">
        <v>1852</v>
      </c>
      <c r="C744" s="221" t="s">
        <v>1855</v>
      </c>
    </row>
    <row r="745" spans="1:4" x14ac:dyDescent="0.25">
      <c r="B745" s="221" t="s">
        <v>1853</v>
      </c>
      <c r="C745" s="221" t="s">
        <v>1856</v>
      </c>
    </row>
    <row r="747" spans="1:4" s="241" customFormat="1" ht="29.1" customHeight="1" x14ac:dyDescent="0.25">
      <c r="A747" s="240"/>
      <c r="B747" s="199" t="s">
        <v>1858</v>
      </c>
      <c r="D747" s="240" t="s">
        <v>1872</v>
      </c>
    </row>
    <row r="749" spans="1:4" x14ac:dyDescent="0.25">
      <c r="B749" s="167" t="s">
        <v>1862</v>
      </c>
      <c r="D749" s="167" t="s">
        <v>1862</v>
      </c>
    </row>
    <row r="750" spans="1:4" x14ac:dyDescent="0.25">
      <c r="B750" s="167" t="s">
        <v>1861</v>
      </c>
      <c r="D750" s="167" t="s">
        <v>1859</v>
      </c>
    </row>
    <row r="751" spans="1:4" x14ac:dyDescent="0.25">
      <c r="B751" s="167" t="s">
        <v>1859</v>
      </c>
      <c r="D751" s="167" t="s">
        <v>1860</v>
      </c>
    </row>
    <row r="752" spans="1:4" x14ac:dyDescent="0.25">
      <c r="B752" s="167" t="s">
        <v>1860</v>
      </c>
    </row>
    <row r="754" spans="2:2" s="201" customFormat="1" x14ac:dyDescent="0.25">
      <c r="B754" s="244" t="s">
        <v>1869</v>
      </c>
    </row>
    <row r="755" spans="2:2" x14ac:dyDescent="0.25">
      <c r="B755" s="167" t="s">
        <v>352</v>
      </c>
    </row>
    <row r="756" spans="2:2" x14ac:dyDescent="0.25">
      <c r="B756" s="167" t="s">
        <v>1868</v>
      </c>
    </row>
  </sheetData>
  <conditionalFormatting sqref="B500:B718">
    <cfRule type="duplicateValues" dxfId="104" priority="1"/>
  </conditionalFormatting>
  <pageMargins left="0.7" right="0.7" top="0.75" bottom="0.75" header="0.3" footer="0.3"/>
  <pageSetup orientation="portrait" r:id="rId1"/>
  <tableParts count="33">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DFDD9E-F61C-40B0-9B12-545E73DF2E5E}">
  <dimension ref="B2:L373"/>
  <sheetViews>
    <sheetView zoomScale="80" zoomScaleNormal="80" workbookViewId="0">
      <selection activeCell="B164" sqref="B164"/>
    </sheetView>
  </sheetViews>
  <sheetFormatPr defaultColWidth="9.140625" defaultRowHeight="15" outlineLevelRow="1" x14ac:dyDescent="0.25"/>
  <cols>
    <col min="1" max="1" width="4.140625" style="167" customWidth="1"/>
    <col min="2" max="2" width="26.5703125" style="167" bestFit="1" customWidth="1"/>
    <col min="3" max="3" width="30.85546875" style="167" bestFit="1" customWidth="1"/>
    <col min="4" max="4" width="39.5703125" style="167" customWidth="1"/>
    <col min="5" max="5" width="24.42578125" style="167" bestFit="1" customWidth="1"/>
    <col min="6" max="6" width="30.28515625" style="167" bestFit="1" customWidth="1"/>
    <col min="7" max="7" width="3.42578125" style="167" customWidth="1"/>
    <col min="8" max="8" width="20.42578125" style="168" customWidth="1"/>
    <col min="9" max="9" width="27.5703125" style="168" customWidth="1"/>
    <col min="10" max="10" width="32.85546875" style="167" bestFit="1" customWidth="1"/>
    <col min="11" max="11" width="9.140625" style="167"/>
    <col min="12" max="12" width="16.5703125" style="167" customWidth="1"/>
    <col min="13" max="14" width="9.140625" style="167"/>
    <col min="15" max="15" width="30.85546875" style="167" bestFit="1" customWidth="1"/>
    <col min="16" max="16" width="25.85546875" style="167" bestFit="1" customWidth="1"/>
    <col min="17" max="16384" width="9.140625" style="167"/>
  </cols>
  <sheetData>
    <row r="2" spans="2:9" s="164" customFormat="1" x14ac:dyDescent="0.25">
      <c r="B2" s="163" t="s">
        <v>236</v>
      </c>
      <c r="H2" s="165"/>
      <c r="I2" s="165"/>
    </row>
    <row r="4" spans="2:9" outlineLevel="1" x14ac:dyDescent="0.25">
      <c r="B4" s="166" t="s">
        <v>236</v>
      </c>
      <c r="C4" s="166" t="s">
        <v>259</v>
      </c>
    </row>
    <row r="5" spans="2:9" outlineLevel="1" x14ac:dyDescent="0.25">
      <c r="B5" s="169" t="s">
        <v>2077</v>
      </c>
      <c r="C5" s="169" t="s">
        <v>1813</v>
      </c>
    </row>
    <row r="6" spans="2:9" outlineLevel="1" x14ac:dyDescent="0.25">
      <c r="B6" s="169" t="s">
        <v>2078</v>
      </c>
      <c r="C6" s="169" t="s">
        <v>1815</v>
      </c>
    </row>
    <row r="7" spans="2:9" outlineLevel="1" x14ac:dyDescent="0.25">
      <c r="B7" s="169" t="s">
        <v>2081</v>
      </c>
      <c r="C7" s="169" t="s">
        <v>2543</v>
      </c>
    </row>
    <row r="8" spans="2:9" outlineLevel="1" x14ac:dyDescent="0.25">
      <c r="B8" s="169" t="s">
        <v>23</v>
      </c>
      <c r="C8" s="169" t="s">
        <v>23</v>
      </c>
    </row>
    <row r="9" spans="2:9" outlineLevel="1" x14ac:dyDescent="0.25">
      <c r="B9" s="169" t="s">
        <v>1558</v>
      </c>
      <c r="C9" s="169" t="s">
        <v>1558</v>
      </c>
    </row>
    <row r="10" spans="2:9" outlineLevel="1" x14ac:dyDescent="0.25">
      <c r="B10" s="169" t="s">
        <v>1986</v>
      </c>
      <c r="C10" s="169" t="s">
        <v>1986</v>
      </c>
    </row>
    <row r="11" spans="2:9" outlineLevel="1" x14ac:dyDescent="0.25">
      <c r="B11" s="169" t="s">
        <v>2651</v>
      </c>
      <c r="C11" s="169" t="s">
        <v>2651</v>
      </c>
    </row>
    <row r="12" spans="2:9" outlineLevel="1" x14ac:dyDescent="0.25">
      <c r="B12" s="169" t="s">
        <v>2654</v>
      </c>
      <c r="C12" s="169" t="s">
        <v>2654</v>
      </c>
    </row>
    <row r="13" spans="2:9" outlineLevel="1" x14ac:dyDescent="0.25">
      <c r="B13" s="169" t="s">
        <v>239</v>
      </c>
      <c r="C13" s="169" t="s">
        <v>32</v>
      </c>
    </row>
    <row r="14" spans="2:9" outlineLevel="1" x14ac:dyDescent="0.25">
      <c r="B14" s="169" t="s">
        <v>1561</v>
      </c>
      <c r="C14" s="169" t="s">
        <v>361</v>
      </c>
    </row>
    <row r="15" spans="2:9" outlineLevel="1" x14ac:dyDescent="0.25">
      <c r="B15" s="169" t="s">
        <v>241</v>
      </c>
      <c r="C15" s="169" t="s">
        <v>255</v>
      </c>
    </row>
    <row r="16" spans="2:9" outlineLevel="1" x14ac:dyDescent="0.25">
      <c r="B16"/>
    </row>
    <row r="17" spans="2:9" s="164" customFormat="1" x14ac:dyDescent="0.25">
      <c r="B17" s="163" t="s">
        <v>442</v>
      </c>
      <c r="H17" s="165"/>
      <c r="I17" s="165"/>
    </row>
    <row r="18" spans="2:9" x14ac:dyDescent="0.25">
      <c r="B18"/>
    </row>
    <row r="19" spans="2:9" outlineLevel="1" x14ac:dyDescent="0.25">
      <c r="B19" s="100" t="s">
        <v>2076</v>
      </c>
      <c r="C19" s="100" t="s">
        <v>442</v>
      </c>
    </row>
    <row r="20" spans="2:9" outlineLevel="1" x14ac:dyDescent="0.25">
      <c r="B20" s="101" t="s">
        <v>2077</v>
      </c>
      <c r="C20" s="101" t="s">
        <v>1812</v>
      </c>
    </row>
    <row r="21" spans="2:9" outlineLevel="1" x14ac:dyDescent="0.25">
      <c r="B21" s="101" t="s">
        <v>2077</v>
      </c>
      <c r="C21" s="101" t="s">
        <v>1806</v>
      </c>
    </row>
    <row r="22" spans="2:9" outlineLevel="1" x14ac:dyDescent="0.25">
      <c r="B22" s="101" t="s">
        <v>2077</v>
      </c>
      <c r="C22" s="101" t="s">
        <v>1807</v>
      </c>
    </row>
    <row r="23" spans="2:9" outlineLevel="1" x14ac:dyDescent="0.25">
      <c r="B23" s="101" t="s">
        <v>2078</v>
      </c>
      <c r="C23" s="101" t="s">
        <v>2079</v>
      </c>
    </row>
    <row r="24" spans="2:9" outlineLevel="1" x14ac:dyDescent="0.25">
      <c r="B24" s="101" t="s">
        <v>2078</v>
      </c>
      <c r="C24" s="101" t="s">
        <v>2080</v>
      </c>
    </row>
    <row r="25" spans="2:9" outlineLevel="1" x14ac:dyDescent="0.25">
      <c r="B25" s="101" t="s">
        <v>2078</v>
      </c>
      <c r="C25" s="101" t="s">
        <v>1737</v>
      </c>
    </row>
    <row r="26" spans="2:9" outlineLevel="1" x14ac:dyDescent="0.25">
      <c r="B26" s="101" t="s">
        <v>2078</v>
      </c>
      <c r="C26" s="101" t="s">
        <v>1873</v>
      </c>
    </row>
    <row r="27" spans="2:9" outlineLevel="1" x14ac:dyDescent="0.25">
      <c r="B27" s="101" t="s">
        <v>2078</v>
      </c>
      <c r="C27" s="101" t="s">
        <v>1814</v>
      </c>
    </row>
    <row r="28" spans="2:9" outlineLevel="1" x14ac:dyDescent="0.25">
      <c r="B28" s="96" t="s">
        <v>2081</v>
      </c>
      <c r="C28" s="96" t="s">
        <v>31</v>
      </c>
    </row>
    <row r="29" spans="2:9" outlineLevel="1" x14ac:dyDescent="0.25">
      <c r="B29" s="96" t="s">
        <v>2081</v>
      </c>
      <c r="C29" s="96" t="s">
        <v>30</v>
      </c>
    </row>
    <row r="30" spans="2:9" outlineLevel="1" x14ac:dyDescent="0.25">
      <c r="B30" s="96" t="s">
        <v>23</v>
      </c>
      <c r="C30" s="96" t="s">
        <v>339</v>
      </c>
    </row>
    <row r="31" spans="2:9" outlineLevel="1" x14ac:dyDescent="0.25">
      <c r="B31" s="96" t="str">
        <f>B30</f>
        <v>HSE</v>
      </c>
      <c r="C31" s="96" t="s">
        <v>341</v>
      </c>
    </row>
    <row r="32" spans="2:9" outlineLevel="1" x14ac:dyDescent="0.25">
      <c r="B32" s="96" t="s">
        <v>1558</v>
      </c>
      <c r="C32" s="96" t="s">
        <v>238</v>
      </c>
    </row>
    <row r="33" spans="2:3" outlineLevel="1" x14ac:dyDescent="0.25">
      <c r="B33" s="96" t="s">
        <v>1558</v>
      </c>
      <c r="C33" s="96" t="s">
        <v>33</v>
      </c>
    </row>
    <row r="34" spans="2:3" outlineLevel="1" x14ac:dyDescent="0.25">
      <c r="B34" s="96" t="s">
        <v>1986</v>
      </c>
      <c r="C34" s="96" t="s">
        <v>248</v>
      </c>
    </row>
    <row r="35" spans="2:3" outlineLevel="1" x14ac:dyDescent="0.25">
      <c r="B35" s="96" t="s">
        <v>1986</v>
      </c>
      <c r="C35" s="96" t="s">
        <v>25</v>
      </c>
    </row>
    <row r="36" spans="2:3" outlineLevel="1" x14ac:dyDescent="0.25">
      <c r="B36" s="96" t="s">
        <v>1986</v>
      </c>
      <c r="C36" s="96" t="s">
        <v>20</v>
      </c>
    </row>
    <row r="37" spans="2:3" outlineLevel="1" x14ac:dyDescent="0.25">
      <c r="B37" s="96" t="s">
        <v>1986</v>
      </c>
      <c r="C37" s="96" t="s">
        <v>21</v>
      </c>
    </row>
    <row r="38" spans="2:3" outlineLevel="1" x14ac:dyDescent="0.25">
      <c r="B38" s="96" t="s">
        <v>2658</v>
      </c>
      <c r="C38" s="96" t="s">
        <v>2658</v>
      </c>
    </row>
    <row r="39" spans="2:3" outlineLevel="1" x14ac:dyDescent="0.25">
      <c r="B39" s="96" t="s">
        <v>1986</v>
      </c>
      <c r="C39" s="96" t="s">
        <v>2687</v>
      </c>
    </row>
    <row r="40" spans="2:3" outlineLevel="1" x14ac:dyDescent="0.25">
      <c r="B40" s="96" t="s">
        <v>2651</v>
      </c>
      <c r="C40" s="96" t="s">
        <v>2587</v>
      </c>
    </row>
    <row r="41" spans="2:3" outlineLevel="1" x14ac:dyDescent="0.25">
      <c r="B41" s="96" t="s">
        <v>2651</v>
      </c>
      <c r="C41" s="96" t="s">
        <v>2652</v>
      </c>
    </row>
    <row r="42" spans="2:3" outlineLevel="1" x14ac:dyDescent="0.25">
      <c r="B42" s="96" t="s">
        <v>2651</v>
      </c>
      <c r="C42" s="96" t="s">
        <v>2653</v>
      </c>
    </row>
    <row r="43" spans="2:3" outlineLevel="1" x14ac:dyDescent="0.25">
      <c r="B43" s="96" t="s">
        <v>2654</v>
      </c>
      <c r="C43" s="96" t="s">
        <v>409</v>
      </c>
    </row>
    <row r="44" spans="2:3" outlineLevel="1" x14ac:dyDescent="0.25">
      <c r="B44" s="96" t="s">
        <v>2654</v>
      </c>
      <c r="C44" s="96" t="s">
        <v>1566</v>
      </c>
    </row>
    <row r="45" spans="2:3" outlineLevel="1" x14ac:dyDescent="0.25">
      <c r="B45" s="96" t="s">
        <v>239</v>
      </c>
      <c r="C45" s="96" t="s">
        <v>2696</v>
      </c>
    </row>
    <row r="46" spans="2:3" outlineLevel="1" x14ac:dyDescent="0.25">
      <c r="B46" s="96" t="s">
        <v>239</v>
      </c>
      <c r="C46" s="96" t="s">
        <v>2082</v>
      </c>
    </row>
    <row r="47" spans="2:3" outlineLevel="1" x14ac:dyDescent="0.25">
      <c r="B47" s="96" t="s">
        <v>239</v>
      </c>
      <c r="C47" s="96" t="s">
        <v>2697</v>
      </c>
    </row>
    <row r="48" spans="2:3" outlineLevel="1" x14ac:dyDescent="0.25">
      <c r="B48" s="96" t="s">
        <v>1561</v>
      </c>
      <c r="C48" s="96" t="s">
        <v>2589</v>
      </c>
    </row>
    <row r="49" spans="2:12" outlineLevel="1" x14ac:dyDescent="0.25">
      <c r="B49" s="96" t="s">
        <v>1561</v>
      </c>
      <c r="C49" s="96" t="s">
        <v>27</v>
      </c>
    </row>
    <row r="50" spans="2:12" outlineLevel="1" x14ac:dyDescent="0.25">
      <c r="B50" s="96" t="s">
        <v>1561</v>
      </c>
      <c r="C50" s="96" t="s">
        <v>28</v>
      </c>
    </row>
    <row r="51" spans="2:12" outlineLevel="1" x14ac:dyDescent="0.25">
      <c r="B51" s="96" t="s">
        <v>1561</v>
      </c>
      <c r="C51" s="96" t="s">
        <v>29</v>
      </c>
    </row>
    <row r="52" spans="2:12" outlineLevel="1" x14ac:dyDescent="0.25">
      <c r="B52" s="102" t="s">
        <v>241</v>
      </c>
      <c r="C52" s="96" t="s">
        <v>1562</v>
      </c>
    </row>
    <row r="53" spans="2:12" outlineLevel="1" x14ac:dyDescent="0.25">
      <c r="B53" s="96" t="s">
        <v>241</v>
      </c>
      <c r="C53" s="96" t="s">
        <v>35</v>
      </c>
    </row>
    <row r="54" spans="2:12" outlineLevel="1" x14ac:dyDescent="0.25">
      <c r="B54" s="96" t="s">
        <v>241</v>
      </c>
      <c r="C54" s="96" t="s">
        <v>36</v>
      </c>
    </row>
    <row r="55" spans="2:12" outlineLevel="1" x14ac:dyDescent="0.25"/>
    <row r="56" spans="2:12" s="164" customFormat="1" x14ac:dyDescent="0.25">
      <c r="B56" s="163" t="s">
        <v>2544</v>
      </c>
      <c r="H56" s="170"/>
      <c r="I56" s="170"/>
    </row>
    <row r="58" spans="2:12" outlineLevel="1" x14ac:dyDescent="0.25">
      <c r="B58" s="166" t="s">
        <v>236</v>
      </c>
      <c r="C58" s="166" t="s">
        <v>442</v>
      </c>
      <c r="D58" s="166" t="s">
        <v>2545</v>
      </c>
      <c r="E58" s="166" t="s">
        <v>2546</v>
      </c>
      <c r="H58" s="166" t="s">
        <v>2547</v>
      </c>
      <c r="I58" s="166" t="s">
        <v>2548</v>
      </c>
      <c r="J58" s="166" t="s">
        <v>442</v>
      </c>
      <c r="L58" s="166" t="s">
        <v>2545</v>
      </c>
    </row>
    <row r="59" spans="2:12" outlineLevel="1" x14ac:dyDescent="0.25">
      <c r="B59" s="169" t="s">
        <v>2549</v>
      </c>
      <c r="C59" s="169" t="s">
        <v>2549</v>
      </c>
      <c r="D59" s="169" t="s">
        <v>1613</v>
      </c>
      <c r="E59" s="169" t="s">
        <v>1614</v>
      </c>
      <c r="H59" s="171" t="s">
        <v>2549</v>
      </c>
      <c r="I59" s="171" t="str">
        <f>IF(MID(D59,6,2)="PP",_xlfn.CONCAT(H59,RIGHT(D59,2)),IF(MID(D59,6,2)="SU",RIGHT(D59,5),_xlfn.CONCAT(H59,"01",RIGHT(D59,1))))</f>
        <v>SMS01</v>
      </c>
      <c r="J59" s="169" t="str">
        <f>C59</f>
        <v>SMS</v>
      </c>
      <c r="L59" s="167" t="str">
        <f>D59</f>
        <v>10101PP001</v>
      </c>
    </row>
    <row r="60" spans="2:12" outlineLevel="1" x14ac:dyDescent="0.25">
      <c r="B60" s="169" t="s">
        <v>2549</v>
      </c>
      <c r="C60" s="169" t="s">
        <v>2549</v>
      </c>
      <c r="D60" s="169" t="s">
        <v>1615</v>
      </c>
      <c r="E60" s="169" t="s">
        <v>1616</v>
      </c>
      <c r="H60" s="171" t="s">
        <v>2549</v>
      </c>
      <c r="I60" s="171" t="str">
        <f t="shared" ref="I60:I84" si="0">IF(MID(D60,6,2)="PP",_xlfn.CONCAT(H60,RIGHT(D60,2)),IF(MID(D60,6,2)="SU",RIGHT(D60,5),_xlfn.CONCAT(H60,"01",RIGHT(D60,1))))</f>
        <v>SMS02</v>
      </c>
      <c r="J60" s="169" t="str">
        <f t="shared" ref="J60:J125" si="1">C60</f>
        <v>SMS</v>
      </c>
      <c r="L60" s="167" t="str">
        <f t="shared" ref="L60:L125" si="2">D60</f>
        <v>10101PP002</v>
      </c>
    </row>
    <row r="61" spans="2:12" outlineLevel="1" x14ac:dyDescent="0.25">
      <c r="B61" s="169" t="s">
        <v>2549</v>
      </c>
      <c r="C61" s="169" t="s">
        <v>2549</v>
      </c>
      <c r="D61" s="169" t="s">
        <v>1617</v>
      </c>
      <c r="E61" s="169" t="s">
        <v>1618</v>
      </c>
      <c r="H61" s="171" t="s">
        <v>2549</v>
      </c>
      <c r="I61" s="171" t="str">
        <f t="shared" si="0"/>
        <v>SMS03</v>
      </c>
      <c r="J61" s="169" t="str">
        <f t="shared" si="1"/>
        <v>SMS</v>
      </c>
      <c r="L61" s="167" t="str">
        <f t="shared" si="2"/>
        <v>10101PP003</v>
      </c>
    </row>
    <row r="62" spans="2:12" outlineLevel="1" x14ac:dyDescent="0.25">
      <c r="B62" s="169" t="s">
        <v>2549</v>
      </c>
      <c r="C62" s="169" t="s">
        <v>2549</v>
      </c>
      <c r="D62" s="169" t="s">
        <v>1619</v>
      </c>
      <c r="E62" s="169" t="s">
        <v>1620</v>
      </c>
      <c r="H62" s="171" t="s">
        <v>2549</v>
      </c>
      <c r="I62" s="171" t="str">
        <f t="shared" si="0"/>
        <v>SMS04</v>
      </c>
      <c r="J62" s="169" t="str">
        <f t="shared" si="1"/>
        <v>SMS</v>
      </c>
      <c r="L62" s="167" t="str">
        <f t="shared" si="2"/>
        <v>10101PP004</v>
      </c>
    </row>
    <row r="63" spans="2:12" outlineLevel="1" x14ac:dyDescent="0.25">
      <c r="B63" s="169" t="s">
        <v>2549</v>
      </c>
      <c r="C63" s="169" t="s">
        <v>2549</v>
      </c>
      <c r="D63" s="169" t="s">
        <v>1621</v>
      </c>
      <c r="E63" s="169" t="s">
        <v>1622</v>
      </c>
      <c r="H63" s="171" t="s">
        <v>2549</v>
      </c>
      <c r="I63" s="171" t="str">
        <f t="shared" si="0"/>
        <v>SMS05</v>
      </c>
      <c r="J63" s="169" t="str">
        <f t="shared" si="1"/>
        <v>SMS</v>
      </c>
      <c r="L63" s="167" t="str">
        <f t="shared" si="2"/>
        <v>10101PP005</v>
      </c>
    </row>
    <row r="64" spans="2:12" outlineLevel="1" x14ac:dyDescent="0.25">
      <c r="B64" s="169" t="s">
        <v>2549</v>
      </c>
      <c r="C64" s="169" t="s">
        <v>2549</v>
      </c>
      <c r="D64" s="169" t="s">
        <v>1623</v>
      </c>
      <c r="E64" s="169" t="s">
        <v>1624</v>
      </c>
      <c r="H64" s="171" t="s">
        <v>2549</v>
      </c>
      <c r="I64" s="171" t="str">
        <f t="shared" si="0"/>
        <v>SMS06</v>
      </c>
      <c r="J64" s="169" t="str">
        <f t="shared" si="1"/>
        <v>SMS</v>
      </c>
      <c r="L64" s="167" t="str">
        <f t="shared" si="2"/>
        <v>10101PP006</v>
      </c>
    </row>
    <row r="65" spans="2:12" outlineLevel="1" x14ac:dyDescent="0.25">
      <c r="B65" s="169" t="s">
        <v>2549</v>
      </c>
      <c r="C65" s="169" t="s">
        <v>2549</v>
      </c>
      <c r="D65" s="169" t="s">
        <v>1625</v>
      </c>
      <c r="E65" s="169" t="s">
        <v>1626</v>
      </c>
      <c r="H65" s="171" t="s">
        <v>2549</v>
      </c>
      <c r="I65" s="171" t="str">
        <f t="shared" si="0"/>
        <v>SMS07</v>
      </c>
      <c r="J65" s="169" t="str">
        <f t="shared" si="1"/>
        <v>SMS</v>
      </c>
      <c r="L65" s="167" t="str">
        <f t="shared" si="2"/>
        <v>10101PP007</v>
      </c>
    </row>
    <row r="66" spans="2:12" outlineLevel="1" x14ac:dyDescent="0.25">
      <c r="B66" s="169" t="s">
        <v>2550</v>
      </c>
      <c r="C66" s="169" t="s">
        <v>2550</v>
      </c>
      <c r="D66" s="169" t="s">
        <v>1627</v>
      </c>
      <c r="E66" s="169" t="s">
        <v>2551</v>
      </c>
      <c r="H66" s="171" t="s">
        <v>2549</v>
      </c>
      <c r="I66" s="171" t="str">
        <f>IF(MID(D66,6,2)="PP",_xlfn.CONCAT(H66,RIGHT(D66,2)),IF(MID(D66,6,2)="SU",RIGHT(D66,5),_xlfn.CONCAT(H66,"1",RIGHT(D66,1))))</f>
        <v>SMS11</v>
      </c>
      <c r="J66" s="169" t="str">
        <f t="shared" si="1"/>
        <v>ELECTRICAL</v>
      </c>
      <c r="L66" s="167" t="str">
        <f t="shared" si="2"/>
        <v>10101PS001</v>
      </c>
    </row>
    <row r="67" spans="2:12" outlineLevel="1" x14ac:dyDescent="0.25">
      <c r="B67" s="169" t="s">
        <v>2552</v>
      </c>
      <c r="C67" s="169" t="s">
        <v>2552</v>
      </c>
      <c r="D67" s="169" t="s">
        <v>1629</v>
      </c>
      <c r="E67" s="169" t="s">
        <v>2553</v>
      </c>
      <c r="H67" s="171" t="s">
        <v>2549</v>
      </c>
      <c r="I67" s="171" t="str">
        <f t="shared" ref="I67:I73" si="3">IF(MID(D67,6,2)="PP",_xlfn.CONCAT(H67,RIGHT(D67,2)),IF(MID(D67,6,2)="SU",RIGHT(D67,5),_xlfn.CONCAT(H67,"1",RIGHT(D67,1))))</f>
        <v>SMS12</v>
      </c>
      <c r="J67" s="169" t="str">
        <f t="shared" si="1"/>
        <v>MECHANICAL</v>
      </c>
      <c r="L67" s="167" t="str">
        <f t="shared" si="2"/>
        <v>10101PS002</v>
      </c>
    </row>
    <row r="68" spans="2:12" outlineLevel="1" x14ac:dyDescent="0.25">
      <c r="B68" s="169" t="s">
        <v>1737</v>
      </c>
      <c r="C68" s="169" t="s">
        <v>1737</v>
      </c>
      <c r="D68" s="169" t="s">
        <v>1631</v>
      </c>
      <c r="E68" s="169" t="s">
        <v>2554</v>
      </c>
      <c r="H68" s="171" t="s">
        <v>2549</v>
      </c>
      <c r="I68" s="171" t="str">
        <f t="shared" si="3"/>
        <v>SMS13</v>
      </c>
      <c r="J68" s="169" t="str">
        <f t="shared" si="1"/>
        <v>PPIC</v>
      </c>
      <c r="L68" s="167" t="str">
        <f t="shared" si="2"/>
        <v>10101PS003</v>
      </c>
    </row>
    <row r="69" spans="2:12" outlineLevel="1" x14ac:dyDescent="0.25">
      <c r="B69" s="169" t="s">
        <v>1873</v>
      </c>
      <c r="C69" s="169" t="s">
        <v>1873</v>
      </c>
      <c r="D69" s="169" t="s">
        <v>1633</v>
      </c>
      <c r="E69" s="169" t="s">
        <v>2555</v>
      </c>
      <c r="H69" s="171" t="s">
        <v>2549</v>
      </c>
      <c r="I69" s="171" t="str">
        <f t="shared" si="3"/>
        <v>SMS14</v>
      </c>
      <c r="J69" s="169" t="str">
        <f t="shared" si="1"/>
        <v>QAQC</v>
      </c>
      <c r="L69" s="167" t="str">
        <f t="shared" si="2"/>
        <v>10101PS004</v>
      </c>
    </row>
    <row r="70" spans="2:12" outlineLevel="1" x14ac:dyDescent="0.25">
      <c r="B70" s="169" t="s">
        <v>2549</v>
      </c>
      <c r="C70" s="169" t="s">
        <v>2549</v>
      </c>
      <c r="D70" s="169" t="s">
        <v>1635</v>
      </c>
      <c r="E70" s="169" t="s">
        <v>2556</v>
      </c>
      <c r="H70" s="171" t="s">
        <v>2549</v>
      </c>
      <c r="I70" s="171" t="str">
        <f t="shared" si="3"/>
        <v>SMS15</v>
      </c>
      <c r="J70" s="169" t="str">
        <f t="shared" si="1"/>
        <v>SMS</v>
      </c>
      <c r="L70" s="167" t="str">
        <f t="shared" si="2"/>
        <v>10101PS005</v>
      </c>
    </row>
    <row r="71" spans="2:12" outlineLevel="1" x14ac:dyDescent="0.25">
      <c r="B71" s="169" t="s">
        <v>2549</v>
      </c>
      <c r="C71" s="169" t="s">
        <v>2549</v>
      </c>
      <c r="D71" s="169" t="s">
        <v>1637</v>
      </c>
      <c r="E71" s="169" t="s">
        <v>2557</v>
      </c>
      <c r="H71" s="171" t="s">
        <v>2549</v>
      </c>
      <c r="I71" s="171" t="str">
        <f t="shared" si="3"/>
        <v>SMS16</v>
      </c>
      <c r="J71" s="169" t="str">
        <f t="shared" si="1"/>
        <v>SMS</v>
      </c>
      <c r="L71" s="167" t="str">
        <f t="shared" si="2"/>
        <v>10101PS006</v>
      </c>
    </row>
    <row r="72" spans="2:12" outlineLevel="1" x14ac:dyDescent="0.25">
      <c r="B72" s="169" t="s">
        <v>2549</v>
      </c>
      <c r="C72" s="169" t="s">
        <v>2549</v>
      </c>
      <c r="D72" s="169" t="s">
        <v>1639</v>
      </c>
      <c r="E72" s="169" t="s">
        <v>2558</v>
      </c>
      <c r="H72" s="171" t="s">
        <v>2549</v>
      </c>
      <c r="I72" s="171" t="str">
        <f t="shared" si="3"/>
        <v>SMS17</v>
      </c>
      <c r="J72" s="169" t="str">
        <f t="shared" si="1"/>
        <v>SMS</v>
      </c>
      <c r="L72" s="167" t="str">
        <f t="shared" si="2"/>
        <v>10101PS007</v>
      </c>
    </row>
    <row r="73" spans="2:12" outlineLevel="1" x14ac:dyDescent="0.25">
      <c r="B73" s="169" t="s">
        <v>2549</v>
      </c>
      <c r="C73" s="169" t="s">
        <v>2549</v>
      </c>
      <c r="D73" s="169" t="s">
        <v>1641</v>
      </c>
      <c r="E73" s="169" t="s">
        <v>2559</v>
      </c>
      <c r="H73" s="171" t="s">
        <v>2549</v>
      </c>
      <c r="I73" s="171" t="str">
        <f t="shared" si="3"/>
        <v>SMS18</v>
      </c>
      <c r="J73" s="169" t="str">
        <f t="shared" si="1"/>
        <v>SMS</v>
      </c>
      <c r="L73" s="167" t="str">
        <f t="shared" si="2"/>
        <v>10101PS008</v>
      </c>
    </row>
    <row r="74" spans="2:12" outlineLevel="1" x14ac:dyDescent="0.25">
      <c r="B74" s="169" t="s">
        <v>1812</v>
      </c>
      <c r="C74" s="169" t="s">
        <v>1812</v>
      </c>
      <c r="D74" s="169" t="s">
        <v>1643</v>
      </c>
      <c r="E74" s="169" t="s">
        <v>1644</v>
      </c>
      <c r="H74" s="171" t="s">
        <v>1812</v>
      </c>
      <c r="I74" s="171" t="str">
        <f>IF(MID(D74,6,2)="PP",_xlfn.CONCAT(H74,RIGHT(D74,3)),IF(MID(D74,6,2)="SU",RIGHT(D74,5),_xlfn.CONCAT(H74,"01",RIGHT(D74,1))))</f>
        <v>BP001</v>
      </c>
      <c r="J74" s="169" t="str">
        <f t="shared" si="1"/>
        <v>BP</v>
      </c>
      <c r="L74" s="167" t="str">
        <f t="shared" si="2"/>
        <v>10103PP001</v>
      </c>
    </row>
    <row r="75" spans="2:12" outlineLevel="1" x14ac:dyDescent="0.25">
      <c r="B75" s="169" t="s">
        <v>1812</v>
      </c>
      <c r="C75" s="169" t="s">
        <v>1812</v>
      </c>
      <c r="D75" s="169" t="s">
        <v>1659</v>
      </c>
      <c r="E75" s="169" t="s">
        <v>1660</v>
      </c>
      <c r="H75" s="171" t="s">
        <v>1812</v>
      </c>
      <c r="I75" s="171" t="str">
        <f t="shared" ref="I75:I76" si="4">IF(MID(D75,6,2)="PP",_xlfn.CONCAT(H75,RIGHT(D75,3)),IF(MID(D75,6,2)="SU",RIGHT(D75,5),_xlfn.CONCAT(H75,"01",RIGHT(D75,1))))</f>
        <v>BP009</v>
      </c>
      <c r="J75" s="169" t="str">
        <f t="shared" si="1"/>
        <v>BP</v>
      </c>
      <c r="L75" s="167" t="str">
        <f t="shared" si="2"/>
        <v>10103PP009</v>
      </c>
    </row>
    <row r="76" spans="2:12" outlineLevel="1" x14ac:dyDescent="0.25">
      <c r="B76" s="169" t="s">
        <v>1812</v>
      </c>
      <c r="C76" s="169" t="s">
        <v>1812</v>
      </c>
      <c r="D76" s="169" t="s">
        <v>1661</v>
      </c>
      <c r="E76" s="169" t="s">
        <v>1662</v>
      </c>
      <c r="H76" s="171" t="s">
        <v>1812</v>
      </c>
      <c r="I76" s="171" t="str">
        <f t="shared" si="4"/>
        <v>BP010</v>
      </c>
      <c r="J76" s="169" t="str">
        <f t="shared" si="1"/>
        <v>BP</v>
      </c>
      <c r="L76" s="167" t="str">
        <f t="shared" si="2"/>
        <v>10103PP010</v>
      </c>
    </row>
    <row r="77" spans="2:12" outlineLevel="1" x14ac:dyDescent="0.25">
      <c r="B77" s="169" t="s">
        <v>2550</v>
      </c>
      <c r="C77" s="169" t="s">
        <v>2550</v>
      </c>
      <c r="D77" s="169" t="s">
        <v>1663</v>
      </c>
      <c r="E77" s="169" t="s">
        <v>2560</v>
      </c>
      <c r="H77" s="171" t="s">
        <v>1812</v>
      </c>
      <c r="I77" s="171" t="str">
        <f>IF(MID(D77,6,2)="PP",_xlfn.CONCAT(H77,RIGHT(D77,2)),IF(MID(D77,6,2)="SU",RIGHT(D77,5),_xlfn.CONCAT(H77,"01",RIGHT(D77,1))))</f>
        <v>BP011</v>
      </c>
      <c r="J77" s="169" t="str">
        <f t="shared" si="1"/>
        <v>ELECTRICAL</v>
      </c>
      <c r="L77" s="167" t="str">
        <f t="shared" si="2"/>
        <v>10103PS001</v>
      </c>
    </row>
    <row r="78" spans="2:12" outlineLevel="1" x14ac:dyDescent="0.25">
      <c r="B78" s="169" t="s">
        <v>2552</v>
      </c>
      <c r="C78" s="169" t="s">
        <v>2552</v>
      </c>
      <c r="D78" s="169" t="s">
        <v>1665</v>
      </c>
      <c r="E78" s="169" t="s">
        <v>2561</v>
      </c>
      <c r="H78" s="171" t="s">
        <v>1812</v>
      </c>
      <c r="I78" s="171" t="str">
        <f t="shared" si="0"/>
        <v>BP012</v>
      </c>
      <c r="J78" s="169" t="str">
        <f t="shared" si="1"/>
        <v>MECHANICAL</v>
      </c>
      <c r="L78" s="167" t="str">
        <f t="shared" si="2"/>
        <v>10103PS002</v>
      </c>
    </row>
    <row r="79" spans="2:12" outlineLevel="1" x14ac:dyDescent="0.25">
      <c r="B79" s="169" t="s">
        <v>1737</v>
      </c>
      <c r="C79" s="169" t="s">
        <v>1737</v>
      </c>
      <c r="D79" s="169" t="s">
        <v>1667</v>
      </c>
      <c r="E79" s="169" t="s">
        <v>2562</v>
      </c>
      <c r="H79" s="171" t="s">
        <v>1812</v>
      </c>
      <c r="I79" s="171" t="str">
        <f t="shared" si="0"/>
        <v>BP013</v>
      </c>
      <c r="J79" s="169" t="str">
        <f t="shared" si="1"/>
        <v>PPIC</v>
      </c>
      <c r="L79" s="167" t="str">
        <f t="shared" si="2"/>
        <v>10103PS003</v>
      </c>
    </row>
    <row r="80" spans="2:12" outlineLevel="1" x14ac:dyDescent="0.25">
      <c r="B80" s="169" t="s">
        <v>1873</v>
      </c>
      <c r="C80" s="169" t="s">
        <v>1873</v>
      </c>
      <c r="D80" s="169" t="s">
        <v>1669</v>
      </c>
      <c r="E80" s="169" t="s">
        <v>2563</v>
      </c>
      <c r="H80" s="171" t="s">
        <v>1812</v>
      </c>
      <c r="I80" s="171" t="str">
        <f t="shared" si="0"/>
        <v>BP014</v>
      </c>
      <c r="J80" s="169" t="str">
        <f t="shared" si="1"/>
        <v>QAQC</v>
      </c>
      <c r="L80" s="167" t="str">
        <f t="shared" si="2"/>
        <v>10103PS004</v>
      </c>
    </row>
    <row r="81" spans="2:12" outlineLevel="1" x14ac:dyDescent="0.25">
      <c r="B81" s="169" t="s">
        <v>1812</v>
      </c>
      <c r="C81" s="169" t="s">
        <v>1812</v>
      </c>
      <c r="D81" s="169" t="s">
        <v>1673</v>
      </c>
      <c r="E81" s="169" t="s">
        <v>1674</v>
      </c>
      <c r="H81" s="171" t="s">
        <v>1812</v>
      </c>
      <c r="I81" s="171" t="str">
        <f t="shared" si="0"/>
        <v>BP016</v>
      </c>
      <c r="J81" s="169" t="str">
        <f t="shared" si="1"/>
        <v>BP</v>
      </c>
      <c r="L81" s="167" t="str">
        <f t="shared" si="2"/>
        <v>10103PS006</v>
      </c>
    </row>
    <row r="82" spans="2:12" outlineLevel="1" x14ac:dyDescent="0.25">
      <c r="B82" s="169" t="s">
        <v>252</v>
      </c>
      <c r="C82" s="169" t="s">
        <v>1806</v>
      </c>
      <c r="D82" s="169" t="s">
        <v>1577</v>
      </c>
      <c r="E82" s="169" t="s">
        <v>2564</v>
      </c>
      <c r="H82" s="171" t="s">
        <v>1806</v>
      </c>
      <c r="I82" s="171" t="str">
        <f t="shared" si="0"/>
        <v>LSM01</v>
      </c>
      <c r="J82" s="169" t="str">
        <f t="shared" si="1"/>
        <v>LSM</v>
      </c>
      <c r="L82" s="167" t="str">
        <f t="shared" si="2"/>
        <v>10131PP001</v>
      </c>
    </row>
    <row r="83" spans="2:12" outlineLevel="1" x14ac:dyDescent="0.25">
      <c r="B83" s="169" t="s">
        <v>1806</v>
      </c>
      <c r="C83" s="169" t="s">
        <v>1806</v>
      </c>
      <c r="D83" s="169" t="s">
        <v>1593</v>
      </c>
      <c r="E83" s="169" t="s">
        <v>2565</v>
      </c>
      <c r="H83" s="171" t="s">
        <v>1806</v>
      </c>
      <c r="I83" s="171" t="str">
        <f t="shared" si="0"/>
        <v>LSM09</v>
      </c>
      <c r="J83" s="169" t="str">
        <f t="shared" si="1"/>
        <v>LSM</v>
      </c>
      <c r="L83" s="167" t="str">
        <f t="shared" si="2"/>
        <v>10131PP009</v>
      </c>
    </row>
    <row r="84" spans="2:12" outlineLevel="1" x14ac:dyDescent="0.25">
      <c r="B84" s="400" t="s">
        <v>1806</v>
      </c>
      <c r="C84" s="400" t="s">
        <v>1806</v>
      </c>
      <c r="D84" s="400" t="s">
        <v>1595</v>
      </c>
      <c r="E84" s="400" t="s">
        <v>2621</v>
      </c>
      <c r="F84" s="167" t="s">
        <v>2655</v>
      </c>
      <c r="H84" s="171" t="s">
        <v>1806</v>
      </c>
      <c r="I84" s="171" t="str">
        <f t="shared" si="0"/>
        <v>LSM10</v>
      </c>
      <c r="J84" s="169" t="str">
        <f t="shared" si="1"/>
        <v>LSM</v>
      </c>
      <c r="L84" s="167" t="str">
        <f t="shared" si="2"/>
        <v>10131PP010</v>
      </c>
    </row>
    <row r="85" spans="2:12" outlineLevel="1" x14ac:dyDescent="0.25">
      <c r="B85" s="169" t="s">
        <v>2550</v>
      </c>
      <c r="C85" s="169" t="s">
        <v>2550</v>
      </c>
      <c r="D85" s="169" t="s">
        <v>1597</v>
      </c>
      <c r="E85" s="169" t="s">
        <v>2566</v>
      </c>
      <c r="H85" s="171" t="s">
        <v>1806</v>
      </c>
      <c r="I85" s="171" t="str">
        <f>IF(MID(D85,6,2)="PP",_xlfn.CONCAT(H85,RIGHT(D85,2)),IF(MID(D85,6,2)="SU",RIGHT(D85,5),_xlfn.CONCAT(H85,"1",RIGHT(D85,1))))</f>
        <v>LSM11</v>
      </c>
      <c r="J85" s="169" t="str">
        <f t="shared" si="1"/>
        <v>ELECTRICAL</v>
      </c>
      <c r="L85" s="167" t="str">
        <f t="shared" si="2"/>
        <v>10131PS001</v>
      </c>
    </row>
    <row r="86" spans="2:12" outlineLevel="1" x14ac:dyDescent="0.25">
      <c r="B86" s="169" t="s">
        <v>2552</v>
      </c>
      <c r="C86" s="169" t="s">
        <v>2552</v>
      </c>
      <c r="D86" s="169" t="s">
        <v>1599</v>
      </c>
      <c r="E86" s="169" t="s">
        <v>2567</v>
      </c>
      <c r="H86" s="171" t="s">
        <v>1806</v>
      </c>
      <c r="I86" s="171" t="str">
        <f>IF(MID(D86,6,2)="PP",_xlfn.CONCAT(H86,RIGHT(D86,2)),IF(MID(D86,6,2)="SU",RIGHT(D86,5),_xlfn.CONCAT(H86,"1",RIGHT(D86,1))))</f>
        <v>LSM12</v>
      </c>
      <c r="J86" s="169" t="str">
        <f t="shared" si="1"/>
        <v>MECHANICAL</v>
      </c>
      <c r="L86" s="167" t="str">
        <f t="shared" si="2"/>
        <v>10131PS002</v>
      </c>
    </row>
    <row r="87" spans="2:12" outlineLevel="1" x14ac:dyDescent="0.25">
      <c r="B87" s="169" t="s">
        <v>1737</v>
      </c>
      <c r="C87" s="169" t="s">
        <v>1737</v>
      </c>
      <c r="D87" s="169" t="s">
        <v>1601</v>
      </c>
      <c r="E87" s="169" t="s">
        <v>2568</v>
      </c>
      <c r="H87" s="171" t="s">
        <v>1806</v>
      </c>
      <c r="I87" s="171" t="str">
        <f>IF(MID(D87,6,2)="PP",_xlfn.CONCAT(H87,RIGHT(D87,2)),IF(MID(D87,6,2)="SU",RIGHT(D87,5),_xlfn.CONCAT(H87,"1",RIGHT(D87,1))))</f>
        <v>LSM13</v>
      </c>
      <c r="J87" s="169" t="str">
        <f t="shared" si="1"/>
        <v>PPIC</v>
      </c>
      <c r="L87" s="167" t="str">
        <f t="shared" si="2"/>
        <v>10131PS003</v>
      </c>
    </row>
    <row r="88" spans="2:12" outlineLevel="1" x14ac:dyDescent="0.25">
      <c r="B88" s="169" t="s">
        <v>1873</v>
      </c>
      <c r="C88" s="169" t="s">
        <v>1873</v>
      </c>
      <c r="D88" s="169" t="s">
        <v>1603</v>
      </c>
      <c r="E88" s="169" t="s">
        <v>2569</v>
      </c>
      <c r="H88" s="171" t="s">
        <v>1806</v>
      </c>
      <c r="I88" s="171" t="str">
        <f>IF(MID(D88,6,2)="PP",_xlfn.CONCAT(H88,RIGHT(D88,2)),IF(MID(D88,6,2)="SU",RIGHT(D88,5),_xlfn.CONCAT(H88,"1",RIGHT(D88,1))))</f>
        <v>LSM14</v>
      </c>
      <c r="J88" s="169" t="str">
        <f t="shared" si="1"/>
        <v>QAQC</v>
      </c>
      <c r="L88" s="167" t="str">
        <f t="shared" si="2"/>
        <v>10131PS004</v>
      </c>
    </row>
    <row r="89" spans="2:12" outlineLevel="1" x14ac:dyDescent="0.25">
      <c r="B89" s="169" t="s">
        <v>1806</v>
      </c>
      <c r="C89" s="169" t="s">
        <v>1806</v>
      </c>
      <c r="D89" s="169" t="s">
        <v>1607</v>
      </c>
      <c r="E89" s="169" t="s">
        <v>2570</v>
      </c>
      <c r="H89" s="171" t="s">
        <v>1806</v>
      </c>
      <c r="I89" s="171" t="str">
        <f>IF(MID(D89,6,2)="PP",_xlfn.CONCAT(H89,RIGHT(D89,2)),IF(MID(D89,6,2)="SU",RIGHT(D89,5),_xlfn.CONCAT(H89,"1",RIGHT(D89,1))))</f>
        <v>LSM16</v>
      </c>
      <c r="J89" s="169" t="str">
        <f t="shared" si="1"/>
        <v>LSM</v>
      </c>
      <c r="L89" s="167" t="str">
        <f t="shared" si="2"/>
        <v>10131PS006</v>
      </c>
    </row>
    <row r="90" spans="2:12" outlineLevel="1" x14ac:dyDescent="0.25">
      <c r="B90" s="169" t="s">
        <v>1814</v>
      </c>
      <c r="C90" s="169" t="s">
        <v>1814</v>
      </c>
      <c r="D90" s="169" t="s">
        <v>2571</v>
      </c>
      <c r="E90" s="169" t="s">
        <v>1814</v>
      </c>
      <c r="H90" s="171" t="s">
        <v>1814</v>
      </c>
      <c r="I90" s="171" t="str">
        <f>IF(MID(D90,6,2)="PP",_xlfn.CONCAT(H90,RIGHT(D90,2)),IF(MID(D90,6,2)="SU",RIGHT(D90,5),_xlfn.CONCAT(H90,"01",RIGHT(D90,1))))</f>
        <v>SU001</v>
      </c>
      <c r="J90" s="169" t="str">
        <f t="shared" si="1"/>
        <v>SSC</v>
      </c>
      <c r="L90" s="167" t="str">
        <f t="shared" si="2"/>
        <v>10202SU001</v>
      </c>
    </row>
    <row r="91" spans="2:12" outlineLevel="1" x14ac:dyDescent="0.25">
      <c r="B91" s="169" t="s">
        <v>1737</v>
      </c>
      <c r="C91" s="169" t="s">
        <v>1737</v>
      </c>
      <c r="D91" s="169" t="s">
        <v>1740</v>
      </c>
      <c r="E91" s="169" t="s">
        <v>2572</v>
      </c>
      <c r="H91" s="171" t="s">
        <v>1737</v>
      </c>
      <c r="I91" s="171" t="str">
        <f>IF(MID(D91,6,2)="PP",_xlfn.CONCAT(H91,RIGHT(D91,2)),IF(MID(D91,6,2)="SU",RIGHT(D91,5),_xlfn.CONCAT(H91,"01",RIGHT(D91,1))))</f>
        <v>SU006</v>
      </c>
      <c r="J91" s="169" t="str">
        <f t="shared" si="1"/>
        <v>PPIC</v>
      </c>
      <c r="L91" s="167" t="str">
        <f t="shared" si="2"/>
        <v>10202SU006</v>
      </c>
    </row>
    <row r="92" spans="2:12" outlineLevel="1" x14ac:dyDescent="0.25">
      <c r="B92" s="169" t="s">
        <v>1873</v>
      </c>
      <c r="C92" s="169" t="s">
        <v>1873</v>
      </c>
      <c r="D92" s="169" t="s">
        <v>1743</v>
      </c>
      <c r="E92" s="169" t="s">
        <v>2573</v>
      </c>
      <c r="H92" s="171" t="s">
        <v>1873</v>
      </c>
      <c r="I92" s="171" t="str">
        <f>IF(MID(D92,6,2)="PP",_xlfn.CONCAT(H92,RIGHT(D92,2)),IF(MID(D92,6,2)="SU",RIGHT(D92,5),_xlfn.CONCAT(H92,"01",RIGHT(D92,1))))</f>
        <v>SU007</v>
      </c>
      <c r="J92" s="169" t="str">
        <f t="shared" si="1"/>
        <v>QAQC</v>
      </c>
      <c r="L92" s="167" t="str">
        <f t="shared" si="2"/>
        <v>10202SU007</v>
      </c>
    </row>
    <row r="93" spans="2:12" outlineLevel="1" x14ac:dyDescent="0.25">
      <c r="B93" s="169" t="s">
        <v>2550</v>
      </c>
      <c r="C93" s="169" t="s">
        <v>2550</v>
      </c>
      <c r="D93" s="169" t="s">
        <v>2574</v>
      </c>
      <c r="E93" s="169" t="s">
        <v>2575</v>
      </c>
      <c r="H93" s="171" t="s">
        <v>1736</v>
      </c>
      <c r="I93" s="171" t="str">
        <f>IF(MID(D93,6,2)="PP",_xlfn.CONCAT(H93,RIGHT(D93,2)),IF(MID(D93,6,2)="SU",RIGHT(D93,5),_xlfn.CONCAT(H93,"01",RIGHT(D93,1))))</f>
        <v>SU009</v>
      </c>
      <c r="J93" s="169" t="str">
        <f t="shared" si="1"/>
        <v>ELECTRICAL</v>
      </c>
      <c r="L93" s="167" t="str">
        <f t="shared" si="2"/>
        <v>10202SU009</v>
      </c>
    </row>
    <row r="94" spans="2:12" outlineLevel="1" x14ac:dyDescent="0.25">
      <c r="B94" s="169" t="s">
        <v>2576</v>
      </c>
      <c r="C94" s="169" t="s">
        <v>2576</v>
      </c>
      <c r="D94" s="169" t="s">
        <v>2577</v>
      </c>
      <c r="E94" s="169" t="s">
        <v>2578</v>
      </c>
      <c r="H94" s="171" t="s">
        <v>2576</v>
      </c>
      <c r="I94" s="171" t="str">
        <f>IF(MID(D94,6,2)="PP",_xlfn.CONCAT(H94,RIGHT(D94,2)),IF(MID(D94,6,2)="SU",RIGHT(D94,5),_xlfn.CONCAT(H94,"01",RIGHT(D94,1))))</f>
        <v>SU017</v>
      </c>
      <c r="J94" s="169" t="str">
        <f t="shared" si="1"/>
        <v>MSN</v>
      </c>
      <c r="L94" s="167" t="str">
        <f t="shared" si="2"/>
        <v>10202SU017</v>
      </c>
    </row>
    <row r="95" spans="2:12" outlineLevel="1" x14ac:dyDescent="0.25">
      <c r="B95" s="169" t="s">
        <v>2579</v>
      </c>
      <c r="C95" s="169" t="s">
        <v>2580</v>
      </c>
      <c r="D95" s="169" t="s">
        <v>266</v>
      </c>
      <c r="E95" s="169" t="s">
        <v>353</v>
      </c>
      <c r="H95" s="171" t="s">
        <v>2581</v>
      </c>
      <c r="I95" s="171" t="str">
        <f>RIGHT(D95,5)</f>
        <v>BD001</v>
      </c>
      <c r="J95" s="169" t="str">
        <f t="shared" si="1"/>
        <v>Board of Directors</v>
      </c>
      <c r="L95" s="167" t="str">
        <f t="shared" si="2"/>
        <v>10301BD001</v>
      </c>
    </row>
    <row r="96" spans="2:12" outlineLevel="1" x14ac:dyDescent="0.25">
      <c r="B96" s="169" t="s">
        <v>2579</v>
      </c>
      <c r="C96" s="169" t="s">
        <v>2580</v>
      </c>
      <c r="D96" s="169" t="s">
        <v>2582</v>
      </c>
      <c r="E96" s="169" t="s">
        <v>2583</v>
      </c>
      <c r="H96" s="171" t="s">
        <v>2581</v>
      </c>
      <c r="I96" s="171" t="str">
        <f t="shared" ref="I96:I146" si="5">RIGHT(D96,5)</f>
        <v>BD002</v>
      </c>
      <c r="J96" s="169" t="str">
        <f t="shared" si="1"/>
        <v>Board of Directors</v>
      </c>
      <c r="L96" s="167" t="str">
        <f t="shared" si="2"/>
        <v>10301BD002</v>
      </c>
    </row>
    <row r="97" spans="2:12" outlineLevel="1" x14ac:dyDescent="0.25">
      <c r="B97" s="169" t="s">
        <v>2579</v>
      </c>
      <c r="C97" s="169" t="s">
        <v>20</v>
      </c>
      <c r="D97" s="169" t="s">
        <v>267</v>
      </c>
      <c r="E97" s="169" t="s">
        <v>356</v>
      </c>
      <c r="H97" s="171" t="s">
        <v>2581</v>
      </c>
      <c r="I97" s="171" t="str">
        <f t="shared" si="5"/>
        <v>CP001</v>
      </c>
      <c r="J97" s="169" t="str">
        <f t="shared" si="1"/>
        <v>Corp. Planning &amp; Sustainability</v>
      </c>
      <c r="L97" s="167" t="str">
        <f t="shared" si="2"/>
        <v>10301CP001</v>
      </c>
    </row>
    <row r="98" spans="2:12" outlineLevel="1" x14ac:dyDescent="0.25">
      <c r="B98" s="169" t="s">
        <v>2579</v>
      </c>
      <c r="C98" s="169" t="s">
        <v>21</v>
      </c>
      <c r="D98" s="169" t="s">
        <v>272</v>
      </c>
      <c r="E98" s="169" t="s">
        <v>393</v>
      </c>
      <c r="H98" s="171" t="s">
        <v>2581</v>
      </c>
      <c r="I98" s="171" t="str">
        <f t="shared" si="5"/>
        <v>IA001</v>
      </c>
      <c r="J98" s="169" t="str">
        <f t="shared" si="1"/>
        <v>Internal Audit</v>
      </c>
      <c r="L98" s="167" t="str">
        <f t="shared" si="2"/>
        <v>10301IA001</v>
      </c>
    </row>
    <row r="99" spans="2:12" outlineLevel="1" x14ac:dyDescent="0.25">
      <c r="B99" s="400" t="s">
        <v>2579</v>
      </c>
      <c r="C99" s="400" t="s">
        <v>2658</v>
      </c>
      <c r="D99" s="400"/>
      <c r="E99" s="400" t="s">
        <v>2659</v>
      </c>
      <c r="F99" s="167" t="s">
        <v>2655</v>
      </c>
      <c r="H99" s="171" t="s">
        <v>2581</v>
      </c>
      <c r="I99" s="171" t="str">
        <f t="shared" si="5"/>
        <v/>
      </c>
      <c r="J99" s="169" t="str">
        <f t="shared" si="1"/>
        <v>Sustainability</v>
      </c>
      <c r="L99" s="167">
        <f t="shared" si="2"/>
        <v>0</v>
      </c>
    </row>
    <row r="100" spans="2:12" outlineLevel="1" x14ac:dyDescent="0.25">
      <c r="B100" s="400" t="s">
        <v>2579</v>
      </c>
      <c r="C100" s="400" t="s">
        <v>2687</v>
      </c>
      <c r="D100" s="400"/>
      <c r="E100" s="400" t="s">
        <v>2698</v>
      </c>
      <c r="F100" s="167" t="s">
        <v>2655</v>
      </c>
      <c r="H100" s="171" t="s">
        <v>2581</v>
      </c>
      <c r="I100" s="171" t="str">
        <f t="shared" si="5"/>
        <v/>
      </c>
      <c r="J100" s="169" t="str">
        <f t="shared" si="1"/>
        <v>Project Management</v>
      </c>
      <c r="L100" s="167">
        <f t="shared" si="2"/>
        <v>0</v>
      </c>
    </row>
    <row r="101" spans="2:12" outlineLevel="1" x14ac:dyDescent="0.25">
      <c r="B101" s="169" t="s">
        <v>2584</v>
      </c>
      <c r="C101" s="169" t="s">
        <v>2585</v>
      </c>
      <c r="D101" s="169" t="s">
        <v>274</v>
      </c>
      <c r="E101" s="169" t="s">
        <v>354</v>
      </c>
      <c r="H101" s="171" t="s">
        <v>2586</v>
      </c>
      <c r="I101" s="171" t="str">
        <f t="shared" si="5"/>
        <v>CL001</v>
      </c>
      <c r="J101" s="169" t="str">
        <f t="shared" si="1"/>
        <v>General Counsel</v>
      </c>
      <c r="L101" s="167" t="str">
        <f t="shared" si="2"/>
        <v>10301CL001</v>
      </c>
    </row>
    <row r="102" spans="2:12" outlineLevel="1" x14ac:dyDescent="0.25">
      <c r="B102" s="169" t="s">
        <v>2584</v>
      </c>
      <c r="C102" s="169" t="s">
        <v>2587</v>
      </c>
      <c r="D102" s="169" t="s">
        <v>290</v>
      </c>
      <c r="E102" s="169" t="s">
        <v>358</v>
      </c>
      <c r="H102" s="171" t="s">
        <v>2586</v>
      </c>
      <c r="I102" s="171" t="str">
        <f t="shared" si="5"/>
        <v>CS001</v>
      </c>
      <c r="J102" s="169" t="str">
        <f t="shared" si="1"/>
        <v>Compliance &amp; Governance</v>
      </c>
      <c r="L102" s="167" t="str">
        <f t="shared" si="2"/>
        <v>10301CS001</v>
      </c>
    </row>
    <row r="103" spans="2:12" outlineLevel="1" x14ac:dyDescent="0.25">
      <c r="B103" s="169" t="s">
        <v>2584</v>
      </c>
      <c r="C103" s="169" t="s">
        <v>2588</v>
      </c>
      <c r="D103" s="169" t="s">
        <v>298</v>
      </c>
      <c r="E103" s="169" t="s">
        <v>406</v>
      </c>
      <c r="H103" s="171" t="s">
        <v>2586</v>
      </c>
      <c r="I103" s="171" t="str">
        <f t="shared" si="5"/>
        <v>MS005</v>
      </c>
      <c r="J103" s="169" t="str">
        <f t="shared" si="1"/>
        <v>Permit &amp; Licensing</v>
      </c>
      <c r="L103" s="167" t="str">
        <f t="shared" si="2"/>
        <v>10301MS005</v>
      </c>
    </row>
    <row r="104" spans="2:12" outlineLevel="1" x14ac:dyDescent="0.25">
      <c r="B104" s="169" t="s">
        <v>2584</v>
      </c>
      <c r="C104" s="169" t="s">
        <v>2588</v>
      </c>
      <c r="D104" s="169" t="s">
        <v>275</v>
      </c>
      <c r="E104" s="169" t="s">
        <v>412</v>
      </c>
      <c r="H104" s="171" t="s">
        <v>2586</v>
      </c>
      <c r="I104" s="171" t="str">
        <f t="shared" si="5"/>
        <v>MS008</v>
      </c>
      <c r="J104" s="169" t="str">
        <f t="shared" si="1"/>
        <v>Permit &amp; Licensing</v>
      </c>
      <c r="L104" s="167" t="str">
        <f t="shared" si="2"/>
        <v>10301MS008</v>
      </c>
    </row>
    <row r="105" spans="2:12" outlineLevel="1" x14ac:dyDescent="0.25">
      <c r="B105" s="169" t="s">
        <v>361</v>
      </c>
      <c r="C105" s="169" t="s">
        <v>29</v>
      </c>
      <c r="D105" s="169" t="s">
        <v>277</v>
      </c>
      <c r="E105" s="169" t="s">
        <v>360</v>
      </c>
      <c r="H105" s="171" t="s">
        <v>361</v>
      </c>
      <c r="I105" s="171" t="str">
        <f t="shared" si="5"/>
        <v>FA001</v>
      </c>
      <c r="J105" s="169" t="str">
        <f t="shared" si="1"/>
        <v>Treasury &amp; Finance</v>
      </c>
      <c r="L105" s="167" t="str">
        <f t="shared" si="2"/>
        <v>10301FA001</v>
      </c>
    </row>
    <row r="106" spans="2:12" outlineLevel="1" x14ac:dyDescent="0.25">
      <c r="B106" s="169" t="s">
        <v>361</v>
      </c>
      <c r="C106" s="169" t="s">
        <v>2589</v>
      </c>
      <c r="D106" s="169" t="s">
        <v>265</v>
      </c>
      <c r="E106" s="169" t="s">
        <v>362</v>
      </c>
      <c r="H106" s="171" t="s">
        <v>361</v>
      </c>
      <c r="I106" s="171" t="str">
        <f t="shared" si="5"/>
        <v>FA002</v>
      </c>
      <c r="J106" s="169" t="str">
        <f t="shared" si="1"/>
        <v>Accounting &amp; Fixed Asset Management</v>
      </c>
      <c r="L106" s="167" t="str">
        <f t="shared" si="2"/>
        <v>10301FA002</v>
      </c>
    </row>
    <row r="107" spans="2:12" outlineLevel="1" x14ac:dyDescent="0.25">
      <c r="B107" s="169" t="s">
        <v>361</v>
      </c>
      <c r="C107" s="169" t="s">
        <v>28</v>
      </c>
      <c r="D107" s="169" t="s">
        <v>276</v>
      </c>
      <c r="E107" s="169" t="s">
        <v>363</v>
      </c>
      <c r="H107" s="171" t="s">
        <v>361</v>
      </c>
      <c r="I107" s="171" t="str">
        <f t="shared" si="5"/>
        <v>FA003</v>
      </c>
      <c r="J107" s="169" t="str">
        <f t="shared" si="1"/>
        <v>Taxation</v>
      </c>
      <c r="L107" s="167" t="str">
        <f t="shared" si="2"/>
        <v>10301FA003</v>
      </c>
    </row>
    <row r="108" spans="2:12" outlineLevel="1" x14ac:dyDescent="0.25">
      <c r="B108" s="169" t="s">
        <v>361</v>
      </c>
      <c r="C108" s="169" t="s">
        <v>27</v>
      </c>
      <c r="D108" s="169" t="s">
        <v>268</v>
      </c>
      <c r="E108" s="169" t="s">
        <v>364</v>
      </c>
      <c r="H108" s="171" t="s">
        <v>361</v>
      </c>
      <c r="I108" s="171" t="str">
        <f t="shared" si="5"/>
        <v>FA004</v>
      </c>
      <c r="J108" s="169" t="str">
        <f t="shared" si="1"/>
        <v>Financial Planning &amp; Analysis</v>
      </c>
      <c r="L108" s="167" t="str">
        <f t="shared" si="2"/>
        <v>10301FA004</v>
      </c>
    </row>
    <row r="109" spans="2:12" outlineLevel="1" x14ac:dyDescent="0.25">
      <c r="B109" s="169" t="s">
        <v>361</v>
      </c>
      <c r="C109" s="169" t="s">
        <v>29</v>
      </c>
      <c r="D109" s="169" t="s">
        <v>292</v>
      </c>
      <c r="E109" s="169" t="s">
        <v>366</v>
      </c>
      <c r="H109" s="171" t="s">
        <v>361</v>
      </c>
      <c r="I109" s="171" t="str">
        <f t="shared" si="5"/>
        <v>FA006</v>
      </c>
      <c r="J109" s="169" t="str">
        <f t="shared" si="1"/>
        <v>Treasury &amp; Finance</v>
      </c>
      <c r="L109" s="167" t="str">
        <f t="shared" si="2"/>
        <v>10301FA006</v>
      </c>
    </row>
    <row r="110" spans="2:12" outlineLevel="1" x14ac:dyDescent="0.25">
      <c r="B110" s="169" t="s">
        <v>361</v>
      </c>
      <c r="C110" s="169" t="s">
        <v>2589</v>
      </c>
      <c r="D110" s="169" t="s">
        <v>283</v>
      </c>
      <c r="E110" s="169" t="s">
        <v>367</v>
      </c>
      <c r="H110" s="171" t="s">
        <v>361</v>
      </c>
      <c r="I110" s="171" t="str">
        <f t="shared" si="5"/>
        <v>FA007</v>
      </c>
      <c r="J110" s="169" t="str">
        <f t="shared" si="1"/>
        <v>Accounting &amp; Fixed Asset Management</v>
      </c>
      <c r="L110" s="167" t="str">
        <f t="shared" si="2"/>
        <v>10301FA007</v>
      </c>
    </row>
    <row r="111" spans="2:12" outlineLevel="1" x14ac:dyDescent="0.25">
      <c r="B111" s="169" t="s">
        <v>361</v>
      </c>
      <c r="C111" s="169" t="s">
        <v>2589</v>
      </c>
      <c r="D111" s="169" t="s">
        <v>2590</v>
      </c>
      <c r="E111" s="169" t="s">
        <v>2591</v>
      </c>
      <c r="H111" s="171" t="s">
        <v>361</v>
      </c>
      <c r="I111" s="171" t="str">
        <f t="shared" si="5"/>
        <v>FA008</v>
      </c>
      <c r="J111" s="169" t="str">
        <f t="shared" si="1"/>
        <v>Accounting &amp; Fixed Asset Management</v>
      </c>
      <c r="L111" s="167" t="str">
        <f t="shared" si="2"/>
        <v>10301FA008</v>
      </c>
    </row>
    <row r="112" spans="2:12" outlineLevel="1" x14ac:dyDescent="0.25">
      <c r="B112" s="169" t="s">
        <v>2543</v>
      </c>
      <c r="C112" s="169" t="s">
        <v>30</v>
      </c>
      <c r="D112" s="169" t="s">
        <v>269</v>
      </c>
      <c r="E112" s="169" t="s">
        <v>371</v>
      </c>
      <c r="H112" s="171" t="s">
        <v>108</v>
      </c>
      <c r="I112" s="171" t="str">
        <f t="shared" si="5"/>
        <v>GA001</v>
      </c>
      <c r="J112" s="169" t="str">
        <f t="shared" si="1"/>
        <v>General Affairs</v>
      </c>
      <c r="L112" s="167" t="str">
        <f t="shared" si="2"/>
        <v>10301GA001</v>
      </c>
    </row>
    <row r="113" spans="2:12" outlineLevel="1" x14ac:dyDescent="0.25">
      <c r="B113" s="169" t="s">
        <v>2543</v>
      </c>
      <c r="C113" s="169" t="s">
        <v>30</v>
      </c>
      <c r="D113" s="169" t="s">
        <v>286</v>
      </c>
      <c r="E113" s="169" t="s">
        <v>372</v>
      </c>
      <c r="H113" s="171" t="s">
        <v>108</v>
      </c>
      <c r="I113" s="171" t="str">
        <f t="shared" si="5"/>
        <v>GA002</v>
      </c>
      <c r="J113" s="169" t="str">
        <f t="shared" si="1"/>
        <v>General Affairs</v>
      </c>
      <c r="L113" s="167" t="str">
        <f t="shared" si="2"/>
        <v>10301GA002</v>
      </c>
    </row>
    <row r="114" spans="2:12" outlineLevel="1" x14ac:dyDescent="0.25">
      <c r="B114" s="169" t="s">
        <v>2543</v>
      </c>
      <c r="C114" s="169" t="s">
        <v>30</v>
      </c>
      <c r="D114" s="169" t="s">
        <v>296</v>
      </c>
      <c r="E114" s="169" t="s">
        <v>373</v>
      </c>
      <c r="H114" s="171" t="s">
        <v>108</v>
      </c>
      <c r="I114" s="171" t="str">
        <f t="shared" si="5"/>
        <v>GA003</v>
      </c>
      <c r="J114" s="169" t="str">
        <f t="shared" si="1"/>
        <v>General Affairs</v>
      </c>
      <c r="L114" s="167" t="str">
        <f t="shared" si="2"/>
        <v>10301GA003</v>
      </c>
    </row>
    <row r="115" spans="2:12" outlineLevel="1" x14ac:dyDescent="0.25">
      <c r="B115" s="169" t="s">
        <v>2543</v>
      </c>
      <c r="C115" s="169" t="s">
        <v>30</v>
      </c>
      <c r="D115" s="169" t="s">
        <v>302</v>
      </c>
      <c r="E115" s="169" t="s">
        <v>374</v>
      </c>
      <c r="H115" s="171" t="s">
        <v>108</v>
      </c>
      <c r="I115" s="171" t="str">
        <f t="shared" si="5"/>
        <v>GA004</v>
      </c>
      <c r="J115" s="169" t="str">
        <f t="shared" si="1"/>
        <v>General Affairs</v>
      </c>
      <c r="L115" s="167" t="str">
        <f t="shared" si="2"/>
        <v>10301GA004</v>
      </c>
    </row>
    <row r="116" spans="2:12" outlineLevel="1" x14ac:dyDescent="0.25">
      <c r="B116" s="169" t="s">
        <v>2543</v>
      </c>
      <c r="C116" s="169" t="s">
        <v>30</v>
      </c>
      <c r="D116" s="169" t="s">
        <v>307</v>
      </c>
      <c r="E116" s="169" t="s">
        <v>375</v>
      </c>
      <c r="H116" s="171" t="s">
        <v>108</v>
      </c>
      <c r="I116" s="171" t="str">
        <f t="shared" si="5"/>
        <v>GA005</v>
      </c>
      <c r="J116" s="169" t="str">
        <f t="shared" si="1"/>
        <v>General Affairs</v>
      </c>
      <c r="L116" s="167" t="str">
        <f t="shared" si="2"/>
        <v>10301GA005</v>
      </c>
    </row>
    <row r="117" spans="2:12" outlineLevel="1" x14ac:dyDescent="0.25">
      <c r="B117" s="169" t="s">
        <v>2543</v>
      </c>
      <c r="C117" s="169" t="s">
        <v>30</v>
      </c>
      <c r="D117" s="169" t="s">
        <v>310</v>
      </c>
      <c r="E117" s="169" t="s">
        <v>378</v>
      </c>
      <c r="H117" s="171" t="s">
        <v>108</v>
      </c>
      <c r="I117" s="171" t="str">
        <f t="shared" si="5"/>
        <v>GA008</v>
      </c>
      <c r="J117" s="169" t="str">
        <f t="shared" si="1"/>
        <v>General Affairs</v>
      </c>
      <c r="L117" s="167" t="str">
        <f t="shared" si="2"/>
        <v>10301GA008</v>
      </c>
    </row>
    <row r="118" spans="2:12" outlineLevel="1" x14ac:dyDescent="0.25">
      <c r="B118" s="169" t="s">
        <v>2543</v>
      </c>
      <c r="C118" s="169" t="s">
        <v>31</v>
      </c>
      <c r="D118" s="169" t="s">
        <v>271</v>
      </c>
      <c r="E118" s="169" t="s">
        <v>381</v>
      </c>
      <c r="H118" s="171" t="s">
        <v>52</v>
      </c>
      <c r="I118" s="171" t="str">
        <f t="shared" si="5"/>
        <v>HR001</v>
      </c>
      <c r="J118" s="169" t="str">
        <f t="shared" si="1"/>
        <v>Human Resources</v>
      </c>
      <c r="L118" s="167" t="str">
        <f t="shared" si="2"/>
        <v>10301HR001</v>
      </c>
    </row>
    <row r="119" spans="2:12" outlineLevel="1" x14ac:dyDescent="0.25">
      <c r="B119" s="169" t="s">
        <v>2543</v>
      </c>
      <c r="C119" s="169" t="s">
        <v>31</v>
      </c>
      <c r="D119" s="169" t="s">
        <v>288</v>
      </c>
      <c r="E119" s="169" t="s">
        <v>382</v>
      </c>
      <c r="H119" s="171" t="s">
        <v>52</v>
      </c>
      <c r="I119" s="171" t="str">
        <f t="shared" si="5"/>
        <v>HR002</v>
      </c>
      <c r="J119" s="169" t="str">
        <f t="shared" si="1"/>
        <v>Human Resources</v>
      </c>
      <c r="L119" s="167" t="str">
        <f t="shared" si="2"/>
        <v>10301HR002</v>
      </c>
    </row>
    <row r="120" spans="2:12" outlineLevel="1" x14ac:dyDescent="0.25">
      <c r="B120" s="169" t="s">
        <v>2543</v>
      </c>
      <c r="C120" s="169" t="s">
        <v>31</v>
      </c>
      <c r="D120" s="169" t="s">
        <v>297</v>
      </c>
      <c r="E120" s="169" t="s">
        <v>383</v>
      </c>
      <c r="H120" s="171" t="s">
        <v>52</v>
      </c>
      <c r="I120" s="171" t="str">
        <f t="shared" si="5"/>
        <v>HR003</v>
      </c>
      <c r="J120" s="169" t="str">
        <f t="shared" si="1"/>
        <v>Human Resources</v>
      </c>
      <c r="L120" s="167" t="str">
        <f t="shared" si="2"/>
        <v>10301HR003</v>
      </c>
    </row>
    <row r="121" spans="2:12" outlineLevel="1" x14ac:dyDescent="0.25">
      <c r="B121" s="169" t="s">
        <v>2543</v>
      </c>
      <c r="C121" s="169" t="s">
        <v>31</v>
      </c>
      <c r="D121" s="169" t="s">
        <v>303</v>
      </c>
      <c r="E121" s="169" t="s">
        <v>384</v>
      </c>
      <c r="H121" s="171" t="s">
        <v>52</v>
      </c>
      <c r="I121" s="171" t="str">
        <f t="shared" si="5"/>
        <v>HR004</v>
      </c>
      <c r="J121" s="169" t="str">
        <f t="shared" si="1"/>
        <v>Human Resources</v>
      </c>
      <c r="L121" s="167" t="str">
        <f t="shared" si="2"/>
        <v>10301HR004</v>
      </c>
    </row>
    <row r="122" spans="2:12" outlineLevel="1" x14ac:dyDescent="0.25">
      <c r="B122" s="169" t="s">
        <v>2543</v>
      </c>
      <c r="C122" s="169" t="s">
        <v>31</v>
      </c>
      <c r="D122" s="169" t="s">
        <v>308</v>
      </c>
      <c r="E122" s="169" t="s">
        <v>385</v>
      </c>
      <c r="H122" s="171" t="s">
        <v>52</v>
      </c>
      <c r="I122" s="171" t="str">
        <f t="shared" si="5"/>
        <v>HR005</v>
      </c>
      <c r="J122" s="169" t="str">
        <f t="shared" si="1"/>
        <v>Human Resources</v>
      </c>
      <c r="L122" s="167" t="str">
        <f t="shared" si="2"/>
        <v>10301HR005</v>
      </c>
    </row>
    <row r="123" spans="2:12" outlineLevel="1" x14ac:dyDescent="0.25">
      <c r="B123" s="169" t="s">
        <v>2543</v>
      </c>
      <c r="C123" s="169" t="s">
        <v>31</v>
      </c>
      <c r="D123" s="169" t="s">
        <v>311</v>
      </c>
      <c r="E123" s="169" t="s">
        <v>387</v>
      </c>
      <c r="H123" s="171" t="s">
        <v>52</v>
      </c>
      <c r="I123" s="171" t="str">
        <f t="shared" si="5"/>
        <v>HR007</v>
      </c>
      <c r="J123" s="169" t="str">
        <f t="shared" si="1"/>
        <v>Human Resources</v>
      </c>
      <c r="L123" s="167" t="str">
        <f t="shared" si="2"/>
        <v>10301HR007</v>
      </c>
    </row>
    <row r="124" spans="2:12" outlineLevel="1" x14ac:dyDescent="0.25">
      <c r="B124" s="169" t="s">
        <v>2543</v>
      </c>
      <c r="C124" s="169" t="s">
        <v>30</v>
      </c>
      <c r="D124" s="169" t="s">
        <v>313</v>
      </c>
      <c r="E124" s="169" t="s">
        <v>400</v>
      </c>
      <c r="H124" s="171" t="s">
        <v>108</v>
      </c>
      <c r="I124" s="171" t="str">
        <f t="shared" si="5"/>
        <v>MS001</v>
      </c>
      <c r="J124" s="169" t="str">
        <f t="shared" si="1"/>
        <v>General Affairs</v>
      </c>
      <c r="L124" s="167" t="str">
        <f t="shared" si="2"/>
        <v>10301MS001</v>
      </c>
    </row>
    <row r="125" spans="2:12" outlineLevel="1" x14ac:dyDescent="0.25">
      <c r="B125" s="169" t="s">
        <v>23</v>
      </c>
      <c r="C125" s="169" t="s">
        <v>339</v>
      </c>
      <c r="D125" s="169" t="s">
        <v>270</v>
      </c>
      <c r="E125" s="169" t="s">
        <v>389</v>
      </c>
      <c r="H125" s="171" t="s">
        <v>23</v>
      </c>
      <c r="I125" s="171" t="str">
        <f t="shared" si="5"/>
        <v>HS001</v>
      </c>
      <c r="J125" s="169" t="str">
        <f t="shared" si="1"/>
        <v>Health &amp; Safety</v>
      </c>
      <c r="L125" s="167" t="str">
        <f t="shared" si="2"/>
        <v>10301HS001</v>
      </c>
    </row>
    <row r="126" spans="2:12" outlineLevel="1" x14ac:dyDescent="0.25">
      <c r="B126" s="169" t="s">
        <v>23</v>
      </c>
      <c r="C126" s="169" t="s">
        <v>341</v>
      </c>
      <c r="D126" s="169" t="s">
        <v>309</v>
      </c>
      <c r="E126" s="169" t="s">
        <v>391</v>
      </c>
      <c r="H126" s="171" t="s">
        <v>23</v>
      </c>
      <c r="I126" s="171" t="str">
        <f t="shared" si="5"/>
        <v>HS002</v>
      </c>
      <c r="J126" s="169" t="str">
        <f t="shared" ref="J126:J146" si="6">C126</f>
        <v>Environment</v>
      </c>
      <c r="L126" s="167" t="str">
        <f t="shared" ref="L126:L146" si="7">D126</f>
        <v>10301HS002</v>
      </c>
    </row>
    <row r="127" spans="2:12" outlineLevel="1" x14ac:dyDescent="0.25">
      <c r="B127" s="169" t="s">
        <v>32</v>
      </c>
      <c r="C127" s="169" t="s">
        <v>239</v>
      </c>
      <c r="D127" s="169" t="s">
        <v>273</v>
      </c>
      <c r="E127" s="169" t="s">
        <v>394</v>
      </c>
      <c r="H127" s="171" t="s">
        <v>32</v>
      </c>
      <c r="I127" s="171" t="str">
        <f t="shared" si="5"/>
        <v>IT001</v>
      </c>
      <c r="J127" s="169" t="str">
        <f t="shared" si="6"/>
        <v>Information Technology</v>
      </c>
      <c r="L127" s="167" t="str">
        <f t="shared" si="7"/>
        <v>10301IT001</v>
      </c>
    </row>
    <row r="128" spans="2:12" outlineLevel="1" x14ac:dyDescent="0.25">
      <c r="B128" s="169" t="s">
        <v>32</v>
      </c>
      <c r="C128" s="169" t="s">
        <v>239</v>
      </c>
      <c r="D128" s="169" t="s">
        <v>395</v>
      </c>
      <c r="E128" s="169" t="s">
        <v>1985</v>
      </c>
      <c r="H128" s="171" t="s">
        <v>32</v>
      </c>
      <c r="I128" s="171" t="str">
        <f t="shared" si="5"/>
        <v>IT002</v>
      </c>
      <c r="J128" s="169" t="str">
        <f t="shared" si="6"/>
        <v>Information Technology</v>
      </c>
      <c r="L128" s="167" t="str">
        <f t="shared" si="7"/>
        <v>10301IT002</v>
      </c>
    </row>
    <row r="129" spans="2:12" outlineLevel="1" x14ac:dyDescent="0.25">
      <c r="B129" s="169" t="s">
        <v>32</v>
      </c>
      <c r="C129" s="169" t="s">
        <v>239</v>
      </c>
      <c r="D129" s="169" t="s">
        <v>289</v>
      </c>
      <c r="E129" s="96" t="s">
        <v>2699</v>
      </c>
      <c r="H129" s="171" t="s">
        <v>32</v>
      </c>
      <c r="I129" s="171" t="str">
        <f t="shared" si="5"/>
        <v>IT003</v>
      </c>
      <c r="J129" s="169" t="str">
        <f t="shared" si="6"/>
        <v>Information Technology</v>
      </c>
      <c r="L129" s="167" t="str">
        <f t="shared" si="7"/>
        <v>10301IT003</v>
      </c>
    </row>
    <row r="130" spans="2:12" outlineLevel="1" x14ac:dyDescent="0.25">
      <c r="B130" s="169" t="s">
        <v>32</v>
      </c>
      <c r="C130" s="169" t="s">
        <v>239</v>
      </c>
      <c r="D130" s="169" t="s">
        <v>2592</v>
      </c>
      <c r="E130" s="169" t="s">
        <v>2593</v>
      </c>
      <c r="H130" s="171" t="s">
        <v>32</v>
      </c>
      <c r="I130" s="171" t="str">
        <f t="shared" si="5"/>
        <v>IT004</v>
      </c>
      <c r="J130" s="169" t="str">
        <f t="shared" si="6"/>
        <v>Information Technology</v>
      </c>
      <c r="L130" s="167" t="str">
        <f t="shared" si="7"/>
        <v>10301IT004</v>
      </c>
    </row>
    <row r="131" spans="2:12" outlineLevel="1" x14ac:dyDescent="0.25">
      <c r="B131" s="169" t="s">
        <v>2594</v>
      </c>
      <c r="C131" s="169" t="s">
        <v>2595</v>
      </c>
      <c r="D131" s="169" t="s">
        <v>291</v>
      </c>
      <c r="E131" s="169" t="s">
        <v>2700</v>
      </c>
      <c r="H131" s="171" t="s">
        <v>2596</v>
      </c>
      <c r="I131" s="171" t="str">
        <f t="shared" si="5"/>
        <v>MS002</v>
      </c>
      <c r="J131" s="169" t="str">
        <f t="shared" si="6"/>
        <v>Government Relation &amp; EA</v>
      </c>
      <c r="L131" s="167" t="str">
        <f t="shared" si="7"/>
        <v>10301MS002</v>
      </c>
    </row>
    <row r="132" spans="2:12" outlineLevel="1" x14ac:dyDescent="0.25">
      <c r="B132" s="169" t="s">
        <v>2594</v>
      </c>
      <c r="C132" s="169" t="s">
        <v>2595</v>
      </c>
      <c r="D132" s="169" t="s">
        <v>299</v>
      </c>
      <c r="E132" s="169" t="s">
        <v>2701</v>
      </c>
      <c r="H132" s="171" t="s">
        <v>2596</v>
      </c>
      <c r="I132" s="171" t="str">
        <f t="shared" si="5"/>
        <v>MS006</v>
      </c>
      <c r="J132" s="169" t="str">
        <f t="shared" si="6"/>
        <v>Government Relation &amp; EA</v>
      </c>
      <c r="L132" s="167" t="str">
        <f t="shared" si="7"/>
        <v>10301MS006</v>
      </c>
    </row>
    <row r="133" spans="2:12" outlineLevel="1" x14ac:dyDescent="0.25">
      <c r="B133" s="169" t="s">
        <v>2594</v>
      </c>
      <c r="C133" s="169" t="s">
        <v>2595</v>
      </c>
      <c r="D133" s="169" t="s">
        <v>305</v>
      </c>
      <c r="E133" s="169" t="s">
        <v>410</v>
      </c>
      <c r="H133" s="171" t="s">
        <v>2596</v>
      </c>
      <c r="I133" s="171" t="str">
        <f t="shared" si="5"/>
        <v>MS007</v>
      </c>
      <c r="J133" s="169" t="str">
        <f t="shared" si="6"/>
        <v>Government Relation &amp; EA</v>
      </c>
      <c r="L133" s="167" t="str">
        <f t="shared" si="7"/>
        <v>10301MS007</v>
      </c>
    </row>
    <row r="134" spans="2:12" outlineLevel="1" x14ac:dyDescent="0.25">
      <c r="B134" s="169" t="s">
        <v>2594</v>
      </c>
      <c r="C134" s="169" t="s">
        <v>2595</v>
      </c>
      <c r="D134" s="169" t="s">
        <v>2597</v>
      </c>
      <c r="E134" s="169" t="s">
        <v>2702</v>
      </c>
      <c r="H134" s="171" t="s">
        <v>2596</v>
      </c>
      <c r="I134" s="171" t="str">
        <f t="shared" si="5"/>
        <v>MS010</v>
      </c>
      <c r="J134" s="169" t="str">
        <f t="shared" si="6"/>
        <v>Government Relation &amp; EA</v>
      </c>
      <c r="L134" s="167" t="str">
        <f t="shared" si="7"/>
        <v>10301MS010</v>
      </c>
    </row>
    <row r="135" spans="2:12" outlineLevel="1" x14ac:dyDescent="0.25">
      <c r="B135" s="169" t="s">
        <v>2579</v>
      </c>
      <c r="C135" s="169" t="s">
        <v>25</v>
      </c>
      <c r="D135" s="169" t="s">
        <v>312</v>
      </c>
      <c r="E135" s="169" t="s">
        <v>415</v>
      </c>
      <c r="H135" s="171" t="s">
        <v>2581</v>
      </c>
      <c r="I135" s="171" t="str">
        <f t="shared" si="5"/>
        <v>PR001</v>
      </c>
      <c r="J135" s="169" t="str">
        <f t="shared" si="6"/>
        <v>Corporate Communication</v>
      </c>
      <c r="L135" s="167" t="str">
        <f t="shared" si="7"/>
        <v>10301PR001</v>
      </c>
    </row>
    <row r="136" spans="2:12" outlineLevel="1" x14ac:dyDescent="0.25">
      <c r="B136" s="169" t="s">
        <v>2579</v>
      </c>
      <c r="C136" s="169" t="s">
        <v>25</v>
      </c>
      <c r="D136" s="169" t="s">
        <v>315</v>
      </c>
      <c r="E136" s="169" t="s">
        <v>417</v>
      </c>
      <c r="H136" s="171" t="s">
        <v>2581</v>
      </c>
      <c r="I136" s="171" t="str">
        <f t="shared" si="5"/>
        <v>PR002</v>
      </c>
      <c r="J136" s="169" t="str">
        <f t="shared" si="6"/>
        <v>Corporate Communication</v>
      </c>
      <c r="L136" s="167" t="str">
        <f t="shared" si="7"/>
        <v>10301PR002</v>
      </c>
    </row>
    <row r="137" spans="2:12" outlineLevel="1" x14ac:dyDescent="0.25">
      <c r="B137" s="169" t="s">
        <v>255</v>
      </c>
      <c r="C137" s="169" t="s">
        <v>2598</v>
      </c>
      <c r="D137" s="169" t="s">
        <v>301</v>
      </c>
      <c r="E137" s="169" t="s">
        <v>2599</v>
      </c>
      <c r="H137" s="171" t="s">
        <v>255</v>
      </c>
      <c r="I137" s="171" t="str">
        <f t="shared" si="5"/>
        <v>SC002</v>
      </c>
      <c r="J137" s="169" t="str">
        <f t="shared" si="6"/>
        <v>SCM Logistics</v>
      </c>
      <c r="L137" s="167" t="str">
        <f t="shared" si="7"/>
        <v>10301SC002</v>
      </c>
    </row>
    <row r="138" spans="2:12" outlineLevel="1" x14ac:dyDescent="0.25">
      <c r="B138" s="169" t="s">
        <v>255</v>
      </c>
      <c r="C138" s="169" t="s">
        <v>2600</v>
      </c>
      <c r="D138" s="169" t="s">
        <v>264</v>
      </c>
      <c r="E138" s="169" t="s">
        <v>2601</v>
      </c>
      <c r="H138" s="171" t="s">
        <v>255</v>
      </c>
      <c r="I138" s="171" t="str">
        <f t="shared" si="5"/>
        <v>SC004</v>
      </c>
      <c r="J138" s="169" t="str">
        <f t="shared" si="6"/>
        <v>SCM Warehouse &amp; Inventory</v>
      </c>
      <c r="L138" s="167" t="str">
        <f t="shared" si="7"/>
        <v>10301SC004</v>
      </c>
    </row>
    <row r="139" spans="2:12" outlineLevel="1" x14ac:dyDescent="0.25">
      <c r="B139" s="169" t="s">
        <v>255</v>
      </c>
      <c r="C139" s="169" t="s">
        <v>2602</v>
      </c>
      <c r="D139" s="169" t="s">
        <v>295</v>
      </c>
      <c r="E139" s="169" t="s">
        <v>2603</v>
      </c>
      <c r="H139" s="171" t="s">
        <v>255</v>
      </c>
      <c r="I139" s="171" t="str">
        <f t="shared" si="5"/>
        <v>SC005</v>
      </c>
      <c r="J139" s="169" t="str">
        <f t="shared" si="6"/>
        <v>SCM Grader</v>
      </c>
      <c r="L139" s="167" t="str">
        <f t="shared" si="7"/>
        <v>10301SC005</v>
      </c>
    </row>
    <row r="140" spans="2:12" outlineLevel="1" x14ac:dyDescent="0.25">
      <c r="B140" s="169" t="s">
        <v>255</v>
      </c>
      <c r="C140" s="169" t="s">
        <v>2600</v>
      </c>
      <c r="D140" s="169" t="s">
        <v>423</v>
      </c>
      <c r="E140" s="169" t="s">
        <v>424</v>
      </c>
      <c r="H140" s="171" t="s">
        <v>255</v>
      </c>
      <c r="I140" s="171" t="str">
        <f t="shared" si="5"/>
        <v>SC006</v>
      </c>
      <c r="J140" s="169" t="str">
        <f t="shared" si="6"/>
        <v>SCM Warehouse &amp; Inventory</v>
      </c>
      <c r="L140" s="167" t="str">
        <f t="shared" si="7"/>
        <v>10301SC006</v>
      </c>
    </row>
    <row r="141" spans="2:12" outlineLevel="1" x14ac:dyDescent="0.25">
      <c r="B141" s="169" t="s">
        <v>255</v>
      </c>
      <c r="C141" s="169" t="s">
        <v>2600</v>
      </c>
      <c r="D141" s="169" t="s">
        <v>426</v>
      </c>
      <c r="E141" s="169" t="s">
        <v>427</v>
      </c>
      <c r="H141" s="171" t="s">
        <v>255</v>
      </c>
      <c r="I141" s="171" t="str">
        <f t="shared" si="5"/>
        <v>SC007</v>
      </c>
      <c r="J141" s="169" t="str">
        <f t="shared" si="6"/>
        <v>SCM Warehouse &amp; Inventory</v>
      </c>
      <c r="L141" s="167" t="str">
        <f t="shared" si="7"/>
        <v>10301SC007</v>
      </c>
    </row>
    <row r="142" spans="2:12" outlineLevel="1" x14ac:dyDescent="0.25">
      <c r="B142" s="169" t="s">
        <v>255</v>
      </c>
      <c r="C142" s="169" t="s">
        <v>2600</v>
      </c>
      <c r="D142" s="169" t="s">
        <v>2604</v>
      </c>
      <c r="E142" s="169" t="s">
        <v>2605</v>
      </c>
      <c r="H142" s="171" t="s">
        <v>255</v>
      </c>
      <c r="I142" s="171" t="str">
        <f t="shared" si="5"/>
        <v>SC009</v>
      </c>
      <c r="J142" s="169" t="str">
        <f t="shared" si="6"/>
        <v>SCM Warehouse &amp; Inventory</v>
      </c>
      <c r="L142" s="167" t="str">
        <f t="shared" si="7"/>
        <v>10301SC009</v>
      </c>
    </row>
    <row r="143" spans="2:12" outlineLevel="1" x14ac:dyDescent="0.25">
      <c r="B143" s="169" t="s">
        <v>2606</v>
      </c>
      <c r="C143" s="169" t="s">
        <v>33</v>
      </c>
      <c r="D143" s="169" t="s">
        <v>263</v>
      </c>
      <c r="E143" s="169" t="s">
        <v>418</v>
      </c>
      <c r="H143" s="171" t="s">
        <v>2607</v>
      </c>
      <c r="I143" s="171" t="str">
        <f t="shared" si="5"/>
        <v>SC001</v>
      </c>
      <c r="J143" s="169" t="str">
        <f t="shared" si="6"/>
        <v>Strategic Sourcing &amp; Procurement</v>
      </c>
      <c r="L143" s="167" t="str">
        <f t="shared" si="7"/>
        <v>10301SC001</v>
      </c>
    </row>
    <row r="144" spans="2:12" outlineLevel="1" x14ac:dyDescent="0.25">
      <c r="B144" s="169" t="s">
        <v>2606</v>
      </c>
      <c r="C144" s="169" t="s">
        <v>33</v>
      </c>
      <c r="D144" s="169" t="s">
        <v>2608</v>
      </c>
      <c r="E144" s="169" t="s">
        <v>2609</v>
      </c>
      <c r="H144" s="171" t="s">
        <v>2607</v>
      </c>
      <c r="I144" s="171" t="str">
        <f t="shared" si="5"/>
        <v>SC008</v>
      </c>
      <c r="J144" s="169" t="str">
        <f t="shared" si="6"/>
        <v>Strategic Sourcing &amp; Procurement</v>
      </c>
      <c r="L144" s="167" t="str">
        <f t="shared" si="7"/>
        <v>10301SC008</v>
      </c>
    </row>
    <row r="145" spans="2:12" outlineLevel="1" x14ac:dyDescent="0.25">
      <c r="B145" s="169" t="s">
        <v>2606</v>
      </c>
      <c r="C145" s="169" t="s">
        <v>238</v>
      </c>
      <c r="D145" s="169" t="s">
        <v>262</v>
      </c>
      <c r="E145" s="169" t="s">
        <v>429</v>
      </c>
      <c r="H145" s="171" t="s">
        <v>2610</v>
      </c>
      <c r="I145" s="171" t="str">
        <f t="shared" si="5"/>
        <v>SM001</v>
      </c>
      <c r="J145" s="169" t="str">
        <f t="shared" si="6"/>
        <v>Sales</v>
      </c>
      <c r="L145" s="167" t="str">
        <f t="shared" si="7"/>
        <v>10301SM001</v>
      </c>
    </row>
    <row r="146" spans="2:12" outlineLevel="1" x14ac:dyDescent="0.25">
      <c r="B146" s="169" t="s">
        <v>2606</v>
      </c>
      <c r="C146" s="169" t="s">
        <v>238</v>
      </c>
      <c r="D146" s="169" t="s">
        <v>2611</v>
      </c>
      <c r="E146" s="169" t="s">
        <v>2612</v>
      </c>
      <c r="H146" s="171" t="s">
        <v>2610</v>
      </c>
      <c r="I146" s="171" t="str">
        <f t="shared" si="5"/>
        <v>SM004</v>
      </c>
      <c r="J146" s="169" t="str">
        <f t="shared" si="6"/>
        <v>Sales</v>
      </c>
      <c r="L146" s="167" t="str">
        <f t="shared" si="7"/>
        <v>10301SM004</v>
      </c>
    </row>
    <row r="147" spans="2:12" outlineLevel="1" x14ac:dyDescent="0.25"/>
    <row r="148" spans="2:12" s="164" customFormat="1" x14ac:dyDescent="0.25">
      <c r="B148" s="163" t="s">
        <v>2613</v>
      </c>
      <c r="H148" s="165"/>
      <c r="I148" s="165"/>
    </row>
    <row r="150" spans="2:12" s="86" customFormat="1" x14ac:dyDescent="0.25">
      <c r="B150" s="120" t="s">
        <v>2146</v>
      </c>
      <c r="H150" s="172"/>
      <c r="I150" s="172"/>
    </row>
    <row r="151" spans="2:12" s="86" customFormat="1" outlineLevel="1" x14ac:dyDescent="0.25">
      <c r="B151" s="100" t="s">
        <v>2147</v>
      </c>
      <c r="C151" s="100" t="s">
        <v>2148</v>
      </c>
      <c r="D151" s="122" t="s">
        <v>2150</v>
      </c>
      <c r="E151" s="122" t="s">
        <v>2151</v>
      </c>
      <c r="H151" s="100" t="s">
        <v>2147</v>
      </c>
    </row>
    <row r="152" spans="2:12" s="86" customFormat="1" outlineLevel="1" x14ac:dyDescent="0.25">
      <c r="B152" s="151">
        <v>50200010</v>
      </c>
      <c r="C152" s="134" t="s">
        <v>2152</v>
      </c>
      <c r="D152" s="152" t="s">
        <v>942</v>
      </c>
      <c r="E152" s="152" t="s">
        <v>2154</v>
      </c>
      <c r="H152" s="172">
        <f t="shared" ref="H152:H215" si="8">B152</f>
        <v>50200010</v>
      </c>
    </row>
    <row r="153" spans="2:12" s="86" customFormat="1" outlineLevel="1" x14ac:dyDescent="0.25">
      <c r="B153" s="151">
        <v>50300010</v>
      </c>
      <c r="C153" s="134" t="s">
        <v>50</v>
      </c>
      <c r="D153" s="153" t="s">
        <v>947</v>
      </c>
      <c r="E153" s="153" t="s">
        <v>52</v>
      </c>
      <c r="H153" s="172">
        <f t="shared" si="8"/>
        <v>50300010</v>
      </c>
    </row>
    <row r="154" spans="2:12" s="86" customFormat="1" outlineLevel="1" x14ac:dyDescent="0.25">
      <c r="B154" s="151">
        <v>50300020</v>
      </c>
      <c r="C154" s="134" t="s">
        <v>53</v>
      </c>
      <c r="D154" s="134" t="s">
        <v>947</v>
      </c>
      <c r="E154" s="153" t="s">
        <v>52</v>
      </c>
      <c r="H154" s="172">
        <f t="shared" si="8"/>
        <v>50300020</v>
      </c>
    </row>
    <row r="155" spans="2:12" s="86" customFormat="1" outlineLevel="1" x14ac:dyDescent="0.25">
      <c r="B155" s="151">
        <v>50300030</v>
      </c>
      <c r="C155" s="134" t="s">
        <v>55</v>
      </c>
      <c r="D155" s="134" t="s">
        <v>947</v>
      </c>
      <c r="E155" s="153" t="s">
        <v>52</v>
      </c>
      <c r="H155" s="172">
        <f t="shared" si="8"/>
        <v>50300030</v>
      </c>
    </row>
    <row r="156" spans="2:12" s="86" customFormat="1" outlineLevel="1" x14ac:dyDescent="0.25">
      <c r="B156" s="151">
        <v>50300040</v>
      </c>
      <c r="C156" s="134" t="s">
        <v>57</v>
      </c>
      <c r="D156" s="134" t="s">
        <v>947</v>
      </c>
      <c r="E156" s="153" t="s">
        <v>52</v>
      </c>
      <c r="H156" s="172">
        <f t="shared" si="8"/>
        <v>50300040</v>
      </c>
    </row>
    <row r="157" spans="2:12" s="86" customFormat="1" outlineLevel="1" x14ac:dyDescent="0.25">
      <c r="B157" s="151">
        <v>50300050</v>
      </c>
      <c r="C157" s="134" t="s">
        <v>59</v>
      </c>
      <c r="D157" s="134" t="s">
        <v>947</v>
      </c>
      <c r="E157" s="153" t="s">
        <v>52</v>
      </c>
      <c r="H157" s="172">
        <f t="shared" si="8"/>
        <v>50300050</v>
      </c>
    </row>
    <row r="158" spans="2:12" s="86" customFormat="1" outlineLevel="1" x14ac:dyDescent="0.25">
      <c r="B158" s="151">
        <v>50300060</v>
      </c>
      <c r="C158" s="134" t="s">
        <v>2160</v>
      </c>
      <c r="D158" s="134" t="s">
        <v>947</v>
      </c>
      <c r="E158" s="153" t="s">
        <v>52</v>
      </c>
      <c r="H158" s="172">
        <f t="shared" si="8"/>
        <v>50300060</v>
      </c>
    </row>
    <row r="159" spans="2:12" s="86" customFormat="1" outlineLevel="1" x14ac:dyDescent="0.25">
      <c r="B159" s="151">
        <v>50300070</v>
      </c>
      <c r="C159" s="134" t="s">
        <v>1385</v>
      </c>
      <c r="D159" s="138" t="s">
        <v>947</v>
      </c>
      <c r="E159" s="153" t="s">
        <v>52</v>
      </c>
      <c r="H159" s="172">
        <f t="shared" si="8"/>
        <v>50300070</v>
      </c>
    </row>
    <row r="160" spans="2:12" s="86" customFormat="1" outlineLevel="1" x14ac:dyDescent="0.25">
      <c r="B160" s="151">
        <v>50300080</v>
      </c>
      <c r="C160" s="134" t="s">
        <v>65</v>
      </c>
      <c r="D160" s="138" t="s">
        <v>947</v>
      </c>
      <c r="E160" s="153" t="s">
        <v>52</v>
      </c>
      <c r="H160" s="172">
        <f t="shared" si="8"/>
        <v>50300080</v>
      </c>
    </row>
    <row r="161" spans="2:8" s="86" customFormat="1" outlineLevel="1" x14ac:dyDescent="0.25">
      <c r="B161" s="151">
        <v>50300090</v>
      </c>
      <c r="C161" s="134" t="s">
        <v>67</v>
      </c>
      <c r="D161" s="138" t="s">
        <v>947</v>
      </c>
      <c r="E161" s="153" t="s">
        <v>52</v>
      </c>
      <c r="H161" s="172">
        <f t="shared" si="8"/>
        <v>50300090</v>
      </c>
    </row>
    <row r="162" spans="2:8" s="86" customFormat="1" outlineLevel="1" x14ac:dyDescent="0.25">
      <c r="B162" s="151">
        <v>50300100</v>
      </c>
      <c r="C162" s="134" t="s">
        <v>69</v>
      </c>
      <c r="D162" s="138" t="s">
        <v>947</v>
      </c>
      <c r="E162" s="153" t="s">
        <v>52</v>
      </c>
      <c r="H162" s="172">
        <f t="shared" si="8"/>
        <v>50300100</v>
      </c>
    </row>
    <row r="163" spans="2:8" s="86" customFormat="1" outlineLevel="1" x14ac:dyDescent="0.25">
      <c r="B163" s="151">
        <v>50300110</v>
      </c>
      <c r="C163" s="134" t="s">
        <v>2166</v>
      </c>
      <c r="D163" s="138" t="s">
        <v>947</v>
      </c>
      <c r="E163" s="153" t="s">
        <v>52</v>
      </c>
      <c r="H163" s="172">
        <f t="shared" si="8"/>
        <v>50300110</v>
      </c>
    </row>
    <row r="164" spans="2:8" s="86" customFormat="1" outlineLevel="1" x14ac:dyDescent="0.25">
      <c r="B164" s="151">
        <v>50300120</v>
      </c>
      <c r="C164" s="134" t="s">
        <v>2168</v>
      </c>
      <c r="D164" s="138" t="s">
        <v>947</v>
      </c>
      <c r="E164" s="153" t="s">
        <v>52</v>
      </c>
      <c r="H164" s="172">
        <f t="shared" si="8"/>
        <v>50300120</v>
      </c>
    </row>
    <row r="165" spans="2:8" s="86" customFormat="1" outlineLevel="1" x14ac:dyDescent="0.25">
      <c r="B165" s="151">
        <v>50300990</v>
      </c>
      <c r="C165" s="134" t="s">
        <v>73</v>
      </c>
      <c r="D165" s="138" t="s">
        <v>947</v>
      </c>
      <c r="E165" s="153" t="s">
        <v>52</v>
      </c>
      <c r="H165" s="172">
        <f t="shared" si="8"/>
        <v>50300990</v>
      </c>
    </row>
    <row r="166" spans="2:8" s="86" customFormat="1" ht="30" outlineLevel="1" x14ac:dyDescent="0.25">
      <c r="B166" s="151">
        <v>50400010</v>
      </c>
      <c r="C166" s="134" t="s">
        <v>2171</v>
      </c>
      <c r="D166" s="138" t="s">
        <v>952</v>
      </c>
      <c r="E166" s="153" t="s">
        <v>52</v>
      </c>
      <c r="H166" s="172">
        <f t="shared" si="8"/>
        <v>50400010</v>
      </c>
    </row>
    <row r="167" spans="2:8" s="86" customFormat="1" outlineLevel="1" x14ac:dyDescent="0.25">
      <c r="B167" s="151">
        <v>50500010</v>
      </c>
      <c r="C167" s="134" t="s">
        <v>2173</v>
      </c>
      <c r="D167" s="138" t="s">
        <v>957</v>
      </c>
      <c r="E167" s="152" t="s">
        <v>2154</v>
      </c>
      <c r="H167" s="172">
        <f t="shared" si="8"/>
        <v>50500010</v>
      </c>
    </row>
    <row r="168" spans="2:8" s="86" customFormat="1" outlineLevel="1" x14ac:dyDescent="0.25">
      <c r="B168" s="151">
        <v>50500020</v>
      </c>
      <c r="C168" s="134" t="s">
        <v>1388</v>
      </c>
      <c r="D168" s="138" t="s">
        <v>957</v>
      </c>
      <c r="E168" s="152" t="s">
        <v>2154</v>
      </c>
      <c r="H168" s="172">
        <f t="shared" si="8"/>
        <v>50500020</v>
      </c>
    </row>
    <row r="169" spans="2:8" s="86" customFormat="1" outlineLevel="1" x14ac:dyDescent="0.25">
      <c r="B169" s="151">
        <v>50500030</v>
      </c>
      <c r="C169" s="134" t="s">
        <v>2176</v>
      </c>
      <c r="D169" s="138" t="s">
        <v>957</v>
      </c>
      <c r="E169" s="152" t="s">
        <v>2154</v>
      </c>
      <c r="H169" s="172">
        <f t="shared" si="8"/>
        <v>50500030</v>
      </c>
    </row>
    <row r="170" spans="2:8" s="86" customFormat="1" outlineLevel="1" x14ac:dyDescent="0.25">
      <c r="B170" s="151">
        <v>50500040</v>
      </c>
      <c r="C170" s="134" t="s">
        <v>113</v>
      </c>
      <c r="D170" s="138" t="s">
        <v>957</v>
      </c>
      <c r="E170" s="152" t="s">
        <v>2154</v>
      </c>
      <c r="H170" s="172">
        <f t="shared" si="8"/>
        <v>50500040</v>
      </c>
    </row>
    <row r="171" spans="2:8" s="86" customFormat="1" outlineLevel="1" x14ac:dyDescent="0.25">
      <c r="B171" s="151">
        <v>50600010</v>
      </c>
      <c r="C171" s="134" t="s">
        <v>585</v>
      </c>
      <c r="D171" s="138" t="s">
        <v>962</v>
      </c>
      <c r="E171" s="152" t="s">
        <v>2154</v>
      </c>
      <c r="H171" s="172">
        <f t="shared" si="8"/>
        <v>50600010</v>
      </c>
    </row>
    <row r="172" spans="2:8" s="86" customFormat="1" outlineLevel="1" x14ac:dyDescent="0.25">
      <c r="B172" s="151">
        <v>50600020</v>
      </c>
      <c r="C172" s="134" t="s">
        <v>586</v>
      </c>
      <c r="D172" s="138" t="s">
        <v>962</v>
      </c>
      <c r="E172" s="152" t="s">
        <v>2154</v>
      </c>
      <c r="H172" s="172">
        <f t="shared" si="8"/>
        <v>50600020</v>
      </c>
    </row>
    <row r="173" spans="2:8" s="86" customFormat="1" outlineLevel="1" x14ac:dyDescent="0.25">
      <c r="B173" s="151">
        <v>50600030</v>
      </c>
      <c r="C173" s="134" t="s">
        <v>2180</v>
      </c>
      <c r="D173" s="138" t="s">
        <v>962</v>
      </c>
      <c r="E173" s="152" t="s">
        <v>2154</v>
      </c>
      <c r="H173" s="172">
        <f t="shared" si="8"/>
        <v>50600030</v>
      </c>
    </row>
    <row r="174" spans="2:8" s="86" customFormat="1" ht="30" outlineLevel="1" x14ac:dyDescent="0.25">
      <c r="B174" s="151">
        <v>50600040</v>
      </c>
      <c r="C174" s="134" t="s">
        <v>588</v>
      </c>
      <c r="D174" s="138" t="s">
        <v>962</v>
      </c>
      <c r="E174" s="152" t="s">
        <v>2154</v>
      </c>
      <c r="H174" s="172">
        <f t="shared" si="8"/>
        <v>50600040</v>
      </c>
    </row>
    <row r="175" spans="2:8" s="86" customFormat="1" outlineLevel="1" x14ac:dyDescent="0.25">
      <c r="B175" s="151">
        <v>50800010</v>
      </c>
      <c r="C175" s="134" t="s">
        <v>2183</v>
      </c>
      <c r="D175" s="138" t="s">
        <v>972</v>
      </c>
      <c r="E175" s="152" t="s">
        <v>2154</v>
      </c>
      <c r="H175" s="172">
        <f t="shared" si="8"/>
        <v>50800010</v>
      </c>
    </row>
    <row r="176" spans="2:8" s="86" customFormat="1" ht="30" outlineLevel="1" x14ac:dyDescent="0.25">
      <c r="B176" s="151">
        <v>50800020</v>
      </c>
      <c r="C176" s="134" t="s">
        <v>121</v>
      </c>
      <c r="D176" s="138" t="s">
        <v>972</v>
      </c>
      <c r="E176" s="152" t="s">
        <v>2154</v>
      </c>
      <c r="H176" s="172">
        <f t="shared" si="8"/>
        <v>50800020</v>
      </c>
    </row>
    <row r="177" spans="2:8" s="86" customFormat="1" outlineLevel="1" x14ac:dyDescent="0.25">
      <c r="B177" s="151">
        <v>50800030</v>
      </c>
      <c r="C177" s="134" t="s">
        <v>124</v>
      </c>
      <c r="D177" s="138" t="s">
        <v>972</v>
      </c>
      <c r="E177" s="152" t="s">
        <v>2154</v>
      </c>
      <c r="H177" s="172">
        <f t="shared" si="8"/>
        <v>50800030</v>
      </c>
    </row>
    <row r="178" spans="2:8" s="86" customFormat="1" outlineLevel="1" x14ac:dyDescent="0.25">
      <c r="B178" s="151">
        <v>50800040</v>
      </c>
      <c r="C178" s="134" t="s">
        <v>126</v>
      </c>
      <c r="D178" s="138" t="s">
        <v>972</v>
      </c>
      <c r="E178" s="152" t="s">
        <v>2154</v>
      </c>
      <c r="H178" s="172">
        <f t="shared" si="8"/>
        <v>50800040</v>
      </c>
    </row>
    <row r="179" spans="2:8" s="86" customFormat="1" outlineLevel="1" x14ac:dyDescent="0.25">
      <c r="B179" s="151">
        <v>50800050</v>
      </c>
      <c r="C179" s="134" t="s">
        <v>128</v>
      </c>
      <c r="D179" s="138" t="s">
        <v>972</v>
      </c>
      <c r="E179" s="152" t="s">
        <v>2154</v>
      </c>
      <c r="H179" s="172">
        <f t="shared" si="8"/>
        <v>50800050</v>
      </c>
    </row>
    <row r="180" spans="2:8" s="86" customFormat="1" ht="30" outlineLevel="1" x14ac:dyDescent="0.25">
      <c r="B180" s="151">
        <v>50800060</v>
      </c>
      <c r="C180" s="134" t="s">
        <v>130</v>
      </c>
      <c r="D180" s="138" t="s">
        <v>972</v>
      </c>
      <c r="E180" s="152" t="s">
        <v>2154</v>
      </c>
      <c r="H180" s="172">
        <f t="shared" si="8"/>
        <v>50800060</v>
      </c>
    </row>
    <row r="181" spans="2:8" s="86" customFormat="1" outlineLevel="1" x14ac:dyDescent="0.25">
      <c r="B181" s="151">
        <v>50800070</v>
      </c>
      <c r="C181" s="134" t="s">
        <v>133</v>
      </c>
      <c r="D181" s="138" t="s">
        <v>972</v>
      </c>
      <c r="E181" s="152" t="s">
        <v>2154</v>
      </c>
      <c r="H181" s="172">
        <f t="shared" si="8"/>
        <v>50800070</v>
      </c>
    </row>
    <row r="182" spans="2:8" s="86" customFormat="1" outlineLevel="1" x14ac:dyDescent="0.25">
      <c r="B182" s="151">
        <v>51100000</v>
      </c>
      <c r="C182" s="134" t="s">
        <v>604</v>
      </c>
      <c r="D182" s="138" t="s">
        <v>987</v>
      </c>
      <c r="E182" s="152" t="s">
        <v>2154</v>
      </c>
      <c r="H182" s="172">
        <f t="shared" si="8"/>
        <v>51100000</v>
      </c>
    </row>
    <row r="183" spans="2:8" s="86" customFormat="1" outlineLevel="1" x14ac:dyDescent="0.25">
      <c r="B183" s="151">
        <v>51300010</v>
      </c>
      <c r="C183" s="134" t="s">
        <v>614</v>
      </c>
      <c r="D183" s="138" t="s">
        <v>997</v>
      </c>
      <c r="E183" s="138" t="s">
        <v>260</v>
      </c>
      <c r="H183" s="172">
        <f t="shared" si="8"/>
        <v>51300010</v>
      </c>
    </row>
    <row r="184" spans="2:8" s="86" customFormat="1" outlineLevel="1" x14ac:dyDescent="0.25">
      <c r="B184" s="151">
        <v>51300040</v>
      </c>
      <c r="C184" s="134" t="s">
        <v>617</v>
      </c>
      <c r="D184" s="138" t="s">
        <v>997</v>
      </c>
      <c r="E184" s="138" t="s">
        <v>260</v>
      </c>
      <c r="H184" s="172">
        <f t="shared" si="8"/>
        <v>51300040</v>
      </c>
    </row>
    <row r="185" spans="2:8" s="86" customFormat="1" outlineLevel="1" x14ac:dyDescent="0.25">
      <c r="B185" s="151">
        <v>51300050</v>
      </c>
      <c r="C185" s="134" t="s">
        <v>618</v>
      </c>
      <c r="D185" s="138" t="s">
        <v>997</v>
      </c>
      <c r="E185" s="138" t="s">
        <v>260</v>
      </c>
      <c r="H185" s="172">
        <f t="shared" si="8"/>
        <v>51300050</v>
      </c>
    </row>
    <row r="186" spans="2:8" s="86" customFormat="1" outlineLevel="1" x14ac:dyDescent="0.25">
      <c r="B186" s="151">
        <v>51300060</v>
      </c>
      <c r="C186" s="134" t="s">
        <v>619</v>
      </c>
      <c r="D186" s="138" t="s">
        <v>997</v>
      </c>
      <c r="E186" s="138" t="s">
        <v>260</v>
      </c>
      <c r="H186" s="172">
        <f t="shared" si="8"/>
        <v>51300060</v>
      </c>
    </row>
    <row r="187" spans="2:8" s="86" customFormat="1" outlineLevel="1" x14ac:dyDescent="0.25">
      <c r="B187" s="151">
        <v>51300090</v>
      </c>
      <c r="C187" s="134" t="s">
        <v>622</v>
      </c>
      <c r="D187" s="138" t="s">
        <v>997</v>
      </c>
      <c r="E187" s="138" t="s">
        <v>260</v>
      </c>
      <c r="H187" s="172">
        <f t="shared" si="8"/>
        <v>51300090</v>
      </c>
    </row>
    <row r="188" spans="2:8" s="86" customFormat="1" outlineLevel="1" x14ac:dyDescent="0.25">
      <c r="B188" s="151">
        <v>51500010</v>
      </c>
      <c r="C188" s="134" t="s">
        <v>2197</v>
      </c>
      <c r="D188" s="138" t="s">
        <v>1007</v>
      </c>
      <c r="E188" s="152" t="s">
        <v>2154</v>
      </c>
      <c r="H188" s="172">
        <f t="shared" si="8"/>
        <v>51500010</v>
      </c>
    </row>
    <row r="189" spans="2:8" s="86" customFormat="1" outlineLevel="1" x14ac:dyDescent="0.25">
      <c r="B189" s="151">
        <v>51600010</v>
      </c>
      <c r="C189" s="134" t="s">
        <v>149</v>
      </c>
      <c r="D189" s="138" t="s">
        <v>1012</v>
      </c>
      <c r="E189" s="152" t="s">
        <v>2154</v>
      </c>
      <c r="H189" s="172">
        <f t="shared" si="8"/>
        <v>51600010</v>
      </c>
    </row>
    <row r="190" spans="2:8" s="86" customFormat="1" ht="30" outlineLevel="1" x14ac:dyDescent="0.25">
      <c r="B190" s="151">
        <v>51600020</v>
      </c>
      <c r="C190" s="134" t="s">
        <v>150</v>
      </c>
      <c r="D190" s="138" t="s">
        <v>1012</v>
      </c>
      <c r="E190" s="152" t="s">
        <v>2154</v>
      </c>
      <c r="H190" s="172">
        <f t="shared" si="8"/>
        <v>51600020</v>
      </c>
    </row>
    <row r="191" spans="2:8" s="86" customFormat="1" outlineLevel="1" x14ac:dyDescent="0.25">
      <c r="B191" s="151">
        <v>51600030</v>
      </c>
      <c r="C191" s="134" t="s">
        <v>152</v>
      </c>
      <c r="D191" s="138" t="s">
        <v>1012</v>
      </c>
      <c r="E191" s="152" t="s">
        <v>2154</v>
      </c>
      <c r="H191" s="172">
        <f t="shared" si="8"/>
        <v>51600030</v>
      </c>
    </row>
    <row r="192" spans="2:8" s="86" customFormat="1" ht="30" outlineLevel="1" x14ac:dyDescent="0.25">
      <c r="B192" s="151">
        <v>51600040</v>
      </c>
      <c r="C192" s="134" t="s">
        <v>153</v>
      </c>
      <c r="D192" s="138" t="s">
        <v>1012</v>
      </c>
      <c r="E192" s="152" t="s">
        <v>2154</v>
      </c>
      <c r="H192" s="172">
        <f t="shared" si="8"/>
        <v>51600040</v>
      </c>
    </row>
    <row r="193" spans="2:8" s="86" customFormat="1" ht="30" outlineLevel="1" x14ac:dyDescent="0.25">
      <c r="B193" s="151">
        <v>51600050</v>
      </c>
      <c r="C193" s="134" t="s">
        <v>625</v>
      </c>
      <c r="D193" s="138" t="s">
        <v>1012</v>
      </c>
      <c r="E193" s="152" t="s">
        <v>2154</v>
      </c>
      <c r="H193" s="172">
        <f t="shared" si="8"/>
        <v>51600050</v>
      </c>
    </row>
    <row r="194" spans="2:8" s="86" customFormat="1" outlineLevel="1" x14ac:dyDescent="0.25">
      <c r="B194" s="151">
        <v>51600070</v>
      </c>
      <c r="C194" s="134" t="s">
        <v>154</v>
      </c>
      <c r="D194" s="138" t="s">
        <v>1012</v>
      </c>
      <c r="E194" s="152" t="s">
        <v>2154</v>
      </c>
      <c r="H194" s="172">
        <f t="shared" si="8"/>
        <v>51600070</v>
      </c>
    </row>
    <row r="195" spans="2:8" s="86" customFormat="1" outlineLevel="1" x14ac:dyDescent="0.25">
      <c r="B195" s="151">
        <v>51700010</v>
      </c>
      <c r="C195" s="134" t="s">
        <v>155</v>
      </c>
      <c r="D195" s="138" t="s">
        <v>1017</v>
      </c>
      <c r="E195" s="152" t="s">
        <v>2154</v>
      </c>
      <c r="H195" s="172">
        <f t="shared" si="8"/>
        <v>51700010</v>
      </c>
    </row>
    <row r="196" spans="2:8" s="86" customFormat="1" outlineLevel="1" x14ac:dyDescent="0.25">
      <c r="B196" s="151">
        <v>51700030</v>
      </c>
      <c r="C196" s="134" t="s">
        <v>157</v>
      </c>
      <c r="D196" s="138" t="s">
        <v>1017</v>
      </c>
      <c r="E196" s="152" t="s">
        <v>2154</v>
      </c>
      <c r="H196" s="172">
        <f t="shared" si="8"/>
        <v>51700030</v>
      </c>
    </row>
    <row r="197" spans="2:8" s="86" customFormat="1" outlineLevel="1" x14ac:dyDescent="0.25">
      <c r="B197" s="151">
        <v>51700040</v>
      </c>
      <c r="C197" s="134" t="s">
        <v>159</v>
      </c>
      <c r="D197" s="138" t="s">
        <v>1017</v>
      </c>
      <c r="E197" s="152" t="s">
        <v>2154</v>
      </c>
      <c r="H197" s="172">
        <f t="shared" si="8"/>
        <v>51700040</v>
      </c>
    </row>
    <row r="198" spans="2:8" s="86" customFormat="1" outlineLevel="1" x14ac:dyDescent="0.25">
      <c r="B198" s="151">
        <v>51700050</v>
      </c>
      <c r="C198" s="134" t="s">
        <v>161</v>
      </c>
      <c r="D198" s="138" t="s">
        <v>1017</v>
      </c>
      <c r="E198" s="152" t="s">
        <v>2154</v>
      </c>
      <c r="H198" s="172">
        <f t="shared" si="8"/>
        <v>51700050</v>
      </c>
    </row>
    <row r="199" spans="2:8" s="86" customFormat="1" outlineLevel="1" x14ac:dyDescent="0.25">
      <c r="B199" s="151">
        <v>51700060</v>
      </c>
      <c r="C199" s="134" t="s">
        <v>163</v>
      </c>
      <c r="D199" s="138" t="s">
        <v>1017</v>
      </c>
      <c r="E199" s="152" t="s">
        <v>2154</v>
      </c>
      <c r="H199" s="172">
        <f t="shared" si="8"/>
        <v>51700060</v>
      </c>
    </row>
    <row r="200" spans="2:8" s="86" customFormat="1" outlineLevel="1" x14ac:dyDescent="0.25">
      <c r="B200" s="151">
        <v>51700070</v>
      </c>
      <c r="C200" s="134" t="s">
        <v>165</v>
      </c>
      <c r="D200" s="138" t="s">
        <v>1017</v>
      </c>
      <c r="E200" s="152" t="s">
        <v>2154</v>
      </c>
      <c r="H200" s="172">
        <f t="shared" si="8"/>
        <v>51700070</v>
      </c>
    </row>
    <row r="201" spans="2:8" s="86" customFormat="1" ht="30" outlineLevel="1" x14ac:dyDescent="0.25">
      <c r="B201" s="151">
        <v>51800010</v>
      </c>
      <c r="C201" s="134" t="s">
        <v>167</v>
      </c>
      <c r="D201" s="138" t="s">
        <v>1022</v>
      </c>
      <c r="E201" s="152" t="s">
        <v>2154</v>
      </c>
      <c r="H201" s="172">
        <f t="shared" si="8"/>
        <v>51800010</v>
      </c>
    </row>
    <row r="202" spans="2:8" s="86" customFormat="1" outlineLevel="1" x14ac:dyDescent="0.25">
      <c r="B202" s="151">
        <v>51800020</v>
      </c>
      <c r="C202" s="134" t="s">
        <v>170</v>
      </c>
      <c r="D202" s="138" t="s">
        <v>1022</v>
      </c>
      <c r="E202" s="152" t="s">
        <v>2154</v>
      </c>
      <c r="H202" s="172">
        <f t="shared" si="8"/>
        <v>51800020</v>
      </c>
    </row>
    <row r="203" spans="2:8" s="86" customFormat="1" outlineLevel="1" x14ac:dyDescent="0.25">
      <c r="B203" s="151">
        <v>51800030</v>
      </c>
      <c r="C203" s="134" t="s">
        <v>172</v>
      </c>
      <c r="D203" s="138" t="s">
        <v>1022</v>
      </c>
      <c r="E203" s="152" t="s">
        <v>2154</v>
      </c>
      <c r="H203" s="172">
        <f t="shared" si="8"/>
        <v>51800030</v>
      </c>
    </row>
    <row r="204" spans="2:8" s="86" customFormat="1" outlineLevel="1" x14ac:dyDescent="0.25">
      <c r="B204" s="151">
        <v>51800090</v>
      </c>
      <c r="C204" s="134" t="s">
        <v>174</v>
      </c>
      <c r="D204" s="138" t="s">
        <v>1022</v>
      </c>
      <c r="E204" s="152" t="s">
        <v>2154</v>
      </c>
      <c r="H204" s="172">
        <f t="shared" si="8"/>
        <v>51800090</v>
      </c>
    </row>
    <row r="205" spans="2:8" s="86" customFormat="1" outlineLevel="1" x14ac:dyDescent="0.25">
      <c r="B205" s="151">
        <v>51900010</v>
      </c>
      <c r="C205" s="134" t="s">
        <v>176</v>
      </c>
      <c r="D205" s="138" t="s">
        <v>456</v>
      </c>
      <c r="E205" s="152" t="s">
        <v>2154</v>
      </c>
      <c r="H205" s="172">
        <f t="shared" si="8"/>
        <v>51900010</v>
      </c>
    </row>
    <row r="206" spans="2:8" s="86" customFormat="1" outlineLevel="1" x14ac:dyDescent="0.25">
      <c r="B206" s="151">
        <v>51900020</v>
      </c>
      <c r="C206" s="134" t="s">
        <v>179</v>
      </c>
      <c r="D206" s="138" t="s">
        <v>456</v>
      </c>
      <c r="E206" s="152" t="s">
        <v>2154</v>
      </c>
      <c r="H206" s="172">
        <f t="shared" si="8"/>
        <v>51900020</v>
      </c>
    </row>
    <row r="207" spans="2:8" s="86" customFormat="1" outlineLevel="1" x14ac:dyDescent="0.25">
      <c r="B207" s="151">
        <v>51900030</v>
      </c>
      <c r="C207" s="134" t="s">
        <v>182</v>
      </c>
      <c r="D207" s="138" t="s">
        <v>456</v>
      </c>
      <c r="E207" s="152" t="s">
        <v>2154</v>
      </c>
      <c r="H207" s="172">
        <f t="shared" si="8"/>
        <v>51900030</v>
      </c>
    </row>
    <row r="208" spans="2:8" s="86" customFormat="1" outlineLevel="1" x14ac:dyDescent="0.25">
      <c r="B208" s="151">
        <v>51900040</v>
      </c>
      <c r="C208" s="134" t="s">
        <v>184</v>
      </c>
      <c r="D208" s="138" t="s">
        <v>456</v>
      </c>
      <c r="E208" s="152" t="s">
        <v>2154</v>
      </c>
      <c r="H208" s="172">
        <f t="shared" si="8"/>
        <v>51900040</v>
      </c>
    </row>
    <row r="209" spans="2:8" s="86" customFormat="1" outlineLevel="1" x14ac:dyDescent="0.25">
      <c r="B209" s="151">
        <v>51900090</v>
      </c>
      <c r="C209" s="134" t="s">
        <v>186</v>
      </c>
      <c r="D209" s="138" t="s">
        <v>456</v>
      </c>
      <c r="E209" s="152" t="s">
        <v>2154</v>
      </c>
      <c r="H209" s="172">
        <f t="shared" si="8"/>
        <v>51900090</v>
      </c>
    </row>
    <row r="210" spans="2:8" s="86" customFormat="1" outlineLevel="1" x14ac:dyDescent="0.25">
      <c r="B210" s="151">
        <v>52100010</v>
      </c>
      <c r="C210" s="134" t="s">
        <v>197</v>
      </c>
      <c r="D210" s="138" t="s">
        <v>1036</v>
      </c>
      <c r="E210" s="152" t="s">
        <v>2154</v>
      </c>
      <c r="H210" s="172">
        <f t="shared" si="8"/>
        <v>52100010</v>
      </c>
    </row>
    <row r="211" spans="2:8" s="86" customFormat="1" outlineLevel="1" x14ac:dyDescent="0.25">
      <c r="B211" s="151">
        <v>52100020</v>
      </c>
      <c r="C211" s="134" t="s">
        <v>200</v>
      </c>
      <c r="D211" s="138" t="s">
        <v>1036</v>
      </c>
      <c r="E211" s="152" t="s">
        <v>2154</v>
      </c>
      <c r="H211" s="172">
        <f t="shared" si="8"/>
        <v>52100020</v>
      </c>
    </row>
    <row r="212" spans="2:8" s="86" customFormat="1" outlineLevel="1" x14ac:dyDescent="0.25">
      <c r="B212" s="151">
        <v>52100030</v>
      </c>
      <c r="C212" s="134" t="s">
        <v>202</v>
      </c>
      <c r="D212" s="138" t="s">
        <v>1036</v>
      </c>
      <c r="E212" s="152" t="s">
        <v>2154</v>
      </c>
      <c r="H212" s="172">
        <f t="shared" si="8"/>
        <v>52100030</v>
      </c>
    </row>
    <row r="213" spans="2:8" s="86" customFormat="1" outlineLevel="1" x14ac:dyDescent="0.25">
      <c r="B213" s="151">
        <v>52100040</v>
      </c>
      <c r="C213" s="134" t="s">
        <v>204</v>
      </c>
      <c r="D213" s="138" t="s">
        <v>1036</v>
      </c>
      <c r="E213" s="152" t="s">
        <v>2154</v>
      </c>
      <c r="H213" s="172">
        <f t="shared" si="8"/>
        <v>52100040</v>
      </c>
    </row>
    <row r="214" spans="2:8" s="86" customFormat="1" outlineLevel="1" x14ac:dyDescent="0.25">
      <c r="B214" s="151">
        <v>52100050</v>
      </c>
      <c r="C214" s="134" t="s">
        <v>206</v>
      </c>
      <c r="D214" s="138" t="s">
        <v>1036</v>
      </c>
      <c r="E214" s="152" t="s">
        <v>2154</v>
      </c>
      <c r="H214" s="172">
        <f t="shared" si="8"/>
        <v>52100050</v>
      </c>
    </row>
    <row r="215" spans="2:8" s="86" customFormat="1" outlineLevel="1" x14ac:dyDescent="0.25">
      <c r="B215" s="151">
        <v>52200010</v>
      </c>
      <c r="C215" s="134" t="s">
        <v>208</v>
      </c>
      <c r="D215" s="138" t="s">
        <v>1041</v>
      </c>
      <c r="E215" s="152" t="s">
        <v>2154</v>
      </c>
      <c r="H215" s="172">
        <f t="shared" si="8"/>
        <v>52200010</v>
      </c>
    </row>
    <row r="216" spans="2:8" s="86" customFormat="1" outlineLevel="1" x14ac:dyDescent="0.25">
      <c r="B216" s="151">
        <v>52200020</v>
      </c>
      <c r="C216" s="134" t="s">
        <v>210</v>
      </c>
      <c r="D216" s="138" t="s">
        <v>1041</v>
      </c>
      <c r="E216" s="152" t="s">
        <v>2154</v>
      </c>
      <c r="H216" s="172">
        <f t="shared" ref="H216:H227" si="9">B216</f>
        <v>52200020</v>
      </c>
    </row>
    <row r="217" spans="2:8" s="86" customFormat="1" outlineLevel="1" x14ac:dyDescent="0.25">
      <c r="B217" s="151">
        <v>52300010</v>
      </c>
      <c r="C217" s="134" t="s">
        <v>212</v>
      </c>
      <c r="D217" s="138" t="s">
        <v>1046</v>
      </c>
      <c r="E217" s="152" t="s">
        <v>2154</v>
      </c>
      <c r="H217" s="172">
        <f t="shared" si="9"/>
        <v>52300010</v>
      </c>
    </row>
    <row r="218" spans="2:8" s="86" customFormat="1" outlineLevel="1" x14ac:dyDescent="0.25">
      <c r="B218" s="151">
        <v>52300020</v>
      </c>
      <c r="C218" s="134" t="s">
        <v>214</v>
      </c>
      <c r="D218" s="138" t="s">
        <v>1046</v>
      </c>
      <c r="E218" s="152" t="s">
        <v>2154</v>
      </c>
      <c r="H218" s="172">
        <f t="shared" si="9"/>
        <v>52300020</v>
      </c>
    </row>
    <row r="219" spans="2:8" s="86" customFormat="1" outlineLevel="1" x14ac:dyDescent="0.25">
      <c r="B219" s="151">
        <v>52400030</v>
      </c>
      <c r="C219" s="134" t="s">
        <v>216</v>
      </c>
      <c r="D219" s="138" t="s">
        <v>1051</v>
      </c>
      <c r="E219" s="152" t="s">
        <v>2154</v>
      </c>
      <c r="H219" s="172">
        <f t="shared" si="9"/>
        <v>52400030</v>
      </c>
    </row>
    <row r="220" spans="2:8" s="86" customFormat="1" outlineLevel="1" x14ac:dyDescent="0.25">
      <c r="B220" s="151">
        <v>52400040</v>
      </c>
      <c r="C220" s="134" t="s">
        <v>218</v>
      </c>
      <c r="D220" s="138" t="s">
        <v>1051</v>
      </c>
      <c r="E220" s="152" t="s">
        <v>2154</v>
      </c>
      <c r="H220" s="172">
        <f t="shared" si="9"/>
        <v>52400040</v>
      </c>
    </row>
    <row r="221" spans="2:8" s="86" customFormat="1" outlineLevel="1" x14ac:dyDescent="0.25">
      <c r="B221" s="151">
        <v>52400060</v>
      </c>
      <c r="C221" s="134" t="s">
        <v>628</v>
      </c>
      <c r="D221" s="138" t="s">
        <v>1051</v>
      </c>
      <c r="E221" s="152" t="s">
        <v>2154</v>
      </c>
      <c r="H221" s="172">
        <f t="shared" si="9"/>
        <v>52400060</v>
      </c>
    </row>
    <row r="222" spans="2:8" s="86" customFormat="1" outlineLevel="1" x14ac:dyDescent="0.25">
      <c r="B222" s="151">
        <v>52500010</v>
      </c>
      <c r="C222" s="134" t="s">
        <v>220</v>
      </c>
      <c r="D222" s="138" t="s">
        <v>220</v>
      </c>
      <c r="E222" s="152" t="s">
        <v>2154</v>
      </c>
      <c r="H222" s="172">
        <f t="shared" si="9"/>
        <v>52500010</v>
      </c>
    </row>
    <row r="223" spans="2:8" s="86" customFormat="1" outlineLevel="1" x14ac:dyDescent="0.25">
      <c r="B223" s="151">
        <v>52600020</v>
      </c>
      <c r="C223" s="134" t="s">
        <v>225</v>
      </c>
      <c r="D223" s="138" t="s">
        <v>1060</v>
      </c>
      <c r="E223" s="152" t="s">
        <v>2154</v>
      </c>
      <c r="H223" s="172">
        <f t="shared" si="9"/>
        <v>52600020</v>
      </c>
    </row>
    <row r="224" spans="2:8" s="86" customFormat="1" outlineLevel="1" x14ac:dyDescent="0.25">
      <c r="B224" s="151">
        <v>52600030</v>
      </c>
      <c r="C224" s="134" t="s">
        <v>228</v>
      </c>
      <c r="D224" s="138" t="s">
        <v>1060</v>
      </c>
      <c r="E224" s="152" t="s">
        <v>2154</v>
      </c>
      <c r="H224" s="172">
        <f t="shared" si="9"/>
        <v>52600030</v>
      </c>
    </row>
    <row r="225" spans="2:9" s="86" customFormat="1" outlineLevel="1" x14ac:dyDescent="0.25">
      <c r="B225" s="151">
        <v>52900010</v>
      </c>
      <c r="C225" s="134" t="s">
        <v>230</v>
      </c>
      <c r="D225" s="138" t="s">
        <v>1074</v>
      </c>
      <c r="E225" s="152" t="s">
        <v>2154</v>
      </c>
      <c r="H225" s="172">
        <f t="shared" si="9"/>
        <v>52900010</v>
      </c>
    </row>
    <row r="226" spans="2:9" s="86" customFormat="1" outlineLevel="1" x14ac:dyDescent="0.25">
      <c r="B226" s="151">
        <v>52900020</v>
      </c>
      <c r="C226" s="134" t="s">
        <v>232</v>
      </c>
      <c r="D226" s="138" t="s">
        <v>1074</v>
      </c>
      <c r="E226" s="152" t="s">
        <v>2154</v>
      </c>
      <c r="H226" s="172">
        <f t="shared" si="9"/>
        <v>52900020</v>
      </c>
    </row>
    <row r="227" spans="2:9" s="86" customFormat="1" outlineLevel="1" x14ac:dyDescent="0.25">
      <c r="B227" s="151">
        <v>53100010</v>
      </c>
      <c r="C227" s="134" t="s">
        <v>634</v>
      </c>
      <c r="D227" s="138" t="s">
        <v>634</v>
      </c>
      <c r="E227" s="152" t="s">
        <v>2154</v>
      </c>
      <c r="H227" s="172">
        <f t="shared" si="9"/>
        <v>53100010</v>
      </c>
    </row>
    <row r="228" spans="2:9" s="86" customFormat="1" outlineLevel="1" x14ac:dyDescent="0.25">
      <c r="B228" s="154"/>
      <c r="C228" s="143"/>
      <c r="D228" s="144"/>
      <c r="E228" s="144"/>
      <c r="H228" s="172"/>
      <c r="I228" s="172"/>
    </row>
    <row r="229" spans="2:9" s="86" customFormat="1" outlineLevel="1" x14ac:dyDescent="0.25">
      <c r="H229" s="172"/>
      <c r="I229" s="172"/>
    </row>
    <row r="230" spans="2:9" s="86" customFormat="1" outlineLevel="1" x14ac:dyDescent="0.25">
      <c r="H230" s="172"/>
      <c r="I230" s="172"/>
    </row>
    <row r="231" spans="2:9" s="86" customFormat="1" x14ac:dyDescent="0.25">
      <c r="B231" s="120" t="s">
        <v>2233</v>
      </c>
      <c r="H231" s="172"/>
      <c r="I231" s="172"/>
    </row>
    <row r="232" spans="2:9" s="86" customFormat="1" outlineLevel="1" x14ac:dyDescent="0.25">
      <c r="B232" s="100" t="s">
        <v>2147</v>
      </c>
      <c r="C232" s="100" t="s">
        <v>2148</v>
      </c>
      <c r="D232" s="122" t="s">
        <v>2150</v>
      </c>
      <c r="E232" s="122" t="s">
        <v>2151</v>
      </c>
      <c r="H232" s="100" t="s">
        <v>2147</v>
      </c>
      <c r="I232" s="100" t="s">
        <v>1326</v>
      </c>
    </row>
    <row r="233" spans="2:9" s="86" customFormat="1" outlineLevel="1" x14ac:dyDescent="0.25">
      <c r="B233" s="151">
        <v>60100010</v>
      </c>
      <c r="C233" s="134" t="s">
        <v>75</v>
      </c>
      <c r="D233" s="152" t="s">
        <v>1136</v>
      </c>
      <c r="E233" s="152" t="s">
        <v>52</v>
      </c>
      <c r="H233" s="172">
        <f t="shared" ref="H233:H296" si="10">B233</f>
        <v>60100010</v>
      </c>
      <c r="I233" s="86" t="s">
        <v>1330</v>
      </c>
    </row>
    <row r="234" spans="2:9" s="86" customFormat="1" outlineLevel="1" x14ac:dyDescent="0.25">
      <c r="B234" s="151">
        <v>60100020</v>
      </c>
      <c r="C234" s="134" t="s">
        <v>77</v>
      </c>
      <c r="D234" s="153" t="s">
        <v>1136</v>
      </c>
      <c r="E234" s="153" t="s">
        <v>52</v>
      </c>
      <c r="H234" s="172">
        <f t="shared" si="10"/>
        <v>60100020</v>
      </c>
      <c r="I234" s="86" t="s">
        <v>1330</v>
      </c>
    </row>
    <row r="235" spans="2:9" s="86" customFormat="1" outlineLevel="1" x14ac:dyDescent="0.25">
      <c r="B235" s="151">
        <v>60100030</v>
      </c>
      <c r="C235" s="134" t="s">
        <v>79</v>
      </c>
      <c r="D235" s="134" t="s">
        <v>1136</v>
      </c>
      <c r="E235" s="153" t="s">
        <v>52</v>
      </c>
      <c r="H235" s="172">
        <f t="shared" si="10"/>
        <v>60100030</v>
      </c>
      <c r="I235" s="86" t="s">
        <v>1330</v>
      </c>
    </row>
    <row r="236" spans="2:9" s="86" customFormat="1" outlineLevel="1" x14ac:dyDescent="0.25">
      <c r="B236" s="151">
        <v>60100040</v>
      </c>
      <c r="C236" s="134" t="s">
        <v>81</v>
      </c>
      <c r="D236" s="134" t="s">
        <v>1136</v>
      </c>
      <c r="E236" s="153" t="s">
        <v>52</v>
      </c>
      <c r="H236" s="172">
        <f t="shared" si="10"/>
        <v>60100040</v>
      </c>
      <c r="I236" s="86" t="s">
        <v>1330</v>
      </c>
    </row>
    <row r="237" spans="2:9" s="86" customFormat="1" outlineLevel="1" x14ac:dyDescent="0.25">
      <c r="B237" s="151">
        <v>60100050</v>
      </c>
      <c r="C237" s="134" t="s">
        <v>83</v>
      </c>
      <c r="D237" s="134" t="s">
        <v>1136</v>
      </c>
      <c r="E237" s="153" t="s">
        <v>52</v>
      </c>
      <c r="H237" s="172">
        <f t="shared" si="10"/>
        <v>60100050</v>
      </c>
      <c r="I237" s="86" t="s">
        <v>1330</v>
      </c>
    </row>
    <row r="238" spans="2:9" s="86" customFormat="1" outlineLevel="1" x14ac:dyDescent="0.25">
      <c r="B238" s="151">
        <v>60100060</v>
      </c>
      <c r="C238" s="134" t="s">
        <v>85</v>
      </c>
      <c r="D238" s="134" t="s">
        <v>1136</v>
      </c>
      <c r="E238" s="153" t="s">
        <v>52</v>
      </c>
      <c r="H238" s="172">
        <f t="shared" si="10"/>
        <v>60100060</v>
      </c>
      <c r="I238" s="86" t="s">
        <v>1330</v>
      </c>
    </row>
    <row r="239" spans="2:9" s="86" customFormat="1" outlineLevel="1" x14ac:dyDescent="0.25">
      <c r="B239" s="151">
        <v>60100070</v>
      </c>
      <c r="C239" s="134" t="s">
        <v>87</v>
      </c>
      <c r="D239" s="134" t="s">
        <v>1136</v>
      </c>
      <c r="E239" s="153" t="s">
        <v>52</v>
      </c>
      <c r="H239" s="172">
        <f t="shared" si="10"/>
        <v>60100070</v>
      </c>
      <c r="I239" s="86" t="s">
        <v>1330</v>
      </c>
    </row>
    <row r="240" spans="2:9" s="86" customFormat="1" outlineLevel="1" x14ac:dyDescent="0.25">
      <c r="B240" s="151">
        <v>60100080</v>
      </c>
      <c r="C240" s="134" t="s">
        <v>89</v>
      </c>
      <c r="D240" s="138" t="s">
        <v>1136</v>
      </c>
      <c r="E240" s="153" t="s">
        <v>52</v>
      </c>
      <c r="H240" s="172">
        <f t="shared" si="10"/>
        <v>60100080</v>
      </c>
      <c r="I240" s="86" t="s">
        <v>1330</v>
      </c>
    </row>
    <row r="241" spans="2:9" s="86" customFormat="1" outlineLevel="1" x14ac:dyDescent="0.25">
      <c r="B241" s="151">
        <v>60100090</v>
      </c>
      <c r="C241" s="134" t="s">
        <v>91</v>
      </c>
      <c r="D241" s="138" t="s">
        <v>1136</v>
      </c>
      <c r="E241" s="153" t="s">
        <v>52</v>
      </c>
      <c r="H241" s="172">
        <f t="shared" si="10"/>
        <v>60100090</v>
      </c>
      <c r="I241" s="86" t="s">
        <v>1330</v>
      </c>
    </row>
    <row r="242" spans="2:9" s="86" customFormat="1" outlineLevel="1" x14ac:dyDescent="0.25">
      <c r="B242" s="151">
        <v>60100100</v>
      </c>
      <c r="C242" s="134" t="s">
        <v>93</v>
      </c>
      <c r="D242" s="138" t="s">
        <v>1136</v>
      </c>
      <c r="E242" s="153" t="s">
        <v>52</v>
      </c>
      <c r="H242" s="172">
        <f t="shared" si="10"/>
        <v>60100100</v>
      </c>
      <c r="I242" s="86" t="s">
        <v>1330</v>
      </c>
    </row>
    <row r="243" spans="2:9" s="86" customFormat="1" outlineLevel="1" x14ac:dyDescent="0.25">
      <c r="B243" s="151">
        <v>60100110</v>
      </c>
      <c r="C243" s="134" t="s">
        <v>95</v>
      </c>
      <c r="D243" s="138" t="s">
        <v>1136</v>
      </c>
      <c r="E243" s="153" t="s">
        <v>52</v>
      </c>
      <c r="H243" s="172">
        <f t="shared" si="10"/>
        <v>60100110</v>
      </c>
      <c r="I243" s="86" t="s">
        <v>1330</v>
      </c>
    </row>
    <row r="244" spans="2:9" s="86" customFormat="1" outlineLevel="1" x14ac:dyDescent="0.25">
      <c r="B244" s="151">
        <v>60100120</v>
      </c>
      <c r="C244" s="134" t="s">
        <v>2245</v>
      </c>
      <c r="D244" s="138" t="s">
        <v>1136</v>
      </c>
      <c r="E244" s="153" t="s">
        <v>52</v>
      </c>
      <c r="H244" s="172">
        <f t="shared" si="10"/>
        <v>60100120</v>
      </c>
      <c r="I244" s="86" t="s">
        <v>1330</v>
      </c>
    </row>
    <row r="245" spans="2:9" s="86" customFormat="1" outlineLevel="1" x14ac:dyDescent="0.25">
      <c r="B245" s="151">
        <v>60100990</v>
      </c>
      <c r="C245" s="134" t="s">
        <v>97</v>
      </c>
      <c r="D245" s="138" t="s">
        <v>1136</v>
      </c>
      <c r="E245" s="153" t="s">
        <v>52</v>
      </c>
      <c r="H245" s="172">
        <f t="shared" si="10"/>
        <v>60100990</v>
      </c>
      <c r="I245" s="86" t="s">
        <v>1330</v>
      </c>
    </row>
    <row r="246" spans="2:9" s="86" customFormat="1" outlineLevel="1" x14ac:dyDescent="0.25">
      <c r="B246" s="151">
        <v>60200010</v>
      </c>
      <c r="C246" s="134" t="s">
        <v>99</v>
      </c>
      <c r="D246" s="138" t="s">
        <v>952</v>
      </c>
      <c r="E246" s="153" t="s">
        <v>52</v>
      </c>
      <c r="H246" s="172">
        <f t="shared" si="10"/>
        <v>60200010</v>
      </c>
      <c r="I246" s="86" t="s">
        <v>1333</v>
      </c>
    </row>
    <row r="247" spans="2:9" s="86" customFormat="1" outlineLevel="1" x14ac:dyDescent="0.25">
      <c r="B247" s="151">
        <v>60300010</v>
      </c>
      <c r="C247" s="134" t="s">
        <v>102</v>
      </c>
      <c r="D247" s="138" t="s">
        <v>1145</v>
      </c>
      <c r="E247" s="153" t="s">
        <v>52</v>
      </c>
      <c r="H247" s="172">
        <f t="shared" si="10"/>
        <v>60300010</v>
      </c>
      <c r="I247" s="86" t="s">
        <v>957</v>
      </c>
    </row>
    <row r="248" spans="2:9" s="86" customFormat="1" outlineLevel="1" x14ac:dyDescent="0.25">
      <c r="B248" s="151">
        <v>60600010</v>
      </c>
      <c r="C248" s="134" t="s">
        <v>585</v>
      </c>
      <c r="D248" s="138" t="s">
        <v>962</v>
      </c>
      <c r="E248" s="152" t="s">
        <v>108</v>
      </c>
      <c r="H248" s="172">
        <f t="shared" si="10"/>
        <v>60600010</v>
      </c>
      <c r="I248" s="86" t="s">
        <v>962</v>
      </c>
    </row>
    <row r="249" spans="2:9" s="86" customFormat="1" outlineLevel="1" x14ac:dyDescent="0.25">
      <c r="B249" s="151">
        <v>60600020</v>
      </c>
      <c r="C249" s="134" t="s">
        <v>586</v>
      </c>
      <c r="D249" s="138" t="s">
        <v>962</v>
      </c>
      <c r="E249" s="152" t="s">
        <v>108</v>
      </c>
      <c r="H249" s="172">
        <f t="shared" si="10"/>
        <v>60600020</v>
      </c>
      <c r="I249" s="86" t="s">
        <v>962</v>
      </c>
    </row>
    <row r="250" spans="2:9" s="86" customFormat="1" ht="30" outlineLevel="1" x14ac:dyDescent="0.25">
      <c r="B250" s="151">
        <v>60600030</v>
      </c>
      <c r="C250" s="134" t="s">
        <v>587</v>
      </c>
      <c r="D250" s="138" t="s">
        <v>962</v>
      </c>
      <c r="E250" s="152" t="s">
        <v>108</v>
      </c>
      <c r="H250" s="172">
        <f t="shared" si="10"/>
        <v>60600030</v>
      </c>
      <c r="I250" s="86" t="s">
        <v>962</v>
      </c>
    </row>
    <row r="251" spans="2:9" s="86" customFormat="1" outlineLevel="1" x14ac:dyDescent="0.25">
      <c r="B251" s="151">
        <v>60600050</v>
      </c>
      <c r="C251" s="134" t="s">
        <v>115</v>
      </c>
      <c r="D251" s="138" t="s">
        <v>962</v>
      </c>
      <c r="E251" s="152" t="s">
        <v>2154</v>
      </c>
      <c r="H251" s="172">
        <f t="shared" si="10"/>
        <v>60600050</v>
      </c>
      <c r="I251" s="86" t="s">
        <v>962</v>
      </c>
    </row>
    <row r="252" spans="2:9" s="86" customFormat="1" outlineLevel="1" x14ac:dyDescent="0.25">
      <c r="B252" s="151">
        <v>60700010</v>
      </c>
      <c r="C252" s="134" t="s">
        <v>117</v>
      </c>
      <c r="D252" s="138" t="s">
        <v>117</v>
      </c>
      <c r="E252" s="152" t="s">
        <v>108</v>
      </c>
      <c r="H252" s="172">
        <f t="shared" si="10"/>
        <v>60700010</v>
      </c>
      <c r="I252" s="86" t="s">
        <v>117</v>
      </c>
    </row>
    <row r="253" spans="2:9" s="86" customFormat="1" outlineLevel="1" x14ac:dyDescent="0.25">
      <c r="B253" s="151">
        <v>60800010</v>
      </c>
      <c r="C253" s="134" t="s">
        <v>119</v>
      </c>
      <c r="D253" s="138" t="s">
        <v>1158</v>
      </c>
      <c r="E253" s="152" t="s">
        <v>2154</v>
      </c>
      <c r="H253" s="172">
        <f t="shared" si="10"/>
        <v>60800010</v>
      </c>
      <c r="I253" s="86" t="s">
        <v>1334</v>
      </c>
    </row>
    <row r="254" spans="2:9" s="86" customFormat="1" ht="30" outlineLevel="1" x14ac:dyDescent="0.25">
      <c r="B254" s="151">
        <v>60800020</v>
      </c>
      <c r="C254" s="134" t="s">
        <v>121</v>
      </c>
      <c r="D254" s="138" t="s">
        <v>1158</v>
      </c>
      <c r="E254" s="152" t="s">
        <v>2154</v>
      </c>
      <c r="H254" s="172">
        <f t="shared" si="10"/>
        <v>60800020</v>
      </c>
      <c r="I254" s="86" t="s">
        <v>1334</v>
      </c>
    </row>
    <row r="255" spans="2:9" s="86" customFormat="1" outlineLevel="1" x14ac:dyDescent="0.25">
      <c r="B255" s="151">
        <v>60800030</v>
      </c>
      <c r="C255" s="134" t="s">
        <v>124</v>
      </c>
      <c r="D255" s="138" t="s">
        <v>1158</v>
      </c>
      <c r="E255" s="152" t="s">
        <v>2154</v>
      </c>
      <c r="H255" s="172">
        <f t="shared" si="10"/>
        <v>60800030</v>
      </c>
      <c r="I255" s="86" t="s">
        <v>1334</v>
      </c>
    </row>
    <row r="256" spans="2:9" s="86" customFormat="1" outlineLevel="1" x14ac:dyDescent="0.25">
      <c r="B256" s="151">
        <v>60800040</v>
      </c>
      <c r="C256" s="134" t="s">
        <v>126</v>
      </c>
      <c r="D256" s="138" t="s">
        <v>1158</v>
      </c>
      <c r="E256" s="152" t="s">
        <v>2154</v>
      </c>
      <c r="H256" s="172">
        <f t="shared" si="10"/>
        <v>60800040</v>
      </c>
      <c r="I256" s="86" t="s">
        <v>1334</v>
      </c>
    </row>
    <row r="257" spans="2:9" s="86" customFormat="1" outlineLevel="1" x14ac:dyDescent="0.25">
      <c r="B257" s="151">
        <v>60800050</v>
      </c>
      <c r="C257" s="134" t="s">
        <v>128</v>
      </c>
      <c r="D257" s="138" t="s">
        <v>1158</v>
      </c>
      <c r="E257" s="152" t="s">
        <v>2154</v>
      </c>
      <c r="H257" s="172">
        <f t="shared" si="10"/>
        <v>60800050</v>
      </c>
      <c r="I257" s="86" t="s">
        <v>1334</v>
      </c>
    </row>
    <row r="258" spans="2:9" s="86" customFormat="1" ht="30" outlineLevel="1" x14ac:dyDescent="0.25">
      <c r="B258" s="151">
        <v>60800060</v>
      </c>
      <c r="C258" s="134" t="s">
        <v>130</v>
      </c>
      <c r="D258" s="138" t="s">
        <v>1158</v>
      </c>
      <c r="E258" s="152" t="s">
        <v>2154</v>
      </c>
      <c r="H258" s="172">
        <f t="shared" si="10"/>
        <v>60800060</v>
      </c>
      <c r="I258" s="86" t="s">
        <v>1334</v>
      </c>
    </row>
    <row r="259" spans="2:9" s="86" customFormat="1" outlineLevel="1" x14ac:dyDescent="0.25">
      <c r="B259" s="151">
        <v>60800070</v>
      </c>
      <c r="C259" s="134" t="s">
        <v>133</v>
      </c>
      <c r="D259" s="138" t="s">
        <v>1158</v>
      </c>
      <c r="E259" s="152" t="s">
        <v>2154</v>
      </c>
      <c r="H259" s="172">
        <f t="shared" si="10"/>
        <v>60800070</v>
      </c>
      <c r="I259" s="86" t="s">
        <v>1334</v>
      </c>
    </row>
    <row r="260" spans="2:9" s="86" customFormat="1" outlineLevel="1" x14ac:dyDescent="0.25">
      <c r="B260" s="151">
        <v>60800080</v>
      </c>
      <c r="C260" s="134" t="s">
        <v>135</v>
      </c>
      <c r="D260" s="138" t="s">
        <v>1158</v>
      </c>
      <c r="E260" s="152" t="s">
        <v>2154</v>
      </c>
      <c r="H260" s="172">
        <f t="shared" si="10"/>
        <v>60800080</v>
      </c>
      <c r="I260" s="86" t="s">
        <v>1334</v>
      </c>
    </row>
    <row r="261" spans="2:9" s="86" customFormat="1" outlineLevel="1" x14ac:dyDescent="0.25">
      <c r="B261" s="151">
        <v>61100010</v>
      </c>
      <c r="C261" s="134" t="s">
        <v>604</v>
      </c>
      <c r="D261" s="138" t="s">
        <v>987</v>
      </c>
      <c r="E261" s="152" t="s">
        <v>2251</v>
      </c>
      <c r="H261" s="172">
        <f t="shared" si="10"/>
        <v>61100010</v>
      </c>
      <c r="I261" s="86" t="s">
        <v>987</v>
      </c>
    </row>
    <row r="262" spans="2:9" s="86" customFormat="1" outlineLevel="1" x14ac:dyDescent="0.25">
      <c r="B262" s="151">
        <v>61200010</v>
      </c>
      <c r="C262" s="134" t="s">
        <v>605</v>
      </c>
      <c r="D262" s="138" t="s">
        <v>992</v>
      </c>
      <c r="E262" s="152" t="s">
        <v>2253</v>
      </c>
      <c r="H262" s="172">
        <f t="shared" si="10"/>
        <v>61200010</v>
      </c>
      <c r="I262" s="86" t="s">
        <v>1335</v>
      </c>
    </row>
    <row r="263" spans="2:9" s="86" customFormat="1" outlineLevel="1" x14ac:dyDescent="0.25">
      <c r="B263" s="151">
        <v>61200020</v>
      </c>
      <c r="C263" s="134" t="s">
        <v>606</v>
      </c>
      <c r="D263" s="138" t="s">
        <v>992</v>
      </c>
      <c r="E263" s="152" t="s">
        <v>2253</v>
      </c>
      <c r="H263" s="172">
        <f t="shared" si="10"/>
        <v>61200020</v>
      </c>
      <c r="I263" s="86" t="s">
        <v>1335</v>
      </c>
    </row>
    <row r="264" spans="2:9" s="86" customFormat="1" outlineLevel="1" x14ac:dyDescent="0.25">
      <c r="B264" s="151">
        <v>61200030</v>
      </c>
      <c r="C264" s="134" t="s">
        <v>607</v>
      </c>
      <c r="D264" s="138" t="s">
        <v>992</v>
      </c>
      <c r="E264" s="152" t="s">
        <v>2253</v>
      </c>
      <c r="H264" s="172">
        <f t="shared" si="10"/>
        <v>61200030</v>
      </c>
      <c r="I264" s="86" t="s">
        <v>1335</v>
      </c>
    </row>
    <row r="265" spans="2:9" s="86" customFormat="1" outlineLevel="1" x14ac:dyDescent="0.25">
      <c r="B265" s="151">
        <v>61200040</v>
      </c>
      <c r="C265" s="134" t="s">
        <v>608</v>
      </c>
      <c r="D265" s="138" t="s">
        <v>992</v>
      </c>
      <c r="E265" s="152" t="s">
        <v>2253</v>
      </c>
      <c r="H265" s="172">
        <f t="shared" si="10"/>
        <v>61200040</v>
      </c>
      <c r="I265" s="86" t="s">
        <v>1335</v>
      </c>
    </row>
    <row r="266" spans="2:9" s="86" customFormat="1" outlineLevel="1" x14ac:dyDescent="0.25">
      <c r="B266" s="151">
        <v>61200050</v>
      </c>
      <c r="C266" s="134" t="s">
        <v>609</v>
      </c>
      <c r="D266" s="138" t="s">
        <v>992</v>
      </c>
      <c r="E266" s="152" t="s">
        <v>2253</v>
      </c>
      <c r="H266" s="172">
        <f t="shared" si="10"/>
        <v>61200050</v>
      </c>
      <c r="I266" s="86" t="s">
        <v>1335</v>
      </c>
    </row>
    <row r="267" spans="2:9" s="86" customFormat="1" outlineLevel="1" x14ac:dyDescent="0.25">
      <c r="B267" s="151">
        <v>61200060</v>
      </c>
      <c r="C267" s="134" t="s">
        <v>610</v>
      </c>
      <c r="D267" s="138" t="s">
        <v>992</v>
      </c>
      <c r="E267" s="152" t="s">
        <v>2253</v>
      </c>
      <c r="H267" s="172">
        <f t="shared" si="10"/>
        <v>61200060</v>
      </c>
      <c r="I267" s="86" t="s">
        <v>1335</v>
      </c>
    </row>
    <row r="268" spans="2:9" s="86" customFormat="1" outlineLevel="1" x14ac:dyDescent="0.25">
      <c r="B268" s="151">
        <v>61200070</v>
      </c>
      <c r="C268" s="134" t="s">
        <v>611</v>
      </c>
      <c r="D268" s="138" t="s">
        <v>992</v>
      </c>
      <c r="E268" s="152" t="s">
        <v>2253</v>
      </c>
      <c r="H268" s="172">
        <f t="shared" si="10"/>
        <v>61200070</v>
      </c>
      <c r="I268" s="86" t="s">
        <v>1335</v>
      </c>
    </row>
    <row r="269" spans="2:9" s="86" customFormat="1" outlineLevel="1" x14ac:dyDescent="0.25">
      <c r="B269" s="151">
        <v>61200080</v>
      </c>
      <c r="C269" s="134" t="s">
        <v>612</v>
      </c>
      <c r="D269" s="138" t="s">
        <v>992</v>
      </c>
      <c r="E269" s="152" t="s">
        <v>2253</v>
      </c>
      <c r="H269" s="172">
        <f t="shared" si="10"/>
        <v>61200080</v>
      </c>
      <c r="I269" s="86" t="s">
        <v>1335</v>
      </c>
    </row>
    <row r="270" spans="2:9" s="86" customFormat="1" outlineLevel="1" x14ac:dyDescent="0.25">
      <c r="B270" s="151">
        <v>61200090</v>
      </c>
      <c r="C270" s="134" t="s">
        <v>613</v>
      </c>
      <c r="D270" s="138" t="s">
        <v>992</v>
      </c>
      <c r="E270" s="152" t="s">
        <v>2253</v>
      </c>
      <c r="H270" s="172">
        <f t="shared" si="10"/>
        <v>61200090</v>
      </c>
      <c r="I270" s="86" t="s">
        <v>1335</v>
      </c>
    </row>
    <row r="271" spans="2:9" s="86" customFormat="1" outlineLevel="1" x14ac:dyDescent="0.25">
      <c r="B271" s="151">
        <v>61300010</v>
      </c>
      <c r="C271" s="134" t="s">
        <v>614</v>
      </c>
      <c r="D271" s="138" t="s">
        <v>997</v>
      </c>
      <c r="E271" s="152" t="s">
        <v>2253</v>
      </c>
      <c r="H271" s="172">
        <f t="shared" si="10"/>
        <v>61300010</v>
      </c>
      <c r="I271" s="86" t="s">
        <v>1336</v>
      </c>
    </row>
    <row r="272" spans="2:9" s="86" customFormat="1" outlineLevel="1" x14ac:dyDescent="0.25">
      <c r="B272" s="151">
        <v>61300020</v>
      </c>
      <c r="C272" s="134" t="s">
        <v>615</v>
      </c>
      <c r="D272" s="138" t="s">
        <v>997</v>
      </c>
      <c r="E272" s="152" t="s">
        <v>2253</v>
      </c>
      <c r="H272" s="172">
        <f t="shared" si="10"/>
        <v>61300020</v>
      </c>
      <c r="I272" s="86" t="s">
        <v>1336</v>
      </c>
    </row>
    <row r="273" spans="2:9" s="86" customFormat="1" outlineLevel="1" x14ac:dyDescent="0.25">
      <c r="B273" s="151">
        <v>61300030</v>
      </c>
      <c r="C273" s="134" t="s">
        <v>616</v>
      </c>
      <c r="D273" s="138" t="s">
        <v>997</v>
      </c>
      <c r="E273" s="152" t="s">
        <v>2253</v>
      </c>
      <c r="H273" s="172">
        <f t="shared" si="10"/>
        <v>61300030</v>
      </c>
      <c r="I273" s="86" t="s">
        <v>1336</v>
      </c>
    </row>
    <row r="274" spans="2:9" s="86" customFormat="1" outlineLevel="1" x14ac:dyDescent="0.25">
      <c r="B274" s="151">
        <v>61300040</v>
      </c>
      <c r="C274" s="134" t="s">
        <v>617</v>
      </c>
      <c r="D274" s="138" t="s">
        <v>997</v>
      </c>
      <c r="E274" s="152" t="s">
        <v>2253</v>
      </c>
      <c r="H274" s="172">
        <f t="shared" si="10"/>
        <v>61300040</v>
      </c>
      <c r="I274" s="86" t="s">
        <v>1336</v>
      </c>
    </row>
    <row r="275" spans="2:9" s="86" customFormat="1" outlineLevel="1" x14ac:dyDescent="0.25">
      <c r="B275" s="151">
        <v>61300050</v>
      </c>
      <c r="C275" s="134" t="s">
        <v>618</v>
      </c>
      <c r="D275" s="138" t="s">
        <v>997</v>
      </c>
      <c r="E275" s="152" t="s">
        <v>2253</v>
      </c>
      <c r="H275" s="172">
        <f t="shared" si="10"/>
        <v>61300050</v>
      </c>
      <c r="I275" s="86" t="s">
        <v>1336</v>
      </c>
    </row>
    <row r="276" spans="2:9" s="86" customFormat="1" outlineLevel="1" x14ac:dyDescent="0.25">
      <c r="B276" s="151">
        <v>61300060</v>
      </c>
      <c r="C276" s="134" t="s">
        <v>619</v>
      </c>
      <c r="D276" s="138" t="s">
        <v>997</v>
      </c>
      <c r="E276" s="152" t="s">
        <v>2253</v>
      </c>
      <c r="H276" s="172">
        <f t="shared" si="10"/>
        <v>61300060</v>
      </c>
      <c r="I276" s="86" t="s">
        <v>1336</v>
      </c>
    </row>
    <row r="277" spans="2:9" s="86" customFormat="1" outlineLevel="1" x14ac:dyDescent="0.25">
      <c r="B277" s="151">
        <v>61300070</v>
      </c>
      <c r="C277" s="134" t="s">
        <v>620</v>
      </c>
      <c r="D277" s="138" t="s">
        <v>997</v>
      </c>
      <c r="E277" s="152" t="s">
        <v>2253</v>
      </c>
      <c r="H277" s="172">
        <f t="shared" si="10"/>
        <v>61300070</v>
      </c>
      <c r="I277" s="86" t="s">
        <v>1336</v>
      </c>
    </row>
    <row r="278" spans="2:9" s="86" customFormat="1" outlineLevel="1" x14ac:dyDescent="0.25">
      <c r="B278" s="151">
        <v>61300080</v>
      </c>
      <c r="C278" s="134" t="s">
        <v>621</v>
      </c>
      <c r="D278" s="138" t="s">
        <v>997</v>
      </c>
      <c r="E278" s="152" t="s">
        <v>2253</v>
      </c>
      <c r="H278" s="172">
        <f t="shared" si="10"/>
        <v>61300080</v>
      </c>
      <c r="I278" s="86" t="s">
        <v>1336</v>
      </c>
    </row>
    <row r="279" spans="2:9" s="86" customFormat="1" outlineLevel="1" x14ac:dyDescent="0.25">
      <c r="B279" s="151">
        <v>61300090</v>
      </c>
      <c r="C279" s="134" t="s">
        <v>622</v>
      </c>
      <c r="D279" s="138" t="s">
        <v>997</v>
      </c>
      <c r="E279" s="152" t="s">
        <v>2253</v>
      </c>
      <c r="H279" s="172">
        <f t="shared" si="10"/>
        <v>61300090</v>
      </c>
      <c r="I279" s="86" t="s">
        <v>1336</v>
      </c>
    </row>
    <row r="280" spans="2:9" s="86" customFormat="1" ht="30" outlineLevel="1" x14ac:dyDescent="0.25">
      <c r="B280" s="151">
        <v>61400010</v>
      </c>
      <c r="C280" s="134" t="s">
        <v>137</v>
      </c>
      <c r="D280" s="138" t="s">
        <v>1002</v>
      </c>
      <c r="E280" s="152" t="s">
        <v>2272</v>
      </c>
      <c r="H280" s="172">
        <f t="shared" si="10"/>
        <v>61400010</v>
      </c>
      <c r="I280" s="86" t="s">
        <v>1337</v>
      </c>
    </row>
    <row r="281" spans="2:9" s="86" customFormat="1" outlineLevel="1" x14ac:dyDescent="0.25">
      <c r="B281" s="151">
        <v>61400020</v>
      </c>
      <c r="C281" s="134" t="s">
        <v>623</v>
      </c>
      <c r="D281" s="138" t="s">
        <v>1002</v>
      </c>
      <c r="E281" s="152" t="s">
        <v>2272</v>
      </c>
      <c r="H281" s="172">
        <f t="shared" si="10"/>
        <v>61400020</v>
      </c>
      <c r="I281" s="86" t="s">
        <v>1337</v>
      </c>
    </row>
    <row r="282" spans="2:9" s="86" customFormat="1" outlineLevel="1" x14ac:dyDescent="0.25">
      <c r="B282" s="151">
        <v>61400030</v>
      </c>
      <c r="C282" s="134" t="s">
        <v>624</v>
      </c>
      <c r="D282" s="138" t="s">
        <v>1002</v>
      </c>
      <c r="E282" s="152" t="s">
        <v>2272</v>
      </c>
      <c r="H282" s="172">
        <f t="shared" si="10"/>
        <v>61400030</v>
      </c>
      <c r="I282" s="86" t="s">
        <v>1337</v>
      </c>
    </row>
    <row r="283" spans="2:9" s="86" customFormat="1" outlineLevel="1" x14ac:dyDescent="0.25">
      <c r="B283" s="151">
        <v>61500010</v>
      </c>
      <c r="C283" s="134" t="s">
        <v>143</v>
      </c>
      <c r="D283" s="138" t="s">
        <v>1007</v>
      </c>
      <c r="E283" s="152" t="s">
        <v>2154</v>
      </c>
      <c r="H283" s="172">
        <f t="shared" si="10"/>
        <v>61500010</v>
      </c>
      <c r="I283" s="86" t="s">
        <v>1338</v>
      </c>
    </row>
    <row r="284" spans="2:9" s="86" customFormat="1" outlineLevel="1" x14ac:dyDescent="0.25">
      <c r="B284" s="151">
        <v>61500020</v>
      </c>
      <c r="C284" s="134" t="s">
        <v>145</v>
      </c>
      <c r="D284" s="138" t="s">
        <v>1007</v>
      </c>
      <c r="E284" s="152" t="s">
        <v>52</v>
      </c>
      <c r="H284" s="172">
        <f t="shared" si="10"/>
        <v>61500020</v>
      </c>
      <c r="I284" s="86" t="s">
        <v>1338</v>
      </c>
    </row>
    <row r="285" spans="2:9" s="86" customFormat="1" ht="30" outlineLevel="1" x14ac:dyDescent="0.25">
      <c r="B285" s="151">
        <v>61600010</v>
      </c>
      <c r="C285" s="134" t="s">
        <v>2275</v>
      </c>
      <c r="D285" s="138" t="s">
        <v>1012</v>
      </c>
      <c r="E285" s="152" t="s">
        <v>108</v>
      </c>
      <c r="H285" s="172">
        <f t="shared" si="10"/>
        <v>61600010</v>
      </c>
      <c r="I285" s="86" t="s">
        <v>1339</v>
      </c>
    </row>
    <row r="286" spans="2:9" s="86" customFormat="1" outlineLevel="1" x14ac:dyDescent="0.25">
      <c r="B286" s="151">
        <v>61600030</v>
      </c>
      <c r="C286" s="134" t="s">
        <v>152</v>
      </c>
      <c r="D286" s="138" t="s">
        <v>1012</v>
      </c>
      <c r="E286" s="152" t="s">
        <v>108</v>
      </c>
      <c r="H286" s="172">
        <f t="shared" si="10"/>
        <v>61600030</v>
      </c>
      <c r="I286" s="86" t="s">
        <v>1339</v>
      </c>
    </row>
    <row r="287" spans="2:9" s="86" customFormat="1" ht="30" outlineLevel="1" x14ac:dyDescent="0.25">
      <c r="B287" s="151">
        <v>61600040</v>
      </c>
      <c r="C287" s="134" t="s">
        <v>153</v>
      </c>
      <c r="D287" s="138" t="s">
        <v>1012</v>
      </c>
      <c r="E287" s="152" t="s">
        <v>178</v>
      </c>
      <c r="H287" s="172">
        <f t="shared" si="10"/>
        <v>61600040</v>
      </c>
      <c r="I287" s="86" t="s">
        <v>1339</v>
      </c>
    </row>
    <row r="288" spans="2:9" s="86" customFormat="1" ht="30" outlineLevel="1" x14ac:dyDescent="0.25">
      <c r="B288" s="151">
        <v>61600050</v>
      </c>
      <c r="C288" s="134" t="s">
        <v>2279</v>
      </c>
      <c r="D288" s="138" t="s">
        <v>1012</v>
      </c>
      <c r="E288" s="152" t="s">
        <v>178</v>
      </c>
      <c r="H288" s="172">
        <f t="shared" si="10"/>
        <v>61600050</v>
      </c>
      <c r="I288" s="86" t="s">
        <v>1339</v>
      </c>
    </row>
    <row r="289" spans="2:9" s="86" customFormat="1" outlineLevel="1" x14ac:dyDescent="0.25">
      <c r="B289" s="151">
        <v>61600060</v>
      </c>
      <c r="C289" s="134" t="s">
        <v>2281</v>
      </c>
      <c r="D289" s="138" t="s">
        <v>1012</v>
      </c>
      <c r="E289" s="152" t="s">
        <v>52</v>
      </c>
      <c r="H289" s="172">
        <f t="shared" si="10"/>
        <v>61600060</v>
      </c>
      <c r="I289" s="86" t="s">
        <v>1339</v>
      </c>
    </row>
    <row r="290" spans="2:9" s="86" customFormat="1" outlineLevel="1" x14ac:dyDescent="0.25">
      <c r="B290" s="151">
        <v>61600070</v>
      </c>
      <c r="C290" s="134" t="s">
        <v>154</v>
      </c>
      <c r="D290" s="138" t="s">
        <v>1012</v>
      </c>
      <c r="E290" s="152" t="s">
        <v>108</v>
      </c>
      <c r="H290" s="172">
        <f t="shared" si="10"/>
        <v>61600070</v>
      </c>
      <c r="I290" s="86" t="s">
        <v>1339</v>
      </c>
    </row>
    <row r="291" spans="2:9" s="86" customFormat="1" outlineLevel="1" x14ac:dyDescent="0.25">
      <c r="B291" s="151">
        <v>61700010</v>
      </c>
      <c r="C291" s="134" t="s">
        <v>155</v>
      </c>
      <c r="D291" s="138" t="s">
        <v>1017</v>
      </c>
      <c r="E291" s="152" t="s">
        <v>2283</v>
      </c>
      <c r="H291" s="172">
        <f t="shared" si="10"/>
        <v>61700010</v>
      </c>
      <c r="I291" s="86" t="s">
        <v>1340</v>
      </c>
    </row>
    <row r="292" spans="2:9" s="86" customFormat="1" outlineLevel="1" x14ac:dyDescent="0.25">
      <c r="B292" s="151">
        <v>61700030</v>
      </c>
      <c r="C292" s="134" t="s">
        <v>157</v>
      </c>
      <c r="D292" s="138" t="s">
        <v>1017</v>
      </c>
      <c r="E292" s="152" t="s">
        <v>108</v>
      </c>
      <c r="H292" s="172">
        <f t="shared" si="10"/>
        <v>61700030</v>
      </c>
      <c r="I292" s="86" t="s">
        <v>1340</v>
      </c>
    </row>
    <row r="293" spans="2:9" s="86" customFormat="1" outlineLevel="1" x14ac:dyDescent="0.25">
      <c r="B293" s="151">
        <v>61700040</v>
      </c>
      <c r="C293" s="134" t="s">
        <v>159</v>
      </c>
      <c r="D293" s="138" t="s">
        <v>1017</v>
      </c>
      <c r="E293" s="152" t="s">
        <v>108</v>
      </c>
      <c r="H293" s="172">
        <f t="shared" si="10"/>
        <v>61700040</v>
      </c>
      <c r="I293" s="86" t="s">
        <v>1340</v>
      </c>
    </row>
    <row r="294" spans="2:9" s="86" customFormat="1" outlineLevel="1" x14ac:dyDescent="0.25">
      <c r="B294" s="151">
        <v>61700050</v>
      </c>
      <c r="C294" s="134" t="s">
        <v>161</v>
      </c>
      <c r="D294" s="138" t="s">
        <v>1017</v>
      </c>
      <c r="E294" s="152" t="s">
        <v>108</v>
      </c>
      <c r="H294" s="172">
        <f t="shared" si="10"/>
        <v>61700050</v>
      </c>
      <c r="I294" s="86" t="s">
        <v>1340</v>
      </c>
    </row>
    <row r="295" spans="2:9" s="86" customFormat="1" outlineLevel="1" x14ac:dyDescent="0.25">
      <c r="B295" s="151">
        <v>61700060</v>
      </c>
      <c r="C295" s="134" t="s">
        <v>2284</v>
      </c>
      <c r="D295" s="138" t="s">
        <v>1017</v>
      </c>
      <c r="E295" s="152" t="s">
        <v>108</v>
      </c>
      <c r="H295" s="172">
        <f t="shared" si="10"/>
        <v>61700060</v>
      </c>
      <c r="I295" s="86" t="s">
        <v>1340</v>
      </c>
    </row>
    <row r="296" spans="2:9" s="86" customFormat="1" outlineLevel="1" x14ac:dyDescent="0.25">
      <c r="B296" s="151">
        <v>61700070</v>
      </c>
      <c r="C296" s="134" t="s">
        <v>165</v>
      </c>
      <c r="D296" s="138" t="s">
        <v>1017</v>
      </c>
      <c r="E296" s="152" t="s">
        <v>2154</v>
      </c>
      <c r="H296" s="172">
        <f t="shared" si="10"/>
        <v>61700070</v>
      </c>
      <c r="I296" s="86" t="s">
        <v>1340</v>
      </c>
    </row>
    <row r="297" spans="2:9" s="86" customFormat="1" ht="30" outlineLevel="1" x14ac:dyDescent="0.25">
      <c r="B297" s="151">
        <v>61800010</v>
      </c>
      <c r="C297" s="134" t="s">
        <v>167</v>
      </c>
      <c r="D297" s="138" t="s">
        <v>1201</v>
      </c>
      <c r="E297" s="152" t="s">
        <v>2154</v>
      </c>
      <c r="H297" s="172">
        <f t="shared" ref="H297:H331" si="11">B297</f>
        <v>61800010</v>
      </c>
      <c r="I297" s="86" t="s">
        <v>1341</v>
      </c>
    </row>
    <row r="298" spans="2:9" s="86" customFormat="1" outlineLevel="1" x14ac:dyDescent="0.25">
      <c r="B298" s="151">
        <v>61800020</v>
      </c>
      <c r="C298" s="151" t="s">
        <v>170</v>
      </c>
      <c r="D298" s="151" t="s">
        <v>1201</v>
      </c>
      <c r="E298" s="152" t="s">
        <v>2154</v>
      </c>
      <c r="H298" s="172">
        <f t="shared" si="11"/>
        <v>61800020</v>
      </c>
      <c r="I298" s="86" t="s">
        <v>1341</v>
      </c>
    </row>
    <row r="299" spans="2:9" s="86" customFormat="1" outlineLevel="1" x14ac:dyDescent="0.25">
      <c r="B299" s="151">
        <v>61800030</v>
      </c>
      <c r="C299" s="151" t="s">
        <v>172</v>
      </c>
      <c r="D299" s="151" t="s">
        <v>1201</v>
      </c>
      <c r="E299" s="152" t="s">
        <v>2154</v>
      </c>
      <c r="H299" s="172">
        <f t="shared" si="11"/>
        <v>61800030</v>
      </c>
      <c r="I299" s="86" t="s">
        <v>1341</v>
      </c>
    </row>
    <row r="300" spans="2:9" s="86" customFormat="1" outlineLevel="1" x14ac:dyDescent="0.25">
      <c r="B300" s="151">
        <v>61800090</v>
      </c>
      <c r="C300" s="151" t="s">
        <v>174</v>
      </c>
      <c r="D300" s="151" t="s">
        <v>1201</v>
      </c>
      <c r="E300" s="152" t="s">
        <v>2154</v>
      </c>
      <c r="H300" s="172">
        <f t="shared" si="11"/>
        <v>61800090</v>
      </c>
      <c r="I300" s="86" t="s">
        <v>1341</v>
      </c>
    </row>
    <row r="301" spans="2:9" s="86" customFormat="1" outlineLevel="1" x14ac:dyDescent="0.25">
      <c r="B301" s="151">
        <v>61900010</v>
      </c>
      <c r="C301" s="151" t="s">
        <v>176</v>
      </c>
      <c r="D301" s="151" t="s">
        <v>456</v>
      </c>
      <c r="E301" s="152" t="s">
        <v>2154</v>
      </c>
      <c r="H301" s="172">
        <f t="shared" si="11"/>
        <v>61900010</v>
      </c>
      <c r="I301" s="86" t="s">
        <v>1342</v>
      </c>
    </row>
    <row r="302" spans="2:9" s="86" customFormat="1" outlineLevel="1" x14ac:dyDescent="0.25">
      <c r="B302" s="151">
        <v>61900020</v>
      </c>
      <c r="C302" s="151" t="s">
        <v>179</v>
      </c>
      <c r="D302" s="151" t="s">
        <v>456</v>
      </c>
      <c r="E302" s="152" t="s">
        <v>2154</v>
      </c>
      <c r="H302" s="172">
        <f t="shared" si="11"/>
        <v>61900020</v>
      </c>
      <c r="I302" s="86" t="s">
        <v>1342</v>
      </c>
    </row>
    <row r="303" spans="2:9" s="86" customFormat="1" outlineLevel="1" x14ac:dyDescent="0.25">
      <c r="B303" s="151">
        <v>61900030</v>
      </c>
      <c r="C303" s="151" t="s">
        <v>182</v>
      </c>
      <c r="D303" s="151" t="s">
        <v>456</v>
      </c>
      <c r="E303" s="152" t="s">
        <v>2154</v>
      </c>
      <c r="H303" s="172">
        <f t="shared" si="11"/>
        <v>61900030</v>
      </c>
      <c r="I303" s="86" t="s">
        <v>1342</v>
      </c>
    </row>
    <row r="304" spans="2:9" s="86" customFormat="1" outlineLevel="1" x14ac:dyDescent="0.25">
      <c r="B304" s="151">
        <v>61900040</v>
      </c>
      <c r="C304" s="151" t="s">
        <v>184</v>
      </c>
      <c r="D304" s="151" t="s">
        <v>456</v>
      </c>
      <c r="E304" s="152" t="s">
        <v>2154</v>
      </c>
      <c r="H304" s="172">
        <f t="shared" si="11"/>
        <v>61900040</v>
      </c>
      <c r="I304" s="86" t="s">
        <v>1342</v>
      </c>
    </row>
    <row r="305" spans="2:9" s="86" customFormat="1" outlineLevel="1" x14ac:dyDescent="0.25">
      <c r="B305" s="151">
        <v>61900050</v>
      </c>
      <c r="C305" s="151" t="s">
        <v>1556</v>
      </c>
      <c r="D305" s="151" t="s">
        <v>456</v>
      </c>
      <c r="E305" s="152" t="s">
        <v>2154</v>
      </c>
      <c r="H305" s="172">
        <f t="shared" si="11"/>
        <v>61900050</v>
      </c>
      <c r="I305" s="86" t="s">
        <v>1342</v>
      </c>
    </row>
    <row r="306" spans="2:9" s="86" customFormat="1" outlineLevel="1" x14ac:dyDescent="0.25">
      <c r="B306" s="151">
        <v>61900090</v>
      </c>
      <c r="C306" s="151" t="s">
        <v>186</v>
      </c>
      <c r="D306" s="151" t="s">
        <v>456</v>
      </c>
      <c r="E306" s="152" t="s">
        <v>2154</v>
      </c>
      <c r="H306" s="172">
        <f t="shared" si="11"/>
        <v>61900090</v>
      </c>
      <c r="I306" s="86" t="s">
        <v>1342</v>
      </c>
    </row>
    <row r="307" spans="2:9" s="86" customFormat="1" outlineLevel="1" x14ac:dyDescent="0.25">
      <c r="B307" s="151">
        <v>62000010</v>
      </c>
      <c r="C307" s="151" t="s">
        <v>188</v>
      </c>
      <c r="D307" s="151" t="s">
        <v>1031</v>
      </c>
      <c r="E307" s="151" t="s">
        <v>238</v>
      </c>
      <c r="H307" s="172">
        <f t="shared" si="11"/>
        <v>62000010</v>
      </c>
      <c r="I307" s="86" t="s">
        <v>1343</v>
      </c>
    </row>
    <row r="308" spans="2:9" s="86" customFormat="1" ht="30" outlineLevel="1" x14ac:dyDescent="0.25">
      <c r="B308" s="151">
        <v>62000020</v>
      </c>
      <c r="C308" s="151" t="s">
        <v>191</v>
      </c>
      <c r="D308" s="151" t="s">
        <v>1031</v>
      </c>
      <c r="E308" s="151" t="s">
        <v>409</v>
      </c>
      <c r="H308" s="172">
        <f t="shared" si="11"/>
        <v>62000020</v>
      </c>
      <c r="I308" s="86" t="s">
        <v>1343</v>
      </c>
    </row>
    <row r="309" spans="2:9" s="86" customFormat="1" outlineLevel="1" x14ac:dyDescent="0.25">
      <c r="B309" s="151">
        <v>62000040</v>
      </c>
      <c r="C309" s="151" t="s">
        <v>194</v>
      </c>
      <c r="D309" s="151" t="s">
        <v>1031</v>
      </c>
      <c r="E309" s="152" t="s">
        <v>2154</v>
      </c>
      <c r="H309" s="172">
        <f t="shared" si="11"/>
        <v>62000040</v>
      </c>
      <c r="I309" s="86" t="s">
        <v>1343</v>
      </c>
    </row>
    <row r="310" spans="2:9" s="86" customFormat="1" outlineLevel="1" x14ac:dyDescent="0.25">
      <c r="B310" s="151">
        <v>62100010</v>
      </c>
      <c r="C310" s="151" t="s">
        <v>197</v>
      </c>
      <c r="D310" s="151" t="s">
        <v>1036</v>
      </c>
      <c r="E310" s="151" t="s">
        <v>178</v>
      </c>
      <c r="H310" s="172">
        <f t="shared" si="11"/>
        <v>62100010</v>
      </c>
      <c r="I310" s="86" t="s">
        <v>1344</v>
      </c>
    </row>
    <row r="311" spans="2:9" s="86" customFormat="1" outlineLevel="1" x14ac:dyDescent="0.25">
      <c r="B311" s="151">
        <v>62100020</v>
      </c>
      <c r="C311" s="151" t="s">
        <v>200</v>
      </c>
      <c r="D311" s="151" t="s">
        <v>1036</v>
      </c>
      <c r="E311" s="151" t="s">
        <v>178</v>
      </c>
      <c r="H311" s="172">
        <f t="shared" si="11"/>
        <v>62100020</v>
      </c>
      <c r="I311" s="86" t="s">
        <v>1344</v>
      </c>
    </row>
    <row r="312" spans="2:9" s="86" customFormat="1" outlineLevel="1" x14ac:dyDescent="0.25">
      <c r="B312" s="151">
        <v>62100030</v>
      </c>
      <c r="C312" s="151" t="s">
        <v>202</v>
      </c>
      <c r="D312" s="151" t="s">
        <v>1036</v>
      </c>
      <c r="E312" s="151" t="s">
        <v>178</v>
      </c>
      <c r="H312" s="172">
        <f t="shared" si="11"/>
        <v>62100030</v>
      </c>
      <c r="I312" s="86" t="s">
        <v>1344</v>
      </c>
    </row>
    <row r="313" spans="2:9" s="86" customFormat="1" outlineLevel="1" x14ac:dyDescent="0.25">
      <c r="B313" s="151">
        <v>62100040</v>
      </c>
      <c r="C313" s="151" t="s">
        <v>204</v>
      </c>
      <c r="D313" s="151" t="s">
        <v>1036</v>
      </c>
      <c r="E313" s="151" t="s">
        <v>178</v>
      </c>
      <c r="H313" s="172">
        <f t="shared" si="11"/>
        <v>62100040</v>
      </c>
      <c r="I313" s="86" t="s">
        <v>1344</v>
      </c>
    </row>
    <row r="314" spans="2:9" s="86" customFormat="1" outlineLevel="1" x14ac:dyDescent="0.25">
      <c r="B314" s="151">
        <v>62100050</v>
      </c>
      <c r="C314" s="151" t="s">
        <v>627</v>
      </c>
      <c r="D314" s="151" t="s">
        <v>1036</v>
      </c>
      <c r="E314" s="151" t="s">
        <v>178</v>
      </c>
      <c r="H314" s="172">
        <f t="shared" si="11"/>
        <v>62100050</v>
      </c>
      <c r="I314" s="86" t="s">
        <v>1344</v>
      </c>
    </row>
    <row r="315" spans="2:9" s="86" customFormat="1" outlineLevel="1" x14ac:dyDescent="0.25">
      <c r="B315" s="151">
        <v>62200010</v>
      </c>
      <c r="C315" s="151" t="s">
        <v>208</v>
      </c>
      <c r="D315" s="151" t="s">
        <v>1041</v>
      </c>
      <c r="E315" s="152" t="s">
        <v>2154</v>
      </c>
      <c r="H315" s="172">
        <f t="shared" si="11"/>
        <v>62200010</v>
      </c>
      <c r="I315" s="86" t="s">
        <v>1345</v>
      </c>
    </row>
    <row r="316" spans="2:9" s="86" customFormat="1" outlineLevel="1" x14ac:dyDescent="0.25">
      <c r="B316" s="151">
        <v>62200020</v>
      </c>
      <c r="C316" s="151" t="s">
        <v>210</v>
      </c>
      <c r="D316" s="151" t="s">
        <v>1041</v>
      </c>
      <c r="E316" s="152" t="s">
        <v>2154</v>
      </c>
      <c r="H316" s="172">
        <f t="shared" si="11"/>
        <v>62200020</v>
      </c>
      <c r="I316" s="86" t="s">
        <v>1345</v>
      </c>
    </row>
    <row r="317" spans="2:9" s="86" customFormat="1" outlineLevel="1" x14ac:dyDescent="0.25">
      <c r="B317" s="151">
        <v>62300010</v>
      </c>
      <c r="C317" s="151" t="s">
        <v>212</v>
      </c>
      <c r="D317" s="151" t="s">
        <v>1046</v>
      </c>
      <c r="E317" s="152" t="s">
        <v>2154</v>
      </c>
      <c r="H317" s="172">
        <f t="shared" si="11"/>
        <v>62300010</v>
      </c>
      <c r="I317" s="86" t="s">
        <v>1346</v>
      </c>
    </row>
    <row r="318" spans="2:9" s="86" customFormat="1" outlineLevel="1" x14ac:dyDescent="0.25">
      <c r="B318" s="151">
        <v>62300020</v>
      </c>
      <c r="C318" s="151" t="s">
        <v>214</v>
      </c>
      <c r="D318" s="151" t="s">
        <v>1046</v>
      </c>
      <c r="E318" s="152" t="s">
        <v>2154</v>
      </c>
      <c r="H318" s="172">
        <f t="shared" si="11"/>
        <v>62300020</v>
      </c>
      <c r="I318" s="86" t="s">
        <v>1346</v>
      </c>
    </row>
    <row r="319" spans="2:9" s="86" customFormat="1" outlineLevel="1" x14ac:dyDescent="0.25">
      <c r="B319" s="151">
        <v>62400030</v>
      </c>
      <c r="C319" s="151" t="s">
        <v>216</v>
      </c>
      <c r="D319" s="151" t="s">
        <v>1051</v>
      </c>
      <c r="E319" s="152" t="s">
        <v>2154</v>
      </c>
      <c r="H319" s="172">
        <f t="shared" si="11"/>
        <v>62400030</v>
      </c>
      <c r="I319" s="86" t="s">
        <v>1347</v>
      </c>
    </row>
    <row r="320" spans="2:9" s="86" customFormat="1" outlineLevel="1" x14ac:dyDescent="0.25">
      <c r="B320" s="151">
        <v>62400040</v>
      </c>
      <c r="C320" s="151" t="s">
        <v>218</v>
      </c>
      <c r="D320" s="151" t="s">
        <v>1051</v>
      </c>
      <c r="E320" s="152" t="s">
        <v>2154</v>
      </c>
      <c r="H320" s="172">
        <f t="shared" si="11"/>
        <v>62400040</v>
      </c>
      <c r="I320" s="86" t="s">
        <v>1347</v>
      </c>
    </row>
    <row r="321" spans="2:9" s="86" customFormat="1" outlineLevel="1" x14ac:dyDescent="0.25">
      <c r="B321" s="151">
        <v>62400060</v>
      </c>
      <c r="C321" s="151" t="s">
        <v>628</v>
      </c>
      <c r="D321" s="151" t="s">
        <v>1051</v>
      </c>
      <c r="E321" s="151" t="s">
        <v>238</v>
      </c>
      <c r="H321" s="172">
        <f t="shared" si="11"/>
        <v>62400060</v>
      </c>
      <c r="I321" s="86" t="s">
        <v>1347</v>
      </c>
    </row>
    <row r="322" spans="2:9" s="86" customFormat="1" outlineLevel="1" x14ac:dyDescent="0.25">
      <c r="B322" s="151">
        <v>62500010</v>
      </c>
      <c r="C322" s="151" t="s">
        <v>220</v>
      </c>
      <c r="D322" s="151" t="s">
        <v>220</v>
      </c>
      <c r="E322" s="151" t="s">
        <v>23</v>
      </c>
      <c r="H322" s="172">
        <f t="shared" si="11"/>
        <v>62500010</v>
      </c>
      <c r="I322" s="86" t="s">
        <v>1060</v>
      </c>
    </row>
    <row r="323" spans="2:9" s="86" customFormat="1" outlineLevel="1" x14ac:dyDescent="0.25">
      <c r="B323" s="151">
        <v>62600010</v>
      </c>
      <c r="C323" s="151" t="s">
        <v>223</v>
      </c>
      <c r="D323" s="151" t="s">
        <v>1060</v>
      </c>
      <c r="E323" s="152" t="s">
        <v>2154</v>
      </c>
      <c r="H323" s="172">
        <f t="shared" si="11"/>
        <v>62600010</v>
      </c>
      <c r="I323" s="86" t="s">
        <v>1060</v>
      </c>
    </row>
    <row r="324" spans="2:9" s="86" customFormat="1" outlineLevel="1" x14ac:dyDescent="0.25">
      <c r="B324" s="151">
        <v>62600020</v>
      </c>
      <c r="C324" s="151" t="s">
        <v>225</v>
      </c>
      <c r="D324" s="151" t="s">
        <v>1060</v>
      </c>
      <c r="E324" s="152" t="s">
        <v>2154</v>
      </c>
      <c r="H324" s="172">
        <f t="shared" si="11"/>
        <v>62600020</v>
      </c>
      <c r="I324" s="86" t="s">
        <v>1060</v>
      </c>
    </row>
    <row r="325" spans="2:9" s="86" customFormat="1" outlineLevel="1" x14ac:dyDescent="0.25">
      <c r="B325" s="151">
        <v>62600030</v>
      </c>
      <c r="C325" s="151" t="s">
        <v>228</v>
      </c>
      <c r="D325" s="151" t="s">
        <v>1060</v>
      </c>
      <c r="E325" s="152" t="s">
        <v>2154</v>
      </c>
      <c r="H325" s="172">
        <f t="shared" si="11"/>
        <v>62600030</v>
      </c>
      <c r="I325" s="86" t="s">
        <v>1060</v>
      </c>
    </row>
    <row r="326" spans="2:9" s="86" customFormat="1" outlineLevel="1" x14ac:dyDescent="0.25">
      <c r="B326" s="151">
        <v>62700010</v>
      </c>
      <c r="C326" s="151" t="s">
        <v>629</v>
      </c>
      <c r="D326" s="151" t="s">
        <v>629</v>
      </c>
      <c r="E326" s="151" t="s">
        <v>238</v>
      </c>
      <c r="H326" s="172">
        <f t="shared" si="11"/>
        <v>62700010</v>
      </c>
      <c r="I326" s="86" t="s">
        <v>1348</v>
      </c>
    </row>
    <row r="327" spans="2:9" s="86" customFormat="1" outlineLevel="1" x14ac:dyDescent="0.25">
      <c r="B327" s="151">
        <v>62800010</v>
      </c>
      <c r="C327" s="151" t="s">
        <v>630</v>
      </c>
      <c r="D327" s="151" t="s">
        <v>630</v>
      </c>
      <c r="E327" s="151" t="s">
        <v>240</v>
      </c>
      <c r="H327" s="172">
        <f t="shared" si="11"/>
        <v>62800010</v>
      </c>
      <c r="I327" s="86" t="s">
        <v>630</v>
      </c>
    </row>
    <row r="328" spans="2:9" s="86" customFormat="1" outlineLevel="1" x14ac:dyDescent="0.25">
      <c r="B328" s="151">
        <v>62900010</v>
      </c>
      <c r="C328" s="151" t="s">
        <v>230</v>
      </c>
      <c r="D328" s="151" t="s">
        <v>1074</v>
      </c>
      <c r="E328" s="152" t="s">
        <v>2154</v>
      </c>
      <c r="H328" s="172">
        <f t="shared" si="11"/>
        <v>62900010</v>
      </c>
      <c r="I328" s="86" t="s">
        <v>230</v>
      </c>
    </row>
    <row r="329" spans="2:9" outlineLevel="1" x14ac:dyDescent="0.25">
      <c r="B329" s="151">
        <v>62900020</v>
      </c>
      <c r="C329" s="151" t="s">
        <v>232</v>
      </c>
      <c r="D329" s="151" t="s">
        <v>1074</v>
      </c>
      <c r="E329" s="152" t="s">
        <v>2154</v>
      </c>
      <c r="H329" s="172">
        <f t="shared" si="11"/>
        <v>62900020</v>
      </c>
      <c r="I329" s="86" t="s">
        <v>232</v>
      </c>
    </row>
    <row r="330" spans="2:9" outlineLevel="1" x14ac:dyDescent="0.25">
      <c r="B330" s="151">
        <v>63300010</v>
      </c>
      <c r="C330" s="151" t="s">
        <v>2298</v>
      </c>
      <c r="D330" s="151" t="s">
        <v>456</v>
      </c>
      <c r="E330" s="151"/>
      <c r="H330" s="172">
        <f t="shared" si="11"/>
        <v>63300010</v>
      </c>
      <c r="I330" s="86" t="s">
        <v>1342</v>
      </c>
    </row>
    <row r="331" spans="2:9" outlineLevel="1" x14ac:dyDescent="0.25">
      <c r="B331" s="429">
        <v>63900010</v>
      </c>
      <c r="C331" s="430" t="s">
        <v>234</v>
      </c>
      <c r="D331" s="430" t="s">
        <v>1331</v>
      </c>
      <c r="E331" s="431" t="s">
        <v>2154</v>
      </c>
      <c r="H331" s="172">
        <f t="shared" si="11"/>
        <v>63900010</v>
      </c>
      <c r="I331" s="86" t="s">
        <v>1331</v>
      </c>
    </row>
    <row r="332" spans="2:9" outlineLevel="1" x14ac:dyDescent="0.25">
      <c r="B332" s="432"/>
      <c r="C332" s="433"/>
      <c r="D332" s="433"/>
      <c r="E332" s="434"/>
    </row>
    <row r="333" spans="2:9" outlineLevel="1" x14ac:dyDescent="0.25"/>
    <row r="334" spans="2:9" outlineLevel="1" x14ac:dyDescent="0.25">
      <c r="B334" s="120" t="s">
        <v>2614</v>
      </c>
      <c r="C334" s="86"/>
      <c r="D334" s="86"/>
      <c r="E334" s="86"/>
      <c r="F334" s="86"/>
    </row>
    <row r="335" spans="2:9" x14ac:dyDescent="0.25">
      <c r="B335" s="173" t="s">
        <v>2147</v>
      </c>
      <c r="C335" s="173" t="s">
        <v>2148</v>
      </c>
      <c r="D335" s="173" t="s">
        <v>2150</v>
      </c>
      <c r="E335" s="173" t="s">
        <v>2151</v>
      </c>
      <c r="H335" s="173" t="s">
        <v>2615</v>
      </c>
      <c r="I335" s="173" t="s">
        <v>2147</v>
      </c>
    </row>
    <row r="336" spans="2:9" x14ac:dyDescent="0.25">
      <c r="B336" s="152">
        <v>15000000</v>
      </c>
      <c r="C336" s="174" t="s">
        <v>1747</v>
      </c>
      <c r="D336" s="152" t="s">
        <v>1790</v>
      </c>
      <c r="E336" s="152" t="s">
        <v>46</v>
      </c>
      <c r="H336" s="175" t="s">
        <v>2622</v>
      </c>
      <c r="I336" s="152">
        <v>15000000</v>
      </c>
    </row>
    <row r="337" spans="2:9" x14ac:dyDescent="0.25">
      <c r="B337" s="152">
        <v>15000010</v>
      </c>
      <c r="C337" s="174" t="s">
        <v>1749</v>
      </c>
      <c r="D337" s="152" t="s">
        <v>1790</v>
      </c>
      <c r="E337" s="152" t="s">
        <v>46</v>
      </c>
      <c r="H337" s="175" t="s">
        <v>2623</v>
      </c>
      <c r="I337" s="152">
        <v>15000010</v>
      </c>
    </row>
    <row r="338" spans="2:9" x14ac:dyDescent="0.25">
      <c r="B338" s="152">
        <v>15000020</v>
      </c>
      <c r="C338" s="174" t="s">
        <v>1751</v>
      </c>
      <c r="D338" s="152" t="s">
        <v>1790</v>
      </c>
      <c r="E338" s="152" t="s">
        <v>46</v>
      </c>
      <c r="H338" s="175" t="s">
        <v>2624</v>
      </c>
      <c r="I338" s="152">
        <v>15000020</v>
      </c>
    </row>
    <row r="339" spans="2:9" x14ac:dyDescent="0.25">
      <c r="B339" s="152">
        <v>15000030</v>
      </c>
      <c r="C339" s="174" t="s">
        <v>1753</v>
      </c>
      <c r="D339" s="152" t="s">
        <v>1790</v>
      </c>
      <c r="E339" s="152" t="s">
        <v>46</v>
      </c>
      <c r="H339" s="175" t="s">
        <v>2625</v>
      </c>
      <c r="I339" s="152">
        <v>15000030</v>
      </c>
    </row>
    <row r="340" spans="2:9" x14ac:dyDescent="0.25">
      <c r="B340" s="152">
        <v>15000040</v>
      </c>
      <c r="C340" s="174" t="s">
        <v>1755</v>
      </c>
      <c r="D340" s="152" t="s">
        <v>1790</v>
      </c>
      <c r="E340" s="152" t="s">
        <v>46</v>
      </c>
      <c r="H340" s="175" t="s">
        <v>2626</v>
      </c>
      <c r="I340" s="152">
        <v>15000040</v>
      </c>
    </row>
    <row r="341" spans="2:9" x14ac:dyDescent="0.25">
      <c r="B341" s="152">
        <v>15000050</v>
      </c>
      <c r="C341" s="174" t="s">
        <v>1757</v>
      </c>
      <c r="D341" s="152" t="s">
        <v>1790</v>
      </c>
      <c r="E341" s="152" t="s">
        <v>46</v>
      </c>
      <c r="H341" s="175" t="s">
        <v>2627</v>
      </c>
      <c r="I341" s="152">
        <v>15000050</v>
      </c>
    </row>
    <row r="342" spans="2:9" x14ac:dyDescent="0.25">
      <c r="B342" s="152">
        <v>15000060</v>
      </c>
      <c r="C342" s="174" t="s">
        <v>1759</v>
      </c>
      <c r="D342" s="152" t="s">
        <v>1790</v>
      </c>
      <c r="E342" s="152" t="s">
        <v>46</v>
      </c>
      <c r="H342" s="175" t="s">
        <v>2628</v>
      </c>
      <c r="I342" s="152">
        <v>15000060</v>
      </c>
    </row>
    <row r="343" spans="2:9" x14ac:dyDescent="0.25">
      <c r="B343" s="152">
        <v>15000070</v>
      </c>
      <c r="C343" s="174" t="s">
        <v>1761</v>
      </c>
      <c r="D343" s="152" t="s">
        <v>1790</v>
      </c>
      <c r="E343" s="152" t="s">
        <v>46</v>
      </c>
      <c r="H343" s="175" t="s">
        <v>2629</v>
      </c>
      <c r="I343" s="152">
        <v>15000070</v>
      </c>
    </row>
    <row r="344" spans="2:9" x14ac:dyDescent="0.25">
      <c r="B344" s="152">
        <v>15000080</v>
      </c>
      <c r="C344" s="174" t="s">
        <v>1763</v>
      </c>
      <c r="D344" s="152" t="s">
        <v>1790</v>
      </c>
      <c r="E344" s="152" t="s">
        <v>46</v>
      </c>
      <c r="H344" s="175" t="s">
        <v>2630</v>
      </c>
      <c r="I344" s="152">
        <v>15000080</v>
      </c>
    </row>
    <row r="345" spans="2:9" x14ac:dyDescent="0.25">
      <c r="B345" s="152">
        <v>15200000</v>
      </c>
      <c r="C345" s="174" t="s">
        <v>1766</v>
      </c>
      <c r="D345" s="152" t="s">
        <v>1790</v>
      </c>
      <c r="E345" s="152" t="s">
        <v>46</v>
      </c>
      <c r="H345" s="175" t="s">
        <v>2631</v>
      </c>
      <c r="I345" s="152">
        <v>15200000</v>
      </c>
    </row>
    <row r="346" spans="2:9" ht="30" x14ac:dyDescent="0.25">
      <c r="B346" s="152">
        <v>15020010</v>
      </c>
      <c r="C346" s="174" t="s">
        <v>1769</v>
      </c>
      <c r="D346" s="152" t="s">
        <v>365</v>
      </c>
      <c r="E346" s="152" t="s">
        <v>46</v>
      </c>
      <c r="H346" s="175">
        <v>6026</v>
      </c>
      <c r="I346" s="152">
        <v>15020010</v>
      </c>
    </row>
    <row r="347" spans="2:9" ht="30" x14ac:dyDescent="0.25">
      <c r="B347" s="152">
        <v>15020020</v>
      </c>
      <c r="C347" s="174" t="s">
        <v>1771</v>
      </c>
      <c r="D347" s="152" t="s">
        <v>365</v>
      </c>
      <c r="E347" s="152" t="s">
        <v>46</v>
      </c>
      <c r="H347" s="175">
        <v>6126</v>
      </c>
      <c r="I347" s="152">
        <v>15020020</v>
      </c>
    </row>
    <row r="348" spans="2:9" ht="30" x14ac:dyDescent="0.25">
      <c r="B348" s="152">
        <v>15020030</v>
      </c>
      <c r="C348" s="174" t="s">
        <v>1773</v>
      </c>
      <c r="D348" s="152" t="s">
        <v>365</v>
      </c>
      <c r="E348" s="152" t="s">
        <v>46</v>
      </c>
      <c r="H348" s="175">
        <v>6226</v>
      </c>
      <c r="I348" s="152">
        <v>15020030</v>
      </c>
    </row>
    <row r="349" spans="2:9" ht="30" x14ac:dyDescent="0.25">
      <c r="B349" s="152">
        <v>15020040</v>
      </c>
      <c r="C349" s="174" t="s">
        <v>1775</v>
      </c>
      <c r="D349" s="152" t="s">
        <v>365</v>
      </c>
      <c r="E349" s="152" t="s">
        <v>46</v>
      </c>
      <c r="H349" s="175">
        <v>6326</v>
      </c>
      <c r="I349" s="152">
        <v>15020040</v>
      </c>
    </row>
    <row r="350" spans="2:9" ht="30" x14ac:dyDescent="0.25">
      <c r="B350" s="152">
        <v>15020080</v>
      </c>
      <c r="C350" s="174" t="s">
        <v>1777</v>
      </c>
      <c r="D350" s="152" t="s">
        <v>365</v>
      </c>
      <c r="E350" s="152" t="s">
        <v>46</v>
      </c>
      <c r="H350" s="175">
        <v>6426</v>
      </c>
      <c r="I350" s="152">
        <v>15020080</v>
      </c>
    </row>
    <row r="351" spans="2:9" ht="30" x14ac:dyDescent="0.25">
      <c r="B351" s="176">
        <v>15020090</v>
      </c>
      <c r="C351" s="177" t="s">
        <v>1843</v>
      </c>
      <c r="D351" s="152" t="s">
        <v>365</v>
      </c>
      <c r="E351" s="176" t="s">
        <v>46</v>
      </c>
      <c r="H351" s="178">
        <v>6526</v>
      </c>
      <c r="I351" s="176">
        <v>15020090</v>
      </c>
    </row>
    <row r="354" spans="2:9" s="164" customFormat="1" x14ac:dyDescent="0.25">
      <c r="B354" s="163" t="s">
        <v>2616</v>
      </c>
      <c r="H354" s="165"/>
      <c r="I354" s="165"/>
    </row>
    <row r="356" spans="2:9" x14ac:dyDescent="0.25">
      <c r="B356" s="49" t="s">
        <v>1570</v>
      </c>
      <c r="C356" s="49" t="s">
        <v>1850</v>
      </c>
    </row>
    <row r="357" spans="2:9" x14ac:dyDescent="0.25">
      <c r="B357" s="44" t="s">
        <v>1851</v>
      </c>
      <c r="C357" s="44" t="s">
        <v>1854</v>
      </c>
    </row>
    <row r="358" spans="2:9" x14ac:dyDescent="0.25">
      <c r="B358" s="44" t="s">
        <v>1852</v>
      </c>
      <c r="C358" s="44" t="s">
        <v>1855</v>
      </c>
    </row>
    <row r="359" spans="2:9" x14ac:dyDescent="0.25">
      <c r="B359" s="44" t="s">
        <v>1853</v>
      </c>
      <c r="C359" s="44" t="s">
        <v>1856</v>
      </c>
    </row>
    <row r="362" spans="2:9" s="164" customFormat="1" x14ac:dyDescent="0.25">
      <c r="B362" s="163" t="s">
        <v>1857</v>
      </c>
      <c r="H362" s="165"/>
      <c r="I362" s="165"/>
    </row>
    <row r="364" spans="2:9" x14ac:dyDescent="0.25">
      <c r="B364" s="179" t="s">
        <v>1789</v>
      </c>
      <c r="C364" s="179" t="s">
        <v>2617</v>
      </c>
    </row>
    <row r="365" spans="2:9" x14ac:dyDescent="0.25">
      <c r="B365" t="s">
        <v>1862</v>
      </c>
      <c r="C365" t="s">
        <v>1862</v>
      </c>
    </row>
    <row r="366" spans="2:9" x14ac:dyDescent="0.25">
      <c r="B366" t="s">
        <v>1861</v>
      </c>
      <c r="C366" t="s">
        <v>1859</v>
      </c>
    </row>
    <row r="367" spans="2:9" x14ac:dyDescent="0.25">
      <c r="B367" t="s">
        <v>1859</v>
      </c>
      <c r="C367" t="s">
        <v>1860</v>
      </c>
    </row>
    <row r="368" spans="2:9" x14ac:dyDescent="0.25">
      <c r="B368" t="s">
        <v>1860</v>
      </c>
    </row>
    <row r="371" spans="2:9" s="164" customFormat="1" x14ac:dyDescent="0.25">
      <c r="B371" s="163" t="s">
        <v>1976</v>
      </c>
      <c r="H371" s="165"/>
      <c r="I371" s="165"/>
    </row>
    <row r="372" spans="2:9" x14ac:dyDescent="0.25">
      <c r="B372" s="167" t="s">
        <v>352</v>
      </c>
    </row>
    <row r="373" spans="2:9" x14ac:dyDescent="0.25">
      <c r="B373" s="167" t="s">
        <v>1868</v>
      </c>
    </row>
  </sheetData>
  <conditionalFormatting sqref="I59:I146">
    <cfRule type="duplicateValues" dxfId="0" priority="14"/>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83A201-9A3A-4C45-8F20-7374936D58AC}">
  <dimension ref="A1:P44"/>
  <sheetViews>
    <sheetView showGridLines="0" topLeftCell="L1" workbookViewId="0">
      <selection activeCell="Q1" sqref="Q1"/>
    </sheetView>
  </sheetViews>
  <sheetFormatPr defaultRowHeight="15" x14ac:dyDescent="0.25"/>
  <cols>
    <col min="4" max="4" width="13.5703125" customWidth="1"/>
    <col min="5" max="5" width="37.7109375" customWidth="1"/>
    <col min="6" max="6" width="10.7109375" bestFit="1" customWidth="1"/>
    <col min="7" max="7" width="12.85546875" bestFit="1" customWidth="1"/>
    <col min="9" max="9" width="10.7109375" bestFit="1" customWidth="1"/>
    <col min="10" max="10" width="11" bestFit="1" customWidth="1"/>
    <col min="11" max="11" width="10.7109375" bestFit="1" customWidth="1"/>
    <col min="13" max="13" width="16.85546875" bestFit="1" customWidth="1"/>
    <col min="14" max="14" width="42.85546875" bestFit="1" customWidth="1"/>
    <col min="15" max="15" width="21.5703125" bestFit="1" customWidth="1"/>
    <col min="16" max="16" width="68" bestFit="1" customWidth="1"/>
  </cols>
  <sheetData>
    <row r="1" spans="1:16" x14ac:dyDescent="0.25">
      <c r="A1" s="477" t="s">
        <v>1929</v>
      </c>
      <c r="B1" s="477"/>
      <c r="C1" s="477"/>
      <c r="D1" s="477"/>
      <c r="E1" s="477"/>
      <c r="F1" s="477"/>
      <c r="G1" s="477"/>
      <c r="H1" s="477"/>
      <c r="I1" s="477"/>
      <c r="J1" s="477"/>
      <c r="K1" s="477"/>
      <c r="L1" s="477"/>
      <c r="M1" s="477"/>
      <c r="N1" s="477"/>
      <c r="O1" s="477"/>
      <c r="P1" s="477"/>
    </row>
    <row r="2" spans="1:16" x14ac:dyDescent="0.25">
      <c r="D2" s="70">
        <f>SUBTOTAL(9,D4:D21)</f>
        <v>0</v>
      </c>
      <c r="F2" s="70"/>
      <c r="M2" s="70">
        <f>SUBTOTAL(9,M4:M18)</f>
        <v>0</v>
      </c>
      <c r="N2" s="70"/>
      <c r="O2" s="70"/>
      <c r="P2" s="70"/>
    </row>
    <row r="3" spans="1:16" ht="45" x14ac:dyDescent="0.25">
      <c r="A3" s="71" t="s">
        <v>1930</v>
      </c>
      <c r="B3" s="71" t="s">
        <v>1931</v>
      </c>
      <c r="C3" s="71" t="s">
        <v>1932</v>
      </c>
      <c r="D3" s="72" t="s">
        <v>1933</v>
      </c>
      <c r="E3" s="71" t="s">
        <v>1934</v>
      </c>
      <c r="F3" s="71" t="s">
        <v>1935</v>
      </c>
      <c r="G3" s="71" t="s">
        <v>1936</v>
      </c>
      <c r="H3" s="71" t="s">
        <v>1937</v>
      </c>
      <c r="I3" s="71" t="s">
        <v>1938</v>
      </c>
      <c r="J3" s="71" t="s">
        <v>1939</v>
      </c>
      <c r="K3" s="71" t="s">
        <v>1940</v>
      </c>
      <c r="L3" s="71" t="s">
        <v>1941</v>
      </c>
      <c r="M3" s="72" t="s">
        <v>1942</v>
      </c>
      <c r="N3" s="71" t="s">
        <v>1943</v>
      </c>
      <c r="O3" s="71" t="s">
        <v>1944</v>
      </c>
      <c r="P3" s="71" t="s">
        <v>1945</v>
      </c>
    </row>
    <row r="4" spans="1:16" x14ac:dyDescent="0.25">
      <c r="A4" s="73"/>
      <c r="B4" s="74"/>
      <c r="C4" s="73"/>
      <c r="D4" s="75"/>
      <c r="E4" s="73"/>
      <c r="F4" s="76"/>
      <c r="G4" s="73"/>
      <c r="H4" s="73"/>
      <c r="I4" s="76"/>
      <c r="J4" s="73"/>
      <c r="K4" s="73"/>
      <c r="L4" s="73"/>
      <c r="M4" s="75"/>
      <c r="N4" s="73"/>
      <c r="O4" s="73"/>
      <c r="P4" s="77"/>
    </row>
    <row r="5" spans="1:16" x14ac:dyDescent="0.25">
      <c r="A5" s="73"/>
      <c r="B5" s="74"/>
      <c r="C5" s="73"/>
      <c r="D5" s="75"/>
      <c r="E5" s="73"/>
      <c r="F5" s="76"/>
      <c r="G5" s="73"/>
      <c r="H5" s="73"/>
      <c r="I5" s="76"/>
      <c r="J5" s="73"/>
      <c r="K5" s="73"/>
      <c r="L5" s="73"/>
      <c r="M5" s="75"/>
      <c r="N5" s="73"/>
      <c r="O5" s="73"/>
      <c r="P5" s="77"/>
    </row>
    <row r="6" spans="1:16" x14ac:dyDescent="0.25">
      <c r="A6" s="73"/>
      <c r="B6" s="74"/>
      <c r="C6" s="73"/>
      <c r="D6" s="75"/>
      <c r="E6" s="73"/>
      <c r="F6" s="76"/>
      <c r="G6" s="73"/>
      <c r="H6" s="73"/>
      <c r="I6" s="76"/>
      <c r="J6" s="73"/>
      <c r="K6" s="73"/>
      <c r="L6" s="73"/>
      <c r="M6" s="75"/>
      <c r="N6" s="73"/>
      <c r="O6" s="73"/>
      <c r="P6" s="77"/>
    </row>
    <row r="7" spans="1:16" x14ac:dyDescent="0.25">
      <c r="A7" s="73"/>
      <c r="B7" s="74"/>
      <c r="C7" s="73"/>
      <c r="D7" s="75"/>
      <c r="E7" s="73"/>
      <c r="F7" s="76"/>
      <c r="G7" s="73"/>
      <c r="H7" s="73"/>
      <c r="I7" s="76"/>
      <c r="J7" s="73"/>
      <c r="K7" s="73"/>
      <c r="L7" s="73"/>
      <c r="M7" s="75"/>
      <c r="N7" s="73"/>
      <c r="O7" s="73"/>
      <c r="P7" s="77"/>
    </row>
    <row r="8" spans="1:16" x14ac:dyDescent="0.25">
      <c r="A8" s="73"/>
      <c r="B8" s="74"/>
      <c r="C8" s="73"/>
      <c r="D8" s="75"/>
      <c r="E8" s="73"/>
      <c r="F8" s="76"/>
      <c r="G8" s="73"/>
      <c r="H8" s="73"/>
      <c r="I8" s="76"/>
      <c r="J8" s="73"/>
      <c r="K8" s="73"/>
      <c r="L8" s="73"/>
      <c r="M8" s="75"/>
      <c r="N8" s="73"/>
      <c r="O8" s="73"/>
      <c r="P8" s="77"/>
    </row>
    <row r="9" spans="1:16" x14ac:dyDescent="0.25">
      <c r="A9" s="73"/>
      <c r="B9" s="74"/>
      <c r="C9" s="73"/>
      <c r="D9" s="75"/>
      <c r="E9" s="73"/>
      <c r="F9" s="76"/>
      <c r="G9" s="73"/>
      <c r="H9" s="73"/>
      <c r="I9" s="76"/>
      <c r="J9" s="73"/>
      <c r="K9" s="73"/>
      <c r="L9" s="73"/>
      <c r="M9" s="75"/>
      <c r="N9" s="73"/>
      <c r="O9" s="73"/>
      <c r="P9" s="77"/>
    </row>
    <row r="10" spans="1:16" x14ac:dyDescent="0.25">
      <c r="A10" s="73"/>
      <c r="B10" s="74"/>
      <c r="C10" s="73"/>
      <c r="D10" s="75"/>
      <c r="E10" s="73"/>
      <c r="F10" s="76"/>
      <c r="G10" s="73"/>
      <c r="H10" s="73"/>
      <c r="I10" s="76"/>
      <c r="J10" s="73"/>
      <c r="K10" s="73"/>
      <c r="L10" s="73"/>
      <c r="M10" s="75"/>
      <c r="N10" s="73"/>
      <c r="O10" s="73"/>
      <c r="P10" s="77"/>
    </row>
    <row r="11" spans="1:16" x14ac:dyDescent="0.25">
      <c r="A11" s="73"/>
      <c r="B11" s="74"/>
      <c r="C11" s="73"/>
      <c r="D11" s="75"/>
      <c r="E11" s="73"/>
      <c r="F11" s="76"/>
      <c r="G11" s="73"/>
      <c r="H11" s="73"/>
      <c r="I11" s="76"/>
      <c r="J11" s="73"/>
      <c r="K11" s="73"/>
      <c r="L11" s="73"/>
      <c r="M11" s="75"/>
      <c r="N11" s="73"/>
      <c r="O11" s="73"/>
      <c r="P11" s="77"/>
    </row>
    <row r="12" spans="1:16" x14ac:dyDescent="0.25">
      <c r="A12" s="73"/>
      <c r="B12" s="74"/>
      <c r="C12" s="73"/>
      <c r="D12" s="75"/>
      <c r="E12" s="73"/>
      <c r="F12" s="76"/>
      <c r="G12" s="73"/>
      <c r="H12" s="73"/>
      <c r="I12" s="76"/>
      <c r="J12" s="73"/>
      <c r="K12" s="73"/>
      <c r="L12" s="73"/>
      <c r="M12" s="75"/>
      <c r="N12" s="73"/>
      <c r="O12" s="73"/>
      <c r="P12" s="77"/>
    </row>
    <row r="13" spans="1:16" x14ac:dyDescent="0.25">
      <c r="A13" s="73"/>
      <c r="B13" s="74"/>
      <c r="C13" s="73"/>
      <c r="D13" s="75"/>
      <c r="E13" s="73"/>
      <c r="F13" s="76"/>
      <c r="G13" s="73"/>
      <c r="H13" s="73"/>
      <c r="I13" s="76"/>
      <c r="J13" s="73"/>
      <c r="K13" s="73"/>
      <c r="L13" s="73"/>
      <c r="M13" s="75"/>
      <c r="N13" s="73"/>
      <c r="O13" s="73"/>
      <c r="P13" s="77"/>
    </row>
    <row r="14" spans="1:16" x14ac:dyDescent="0.25">
      <c r="A14" s="73"/>
      <c r="B14" s="74"/>
      <c r="C14" s="73"/>
      <c r="D14" s="75"/>
      <c r="E14" s="73"/>
      <c r="F14" s="76"/>
      <c r="G14" s="73"/>
      <c r="H14" s="73"/>
      <c r="I14" s="76"/>
      <c r="J14" s="73"/>
      <c r="K14" s="73"/>
      <c r="L14" s="73"/>
      <c r="M14" s="75"/>
      <c r="N14" s="73"/>
      <c r="O14" s="73"/>
      <c r="P14" s="77"/>
    </row>
    <row r="15" spans="1:16" x14ac:dyDescent="0.25">
      <c r="A15" s="73"/>
      <c r="B15" s="74"/>
      <c r="C15" s="73"/>
      <c r="D15" s="75"/>
      <c r="E15" s="73"/>
      <c r="F15" s="76"/>
      <c r="G15" s="73"/>
      <c r="H15" s="73"/>
      <c r="I15" s="76"/>
      <c r="J15" s="73"/>
      <c r="K15" s="73"/>
      <c r="L15" s="73"/>
      <c r="M15" s="75"/>
      <c r="N15" s="73"/>
      <c r="O15" s="73"/>
      <c r="P15" s="77"/>
    </row>
    <row r="16" spans="1:16" x14ac:dyDescent="0.25">
      <c r="A16" s="73"/>
      <c r="B16" s="74"/>
      <c r="C16" s="73"/>
      <c r="D16" s="75"/>
      <c r="E16" s="73"/>
      <c r="F16" s="76"/>
      <c r="G16" s="73"/>
      <c r="H16" s="73"/>
      <c r="I16" s="76"/>
      <c r="J16" s="73"/>
      <c r="K16" s="73"/>
      <c r="L16" s="73"/>
      <c r="M16" s="75"/>
      <c r="N16" s="73"/>
      <c r="O16" s="73"/>
      <c r="P16" s="77"/>
    </row>
    <row r="17" spans="1:16" x14ac:dyDescent="0.25">
      <c r="A17" s="73"/>
      <c r="B17" s="74"/>
      <c r="C17" s="73"/>
      <c r="D17" s="75"/>
      <c r="E17" s="73"/>
      <c r="F17" s="76"/>
      <c r="G17" s="73"/>
      <c r="H17" s="73"/>
      <c r="I17" s="76"/>
      <c r="J17" s="73"/>
      <c r="K17" s="73"/>
      <c r="L17" s="73"/>
      <c r="M17" s="75"/>
      <c r="N17" s="73"/>
      <c r="O17" s="73"/>
      <c r="P17" s="77"/>
    </row>
    <row r="18" spans="1:16" x14ac:dyDescent="0.25">
      <c r="A18" s="73"/>
      <c r="B18" s="74"/>
      <c r="C18" s="73"/>
      <c r="D18" s="75"/>
      <c r="E18" s="73"/>
      <c r="F18" s="76"/>
      <c r="G18" s="73"/>
      <c r="H18" s="73"/>
      <c r="I18" s="76"/>
      <c r="J18" s="73"/>
      <c r="K18" s="73"/>
      <c r="L18" s="73"/>
      <c r="M18" s="75"/>
      <c r="N18" s="73"/>
      <c r="O18" s="73"/>
      <c r="P18" s="77"/>
    </row>
    <row r="19" spans="1:16" x14ac:dyDescent="0.25">
      <c r="A19" s="73"/>
      <c r="B19" s="74"/>
      <c r="C19" s="73"/>
      <c r="D19" s="75"/>
      <c r="E19" s="73"/>
      <c r="F19" s="76"/>
      <c r="G19" s="73"/>
      <c r="H19" s="73"/>
      <c r="I19" s="76"/>
      <c r="J19" s="73"/>
      <c r="K19" s="73"/>
      <c r="L19" s="73"/>
      <c r="M19" s="75"/>
      <c r="N19" s="73"/>
      <c r="O19" s="73"/>
      <c r="P19" s="77"/>
    </row>
    <row r="20" spans="1:16" x14ac:dyDescent="0.25">
      <c r="A20" s="73"/>
      <c r="B20" s="74"/>
      <c r="C20" s="73"/>
      <c r="D20" s="75"/>
      <c r="E20" s="73"/>
      <c r="F20" s="76"/>
      <c r="G20" s="73"/>
      <c r="H20" s="73"/>
      <c r="I20" s="76"/>
      <c r="J20" s="73"/>
      <c r="K20" s="73"/>
      <c r="L20" s="73"/>
      <c r="M20" s="75"/>
      <c r="N20" s="73"/>
      <c r="O20" s="73"/>
      <c r="P20" s="77"/>
    </row>
    <row r="21" spans="1:16" x14ac:dyDescent="0.25">
      <c r="A21" s="73"/>
      <c r="B21" s="74"/>
      <c r="C21" s="73"/>
      <c r="D21" s="75"/>
      <c r="E21" s="73"/>
      <c r="F21" s="76"/>
      <c r="G21" s="73"/>
      <c r="H21" s="73"/>
      <c r="I21" s="76"/>
      <c r="J21" s="73"/>
      <c r="K21" s="73"/>
      <c r="L21" s="73"/>
      <c r="M21" s="75"/>
      <c r="N21" s="73"/>
      <c r="O21" s="73"/>
      <c r="P21" s="77"/>
    </row>
    <row r="22" spans="1:16" x14ac:dyDescent="0.25">
      <c r="D22" s="78"/>
      <c r="F22" s="78"/>
      <c r="M22" s="78"/>
    </row>
    <row r="23" spans="1:16" x14ac:dyDescent="0.25">
      <c r="D23" s="78"/>
      <c r="F23" s="78"/>
      <c r="M23" s="78"/>
    </row>
    <row r="24" spans="1:16" x14ac:dyDescent="0.25">
      <c r="D24" s="78"/>
      <c r="F24" s="78"/>
      <c r="M24" s="78"/>
    </row>
    <row r="25" spans="1:16" x14ac:dyDescent="0.25">
      <c r="D25" s="78"/>
      <c r="F25" s="78"/>
      <c r="M25" s="78"/>
    </row>
    <row r="26" spans="1:16" x14ac:dyDescent="0.25">
      <c r="D26" s="78"/>
      <c r="F26" s="78"/>
      <c r="M26" s="78"/>
    </row>
    <row r="27" spans="1:16" x14ac:dyDescent="0.25">
      <c r="A27" s="477" t="s">
        <v>1946</v>
      </c>
      <c r="B27" s="477"/>
      <c r="C27" s="477"/>
      <c r="D27" s="477"/>
      <c r="E27" s="477"/>
      <c r="F27" s="477"/>
      <c r="G27" s="477"/>
      <c r="H27" s="477"/>
      <c r="I27" s="477"/>
      <c r="J27" s="477"/>
      <c r="K27" s="477"/>
      <c r="L27" s="477"/>
      <c r="M27" s="477"/>
      <c r="N27" s="477"/>
      <c r="O27" s="477"/>
      <c r="P27" s="477"/>
    </row>
    <row r="28" spans="1:16" x14ac:dyDescent="0.25">
      <c r="D28" s="70">
        <f>SUBTOTAL(9,D30:D44)</f>
        <v>0</v>
      </c>
      <c r="F28" s="70"/>
      <c r="M28" s="70">
        <f>SUBTOTAL(9,M30:M44)</f>
        <v>0</v>
      </c>
      <c r="P28" s="70">
        <f>SUBTOTAL(9,P30:P44)</f>
        <v>0</v>
      </c>
    </row>
    <row r="29" spans="1:16" ht="45" x14ac:dyDescent="0.25">
      <c r="A29" s="71" t="s">
        <v>1947</v>
      </c>
      <c r="B29" s="71" t="s">
        <v>1948</v>
      </c>
      <c r="C29" s="71" t="s">
        <v>1949</v>
      </c>
      <c r="D29" s="72" t="s">
        <v>1933</v>
      </c>
      <c r="E29" s="71" t="s">
        <v>1934</v>
      </c>
      <c r="F29" s="71" t="s">
        <v>1935</v>
      </c>
      <c r="G29" s="71" t="s">
        <v>1936</v>
      </c>
      <c r="H29" s="71" t="s">
        <v>1937</v>
      </c>
      <c r="I29" s="71" t="s">
        <v>1950</v>
      </c>
      <c r="J29" s="71" t="s">
        <v>1939</v>
      </c>
      <c r="K29" s="71" t="s">
        <v>1951</v>
      </c>
      <c r="L29" s="71" t="s">
        <v>1941</v>
      </c>
      <c r="M29" s="72" t="s">
        <v>1942</v>
      </c>
      <c r="N29" s="71" t="s">
        <v>1952</v>
      </c>
      <c r="O29" s="71" t="s">
        <v>1944</v>
      </c>
      <c r="P29" s="71" t="s">
        <v>1945</v>
      </c>
    </row>
    <row r="30" spans="1:16" x14ac:dyDescent="0.25">
      <c r="A30" s="73"/>
      <c r="B30" s="79"/>
      <c r="C30" s="73"/>
      <c r="D30" s="80"/>
      <c r="E30" s="73"/>
      <c r="F30" s="76"/>
      <c r="G30" s="73"/>
      <c r="H30" s="73"/>
      <c r="I30" s="73"/>
      <c r="J30" s="73"/>
      <c r="K30" s="76"/>
      <c r="L30" s="73"/>
      <c r="M30" s="79"/>
      <c r="N30" s="73"/>
      <c r="O30" s="73"/>
      <c r="P30" s="77"/>
    </row>
    <row r="31" spans="1:16" x14ac:dyDescent="0.25">
      <c r="A31" s="73"/>
      <c r="B31" s="79"/>
      <c r="C31" s="73"/>
      <c r="D31" s="75"/>
      <c r="E31" s="73"/>
      <c r="F31" s="76"/>
      <c r="G31" s="73"/>
      <c r="H31" s="73"/>
      <c r="I31" s="73"/>
      <c r="J31" s="73"/>
      <c r="K31" s="76"/>
      <c r="L31" s="73"/>
      <c r="M31" s="75"/>
      <c r="N31" s="73"/>
      <c r="O31" s="73"/>
      <c r="P31" s="77"/>
    </row>
    <row r="32" spans="1:16" x14ac:dyDescent="0.25">
      <c r="A32" s="73"/>
      <c r="B32" s="79"/>
      <c r="C32" s="73"/>
      <c r="D32" s="75"/>
      <c r="E32" s="73"/>
      <c r="F32" s="76"/>
      <c r="G32" s="73"/>
      <c r="H32" s="73"/>
      <c r="I32" s="73"/>
      <c r="J32" s="73"/>
      <c r="K32" s="76"/>
      <c r="L32" s="73"/>
      <c r="M32" s="75"/>
      <c r="N32" s="73"/>
      <c r="O32" s="73"/>
      <c r="P32" s="77"/>
    </row>
    <row r="33" spans="1:16" x14ac:dyDescent="0.25">
      <c r="A33" s="73"/>
      <c r="B33" s="79"/>
      <c r="C33" s="73"/>
      <c r="D33" s="80"/>
      <c r="E33" s="73"/>
      <c r="F33" s="76"/>
      <c r="G33" s="73"/>
      <c r="H33" s="73"/>
      <c r="I33" s="73"/>
      <c r="J33" s="73"/>
      <c r="K33" s="76"/>
      <c r="L33" s="73"/>
      <c r="M33" s="75"/>
      <c r="N33" s="73"/>
      <c r="O33" s="73"/>
      <c r="P33" s="77"/>
    </row>
    <row r="34" spans="1:16" x14ac:dyDescent="0.25">
      <c r="A34" s="73"/>
      <c r="B34" s="79"/>
      <c r="C34" s="73"/>
      <c r="D34" s="80"/>
      <c r="E34" s="73"/>
      <c r="F34" s="76"/>
      <c r="G34" s="73"/>
      <c r="H34" s="73"/>
      <c r="I34" s="73"/>
      <c r="J34" s="73"/>
      <c r="K34" s="76"/>
      <c r="L34" s="73"/>
      <c r="M34" s="75"/>
      <c r="N34" s="73"/>
      <c r="O34" s="73"/>
      <c r="P34" s="77"/>
    </row>
    <row r="35" spans="1:16" x14ac:dyDescent="0.25">
      <c r="A35" s="73"/>
      <c r="B35" s="79"/>
      <c r="C35" s="73"/>
      <c r="D35" s="80"/>
      <c r="E35" s="73"/>
      <c r="F35" s="76"/>
      <c r="G35" s="73"/>
      <c r="H35" s="73"/>
      <c r="I35" s="73"/>
      <c r="J35" s="73"/>
      <c r="K35" s="76"/>
      <c r="L35" s="73"/>
      <c r="M35" s="75"/>
      <c r="N35" s="73"/>
      <c r="O35" s="73"/>
      <c r="P35" s="77"/>
    </row>
    <row r="36" spans="1:16" x14ac:dyDescent="0.25">
      <c r="A36" s="73"/>
      <c r="B36" s="79"/>
      <c r="C36" s="73"/>
      <c r="D36" s="80"/>
      <c r="E36" s="73"/>
      <c r="F36" s="76"/>
      <c r="G36" s="73"/>
      <c r="H36" s="73"/>
      <c r="I36" s="73"/>
      <c r="J36" s="73"/>
      <c r="K36" s="76"/>
      <c r="L36" s="73"/>
      <c r="M36" s="80"/>
      <c r="N36" s="73"/>
      <c r="O36" s="73"/>
      <c r="P36" s="77"/>
    </row>
    <row r="37" spans="1:16" x14ac:dyDescent="0.25">
      <c r="A37" s="73"/>
      <c r="B37" s="79"/>
      <c r="C37" s="73"/>
      <c r="D37" s="80"/>
      <c r="E37" s="73"/>
      <c r="F37" s="76"/>
      <c r="G37" s="73"/>
      <c r="H37" s="73"/>
      <c r="I37" s="73"/>
      <c r="J37" s="73"/>
      <c r="K37" s="76"/>
      <c r="L37" s="73"/>
      <c r="M37" s="80"/>
      <c r="N37" s="73"/>
      <c r="O37" s="73"/>
      <c r="P37" s="77"/>
    </row>
    <row r="38" spans="1:16" x14ac:dyDescent="0.25">
      <c r="A38" s="73"/>
      <c r="B38" s="79"/>
      <c r="C38" s="73"/>
      <c r="D38" s="80"/>
      <c r="E38" s="73"/>
      <c r="F38" s="76"/>
      <c r="G38" s="73"/>
      <c r="H38" s="73"/>
      <c r="I38" s="73"/>
      <c r="J38" s="73"/>
      <c r="K38" s="76"/>
      <c r="L38" s="73"/>
      <c r="M38" s="80"/>
      <c r="N38" s="73"/>
      <c r="O38" s="73"/>
      <c r="P38" s="77"/>
    </row>
    <row r="39" spans="1:16" x14ac:dyDescent="0.25">
      <c r="A39" s="73"/>
      <c r="B39" s="79"/>
      <c r="C39" s="73"/>
      <c r="D39" s="80"/>
      <c r="E39" s="73"/>
      <c r="F39" s="76"/>
      <c r="G39" s="73"/>
      <c r="H39" s="73"/>
      <c r="I39" s="73"/>
      <c r="J39" s="73"/>
      <c r="K39" s="76"/>
      <c r="L39" s="73"/>
      <c r="M39" s="80"/>
      <c r="N39" s="73"/>
      <c r="O39" s="73"/>
      <c r="P39" s="77"/>
    </row>
    <row r="40" spans="1:16" x14ac:dyDescent="0.25">
      <c r="A40" s="73"/>
      <c r="B40" s="79"/>
      <c r="C40" s="73"/>
      <c r="D40" s="80"/>
      <c r="E40" s="73"/>
      <c r="F40" s="76"/>
      <c r="G40" s="73"/>
      <c r="H40" s="73"/>
      <c r="I40" s="73"/>
      <c r="J40" s="73"/>
      <c r="K40" s="76"/>
      <c r="L40" s="73"/>
      <c r="M40" s="80"/>
      <c r="N40" s="73"/>
      <c r="O40" s="73"/>
      <c r="P40" s="77"/>
    </row>
    <row r="41" spans="1:16" x14ac:dyDescent="0.25">
      <c r="A41" s="73"/>
      <c r="B41" s="79"/>
      <c r="C41" s="73"/>
      <c r="D41" s="80"/>
      <c r="E41" s="73"/>
      <c r="F41" s="76"/>
      <c r="G41" s="73"/>
      <c r="H41" s="73"/>
      <c r="I41" s="73"/>
      <c r="J41" s="73"/>
      <c r="K41" s="76"/>
      <c r="L41" s="73"/>
      <c r="M41" s="80"/>
      <c r="N41" s="73"/>
      <c r="O41" s="73"/>
      <c r="P41" s="77"/>
    </row>
    <row r="42" spans="1:16" x14ac:dyDescent="0.25">
      <c r="A42" s="73"/>
      <c r="B42" s="79"/>
      <c r="C42" s="73"/>
      <c r="D42" s="80"/>
      <c r="E42" s="73"/>
      <c r="F42" s="76"/>
      <c r="G42" s="73"/>
      <c r="H42" s="73"/>
      <c r="I42" s="73"/>
      <c r="J42" s="73"/>
      <c r="K42" s="76"/>
      <c r="L42" s="73"/>
      <c r="M42" s="80"/>
      <c r="N42" s="73"/>
      <c r="O42" s="73"/>
      <c r="P42" s="77"/>
    </row>
    <row r="43" spans="1:16" x14ac:dyDescent="0.25">
      <c r="A43" s="73"/>
      <c r="B43" s="79"/>
      <c r="C43" s="73"/>
      <c r="D43" s="80"/>
      <c r="E43" s="73"/>
      <c r="F43" s="76"/>
      <c r="G43" s="73"/>
      <c r="H43" s="73"/>
      <c r="I43" s="73"/>
      <c r="J43" s="73"/>
      <c r="K43" s="76"/>
      <c r="L43" s="73"/>
      <c r="M43" s="80"/>
      <c r="N43" s="73"/>
      <c r="O43" s="73"/>
      <c r="P43" s="77"/>
    </row>
    <row r="44" spans="1:16" x14ac:dyDescent="0.25">
      <c r="A44" s="73"/>
      <c r="B44" s="79"/>
      <c r="C44" s="73"/>
      <c r="D44" s="80"/>
      <c r="E44" s="73"/>
      <c r="F44" s="76"/>
      <c r="G44" s="73"/>
      <c r="H44" s="73"/>
      <c r="I44" s="73"/>
      <c r="J44" s="73"/>
      <c r="K44" s="76"/>
      <c r="L44" s="73"/>
      <c r="M44" s="80"/>
      <c r="N44" s="73"/>
      <c r="O44" s="73"/>
      <c r="P44" s="77"/>
    </row>
  </sheetData>
  <mergeCells count="2">
    <mergeCell ref="A1:P1"/>
    <mergeCell ref="A27:P27"/>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vt:i4>
      </vt:variant>
    </vt:vector>
  </HeadingPairs>
  <TitlesOfParts>
    <vt:vector size="12" baseType="lpstr">
      <vt:lpstr>Guidance</vt:lpstr>
      <vt:lpstr>Guidance (Indonesia)</vt:lpstr>
      <vt:lpstr>Guidance (English)</vt:lpstr>
      <vt:lpstr>Asset determination</vt:lpstr>
      <vt:lpstr>Cover</vt:lpstr>
      <vt:lpstr>Budget Capex Detail</vt:lpstr>
      <vt:lpstr>Budget Opex Detail</vt:lpstr>
      <vt:lpstr>Activity Master Opex</vt:lpstr>
      <vt:lpstr>Reference</vt:lpstr>
      <vt:lpstr>Master Data</vt:lpstr>
      <vt:lpstr>Realisation Capex 2024</vt:lpstr>
      <vt:lpstr>'Budget Capex Detail'!_FilterDatabase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Safitri Nur Andhini</dc:creator>
  <cp:lastModifiedBy>Nur Qomariyah</cp:lastModifiedBy>
  <dcterms:created xsi:type="dcterms:W3CDTF">2023-07-25T08:22:13Z</dcterms:created>
  <dcterms:modified xsi:type="dcterms:W3CDTF">2025-08-04T04:50:34Z</dcterms:modified>
</cp:coreProperties>
</file>
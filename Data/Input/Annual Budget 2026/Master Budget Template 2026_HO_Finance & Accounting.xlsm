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G:\GYS\FPA\Budget\2026\0. Master Budget Blank Template\HO\"/>
    </mc:Choice>
  </mc:AlternateContent>
  <xr:revisionPtr revIDLastSave="0" documentId="13_ncr:1_{1859EB97-AE4A-4210-A2C6-F376075193A9}" xr6:coauthVersionLast="47" xr6:coauthVersionMax="47" xr10:uidLastSave="{00000000-0000-0000-0000-000000000000}"/>
  <bookViews>
    <workbookView xWindow="-120" yWindow="-120" windowWidth="20730" windowHeight="11040" tabRatio="806" firstSheet="1" activeTab="1" xr2:uid="{00000000-000D-0000-FFFF-FFFF00000000}"/>
  </bookViews>
  <sheets>
    <sheet name="Guidance" sheetId="12" state="hidden" r:id="rId1"/>
    <sheet name="Guidance (Indonesia)" sheetId="24" r:id="rId2"/>
    <sheet name="Guidance (English)" sheetId="25" r:id="rId3"/>
    <sheet name="Asset determination" sheetId="18" r:id="rId4"/>
    <sheet name="Cover" sheetId="3" r:id="rId5"/>
    <sheet name="Budget Capex Detail" sheetId="10" r:id="rId6"/>
    <sheet name="Budget Opex Detail" sheetId="7" r:id="rId7"/>
    <sheet name="Activity Master Opex" sheetId="8" r:id="rId8"/>
    <sheet name="Master Data" sheetId="23" r:id="rId9"/>
  </sheets>
  <definedNames>
    <definedName name="______________PPP3" hidden="1">{#N/A,#N/A,FALSE,"特殊室（ＢＱ表）"}</definedName>
    <definedName name="______________PPP33" hidden="1">{#N/A,#N/A,FALSE,"特殊室（ＢＱ表）"}</definedName>
    <definedName name="______________ppp34" hidden="1">{#N/A,#N/A,FALSE,"特殊室（ＢＱ表）"}</definedName>
    <definedName name="______________ppp3444" hidden="1">{#N/A,#N/A,FALSE,"特殊室（ＢＱ表）"}</definedName>
    <definedName name="_____________lop111" hidden="1">{#N/A,#N/A,FALSE,"特殊室（ＢＱ表）"}</definedName>
    <definedName name="____________PPP3" hidden="1">{#N/A,#N/A,FALSE,"特殊室（ＢＱ表）"}</definedName>
    <definedName name="____________PPP33" hidden="1">{#N/A,#N/A,FALSE,"特殊室（ＢＱ表）"}</definedName>
    <definedName name="____________ppp34" hidden="1">{#N/A,#N/A,FALSE,"特殊室（ＢＱ表）"}</definedName>
    <definedName name="____________ppp3444" hidden="1">{#N/A,#N/A,FALSE,"特殊室（ＢＱ表）"}</definedName>
    <definedName name="___________lop111" hidden="1">{#N/A,#N/A,FALSE,"特殊室（ＢＱ表）"}</definedName>
    <definedName name="__________PPP3" hidden="1">{#N/A,#N/A,FALSE,"特殊室（ＢＱ表）"}</definedName>
    <definedName name="__________PPP33" hidden="1">{#N/A,#N/A,FALSE,"特殊室（ＢＱ表）"}</definedName>
    <definedName name="__________ppp34" hidden="1">{#N/A,#N/A,FALSE,"特殊室（ＢＱ表）"}</definedName>
    <definedName name="__________ppp3444" hidden="1">{#N/A,#N/A,FALSE,"特殊室（ＢＱ表）"}</definedName>
    <definedName name="_________lop111" hidden="1">{#N/A,#N/A,FALSE,"特殊室（ＢＱ表）"}</definedName>
    <definedName name="_________PPP3" hidden="1">{#N/A,#N/A,FALSE,"特殊室（ＢＱ表）"}</definedName>
    <definedName name="_________PPP33" hidden="1">{#N/A,#N/A,FALSE,"特殊室（ＢＱ表）"}</definedName>
    <definedName name="_________ppp34" hidden="1">{#N/A,#N/A,FALSE,"特殊室（ＢＱ表）"}</definedName>
    <definedName name="_________ppp3444" hidden="1">{#N/A,#N/A,FALSE,"特殊室（ＢＱ表）"}</definedName>
    <definedName name="_________xlfn.ROUNDBAHTUP" hidden="1">#NAME?</definedName>
    <definedName name="________lop111" hidden="1">{#N/A,#N/A,FALSE,"特殊室（ＢＱ表）"}</definedName>
    <definedName name="________PPP3" hidden="1">{#N/A,#N/A,FALSE,"特殊室（ＢＱ表）"}</definedName>
    <definedName name="________PPP33" hidden="1">{#N/A,#N/A,FALSE,"特殊室（ＢＱ表）"}</definedName>
    <definedName name="________ppp34" hidden="1">{#N/A,#N/A,FALSE,"特殊室（ＢＱ表）"}</definedName>
    <definedName name="________ppp3444" hidden="1">{#N/A,#N/A,FALSE,"特殊室（ＢＱ表）"}</definedName>
    <definedName name="________xlfn.ROUNDBAHTUP" hidden="1">#NAME?</definedName>
    <definedName name="_______lop111" hidden="1">{#N/A,#N/A,FALSE,"特殊室（ＢＱ表）"}</definedName>
    <definedName name="_______PPP3" hidden="1">{#N/A,#N/A,FALSE,"特殊室（ＢＱ表）"}</definedName>
    <definedName name="_______PPP33" hidden="1">{#N/A,#N/A,FALSE,"特殊室（ＢＱ表）"}</definedName>
    <definedName name="_______ppp34" hidden="1">{#N/A,#N/A,FALSE,"特殊室（ＢＱ表）"}</definedName>
    <definedName name="_______ppp3444" hidden="1">{#N/A,#N/A,FALSE,"特殊室（ＢＱ表）"}</definedName>
    <definedName name="_______xlfn.ROUNDBAHTUP" hidden="1">#NAME?</definedName>
    <definedName name="______lop111" hidden="1">{#N/A,#N/A,FALSE,"特殊室（ＢＱ表）"}</definedName>
    <definedName name="______PPP3" hidden="1">{#N/A,#N/A,FALSE,"特殊室（ＢＱ表）"}</definedName>
    <definedName name="______PPP33" hidden="1">{#N/A,#N/A,FALSE,"特殊室（ＢＱ表）"}</definedName>
    <definedName name="______ppp34" hidden="1">{#N/A,#N/A,FALSE,"特殊室（ＢＱ表）"}</definedName>
    <definedName name="______ppp3444" hidden="1">{#N/A,#N/A,FALSE,"特殊室（ＢＱ表）"}</definedName>
    <definedName name="______xlfn.ROUNDBAHTUP" hidden="1">#NAME?</definedName>
    <definedName name="_____lop111" hidden="1">{#N/A,#N/A,FALSE,"特殊室（ＢＱ表）"}</definedName>
    <definedName name="_____PPP3" hidden="1">{#N/A,#N/A,FALSE,"特殊室（ＢＱ表）"}</definedName>
    <definedName name="_____PPP33" hidden="1">{#N/A,#N/A,FALSE,"特殊室（ＢＱ表）"}</definedName>
    <definedName name="_____ppp34" hidden="1">{#N/A,#N/A,FALSE,"特殊室（ＢＱ表）"}</definedName>
    <definedName name="_____ppp3444" hidden="1">{#N/A,#N/A,FALSE,"特殊室（ＢＱ表）"}</definedName>
    <definedName name="_____xlfn.ROUNDBAHTUP" hidden="1">#NAME?</definedName>
    <definedName name="____lop111" hidden="1">{#N/A,#N/A,FALSE,"特殊室（ＢＱ表）"}</definedName>
    <definedName name="____PPP3" hidden="1">{#N/A,#N/A,FALSE,"特殊室（ＢＱ表）"}</definedName>
    <definedName name="____PPP33" hidden="1">{#N/A,#N/A,FALSE,"特殊室（ＢＱ表）"}</definedName>
    <definedName name="____ppp34" hidden="1">{#N/A,#N/A,FALSE,"特殊室（ＢＱ表）"}</definedName>
    <definedName name="____ppp3444" hidden="1">{#N/A,#N/A,FALSE,"特殊室（ＢＱ表）"}</definedName>
    <definedName name="____xlfn.ROUNDBAHTUP" hidden="1">#NAME?</definedName>
    <definedName name="___lop111" hidden="1">{#N/A,#N/A,FALSE,"特殊室（ＢＱ表）"}</definedName>
    <definedName name="___xlfn.ROUNDBAHTUP" hidden="1">#NAME?</definedName>
    <definedName name="__ab1"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EE1" hidden="1">{#N/A,#N/A,FALSE,"단가표지"}</definedName>
    <definedName name="__old3"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K2" hidden="1">{"'장비'!$A$3:$M$12"}</definedName>
    <definedName name="__PKG3" hidden="1">{"'장비'!$A$3:$M$12"}</definedName>
    <definedName name="__PPP3" hidden="1">{#N/A,#N/A,FALSE,"特殊室（ＢＱ表）"}</definedName>
    <definedName name="__PPP33" hidden="1">{#N/A,#N/A,FALSE,"特殊室（ＢＱ表）"}</definedName>
    <definedName name="__ppp34" hidden="1">{#N/A,#N/A,FALSE,"特殊室（ＢＱ表）"}</definedName>
    <definedName name="__ppp3444" hidden="1">{#N/A,#N/A,FALSE,"特殊室（ＢＱ表）"}</definedName>
    <definedName name="__qqq222" hidden="1">{"'장비'!$A$3:$M$12"}</definedName>
    <definedName name="__S3" hidden="1">{#N/A,#N/A,FALSE,"포장2"}</definedName>
    <definedName name="__xlfn.ROUNDBAHTUP" hidden="1">#NAME?</definedName>
    <definedName name="_1__123Graph_ACHART_1" hidden="1">#REF!</definedName>
    <definedName name="_11__123Graph_Xｸﾞﾗﾌ_1" hidden="1">#REF!</definedName>
    <definedName name="_12__123Graph_Xｸﾞﾗﾌ_2" hidden="1">#REF!</definedName>
    <definedName name="_13__123Graph_Xｸﾞﾗﾌ_3" hidden="1">#REF!</definedName>
    <definedName name="_14__123Graph_Xｸﾞﾗﾌ_4" hidden="1">#REF!</definedName>
    <definedName name="_15__123Graph_Xｸﾞﾗﾌ_5" hidden="1">#REF!</definedName>
    <definedName name="_18__123Graph_Aｸﾞﾗﾌ_1" hidden="1">#REF!</definedName>
    <definedName name="_19__123Graph_Aｸﾞﾗﾌ_2" hidden="1">#REF!</definedName>
    <definedName name="_2__123Graph_ACHART_2" hidden="1">#REF!</definedName>
    <definedName name="_20__123Graph_Aｸﾞﾗﾌ_3" hidden="1">#REF!</definedName>
    <definedName name="_21__123Graph_Aｸﾞﾗﾌ_4" hidden="1">#REF!</definedName>
    <definedName name="_22__123Graph_Aｸﾞﾗﾌ_5" hidden="1">#REF!</definedName>
    <definedName name="_3__123Graph_Aｸﾞﾗﾌ_1" hidden="1">#REF!</definedName>
    <definedName name="_3__123Graph_BCHART_2" hidden="1">#REF!</definedName>
    <definedName name="_30__123Graph_Xｸﾞﾗﾌ_1" hidden="1">#REF!</definedName>
    <definedName name="_31__123Graph_Xｸﾞﾗﾌ_2" hidden="1">#REF!</definedName>
    <definedName name="_32__123Graph_Xｸﾞﾗﾌ_3" hidden="1">#REF!</definedName>
    <definedName name="_33__123Graph_Xｸﾞﾗﾌ_4" hidden="1">#REF!</definedName>
    <definedName name="_34__123Graph_Xｸﾞﾗﾌ_5" hidden="1">#REF!</definedName>
    <definedName name="_4__123Graph_Aｸﾞﾗﾌ_2" hidden="1">#REF!</definedName>
    <definedName name="_4__123Graph_CCHART_1" hidden="1">#REF!</definedName>
    <definedName name="_4ab1_" hidden="1">{#N/A,#N/A,FALSE,"SumD";#N/A,#N/A,FALSE,"ElecD";#N/A,#N/A,FALSE,"MechD";#N/A,#N/A,FALSE,"GeotD";#N/A,#N/A,FALSE,"PrcsD";#N/A,#N/A,FALSE,"TunnD";#N/A,#N/A,FALSE,"CivlD";#N/A,#N/A,FALSE,"NtwkD";#N/A,#N/A,FALSE,"EstgD";#N/A,#N/A,FALSE,"PEngD"}</definedName>
    <definedName name="_5__123Graph_Aｸﾞﾗﾌ_3" hidden="1">#REF!</definedName>
    <definedName name="_5__123Graph_DCHART_1" hidden="1">#REF!</definedName>
    <definedName name="_5as1_" hidden="1">{#N/A,#N/A,FALSE,"SumD";#N/A,#N/A,FALSE,"ElecD";#N/A,#N/A,FALSE,"MechD";#N/A,#N/A,FALSE,"GeotD";#N/A,#N/A,FALSE,"PrcsD";#N/A,#N/A,FALSE,"TunnD";#N/A,#N/A,FALSE,"CivlD";#N/A,#N/A,FALSE,"NtwkD";#N/A,#N/A,FALSE,"EstgD";#N/A,#N/A,FALSE,"PEngD"}</definedName>
    <definedName name="_6__123Graph_Aｸﾞﾗﾌ_4" hidden="1">#REF!</definedName>
    <definedName name="_7__123Graph_Aｸﾞﾗﾌ_5" hidden="1">#REF!</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Fill" hidden="1">#REF!</definedName>
    <definedName name="_xlnm._FilterDatabase" localSheetId="7" hidden="1">'Activity Master Opex'!$B$3:$G$70</definedName>
    <definedName name="_xlnm._FilterDatabase" localSheetId="5">'Budget Capex Detail'!$A$3:$BM$25</definedName>
    <definedName name="_xlnm._FilterDatabase" localSheetId="6" hidden="1">'Budget Opex Detail'!$A$3:$BT$51</definedName>
    <definedName name="_xlnm._FilterDatabase" localSheetId="8" hidden="1">'Master Data'!$B$19:$E$146</definedName>
    <definedName name="_xlnm._FilterDatabase" hidden="1">#REF!</definedName>
    <definedName name="_Key1" hidden="1">#REF!</definedName>
    <definedName name="_Key2" hidden="1">#REF!</definedName>
    <definedName name="_kfkf" hidden="1">#REF!</definedName>
    <definedName name="_lop111" hidden="1">{#N/A,#N/A,FALSE,"特殊室（ＢＱ表）"}</definedName>
    <definedName name="_old3"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rder1" hidden="1">255</definedName>
    <definedName name="_Order2" hidden="1">255</definedName>
    <definedName name="_Parse_Out" hidden="1">#REF!</definedName>
    <definedName name="_PPP3" hidden="1">{#N/A,#N/A,FALSE,"特殊室（ＢＱ表）"}</definedName>
    <definedName name="_PPP33" hidden="1">{#N/A,#N/A,FALSE,"特殊室（ＢＱ表）"}</definedName>
    <definedName name="_ppp34" hidden="1">{#N/A,#N/A,FALSE,"特殊室（ＢＱ表）"}</definedName>
    <definedName name="_ppp3444" hidden="1">{#N/A,#N/A,FALSE,"特殊室（ＢＱ表）"}</definedName>
    <definedName name="_Regression_Int" hidden="1">1</definedName>
    <definedName name="_Sort" hidden="1">#REF!</definedName>
    <definedName name="_Table1_In1" hidden="1">#REF!</definedName>
    <definedName name="_Table1_Out" hidden="1">#REF!</definedName>
    <definedName name="_woogi" hidden="1">#REF!</definedName>
    <definedName name="_woogi2" hidden="1">#REF!</definedName>
    <definedName name="_woogi24" hidden="1">#REF!</definedName>
    <definedName name="_woogi3" hidden="1">#REF!</definedName>
    <definedName name="_xleta.LEN" hidden="1" xlm="1">#NAME?</definedName>
    <definedName name="_재ㅐ햐" hidden="1">#REF!</definedName>
    <definedName name="aa" hidden="1">{#N/A,#N/A,FALSE,"CCTV"}</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a" hidden="1">{#N/A,#N/A,FALSE,"CCTV"}</definedName>
    <definedName name="aaaaaaa" hidden="1">{#N/A,#N/A,FALSE,"type1";#N/A,#N/A,FALSE,"지지력";#N/A,#N/A,FALSE,"PILE계산";#N/A,#N/A,FALSE,"PILE ";#N/A,#N/A,FALSE,"철근량";#N/A,#N/A,FALSE,"균열검토";#N/A,#N/A,FALSE,"날개벽";#N/A,#N/A,FALSE,"주철근조립도";#N/A,#N/A,FALSE,"교좌"}</definedName>
    <definedName name="aaabbb" hidden="1">{#N/A,#N/A,FALSE,"CCTV"}</definedName>
    <definedName name="ab" hidden="1">{#N/A,#N/A,FALSE,"SumD";#N/A,#N/A,FALSE,"ElecD";#N/A,#N/A,FALSE,"MechD";#N/A,#N/A,FALSE,"GeotD";#N/A,#N/A,FALSE,"PrcsD";#N/A,#N/A,FALSE,"TunnD";#N/A,#N/A,FALSE,"CivlD";#N/A,#N/A,FALSE,"NtwkD";#N/A,#N/A,FALSE,"EstgD";#N/A,#N/A,FALSE,"PEngD"}</definedName>
    <definedName name="abcd" hidden="1">{#N/A,#N/A,FALSE,"特殊室（ＢＱ表）"}</definedName>
    <definedName name="AccessDatabase" hidden="1">"C:\WIN95\Desktop\Ramesh\AIC\Aic.mdb"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D">#REF!</definedName>
    <definedName name="ada" hidden="1">{#N/A,#N/A,FALSE,"特殊室（ＢＱ表）"}</definedName>
    <definedName name="ADCD" hidden="1">{#N/A,#N/A,FALSE,"特殊室（ＢＱ表）"}</definedName>
    <definedName name="ADI">#REF!</definedName>
    <definedName name="afdasgh" hidden="1">{#N/A,#N/A,FALSE,"CCTV"}</definedName>
    <definedName name="afdsfdg" hidden="1">{#N/A,#N/A,FALSE,"CCTV"}</definedName>
    <definedName name="afffgff" hidden="1">{#N/A,#N/A,FALSE,"CCTV"}</definedName>
    <definedName name="Agency">#REF!</definedName>
    <definedName name="ak">#REF!</definedName>
    <definedName name="aku">#REF!</definedName>
    <definedName name="anscount" hidden="1">1</definedName>
    <definedName name="AQE" hidden="1">{"'장비'!$A$3:$M$12"}</definedName>
    <definedName name="aras">#REF!</definedName>
    <definedName name="asdada" hidden="1">{#N/A,#N/A,FALSE,"特殊室（ＢＱ表）"}</definedName>
    <definedName name="asya">#REF!</definedName>
    <definedName name="ay" hidden="1">#REF!</definedName>
    <definedName name="B" hidden="1">{#N/A,#N/A,FALSE,"CCTV"}</definedName>
    <definedName name="bagas">#REF!</definedName>
    <definedName name="bawor">#REF!</definedName>
    <definedName name="BBB" hidden="1">{#N/A,#N/A,FALSE,"CCTV"}</definedName>
    <definedName name="bfbfdhfdhdfgh" hidden="1">{#N/A,#N/A,FALSE,"CCTV"}</definedName>
    <definedName name="BNN" hidden="1">{#N/A,#N/A,FALSE,"CCTV"}</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ok" hidden="1">{"SUM",#N/A,FALSE,"summary";"BOOK11-1",#N/A,FALSE,"1CityGarden";"BOOK11-2",#N/A,FALSE,"2CountryGarden";"BOOK11-3",#N/A,FALSE,"3JUNGLE";"BOOK11-4CIVIL",#N/A,FALSE,"CIVIL"}</definedName>
    <definedName name="BU_DIV">#REF!</definedName>
    <definedName name="BUHO">#REF!</definedName>
    <definedName name="ccc" hidden="1">{#N/A,#N/A,FALSE,"SumD";#N/A,#N/A,FALSE,"ElecD";#N/A,#N/A,FALSE,"MechD";#N/A,#N/A,FALSE,"GeotD";#N/A,#N/A,FALSE,"PrcsD";#N/A,#N/A,FALSE,"TunnD";#N/A,#N/A,FALSE,"CivlD";#N/A,#N/A,FALSE,"NtwkD";#N/A,#N/A,FALSE,"EstgD";#N/A,#N/A,FALSE,"PEngD"}</definedName>
    <definedName name="CD">NA()</definedName>
    <definedName name="CentralisedCC">#REF!</definedName>
    <definedName name="CHRIS" hidden="1">{#N/A,#N/A,FALSE,"CCTV"}</definedName>
    <definedName name="da" hidden="1">{#N/A,#N/A,FALSE,"特殊室（ＢＱ表）"}</definedName>
    <definedName name="daa" hidden="1">{#N/A,#N/A,FALSE,"特殊室（ＢＱ表）"}</definedName>
    <definedName name="dad" hidden="1">{#N/A,#N/A,FALSE,"特殊室（ＢＱ表）"}</definedName>
    <definedName name="dada" hidden="1">{#N/A,#N/A,FALSE,"特殊室（ＢＱ表）"}</definedName>
    <definedName name="dadasda" hidden="1">{#N/A,#N/A,FALSE,"特殊室（ＢＱ表）"}</definedName>
    <definedName name="daj">#REF!</definedName>
    <definedName name="dataww" hidden="1">#REF!</definedName>
    <definedName name="ddddd" hidden="1">{#N/A,#N/A,FALSE,"SumD";#N/A,#N/A,FALSE,"ElecD";#N/A,#N/A,FALSE,"MechD";#N/A,#N/A,FALSE,"GeotD";#N/A,#N/A,FALSE,"PrcsD";#N/A,#N/A,FALSE,"TunnD";#N/A,#N/A,FALSE,"CivlD";#N/A,#N/A,FALSE,"NtwkD";#N/A,#N/A,FALSE,"EstgD";#N/A,#N/A,FALSE,"PEngD"}</definedName>
    <definedName name="DDFD" hidden="1">{#N/A,#N/A,FALSE,"CCTV"}</definedName>
    <definedName name="DDFYDFYUDF">#REF!</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fff" hidden="1">{#N/A,#N/A,FALSE,"SumG";#N/A,#N/A,FALSE,"ElecG";#N/A,#N/A,FALSE,"MechG";#N/A,#N/A,FALSE,"GeotG";#N/A,#N/A,FALSE,"PrcsG";#N/A,#N/A,FALSE,"TunnG";#N/A,#N/A,FALSE,"CivlG";#N/A,#N/A,FALSE,"NtwkG";#N/A,#N/A,FALSE,"EstgG";#N/A,#N/A,FALSE,"PEngG"}</definedName>
    <definedName name="dfh" hidden="1">{#N/A,#N/A,FALSE,"特殊室（ＢＱ表）"}</definedName>
    <definedName name="DFSF" hidden="1">{#N/A,#N/A,FALSE,"特殊室（ＢＱ表）"}</definedName>
    <definedName name="dgdsgsd">#REF!</definedName>
    <definedName name="DGF" hidden="1">{#N/A,#N/A,FALSE,"特殊室（ＢＱ表）"}</definedName>
    <definedName name="dgfd" hidden="1">{#N/A,#N/A,FALSE,"SumG";#N/A,#N/A,FALSE,"ElecG";#N/A,#N/A,FALSE,"MechG";#N/A,#N/A,FALSE,"GeotG";#N/A,#N/A,FALSE,"PrcsG";#N/A,#N/A,FALSE,"TunnG";#N/A,#N/A,FALSE,"CivlG";#N/A,#N/A,FALSE,"NtwkG";#N/A,#N/A,FALSE,"EstgG";#N/A,#N/A,FALSE,"PEngG"}</definedName>
    <definedName name="DGFDG" hidden="1">{#N/A,#N/A,FALSE,"特殊室（ＢＱ表）"}</definedName>
    <definedName name="dgfgjgj" hidden="1">{#N/A,#N/A,FALSE,"CCTV"}</definedName>
    <definedName name="DIN">#REF!</definedName>
    <definedName name="dinar">#REF!</definedName>
    <definedName name="dinars">#REF!</definedName>
    <definedName name="DirektoratHO">#REF!</definedName>
    <definedName name="Div.">#REF!</definedName>
    <definedName name="dvbgf" hidden="1">{#N/A,#N/A,FALSE,"SumD";#N/A,#N/A,FALSE,"ElecD";#N/A,#N/A,FALSE,"MechD";#N/A,#N/A,FALSE,"GeotD";#N/A,#N/A,FALSE,"PrcsD";#N/A,#N/A,FALSE,"TunnD";#N/A,#N/A,FALSE,"CivlD";#N/A,#N/A,FALSE,"NtwkD";#N/A,#N/A,FALSE,"EstgD";#N/A,#N/A,FALSE,"PEngD"}</definedName>
    <definedName name="dydy">#REF!</definedName>
    <definedName name="ear">#REF!</definedName>
    <definedName name="eddy" hidden="1">#REF!</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 hidden="1">{#N/A,#N/A,FALSE,"SumG";#N/A,#N/A,FALSE,"ElecG";#N/A,#N/A,FALSE,"MechG";#N/A,#N/A,FALSE,"GeotG";#N/A,#N/A,FALSE,"PrcsG";#N/A,#N/A,FALSE,"TunnG";#N/A,#N/A,FALSE,"CivlG";#N/A,#N/A,FALSE,"NtwkG";#N/A,#N/A,FALSE,"EstgG";#N/A,#N/A,FALSE,"PEngG"}</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stes">#REF!</definedName>
    <definedName name="etdes">#REF!</definedName>
    <definedName name="eyteyt" hidden="1">{#N/A,#N/A,FALSE,"CCTV"}</definedName>
    <definedName name="FCHFCHFGHFG">#REF!</definedName>
    <definedName name="fddfhdfhdgh" hidden="1">{#N/A,#N/A,FALSE,"CCTV"}</definedName>
    <definedName name="fdf" hidden="1">{#N/A,#N/A,FALSE,"CCTV"}</definedName>
    <definedName name="FDFDF" hidden="1">{#N/A,#N/A,FALSE,"CCTV"}</definedName>
    <definedName name="fdff" hidden="1">{#N/A,#N/A,FALSE,"SumG";#N/A,#N/A,FALSE,"ElecG";#N/A,#N/A,FALSE,"MechG";#N/A,#N/A,FALSE,"GeotG";#N/A,#N/A,FALSE,"PrcsG";#N/A,#N/A,FALSE,"TunnG";#N/A,#N/A,FALSE,"CivlG";#N/A,#N/A,FALSE,"NtwkG";#N/A,#N/A,FALSE,"EstgG";#N/A,#N/A,FALSE,"PEngG"}</definedName>
    <definedName name="FF" hidden="1">#REF!</definedName>
    <definedName name="fff" hidden="1">{#N/A,#N/A,FALSE,"CCTV"}</definedName>
    <definedName name="ffffff" hidden="1">{#N/A,#N/A,FALSE,"CCTV"}</definedName>
    <definedName name="fg" hidden="1">{#N/A,#N/A,FALSE,"SumG";#N/A,#N/A,FALSE,"ElecG";#N/A,#N/A,FALSE,"MechG";#N/A,#N/A,FALSE,"GeotG";#N/A,#N/A,FALSE,"PrcsG";#N/A,#N/A,FALSE,"TunnG";#N/A,#N/A,FALSE,"CivlG";#N/A,#N/A,FALSE,"NtwkG";#N/A,#N/A,FALSE,"EstgG";#N/A,#N/A,FALSE,"PEngG"}</definedName>
    <definedName name="fgdfg" hidden="1">{#N/A,#N/A,FALSE,"SumD";#N/A,#N/A,FALSE,"ElecD";#N/A,#N/A,FALSE,"MechD";#N/A,#N/A,FALSE,"GeotD";#N/A,#N/A,FALSE,"PrcsD";#N/A,#N/A,FALSE,"TunnD";#N/A,#N/A,FALSE,"CivlD";#N/A,#N/A,FALSE,"NtwkD";#N/A,#N/A,FALSE,"EstgD";#N/A,#N/A,FALSE,"PEngD"}</definedName>
    <definedName name="FGF" hidden="1">{#N/A,#N/A,FALSE,"CCTV"}</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g" hidden="1">{#N/A,#N/A,FALSE,"SumG";#N/A,#N/A,FALSE,"ElecG";#N/A,#N/A,FALSE,"MechG";#N/A,#N/A,FALSE,"GeotG";#N/A,#N/A,FALSE,"PrcsG";#N/A,#N/A,FALSE,"TunnG";#N/A,#N/A,FALSE,"CivlG";#N/A,#N/A,FALSE,"NtwkG";#N/A,#N/A,FALSE,"EstgG";#N/A,#N/A,FALSE,"PEngG"}</definedName>
    <definedName name="fgg" hidden="1">{"'장비'!$A$3:$M$12"}</definedName>
    <definedName name="fgh">#REF!</definedName>
    <definedName name="fghfg"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jdf">#REF!</definedName>
    <definedName name="fgrfyj">#REF!</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hdfhdf">#REF!</definedName>
    <definedName name="fhgfhj">#REF!</definedName>
    <definedName name="fhgjfghfghgf" hidden="1">{#N/A,#N/A,FALSE,"CCTV"}</definedName>
    <definedName name="fjgfjh">#REF!</definedName>
    <definedName name="fjhfjh">#REF!</definedName>
    <definedName name="fryhrfgh">#REF!</definedName>
    <definedName name="fturedh">#REF!</definedName>
    <definedName name="fyftu">#REF!</definedName>
    <definedName name="g">#REF!</definedName>
    <definedName name="GD" hidden="1">{#N/A,#N/A,FALSE,"特殊室（ＢＱ表）"}</definedName>
    <definedName name="gdg" hidden="1">{#N/A,#N/A,FALSE,"特殊室（ＢＱ表）"}</definedName>
    <definedName name="gdghd">#REF!</definedName>
    <definedName name="GFA" hidden="1">#REF!</definedName>
    <definedName name="gfdg" hidden="1">{#N/A,#N/A,FALSE,"特殊室（ＢＱ表）"}</definedName>
    <definedName name="gfdgfdg"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hidden="1">{#N/A,#N/A,FALSE,"SumG";#N/A,#N/A,FALSE,"ElecG";#N/A,#N/A,FALSE,"MechG";#N/A,#N/A,FALSE,"GeotG";#N/A,#N/A,FALSE,"PrcsG";#N/A,#N/A,FALSE,"TunnG";#N/A,#N/A,FALSE,"CivlG";#N/A,#N/A,FALSE,"NtwkG";#N/A,#N/A,FALSE,"EstgG";#N/A,#N/A,FALSE,"PEngG"}</definedName>
    <definedName name="gfjgfh" hidden="1">{#N/A,#N/A,FALSE,"CCTV"}</definedName>
    <definedName name="gfjgfhfg" hidden="1">{#N/A,#N/A,FALSE,"CCTV"}</definedName>
    <definedName name="ghg">#REF!</definedName>
    <definedName name="ghggg" hidden="1">{#N/A,#N/A,FALSE,"SumG";#N/A,#N/A,FALSE,"ElecG";#N/A,#N/A,FALSE,"MechG";#N/A,#N/A,FALSE,"GeotG";#N/A,#N/A,FALSE,"PrcsG";#N/A,#N/A,FALSE,"TunnG";#N/A,#N/A,FALSE,"CivlG";#N/A,#N/A,FALSE,"NtwkG";#N/A,#N/A,FALSE,"EstgG";#N/A,#N/A,FALSE,"PEngG"}</definedName>
    <definedName name="GHJ">#REF!</definedName>
    <definedName name="ghjg">#REF!</definedName>
    <definedName name="GHJGJGFK">#REF!</definedName>
    <definedName name="ghjsghkjsg">#REF!</definedName>
    <definedName name="ghk">#REF!</definedName>
    <definedName name="gjfgvfh" hidden="1">{#N/A,#N/A,FALSE,"特殊室（ＢＱ表）"}</definedName>
    <definedName name="gkgkgkju">#REF!</definedName>
    <definedName name="gkj.">#REF!</definedName>
    <definedName name="GLFA">#REF!</definedName>
    <definedName name="GLOPEX">#REF!</definedName>
    <definedName name="GLPRJ">#REF!</definedName>
    <definedName name="GMG" hidden="1">{#N/A,#N/A,FALSE,"特殊室（ＢＱ表）"}</definedName>
    <definedName name="gsdhs">#REF!</definedName>
    <definedName name="gshdf">#REF!</definedName>
    <definedName name="gygug">#REF!</definedName>
    <definedName name="gyhf">#REF!</definedName>
    <definedName name="HA" hidden="1">{"'Sheet1'!$L$16"}</definedName>
    <definedName name="harga">#REF!</definedName>
    <definedName name="hfdgfdg" hidden="1">{#N/A,#N/A,FALSE,"CCTV"}</definedName>
    <definedName name="hfgk" hidden="1">{#N/A,#N/A,FALSE,"特殊室（ＢＱ表）"}</definedName>
    <definedName name="hfjhhjj" hidden="1">{#N/A,#N/A,FALSE,"CCTV"}</definedName>
    <definedName name="hghghjfv">#REF!</definedName>
    <definedName name="hgjfgh" hidden="1">{#N/A,#N/A,FALSE,"CCTV"}</definedName>
    <definedName name="hgjgfhgh" hidden="1">{#N/A,#N/A,FALSE,"CCTV"}</definedName>
    <definedName name="HHJGHJ">#REF!</definedName>
    <definedName name="hihuih">#REF!</definedName>
    <definedName name="hjhgxdgdz">#REF!</definedName>
    <definedName name="hjhklh">#REF!</definedName>
    <definedName name="HKJ">#REF!</definedName>
    <definedName name="HTML" hidden="1">{"'장비'!$A$3:$M$12"}</definedName>
    <definedName name="HTML_CodePage" hidden="1">949</definedName>
    <definedName name="HTML_Control" hidden="1">{"'장비'!$A$3:$M$12"}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umaira">#REF!</definedName>
    <definedName name="hygfi">#REF!</definedName>
    <definedName name="iiouolkll" hidden="1">{#N/A,#N/A,FALSE,"CCTV"}</definedName>
    <definedName name="irawan">#REF!</definedName>
    <definedName name="irishjane" hidden="1">#REF!</definedName>
    <definedName name="jh" hidden="1">{#N/A,#N/A,FALSE,"SumG";#N/A,#N/A,FALSE,"ElecG";#N/A,#N/A,FALSE,"MechG";#N/A,#N/A,FALSE,"GeotG";#N/A,#N/A,FALSE,"PrcsG";#N/A,#N/A,FALSE,"TunnG";#N/A,#N/A,FALSE,"CivlG";#N/A,#N/A,FALSE,"NtwkG";#N/A,#N/A,FALSE,"EstgG";#N/A,#N/A,FALSE,"PEngG"}</definedName>
    <definedName name="jhhhh" hidden="1">{#N/A,#N/A,FALSE,"CCTV"}</definedName>
    <definedName name="KAMU">#REF!</definedName>
    <definedName name="KDJU" hidden="1">{"'장비'!$A$3:$M$12"}</definedName>
    <definedName name="KE_CUSTOMER">#REF!</definedName>
    <definedName name="kghlgh" hidden="1">{#N/A,#N/A,FALSE,"CCTV"}</definedName>
    <definedName name="ki">#REF!</definedName>
    <definedName name="kita">#REF!</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lil" hidden="1">{#N/A,#N/A,FALSE,"CCTV"}</definedName>
    <definedName name="kjhkj" hidden="1">{#N/A,#N/A,FALSE,"SumG";#N/A,#N/A,FALSE,"ElecG";#N/A,#N/A,FALSE,"MechG";#N/A,#N/A,FALSE,"GeotG";#N/A,#N/A,FALSE,"PrcsG";#N/A,#N/A,FALSE,"TunnG";#N/A,#N/A,FALSE,"CivlG";#N/A,#N/A,FALSE,"NtwkG";#N/A,#N/A,FALSE,"EstgG";#N/A,#N/A,FALSE,"PEngG"}</definedName>
    <definedName name="kjhlh" hidden="1">{#N/A,#N/A,FALSE,"CCTV"}</definedName>
    <definedName name="kjhljhk" hidden="1">{#N/A,#N/A,FALSE,"CCTV"}</definedName>
    <definedName name="kjoh" hidden="1">{#N/A,#N/A,FALSE,"特殊室（ＢＱ表）"}</definedName>
    <definedName name="kkk" hidden="1">{#N/A,#N/A,FALSE,"CCTV"}</definedName>
    <definedName name="KLHKJ">#REF!</definedName>
    <definedName name="ktf" hidden="1">#REF!</definedName>
    <definedName name="kty" hidden="1">#REF!</definedName>
    <definedName name="LKL" hidden="1">{#N/A,#N/A,FALSE,"SumG";#N/A,#N/A,FALSE,"ElecG";#N/A,#N/A,FALSE,"MechG";#N/A,#N/A,FALSE,"GeotG";#N/A,#N/A,FALSE,"PrcsG";#N/A,#N/A,FALSE,"TunnG";#N/A,#N/A,FALSE,"CivlG";#N/A,#N/A,FALSE,"NtwkG";#N/A,#N/A,FALSE,"EstgG";#N/A,#N/A,FALSE,"PEngG"}</definedName>
    <definedName name="lklhlkjl" hidden="1">{#N/A,#N/A,FALSE,"CCTV"}</definedName>
    <definedName name="lop" hidden="1">{#N/A,#N/A,FALSE,"特殊室（ＢＱ表）"}</definedName>
    <definedName name="lop." hidden="1">{#N/A,#N/A,FALSE,"特殊室（ＢＱ表）"}</definedName>
    <definedName name="MBM" hidden="1">{#N/A,#N/A,FALSE,"特殊室（ＢＱ表）"}</definedName>
    <definedName name="MEE">#REF!</definedName>
    <definedName name="MGB" hidden="1">{#N/A,#N/A,FALSE,"特殊室（ＢＱ表）"}</definedName>
    <definedName name="mmm" hidden="1">{"'장비'!$A$3:$M$12"}</definedName>
    <definedName name="mmmmm" hidden="1">{#N/A,#N/A,FALSE,"CCTV"}</definedName>
    <definedName name="MNB" hidden="1">{#N/A,#N/A,FALSE,"特殊室（ＢＱ表）"}</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NEWNAME" hidden="1">{#N/A,#N/A,FALSE,"CCTV"}</definedName>
    <definedName name="nkknk" hidden="1">{#N/A,#N/A,FALSE,"CCTV"}</definedName>
    <definedName name="nnn" hidden="1">{#N/A,#N/A,FALSE,"SumD";#N/A,#N/A,FALSE,"ElecD";#N/A,#N/A,FALSE,"MechD";#N/A,#N/A,FALSE,"GeotD";#N/A,#N/A,FALSE,"PrcsD";#N/A,#N/A,FALSE,"TunnD";#N/A,#N/A,FALSE,"CivlD";#N/A,#N/A,FALSE,"NtwkD";#N/A,#N/A,FALSE,"EstgD";#N/A,#N/A,FALSE,"PEngD"}</definedName>
    <definedName name="nnnnn" hidden="1">{#N/A,#N/A,FALSE,"SumG";#N/A,#N/A,FALSE,"ElecG";#N/A,#N/A,FALSE,"MechG";#N/A,#N/A,FALSE,"GeotG";#N/A,#N/A,FALSE,"PrcsG";#N/A,#N/A,FALSE,"TunnG";#N/A,#N/A,FALSE,"CivlG";#N/A,#N/A,FALSE,"NtwkG";#N/A,#N/A,FALSE,"EstgG";#N/A,#N/A,FALSE,"PEngG"}</definedName>
    <definedName name="ODH" hidden="1">#REF!</definedName>
    <definedName name="ODHH" hidden="1">#REF!</definedName>
    <definedName name="oililui" hidden="1">{#N/A,#N/A,FALSE,"CCTV"}</definedName>
    <definedName name="ok">#REF!</definedName>
    <definedName name="olk" hidden="1">{#N/A,#N/A,FALSE,"特殊室（ＢＱ表）"}</definedName>
    <definedName name="P" hidden="1">#REF!</definedName>
    <definedName name="pamularsih">#REF!</definedName>
    <definedName name="Port1" hidden="1">{#N/A,#N/A,FALSE,"特殊室（ＢＱ表）"}</definedName>
    <definedName name="port11" hidden="1">{#N/A,#N/A,FALSE,"特殊室（ＢＱ表）"}</definedName>
    <definedName name="PPP" hidden="1">{#N/A,#N/A,FALSE,"CCTV"}</definedName>
    <definedName name="Priority" localSheetId="0">#REF!</definedName>
    <definedName name="Priority">#REF!</definedName>
    <definedName name="QAZ" hidden="1">{#N/A,#N/A,FALSE,"CCTV"}</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hidden="1">{#N/A,#N/A,FALSE,"CCTV"}</definedName>
    <definedName name="rarewt" hidden="1">{#N/A,#N/A,FALSE,"CCTV"}</definedName>
    <definedName name="report1" hidden="1">{#N/A,#N/A,FALSE,"特殊室（ＢＱ表）"}</definedName>
    <definedName name="report2" hidden="1">{#N/A,#N/A,FALSE,"特殊室（ＢＱ表）"}</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faw">#REF!</definedName>
    <definedName name="ri">#REF!</definedName>
    <definedName name="RNAO" hidden="1">{"'장비'!$A$3:$M$12"}</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rr" hidden="1">{"'장비'!$A$3:$M$12"}</definedName>
    <definedName name="rrrrrrrr" hidden="1">{"'장비'!$A$3:$M$12"}</definedName>
    <definedName name="rsk" hidden="1">#REF!</definedName>
    <definedName name="rss" hidden="1">#REF!</definedName>
    <definedName name="rteswdqwwf" hidden="1">#REF!</definedName>
    <definedName name="RTYE" hidden="1">{"'장비'!$A$3:$M$12"}</definedName>
    <definedName name="saada" hidden="1">{#N/A,#N/A,FALSE,"特殊室（ＢＱ表）"}</definedName>
    <definedName name="scarce" hidden="1">{#N/A,#N/A,FALSE,"Summary";#N/A,#N/A,FALSE,"3TJ";#N/A,#N/A,FALSE,"3TN";#N/A,#N/A,FALSE,"3TP";#N/A,#N/A,FALSE,"3SJ";#N/A,#N/A,FALSE,"3CJ";#N/A,#N/A,FALSE,"3CN";#N/A,#N/A,FALSE,"3CP";#N/A,#N/A,FALSE,"3A"}</definedName>
    <definedName name="sdgshs">#REF!</definedName>
    <definedName name="Seat" hidden="1">#REF!</definedName>
    <definedName name="sencount" hidden="1">1</definedName>
    <definedName name="Services2" hidden="1">{#N/A,#N/A,FALSE,"Pricing";#N/A,#N/A,FALSE,"Summary";#N/A,#N/A,FALSE,"CompProd";#N/A,#N/A,FALSE,"CompJobhrs";#N/A,#N/A,FALSE,"Escalation";#N/A,#N/A,FALSE,"Contingency";#N/A,#N/A,FALSE,"GM";#N/A,#N/A,FALSE,"CompWage";#N/A,#N/A,FALSE,"costSum"}</definedName>
    <definedName name="sffff" hidden="1">{#N/A,#N/A,FALSE,"SumD";#N/A,#N/A,FALSE,"ElecD";#N/A,#N/A,FALSE,"MechD";#N/A,#N/A,FALSE,"GeotD";#N/A,#N/A,FALSE,"PrcsD";#N/A,#N/A,FALSE,"TunnD";#N/A,#N/A,FALSE,"CivlD";#N/A,#N/A,FALSE,"NtwkD";#N/A,#N/A,FALSE,"EstgD";#N/A,#N/A,FALSE,"PEngD"}</definedName>
    <definedName name="shjfgdsg">#REF!</definedName>
    <definedName name="SS" hidden="1">#REF!</definedName>
    <definedName name="ssshhh" hidden="1">{#N/A,#N/A,FALSE,"SumG";#N/A,#N/A,FALSE,"ElecG";#N/A,#N/A,FALSE,"MechG";#N/A,#N/A,FALSE,"GeotG";#N/A,#N/A,FALSE,"PrcsG";#N/A,#N/A,FALSE,"TunnG";#N/A,#N/A,FALSE,"CivlG";#N/A,#N/A,FALSE,"NtwkG";#N/A,#N/A,FALSE,"EstgG";#N/A,#N/A,FALSE,"PEngG"}</definedName>
    <definedName name="sssss" hidden="1">{#N/A,#N/A,FALSE,"SumD";#N/A,#N/A,FALSE,"ElecD";#N/A,#N/A,FALSE,"MechD";#N/A,#N/A,FALSE,"GeotD";#N/A,#N/A,FALSE,"PrcsD";#N/A,#N/A,FALSE,"TunnD";#N/A,#N/A,FALSE,"CivlD";#N/A,#N/A,FALSE,"NtwkD";#N/A,#N/A,FALSE,"EstgD";#N/A,#N/A,FALSE,"PEngD"}</definedName>
    <definedName name="SU_DIV" localSheetId="0">#REF!</definedName>
    <definedName name="SU_DIV">#REF!</definedName>
    <definedName name="summar" hidden="1">{#N/A,#N/A,FALSE,"特殊室（ＢＱ表）"}</definedName>
    <definedName name="Tabel">NA()</definedName>
    <definedName name="TB">#REF!</definedName>
    <definedName name="TBL">#REF!</definedName>
    <definedName name="TDFYDFYU">#REF!</definedName>
    <definedName name="Tend_Box" hidden="1">#REF!</definedName>
    <definedName name="tttt" hidden="1">{"'Sheet1'!$L$16"}</definedName>
    <definedName name="typ" hidden="1">#REF!</definedName>
    <definedName name="type1" hidden="1">#REF!</definedName>
    <definedName name="ui">#REF!</definedName>
    <definedName name="uj" hidden="1">{#N/A,#N/A,FALSE,"SumG";#N/A,#N/A,FALSE,"ElecG";#N/A,#N/A,FALSE,"MechG";#N/A,#N/A,FALSE,"GeotG";#N/A,#N/A,FALSE,"PrcsG";#N/A,#N/A,FALSE,"TunnG";#N/A,#N/A,FALSE,"CivlG";#N/A,#N/A,FALSE,"NtwkG";#N/A,#N/A,FALSE,"EstgG";#N/A,#N/A,FALSE,"PEngG"}</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UU" hidden="1">{#N/A,#N/A,FALSE,"CCTV"}</definedName>
    <definedName name="van" hidden="1">{#N/A,#N/A,FALSE,"CCTV"}</definedName>
    <definedName name="Variation" hidden="1">{#N/A,#N/A,FALSE,"SumD";#N/A,#N/A,FALSE,"ElecD";#N/A,#N/A,FALSE,"MechD";#N/A,#N/A,FALSE,"GeotD";#N/A,#N/A,FALSE,"PrcsD";#N/A,#N/A,FALSE,"TunnD";#N/A,#N/A,FALSE,"CivlD";#N/A,#N/A,FALSE,"NtwkD";#N/A,#N/A,FALSE,"EstgD";#N/A,#N/A,FALSE,"PEngD"}</definedName>
    <definedName name="vgjh" hidden="1">{#N/A,#N/A,FALSE,"特殊室（ＢＱ表）"}</definedName>
    <definedName name="weq" hidden="1">{#N/A,#N/A,FALSE,"SumD";#N/A,#N/A,FALSE,"ElecD";#N/A,#N/A,FALSE,"MechD";#N/A,#N/A,FALSE,"GeotD";#N/A,#N/A,FALSE,"PrcsD";#N/A,#N/A,FALSE,"TunnD";#N/A,#N/A,FALSE,"CivlD";#N/A,#N/A,FALSE,"NtwkD";#N/A,#N/A,FALSE,"EstgD";#N/A,#N/A,FALSE,"PEngD"}</definedName>
    <definedName name="wjs" hidden="1">{#N/A,#N/A,FALSE,"CCTV"}</definedName>
    <definedName name="WRITE" hidden="1">{#N/A,#N/A,FALSE,"CCTV"}</definedName>
    <definedName name="wrn.all." hidden="1">{#N/A,#N/A,FALSE,"Pricing";#N/A,#N/A,FALSE,"Summary";#N/A,#N/A,FALSE,"CompProd";#N/A,#N/A,FALSE,"CompJobhrs";#N/A,#N/A,FALSE,"Escalation";#N/A,#N/A,FALSE,"Contingency";#N/A,#N/A,FALSE,"GM";#N/A,#N/A,FALSE,"CompWage";#N/A,#N/A,FALSE,"costSum"}</definedName>
    <definedName name="wrn.all._.lines." hidden="1">{#N/A,#N/A,FALSE,"Summary";#N/A,#N/A,FALSE,"3TJ";#N/A,#N/A,FALSE,"3TN";#N/A,#N/A,FALSE,"3TP";#N/A,#N/A,FALSE,"3SJ";#N/A,#N/A,FALSE,"3CJ";#N/A,#N/A,FALSE,"3CN";#N/A,#N/A,FALSE,"3CP";#N/A,#N/A,FALSE,"3A"}</definedName>
    <definedName name="wrn.Barbara._.Modular._.Indirects." hidden="1">{#N/A,#N/A,FALSE,"COVER";#N/A,#N/A,FALSE,"RECAP";#N/A,#N/A,FALSE,"SANTA BARBARA NONMANUAL";#N/A,#N/A,FALSE,"CEQUIP";#N/A,#N/A,FALSE,"WRATE";#N/A,#N/A,FALSE,"INDIRECT";#N/A,#N/A,FALSE,"TRAIN";#N/A,#N/A,FALSE,"MANLOADED SCHEDULE"}</definedName>
    <definedName name="wrn.BM." hidden="1">{#N/A,#N/A,FALSE,"CCTV"}</definedName>
    <definedName name="wrn.BOOK11." hidden="1">{"SUM",#N/A,FALSE,"summary";"BOOK11-1",#N/A,FALSE,"1CityGarden";"BOOK11-2",#N/A,FALSE,"2CountryGarden";"BOOK11-3",#N/A,FALSE,"3JUNGLE";"BOOK11-4CIVIL",#N/A,FALSE,"CIVIL"}</definedName>
    <definedName name="wrn.CHIEF._.REVIEW." hidden="1">{#N/A,#N/A,FALSE,"Q&amp;AE";#N/A,#N/A,FALSE,"Params";#N/A,#N/A,FALSE,"ReconE";#N/A,#N/A,FALSE,"CostCompE";#N/A,#N/A,FALSE,"SummaryE";#N/A,#N/A,FALSE,"Detail";#N/A,#N/A,FALSE,"PayItem"}</definedName>
    <definedName name="wrn.CIRCUITS." hidden="1">{"DBANK",#N/A,FALSE,"PriceE";"CKTS",#N/A,FALSE,"PriceE"}</definedName>
    <definedName name="wrn.COST_SHEETS." hidden="1">{#N/A,#N/A,FALSE,"WBS 1.06";#N/A,#N/A,FALSE,"WBS 1.14";#N/A,#N/A,FALSE,"WBS 1.17";#N/A,#N/A,FALSE,"WBS 1.18"}</definedName>
    <definedName name="wrn.FINAL._.ESTIMATE." hidden="1">{#N/A,#N/A,FALSE,"ProjInfo";#N/A,#N/A,FALSE,"Params";#N/A,#N/A,FALSE,"Q&amp;AE";#N/A,#N/A,FALSE,"CostCompE";#N/A,#N/A,FALSE,"SummaryE";#N/A,#N/A,FALSE,"PayItem";#N/A,#N/A,FALSE,"Detail";#N/A,#N/A,FALSE,"ReconE"}</definedName>
    <definedName name="wrn.Fuel._.oil._.option." hidden="1">{"FUEL OIL",#N/A,FALSE,"Option"}</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Payment." hidden="1">{#N/A,#N/A,TRUE,"General Summary";#N/A,#N/A,TRUE,"Preliminaries";#N/A,#N/A,TRUE,"Bill No4";#N/A,#N/A,TRUE,"BAL Cert";#N/A,#N/A,TRUE,"Valuation Info"}</definedName>
    <definedName name="wrn.PrintAll." hidden="1">{#N/A,#N/A,FALSE,"Sheet1";#N/A,#N/A,FALSE,"Sheet2";#N/A,#N/A,FALSE,"Sheet3";#N/A,#N/A,FALSE,"Sheet4";#N/A,#N/A,FALSE,"Sheet5";#N/A,#N/A,FALSE,"Sheet6";#N/A,#N/A,FALSE,"Sheet7";#N/A,#N/A,FALSE,"Sheet8";#N/A,#N/A,FALSE,"Sheet9"}</definedName>
    <definedName name="wrn.PrintallD." hidden="1">{#N/A,#N/A,FALSE,"SumD";#N/A,#N/A,FALSE,"ElecD";#N/A,#N/A,FALSE,"MechD";#N/A,#N/A,FALSE,"GeotD";#N/A,#N/A,FALSE,"PrcsD";#N/A,#N/A,FALSE,"TunnD";#N/A,#N/A,FALSE,"CivlD";#N/A,#N/A,FALSE,"NtwkD";#N/A,#N/A,FALSE,"EstgD";#N/A,#N/A,FALSE,"PEngD"}</definedName>
    <definedName name="wrn.PrintallG." hidden="1">{#N/A,#N/A,FALSE,"SumG";#N/A,#N/A,FALSE,"ElecG";#N/A,#N/A,FALSE,"MechG";#N/A,#N/A,FALSE,"GeotG";#N/A,#N/A,FALSE,"PrcsG";#N/A,#N/A,FALSE,"TunnG";#N/A,#N/A,FALSE,"CivlG";#N/A,#N/A,FALSE,"NtwkG";#N/A,#N/A,FALSE,"EstgG";#N/A,#N/A,FALSE,"PEngG"}</definedName>
    <definedName name="wrn.PrintCurr." hidden="1">{#N/A,#N/A,FALSE,"Sheet1";#N/A,#N/A,FALSE,"Sheet2";#N/A,#N/A,FALSE,"Sheet3"}</definedName>
    <definedName name="wrn.PrintPrev1." hidden="1">{#N/A,#N/A,FALSE,"Sheet4";#N/A,#N/A,FALSE,"Sheet5";#N/A,#N/A,FALSE,"Sheet6"}</definedName>
    <definedName name="wrn.PrintPrev2." hidden="1">{#N/A,#N/A,FALSE,"Sheet7";#N/A,#N/A,FALSE,"Sheet8";#N/A,#N/A,FALSE,"Sheet9"}</definedName>
    <definedName name="wrn.Redundant._.Equipment._.Option." hidden="1">{"pumps",#N/A,FALSE,"Option"}</definedName>
    <definedName name="wrn.report1." hidden="1">{#N/A,#N/A,FALSE,"特殊室（ＢＱ表）"}</definedName>
    <definedName name="wrn.STG._.BLDG._.ENCLOSURE." hidden="1">{"turbine",#N/A,FALSE,"Option"}</definedName>
    <definedName name="wrn.struckgi." hidden="1">{#N/A,#N/A,TRUE,"arnitower";#N/A,#N/A,TRUE,"arnigarage "}</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WHOUSE._.CT." hidden="1">{"WESTINGHOUSE",#N/A,FALSE,"Option"}</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S" hidden="1">{"'장비'!$A$3:$M$12"}</definedName>
    <definedName name="xc" hidden="1">{#N/A,#N/A,FALSE,"SumD";#N/A,#N/A,FALSE,"ElecD";#N/A,#N/A,FALSE,"MechD";#N/A,#N/A,FALSE,"GeotD";#N/A,#N/A,FALSE,"PrcsD";#N/A,#N/A,FALSE,"TunnD";#N/A,#N/A,FALSE,"CivlD";#N/A,#N/A,FALSE,"NtwkD";#N/A,#N/A,FALSE,"EstgD";#N/A,#N/A,FALSE,"PEngD"}</definedName>
    <definedName name="xx" hidden="1">{#N/A,#N/A,FALSE,"SumD";#N/A,#N/A,FALSE,"ElecD";#N/A,#N/A,FALSE,"MechD";#N/A,#N/A,FALSE,"GeotD";#N/A,#N/A,FALSE,"PrcsD";#N/A,#N/A,FALSE,"TunnD";#N/A,#N/A,FALSE,"CivlD";#N/A,#N/A,FALSE,"NtwkD";#N/A,#N/A,FALSE,"EstgD";#N/A,#N/A,FALSE,"PEngD"}</definedName>
    <definedName name="yddfjfj">#REF!</definedName>
    <definedName name="ydru">#REF!</definedName>
    <definedName name="yrdtytyt" hidden="1">{#N/A,#N/A,FALSE,"CCTV"}</definedName>
    <definedName name="yu">#REF!</definedName>
    <definedName name="yui">#REF!</definedName>
    <definedName name="yuiko">#REF!</definedName>
    <definedName name="yy" hidden="1">{"'장비'!$A$3:$M$12"}</definedName>
    <definedName name="zeqq" hidden="1">{"'장비'!$A$3:$M$12"}</definedName>
    <definedName name="zfgxdgd">#REF!</definedName>
    <definedName name="zse" hidden="1">{#N/A,#N/A,FALSE,"SumG";#N/A,#N/A,FALSE,"ElecG";#N/A,#N/A,FALSE,"MechG";#N/A,#N/A,FALSE,"GeotG";#N/A,#N/A,FALSE,"PrcsG";#N/A,#N/A,FALSE,"TunnG";#N/A,#N/A,FALSE,"CivlG";#N/A,#N/A,FALSE,"NtwkG";#N/A,#N/A,FALSE,"EstgG";#N/A,#N/A,FALSE,"PEngG"}</definedName>
    <definedName name="zz" hidden="1">{#N/A,#N/A,FALSE,"SumD";#N/A,#N/A,FALSE,"ElecD";#N/A,#N/A,FALSE,"MechD";#N/A,#N/A,FALSE,"GeotD";#N/A,#N/A,FALSE,"PrcsD";#N/A,#N/A,FALSE,"TunnD";#N/A,#N/A,FALSE,"CivlD";#N/A,#N/A,FALSE,"NtwkD";#N/A,#N/A,FALSE,"EstgD";#N/A,#N/A,FALSE,"PEngD"}</definedName>
    <definedName name="ㄱㄷㄱㄷㄱㄱㅎㄺㄷ" hidden="1">{"'장비'!$A$3:$M$12"}</definedName>
    <definedName name="견적조건" hidden="1">#REF!</definedName>
    <definedName name="견적품의서" hidden="1">{"'장비'!$A$3:$M$12"}</definedName>
    <definedName name="ㄴㅁㄹㅈㄹ" hidden="1">#REF!</definedName>
    <definedName name="ㄴㅇㄹ" hidden="1">{#N/A,#N/A,FALSE,"CCTV"}</definedName>
    <definedName name="ㄷㄳ" hidden="1">{"'장비'!$A$3:$M$12"}</definedName>
    <definedName name="ㄷㄷㄷㄷ" hidden="1">{"'장비'!$A$3:$M$12"}</definedName>
    <definedName name="ㄷㅈㅂㄷ" hidden="1">{"'장비'!$A$3:$M$12"}</definedName>
    <definedName name="ㄷㅎㄹㅇ" hidden="1">#REF!</definedName>
    <definedName name="동영" hidden="1">{#N/A,#N/A,FALSE,"CCTV"}</definedName>
    <definedName name="ㄹㄹ" hidden="1">{"'장비'!$A$3:$M$12"}</definedName>
    <definedName name="뭉" hidden="1">{"'장비'!$A$3:$M$12"}</definedName>
    <definedName name="ㅂㅈㄱㅂㅈㄷㄱ" hidden="1">{"'장비'!$A$3:$M$12"}</definedName>
    <definedName name="ㅂㅈㄷ" hidden="1">{"'장비'!$A$3:$M$12"}</definedName>
    <definedName name="ㅂㅈㄷㄷㅂㅈㅈㅂ" hidden="1">{"'장비'!$A$3:$M$12"}</definedName>
    <definedName name="ㅂㅈㄷㅂㅈ" hidden="1">{"'장비'!$A$3:$M$12"}</definedName>
    <definedName name="ㅂㅈㄷㅂㅈㅈㅂㄷ" hidden="1">{"'장비'!$A$3:$M$12"}</definedName>
    <definedName name="ㅂㅈㄷㅈㅂㄷ" hidden="1">{"'장비'!$A$3:$M$12"}</definedName>
    <definedName name="부대공사" hidden="1">#REF!</definedName>
    <definedName name="ㅅㄱㄱㄷ" hidden="1">{"'장비'!$A$3:$M$12"}</definedName>
    <definedName name="ㅅㅅㅅㅅㅅ" hidden="1">{"'장비'!$A$3:$M$12"}</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쇼ㅗㅎ로" hidden="1">{"'장비'!$A$3:$M$12"}</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전기" hidden="1">{"'장비'!$A$3:$M$12"}</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찰샇기" hidden="1">#REF!</definedName>
    <definedName name="토건" hidden="1">{"'장비'!$A$3:$M$12"}</definedName>
    <definedName name="토건공사비대비r" hidden="1">{"'장비'!$A$3:$M$12"}</definedName>
    <definedName name="토건업체" hidden="1">{"'장비'!$A$3:$M$12"}</definedName>
    <definedName name="토건집계표r" hidden="1">{"'장비'!$A$3:$M$12"}</definedName>
    <definedName name="투찰예정가50" hidden="1">{"'장비'!$A$3:$M$12"}</definedName>
    <definedName name="투찰예정본부장" hidden="1">{"'장비'!$A$3:$M$12"}</definedName>
    <definedName name="ㅎㅎㅎㅎ" hidden="1">{"'장비'!$A$3:$M$12"}</definedName>
    <definedName name="ㅗ홓ㅎ로" hidden="1">{"'장비'!$A$3:$M$12"}</definedName>
    <definedName name="ㅗㅗㅗㅗㅗ" hidden="1">{"'장비'!$A$3:$M$12"}</definedName>
    <definedName name="ㅛ" hidden="1">{"'장비'!$A$3:$M$12"}</definedName>
    <definedName name="ㅛㅛㅛ" hidden="1">{"'장비'!$A$3:$M$12"}</definedName>
    <definedName name="ㅠ뮤ㅐ"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T51" i="7" l="1"/>
  <c r="BS51" i="7"/>
  <c r="BR51" i="7"/>
  <c r="BT50" i="7"/>
  <c r="BS50" i="7"/>
  <c r="BR50" i="7"/>
  <c r="BT49" i="7"/>
  <c r="BS49" i="7"/>
  <c r="BR49" i="7"/>
  <c r="BT48" i="7"/>
  <c r="BS48" i="7"/>
  <c r="BR48" i="7"/>
  <c r="BT47" i="7"/>
  <c r="BS47" i="7"/>
  <c r="BR47" i="7"/>
  <c r="BT46" i="7"/>
  <c r="BS46" i="7"/>
  <c r="BR46" i="7"/>
  <c r="BT45" i="7"/>
  <c r="BS45" i="7"/>
  <c r="BR45" i="7"/>
  <c r="BT44" i="7"/>
  <c r="BS44" i="7"/>
  <c r="BR44" i="7"/>
  <c r="BT43" i="7"/>
  <c r="BS43" i="7"/>
  <c r="BR43" i="7"/>
  <c r="BT42" i="7"/>
  <c r="BS42" i="7"/>
  <c r="BR42" i="7"/>
  <c r="BT41" i="7"/>
  <c r="BS41" i="7"/>
  <c r="BR41" i="7"/>
  <c r="BT40" i="7"/>
  <c r="BS40" i="7"/>
  <c r="BR40" i="7"/>
  <c r="BT39" i="7"/>
  <c r="BS39" i="7"/>
  <c r="BR39" i="7"/>
  <c r="BT38" i="7"/>
  <c r="BS38" i="7"/>
  <c r="BR38" i="7"/>
  <c r="C38" i="7" l="1"/>
  <c r="C51" i="7"/>
  <c r="C50" i="7"/>
  <c r="C49" i="7"/>
  <c r="C48" i="7"/>
  <c r="C47" i="7"/>
  <c r="C46" i="7"/>
  <c r="C45" i="7"/>
  <c r="C44" i="7"/>
  <c r="C43" i="7"/>
  <c r="C42" i="7"/>
  <c r="C41" i="7"/>
  <c r="C40" i="7"/>
  <c r="C39"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G55" i="8"/>
  <c r="G54" i="8"/>
  <c r="G53" i="8"/>
  <c r="G52" i="8"/>
  <c r="G51" i="8"/>
  <c r="G50" i="8"/>
  <c r="G49" i="8"/>
  <c r="G48" i="8"/>
  <c r="G47" i="8"/>
  <c r="G46" i="8"/>
  <c r="G45" i="8"/>
  <c r="G44" i="8"/>
  <c r="G43" i="8"/>
  <c r="G42" i="8"/>
  <c r="G41" i="8"/>
  <c r="G40" i="8"/>
  <c r="G39" i="8"/>
  <c r="G38" i="8"/>
  <c r="G37" i="8"/>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G7" i="8"/>
  <c r="G6" i="8"/>
  <c r="G5" i="8"/>
  <c r="G4" i="8"/>
  <c r="C50" i="25" l="1"/>
  <c r="C50" i="24"/>
  <c r="L100" i="23" l="1"/>
  <c r="L99" i="23"/>
  <c r="I100" i="23"/>
  <c r="I99" i="23"/>
  <c r="J100" i="23"/>
  <c r="J99" i="23"/>
  <c r="E51" i="7" l="1"/>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F75" i="8"/>
  <c r="F82" i="8"/>
  <c r="F81" i="8"/>
  <c r="F80" i="8"/>
  <c r="F79" i="8"/>
  <c r="F78" i="8"/>
  <c r="F77" i="8"/>
  <c r="F76" i="8"/>
  <c r="F83" i="8"/>
  <c r="F84" i="8"/>
  <c r="F61" i="8"/>
  <c r="F68" i="8"/>
  <c r="F67" i="8"/>
  <c r="F66" i="8"/>
  <c r="F65" i="8"/>
  <c r="F64" i="8"/>
  <c r="F63" i="8"/>
  <c r="F62" i="8"/>
  <c r="F69" i="8"/>
  <c r="F70" i="8"/>
  <c r="H305" i="23"/>
  <c r="H252" i="23"/>
  <c r="H251" i="23" l="1"/>
  <c r="H290" i="23" l="1"/>
  <c r="H25" i="10" l="1"/>
  <c r="J25" i="10" s="1"/>
  <c r="H24" i="10"/>
  <c r="J24" i="10" s="1"/>
  <c r="H23" i="10"/>
  <c r="J23" i="10" s="1"/>
  <c r="H22" i="10"/>
  <c r="J22" i="10" s="1"/>
  <c r="H21" i="10"/>
  <c r="J21" i="10" s="1"/>
  <c r="H20" i="10"/>
  <c r="I20" i="10" s="1"/>
  <c r="H19" i="10"/>
  <c r="I19" i="10" s="1"/>
  <c r="H18" i="10"/>
  <c r="J18" i="10" s="1"/>
  <c r="H17" i="10"/>
  <c r="J17" i="10" s="1"/>
  <c r="H16" i="10"/>
  <c r="J16" i="10" s="1"/>
  <c r="H15" i="10"/>
  <c r="J15" i="10" s="1"/>
  <c r="H14" i="10"/>
  <c r="I14" i="10" s="1"/>
  <c r="H13" i="10"/>
  <c r="J13" i="10" s="1"/>
  <c r="H12" i="10"/>
  <c r="I12" i="10" s="1"/>
  <c r="H11" i="10"/>
  <c r="I11" i="10" s="1"/>
  <c r="H10" i="10"/>
  <c r="J10" i="10" s="1"/>
  <c r="H9" i="10"/>
  <c r="J9" i="10" s="1"/>
  <c r="H8" i="10"/>
  <c r="J8" i="10" s="1"/>
  <c r="H7" i="10"/>
  <c r="J7" i="10" s="1"/>
  <c r="H6" i="10"/>
  <c r="I6" i="10" s="1"/>
  <c r="H5" i="10"/>
  <c r="J5" i="10" s="1"/>
  <c r="D25" i="10"/>
  <c r="E25" i="10" s="1"/>
  <c r="C25" i="10"/>
  <c r="D24" i="10"/>
  <c r="E24" i="10" s="1"/>
  <c r="C24" i="10"/>
  <c r="D23" i="10"/>
  <c r="E23" i="10" s="1"/>
  <c r="C23" i="10"/>
  <c r="D22" i="10"/>
  <c r="B22" i="10" s="1"/>
  <c r="C22" i="10"/>
  <c r="D21" i="10"/>
  <c r="B21" i="10" s="1"/>
  <c r="C21" i="10"/>
  <c r="D20" i="10"/>
  <c r="E20" i="10" s="1"/>
  <c r="C20" i="10"/>
  <c r="D19" i="10"/>
  <c r="A19" i="10" s="1"/>
  <c r="C19" i="10"/>
  <c r="D18" i="10"/>
  <c r="E18" i="10" s="1"/>
  <c r="C18" i="10"/>
  <c r="D17" i="10"/>
  <c r="E17" i="10" s="1"/>
  <c r="C17" i="10"/>
  <c r="D16" i="10"/>
  <c r="B16" i="10" s="1"/>
  <c r="C16" i="10"/>
  <c r="D15" i="10"/>
  <c r="E15" i="10" s="1"/>
  <c r="C15" i="10"/>
  <c r="D14" i="10"/>
  <c r="B14" i="10" s="1"/>
  <c r="C14" i="10"/>
  <c r="D13" i="10"/>
  <c r="A13" i="10" s="1"/>
  <c r="C13" i="10"/>
  <c r="D12" i="10"/>
  <c r="E12" i="10" s="1"/>
  <c r="C12" i="10"/>
  <c r="D11" i="10"/>
  <c r="E11" i="10" s="1"/>
  <c r="C11" i="10"/>
  <c r="D10" i="10"/>
  <c r="B10" i="10" s="1"/>
  <c r="C10" i="10"/>
  <c r="D9" i="10"/>
  <c r="E9" i="10" s="1"/>
  <c r="C9" i="10"/>
  <c r="D8" i="10"/>
  <c r="B8" i="10" s="1"/>
  <c r="C8" i="10"/>
  <c r="D7" i="10"/>
  <c r="E7" i="10" s="1"/>
  <c r="C7" i="10"/>
  <c r="D6" i="10"/>
  <c r="B6" i="10" s="1"/>
  <c r="C6" i="10"/>
  <c r="D5" i="10"/>
  <c r="A5" i="10" s="1"/>
  <c r="C5" i="10"/>
  <c r="B18" i="10" l="1"/>
  <c r="J11" i="10"/>
  <c r="L11" i="10" s="1"/>
  <c r="A17" i="10"/>
  <c r="A21" i="10"/>
  <c r="A14" i="10"/>
  <c r="A24" i="10"/>
  <c r="A7" i="10"/>
  <c r="A11" i="10"/>
  <c r="E13" i="10"/>
  <c r="B19" i="10"/>
  <c r="B24" i="10"/>
  <c r="A12" i="10"/>
  <c r="B17" i="10"/>
  <c r="A22" i="10"/>
  <c r="I15" i="10"/>
  <c r="L15" i="10" s="1"/>
  <c r="B12" i="10"/>
  <c r="A20" i="10"/>
  <c r="A15" i="10"/>
  <c r="B20" i="10"/>
  <c r="I21" i="10"/>
  <c r="L21" i="10" s="1"/>
  <c r="E21" i="10"/>
  <c r="I13" i="10"/>
  <c r="L13" i="10" s="1"/>
  <c r="I22" i="10"/>
  <c r="L22" i="10" s="1"/>
  <c r="J14" i="10"/>
  <c r="L14" i="10" s="1"/>
  <c r="J19" i="10"/>
  <c r="L19" i="10" s="1"/>
  <c r="I23" i="10"/>
  <c r="L23" i="10" s="1"/>
  <c r="E19" i="10"/>
  <c r="B11" i="10"/>
  <c r="B5" i="10"/>
  <c r="E5" i="10"/>
  <c r="A9" i="10"/>
  <c r="I7" i="10"/>
  <c r="L7" i="10" s="1"/>
  <c r="J6" i="10"/>
  <c r="A6" i="10"/>
  <c r="E6" i="10"/>
  <c r="I10" i="10"/>
  <c r="I18" i="10"/>
  <c r="L18" i="10" s="1"/>
  <c r="I5" i="10"/>
  <c r="L5" i="10" s="1"/>
  <c r="I9" i="10"/>
  <c r="L9" i="10" s="1"/>
  <c r="J12" i="10"/>
  <c r="L12" i="10" s="1"/>
  <c r="J20" i="10"/>
  <c r="L20" i="10" s="1"/>
  <c r="I8" i="10"/>
  <c r="I16" i="10"/>
  <c r="L16" i="10" s="1"/>
  <c r="I24" i="10"/>
  <c r="L24" i="10" s="1"/>
  <c r="I17" i="10"/>
  <c r="L17" i="10" s="1"/>
  <c r="I25" i="10"/>
  <c r="L25" i="10" s="1"/>
  <c r="A10" i="10"/>
  <c r="B13" i="10"/>
  <c r="E14" i="10"/>
  <c r="A18" i="10"/>
  <c r="E22" i="10"/>
  <c r="A23" i="10"/>
  <c r="B7" i="10"/>
  <c r="E8" i="10"/>
  <c r="B15" i="10"/>
  <c r="E16" i="10"/>
  <c r="B23" i="10"/>
  <c r="A25" i="10"/>
  <c r="B9" i="10"/>
  <c r="E10" i="10"/>
  <c r="B25" i="10"/>
  <c r="A16" i="10"/>
  <c r="A8" i="10"/>
  <c r="L10" i="10" l="1"/>
  <c r="L8" i="10"/>
  <c r="L6" i="10"/>
  <c r="BD25" i="10"/>
  <c r="BD24" i="10"/>
  <c r="BD23" i="10"/>
  <c r="BD22" i="10"/>
  <c r="BD21" i="10"/>
  <c r="BD20" i="10"/>
  <c r="BD19" i="10"/>
  <c r="BD18" i="10"/>
  <c r="BD17" i="10"/>
  <c r="BD16" i="10"/>
  <c r="BD15" i="10"/>
  <c r="BD14" i="10"/>
  <c r="BD13" i="10"/>
  <c r="BD12" i="10"/>
  <c r="BD11" i="10"/>
  <c r="BD10" i="10"/>
  <c r="BD9" i="10"/>
  <c r="BD8" i="10"/>
  <c r="BD7" i="10"/>
  <c r="BD6" i="10"/>
  <c r="BD5" i="10"/>
  <c r="BD4" i="10"/>
  <c r="BL4" i="7" l="1"/>
  <c r="J84" i="23"/>
  <c r="AZ51" i="7"/>
  <c r="AZ50" i="7"/>
  <c r="AZ49" i="7"/>
  <c r="AZ48" i="7"/>
  <c r="AZ47" i="7"/>
  <c r="AZ46" i="7"/>
  <c r="AZ45" i="7"/>
  <c r="AZ44" i="7"/>
  <c r="AZ43" i="7"/>
  <c r="AZ42" i="7"/>
  <c r="AZ41" i="7"/>
  <c r="AZ40" i="7"/>
  <c r="AZ39" i="7"/>
  <c r="AZ38" i="7"/>
  <c r="AZ37" i="7"/>
  <c r="AZ36" i="7"/>
  <c r="AZ35" i="7"/>
  <c r="AZ34" i="7"/>
  <c r="AZ33" i="7"/>
  <c r="AZ32" i="7"/>
  <c r="AZ31" i="7"/>
  <c r="AZ30" i="7"/>
  <c r="AZ29" i="7"/>
  <c r="AZ28" i="7"/>
  <c r="AZ27" i="7"/>
  <c r="AZ26" i="7"/>
  <c r="AZ25" i="7"/>
  <c r="AL51" i="7"/>
  <c r="AL50" i="7"/>
  <c r="AL49" i="7"/>
  <c r="AL48" i="7"/>
  <c r="AL47" i="7"/>
  <c r="AL46" i="7"/>
  <c r="AL45" i="7"/>
  <c r="AL44" i="7"/>
  <c r="AL43" i="7"/>
  <c r="AL42" i="7"/>
  <c r="AL41" i="7"/>
  <c r="AL40" i="7"/>
  <c r="AL39" i="7"/>
  <c r="AL38" i="7"/>
  <c r="AL37" i="7"/>
  <c r="AL36" i="7"/>
  <c r="AL35" i="7"/>
  <c r="AL34" i="7"/>
  <c r="AL33" i="7"/>
  <c r="AL32" i="7"/>
  <c r="AL31" i="7"/>
  <c r="AL30" i="7"/>
  <c r="AL29" i="7"/>
  <c r="AL28" i="7"/>
  <c r="AL27" i="7"/>
  <c r="AL26" i="7"/>
  <c r="L84" i="23" l="1"/>
  <c r="I84" i="23"/>
  <c r="D4" i="10" l="1"/>
  <c r="BL51" i="7" l="1"/>
  <c r="BO51" i="7" s="1"/>
  <c r="BL50" i="7"/>
  <c r="BO50" i="7" s="1"/>
  <c r="BL49" i="7"/>
  <c r="BO49" i="7" s="1"/>
  <c r="BL48" i="7"/>
  <c r="BO48" i="7" s="1"/>
  <c r="BL47" i="7"/>
  <c r="BO47" i="7" s="1"/>
  <c r="BL46" i="7"/>
  <c r="BO46" i="7" s="1"/>
  <c r="BL45" i="7"/>
  <c r="BO45" i="7" s="1"/>
  <c r="BL44" i="7"/>
  <c r="BO44" i="7" s="1"/>
  <c r="BL43" i="7"/>
  <c r="BO43" i="7" s="1"/>
  <c r="BL42" i="7"/>
  <c r="BO42" i="7" s="1"/>
  <c r="BL41" i="7"/>
  <c r="BO41" i="7" s="1"/>
  <c r="BL40" i="7"/>
  <c r="BO40" i="7" s="1"/>
  <c r="BL39" i="7"/>
  <c r="BO39" i="7" s="1"/>
  <c r="BL38" i="7"/>
  <c r="BO38" i="7" s="1"/>
  <c r="BL37" i="7"/>
  <c r="BO37" i="7" s="1"/>
  <c r="BL36" i="7"/>
  <c r="BO36" i="7" s="1"/>
  <c r="BL35" i="7"/>
  <c r="BO35" i="7" s="1"/>
  <c r="BL34" i="7"/>
  <c r="BO34" i="7" s="1"/>
  <c r="BL33" i="7"/>
  <c r="BO33" i="7" s="1"/>
  <c r="BL32" i="7"/>
  <c r="BO32" i="7" s="1"/>
  <c r="BL31" i="7"/>
  <c r="BO31" i="7" s="1"/>
  <c r="BL30" i="7"/>
  <c r="BO30" i="7" s="1"/>
  <c r="BL29" i="7"/>
  <c r="BO29" i="7" s="1"/>
  <c r="BL28" i="7"/>
  <c r="BO28" i="7" s="1"/>
  <c r="BL27" i="7"/>
  <c r="BO27" i="7" s="1"/>
  <c r="BL26" i="7"/>
  <c r="BO26" i="7" s="1"/>
  <c r="BL25" i="7"/>
  <c r="BO25" i="7" s="1"/>
  <c r="BL24" i="7"/>
  <c r="BO24" i="7" s="1"/>
  <c r="BL23" i="7"/>
  <c r="BO23" i="7" s="1"/>
  <c r="BL22" i="7"/>
  <c r="BO22" i="7" s="1"/>
  <c r="BL21" i="7"/>
  <c r="BO21" i="7" s="1"/>
  <c r="BL20" i="7"/>
  <c r="BO20" i="7" s="1"/>
  <c r="BL19" i="7"/>
  <c r="BO19" i="7" s="1"/>
  <c r="BL18" i="7"/>
  <c r="BO18" i="7" s="1"/>
  <c r="BL17" i="7"/>
  <c r="BO17" i="7" s="1"/>
  <c r="BL16" i="7"/>
  <c r="BO16" i="7" s="1"/>
  <c r="BL15" i="7"/>
  <c r="BO15" i="7" s="1"/>
  <c r="BL14" i="7"/>
  <c r="BO14" i="7" s="1"/>
  <c r="BL13" i="7"/>
  <c r="BO13" i="7" s="1"/>
  <c r="BL12" i="7"/>
  <c r="BO12" i="7" s="1"/>
  <c r="BL11" i="7"/>
  <c r="BO11" i="7" s="1"/>
  <c r="BL10" i="7"/>
  <c r="BO10" i="7" s="1"/>
  <c r="BL9" i="7"/>
  <c r="BO9" i="7" s="1"/>
  <c r="BL8" i="7"/>
  <c r="BO8" i="7" s="1"/>
  <c r="BL7" i="7"/>
  <c r="BO7" i="7" s="1"/>
  <c r="BL6" i="7"/>
  <c r="BO6" i="7" s="1"/>
  <c r="BL5" i="7"/>
  <c r="BO5" i="7" s="1"/>
  <c r="D84" i="8" l="1"/>
  <c r="D83" i="8"/>
  <c r="D82" i="8"/>
  <c r="D81" i="8"/>
  <c r="D80" i="8"/>
  <c r="D79" i="8"/>
  <c r="D78" i="8"/>
  <c r="D77" i="8"/>
  <c r="D76" i="8"/>
  <c r="D70" i="8"/>
  <c r="D69" i="8"/>
  <c r="D68" i="8"/>
  <c r="D67" i="8"/>
  <c r="D66" i="8"/>
  <c r="D65" i="8"/>
  <c r="D64" i="8"/>
  <c r="D63" i="8"/>
  <c r="D62" i="8"/>
  <c r="BM25" i="10"/>
  <c r="BI25" i="10"/>
  <c r="BI24" i="10"/>
  <c r="BM23" i="10"/>
  <c r="BI23" i="10"/>
  <c r="BM22" i="10"/>
  <c r="BI22" i="10"/>
  <c r="BM21" i="10"/>
  <c r="BI21" i="10"/>
  <c r="BI20" i="10"/>
  <c r="BM19" i="10"/>
  <c r="BI19" i="10"/>
  <c r="BM18" i="10"/>
  <c r="BI18" i="10"/>
  <c r="BM17" i="10"/>
  <c r="BI17" i="10"/>
  <c r="BI16" i="10"/>
  <c r="BM15" i="10"/>
  <c r="BI15" i="10"/>
  <c r="BM14" i="10"/>
  <c r="BI14" i="10"/>
  <c r="BM13" i="10"/>
  <c r="BI13" i="10"/>
  <c r="BI12" i="10"/>
  <c r="BM11" i="10"/>
  <c r="BI11" i="10"/>
  <c r="BM10" i="10"/>
  <c r="BI10" i="10"/>
  <c r="BM9" i="10"/>
  <c r="BI9" i="10"/>
  <c r="BI8" i="10"/>
  <c r="BM7" i="10"/>
  <c r="BI7" i="10"/>
  <c r="BM6" i="10"/>
  <c r="BI6" i="10"/>
  <c r="BM5" i="10"/>
  <c r="BI5" i="10"/>
  <c r="H331" i="23"/>
  <c r="H330" i="23"/>
  <c r="H329" i="23"/>
  <c r="H328" i="23"/>
  <c r="H327" i="23"/>
  <c r="H326" i="23"/>
  <c r="H325" i="23"/>
  <c r="H324" i="23"/>
  <c r="H323" i="23"/>
  <c r="H322" i="23"/>
  <c r="H321" i="23"/>
  <c r="H320" i="23"/>
  <c r="H319" i="23"/>
  <c r="H318" i="23"/>
  <c r="H317" i="23"/>
  <c r="H316" i="23"/>
  <c r="H315" i="23"/>
  <c r="H314" i="23"/>
  <c r="H313" i="23"/>
  <c r="H312" i="23"/>
  <c r="H311" i="23"/>
  <c r="H310" i="23"/>
  <c r="H309" i="23"/>
  <c r="H308" i="23"/>
  <c r="H307" i="23"/>
  <c r="H306" i="23"/>
  <c r="H304" i="23"/>
  <c r="H303" i="23"/>
  <c r="H302" i="23"/>
  <c r="H301" i="23"/>
  <c r="H300" i="23"/>
  <c r="H299" i="23"/>
  <c r="H298" i="23"/>
  <c r="H297" i="23"/>
  <c r="H296" i="23"/>
  <c r="H295" i="23"/>
  <c r="H294" i="23"/>
  <c r="H293" i="23"/>
  <c r="H292" i="23"/>
  <c r="H291" i="23"/>
  <c r="H289" i="23"/>
  <c r="H288" i="23"/>
  <c r="H287" i="23"/>
  <c r="H286" i="23"/>
  <c r="H285" i="23"/>
  <c r="H284" i="23"/>
  <c r="H283" i="23"/>
  <c r="H282" i="23"/>
  <c r="H281" i="23"/>
  <c r="H280" i="23"/>
  <c r="H279" i="23"/>
  <c r="H278" i="23"/>
  <c r="H277" i="23"/>
  <c r="H276" i="23"/>
  <c r="H275" i="23"/>
  <c r="H274" i="23"/>
  <c r="H273" i="23"/>
  <c r="H272" i="23"/>
  <c r="H271" i="23"/>
  <c r="H270" i="23"/>
  <c r="H269" i="23"/>
  <c r="H268" i="23"/>
  <c r="H267" i="23"/>
  <c r="H266" i="23"/>
  <c r="H265" i="23"/>
  <c r="H264" i="23"/>
  <c r="H263" i="23"/>
  <c r="H262" i="23"/>
  <c r="H261" i="23"/>
  <c r="H260" i="23"/>
  <c r="H259" i="23"/>
  <c r="H258" i="23"/>
  <c r="H257" i="23"/>
  <c r="H256" i="23"/>
  <c r="H255" i="23"/>
  <c r="H254" i="23"/>
  <c r="H253" i="23"/>
  <c r="H250" i="23"/>
  <c r="H249" i="23"/>
  <c r="H248" i="23"/>
  <c r="H247" i="23"/>
  <c r="H246" i="23"/>
  <c r="H245" i="23"/>
  <c r="H244" i="23"/>
  <c r="H243" i="23"/>
  <c r="H242" i="23"/>
  <c r="H241" i="23"/>
  <c r="H240" i="23"/>
  <c r="H239" i="23"/>
  <c r="H238" i="23"/>
  <c r="H237" i="23"/>
  <c r="H236" i="23"/>
  <c r="H235" i="23"/>
  <c r="H234" i="23"/>
  <c r="H233" i="23"/>
  <c r="H227" i="23"/>
  <c r="H226" i="23"/>
  <c r="H225" i="23"/>
  <c r="H224" i="23"/>
  <c r="H223" i="23"/>
  <c r="H222" i="23"/>
  <c r="H221" i="23"/>
  <c r="H220" i="23"/>
  <c r="H219" i="23"/>
  <c r="H218" i="23"/>
  <c r="H217" i="23"/>
  <c r="H216" i="23"/>
  <c r="H215" i="23"/>
  <c r="H214" i="23"/>
  <c r="H213" i="23"/>
  <c r="H212" i="23"/>
  <c r="H211" i="23"/>
  <c r="H210" i="23"/>
  <c r="H209" i="23"/>
  <c r="H208" i="23"/>
  <c r="H207" i="23"/>
  <c r="H206" i="23"/>
  <c r="H205" i="23"/>
  <c r="H204" i="23"/>
  <c r="H203" i="23"/>
  <c r="H202" i="23"/>
  <c r="H201" i="23"/>
  <c r="H200" i="23"/>
  <c r="H199" i="23"/>
  <c r="H198" i="23"/>
  <c r="H197" i="23"/>
  <c r="H196" i="23"/>
  <c r="H195" i="23"/>
  <c r="H194" i="23"/>
  <c r="H193" i="23"/>
  <c r="H192" i="23"/>
  <c r="H191" i="23"/>
  <c r="H190" i="23"/>
  <c r="H189" i="23"/>
  <c r="H188" i="23"/>
  <c r="H187" i="23"/>
  <c r="H186" i="23"/>
  <c r="H185" i="23"/>
  <c r="H184" i="23"/>
  <c r="H183" i="23"/>
  <c r="H182" i="23"/>
  <c r="H181" i="23"/>
  <c r="H180" i="23"/>
  <c r="H179" i="23"/>
  <c r="H178" i="23"/>
  <c r="H177" i="23"/>
  <c r="H176" i="23"/>
  <c r="H175" i="23"/>
  <c r="H174" i="23"/>
  <c r="H173" i="23"/>
  <c r="H172" i="23"/>
  <c r="H171" i="23"/>
  <c r="H170" i="23"/>
  <c r="H169" i="23"/>
  <c r="H168" i="23"/>
  <c r="H167" i="23"/>
  <c r="H166" i="23"/>
  <c r="H165" i="23"/>
  <c r="H164" i="23"/>
  <c r="H163" i="23"/>
  <c r="H162" i="23"/>
  <c r="H161" i="23"/>
  <c r="H160" i="23"/>
  <c r="H159" i="23"/>
  <c r="H158" i="23"/>
  <c r="H157" i="23"/>
  <c r="H156" i="23"/>
  <c r="H155" i="23"/>
  <c r="H154" i="23"/>
  <c r="H153" i="23"/>
  <c r="H152" i="23"/>
  <c r="L146" i="23"/>
  <c r="J146" i="23"/>
  <c r="I146" i="23"/>
  <c r="L145" i="23"/>
  <c r="J145" i="23"/>
  <c r="I145" i="23"/>
  <c r="L144" i="23"/>
  <c r="J144" i="23"/>
  <c r="I144" i="23"/>
  <c r="L143" i="23"/>
  <c r="J143" i="23"/>
  <c r="I143" i="23"/>
  <c r="L142" i="23"/>
  <c r="J142" i="23"/>
  <c r="I142" i="23"/>
  <c r="L141" i="23"/>
  <c r="J141" i="23"/>
  <c r="I141" i="23"/>
  <c r="L140" i="23"/>
  <c r="J140" i="23"/>
  <c r="I140" i="23"/>
  <c r="L139" i="23"/>
  <c r="J139" i="23"/>
  <c r="I139" i="23"/>
  <c r="L138" i="23"/>
  <c r="J138" i="23"/>
  <c r="I138" i="23"/>
  <c r="L137" i="23"/>
  <c r="J137" i="23"/>
  <c r="I137" i="23"/>
  <c r="L136" i="23"/>
  <c r="J136" i="23"/>
  <c r="I136" i="23"/>
  <c r="L135" i="23"/>
  <c r="J135" i="23"/>
  <c r="I135" i="23"/>
  <c r="L134" i="23"/>
  <c r="J134" i="23"/>
  <c r="I134" i="23"/>
  <c r="L133" i="23"/>
  <c r="J133" i="23"/>
  <c r="I133" i="23"/>
  <c r="L132" i="23"/>
  <c r="J132" i="23"/>
  <c r="I132" i="23"/>
  <c r="L131" i="23"/>
  <c r="J131" i="23"/>
  <c r="I131" i="23"/>
  <c r="L130" i="23"/>
  <c r="J130" i="23"/>
  <c r="I130" i="23"/>
  <c r="L129" i="23"/>
  <c r="J129" i="23"/>
  <c r="I129" i="23"/>
  <c r="L128" i="23"/>
  <c r="J128" i="23"/>
  <c r="I128" i="23"/>
  <c r="L127" i="23"/>
  <c r="J127" i="23"/>
  <c r="I127" i="23"/>
  <c r="L126" i="23"/>
  <c r="J126" i="23"/>
  <c r="I126" i="23"/>
  <c r="L125" i="23"/>
  <c r="J125" i="23"/>
  <c r="I125" i="23"/>
  <c r="L124" i="23"/>
  <c r="J124" i="23"/>
  <c r="I124" i="23"/>
  <c r="L123" i="23"/>
  <c r="J123" i="23"/>
  <c r="I123" i="23"/>
  <c r="L122" i="23"/>
  <c r="J122" i="23"/>
  <c r="I122" i="23"/>
  <c r="L121" i="23"/>
  <c r="J121" i="23"/>
  <c r="I121" i="23"/>
  <c r="L120" i="23"/>
  <c r="J120" i="23"/>
  <c r="I120" i="23"/>
  <c r="L119" i="23"/>
  <c r="J119" i="23"/>
  <c r="I119" i="23"/>
  <c r="L118" i="23"/>
  <c r="J118" i="23"/>
  <c r="I118" i="23"/>
  <c r="L117" i="23"/>
  <c r="J117" i="23"/>
  <c r="I117" i="23"/>
  <c r="L116" i="23"/>
  <c r="J116" i="23"/>
  <c r="I116" i="23"/>
  <c r="L115" i="23"/>
  <c r="J115" i="23"/>
  <c r="I115" i="23"/>
  <c r="L114" i="23"/>
  <c r="J114" i="23"/>
  <c r="I114" i="23"/>
  <c r="L113" i="23"/>
  <c r="J113" i="23"/>
  <c r="I113" i="23"/>
  <c r="L112" i="23"/>
  <c r="J112" i="23"/>
  <c r="I112" i="23"/>
  <c r="L111" i="23"/>
  <c r="J111" i="23"/>
  <c r="I111" i="23"/>
  <c r="L110" i="23"/>
  <c r="J110" i="23"/>
  <c r="I110" i="23"/>
  <c r="L109" i="23"/>
  <c r="J109" i="23"/>
  <c r="I109" i="23"/>
  <c r="L108" i="23"/>
  <c r="J108" i="23"/>
  <c r="I108" i="23"/>
  <c r="L107" i="23"/>
  <c r="J107" i="23"/>
  <c r="I107" i="23"/>
  <c r="L106" i="23"/>
  <c r="J106" i="23"/>
  <c r="I106" i="23"/>
  <c r="L105" i="23"/>
  <c r="J105" i="23"/>
  <c r="I105" i="23"/>
  <c r="L104" i="23"/>
  <c r="J104" i="23"/>
  <c r="I104" i="23"/>
  <c r="L103" i="23"/>
  <c r="J103" i="23"/>
  <c r="I103" i="23"/>
  <c r="L102" i="23"/>
  <c r="J102" i="23"/>
  <c r="I102" i="23"/>
  <c r="L101" i="23"/>
  <c r="J101" i="23"/>
  <c r="I101" i="23"/>
  <c r="L98" i="23"/>
  <c r="J98" i="23"/>
  <c r="I98" i="23"/>
  <c r="L97" i="23"/>
  <c r="J97" i="23"/>
  <c r="I97" i="23"/>
  <c r="L96" i="23"/>
  <c r="J96" i="23"/>
  <c r="I96" i="23"/>
  <c r="L95" i="23"/>
  <c r="J95" i="23"/>
  <c r="I95" i="23"/>
  <c r="L94" i="23"/>
  <c r="J94" i="23"/>
  <c r="I94" i="23"/>
  <c r="L93" i="23"/>
  <c r="J93" i="23"/>
  <c r="I93" i="23"/>
  <c r="L92" i="23"/>
  <c r="J92" i="23"/>
  <c r="I92" i="23"/>
  <c r="L91" i="23"/>
  <c r="J91" i="23"/>
  <c r="I91" i="23"/>
  <c r="L90" i="23"/>
  <c r="J90" i="23"/>
  <c r="I90" i="23"/>
  <c r="L89" i="23"/>
  <c r="J89" i="23"/>
  <c r="I89" i="23"/>
  <c r="L88" i="23"/>
  <c r="J88" i="23"/>
  <c r="I88" i="23"/>
  <c r="L87" i="23"/>
  <c r="J87" i="23"/>
  <c r="I87" i="23"/>
  <c r="L86" i="23"/>
  <c r="J86" i="23"/>
  <c r="I86" i="23"/>
  <c r="L85" i="23"/>
  <c r="J85" i="23"/>
  <c r="I85" i="23"/>
  <c r="L83" i="23"/>
  <c r="J83" i="23"/>
  <c r="I83" i="23"/>
  <c r="L82" i="23"/>
  <c r="J82" i="23"/>
  <c r="I82" i="23"/>
  <c r="L81" i="23"/>
  <c r="J81" i="23"/>
  <c r="I81" i="23"/>
  <c r="L80" i="23"/>
  <c r="J80" i="23"/>
  <c r="I80" i="23"/>
  <c r="L79" i="23"/>
  <c r="J79" i="23"/>
  <c r="I79" i="23"/>
  <c r="L78" i="23"/>
  <c r="J78" i="23"/>
  <c r="I78" i="23"/>
  <c r="L77" i="23"/>
  <c r="J77" i="23"/>
  <c r="I77" i="23"/>
  <c r="L76" i="23"/>
  <c r="J76" i="23"/>
  <c r="I76" i="23"/>
  <c r="L75" i="23"/>
  <c r="J75" i="23"/>
  <c r="I75" i="23"/>
  <c r="L74" i="23"/>
  <c r="J74" i="23"/>
  <c r="I74" i="23"/>
  <c r="L73" i="23"/>
  <c r="J73" i="23"/>
  <c r="I73" i="23"/>
  <c r="L72" i="23"/>
  <c r="J72" i="23"/>
  <c r="I72" i="23"/>
  <c r="L71" i="23"/>
  <c r="J71" i="23"/>
  <c r="I71" i="23"/>
  <c r="L70" i="23"/>
  <c r="J70" i="23"/>
  <c r="I70" i="23"/>
  <c r="L69" i="23"/>
  <c r="J69" i="23"/>
  <c r="I69" i="23"/>
  <c r="L68" i="23"/>
  <c r="J68" i="23"/>
  <c r="I68" i="23"/>
  <c r="L67" i="23"/>
  <c r="J67" i="23"/>
  <c r="I67" i="23"/>
  <c r="L66" i="23"/>
  <c r="J66" i="23"/>
  <c r="I66" i="23"/>
  <c r="L65" i="23"/>
  <c r="J65" i="23"/>
  <c r="I65" i="23"/>
  <c r="L64" i="23"/>
  <c r="J64" i="23"/>
  <c r="I64" i="23"/>
  <c r="L63" i="23"/>
  <c r="J63" i="23"/>
  <c r="I63" i="23"/>
  <c r="L62" i="23"/>
  <c r="J62" i="23"/>
  <c r="I62" i="23"/>
  <c r="L61" i="23"/>
  <c r="J61" i="23"/>
  <c r="I61" i="23"/>
  <c r="L60" i="23"/>
  <c r="J60" i="23"/>
  <c r="I60" i="23"/>
  <c r="L59" i="23"/>
  <c r="J59" i="23"/>
  <c r="I59" i="23"/>
  <c r="B31" i="23"/>
  <c r="B51" i="7"/>
  <c r="B50" i="7"/>
  <c r="B49" i="7"/>
  <c r="B48" i="7"/>
  <c r="B47" i="7"/>
  <c r="B46" i="7"/>
  <c r="B45" i="7"/>
  <c r="B44" i="7"/>
  <c r="B43" i="7"/>
  <c r="B42" i="7"/>
  <c r="B41" i="7"/>
  <c r="B40" i="7"/>
  <c r="B39" i="7"/>
  <c r="B38" i="7"/>
  <c r="C4" i="10"/>
  <c r="AA25" i="10"/>
  <c r="AA24" i="10"/>
  <c r="BM24" i="10" s="1"/>
  <c r="AA23" i="10"/>
  <c r="AA22" i="10"/>
  <c r="AA21" i="10"/>
  <c r="AA20" i="10"/>
  <c r="BM20" i="10" s="1"/>
  <c r="AA19" i="10"/>
  <c r="AA18" i="10"/>
  <c r="AA17" i="10"/>
  <c r="AA16" i="10"/>
  <c r="BM16" i="10" s="1"/>
  <c r="AA15" i="10"/>
  <c r="AA14" i="10"/>
  <c r="AA13" i="10"/>
  <c r="AA12" i="10"/>
  <c r="BM12" i="10" s="1"/>
  <c r="AA11" i="10"/>
  <c r="AA10" i="10"/>
  <c r="AA9" i="10"/>
  <c r="AA8" i="10"/>
  <c r="BM8" i="10" s="1"/>
  <c r="AA7" i="10"/>
  <c r="AA6" i="10"/>
  <c r="AA5" i="10"/>
  <c r="H4" i="10"/>
  <c r="I4" i="10" s="1"/>
  <c r="D61" i="8" l="1"/>
  <c r="I55" i="8"/>
  <c r="I54" i="8"/>
  <c r="I42" i="8"/>
  <c r="I30" i="8"/>
  <c r="I18" i="8"/>
  <c r="I6" i="8"/>
  <c r="I41" i="8"/>
  <c r="I29" i="8"/>
  <c r="I17" i="8"/>
  <c r="I5" i="8"/>
  <c r="I40" i="8"/>
  <c r="I28" i="8"/>
  <c r="I16" i="8"/>
  <c r="I4" i="8"/>
  <c r="I39" i="8"/>
  <c r="I27" i="8"/>
  <c r="I15" i="8"/>
  <c r="I38" i="8"/>
  <c r="I26" i="8"/>
  <c r="I14" i="8"/>
  <c r="I37" i="8"/>
  <c r="I25" i="8"/>
  <c r="I36" i="8"/>
  <c r="I24" i="8"/>
  <c r="I35" i="8"/>
  <c r="I23" i="8"/>
  <c r="I53" i="8"/>
  <c r="I52" i="8"/>
  <c r="I51" i="8"/>
  <c r="I50" i="8"/>
  <c r="I49" i="8"/>
  <c r="I48" i="8"/>
  <c r="I47" i="8"/>
  <c r="I46" i="8"/>
  <c r="I34" i="8"/>
  <c r="I22" i="8"/>
  <c r="I10" i="8"/>
  <c r="I33" i="8"/>
  <c r="I21" i="8"/>
  <c r="I9" i="8"/>
  <c r="I32" i="8"/>
  <c r="I20" i="8"/>
  <c r="I8" i="8"/>
  <c r="I43" i="8"/>
  <c r="I31" i="8"/>
  <c r="I19" i="8"/>
  <c r="I7" i="8"/>
  <c r="I13" i="8"/>
  <c r="I12" i="8"/>
  <c r="I11" i="8"/>
  <c r="I45" i="8"/>
  <c r="I44" i="8"/>
  <c r="BK7" i="10"/>
  <c r="BL15" i="10"/>
  <c r="BL18" i="10"/>
  <c r="BL23" i="10"/>
  <c r="BL8" i="10"/>
  <c r="BK8" i="10"/>
  <c r="BL9" i="10"/>
  <c r="BK9" i="10"/>
  <c r="BL12" i="10"/>
  <c r="BK12" i="10"/>
  <c r="BK13" i="10"/>
  <c r="BL13" i="10"/>
  <c r="AO5" i="10"/>
  <c r="AO10" i="10"/>
  <c r="BC6" i="10"/>
  <c r="AO9" i="10"/>
  <c r="BC9" i="10"/>
  <c r="BC10" i="10"/>
  <c r="AO25" i="10"/>
  <c r="AO14" i="10"/>
  <c r="AO16" i="10"/>
  <c r="AO18" i="10"/>
  <c r="AO20" i="10"/>
  <c r="AO22" i="10"/>
  <c r="AO24" i="10"/>
  <c r="BC5" i="10"/>
  <c r="AO11" i="10"/>
  <c r="AO13" i="10"/>
  <c r="AO15" i="10"/>
  <c r="AO17" i="10"/>
  <c r="AO19" i="10"/>
  <c r="AO21" i="10"/>
  <c r="AO23" i="10"/>
  <c r="BC25" i="10"/>
  <c r="AO12" i="10"/>
  <c r="BC13" i="10"/>
  <c r="AO8" i="10"/>
  <c r="BC8" i="10"/>
  <c r="AO7" i="10"/>
  <c r="AO6" i="10"/>
  <c r="BC7" i="10"/>
  <c r="BC11" i="10"/>
  <c r="BC12" i="10"/>
  <c r="BC14" i="10"/>
  <c r="BC15" i="10"/>
  <c r="BC16" i="10"/>
  <c r="BC17" i="10"/>
  <c r="BC18" i="10"/>
  <c r="BC19" i="10"/>
  <c r="BC20" i="10"/>
  <c r="BC21" i="10"/>
  <c r="BC22" i="10"/>
  <c r="BC23" i="10"/>
  <c r="BC24" i="10"/>
  <c r="J4" i="10"/>
  <c r="BK18" i="10" l="1"/>
  <c r="BK15" i="10"/>
  <c r="BL10" i="10"/>
  <c r="BK10" i="10"/>
  <c r="BK23" i="10"/>
  <c r="BL24" i="10"/>
  <c r="BK24" i="10"/>
  <c r="BL16" i="10"/>
  <c r="BK16" i="10"/>
  <c r="BL7" i="10"/>
  <c r="BK21" i="10"/>
  <c r="BL21" i="10"/>
  <c r="BK25" i="10"/>
  <c r="BL25" i="10"/>
  <c r="BK11" i="10"/>
  <c r="BL11" i="10"/>
  <c r="BL6" i="10"/>
  <c r="BK6" i="10"/>
  <c r="BL5" i="10"/>
  <c r="BK5" i="10"/>
  <c r="BK17" i="10"/>
  <c r="BL17" i="10"/>
  <c r="BK19" i="10"/>
  <c r="BL19" i="10"/>
  <c r="BL20" i="10"/>
  <c r="BK20" i="10"/>
  <c r="BL22" i="10"/>
  <c r="BK22" i="10"/>
  <c r="BL14" i="10"/>
  <c r="BK14" i="10"/>
  <c r="BI4" i="10" l="1"/>
  <c r="J37" i="7" l="1"/>
  <c r="J36" i="7"/>
  <c r="J35" i="7"/>
  <c r="J34" i="7"/>
  <c r="J33" i="7"/>
  <c r="J32" i="7"/>
  <c r="J31" i="7"/>
  <c r="J30" i="7"/>
  <c r="J29" i="7"/>
  <c r="J28" i="7"/>
  <c r="J27" i="7"/>
  <c r="J26" i="7"/>
  <c r="J25" i="7"/>
  <c r="J24" i="7" l="1"/>
  <c r="J23" i="7"/>
  <c r="J22" i="7"/>
  <c r="J21" i="7"/>
  <c r="J20" i="7"/>
  <c r="J19" i="7"/>
  <c r="J18" i="7"/>
  <c r="J17" i="7"/>
  <c r="J16" i="7"/>
  <c r="J15" i="7"/>
  <c r="J14" i="7"/>
  <c r="J13" i="7"/>
  <c r="J12" i="7" l="1"/>
  <c r="J11" i="7"/>
  <c r="J10" i="7"/>
  <c r="J9" i="7"/>
  <c r="J8" i="7"/>
  <c r="J7" i="7"/>
  <c r="J6" i="7"/>
  <c r="J5" i="7"/>
  <c r="J4" i="7"/>
  <c r="I62" i="8" l="1"/>
  <c r="I61" i="8"/>
  <c r="AL25" i="7"/>
  <c r="AZ24" i="7"/>
  <c r="AL24" i="7"/>
  <c r="AZ23" i="7"/>
  <c r="AL23" i="7"/>
  <c r="AZ22" i="7"/>
  <c r="AL22" i="7"/>
  <c r="AZ21" i="7"/>
  <c r="AL21" i="7"/>
  <c r="AZ20" i="7"/>
  <c r="AL20" i="7"/>
  <c r="AZ19" i="7"/>
  <c r="AL19" i="7"/>
  <c r="AZ18" i="7"/>
  <c r="AL18" i="7"/>
  <c r="AZ17" i="7"/>
  <c r="AL17" i="7"/>
  <c r="AZ16" i="7"/>
  <c r="AL16" i="7"/>
  <c r="AZ15" i="7"/>
  <c r="AL15" i="7"/>
  <c r="AZ14" i="7"/>
  <c r="AL14" i="7"/>
  <c r="AZ13" i="7"/>
  <c r="AL13" i="7"/>
  <c r="AZ12" i="7"/>
  <c r="AL12" i="7"/>
  <c r="AZ11" i="7"/>
  <c r="AL11" i="7"/>
  <c r="AZ10" i="7"/>
  <c r="AL10" i="7"/>
  <c r="AZ9" i="7"/>
  <c r="AL9" i="7"/>
  <c r="AZ8" i="7"/>
  <c r="AL8" i="7"/>
  <c r="AZ7" i="7"/>
  <c r="AL7" i="7"/>
  <c r="AZ6" i="7"/>
  <c r="AL6" i="7"/>
  <c r="AZ5" i="7"/>
  <c r="AL5" i="7"/>
  <c r="BC4" i="10" l="1"/>
  <c r="AO4" i="10"/>
  <c r="AL4" i="7"/>
  <c r="AZ4" i="7"/>
  <c r="BO4" i="7" l="1"/>
  <c r="E4" i="10" l="1"/>
  <c r="L4" i="10" s="1"/>
  <c r="A4" i="7"/>
  <c r="E4" i="7"/>
  <c r="G51" i="7"/>
  <c r="G50" i="7"/>
  <c r="G49" i="7"/>
  <c r="G48" i="7"/>
  <c r="G47" i="7"/>
  <c r="G46" i="7"/>
  <c r="G45" i="7"/>
  <c r="G44" i="7"/>
  <c r="G43" i="7"/>
  <c r="G42" i="7"/>
  <c r="G41" i="7"/>
  <c r="G40" i="7"/>
  <c r="G39" i="7"/>
  <c r="G38"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A5" i="7"/>
  <c r="AA4" i="10" l="1"/>
  <c r="BM4" i="10" s="1"/>
  <c r="H4" i="7" l="1"/>
  <c r="BT4" i="7" s="1"/>
  <c r="BL4" i="10"/>
  <c r="BK4" i="10"/>
  <c r="I4" i="7" l="1"/>
  <c r="BR4" i="7"/>
  <c r="F18" i="7" l="1"/>
  <c r="G18" i="7" s="1"/>
  <c r="B18" i="7" s="1"/>
  <c r="I70" i="8" l="1"/>
  <c r="I68" i="8"/>
  <c r="I66" i="8"/>
  <c r="I65" i="8"/>
  <c r="I64" i="8"/>
  <c r="I63" i="8"/>
  <c r="X5" i="7" l="1"/>
  <c r="BC5" i="7" s="1"/>
  <c r="X6" i="7"/>
  <c r="BC6" i="7" s="1"/>
  <c r="X4" i="7"/>
  <c r="BC4" i="7" l="1"/>
  <c r="BA4" i="7"/>
  <c r="BA6" i="7"/>
  <c r="BA5" i="7"/>
  <c r="BD4" i="7"/>
  <c r="BD9" i="7" l="1"/>
  <c r="BD8" i="7"/>
  <c r="BD7" i="7"/>
  <c r="BD6" i="7"/>
  <c r="BD5" i="7"/>
  <c r="F4" i="7" l="1"/>
  <c r="BD51" i="7"/>
  <c r="BD50" i="7"/>
  <c r="BD49" i="7"/>
  <c r="BD48" i="7"/>
  <c r="BD47" i="7"/>
  <c r="BD46" i="7"/>
  <c r="BD45" i="7"/>
  <c r="BD44" i="7"/>
  <c r="BD43" i="7"/>
  <c r="BD42" i="7"/>
  <c r="BD41" i="7"/>
  <c r="BD40" i="7"/>
  <c r="BD39" i="7"/>
  <c r="BD38" i="7"/>
  <c r="BD37" i="7"/>
  <c r="BD36" i="7"/>
  <c r="BD35" i="7"/>
  <c r="BD34" i="7"/>
  <c r="BD33" i="7"/>
  <c r="BD32" i="7"/>
  <c r="BD31" i="7"/>
  <c r="BD30" i="7"/>
  <c r="BD29" i="7"/>
  <c r="BD28" i="7"/>
  <c r="BD27" i="7"/>
  <c r="BD26" i="7"/>
  <c r="BD25" i="7"/>
  <c r="BD24" i="7"/>
  <c r="BD23" i="7"/>
  <c r="BD22" i="7"/>
  <c r="BD21" i="7"/>
  <c r="BD20" i="7"/>
  <c r="BD19" i="7"/>
  <c r="BD18" i="7"/>
  <c r="BD17" i="7"/>
  <c r="BD16" i="7"/>
  <c r="BD15" i="7"/>
  <c r="BD14" i="7"/>
  <c r="BD13" i="7"/>
  <c r="BD12" i="7"/>
  <c r="BD11" i="7"/>
  <c r="BD10" i="7"/>
  <c r="X51" i="7"/>
  <c r="BC51" i="7" s="1"/>
  <c r="H51" i="7"/>
  <c r="F51" i="7"/>
  <c r="X50" i="7"/>
  <c r="BC50" i="7" s="1"/>
  <c r="H50" i="7"/>
  <c r="F50" i="7"/>
  <c r="X49" i="7"/>
  <c r="BC49" i="7" s="1"/>
  <c r="H49" i="7"/>
  <c r="F49" i="7"/>
  <c r="X48" i="7"/>
  <c r="BC48" i="7" s="1"/>
  <c r="H48" i="7"/>
  <c r="F48" i="7"/>
  <c r="X47" i="7"/>
  <c r="BC47" i="7" s="1"/>
  <c r="H47" i="7"/>
  <c r="F47" i="7"/>
  <c r="X46" i="7"/>
  <c r="BC46" i="7" s="1"/>
  <c r="H46" i="7"/>
  <c r="F46" i="7"/>
  <c r="X45" i="7"/>
  <c r="BC45" i="7" s="1"/>
  <c r="H45" i="7"/>
  <c r="F45" i="7"/>
  <c r="X44" i="7"/>
  <c r="BC44" i="7" s="1"/>
  <c r="H44" i="7"/>
  <c r="F44" i="7"/>
  <c r="X43" i="7"/>
  <c r="BC43" i="7" s="1"/>
  <c r="H43" i="7"/>
  <c r="F43" i="7"/>
  <c r="X42" i="7"/>
  <c r="BC42" i="7" s="1"/>
  <c r="H42" i="7"/>
  <c r="F42" i="7"/>
  <c r="X41" i="7"/>
  <c r="BC41" i="7" s="1"/>
  <c r="H41" i="7"/>
  <c r="F41" i="7"/>
  <c r="X40" i="7"/>
  <c r="BC40" i="7" s="1"/>
  <c r="H40" i="7"/>
  <c r="F40" i="7"/>
  <c r="X39" i="7"/>
  <c r="BC39" i="7" s="1"/>
  <c r="H39" i="7"/>
  <c r="F39" i="7"/>
  <c r="X38" i="7"/>
  <c r="BC38" i="7" s="1"/>
  <c r="H38" i="7"/>
  <c r="F38" i="7"/>
  <c r="X37" i="7"/>
  <c r="BC37" i="7" s="1"/>
  <c r="H37" i="7"/>
  <c r="F37" i="7"/>
  <c r="X36" i="7"/>
  <c r="BC36" i="7" s="1"/>
  <c r="H36" i="7"/>
  <c r="F36" i="7"/>
  <c r="G36" i="7" s="1"/>
  <c r="B36" i="7" s="1"/>
  <c r="X35" i="7"/>
  <c r="BC35" i="7" s="1"/>
  <c r="H35" i="7"/>
  <c r="F35" i="7"/>
  <c r="G35" i="7" s="1"/>
  <c r="B35" i="7" s="1"/>
  <c r="X34" i="7"/>
  <c r="BC34" i="7" s="1"/>
  <c r="H34" i="7"/>
  <c r="F34" i="7"/>
  <c r="G34" i="7" s="1"/>
  <c r="B34" i="7" s="1"/>
  <c r="X33" i="7"/>
  <c r="BC33" i="7" s="1"/>
  <c r="H33" i="7"/>
  <c r="F33" i="7"/>
  <c r="G33" i="7" s="1"/>
  <c r="B33" i="7" s="1"/>
  <c r="X32" i="7"/>
  <c r="BC32" i="7" s="1"/>
  <c r="H32" i="7"/>
  <c r="F32" i="7"/>
  <c r="X31" i="7"/>
  <c r="BC31" i="7" s="1"/>
  <c r="H31" i="7"/>
  <c r="F31" i="7"/>
  <c r="G31" i="7" s="1"/>
  <c r="B31" i="7" s="1"/>
  <c r="X30" i="7"/>
  <c r="BC30" i="7" s="1"/>
  <c r="H30" i="7"/>
  <c r="F30" i="7"/>
  <c r="X29" i="7"/>
  <c r="BC29" i="7" s="1"/>
  <c r="H29" i="7"/>
  <c r="F29" i="7"/>
  <c r="G29" i="7" s="1"/>
  <c r="B29" i="7" s="1"/>
  <c r="X28" i="7"/>
  <c r="BC28" i="7" s="1"/>
  <c r="H28" i="7"/>
  <c r="F28" i="7"/>
  <c r="G28" i="7" s="1"/>
  <c r="B28" i="7" s="1"/>
  <c r="X27" i="7"/>
  <c r="BC27" i="7" s="1"/>
  <c r="H27" i="7"/>
  <c r="F27" i="7"/>
  <c r="X26" i="7"/>
  <c r="BC26" i="7" s="1"/>
  <c r="H26" i="7"/>
  <c r="F26" i="7"/>
  <c r="X25" i="7"/>
  <c r="BC25" i="7" s="1"/>
  <c r="H25" i="7"/>
  <c r="F25" i="7"/>
  <c r="G25" i="7" s="1"/>
  <c r="B25" i="7" s="1"/>
  <c r="X24" i="7"/>
  <c r="BC24" i="7" s="1"/>
  <c r="H24" i="7"/>
  <c r="F24" i="7"/>
  <c r="G24" i="7" s="1"/>
  <c r="B24" i="7" s="1"/>
  <c r="X23" i="7"/>
  <c r="BC23" i="7" s="1"/>
  <c r="H23" i="7"/>
  <c r="F23" i="7"/>
  <c r="G23" i="7" s="1"/>
  <c r="B23" i="7" s="1"/>
  <c r="X22" i="7"/>
  <c r="BC22" i="7" s="1"/>
  <c r="H22" i="7"/>
  <c r="F22" i="7"/>
  <c r="G22" i="7" s="1"/>
  <c r="B22" i="7" s="1"/>
  <c r="X21" i="7"/>
  <c r="BC21" i="7" s="1"/>
  <c r="H21" i="7"/>
  <c r="BT21" i="7" s="1"/>
  <c r="F21" i="7"/>
  <c r="X20" i="7"/>
  <c r="BC20" i="7" s="1"/>
  <c r="H20" i="7"/>
  <c r="F20" i="7"/>
  <c r="G20" i="7" s="1"/>
  <c r="B20" i="7" s="1"/>
  <c r="X19" i="7"/>
  <c r="BC19" i="7" s="1"/>
  <c r="H19" i="7"/>
  <c r="F19" i="7"/>
  <c r="G19" i="7" s="1"/>
  <c r="B19" i="7" s="1"/>
  <c r="X18" i="7"/>
  <c r="BC18" i="7" s="1"/>
  <c r="H18" i="7"/>
  <c r="BS18" i="7"/>
  <c r="X17" i="7"/>
  <c r="BC17" i="7" s="1"/>
  <c r="H17" i="7"/>
  <c r="F17" i="7"/>
  <c r="G17" i="7" s="1"/>
  <c r="B17" i="7" s="1"/>
  <c r="X16" i="7"/>
  <c r="BC16" i="7" s="1"/>
  <c r="H16" i="7"/>
  <c r="F16" i="7"/>
  <c r="G16" i="7" s="1"/>
  <c r="B16" i="7" s="1"/>
  <c r="X15" i="7"/>
  <c r="BC15" i="7" s="1"/>
  <c r="H15" i="7"/>
  <c r="F15" i="7"/>
  <c r="G15" i="7" s="1"/>
  <c r="B15" i="7" s="1"/>
  <c r="X14" i="7"/>
  <c r="BC14" i="7" s="1"/>
  <c r="H14" i="7"/>
  <c r="F14" i="7"/>
  <c r="G14" i="7" s="1"/>
  <c r="B14" i="7" s="1"/>
  <c r="X13" i="7"/>
  <c r="BC13" i="7" s="1"/>
  <c r="H13" i="7"/>
  <c r="F13" i="7"/>
  <c r="G13" i="7" s="1"/>
  <c r="B13" i="7" s="1"/>
  <c r="X12" i="7"/>
  <c r="BC12" i="7" s="1"/>
  <c r="H12" i="7"/>
  <c r="F12" i="7"/>
  <c r="G12" i="7" s="1"/>
  <c r="B12" i="7" s="1"/>
  <c r="X11" i="7"/>
  <c r="BC11" i="7" s="1"/>
  <c r="H11" i="7"/>
  <c r="F11" i="7"/>
  <c r="G11" i="7" s="1"/>
  <c r="B11" i="7" s="1"/>
  <c r="X10" i="7"/>
  <c r="BC10" i="7" s="1"/>
  <c r="H10" i="7"/>
  <c r="F10" i="7"/>
  <c r="X9" i="7"/>
  <c r="BC9" i="7" s="1"/>
  <c r="X8" i="7"/>
  <c r="BC8" i="7" s="1"/>
  <c r="X7" i="7"/>
  <c r="BC7" i="7" s="1"/>
  <c r="H9" i="7"/>
  <c r="H8" i="7"/>
  <c r="BT8" i="7" s="1"/>
  <c r="H7" i="7"/>
  <c r="BT7" i="7" s="1"/>
  <c r="H6" i="7"/>
  <c r="BT6" i="7" s="1"/>
  <c r="H5" i="7"/>
  <c r="BT5" i="7" s="1"/>
  <c r="F9" i="7"/>
  <c r="F5" i="7"/>
  <c r="F6" i="7"/>
  <c r="F7" i="7"/>
  <c r="F8" i="7"/>
  <c r="BR29" i="7" l="1"/>
  <c r="BT29" i="7"/>
  <c r="BR37" i="7"/>
  <c r="BT37" i="7"/>
  <c r="BR16" i="7"/>
  <c r="BT16" i="7"/>
  <c r="BR24" i="7"/>
  <c r="BT24" i="7"/>
  <c r="BR32" i="7"/>
  <c r="BT32" i="7"/>
  <c r="BR9" i="7"/>
  <c r="BT9" i="7"/>
  <c r="BR11" i="7"/>
  <c r="BT11" i="7"/>
  <c r="BR19" i="7"/>
  <c r="BT19" i="7"/>
  <c r="BR27" i="7"/>
  <c r="BT27" i="7"/>
  <c r="BR35" i="7"/>
  <c r="BT35" i="7"/>
  <c r="BR13" i="7"/>
  <c r="BT13" i="7"/>
  <c r="BR14" i="7"/>
  <c r="BT14" i="7"/>
  <c r="BR22" i="7"/>
  <c r="BT22" i="7"/>
  <c r="BR30" i="7"/>
  <c r="BT30" i="7"/>
  <c r="BR25" i="7"/>
  <c r="BT25" i="7"/>
  <c r="BR33" i="7"/>
  <c r="BT33" i="7"/>
  <c r="BR17" i="7"/>
  <c r="BT17" i="7"/>
  <c r="BR12" i="7"/>
  <c r="BT12" i="7"/>
  <c r="BR20" i="7"/>
  <c r="BT20" i="7"/>
  <c r="BR28" i="7"/>
  <c r="BT28" i="7"/>
  <c r="BR36" i="7"/>
  <c r="BT36" i="7"/>
  <c r="BR15" i="7"/>
  <c r="BT15" i="7"/>
  <c r="BR23" i="7"/>
  <c r="BT23" i="7"/>
  <c r="BR31" i="7"/>
  <c r="BT31" i="7"/>
  <c r="BR10" i="7"/>
  <c r="BT10" i="7"/>
  <c r="BR18" i="7"/>
  <c r="BT18" i="7"/>
  <c r="BR26" i="7"/>
  <c r="BT26" i="7"/>
  <c r="BR34" i="7"/>
  <c r="BT34" i="7"/>
  <c r="I7" i="7"/>
  <c r="BR7" i="7"/>
  <c r="I8" i="7"/>
  <c r="BR8" i="7"/>
  <c r="I21" i="7"/>
  <c r="BR21" i="7"/>
  <c r="I5" i="7"/>
  <c r="BR5" i="7"/>
  <c r="I6" i="7"/>
  <c r="BR6" i="7"/>
  <c r="I10" i="7"/>
  <c r="I16" i="7"/>
  <c r="I44" i="7"/>
  <c r="I46" i="7"/>
  <c r="I24" i="7"/>
  <c r="I32" i="7"/>
  <c r="I9" i="7"/>
  <c r="I11" i="7"/>
  <c r="I19" i="7"/>
  <c r="I27" i="7"/>
  <c r="I35" i="7"/>
  <c r="I42" i="7"/>
  <c r="I13" i="7"/>
  <c r="I37" i="7"/>
  <c r="I48" i="7"/>
  <c r="I40" i="7"/>
  <c r="I49" i="7"/>
  <c r="I51" i="7"/>
  <c r="I14" i="7"/>
  <c r="I17" i="7"/>
  <c r="I25" i="7"/>
  <c r="I33" i="7"/>
  <c r="I38" i="7"/>
  <c r="I47" i="7"/>
  <c r="I22" i="7"/>
  <c r="I30" i="7"/>
  <c r="I12" i="7"/>
  <c r="I20" i="7"/>
  <c r="I28" i="7"/>
  <c r="I36" i="7"/>
  <c r="I45" i="7"/>
  <c r="I29" i="7"/>
  <c r="I15" i="7"/>
  <c r="I23" i="7"/>
  <c r="I31" i="7"/>
  <c r="I41" i="7"/>
  <c r="I43" i="7"/>
  <c r="I18" i="7"/>
  <c r="I26" i="7"/>
  <c r="I34" i="7"/>
  <c r="I39" i="7"/>
  <c r="I50" i="7"/>
  <c r="BS32" i="7"/>
  <c r="G32" i="7"/>
  <c r="B32" i="7" s="1"/>
  <c r="BS37" i="7"/>
  <c r="G37" i="7"/>
  <c r="B37" i="7" s="1"/>
  <c r="G8" i="7"/>
  <c r="B8" i="7" s="1"/>
  <c r="BS27" i="7"/>
  <c r="G27" i="7"/>
  <c r="B27" i="7" s="1"/>
  <c r="BS30" i="7"/>
  <c r="G30" i="7"/>
  <c r="B30" i="7" s="1"/>
  <c r="G7" i="7"/>
  <c r="B7" i="7" s="1"/>
  <c r="G6" i="7"/>
  <c r="B6" i="7" s="1"/>
  <c r="BS21" i="7"/>
  <c r="G21" i="7"/>
  <c r="B21" i="7" s="1"/>
  <c r="G5" i="7"/>
  <c r="B5" i="7" s="1"/>
  <c r="G9" i="7"/>
  <c r="B9" i="7" s="1"/>
  <c r="G10" i="7"/>
  <c r="B10" i="7" s="1"/>
  <c r="BS26" i="7"/>
  <c r="G26" i="7"/>
  <c r="B26" i="7" s="1"/>
  <c r="BS34" i="7"/>
  <c r="G4" i="7"/>
  <c r="B4" i="7" s="1"/>
  <c r="BS19" i="7"/>
  <c r="BS35" i="7"/>
  <c r="BS29" i="7"/>
  <c r="BS24" i="7"/>
  <c r="BS22" i="7"/>
  <c r="BA15" i="7"/>
  <c r="BA20" i="7"/>
  <c r="BA22" i="7"/>
  <c r="BA31" i="7"/>
  <c r="BA42" i="7"/>
  <c r="BA12" i="7"/>
  <c r="BA24" i="7"/>
  <c r="BA10" i="7"/>
  <c r="BA13" i="7"/>
  <c r="BA25" i="7"/>
  <c r="BA27" i="7"/>
  <c r="BA36" i="7"/>
  <c r="BA38" i="7"/>
  <c r="BA47" i="7"/>
  <c r="BA35" i="7"/>
  <c r="BA49" i="7"/>
  <c r="BA16" i="7"/>
  <c r="BA23" i="7"/>
  <c r="BA34" i="7"/>
  <c r="BA45" i="7"/>
  <c r="BA33" i="7"/>
  <c r="BA44" i="7"/>
  <c r="BA29" i="7"/>
  <c r="BA40" i="7"/>
  <c r="BA7" i="7"/>
  <c r="BA11" i="7"/>
  <c r="BA21" i="7"/>
  <c r="BA32" i="7"/>
  <c r="BA41" i="7"/>
  <c r="BA43" i="7"/>
  <c r="BA46" i="7"/>
  <c r="BA8" i="7"/>
  <c r="BA14" i="7"/>
  <c r="BA19" i="7"/>
  <c r="BA28" i="7"/>
  <c r="BA30" i="7"/>
  <c r="BA39" i="7"/>
  <c r="BA50" i="7"/>
  <c r="BA18" i="7"/>
  <c r="BA51" i="7"/>
  <c r="BA9" i="7"/>
  <c r="BA17" i="7"/>
  <c r="BA26" i="7"/>
  <c r="BA37" i="7"/>
  <c r="BA48" i="7"/>
  <c r="BS23" i="7"/>
  <c r="BS31" i="7"/>
  <c r="BS20" i="7"/>
  <c r="BS28" i="7"/>
  <c r="BS36" i="7"/>
  <c r="BS25" i="7"/>
  <c r="BS33" i="7"/>
  <c r="BS12" i="7"/>
  <c r="BS11" i="7"/>
  <c r="BS15" i="7"/>
  <c r="BS16" i="7"/>
  <c r="BS14" i="7"/>
  <c r="BS10" i="7"/>
  <c r="BS13" i="7"/>
  <c r="BS17" i="7"/>
  <c r="BS9" i="7" l="1"/>
  <c r="BS8" i="7"/>
  <c r="BS5" i="7"/>
  <c r="BS7" i="7"/>
  <c r="BS6" i="7"/>
  <c r="BS4" i="7"/>
  <c r="A4" i="10" l="1"/>
  <c r="B4" i="10"/>
  <c r="D75"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BE3" authorId="0" shapeId="0" xr:uid="{00000000-0006-0000-0300-000001000000}">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<sst xmlns="http://schemas.openxmlformats.org/spreadsheetml/2006/main" count="4354" uniqueCount="1559">
  <si>
    <t>Petunjuk Umum</t>
  </si>
  <si>
    <r>
      <t>Dasar penyusunan anggaran tahunan (</t>
    </r>
    <r>
      <rPr>
        <i/>
        <sz val="11"/>
        <rFont val="Arial"/>
        <family val="2"/>
      </rPr>
      <t>Master Budget</t>
    </r>
    <r>
      <rPr>
        <sz val="11"/>
        <rFont val="Arial"/>
        <family val="2"/>
      </rPr>
      <t>) dapat mempertimbangkan:</t>
    </r>
  </si>
  <si>
    <t>•</t>
  </si>
  <si>
    <r>
      <t xml:space="preserve">Mohon untuk </t>
    </r>
    <r>
      <rPr>
        <b/>
        <sz val="11"/>
        <rFont val="Arial"/>
        <family val="2"/>
      </rPr>
      <t>tidak</t>
    </r>
    <r>
      <rPr>
        <sz val="11"/>
        <rFont val="Arial"/>
        <family val="2"/>
      </rPr>
      <t xml:space="preserve"> menghapus&amp;menambah baris/kolom pada Lembar kerja anggaran tahunan (</t>
    </r>
    <r>
      <rPr>
        <i/>
        <sz val="11"/>
        <rFont val="Arial"/>
        <family val="2"/>
      </rPr>
      <t>master budget template</t>
    </r>
    <r>
      <rPr>
        <sz val="11"/>
        <rFont val="Arial"/>
        <family val="2"/>
      </rPr>
      <t>)</t>
    </r>
  </si>
  <si>
    <t>Setiap Departemen wajib menunjuk PIC anggaran (selain manager) untuk mempermudah pemberitahuan terkini terkait dengan perubahan/tambahan peraturan/kebijakan</t>
  </si>
  <si>
    <r>
      <t>Lembar kerja anggaran tahunan (</t>
    </r>
    <r>
      <rPr>
        <i/>
        <sz val="11"/>
        <color theme="1"/>
        <rFont val="Arial"/>
        <family val="2"/>
      </rPr>
      <t>master budget</t>
    </r>
    <r>
      <rPr>
        <sz val="11"/>
        <color theme="1"/>
        <rFont val="Arial"/>
        <family val="2"/>
      </rPr>
      <t xml:space="preserve"> template) harus diketahui dan disetujui oleh Kepala Departemen/Manajer, Kepala Divisi/GM, dan Direktur terkait</t>
    </r>
  </si>
  <si>
    <t>Petunjuk Rinci/Detail</t>
  </si>
  <si>
    <t>Terdapat 4 bagian dalam lembar kerja budget :</t>
  </si>
  <si>
    <t>- COVER</t>
  </si>
  <si>
    <r>
      <t xml:space="preserve">- </t>
    </r>
    <r>
      <rPr>
        <sz val="11"/>
        <color rgb="FF000000"/>
        <rFont val="Arial"/>
        <family val="2"/>
      </rPr>
      <t>OPEX DETAIL</t>
    </r>
  </si>
  <si>
    <t>Sheet 1 : Cover</t>
  </si>
  <si>
    <t>Cover</t>
  </si>
  <si>
    <t>Harap isi masing-masing bagian sesuai urutan dibawah.</t>
  </si>
  <si>
    <t xml:space="preserve">Year                                   </t>
  </si>
  <si>
    <t>Diisi dengan tahun perencanaan budget</t>
  </si>
  <si>
    <t>BU/HO</t>
  </si>
  <si>
    <t>Div. /Dept.</t>
  </si>
  <si>
    <t>Diisi sesuai dengan Divisi / Departement yang tertera di list.</t>
  </si>
  <si>
    <t>HO</t>
  </si>
  <si>
    <t>Corp. Planning &amp; Sustainability</t>
  </si>
  <si>
    <t>Internal Audit</t>
  </si>
  <si>
    <t>Legal &amp; Corp. Secretary</t>
  </si>
  <si>
    <t>HSE</t>
  </si>
  <si>
    <t>Regulatory</t>
  </si>
  <si>
    <t>Corporate Communication</t>
  </si>
  <si>
    <t>Accounting &amp; Reporting</t>
  </si>
  <si>
    <t>Financial Planning &amp; Analysis</t>
  </si>
  <si>
    <t>Taxation</t>
  </si>
  <si>
    <t>Treasury &amp; Finance</t>
  </si>
  <si>
    <t>General Affairs</t>
  </si>
  <si>
    <t>Human Resources</t>
  </si>
  <si>
    <t>IT</t>
  </si>
  <si>
    <t>Strategic Sourcing &amp; Procurement</t>
  </si>
  <si>
    <t>Weightbridge</t>
  </si>
  <si>
    <t>Custom &amp; Logistic</t>
  </si>
  <si>
    <t>Warehouse &amp; Inventory</t>
  </si>
  <si>
    <t>Siapkan approval sesuai dengan approval matrix Divisi / Departement masing-masing</t>
  </si>
  <si>
    <r>
      <t xml:space="preserve">Harap isi masing-masing bagian sesuai urutan dibawah dan harap mengisi kolom yang berwarna </t>
    </r>
    <r>
      <rPr>
        <b/>
        <sz val="11"/>
        <color theme="1"/>
        <rFont val="Arial"/>
        <family val="2"/>
      </rPr>
      <t>putih</t>
    </r>
    <r>
      <rPr>
        <sz val="11"/>
        <color theme="1"/>
        <rFont val="Arial"/>
        <family val="2"/>
      </rPr>
      <t>.</t>
    </r>
  </si>
  <si>
    <t>Ledger SAP</t>
  </si>
  <si>
    <t>Budget 2024</t>
  </si>
  <si>
    <t>No (SAP)</t>
  </si>
  <si>
    <t>Name (SAP)</t>
  </si>
  <si>
    <t>Definition</t>
  </si>
  <si>
    <t>Cost Owner</t>
  </si>
  <si>
    <t>Related Departments</t>
  </si>
  <si>
    <t>Diisi bila department/divisi terkait mempunyai biaya operasional budget untuk periode ini.</t>
  </si>
  <si>
    <t>Cost Center</t>
  </si>
  <si>
    <t>Table 3.1. List Ledger Opex</t>
  </si>
  <si>
    <t>DL Salaries &amp; Wages</t>
  </si>
  <si>
    <t>Biaya imbalan dasar beserta lembur untuk karyawan tetap yang secara langsung menangani proses produksi.</t>
  </si>
  <si>
    <t>HR</t>
  </si>
  <si>
    <t>DL Overtime</t>
  </si>
  <si>
    <t>Biaya lembur atas pekerjaan yang melebihi jam kerja biasa untuk karyawan tetap yang secara langsung menangani proses produksi.</t>
  </si>
  <si>
    <t>DL THR</t>
  </si>
  <si>
    <t>Biaya kompensasi tambahan yang berupa hadiah dari perusahaan dan tunjangan hari raya untuk karyawan tetap yang secara langsung menangani proses produksi.</t>
  </si>
  <si>
    <t>DL Allowances</t>
  </si>
  <si>
    <t>Biaya tunjangan lainnya untuk karyawan tetap yang secara langsung menangani proses produksi.</t>
  </si>
  <si>
    <t>DL Social Security</t>
  </si>
  <si>
    <t>Biaya iuran BPJS karyawan tetap yang secara langsung menangani proses produksi.</t>
  </si>
  <si>
    <t>DL Contract Employee Pay</t>
  </si>
  <si>
    <t>Biaya imbalan dasar, lembur, dan kompensasi tambahan untuk karyawan kontrak yang secara langsung menangani proses produksi.</t>
  </si>
  <si>
    <t>DL  Incentives</t>
  </si>
  <si>
    <t>Gaji insentif karyawan produksi atas pencapaian target produksi.</t>
  </si>
  <si>
    <t>DL Employee Income Tax</t>
  </si>
  <si>
    <t>Biaya atas Pph 21 terkait dengan karyawan yang berkaitan langsung dengan produksi.</t>
  </si>
  <si>
    <t>DL Bonus</t>
  </si>
  <si>
    <t>Bonus yang diterima karyawan produksi seperti Bonus tahunan dan THR.</t>
  </si>
  <si>
    <t>DL Severance Pay</t>
  </si>
  <si>
    <t>Biaya terkait dengan karyawan produksi yang pension/resign (pesangon).</t>
  </si>
  <si>
    <t>DL Employee Insurance</t>
  </si>
  <si>
    <t>Biaya kesejahteraan untuk asuransi karyawan produksi.</t>
  </si>
  <si>
    <t>DL Others</t>
  </si>
  <si>
    <t>Biaya terkait karyawan produksi diluar gaji pokok, “overtime”, “allowances” &amp; “incentives”.</t>
  </si>
  <si>
    <t>IDL Salaries &amp; Wages</t>
  </si>
  <si>
    <t>Biaya imbalan dasar beserta lembur untuk karyawan tetap yang tidak secara langsung menangani proses produksi.</t>
  </si>
  <si>
    <t>IDL Overtime</t>
  </si>
  <si>
    <t>Biaya lembur atas pekerjaan yang melebihi jam kerja biasa untuk karyawan tetap yang tidak secara langsung menangani proses produksi.</t>
  </si>
  <si>
    <t>IDL THR</t>
  </si>
  <si>
    <t>Biaya kompensasi tambahan yang berupa hadiah dari perusahaan dan tunjangan hari raya untuk karyawan tetap yang tidak secara langsung menangani proses produksi.</t>
  </si>
  <si>
    <t>IDL Allowances</t>
  </si>
  <si>
    <t>Biaya tunjangan lainnya untuk karyawan tetap yang tidak secara langsung menangani proses produksi.</t>
  </si>
  <si>
    <t>IDL Social Security</t>
  </si>
  <si>
    <t>Biaya iuran BPJS karyawan tetap yang tidak secara langsung menangani proses produksi.</t>
  </si>
  <si>
    <t>IDL Contract Employee Pay</t>
  </si>
  <si>
    <t>Biaya imbalan dasar, lembur, dan kompensasi tambahan untuk karyawan kontrak yang tidak secara langsung menangani proses produksi.</t>
  </si>
  <si>
    <t>IDL  Incentives</t>
  </si>
  <si>
    <t>Gaji insentif karyawan (sales) atas pencapaian target penjualan.</t>
  </si>
  <si>
    <t>IDL Employee Income Tax</t>
  </si>
  <si>
    <t>Biaya atas Pph 21 terkait dengan karyawan (didalam HO)  yang tidak berkaitan langsung dengan produksi.</t>
  </si>
  <si>
    <t>IDL Bonus</t>
  </si>
  <si>
    <t>Bonus yang diterima karyawan (di dalam HO) seperti Bonus tahunan dan THR.</t>
  </si>
  <si>
    <t>IDL Severance Pay</t>
  </si>
  <si>
    <t>Biaya terkait dengan karyawan diluar produksi  yang pension/resign (pesangon).</t>
  </si>
  <si>
    <t>IDL Employee Insurance</t>
  </si>
  <si>
    <t>Biaya kesejahteraan untuk makan karyawan, yang bukan merupakan penghasilan karyawan.</t>
  </si>
  <si>
    <t>IDL Others</t>
  </si>
  <si>
    <t>Biaya terkait karyawan (didalam HO) diluar gaji pokok, “overtime”, “allowances” &amp; “incentives”</t>
  </si>
  <si>
    <t>Provision for Employee Benefits</t>
  </si>
  <si>
    <t>Biaya cadangan untuk imbalan pisah karyawan pensiun.</t>
  </si>
  <si>
    <t>Accounting</t>
  </si>
  <si>
    <t>Outsourcing Services</t>
  </si>
  <si>
    <t>Biaya upah untuk tenaga outsourcing/pekerja harian</t>
  </si>
  <si>
    <t>Event Services</t>
  </si>
  <si>
    <t xml:space="preserve">Biaya upah untuk tenaga event </t>
  </si>
  <si>
    <t>Construction Services</t>
  </si>
  <si>
    <t>Biaya upah untuk tenaga konstruksi</t>
  </si>
  <si>
    <t>GA</t>
  </si>
  <si>
    <t>Planning Services</t>
  </si>
  <si>
    <t>Biaya upah untuk tenaga planning konstruksi</t>
  </si>
  <si>
    <t>Construction Monitoring Services</t>
  </si>
  <si>
    <t>Biaya upah untuk tenaga supervisi konstruksi</t>
  </si>
  <si>
    <t>Calibration Services</t>
  </si>
  <si>
    <t>Biaya uji kalibrasi timbangan</t>
  </si>
  <si>
    <t>Utilities - Factory Sundries</t>
  </si>
  <si>
    <t>Biaya operasional lain-lain terkait pabrik.
Contoh : masker, helm, keperluan katin (makan karyawan) &amp; baju karyawan</t>
  </si>
  <si>
    <t>Fuel</t>
  </si>
  <si>
    <t>Biaya terkait dengan bahan bakar kendaraan operasional perusahaan.</t>
  </si>
  <si>
    <t>RM Exp - Buidings Services</t>
  </si>
  <si>
    <t>Biaya perbaikan dan pemeliharaan bangunan/gedung milik perusahaan. Termasuk pemakaian spare part dan others consumables (lubricant/pelumas).</t>
  </si>
  <si>
    <t>RM Exp - Machinery and Equipment</t>
  </si>
  <si>
    <t>Biaya perbaikan dan pemeliharaan mesin milik perusahaan. Termasuk pemakaian spare part dan others consumables (lubricant/pelumas).</t>
  </si>
  <si>
    <t>Operational</t>
  </si>
  <si>
    <t>RM Exp - Heavy Equipment</t>
  </si>
  <si>
    <t>Biaya perbaikan dan pemeliharaan alat-alat berat milik perusahaan. Termasuk pemakaian spare part dan others consumables (lubricant/pelumas).</t>
  </si>
  <si>
    <t>RM Exp - Vehicles</t>
  </si>
  <si>
    <t>Biaya perbaikan dan pemeliharaan kendaraan milik perusahaan. Termasuk pemakaian spare part dan others consumables (lubricant/pelumas).</t>
  </si>
  <si>
    <t>RM Exp - Furniture and Fixtures</t>
  </si>
  <si>
    <t>Biaya perbaikan dan pemeliharaan perlengkapan dan perabotan milik perusahaan.</t>
  </si>
  <si>
    <t>RM Exp - Office and Other Equipment</t>
  </si>
  <si>
    <t>Biaya perbaikan dan pemeliharaan peralatan lainnya. (termasuk barang IT)</t>
  </si>
  <si>
    <t>GA and MIS</t>
  </si>
  <si>
    <t>RM Exp - Water Treatment</t>
  </si>
  <si>
    <t>Biaya perbaikan dan pemeliharaan sumber daya air milik perusahaan.</t>
  </si>
  <si>
    <t>RM Exp - Low Value Asset</t>
  </si>
  <si>
    <t>Biaya perbaikan dan pemeliharaan atas LVA Building and Structure, LVA Machinery and Equipment, LVA Heavy Equipment</t>
  </si>
  <si>
    <t>AE - Advertising and Promotion Expenses</t>
  </si>
  <si>
    <t>Biaya iklan dalam bentuk penempatan pada media umum.
Contoh : Biaya pemasangan iklan lowongan kerja di situs JOBSTREET.COM dari tanggal 08 DES 2019 S/D 08 DES 2020</t>
  </si>
  <si>
    <t>AE - Material Gift</t>
  </si>
  <si>
    <t>Biaya terkait souvenir yang diberikan dalam rangka kegiatan promosi</t>
  </si>
  <si>
    <t>AE - Exhibit Sponsor</t>
  </si>
  <si>
    <t>Biaya terkait pameran dan sponsorship dalam rangka kegiatan promosi</t>
  </si>
  <si>
    <t>TE - Seminar</t>
  </si>
  <si>
    <t>Biaya terkait seminar keluar.
Contoh : Biaya KPI Team deteksi dini bulan Juli 2020</t>
  </si>
  <si>
    <t>TE - Training</t>
  </si>
  <si>
    <t xml:space="preserve">Biaya untuk pelatihan dan seminar lain, termasuk biaya sertifikasi/uji untuk memenuhi standar tertentu dalam pekerjaan.
Contoh : Biaya Narasumber dari POLRES BEKASI untuk kegiatan sosialisaso bahaya Terorisme &amp; Radikalisme </t>
  </si>
  <si>
    <t>TE - Others Training &amp; Seminar</t>
  </si>
  <si>
    <t>Biaya lain - lain terkait seminar/training yang tidak termasuk kategori di atas</t>
  </si>
  <si>
    <t>Ins. Exp. - Insurance of Building</t>
  </si>
  <si>
    <t>Ins. Exp. - Insurance of Machinery</t>
  </si>
  <si>
    <t>Operational and GA</t>
  </si>
  <si>
    <t>Ins. Exp. - Insurance of Vehicle</t>
  </si>
  <si>
    <t>Ins. Exp. - Insurance of Public and Product Liabil</t>
  </si>
  <si>
    <t>Ins. Exp. - Insurance Others</t>
  </si>
  <si>
    <t>RE - Rental Warehouse</t>
  </si>
  <si>
    <t>Biaya sewa gudang</t>
  </si>
  <si>
    <t>RE - Rental Vehicle</t>
  </si>
  <si>
    <t>Biaya sewa kendaraan.</t>
  </si>
  <si>
    <t>RE - Rental Land</t>
  </si>
  <si>
    <t>Biaya sewa tanah.</t>
  </si>
  <si>
    <t>RE - Rental Building / Office</t>
  </si>
  <si>
    <t>Biaya sewa gedung/kantor/gudang.</t>
  </si>
  <si>
    <t>RE - Rental Machinery</t>
  </si>
  <si>
    <t>Biaya sewa mesin.</t>
  </si>
  <si>
    <t>RE - Rental Other</t>
  </si>
  <si>
    <t>Biaya sewa lainnya.</t>
  </si>
  <si>
    <t>PT Exp. - Telecommunication &amp; Internet</t>
  </si>
  <si>
    <t>Biaya pemakaian telepon, handphone, faximile, internet.</t>
  </si>
  <si>
    <t>MIS</t>
  </si>
  <si>
    <t>PT Exp. - Postage and Courier</t>
  </si>
  <si>
    <t>Biaya pengiriman dokumen administrasi.</t>
  </si>
  <si>
    <t>PT Exp. - Stamp Duty</t>
  </si>
  <si>
    <t>Biaya pemakaian materai.</t>
  </si>
  <si>
    <t>PT Exp. - Others</t>
  </si>
  <si>
    <t xml:space="preserve">Biaya terkait jasa pengiriman lain-lain yang tidak termasuk pada kategori biaya tersebut di atas </t>
  </si>
  <si>
    <t>PF - Legal Fee</t>
  </si>
  <si>
    <t>Biaya pemakaian jasa pengacara atau konsultasi hukum lain-lain.</t>
  </si>
  <si>
    <t>Legal</t>
  </si>
  <si>
    <t>PF - Tax Consultan Fee</t>
  </si>
  <si>
    <t>Biaya pemakaian jasa konsultan pajak.</t>
  </si>
  <si>
    <t>Tax</t>
  </si>
  <si>
    <t>PF - Audit Fee</t>
  </si>
  <si>
    <t>Biaya pemakaian jasa auditor.</t>
  </si>
  <si>
    <t>PF - Surveyor Fee</t>
  </si>
  <si>
    <t>Biaya pemakaian jasa surveyor</t>
  </si>
  <si>
    <t>PF - Other Professional Fees</t>
  </si>
  <si>
    <t>Biaya pemakaian jasa profesi lainnya.</t>
  </si>
  <si>
    <t>Ent. Exp - Sample Marketing</t>
  </si>
  <si>
    <t>Biaya jamuan untuk relasi perusahaan dalam rangka membina hubungan baik. Makan dan minum visit customer complain.
Contoh : MEETING DENGAN PT GUNUNG INTI SEMPURNA 4 ORG PROYEK PENGADAAN MATERIAL PLAT TGL 19/12/19 (KODRAT,RUDY,NY SL)</t>
  </si>
  <si>
    <t>Sales Marketing and BOD</t>
  </si>
  <si>
    <t>Ent. Exp - Donation and Social Contribution</t>
  </si>
  <si>
    <t>Sumbangan yang diberikan kepada pihak luar, dan dalam rangka tanggung jawab social perusahaan terhadap lingkungan dan masyarakat.</t>
  </si>
  <si>
    <t>Corporate Public Relations and BOD</t>
  </si>
  <si>
    <t>Ent. Exp - Others Entertainment</t>
  </si>
  <si>
    <t>Biaya representasi untuk relasi perusahaan dalam rangka membina hubungan baik.</t>
  </si>
  <si>
    <t>SMSCM &amp; Environment</t>
  </si>
  <si>
    <t>TL - Land and Property Tax</t>
  </si>
  <si>
    <t>Biaya pajak dan perijinan atas tanah.</t>
  </si>
  <si>
    <t>Land Management</t>
  </si>
  <si>
    <t>TL - IMB</t>
  </si>
  <si>
    <t xml:space="preserve">[Saat ini belum digunakan, konfirmasi ke Budgeting unit terlebih dahulu apakah alokasi ini akan aktif atau tidak] </t>
  </si>
  <si>
    <t>TL - Restribution</t>
  </si>
  <si>
    <t>Biaya pajak dan perijinan atas retribusi.</t>
  </si>
  <si>
    <t>TL - SIM, STNK</t>
  </si>
  <si>
    <t>Biaya pajak dan perijinan atas kendaraan.</t>
  </si>
  <si>
    <t>TL - Others Tax and Lisence</t>
  </si>
  <si>
    <t>Biaya pajak dan perijinan lainnya.</t>
  </si>
  <si>
    <t>Stationery Expenses</t>
  </si>
  <si>
    <t>Biaya pemakaian/pembelian perlengkapan office.
Contoh: Alat tulis</t>
  </si>
  <si>
    <t>Printing and Supplies Expenses</t>
  </si>
  <si>
    <t>Biaya untuk semua jenis percetakan dan photocopy.
Contoh: cetak invoice, faktur, kwitansi, kartu nama dll</t>
  </si>
  <si>
    <t>Meeting Expenses</t>
  </si>
  <si>
    <t>Biaya keperluan rapat dinas, konferensi dan lain-lain.</t>
  </si>
  <si>
    <t>Ceremony Expenses</t>
  </si>
  <si>
    <t>Biaya pengadaaan acara khusus perusahaan, seperti halal bihalal, perayaan natal, ulang tahun perusahaan, perayaan 17 Agustus, dan lain-lain.</t>
  </si>
  <si>
    <t>Gen. Transp. Travelling Expenses</t>
  </si>
  <si>
    <t>Biaya tiket perjalanan dinas dan akomodasi perjalanan (contoh seperti biaya penginapan, swab saat perjalanan dinas,dll)</t>
  </si>
  <si>
    <t>Gen. Transp. Others</t>
  </si>
  <si>
    <t>- Biaya yang terkait dengan kendaraan operasional perusahaan. Biaya transportasi FG RM antar warehouse/Bisnit unit, termasuk didalamnya biaya tilang dll 
- Biaya transport antar jemput karyawan 
- Biaya langsir 
- Biaya yang terkait dengan transportasi untuk kegiatan operasional.
Contoh : BY TAXI ONLINE DINAS KE PEMDA BEKASI,KANTOR IMIGRASI TGL 7/9/18  
- Biaya tol dan parkir</t>
  </si>
  <si>
    <t>Waste Removal Expenses</t>
  </si>
  <si>
    <t>Biaya (jasa dan barang) untuk pengolahan limbah pabrik.</t>
  </si>
  <si>
    <t>GA and Environment</t>
  </si>
  <si>
    <t>Household Equipment Expenses</t>
  </si>
  <si>
    <t>Pembelian asset atau barang modal (Low Value Asset) untuk kebutuhan Housing, dengan syarat:
-Nilai &lt; USD 10.000 (Rp 14.300.000)
-	Tidak tergolong sebagai asset tetap (Fixed Asset) di ketentuan/SOP yang berlaku
-	Tidak tergolong sebagai sparepart
Contoh:	Kalkulator, AC, dispenser, kulkas, tools kit dll</t>
  </si>
  <si>
    <t>Factory Equipment Expenses</t>
  </si>
  <si>
    <t>Pembelian asset atau barang modal (Low Value Asset) untuk kebutuhan Pabrik, dengan syarat:
-Nilai &lt; USD 10.000 (Rp 14.300.000)
-	Tidak tergolong sebagai asset tetap (Fixed Asset) di ketentuan/SOP yang berlaku
-	Tidak tergolong sebagai sparepart
Contoh: Kalkulator, AC, dispenser, kulkas, tools kit dll</t>
  </si>
  <si>
    <t xml:space="preserve">Operational </t>
  </si>
  <si>
    <t>Office Equipment Expenses</t>
  </si>
  <si>
    <t>Pembelian asset atau barang modal (Low Value Asset) untuk kebutuhan Kantor, dengan syarat:
-Nilai &lt; USD 10.000 (Rp 14.300.000)
-	Tidak tergolong sebagai asset tetap (Fixed Asset) di ketentuan/SOP yang berlaku
-	Tidak tergolong sebagai sparepart
Contoh: Kalkulator, AC, dispenser, kulkas, tools kit dll</t>
  </si>
  <si>
    <t>Association and Membership</t>
  </si>
  <si>
    <t>Biaya iuran keanggotaan</t>
  </si>
  <si>
    <t>Subscriptions and Periodicals</t>
  </si>
  <si>
    <t>Biaya berlangganan website, majalah, dll</t>
  </si>
  <si>
    <t>Miscellaneous Expenses</t>
  </si>
  <si>
    <t>Biaya lain-lain yang tidak termasuk pada kategori biaya tersebut di atas (contoh : biaya cleaning service, biaya tax penalty, dll)</t>
  </si>
  <si>
    <t>Directorate</t>
  </si>
  <si>
    <t>Diisi dengan:
HO untuk department Head Office</t>
  </si>
  <si>
    <t>Sales</t>
  </si>
  <si>
    <t>Information Technology</t>
  </si>
  <si>
    <t>Finance</t>
  </si>
  <si>
    <t>Supply Chain Management</t>
  </si>
  <si>
    <t>CEO Office</t>
  </si>
  <si>
    <t>Annual Budget</t>
  </si>
  <si>
    <t>:</t>
  </si>
  <si>
    <t>Diisi sesuai dengan Direktorat yang tertera di list.</t>
  </si>
  <si>
    <t>Division / Department</t>
  </si>
  <si>
    <t>Board of Director</t>
  </si>
  <si>
    <t>KSO</t>
  </si>
  <si>
    <t>SCM</t>
  </si>
  <si>
    <t>Fixed Asset Management</t>
  </si>
  <si>
    <t>Mapping</t>
  </si>
  <si>
    <t>Procurement</t>
  </si>
  <si>
    <t>10301SM001</t>
  </si>
  <si>
    <t>10301SC001</t>
  </si>
  <si>
    <t>10301SC004</t>
  </si>
  <si>
    <t>10301FA002</t>
  </si>
  <si>
    <t>10301BD001</t>
  </si>
  <si>
    <t>10301CP001</t>
  </si>
  <si>
    <t>10301FA004</t>
  </si>
  <si>
    <t>10301GA001</t>
  </si>
  <si>
    <t>10301HS001</t>
  </si>
  <si>
    <t>10301HR001</t>
  </si>
  <si>
    <t>10301IA001</t>
  </si>
  <si>
    <t>10301IT001</t>
  </si>
  <si>
    <t>10301CL001</t>
  </si>
  <si>
    <t>10301MS008</t>
  </si>
  <si>
    <t>10301FA003</t>
  </si>
  <si>
    <t>10301FA001</t>
  </si>
  <si>
    <t>10301FA007</t>
  </si>
  <si>
    <t>10301GA002</t>
  </si>
  <si>
    <t>10301HR002</t>
  </si>
  <si>
    <t>10301IT003</t>
  </si>
  <si>
    <t>10301CS001</t>
  </si>
  <si>
    <t>10301MS002</t>
  </si>
  <si>
    <t>10301FA006</t>
  </si>
  <si>
    <t>10301SC005</t>
  </si>
  <si>
    <t>10301GA003</t>
  </si>
  <si>
    <t>10301HR003</t>
  </si>
  <si>
    <t>10301MS005</t>
  </si>
  <si>
    <t>10301MS006</t>
  </si>
  <si>
    <t>10301SC002</t>
  </si>
  <si>
    <t>10301GA004</t>
  </si>
  <si>
    <t>10301HR004</t>
  </si>
  <si>
    <t>10301MS007</t>
  </si>
  <si>
    <t>10301GA005</t>
  </si>
  <si>
    <t>10301HR005</t>
  </si>
  <si>
    <t>10301HS002</t>
  </si>
  <si>
    <t>10301GA008</t>
  </si>
  <si>
    <t>10301HR007</t>
  </si>
  <si>
    <t>10301PR001</t>
  </si>
  <si>
    <t>10301MS001</t>
  </si>
  <si>
    <t>10301PR002</t>
  </si>
  <si>
    <t>Health &amp; Safety</t>
  </si>
  <si>
    <t>Environment</t>
  </si>
  <si>
    <t>USD</t>
  </si>
  <si>
    <t>BOARD OF DIRECTORS</t>
  </si>
  <si>
    <t>CORPORATE LEGAL</t>
  </si>
  <si>
    <t>CORP. PLAN&amp;STRATEGY</t>
  </si>
  <si>
    <t>CORPORATE SECRETARY</t>
  </si>
  <si>
    <t>TREASURY</t>
  </si>
  <si>
    <t>FA</t>
  </si>
  <si>
    <t>ACCOUNTING</t>
  </si>
  <si>
    <t>TAX</t>
  </si>
  <si>
    <t>FIN. PLAN &amp; ANALYSIS</t>
  </si>
  <si>
    <t>PROJECT</t>
  </si>
  <si>
    <t>FINANCE</t>
  </si>
  <si>
    <t>FIXED ASSET MGT</t>
  </si>
  <si>
    <t>PROPERTY MAINTENANCE</t>
  </si>
  <si>
    <t>HOUSEKEEPING</t>
  </si>
  <si>
    <t>GA CUSTOMER CARE</t>
  </si>
  <si>
    <t>FOOD &amp; BEVERAGE</t>
  </si>
  <si>
    <t>LANDSCAPE</t>
  </si>
  <si>
    <t>CORP. VEHICLE MGT.</t>
  </si>
  <si>
    <t>TALENT MANAGEMENT</t>
  </si>
  <si>
    <t>HR ADMINISTRATION</t>
  </si>
  <si>
    <t>INDUSTRIAL RELATIONS</t>
  </si>
  <si>
    <t>PAYROLL, COMPBEN.</t>
  </si>
  <si>
    <t>TALENT ACQ. &amp; DEV.</t>
  </si>
  <si>
    <t>HR PROJECTS</t>
  </si>
  <si>
    <t>HEALTH &amp; SAFETY</t>
  </si>
  <si>
    <t>ENVIRONMENT</t>
  </si>
  <si>
    <t>INTERNAL AUDIT</t>
  </si>
  <si>
    <t>IT INFRASTRUCTURE</t>
  </si>
  <si>
    <t>10301IT002</t>
  </si>
  <si>
    <t>SECURITY ADMIN</t>
  </si>
  <si>
    <t>LAND MANAGEMENT</t>
  </si>
  <si>
    <t>CSR</t>
  </si>
  <si>
    <t>INDUSTRY ASSOCIATION</t>
  </si>
  <si>
    <t>LICENSES &amp; PERMITS</t>
  </si>
  <si>
    <t>WEBSITE MASTER</t>
  </si>
  <si>
    <t>MEDIA REL/PRESS CONF</t>
  </si>
  <si>
    <t>PROCUREMENT</t>
  </si>
  <si>
    <t>10301SC006</t>
  </si>
  <si>
    <t>SCM INVENTORY</t>
  </si>
  <si>
    <t>10301SC007</t>
  </si>
  <si>
    <t>SCM WAREHOUSE FG</t>
  </si>
  <si>
    <t>SALES</t>
  </si>
  <si>
    <t>Cost Center Description</t>
  </si>
  <si>
    <t>Department</t>
  </si>
  <si>
    <t>Remarks</t>
  </si>
  <si>
    <t>Ledger Description</t>
  </si>
  <si>
    <t>Ledger Expense Group / Type</t>
  </si>
  <si>
    <t>Basis Calculation
(Price per Unit)</t>
  </si>
  <si>
    <t>Professional Fees</t>
  </si>
  <si>
    <t>60100010</t>
  </si>
  <si>
    <t>60100020</t>
  </si>
  <si>
    <t>60100030</t>
  </si>
  <si>
    <t>60100040</t>
  </si>
  <si>
    <t>60100050</t>
  </si>
  <si>
    <t>60100060</t>
  </si>
  <si>
    <t>60100070</t>
  </si>
  <si>
    <t>60100080</t>
  </si>
  <si>
    <t>60100090</t>
  </si>
  <si>
    <t>60100100</t>
  </si>
  <si>
    <t>60100110</t>
  </si>
  <si>
    <t>60100120</t>
  </si>
  <si>
    <t>60200010</t>
  </si>
  <si>
    <t>60300010</t>
  </si>
  <si>
    <t>60300020</t>
  </si>
  <si>
    <t>60300030</t>
  </si>
  <si>
    <t>60300040</t>
  </si>
  <si>
    <t>60300050</t>
  </si>
  <si>
    <t>60300060</t>
  </si>
  <si>
    <t>60600010</t>
  </si>
  <si>
    <t>60600020</t>
  </si>
  <si>
    <t>60600040</t>
  </si>
  <si>
    <t>60600050</t>
  </si>
  <si>
    <t>60700010</t>
  </si>
  <si>
    <t>60800010</t>
  </si>
  <si>
    <t>60800020</t>
  </si>
  <si>
    <t>60800030</t>
  </si>
  <si>
    <t>60800040</t>
  </si>
  <si>
    <t>60800050</t>
  </si>
  <si>
    <t>60800060</t>
  </si>
  <si>
    <t>60800070</t>
  </si>
  <si>
    <t>60800080</t>
  </si>
  <si>
    <t>61400010</t>
  </si>
  <si>
    <t>61400020</t>
  </si>
  <si>
    <t>61400030</t>
  </si>
  <si>
    <t>61500010</t>
  </si>
  <si>
    <t>61500020</t>
  </si>
  <si>
    <t>61500030</t>
  </si>
  <si>
    <t>61600010</t>
  </si>
  <si>
    <t>61600020</t>
  </si>
  <si>
    <t>61600030</t>
  </si>
  <si>
    <t>61600040</t>
  </si>
  <si>
    <t>61600050</t>
  </si>
  <si>
    <t>61600060</t>
  </si>
  <si>
    <t>61600070</t>
  </si>
  <si>
    <t>61700010</t>
  </si>
  <si>
    <t>61700030</t>
  </si>
  <si>
    <t>61700040</t>
  </si>
  <si>
    <t>61700050</t>
  </si>
  <si>
    <t>61700060</t>
  </si>
  <si>
    <t>61700070</t>
  </si>
  <si>
    <t>61800010</t>
  </si>
  <si>
    <t>61800020</t>
  </si>
  <si>
    <t>61800030</t>
  </si>
  <si>
    <t>61800090</t>
  </si>
  <si>
    <t>61900010</t>
  </si>
  <si>
    <t>61900020</t>
  </si>
  <si>
    <t>61900030</t>
  </si>
  <si>
    <t>61900040</t>
  </si>
  <si>
    <t>61900090</t>
  </si>
  <si>
    <t>62000010</t>
  </si>
  <si>
    <t>62000020</t>
  </si>
  <si>
    <t>62000040</t>
  </si>
  <si>
    <t>62100010</t>
  </si>
  <si>
    <t>62100020</t>
  </si>
  <si>
    <t>62100030</t>
  </si>
  <si>
    <t>62100040</t>
  </si>
  <si>
    <t>62100050</t>
  </si>
  <si>
    <t>62200010</t>
  </si>
  <si>
    <t>62200020</t>
  </si>
  <si>
    <t>62300010</t>
  </si>
  <si>
    <t>62300020</t>
  </si>
  <si>
    <t>62400030</t>
  </si>
  <si>
    <t>62400040</t>
  </si>
  <si>
    <t>62400060</t>
  </si>
  <si>
    <t>62500010</t>
  </si>
  <si>
    <t>62600010</t>
  </si>
  <si>
    <t>62600020</t>
  </si>
  <si>
    <t>62600030</t>
  </si>
  <si>
    <t>62700010</t>
  </si>
  <si>
    <t>62900010</t>
  </si>
  <si>
    <t>62900020</t>
  </si>
  <si>
    <t>63900010</t>
  </si>
  <si>
    <t>Utilities - Electricity Expenses</t>
  </si>
  <si>
    <t>Utilities - Water Expenses</t>
  </si>
  <si>
    <t>Utilities - Oxigent, CO2, Elpiji,  Argon</t>
  </si>
  <si>
    <t>Utilities - Gas PGN (Perusahaan Gas Negara)</t>
  </si>
  <si>
    <t>Steel  Laboratorium Expenses</t>
  </si>
  <si>
    <t>EE - Freight</t>
  </si>
  <si>
    <t>EE - In Land  Transportation</t>
  </si>
  <si>
    <t>EE - Certificate</t>
  </si>
  <si>
    <t>EE - Customs Duty</t>
  </si>
  <si>
    <t>EE - Banking Expenses</t>
  </si>
  <si>
    <t>EE - Insurance</t>
  </si>
  <si>
    <t>EE - Stevedoring Cost</t>
  </si>
  <si>
    <t>EE - Demurage</t>
  </si>
  <si>
    <t>EE - Others</t>
  </si>
  <si>
    <t>IE - Freight</t>
  </si>
  <si>
    <t>IE - In Land  Transportation</t>
  </si>
  <si>
    <t>IE - Certificate</t>
  </si>
  <si>
    <t>IE - Customs Duty</t>
  </si>
  <si>
    <t>IE - Banking Expenses</t>
  </si>
  <si>
    <t>IE - Insurance</t>
  </si>
  <si>
    <t>IE - Stevedoring Cost</t>
  </si>
  <si>
    <t>IE - Demurage</t>
  </si>
  <si>
    <t>IE - Others</t>
  </si>
  <si>
    <t>AE - Material and Gift</t>
  </si>
  <si>
    <t>AE - Exhibition and Sponsorship</t>
  </si>
  <si>
    <t>Ins. Exp. - Insurance of DL Employee</t>
  </si>
  <si>
    <t>Ins. Exp. - Insurance of IDL Employee</t>
  </si>
  <si>
    <t>TL - Others Tax and License</t>
  </si>
  <si>
    <t>Gen. Transp. Freight Local</t>
  </si>
  <si>
    <t>Commission Expense</t>
  </si>
  <si>
    <t>Bank Charges</t>
  </si>
  <si>
    <t>Spareparts Consumption</t>
  </si>
  <si>
    <t>Master Activity Code 
(IO Number)</t>
  </si>
  <si>
    <t>Responsible Cost Center</t>
  </si>
  <si>
    <t>G/L Account</t>
  </si>
  <si>
    <t>Master Activity Description</t>
  </si>
  <si>
    <t>Detail Activity (Spesific detail of activity)</t>
  </si>
  <si>
    <t>Existing Master Activity</t>
  </si>
  <si>
    <t>x</t>
  </si>
  <si>
    <t>Detail Information</t>
  </si>
  <si>
    <t>Indirect material</t>
  </si>
  <si>
    <t>Direct labor</t>
  </si>
  <si>
    <t>Provision for Employee Ben</t>
  </si>
  <si>
    <t>Third Parties Services</t>
  </si>
  <si>
    <t>Utilities</t>
  </si>
  <si>
    <t>Repairs &amp; Maintenance Exp</t>
  </si>
  <si>
    <t>Laboratory Cost</t>
  </si>
  <si>
    <t>Export Expenses</t>
  </si>
  <si>
    <t>Import Expenses</t>
  </si>
  <si>
    <t>Advertising Expenses</t>
  </si>
  <si>
    <t>Training Expenses</t>
  </si>
  <si>
    <t>Insurance Expenses</t>
  </si>
  <si>
    <t>Rental Expenses</t>
  </si>
  <si>
    <t>Postage &amp; Telecom. E</t>
  </si>
  <si>
    <t>Entertainment Expenses</t>
  </si>
  <si>
    <t>Tax and Licenses Expenses</t>
  </si>
  <si>
    <t>Stationery &amp; Supplies Expe</t>
  </si>
  <si>
    <t>Meeting &amp; Ceremony Expense</t>
  </si>
  <si>
    <t>General Transportation Exp</t>
  </si>
  <si>
    <t>Equipment Expenses</t>
  </si>
  <si>
    <t>Membership &amp; Sponsorship</t>
  </si>
  <si>
    <t>Variance</t>
  </si>
  <si>
    <t>Employee Cost</t>
  </si>
  <si>
    <t>Services Expense</t>
  </si>
  <si>
    <t>Repairs &amp; Maintenance Expe</t>
  </si>
  <si>
    <t>Postage &amp; Telecom E</t>
  </si>
  <si>
    <t>Selling / GA</t>
  </si>
  <si>
    <t>BSPL Mapping</t>
  </si>
  <si>
    <t>Salary, wages and allowance</t>
  </si>
  <si>
    <t>Miscellaneous expense</t>
  </si>
  <si>
    <t>Employee benefits</t>
  </si>
  <si>
    <t>Repairs and maintenance</t>
  </si>
  <si>
    <t>Export</t>
  </si>
  <si>
    <t>Import</t>
  </si>
  <si>
    <t>Advertising</t>
  </si>
  <si>
    <t xml:space="preserve">Training </t>
  </si>
  <si>
    <t>Insurance</t>
  </si>
  <si>
    <t>Rental</t>
  </si>
  <si>
    <t>Postage and telecomunication</t>
  </si>
  <si>
    <t>Professional fees</t>
  </si>
  <si>
    <t xml:space="preserve">Entertainment </t>
  </si>
  <si>
    <t>Tax and license</t>
  </si>
  <si>
    <t>Stationery and supplies</t>
  </si>
  <si>
    <t>Meeting and ceremony</t>
  </si>
  <si>
    <t>General transportation</t>
  </si>
  <si>
    <t>Comission Expenses</t>
  </si>
  <si>
    <t>DL Incentives</t>
  </si>
  <si>
    <t>Packing Cost</t>
  </si>
  <si>
    <t>Level of Requirement</t>
  </si>
  <si>
    <t>Type of Expense</t>
  </si>
  <si>
    <t>Supplier / Vendor</t>
  </si>
  <si>
    <t>Basis Calculation
in Original Currency</t>
  </si>
  <si>
    <t>Basis Calculation
(Unit/Qty/Freq/Month)</t>
  </si>
  <si>
    <t>GLLIST</t>
  </si>
  <si>
    <t>Budget Opex Detail</t>
  </si>
  <si>
    <t>50300010</t>
  </si>
  <si>
    <t>50300020</t>
  </si>
  <si>
    <t>50300030</t>
  </si>
  <si>
    <t>50300040</t>
  </si>
  <si>
    <t>50300050</t>
  </si>
  <si>
    <t>50300060</t>
  </si>
  <si>
    <t>50300070</t>
  </si>
  <si>
    <t>50300080</t>
  </si>
  <si>
    <t>50300090</t>
  </si>
  <si>
    <t>50300100</t>
  </si>
  <si>
    <t>50300110</t>
  </si>
  <si>
    <t>50300990</t>
  </si>
  <si>
    <t>50400010</t>
  </si>
  <si>
    <r>
      <t xml:space="preserve">Penambahan expense/aktivitas </t>
    </r>
    <r>
      <rPr>
        <b/>
        <sz val="11"/>
        <color theme="1"/>
        <rFont val="Arial"/>
        <family val="2"/>
      </rPr>
      <t>baru</t>
    </r>
    <r>
      <rPr>
        <sz val="11"/>
        <color theme="1"/>
        <rFont val="Arial"/>
        <family val="2"/>
      </rPr>
      <t>, silahkan mengisi di baris baru, dengan memilih Activity Master yang sesuai dengan jenis aktivitas tersebut.</t>
    </r>
  </si>
  <si>
    <t>Mohon diisi informasi detail yang terkait dengan aktivitas tersebut dan basis perkiraan angka aktivitas terkait. 
Contoh : Budget dihitung bedasarkan agreement sebesar IDR 200juta/bulan. Tagihan akan ditagihkan perquarter, untuk masa sewa 3 bulan.</t>
  </si>
  <si>
    <t>Basis perhitungan nilai assumsi untuk aktivitas ekspense terkait dalam mata uang basis perhitungan. 
Contoh: 957.000.000
Karena per 3 bulan akan ditagihkan sebesar 239 juta rupiah</t>
  </si>
  <si>
    <r>
      <t xml:space="preserve">Basis perhitungan assumsi total </t>
    </r>
    <r>
      <rPr>
        <b/>
        <sz val="11"/>
        <color theme="1"/>
        <rFont val="Arial"/>
        <family val="2"/>
      </rPr>
      <t xml:space="preserve">unit atau periode </t>
    </r>
    <r>
      <rPr>
        <sz val="11"/>
        <color theme="1"/>
        <rFont val="Arial"/>
        <family val="2"/>
      </rPr>
      <t>atas aktivitas terkait.
Contoh: 12
Karena masa sewa akan dilakukan selama 12 bulan.</t>
    </r>
  </si>
  <si>
    <r>
      <t xml:space="preserve">Basis perhitungan </t>
    </r>
    <r>
      <rPr>
        <b/>
        <sz val="11"/>
        <color theme="1"/>
        <rFont val="Arial"/>
        <family val="2"/>
      </rPr>
      <t>Harga</t>
    </r>
    <r>
      <rPr>
        <sz val="11"/>
        <color theme="1"/>
        <rFont val="Arial"/>
        <family val="2"/>
      </rPr>
      <t xml:space="preserve"> assumsi per unit atas aktivitas terkait.
Contoh: 79.750.000
Harga perbulan bedasarkan kontrak</t>
    </r>
  </si>
  <si>
    <t>Diisi informasi terkait dengan vendor &amp; supplier jika menggunakan jasa pihak ketiga</t>
  </si>
  <si>
    <t>Level prioritas dari aktivitas tersebut:
  - Essentials : Aktivitas wajib dan harus ada untuk mendukung pekerjaan dan berjalannya aktivitas bisnis perusahaan. Contoh: 
  - Moderate :  Aktivitas penting dan menunjang berjalannya bisnis perusahaan. Contoh : Biaya konsultan research yang tidak wajib dari pemerintah namun membantu menunjang keputusan/aktivitas bisnis yang dilakukan. 
  - Not Essentials : Aktivitas tidak wajib. Contoh : Penyewaan alat event.</t>
  </si>
  <si>
    <t>Activity Master</t>
  </si>
  <si>
    <t>Terdapat 2 bagian pada sheet ini.</t>
  </si>
  <si>
    <t>Bagian 1. Existing Master Activity</t>
  </si>
  <si>
    <t>Jika terdapat aktivitas baru yang belum mempunyai master activity.</t>
  </si>
  <si>
    <t>Nomor Ledger SAP bedasarkan nature dari aktivitas tersebut. List Ledger dapat dilihat di table 3.1 List Ledger Opex.</t>
  </si>
  <si>
    <t>Harap diisi dengan kode SAP cost center sesuai dengan cost center department masing-masing.</t>
  </si>
  <si>
    <t>Master Activity Code</t>
  </si>
  <si>
    <r>
      <t xml:space="preserve">Diisi dengan 11 digit kode aktivitas yang ingin diajukan. Susunan aktivitas wajib berisi sebagai berikut 
Kode aktivitas XXXXX-YYYYY
- </t>
    </r>
    <r>
      <rPr>
        <b/>
        <sz val="11"/>
        <color theme="1"/>
        <rFont val="Arial"/>
        <family val="2"/>
      </rPr>
      <t xml:space="preserve">XXXXX </t>
    </r>
    <r>
      <rPr>
        <sz val="11"/>
        <color theme="1"/>
        <rFont val="Arial"/>
        <family val="2"/>
      </rPr>
      <t>: 5 kode awal adalah 5 digit terakhir kode cost center.  
  Contoh: cost center 10301HR001, maka kode tersebut berawalan HR001
-</t>
    </r>
    <r>
      <rPr>
        <b/>
        <sz val="11"/>
        <color theme="1"/>
        <rFont val="Arial"/>
        <family val="2"/>
      </rPr>
      <t xml:space="preserve">YYYYY </t>
    </r>
    <r>
      <rPr>
        <sz val="11"/>
        <color theme="1"/>
        <rFont val="Arial"/>
        <family val="2"/>
      </rPr>
      <t xml:space="preserve">: 5 kode terakhir adalah running number dari aktivitas yang sudah ada, jika kode aktivitas master terkahir adalah 00071 maka aktivitas yang baru diisi dengan 00072.
Maka kode aktivitas yang diisi akan menjadi </t>
    </r>
    <r>
      <rPr>
        <b/>
        <sz val="11"/>
        <color theme="1"/>
        <rFont val="Arial"/>
        <family val="2"/>
      </rPr>
      <t>HR001-00072</t>
    </r>
    <r>
      <rPr>
        <sz val="11"/>
        <color theme="1"/>
        <rFont val="Arial"/>
        <family val="2"/>
      </rPr>
      <t>.</t>
    </r>
  </si>
  <si>
    <t>Biaya operasional listrik terkait dengan Head Office.
Contoh : listrik head office</t>
  </si>
  <si>
    <t>Biaya operasional air terkait dengan Head Office.
Contoh : biaya penggunaan air sungai</t>
  </si>
  <si>
    <t>Biaya operasional gas terkait dengan Head Office.
Contoh : biaya penggunaan air sungai</t>
  </si>
  <si>
    <t>Biaya atas premi asuransi gedung dan infrasruktur.
Contoh : Biaya Asuransi Property all risk (PAR) PT GRP</t>
  </si>
  <si>
    <t>Biaya atas premi asuransi mesin.
Contoh : Biaya Asuransi Machinery Breakdown (MB) PT GRP</t>
  </si>
  <si>
    <t>Biaya atas premi asuransi kendaraan.
Note: 	untuk kendaraan perusahaan
Contoh : Biaya Premi kendaraan bermotor PT GRP No Polisi B 9705 GY</t>
  </si>
  <si>
    <t>Biaya atas premi asuransi atas tanggung jawab produk dan masyarakat.
Note: 	untuk produk dan pernyataan publik
Contoh : Biaya Premi asuransi publik dan produk liability</t>
  </si>
  <si>
    <t>Biaya atas premi kesehatan karyawan produksi.
Note: 	untuk karyawan produksi
Contoh : Biaya Premi kesehatan karyawan produksi</t>
  </si>
  <si>
    <t>Biaya atas premi kesehatan karyawan Head Office.
Note: 	untuk karyawan Head Office
Contoh : Biaya Premi kesehatan karyawan Head Office</t>
  </si>
  <si>
    <t>Biaya atas premi asuransi lainnya, yang tidak dapat selain golongan asuransi di atas.</t>
  </si>
  <si>
    <t>Biaya yang terkait dengan pengiriman barang ke customer lokal</t>
  </si>
  <si>
    <t>Biaya komisi penjualan</t>
  </si>
  <si>
    <t>Sales Marketing</t>
  </si>
  <si>
    <t>Naming Check</t>
  </si>
  <si>
    <t>Reviewed by:</t>
  </si>
  <si>
    <t>(Yohanes Yamin)</t>
  </si>
  <si>
    <t>PETUNJUK PENGISIAN ANGGARAN TAHUNAN (MASTER BUDGET) PERIODE 2025</t>
  </si>
  <si>
    <t>Rencana Aktivitas yang akan dilakukan di tahun 2025</t>
  </si>
  <si>
    <t>Periode di mana biaya tersebut akan digunakan di tahun 2025</t>
  </si>
  <si>
    <t>Jika terdapat Purchase Order yang masih akan menggantung dan belum terealisasi hingga akhir tahun (belum di GRN), harap menambahkan sebagai aktivitas yang akan terjadi di 2025.</t>
  </si>
  <si>
    <t>Jan - Dec 2025</t>
  </si>
  <si>
    <t>Bagian 2. Proposed New Activity 2025</t>
  </si>
  <si>
    <t>Outstanding Purchase Order di tahun 2024 yang akan direalisasikan di 2025 (Open Purchase Order sampai akhir tahun)</t>
  </si>
  <si>
    <t>Anggaran tahunan 2024</t>
  </si>
  <si>
    <t>Realisasi anggaran (aktual biaya) selama periode 2024</t>
  </si>
  <si>
    <t>Kode Master Activity atau Internal Order Number. 
Untuk list activity yang sudah terdaftar di tahun 2024 bisa dilihat di sheet Activity Master.
Dan untuk penambahan aktifitas baru bisa di daftarkan di sheet Activity Master.
Note : Kode Master Activity harus valid agar expense dapat tercatat dan dapat dipantau lebih mudah.</t>
  </si>
  <si>
    <t>Actual Realisation 
(Jan-Aug 2024)</t>
  </si>
  <si>
    <t>Aktual biaya Januari - Agustus 2024.
- Tidak perlu diisi
- Disajikan dalam mata uang USD</t>
  </si>
  <si>
    <t>Outstanding PO 2024</t>
  </si>
  <si>
    <t>Aktivitas yang sudah terdaftar selama tahun 2024.</t>
  </si>
  <si>
    <t>Jumlah anggaran per ledger yang disetujui di tahun 2024.
- Tidak perlu diisi
- Disajikan dalam mata uang USD
  (asumsi 1 USD = Rp15.000)</t>
  </si>
  <si>
    <t>61900050</t>
  </si>
  <si>
    <t>PF - Management Fee</t>
  </si>
  <si>
    <t>Biaya jasa manajemen</t>
  </si>
  <si>
    <t>Sales &amp; Procurement</t>
  </si>
  <si>
    <t>Good Corporate Governance</t>
  </si>
  <si>
    <t>Finance &amp; Accounting</t>
  </si>
  <si>
    <t>Weighbridge</t>
  </si>
  <si>
    <t>ESG (CSR)</t>
  </si>
  <si>
    <t>Government Relation</t>
  </si>
  <si>
    <t>Project Name / Capex Name</t>
  </si>
  <si>
    <t>Detail Activity / Project Description</t>
  </si>
  <si>
    <t>Priority</t>
  </si>
  <si>
    <t>Basis Calculation</t>
  </si>
  <si>
    <t>Estimation Start Date</t>
  </si>
  <si>
    <t>Estimation Finish Date</t>
  </si>
  <si>
    <t>Additional Remarks</t>
  </si>
  <si>
    <t>Centralized to</t>
  </si>
  <si>
    <t>10131PP001</t>
  </si>
  <si>
    <t>10131PP009</t>
  </si>
  <si>
    <t>10131PP010</t>
  </si>
  <si>
    <t>10131PS001</t>
  </si>
  <si>
    <t>10131PS002</t>
  </si>
  <si>
    <t>10131PS003</t>
  </si>
  <si>
    <t>10131PS004</t>
  </si>
  <si>
    <t>10131PS006</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</si>
  <si>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</si>
  <si>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</si>
  <si>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</si>
  <si>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</si>
  <si>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</si>
  <si>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</si>
  <si>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</si>
  <si>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</si>
  <si>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</si>
  <si>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</si>
  <si>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</si>
  <si>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</si>
  <si>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</si>
  <si>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</si>
  <si>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</si>
  <si>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10101PS002</t>
  </si>
  <si>
    <t>10101PS003</t>
  </si>
  <si>
    <t>10101PS004</t>
  </si>
  <si>
    <t>10101PS005</t>
  </si>
  <si>
    <t>10101PS006</t>
  </si>
  <si>
    <t>10101PS007</t>
  </si>
  <si>
    <t>10101PS008</t>
  </si>
  <si>
    <t>10103PP001</t>
  </si>
  <si>
    <t>BP1 PRODUCTION DEPT</t>
  </si>
  <si>
    <t>10103PP009</t>
  </si>
  <si>
    <t>BP1 REPAIR</t>
  </si>
  <si>
    <t>10103PP010</t>
  </si>
  <si>
    <t>BP1 ROLLER</t>
  </si>
  <si>
    <t>10103PS001</t>
  </si>
  <si>
    <t>10103PS002</t>
  </si>
  <si>
    <t>10103PS003</t>
  </si>
  <si>
    <t>10103PS004</t>
  </si>
  <si>
    <t>10103PS006</t>
  </si>
  <si>
    <t>BP1 CRANE DEPARTMENT</t>
  </si>
  <si>
    <t>CEM</t>
  </si>
  <si>
    <t>PPIC</t>
  </si>
  <si>
    <t>10202SU006</t>
  </si>
  <si>
    <t>10202SU007</t>
  </si>
  <si>
    <t>FA - Land and Landright</t>
  </si>
  <si>
    <t>FA - Building and Structure</t>
  </si>
  <si>
    <t>FA - Machinery and Equipment</t>
  </si>
  <si>
    <t>FA - Equipment and Supplies</t>
  </si>
  <si>
    <t>FA - Heavy Equipment</t>
  </si>
  <si>
    <t>FA - Vehicles</t>
  </si>
  <si>
    <t>FA - Furniture and Fixtures</t>
  </si>
  <si>
    <t>FA - Office and Other Equipment</t>
  </si>
  <si>
    <t>FA - Leasehold improvement</t>
  </si>
  <si>
    <t>FA - Overhaul Asset</t>
  </si>
  <si>
    <t>Intangible Asset - Licence</t>
  </si>
  <si>
    <t>FA - LVA Office and Other Equipment</t>
  </si>
  <si>
    <t>FA - Assets Under Construction - Building</t>
  </si>
  <si>
    <t>FA - Assets Under Construction - Machinery</t>
  </si>
  <si>
    <t>FA - Assets Under Construction - Equipment</t>
  </si>
  <si>
    <t>FA - Assets Under Construction - Heavy Equipment</t>
  </si>
  <si>
    <t>FA-Assets Under Construction-Leasehold improvement</t>
  </si>
  <si>
    <t>Biaya perolehan atas tanah dan/atau hak guna atas tanah</t>
  </si>
  <si>
    <t>Biaya perolehan awal atas gedung/bangunan yang dimiliki oleh Perusahaan untuk digunakan dalam kegiatan produksi dan/atau operasional, dan dalam kondisi siap digunakan. Contoh : bangunan pabrik, gedung kantor, mess,dll. Biaya perolehan yang termaksud dalam capex Building &amp; Structure dengan nilai &gt; USD 10.000 / (IDR 150,000,000).</t>
  </si>
  <si>
    <t>Biaya perolehan atas peralatan dan mesin yang dimiliki oleh Perusahaan untuk digunakan dalam kegiatan produksi dan/atau operasional, dan dalam kondisi siap digunakan. Contoh : mesin produksi. Biaya perolehan yang termaksud dalam capex Machinery &amp; Equipment dengan nilai &gt; USD 10.000 / (DR 150,000,000).</t>
  </si>
  <si>
    <t>Biaya perolehan atas peralatan pabrik. (roll, bearing dll) dengan nilai &gt; USD 10.000  / (IDR 150,000,000).</t>
  </si>
  <si>
    <t>Biaya perolehan atas alat berat yang dimiliki oleh Perusahaan untuk digunakan dalam kegiatan produksi dan/atau operasional, dan dalam kondisi siap digunakan. Biaya perolehan yang termaksud dalam capex Heavy Equipment dengan nilai &gt; USD 10.000 / (IDR 150,000,000).</t>
  </si>
  <si>
    <t>Biaya perolehan atas kendaraan yang dimiliki oleh Perusahaan untuk digunakan dalam kegiatan produksi dan/atau operasional, dan dalam kondisi siap digunakan. 
Contoh : biaya pembelian truk, mobil &amp; motor inventaris kantor
Biaya perolehan yang termaksud dalam capex Vehicles dengan nilai &gt; USD 700 / (IDR 10,000,000).</t>
  </si>
  <si>
    <t>Biaya perolehan atas perabotan dan perlengkapan dengan nilai &gt; USD 175 (Rp 2,500,000)
Contoh : pembelian meja, kursi, furnitur lain dengan masa manfaat lebih dari satu tahun yang digunakan untuk operasional kantor/mess</t>
  </si>
  <si>
    <t>Biaya perolehan atas peralatan kantor dengan nilai &gt; USD 525 (Rp7,500,000)
Contoh : laptop, komputer</t>
  </si>
  <si>
    <t>Biaya pengembangan atau penambahan atas tanah atau bangunan yang dilakukan dan dibiayai oleh penyewa.</t>
  </si>
  <si>
    <t>Biaya penggantian salah satu part mesin dengan biaya yang signifikan</t>
  </si>
  <si>
    <t>Biaya perolehan atas peralatan kantor dengan nilai &gt; USD 175 (IDR2,500,000) and &lt; USD 525 (IDR7,500,000)
Contoh : laptop, komputer</t>
  </si>
  <si>
    <t>CAPEX</t>
  </si>
  <si>
    <t>FIXED ASSET</t>
  </si>
  <si>
    <t>GL Account</t>
  </si>
  <si>
    <t>LSM</t>
  </si>
  <si>
    <t>SMS1</t>
  </si>
  <si>
    <t>Sequence Number</t>
  </si>
  <si>
    <t>Classification</t>
  </si>
  <si>
    <t>BP</t>
  </si>
  <si>
    <t>BU</t>
  </si>
  <si>
    <t>SSC</t>
  </si>
  <si>
    <t>SU</t>
  </si>
  <si>
    <t>Sheet 2 : Capex &amp; Project Detail</t>
  </si>
  <si>
    <t>Capex &amp; Project Detail</t>
  </si>
  <si>
    <t>Diisi bila department/divisi terkait mempunyai capex/project budget untuk periode ini.</t>
  </si>
  <si>
    <t>Nomor akun di system SAP.
- Mohon diisi sesuai dengan budget yang diajukan.
- Penjelasan Ledger untuk Capex &amp; Project silahkan lihat di Table 2.1</t>
  </si>
  <si>
    <t>Profit Center / Cost Center</t>
  </si>
  <si>
    <t>Nomor Profit Center / Cost Center dalam system SAP:
- BU : Mohon diisi cost center sesuai dengan budget capex BU terkait.
- SU : Mohon diisi cost center sesuai dengan budget capex SU terkait.
- HO :  Mohon diisi cost center sesuai dengan budget capex HO terkait.
- Project : Mohon diisi apabila ada Project baru.</t>
  </si>
  <si>
    <t>Expense / Nama Project</t>
  </si>
  <si>
    <t xml:space="preserve">Diisi dengan deskripsi jenis capex/project yang dibudgetkan.
 Contoh:
   - Beautification of Factory
   - Laptop
   - Plant Upgrade and Modification </t>
  </si>
  <si>
    <t>Detail Activity</t>
  </si>
  <si>
    <t xml:space="preserve">Diisi dengan detail aktivitas untuk project yang dibudgetkan. Didetailkan perlines (jumlah row menjadi sesuai dengan detail aktivitas.
 Contoh:
</t>
  </si>
  <si>
    <t>Jumlah anggaran per ledger yang disetujui di tahun 2024
- Tidak perlu diisi
- Disajikan dalam mata uang USD
  (asumsi 1 USD = Rp15.000)</t>
  </si>
  <si>
    <t>Actual Realisation 
(Jan-Jul 2024)</t>
  </si>
  <si>
    <t>2026-2034</t>
  </si>
  <si>
    <t>Jumlah anggaran per ledger dan per tahun yang dibutuhkan jika perkiraan project &amp; biaya project melewati periode tahun 2025. Diisi dengan perkiraan pertahunnya hingga project selesai.</t>
  </si>
  <si>
    <t>Level prioritas budget:
  - 1 High priority, diisi untuk aktivitas dan biaya yg sudah berulang. 
  - 2 Medium priority, diisi untuk aktivitas dan biaya yg diprediksi kemungkinan besar akan terjadi di tahun anggaran tersebut
  - 3 Low priority, diisi dengan aktivitas dan biaya cadangan</t>
  </si>
  <si>
    <t>Basis perhitungan nilai assumsi untuk aktivitas project/capex terkait.</t>
  </si>
  <si>
    <t>Estimasi / target Project dimulai</t>
  </si>
  <si>
    <t xml:space="preserve">Estimasi / target Project selesai </t>
  </si>
  <si>
    <t>Diisi informasi detail yang ingin ditambahkan.</t>
  </si>
  <si>
    <t>Jika Capex/Project disentralisasi ke BU/Departement lain, silahkan pilih department terkait.
  - Jika tidak sentralisasi, silahkan kosongkan.
  - Sentralisasi hanya untuk capex/project yang terkait dengan department HR, IT, dan GA.</t>
  </si>
  <si>
    <t>Table 2.1. List Ledger Capex / Project</t>
  </si>
  <si>
    <t xml:space="preserve">Biaya perolehan atas pembelian lisence </t>
  </si>
  <si>
    <t>Aset bangunan dalam pengerjaan (% penyelesaian belum mencapai 100%), saat telah mencapai 100% akan dipindah ke FA - Building and Structure</t>
  </si>
  <si>
    <t>Aset mesin dalam pengerjaan (% penyelesaian belum mencapai 100%), saat telah mencapai 100% akan dipindah ke FA - Machinery and Equipment</t>
  </si>
  <si>
    <t>Aset peralatan dalam pengerjaan (% penyelesaian belum mencapai 100%), saat telah mencapai 100% akan dipindah ke FA -  Equipment</t>
  </si>
  <si>
    <t>Aset alat berat dalam pengerjaan (% penyelesaian belum mencapai 100%), saat telah mencapai 100% akan dipindah ke FA -  Heavy Equipment</t>
  </si>
  <si>
    <t>Aset pengembangan atau penambahan atas tanah atau bangunan (oleh  pihak penyewa) dalam pengerjaan (% penyelesaian belum mencapai 100%), saat telah mencapai 100% akan dipindah ke FA -  Leasehold Improvement</t>
  </si>
  <si>
    <t>FA-Assets Under Construction - Intangible Asset</t>
  </si>
  <si>
    <t>Aset lisence / system dalam pengerjaan (oleh  pihak penyewa) dalam pengerjaan (% penyelesaian belum mencapai 100%), saat telah mencapai 100% akan dipindah ke Intangible Asset - Lisence</t>
  </si>
  <si>
    <r>
      <t>- CAPEX</t>
    </r>
    <r>
      <rPr>
        <sz val="11"/>
        <color rgb="FF000000"/>
        <rFont val="Arial"/>
        <family val="2"/>
      </rPr>
      <t xml:space="preserve"> DETAIL</t>
    </r>
  </si>
  <si>
    <r>
      <t xml:space="preserve">- </t>
    </r>
    <r>
      <rPr>
        <sz val="11"/>
        <color rgb="FF000000"/>
        <rFont val="Arial"/>
        <family val="2"/>
      </rPr>
      <t>ACTIVITY MASTER</t>
    </r>
    <r>
      <rPr>
        <sz val="11"/>
        <color theme="1"/>
        <rFont val="Arial"/>
        <family val="2"/>
      </rPr>
      <t xml:space="preserve"> OPEX</t>
    </r>
  </si>
  <si>
    <t>Sheet 4 : Activity Master</t>
  </si>
  <si>
    <t>Ledger Account</t>
  </si>
  <si>
    <t>Description</t>
  </si>
  <si>
    <t>High</t>
  </si>
  <si>
    <t>Medium</t>
  </si>
  <si>
    <t>Low</t>
  </si>
  <si>
    <t>Recurring activities</t>
  </si>
  <si>
    <t>aktivitas dan biaya yg diprediksi kemungkinan besar akan terjadi di tahun anggaran tersebut</t>
  </si>
  <si>
    <t>aktivitas dan biaya cadangan</t>
  </si>
  <si>
    <t>Supporting Document</t>
  </si>
  <si>
    <t>Internal Memo</t>
  </si>
  <si>
    <t>Marketplace</t>
  </si>
  <si>
    <t>RAB</t>
  </si>
  <si>
    <t>Vendor Quotation</t>
  </si>
  <si>
    <t>(Nazla Sagita)</t>
  </si>
  <si>
    <t>(Catherine Sandra)</t>
  </si>
  <si>
    <t>(Mamoru Nakata)</t>
  </si>
  <si>
    <t>(Tony Taniwan)</t>
  </si>
  <si>
    <t>FINANCIAL PLANNING &amp; TRANSACTION SENIOR MANAGER</t>
  </si>
  <si>
    <t>Approved by :</t>
  </si>
  <si>
    <t>Prepared by:</t>
  </si>
  <si>
    <t>IDR</t>
  </si>
  <si>
    <t>Original Currency 
(USD/IDR)</t>
  </si>
  <si>
    <t>Original Currency Value</t>
  </si>
  <si>
    <t>QAQC</t>
  </si>
  <si>
    <t>HRGA &amp; HSE</t>
  </si>
  <si>
    <t>FA004-00008</t>
  </si>
  <si>
    <t>FA004-00005</t>
  </si>
  <si>
    <t>FA004-00007</t>
  </si>
  <si>
    <t>FA004-00009</t>
  </si>
  <si>
    <t>Subscription - Data Sourcing</t>
  </si>
  <si>
    <t>PF - Projection Consulting</t>
  </si>
  <si>
    <t xml:space="preserve"> FINANCIAL PLANNING &amp; ANALYSIS </t>
  </si>
  <si>
    <t>Jumlah anggaran per ledger dan per bulan yang dibutuhkan di tahun 2025
- Disajikan dalam mata uang USD
  (asumsi 1 USD = Rp15.800)
- Nilai yang dibudgetkan adalah nilai DPP(exclude PPn)
- Nilai yang diisi didetailkan berdasakan detail aktivitas</t>
  </si>
  <si>
    <t>Sheet 3 : Opex - Budget Detail</t>
  </si>
  <si>
    <t>Diisi dengan penjalasan aktivitas yang lebih detail
Untuk available activity, detail sudah diisi di sheet Activity Master Opex
Untuk activity baru yang akan diajukan di 2025, mohon agar menambahkan juga penjelasan di sheet Activity Master Opex</t>
  </si>
  <si>
    <t>Jumlah anggaran per ledger dan per bulan yang dibutuhkan di tahun 2025.
- Disajikan dalam mata uang USD
  (asumsi 1 USD = Rp15.800)
- Nilai yang dibudgetkan adalah nilai DPP (exclude PPn)
- Nilai yang diisi didetailkan berdasakan detail aktivitas</t>
  </si>
  <si>
    <t>Isi dengan "Outstanding PO" hanya jika aktivitas merupakan PO yang menggantung hingga akhir tahun 2024 dan terealisasi di 2025.</t>
  </si>
  <si>
    <t>Pilihan terkait dengan type aktivitas:
- Monthly Recurring : Jika aktivitas dilakukan setiap bulan, contoh : Sewa Mobil
- Periodically (Quarterly/Yearly) Recurring : Jika aktivitas dilakukan setiap tahun / kuarter. Contoh : Audit Professional Fee
- One Off : Jika aktivitas dilakukan hanya karena tujuan khusus. Contoh : biaya konsultan dengan tujuan khusus yang hanya dilakukan sekali saja dan tidak berulang ditahun selanjutnya.
- Conditional : Aktivitas yang hampir setiap tahun ada, namun biaya aktivitasnya tidak menentu. Contoh : Biaya notaris</t>
  </si>
  <si>
    <t>Diisi dengan max 40 karakter nama aktivitas yang ingin diajukan</t>
  </si>
  <si>
    <t>Diisi dengan tambahan detail penjelasan atas aktivitas yang ingin diajukan
Misal : 
- Activity : Rental - Fortuner
- Remarks : monthly rental car for BoD based on Working Contract</t>
  </si>
  <si>
    <t>Reason for increase/decrease</t>
  </si>
  <si>
    <t>Control</t>
  </si>
  <si>
    <t>Business Trip to attend conference, external training, etc</t>
  </si>
  <si>
    <t>Yearly subscription for data sourcing</t>
  </si>
  <si>
    <t>Professional fee for projection consulting assistance</t>
  </si>
  <si>
    <t xml:space="preserve">Lembar kerja anggaran tahunan (master budget template) dibuat dengan menyesuaikan struktur organisasi per Juli 2024 serta cost center terkait </t>
  </si>
  <si>
    <t>Table1.1. List Direktorat:
(menyesuaikan struktur organisasi per Juli 2024)</t>
  </si>
  <si>
    <t>Table1.2. List Divisi / Departement :
(menyesuaikan struktur organisasi per Juli 2024)</t>
  </si>
  <si>
    <t>Aktual biaya January - Juli 2024
- Tidak perlu diisi
- Disajikan dalam mata uang USD</t>
  </si>
  <si>
    <t>Deputy Head Of Finance</t>
  </si>
  <si>
    <t>Deputy President Director</t>
  </si>
  <si>
    <t>President Director</t>
  </si>
  <si>
    <t>Board Of Commisioners</t>
  </si>
  <si>
    <t>Board Of Director</t>
  </si>
  <si>
    <t>Mohon kirimkan Lembar kerja anggaran tahunan (master budget template) yang telah disetujui ke Budget&amp;Analysis Departemen paling lambat tanggal 30 Agustus 2024.</t>
  </si>
  <si>
    <t>Sheet 2 : Capex Detail</t>
  </si>
  <si>
    <t>Original Currency</t>
  </si>
  <si>
    <t>Diisi informasi nominal sesuai mata uang asli</t>
  </si>
  <si>
    <t>General Guidances</t>
  </si>
  <si>
    <t>Estimated / target project start date</t>
  </si>
  <si>
    <t>Estimated / target project completion date</t>
  </si>
  <si>
    <t>Payment Terms</t>
  </si>
  <si>
    <t>Diisi informasi syarat pembayaran untuk aktivitas project/capex terkait.</t>
  </si>
  <si>
    <t>Section 1. Existing Master Activity</t>
  </si>
  <si>
    <t>Membership fees</t>
  </si>
  <si>
    <t>IT ANALYTICS</t>
  </si>
  <si>
    <t>General Manager Finance &amp; Accounting</t>
  </si>
  <si>
    <t>Total 2026</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</si>
  <si>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</si>
  <si>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</si>
  <si>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</si>
  <si>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</si>
  <si>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</si>
  <si>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</si>
  <si>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</si>
  <si>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</si>
  <si>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</si>
  <si>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</si>
  <si>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</si>
  <si>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</si>
  <si>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PD Office</t>
  </si>
  <si>
    <t>PETUNJUK PENGISIAN ANGGARAN TAHUNAN (MASTER BUDGET) PERIODE 2026</t>
  </si>
  <si>
    <t>Rencana Aktivitas yang akan dilakukan di tahun 2026</t>
  </si>
  <si>
    <t>Jan - Dec 2026</t>
  </si>
  <si>
    <t>Jika terdapat Purchase Order yang masih akan menggantung dan belum terealisasi hingga akhir tahun (belum di GRN), harap menambahkan sebagai aktivitas yang akan terjadi di 2026.</t>
  </si>
  <si>
    <t>Bagian 2. Proposed New Activity 2026</t>
  </si>
  <si>
    <t xml:space="preserve">Lembar kerja anggaran tahunan (master budget template) dibuat dengan menyesuaikan struktur organisasi per Juli 2025 serta cost center terkait </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</si>
  <si>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</si>
  <si>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</si>
  <si>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</si>
  <si>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</si>
  <si>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</si>
  <si>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Budget 2025</t>
  </si>
  <si>
    <t>Outstanding PO 2025</t>
  </si>
  <si>
    <t>Aktivitas yang sudah terdaftar selama tahun 2025.</t>
  </si>
  <si>
    <t>Jumlah anggaran per ledger dan per bulan yang dibutuhkan di tahun 2026
- Disajikan dalam mata uang IDR
- Nilai yang dibudgetkan adalah nilai DPP(exclude PPn)
- Nilai yang diisi didetailkan berdasakan detail aktivitas</t>
  </si>
  <si>
    <t>GUIDANCES FOR FILLING OUT THE ANNUAL BUDGET (MASTER BUDGET) FOR THE PERIOD 2026</t>
  </si>
  <si>
    <t>Section 2. Proposed New Activity 2026</t>
  </si>
  <si>
    <t>Proposed New Activity 2026</t>
  </si>
  <si>
    <t>Annual Budget 2025</t>
  </si>
  <si>
    <t>Actual
(Jan-Jul 2025)</t>
  </si>
  <si>
    <t>Annual Budget
2026</t>
  </si>
  <si>
    <t>New Activity 2026</t>
  </si>
  <si>
    <t>Amount Budget 2026
(Original Currency)</t>
  </si>
  <si>
    <t>Amount Budget 2026
(IDR)</t>
  </si>
  <si>
    <t>Outstanding PO 2025
(Realised in 2026)
PO Number</t>
  </si>
  <si>
    <t>Outstanding PO 2025
(Realised in 2026)
IDR</t>
  </si>
  <si>
    <t>Proposed Budget 2026 + Outstanding PO 2025
IDR</t>
  </si>
  <si>
    <t>Financial Planning &amp; Analysis Manager</t>
  </si>
  <si>
    <t>Actual Realisation 
(Jan-Jul 2025)</t>
  </si>
  <si>
    <t>Aktual biaya Januari - Juli 2025.
- Tidak perlu diisi
- Disajikan dalam mata uang IDR</t>
  </si>
  <si>
    <t>Amount
(IDR)</t>
  </si>
  <si>
    <t>Why this budget required?
(Justification)</t>
  </si>
  <si>
    <t>Proposed Delete/close Activity 2026</t>
  </si>
  <si>
    <r>
      <t>Dasar penyusunan anggaran tahunan (</t>
    </r>
    <r>
      <rPr>
        <i/>
        <sz val="11"/>
        <rFont val="Aptos Narrow"/>
        <family val="2"/>
      </rPr>
      <t>Master Budget</t>
    </r>
    <r>
      <rPr>
        <sz val="11"/>
        <rFont val="Aptos Narrow"/>
        <family val="2"/>
      </rPr>
      <t>) dapat mempertimbangkan:</t>
    </r>
  </si>
  <si>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</si>
  <si>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</si>
  <si>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</si>
  <si>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</si>
  <si>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</si>
  <si>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Harap isi masing-masing bagian sesuai urutan dibawah dan harap mengisi kolom yang berwarna </t>
    </r>
    <r>
      <rPr>
        <b/>
        <sz val="11"/>
        <color theme="1"/>
        <rFont val="Aptos Narrow"/>
        <family val="2"/>
      </rPr>
      <t>putih</t>
    </r>
    <r>
      <rPr>
        <sz val="11"/>
        <color theme="1"/>
        <rFont val="Aptos Narrow"/>
        <family val="2"/>
      </rPr>
      <t>.</t>
    </r>
  </si>
  <si>
    <t>Electrical</t>
  </si>
  <si>
    <t>Mechanical</t>
  </si>
  <si>
    <t xml:space="preserve">HRGA </t>
  </si>
  <si>
    <t>Nomor akun di system SAP.
- Mohon diisi sesuai dengan tipe aset atas budget yang diajukan.
- Penjelasan Ledger untuk Capex &amp; Project silahkan lihat di Table 2.1</t>
  </si>
  <si>
    <t>Nomor Profit Center / Cost Center dalam system SAP:
- BU : Mohon diisi cost center sesuai dengan budget capex BU terkait.
- SU : Mohon diisi cost center sesuai dengan budget capex SU terkait.
- HO :  Mohon diisi cost center sesuai dengan budget capex HO terkait.</t>
  </si>
  <si>
    <t>Deskripsi</t>
  </si>
  <si>
    <t>Penjelasan</t>
  </si>
  <si>
    <t>Directorate/ Division</t>
  </si>
  <si>
    <t>IT Infrastructure</t>
  </si>
  <si>
    <t>Diisi dengan:
- HO untuk department Head Office
- BU untuk department Business Unit
- SU untuk department Support Unit</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</si>
  <si>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</si>
  <si>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</si>
  <si>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</si>
  <si>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</si>
  <si>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</si>
  <si>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</si>
  <si>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Periode di mana biaya tersebut akan digunakan di tahun 2026 (PO, GRN, Invoice)</t>
  </si>
  <si>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</si>
  <si>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</si>
  <si>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</si>
  <si>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</si>
  <si>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</si>
  <si>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</si>
  <si>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Justifikasi atas budget yang diajukan, mengapa membutuhkan budget ini</t>
  </si>
  <si>
    <t>Why this budget required? (Justification)</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</si>
  <si>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</si>
  <si>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</si>
  <si>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</si>
  <si>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</si>
  <si>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</si>
  <si>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</si>
  <si>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</si>
  <si>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</si>
  <si>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</si>
  <si>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</si>
  <si>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</si>
  <si>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</si>
  <si>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Renovasi lokasi sewa (oleh perusahaan) yang masih dalam proses pengerjaan.</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</si>
  <si>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</si>
  <si>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</si>
  <si>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</si>
  <si>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</si>
  <si>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 xml:space="preserve">	Pengembangan software/internal tools yang belum selesai. Akan dikapitalisasi ke Intangible Asset setelah selesai. nilai &gt; USD 10.000 / IDR 150.000.000.</t>
  </si>
  <si>
    <t>Untuk menentukan apakah barang termasuk kategori aset, mohon melakukan pengecekan di kuesioner berikut:</t>
  </si>
  <si>
    <t>w</t>
  </si>
  <si>
    <t>Asset determination</t>
  </si>
  <si>
    <t>Justification of the budget</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</si>
  <si>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</si>
  <si>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</si>
  <si>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</si>
  <si>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</si>
  <si>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</si>
  <si>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</si>
  <si>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</si>
  <si>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</si>
  <si>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</si>
  <si>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Jika nilai kontrak dalam bentuk total, tulis di sini. 
Contoh: Rp957 juta dibayar per 3 bulan.</t>
  </si>
  <si>
    <t>Harga per unit dari kontrak. 
Contoh: Rp79.750.000 per bulan.</t>
  </si>
  <si>
    <t>Terdapat 3 bagian pada sheet ini.</t>
  </si>
  <si>
    <t>Bagian 3. Proposed Close existing Activity 2026</t>
  </si>
  <si>
    <t>[1]</t>
  </si>
  <si>
    <t>[2]</t>
  </si>
  <si>
    <t>[3]</t>
  </si>
  <si>
    <t xml:space="preserve">	Jelaskan dasar perhitungan anggaran. 
Contoh: Sewa Rp200 juta/bulan, ditagih per kuartal untuk masa 3 bulan.</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</si>
  <si>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</si>
  <si>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</si>
  <si>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</si>
  <si>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t>Jelaskan aktivitasnya lebih detail, misalnya:
Activity: Rental - Fortuner
Remarks: Monthly rental car for BoD, sesuai kontrak kerja</t>
  </si>
  <si>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</si>
  <si>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Business Unit (BU)</t>
  </si>
  <si>
    <t>Service Unit (SU)</t>
  </si>
  <si>
    <t xml:space="preserve">Table 3.1. List Ledger COGM </t>
  </si>
  <si>
    <t>Consumable Material Used</t>
  </si>
  <si>
    <t>DL Contract Employee</t>
  </si>
  <si>
    <t>DL Emp Insurance</t>
  </si>
  <si>
    <t>DL Meal Allowances</t>
  </si>
  <si>
    <t>Provision for Employee Benefits &amp; Severence Pay</t>
  </si>
  <si>
    <t>Sub Contractor Expenses</t>
  </si>
  <si>
    <t>Other Third Parties Services</t>
  </si>
  <si>
    <t>Utilities - Oxigent (O2)</t>
  </si>
  <si>
    <t>RM Exp - Buildings Services</t>
  </si>
  <si>
    <t>TE - Seminar &amp; Training</t>
  </si>
  <si>
    <t>Definisi</t>
  </si>
  <si>
    <t>Bahan pendukung atau habis pakai yang digunakan dalam operasional</t>
  </si>
  <si>
    <t>Gaji pokok untuk karyawan - Produksi</t>
  </si>
  <si>
    <t>Biaya lembur - Produksi</t>
  </si>
  <si>
    <t>Tunjangan hari raya (THR) - Produksi</t>
  </si>
  <si>
    <t>Tunjangan tambahan seperti transport, makan - Produksi</t>
  </si>
  <si>
    <t>Iuran BPJS atau jaminan sosial lainnya - Produksi</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</si>
  <si>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</si>
  <si>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</si>
  <si>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</si>
  <si>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</si>
  <si>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</si>
  <si>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Asuransi kesehatan atau asuransi lainnya - Produksi</t>
  </si>
  <si>
    <t>Tunjangan tambahan seperti biaya makan - Produksi</t>
  </si>
  <si>
    <t>Biaya lainnya yang tidak termasuk kategori khusus - Produksi</t>
  </si>
  <si>
    <t>Biaya provisi atas employee benefit</t>
  </si>
  <si>
    <t>Biaya subcontractor dan fabrikasi menggunakan pihak ketiga</t>
  </si>
  <si>
    <t>Biaya packing menggunakan pihak ketiga</t>
  </si>
  <si>
    <t>Biaya jasa kalibrasi menggunakan pihak ketiga</t>
  </si>
  <si>
    <t>Biaya listrik dari PLN</t>
  </si>
  <si>
    <t xml:space="preserve">Biaya air bersih </t>
  </si>
  <si>
    <t>Biaya gas industri dari PGN</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</si>
  <si>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</si>
  <si>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</si>
  <si>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</si>
  <si>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</si>
  <si>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</si>
  <si>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</si>
  <si>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</si>
  <si>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</si>
  <si>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</si>
  <si>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</si>
  <si>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</si>
  <si>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</si>
  <si>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</si>
  <si>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</si>
  <si>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</si>
  <si>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</si>
  <si>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</si>
  <si>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</si>
  <si>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</si>
  <si>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</si>
  <si>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</si>
  <si>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</si>
  <si>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</si>
  <si>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</si>
  <si>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</si>
  <si>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</si>
  <si>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</si>
  <si>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</si>
  <si>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</si>
  <si>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</si>
  <si>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</si>
  <si>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</si>
  <si>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</si>
  <si>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</si>
  <si>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</si>
  <si>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</si>
  <si>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</si>
  <si>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</si>
  <si>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</si>
  <si>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</si>
  <si>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</si>
  <si>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</si>
  <si>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</si>
  <si>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</si>
  <si>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</si>
  <si>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</si>
  <si>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</si>
  <si>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</si>
  <si>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GL Grouping</t>
  </si>
  <si>
    <t>Cost owner</t>
  </si>
  <si>
    <t>Each department</t>
  </si>
  <si>
    <t>Table 3.2. List Ledger OPEX</t>
  </si>
  <si>
    <t>IDL Meal Allowances</t>
  </si>
  <si>
    <t>PF - Royalty Fee</t>
  </si>
  <si>
    <t>Ins. Exp. - Insurance of Property All Risk</t>
  </si>
  <si>
    <t>Ins. Exp. - Insurance of Director and Officer Liab</t>
  </si>
  <si>
    <t>Ins. Exp. - Insurance of Employee</t>
  </si>
  <si>
    <t>RE - Rental Office Equipment</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</si>
  <si>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</si>
  <si>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</si>
  <si>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</si>
  <si>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</si>
  <si>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</si>
  <si>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</si>
  <si>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</si>
  <si>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</si>
  <si>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</si>
  <si>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</si>
  <si>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</si>
  <si>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</si>
  <si>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</si>
  <si>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</si>
  <si>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</si>
  <si>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</si>
  <si>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Pembelian alat kantor atau pabrik</t>
  </si>
  <si>
    <t>Biaya layanan bank seperti transfer, kliring</t>
  </si>
  <si>
    <t>Biaya promosi, iklan, branding</t>
  </si>
  <si>
    <t>Hadiah atau cendera mata promosi</t>
  </si>
  <si>
    <t>Biaya sponsorship event/pameran</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</si>
  <si>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</si>
  <si>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</si>
  <si>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atau equipment untuk kebutuhan KantorContoh: Kalkulator, AC, dispenser, kulkas, tools kit dll</t>
  </si>
  <si>
    <t>Biaya komisi untuk agen, mitra atau sales</t>
  </si>
  <si>
    <t>Biaya atas royalty fee yang dibayarkan ke shareholders</t>
  </si>
  <si>
    <t>Corporate Planning</t>
  </si>
  <si>
    <t>Custom&amp;logistic</t>
  </si>
  <si>
    <t>Sales/Corporate communication</t>
  </si>
  <si>
    <t>GA/SCM</t>
  </si>
  <si>
    <t>G/L Account Description</t>
  </si>
  <si>
    <t>G/L Account Number</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</si>
  <si>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</si>
  <si>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</si>
  <si>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</si>
  <si>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</si>
  <si>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</si>
  <si>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</si>
  <si>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</si>
  <si>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</si>
  <si>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</si>
  <si>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</si>
  <si>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</si>
  <si>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</si>
  <si>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For adding new expenses/activities, please fill in a new row, and select the appropriate Activity Master based on the activity type.</t>
  </si>
  <si>
    <t>For removing existing expenses/activities, please fill in the proposal table for closing/deleting activities.</t>
  </si>
  <si>
    <t>- CAPEX DETAIL</t>
  </si>
  <si>
    <t>- OPEX DETAIL</t>
  </si>
  <si>
    <t>- ACTIVITY MASTER OPEX</t>
  </si>
  <si>
    <t>Please fill each section according to the order below.</t>
  </si>
  <si>
    <t>Fill in with:
- HO for Head Office departments
- BU for Business Unit departments
- SU for Support Unit departments</t>
  </si>
  <si>
    <t>Fill in the budget planning year</t>
  </si>
  <si>
    <t>Fill according to the Directorate listed.</t>
  </si>
  <si>
    <t>Fill according to the Department listed.</t>
  </si>
  <si>
    <t>Diisi sesuai dengan Departement yang tertera di list.</t>
  </si>
  <si>
    <t>Table1.1. Directorate List:
(Following July 2025 organizational structure)</t>
  </si>
  <si>
    <t>Table1.2. Department List:
(Following to July 2025 organizational structure)</t>
  </si>
  <si>
    <t>Prepare the approval based on DAL .</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</si>
  <si>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</si>
  <si>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</si>
  <si>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</si>
  <si>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</si>
  <si>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</si>
  <si>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</si>
  <si>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</si>
  <si>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 xml:space="preserve">Diisi dengan detail aktivitas untuk project yang dibudgetkan. Didetailkan perlines 
 Contoh:
</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</si>
  <si>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</si>
  <si>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</si>
  <si>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</si>
  <si>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</si>
  <si>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</si>
  <si>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</si>
  <si>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</si>
  <si>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</si>
  <si>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Finish Date </t>
    </r>
    <r>
      <rPr>
        <b/>
        <i/>
        <sz val="11"/>
        <color rgb="FFFF0000"/>
        <rFont val="Aptos Narrow"/>
        <family val="2"/>
      </rPr>
      <t>(Project only)</t>
    </r>
  </si>
  <si>
    <r>
      <t xml:space="preserve">Estimation Start Date </t>
    </r>
    <r>
      <rPr>
        <b/>
        <i/>
        <sz val="11"/>
        <color rgb="FFFF0000"/>
        <rFont val="Aptos Narrow"/>
        <family val="2"/>
      </rPr>
      <t>(Project only)</t>
    </r>
  </si>
  <si>
    <t>Fill in the payment terms related to the proposed activity/project</t>
  </si>
  <si>
    <t>Justification for the proposed budget, why this budget/capex is needed</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</si>
  <si>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</si>
  <si>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</si>
  <si>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</si>
  <si>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</si>
  <si>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</si>
  <si>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</si>
  <si>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</si>
  <si>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</si>
  <si>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</si>
  <si>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</si>
  <si>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</si>
  <si>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</si>
  <si>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</si>
  <si>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</si>
  <si>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</si>
  <si>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</si>
  <si>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</si>
  <si>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</si>
  <si>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</si>
  <si>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</si>
  <si>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</si>
  <si>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</si>
  <si>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</si>
  <si>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</si>
  <si>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</si>
  <si>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</si>
  <si>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</si>
  <si>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</si>
  <si>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</si>
  <si>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</si>
  <si>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</si>
  <si>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</si>
  <si>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</si>
  <si>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</si>
  <si>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</si>
  <si>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FA001-00001</t>
  </si>
  <si>
    <t>Stamp Duty</t>
  </si>
  <si>
    <t>Purchase of stamp duty, mostly for invoice, contract or other documents</t>
  </si>
  <si>
    <t>FA001-00002</t>
  </si>
  <si>
    <t>FA001-00003</t>
  </si>
  <si>
    <t>Meeting with External Parties</t>
  </si>
  <si>
    <t>Meeting with Bank, Vendors, or other external parties</t>
  </si>
  <si>
    <t>FA001-00004</t>
  </si>
  <si>
    <t>Subscription - Data Sourcing (Bloomberg)</t>
  </si>
  <si>
    <t>Yearly subscription related data sourcing</t>
  </si>
  <si>
    <t>FA001-00005</t>
  </si>
  <si>
    <t>Subscription - Data Sourcing (Statista)</t>
  </si>
  <si>
    <t>FA001-00006</t>
  </si>
  <si>
    <t>Yearly subscription for zoom license</t>
  </si>
  <si>
    <t>FA001-00007</t>
  </si>
  <si>
    <t>Business trip to attend conference, external training, etc</t>
  </si>
  <si>
    <t>FA001-00008</t>
  </si>
  <si>
    <t>Souvenir to External Parties</t>
  </si>
  <si>
    <t>FA001-00010</t>
  </si>
  <si>
    <t>PF - Bank Analyst</t>
  </si>
  <si>
    <t>Professional fee for bank analysis</t>
  </si>
  <si>
    <t>FA006-00001</t>
  </si>
  <si>
    <t>PF - Document Validation (Logiframe)</t>
  </si>
  <si>
    <t>Professional fee for document validation</t>
  </si>
  <si>
    <t>FA006-00002</t>
  </si>
  <si>
    <t>Postage and Courier - Document</t>
  </si>
  <si>
    <t>Document delivery fee</t>
  </si>
  <si>
    <t>FA001-00011</t>
  </si>
  <si>
    <t>Subscription - Visio</t>
  </si>
  <si>
    <t>FA001-00012</t>
  </si>
  <si>
    <t>Subscription - Chat GPT</t>
  </si>
  <si>
    <t>FA003-00001</t>
  </si>
  <si>
    <t>PF - Transfer Pricing Document</t>
  </si>
  <si>
    <t>FA003-00002</t>
  </si>
  <si>
    <t>PF - Tax Support Audit</t>
  </si>
  <si>
    <t>FA003-00003</t>
  </si>
  <si>
    <t>Tax Penalty</t>
  </si>
  <si>
    <t>FA003-00004</t>
  </si>
  <si>
    <t>FA003-00005</t>
  </si>
  <si>
    <t>Tax Underpayment - PPh 21</t>
  </si>
  <si>
    <t>FA003-00006</t>
  </si>
  <si>
    <t>Tax Underpayment - PPh Pasal 4(2)</t>
  </si>
  <si>
    <t>FA003-00007</t>
  </si>
  <si>
    <t>Tax Underpayment - PPN</t>
  </si>
  <si>
    <t>FA003-00008</t>
  </si>
  <si>
    <t>Tax Underpayment - PPh 23</t>
  </si>
  <si>
    <t>FA003-00009</t>
  </si>
  <si>
    <t>Rental - Laptop</t>
  </si>
  <si>
    <t>FA003-00010</t>
  </si>
  <si>
    <t>FA003-00011</t>
  </si>
  <si>
    <t>Adjustment bukti potong PPh final 4 (2)</t>
  </si>
  <si>
    <t>FA003-00012</t>
  </si>
  <si>
    <t>FA003-00013</t>
  </si>
  <si>
    <t>PF - Tax General Consultant</t>
  </si>
  <si>
    <t>FA003-00014</t>
  </si>
  <si>
    <t>Mekari For signing document</t>
  </si>
  <si>
    <t>FA003-00015</t>
  </si>
  <si>
    <t>PF - Tax Planning</t>
  </si>
  <si>
    <t>FA002-00001</t>
  </si>
  <si>
    <t>PF - Financial Audit</t>
  </si>
  <si>
    <t>Consultant for Financial Audit</t>
  </si>
  <si>
    <t>FA002-00002</t>
  </si>
  <si>
    <t>PF - Actuary</t>
  </si>
  <si>
    <t>Actuarial consulting services related work remuneration, employee benefits, insurance, pension</t>
  </si>
  <si>
    <t>FA002-00003</t>
  </si>
  <si>
    <t>PF - Credit Rating Agency</t>
  </si>
  <si>
    <t>Consultant service related evaluates the creditworthiness of borrowers, issuers, or securities</t>
  </si>
  <si>
    <t>FA002-00004</t>
  </si>
  <si>
    <t>PF - KPPK Report</t>
  </si>
  <si>
    <t>Consultant service related KPPK Report</t>
  </si>
  <si>
    <t>FA002-00005</t>
  </si>
  <si>
    <t>Annual subscription for zoom</t>
  </si>
  <si>
    <t>FA002-00006</t>
  </si>
  <si>
    <t>Business Trip Accounting</t>
  </si>
  <si>
    <t>Business trip</t>
  </si>
  <si>
    <t>FA002-00007</t>
  </si>
  <si>
    <t>PF - Historical Document Validation</t>
  </si>
  <si>
    <t>FA002-00008</t>
  </si>
  <si>
    <t>FA002-00009</t>
  </si>
  <si>
    <t>Subscriptions and periodicals</t>
  </si>
  <si>
    <t>Annual subscription for presentation slide template</t>
  </si>
  <si>
    <t>FA002-00010</t>
  </si>
  <si>
    <t>PF - General Financial Reporting</t>
  </si>
  <si>
    <t>Professional fee General Financial Reporting (GRP)</t>
  </si>
  <si>
    <t>FA007-00001</t>
  </si>
  <si>
    <t>Printing - Fixed Asset Tag</t>
  </si>
  <si>
    <t>FIXED ASSET MANAGEMENT</t>
  </si>
  <si>
    <t>FA Tag printing cost for FA Opname</t>
  </si>
  <si>
    <t>FA007-00002</t>
  </si>
  <si>
    <t>PF - Asset Appraisal</t>
  </si>
  <si>
    <t>Consultant service related assets appraisal</t>
  </si>
  <si>
    <t>FA007-00003</t>
  </si>
  <si>
    <t>Business Trip FAM</t>
  </si>
  <si>
    <t>FA007-00008</t>
  </si>
  <si>
    <t>PF - Business Consultant</t>
  </si>
  <si>
    <t>FA007-00009</t>
  </si>
  <si>
    <t>PF - Evaluating Production Process</t>
  </si>
  <si>
    <t>FA007-00010</t>
  </si>
  <si>
    <t>PF - Insurance Appraisal</t>
  </si>
  <si>
    <t>FA007-00011</t>
  </si>
  <si>
    <t>Entertain</t>
  </si>
  <si>
    <t>Entertain given to vendor/consultant</t>
  </si>
  <si>
    <t>FA007-00012</t>
  </si>
  <si>
    <t>License Software</t>
  </si>
  <si>
    <t>License software to support daily job if needed (Adobe, Drawing license, etc)</t>
  </si>
  <si>
    <t>FA008-00001</t>
  </si>
  <si>
    <t>Business Trip HOF</t>
  </si>
  <si>
    <t>10301FA008</t>
  </si>
  <si>
    <t>HEAD OF FINANCE EXPENSES</t>
  </si>
  <si>
    <t>FA008-00002</t>
  </si>
  <si>
    <t>Meeting Expenses HOF</t>
  </si>
  <si>
    <t>PF - Knowledge Partner Treasury</t>
  </si>
  <si>
    <t>PF - Knowledge Partner FPA</t>
  </si>
  <si>
    <t>Meeting with External Parties Treasury</t>
  </si>
  <si>
    <t>Subscription - Zoom Premium Treasury</t>
  </si>
  <si>
    <t>Business Trip Treasury</t>
  </si>
  <si>
    <t xml:space="preserve">Biaya Oxigen </t>
  </si>
  <si>
    <t>Biaya transportasi lainnya yang tidak termasuk kategori khusus</t>
  </si>
  <si>
    <t>Biaya frieght atas transaksi export</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</si>
  <si>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</si>
  <si>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</si>
  <si>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</si>
  <si>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</si>
  <si>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</si>
  <si>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</si>
  <si>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</si>
  <si>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</si>
  <si>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</si>
  <si>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</si>
  <si>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</si>
  <si>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</si>
  <si>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</si>
  <si>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</si>
  <si>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</si>
  <si>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</si>
  <si>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</si>
  <si>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Premi asuransi untuk menanggung kerusakan atau kerugian atas aset fisik
(misalnya: bangunan, mesin, persediaan)</t>
  </si>
  <si>
    <t>Premi asuransi untuk menanggung kendaraan milik perusahaan</t>
  </si>
  <si>
    <t>Premi asuransi untuk melindungi perusahaan dari klaim hukum atau keuangan</t>
  </si>
  <si>
    <t>Premi asuransi untuk melindungi direksi dan pejabat perusahaan</t>
  </si>
  <si>
    <t>Premi asuransi untuk memenuhi kebutuhan asuransi pribadi karyawan</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</si>
  <si>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</si>
  <si>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</si>
  <si>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</si>
  <si>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</si>
  <si>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</si>
  <si>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Biaya entertainment lainnya yang tidak termasuk kategori khusus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</si>
  <si>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</si>
  <si>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</si>
  <si>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</si>
  <si>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</si>
  <si>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</si>
  <si>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</si>
  <si>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</si>
  <si>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</si>
  <si>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</si>
  <si>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</si>
  <si>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</si>
  <si>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</si>
  <si>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</si>
  <si>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</si>
  <si>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</si>
  <si>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</si>
  <si>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</si>
  <si>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</si>
  <si>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</si>
  <si>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</si>
  <si>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</si>
  <si>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</si>
  <si>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</si>
  <si>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</si>
  <si>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</si>
  <si>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</si>
  <si>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</si>
  <si>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</si>
  <si>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</si>
  <si>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</si>
  <si>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</si>
  <si>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</si>
  <si>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</si>
  <si>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</si>
  <si>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</si>
  <si>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</si>
  <si>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</si>
  <si>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</si>
  <si>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</si>
  <si>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</si>
  <si>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</si>
  <si>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</si>
  <si>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</si>
  <si>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</si>
  <si>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</si>
  <si>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</si>
  <si>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</si>
  <si>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</si>
  <si>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</si>
  <si>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</si>
  <si>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</si>
  <si>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</si>
  <si>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</si>
  <si>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</si>
  <si>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</si>
  <si>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</si>
  <si>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</si>
  <si>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</si>
  <si>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</si>
  <si>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</si>
  <si>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</si>
  <si>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</si>
  <si>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</si>
  <si>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</si>
  <si>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</si>
  <si>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</si>
  <si>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</si>
  <si>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</si>
  <si>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</si>
  <si>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</si>
  <si>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</si>
  <si>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</si>
  <si>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</si>
  <si>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</si>
  <si>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</si>
  <si>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</si>
  <si>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</si>
  <si>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</si>
  <si>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</si>
  <si>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</si>
  <si>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</si>
  <si>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</si>
  <si>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</si>
  <si>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</si>
  <si>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</si>
  <si>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</si>
  <si>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</si>
  <si>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</si>
  <si>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</si>
  <si>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</si>
  <si>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</si>
  <si>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</si>
  <si>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</si>
  <si>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</si>
  <si>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</si>
  <si>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</si>
  <si>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</si>
  <si>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</si>
  <si>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</si>
  <si>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</si>
  <si>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</si>
  <si>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</si>
  <si>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</si>
  <si>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</si>
  <si>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</si>
  <si>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</si>
  <si>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</si>
  <si>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</si>
  <si>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</si>
  <si>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</si>
  <si>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</si>
  <si>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</si>
  <si>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</si>
  <si>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</si>
  <si>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</si>
  <si>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</si>
  <si>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</si>
  <si>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</si>
  <si>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</si>
  <si>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</si>
  <si>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</si>
  <si>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</si>
  <si>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</si>
  <si>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</si>
  <si>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</si>
  <si>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</si>
  <si>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</si>
  <si>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</si>
  <si>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</si>
  <si>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</si>
  <si>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</si>
  <si>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</si>
  <si>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</si>
  <si>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</si>
  <si>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</si>
  <si>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</si>
  <si>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</si>
  <si>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</si>
  <si>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</si>
  <si>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</si>
  <si>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</si>
  <si>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</si>
  <si>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</si>
  <si>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</si>
  <si>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</si>
  <si>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</si>
  <si>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</si>
  <si>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</si>
  <si>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</si>
  <si>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</si>
  <si>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</si>
  <si>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</si>
  <si>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</si>
  <si>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</si>
  <si>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</si>
  <si>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</si>
  <si>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</si>
  <si>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</si>
  <si>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</si>
  <si>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</si>
  <si>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</si>
  <si>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</si>
  <si>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</si>
  <si>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</si>
  <si>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Meeting with External Parties Tax</t>
  </si>
  <si>
    <t>Business Trip Tax</t>
  </si>
  <si>
    <t>Business Trip FPA</t>
  </si>
  <si>
    <t>Subscription - Zoom Premium ACT</t>
  </si>
  <si>
    <t>HRGA</t>
  </si>
  <si>
    <t>Cost centre</t>
  </si>
  <si>
    <t>Cost centre code</t>
  </si>
  <si>
    <t>Cost centre description</t>
  </si>
  <si>
    <t>Board of Directors</t>
  </si>
  <si>
    <t>PD OFFICE</t>
  </si>
  <si>
    <t>10301BD002</t>
  </si>
  <si>
    <t>General Counsel</t>
  </si>
  <si>
    <t>LEGAL &amp; COMPLIANCE</t>
  </si>
  <si>
    <t>SMS1 ELECTRICAL DEPT</t>
  </si>
  <si>
    <t>Compliance &amp; Governance</t>
  </si>
  <si>
    <t>SMS1 MECHANICAL DEPT</t>
  </si>
  <si>
    <t>Permit &amp; Licensing</t>
  </si>
  <si>
    <t>SMS1 PPIC DEPT</t>
  </si>
  <si>
    <t>SMS1 QA/QC DEPT</t>
  </si>
  <si>
    <t>SMS1 WAREHOUSE DEPT</t>
  </si>
  <si>
    <t>SMS1 CRANE DEPARTMEN</t>
  </si>
  <si>
    <t>SMS1 OFFICE DEPT</t>
  </si>
  <si>
    <t>SMS1 STR.MFACTURING</t>
  </si>
  <si>
    <t>BP1 ELECTRICAL DEPT</t>
  </si>
  <si>
    <t>BP1 MECHANICAL DEPT</t>
  </si>
  <si>
    <t>BP1 PPIC DEPT</t>
  </si>
  <si>
    <t>BP1 QA/QC DEPT</t>
  </si>
  <si>
    <t>LSM PRODUCTION DEPT</t>
  </si>
  <si>
    <t>LSM ROLL SHOP</t>
  </si>
  <si>
    <t>LSM ELECTRICAL DEPT</t>
  </si>
  <si>
    <t>LSM MECHANICAL DEPT</t>
  </si>
  <si>
    <t>LSM PPIC DEPARTMENT</t>
  </si>
  <si>
    <t>LSM QA/QC DEPARTMENT</t>
  </si>
  <si>
    <t>LSM CRANE DEPARTMENT</t>
  </si>
  <si>
    <t>10202SU001</t>
  </si>
  <si>
    <t>TECH SUPPORT PPIC</t>
  </si>
  <si>
    <t>TECH SUPPORTING QA</t>
  </si>
  <si>
    <t>10202SU009</t>
  </si>
  <si>
    <t>ELECTRICAL MT &amp; PROJ</t>
  </si>
  <si>
    <t>10202SU017</t>
  </si>
  <si>
    <t>MACHINE SHOP</t>
  </si>
  <si>
    <t>HEAD OF PRODUCTION</t>
  </si>
  <si>
    <t>10301IT004</t>
  </si>
  <si>
    <t>SMS</t>
  </si>
  <si>
    <t>Government Relation &amp; EA</t>
  </si>
  <si>
    <t>REGULATORY &amp; EXT AFFAIRS</t>
  </si>
  <si>
    <t>Accounting &amp; Fixed Asset Management</t>
  </si>
  <si>
    <t>10301MS010</t>
  </si>
  <si>
    <t>SCM Logistics</t>
  </si>
  <si>
    <t>SCM Warehouse &amp; Inventory</t>
  </si>
  <si>
    <t>SCM Grader</t>
  </si>
  <si>
    <t>HEAD OF FINANCE EXP</t>
  </si>
  <si>
    <t>10301SC009</t>
  </si>
  <si>
    <t>SALES &amp; PROCUREMENT</t>
  </si>
  <si>
    <t>10301SM004</t>
  </si>
  <si>
    <t>10301SC008</t>
  </si>
  <si>
    <t>HEAD OF IT EXPENSES</t>
  </si>
  <si>
    <t>SCM LOGISTICS</t>
  </si>
  <si>
    <t>ELECTRICAL</t>
  </si>
  <si>
    <t>SCM WAREHOUSE SPC</t>
  </si>
  <si>
    <t>SCM GRADER</t>
  </si>
  <si>
    <t>HEAD OF SCM</t>
  </si>
  <si>
    <t>MECHANICAL</t>
  </si>
  <si>
    <t>HEAD OF PROCUREMENT</t>
  </si>
  <si>
    <t>HEAD OF SALES EXP</t>
  </si>
  <si>
    <t>MSN</t>
  </si>
  <si>
    <t>Exchange rate (USD)</t>
  </si>
  <si>
    <t>List General Ledger</t>
  </si>
  <si>
    <t>SL</t>
  </si>
  <si>
    <t>PC</t>
  </si>
  <si>
    <t>CLC</t>
  </si>
  <si>
    <t>GR</t>
  </si>
  <si>
    <t>Table 3.3. List Ledger CAPEX</t>
  </si>
  <si>
    <t>IO &amp; Project ID - Group</t>
  </si>
  <si>
    <t>BU/SU/HO</t>
  </si>
  <si>
    <t>CAPEX Priority</t>
  </si>
  <si>
    <t>OPEX</t>
  </si>
  <si>
    <t>Estimated budget consumed (based on PO)</t>
  </si>
  <si>
    <t>Exchange rate</t>
  </si>
  <si>
    <t>IO/Project ID Group</t>
  </si>
  <si>
    <t>Project ID - Code</t>
  </si>
  <si>
    <t>IO - Code</t>
  </si>
  <si>
    <t>PD</t>
  </si>
  <si>
    <t>Ctrl to Master Data</t>
  </si>
  <si>
    <t>IO/Project ID</t>
  </si>
  <si>
    <t>A0126</t>
  </si>
  <si>
    <t>A0226</t>
  </si>
  <si>
    <t>A0326</t>
  </si>
  <si>
    <t>A0426</t>
  </si>
  <si>
    <t>A0526</t>
  </si>
  <si>
    <t>A0626</t>
  </si>
  <si>
    <t>A0726</t>
  </si>
  <si>
    <t>A0826</t>
  </si>
  <si>
    <t>A0926</t>
  </si>
  <si>
    <t>A1126</t>
  </si>
  <si>
    <t>LSM REPAIR</t>
  </si>
  <si>
    <t>Estimated expense recorded (based on GRN)</t>
  </si>
  <si>
    <t>&gt;&gt; New CC</t>
  </si>
  <si>
    <t>Legal &amp; Compliance</t>
  </si>
  <si>
    <t>Regulatory &amp; external affair</t>
  </si>
  <si>
    <t>Permits &amp; Licensing</t>
  </si>
  <si>
    <t>Legal Commercial</t>
  </si>
  <si>
    <t>Budget Capex Detail</t>
  </si>
  <si>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</si>
  <si>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Master Data</t>
  </si>
  <si>
    <t>Sustainability</t>
  </si>
  <si>
    <t>SUSTAINABILITY</t>
  </si>
  <si>
    <t>Estimated payment period</t>
  </si>
  <si>
    <t>Sheet 3 : Opex&amp;COGM - Budget Detail</t>
  </si>
  <si>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</si>
  <si>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</si>
  <si>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</si>
  <si>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</si>
  <si>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t>"BUDGET OPEX DETAIL" Working paper</t>
  </si>
  <si>
    <t>"BUDGET COGM DETAIL" Working paper</t>
  </si>
  <si>
    <t>Biaya lain-lain yang tidak termasuk pada kategori biaya tersebut di atas</t>
  </si>
  <si>
    <t>Other expenses not included in the categories mentioned above</t>
  </si>
  <si>
    <t>CSR &amp; COMMUNITY DEVELOPMENT</t>
  </si>
  <si>
    <t>GOVERNMENT RELATIONS &amp; EXTERNAL ACTIVITIES</t>
  </si>
  <si>
    <t>GOVERNMENT PROJECT - CONSULTING SERVICES</t>
  </si>
  <si>
    <t>PROJECT MANAGEMENT</t>
  </si>
  <si>
    <t>Project Management</t>
  </si>
  <si>
    <t>Mohon kirimkan Lembar kerja anggaran tahunan (master budget template) yang telah disetujui ke Budget&amp;Analysis Departemen paling lambat tanggal 05 September 2025.</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</si>
  <si>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</si>
  <si>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</si>
  <si>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</si>
  <si>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Please submit the approved annual budget worksheet to the Budget &amp; Analysis Department no later than September 05, 2025.</t>
  </si>
  <si>
    <t>Based on Invoice date (estimated invoice receipt)</t>
  </si>
  <si>
    <t>Meals provided for all eligible employees,internal event, meeting, training, guests, kitchen and other supplies</t>
  </si>
  <si>
    <t>Operational vehicle fuel costs</t>
  </si>
  <si>
    <t>Insurance premiums not included in the aforementioned cost classifications</t>
  </si>
  <si>
    <r>
      <t xml:space="preserve">Please fill in the SAP cost center code according to your department.
You can refer to the </t>
    </r>
    <r>
      <rPr>
        <b/>
        <sz val="11"/>
        <color theme="1"/>
        <rFont val="Aptos Narrow"/>
        <family val="2"/>
      </rPr>
      <t>"Master Data"</t>
    </r>
    <r>
      <rPr>
        <sz val="11"/>
        <color theme="1"/>
        <rFont val="Aptos Narrow"/>
        <family val="2"/>
      </rPr>
      <t xml:space="preserve"> sheet &gt;&gt;</t>
    </r>
  </si>
  <si>
    <t>Business travel expenses of Head of Finance</t>
  </si>
  <si>
    <t>Meeting expenses of Head of Finance</t>
  </si>
  <si>
    <t>IT Business Solution</t>
  </si>
  <si>
    <t>IT Analytics</t>
  </si>
  <si>
    <t>IT BUSINESS SOLUTION</t>
  </si>
  <si>
    <t>- Column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</si>
</sst>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_);_(* \(#,##0\);_(* &quot;-&quot;_);_(@_)"/>
    <numFmt numFmtId="165" formatCode="_(* #,##0.00_);_(* \(#,##0.00\);_(* &quot;-&quot;??_);_(@_)"/>
    <numFmt numFmtId="166" formatCode="_ * #,##0.00_ ;_ * \-#,##0.00_ ;_ * &quot;-&quot;??_ ;_ @_ "/>
    <numFmt numFmtId="167" formatCode="_(* #,##0_);_(* \(#,##0\);_(* &quot;-&quot;??_);_(@_)"/>
    <numFmt numFmtId="168" formatCode="[$-409]mmm\-yy;@"/>
  </numFmts>
  <fonts count="56" x14ac:knownFonts="1">
    <font>
      <sz val="11"/>
      <color theme="1"/>
      <name val="Calibri"/>
      <family val="2"/>
      <scheme val="minor"/>
    </font>
    <font>
      <sz val="11"/>
      <color theme="1"/>
      <name val="Calibri"/>
      <family val="2"/>
      <scheme val="minor"/>
    </font>
    <font>
      <sz val="11"/>
      <color theme="1"/>
      <name val="Arial"/>
      <family val="2"/>
    </font>
    <font>
      <b/>
      <i/>
      <sz val="18"/>
      <color theme="1"/>
      <name val="Arial"/>
      <family val="2"/>
    </font>
    <font>
      <b/>
      <sz val="16"/>
      <color theme="1"/>
      <name val="Arial"/>
      <family val="2"/>
    </font>
    <font>
      <b/>
      <sz val="14"/>
      <color theme="1"/>
      <name val="Arial"/>
      <family val="2"/>
    </font>
    <font>
      <b/>
      <sz val="11"/>
      <color rgb="FFC00000"/>
      <name val="Arial"/>
      <family val="2"/>
    </font>
    <font>
      <b/>
      <u/>
      <sz val="11"/>
      <color theme="1"/>
      <name val="Arial"/>
      <family val="2"/>
    </font>
    <font>
      <b/>
      <u/>
      <sz val="11"/>
      <color rgb="FFC00000"/>
      <name val="Arial"/>
      <family val="2"/>
    </font>
    <font>
      <sz val="11"/>
      <name val="Arial"/>
      <family val="2"/>
    </font>
    <font>
      <i/>
      <sz val="11"/>
      <name val="Arial"/>
      <family val="2"/>
    </font>
    <font>
      <b/>
      <sz val="11"/>
      <name val="Arial"/>
      <family val="2"/>
    </font>
    <font>
      <i/>
      <sz val="11"/>
      <color theme="1"/>
      <name val="Arial"/>
      <family val="2"/>
    </font>
    <font>
      <sz val="11"/>
      <color rgb="FF000000"/>
      <name val="Arial"/>
      <family val="2"/>
    </font>
    <font>
      <b/>
      <sz val="11"/>
      <color theme="1"/>
      <name val="Arial"/>
      <family val="2"/>
    </font>
    <font>
      <sz val="11"/>
      <color theme="1"/>
      <name val="Calibri"/>
      <family val="2"/>
    </font>
    <font>
      <sz val="12"/>
      <color theme="1"/>
      <name val="Arial"/>
      <family val="2"/>
    </font>
    <font>
      <b/>
      <sz val="12"/>
      <color theme="0"/>
      <name val="Arial"/>
      <family val="2"/>
    </font>
    <font>
      <u/>
      <sz val="11"/>
      <color theme="10"/>
      <name val="Arial"/>
      <family val="2"/>
    </font>
    <font>
      <b/>
      <i/>
      <u/>
      <sz val="12"/>
      <color rgb="FF002060"/>
      <name val="Arial"/>
      <family val="2"/>
    </font>
    <font>
      <sz val="9"/>
      <color theme="1"/>
      <name val="Arial"/>
      <family val="2"/>
    </font>
    <font>
      <b/>
      <sz val="10"/>
      <color theme="1"/>
      <name val="Arial"/>
      <family val="2"/>
    </font>
    <font>
      <sz val="10"/>
      <color theme="1"/>
      <name val="Arial"/>
      <family val="2"/>
    </font>
    <font>
      <sz val="10"/>
      <color theme="1"/>
      <name val="Calibri"/>
      <family val="2"/>
    </font>
    <font>
      <b/>
      <sz val="11"/>
      <color theme="1"/>
      <name val="Calibri"/>
      <family val="2"/>
      <scheme val="minor"/>
    </font>
    <font>
      <b/>
      <sz val="9"/>
      <color indexed="81"/>
      <name val="Tahoma"/>
      <family val="2"/>
    </font>
    <font>
      <i/>
      <sz val="10"/>
      <color theme="1"/>
      <name val="Calibri"/>
      <family val="2"/>
    </font>
    <font>
      <u/>
      <sz val="11"/>
      <color theme="10"/>
      <name val="Calibri"/>
      <family val="2"/>
      <scheme val="minor"/>
    </font>
    <font>
      <sz val="11"/>
      <color theme="1"/>
      <name val="Aptos Narrow"/>
      <family val="2"/>
    </font>
    <font>
      <b/>
      <i/>
      <sz val="18"/>
      <color theme="1"/>
      <name val="Aptos Narrow"/>
      <family val="2"/>
    </font>
    <font>
      <b/>
      <sz val="16"/>
      <color theme="1"/>
      <name val="Aptos Narrow"/>
      <family val="2"/>
    </font>
    <font>
      <b/>
      <sz val="14"/>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sz val="12"/>
      <color theme="1"/>
      <name val="Aptos Narrow"/>
      <family val="2"/>
    </font>
    <font>
      <b/>
      <sz val="11"/>
      <color theme="0"/>
      <name val="Aptos Narrow"/>
      <family val="2"/>
    </font>
    <font>
      <b/>
      <i/>
      <sz val="11"/>
      <color rgb="FFFF0000"/>
      <name val="Aptos Narrow"/>
      <family val="2"/>
    </font>
    <font>
      <b/>
      <i/>
      <sz val="11"/>
      <color theme="1"/>
      <name val="Aptos Narrow"/>
      <family val="2"/>
    </font>
    <font>
      <sz val="12"/>
      <name val="Aptos Narrow"/>
      <family val="2"/>
    </font>
    <font>
      <b/>
      <sz val="11"/>
      <color rgb="FF339966"/>
      <name val="Aptos Narrow"/>
      <family val="2"/>
    </font>
    <font>
      <b/>
      <sz val="11"/>
      <color rgb="FFFF0000"/>
      <name val="Aptos Narrow"/>
      <family val="2"/>
    </font>
    <font>
      <b/>
      <sz val="11"/>
      <color rgb="FF000000"/>
      <name val="Aptos Narrow"/>
      <family val="2"/>
    </font>
    <font>
      <i/>
      <sz val="11"/>
      <color rgb="FF000000"/>
      <name val="Aptos Narrow"/>
      <family val="2"/>
    </font>
    <font>
      <sz val="11"/>
      <color rgb="FFFFFFFF"/>
      <name val="Aptos Narrow"/>
      <family val="2"/>
    </font>
    <font>
      <sz val="11"/>
      <color theme="0"/>
      <name val="Aptos Narrow"/>
      <family val="2"/>
    </font>
    <font>
      <sz val="11"/>
      <color rgb="FFFF0000"/>
      <name val="Aptos Narrow"/>
      <family val="2"/>
    </font>
    <font>
      <b/>
      <sz val="24"/>
      <color theme="1"/>
      <name val="Aptos Narrow"/>
      <family val="2"/>
    </font>
    <font>
      <b/>
      <i/>
      <u/>
      <sz val="11"/>
      <color rgb="FF339966"/>
      <name val="Aptos Narrow"/>
      <family val="2"/>
    </font>
    <font>
      <i/>
      <sz val="11"/>
      <color rgb="FFFF0000"/>
      <name val="Aptos Narrow"/>
      <family val="2"/>
    </font>
  </fonts>
  <fills count="25">
    <fill>
      <patternFill patternType="none"/>
    </fill>
    <fill>
      <patternFill patternType="gray125"/>
    </fill>
    <fill>
      <patternFill patternType="solid">
        <fgColor theme="0" tint="-0.499984740745262"/>
        <bgColor indexed="64"/>
      </patternFill>
    </fill>
    <fill>
      <patternFill patternType="solid">
        <fgColor theme="2" tint="-0.249977111117893"/>
        <bgColor indexed="64"/>
      </patternFill>
    </fill>
    <fill>
      <patternFill patternType="solid">
        <fgColor theme="2" tint="-0.14999847407452621"/>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4.9989318521683403E-2"/>
        <bgColor indexed="64"/>
      </patternFill>
    </fill>
    <fill>
      <patternFill patternType="solid">
        <fgColor indexed="2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1D8764"/>
        <bgColor indexed="64"/>
      </patternFill>
    </fill>
    <fill>
      <patternFill patternType="solid">
        <fgColor theme="2" tint="-0.89999084444715716"/>
        <bgColor rgb="FFC00000"/>
      </patternFill>
    </fill>
    <fill>
      <patternFill patternType="solid">
        <fgColor theme="2" tint="-4.9989318521683403E-2"/>
        <bgColor indexed="64"/>
      </patternFill>
    </fill>
    <fill>
      <patternFill patternType="solid">
        <fgColor theme="0" tint="-0.249977111117893"/>
        <bgColor rgb="FFC00000"/>
      </patternFill>
    </fill>
    <fill>
      <patternFill patternType="solid">
        <fgColor rgb="FF339966"/>
        <bgColor indexed="64"/>
      </patternFill>
    </fill>
    <fill>
      <patternFill patternType="solid">
        <fgColor theme="5" tint="0.79998168889431442"/>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s>
  <borders count="87">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right/>
      <top/>
      <bottom style="thin">
        <color rgb="FF00000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medium">
        <color indexed="64"/>
      </left>
      <right style="medium">
        <color indexed="64"/>
      </right>
      <top/>
      <bottom/>
      <diagonal/>
    </border>
    <border>
      <left style="thin">
        <color auto="1"/>
      </left>
      <right style="medium">
        <color indexed="64"/>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auto="1"/>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dotted">
        <color rgb="FF000000"/>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right style="medium">
        <color auto="1"/>
      </right>
      <top style="thin">
        <color auto="1"/>
      </top>
      <bottom style="thin">
        <color auto="1"/>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right style="thin">
        <color indexed="64"/>
      </right>
      <top style="thin">
        <color auto="1"/>
      </top>
      <bottom style="thin">
        <color rgb="FF000000"/>
      </bottom>
      <diagonal/>
    </border>
    <border>
      <left/>
      <right style="thin">
        <color rgb="FF000000"/>
      </right>
      <top style="thin">
        <color indexed="64"/>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style="thin">
        <color indexed="64"/>
      </left>
      <right style="thin">
        <color indexed="64"/>
      </right>
      <top/>
      <bottom style="thin">
        <color rgb="FF000000"/>
      </bottom>
      <diagonal/>
    </border>
    <border>
      <left/>
      <right style="thin">
        <color rgb="FF000000"/>
      </right>
      <top/>
      <bottom style="thin">
        <color rgb="FF000000"/>
      </bottom>
      <diagonal/>
    </border>
    <border>
      <left style="thin">
        <color auto="1"/>
      </left>
      <right style="thin">
        <color auto="1"/>
      </right>
      <top style="thin">
        <color auto="1"/>
      </top>
      <bottom style="hair">
        <color auto="1"/>
      </bottom>
      <diagonal/>
    </border>
    <border>
      <left style="hair">
        <color auto="1"/>
      </left>
      <right style="hair">
        <color auto="1"/>
      </right>
      <top/>
      <bottom style="thin">
        <color auto="1"/>
      </bottom>
      <diagonal/>
    </border>
    <border>
      <left/>
      <right style="hair">
        <color auto="1"/>
      </right>
      <top style="hair">
        <color indexed="64"/>
      </top>
      <bottom style="hair">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thin">
        <color auto="1"/>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medium">
        <color indexed="64"/>
      </left>
      <right style="thin">
        <color auto="1"/>
      </right>
      <top style="thin">
        <color auto="1"/>
      </top>
      <bottom style="thin">
        <color auto="1"/>
      </bottom>
      <diagonal/>
    </border>
    <border>
      <left style="thin">
        <color auto="1"/>
      </left>
      <right style="thin">
        <color auto="1"/>
      </right>
      <top style="hair">
        <color auto="1"/>
      </top>
      <bottom style="thin">
        <color auto="1"/>
      </bottom>
      <diagonal/>
    </border>
    <border>
      <left/>
      <right style="medium">
        <color indexed="64"/>
      </right>
      <top style="thin">
        <color auto="1"/>
      </top>
      <bottom/>
      <diagonal/>
    </border>
    <border>
      <left style="hair">
        <color indexed="64"/>
      </left>
      <right style="thin">
        <color indexed="64"/>
      </right>
      <top/>
      <bottom style="hair">
        <color indexed="64"/>
      </bottom>
      <diagonal/>
    </border>
    <border>
      <left style="hair">
        <color indexed="64"/>
      </left>
      <right/>
      <top/>
      <bottom style="hair">
        <color indexed="64"/>
      </bottom>
      <diagonal/>
    </border>
    <border>
      <left/>
      <right style="hair">
        <color auto="1"/>
      </right>
      <top/>
      <bottom style="hair">
        <color indexed="64"/>
      </bottom>
      <diagonal/>
    </border>
    <border>
      <left style="hair">
        <color auto="1"/>
      </left>
      <right style="thin">
        <color auto="1"/>
      </right>
      <top style="thin">
        <color indexed="64"/>
      </top>
      <bottom style="thin">
        <color indexed="64"/>
      </bottom>
      <diagonal/>
    </border>
    <border>
      <left style="thin">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thin">
        <color rgb="FF000000"/>
      </right>
      <top style="dotted">
        <color rgb="FF000000"/>
      </top>
      <bottom style="dotted">
        <color rgb="FF000000"/>
      </bottom>
      <diagonal/>
    </border>
    <border>
      <left style="thin">
        <color rgb="FF000000"/>
      </left>
      <right style="dotted">
        <color rgb="FF000000"/>
      </right>
      <top style="dotted">
        <color rgb="FF000000"/>
      </top>
      <bottom style="thin">
        <color auto="1"/>
      </bottom>
      <diagonal/>
    </border>
    <border>
      <left style="dotted">
        <color rgb="FF000000"/>
      </left>
      <right style="dotted">
        <color rgb="FF000000"/>
      </right>
      <top style="dotted">
        <color rgb="FF000000"/>
      </top>
      <bottom style="thin">
        <color auto="1"/>
      </bottom>
      <diagonal/>
    </border>
    <border>
      <left style="dotted">
        <color rgb="FF000000"/>
      </left>
      <right style="thin">
        <color rgb="FF000000"/>
      </right>
      <top style="dotted">
        <color rgb="FF000000"/>
      </top>
      <bottom style="thin">
        <color auto="1"/>
      </bottom>
      <diagonal/>
    </border>
    <border>
      <left style="hair">
        <color indexed="64"/>
      </left>
      <right style="hair">
        <color indexed="64"/>
      </right>
      <top style="thin">
        <color auto="1"/>
      </top>
      <bottom style="hair">
        <color indexed="64"/>
      </bottom>
      <diagonal/>
    </border>
  </borders>
  <cellStyleXfs count="11">
    <xf numFmtId="0" fontId="0" fillId="0" borderId="0"/>
    <xf numFmtId="0" fontId="2" fillId="0" borderId="0"/>
    <xf numFmtId="0" fontId="18" fillId="0" borderId="0" applyNumberFormat="0" applyFill="0" applyBorder="0" applyAlignment="0" applyProtection="0"/>
    <xf numFmtId="0" fontId="2" fillId="0" borderId="0"/>
    <xf numFmtId="165" fontId="2" fillId="0" borderId="0" applyFont="0" applyFill="0" applyBorder="0" applyAlignment="0" applyProtection="0"/>
    <xf numFmtId="166" fontId="1" fillId="0" borderId="0" applyFont="0" applyFill="0" applyBorder="0" applyAlignment="0" applyProtection="0">
      <alignment vertical="center"/>
    </xf>
    <xf numFmtId="0" fontId="1" fillId="0" borderId="0"/>
    <xf numFmtId="164" fontId="1" fillId="0" borderId="0" applyFont="0" applyFill="0" applyBorder="0" applyAlignment="0" applyProtection="0"/>
    <xf numFmtId="9" fontId="2" fillId="0" borderId="0" applyFont="0" applyFill="0" applyBorder="0" applyAlignment="0" applyProtection="0"/>
    <xf numFmtId="165" fontId="1" fillId="0" borderId="0" applyFont="0" applyFill="0" applyBorder="0" applyAlignment="0" applyProtection="0"/>
    <xf numFmtId="0" fontId="27" fillId="0" borderId="0" applyNumberFormat="0" applyFill="0" applyBorder="0" applyAlignment="0" applyProtection="0"/>
  </cellStyleXfs>
  <cellXfs count="441">
    <xf numFmtId="0" fontId="0" fillId="0" borderId="0" xfId="0"/>
    <xf numFmtId="0" fontId="2" fillId="0" borderId="0" xfId="1"/>
    <xf numFmtId="0" fontId="3" fillId="0" borderId="0" xfId="1" applyFont="1"/>
    <xf numFmtId="0" fontId="4" fillId="0" borderId="0" xfId="1" applyFont="1"/>
    <xf numFmtId="0" fontId="5" fillId="0" borderId="1" xfId="1" applyFont="1" applyBorder="1"/>
    <xf numFmtId="0" fontId="2" fillId="0" borderId="1" xfId="1" applyBorder="1"/>
    <xf numFmtId="0" fontId="6" fillId="0" borderId="1" xfId="1" applyFont="1" applyBorder="1"/>
    <xf numFmtId="0" fontId="7" fillId="0" borderId="0" xfId="1" applyFont="1"/>
    <xf numFmtId="0" fontId="8" fillId="0" borderId="0" xfId="1" applyFont="1"/>
    <xf numFmtId="0" fontId="9" fillId="0" borderId="0" xfId="1" applyFont="1"/>
    <xf numFmtId="0" fontId="2" fillId="0" borderId="0" xfId="1" applyAlignment="1">
      <alignment horizontal="right"/>
    </xf>
    <xf numFmtId="0" fontId="2" fillId="0" borderId="0" xfId="1" quotePrefix="1"/>
    <xf numFmtId="0" fontId="15" fillId="0" borderId="0" xfId="1" applyFont="1"/>
    <xf numFmtId="0" fontId="16" fillId="0" borderId="0" xfId="1" applyFont="1"/>
    <xf numFmtId="0" fontId="17" fillId="2" borderId="0" xfId="1" applyFont="1" applyFill="1" applyAlignment="1">
      <alignment horizontal="left" vertical="center"/>
    </xf>
    <xf numFmtId="0" fontId="19" fillId="2" borderId="0" xfId="2" applyFont="1" applyFill="1" applyAlignment="1">
      <alignment horizontal="center" vertical="center"/>
    </xf>
    <xf numFmtId="0" fontId="16" fillId="2" borderId="0" xfId="1" applyFont="1" applyFill="1"/>
    <xf numFmtId="0" fontId="14" fillId="3" borderId="2" xfId="1" applyFont="1" applyFill="1" applyBorder="1"/>
    <xf numFmtId="0" fontId="2" fillId="3" borderId="2" xfId="1" applyFill="1" applyBorder="1"/>
    <xf numFmtId="0" fontId="14" fillId="3" borderId="2" xfId="1" applyFont="1" applyFill="1" applyBorder="1" applyAlignment="1">
      <alignment vertical="top"/>
    </xf>
    <xf numFmtId="0" fontId="2" fillId="3" borderId="2" xfId="1" applyFill="1" applyBorder="1" applyAlignment="1">
      <alignment vertical="top" wrapText="1"/>
    </xf>
    <xf numFmtId="0" fontId="21" fillId="4" borderId="2" xfId="1" applyFont="1" applyFill="1" applyBorder="1" applyAlignment="1">
      <alignment horizontal="center"/>
    </xf>
    <xf numFmtId="0" fontId="22" fillId="0" borderId="2" xfId="1" applyFont="1" applyBorder="1"/>
    <xf numFmtId="0" fontId="22" fillId="0" borderId="4" xfId="1" applyFont="1" applyBorder="1"/>
    <xf numFmtId="0" fontId="20" fillId="0" borderId="0" xfId="1" applyFont="1"/>
    <xf numFmtId="0" fontId="21" fillId="4" borderId="6" xfId="1" applyFont="1" applyFill="1" applyBorder="1" applyAlignment="1">
      <alignment horizontal="center"/>
    </xf>
    <xf numFmtId="0" fontId="21" fillId="4" borderId="5" xfId="1" applyFont="1" applyFill="1" applyBorder="1" applyAlignment="1">
      <alignment horizontal="center"/>
    </xf>
    <xf numFmtId="0" fontId="23" fillId="0" borderId="8" xfId="1" applyFont="1" applyBorder="1" applyAlignment="1">
      <alignment vertical="center"/>
    </xf>
    <xf numFmtId="0" fontId="23" fillId="0" borderId="9" xfId="1" applyFont="1" applyBorder="1" applyAlignment="1">
      <alignment vertical="center"/>
    </xf>
    <xf numFmtId="0" fontId="23" fillId="0" borderId="11" xfId="1" applyFont="1" applyBorder="1" applyAlignment="1">
      <alignment vertical="center"/>
    </xf>
    <xf numFmtId="0" fontId="23" fillId="0" borderId="12" xfId="1" applyFont="1" applyBorder="1" applyAlignment="1">
      <alignment vertical="center" wrapText="1"/>
    </xf>
    <xf numFmtId="0" fontId="23" fillId="0" borderId="14" xfId="1" applyFont="1" applyBorder="1" applyAlignment="1">
      <alignment vertical="center"/>
    </xf>
    <xf numFmtId="0" fontId="23" fillId="0" borderId="15" xfId="1" applyFont="1" applyBorder="1" applyAlignment="1">
      <alignment vertical="center" wrapText="1"/>
    </xf>
    <xf numFmtId="0" fontId="23" fillId="0" borderId="16" xfId="1" applyFont="1" applyBorder="1" applyAlignment="1">
      <alignment horizontal="center" vertical="center"/>
    </xf>
    <xf numFmtId="0" fontId="23" fillId="0" borderId="17" xfId="1" applyFont="1" applyBorder="1" applyAlignment="1">
      <alignment vertical="center"/>
    </xf>
    <xf numFmtId="0" fontId="23" fillId="0" borderId="18" xfId="1" applyFont="1" applyBorder="1" applyAlignment="1">
      <alignment vertical="center" wrapText="1"/>
    </xf>
    <xf numFmtId="0" fontId="20" fillId="0" borderId="3" xfId="1" applyFont="1" applyBorder="1" applyAlignment="1">
      <alignment horizontal="left" vertical="top" wrapText="1"/>
    </xf>
    <xf numFmtId="0" fontId="11" fillId="0" borderId="2" xfId="3" applyFont="1" applyBorder="1" applyAlignment="1">
      <alignment vertical="top" wrapText="1"/>
    </xf>
    <xf numFmtId="0" fontId="2" fillId="0" borderId="2" xfId="5" applyNumberFormat="1" applyFont="1" applyFill="1" applyBorder="1" applyAlignment="1" applyProtection="1">
      <alignment vertical="top" wrapText="1"/>
      <protection locked="0"/>
    </xf>
    <xf numFmtId="0" fontId="2" fillId="0" borderId="2" xfId="3" applyBorder="1" applyAlignment="1" applyProtection="1">
      <alignment vertical="top" wrapText="1"/>
      <protection locked="0"/>
    </xf>
    <xf numFmtId="0" fontId="11" fillId="0" borderId="2" xfId="5" applyNumberFormat="1" applyFont="1" applyFill="1" applyBorder="1" applyAlignment="1">
      <alignment vertical="top"/>
    </xf>
    <xf numFmtId="0" fontId="2" fillId="0" borderId="0" xfId="1" applyAlignment="1">
      <alignment vertical="top"/>
    </xf>
    <xf numFmtId="0" fontId="11" fillId="9" borderId="2" xfId="5" applyNumberFormat="1" applyFont="1" applyFill="1" applyBorder="1" applyAlignment="1">
      <alignment vertical="top"/>
    </xf>
    <xf numFmtId="0" fontId="2" fillId="9" borderId="2" xfId="3" applyFill="1" applyBorder="1" applyAlignment="1" applyProtection="1">
      <alignment vertical="top" wrapText="1"/>
      <protection locked="0"/>
    </xf>
    <xf numFmtId="0" fontId="0" fillId="0" borderId="2" xfId="0" applyBorder="1" applyAlignment="1">
      <alignment vertical="top"/>
    </xf>
    <xf numFmtId="0" fontId="23" fillId="0" borderId="41" xfId="1" applyFont="1" applyBorder="1" applyAlignment="1">
      <alignment vertical="center"/>
    </xf>
    <xf numFmtId="0" fontId="23" fillId="0" borderId="42" xfId="1" applyFont="1" applyBorder="1" applyAlignment="1">
      <alignment vertical="center" wrapText="1"/>
    </xf>
    <xf numFmtId="0" fontId="23" fillId="0" borderId="11" xfId="1" applyFont="1" applyBorder="1" applyAlignment="1">
      <alignment vertical="center" wrapText="1"/>
    </xf>
    <xf numFmtId="0" fontId="23" fillId="0" borderId="17" xfId="1" applyFont="1" applyBorder="1" applyAlignment="1">
      <alignment horizontal="center" vertical="center"/>
    </xf>
    <xf numFmtId="0" fontId="24" fillId="0" borderId="2" xfId="0" applyFont="1" applyBorder="1" applyAlignment="1">
      <alignment horizontal="left"/>
    </xf>
    <xf numFmtId="0" fontId="22" fillId="0" borderId="2" xfId="1" applyFont="1" applyBorder="1" applyAlignment="1">
      <alignment horizontal="left"/>
    </xf>
    <xf numFmtId="0" fontId="19" fillId="2" borderId="0" xfId="2" applyFont="1" applyFill="1" applyAlignment="1" applyProtection="1">
      <alignment horizontal="center" vertical="center"/>
    </xf>
    <xf numFmtId="0" fontId="11" fillId="0" borderId="2" xfId="3" applyFont="1" applyBorder="1" applyAlignment="1">
      <alignment horizontal="left" vertical="top" wrapText="1"/>
    </xf>
    <xf numFmtId="0" fontId="2" fillId="0" borderId="2" xfId="3" applyBorder="1" applyAlignment="1">
      <alignment horizontal="left" wrapText="1"/>
    </xf>
    <xf numFmtId="0" fontId="2" fillId="0" borderId="2" xfId="3" applyBorder="1" applyAlignment="1">
      <alignment horizontal="left" vertical="top" wrapText="1"/>
    </xf>
    <xf numFmtId="0" fontId="11" fillId="0" borderId="2" xfId="5" applyNumberFormat="1" applyFont="1" applyFill="1" applyBorder="1" applyAlignment="1" applyProtection="1">
      <alignment horizontal="left" vertical="center"/>
    </xf>
    <xf numFmtId="0" fontId="2" fillId="0" borderId="2" xfId="5" applyNumberFormat="1" applyFont="1" applyFill="1" applyBorder="1" applyAlignment="1" applyProtection="1">
      <alignment horizontal="left"/>
    </xf>
    <xf numFmtId="0" fontId="2" fillId="0" borderId="2" xfId="5" applyNumberFormat="1" applyFont="1" applyFill="1" applyBorder="1" applyAlignment="1" applyProtection="1">
      <alignment horizontal="left" vertical="top" wrapText="1"/>
    </xf>
    <xf numFmtId="0" fontId="26" fillId="17" borderId="43" xfId="1" applyFont="1" applyFill="1" applyBorder="1" applyAlignment="1">
      <alignment horizontal="left" vertical="center"/>
    </xf>
    <xf numFmtId="0" fontId="26" fillId="17" borderId="44" xfId="1" applyFont="1" applyFill="1" applyBorder="1" applyAlignment="1">
      <alignment horizontal="left" vertical="center"/>
    </xf>
    <xf numFmtId="0" fontId="23" fillId="0" borderId="7" xfId="1" applyFont="1" applyBorder="1" applyAlignment="1">
      <alignment horizontal="center" vertical="center"/>
    </xf>
    <xf numFmtId="0" fontId="23" fillId="0" borderId="10" xfId="1" applyFont="1" applyBorder="1" applyAlignment="1">
      <alignment horizontal="center" vertical="center"/>
    </xf>
    <xf numFmtId="0" fontId="23" fillId="0" borderId="13" xfId="1" applyFont="1" applyBorder="1" applyAlignment="1">
      <alignment horizontal="center" vertical="center"/>
    </xf>
    <xf numFmtId="0" fontId="23" fillId="0" borderId="15" xfId="1" applyFont="1" applyBorder="1" applyAlignment="1">
      <alignment vertical="center"/>
    </xf>
    <xf numFmtId="0" fontId="26" fillId="17" borderId="6" xfId="1" applyFont="1" applyFill="1" applyBorder="1" applyAlignment="1">
      <alignment horizontal="left" vertical="center"/>
    </xf>
    <xf numFmtId="0" fontId="26" fillId="17" borderId="36" xfId="1" applyFont="1" applyFill="1" applyBorder="1" applyAlignment="1">
      <alignment horizontal="left" vertical="center"/>
    </xf>
    <xf numFmtId="0" fontId="26" fillId="17" borderId="5" xfId="1" applyFont="1" applyFill="1" applyBorder="1" applyAlignment="1">
      <alignment horizontal="left" vertical="center"/>
    </xf>
    <xf numFmtId="0" fontId="23" fillId="0" borderId="0" xfId="1" applyFont="1" applyAlignment="1">
      <alignment horizontal="center" vertical="center"/>
    </xf>
    <xf numFmtId="0" fontId="23" fillId="0" borderId="0" xfId="1" applyFont="1" applyAlignment="1">
      <alignment vertical="center"/>
    </xf>
    <xf numFmtId="0" fontId="23" fillId="0" borderId="0" xfId="1" applyFont="1" applyAlignment="1">
      <alignment vertical="center" wrapText="1"/>
    </xf>
    <xf numFmtId="1" fontId="9" fillId="18" borderId="2" xfId="4" applyNumberFormat="1" applyFont="1" applyFill="1" applyBorder="1" applyAlignment="1" applyProtection="1">
      <alignment horizontal="left" vertical="top" wrapText="1"/>
    </xf>
    <xf numFmtId="0" fontId="2" fillId="7" borderId="2" xfId="3" applyFill="1" applyBorder="1" applyAlignment="1">
      <alignment horizontal="left" wrapText="1"/>
    </xf>
    <xf numFmtId="1" fontId="9" fillId="18" borderId="2" xfId="4" applyNumberFormat="1" applyFont="1" applyFill="1" applyBorder="1" applyAlignment="1" applyProtection="1">
      <alignment vertical="top" wrapText="1"/>
    </xf>
    <xf numFmtId="0" fontId="2" fillId="7" borderId="2" xfId="3" applyFill="1" applyBorder="1" applyAlignment="1" applyProtection="1">
      <alignment vertical="top" wrapText="1"/>
      <protection locked="0"/>
    </xf>
    <xf numFmtId="0" fontId="24" fillId="0" borderId="0" xfId="0" applyFont="1" applyAlignment="1">
      <alignment horizontal="center" vertical="center"/>
    </xf>
    <xf numFmtId="0" fontId="28" fillId="0" borderId="0" xfId="1" applyFont="1"/>
    <xf numFmtId="0" fontId="29" fillId="0" borderId="0" xfId="1" applyFont="1"/>
    <xf numFmtId="0" fontId="30" fillId="0" borderId="0" xfId="1" applyFont="1"/>
    <xf numFmtId="0" fontId="31" fillId="0" borderId="1" xfId="1" applyFont="1" applyBorder="1"/>
    <xf numFmtId="0" fontId="28" fillId="0" borderId="1" xfId="1" applyFont="1" applyBorder="1"/>
    <xf numFmtId="0" fontId="32" fillId="0" borderId="1" xfId="1" applyFont="1" applyBorder="1"/>
    <xf numFmtId="0" fontId="33" fillId="0" borderId="0" xfId="1" applyFont="1"/>
    <xf numFmtId="0" fontId="34" fillId="0" borderId="0" xfId="1" applyFont="1"/>
    <xf numFmtId="0" fontId="35" fillId="0" borderId="0" xfId="1" applyFont="1"/>
    <xf numFmtId="0" fontId="28" fillId="0" borderId="0" xfId="1" applyFont="1" applyAlignment="1">
      <alignment horizontal="right"/>
    </xf>
    <xf numFmtId="0" fontId="28" fillId="0" borderId="0" xfId="1" quotePrefix="1" applyFont="1"/>
    <xf numFmtId="0" fontId="37" fillId="0" borderId="2" xfId="3" applyFont="1" applyBorder="1" applyAlignment="1">
      <alignment horizontal="left" vertical="top" wrapText="1"/>
    </xf>
    <xf numFmtId="0" fontId="28" fillId="0" borderId="2" xfId="3" applyFont="1" applyBorder="1" applyAlignment="1">
      <alignment horizontal="left" wrapText="1"/>
    </xf>
    <xf numFmtId="0" fontId="28" fillId="0" borderId="2" xfId="3" applyFont="1" applyBorder="1" applyAlignment="1">
      <alignment horizontal="left" vertical="top" wrapText="1"/>
    </xf>
    <xf numFmtId="0" fontId="37" fillId="0" borderId="2" xfId="5" applyNumberFormat="1" applyFont="1" applyFill="1" applyBorder="1" applyAlignment="1" applyProtection="1">
      <alignment horizontal="left" vertical="center"/>
    </xf>
    <xf numFmtId="0" fontId="28" fillId="0" borderId="2" xfId="5" applyNumberFormat="1" applyFont="1" applyFill="1" applyBorder="1" applyAlignment="1" applyProtection="1">
      <alignment horizontal="left"/>
    </xf>
    <xf numFmtId="0" fontId="28" fillId="0" borderId="2" xfId="3" applyFont="1" applyBorder="1" applyAlignment="1" applyProtection="1">
      <alignment vertical="top" wrapText="1"/>
      <protection locked="0"/>
    </xf>
    <xf numFmtId="0" fontId="28" fillId="7" borderId="2" xfId="3" applyFont="1" applyFill="1" applyBorder="1" applyAlignment="1" applyProtection="1">
      <alignment vertical="top" wrapText="1"/>
      <protection locked="0"/>
    </xf>
    <xf numFmtId="0" fontId="28" fillId="0" borderId="2" xfId="5" applyNumberFormat="1" applyFont="1" applyFill="1" applyBorder="1" applyAlignment="1" applyProtection="1">
      <alignment vertical="top" wrapText="1"/>
      <protection locked="0"/>
    </xf>
    <xf numFmtId="0" fontId="40" fillId="0" borderId="0" xfId="1" applyFont="1"/>
    <xf numFmtId="0" fontId="42" fillId="19" borderId="2" xfId="1" applyFont="1" applyFill="1" applyBorder="1" applyAlignment="1">
      <alignment horizontal="center"/>
    </xf>
    <xf numFmtId="0" fontId="42" fillId="19" borderId="2" xfId="1" applyFont="1" applyFill="1" applyBorder="1"/>
    <xf numFmtId="0" fontId="42" fillId="19" borderId="2" xfId="1" applyFont="1" applyFill="1" applyBorder="1" applyAlignment="1">
      <alignment vertical="top"/>
    </xf>
    <xf numFmtId="0" fontId="41" fillId="5" borderId="0" xfId="1" applyFont="1" applyFill="1"/>
    <xf numFmtId="0" fontId="28" fillId="0" borderId="2" xfId="1" applyFont="1" applyBorder="1" applyAlignment="1">
      <alignment horizontal="left"/>
    </xf>
    <xf numFmtId="0" fontId="28" fillId="0" borderId="2" xfId="1" applyFont="1" applyBorder="1"/>
    <xf numFmtId="0" fontId="28" fillId="0" borderId="4" xfId="1" applyFont="1" applyBorder="1"/>
    <xf numFmtId="0" fontId="28" fillId="0" borderId="2" xfId="1" applyFont="1" applyBorder="1" applyAlignment="1">
      <alignment vertical="top" wrapText="1"/>
    </xf>
    <xf numFmtId="0" fontId="37" fillId="20" borderId="2" xfId="3" quotePrefix="1" applyFont="1" applyFill="1" applyBorder="1" applyAlignment="1">
      <alignment horizontal="left" vertical="top" wrapText="1" indent="2"/>
    </xf>
    <xf numFmtId="0" fontId="28" fillId="20" borderId="2" xfId="3" applyFont="1" applyFill="1" applyBorder="1" applyAlignment="1">
      <alignment horizontal="left" wrapText="1"/>
    </xf>
    <xf numFmtId="0" fontId="37" fillId="0" borderId="2" xfId="5" applyNumberFormat="1" applyFont="1" applyFill="1" applyBorder="1" applyAlignment="1" applyProtection="1">
      <alignment horizontal="left" vertical="center" wrapText="1"/>
    </xf>
    <xf numFmtId="0" fontId="28" fillId="0" borderId="7" xfId="1" applyFont="1" applyBorder="1" applyAlignment="1">
      <alignment horizontal="center" vertical="center"/>
    </xf>
    <xf numFmtId="0" fontId="28" fillId="0" borderId="8" xfId="1" applyFont="1" applyBorder="1" applyAlignment="1">
      <alignment vertical="center"/>
    </xf>
    <xf numFmtId="0" fontId="28" fillId="0" borderId="10" xfId="1" applyFont="1" applyBorder="1" applyAlignment="1">
      <alignment horizontal="center" vertical="center"/>
    </xf>
    <xf numFmtId="0" fontId="28" fillId="0" borderId="11" xfId="1" applyFont="1" applyBorder="1" applyAlignment="1">
      <alignment vertical="center"/>
    </xf>
    <xf numFmtId="0" fontId="28" fillId="0" borderId="12" xfId="1" applyFont="1" applyBorder="1" applyAlignment="1">
      <alignment vertical="center" wrapText="1"/>
    </xf>
    <xf numFmtId="0" fontId="28" fillId="0" borderId="13" xfId="1" applyFont="1" applyBorder="1" applyAlignment="1">
      <alignment horizontal="center" vertical="center"/>
    </xf>
    <xf numFmtId="0" fontId="28" fillId="0" borderId="14" xfId="1" applyFont="1" applyBorder="1" applyAlignment="1">
      <alignment vertical="center"/>
    </xf>
    <xf numFmtId="0" fontId="28" fillId="0" borderId="15" xfId="1" applyFont="1" applyBorder="1" applyAlignment="1">
      <alignment vertical="center" wrapText="1"/>
    </xf>
    <xf numFmtId="0" fontId="28" fillId="0" borderId="16" xfId="1" applyFont="1" applyBorder="1" applyAlignment="1">
      <alignment horizontal="center" vertical="center"/>
    </xf>
    <xf numFmtId="0" fontId="28" fillId="0" borderId="17" xfId="1" applyFont="1" applyBorder="1" applyAlignment="1">
      <alignment vertical="center"/>
    </xf>
    <xf numFmtId="0" fontId="28" fillId="0" borderId="18" xfId="1" applyFont="1" applyBorder="1" applyAlignment="1">
      <alignment vertical="center" wrapText="1"/>
    </xf>
    <xf numFmtId="0" fontId="44" fillId="11" borderId="6" xfId="1" applyFont="1" applyFill="1" applyBorder="1" applyAlignment="1">
      <alignment horizontal="left" vertical="center"/>
    </xf>
    <xf numFmtId="0" fontId="38" fillId="11" borderId="36" xfId="1" applyFont="1" applyFill="1" applyBorder="1" applyAlignment="1">
      <alignment horizontal="left" vertical="center"/>
    </xf>
    <xf numFmtId="0" fontId="38" fillId="11" borderId="5" xfId="1" applyFont="1" applyFill="1" applyBorder="1" applyAlignment="1">
      <alignment horizontal="left" vertical="center"/>
    </xf>
    <xf numFmtId="0" fontId="40" fillId="0" borderId="3" xfId="1" applyFont="1" applyBorder="1" applyAlignment="1">
      <alignment horizontal="left" vertical="top" wrapText="1"/>
    </xf>
    <xf numFmtId="0" fontId="45" fillId="11" borderId="0" xfId="1" applyFont="1" applyFill="1"/>
    <xf numFmtId="0" fontId="42" fillId="19" borderId="2" xfId="3" applyFont="1" applyFill="1" applyBorder="1" applyAlignment="1">
      <alignment vertical="top" wrapText="1"/>
    </xf>
    <xf numFmtId="0" fontId="42" fillId="19" borderId="2" xfId="5" applyNumberFormat="1" applyFont="1" applyFill="1" applyBorder="1" applyAlignment="1">
      <alignment vertical="top"/>
    </xf>
    <xf numFmtId="0" fontId="42" fillId="19" borderId="6" xfId="1" applyFont="1" applyFill="1" applyBorder="1" applyAlignment="1">
      <alignment horizontal="center"/>
    </xf>
    <xf numFmtId="0" fontId="42" fillId="19" borderId="5" xfId="1" applyFont="1" applyFill="1" applyBorder="1" applyAlignment="1">
      <alignment horizontal="center"/>
    </xf>
    <xf numFmtId="0" fontId="44" fillId="11" borderId="43" xfId="1" applyFont="1" applyFill="1" applyBorder="1" applyAlignment="1">
      <alignment horizontal="left" vertical="center"/>
    </xf>
    <xf numFmtId="0" fontId="38" fillId="11" borderId="44" xfId="1" applyFont="1" applyFill="1" applyBorder="1" applyAlignment="1">
      <alignment horizontal="left" vertical="center"/>
    </xf>
    <xf numFmtId="0" fontId="28" fillId="0" borderId="9" xfId="1" applyFont="1" applyBorder="1" applyAlignment="1">
      <alignment vertical="center" wrapText="1"/>
    </xf>
    <xf numFmtId="0" fontId="42" fillId="0" borderId="0" xfId="1" applyFont="1" applyAlignment="1">
      <alignment horizontal="center"/>
    </xf>
    <xf numFmtId="0" fontId="38" fillId="0" borderId="0" xfId="1" applyFont="1" applyAlignment="1">
      <alignment horizontal="left" vertical="center"/>
    </xf>
    <xf numFmtId="0" fontId="28" fillId="0" borderId="0" xfId="1" applyFont="1" applyAlignment="1">
      <alignment vertical="center"/>
    </xf>
    <xf numFmtId="0" fontId="28" fillId="0" borderId="0" xfId="1" applyFont="1" applyAlignment="1">
      <alignment vertical="center" wrapText="1"/>
    </xf>
    <xf numFmtId="0" fontId="38" fillId="11" borderId="51" xfId="1" applyFont="1" applyFill="1" applyBorder="1" applyAlignment="1">
      <alignment horizontal="left" vertical="center"/>
    </xf>
    <xf numFmtId="0" fontId="46" fillId="0" borderId="0" xfId="1" applyFont="1"/>
    <xf numFmtId="1" fontId="42" fillId="21" borderId="2" xfId="4" applyNumberFormat="1" applyFont="1" applyFill="1" applyBorder="1" applyAlignment="1" applyProtection="1">
      <alignment vertical="top" wrapText="1"/>
    </xf>
    <xf numFmtId="0" fontId="45" fillId="8" borderId="0" xfId="1" applyFont="1" applyFill="1"/>
    <xf numFmtId="0" fontId="28" fillId="0" borderId="11" xfId="1" applyFont="1" applyBorder="1" applyAlignment="1">
      <alignment vertical="center" wrapText="1"/>
    </xf>
    <xf numFmtId="0" fontId="28" fillId="0" borderId="41" xfId="1" applyFont="1" applyBorder="1" applyAlignment="1">
      <alignment vertical="center"/>
    </xf>
    <xf numFmtId="0" fontId="28" fillId="0" borderId="42" xfId="1" applyFont="1" applyBorder="1" applyAlignment="1">
      <alignment vertical="center" wrapText="1"/>
    </xf>
    <xf numFmtId="0" fontId="28" fillId="0" borderId="17" xfId="1" applyFont="1" applyBorder="1" applyAlignment="1">
      <alignment horizontal="center" vertical="center"/>
    </xf>
    <xf numFmtId="0" fontId="37" fillId="0" borderId="4" xfId="3" applyFont="1" applyBorder="1" applyAlignment="1">
      <alignment horizontal="left" vertical="top" wrapText="1"/>
    </xf>
    <xf numFmtId="0" fontId="37" fillId="0" borderId="17" xfId="3" applyFont="1" applyBorder="1" applyAlignment="1">
      <alignment horizontal="left" vertical="top" wrapText="1"/>
    </xf>
    <xf numFmtId="0" fontId="37" fillId="0" borderId="21" xfId="3" applyFont="1" applyBorder="1" applyAlignment="1">
      <alignment horizontal="left" vertical="top" wrapText="1"/>
    </xf>
    <xf numFmtId="0" fontId="37" fillId="0" borderId="16" xfId="3" applyFont="1" applyBorder="1" applyAlignment="1">
      <alignment horizontal="left" vertical="top" wrapText="1"/>
    </xf>
    <xf numFmtId="0" fontId="28" fillId="0" borderId="4" xfId="3" applyFont="1" applyBorder="1" applyAlignment="1">
      <alignment horizontal="left" wrapText="1"/>
    </xf>
    <xf numFmtId="0" fontId="28" fillId="0" borderId="17" xfId="3" applyFont="1" applyBorder="1" applyAlignment="1">
      <alignment horizontal="left" wrapText="1"/>
    </xf>
    <xf numFmtId="0" fontId="28" fillId="0" borderId="4" xfId="3" applyFont="1" applyBorder="1" applyAlignment="1">
      <alignment horizontal="left" vertical="top" wrapText="1"/>
    </xf>
    <xf numFmtId="0" fontId="28" fillId="0" borderId="17" xfId="3" applyFont="1" applyBorder="1" applyAlignment="1">
      <alignment horizontal="left" vertical="top" wrapText="1"/>
    </xf>
    <xf numFmtId="0" fontId="37" fillId="0" borderId="0" xfId="1" applyFont="1"/>
    <xf numFmtId="0" fontId="42" fillId="19" borderId="36" xfId="1" applyFont="1" applyFill="1" applyBorder="1" applyAlignment="1">
      <alignment horizontal="center"/>
    </xf>
    <xf numFmtId="0" fontId="28" fillId="0" borderId="70" xfId="1" applyFont="1" applyBorder="1" applyAlignment="1">
      <alignment vertical="center"/>
    </xf>
    <xf numFmtId="0" fontId="28" fillId="0" borderId="23" xfId="1" applyFont="1" applyBorder="1" applyAlignment="1">
      <alignment vertical="center"/>
    </xf>
    <xf numFmtId="0" fontId="28" fillId="0" borderId="71" xfId="1" applyFont="1" applyBorder="1" applyAlignment="1">
      <alignment vertical="center" wrapText="1"/>
    </xf>
    <xf numFmtId="0" fontId="28" fillId="0" borderId="72" xfId="1" applyFont="1" applyBorder="1" applyAlignment="1">
      <alignment vertical="center" wrapText="1"/>
    </xf>
    <xf numFmtId="0" fontId="40" fillId="11" borderId="0" xfId="0" applyFont="1" applyFill="1"/>
    <xf numFmtId="0" fontId="28" fillId="11" borderId="0" xfId="0" applyFont="1" applyFill="1"/>
    <xf numFmtId="0" fontId="42" fillId="19" borderId="2" xfId="0" applyFont="1" applyFill="1" applyBorder="1" applyAlignment="1">
      <alignment horizontal="center"/>
    </xf>
    <xf numFmtId="0" fontId="28" fillId="0" borderId="0" xfId="0" applyFont="1"/>
    <xf numFmtId="0" fontId="28" fillId="0" borderId="2" xfId="0" applyFont="1" applyBorder="1"/>
    <xf numFmtId="0" fontId="42" fillId="19" borderId="63" xfId="1" applyFont="1" applyFill="1" applyBorder="1" applyAlignment="1">
      <alignment horizontal="center" vertical="center"/>
    </xf>
    <xf numFmtId="0" fontId="28" fillId="0" borderId="41" xfId="1" applyFont="1" applyBorder="1" applyAlignment="1">
      <alignment vertical="center" wrapText="1"/>
    </xf>
    <xf numFmtId="0" fontId="28" fillId="0" borderId="74" xfId="1" applyFont="1" applyBorder="1" applyAlignment="1">
      <alignment vertical="center"/>
    </xf>
    <xf numFmtId="0" fontId="28" fillId="0" borderId="74" xfId="1" applyFont="1" applyBorder="1" applyAlignment="1">
      <alignment vertical="center" wrapText="1"/>
    </xf>
    <xf numFmtId="0" fontId="28" fillId="0" borderId="0" xfId="0" applyFont="1" applyAlignment="1">
      <alignment horizontal="center"/>
    </xf>
    <xf numFmtId="0" fontId="28" fillId="0" borderId="41" xfId="0" applyFont="1" applyBorder="1" applyAlignment="1">
      <alignment horizontal="center" vertical="center"/>
    </xf>
    <xf numFmtId="0" fontId="28" fillId="0" borderId="74" xfId="0" applyFont="1" applyBorder="1" applyAlignment="1">
      <alignment horizontal="center" vertical="center"/>
    </xf>
    <xf numFmtId="0" fontId="28" fillId="11" borderId="0" xfId="0" applyFont="1" applyFill="1" applyAlignment="1">
      <alignment horizontal="center"/>
    </xf>
    <xf numFmtId="0" fontId="40" fillId="11" borderId="0" xfId="0" applyFont="1" applyFill="1" applyAlignment="1">
      <alignment horizontal="center"/>
    </xf>
    <xf numFmtId="0" fontId="28" fillId="0" borderId="0" xfId="1" applyFont="1" applyAlignment="1">
      <alignment horizontal="center"/>
    </xf>
    <xf numFmtId="0" fontId="40" fillId="0" borderId="0" xfId="0" applyFont="1"/>
    <xf numFmtId="0" fontId="28" fillId="0" borderId="2" xfId="0" applyFont="1" applyBorder="1" applyAlignment="1">
      <alignment horizontal="center"/>
    </xf>
    <xf numFmtId="0" fontId="40" fillId="0" borderId="20" xfId="1" applyFont="1" applyBorder="1" applyAlignment="1" applyProtection="1">
      <alignment horizontal="left"/>
      <protection locked="0"/>
    </xf>
    <xf numFmtId="0" fontId="47" fillId="0" borderId="0" xfId="0" applyFont="1"/>
    <xf numFmtId="0" fontId="28" fillId="0" borderId="0" xfId="1" applyFont="1" applyProtection="1">
      <protection locked="0"/>
    </xf>
    <xf numFmtId="0" fontId="28" fillId="0" borderId="0" xfId="1" applyFont="1" applyProtection="1">
      <protection locked="0" hidden="1"/>
    </xf>
    <xf numFmtId="0" fontId="39" fillId="0" borderId="0" xfId="1" applyFont="1" applyAlignment="1" applyProtection="1">
      <alignment vertical="center"/>
      <protection locked="0"/>
    </xf>
    <xf numFmtId="0" fontId="39" fillId="0" borderId="0" xfId="1" applyFont="1" applyAlignment="1" applyProtection="1">
      <alignment vertical="center" wrapText="1"/>
      <protection locked="0"/>
    </xf>
    <xf numFmtId="0" fontId="35" fillId="0" borderId="51" xfId="1" applyFont="1" applyBorder="1" applyAlignment="1" applyProtection="1">
      <alignment horizontal="center" vertical="center" wrapText="1"/>
      <protection locked="0" hidden="1"/>
    </xf>
    <xf numFmtId="0" fontId="28" fillId="0" borderId="53" xfId="1" applyFont="1" applyBorder="1" applyProtection="1">
      <protection locked="0" hidden="1"/>
    </xf>
    <xf numFmtId="0" fontId="28" fillId="0" borderId="54" xfId="1" applyFont="1" applyBorder="1" applyProtection="1">
      <protection locked="0" hidden="1"/>
    </xf>
    <xf numFmtId="0" fontId="28" fillId="0" borderId="55" xfId="1" applyFont="1" applyBorder="1" applyProtection="1">
      <protection locked="0" hidden="1"/>
    </xf>
    <xf numFmtId="0" fontId="28" fillId="0" borderId="56" xfId="1" applyFont="1" applyBorder="1" applyProtection="1">
      <protection locked="0" hidden="1"/>
    </xf>
    <xf numFmtId="0" fontId="28" fillId="0" borderId="57" xfId="1" applyFont="1" applyBorder="1" applyProtection="1">
      <protection locked="0" hidden="1"/>
    </xf>
    <xf numFmtId="0" fontId="28" fillId="0" borderId="25" xfId="1" applyFont="1" applyBorder="1" applyProtection="1">
      <protection locked="0" hidden="1"/>
    </xf>
    <xf numFmtId="0" fontId="28" fillId="0" borderId="23" xfId="1" applyFont="1" applyBorder="1" applyProtection="1">
      <protection locked="0" hidden="1"/>
    </xf>
    <xf numFmtId="0" fontId="28" fillId="0" borderId="24" xfId="1" applyFont="1" applyBorder="1" applyProtection="1">
      <protection locked="0" hidden="1"/>
    </xf>
    <xf numFmtId="0" fontId="28" fillId="0" borderId="26" xfId="1" applyFont="1" applyBorder="1" applyProtection="1">
      <protection locked="0" hidden="1"/>
    </xf>
    <xf numFmtId="0" fontId="49" fillId="0" borderId="60" xfId="1" applyFont="1" applyBorder="1" applyAlignment="1" applyProtection="1">
      <alignment horizontal="center"/>
      <protection locked="0" hidden="1"/>
    </xf>
    <xf numFmtId="0" fontId="28" fillId="0" borderId="0" xfId="0" applyFont="1" applyProtection="1">
      <protection locked="0"/>
    </xf>
    <xf numFmtId="0" fontId="50" fillId="0" borderId="0" xfId="0" applyFont="1" applyAlignment="1">
      <alignment vertical="center"/>
    </xf>
    <xf numFmtId="167" fontId="28" fillId="0" borderId="0" xfId="4" applyNumberFormat="1" applyFont="1" applyAlignment="1">
      <alignment wrapText="1"/>
    </xf>
    <xf numFmtId="0" fontId="28" fillId="6" borderId="0" xfId="1" applyFont="1" applyFill="1" applyAlignment="1">
      <alignment wrapText="1"/>
    </xf>
    <xf numFmtId="167" fontId="40" fillId="0" borderId="0" xfId="4" applyNumberFormat="1" applyFont="1" applyAlignment="1"/>
    <xf numFmtId="167" fontId="28" fillId="6" borderId="0" xfId="4" applyNumberFormat="1" applyFont="1" applyFill="1" applyAlignment="1">
      <alignment wrapText="1"/>
    </xf>
    <xf numFmtId="167" fontId="42" fillId="19" borderId="0" xfId="4" applyNumberFormat="1" applyFont="1" applyFill="1" applyAlignment="1">
      <alignment horizontal="centerContinuous"/>
    </xf>
    <xf numFmtId="167" fontId="51" fillId="19" borderId="0" xfId="4" applyNumberFormat="1" applyFont="1" applyFill="1" applyAlignment="1">
      <alignment horizontal="centerContinuous" wrapText="1"/>
    </xf>
    <xf numFmtId="0" fontId="47" fillId="0" borderId="0" xfId="1" applyFont="1" applyAlignment="1">
      <alignment wrapText="1"/>
    </xf>
    <xf numFmtId="167" fontId="47" fillId="0" borderId="0" xfId="9" applyNumberFormat="1" applyFont="1" applyAlignment="1">
      <alignment wrapText="1"/>
    </xf>
    <xf numFmtId="0" fontId="28" fillId="5" borderId="28" xfId="3" applyFont="1" applyFill="1" applyBorder="1" applyAlignment="1" applyProtection="1">
      <alignment horizontal="center" vertical="center" wrapText="1"/>
      <protection hidden="1"/>
    </xf>
    <xf numFmtId="0" fontId="28" fillId="5" borderId="27" xfId="3" quotePrefix="1" applyFont="1" applyFill="1" applyBorder="1" applyAlignment="1" applyProtection="1">
      <alignment horizontal="left" vertical="center"/>
      <protection hidden="1"/>
    </xf>
    <xf numFmtId="165" fontId="28" fillId="5" borderId="28" xfId="9" applyFont="1" applyFill="1" applyBorder="1" applyAlignment="1" applyProtection="1">
      <alignment horizontal="left" vertical="center" wrapText="1"/>
      <protection hidden="1"/>
    </xf>
    <xf numFmtId="0" fontId="28" fillId="0" borderId="28" xfId="3" applyFont="1" applyBorder="1" applyAlignment="1" applyProtection="1">
      <alignment horizontal="left" vertical="center" wrapText="1"/>
      <protection locked="0"/>
    </xf>
    <xf numFmtId="0" fontId="28" fillId="0" borderId="28" xfId="3" applyFont="1" applyBorder="1" applyAlignment="1" applyProtection="1">
      <alignment horizontal="center" vertical="center" wrapText="1"/>
      <protection locked="0"/>
    </xf>
    <xf numFmtId="0" fontId="28" fillId="5" borderId="28" xfId="9" applyNumberFormat="1" applyFont="1" applyFill="1" applyBorder="1" applyAlignment="1" applyProtection="1">
      <alignment horizontal="left" vertical="center" wrapText="1"/>
      <protection hidden="1"/>
    </xf>
    <xf numFmtId="165" fontId="28" fillId="5" borderId="40" xfId="9" applyFont="1" applyFill="1" applyBorder="1" applyAlignment="1" applyProtection="1">
      <alignment horizontal="left" vertical="center" wrapText="1"/>
      <protection hidden="1"/>
    </xf>
    <xf numFmtId="0" fontId="28" fillId="5" borderId="40" xfId="9" applyNumberFormat="1" applyFont="1" applyFill="1" applyBorder="1" applyAlignment="1" applyProtection="1">
      <alignment horizontal="left" vertical="center" wrapText="1"/>
      <protection hidden="1"/>
    </xf>
    <xf numFmtId="0" fontId="28" fillId="0" borderId="40" xfId="3" quotePrefix="1" applyFont="1" applyBorder="1" applyAlignment="1" applyProtection="1">
      <alignment horizontal="center" vertical="center" wrapText="1"/>
      <protection locked="0"/>
    </xf>
    <xf numFmtId="0" fontId="28" fillId="0" borderId="29" xfId="3" quotePrefix="1" applyFont="1" applyBorder="1" applyAlignment="1" applyProtection="1">
      <alignment horizontal="left" vertical="center" wrapText="1"/>
      <protection locked="0"/>
    </xf>
    <xf numFmtId="167" fontId="28" fillId="0" borderId="28" xfId="4" applyNumberFormat="1" applyFont="1" applyFill="1" applyBorder="1" applyAlignment="1" applyProtection="1">
      <alignment horizontal="left" vertical="center" wrapText="1"/>
      <protection locked="0"/>
    </xf>
    <xf numFmtId="167" fontId="35" fillId="5" borderId="39" xfId="4" applyNumberFormat="1" applyFont="1" applyFill="1" applyBorder="1" applyAlignment="1" applyProtection="1">
      <alignment horizontal="left" vertical="center" wrapText="1"/>
      <protection hidden="1"/>
    </xf>
    <xf numFmtId="167" fontId="28" fillId="6" borderId="28" xfId="5" applyNumberFormat="1" applyFont="1" applyFill="1" applyBorder="1" applyAlignment="1" applyProtection="1">
      <alignment horizontal="left" vertical="center" wrapText="1"/>
      <protection locked="0"/>
    </xf>
    <xf numFmtId="167" fontId="35" fillId="6" borderId="29" xfId="4" applyNumberFormat="1" applyFont="1" applyFill="1" applyBorder="1" applyAlignment="1" applyProtection="1">
      <alignment horizontal="left" vertical="center" wrapText="1"/>
      <protection hidden="1"/>
    </xf>
    <xf numFmtId="167" fontId="28" fillId="0" borderId="28" xfId="5" quotePrefix="1" applyNumberFormat="1" applyFont="1" applyFill="1" applyBorder="1" applyAlignment="1" applyProtection="1">
      <alignment horizontal="left" vertical="center" wrapText="1"/>
      <protection locked="0"/>
    </xf>
    <xf numFmtId="167" fontId="28" fillId="7" borderId="28" xfId="5" quotePrefix="1" applyNumberFormat="1" applyFont="1" applyFill="1" applyBorder="1" applyAlignment="1" applyProtection="1">
      <alignment horizontal="left" vertical="center" wrapText="1"/>
      <protection hidden="1"/>
    </xf>
    <xf numFmtId="168" fontId="28" fillId="0" borderId="28" xfId="5" quotePrefix="1" applyNumberFormat="1" applyFont="1" applyFill="1" applyBorder="1" applyAlignment="1" applyProtection="1">
      <alignment horizontal="left" vertical="center" wrapText="1"/>
      <protection locked="0"/>
    </xf>
    <xf numFmtId="167" fontId="28" fillId="0" borderId="28" xfId="5" applyNumberFormat="1" applyFont="1" applyFill="1" applyBorder="1" applyAlignment="1" applyProtection="1">
      <alignment horizontal="left" vertical="center" wrapText="1"/>
      <protection locked="0"/>
    </xf>
    <xf numFmtId="0" fontId="28" fillId="0" borderId="0" xfId="1" applyFont="1" applyAlignment="1">
      <alignment horizontal="left" vertical="center" wrapText="1"/>
    </xf>
    <xf numFmtId="0" fontId="37" fillId="10" borderId="64" xfId="5" applyNumberFormat="1" applyFont="1" applyFill="1" applyBorder="1" applyAlignment="1">
      <alignment horizontal="center" vertical="center" wrapText="1"/>
    </xf>
    <xf numFmtId="0" fontId="37" fillId="10" borderId="0" xfId="5" applyNumberFormat="1" applyFont="1" applyFill="1" applyBorder="1" applyAlignment="1">
      <alignment horizontal="center" vertical="center" wrapText="1"/>
    </xf>
    <xf numFmtId="0" fontId="37" fillId="10" borderId="64" xfId="5" applyNumberFormat="1" applyFont="1" applyFill="1" applyBorder="1" applyAlignment="1" applyProtection="1">
      <alignment horizontal="center" vertical="center" wrapText="1"/>
      <protection locked="0"/>
    </xf>
    <xf numFmtId="0" fontId="28" fillId="0" borderId="0" xfId="1" applyFont="1" applyAlignment="1">
      <alignment horizontal="center" vertical="center" wrapText="1"/>
    </xf>
    <xf numFmtId="0" fontId="42" fillId="19" borderId="2" xfId="0" applyFont="1" applyFill="1" applyBorder="1" applyAlignment="1">
      <alignment horizontal="center" vertical="center" wrapText="1"/>
    </xf>
    <xf numFmtId="0" fontId="42" fillId="19" borderId="2" xfId="0" applyFont="1" applyFill="1" applyBorder="1" applyAlignment="1" applyProtection="1">
      <alignment horizontal="center" vertical="center" wrapText="1"/>
      <protection locked="0"/>
    </xf>
    <xf numFmtId="0" fontId="37" fillId="6" borderId="36" xfId="5" applyNumberFormat="1" applyFont="1" applyFill="1" applyBorder="1" applyAlignment="1" applyProtection="1">
      <alignment horizontal="center" vertical="center" wrapText="1"/>
      <protection locked="0"/>
    </xf>
    <xf numFmtId="0" fontId="42" fillId="6" borderId="2" xfId="0" applyFont="1" applyFill="1" applyBorder="1" applyAlignment="1">
      <alignment horizontal="center" vertical="center" wrapText="1"/>
    </xf>
    <xf numFmtId="0" fontId="28" fillId="0" borderId="0" xfId="0" applyFont="1" applyAlignment="1">
      <alignment wrapText="1"/>
    </xf>
    <xf numFmtId="167" fontId="28" fillId="0" borderId="0" xfId="9" applyNumberFormat="1" applyFont="1"/>
    <xf numFmtId="0" fontId="28" fillId="0" borderId="0" xfId="0" applyFont="1" applyProtection="1">
      <protection hidden="1"/>
    </xf>
    <xf numFmtId="0" fontId="28" fillId="19" borderId="0" xfId="0" applyFont="1" applyFill="1"/>
    <xf numFmtId="0" fontId="28" fillId="19" borderId="0" xfId="0" applyFont="1" applyFill="1" applyProtection="1">
      <protection locked="0"/>
    </xf>
    <xf numFmtId="167" fontId="42" fillId="16" borderId="79" xfId="4" applyNumberFormat="1" applyFont="1" applyFill="1" applyBorder="1" applyAlignment="1" applyProtection="1">
      <alignment horizontal="center" vertical="center" wrapText="1"/>
    </xf>
    <xf numFmtId="167" fontId="42" fillId="16" borderId="36" xfId="4" applyNumberFormat="1" applyFont="1" applyFill="1" applyBorder="1" applyAlignment="1" applyProtection="1">
      <alignment horizontal="center" vertical="center" wrapText="1"/>
    </xf>
    <xf numFmtId="0" fontId="52" fillId="0" borderId="0" xfId="1" applyFont="1" applyAlignment="1">
      <alignment horizontal="center" vertical="center" wrapText="1"/>
    </xf>
    <xf numFmtId="0" fontId="37" fillId="10" borderId="24" xfId="5" applyNumberFormat="1" applyFont="1" applyFill="1" applyBorder="1" applyAlignment="1">
      <alignment horizontal="center" vertical="center" wrapText="1"/>
    </xf>
    <xf numFmtId="0" fontId="42" fillId="0" borderId="0" xfId="1" applyFont="1" applyAlignment="1" applyProtection="1">
      <alignment horizontal="center" vertical="center" wrapText="1"/>
      <protection hidden="1"/>
    </xf>
    <xf numFmtId="0" fontId="40" fillId="0" borderId="0" xfId="1" applyFont="1" applyAlignment="1" applyProtection="1">
      <alignment horizontal="center" vertical="center" wrapText="1"/>
      <protection hidden="1"/>
    </xf>
    <xf numFmtId="0" fontId="28" fillId="5" borderId="27" xfId="3" applyFont="1" applyFill="1" applyBorder="1" applyAlignment="1" applyProtection="1">
      <alignment horizontal="left"/>
      <protection hidden="1"/>
    </xf>
    <xf numFmtId="165" fontId="28" fillId="5" borderId="27" xfId="4" applyFont="1" applyFill="1" applyBorder="1" applyAlignment="1" applyProtection="1">
      <alignment vertical="center"/>
      <protection hidden="1"/>
    </xf>
    <xf numFmtId="165" fontId="28" fillId="0" borderId="27" xfId="4" applyFont="1" applyFill="1" applyBorder="1" applyAlignment="1" applyProtection="1">
      <alignment vertical="center"/>
      <protection locked="0" hidden="1"/>
    </xf>
    <xf numFmtId="165" fontId="28" fillId="5" borderId="27" xfId="4" applyFont="1" applyFill="1" applyBorder="1" applyAlignment="1" applyProtection="1">
      <alignment horizontal="left" vertical="center"/>
      <protection hidden="1"/>
    </xf>
    <xf numFmtId="0" fontId="28" fillId="5" borderId="27" xfId="4" applyNumberFormat="1" applyFont="1" applyFill="1" applyBorder="1" applyAlignment="1" applyProtection="1">
      <alignment horizontal="left" vertical="center"/>
      <protection hidden="1"/>
    </xf>
    <xf numFmtId="164" fontId="28" fillId="5" borderId="27" xfId="7" applyFont="1" applyFill="1" applyBorder="1" applyAlignment="1" applyProtection="1">
      <alignment vertical="center"/>
      <protection hidden="1"/>
    </xf>
    <xf numFmtId="164" fontId="28" fillId="0" borderId="27" xfId="7" applyFont="1" applyFill="1" applyBorder="1" applyAlignment="1" applyProtection="1">
      <alignment vertical="center"/>
      <protection locked="0"/>
    </xf>
    <xf numFmtId="164" fontId="28" fillId="7" borderId="27" xfId="7" applyFont="1" applyFill="1" applyBorder="1" applyAlignment="1" applyProtection="1">
      <protection hidden="1"/>
    </xf>
    <xf numFmtId="167" fontId="28" fillId="6" borderId="27" xfId="5" applyNumberFormat="1" applyFont="1" applyFill="1" applyBorder="1" applyAlignment="1" applyProtection="1">
      <alignment horizontal="left" vertical="center" wrapText="1"/>
      <protection locked="0"/>
    </xf>
    <xf numFmtId="167" fontId="28" fillId="0" borderId="27" xfId="4" applyNumberFormat="1" applyFont="1" applyFill="1" applyBorder="1" applyAlignment="1" applyProtection="1">
      <alignment horizontal="left" vertical="center" wrapText="1"/>
      <protection locked="0"/>
    </xf>
    <xf numFmtId="167" fontId="35" fillId="5" borderId="76" xfId="4" applyNumberFormat="1" applyFont="1" applyFill="1" applyBorder="1" applyAlignment="1" applyProtection="1">
      <alignment horizontal="left" vertical="center" wrapText="1"/>
      <protection hidden="1"/>
    </xf>
    <xf numFmtId="167" fontId="35" fillId="6" borderId="77" xfId="4" applyNumberFormat="1" applyFont="1" applyFill="1" applyBorder="1" applyAlignment="1" applyProtection="1">
      <alignment horizontal="left" vertical="center" wrapText="1"/>
      <protection hidden="1"/>
    </xf>
    <xf numFmtId="164" fontId="28" fillId="7" borderId="78" xfId="7" applyFont="1" applyFill="1" applyBorder="1" applyAlignment="1" applyProtection="1">
      <protection hidden="1"/>
    </xf>
    <xf numFmtId="164" fontId="28" fillId="0" borderId="27" xfId="7" applyFont="1" applyFill="1" applyBorder="1" applyAlignment="1" applyProtection="1">
      <protection hidden="1"/>
    </xf>
    <xf numFmtId="167" fontId="52" fillId="0" borderId="0" xfId="9" applyNumberFormat="1" applyFont="1" applyFill="1" applyAlignment="1">
      <alignment vertical="center"/>
    </xf>
    <xf numFmtId="0" fontId="28" fillId="0" borderId="29" xfId="3" applyFont="1" applyBorder="1" applyAlignment="1" applyProtection="1">
      <alignment horizontal="left"/>
      <protection locked="0"/>
    </xf>
    <xf numFmtId="167" fontId="28" fillId="0" borderId="28" xfId="5" applyNumberFormat="1" applyFont="1" applyFill="1" applyBorder="1" applyAlignment="1" applyProtection="1">
      <alignment wrapText="1"/>
      <protection locked="0"/>
    </xf>
    <xf numFmtId="167" fontId="28" fillId="0" borderId="29" xfId="5" quotePrefix="1" applyNumberFormat="1" applyFont="1" applyFill="1" applyBorder="1" applyAlignment="1" applyProtection="1">
      <alignment horizontal="left" vertical="center" wrapText="1"/>
      <protection locked="0"/>
    </xf>
    <xf numFmtId="0" fontId="28" fillId="0" borderId="29" xfId="3" applyFont="1" applyBorder="1" applyAlignment="1" applyProtection="1">
      <alignment horizontal="center"/>
      <protection locked="0"/>
    </xf>
    <xf numFmtId="167" fontId="28" fillId="0" borderId="28" xfId="5" applyNumberFormat="1" applyFont="1" applyFill="1" applyBorder="1" applyAlignment="1" applyProtection="1">
      <protection locked="0"/>
    </xf>
    <xf numFmtId="167" fontId="28" fillId="0" borderId="28" xfId="9" applyNumberFormat="1" applyFont="1" applyFill="1" applyBorder="1" applyAlignment="1" applyProtection="1">
      <protection locked="0"/>
    </xf>
    <xf numFmtId="167" fontId="28" fillId="7" borderId="29" xfId="5" quotePrefix="1" applyNumberFormat="1" applyFont="1" applyFill="1" applyBorder="1" applyAlignment="1" applyProtection="1">
      <alignment horizontal="left" vertical="center" wrapText="1"/>
      <protection hidden="1"/>
    </xf>
    <xf numFmtId="0" fontId="28" fillId="0" borderId="39" xfId="3" applyFont="1" applyBorder="1" applyAlignment="1" applyProtection="1">
      <alignment horizontal="left"/>
      <protection locked="0"/>
    </xf>
    <xf numFmtId="0" fontId="35" fillId="0" borderId="0" xfId="1" applyFont="1" applyAlignment="1" applyProtection="1">
      <alignment vertical="center"/>
      <protection hidden="1"/>
    </xf>
    <xf numFmtId="0" fontId="28" fillId="11" borderId="27" xfId="3" applyFont="1" applyFill="1" applyBorder="1" applyAlignment="1" applyProtection="1">
      <alignment horizontal="left"/>
      <protection hidden="1"/>
    </xf>
    <xf numFmtId="165" fontId="28" fillId="5" borderId="28" xfId="4" applyFont="1" applyFill="1" applyBorder="1" applyAlignment="1" applyProtection="1">
      <alignment vertical="center"/>
      <protection hidden="1"/>
    </xf>
    <xf numFmtId="165" fontId="28" fillId="0" borderId="28" xfId="4" applyFont="1" applyFill="1" applyBorder="1" applyAlignment="1" applyProtection="1">
      <alignment vertical="center"/>
      <protection locked="0" hidden="1"/>
    </xf>
    <xf numFmtId="165" fontId="28" fillId="5" borderId="28" xfId="4" applyFont="1" applyFill="1" applyBorder="1" applyAlignment="1" applyProtection="1">
      <alignment horizontal="left" vertical="center"/>
      <protection hidden="1"/>
    </xf>
    <xf numFmtId="0" fontId="28" fillId="5" borderId="28" xfId="4" applyNumberFormat="1" applyFont="1" applyFill="1" applyBorder="1" applyAlignment="1" applyProtection="1">
      <alignment horizontal="left" vertical="center"/>
      <protection hidden="1"/>
    </xf>
    <xf numFmtId="164" fontId="28" fillId="5" borderId="28" xfId="7" applyFont="1" applyFill="1" applyBorder="1" applyAlignment="1" applyProtection="1">
      <alignment vertical="center"/>
      <protection hidden="1"/>
    </xf>
    <xf numFmtId="164" fontId="28" fillId="0" borderId="28" xfId="7" applyFont="1" applyFill="1" applyBorder="1" applyAlignment="1" applyProtection="1">
      <alignment vertical="center"/>
      <protection locked="0"/>
    </xf>
    <xf numFmtId="164" fontId="28" fillId="7" borderId="65" xfId="7" applyFont="1" applyFill="1" applyBorder="1" applyAlignment="1" applyProtection="1">
      <protection hidden="1"/>
    </xf>
    <xf numFmtId="164" fontId="28" fillId="0" borderId="28" xfId="7" applyFont="1" applyFill="1" applyBorder="1" applyAlignment="1" applyProtection="1">
      <protection hidden="1"/>
    </xf>
    <xf numFmtId="164" fontId="28" fillId="7" borderId="28" xfId="7" applyFont="1" applyFill="1" applyBorder="1" applyAlignment="1" applyProtection="1">
      <protection hidden="1"/>
    </xf>
    <xf numFmtId="167" fontId="35" fillId="5" borderId="28" xfId="4" applyNumberFormat="1" applyFont="1" applyFill="1" applyBorder="1" applyAlignment="1" applyProtection="1">
      <alignment horizontal="left" vertical="center" wrapText="1"/>
      <protection hidden="1"/>
    </xf>
    <xf numFmtId="167" fontId="35" fillId="6" borderId="28" xfId="4" applyNumberFormat="1" applyFont="1" applyFill="1" applyBorder="1" applyAlignment="1" applyProtection="1">
      <alignment horizontal="left" vertical="center" wrapText="1"/>
      <protection hidden="1"/>
    </xf>
    <xf numFmtId="167" fontId="28" fillId="6" borderId="28" xfId="5" applyNumberFormat="1" applyFont="1" applyFill="1" applyBorder="1" applyAlignment="1" applyProtection="1">
      <alignment vertical="center" wrapText="1"/>
      <protection locked="0"/>
    </xf>
    <xf numFmtId="167" fontId="28" fillId="0" borderId="28" xfId="4" applyNumberFormat="1" applyFont="1" applyFill="1" applyBorder="1" applyAlignment="1" applyProtection="1">
      <alignment vertical="center" wrapText="1"/>
      <protection locked="0"/>
    </xf>
    <xf numFmtId="164" fontId="28" fillId="5" borderId="28" xfId="7" applyFont="1" applyFill="1" applyBorder="1" applyAlignment="1" applyProtection="1">
      <alignment vertical="center"/>
      <protection locked="0" hidden="1"/>
    </xf>
    <xf numFmtId="167" fontId="28" fillId="6" borderId="28" xfId="5" applyNumberFormat="1" applyFont="1" applyFill="1" applyBorder="1" applyAlignment="1" applyProtection="1">
      <alignment wrapText="1"/>
      <protection locked="0"/>
    </xf>
    <xf numFmtId="0" fontId="28" fillId="6" borderId="28" xfId="1" applyFont="1" applyFill="1" applyBorder="1" applyAlignment="1">
      <alignment wrapText="1"/>
    </xf>
    <xf numFmtId="167" fontId="28" fillId="0" borderId="28" xfId="4" applyNumberFormat="1" applyFont="1" applyBorder="1" applyAlignment="1">
      <alignment wrapText="1"/>
    </xf>
    <xf numFmtId="167" fontId="28" fillId="6" borderId="28" xfId="4" applyNumberFormat="1" applyFont="1" applyFill="1" applyBorder="1" applyAlignment="1">
      <alignment wrapText="1"/>
    </xf>
    <xf numFmtId="0" fontId="42" fillId="15" borderId="17" xfId="0" applyFont="1" applyFill="1" applyBorder="1" applyAlignment="1">
      <alignment horizontal="center" vertical="center" wrapText="1"/>
    </xf>
    <xf numFmtId="0" fontId="51" fillId="0" borderId="0" xfId="0" applyFont="1"/>
    <xf numFmtId="0" fontId="51" fillId="0" borderId="0" xfId="0" applyFont="1" applyAlignment="1">
      <alignment horizontal="center"/>
    </xf>
    <xf numFmtId="0" fontId="52" fillId="0" borderId="0" xfId="0" applyFont="1"/>
    <xf numFmtId="0" fontId="37" fillId="0" borderId="0" xfId="0" applyFont="1"/>
    <xf numFmtId="0" fontId="28" fillId="0" borderId="0" xfId="0" applyFont="1" applyAlignment="1">
      <alignment vertical="center"/>
    </xf>
    <xf numFmtId="0" fontId="40" fillId="12" borderId="69" xfId="0" applyFont="1" applyFill="1" applyBorder="1" applyAlignment="1">
      <alignment horizontal="center" vertical="center"/>
    </xf>
    <xf numFmtId="0" fontId="40" fillId="12" borderId="36" xfId="0" applyFont="1" applyFill="1" applyBorder="1" applyAlignment="1">
      <alignment horizontal="center" vertical="center"/>
    </xf>
    <xf numFmtId="0" fontId="40" fillId="12" borderId="45" xfId="0" applyFont="1" applyFill="1" applyBorder="1" applyAlignment="1">
      <alignment horizontal="center" vertical="center"/>
    </xf>
    <xf numFmtId="0" fontId="35" fillId="0" borderId="0" xfId="0" applyFont="1" applyAlignment="1">
      <alignment vertical="center"/>
    </xf>
    <xf numFmtId="0" fontId="52" fillId="0" borderId="0" xfId="0" applyFont="1" applyAlignment="1">
      <alignment vertical="center"/>
    </xf>
    <xf numFmtId="0" fontId="28" fillId="5" borderId="32" xfId="0" applyFont="1" applyFill="1" applyBorder="1" applyAlignment="1">
      <alignment vertical="center"/>
    </xf>
    <xf numFmtId="0" fontId="28" fillId="5" borderId="0" xfId="0" applyFont="1" applyFill="1" applyAlignment="1">
      <alignment vertical="center"/>
    </xf>
    <xf numFmtId="0" fontId="28" fillId="5" borderId="0" xfId="0" applyFont="1" applyFill="1" applyAlignment="1">
      <alignment horizontal="left" vertical="center"/>
    </xf>
    <xf numFmtId="0" fontId="28" fillId="5" borderId="33" xfId="0" applyFont="1" applyFill="1" applyBorder="1" applyAlignment="1">
      <alignment horizontal="left" vertical="center"/>
    </xf>
    <xf numFmtId="0" fontId="28" fillId="5" borderId="33" xfId="0" applyFont="1" applyFill="1" applyBorder="1" applyAlignment="1">
      <alignment horizontal="left" vertical="center" wrapText="1"/>
    </xf>
    <xf numFmtId="0" fontId="28" fillId="5" borderId="33" xfId="0" applyFont="1" applyFill="1" applyBorder="1" applyAlignment="1">
      <alignment vertical="center"/>
    </xf>
    <xf numFmtId="0" fontId="28" fillId="5" borderId="32" xfId="0" applyFont="1" applyFill="1" applyBorder="1"/>
    <xf numFmtId="0" fontId="28" fillId="5" borderId="0" xfId="0" applyFont="1" applyFill="1"/>
    <xf numFmtId="0" fontId="28" fillId="5" borderId="0" xfId="0" applyFont="1" applyFill="1" applyAlignment="1">
      <alignment horizontal="left"/>
    </xf>
    <xf numFmtId="0" fontId="28" fillId="5" borderId="0" xfId="0" applyFont="1" applyFill="1" applyAlignment="1">
      <alignment vertical="top"/>
    </xf>
    <xf numFmtId="0" fontId="28" fillId="5" borderId="33" xfId="0" applyFont="1" applyFill="1" applyBorder="1" applyAlignment="1">
      <alignment vertical="top"/>
    </xf>
    <xf numFmtId="0" fontId="28" fillId="5" borderId="33" xfId="0" applyFont="1" applyFill="1" applyBorder="1" applyAlignment="1">
      <alignment horizontal="center" vertical="center"/>
    </xf>
    <xf numFmtId="0" fontId="28" fillId="5" borderId="33" xfId="0" applyFont="1" applyFill="1" applyBorder="1" applyAlignment="1">
      <alignment horizontal="center"/>
    </xf>
    <xf numFmtId="0" fontId="35" fillId="0" borderId="0" xfId="0" applyFont="1"/>
    <xf numFmtId="0" fontId="28" fillId="5" borderId="34" xfId="0" applyFont="1" applyFill="1" applyBorder="1"/>
    <xf numFmtId="0" fontId="28" fillId="5" borderId="1" xfId="0" applyFont="1" applyFill="1" applyBorder="1"/>
    <xf numFmtId="0" fontId="28" fillId="5" borderId="35" xfId="0" applyFont="1" applyFill="1" applyBorder="1" applyAlignment="1">
      <alignment horizontal="center"/>
    </xf>
    <xf numFmtId="0" fontId="40" fillId="12" borderId="73" xfId="0" applyFont="1" applyFill="1" applyBorder="1" applyAlignment="1">
      <alignment horizontal="center" vertical="top"/>
    </xf>
    <xf numFmtId="0" fontId="40" fillId="12" borderId="2" xfId="0" applyFont="1" applyFill="1" applyBorder="1" applyAlignment="1">
      <alignment horizontal="center" vertical="top"/>
    </xf>
    <xf numFmtId="0" fontId="40" fillId="12" borderId="6" xfId="0" applyFont="1" applyFill="1" applyBorder="1" applyAlignment="1">
      <alignment horizontal="center" vertical="top"/>
    </xf>
    <xf numFmtId="0" fontId="40" fillId="12" borderId="31" xfId="0" applyFont="1" applyFill="1" applyBorder="1" applyAlignment="1">
      <alignment horizontal="center" vertical="top"/>
    </xf>
    <xf numFmtId="0" fontId="28" fillId="0" borderId="32" xfId="0" applyFont="1" applyBorder="1" applyProtection="1">
      <protection locked="0"/>
    </xf>
    <xf numFmtId="0" fontId="28" fillId="0" borderId="19" xfId="0" applyFont="1" applyBorder="1" applyProtection="1">
      <protection locked="0"/>
    </xf>
    <xf numFmtId="0" fontId="28" fillId="8" borderId="19" xfId="0" applyFont="1" applyFill="1" applyBorder="1" applyProtection="1">
      <protection locked="0"/>
    </xf>
    <xf numFmtId="0" fontId="28" fillId="0" borderId="19" xfId="0" applyFont="1" applyBorder="1"/>
    <xf numFmtId="0" fontId="28" fillId="8" borderId="19" xfId="0" applyFont="1" applyFill="1" applyBorder="1" applyAlignment="1" applyProtection="1">
      <alignment horizontal="left"/>
      <protection locked="0"/>
    </xf>
    <xf numFmtId="0" fontId="28" fillId="0" borderId="75" xfId="0" applyFont="1" applyBorder="1"/>
    <xf numFmtId="0" fontId="28" fillId="0" borderId="75" xfId="0" applyFont="1" applyBorder="1" applyAlignment="1">
      <alignment horizontal="center"/>
    </xf>
    <xf numFmtId="0" fontId="52" fillId="8" borderId="30" xfId="0" applyFont="1" applyFill="1" applyBorder="1" applyAlignment="1">
      <alignment horizontal="center"/>
    </xf>
    <xf numFmtId="0" fontId="28" fillId="8" borderId="0" xfId="0" applyFont="1" applyFill="1" applyProtection="1">
      <protection locked="0"/>
    </xf>
    <xf numFmtId="0" fontId="28" fillId="8" borderId="0" xfId="0" applyFont="1" applyFill="1" applyAlignment="1" applyProtection="1">
      <alignment horizontal="left"/>
      <protection locked="0"/>
    </xf>
    <xf numFmtId="0" fontId="28" fillId="0" borderId="33" xfId="0" applyFont="1" applyBorder="1"/>
    <xf numFmtId="0" fontId="28" fillId="0" borderId="33" xfId="0" applyFont="1" applyBorder="1" applyAlignment="1">
      <alignment horizontal="center"/>
    </xf>
    <xf numFmtId="0" fontId="28" fillId="0" borderId="34" xfId="0" applyFont="1" applyBorder="1" applyProtection="1">
      <protection locked="0"/>
    </xf>
    <xf numFmtId="0" fontId="28" fillId="0" borderId="1" xfId="0" applyFont="1" applyBorder="1" applyProtection="1">
      <protection locked="0"/>
    </xf>
    <xf numFmtId="0" fontId="28" fillId="8" borderId="1" xfId="0" applyFont="1" applyFill="1" applyBorder="1" applyProtection="1">
      <protection locked="0"/>
    </xf>
    <xf numFmtId="0" fontId="28" fillId="0" borderId="1" xfId="0" applyFont="1" applyBorder="1"/>
    <xf numFmtId="0" fontId="28" fillId="8" borderId="1" xfId="0" applyFont="1" applyFill="1" applyBorder="1" applyAlignment="1" applyProtection="1">
      <alignment horizontal="left"/>
      <protection locked="0"/>
    </xf>
    <xf numFmtId="0" fontId="28" fillId="0" borderId="35" xfId="0" applyFont="1" applyBorder="1"/>
    <xf numFmtId="0" fontId="28" fillId="0" borderId="35" xfId="0" applyFont="1" applyBorder="1" applyAlignment="1">
      <alignment horizontal="center"/>
    </xf>
    <xf numFmtId="0" fontId="52" fillId="8" borderId="37" xfId="0" applyFont="1" applyFill="1" applyBorder="1" applyAlignment="1">
      <alignment horizontal="center"/>
    </xf>
    <xf numFmtId="0" fontId="52" fillId="0" borderId="0" xfId="0" applyFont="1" applyAlignment="1">
      <alignment horizontal="center"/>
    </xf>
    <xf numFmtId="0" fontId="28" fillId="22" borderId="2" xfId="0" applyFont="1" applyFill="1" applyBorder="1"/>
    <xf numFmtId="0" fontId="53" fillId="0" borderId="0" xfId="1" applyFont="1"/>
    <xf numFmtId="0" fontId="40" fillId="0" borderId="0" xfId="0" applyFont="1" applyAlignment="1">
      <alignment horizontal="center" wrapText="1"/>
    </xf>
    <xf numFmtId="16" fontId="28" fillId="0" borderId="0" xfId="0" quotePrefix="1" applyNumberFormat="1" applyFont="1"/>
    <xf numFmtId="0" fontId="54" fillId="0" borderId="0" xfId="10" quotePrefix="1" applyFont="1"/>
    <xf numFmtId="0" fontId="54" fillId="8" borderId="0" xfId="10" applyFont="1" applyFill="1" applyAlignment="1">
      <alignment horizontal="center" vertical="center"/>
    </xf>
    <xf numFmtId="0" fontId="54" fillId="5" borderId="0" xfId="10" applyFont="1" applyFill="1" applyAlignment="1" applyProtection="1">
      <alignment horizontal="center" vertical="center"/>
    </xf>
    <xf numFmtId="0" fontId="54" fillId="0" borderId="0" xfId="10" applyFont="1"/>
    <xf numFmtId="0" fontId="40" fillId="5" borderId="0" xfId="1" applyFont="1" applyFill="1" applyAlignment="1">
      <alignment horizontal="left" vertical="center"/>
    </xf>
    <xf numFmtId="0" fontId="54" fillId="5" borderId="0" xfId="2" applyFont="1" applyFill="1" applyAlignment="1">
      <alignment horizontal="center" vertical="center"/>
    </xf>
    <xf numFmtId="0" fontId="28" fillId="5" borderId="0" xfId="1" applyFont="1" applyFill="1"/>
    <xf numFmtId="0" fontId="28" fillId="0" borderId="0" xfId="1" applyFont="1" applyAlignment="1">
      <alignment horizontal="center" vertical="center"/>
    </xf>
    <xf numFmtId="0" fontId="37" fillId="11" borderId="0" xfId="1" applyFont="1" applyFill="1" applyAlignment="1">
      <alignment horizontal="left" vertical="center"/>
    </xf>
    <xf numFmtId="0" fontId="54" fillId="11" borderId="0" xfId="2" applyFont="1" applyFill="1" applyAlignment="1">
      <alignment horizontal="center" vertical="center"/>
    </xf>
    <xf numFmtId="0" fontId="35" fillId="11" borderId="0" xfId="1" applyFont="1" applyFill="1"/>
    <xf numFmtId="0" fontId="37" fillId="8" borderId="0" xfId="1" applyFont="1" applyFill="1" applyAlignment="1">
      <alignment horizontal="left" vertical="center"/>
    </xf>
    <xf numFmtId="0" fontId="35" fillId="8" borderId="0" xfId="1" applyFont="1" applyFill="1"/>
    <xf numFmtId="0" fontId="1" fillId="0" borderId="0" xfId="0" applyFont="1" applyAlignment="1">
      <alignment vertical="center"/>
    </xf>
    <xf numFmtId="0" fontId="42" fillId="19" borderId="0" xfId="1" applyFont="1" applyFill="1" applyAlignment="1">
      <alignment horizontal="centerContinuous"/>
    </xf>
    <xf numFmtId="0" fontId="42" fillId="23" borderId="2" xfId="3" applyFont="1" applyFill="1" applyBorder="1" applyAlignment="1">
      <alignment vertical="top" wrapText="1"/>
    </xf>
    <xf numFmtId="0" fontId="28" fillId="23" borderId="2" xfId="3" applyFont="1" applyFill="1" applyBorder="1" applyAlignment="1" applyProtection="1">
      <alignment vertical="top" wrapText="1"/>
      <protection locked="0"/>
    </xf>
    <xf numFmtId="1" fontId="42" fillId="24" borderId="2" xfId="4" applyNumberFormat="1" applyFont="1" applyFill="1" applyBorder="1" applyAlignment="1" applyProtection="1">
      <alignment vertical="top" wrapText="1"/>
    </xf>
    <xf numFmtId="0" fontId="55" fillId="0" borderId="0" xfId="1" applyFont="1" applyAlignment="1">
      <alignment horizontal="center" vertical="center" wrapText="1"/>
    </xf>
    <xf numFmtId="167" fontId="55" fillId="0" borderId="0" xfId="9" applyNumberFormat="1" applyFont="1" applyFill="1" applyAlignment="1">
      <alignment vertical="center"/>
    </xf>
    <xf numFmtId="0" fontId="28" fillId="0" borderId="17" xfId="1" applyFont="1" applyBorder="1" applyAlignment="1">
      <alignment horizontal="right" vertical="center"/>
    </xf>
    <xf numFmtId="0" fontId="28" fillId="0" borderId="80" xfId="1" applyFont="1" applyBorder="1" applyAlignment="1">
      <alignment vertical="center" wrapText="1"/>
    </xf>
    <xf numFmtId="0" fontId="28" fillId="0" borderId="81" xfId="1" applyFont="1" applyBorder="1" applyAlignment="1">
      <alignment vertical="center" wrapText="1"/>
    </xf>
    <xf numFmtId="0" fontId="28" fillId="0" borderId="82" xfId="1" applyFont="1" applyBorder="1" applyAlignment="1">
      <alignment vertical="center" wrapText="1"/>
    </xf>
    <xf numFmtId="0" fontId="28" fillId="0" borderId="83" xfId="0" applyFont="1" applyBorder="1"/>
    <xf numFmtId="0" fontId="28" fillId="0" borderId="84" xfId="0" applyFont="1" applyBorder="1"/>
    <xf numFmtId="0" fontId="28" fillId="0" borderId="85" xfId="0" applyFont="1" applyBorder="1"/>
    <xf numFmtId="0" fontId="28" fillId="0" borderId="0" xfId="1" applyFont="1" applyAlignment="1" applyProtection="1">
      <alignment horizontal="left" vertical="center" wrapText="1"/>
      <protection locked="0"/>
    </xf>
    <xf numFmtId="167" fontId="28" fillId="0" borderId="0" xfId="4" applyNumberFormat="1" applyFont="1" applyAlignment="1">
      <alignment vertical="center"/>
    </xf>
    <xf numFmtId="167" fontId="28" fillId="0" borderId="0" xfId="4" applyNumberFormat="1" applyFont="1" applyAlignment="1">
      <alignment vertical="center" wrapText="1"/>
    </xf>
    <xf numFmtId="0" fontId="28" fillId="6" borderId="0" xfId="1" applyFont="1" applyFill="1" applyAlignment="1">
      <alignment vertical="center" wrapText="1"/>
    </xf>
    <xf numFmtId="167" fontId="40" fillId="0" borderId="0" xfId="4" applyNumberFormat="1" applyFont="1" applyAlignment="1">
      <alignment vertical="center"/>
    </xf>
    <xf numFmtId="167" fontId="28" fillId="6" borderId="0" xfId="4" applyNumberFormat="1" applyFont="1" applyFill="1" applyAlignment="1">
      <alignment vertical="center" wrapText="1"/>
    </xf>
    <xf numFmtId="167" fontId="38" fillId="0" borderId="0" xfId="4" applyNumberFormat="1" applyFont="1" applyAlignment="1">
      <alignment vertical="center" wrapText="1"/>
    </xf>
    <xf numFmtId="0" fontId="28" fillId="19" borderId="21" xfId="1" applyFont="1" applyFill="1" applyBorder="1" applyAlignment="1">
      <alignment horizontal="center" vertical="center" wrapText="1"/>
    </xf>
    <xf numFmtId="0" fontId="28" fillId="19" borderId="19" xfId="1" applyFont="1" applyFill="1" applyBorder="1" applyAlignment="1">
      <alignment horizontal="center" vertical="center" wrapText="1"/>
    </xf>
    <xf numFmtId="0" fontId="28" fillId="19" borderId="19" xfId="1" applyFont="1" applyFill="1" applyBorder="1" applyAlignment="1">
      <alignment horizontal="left" vertical="center" wrapText="1"/>
    </xf>
    <xf numFmtId="0" fontId="28" fillId="19" borderId="19" xfId="1" applyFont="1" applyFill="1" applyBorder="1" applyAlignment="1" applyProtection="1">
      <alignment horizontal="left" vertical="center" wrapText="1"/>
      <protection locked="0"/>
    </xf>
    <xf numFmtId="0" fontId="28" fillId="19" borderId="19" xfId="1" applyFont="1" applyFill="1" applyBorder="1" applyAlignment="1">
      <alignment vertical="center" wrapText="1"/>
    </xf>
    <xf numFmtId="167" fontId="42" fillId="19" borderId="19" xfId="4" applyNumberFormat="1" applyFont="1" applyFill="1" applyBorder="1" applyAlignment="1">
      <alignment horizontal="centerContinuous" vertical="center"/>
    </xf>
    <xf numFmtId="167" fontId="51" fillId="19" borderId="19" xfId="4" applyNumberFormat="1" applyFont="1" applyFill="1" applyBorder="1" applyAlignment="1">
      <alignment horizontal="centerContinuous" vertical="center" wrapText="1"/>
    </xf>
    <xf numFmtId="167" fontId="28" fillId="6" borderId="19" xfId="4" applyNumberFormat="1" applyFont="1" applyFill="1" applyBorder="1" applyAlignment="1">
      <alignment vertical="center" wrapText="1"/>
    </xf>
    <xf numFmtId="167" fontId="51" fillId="19" borderId="22" xfId="4" applyNumberFormat="1" applyFont="1" applyFill="1" applyBorder="1" applyAlignment="1">
      <alignment horizontal="centerContinuous" vertical="center" wrapText="1"/>
    </xf>
    <xf numFmtId="0" fontId="47" fillId="0" borderId="0" xfId="1" applyFont="1" applyAlignment="1">
      <alignment vertical="center" wrapText="1"/>
    </xf>
    <xf numFmtId="167" fontId="47" fillId="0" borderId="0" xfId="9" applyNumberFormat="1" applyFont="1" applyAlignment="1">
      <alignment vertical="center" wrapText="1"/>
    </xf>
    <xf numFmtId="0" fontId="28" fillId="0" borderId="0" xfId="1" applyFont="1" applyAlignment="1">
      <alignment horizontal="left" vertical="center"/>
    </xf>
    <xf numFmtId="0" fontId="28" fillId="0" borderId="0" xfId="1" applyFont="1" applyAlignment="1" applyProtection="1">
      <alignment horizontal="center" vertical="center" wrapText="1"/>
      <protection locked="0"/>
    </xf>
    <xf numFmtId="0" fontId="28" fillId="0" borderId="0" xfId="1" applyFont="1" applyAlignment="1" applyProtection="1">
      <alignment vertical="center" wrapText="1"/>
      <protection locked="0"/>
    </xf>
    <xf numFmtId="0" fontId="42" fillId="19" borderId="23" xfId="1" applyFont="1" applyFill="1" applyBorder="1" applyAlignment="1">
      <alignment horizontal="center"/>
    </xf>
    <xf numFmtId="0" fontId="28" fillId="0" borderId="23" xfId="1" applyFont="1" applyBorder="1" applyProtection="1">
      <protection locked="0"/>
    </xf>
    <xf numFmtId="0" fontId="28" fillId="0" borderId="24" xfId="1" applyFont="1" applyBorder="1" applyProtection="1">
      <protection locked="0"/>
    </xf>
    <xf numFmtId="0" fontId="40" fillId="5" borderId="86" xfId="0" quotePrefix="1" applyFont="1" applyFill="1" applyBorder="1" applyAlignment="1">
      <alignment horizontal="center" vertical="center"/>
    </xf>
    <xf numFmtId="0" fontId="40" fillId="5" borderId="28" xfId="0" quotePrefix="1" applyFont="1" applyFill="1" applyBorder="1" applyAlignment="1">
      <alignment horizontal="center" vertical="center"/>
    </xf>
    <xf numFmtId="0" fontId="49" fillId="0" borderId="16" xfId="1" applyFont="1" applyBorder="1" applyAlignment="1" applyProtection="1">
      <alignment horizontal="center"/>
      <protection locked="0" hidden="1"/>
    </xf>
    <xf numFmtId="0" fontId="49" fillId="0" borderId="18" xfId="1" applyFont="1" applyBorder="1" applyAlignment="1" applyProtection="1">
      <alignment horizontal="center"/>
      <protection locked="0" hidden="1"/>
    </xf>
    <xf numFmtId="0" fontId="35" fillId="0" borderId="21" xfId="1" applyFont="1" applyBorder="1" applyAlignment="1" applyProtection="1">
      <alignment horizontal="center" vertical="center" wrapText="1"/>
      <protection locked="0" hidden="1"/>
    </xf>
    <xf numFmtId="0" fontId="35" fillId="0" borderId="22" xfId="1" applyFont="1" applyBorder="1" applyAlignment="1" applyProtection="1">
      <alignment horizontal="center" vertical="center" wrapText="1"/>
      <protection locked="0" hidden="1"/>
    </xf>
    <xf numFmtId="0" fontId="35" fillId="0" borderId="16" xfId="1" applyFont="1" applyBorder="1" applyAlignment="1" applyProtection="1">
      <alignment horizontal="center" vertical="center" wrapText="1"/>
      <protection locked="0" hidden="1"/>
    </xf>
    <xf numFmtId="0" fontId="35" fillId="0" borderId="18" xfId="1" applyFont="1" applyBorder="1" applyAlignment="1" applyProtection="1">
      <alignment horizontal="center" vertical="center" wrapText="1"/>
      <protection locked="0" hidden="1"/>
    </xf>
    <xf numFmtId="0" fontId="40" fillId="0" borderId="6" xfId="1" applyFont="1" applyBorder="1" applyAlignment="1" applyProtection="1">
      <alignment horizontal="center"/>
      <protection locked="0" hidden="1"/>
    </xf>
    <xf numFmtId="0" fontId="40" fillId="0" borderId="36" xfId="1" applyFont="1" applyBorder="1" applyAlignment="1" applyProtection="1">
      <alignment horizontal="center"/>
      <protection locked="0" hidden="1"/>
    </xf>
    <xf numFmtId="0" fontId="40" fillId="0" borderId="5" xfId="1" applyFont="1" applyBorder="1" applyAlignment="1" applyProtection="1">
      <alignment horizontal="center"/>
      <protection locked="0" hidden="1"/>
    </xf>
    <xf numFmtId="0" fontId="35" fillId="0" borderId="6" xfId="1" applyFont="1" applyBorder="1" applyAlignment="1" applyProtection="1">
      <alignment horizontal="center" vertical="center" wrapText="1"/>
      <protection locked="0" hidden="1"/>
    </xf>
    <xf numFmtId="0" fontId="35" fillId="0" borderId="5" xfId="1" applyFont="1" applyBorder="1" applyAlignment="1" applyProtection="1">
      <alignment horizontal="center" vertical="center" wrapText="1"/>
      <protection locked="0" hidden="1"/>
    </xf>
    <xf numFmtId="0" fontId="36" fillId="0" borderId="6" xfId="1" applyFont="1" applyBorder="1" applyAlignment="1" applyProtection="1">
      <alignment horizontal="center"/>
      <protection locked="0" hidden="1"/>
    </xf>
    <xf numFmtId="0" fontId="36" fillId="0" borderId="5" xfId="1" applyFont="1" applyBorder="1" applyAlignment="1" applyProtection="1">
      <alignment horizontal="center"/>
      <protection locked="0" hidden="1"/>
    </xf>
    <xf numFmtId="0" fontId="38" fillId="0" borderId="16" xfId="1" applyFont="1" applyBorder="1" applyAlignment="1" applyProtection="1">
      <alignment horizontal="center"/>
      <protection locked="0" hidden="1"/>
    </xf>
    <xf numFmtId="0" fontId="38" fillId="0" borderId="18" xfId="1" applyFont="1" applyBorder="1" applyAlignment="1" applyProtection="1">
      <alignment horizontal="center"/>
      <protection locked="0" hidden="1"/>
    </xf>
    <xf numFmtId="0" fontId="28" fillId="0" borderId="6" xfId="1" applyFont="1" applyBorder="1" applyAlignment="1" applyProtection="1">
      <alignment horizontal="center"/>
      <protection locked="0" hidden="1"/>
    </xf>
    <xf numFmtId="0" fontId="28" fillId="0" borderId="5" xfId="1" applyFont="1" applyBorder="1" applyAlignment="1" applyProtection="1">
      <alignment horizontal="center"/>
      <protection locked="0" hidden="1"/>
    </xf>
    <xf numFmtId="0" fontId="28" fillId="0" borderId="21" xfId="1" applyFont="1" applyBorder="1" applyAlignment="1" applyProtection="1">
      <alignment horizontal="center"/>
      <protection locked="0" hidden="1"/>
    </xf>
    <xf numFmtId="0" fontId="28" fillId="0" borderId="22" xfId="1" applyFont="1" applyBorder="1" applyAlignment="1" applyProtection="1">
      <alignment horizontal="center"/>
      <protection locked="0" hidden="1"/>
    </xf>
    <xf numFmtId="0" fontId="35" fillId="0" borderId="49" xfId="1" applyFont="1" applyBorder="1" applyAlignment="1" applyProtection="1">
      <alignment horizontal="center" vertical="center"/>
      <protection locked="0" hidden="1"/>
    </xf>
    <xf numFmtId="0" fontId="35" fillId="0" borderId="51" xfId="1" applyFont="1" applyBorder="1" applyAlignment="1" applyProtection="1">
      <alignment horizontal="center" vertical="center"/>
      <protection locked="0" hidden="1"/>
    </xf>
    <xf numFmtId="0" fontId="35" fillId="0" borderId="43" xfId="1" applyFont="1" applyBorder="1" applyAlignment="1" applyProtection="1">
      <alignment horizontal="center" vertical="center" wrapText="1"/>
      <protection locked="0" hidden="1"/>
    </xf>
    <xf numFmtId="0" fontId="35" fillId="0" borderId="51" xfId="1" applyFont="1" applyBorder="1" applyAlignment="1" applyProtection="1">
      <alignment horizontal="center" vertical="center" wrapText="1"/>
      <protection locked="0" hidden="1"/>
    </xf>
    <xf numFmtId="0" fontId="38" fillId="0" borderId="58" xfId="1" applyFont="1" applyBorder="1" applyAlignment="1" applyProtection="1">
      <alignment horizontal="center"/>
      <protection locked="0" hidden="1"/>
    </xf>
    <xf numFmtId="0" fontId="38" fillId="0" borderId="60" xfId="1" applyFont="1" applyBorder="1" applyAlignment="1" applyProtection="1">
      <alignment horizontal="center"/>
      <protection locked="0" hidden="1"/>
    </xf>
    <xf numFmtId="0" fontId="35" fillId="0" borderId="59" xfId="1" applyFont="1" applyBorder="1" applyAlignment="1" applyProtection="1">
      <alignment horizontal="center"/>
      <protection locked="0" hidden="1"/>
    </xf>
    <xf numFmtId="0" fontId="35" fillId="0" borderId="60" xfId="1" applyFont="1" applyBorder="1" applyAlignment="1" applyProtection="1">
      <alignment horizontal="center"/>
      <protection locked="0" hidden="1"/>
    </xf>
    <xf numFmtId="0" fontId="35" fillId="0" borderId="52" xfId="1" applyFont="1" applyBorder="1" applyAlignment="1" applyProtection="1">
      <alignment horizontal="center" vertical="center" wrapText="1"/>
      <protection locked="0" hidden="1"/>
    </xf>
    <xf numFmtId="0" fontId="49" fillId="0" borderId="59" xfId="1" applyFont="1" applyBorder="1" applyAlignment="1" applyProtection="1">
      <alignment horizontal="center"/>
      <protection locked="0" hidden="1"/>
    </xf>
    <xf numFmtId="0" fontId="49" fillId="0" borderId="62" xfId="1" applyFont="1" applyBorder="1" applyAlignment="1" applyProtection="1">
      <alignment horizontal="center"/>
      <protection locked="0" hidden="1"/>
    </xf>
    <xf numFmtId="0" fontId="48" fillId="0" borderId="46" xfId="1" applyFont="1" applyBorder="1" applyAlignment="1" applyProtection="1">
      <alignment horizontal="center" vertical="center" wrapText="1"/>
      <protection locked="0" hidden="1"/>
    </xf>
    <xf numFmtId="0" fontId="48" fillId="0" borderId="47" xfId="1" applyFont="1" applyBorder="1" applyAlignment="1" applyProtection="1">
      <alignment horizontal="center" vertical="center" wrapText="1"/>
      <protection locked="0" hidden="1"/>
    </xf>
    <xf numFmtId="0" fontId="48" fillId="0" borderId="48" xfId="1" applyFont="1" applyBorder="1" applyAlignment="1" applyProtection="1">
      <alignment horizontal="center" vertical="center" wrapText="1"/>
      <protection locked="0" hidden="1"/>
    </xf>
    <xf numFmtId="0" fontId="35" fillId="0" borderId="49" xfId="1" applyFont="1" applyBorder="1" applyAlignment="1" applyProtection="1">
      <alignment horizontal="center" vertical="center" wrapText="1"/>
      <protection locked="0" hidden="1"/>
    </xf>
    <xf numFmtId="0" fontId="35" fillId="0" borderId="44" xfId="1" applyFont="1" applyBorder="1" applyAlignment="1" applyProtection="1">
      <alignment horizontal="center" vertical="center" wrapText="1"/>
      <protection locked="0" hidden="1"/>
    </xf>
    <xf numFmtId="0" fontId="35" fillId="0" borderId="50" xfId="1" applyFont="1" applyBorder="1" applyAlignment="1" applyProtection="1">
      <alignment horizontal="center" vertical="center" wrapText="1"/>
      <protection locked="0" hidden="1"/>
    </xf>
    <xf numFmtId="0" fontId="38" fillId="0" borderId="20" xfId="1" applyFont="1" applyBorder="1" applyAlignment="1" applyProtection="1">
      <alignment horizontal="center"/>
      <protection locked="0" hidden="1"/>
    </xf>
    <xf numFmtId="0" fontId="36" fillId="0" borderId="59" xfId="1" applyFont="1" applyBorder="1" applyAlignment="1" applyProtection="1">
      <alignment horizontal="center"/>
      <protection locked="0" hidden="1"/>
    </xf>
    <xf numFmtId="0" fontId="36" fillId="0" borderId="60" xfId="1" applyFont="1" applyBorder="1" applyAlignment="1" applyProtection="1">
      <alignment horizontal="center"/>
      <protection locked="0" hidden="1"/>
    </xf>
    <xf numFmtId="0" fontId="38" fillId="0" borderId="61" xfId="1" applyFont="1" applyBorder="1" applyAlignment="1" applyProtection="1">
      <alignment horizontal="center"/>
      <protection locked="0" hidden="1"/>
    </xf>
    <xf numFmtId="0" fontId="42" fillId="19" borderId="6" xfId="0" applyFont="1" applyFill="1" applyBorder="1" applyAlignment="1">
      <alignment horizontal="center" vertical="center" wrapText="1"/>
    </xf>
    <xf numFmtId="0" fontId="42" fillId="19" borderId="5" xfId="0" applyFont="1" applyFill="1" applyBorder="1" applyAlignment="1">
      <alignment horizontal="center" vertical="center" wrapText="1"/>
    </xf>
    <xf numFmtId="0" fontId="52" fillId="9" borderId="38" xfId="0" applyFont="1" applyFill="1" applyBorder="1" applyAlignment="1">
      <alignment horizontal="center" vertical="center" wrapText="1"/>
    </xf>
    <xf numFmtId="0" fontId="52" fillId="9" borderId="37" xfId="0" applyFont="1" applyFill="1" applyBorder="1" applyAlignment="1">
      <alignment horizontal="center" vertical="center" wrapText="1"/>
    </xf>
    <xf numFmtId="0" fontId="40" fillId="14" borderId="66" xfId="0" applyFont="1" applyFill="1" applyBorder="1" applyAlignment="1">
      <alignment horizontal="center"/>
    </xf>
    <xf numFmtId="0" fontId="40" fillId="14" borderId="67" xfId="0" applyFont="1" applyFill="1" applyBorder="1" applyAlignment="1">
      <alignment horizontal="center"/>
    </xf>
    <xf numFmtId="0" fontId="40" fillId="14" borderId="68" xfId="0" applyFont="1" applyFill="1" applyBorder="1" applyAlignment="1">
      <alignment horizontal="center"/>
    </xf>
    <xf numFmtId="0" fontId="40" fillId="13" borderId="66" xfId="0" applyFont="1" applyFill="1" applyBorder="1" applyAlignment="1">
      <alignment horizontal="center"/>
    </xf>
    <xf numFmtId="0" fontId="40" fillId="13" borderId="67" xfId="0" applyFont="1" applyFill="1" applyBorder="1" applyAlignment="1">
      <alignment horizontal="center"/>
    </xf>
    <xf numFmtId="0" fontId="40" fillId="13" borderId="68" xfId="0" applyFont="1" applyFill="1" applyBorder="1" applyAlignment="1">
      <alignment horizontal="center"/>
    </xf>
    <xf numFmtId="0" fontId="52" fillId="0" borderId="0" xfId="0" applyFont="1" applyAlignment="1">
      <alignment horizontal="center" vertical="center" wrapText="1"/>
    </xf>
  </cellXfs>
  <cellStyles count="11">
    <cellStyle name="Comma" xfId="9" builtinId="3"/>
    <cellStyle name="Comma [0]" xfId="7" builtinId="6"/>
    <cellStyle name="Comma 2" xfId="4" xr:uid="{00000000-0005-0000-0000-000002000000}"/>
    <cellStyle name="Comma 2 4 2" xfId="5" xr:uid="{00000000-0005-0000-0000-000003000000}"/>
    <cellStyle name="Hyperlink" xfId="10" builtinId="8"/>
    <cellStyle name="Hyperlink 2" xfId="2" xr:uid="{00000000-0005-0000-0000-000004000000}"/>
    <cellStyle name="Normal" xfId="0" builtinId="0"/>
    <cellStyle name="Normal 2" xfId="1" xr:uid="{00000000-0005-0000-0000-000006000000}"/>
    <cellStyle name="Normal 3" xfId="3" xr:uid="{00000000-0005-0000-0000-000007000000}"/>
    <cellStyle name="Normal 6" xfId="6" xr:uid="{00000000-0005-0000-0000-000008000000}"/>
    <cellStyle name="Percent 2" xfId="8" xr:uid="{00000000-0005-0000-0000-000009000000}"/>
  </cellStyles>
  <dxfs count="58">
    <dxf>
      <font>
        <color rgb="FF9C0006"/>
      </font>
      <fill>
        <patternFill>
          <bgColor rgb="FFFFC7CE"/>
        </patternFill>
      </fill>
    </dxf>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57"/>
      <tableStyleElement type="headerRow" dxfId="56"/>
      <tableStyleElement type="totalRow" dxfId="55"/>
      <tableStyleElement type="firstRowStripe" dxfId="54"/>
      <tableStyleElement type="firstColumnStripe" dxfId="53"/>
      <tableStyleElement type="firstSubtotalColumn" dxfId="52"/>
      <tableStyleElement type="firstSubtotalRow" dxfId="51"/>
      <tableStyleElement type="secondSubtotalRow" dxfId="50"/>
      <tableStyleElement type="firstRowSubheading" dxfId="49"/>
      <tableStyleElement type="secondRowSubheading" dxfId="48"/>
      <tableStyleElement type="pageFieldLabels" dxfId="47"/>
      <tableStyleElement type="pageFieldValues" dxfId="46"/>
    </tableStyle>
    <tableStyle name="PivotStyleMedium8 2 2" table="0" count="12" xr9:uid="{00000000-0011-0000-FFFF-FFFF01000000}">
      <tableStyleElement type="wholeTable" dxfId="45"/>
      <tableStyleElement type="headerRow" dxfId="44"/>
      <tableStyleElement type="totalRow" dxfId="43"/>
      <tableStyleElement type="firstRowStripe" dxfId="42"/>
      <tableStyleElement type="firstColumnStripe" dxfId="41"/>
      <tableStyleElement type="firstSubtotalColumn" dxfId="40"/>
      <tableStyleElement type="firstSubtotalRow" dxfId="39"/>
      <tableStyleElement type="secondSubtotalRow" dxfId="38"/>
      <tableStyleElement type="firstRowSubheading" dxfId="37"/>
      <tableStyleElement type="secondRowSubheading" dxfId="36"/>
      <tableStyleElement type="pageFieldLabels" dxfId="35"/>
      <tableStyleElement type="pageFieldValues" dxfId="34"/>
    </tableStyle>
    <tableStyle name="PivotStyleMedium8 2 2 2" table="0" count="13" xr9:uid="{00000000-0011-0000-FFFF-FFFF02000000}">
      <tableStyleElement type="wholeTable" dxfId="33"/>
      <tableStyleElement type="headerRow" dxfId="32"/>
      <tableStyleElement type="totalRow" dxfId="31"/>
      <tableStyleElement type="lastColumn" dxfId="30"/>
      <tableStyleElement type="firstRowStripe" dxfId="29"/>
      <tableStyleElement type="firstColumnStripe" dxfId="28"/>
      <tableStyleElement type="firstSubtotalColumn" dxfId="27"/>
      <tableStyleElement type="firstSubtotalRow" dxfId="26"/>
      <tableStyleElement type="secondSubtotalRow" dxfId="25"/>
      <tableStyleElement type="firstRowSubheading" dxfId="24"/>
      <tableStyleElement type="secondRowSubheading" dxfId="23"/>
      <tableStyleElement type="pageFieldLabels" dxfId="22"/>
      <tableStyleElement type="pageFieldValues" dxfId="21"/>
    </tableStyle>
    <tableStyle name="PivotStyleMedium8 2 3" table="0" count="12" xr9:uid="{00000000-0011-0000-FFFF-FFFF03000000}">
      <tableStyleElement type="wholeTable" dxfId="20"/>
      <tableStyleElement type="headerRow" dxfId="19"/>
      <tableStyleElement type="totalRow" dxfId="18"/>
      <tableStyleElement type="firstRowStripe" dxfId="17"/>
      <tableStyleElement type="firstColumnStripe" dxfId="16"/>
      <tableStyleElement type="firstSubtotalColumn" dxfId="15"/>
      <tableStyleElement type="firstSubtotalRow" dxfId="14"/>
      <tableStyleElement type="secondSubtotalRow" dxfId="13"/>
      <tableStyleElement type="firstRowSubheading" dxfId="12"/>
      <tableStyleElement type="secondRowSubheading" dxfId="11"/>
      <tableStyleElement type="pageFieldLabels" dxfId="10"/>
      <tableStyleElement type="pageFieldValues" dxfId="9"/>
    </tableStyle>
    <tableStyle name="Table Style 1" pivot="0" count="2" xr9:uid="{00000000-0011-0000-FFFF-FFFF04000000}">
      <tableStyleElement type="wholeTable" dxfId="8"/>
      <tableStyleElement type="headerRow" dxfId="7"/>
    </tableStyle>
  </tableStyles>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333374</xdr:colOff>
      <xdr:row>72</xdr:row>
      <xdr:rowOff>0</xdr:rowOff>
    </xdr:from>
    <xdr:to>
      <xdr:col>3</xdr:col>
      <xdr:colOff>4000499</xdr:colOff>
      <xdr:row>72</xdr:row>
      <xdr:rowOff>0</xdr:rowOff>
    </xdr:to>
    <xdr:pic>
      <xdr:nvPicPr>
        <xdr:cNvPr id="2" name="Picture 1">
          <a:extLst>
            <a:ext uri="{FF2B5EF4-FFF2-40B4-BE49-F238E27FC236}">
              <a16:creationId xmlns:a16="http://schemas.microsoft.com/office/drawing/2014/main" id="{926A505B-B8E7-4889-8C1A-E9F866DE734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49624" y="138112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72342</xdr:colOff>
      <xdr:row>78</xdr:row>
      <xdr:rowOff>610885</xdr:rowOff>
    </xdr:from>
    <xdr:to>
      <xdr:col>3</xdr:col>
      <xdr:colOff>4689563</xdr:colOff>
      <xdr:row>78</xdr:row>
      <xdr:rowOff>2154176</xdr:rowOff>
    </xdr:to>
    <xdr:pic>
      <xdr:nvPicPr>
        <xdr:cNvPr id="3" name="Picture 2">
          <a:extLst>
            <a:ext uri="{FF2B5EF4-FFF2-40B4-BE49-F238E27FC236}">
              <a16:creationId xmlns:a16="http://schemas.microsoft.com/office/drawing/2014/main" id="{261E68FC-CEC8-4618-AB2D-310C307B354C}"/>
            </a:ext>
          </a:extLst>
        </xdr:cNvPr>
        <xdr:cNvPicPr>
          <a:picLocks noChangeAspect="1"/>
        </xdr:cNvPicPr>
      </xdr:nvPicPr>
      <xdr:blipFill>
        <a:blip xmlns:r="http://schemas.openxmlformats.org/officeDocument/2006/relationships" r:embed="rId2"/>
        <a:stretch>
          <a:fillRect/>
        </a:stretch>
      </xdr:blipFill>
      <xdr:spPr>
        <a:xfrm>
          <a:off x="3088592" y="17298685"/>
          <a:ext cx="4617221" cy="15432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30DC16BC-83C9-4197-88C9-77078FA5047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97274" y="158686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333374</xdr:colOff>
      <xdr:row>79</xdr:row>
      <xdr:rowOff>178594</xdr:rowOff>
    </xdr:from>
    <xdr:to>
      <xdr:col>3</xdr:col>
      <xdr:colOff>4000499</xdr:colOff>
      <xdr:row>79</xdr:row>
      <xdr:rowOff>178594</xdr:rowOff>
    </xdr:to>
    <xdr:pic>
      <xdr:nvPicPr>
        <xdr:cNvPr id="2" name="Picture 1">
          <a:extLst>
            <a:ext uri="{FF2B5EF4-FFF2-40B4-BE49-F238E27FC236}">
              <a16:creationId xmlns:a16="http://schemas.microsoft.com/office/drawing/2014/main" id="{A18FACA5-CAED-427C-88CE-BDB37F4C971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5863094"/>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67AB1FBA-B2B1-49CE-8C52-14A954338F8B}"/>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2C3EBE88-19B3-4CE7-BE82-8CD742F019B3}"/>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9F5249FE-58EF-4358-B382-ED99D70F9ADC}"/>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22B16EAD-AC7F-4483-96E3-6E99E2E292EC}"/>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1E8A2BEF-AE68-4C69-91DE-4DD5463B2EA1}"/>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51E81AA8-6CE9-451A-BCF4-BA1835EF90B3}"/>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9B3BB4EC-0CD3-48CC-B5A0-CC3B3E09509B}"/>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84B950E5-95C0-4C25-ABEB-81681691F5E0}"/>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FD64588C-B5CA-4C5E-B156-881E33972B8E}"/>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6D431D74-3968-4C42-9311-891194DA0CFA}"/>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3D30B357-135D-4958-88DD-3D09946E2E36}"/>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93D5B540-198F-47B3-A928-32B8EB6E8F30}"/>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4CDB6BBD-BA31-4901-9FF7-F1CBACAEEE94}"/>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CE4F4C3F-33FF-4916-AC1A-587897A9492D}"/>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F6E2BC61-BF99-4B73-A6D0-490B399D05FF}"/>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166D29DC-EA25-4C48-B57E-8A622D2FD9BC}"/>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19E58B16-8729-40DE-9583-35182BAD1B89}"/>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8E177FE9-21B4-4FB1-8E3B-9D43C83A797E}"/>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7FF3591F-5687-4392-BE67-0305B362CF81}"/>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88727AD7-A7E2-4E7B-AC4E-35CC0E649B08}"/>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55BC15B8-30E7-436C-BC3D-836FFE56F39F}"/>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D3F16769-3A89-4855-876A-61E7879FB934}"/>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63724FC0-DC3C-4DC2-A26D-B793B772DD83}"/>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C239ADBD-8646-4AE7-A1C7-AD96C3E9A6D9}"/>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4349AE79-85B9-4ADD-AAE4-D4292E29D467}"/>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83F06DAB-B49B-440C-9D9B-B1BDD6F97D21}"/>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F39B5F55-687B-46B6-9A3A-A53CBD67262C}"/>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E9D9D400-B5D5-4F11-928D-08FD08E69ED4}"/>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020B201A-D681-4F65-BD39-434FB0D8273F}"/>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403B59B9-5DC2-46A0-80EF-C8CB359012DD}"/>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02287F09-4BA7-4B90-B3DF-DE2B30ED6785}"/>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46869941-B8F1-421A-B6D1-89F21C034114}"/>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64AA0914-AFF9-4465-996F-EFEA013D3284}"/>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FFFD60BB-894F-49B4-B099-8BF0EC47741E}"/>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7CC21F2B-D90C-4A79-BCCC-7141EB96D549}"/>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86657D9F-31F9-46C2-AA98-E9520A8D4BC2}"/>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AF93238D-3AB4-4CF0-8B71-7D11980AD60F}"/>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06F8F79D-FAAA-4852-B78C-649AE34B49CF}"/>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99E4E513-FB6F-437B-8694-D05F2A556E27}"/>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66BA2B11-DDE2-4F97-909A-8B54D715F644}"/>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A111DD79-094B-4E37-AD0A-B5DAC380AA19}"/>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92BFDE20-DEE9-49E7-A131-9B6F4DD2909D}"/>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7EC6EFC5-63FB-4EB8-912E-8007CE7D4CF7}"/>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D16CD0F4-B02D-4D14-8ED4-DC045B87925B}"/>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CD0F7321-0860-4C69-85DA-A3728F67D8ED}"/>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DCE85047-10AB-4C23-84D2-4A9E16326CF2}"/>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EC2483B0-44E1-484A-905A-7D2320A89B1A}"/>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F5FA4AE8-7D4B-4E6A-B59B-F5A5FCF1308C}"/>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0E305C25-0539-4F9B-A788-919CCBD662BD}"/>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3CF180A5-53DA-46CA-99C9-06D2624B2CA0}"/>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2743E0FB-FBB8-4EF2-A452-46EDF01B0E4B}"/>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4F6B9649-DA07-479F-860D-2CE601443997}"/>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DEC6B79E-A7E8-415A-9F11-45BF25A92933}"/>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52C373B6-E193-4622-A562-33C3E0398D7F}"/>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63150EAD-4F01-4EDD-8E0D-85E4763ABDAD}"/>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DED9BA9C-A304-42D8-8466-4880EE80B478}"/>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F18EA918-A922-42E7-B6B6-8EAEB80CE4D0}"/>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94803A66-8451-4ED1-8AA0-271552A66301}"/>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08521155-5939-4825-9C2F-9BF23E0CDC64}"/>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02355060-232C-4C71-ADF5-550007774BCF}"/>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6A98A70A-A29B-4192-9F96-5F37D0B35D79}"/>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C9933246-2805-4C60-BC61-7D64BC18E266}"/>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2BB1559C-888C-4BD8-A49D-143D406271EF}"/>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D657E754-6F61-490D-BB5F-3D964C621C61}"/>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0486B178-17D1-4C5F-A701-49AC148FAFFE}"/>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B770477C-B5DF-459D-98AF-7FA15B504ED6}"/>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503D8AFB-6742-450B-9474-81F33CAB0863}"/>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005F74F8-E361-4E66-B018-1718C7A5F754}"/>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D1DBF0ED-FCDF-43F9-A995-9D9C431A0A40}"/>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57FF7DFF-60A7-4ECA-BFF1-8159463BB62E}"/>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034DBC1B-9A03-4A34-80BC-C6C5D0FCFC92}"/>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7132DCE3-F37B-48EC-8B18-B250F7604471}"/>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36210FDE-AD7B-43E4-8EAD-2B1A5163D7CE}"/>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56622647-5418-41DB-8D17-5DB3CA2B9AAB}"/>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95A6AB60-BE46-4C3E-9516-22CAD0E66BD4}"/>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5D1ED345-958A-4748-820C-A4930479F398}"/>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041B232B-FFFB-4859-90C8-0027E3863404}"/>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AEFFA689-8D72-4EA3-B598-D1699B86D18D}"/>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A9E9CBA6-5CDD-4B16-AFD6-EFE0C74A3CCC}"/>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52C2C011-70D5-4E49-B8EA-5C3A33FCAA5F}"/>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A136A092-B5A4-4DE1-A7EA-7DEC9C46B170}"/>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10B8DBCC-0383-481B-81D4-4B63B8CF9E32}"/>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9349427A-13BA-4ADD-8283-0CD52755B6E8}"/>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55B3E07F-03DA-46DA-BCB2-C12B4FAE0E3C}"/>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C0ECBD86-2983-413A-BC4B-2D9B86E039B2}"/>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FB27546C-16C3-4D21-B407-F3DAFBEA3254}"/>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6954B488-495A-456D-AD9E-D3AECBAA0659}"/>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742CF898-FB21-44C8-B368-496683AD9ED7}"/>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44E10CEB-A8E6-43A8-BD97-4A34E31A74F0}"/>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F1BB189B-6231-4FFA-BFF6-C13E63BA572F}"/>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DA76E7F0-52F6-40C7-B84A-43CB3E06A99D}"/>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7D45D746-7E21-4AA4-A2A1-564D3844E79B}"/>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B6F2C71E-CB22-4503-A13E-9564585781CE}"/>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92283512-8A8A-4494-9184-27560A439537}"/>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1CC2B650-BCE4-4008-907E-E7AC4403977F}"/>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47141BD0-4283-4E62-A5E3-C2EC3FA1A7A6}"/>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8D408C1D-0A6F-472B-B74C-D60DDB2B6602}"/>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77769249-B0F6-49A6-9C6E-6F1BB35A2482}"/>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4C049C35-6C32-4B26-B909-5FA97F9647E4}"/>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8C544E36-0578-4ECB-9A2D-F21AAB6218A1}"/>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C954AFE4-A08C-4BB5-B442-FB6545535B58}"/>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33839857-A7F5-494C-B87D-B4E6D42A6765}"/>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50087F12-E608-45BE-B9E8-BCFA660C261F}"/>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72525E73-4A92-4297-AE30-4CA14CC03EAB}"/>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C3C77392-602E-4A37-ADE0-281A0D6F4CD5}"/>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0C30AC0E-E0A6-4F78-BCE9-70B1915499D5}"/>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AD57CBB8-2DE1-4C6A-A2DE-0F2024D1AB02}"/>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92263B2C-7D2D-489E-AA29-B9DCF939BAD4}"/>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931B39DB-316E-4FF0-AD68-477AC1FF0E8A}"/>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3DCEB2B0-372D-4D60-82FF-4B6461D61535}"/>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8F57B694-C3FE-47F5-B49A-98E8B3C08F5C}"/>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2DFCFEC6-99B3-4B15-8284-E0E7BFFEC543}"/>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87E60098-A506-4999-A697-9485B3C1F48A}"/>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1A760E6D-711B-4872-BDD8-C7B4122D0555}"/>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BF5C2606-BB3B-4D15-A902-1635EBB4FCDB}"/>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B8CC6E24-ADC0-4721-AD11-3760036B1F21}"/>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42132465-25EE-4228-A6E9-BDF9EE611464}"/>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CDD583CF-63B0-476B-B3BC-9365B49FE8AF}"/>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E107B466-60DB-4DE2-8671-29318903B042}"/>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8484EDED-8440-4DDD-8B7B-7C4E877E502F}"/>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CBC5C7FB-FF0C-4525-BBC2-21F37692175F}"/>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0110C228-065E-40A4-B410-211408830A1F}"/>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2378C7CA-937C-402A-80E7-B1F0B53DCCAE}"/>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8619B00F-6040-4B2C-9798-9B0B54D5E3D9}"/>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69408D94-EB73-4E57-956B-ECD4C8AFB3FB}"/>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477723DF-9676-4F4C-831B-444BF62D6387}"/>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36679900-CC18-4745-A237-319C3BD3FDDF}"/>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8B9E2177-F6AA-45F7-8118-C08A805D0DFF}"/>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501E8A4C-5AC7-49BE-8034-F41740455A6C}"/>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E45955AE-AFF7-4CC1-B5E7-24E53B160673}"/>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C9CD949F-22A3-468D-B67E-856A6218CDBF}"/>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A2058B47-E65E-47F8-9A49-3310B58625F5}"/>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7D6C7F54-95B1-4223-9AFD-461427028698}"/>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A0F0EF37-BCC6-423C-AB86-03E6B1DADB34}"/>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7BC04E25-DF36-411A-90B3-ABE9AF744736}"/>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1250CDCC-18E9-45CE-8B13-63BD6D2875DB}"/>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EF80F5F0-1C4A-498E-86DE-80C57529FCC2}"/>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2FEC0DCE-1ED7-4EBF-B46D-8F74FF5AAF83}"/>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664967EC-E681-4DF4-BBE5-8A7E677CD1E3}"/>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B0873D4D-4603-4653-9082-BE4E934D8E79}"/>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9061E889-F40E-42FD-B84C-901560615920}"/>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3ED05A17-F434-4BC5-8095-79B897E84838}"/>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BD4B87FC-1773-4369-8D6B-BACEE993D562}"/>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A1558BC2-CF6D-4B68-84EA-23EC833DDEF7}"/>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8329672A-CB35-4127-ADB5-10C3694405D9}"/>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730BABD3-A109-4238-AFDB-773F4F8B5078}"/>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E6FAFE17-4BCF-40F7-9ECD-A2B52525EA90}"/>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80111F68-9961-4808-BE2E-7D02733C4022}"/>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765B70EF-123D-4CEB-A20B-5EA1E1AFEE6E}"/>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B4477E0E-8781-4705-A4B9-8BD66F9B5FAC}"/>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63B2DCB0-74C6-4CA0-8CC1-D980013139E7}"/>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CFE646CC-4159-4AFC-9CD6-EE1E2C286AA5}"/>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051B6B6F-C72F-4EE3-B2E5-E25E673389BE}"/>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9B2B03FA-40D8-401A-9065-F6932AB46675}"/>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CA4F3FD4-3EEC-4348-B2BD-178E3C5A768A}"/>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2070FFE6-C6EF-4EA0-B391-FE3164A389A1}"/>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676C7F9B-E2BD-47EF-9FA7-378334889D1A}"/>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018A53EA-AB0F-4F12-9E8F-BA178E7A5A35}"/>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A845DD31-241C-43A9-9C31-7AA4B8B6B2B8}"/>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B7069EA2-FE94-4DCB-B3B2-0E6EA5A332ED}"/>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53802E6E-2CC2-4FD0-AFA8-B6212DCDC1D6}"/>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17B998BE-A4EE-4479-9510-4E24C2E01EE2}"/>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DB75134A-A16C-416D-BEFA-FBDF98418E1C}"/>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AEECFB15-11E1-4B17-B6EF-CAD24EDE9B67}"/>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FB219AAB-3A8D-456D-B3F6-451032CDA3F1}"/>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584B910D-DEBA-4876-931B-58D19E0C869B}"/>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E244B40B-6B23-47A0-B264-E0553DD3FEC1}"/>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9C1DD6D0-F654-43AE-A003-6483BEFE8C6F}"/>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2B94616E-CBF6-4F39-9832-B7C06314D377}"/>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2ED36CAE-E3D6-4412-B8EF-7CF6F47D6C98}"/>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7C241189-4B5D-4476-9D7F-C6F522DF0C92}"/>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DF15394E-4D2C-4D11-B9F5-19B3039F3900}"/>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0EE6BED8-262A-40E3-B323-090713575E25}"/>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3F3876A6-5E05-49B9-AA8D-5D39AC30A2A1}"/>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506C7BB9-060A-46CA-A2DE-229F87D89F26}"/>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E3180450-E54D-4DC0-863D-298D9467C8F4}"/>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34D1E6BB-ED54-4845-ADAF-2D18540CB6B3}"/>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DE28FDEE-C8B5-4D8B-ACA3-0413F80078C9}"/>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CDCFE8F0-4135-4CBF-959C-F49A07597020}"/>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6658661C-03C3-4B3E-9CFD-6F66979A89C0}"/>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1D275084-0326-495D-AEEB-65056EDFC573}"/>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0C8A4AC5-B739-47F2-89B3-33C807A5BFEB}"/>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AA3562D5-480B-44CD-B91D-1441789D8079}"/>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C98D7188-5AC9-4790-BEA3-B5B186BCC020}"/>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BDAA21E5-2C8A-4A88-965B-D52D0CC2FCE2}"/>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2F215D1F-8702-4D9E-86E7-FF6922DE957A}"/>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3F91BB47-B222-4622-BB02-FD63BA9E0B5E}"/>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D77E64F7-AD01-4EE7-A03B-70946C13BAA3}"/>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348330AB-670C-449B-BB2B-FE0EDBA81E47}"/>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F8FED03A-F682-4078-B7D2-A3889628EC76}"/>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33D8EE6E-D264-49A5-B220-5519C24A5F68}"/>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31778A32-AD0C-48E4-B772-02450FE522DD}"/>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64D6C3D2-99CB-43F7-B9FD-D870B3DE20CF}"/>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AE3CD6FC-6509-4972-A769-A1AA7663CC27}"/>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9DCC3EDE-86F3-448A-A9D9-7FBFCA8768E6}"/>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62AC0A14-7930-4E08-B668-5EDD0541CE90}"/>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09AFA13E-0622-44B2-80CC-6B44A66AC1BD}"/>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C6BEEC58-CB6D-40E8-B06B-4FD18B6B8150}"/>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279E949F-64D0-4142-95AC-151DAD9A7ECB}"/>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63C29C8A-023B-489C-8185-020E90DDBF99}"/>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CDCCC025-3517-4814-B9C6-2831AFCC202F}"/>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E286D96B-23D8-493A-8CB7-0AC25DAB5B53}"/>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C96E451B-4E7E-41AA-B4D8-E16D42F6ABA3}"/>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5CC5D6D3-6BEE-4F2E-8306-6745D1ED8977}"/>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A18DABEC-C74F-4E52-803D-C8902E18022D}"/>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7B6B5B56-4872-4840-9B8E-7763BBABC3F8}"/>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5F53E77E-1AC9-4097-9DEA-5E977239E597}"/>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8CD0C05F-7C41-402D-A81C-8E1C25807AC2}"/>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06181167-EBB5-45D6-84CC-06D07B1801F0}"/>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1FE3E3C3-8443-42DB-B2FC-ADCF900F9CFA}"/>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45C98AFD-40FC-44D3-8A5B-B4B28055E661}"/>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37B8C87D-41E1-40D5-9C6A-50C51C5F59E2}"/>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0DF6FE7A-6A7B-4658-B67A-1D4920B2C4D7}"/>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8B24E071-4C29-4DD2-9085-8183C93AA26B}"/>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75605DB9-A2EF-4CAA-A1B0-6FC32927D860}"/>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495E6999-F350-4F62-8CA3-AE97B0E63AAD}"/>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C973E593-7C25-4CA4-9C46-3B620F46A7CA}"/>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53E1E661-285F-4B25-9991-CA7CDFF25DFA}"/>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790E08D8-6288-40C0-B2F7-BC594DCEE087}"/>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0CE19520-F130-4AB8-83B9-BE399B424D9E}"/>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A4E0E5CE-ED3C-45E4-B203-54089B1DC87E}"/>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AC7168C3-FF39-4641-B054-17543DA1A88B}"/>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B92B8A95-41EB-41D8-AAF3-CF71AC343D78}"/>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9576121F-4D63-46E0-9DE5-96AC4447A43D}"/>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63C2A6CC-AC25-4382-9A64-4B3894F0B6CC}"/>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485D2F8E-86DE-41F3-8EFC-7AAB0E76BC3D}"/>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A8A0764A-2CA4-4D21-829D-A63BBC1EA371}"/>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420D3EA9-E335-40C8-950E-827785E0EF72}"/>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44AAF2FE-57A5-4280-940A-9ECA5794C165}"/>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8C325C2E-C057-49A2-83EF-83BD82A85DB5}"/>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9CBD3BAA-C6A2-40B4-BE7F-C4671F8C9D72}"/>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B83DC91A-2F38-4F4F-B554-E2B398BCFE84}"/>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497AE9AC-AEAC-403D-B322-DB78F7BA4834}"/>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435D71BC-30F6-4798-8354-F4F40232367F}"/>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765A932D-D38D-4817-B64A-06DDEEFCAC07}"/>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5B670CA3-47E7-4839-BFFB-42B6D03E3253}"/>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C97F2966-A34A-4FB6-B195-A2FE64840EC0}"/>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0B00DD8C-2C26-4967-A8A4-C64F82397FBD}"/>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C11FBB00-DFB6-4F88-8468-203E492DABB4}"/>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DE8501DE-F096-45E7-B7BE-CD513985968F}"/>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38607EA0-FE53-49A3-8FF7-50E5380C972D}"/>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0AC45D53-4794-4A71-9841-585BF920EF3A}"/>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4ADCF841-E104-4EE2-8F56-028AFB433F5D}"/>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E10666D3-D7D2-43C0-B87A-A75BA2B66458}"/>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1A72632B-8CFC-47F5-8BED-EB7819B5D64E}"/>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3DE3FA3F-F6DB-4760-99DA-A1D5461E21C4}"/>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5570CA30-562A-4949-BE1C-7B8086BA41B5}"/>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1EDAA957-DC12-4B43-9DB5-8BF88FF3FF20}"/>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1428ACD3-FD79-4617-9895-B1BF7B8B976E}"/>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2EBC6467-48B2-42F6-A9BF-A29BA9616BB5}"/>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79152498-AF5E-4CE8-A68A-EF2CAE3CEA8D}"/>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DAB3DFE1-0EFC-411B-847F-906808BFF543}"/>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BE6F8924-C2D2-41B4-9B4C-86760F96AB93}"/>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44EB43D5-EA11-4E89-B4F3-127C4C238BEF}"/>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5C633218-FA9B-4F4A-AC36-24316AD44626}"/>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8DF09FE0-90E4-424F-BE4A-CC5179E5C6CF}"/>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760932B8-E73F-438C-8A86-53ED6EAC2404}"/>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A15F8CCC-D4CA-4AA9-B7FA-AF02B3AD1018}"/>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919BDD32-6DF3-4C76-9676-B8C527AA0402}"/>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1AC635FB-8EB9-4F9B-ACA6-B2A6DD8D8982}"/>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16B63C5E-A6FB-453D-B314-8DA4D7F17FA1}"/>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BB84F56C-0054-42C9-8883-0BE8DDE1F21C}"/>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9E18E2A1-C7FC-4AE2-975E-E0AE6F7B370B}"/>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CEFECCFE-5949-4745-8202-FAC584E421B4}"/>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4F078B03-6EBE-4D13-82BC-2D16EFFBE337}"/>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EEB5DC16-A8A2-4BCB-8CE0-31C21FD0C2F2}"/>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B54014FF-3EBE-418E-BBF4-C0BA86FF8641}"/>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464E5ADB-2639-4E91-ADAA-39828C966C03}"/>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E1476718-758D-4F6D-A257-5B53B00CD9EE}"/>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C2A5BE56-58A8-4EA8-A26E-CC5E65647A77}"/>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7C096F54-4D3F-49D3-8B70-30C629438732}"/>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F887CB6F-C12B-41B0-B47B-9C8B13B9795E}"/>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53FFBA3A-D96A-4BB8-9B92-FC1D6CA360B2}"/>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65A0C469-CB25-4213-97B8-7ADED5736812}"/>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88AF58AD-C76D-41F3-955F-A3D529C3D8BE}"/>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6751C3C8-E9B1-4DCC-9553-7406470DAAC1}"/>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02B68528-BFD3-4ADA-BAF7-8A220359FABD}"/>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D3E5AC58-FC82-4163-95CD-CBDA3DD6215C}"/>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679E6E29-34F2-4F3A-8846-10826A6F8DC2}"/>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288BBA7C-468F-4F1C-B8A4-A7B03B54CB31}"/>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3EB74DAB-1056-4B1C-902A-F3A2309D9726}"/>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D60CFAFD-62C9-4B4E-A2C1-8A425645137F}"/>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3C74066A-6F6B-4155-BE56-7848BF31BD09}"/>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22DEC95D-6577-4377-9996-268B1FF77D47}"/>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F421FD3A-1596-413F-A53E-2D21AD4E150D}"/>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3BFE154A-6191-4DC9-8231-AC9A21CFC6B3}"/>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EA63B56A-A359-4F77-8F3E-47654B548870}"/>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400A513E-8CC7-444A-81C8-555526FEB8AC}"/>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1621DE79-E353-4550-B1D4-2BB7C769BB9D}"/>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169BA3F1-5CDE-4F3E-A7AA-8F2FE6793B97}"/>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9C971445-4FDE-4350-AACD-E7F9368E009D}"/>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E15D65DD-9FF1-497F-B099-FFDEF600BD82}"/>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4AED67F2-DFAA-46DC-BE2A-C63B93B7BED9}"/>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C96DECD1-7346-46FA-8B43-F02BB626FFC3}"/>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230A98ED-15DD-4E59-B08D-5C9C3DF1964A}"/>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F78FC990-6DAC-4EB8-B54D-5EBB531BF209}"/>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6BEB0AAD-5373-460C-8C3C-F1B73678856A}"/>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0DE75037-BBF3-483B-80ED-ABBCC346EF0E}"/>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F19AC931-CFD5-41B5-AAE9-AC6CB0B41934}"/>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08B17638-DCB6-43CB-8A84-9C2EC729FE0D}"/>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ED7AA797-A9CC-488A-A772-972C0F46B174}"/>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61D1A65D-3F30-4892-9877-B4B7246079C5}"/>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523F23C5-DFCC-4BD0-B3A5-C64DA50C2E39}"/>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58C19112-55EB-4EA6-86CE-EAE74C4211BC}"/>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25D2F018-A177-4E30-9481-6717F5AC97BF}"/>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075458E8-A786-47B1-BEFB-0C5725F96FCE}"/>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C0E963F6-9642-4208-953E-6357FF132101}"/>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4CA06AC7-3175-4157-9E96-36969EAF9E9C}"/>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79CFE67A-BC36-4F8F-9BFA-24A987CA001A}"/>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3045F8E7-CDCC-4E80-B2D9-BB2D4E782B9A}"/>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108C46DE-DE92-4322-B9CC-9256BA4F9E00}"/>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CC131CD3-ED21-4EE5-A554-318D4860BC18}"/>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6E3A2370-80E9-4D06-823A-57DF58A38B27}"/>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E76C4351-7F66-48F6-8507-A096E846B0AE}"/>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23197DA4-FCA4-48CA-9FE7-6FF459BCB017}"/>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22B06E97-62A7-4CC5-8392-F2224DC93388}"/>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255F9F25-3A8D-4840-B6F0-3E2761A728A6}"/>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7919425A-8813-4F27-A6C7-37B195EA32F8}"/>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8DAC68E6-906A-4B3D-A0AE-6214756987B2}"/>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C7299A53-6A02-4413-83DF-3A1F2797107C}"/>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60446D4C-242C-438C-9F65-F14380A708B1}"/>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26A5DCC8-ADFC-489A-96F0-B830D7BE3AF4}"/>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3AADD26B-603D-4221-B247-40DC7069BC7F}"/>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74AE6B34-E8D2-4F30-9404-53D2DC721D99}"/>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AB3EE023-3000-4856-A935-1F08F1030DB5}"/>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FB3D2CB9-4471-41F7-968F-07D1FA33C61F}"/>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A656EFCC-B1F9-4B29-9E9D-80EC05798251}"/>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2B2E8A76-2EE1-4F73-B9F1-10D97842AD32}"/>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A3B21B29-260A-4A07-92D2-D6556FDF16B7}"/>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4B75EEFA-4384-4907-A324-315166304D5E}"/>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FF1B1431-A886-4651-9355-300A5E4AC27D}"/>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3C5B8525-F73E-4646-B72B-7091788E745C}"/>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5F70FA55-1D2A-483D-9AA6-FFECE5B83179}"/>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6A18E6D1-8FE5-4F95-9767-DD54EF543896}"/>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D011D418-6138-4309-ACC1-277871B6A38E}"/>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7FF04809-12D6-4B91-A44A-98D2D4897FB5}"/>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186FCE34-DE77-43D4-B195-E146DDEC245A}"/>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8E33688C-E2EB-40F8-9DD9-E77F32DBB386}"/>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CAC98E53-017B-488E-948E-A6F1B90D9CDA}"/>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5B2922BA-E9EF-405B-A9A0-956CEB4587D5}"/>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C2F7799A-8D5B-434A-A8E9-E02855E54B2B}"/>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0A518CE4-E81D-4B54-85BD-1E46E2451D09}"/>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6578BEA6-650C-4420-8152-701BE2048E19}"/>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A21899FA-E525-4710-BB26-C76ED7A46221}"/>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7FA21E40-B2C9-4430-A546-A700F820F596}"/>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A6E9590F-B0FB-4F43-8B9D-E35AA4E1EA1E}"/>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BCD8CF62-FCD3-4F2C-BD11-FF68DECF94E7}"/>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CC0DB108-3A3C-4BD7-9581-A15D9212D92E}"/>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7FF03CBB-132E-47EA-81B3-C944708D440C}"/>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8670CBE8-E830-41D0-A398-36193BDA3E0C}"/>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AE933F7E-F77C-4950-AC49-9741C67EC09B}"/>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C13485BF-9BB8-4FEB-A094-1A152608D9C5}"/>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1AC50EA1-23C3-4B23-B8F3-46956C61B509}"/>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EEDEB9E1-9DC8-4133-95D6-BE717B837E34}"/>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3883D8FB-213E-454A-B111-E622A6604CF1}"/>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11F51BD4-74FC-4E99-86ED-EAE88468648E}"/>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8E1DDC76-E9B4-4E1D-B399-D5A9C34830CB}"/>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9628A5DC-6B30-4D6B-B43F-E7237BAEC12A}"/>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EC3EE310-5BB1-4E25-B7CD-FA09ABCBC69C}"/>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BDE503D3-4F19-44B5-AEEB-155836FD0F92}"/>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0B681160-04A3-4843-921E-D6435C19F421}"/>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0ABAA1D0-D028-4989-B508-8F1D3498A22B}"/>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E8A69A27-BFC2-4C37-9906-AE9DB245F157}"/>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D9B05BDB-0795-4355-BE95-BB46789B82CA}"/>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B5CF7618-C50D-471C-8D12-A819568979F8}"/>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343E6CFE-434B-4DD7-8103-51DA0938FD30}"/>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F7F9C19D-CB6D-4BA7-AC50-064AFBDAE23E}"/>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A163BACC-B946-4DCB-8697-8976A1335545}"/>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6A5E886E-1856-4938-82AA-AC9D3F387B46}"/>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A064B051-71EB-4B02-AD56-F40A60A7D082}"/>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1EACC2F1-A158-4136-A5E7-1130279962D0}"/>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23EECC80-9DE0-4818-9331-CE9D9BC37743}"/>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54DB0EAA-0739-4634-BE9C-5959E81718E3}"/>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59FF9E84-CBA2-4614-AC22-2725F0E77520}"/>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08361195-798C-4847-8474-B424D9EBB0B3}"/>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A042EDF2-3941-4350-9474-3BE57C7C2BCC}"/>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08F7BC75-12C6-433E-A65B-BFE6858F0DC5}"/>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85A638E1-3FE7-4B9A-BB1D-B10E1DF4571D}"/>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8320FAC7-57A8-4096-BA8E-6578B644D88B}"/>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F9FAC07F-E9AC-4E9E-BF00-77D3F738EF7D}"/>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8396B09F-D055-4C0B-9F34-DDE9457511D5}"/>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2EF679A7-1EE3-44D9-989F-4346E3E7417E}"/>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D938BFA1-954D-418A-942B-709D530005CC}"/>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387F80D5-799E-4189-9894-3DC6163A519F}"/>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39449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AB657-4F14-4D4E-B0D6-BCE3E96D636C}">
  <sheetPr codeName="Sheet7">
    <tabColor rgb="FF8A0000"/>
  </sheetPr>
  <dimension ref="A1:W255"/>
  <sheetViews>
    <sheetView showGridLines="0" zoomScale="70" zoomScaleNormal="70" workbookViewId="0">
      <selection activeCell="B1" sqref="B1"/>
    </sheetView>
  </sheetViews>
  <sheetFormatPr defaultColWidth="10.28515625" defaultRowHeight="14.25" outlineLevelRow="2" x14ac:dyDescent="0.2"/>
  <cols>
    <col min="1" max="1" width="0.85546875" style="1" customWidth="1"/>
    <col min="2" max="2" width="2.5703125" style="1" customWidth="1"/>
    <col min="3" max="3" width="39.85546875" style="1" customWidth="1"/>
    <col min="4" max="4" width="67.85546875" style="1" bestFit="1" customWidth="1"/>
    <col min="5" max="5" width="127.42578125" style="1" customWidth="1"/>
    <col min="6" max="6" width="33" style="1" customWidth="1"/>
    <col min="7" max="7" width="31.7109375" style="1" customWidth="1"/>
    <col min="8" max="16384" width="10.28515625" style="1"/>
  </cols>
  <sheetData>
    <row r="1" spans="2:16" ht="9" customHeight="1" x14ac:dyDescent="0.2"/>
    <row r="2" spans="2:16" ht="23.25" x14ac:dyDescent="0.35">
      <c r="B2" s="2" t="s">
        <v>565</v>
      </c>
    </row>
    <row r="3" spans="2:16" ht="9" customHeight="1" x14ac:dyDescent="0.3">
      <c r="B3" s="3"/>
    </row>
    <row r="4" spans="2:16" ht="32.25" customHeight="1" thickBot="1" x14ac:dyDescent="0.3">
      <c r="B4" s="4" t="s">
        <v>0</v>
      </c>
      <c r="C4" s="5"/>
      <c r="D4" s="6"/>
      <c r="E4" s="5"/>
      <c r="F4" s="5"/>
      <c r="G4" s="5"/>
      <c r="H4" s="5"/>
      <c r="I4" s="5"/>
      <c r="J4" s="5"/>
      <c r="K4" s="5"/>
      <c r="L4" s="5"/>
      <c r="M4" s="5"/>
      <c r="N4" s="5"/>
      <c r="O4" s="5"/>
      <c r="P4" s="5"/>
    </row>
    <row r="5" spans="2:16" ht="14.25" customHeight="1" x14ac:dyDescent="0.25">
      <c r="B5" s="7"/>
      <c r="D5" s="8"/>
    </row>
    <row r="6" spans="2:16" ht="14.25" customHeight="1" x14ac:dyDescent="0.2">
      <c r="B6" s="1">
        <v>1</v>
      </c>
      <c r="C6" s="9" t="s">
        <v>759</v>
      </c>
    </row>
    <row r="7" spans="2:16" ht="14.25" customHeight="1" x14ac:dyDescent="0.2">
      <c r="B7" s="1">
        <v>2</v>
      </c>
      <c r="C7" s="9" t="s">
        <v>1</v>
      </c>
    </row>
    <row r="8" spans="2:16" ht="14.25" customHeight="1" x14ac:dyDescent="0.2">
      <c r="B8" s="10" t="s">
        <v>2</v>
      </c>
      <c r="C8" s="9" t="s">
        <v>566</v>
      </c>
    </row>
    <row r="9" spans="2:16" ht="14.25" customHeight="1" x14ac:dyDescent="0.2">
      <c r="B9" s="10" t="s">
        <v>2</v>
      </c>
      <c r="C9" s="9" t="s">
        <v>571</v>
      </c>
    </row>
    <row r="10" spans="2:16" ht="14.25" customHeight="1" x14ac:dyDescent="0.2">
      <c r="B10" s="10" t="s">
        <v>2</v>
      </c>
      <c r="C10" s="9" t="s">
        <v>567</v>
      </c>
    </row>
    <row r="11" spans="2:16" ht="14.25" customHeight="1" x14ac:dyDescent="0.2">
      <c r="B11" s="10" t="s">
        <v>2</v>
      </c>
      <c r="C11" s="9" t="s">
        <v>572</v>
      </c>
    </row>
    <row r="12" spans="2:16" ht="14.25" customHeight="1" x14ac:dyDescent="0.2">
      <c r="B12" s="10" t="s">
        <v>2</v>
      </c>
      <c r="C12" s="9" t="s">
        <v>573</v>
      </c>
    </row>
    <row r="13" spans="2:16" ht="14.25" customHeight="1" x14ac:dyDescent="0.25">
      <c r="B13" s="1">
        <v>3</v>
      </c>
      <c r="C13" s="9" t="s">
        <v>3</v>
      </c>
    </row>
    <row r="14" spans="2:16" ht="14.25" customHeight="1" x14ac:dyDescent="0.2">
      <c r="B14" s="1">
        <v>4</v>
      </c>
      <c r="C14" s="1" t="s">
        <v>4</v>
      </c>
    </row>
    <row r="15" spans="2:16" ht="14.25" customHeight="1" x14ac:dyDescent="0.2">
      <c r="B15" s="1">
        <v>5</v>
      </c>
      <c r="C15" s="1" t="s">
        <v>5</v>
      </c>
    </row>
    <row r="16" spans="2:16" x14ac:dyDescent="0.2">
      <c r="B16" s="1">
        <v>6</v>
      </c>
      <c r="C16" s="1" t="s">
        <v>768</v>
      </c>
    </row>
    <row r="17" spans="1:23" ht="13.5" customHeight="1" x14ac:dyDescent="0.2"/>
    <row r="18" spans="1:23" ht="32.25" customHeight="1" thickBot="1" x14ac:dyDescent="0.3">
      <c r="B18" s="4" t="s">
        <v>6</v>
      </c>
      <c r="C18" s="5"/>
      <c r="D18" s="6"/>
      <c r="E18" s="5"/>
      <c r="F18" s="5"/>
      <c r="G18" s="5"/>
      <c r="H18" s="5"/>
      <c r="I18" s="5"/>
      <c r="J18" s="5"/>
      <c r="K18" s="5"/>
      <c r="L18" s="5"/>
      <c r="M18" s="5"/>
      <c r="N18" s="5"/>
      <c r="O18" s="5"/>
      <c r="P18" s="5"/>
    </row>
    <row r="20" spans="1:23" ht="14.25" customHeight="1" x14ac:dyDescent="0.2">
      <c r="B20" s="1">
        <v>1</v>
      </c>
      <c r="C20" s="1" t="s">
        <v>7</v>
      </c>
    </row>
    <row r="21" spans="1:23" ht="14.25" customHeight="1" x14ac:dyDescent="0.2">
      <c r="C21" s="11" t="s">
        <v>8</v>
      </c>
    </row>
    <row r="22" spans="1:23" ht="14.25" customHeight="1" x14ac:dyDescent="0.2">
      <c r="C22" s="11" t="s">
        <v>711</v>
      </c>
    </row>
    <row r="23" spans="1:23" ht="14.25" customHeight="1" x14ac:dyDescent="0.2">
      <c r="C23" s="11" t="s">
        <v>9</v>
      </c>
    </row>
    <row r="24" spans="1:23" ht="14.25" customHeight="1" x14ac:dyDescent="0.2">
      <c r="C24" s="11" t="s">
        <v>712</v>
      </c>
    </row>
    <row r="25" spans="1:23" ht="14.25" customHeight="1" x14ac:dyDescent="0.25">
      <c r="B25" s="1">
        <v>2</v>
      </c>
      <c r="C25" s="1" t="s">
        <v>534</v>
      </c>
    </row>
    <row r="26" spans="1:23" ht="14.25" customHeight="1" x14ac:dyDescent="0.25">
      <c r="A26" s="12"/>
      <c r="B26" s="12"/>
      <c r="D26" s="12"/>
      <c r="E26" s="12"/>
      <c r="F26" s="12"/>
      <c r="G26" s="12"/>
      <c r="H26" s="12"/>
      <c r="I26" s="12"/>
      <c r="J26" s="12"/>
      <c r="K26" s="12"/>
      <c r="L26" s="12"/>
      <c r="M26" s="12"/>
      <c r="N26" s="12"/>
      <c r="O26" s="12"/>
      <c r="P26" s="12"/>
      <c r="Q26" s="12"/>
      <c r="R26" s="12"/>
      <c r="S26" s="12"/>
      <c r="T26" s="12"/>
      <c r="U26" s="12"/>
      <c r="V26" s="12"/>
      <c r="W26" s="12"/>
    </row>
    <row r="27" spans="1:23" s="13" customFormat="1" ht="24" customHeight="1" x14ac:dyDescent="0.2">
      <c r="C27" s="14" t="s">
        <v>10</v>
      </c>
      <c r="D27" s="15" t="s">
        <v>11</v>
      </c>
      <c r="E27" s="16"/>
      <c r="F27" s="16"/>
      <c r="G27" s="16"/>
      <c r="H27" s="16"/>
      <c r="I27" s="16"/>
      <c r="J27" s="16"/>
      <c r="K27" s="16"/>
      <c r="L27" s="16"/>
      <c r="M27" s="16"/>
      <c r="N27" s="16"/>
      <c r="O27" s="16"/>
      <c r="P27" s="16"/>
      <c r="Q27" s="16"/>
      <c r="R27" s="16"/>
      <c r="S27" s="16"/>
      <c r="T27" s="16"/>
      <c r="U27" s="16"/>
      <c r="V27" s="16"/>
      <c r="W27" s="16"/>
    </row>
    <row r="29" spans="1:23" outlineLevel="1" x14ac:dyDescent="0.2">
      <c r="C29" s="1" t="s">
        <v>12</v>
      </c>
    </row>
    <row r="30" spans="1:23" outlineLevel="1" x14ac:dyDescent="0.2"/>
    <row r="31" spans="1:23" ht="15" outlineLevel="1" x14ac:dyDescent="0.25">
      <c r="C31" s="17" t="s">
        <v>13</v>
      </c>
      <c r="D31" s="18" t="s">
        <v>14</v>
      </c>
    </row>
    <row r="32" spans="1:23" ht="28.5" outlineLevel="1" x14ac:dyDescent="0.2">
      <c r="C32" s="19" t="s">
        <v>15</v>
      </c>
      <c r="D32" s="20" t="s">
        <v>235</v>
      </c>
    </row>
    <row r="33" spans="3:4" ht="15" outlineLevel="1" x14ac:dyDescent="0.2">
      <c r="C33" s="19" t="s">
        <v>234</v>
      </c>
      <c r="D33" s="20" t="s">
        <v>243</v>
      </c>
    </row>
    <row r="34" spans="3:4" ht="15" outlineLevel="1" x14ac:dyDescent="0.2">
      <c r="C34" s="19" t="s">
        <v>16</v>
      </c>
      <c r="D34" s="20" t="s">
        <v>17</v>
      </c>
    </row>
    <row r="35" spans="3:4" outlineLevel="1" x14ac:dyDescent="0.2"/>
    <row r="36" spans="3:4" ht="25.5" customHeight="1" outlineLevel="1" x14ac:dyDescent="0.2">
      <c r="C36" s="36" t="s">
        <v>760</v>
      </c>
      <c r="D36" s="36" t="s">
        <v>761</v>
      </c>
    </row>
    <row r="37" spans="3:4" outlineLevel="2" x14ac:dyDescent="0.2">
      <c r="C37" s="21" t="s">
        <v>234</v>
      </c>
      <c r="D37" s="21" t="s">
        <v>244</v>
      </c>
    </row>
    <row r="38" spans="3:4" outlineLevel="2" x14ac:dyDescent="0.2">
      <c r="C38" s="50" t="s">
        <v>679</v>
      </c>
      <c r="D38" s="50" t="s">
        <v>678</v>
      </c>
    </row>
    <row r="39" spans="3:4" outlineLevel="2" x14ac:dyDescent="0.2">
      <c r="C39" s="50" t="s">
        <v>679</v>
      </c>
      <c r="D39" s="50" t="s">
        <v>674</v>
      </c>
    </row>
    <row r="40" spans="3:4" outlineLevel="2" x14ac:dyDescent="0.2">
      <c r="C40" s="50" t="s">
        <v>679</v>
      </c>
      <c r="D40" s="50" t="s">
        <v>675</v>
      </c>
    </row>
    <row r="41" spans="3:4" outlineLevel="2" x14ac:dyDescent="0.2">
      <c r="C41" s="50" t="s">
        <v>681</v>
      </c>
      <c r="D41" s="50" t="s">
        <v>639</v>
      </c>
    </row>
    <row r="42" spans="3:4" outlineLevel="2" x14ac:dyDescent="0.2">
      <c r="C42" s="50" t="s">
        <v>681</v>
      </c>
      <c r="D42" s="50" t="s">
        <v>640</v>
      </c>
    </row>
    <row r="43" spans="3:4" outlineLevel="2" x14ac:dyDescent="0.2">
      <c r="C43" s="50" t="s">
        <v>681</v>
      </c>
      <c r="D43" s="50" t="s">
        <v>737</v>
      </c>
    </row>
    <row r="44" spans="3:4" outlineLevel="2" x14ac:dyDescent="0.2">
      <c r="C44" s="50" t="s">
        <v>681</v>
      </c>
      <c r="D44" s="50" t="s">
        <v>680</v>
      </c>
    </row>
    <row r="45" spans="3:4" outlineLevel="2" x14ac:dyDescent="0.2">
      <c r="C45" s="22" t="s">
        <v>738</v>
      </c>
      <c r="D45" s="22" t="s">
        <v>30</v>
      </c>
    </row>
    <row r="46" spans="3:4" outlineLevel="2" x14ac:dyDescent="0.2">
      <c r="C46" s="22" t="s">
        <v>738</v>
      </c>
      <c r="D46" s="22" t="s">
        <v>29</v>
      </c>
    </row>
    <row r="47" spans="3:4" outlineLevel="2" x14ac:dyDescent="0.2">
      <c r="C47" s="22" t="s">
        <v>738</v>
      </c>
      <c r="D47" s="22" t="s">
        <v>291</v>
      </c>
    </row>
    <row r="48" spans="3:4" outlineLevel="2" x14ac:dyDescent="0.2">
      <c r="C48" s="22" t="s">
        <v>738</v>
      </c>
      <c r="D48" s="22" t="s">
        <v>292</v>
      </c>
    </row>
    <row r="49" spans="3:4" outlineLevel="2" x14ac:dyDescent="0.2">
      <c r="C49" s="22" t="s">
        <v>583</v>
      </c>
      <c r="D49" s="22" t="s">
        <v>236</v>
      </c>
    </row>
    <row r="50" spans="3:4" outlineLevel="2" x14ac:dyDescent="0.2">
      <c r="C50" s="22" t="s">
        <v>583</v>
      </c>
      <c r="D50" s="22" t="s">
        <v>32</v>
      </c>
    </row>
    <row r="51" spans="3:4" outlineLevel="2" x14ac:dyDescent="0.2">
      <c r="C51" s="22" t="s">
        <v>240</v>
      </c>
      <c r="D51" s="22" t="s">
        <v>245</v>
      </c>
    </row>
    <row r="52" spans="3:4" outlineLevel="2" x14ac:dyDescent="0.2">
      <c r="C52" s="22" t="s">
        <v>240</v>
      </c>
      <c r="D52" s="22" t="s">
        <v>24</v>
      </c>
    </row>
    <row r="53" spans="3:4" outlineLevel="2" x14ac:dyDescent="0.2">
      <c r="C53" s="22" t="s">
        <v>240</v>
      </c>
      <c r="D53" s="22" t="s">
        <v>19</v>
      </c>
    </row>
    <row r="54" spans="3:4" outlineLevel="2" x14ac:dyDescent="0.2">
      <c r="C54" s="22" t="s">
        <v>240</v>
      </c>
      <c r="D54" s="22" t="s">
        <v>20</v>
      </c>
    </row>
    <row r="55" spans="3:4" outlineLevel="2" x14ac:dyDescent="0.2">
      <c r="C55" s="22" t="s">
        <v>176</v>
      </c>
      <c r="D55" s="22" t="s">
        <v>21</v>
      </c>
    </row>
    <row r="56" spans="3:4" outlineLevel="2" x14ac:dyDescent="0.2">
      <c r="C56" s="22" t="s">
        <v>176</v>
      </c>
      <c r="D56" s="22" t="s">
        <v>23</v>
      </c>
    </row>
    <row r="57" spans="3:4" outlineLevel="2" x14ac:dyDescent="0.2">
      <c r="C57" s="22" t="s">
        <v>584</v>
      </c>
      <c r="D57" s="22" t="s">
        <v>587</v>
      </c>
    </row>
    <row r="58" spans="3:4" outlineLevel="2" x14ac:dyDescent="0.2">
      <c r="C58" s="22" t="s">
        <v>584</v>
      </c>
      <c r="D58" s="22" t="s">
        <v>588</v>
      </c>
    </row>
    <row r="59" spans="3:4" outlineLevel="2" x14ac:dyDescent="0.2">
      <c r="C59" s="22" t="s">
        <v>237</v>
      </c>
      <c r="D59" s="22" t="s">
        <v>237</v>
      </c>
    </row>
    <row r="60" spans="3:4" outlineLevel="2" x14ac:dyDescent="0.2">
      <c r="C60" s="22" t="s">
        <v>585</v>
      </c>
      <c r="D60" s="22" t="s">
        <v>25</v>
      </c>
    </row>
    <row r="61" spans="3:4" outlineLevel="2" x14ac:dyDescent="0.2">
      <c r="C61" s="22" t="s">
        <v>585</v>
      </c>
      <c r="D61" s="22" t="s">
        <v>26</v>
      </c>
    </row>
    <row r="62" spans="3:4" outlineLevel="2" x14ac:dyDescent="0.2">
      <c r="C62" s="22" t="s">
        <v>585</v>
      </c>
      <c r="D62" s="22" t="s">
        <v>27</v>
      </c>
    </row>
    <row r="63" spans="3:4" outlineLevel="2" x14ac:dyDescent="0.2">
      <c r="C63" s="22" t="s">
        <v>585</v>
      </c>
      <c r="D63" s="22" t="s">
        <v>28</v>
      </c>
    </row>
    <row r="64" spans="3:4" outlineLevel="2" x14ac:dyDescent="0.2">
      <c r="C64" s="22" t="s">
        <v>585</v>
      </c>
      <c r="D64" s="22" t="s">
        <v>248</v>
      </c>
    </row>
    <row r="65" spans="3:23" outlineLevel="2" x14ac:dyDescent="0.2">
      <c r="C65" s="23" t="s">
        <v>239</v>
      </c>
      <c r="D65" s="22" t="s">
        <v>586</v>
      </c>
    </row>
    <row r="66" spans="3:23" outlineLevel="2" x14ac:dyDescent="0.2">
      <c r="C66" s="22" t="s">
        <v>239</v>
      </c>
      <c r="D66" s="22" t="s">
        <v>34</v>
      </c>
    </row>
    <row r="67" spans="3:23" outlineLevel="2" x14ac:dyDescent="0.2">
      <c r="C67" s="22" t="s">
        <v>239</v>
      </c>
      <c r="D67" s="22" t="s">
        <v>35</v>
      </c>
    </row>
    <row r="68" spans="3:23" outlineLevel="1" x14ac:dyDescent="0.2"/>
    <row r="69" spans="3:23" outlineLevel="1" x14ac:dyDescent="0.2">
      <c r="C69" s="1" t="s">
        <v>36</v>
      </c>
    </row>
    <row r="71" spans="3:23" s="13" customFormat="1" ht="24" customHeight="1" x14ac:dyDescent="0.2">
      <c r="C71" s="14" t="s">
        <v>682</v>
      </c>
      <c r="D71" s="51" t="s">
        <v>683</v>
      </c>
      <c r="E71" s="16"/>
      <c r="F71" s="16"/>
      <c r="G71" s="16"/>
      <c r="H71" s="16"/>
      <c r="I71" s="16"/>
      <c r="J71" s="16"/>
      <c r="K71" s="16"/>
      <c r="L71" s="16"/>
      <c r="M71" s="16"/>
      <c r="N71" s="16"/>
      <c r="O71" s="16"/>
      <c r="P71" s="16"/>
      <c r="Q71" s="16"/>
      <c r="R71" s="16"/>
      <c r="S71" s="16"/>
      <c r="T71" s="16"/>
      <c r="U71" s="16"/>
      <c r="V71" s="16"/>
      <c r="W71" s="16"/>
    </row>
    <row r="73" spans="3:23" outlineLevel="1" x14ac:dyDescent="0.2">
      <c r="C73" s="1" t="s">
        <v>684</v>
      </c>
    </row>
    <row r="74" spans="3:23" ht="15" outlineLevel="1" x14ac:dyDescent="0.25">
      <c r="C74" s="1" t="s">
        <v>37</v>
      </c>
    </row>
    <row r="75" spans="3:23" outlineLevel="1" x14ac:dyDescent="0.2"/>
    <row r="76" spans="3:23" ht="42.75" outlineLevel="1" x14ac:dyDescent="0.2">
      <c r="C76" s="52" t="s">
        <v>38</v>
      </c>
      <c r="D76" s="53" t="s">
        <v>685</v>
      </c>
    </row>
    <row r="77" spans="3:23" ht="72.75" customHeight="1" outlineLevel="1" x14ac:dyDescent="0.2">
      <c r="C77" s="52" t="s">
        <v>686</v>
      </c>
      <c r="D77" s="54" t="s">
        <v>687</v>
      </c>
    </row>
    <row r="78" spans="3:23" ht="71.25" outlineLevel="1" x14ac:dyDescent="0.2">
      <c r="C78" s="52" t="s">
        <v>688</v>
      </c>
      <c r="D78" s="53" t="s">
        <v>689</v>
      </c>
    </row>
    <row r="79" spans="3:23" ht="189.95" customHeight="1" outlineLevel="1" x14ac:dyDescent="0.2">
      <c r="C79" s="52" t="s">
        <v>690</v>
      </c>
      <c r="D79" s="54" t="s">
        <v>691</v>
      </c>
    </row>
    <row r="80" spans="3:23" ht="57" outlineLevel="1" x14ac:dyDescent="0.2">
      <c r="C80" s="70" t="s">
        <v>39</v>
      </c>
      <c r="D80" s="71" t="s">
        <v>692</v>
      </c>
    </row>
    <row r="81" spans="3:6" ht="42.75" outlineLevel="1" x14ac:dyDescent="0.2">
      <c r="C81" s="70" t="s">
        <v>693</v>
      </c>
      <c r="D81" s="71" t="s">
        <v>762</v>
      </c>
    </row>
    <row r="82" spans="3:6" ht="85.5" outlineLevel="1" x14ac:dyDescent="0.2">
      <c r="C82" s="52" t="s">
        <v>569</v>
      </c>
      <c r="D82" s="53" t="s">
        <v>746</v>
      </c>
    </row>
    <row r="83" spans="3:6" ht="42.75" outlineLevel="1" x14ac:dyDescent="0.2">
      <c r="C83" s="52" t="s">
        <v>694</v>
      </c>
      <c r="D83" s="53" t="s">
        <v>695</v>
      </c>
    </row>
    <row r="84" spans="3:6" ht="71.25" outlineLevel="1" x14ac:dyDescent="0.2">
      <c r="C84" s="55" t="s">
        <v>591</v>
      </c>
      <c r="D84" s="53" t="s">
        <v>696</v>
      </c>
    </row>
    <row r="85" spans="3:6" ht="15" outlineLevel="1" x14ac:dyDescent="0.2">
      <c r="C85" s="55" t="s">
        <v>592</v>
      </c>
      <c r="D85" s="56" t="s">
        <v>697</v>
      </c>
    </row>
    <row r="86" spans="3:6" ht="15" outlineLevel="1" x14ac:dyDescent="0.2">
      <c r="C86" s="55" t="s">
        <v>593</v>
      </c>
      <c r="D86" s="56" t="s">
        <v>698</v>
      </c>
    </row>
    <row r="87" spans="3:6" ht="15" outlineLevel="1" x14ac:dyDescent="0.2">
      <c r="C87" s="55" t="s">
        <v>594</v>
      </c>
      <c r="D87" s="56" t="s">
        <v>699</v>
      </c>
    </row>
    <row r="88" spans="3:6" ht="15" outlineLevel="1" x14ac:dyDescent="0.2">
      <c r="C88" s="55" t="s">
        <v>595</v>
      </c>
      <c r="D88" s="56" t="s">
        <v>700</v>
      </c>
    </row>
    <row r="89" spans="3:6" ht="71.25" hidden="1" outlineLevel="1" x14ac:dyDescent="0.2">
      <c r="C89" s="55" t="s">
        <v>596</v>
      </c>
      <c r="D89" s="57" t="s">
        <v>701</v>
      </c>
    </row>
    <row r="90" spans="3:6" outlineLevel="1" x14ac:dyDescent="0.2"/>
    <row r="91" spans="3:6" outlineLevel="1" x14ac:dyDescent="0.2"/>
    <row r="92" spans="3:6" outlineLevel="1" x14ac:dyDescent="0.2">
      <c r="C92" s="24" t="s">
        <v>702</v>
      </c>
    </row>
    <row r="93" spans="3:6" outlineLevel="2" x14ac:dyDescent="0.2">
      <c r="C93" s="25" t="s">
        <v>40</v>
      </c>
      <c r="D93" s="21" t="s">
        <v>41</v>
      </c>
      <c r="E93" s="26" t="s">
        <v>42</v>
      </c>
      <c r="F93" s="26" t="s">
        <v>43</v>
      </c>
    </row>
    <row r="94" spans="3:6" ht="14.25" customHeight="1" outlineLevel="2" x14ac:dyDescent="0.2">
      <c r="C94" s="58" t="s">
        <v>671</v>
      </c>
      <c r="D94" s="59"/>
      <c r="E94" s="59"/>
      <c r="F94" s="59"/>
    </row>
    <row r="95" spans="3:6" outlineLevel="2" x14ac:dyDescent="0.2">
      <c r="C95" s="60">
        <v>15000000</v>
      </c>
      <c r="D95" s="27" t="s">
        <v>643</v>
      </c>
      <c r="E95" s="28" t="s">
        <v>660</v>
      </c>
      <c r="F95" s="28" t="s">
        <v>44</v>
      </c>
    </row>
    <row r="96" spans="3:6" ht="38.25" outlineLevel="2" x14ac:dyDescent="0.2">
      <c r="C96" s="61">
        <v>15000010</v>
      </c>
      <c r="D96" s="29" t="s">
        <v>644</v>
      </c>
      <c r="E96" s="30" t="s">
        <v>661</v>
      </c>
      <c r="F96" s="30" t="s">
        <v>44</v>
      </c>
    </row>
    <row r="97" spans="3:6" ht="38.25" outlineLevel="2" x14ac:dyDescent="0.2">
      <c r="C97" s="61">
        <v>15000020</v>
      </c>
      <c r="D97" s="29" t="s">
        <v>645</v>
      </c>
      <c r="E97" s="30" t="s">
        <v>662</v>
      </c>
      <c r="F97" s="30" t="s">
        <v>44</v>
      </c>
    </row>
    <row r="98" spans="3:6" outlineLevel="2" x14ac:dyDescent="0.2">
      <c r="C98" s="61">
        <v>15000030</v>
      </c>
      <c r="D98" s="29" t="s">
        <v>646</v>
      </c>
      <c r="E98" s="30" t="s">
        <v>663</v>
      </c>
      <c r="F98" s="30" t="s">
        <v>44</v>
      </c>
    </row>
    <row r="99" spans="3:6" ht="25.5" outlineLevel="2" x14ac:dyDescent="0.2">
      <c r="C99" s="61">
        <v>15000040</v>
      </c>
      <c r="D99" s="29" t="s">
        <v>647</v>
      </c>
      <c r="E99" s="30" t="s">
        <v>664</v>
      </c>
      <c r="F99" s="30" t="s">
        <v>44</v>
      </c>
    </row>
    <row r="100" spans="3:6" ht="51" outlineLevel="2" x14ac:dyDescent="0.2">
      <c r="C100" s="61">
        <v>15000050</v>
      </c>
      <c r="D100" s="29" t="s">
        <v>648</v>
      </c>
      <c r="E100" s="30" t="s">
        <v>665</v>
      </c>
      <c r="F100" s="30" t="s">
        <v>44</v>
      </c>
    </row>
    <row r="101" spans="3:6" ht="25.5" outlineLevel="2" x14ac:dyDescent="0.2">
      <c r="C101" s="61">
        <v>15000060</v>
      </c>
      <c r="D101" s="29" t="s">
        <v>649</v>
      </c>
      <c r="E101" s="30" t="s">
        <v>666</v>
      </c>
      <c r="F101" s="30" t="s">
        <v>44</v>
      </c>
    </row>
    <row r="102" spans="3:6" ht="25.5" outlineLevel="2" x14ac:dyDescent="0.2">
      <c r="C102" s="62">
        <v>15000070</v>
      </c>
      <c r="D102" s="31" t="s">
        <v>650</v>
      </c>
      <c r="E102" s="32" t="s">
        <v>667</v>
      </c>
      <c r="F102" s="32" t="s">
        <v>44</v>
      </c>
    </row>
    <row r="103" spans="3:6" outlineLevel="2" x14ac:dyDescent="0.2">
      <c r="C103" s="62">
        <v>15000080</v>
      </c>
      <c r="D103" s="31" t="s">
        <v>651</v>
      </c>
      <c r="E103" s="32" t="s">
        <v>668</v>
      </c>
      <c r="F103" s="32" t="s">
        <v>44</v>
      </c>
    </row>
    <row r="104" spans="3:6" outlineLevel="2" x14ac:dyDescent="0.2">
      <c r="C104" s="62">
        <v>15000090</v>
      </c>
      <c r="D104" s="31" t="s">
        <v>652</v>
      </c>
      <c r="E104" s="63" t="s">
        <v>669</v>
      </c>
      <c r="F104" s="63" t="s">
        <v>44</v>
      </c>
    </row>
    <row r="105" spans="3:6" outlineLevel="2" x14ac:dyDescent="0.2">
      <c r="C105" s="62">
        <v>15200000</v>
      </c>
      <c r="D105" s="31" t="s">
        <v>653</v>
      </c>
      <c r="E105" s="63" t="s">
        <v>703</v>
      </c>
      <c r="F105" s="63" t="s">
        <v>44</v>
      </c>
    </row>
    <row r="106" spans="3:6" ht="25.5" outlineLevel="2" x14ac:dyDescent="0.2">
      <c r="C106" s="62">
        <v>15000250</v>
      </c>
      <c r="D106" s="31" t="s">
        <v>654</v>
      </c>
      <c r="E106" s="32" t="s">
        <v>670</v>
      </c>
      <c r="F106" s="63" t="s">
        <v>44</v>
      </c>
    </row>
    <row r="107" spans="3:6" ht="14.25" customHeight="1" outlineLevel="2" x14ac:dyDescent="0.2">
      <c r="C107" s="64" t="s">
        <v>303</v>
      </c>
      <c r="D107" s="65"/>
      <c r="E107" s="65"/>
      <c r="F107" s="66"/>
    </row>
    <row r="108" spans="3:6" ht="34.5" customHeight="1" outlineLevel="2" x14ac:dyDescent="0.2">
      <c r="C108" s="62">
        <v>15020010</v>
      </c>
      <c r="D108" s="31" t="s">
        <v>655</v>
      </c>
      <c r="E108" s="32" t="s">
        <v>704</v>
      </c>
      <c r="F108" s="32" t="s">
        <v>44</v>
      </c>
    </row>
    <row r="109" spans="3:6" ht="34.5" customHeight="1" outlineLevel="2" x14ac:dyDescent="0.2">
      <c r="C109" s="62">
        <v>15020020</v>
      </c>
      <c r="D109" s="31" t="s">
        <v>656</v>
      </c>
      <c r="E109" s="32" t="s">
        <v>705</v>
      </c>
      <c r="F109" s="32" t="s">
        <v>44</v>
      </c>
    </row>
    <row r="110" spans="3:6" ht="34.5" customHeight="1" outlineLevel="2" x14ac:dyDescent="0.2">
      <c r="C110" s="62">
        <v>15020030</v>
      </c>
      <c r="D110" s="31" t="s">
        <v>657</v>
      </c>
      <c r="E110" s="32" t="s">
        <v>706</v>
      </c>
      <c r="F110" s="32" t="s">
        <v>44</v>
      </c>
    </row>
    <row r="111" spans="3:6" ht="34.5" customHeight="1" outlineLevel="2" x14ac:dyDescent="0.2">
      <c r="C111" s="62">
        <v>15020040</v>
      </c>
      <c r="D111" s="31" t="s">
        <v>658</v>
      </c>
      <c r="E111" s="32" t="s">
        <v>707</v>
      </c>
      <c r="F111" s="32" t="s">
        <v>44</v>
      </c>
    </row>
    <row r="112" spans="3:6" ht="34.5" customHeight="1" outlineLevel="2" x14ac:dyDescent="0.2">
      <c r="C112" s="62">
        <v>15020080</v>
      </c>
      <c r="D112" s="31" t="s">
        <v>659</v>
      </c>
      <c r="E112" s="32" t="s">
        <v>708</v>
      </c>
      <c r="F112" s="32" t="s">
        <v>44</v>
      </c>
    </row>
    <row r="113" spans="3:23" ht="34.5" customHeight="1" outlineLevel="2" x14ac:dyDescent="0.2">
      <c r="C113" s="33">
        <v>15020090</v>
      </c>
      <c r="D113" s="34" t="s">
        <v>709</v>
      </c>
      <c r="E113" s="35" t="s">
        <v>710</v>
      </c>
      <c r="F113" s="35" t="s">
        <v>44</v>
      </c>
    </row>
    <row r="114" spans="3:23" ht="34.5" customHeight="1" outlineLevel="2" x14ac:dyDescent="0.2">
      <c r="C114" s="67"/>
      <c r="D114" s="68"/>
      <c r="E114" s="69"/>
      <c r="F114" s="69"/>
    </row>
    <row r="115" spans="3:23" s="13" customFormat="1" ht="24" customHeight="1" x14ac:dyDescent="0.2">
      <c r="C115" s="14" t="s">
        <v>747</v>
      </c>
      <c r="D115" s="15" t="s">
        <v>520</v>
      </c>
      <c r="E115" s="16"/>
      <c r="F115" s="16"/>
      <c r="G115" s="16"/>
      <c r="H115" s="16"/>
      <c r="I115" s="16"/>
      <c r="J115" s="16"/>
      <c r="K115" s="16"/>
      <c r="L115" s="16"/>
      <c r="M115" s="16"/>
      <c r="N115" s="16"/>
      <c r="O115" s="16"/>
      <c r="P115" s="16"/>
      <c r="Q115" s="16"/>
      <c r="R115" s="16"/>
      <c r="S115" s="16"/>
      <c r="T115" s="16"/>
      <c r="U115" s="16"/>
      <c r="V115" s="16"/>
      <c r="W115" s="16"/>
    </row>
    <row r="117" spans="3:23" outlineLevel="1" x14ac:dyDescent="0.2">
      <c r="C117" s="1" t="s">
        <v>45</v>
      </c>
    </row>
    <row r="118" spans="3:23" outlineLevel="1" x14ac:dyDescent="0.2">
      <c r="C118" s="1" t="s">
        <v>568</v>
      </c>
    </row>
    <row r="119" spans="3:23" ht="15" outlineLevel="1" x14ac:dyDescent="0.25">
      <c r="C119" s="1" t="s">
        <v>37</v>
      </c>
    </row>
    <row r="120" spans="3:23" outlineLevel="1" x14ac:dyDescent="0.2"/>
    <row r="121" spans="3:23" ht="99.75" outlineLevel="1" x14ac:dyDescent="0.2">
      <c r="C121" s="37" t="s">
        <v>458</v>
      </c>
      <c r="D121" s="39" t="s">
        <v>574</v>
      </c>
    </row>
    <row r="122" spans="3:23" ht="57" outlineLevel="1" x14ac:dyDescent="0.2">
      <c r="C122" s="37" t="s">
        <v>462</v>
      </c>
      <c r="D122" s="39" t="s">
        <v>748</v>
      </c>
    </row>
    <row r="123" spans="3:23" ht="57" outlineLevel="1" x14ac:dyDescent="0.2">
      <c r="C123" s="72" t="s">
        <v>39</v>
      </c>
      <c r="D123" s="73" t="s">
        <v>579</v>
      </c>
    </row>
    <row r="124" spans="3:23" ht="42.75" outlineLevel="1" x14ac:dyDescent="0.2">
      <c r="C124" s="72" t="s">
        <v>575</v>
      </c>
      <c r="D124" s="73" t="s">
        <v>576</v>
      </c>
    </row>
    <row r="125" spans="3:23" ht="85.5" outlineLevel="1" x14ac:dyDescent="0.2">
      <c r="C125" s="37" t="s">
        <v>569</v>
      </c>
      <c r="D125" s="39" t="s">
        <v>749</v>
      </c>
      <c r="E125" s="41"/>
    </row>
    <row r="126" spans="3:23" ht="28.5" outlineLevel="1" x14ac:dyDescent="0.2">
      <c r="C126" s="37" t="s">
        <v>577</v>
      </c>
      <c r="D126" s="39" t="s">
        <v>750</v>
      </c>
    </row>
    <row r="127" spans="3:23" ht="128.25" hidden="1" outlineLevel="1" x14ac:dyDescent="0.2">
      <c r="C127" s="42" t="s">
        <v>514</v>
      </c>
      <c r="D127" s="43" t="s">
        <v>540</v>
      </c>
    </row>
    <row r="128" spans="3:23" ht="127.5" customHeight="1" outlineLevel="1" x14ac:dyDescent="0.2">
      <c r="C128" s="40" t="s">
        <v>515</v>
      </c>
      <c r="D128" s="38" t="s">
        <v>751</v>
      </c>
    </row>
    <row r="129" spans="3:23" ht="28.5" outlineLevel="1" x14ac:dyDescent="0.2">
      <c r="C129" s="40" t="s">
        <v>516</v>
      </c>
      <c r="D129" s="38" t="s">
        <v>539</v>
      </c>
    </row>
    <row r="130" spans="3:23" ht="57.75" outlineLevel="1" x14ac:dyDescent="0.2">
      <c r="C130" s="40" t="s">
        <v>518</v>
      </c>
      <c r="D130" s="38" t="s">
        <v>537</v>
      </c>
    </row>
    <row r="131" spans="3:23" ht="43.5" outlineLevel="1" x14ac:dyDescent="0.2">
      <c r="C131" s="40" t="s">
        <v>341</v>
      </c>
      <c r="D131" s="38" t="s">
        <v>538</v>
      </c>
    </row>
    <row r="132" spans="3:23" ht="57" outlineLevel="1" x14ac:dyDescent="0.2">
      <c r="C132" s="40" t="s">
        <v>517</v>
      </c>
      <c r="D132" s="38" t="s">
        <v>536</v>
      </c>
    </row>
    <row r="133" spans="3:23" ht="78.75" customHeight="1" outlineLevel="1" x14ac:dyDescent="0.2">
      <c r="C133" s="40" t="s">
        <v>465</v>
      </c>
      <c r="D133" s="38" t="s">
        <v>535</v>
      </c>
    </row>
    <row r="134" spans="3:23" outlineLevel="1" x14ac:dyDescent="0.2"/>
    <row r="136" spans="3:23" s="13" customFormat="1" ht="24" customHeight="1" x14ac:dyDescent="0.2">
      <c r="C136" s="14" t="s">
        <v>713</v>
      </c>
      <c r="D136" s="15" t="s">
        <v>541</v>
      </c>
      <c r="E136" s="16"/>
      <c r="F136" s="16"/>
      <c r="G136" s="16"/>
      <c r="H136" s="16"/>
      <c r="I136" s="16"/>
      <c r="J136" s="16"/>
      <c r="K136" s="16"/>
      <c r="L136" s="16"/>
      <c r="M136" s="16"/>
      <c r="N136" s="16"/>
      <c r="O136" s="16"/>
      <c r="P136" s="16"/>
      <c r="Q136" s="16"/>
      <c r="R136" s="16"/>
      <c r="S136" s="16"/>
      <c r="T136" s="16"/>
      <c r="U136" s="16"/>
      <c r="V136" s="16"/>
      <c r="W136" s="16"/>
    </row>
    <row r="138" spans="3:23" outlineLevel="1" x14ac:dyDescent="0.2">
      <c r="C138" s="1" t="s">
        <v>542</v>
      </c>
    </row>
    <row r="139" spans="3:23" outlineLevel="1" x14ac:dyDescent="0.2"/>
    <row r="140" spans="3:23" outlineLevel="1" x14ac:dyDescent="0.2">
      <c r="C140" s="1" t="s">
        <v>543</v>
      </c>
    </row>
    <row r="141" spans="3:23" outlineLevel="1" x14ac:dyDescent="0.2">
      <c r="C141" s="1" t="s">
        <v>578</v>
      </c>
    </row>
    <row r="142" spans="3:23" outlineLevel="1" x14ac:dyDescent="0.2"/>
    <row r="143" spans="3:23" outlineLevel="1" x14ac:dyDescent="0.2">
      <c r="C143" s="1" t="s">
        <v>570</v>
      </c>
    </row>
    <row r="144" spans="3:23" outlineLevel="1" x14ac:dyDescent="0.2">
      <c r="C144" s="1" t="s">
        <v>544</v>
      </c>
    </row>
    <row r="145" spans="3:6" ht="15" outlineLevel="1" x14ac:dyDescent="0.25">
      <c r="C145" s="1" t="s">
        <v>37</v>
      </c>
    </row>
    <row r="146" spans="3:6" outlineLevel="1" x14ac:dyDescent="0.2"/>
    <row r="147" spans="3:6" ht="159" outlineLevel="1" x14ac:dyDescent="0.2">
      <c r="C147" s="40" t="s">
        <v>547</v>
      </c>
      <c r="D147" s="38" t="s">
        <v>548</v>
      </c>
    </row>
    <row r="148" spans="3:6" ht="15" outlineLevel="1" x14ac:dyDescent="0.2">
      <c r="C148" s="40" t="s">
        <v>461</v>
      </c>
      <c r="D148" s="38" t="s">
        <v>752</v>
      </c>
    </row>
    <row r="149" spans="3:6" ht="28.5" outlineLevel="1" x14ac:dyDescent="0.2">
      <c r="C149" s="40" t="s">
        <v>46</v>
      </c>
      <c r="D149" s="38" t="s">
        <v>546</v>
      </c>
    </row>
    <row r="150" spans="3:6" ht="28.5" outlineLevel="1" x14ac:dyDescent="0.2">
      <c r="C150" s="40" t="s">
        <v>460</v>
      </c>
      <c r="D150" s="38" t="s">
        <v>545</v>
      </c>
    </row>
    <row r="151" spans="3:6" ht="71.25" outlineLevel="1" x14ac:dyDescent="0.2">
      <c r="C151" s="40" t="s">
        <v>338</v>
      </c>
      <c r="D151" s="38" t="s">
        <v>753</v>
      </c>
    </row>
    <row r="152" spans="3:6" outlineLevel="1" x14ac:dyDescent="0.2"/>
    <row r="153" spans="3:6" outlineLevel="1" x14ac:dyDescent="0.2">
      <c r="C153" s="24" t="s">
        <v>47</v>
      </c>
    </row>
    <row r="154" spans="3:6" outlineLevel="2" x14ac:dyDescent="0.2">
      <c r="C154" s="21" t="s">
        <v>40</v>
      </c>
      <c r="D154" s="21" t="s">
        <v>41</v>
      </c>
      <c r="E154" s="26" t="s">
        <v>42</v>
      </c>
      <c r="F154" s="26" t="s">
        <v>43</v>
      </c>
    </row>
    <row r="155" spans="3:6" outlineLevel="2" x14ac:dyDescent="0.2">
      <c r="C155" s="47" t="s">
        <v>521</v>
      </c>
      <c r="D155" s="30" t="s">
        <v>48</v>
      </c>
      <c r="E155" s="30" t="s">
        <v>49</v>
      </c>
      <c r="F155" s="45" t="s">
        <v>50</v>
      </c>
    </row>
    <row r="156" spans="3:6" outlineLevel="2" x14ac:dyDescent="0.2">
      <c r="C156" s="47" t="s">
        <v>522</v>
      </c>
      <c r="D156" s="30" t="s">
        <v>51</v>
      </c>
      <c r="E156" s="30" t="s">
        <v>52</v>
      </c>
      <c r="F156" s="46" t="s">
        <v>50</v>
      </c>
    </row>
    <row r="157" spans="3:6" ht="25.5" outlineLevel="2" x14ac:dyDescent="0.2">
      <c r="C157" s="47" t="s">
        <v>523</v>
      </c>
      <c r="D157" s="30" t="s">
        <v>53</v>
      </c>
      <c r="E157" s="30" t="s">
        <v>54</v>
      </c>
      <c r="F157" s="30" t="s">
        <v>50</v>
      </c>
    </row>
    <row r="158" spans="3:6" outlineLevel="2" x14ac:dyDescent="0.2">
      <c r="C158" s="47" t="s">
        <v>524</v>
      </c>
      <c r="D158" s="30" t="s">
        <v>55</v>
      </c>
      <c r="E158" s="30" t="s">
        <v>56</v>
      </c>
      <c r="F158" s="30" t="s">
        <v>50</v>
      </c>
    </row>
    <row r="159" spans="3:6" outlineLevel="2" x14ac:dyDescent="0.2">
      <c r="C159" s="47" t="s">
        <v>525</v>
      </c>
      <c r="D159" s="30" t="s">
        <v>57</v>
      </c>
      <c r="E159" s="30" t="s">
        <v>58</v>
      </c>
      <c r="F159" s="30" t="s">
        <v>50</v>
      </c>
    </row>
    <row r="160" spans="3:6" outlineLevel="2" x14ac:dyDescent="0.2">
      <c r="C160" s="47" t="s">
        <v>526</v>
      </c>
      <c r="D160" s="30" t="s">
        <v>59</v>
      </c>
      <c r="E160" s="30" t="s">
        <v>60</v>
      </c>
      <c r="F160" s="30" t="s">
        <v>50</v>
      </c>
    </row>
    <row r="161" spans="3:6" outlineLevel="2" x14ac:dyDescent="0.2">
      <c r="C161" s="47" t="s">
        <v>527</v>
      </c>
      <c r="D161" s="30" t="s">
        <v>61</v>
      </c>
      <c r="E161" s="30" t="s">
        <v>62</v>
      </c>
      <c r="F161" s="30" t="s">
        <v>50</v>
      </c>
    </row>
    <row r="162" spans="3:6" outlineLevel="2" x14ac:dyDescent="0.2">
      <c r="C162" s="47" t="s">
        <v>528</v>
      </c>
      <c r="D162" s="30" t="s">
        <v>63</v>
      </c>
      <c r="E162" s="30" t="s">
        <v>64</v>
      </c>
      <c r="F162" s="32" t="s">
        <v>50</v>
      </c>
    </row>
    <row r="163" spans="3:6" outlineLevel="2" x14ac:dyDescent="0.2">
      <c r="C163" s="47" t="s">
        <v>529</v>
      </c>
      <c r="D163" s="30" t="s">
        <v>65</v>
      </c>
      <c r="E163" s="30" t="s">
        <v>66</v>
      </c>
      <c r="F163" s="32" t="s">
        <v>50</v>
      </c>
    </row>
    <row r="164" spans="3:6" outlineLevel="2" x14ac:dyDescent="0.2">
      <c r="C164" s="47" t="s">
        <v>530</v>
      </c>
      <c r="D164" s="30" t="s">
        <v>67</v>
      </c>
      <c r="E164" s="30" t="s">
        <v>68</v>
      </c>
      <c r="F164" s="32" t="s">
        <v>50</v>
      </c>
    </row>
    <row r="165" spans="3:6" outlineLevel="2" x14ac:dyDescent="0.2">
      <c r="C165" s="47" t="s">
        <v>531</v>
      </c>
      <c r="D165" s="30" t="s">
        <v>69</v>
      </c>
      <c r="E165" s="30" t="s">
        <v>70</v>
      </c>
      <c r="F165" s="32" t="s">
        <v>50</v>
      </c>
    </row>
    <row r="166" spans="3:6" outlineLevel="2" x14ac:dyDescent="0.2">
      <c r="C166" s="47" t="s">
        <v>532</v>
      </c>
      <c r="D166" s="30" t="s">
        <v>71</v>
      </c>
      <c r="E166" s="30" t="s">
        <v>72</v>
      </c>
      <c r="F166" s="32" t="s">
        <v>50</v>
      </c>
    </row>
    <row r="167" spans="3:6" outlineLevel="2" x14ac:dyDescent="0.2">
      <c r="C167" s="47" t="s">
        <v>343</v>
      </c>
      <c r="D167" s="30" t="s">
        <v>73</v>
      </c>
      <c r="E167" s="30" t="s">
        <v>74</v>
      </c>
      <c r="F167" s="32" t="s">
        <v>50</v>
      </c>
    </row>
    <row r="168" spans="3:6" outlineLevel="2" x14ac:dyDescent="0.2">
      <c r="C168" s="47" t="s">
        <v>344</v>
      </c>
      <c r="D168" s="30" t="s">
        <v>75</v>
      </c>
      <c r="E168" s="30" t="s">
        <v>76</v>
      </c>
      <c r="F168" s="32" t="s">
        <v>50</v>
      </c>
    </row>
    <row r="169" spans="3:6" ht="25.5" outlineLevel="2" x14ac:dyDescent="0.2">
      <c r="C169" s="47" t="s">
        <v>345</v>
      </c>
      <c r="D169" s="30" t="s">
        <v>77</v>
      </c>
      <c r="E169" s="30" t="s">
        <v>78</v>
      </c>
      <c r="F169" s="32" t="s">
        <v>50</v>
      </c>
    </row>
    <row r="170" spans="3:6" outlineLevel="2" x14ac:dyDescent="0.2">
      <c r="C170" s="47" t="s">
        <v>346</v>
      </c>
      <c r="D170" s="30" t="s">
        <v>79</v>
      </c>
      <c r="E170" s="30" t="s">
        <v>80</v>
      </c>
      <c r="F170" s="32" t="s">
        <v>50</v>
      </c>
    </row>
    <row r="171" spans="3:6" outlineLevel="2" x14ac:dyDescent="0.2">
      <c r="C171" s="47" t="s">
        <v>347</v>
      </c>
      <c r="D171" s="30" t="s">
        <v>81</v>
      </c>
      <c r="E171" s="30" t="s">
        <v>82</v>
      </c>
      <c r="F171" s="32" t="s">
        <v>50</v>
      </c>
    </row>
    <row r="172" spans="3:6" outlineLevel="2" x14ac:dyDescent="0.2">
      <c r="C172" s="47" t="s">
        <v>348</v>
      </c>
      <c r="D172" s="30" t="s">
        <v>83</v>
      </c>
      <c r="E172" s="30" t="s">
        <v>84</v>
      </c>
      <c r="F172" s="32" t="s">
        <v>50</v>
      </c>
    </row>
    <row r="173" spans="3:6" outlineLevel="2" x14ac:dyDescent="0.2">
      <c r="C173" s="47" t="s">
        <v>349</v>
      </c>
      <c r="D173" s="30" t="s">
        <v>85</v>
      </c>
      <c r="E173" s="30" t="s">
        <v>86</v>
      </c>
      <c r="F173" s="32" t="s">
        <v>50</v>
      </c>
    </row>
    <row r="174" spans="3:6" outlineLevel="2" x14ac:dyDescent="0.2">
      <c r="C174" s="47" t="s">
        <v>350</v>
      </c>
      <c r="D174" s="30" t="s">
        <v>87</v>
      </c>
      <c r="E174" s="30" t="s">
        <v>88</v>
      </c>
      <c r="F174" s="32" t="s">
        <v>50</v>
      </c>
    </row>
    <row r="175" spans="3:6" outlineLevel="2" x14ac:dyDescent="0.2">
      <c r="C175" s="47" t="s">
        <v>351</v>
      </c>
      <c r="D175" s="30" t="s">
        <v>89</v>
      </c>
      <c r="E175" s="30" t="s">
        <v>90</v>
      </c>
      <c r="F175" s="32" t="s">
        <v>50</v>
      </c>
    </row>
    <row r="176" spans="3:6" outlineLevel="2" x14ac:dyDescent="0.2">
      <c r="C176" s="47" t="s">
        <v>352</v>
      </c>
      <c r="D176" s="30" t="s">
        <v>91</v>
      </c>
      <c r="E176" s="30" t="s">
        <v>92</v>
      </c>
      <c r="F176" s="32" t="s">
        <v>50</v>
      </c>
    </row>
    <row r="177" spans="3:6" outlineLevel="2" x14ac:dyDescent="0.2">
      <c r="C177" s="47" t="s">
        <v>353</v>
      </c>
      <c r="D177" s="30" t="s">
        <v>93</v>
      </c>
      <c r="E177" s="30" t="s">
        <v>94</v>
      </c>
      <c r="F177" s="32" t="s">
        <v>50</v>
      </c>
    </row>
    <row r="178" spans="3:6" outlineLevel="2" x14ac:dyDescent="0.2">
      <c r="C178" s="47" t="s">
        <v>354</v>
      </c>
      <c r="D178" s="30" t="s">
        <v>95</v>
      </c>
      <c r="E178" s="30" t="s">
        <v>96</v>
      </c>
      <c r="F178" s="32" t="s">
        <v>50</v>
      </c>
    </row>
    <row r="179" spans="3:6" outlineLevel="2" x14ac:dyDescent="0.2">
      <c r="C179" s="47" t="s">
        <v>533</v>
      </c>
      <c r="D179" s="30" t="s">
        <v>97</v>
      </c>
      <c r="E179" s="30" t="s">
        <v>98</v>
      </c>
      <c r="F179" s="32" t="s">
        <v>99</v>
      </c>
    </row>
    <row r="180" spans="3:6" outlineLevel="2" x14ac:dyDescent="0.2">
      <c r="C180" s="47" t="s">
        <v>355</v>
      </c>
      <c r="D180" s="30" t="s">
        <v>97</v>
      </c>
      <c r="E180" s="30" t="s">
        <v>98</v>
      </c>
      <c r="F180" s="32" t="s">
        <v>99</v>
      </c>
    </row>
    <row r="181" spans="3:6" outlineLevel="2" x14ac:dyDescent="0.2">
      <c r="C181" s="47" t="s">
        <v>356</v>
      </c>
      <c r="D181" s="30" t="s">
        <v>100</v>
      </c>
      <c r="E181" s="30" t="s">
        <v>101</v>
      </c>
      <c r="F181" s="32" t="s">
        <v>44</v>
      </c>
    </row>
    <row r="182" spans="3:6" outlineLevel="2" x14ac:dyDescent="0.2">
      <c r="C182" s="47" t="s">
        <v>357</v>
      </c>
      <c r="D182" s="30" t="s">
        <v>102</v>
      </c>
      <c r="E182" s="30" t="s">
        <v>103</v>
      </c>
      <c r="F182" s="32" t="s">
        <v>44</v>
      </c>
    </row>
    <row r="183" spans="3:6" outlineLevel="2" x14ac:dyDescent="0.2">
      <c r="C183" s="47" t="s">
        <v>358</v>
      </c>
      <c r="D183" s="30" t="s">
        <v>104</v>
      </c>
      <c r="E183" s="30" t="s">
        <v>105</v>
      </c>
      <c r="F183" s="32" t="s">
        <v>106</v>
      </c>
    </row>
    <row r="184" spans="3:6" outlineLevel="2" x14ac:dyDescent="0.2">
      <c r="C184" s="47" t="s">
        <v>359</v>
      </c>
      <c r="D184" s="30" t="s">
        <v>107</v>
      </c>
      <c r="E184" s="30" t="s">
        <v>108</v>
      </c>
      <c r="F184" s="32" t="s">
        <v>106</v>
      </c>
    </row>
    <row r="185" spans="3:6" outlineLevel="2" x14ac:dyDescent="0.2">
      <c r="C185" s="47" t="s">
        <v>360</v>
      </c>
      <c r="D185" s="30" t="s">
        <v>109</v>
      </c>
      <c r="E185" s="30" t="s">
        <v>110</v>
      </c>
      <c r="F185" s="32" t="s">
        <v>106</v>
      </c>
    </row>
    <row r="186" spans="3:6" outlineLevel="2" x14ac:dyDescent="0.2">
      <c r="C186" s="47" t="s">
        <v>361</v>
      </c>
      <c r="D186" s="30" t="s">
        <v>111</v>
      </c>
      <c r="E186" s="30" t="s">
        <v>112</v>
      </c>
      <c r="F186" s="32" t="s">
        <v>33</v>
      </c>
    </row>
    <row r="187" spans="3:6" ht="25.5" outlineLevel="2" x14ac:dyDescent="0.2">
      <c r="C187" s="47" t="s">
        <v>365</v>
      </c>
      <c r="D187" s="30" t="s">
        <v>113</v>
      </c>
      <c r="E187" s="30" t="s">
        <v>114</v>
      </c>
      <c r="F187" s="32" t="s">
        <v>106</v>
      </c>
    </row>
    <row r="188" spans="3:6" ht="25.5" outlineLevel="2" x14ac:dyDescent="0.2">
      <c r="C188" s="47" t="s">
        <v>362</v>
      </c>
      <c r="D188" s="30" t="s">
        <v>426</v>
      </c>
      <c r="E188" s="30" t="s">
        <v>549</v>
      </c>
      <c r="F188" s="32" t="s">
        <v>106</v>
      </c>
    </row>
    <row r="189" spans="3:6" ht="25.5" outlineLevel="2" x14ac:dyDescent="0.2">
      <c r="C189" s="47" t="s">
        <v>363</v>
      </c>
      <c r="D189" s="30" t="s">
        <v>427</v>
      </c>
      <c r="E189" s="30" t="s">
        <v>550</v>
      </c>
      <c r="F189" s="32" t="s">
        <v>44</v>
      </c>
    </row>
    <row r="190" spans="3:6" ht="25.5" outlineLevel="2" x14ac:dyDescent="0.2">
      <c r="C190" s="47" t="s">
        <v>364</v>
      </c>
      <c r="D190" s="30" t="s">
        <v>429</v>
      </c>
      <c r="E190" s="30" t="s">
        <v>551</v>
      </c>
      <c r="F190" s="32" t="s">
        <v>44</v>
      </c>
    </row>
    <row r="191" spans="3:6" outlineLevel="2" x14ac:dyDescent="0.2">
      <c r="C191" s="47" t="s">
        <v>366</v>
      </c>
      <c r="D191" s="30" t="s">
        <v>115</v>
      </c>
      <c r="E191" s="30" t="s">
        <v>116</v>
      </c>
      <c r="F191" s="32" t="s">
        <v>106</v>
      </c>
    </row>
    <row r="192" spans="3:6" outlineLevel="2" x14ac:dyDescent="0.2">
      <c r="C192" s="47" t="s">
        <v>367</v>
      </c>
      <c r="D192" s="30" t="s">
        <v>117</v>
      </c>
      <c r="E192" s="30" t="s">
        <v>118</v>
      </c>
      <c r="F192" s="32" t="s">
        <v>106</v>
      </c>
    </row>
    <row r="193" spans="3:6" outlineLevel="2" x14ac:dyDescent="0.2">
      <c r="C193" s="47" t="s">
        <v>368</v>
      </c>
      <c r="D193" s="30" t="s">
        <v>119</v>
      </c>
      <c r="E193" s="30" t="s">
        <v>120</v>
      </c>
      <c r="F193" s="32" t="s">
        <v>121</v>
      </c>
    </row>
    <row r="194" spans="3:6" outlineLevel="2" x14ac:dyDescent="0.2">
      <c r="C194" s="47" t="s">
        <v>369</v>
      </c>
      <c r="D194" s="30" t="s">
        <v>122</v>
      </c>
      <c r="E194" s="30" t="s">
        <v>123</v>
      </c>
      <c r="F194" s="32" t="s">
        <v>121</v>
      </c>
    </row>
    <row r="195" spans="3:6" outlineLevel="2" x14ac:dyDescent="0.2">
      <c r="C195" s="47" t="s">
        <v>370</v>
      </c>
      <c r="D195" s="30" t="s">
        <v>124</v>
      </c>
      <c r="E195" s="30" t="s">
        <v>125</v>
      </c>
      <c r="F195" s="32" t="s">
        <v>106</v>
      </c>
    </row>
    <row r="196" spans="3:6" outlineLevel="2" x14ac:dyDescent="0.2">
      <c r="C196" s="47" t="s">
        <v>371</v>
      </c>
      <c r="D196" s="30" t="s">
        <v>126</v>
      </c>
      <c r="E196" s="30" t="s">
        <v>127</v>
      </c>
      <c r="F196" s="32" t="s">
        <v>106</v>
      </c>
    </row>
    <row r="197" spans="3:6" outlineLevel="2" x14ac:dyDescent="0.2">
      <c r="C197" s="47" t="s">
        <v>372</v>
      </c>
      <c r="D197" s="30" t="s">
        <v>128</v>
      </c>
      <c r="E197" s="30" t="s">
        <v>129</v>
      </c>
      <c r="F197" s="32" t="s">
        <v>130</v>
      </c>
    </row>
    <row r="198" spans="3:6" outlineLevel="2" x14ac:dyDescent="0.2">
      <c r="C198" s="47" t="s">
        <v>373</v>
      </c>
      <c r="D198" s="30" t="s">
        <v>131</v>
      </c>
      <c r="E198" s="30" t="s">
        <v>132</v>
      </c>
      <c r="F198" s="32" t="s">
        <v>106</v>
      </c>
    </row>
    <row r="199" spans="3:6" outlineLevel="2" x14ac:dyDescent="0.2">
      <c r="C199" s="47" t="s">
        <v>374</v>
      </c>
      <c r="D199" s="30" t="s">
        <v>133</v>
      </c>
      <c r="E199" s="30" t="s">
        <v>134</v>
      </c>
      <c r="F199" s="32" t="s">
        <v>106</v>
      </c>
    </row>
    <row r="200" spans="3:6" ht="25.5" outlineLevel="2" x14ac:dyDescent="0.2">
      <c r="C200" s="47" t="s">
        <v>375</v>
      </c>
      <c r="D200" s="30" t="s">
        <v>135</v>
      </c>
      <c r="E200" s="30" t="s">
        <v>136</v>
      </c>
      <c r="F200" s="32" t="s">
        <v>44</v>
      </c>
    </row>
    <row r="201" spans="3:6" outlineLevel="2" x14ac:dyDescent="0.2">
      <c r="C201" s="47" t="s">
        <v>376</v>
      </c>
      <c r="D201" s="30" t="s">
        <v>137</v>
      </c>
      <c r="E201" s="30" t="s">
        <v>138</v>
      </c>
      <c r="F201" s="32" t="s">
        <v>44</v>
      </c>
    </row>
    <row r="202" spans="3:6" outlineLevel="2" x14ac:dyDescent="0.2">
      <c r="C202" s="47" t="s">
        <v>377</v>
      </c>
      <c r="D202" s="30" t="s">
        <v>139</v>
      </c>
      <c r="E202" s="30" t="s">
        <v>140</v>
      </c>
      <c r="F202" s="32" t="s">
        <v>44</v>
      </c>
    </row>
    <row r="203" spans="3:6" ht="25.5" outlineLevel="2" x14ac:dyDescent="0.2">
      <c r="C203" s="47" t="s">
        <v>378</v>
      </c>
      <c r="D203" s="30" t="s">
        <v>141</v>
      </c>
      <c r="E203" s="30" t="s">
        <v>142</v>
      </c>
      <c r="F203" s="32" t="s">
        <v>44</v>
      </c>
    </row>
    <row r="204" spans="3:6" ht="25.5" outlineLevel="2" x14ac:dyDescent="0.2">
      <c r="C204" s="47" t="s">
        <v>379</v>
      </c>
      <c r="D204" s="30" t="s">
        <v>143</v>
      </c>
      <c r="E204" s="30" t="s">
        <v>144</v>
      </c>
      <c r="F204" s="32" t="s">
        <v>44</v>
      </c>
    </row>
    <row r="205" spans="3:6" outlineLevel="2" x14ac:dyDescent="0.2">
      <c r="C205" s="47" t="s">
        <v>380</v>
      </c>
      <c r="D205" s="30" t="s">
        <v>145</v>
      </c>
      <c r="E205" s="30" t="s">
        <v>146</v>
      </c>
      <c r="F205" s="32" t="s">
        <v>44</v>
      </c>
    </row>
    <row r="206" spans="3:6" ht="25.5" outlineLevel="2" x14ac:dyDescent="0.2">
      <c r="C206" s="47" t="s">
        <v>381</v>
      </c>
      <c r="D206" s="30" t="s">
        <v>147</v>
      </c>
      <c r="E206" s="30" t="s">
        <v>552</v>
      </c>
      <c r="F206" s="32" t="s">
        <v>106</v>
      </c>
    </row>
    <row r="207" spans="3:6" ht="25.5" outlineLevel="2" x14ac:dyDescent="0.2">
      <c r="C207" s="47" t="s">
        <v>382</v>
      </c>
      <c r="D207" s="30" t="s">
        <v>148</v>
      </c>
      <c r="E207" s="30" t="s">
        <v>553</v>
      </c>
      <c r="F207" s="32" t="s">
        <v>149</v>
      </c>
    </row>
    <row r="208" spans="3:6" ht="38.25" outlineLevel="2" x14ac:dyDescent="0.2">
      <c r="C208" s="47" t="s">
        <v>383</v>
      </c>
      <c r="D208" s="30" t="s">
        <v>150</v>
      </c>
      <c r="E208" s="30" t="s">
        <v>554</v>
      </c>
      <c r="F208" s="32" t="s">
        <v>106</v>
      </c>
    </row>
    <row r="209" spans="3:6" ht="38.25" outlineLevel="2" x14ac:dyDescent="0.2">
      <c r="C209" s="47" t="s">
        <v>384</v>
      </c>
      <c r="D209" s="30" t="s">
        <v>151</v>
      </c>
      <c r="E209" s="30" t="s">
        <v>555</v>
      </c>
      <c r="F209" s="32" t="s">
        <v>44</v>
      </c>
    </row>
    <row r="210" spans="3:6" ht="38.25" outlineLevel="2" x14ac:dyDescent="0.2">
      <c r="C210" s="47" t="s">
        <v>385</v>
      </c>
      <c r="D210" s="30" t="s">
        <v>451</v>
      </c>
      <c r="E210" s="30" t="s">
        <v>556</v>
      </c>
      <c r="F210" s="32" t="s">
        <v>44</v>
      </c>
    </row>
    <row r="211" spans="3:6" ht="38.25" outlineLevel="2" x14ac:dyDescent="0.2">
      <c r="C211" s="47" t="s">
        <v>386</v>
      </c>
      <c r="D211" s="30" t="s">
        <v>452</v>
      </c>
      <c r="E211" s="30" t="s">
        <v>557</v>
      </c>
      <c r="F211" s="32" t="s">
        <v>44</v>
      </c>
    </row>
    <row r="212" spans="3:6" outlineLevel="2" x14ac:dyDescent="0.2">
      <c r="C212" s="47" t="s">
        <v>387</v>
      </c>
      <c r="D212" s="30" t="s">
        <v>152</v>
      </c>
      <c r="E212" s="30" t="s">
        <v>558</v>
      </c>
      <c r="F212" s="32" t="s">
        <v>44</v>
      </c>
    </row>
    <row r="213" spans="3:6" outlineLevel="2" x14ac:dyDescent="0.2">
      <c r="C213" s="47" t="s">
        <v>388</v>
      </c>
      <c r="D213" s="30" t="s">
        <v>153</v>
      </c>
      <c r="E213" s="30" t="s">
        <v>154</v>
      </c>
      <c r="F213" s="32" t="s">
        <v>121</v>
      </c>
    </row>
    <row r="214" spans="3:6" outlineLevel="2" x14ac:dyDescent="0.2">
      <c r="C214" s="47" t="s">
        <v>389</v>
      </c>
      <c r="D214" s="30" t="s">
        <v>155</v>
      </c>
      <c r="E214" s="30" t="s">
        <v>156</v>
      </c>
      <c r="F214" s="32" t="s">
        <v>106</v>
      </c>
    </row>
    <row r="215" spans="3:6" outlineLevel="2" x14ac:dyDescent="0.2">
      <c r="C215" s="47" t="s">
        <v>390</v>
      </c>
      <c r="D215" s="30" t="s">
        <v>157</v>
      </c>
      <c r="E215" s="30" t="s">
        <v>158</v>
      </c>
      <c r="F215" s="32" t="s">
        <v>106</v>
      </c>
    </row>
    <row r="216" spans="3:6" outlineLevel="2" x14ac:dyDescent="0.2">
      <c r="C216" s="47" t="s">
        <v>391</v>
      </c>
      <c r="D216" s="30" t="s">
        <v>159</v>
      </c>
      <c r="E216" s="30" t="s">
        <v>160</v>
      </c>
      <c r="F216" s="32" t="s">
        <v>106</v>
      </c>
    </row>
    <row r="217" spans="3:6" outlineLevel="2" x14ac:dyDescent="0.2">
      <c r="C217" s="47" t="s">
        <v>392</v>
      </c>
      <c r="D217" s="30" t="s">
        <v>161</v>
      </c>
      <c r="E217" s="30" t="s">
        <v>162</v>
      </c>
      <c r="F217" s="32" t="s">
        <v>149</v>
      </c>
    </row>
    <row r="218" spans="3:6" outlineLevel="2" x14ac:dyDescent="0.2">
      <c r="C218" s="47" t="s">
        <v>393</v>
      </c>
      <c r="D218" s="30" t="s">
        <v>163</v>
      </c>
      <c r="E218" s="30" t="s">
        <v>164</v>
      </c>
      <c r="F218" s="32" t="s">
        <v>149</v>
      </c>
    </row>
    <row r="219" spans="3:6" outlineLevel="2" x14ac:dyDescent="0.2">
      <c r="C219" s="47" t="s">
        <v>394</v>
      </c>
      <c r="D219" s="30" t="s">
        <v>165</v>
      </c>
      <c r="E219" s="30" t="s">
        <v>166</v>
      </c>
      <c r="F219" s="32" t="s">
        <v>167</v>
      </c>
    </row>
    <row r="220" spans="3:6" outlineLevel="2" x14ac:dyDescent="0.2">
      <c r="C220" s="47" t="s">
        <v>395</v>
      </c>
      <c r="D220" s="30" t="s">
        <v>168</v>
      </c>
      <c r="E220" s="30" t="s">
        <v>169</v>
      </c>
      <c r="F220" s="32" t="s">
        <v>44</v>
      </c>
    </row>
    <row r="221" spans="3:6" outlineLevel="2" x14ac:dyDescent="0.2">
      <c r="C221" s="47" t="s">
        <v>396</v>
      </c>
      <c r="D221" s="30" t="s">
        <v>170</v>
      </c>
      <c r="E221" s="30" t="s">
        <v>171</v>
      </c>
      <c r="F221" s="32" t="s">
        <v>44</v>
      </c>
    </row>
    <row r="222" spans="3:6" outlineLevel="2" x14ac:dyDescent="0.2">
      <c r="C222" s="47" t="s">
        <v>397</v>
      </c>
      <c r="D222" s="30" t="s">
        <v>172</v>
      </c>
      <c r="E222" s="30" t="s">
        <v>173</v>
      </c>
      <c r="F222" s="32" t="s">
        <v>44</v>
      </c>
    </row>
    <row r="223" spans="3:6" outlineLevel="2" x14ac:dyDescent="0.2">
      <c r="C223" s="47" t="s">
        <v>398</v>
      </c>
      <c r="D223" s="30" t="s">
        <v>174</v>
      </c>
      <c r="E223" s="30" t="s">
        <v>175</v>
      </c>
      <c r="F223" s="32" t="s">
        <v>176</v>
      </c>
    </row>
    <row r="224" spans="3:6" outlineLevel="2" x14ac:dyDescent="0.2">
      <c r="C224" s="47" t="s">
        <v>399</v>
      </c>
      <c r="D224" s="30" t="s">
        <v>177</v>
      </c>
      <c r="E224" s="30" t="s">
        <v>178</v>
      </c>
      <c r="F224" s="32" t="s">
        <v>179</v>
      </c>
    </row>
    <row r="225" spans="3:6" outlineLevel="2" x14ac:dyDescent="0.2">
      <c r="C225" s="47" t="s">
        <v>400</v>
      </c>
      <c r="D225" s="30" t="s">
        <v>180</v>
      </c>
      <c r="E225" s="30" t="s">
        <v>181</v>
      </c>
      <c r="F225" s="32" t="s">
        <v>99</v>
      </c>
    </row>
    <row r="226" spans="3:6" outlineLevel="2" x14ac:dyDescent="0.2">
      <c r="C226" s="47" t="s">
        <v>401</v>
      </c>
      <c r="D226" s="30" t="s">
        <v>182</v>
      </c>
      <c r="E226" s="30" t="s">
        <v>183</v>
      </c>
      <c r="F226" s="32" t="s">
        <v>44</v>
      </c>
    </row>
    <row r="227" spans="3:6" outlineLevel="2" x14ac:dyDescent="0.2">
      <c r="C227" s="47" t="s">
        <v>580</v>
      </c>
      <c r="D227" s="30" t="s">
        <v>581</v>
      </c>
      <c r="E227" s="30" t="s">
        <v>582</v>
      </c>
      <c r="F227" s="32" t="s">
        <v>44</v>
      </c>
    </row>
    <row r="228" spans="3:6" outlineLevel="2" x14ac:dyDescent="0.2">
      <c r="C228" s="47" t="s">
        <v>402</v>
      </c>
      <c r="D228" s="30" t="s">
        <v>184</v>
      </c>
      <c r="E228" s="30" t="s">
        <v>185</v>
      </c>
      <c r="F228" s="32" t="s">
        <v>44</v>
      </c>
    </row>
    <row r="229" spans="3:6" ht="25.5" outlineLevel="2" x14ac:dyDescent="0.2">
      <c r="C229" s="47" t="s">
        <v>403</v>
      </c>
      <c r="D229" s="30" t="s">
        <v>186</v>
      </c>
      <c r="E229" s="30" t="s">
        <v>187</v>
      </c>
      <c r="F229" s="32" t="s">
        <v>188</v>
      </c>
    </row>
    <row r="230" spans="3:6" outlineLevel="2" x14ac:dyDescent="0.2">
      <c r="C230" s="47" t="s">
        <v>404</v>
      </c>
      <c r="D230" s="30" t="s">
        <v>189</v>
      </c>
      <c r="E230" s="30" t="s">
        <v>190</v>
      </c>
      <c r="F230" s="32" t="s">
        <v>191</v>
      </c>
    </row>
    <row r="231" spans="3:6" outlineLevel="2" x14ac:dyDescent="0.2">
      <c r="C231" s="47" t="s">
        <v>405</v>
      </c>
      <c r="D231" s="30" t="s">
        <v>192</v>
      </c>
      <c r="E231" s="30" t="s">
        <v>193</v>
      </c>
      <c r="F231" s="32" t="s">
        <v>194</v>
      </c>
    </row>
    <row r="232" spans="3:6" outlineLevel="2" x14ac:dyDescent="0.2">
      <c r="C232" s="47" t="s">
        <v>406</v>
      </c>
      <c r="D232" s="30" t="s">
        <v>195</v>
      </c>
      <c r="E232" s="30" t="s">
        <v>196</v>
      </c>
      <c r="F232" s="32" t="s">
        <v>197</v>
      </c>
    </row>
    <row r="233" spans="3:6" outlineLevel="2" x14ac:dyDescent="0.2">
      <c r="C233" s="47" t="s">
        <v>407</v>
      </c>
      <c r="D233" s="30" t="s">
        <v>198</v>
      </c>
      <c r="E233" s="30" t="s">
        <v>199</v>
      </c>
      <c r="F233" s="32" t="s">
        <v>197</v>
      </c>
    </row>
    <row r="234" spans="3:6" outlineLevel="2" x14ac:dyDescent="0.2">
      <c r="C234" s="47" t="s">
        <v>408</v>
      </c>
      <c r="D234" s="30" t="s">
        <v>200</v>
      </c>
      <c r="E234" s="30" t="s">
        <v>201</v>
      </c>
      <c r="F234" s="32" t="s">
        <v>176</v>
      </c>
    </row>
    <row r="235" spans="3:6" outlineLevel="2" x14ac:dyDescent="0.2">
      <c r="C235" s="47" t="s">
        <v>409</v>
      </c>
      <c r="D235" s="30" t="s">
        <v>202</v>
      </c>
      <c r="E235" s="30" t="s">
        <v>203</v>
      </c>
      <c r="F235" s="32" t="s">
        <v>44</v>
      </c>
    </row>
    <row r="236" spans="3:6" outlineLevel="2" x14ac:dyDescent="0.2">
      <c r="C236" s="47" t="s">
        <v>410</v>
      </c>
      <c r="D236" s="30" t="s">
        <v>204</v>
      </c>
      <c r="E236" s="30" t="s">
        <v>205</v>
      </c>
      <c r="F236" s="32" t="s">
        <v>44</v>
      </c>
    </row>
    <row r="237" spans="3:6" ht="25.5" outlineLevel="2" x14ac:dyDescent="0.2">
      <c r="C237" s="47" t="s">
        <v>411</v>
      </c>
      <c r="D237" s="30" t="s">
        <v>206</v>
      </c>
      <c r="E237" s="30" t="s">
        <v>207</v>
      </c>
      <c r="F237" s="32" t="s">
        <v>44</v>
      </c>
    </row>
    <row r="238" spans="3:6" ht="25.5" outlineLevel="2" x14ac:dyDescent="0.2">
      <c r="C238" s="47" t="s">
        <v>412</v>
      </c>
      <c r="D238" s="30" t="s">
        <v>208</v>
      </c>
      <c r="E238" s="30" t="s">
        <v>209</v>
      </c>
      <c r="F238" s="32" t="s">
        <v>44</v>
      </c>
    </row>
    <row r="239" spans="3:6" outlineLevel="2" x14ac:dyDescent="0.2">
      <c r="C239" s="47" t="s">
        <v>413</v>
      </c>
      <c r="D239" s="30" t="s">
        <v>210</v>
      </c>
      <c r="E239" s="30" t="s">
        <v>211</v>
      </c>
      <c r="F239" s="32" t="s">
        <v>44</v>
      </c>
    </row>
    <row r="240" spans="3:6" outlineLevel="2" x14ac:dyDescent="0.2">
      <c r="C240" s="47" t="s">
        <v>414</v>
      </c>
      <c r="D240" s="30" t="s">
        <v>212</v>
      </c>
      <c r="E240" s="30" t="s">
        <v>213</v>
      </c>
      <c r="F240" s="32" t="s">
        <v>44</v>
      </c>
    </row>
    <row r="241" spans="3:6" outlineLevel="2" x14ac:dyDescent="0.2">
      <c r="C241" s="47" t="s">
        <v>415</v>
      </c>
      <c r="D241" s="30" t="s">
        <v>214</v>
      </c>
      <c r="E241" s="30" t="s">
        <v>215</v>
      </c>
      <c r="F241" s="32" t="s">
        <v>44</v>
      </c>
    </row>
    <row r="242" spans="3:6" ht="89.25" outlineLevel="2" x14ac:dyDescent="0.2">
      <c r="C242" s="47" t="s">
        <v>416</v>
      </c>
      <c r="D242" s="30" t="s">
        <v>216</v>
      </c>
      <c r="E242" s="30" t="s">
        <v>217</v>
      </c>
      <c r="F242" s="32" t="s">
        <v>44</v>
      </c>
    </row>
    <row r="243" spans="3:6" outlineLevel="2" x14ac:dyDescent="0.2">
      <c r="C243" s="47" t="s">
        <v>417</v>
      </c>
      <c r="D243" s="30" t="s">
        <v>454</v>
      </c>
      <c r="E243" s="30" t="s">
        <v>559</v>
      </c>
      <c r="F243" s="32" t="s">
        <v>561</v>
      </c>
    </row>
    <row r="244" spans="3:6" outlineLevel="2" x14ac:dyDescent="0.2">
      <c r="C244" s="47" t="s">
        <v>418</v>
      </c>
      <c r="D244" s="30" t="s">
        <v>218</v>
      </c>
      <c r="E244" s="30" t="s">
        <v>219</v>
      </c>
      <c r="F244" s="32" t="s">
        <v>220</v>
      </c>
    </row>
    <row r="245" spans="3:6" ht="63.75" outlineLevel="2" x14ac:dyDescent="0.2">
      <c r="C245" s="47" t="s">
        <v>419</v>
      </c>
      <c r="D245" s="30" t="s">
        <v>221</v>
      </c>
      <c r="E245" s="30" t="s">
        <v>222</v>
      </c>
      <c r="F245" s="32" t="s">
        <v>106</v>
      </c>
    </row>
    <row r="246" spans="3:6" ht="63.75" outlineLevel="2" x14ac:dyDescent="0.2">
      <c r="C246" s="47" t="s">
        <v>420</v>
      </c>
      <c r="D246" s="30" t="s">
        <v>223</v>
      </c>
      <c r="E246" s="30" t="s">
        <v>224</v>
      </c>
      <c r="F246" s="32" t="s">
        <v>225</v>
      </c>
    </row>
    <row r="247" spans="3:6" ht="63.75" outlineLevel="2" x14ac:dyDescent="0.2">
      <c r="C247" s="47" t="s">
        <v>421</v>
      </c>
      <c r="D247" s="30" t="s">
        <v>226</v>
      </c>
      <c r="E247" s="30" t="s">
        <v>227</v>
      </c>
      <c r="F247" s="32" t="s">
        <v>44</v>
      </c>
    </row>
    <row r="248" spans="3:6" outlineLevel="2" x14ac:dyDescent="0.2">
      <c r="C248" s="47" t="s">
        <v>422</v>
      </c>
      <c r="D248" s="30" t="s">
        <v>455</v>
      </c>
      <c r="E248" s="30" t="s">
        <v>560</v>
      </c>
      <c r="F248" s="32" t="s">
        <v>561</v>
      </c>
    </row>
    <row r="249" spans="3:6" outlineLevel="2" x14ac:dyDescent="0.2">
      <c r="C249" s="47" t="s">
        <v>423</v>
      </c>
      <c r="D249" s="30" t="s">
        <v>228</v>
      </c>
      <c r="E249" s="30" t="s">
        <v>229</v>
      </c>
      <c r="F249" s="32" t="s">
        <v>44</v>
      </c>
    </row>
    <row r="250" spans="3:6" outlineLevel="2" x14ac:dyDescent="0.2">
      <c r="C250" s="47" t="s">
        <v>424</v>
      </c>
      <c r="D250" s="30" t="s">
        <v>230</v>
      </c>
      <c r="E250" s="30" t="s">
        <v>231</v>
      </c>
      <c r="F250" s="32" t="s">
        <v>44</v>
      </c>
    </row>
    <row r="251" spans="3:6" outlineLevel="2" x14ac:dyDescent="0.2">
      <c r="C251" s="47" t="s">
        <v>425</v>
      </c>
      <c r="D251" s="30" t="s">
        <v>232</v>
      </c>
      <c r="E251" s="30" t="s">
        <v>233</v>
      </c>
      <c r="F251" s="32" t="s">
        <v>44</v>
      </c>
    </row>
    <row r="252" spans="3:6" outlineLevel="2" collapsed="1" x14ac:dyDescent="0.2">
      <c r="C252" s="48"/>
      <c r="D252" s="34"/>
      <c r="E252" s="35"/>
      <c r="F252" s="35"/>
    </row>
    <row r="253" spans="3:6" outlineLevel="1" x14ac:dyDescent="0.2"/>
    <row r="254" spans="3:6" outlineLevel="1" x14ac:dyDescent="0.2"/>
    <row r="255" spans="3:6" outlineLevel="1" x14ac:dyDescent="0.2"/>
  </sheetData>
  <sheetProtection formatRows="0"/>
  <hyperlinks>
    <hyperlink ref="D27" location="Cover!A1" display="Cover" xr:uid="{F9CB41E4-1944-4B36-A6D3-B10725DCC879}"/>
    <hyperlink ref="D115" location="'Budget Opex Detail'!A1" display="Budget Opex Detail" xr:uid="{8983F968-A728-4E51-B176-60C44E03D767}"/>
    <hyperlink ref="D136" location="'Activity Master'!A1" display="Activity Master" xr:uid="{F6A92346-8E79-407E-BF05-29E2E8B2ADE3}"/>
    <hyperlink ref="D71" location="'Capex &amp; Project Detail'!A1" display="'Capex &amp; Project Detail" xr:uid="{DDC8C440-8C2D-47E0-9C61-E0290C7283D2}"/>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89E808-F591-4DBE-ABC3-3F4FC2CA6B8E}">
  <sheetPr codeName="Sheet11">
    <tabColor rgb="FF339966"/>
  </sheetPr>
  <dimension ref="A2:P349"/>
  <sheetViews>
    <sheetView showGridLines="0" tabSelected="1" zoomScale="80" zoomScaleNormal="80" workbookViewId="0">
      <selection activeCell="D3" sqref="D3"/>
    </sheetView>
  </sheetViews>
  <sheetFormatPr defaultColWidth="10.28515625" defaultRowHeight="15" outlineLevelRow="4" x14ac:dyDescent="0.25"/>
  <cols>
    <col min="1" max="1" width="0.85546875" style="75" customWidth="1"/>
    <col min="2" max="2" width="3.42578125" style="75" bestFit="1" customWidth="1"/>
    <col min="3" max="3" width="42.42578125" style="75" customWidth="1"/>
    <col min="4" max="4" width="66.85546875" style="75" customWidth="1"/>
    <col min="5" max="5" width="103.5703125" style="75" customWidth="1"/>
    <col min="6" max="6" width="52.28515625" style="75" customWidth="1"/>
    <col min="7" max="7" width="31.7109375" style="75" customWidth="1"/>
    <col min="8" max="10" width="10.28515625" style="75"/>
    <col min="11" max="11" width="10.28515625" style="75" customWidth="1"/>
    <col min="12" max="16384" width="10.28515625" style="75"/>
  </cols>
  <sheetData>
    <row r="2" spans="2:16" ht="24" x14ac:dyDescent="0.4">
      <c r="B2" s="76" t="s">
        <v>795</v>
      </c>
    </row>
    <row r="3" spans="2:16" ht="21" x14ac:dyDescent="0.35">
      <c r="B3" s="77"/>
    </row>
    <row r="4" spans="2:16" ht="19.5" thickBot="1" x14ac:dyDescent="0.35">
      <c r="B4" s="78" t="s">
        <v>0</v>
      </c>
      <c r="C4" s="79"/>
      <c r="D4" s="80"/>
      <c r="E4" s="79"/>
      <c r="F4" s="79"/>
      <c r="G4" s="79"/>
      <c r="H4" s="79"/>
      <c r="I4" s="79"/>
      <c r="J4" s="79"/>
      <c r="K4" s="79"/>
      <c r="L4" s="79"/>
      <c r="M4" s="79"/>
      <c r="N4" s="79"/>
      <c r="O4" s="79"/>
      <c r="P4" s="79"/>
    </row>
    <row r="5" spans="2:16" x14ac:dyDescent="0.25">
      <c r="B5" s="81"/>
      <c r="D5" s="82"/>
    </row>
    <row r="6" spans="2:16" x14ac:dyDescent="0.25">
      <c r="B6" s="75">
        <v>1</v>
      </c>
      <c r="C6" s="83" t="s">
        <v>800</v>
      </c>
    </row>
    <row r="7" spans="2:16" x14ac:dyDescent="0.25">
      <c r="B7" s="75">
        <v>2</v>
      </c>
      <c r="C7" s="83" t="s">
        <v>828</v>
      </c>
    </row>
    <row r="8" spans="2:16" x14ac:dyDescent="0.25">
      <c r="B8" s="84" t="s">
        <v>2</v>
      </c>
      <c r="C8" s="83" t="s">
        <v>796</v>
      </c>
    </row>
    <row r="9" spans="2:16" x14ac:dyDescent="0.25">
      <c r="B9" s="84" t="s">
        <v>2</v>
      </c>
      <c r="C9" s="83" t="s">
        <v>801</v>
      </c>
    </row>
    <row r="10" spans="2:16" x14ac:dyDescent="0.25">
      <c r="B10" s="84" t="s">
        <v>2</v>
      </c>
      <c r="C10" s="83" t="s">
        <v>851</v>
      </c>
    </row>
    <row r="11" spans="2:16" x14ac:dyDescent="0.25">
      <c r="B11" s="84" t="s">
        <v>2</v>
      </c>
      <c r="C11" s="83" t="s">
        <v>802</v>
      </c>
    </row>
    <row r="12" spans="2:16" x14ac:dyDescent="0.25">
      <c r="B12" s="84" t="s">
        <v>2</v>
      </c>
      <c r="C12" s="83" t="s">
        <v>803</v>
      </c>
    </row>
    <row r="13" spans="2:16" x14ac:dyDescent="0.25">
      <c r="B13" s="75">
        <v>3</v>
      </c>
      <c r="C13" s="83" t="s">
        <v>829</v>
      </c>
    </row>
    <row r="14" spans="2:16" x14ac:dyDescent="0.25">
      <c r="B14" s="75">
        <v>4</v>
      </c>
      <c r="C14" s="75" t="s">
        <v>4</v>
      </c>
    </row>
    <row r="15" spans="2:16" x14ac:dyDescent="0.25">
      <c r="B15" s="75">
        <v>5</v>
      </c>
      <c r="C15" s="75" t="s">
        <v>852</v>
      </c>
    </row>
    <row r="16" spans="2:16" x14ac:dyDescent="0.25">
      <c r="B16" s="75">
        <v>6</v>
      </c>
      <c r="C16" s="75" t="s">
        <v>1543</v>
      </c>
    </row>
    <row r="18" spans="1:16" ht="19.5" thickBot="1" x14ac:dyDescent="0.35">
      <c r="B18" s="78" t="s">
        <v>6</v>
      </c>
      <c r="C18" s="79"/>
      <c r="D18" s="80"/>
      <c r="E18" s="79"/>
      <c r="F18" s="79"/>
      <c r="G18" s="79"/>
      <c r="H18" s="79"/>
      <c r="I18" s="79"/>
      <c r="J18" s="79"/>
      <c r="K18" s="79"/>
      <c r="L18" s="79"/>
      <c r="M18" s="79"/>
      <c r="N18" s="79"/>
      <c r="O18" s="79"/>
      <c r="P18" s="79"/>
    </row>
    <row r="20" spans="1:16" x14ac:dyDescent="0.25">
      <c r="B20" s="75">
        <v>1</v>
      </c>
      <c r="C20" s="75" t="s">
        <v>7</v>
      </c>
    </row>
    <row r="21" spans="1:16" x14ac:dyDescent="0.25">
      <c r="C21" s="85" t="s">
        <v>8</v>
      </c>
    </row>
    <row r="22" spans="1:16" x14ac:dyDescent="0.25">
      <c r="C22" s="85" t="s">
        <v>830</v>
      </c>
    </row>
    <row r="23" spans="1:16" x14ac:dyDescent="0.25">
      <c r="C23" s="85" t="s">
        <v>831</v>
      </c>
    </row>
    <row r="24" spans="1:16" x14ac:dyDescent="0.25">
      <c r="C24" s="85" t="s">
        <v>832</v>
      </c>
    </row>
    <row r="25" spans="1:16" x14ac:dyDescent="0.25">
      <c r="B25" s="75">
        <v>2</v>
      </c>
      <c r="C25" s="75" t="s">
        <v>833</v>
      </c>
    </row>
    <row r="26" spans="1:16" x14ac:dyDescent="0.25">
      <c r="B26" s="75">
        <v>3</v>
      </c>
      <c r="C26" s="75" t="s">
        <v>853</v>
      </c>
    </row>
    <row r="28" spans="1:16" s="343" customFormat="1" ht="15.75" x14ac:dyDescent="0.25">
      <c r="A28" s="98"/>
      <c r="B28" s="98"/>
      <c r="C28" s="341" t="s">
        <v>10</v>
      </c>
      <c r="D28" s="342" t="s">
        <v>11</v>
      </c>
    </row>
    <row r="30" spans="1:16" x14ac:dyDescent="0.25">
      <c r="C30" s="75" t="s">
        <v>12</v>
      </c>
    </row>
    <row r="31" spans="1:16" outlineLevel="1" x14ac:dyDescent="0.25"/>
    <row r="32" spans="1:16" outlineLevel="1" x14ac:dyDescent="0.25">
      <c r="C32" s="96" t="s">
        <v>13</v>
      </c>
      <c r="D32" s="100" t="s">
        <v>14</v>
      </c>
    </row>
    <row r="33" spans="3:4" ht="60" outlineLevel="1" x14ac:dyDescent="0.25">
      <c r="C33" s="97" t="s">
        <v>15</v>
      </c>
      <c r="D33" s="102" t="s">
        <v>844</v>
      </c>
    </row>
    <row r="34" spans="3:4" outlineLevel="1" x14ac:dyDescent="0.25">
      <c r="C34" s="97" t="s">
        <v>234</v>
      </c>
      <c r="D34" s="102" t="s">
        <v>243</v>
      </c>
    </row>
    <row r="35" spans="3:4" outlineLevel="1" x14ac:dyDescent="0.25">
      <c r="C35" s="97" t="s">
        <v>337</v>
      </c>
      <c r="D35" s="102" t="s">
        <v>1051</v>
      </c>
    </row>
    <row r="36" spans="3:4" outlineLevel="1" x14ac:dyDescent="0.25"/>
    <row r="37" spans="3:4" ht="30" outlineLevel="1" x14ac:dyDescent="0.25">
      <c r="C37" s="120" t="s">
        <v>1052</v>
      </c>
      <c r="D37" s="120" t="s">
        <v>1053</v>
      </c>
    </row>
    <row r="38" spans="3:4" outlineLevel="2" x14ac:dyDescent="0.25">
      <c r="C38" s="95" t="s">
        <v>842</v>
      </c>
      <c r="D38" s="95" t="s">
        <v>337</v>
      </c>
    </row>
    <row r="39" spans="3:4" outlineLevel="2" x14ac:dyDescent="0.25">
      <c r="C39" s="99" t="s">
        <v>904</v>
      </c>
      <c r="D39" s="99" t="s">
        <v>678</v>
      </c>
    </row>
    <row r="40" spans="3:4" outlineLevel="2" x14ac:dyDescent="0.25">
      <c r="C40" s="99" t="s">
        <v>904</v>
      </c>
      <c r="D40" s="99" t="s">
        <v>674</v>
      </c>
    </row>
    <row r="41" spans="3:4" outlineLevel="2" x14ac:dyDescent="0.25">
      <c r="C41" s="99" t="s">
        <v>904</v>
      </c>
      <c r="D41" s="99" t="s">
        <v>675</v>
      </c>
    </row>
    <row r="42" spans="3:4" outlineLevel="2" x14ac:dyDescent="0.25">
      <c r="C42" s="99" t="s">
        <v>905</v>
      </c>
      <c r="D42" s="99" t="s">
        <v>835</v>
      </c>
    </row>
    <row r="43" spans="3:4" outlineLevel="2" x14ac:dyDescent="0.25">
      <c r="C43" s="99" t="s">
        <v>905</v>
      </c>
      <c r="D43" s="99" t="s">
        <v>836</v>
      </c>
    </row>
    <row r="44" spans="3:4" outlineLevel="2" x14ac:dyDescent="0.25">
      <c r="C44" s="99" t="s">
        <v>905</v>
      </c>
      <c r="D44" s="99" t="s">
        <v>640</v>
      </c>
    </row>
    <row r="45" spans="3:4" outlineLevel="2" x14ac:dyDescent="0.25">
      <c r="C45" s="99" t="s">
        <v>905</v>
      </c>
      <c r="D45" s="99" t="s">
        <v>737</v>
      </c>
    </row>
    <row r="46" spans="3:4" outlineLevel="2" x14ac:dyDescent="0.25">
      <c r="C46" s="99" t="s">
        <v>905</v>
      </c>
      <c r="D46" s="99" t="s">
        <v>680</v>
      </c>
    </row>
    <row r="47" spans="3:4" outlineLevel="2" x14ac:dyDescent="0.25">
      <c r="C47" s="100" t="s">
        <v>837</v>
      </c>
      <c r="D47" s="100" t="s">
        <v>30</v>
      </c>
    </row>
    <row r="48" spans="3:4" outlineLevel="2" x14ac:dyDescent="0.25">
      <c r="C48" s="100" t="s">
        <v>837</v>
      </c>
      <c r="D48" s="100" t="s">
        <v>29</v>
      </c>
    </row>
    <row r="49" spans="3:4" outlineLevel="2" x14ac:dyDescent="0.25">
      <c r="C49" s="100" t="s">
        <v>22</v>
      </c>
      <c r="D49" s="100" t="s">
        <v>291</v>
      </c>
    </row>
    <row r="50" spans="3:4" outlineLevel="2" x14ac:dyDescent="0.25">
      <c r="C50" s="100" t="str">
        <f>C49</f>
        <v>HSE</v>
      </c>
      <c r="D50" s="100" t="s">
        <v>292</v>
      </c>
    </row>
    <row r="51" spans="3:4" outlineLevel="2" x14ac:dyDescent="0.25">
      <c r="C51" s="100" t="s">
        <v>583</v>
      </c>
      <c r="D51" s="100" t="s">
        <v>236</v>
      </c>
    </row>
    <row r="52" spans="3:4" outlineLevel="2" x14ac:dyDescent="0.25">
      <c r="C52" s="100" t="s">
        <v>583</v>
      </c>
      <c r="D52" s="100" t="s">
        <v>32</v>
      </c>
    </row>
    <row r="53" spans="3:4" outlineLevel="2" x14ac:dyDescent="0.25">
      <c r="C53" s="100" t="s">
        <v>794</v>
      </c>
      <c r="D53" s="100" t="s">
        <v>245</v>
      </c>
    </row>
    <row r="54" spans="3:4" outlineLevel="2" x14ac:dyDescent="0.25">
      <c r="C54" s="100" t="s">
        <v>794</v>
      </c>
      <c r="D54" s="100" t="s">
        <v>24</v>
      </c>
    </row>
    <row r="55" spans="3:4" outlineLevel="2" x14ac:dyDescent="0.25">
      <c r="C55" s="100" t="s">
        <v>794</v>
      </c>
      <c r="D55" s="100" t="s">
        <v>19</v>
      </c>
    </row>
    <row r="56" spans="3:4" outlineLevel="2" x14ac:dyDescent="0.25">
      <c r="C56" s="100" t="s">
        <v>794</v>
      </c>
      <c r="D56" s="100" t="s">
        <v>20</v>
      </c>
    </row>
    <row r="57" spans="3:4" outlineLevel="2" x14ac:dyDescent="0.25">
      <c r="C57" s="100" t="s">
        <v>794</v>
      </c>
      <c r="D57" s="100" t="s">
        <v>1526</v>
      </c>
    </row>
    <row r="58" spans="3:4" outlineLevel="2" x14ac:dyDescent="0.25">
      <c r="C58" s="100" t="s">
        <v>794</v>
      </c>
      <c r="D58" s="100" t="s">
        <v>1542</v>
      </c>
    </row>
    <row r="59" spans="3:4" outlineLevel="2" x14ac:dyDescent="0.25">
      <c r="C59" s="100" t="s">
        <v>1519</v>
      </c>
      <c r="D59" s="100" t="s">
        <v>1435</v>
      </c>
    </row>
    <row r="60" spans="3:4" outlineLevel="2" x14ac:dyDescent="0.25">
      <c r="C60" s="100" t="s">
        <v>1519</v>
      </c>
      <c r="D60" s="100" t="s">
        <v>1521</v>
      </c>
    </row>
    <row r="61" spans="3:4" outlineLevel="2" x14ac:dyDescent="0.25">
      <c r="C61" s="100" t="s">
        <v>1519</v>
      </c>
      <c r="D61" s="100" t="s">
        <v>1522</v>
      </c>
    </row>
    <row r="62" spans="3:4" outlineLevel="2" x14ac:dyDescent="0.25">
      <c r="C62" s="100" t="s">
        <v>1520</v>
      </c>
      <c r="D62" s="100" t="s">
        <v>325</v>
      </c>
    </row>
    <row r="63" spans="3:4" outlineLevel="2" x14ac:dyDescent="0.25">
      <c r="C63" s="100" t="s">
        <v>1520</v>
      </c>
      <c r="D63" s="100" t="s">
        <v>588</v>
      </c>
    </row>
    <row r="64" spans="3:4" outlineLevel="2" x14ac:dyDescent="0.25">
      <c r="C64" s="100" t="s">
        <v>237</v>
      </c>
      <c r="D64" s="100" t="s">
        <v>1555</v>
      </c>
    </row>
    <row r="65" spans="1:4" outlineLevel="2" x14ac:dyDescent="0.25">
      <c r="C65" s="100" t="s">
        <v>237</v>
      </c>
      <c r="D65" s="100" t="s">
        <v>843</v>
      </c>
    </row>
    <row r="66" spans="1:4" outlineLevel="2" x14ac:dyDescent="0.25">
      <c r="C66" s="100" t="s">
        <v>237</v>
      </c>
      <c r="D66" s="100" t="s">
        <v>1556</v>
      </c>
    </row>
    <row r="67" spans="1:4" outlineLevel="2" x14ac:dyDescent="0.25">
      <c r="C67" s="100" t="s">
        <v>585</v>
      </c>
      <c r="D67" s="100" t="s">
        <v>1467</v>
      </c>
    </row>
    <row r="68" spans="1:4" outlineLevel="2" x14ac:dyDescent="0.25">
      <c r="C68" s="100" t="s">
        <v>585</v>
      </c>
      <c r="D68" s="100" t="s">
        <v>26</v>
      </c>
    </row>
    <row r="69" spans="1:4" outlineLevel="2" x14ac:dyDescent="0.25">
      <c r="C69" s="100" t="s">
        <v>585</v>
      </c>
      <c r="D69" s="100" t="s">
        <v>27</v>
      </c>
    </row>
    <row r="70" spans="1:4" outlineLevel="2" x14ac:dyDescent="0.25">
      <c r="C70" s="100" t="s">
        <v>585</v>
      </c>
      <c r="D70" s="100" t="s">
        <v>28</v>
      </c>
    </row>
    <row r="71" spans="1:4" outlineLevel="2" x14ac:dyDescent="0.25">
      <c r="C71" s="101" t="s">
        <v>239</v>
      </c>
      <c r="D71" s="100" t="s">
        <v>586</v>
      </c>
    </row>
    <row r="72" spans="1:4" outlineLevel="2" x14ac:dyDescent="0.25">
      <c r="C72" s="100" t="s">
        <v>239</v>
      </c>
      <c r="D72" s="100" t="s">
        <v>34</v>
      </c>
    </row>
    <row r="73" spans="1:4" outlineLevel="2" x14ac:dyDescent="0.25">
      <c r="C73" s="100" t="s">
        <v>239</v>
      </c>
      <c r="D73" s="100" t="s">
        <v>35</v>
      </c>
    </row>
    <row r="74" spans="1:4" outlineLevel="1" x14ac:dyDescent="0.25"/>
    <row r="75" spans="1:4" outlineLevel="1" x14ac:dyDescent="0.25">
      <c r="C75" s="75" t="s">
        <v>36</v>
      </c>
    </row>
    <row r="77" spans="1:4" s="343" customFormat="1" ht="15.75" x14ac:dyDescent="0.25">
      <c r="A77" s="98"/>
      <c r="B77" s="98"/>
      <c r="C77" s="341" t="s">
        <v>769</v>
      </c>
      <c r="D77" s="339" t="s">
        <v>1523</v>
      </c>
    </row>
    <row r="79" spans="1:4" x14ac:dyDescent="0.25">
      <c r="C79" s="75" t="s">
        <v>878</v>
      </c>
    </row>
    <row r="80" spans="1:4" x14ac:dyDescent="0.25">
      <c r="C80" s="337" t="s">
        <v>880</v>
      </c>
      <c r="D80" s="134"/>
    </row>
    <row r="81" spans="3:4" outlineLevel="1" x14ac:dyDescent="0.25">
      <c r="C81" s="75" t="s">
        <v>684</v>
      </c>
    </row>
    <row r="82" spans="3:4" outlineLevel="1" x14ac:dyDescent="0.25">
      <c r="C82" s="75" t="s">
        <v>834</v>
      </c>
    </row>
    <row r="83" spans="3:4" outlineLevel="1" x14ac:dyDescent="0.25"/>
    <row r="84" spans="3:4" outlineLevel="1" x14ac:dyDescent="0.25">
      <c r="C84" s="95" t="s">
        <v>840</v>
      </c>
      <c r="D84" s="95" t="s">
        <v>841</v>
      </c>
    </row>
    <row r="85" spans="3:4" ht="60" outlineLevel="1" x14ac:dyDescent="0.25">
      <c r="C85" s="86" t="s">
        <v>686</v>
      </c>
      <c r="D85" s="88" t="s">
        <v>839</v>
      </c>
    </row>
    <row r="86" spans="3:4" ht="45" outlineLevel="1" x14ac:dyDescent="0.25">
      <c r="C86" s="86" t="s">
        <v>339</v>
      </c>
      <c r="D86" s="87" t="s">
        <v>838</v>
      </c>
    </row>
    <row r="87" spans="3:4" ht="75" outlineLevel="1" x14ac:dyDescent="0.25">
      <c r="C87" s="141" t="s">
        <v>688</v>
      </c>
      <c r="D87" s="145" t="s">
        <v>689</v>
      </c>
    </row>
    <row r="88" spans="3:4" ht="60" outlineLevel="1" x14ac:dyDescent="0.25">
      <c r="C88" s="143" t="s">
        <v>690</v>
      </c>
      <c r="D88" s="147" t="s">
        <v>1062</v>
      </c>
    </row>
    <row r="89" spans="3:4" outlineLevel="1" x14ac:dyDescent="0.25">
      <c r="C89" s="144"/>
      <c r="D89" s="148" t="e" vm="1">
        <v>#VALUE!</v>
      </c>
    </row>
    <row r="90" spans="3:4" ht="75" outlineLevel="1" x14ac:dyDescent="0.25">
      <c r="C90" s="142" t="s">
        <v>797</v>
      </c>
      <c r="D90" s="146" t="s">
        <v>809</v>
      </c>
    </row>
    <row r="91" spans="3:4" outlineLevel="1" x14ac:dyDescent="0.25">
      <c r="C91" s="103" t="s">
        <v>845</v>
      </c>
      <c r="D91" s="104" t="s">
        <v>846</v>
      </c>
    </row>
    <row r="92" spans="3:4" outlineLevel="1" x14ac:dyDescent="0.25">
      <c r="C92" s="103" t="s">
        <v>847</v>
      </c>
      <c r="D92" s="104" t="s">
        <v>848</v>
      </c>
    </row>
    <row r="93" spans="3:4" outlineLevel="1" x14ac:dyDescent="0.25">
      <c r="C93" s="103" t="s">
        <v>1558</v>
      </c>
      <c r="D93" s="104" t="s">
        <v>849</v>
      </c>
    </row>
    <row r="94" spans="3:4" ht="90" outlineLevel="1" x14ac:dyDescent="0.25">
      <c r="C94" s="89" t="s">
        <v>591</v>
      </c>
      <c r="D94" s="87" t="s">
        <v>850</v>
      </c>
    </row>
    <row r="95" spans="3:4" outlineLevel="1" x14ac:dyDescent="0.25">
      <c r="C95" s="89" t="s">
        <v>592</v>
      </c>
      <c r="D95" s="90" t="s">
        <v>697</v>
      </c>
    </row>
    <row r="96" spans="3:4" outlineLevel="1" x14ac:dyDescent="0.25">
      <c r="C96" s="89" t="s">
        <v>770</v>
      </c>
      <c r="D96" s="90" t="s">
        <v>854</v>
      </c>
    </row>
    <row r="97" spans="3:6" outlineLevel="1" x14ac:dyDescent="0.25">
      <c r="C97" s="89" t="s">
        <v>736</v>
      </c>
      <c r="D97" s="90" t="s">
        <v>771</v>
      </c>
    </row>
    <row r="98" spans="3:6" outlineLevel="1" x14ac:dyDescent="0.25">
      <c r="C98" s="89" t="s">
        <v>722</v>
      </c>
      <c r="D98" s="90" t="s">
        <v>855</v>
      </c>
    </row>
    <row r="99" spans="3:6" outlineLevel="1" x14ac:dyDescent="0.25">
      <c r="C99" s="89" t="s">
        <v>856</v>
      </c>
      <c r="D99" s="90" t="s">
        <v>698</v>
      </c>
    </row>
    <row r="100" spans="3:6" outlineLevel="1" x14ac:dyDescent="0.25">
      <c r="C100" s="89" t="s">
        <v>857</v>
      </c>
      <c r="D100" s="90" t="s">
        <v>699</v>
      </c>
    </row>
    <row r="101" spans="3:6" outlineLevel="1" x14ac:dyDescent="0.25">
      <c r="C101" s="105" t="s">
        <v>859</v>
      </c>
      <c r="D101" s="90" t="s">
        <v>858</v>
      </c>
    </row>
    <row r="102" spans="3:6" outlineLevel="1" x14ac:dyDescent="0.25">
      <c r="C102" s="89" t="s">
        <v>775</v>
      </c>
      <c r="D102" s="90" t="s">
        <v>776</v>
      </c>
    </row>
    <row r="103" spans="3:6" outlineLevel="1" x14ac:dyDescent="0.25"/>
    <row r="104" spans="3:6" outlineLevel="1" x14ac:dyDescent="0.25">
      <c r="C104" s="94" t="s">
        <v>702</v>
      </c>
    </row>
    <row r="105" spans="3:6" outlineLevel="2" x14ac:dyDescent="0.25">
      <c r="C105" s="124" t="s">
        <v>40</v>
      </c>
      <c r="D105" s="95" t="s">
        <v>41</v>
      </c>
      <c r="E105" s="125" t="s">
        <v>860</v>
      </c>
      <c r="F105" s="129"/>
    </row>
    <row r="106" spans="3:6" outlineLevel="2" x14ac:dyDescent="0.25">
      <c r="C106" s="126" t="s">
        <v>672</v>
      </c>
      <c r="D106" s="127"/>
      <c r="E106" s="133"/>
      <c r="F106" s="130"/>
    </row>
    <row r="107" spans="3:6" outlineLevel="2" x14ac:dyDescent="0.25">
      <c r="C107" s="106">
        <v>15000000</v>
      </c>
      <c r="D107" s="107" t="s">
        <v>643</v>
      </c>
      <c r="E107" s="128" t="s">
        <v>861</v>
      </c>
      <c r="F107" s="131"/>
    </row>
    <row r="108" spans="3:6" ht="30" outlineLevel="2" x14ac:dyDescent="0.25">
      <c r="C108" s="108">
        <v>15000010</v>
      </c>
      <c r="D108" s="109" t="s">
        <v>644</v>
      </c>
      <c r="E108" s="110" t="s">
        <v>862</v>
      </c>
      <c r="F108" s="132"/>
    </row>
    <row r="109" spans="3:6" ht="30" outlineLevel="2" x14ac:dyDescent="0.25">
      <c r="C109" s="108">
        <v>15000020</v>
      </c>
      <c r="D109" s="109" t="s">
        <v>645</v>
      </c>
      <c r="E109" s="110" t="s">
        <v>863</v>
      </c>
      <c r="F109" s="132"/>
    </row>
    <row r="110" spans="3:6" ht="30" outlineLevel="2" x14ac:dyDescent="0.25">
      <c r="C110" s="108">
        <v>15000030</v>
      </c>
      <c r="D110" s="109" t="s">
        <v>646</v>
      </c>
      <c r="E110" s="110" t="s">
        <v>864</v>
      </c>
      <c r="F110" s="132"/>
    </row>
    <row r="111" spans="3:6" ht="30" outlineLevel="2" x14ac:dyDescent="0.25">
      <c r="C111" s="108">
        <v>15000040</v>
      </c>
      <c r="D111" s="109" t="s">
        <v>647</v>
      </c>
      <c r="E111" s="110" t="s">
        <v>865</v>
      </c>
      <c r="F111" s="132"/>
    </row>
    <row r="112" spans="3:6" outlineLevel="2" x14ac:dyDescent="0.25">
      <c r="C112" s="108">
        <v>15000050</v>
      </c>
      <c r="D112" s="109" t="s">
        <v>648</v>
      </c>
      <c r="E112" s="110" t="s">
        <v>866</v>
      </c>
      <c r="F112" s="132"/>
    </row>
    <row r="113" spans="1:6" ht="30" outlineLevel="2" x14ac:dyDescent="0.25">
      <c r="C113" s="108">
        <v>15000060</v>
      </c>
      <c r="D113" s="109" t="s">
        <v>649</v>
      </c>
      <c r="E113" s="110" t="s">
        <v>867</v>
      </c>
      <c r="F113" s="132"/>
    </row>
    <row r="114" spans="1:6" outlineLevel="2" x14ac:dyDescent="0.25">
      <c r="C114" s="111">
        <v>15000070</v>
      </c>
      <c r="D114" s="112" t="s">
        <v>650</v>
      </c>
      <c r="E114" s="113" t="s">
        <v>868</v>
      </c>
      <c r="F114" s="132"/>
    </row>
    <row r="115" spans="1:6" outlineLevel="2" x14ac:dyDescent="0.25">
      <c r="C115" s="111">
        <v>15000080</v>
      </c>
      <c r="D115" s="112" t="s">
        <v>651</v>
      </c>
      <c r="E115" s="113" t="s">
        <v>869</v>
      </c>
      <c r="F115" s="132"/>
    </row>
    <row r="116" spans="1:6" outlineLevel="2" x14ac:dyDescent="0.25">
      <c r="C116" s="111">
        <v>15200000</v>
      </c>
      <c r="D116" s="112" t="s">
        <v>653</v>
      </c>
      <c r="E116" s="113" t="s">
        <v>870</v>
      </c>
      <c r="F116" s="131"/>
    </row>
    <row r="117" spans="1:6" outlineLevel="2" x14ac:dyDescent="0.25">
      <c r="C117" s="117" t="s">
        <v>871</v>
      </c>
      <c r="D117" s="118"/>
      <c r="E117" s="119"/>
      <c r="F117" s="130"/>
    </row>
    <row r="118" spans="1:6" ht="30" outlineLevel="2" x14ac:dyDescent="0.25">
      <c r="C118" s="111">
        <v>15020010</v>
      </c>
      <c r="D118" s="112" t="s">
        <v>655</v>
      </c>
      <c r="E118" s="113" t="s">
        <v>873</v>
      </c>
      <c r="F118" s="132"/>
    </row>
    <row r="119" spans="1:6" ht="30" outlineLevel="2" x14ac:dyDescent="0.25">
      <c r="C119" s="111">
        <v>15020020</v>
      </c>
      <c r="D119" s="112" t="s">
        <v>656</v>
      </c>
      <c r="E119" s="113" t="s">
        <v>874</v>
      </c>
      <c r="F119" s="132"/>
    </row>
    <row r="120" spans="1:6" ht="30" outlineLevel="2" x14ac:dyDescent="0.25">
      <c r="C120" s="111">
        <v>15020030</v>
      </c>
      <c r="D120" s="112" t="s">
        <v>657</v>
      </c>
      <c r="E120" s="113" t="s">
        <v>875</v>
      </c>
      <c r="F120" s="132"/>
    </row>
    <row r="121" spans="1:6" outlineLevel="2" x14ac:dyDescent="0.25">
      <c r="C121" s="111">
        <v>15020040</v>
      </c>
      <c r="D121" s="112" t="s">
        <v>658</v>
      </c>
      <c r="E121" s="113" t="s">
        <v>876</v>
      </c>
      <c r="F121" s="132"/>
    </row>
    <row r="122" spans="1:6" outlineLevel="2" x14ac:dyDescent="0.25">
      <c r="C122" s="111">
        <v>15020080</v>
      </c>
      <c r="D122" s="112" t="s">
        <v>659</v>
      </c>
      <c r="E122" s="113" t="s">
        <v>872</v>
      </c>
      <c r="F122" s="132"/>
    </row>
    <row r="123" spans="1:6" ht="30" outlineLevel="2" x14ac:dyDescent="0.25">
      <c r="C123" s="114">
        <v>15020090</v>
      </c>
      <c r="D123" s="115" t="s">
        <v>709</v>
      </c>
      <c r="E123" s="116" t="s">
        <v>877</v>
      </c>
      <c r="F123" s="132"/>
    </row>
    <row r="124" spans="1:6" outlineLevel="2" x14ac:dyDescent="0.25">
      <c r="C124" s="344"/>
      <c r="D124" s="131"/>
      <c r="E124" s="132"/>
      <c r="F124" s="132"/>
    </row>
    <row r="125" spans="1:6" s="347" customFormat="1" ht="15.75" x14ac:dyDescent="0.25">
      <c r="A125" s="121"/>
      <c r="B125" s="121"/>
      <c r="C125" s="345" t="s">
        <v>1529</v>
      </c>
      <c r="D125" s="346" t="s">
        <v>520</v>
      </c>
    </row>
    <row r="127" spans="1:6" outlineLevel="1" x14ac:dyDescent="0.25">
      <c r="C127" s="75" t="s">
        <v>45</v>
      </c>
    </row>
    <row r="128" spans="1:6" outlineLevel="1" x14ac:dyDescent="0.25">
      <c r="C128" s="75" t="s">
        <v>798</v>
      </c>
    </row>
    <row r="129" spans="3:6" outlineLevel="1" x14ac:dyDescent="0.25">
      <c r="C129" s="75" t="s">
        <v>834</v>
      </c>
    </row>
    <row r="130" spans="3:6" outlineLevel="1" x14ac:dyDescent="0.25"/>
    <row r="131" spans="3:6" outlineLevel="1" x14ac:dyDescent="0.25">
      <c r="C131" s="351" t="s">
        <v>1530</v>
      </c>
      <c r="D131" s="351"/>
      <c r="E131" s="351" t="s">
        <v>1531</v>
      </c>
      <c r="F131" s="351"/>
    </row>
    <row r="132" spans="3:6" ht="60" outlineLevel="1" x14ac:dyDescent="0.25">
      <c r="C132" s="122" t="s">
        <v>458</v>
      </c>
      <c r="D132" s="91" t="s">
        <v>882</v>
      </c>
      <c r="E132" s="122" t="s">
        <v>673</v>
      </c>
      <c r="F132" s="91" t="s">
        <v>1532</v>
      </c>
    </row>
    <row r="133" spans="3:6" ht="45" outlineLevel="1" x14ac:dyDescent="0.25">
      <c r="C133" s="122" t="s">
        <v>462</v>
      </c>
      <c r="D133" s="91" t="s">
        <v>883</v>
      </c>
      <c r="E133" s="352"/>
      <c r="F133" s="353"/>
    </row>
    <row r="134" spans="3:6" ht="60" outlineLevel="1" x14ac:dyDescent="0.25">
      <c r="C134" s="135" t="s">
        <v>806</v>
      </c>
      <c r="D134" s="92" t="s">
        <v>884</v>
      </c>
      <c r="E134" s="354"/>
      <c r="F134" s="353"/>
    </row>
    <row r="135" spans="3:6" ht="45" outlineLevel="1" x14ac:dyDescent="0.25">
      <c r="C135" s="135" t="s">
        <v>823</v>
      </c>
      <c r="D135" s="92" t="s">
        <v>824</v>
      </c>
      <c r="E135" s="135" t="s">
        <v>823</v>
      </c>
      <c r="F135" s="92" t="s">
        <v>824</v>
      </c>
    </row>
    <row r="136" spans="3:6" ht="60" outlineLevel="1" x14ac:dyDescent="0.25">
      <c r="C136" s="122" t="s">
        <v>797</v>
      </c>
      <c r="D136" s="91" t="s">
        <v>885</v>
      </c>
      <c r="E136" s="122" t="s">
        <v>797</v>
      </c>
      <c r="F136" s="91" t="s">
        <v>885</v>
      </c>
    </row>
    <row r="137" spans="3:6" ht="30" outlineLevel="1" x14ac:dyDescent="0.25">
      <c r="C137" s="122" t="s">
        <v>807</v>
      </c>
      <c r="D137" s="91" t="s">
        <v>886</v>
      </c>
      <c r="E137" s="122" t="s">
        <v>807</v>
      </c>
      <c r="F137" s="91" t="s">
        <v>886</v>
      </c>
    </row>
    <row r="138" spans="3:6" ht="105" outlineLevel="1" x14ac:dyDescent="0.25">
      <c r="C138" s="123" t="s">
        <v>514</v>
      </c>
      <c r="D138" s="91" t="s">
        <v>887</v>
      </c>
      <c r="E138" s="123" t="s">
        <v>514</v>
      </c>
      <c r="F138" s="91" t="s">
        <v>887</v>
      </c>
    </row>
    <row r="139" spans="3:6" ht="135" outlineLevel="1" x14ac:dyDescent="0.25">
      <c r="C139" s="123" t="s">
        <v>515</v>
      </c>
      <c r="D139" s="93" t="s">
        <v>888</v>
      </c>
      <c r="E139" s="123" t="s">
        <v>515</v>
      </c>
      <c r="F139" s="93" t="s">
        <v>888</v>
      </c>
    </row>
    <row r="140" spans="3:6" outlineLevel="1" x14ac:dyDescent="0.25">
      <c r="C140" s="123" t="s">
        <v>516</v>
      </c>
      <c r="D140" s="93" t="s">
        <v>889</v>
      </c>
      <c r="E140" s="123" t="s">
        <v>516</v>
      </c>
      <c r="F140" s="93" t="s">
        <v>889</v>
      </c>
    </row>
    <row r="141" spans="3:6" ht="45" outlineLevel="1" x14ac:dyDescent="0.25">
      <c r="C141" s="123" t="s">
        <v>518</v>
      </c>
      <c r="D141" s="93" t="s">
        <v>890</v>
      </c>
      <c r="E141" s="123" t="s">
        <v>518</v>
      </c>
      <c r="F141" s="93" t="s">
        <v>890</v>
      </c>
    </row>
    <row r="142" spans="3:6" ht="30" outlineLevel="1" x14ac:dyDescent="0.25">
      <c r="C142" s="123" t="s">
        <v>341</v>
      </c>
      <c r="D142" s="93" t="s">
        <v>892</v>
      </c>
      <c r="E142" s="123" t="s">
        <v>341</v>
      </c>
      <c r="F142" s="93" t="s">
        <v>892</v>
      </c>
    </row>
    <row r="143" spans="3:6" ht="30" outlineLevel="1" x14ac:dyDescent="0.25">
      <c r="C143" s="123" t="s">
        <v>517</v>
      </c>
      <c r="D143" s="93" t="s">
        <v>891</v>
      </c>
      <c r="E143" s="123" t="s">
        <v>517</v>
      </c>
      <c r="F143" s="93" t="s">
        <v>891</v>
      </c>
    </row>
    <row r="144" spans="3:6" ht="45" outlineLevel="1" x14ac:dyDescent="0.25">
      <c r="C144" s="123" t="s">
        <v>881</v>
      </c>
      <c r="D144" s="93" t="s">
        <v>898</v>
      </c>
      <c r="E144" s="123" t="s">
        <v>881</v>
      </c>
      <c r="F144" s="93" t="s">
        <v>898</v>
      </c>
    </row>
    <row r="145" spans="3:7" outlineLevel="1" x14ac:dyDescent="0.25"/>
    <row r="147" spans="3:7" x14ac:dyDescent="0.25">
      <c r="C147" s="94" t="s">
        <v>906</v>
      </c>
    </row>
    <row r="148" spans="3:7" hidden="1" outlineLevel="2" x14ac:dyDescent="0.25">
      <c r="C148" s="95" t="s">
        <v>1028</v>
      </c>
      <c r="D148" s="95" t="s">
        <v>1027</v>
      </c>
      <c r="E148" s="125" t="s">
        <v>917</v>
      </c>
      <c r="F148" s="125" t="s">
        <v>987</v>
      </c>
      <c r="G148" s="125" t="s">
        <v>988</v>
      </c>
    </row>
    <row r="149" spans="3:7" hidden="1" outlineLevel="4" x14ac:dyDescent="0.25">
      <c r="C149" s="137">
        <v>50200010</v>
      </c>
      <c r="D149" s="110" t="s">
        <v>907</v>
      </c>
      <c r="E149" s="110" t="s">
        <v>918</v>
      </c>
      <c r="F149" s="138" t="s">
        <v>466</v>
      </c>
      <c r="G149" s="138" t="s">
        <v>989</v>
      </c>
    </row>
    <row r="150" spans="3:7" hidden="1" outlineLevel="4" x14ac:dyDescent="0.25">
      <c r="C150" s="137">
        <v>50300010</v>
      </c>
      <c r="D150" s="110" t="s">
        <v>48</v>
      </c>
      <c r="E150" s="110" t="s">
        <v>919</v>
      </c>
      <c r="F150" s="139" t="s">
        <v>467</v>
      </c>
      <c r="G150" s="139" t="s">
        <v>50</v>
      </c>
    </row>
    <row r="151" spans="3:7" hidden="1" outlineLevel="4" x14ac:dyDescent="0.25">
      <c r="C151" s="137">
        <v>50300020</v>
      </c>
      <c r="D151" s="110" t="s">
        <v>51</v>
      </c>
      <c r="E151" s="110" t="s">
        <v>920</v>
      </c>
      <c r="F151" s="110" t="s">
        <v>467</v>
      </c>
      <c r="G151" s="139" t="s">
        <v>50</v>
      </c>
    </row>
    <row r="152" spans="3:7" hidden="1" outlineLevel="4" x14ac:dyDescent="0.25">
      <c r="C152" s="137">
        <v>50300030</v>
      </c>
      <c r="D152" s="110" t="s">
        <v>53</v>
      </c>
      <c r="E152" s="110" t="s">
        <v>921</v>
      </c>
      <c r="F152" s="110" t="s">
        <v>467</v>
      </c>
      <c r="G152" s="139" t="s">
        <v>50</v>
      </c>
    </row>
    <row r="153" spans="3:7" hidden="1" outlineLevel="4" x14ac:dyDescent="0.25">
      <c r="C153" s="137">
        <v>50300040</v>
      </c>
      <c r="D153" s="110" t="s">
        <v>55</v>
      </c>
      <c r="E153" s="110" t="s">
        <v>922</v>
      </c>
      <c r="F153" s="110" t="s">
        <v>467</v>
      </c>
      <c r="G153" s="139" t="s">
        <v>50</v>
      </c>
    </row>
    <row r="154" spans="3:7" hidden="1" outlineLevel="4" x14ac:dyDescent="0.25">
      <c r="C154" s="137">
        <v>50300050</v>
      </c>
      <c r="D154" s="110" t="s">
        <v>57</v>
      </c>
      <c r="E154" s="110" t="s">
        <v>923</v>
      </c>
      <c r="F154" s="110" t="s">
        <v>467</v>
      </c>
      <c r="G154" s="139" t="s">
        <v>50</v>
      </c>
    </row>
    <row r="155" spans="3:7" hidden="1" outlineLevel="4" x14ac:dyDescent="0.25">
      <c r="C155" s="137">
        <v>50300060</v>
      </c>
      <c r="D155" s="110" t="s">
        <v>908</v>
      </c>
      <c r="E155" s="110" t="s">
        <v>924</v>
      </c>
      <c r="F155" s="110" t="s">
        <v>467</v>
      </c>
      <c r="G155" s="139" t="s">
        <v>50</v>
      </c>
    </row>
    <row r="156" spans="3:7" hidden="1" outlineLevel="4" x14ac:dyDescent="0.25">
      <c r="C156" s="137">
        <v>50300070</v>
      </c>
      <c r="D156" s="110" t="s">
        <v>512</v>
      </c>
      <c r="E156" s="110" t="s">
        <v>925</v>
      </c>
      <c r="F156" s="113" t="s">
        <v>467</v>
      </c>
      <c r="G156" s="139" t="s">
        <v>50</v>
      </c>
    </row>
    <row r="157" spans="3:7" hidden="1" outlineLevel="4" x14ac:dyDescent="0.25">
      <c r="C157" s="137">
        <v>50300080</v>
      </c>
      <c r="D157" s="110" t="s">
        <v>63</v>
      </c>
      <c r="E157" s="110" t="s">
        <v>926</v>
      </c>
      <c r="F157" s="113" t="s">
        <v>467</v>
      </c>
      <c r="G157" s="139" t="s">
        <v>50</v>
      </c>
    </row>
    <row r="158" spans="3:7" hidden="1" outlineLevel="4" x14ac:dyDescent="0.25">
      <c r="C158" s="137">
        <v>50300090</v>
      </c>
      <c r="D158" s="110" t="s">
        <v>65</v>
      </c>
      <c r="E158" s="110" t="s">
        <v>927</v>
      </c>
      <c r="F158" s="113" t="s">
        <v>467</v>
      </c>
      <c r="G158" s="139" t="s">
        <v>50</v>
      </c>
    </row>
    <row r="159" spans="3:7" hidden="1" outlineLevel="4" x14ac:dyDescent="0.25">
      <c r="C159" s="137">
        <v>50300100</v>
      </c>
      <c r="D159" s="110" t="s">
        <v>67</v>
      </c>
      <c r="E159" s="110" t="s">
        <v>928</v>
      </c>
      <c r="F159" s="113" t="s">
        <v>467</v>
      </c>
      <c r="G159" s="139" t="s">
        <v>50</v>
      </c>
    </row>
    <row r="160" spans="3:7" hidden="1" outlineLevel="4" x14ac:dyDescent="0.25">
      <c r="C160" s="137">
        <v>50300110</v>
      </c>
      <c r="D160" s="110" t="s">
        <v>909</v>
      </c>
      <c r="E160" s="110" t="s">
        <v>929</v>
      </c>
      <c r="F160" s="113" t="s">
        <v>467</v>
      </c>
      <c r="G160" s="139" t="s">
        <v>50</v>
      </c>
    </row>
    <row r="161" spans="3:7" hidden="1" outlineLevel="4" x14ac:dyDescent="0.25">
      <c r="C161" s="137">
        <v>50300120</v>
      </c>
      <c r="D161" s="110" t="s">
        <v>910</v>
      </c>
      <c r="E161" s="110" t="s">
        <v>930</v>
      </c>
      <c r="F161" s="113" t="s">
        <v>467</v>
      </c>
      <c r="G161" s="139" t="s">
        <v>50</v>
      </c>
    </row>
    <row r="162" spans="3:7" hidden="1" outlineLevel="4" x14ac:dyDescent="0.25">
      <c r="C162" s="137">
        <v>50300990</v>
      </c>
      <c r="D162" s="110" t="s">
        <v>71</v>
      </c>
      <c r="E162" s="110" t="s">
        <v>931</v>
      </c>
      <c r="F162" s="113" t="s">
        <v>467</v>
      </c>
      <c r="G162" s="139" t="s">
        <v>50</v>
      </c>
    </row>
    <row r="163" spans="3:7" hidden="1" outlineLevel="4" x14ac:dyDescent="0.25">
      <c r="C163" s="137">
        <v>50400010</v>
      </c>
      <c r="D163" s="110" t="s">
        <v>911</v>
      </c>
      <c r="E163" s="110" t="s">
        <v>932</v>
      </c>
      <c r="F163" s="113" t="s">
        <v>468</v>
      </c>
      <c r="G163" s="139" t="s">
        <v>50</v>
      </c>
    </row>
    <row r="164" spans="3:7" hidden="1" outlineLevel="4" x14ac:dyDescent="0.25">
      <c r="C164" s="137">
        <v>50500010</v>
      </c>
      <c r="D164" s="110" t="s">
        <v>912</v>
      </c>
      <c r="E164" s="110" t="s">
        <v>933</v>
      </c>
      <c r="F164" s="113" t="s">
        <v>469</v>
      </c>
      <c r="G164" s="138" t="s">
        <v>989</v>
      </c>
    </row>
    <row r="165" spans="3:7" hidden="1" outlineLevel="4" x14ac:dyDescent="0.25">
      <c r="C165" s="137">
        <v>50500020</v>
      </c>
      <c r="D165" s="110" t="s">
        <v>513</v>
      </c>
      <c r="E165" s="110" t="s">
        <v>934</v>
      </c>
      <c r="F165" s="113" t="s">
        <v>469</v>
      </c>
      <c r="G165" s="138" t="s">
        <v>989</v>
      </c>
    </row>
    <row r="166" spans="3:7" hidden="1" outlineLevel="4" x14ac:dyDescent="0.25">
      <c r="C166" s="137">
        <v>50500030</v>
      </c>
      <c r="D166" s="110" t="s">
        <v>913</v>
      </c>
      <c r="E166" s="110" t="s">
        <v>101</v>
      </c>
      <c r="F166" s="113" t="s">
        <v>469</v>
      </c>
      <c r="G166" s="138" t="s">
        <v>989</v>
      </c>
    </row>
    <row r="167" spans="3:7" hidden="1" outlineLevel="4" x14ac:dyDescent="0.25">
      <c r="C167" s="137">
        <v>50500040</v>
      </c>
      <c r="D167" s="110" t="s">
        <v>111</v>
      </c>
      <c r="E167" s="110" t="s">
        <v>935</v>
      </c>
      <c r="F167" s="113" t="s">
        <v>469</v>
      </c>
      <c r="G167" s="138" t="s">
        <v>989</v>
      </c>
    </row>
    <row r="168" spans="3:7" hidden="1" outlineLevel="4" x14ac:dyDescent="0.25">
      <c r="C168" s="137">
        <v>50600010</v>
      </c>
      <c r="D168" s="110" t="s">
        <v>426</v>
      </c>
      <c r="E168" s="110" t="s">
        <v>936</v>
      </c>
      <c r="F168" s="113" t="s">
        <v>470</v>
      </c>
      <c r="G168" s="138" t="s">
        <v>989</v>
      </c>
    </row>
    <row r="169" spans="3:7" hidden="1" outlineLevel="4" x14ac:dyDescent="0.25">
      <c r="C169" s="137">
        <v>50600020</v>
      </c>
      <c r="D169" s="110" t="s">
        <v>427</v>
      </c>
      <c r="E169" s="110" t="s">
        <v>937</v>
      </c>
      <c r="F169" s="113" t="s">
        <v>470</v>
      </c>
      <c r="G169" s="138" t="s">
        <v>989</v>
      </c>
    </row>
    <row r="170" spans="3:7" hidden="1" outlineLevel="4" x14ac:dyDescent="0.25">
      <c r="C170" s="137">
        <v>50600030</v>
      </c>
      <c r="D170" s="110" t="s">
        <v>914</v>
      </c>
      <c r="E170" s="110" t="s">
        <v>1226</v>
      </c>
      <c r="F170" s="113" t="s">
        <v>470</v>
      </c>
      <c r="G170" s="138" t="s">
        <v>989</v>
      </c>
    </row>
    <row r="171" spans="3:7" hidden="1" outlineLevel="4" x14ac:dyDescent="0.25">
      <c r="C171" s="137">
        <v>50600040</v>
      </c>
      <c r="D171" s="110" t="s">
        <v>429</v>
      </c>
      <c r="E171" s="110" t="s">
        <v>938</v>
      </c>
      <c r="F171" s="113" t="s">
        <v>470</v>
      </c>
      <c r="G171" s="138" t="s">
        <v>989</v>
      </c>
    </row>
    <row r="172" spans="3:7" hidden="1" outlineLevel="4" x14ac:dyDescent="0.25">
      <c r="C172" s="137">
        <v>50800010</v>
      </c>
      <c r="D172" s="110" t="s">
        <v>915</v>
      </c>
      <c r="E172" s="110" t="s">
        <v>939</v>
      </c>
      <c r="F172" s="113" t="s">
        <v>471</v>
      </c>
      <c r="G172" s="138" t="s">
        <v>989</v>
      </c>
    </row>
    <row r="173" spans="3:7" hidden="1" outlineLevel="4" x14ac:dyDescent="0.25">
      <c r="C173" s="137">
        <v>50800020</v>
      </c>
      <c r="D173" s="110" t="s">
        <v>119</v>
      </c>
      <c r="E173" s="110" t="s">
        <v>940</v>
      </c>
      <c r="F173" s="113" t="s">
        <v>471</v>
      </c>
      <c r="G173" s="138" t="s">
        <v>989</v>
      </c>
    </row>
    <row r="174" spans="3:7" hidden="1" outlineLevel="4" x14ac:dyDescent="0.25">
      <c r="C174" s="137">
        <v>50800030</v>
      </c>
      <c r="D174" s="110" t="s">
        <v>122</v>
      </c>
      <c r="E174" s="110" t="s">
        <v>941</v>
      </c>
      <c r="F174" s="113" t="s">
        <v>471</v>
      </c>
      <c r="G174" s="138" t="s">
        <v>989</v>
      </c>
    </row>
    <row r="175" spans="3:7" hidden="1" outlineLevel="4" x14ac:dyDescent="0.25">
      <c r="C175" s="137">
        <v>50800040</v>
      </c>
      <c r="D175" s="110" t="s">
        <v>124</v>
      </c>
      <c r="E175" s="110" t="s">
        <v>942</v>
      </c>
      <c r="F175" s="113" t="s">
        <v>471</v>
      </c>
      <c r="G175" s="138" t="s">
        <v>989</v>
      </c>
    </row>
    <row r="176" spans="3:7" hidden="1" outlineLevel="4" x14ac:dyDescent="0.25">
      <c r="C176" s="137">
        <v>50800050</v>
      </c>
      <c r="D176" s="110" t="s">
        <v>126</v>
      </c>
      <c r="E176" s="110" t="s">
        <v>943</v>
      </c>
      <c r="F176" s="113" t="s">
        <v>471</v>
      </c>
      <c r="G176" s="138" t="s">
        <v>989</v>
      </c>
    </row>
    <row r="177" spans="3:7" hidden="1" outlineLevel="4" x14ac:dyDescent="0.25">
      <c r="C177" s="137">
        <v>50800060</v>
      </c>
      <c r="D177" s="110" t="s">
        <v>128</v>
      </c>
      <c r="E177" s="110" t="s">
        <v>944</v>
      </c>
      <c r="F177" s="113" t="s">
        <v>471</v>
      </c>
      <c r="G177" s="138" t="s">
        <v>989</v>
      </c>
    </row>
    <row r="178" spans="3:7" hidden="1" outlineLevel="4" x14ac:dyDescent="0.25">
      <c r="C178" s="137">
        <v>50800070</v>
      </c>
      <c r="D178" s="110" t="s">
        <v>131</v>
      </c>
      <c r="E178" s="110" t="s">
        <v>945</v>
      </c>
      <c r="F178" s="113" t="s">
        <v>471</v>
      </c>
      <c r="G178" s="138" t="s">
        <v>989</v>
      </c>
    </row>
    <row r="179" spans="3:7" hidden="1" outlineLevel="4" x14ac:dyDescent="0.25">
      <c r="C179" s="137">
        <v>51100000</v>
      </c>
      <c r="D179" s="110" t="s">
        <v>430</v>
      </c>
      <c r="E179" s="110" t="s">
        <v>946</v>
      </c>
      <c r="F179" s="113" t="s">
        <v>472</v>
      </c>
      <c r="G179" s="138" t="s">
        <v>989</v>
      </c>
    </row>
    <row r="180" spans="3:7" hidden="1" outlineLevel="4" x14ac:dyDescent="0.25">
      <c r="C180" s="137">
        <v>51300010</v>
      </c>
      <c r="D180" s="110" t="s">
        <v>440</v>
      </c>
      <c r="E180" s="110" t="s">
        <v>947</v>
      </c>
      <c r="F180" s="113" t="s">
        <v>474</v>
      </c>
      <c r="G180" s="113" t="s">
        <v>250</v>
      </c>
    </row>
    <row r="181" spans="3:7" hidden="1" outlineLevel="4" x14ac:dyDescent="0.25">
      <c r="C181" s="137">
        <v>51300040</v>
      </c>
      <c r="D181" s="110" t="s">
        <v>443</v>
      </c>
      <c r="E181" s="110" t="s">
        <v>948</v>
      </c>
      <c r="F181" s="113" t="s">
        <v>474</v>
      </c>
      <c r="G181" s="113" t="s">
        <v>250</v>
      </c>
    </row>
    <row r="182" spans="3:7" hidden="1" outlineLevel="4" x14ac:dyDescent="0.25">
      <c r="C182" s="137">
        <v>51300050</v>
      </c>
      <c r="D182" s="110" t="s">
        <v>444</v>
      </c>
      <c r="E182" s="110" t="s">
        <v>949</v>
      </c>
      <c r="F182" s="113" t="s">
        <v>474</v>
      </c>
      <c r="G182" s="113" t="s">
        <v>250</v>
      </c>
    </row>
    <row r="183" spans="3:7" hidden="1" outlineLevel="4" x14ac:dyDescent="0.25">
      <c r="C183" s="137">
        <v>51300060</v>
      </c>
      <c r="D183" s="110" t="s">
        <v>445</v>
      </c>
      <c r="E183" s="110" t="s">
        <v>950</v>
      </c>
      <c r="F183" s="113" t="s">
        <v>474</v>
      </c>
      <c r="G183" s="113" t="s">
        <v>250</v>
      </c>
    </row>
    <row r="184" spans="3:7" hidden="1" outlineLevel="4" x14ac:dyDescent="0.25">
      <c r="C184" s="137">
        <v>51300090</v>
      </c>
      <c r="D184" s="110" t="s">
        <v>448</v>
      </c>
      <c r="E184" s="110" t="s">
        <v>951</v>
      </c>
      <c r="F184" s="113" t="s">
        <v>474</v>
      </c>
      <c r="G184" s="113" t="s">
        <v>250</v>
      </c>
    </row>
    <row r="185" spans="3:7" hidden="1" outlineLevel="4" x14ac:dyDescent="0.25">
      <c r="C185" s="137">
        <v>51500010</v>
      </c>
      <c r="D185" s="110" t="s">
        <v>916</v>
      </c>
      <c r="E185" s="110" t="s">
        <v>952</v>
      </c>
      <c r="F185" s="113" t="s">
        <v>476</v>
      </c>
      <c r="G185" s="138" t="s">
        <v>989</v>
      </c>
    </row>
    <row r="186" spans="3:7" hidden="1" outlineLevel="4" x14ac:dyDescent="0.25">
      <c r="C186" s="137">
        <v>51600010</v>
      </c>
      <c r="D186" s="110" t="s">
        <v>147</v>
      </c>
      <c r="E186" s="110" t="s">
        <v>953</v>
      </c>
      <c r="F186" s="113" t="s">
        <v>477</v>
      </c>
      <c r="G186" s="138" t="s">
        <v>989</v>
      </c>
    </row>
    <row r="187" spans="3:7" hidden="1" outlineLevel="4" x14ac:dyDescent="0.25">
      <c r="C187" s="137">
        <v>51600020</v>
      </c>
      <c r="D187" s="110" t="s">
        <v>148</v>
      </c>
      <c r="E187" s="110" t="s">
        <v>954</v>
      </c>
      <c r="F187" s="113" t="s">
        <v>477</v>
      </c>
      <c r="G187" s="138" t="s">
        <v>989</v>
      </c>
    </row>
    <row r="188" spans="3:7" hidden="1" outlineLevel="4" x14ac:dyDescent="0.25">
      <c r="C188" s="137">
        <v>51600030</v>
      </c>
      <c r="D188" s="110" t="s">
        <v>150</v>
      </c>
      <c r="E188" s="110" t="s">
        <v>955</v>
      </c>
      <c r="F188" s="113" t="s">
        <v>477</v>
      </c>
      <c r="G188" s="138" t="s">
        <v>989</v>
      </c>
    </row>
    <row r="189" spans="3:7" hidden="1" outlineLevel="4" x14ac:dyDescent="0.25">
      <c r="C189" s="137">
        <v>51600040</v>
      </c>
      <c r="D189" s="110" t="s">
        <v>151</v>
      </c>
      <c r="E189" s="110" t="s">
        <v>956</v>
      </c>
      <c r="F189" s="113" t="s">
        <v>477</v>
      </c>
      <c r="G189" s="138" t="s">
        <v>989</v>
      </c>
    </row>
    <row r="190" spans="3:7" hidden="1" outlineLevel="4" x14ac:dyDescent="0.25">
      <c r="C190" s="137">
        <v>51600050</v>
      </c>
      <c r="D190" s="110" t="s">
        <v>451</v>
      </c>
      <c r="E190" s="110" t="s">
        <v>957</v>
      </c>
      <c r="F190" s="113" t="s">
        <v>477</v>
      </c>
      <c r="G190" s="138" t="s">
        <v>989</v>
      </c>
    </row>
    <row r="191" spans="3:7" hidden="1" outlineLevel="4" x14ac:dyDescent="0.25">
      <c r="C191" s="137">
        <v>51600070</v>
      </c>
      <c r="D191" s="110" t="s">
        <v>152</v>
      </c>
      <c r="E191" s="110" t="s">
        <v>958</v>
      </c>
      <c r="F191" s="113" t="s">
        <v>477</v>
      </c>
      <c r="G191" s="138" t="s">
        <v>989</v>
      </c>
    </row>
    <row r="192" spans="3:7" hidden="1" outlineLevel="4" x14ac:dyDescent="0.25">
      <c r="C192" s="137">
        <v>51700010</v>
      </c>
      <c r="D192" s="110" t="s">
        <v>153</v>
      </c>
      <c r="E192" s="110" t="s">
        <v>959</v>
      </c>
      <c r="F192" s="113" t="s">
        <v>478</v>
      </c>
      <c r="G192" s="138" t="s">
        <v>989</v>
      </c>
    </row>
    <row r="193" spans="3:7" hidden="1" outlineLevel="4" x14ac:dyDescent="0.25">
      <c r="C193" s="137">
        <v>51700030</v>
      </c>
      <c r="D193" s="110" t="s">
        <v>155</v>
      </c>
      <c r="E193" s="110" t="s">
        <v>960</v>
      </c>
      <c r="F193" s="113" t="s">
        <v>478</v>
      </c>
      <c r="G193" s="138" t="s">
        <v>989</v>
      </c>
    </row>
    <row r="194" spans="3:7" hidden="1" outlineLevel="4" x14ac:dyDescent="0.25">
      <c r="C194" s="137">
        <v>51700040</v>
      </c>
      <c r="D194" s="110" t="s">
        <v>157</v>
      </c>
      <c r="E194" s="110" t="s">
        <v>961</v>
      </c>
      <c r="F194" s="113" t="s">
        <v>478</v>
      </c>
      <c r="G194" s="138" t="s">
        <v>989</v>
      </c>
    </row>
    <row r="195" spans="3:7" hidden="1" outlineLevel="4" x14ac:dyDescent="0.25">
      <c r="C195" s="137">
        <v>51700050</v>
      </c>
      <c r="D195" s="110" t="s">
        <v>159</v>
      </c>
      <c r="E195" s="110" t="s">
        <v>962</v>
      </c>
      <c r="F195" s="113" t="s">
        <v>478</v>
      </c>
      <c r="G195" s="138" t="s">
        <v>989</v>
      </c>
    </row>
    <row r="196" spans="3:7" hidden="1" outlineLevel="4" x14ac:dyDescent="0.25">
      <c r="C196" s="137">
        <v>51700060</v>
      </c>
      <c r="D196" s="110" t="s">
        <v>161</v>
      </c>
      <c r="E196" s="110" t="s">
        <v>963</v>
      </c>
      <c r="F196" s="113" t="s">
        <v>478</v>
      </c>
      <c r="G196" s="138" t="s">
        <v>989</v>
      </c>
    </row>
    <row r="197" spans="3:7" hidden="1" outlineLevel="4" x14ac:dyDescent="0.25">
      <c r="C197" s="137">
        <v>51700070</v>
      </c>
      <c r="D197" s="110" t="s">
        <v>163</v>
      </c>
      <c r="E197" s="110" t="s">
        <v>964</v>
      </c>
      <c r="F197" s="113" t="s">
        <v>478</v>
      </c>
      <c r="G197" s="138" t="s">
        <v>989</v>
      </c>
    </row>
    <row r="198" spans="3:7" hidden="1" outlineLevel="4" x14ac:dyDescent="0.25">
      <c r="C198" s="137">
        <v>51800010</v>
      </c>
      <c r="D198" s="110" t="s">
        <v>165</v>
      </c>
      <c r="E198" s="110" t="s">
        <v>965</v>
      </c>
      <c r="F198" s="113" t="s">
        <v>479</v>
      </c>
      <c r="G198" s="138" t="s">
        <v>989</v>
      </c>
    </row>
    <row r="199" spans="3:7" hidden="1" outlineLevel="4" x14ac:dyDescent="0.25">
      <c r="C199" s="137">
        <v>51800020</v>
      </c>
      <c r="D199" s="110" t="s">
        <v>168</v>
      </c>
      <c r="E199" s="110" t="s">
        <v>966</v>
      </c>
      <c r="F199" s="113" t="s">
        <v>479</v>
      </c>
      <c r="G199" s="138" t="s">
        <v>989</v>
      </c>
    </row>
    <row r="200" spans="3:7" hidden="1" outlineLevel="4" x14ac:dyDescent="0.25">
      <c r="C200" s="137">
        <v>51800030</v>
      </c>
      <c r="D200" s="110" t="s">
        <v>170</v>
      </c>
      <c r="E200" s="110" t="s">
        <v>967</v>
      </c>
      <c r="F200" s="113" t="s">
        <v>479</v>
      </c>
      <c r="G200" s="138" t="s">
        <v>989</v>
      </c>
    </row>
    <row r="201" spans="3:7" hidden="1" outlineLevel="4" x14ac:dyDescent="0.25">
      <c r="C201" s="137">
        <v>51800090</v>
      </c>
      <c r="D201" s="110" t="s">
        <v>172</v>
      </c>
      <c r="E201" s="110" t="s">
        <v>968</v>
      </c>
      <c r="F201" s="113" t="s">
        <v>479</v>
      </c>
      <c r="G201" s="138" t="s">
        <v>989</v>
      </c>
    </row>
    <row r="202" spans="3:7" hidden="1" outlineLevel="4" x14ac:dyDescent="0.25">
      <c r="C202" s="137">
        <v>51900010</v>
      </c>
      <c r="D202" s="110" t="s">
        <v>174</v>
      </c>
      <c r="E202" s="110" t="s">
        <v>969</v>
      </c>
      <c r="F202" s="113" t="s">
        <v>342</v>
      </c>
      <c r="G202" s="138" t="s">
        <v>989</v>
      </c>
    </row>
    <row r="203" spans="3:7" hidden="1" outlineLevel="4" x14ac:dyDescent="0.25">
      <c r="C203" s="137">
        <v>51900020</v>
      </c>
      <c r="D203" s="110" t="s">
        <v>177</v>
      </c>
      <c r="E203" s="110" t="s">
        <v>970</v>
      </c>
      <c r="F203" s="113" t="s">
        <v>342</v>
      </c>
      <c r="G203" s="138" t="s">
        <v>989</v>
      </c>
    </row>
    <row r="204" spans="3:7" hidden="1" outlineLevel="4" x14ac:dyDescent="0.25">
      <c r="C204" s="137">
        <v>51900030</v>
      </c>
      <c r="D204" s="110" t="s">
        <v>180</v>
      </c>
      <c r="E204" s="110" t="s">
        <v>971</v>
      </c>
      <c r="F204" s="113" t="s">
        <v>342</v>
      </c>
      <c r="G204" s="138" t="s">
        <v>989</v>
      </c>
    </row>
    <row r="205" spans="3:7" hidden="1" outlineLevel="4" x14ac:dyDescent="0.25">
      <c r="C205" s="137">
        <v>51900040</v>
      </c>
      <c r="D205" s="110" t="s">
        <v>182</v>
      </c>
      <c r="E205" s="110" t="s">
        <v>972</v>
      </c>
      <c r="F205" s="113" t="s">
        <v>342</v>
      </c>
      <c r="G205" s="138" t="s">
        <v>989</v>
      </c>
    </row>
    <row r="206" spans="3:7" hidden="1" outlineLevel="4" x14ac:dyDescent="0.25">
      <c r="C206" s="137">
        <v>51900090</v>
      </c>
      <c r="D206" s="110" t="s">
        <v>184</v>
      </c>
      <c r="E206" s="110" t="s">
        <v>973</v>
      </c>
      <c r="F206" s="113" t="s">
        <v>342</v>
      </c>
      <c r="G206" s="138" t="s">
        <v>989</v>
      </c>
    </row>
    <row r="207" spans="3:7" hidden="1" outlineLevel="4" x14ac:dyDescent="0.25">
      <c r="C207" s="137">
        <v>52100010</v>
      </c>
      <c r="D207" s="110" t="s">
        <v>195</v>
      </c>
      <c r="E207" s="110" t="s">
        <v>196</v>
      </c>
      <c r="F207" s="113" t="s">
        <v>481</v>
      </c>
      <c r="G207" s="138" t="s">
        <v>989</v>
      </c>
    </row>
    <row r="208" spans="3:7" hidden="1" outlineLevel="4" x14ac:dyDescent="0.25">
      <c r="C208" s="137">
        <v>52100020</v>
      </c>
      <c r="D208" s="110" t="s">
        <v>198</v>
      </c>
      <c r="E208" s="110" t="s">
        <v>974</v>
      </c>
      <c r="F208" s="113" t="s">
        <v>481</v>
      </c>
      <c r="G208" s="138" t="s">
        <v>989</v>
      </c>
    </row>
    <row r="209" spans="3:7" hidden="1" outlineLevel="4" x14ac:dyDescent="0.25">
      <c r="C209" s="137">
        <v>52100030</v>
      </c>
      <c r="D209" s="110" t="s">
        <v>200</v>
      </c>
      <c r="E209" s="110" t="s">
        <v>201</v>
      </c>
      <c r="F209" s="113" t="s">
        <v>481</v>
      </c>
      <c r="G209" s="138" t="s">
        <v>989</v>
      </c>
    </row>
    <row r="210" spans="3:7" hidden="1" outlineLevel="4" x14ac:dyDescent="0.25">
      <c r="C210" s="137">
        <v>52100040</v>
      </c>
      <c r="D210" s="110" t="s">
        <v>202</v>
      </c>
      <c r="E210" s="110" t="s">
        <v>203</v>
      </c>
      <c r="F210" s="113" t="s">
        <v>481</v>
      </c>
      <c r="G210" s="138" t="s">
        <v>989</v>
      </c>
    </row>
    <row r="211" spans="3:7" hidden="1" outlineLevel="4" x14ac:dyDescent="0.25">
      <c r="C211" s="137">
        <v>52100050</v>
      </c>
      <c r="D211" s="110" t="s">
        <v>204</v>
      </c>
      <c r="E211" s="110" t="s">
        <v>975</v>
      </c>
      <c r="F211" s="113" t="s">
        <v>481</v>
      </c>
      <c r="G211" s="138" t="s">
        <v>989</v>
      </c>
    </row>
    <row r="212" spans="3:7" ht="30" hidden="1" outlineLevel="4" x14ac:dyDescent="0.25">
      <c r="C212" s="137">
        <v>52200010</v>
      </c>
      <c r="D212" s="110" t="s">
        <v>206</v>
      </c>
      <c r="E212" s="110" t="s">
        <v>207</v>
      </c>
      <c r="F212" s="113" t="s">
        <v>482</v>
      </c>
      <c r="G212" s="138" t="s">
        <v>989</v>
      </c>
    </row>
    <row r="213" spans="3:7" ht="30" hidden="1" outlineLevel="4" x14ac:dyDescent="0.25">
      <c r="C213" s="137">
        <v>52200020</v>
      </c>
      <c r="D213" s="110" t="s">
        <v>208</v>
      </c>
      <c r="E213" s="110" t="s">
        <v>209</v>
      </c>
      <c r="F213" s="113" t="s">
        <v>482</v>
      </c>
      <c r="G213" s="138" t="s">
        <v>989</v>
      </c>
    </row>
    <row r="214" spans="3:7" hidden="1" outlineLevel="4" x14ac:dyDescent="0.25">
      <c r="C214" s="137">
        <v>52300010</v>
      </c>
      <c r="D214" s="110" t="s">
        <v>210</v>
      </c>
      <c r="E214" s="110" t="s">
        <v>976</v>
      </c>
      <c r="F214" s="113" t="s">
        <v>483</v>
      </c>
      <c r="G214" s="138" t="s">
        <v>989</v>
      </c>
    </row>
    <row r="215" spans="3:7" ht="30" hidden="1" outlineLevel="4" x14ac:dyDescent="0.25">
      <c r="C215" s="137">
        <v>52300020</v>
      </c>
      <c r="D215" s="110" t="s">
        <v>212</v>
      </c>
      <c r="E215" s="110" t="s">
        <v>977</v>
      </c>
      <c r="F215" s="113" t="s">
        <v>483</v>
      </c>
      <c r="G215" s="138" t="s">
        <v>989</v>
      </c>
    </row>
    <row r="216" spans="3:7" hidden="1" outlineLevel="4" x14ac:dyDescent="0.25">
      <c r="C216" s="137">
        <v>52400030</v>
      </c>
      <c r="D216" s="110" t="s">
        <v>214</v>
      </c>
      <c r="E216" s="110" t="s">
        <v>978</v>
      </c>
      <c r="F216" s="113" t="s">
        <v>484</v>
      </c>
      <c r="G216" s="138" t="s">
        <v>989</v>
      </c>
    </row>
    <row r="217" spans="3:7" hidden="1" outlineLevel="4" x14ac:dyDescent="0.25">
      <c r="C217" s="137">
        <v>52400040</v>
      </c>
      <c r="D217" s="110" t="s">
        <v>216</v>
      </c>
      <c r="E217" s="110" t="s">
        <v>1227</v>
      </c>
      <c r="F217" s="113" t="s">
        <v>484</v>
      </c>
      <c r="G217" s="138" t="s">
        <v>989</v>
      </c>
    </row>
    <row r="218" spans="3:7" hidden="1" outlineLevel="4" x14ac:dyDescent="0.25">
      <c r="C218" s="137">
        <v>52400060</v>
      </c>
      <c r="D218" s="110" t="s">
        <v>454</v>
      </c>
      <c r="E218" s="110" t="s">
        <v>980</v>
      </c>
      <c r="F218" s="113" t="s">
        <v>484</v>
      </c>
      <c r="G218" s="138" t="s">
        <v>989</v>
      </c>
    </row>
    <row r="219" spans="3:7" hidden="1" outlineLevel="4" x14ac:dyDescent="0.25">
      <c r="C219" s="137">
        <v>52500010</v>
      </c>
      <c r="D219" s="110" t="s">
        <v>218</v>
      </c>
      <c r="E219" s="110" t="s">
        <v>981</v>
      </c>
      <c r="F219" s="113" t="s">
        <v>218</v>
      </c>
      <c r="G219" s="138" t="s">
        <v>989</v>
      </c>
    </row>
    <row r="220" spans="3:7" hidden="1" outlineLevel="4" x14ac:dyDescent="0.25">
      <c r="C220" s="137">
        <v>52600020</v>
      </c>
      <c r="D220" s="110" t="s">
        <v>223</v>
      </c>
      <c r="E220" s="110" t="s">
        <v>982</v>
      </c>
      <c r="F220" s="113" t="s">
        <v>485</v>
      </c>
      <c r="G220" s="138" t="s">
        <v>989</v>
      </c>
    </row>
    <row r="221" spans="3:7" hidden="1" outlineLevel="4" x14ac:dyDescent="0.25">
      <c r="C221" s="137">
        <v>52600030</v>
      </c>
      <c r="D221" s="110" t="s">
        <v>226</v>
      </c>
      <c r="E221" s="110" t="s">
        <v>983</v>
      </c>
      <c r="F221" s="113" t="s">
        <v>485</v>
      </c>
      <c r="G221" s="138" t="s">
        <v>989</v>
      </c>
    </row>
    <row r="222" spans="3:7" hidden="1" outlineLevel="4" x14ac:dyDescent="0.25">
      <c r="C222" s="137">
        <v>52900010</v>
      </c>
      <c r="D222" s="110" t="s">
        <v>228</v>
      </c>
      <c r="E222" s="110" t="s">
        <v>984</v>
      </c>
      <c r="F222" s="113" t="s">
        <v>486</v>
      </c>
      <c r="G222" s="138" t="s">
        <v>989</v>
      </c>
    </row>
    <row r="223" spans="3:7" hidden="1" outlineLevel="4" x14ac:dyDescent="0.25">
      <c r="C223" s="137">
        <v>52900020</v>
      </c>
      <c r="D223" s="110" t="s">
        <v>230</v>
      </c>
      <c r="E223" s="110" t="s">
        <v>985</v>
      </c>
      <c r="F223" s="113" t="s">
        <v>486</v>
      </c>
      <c r="G223" s="138" t="s">
        <v>989</v>
      </c>
    </row>
    <row r="224" spans="3:7" hidden="1" outlineLevel="4" x14ac:dyDescent="0.25">
      <c r="C224" s="137">
        <v>53100010</v>
      </c>
      <c r="D224" s="110" t="s">
        <v>457</v>
      </c>
      <c r="E224" s="110" t="s">
        <v>986</v>
      </c>
      <c r="F224" s="113" t="s">
        <v>457</v>
      </c>
      <c r="G224" s="138" t="s">
        <v>989</v>
      </c>
    </row>
    <row r="225" spans="3:7" hidden="1" outlineLevel="4" x14ac:dyDescent="0.25">
      <c r="C225" s="140"/>
      <c r="D225" s="115"/>
      <c r="E225" s="116"/>
      <c r="F225" s="116"/>
      <c r="G225" s="116"/>
    </row>
    <row r="226" spans="3:7" collapsed="1" x14ac:dyDescent="0.25"/>
    <row r="228" spans="3:7" x14ac:dyDescent="0.25">
      <c r="C228" s="94" t="s">
        <v>990</v>
      </c>
    </row>
    <row r="229" spans="3:7" x14ac:dyDescent="0.25">
      <c r="C229" s="95" t="s">
        <v>1028</v>
      </c>
      <c r="D229" s="95" t="s">
        <v>1027</v>
      </c>
      <c r="E229" s="125" t="s">
        <v>917</v>
      </c>
      <c r="F229" s="125" t="s">
        <v>987</v>
      </c>
      <c r="G229" s="125" t="s">
        <v>988</v>
      </c>
    </row>
    <row r="230" spans="3:7" x14ac:dyDescent="0.25">
      <c r="C230" s="137">
        <v>60100010</v>
      </c>
      <c r="D230" s="110" t="s">
        <v>73</v>
      </c>
      <c r="E230" s="110" t="s">
        <v>997</v>
      </c>
      <c r="F230" s="138" t="s">
        <v>488</v>
      </c>
      <c r="G230" s="138" t="s">
        <v>50</v>
      </c>
    </row>
    <row r="231" spans="3:7" x14ac:dyDescent="0.25">
      <c r="C231" s="137">
        <v>60100020</v>
      </c>
      <c r="D231" s="110" t="s">
        <v>75</v>
      </c>
      <c r="E231" s="110" t="s">
        <v>998</v>
      </c>
      <c r="F231" s="139" t="s">
        <v>488</v>
      </c>
      <c r="G231" s="139" t="s">
        <v>50</v>
      </c>
    </row>
    <row r="232" spans="3:7" x14ac:dyDescent="0.25">
      <c r="C232" s="137">
        <v>60100030</v>
      </c>
      <c r="D232" s="110" t="s">
        <v>77</v>
      </c>
      <c r="E232" s="110" t="s">
        <v>999</v>
      </c>
      <c r="F232" s="110" t="s">
        <v>488</v>
      </c>
      <c r="G232" s="139" t="s">
        <v>50</v>
      </c>
    </row>
    <row r="233" spans="3:7" x14ac:dyDescent="0.25">
      <c r="C233" s="137">
        <v>60100040</v>
      </c>
      <c r="D233" s="110" t="s">
        <v>79</v>
      </c>
      <c r="E233" s="110" t="s">
        <v>1000</v>
      </c>
      <c r="F233" s="110" t="s">
        <v>488</v>
      </c>
      <c r="G233" s="139" t="s">
        <v>50</v>
      </c>
    </row>
    <row r="234" spans="3:7" x14ac:dyDescent="0.25">
      <c r="C234" s="137">
        <v>60100050</v>
      </c>
      <c r="D234" s="110" t="s">
        <v>81</v>
      </c>
      <c r="E234" s="110" t="s">
        <v>1001</v>
      </c>
      <c r="F234" s="110" t="s">
        <v>488</v>
      </c>
      <c r="G234" s="139" t="s">
        <v>50</v>
      </c>
    </row>
    <row r="235" spans="3:7" x14ac:dyDescent="0.25">
      <c r="C235" s="137">
        <v>60100060</v>
      </c>
      <c r="D235" s="110" t="s">
        <v>83</v>
      </c>
      <c r="E235" s="110" t="s">
        <v>1002</v>
      </c>
      <c r="F235" s="110" t="s">
        <v>488</v>
      </c>
      <c r="G235" s="139" t="s">
        <v>50</v>
      </c>
    </row>
    <row r="236" spans="3:7" x14ac:dyDescent="0.25">
      <c r="C236" s="137">
        <v>60100070</v>
      </c>
      <c r="D236" s="110" t="s">
        <v>85</v>
      </c>
      <c r="E236" s="110" t="s">
        <v>1003</v>
      </c>
      <c r="F236" s="110" t="s">
        <v>488</v>
      </c>
      <c r="G236" s="139" t="s">
        <v>50</v>
      </c>
    </row>
    <row r="237" spans="3:7" x14ac:dyDescent="0.25">
      <c r="C237" s="137">
        <v>60100080</v>
      </c>
      <c r="D237" s="110" t="s">
        <v>87</v>
      </c>
      <c r="E237" s="110" t="s">
        <v>1004</v>
      </c>
      <c r="F237" s="113" t="s">
        <v>488</v>
      </c>
      <c r="G237" s="139" t="s">
        <v>50</v>
      </c>
    </row>
    <row r="238" spans="3:7" x14ac:dyDescent="0.25">
      <c r="C238" s="137">
        <v>60100090</v>
      </c>
      <c r="D238" s="110" t="s">
        <v>89</v>
      </c>
      <c r="E238" s="110" t="s">
        <v>1005</v>
      </c>
      <c r="F238" s="113" t="s">
        <v>488</v>
      </c>
      <c r="G238" s="139" t="s">
        <v>50</v>
      </c>
    </row>
    <row r="239" spans="3:7" x14ac:dyDescent="0.25">
      <c r="C239" s="137">
        <v>60100100</v>
      </c>
      <c r="D239" s="110" t="s">
        <v>91</v>
      </c>
      <c r="E239" s="110" t="s">
        <v>1006</v>
      </c>
      <c r="F239" s="113" t="s">
        <v>488</v>
      </c>
      <c r="G239" s="139" t="s">
        <v>50</v>
      </c>
    </row>
    <row r="240" spans="3:7" x14ac:dyDescent="0.25">
      <c r="C240" s="137">
        <v>60100110</v>
      </c>
      <c r="D240" s="110" t="s">
        <v>93</v>
      </c>
      <c r="E240" s="110" t="s">
        <v>1007</v>
      </c>
      <c r="F240" s="113" t="s">
        <v>488</v>
      </c>
      <c r="G240" s="139" t="s">
        <v>50</v>
      </c>
    </row>
    <row r="241" spans="3:7" x14ac:dyDescent="0.25">
      <c r="C241" s="137">
        <v>60100120</v>
      </c>
      <c r="D241" s="110" t="s">
        <v>991</v>
      </c>
      <c r="E241" s="110" t="s">
        <v>1000</v>
      </c>
      <c r="F241" s="113" t="s">
        <v>488</v>
      </c>
      <c r="G241" s="139" t="s">
        <v>50</v>
      </c>
    </row>
    <row r="242" spans="3:7" x14ac:dyDescent="0.25">
      <c r="C242" s="137">
        <v>60100990</v>
      </c>
      <c r="D242" s="110" t="s">
        <v>95</v>
      </c>
      <c r="E242" s="110" t="s">
        <v>1008</v>
      </c>
      <c r="F242" s="113" t="s">
        <v>488</v>
      </c>
      <c r="G242" s="139" t="s">
        <v>50</v>
      </c>
    </row>
    <row r="243" spans="3:7" x14ac:dyDescent="0.25">
      <c r="C243" s="137">
        <v>60200010</v>
      </c>
      <c r="D243" s="110" t="s">
        <v>97</v>
      </c>
      <c r="E243" s="110" t="s">
        <v>98</v>
      </c>
      <c r="F243" s="113" t="s">
        <v>468</v>
      </c>
      <c r="G243" s="139" t="s">
        <v>50</v>
      </c>
    </row>
    <row r="244" spans="3:7" x14ac:dyDescent="0.25">
      <c r="C244" s="137">
        <v>60300010</v>
      </c>
      <c r="D244" s="110" t="s">
        <v>100</v>
      </c>
      <c r="E244" s="110" t="s">
        <v>101</v>
      </c>
      <c r="F244" s="113" t="s">
        <v>489</v>
      </c>
      <c r="G244" s="139" t="s">
        <v>50</v>
      </c>
    </row>
    <row r="245" spans="3:7" x14ac:dyDescent="0.25">
      <c r="C245" s="137">
        <v>60600010</v>
      </c>
      <c r="D245" s="110" t="s">
        <v>426</v>
      </c>
      <c r="E245" s="110" t="s">
        <v>1009</v>
      </c>
      <c r="F245" s="113" t="s">
        <v>470</v>
      </c>
      <c r="G245" s="138" t="s">
        <v>106</v>
      </c>
    </row>
    <row r="246" spans="3:7" x14ac:dyDescent="0.25">
      <c r="C246" s="137">
        <v>60600020</v>
      </c>
      <c r="D246" s="110" t="s">
        <v>427</v>
      </c>
      <c r="E246" s="110" t="s">
        <v>1010</v>
      </c>
      <c r="F246" s="113" t="s">
        <v>470</v>
      </c>
      <c r="G246" s="138" t="s">
        <v>106</v>
      </c>
    </row>
    <row r="247" spans="3:7" x14ac:dyDescent="0.25">
      <c r="C247" s="137">
        <v>60600030</v>
      </c>
      <c r="D247" s="110" t="s">
        <v>428</v>
      </c>
      <c r="E247" s="110" t="s">
        <v>1011</v>
      </c>
      <c r="F247" s="113" t="s">
        <v>470</v>
      </c>
      <c r="G247" s="138" t="s">
        <v>106</v>
      </c>
    </row>
    <row r="248" spans="3:7" ht="30" x14ac:dyDescent="0.25">
      <c r="C248" s="137">
        <v>60600050</v>
      </c>
      <c r="D248" s="110" t="s">
        <v>113</v>
      </c>
      <c r="E248" s="110" t="s">
        <v>1544</v>
      </c>
      <c r="F248" s="113" t="s">
        <v>470</v>
      </c>
      <c r="G248" s="138" t="s">
        <v>106</v>
      </c>
    </row>
    <row r="249" spans="3:7" x14ac:dyDescent="0.25">
      <c r="C249" s="137">
        <v>60700010</v>
      </c>
      <c r="D249" s="110" t="s">
        <v>115</v>
      </c>
      <c r="E249" s="110" t="s">
        <v>1545</v>
      </c>
      <c r="F249" s="113" t="s">
        <v>115</v>
      </c>
      <c r="G249" s="138" t="s">
        <v>106</v>
      </c>
    </row>
    <row r="250" spans="3:7" x14ac:dyDescent="0.25">
      <c r="C250" s="137">
        <v>60800010</v>
      </c>
      <c r="D250" s="110" t="s">
        <v>117</v>
      </c>
      <c r="E250" s="110" t="s">
        <v>939</v>
      </c>
      <c r="F250" s="113" t="s">
        <v>490</v>
      </c>
      <c r="G250" s="138" t="s">
        <v>989</v>
      </c>
    </row>
    <row r="251" spans="3:7" x14ac:dyDescent="0.25">
      <c r="C251" s="137">
        <v>60800020</v>
      </c>
      <c r="D251" s="110" t="s">
        <v>119</v>
      </c>
      <c r="E251" s="110" t="s">
        <v>940</v>
      </c>
      <c r="F251" s="113" t="s">
        <v>490</v>
      </c>
      <c r="G251" s="138" t="s">
        <v>989</v>
      </c>
    </row>
    <row r="252" spans="3:7" x14ac:dyDescent="0.25">
      <c r="C252" s="137">
        <v>60800030</v>
      </c>
      <c r="D252" s="110" t="s">
        <v>122</v>
      </c>
      <c r="E252" s="110" t="s">
        <v>941</v>
      </c>
      <c r="F252" s="113" t="s">
        <v>490</v>
      </c>
      <c r="G252" s="138" t="s">
        <v>989</v>
      </c>
    </row>
    <row r="253" spans="3:7" x14ac:dyDescent="0.25">
      <c r="C253" s="137">
        <v>60800040</v>
      </c>
      <c r="D253" s="110" t="s">
        <v>124</v>
      </c>
      <c r="E253" s="110" t="s">
        <v>942</v>
      </c>
      <c r="F253" s="113" t="s">
        <v>490</v>
      </c>
      <c r="G253" s="138" t="s">
        <v>989</v>
      </c>
    </row>
    <row r="254" spans="3:7" x14ac:dyDescent="0.25">
      <c r="C254" s="137">
        <v>60800050</v>
      </c>
      <c r="D254" s="110" t="s">
        <v>126</v>
      </c>
      <c r="E254" s="110" t="s">
        <v>943</v>
      </c>
      <c r="F254" s="113" t="s">
        <v>490</v>
      </c>
      <c r="G254" s="138" t="s">
        <v>989</v>
      </c>
    </row>
    <row r="255" spans="3:7" x14ac:dyDescent="0.25">
      <c r="C255" s="137">
        <v>60800060</v>
      </c>
      <c r="D255" s="110" t="s">
        <v>128</v>
      </c>
      <c r="E255" s="110" t="s">
        <v>944</v>
      </c>
      <c r="F255" s="113" t="s">
        <v>490</v>
      </c>
      <c r="G255" s="138" t="s">
        <v>989</v>
      </c>
    </row>
    <row r="256" spans="3:7" x14ac:dyDescent="0.25">
      <c r="C256" s="137">
        <v>60800070</v>
      </c>
      <c r="D256" s="110" t="s">
        <v>131</v>
      </c>
      <c r="E256" s="110" t="s">
        <v>945</v>
      </c>
      <c r="F256" s="113" t="s">
        <v>490</v>
      </c>
      <c r="G256" s="138" t="s">
        <v>989</v>
      </c>
    </row>
    <row r="257" spans="3:7" x14ac:dyDescent="0.25">
      <c r="C257" s="137">
        <v>60800080</v>
      </c>
      <c r="D257" s="110" t="s">
        <v>133</v>
      </c>
      <c r="E257" s="110" t="s">
        <v>1012</v>
      </c>
      <c r="F257" s="113" t="s">
        <v>490</v>
      </c>
      <c r="G257" s="138" t="s">
        <v>989</v>
      </c>
    </row>
    <row r="258" spans="3:7" x14ac:dyDescent="0.25">
      <c r="C258" s="137">
        <v>61100010</v>
      </c>
      <c r="D258" s="110" t="s">
        <v>430</v>
      </c>
      <c r="E258" s="110" t="s">
        <v>946</v>
      </c>
      <c r="F258" s="113" t="s">
        <v>472</v>
      </c>
      <c r="G258" s="138" t="s">
        <v>1023</v>
      </c>
    </row>
    <row r="259" spans="3:7" x14ac:dyDescent="0.25">
      <c r="C259" s="137">
        <v>61200010</v>
      </c>
      <c r="D259" s="110" t="s">
        <v>431</v>
      </c>
      <c r="E259" s="110" t="s">
        <v>1228</v>
      </c>
      <c r="F259" s="113" t="s">
        <v>473</v>
      </c>
      <c r="G259" s="138" t="s">
        <v>1024</v>
      </c>
    </row>
    <row r="260" spans="3:7" x14ac:dyDescent="0.25">
      <c r="C260" s="137">
        <v>61200020</v>
      </c>
      <c r="D260" s="110" t="s">
        <v>432</v>
      </c>
      <c r="E260" s="110" t="s">
        <v>1229</v>
      </c>
      <c r="F260" s="113" t="s">
        <v>473</v>
      </c>
      <c r="G260" s="138" t="s">
        <v>1024</v>
      </c>
    </row>
    <row r="261" spans="3:7" x14ac:dyDescent="0.25">
      <c r="C261" s="137">
        <v>61200030</v>
      </c>
      <c r="D261" s="110" t="s">
        <v>433</v>
      </c>
      <c r="E261" s="110" t="s">
        <v>1230</v>
      </c>
      <c r="F261" s="113" t="s">
        <v>473</v>
      </c>
      <c r="G261" s="138" t="s">
        <v>1024</v>
      </c>
    </row>
    <row r="262" spans="3:7" x14ac:dyDescent="0.25">
      <c r="C262" s="137">
        <v>61200040</v>
      </c>
      <c r="D262" s="110" t="s">
        <v>434</v>
      </c>
      <c r="E262" s="110" t="s">
        <v>1231</v>
      </c>
      <c r="F262" s="113" t="s">
        <v>473</v>
      </c>
      <c r="G262" s="138" t="s">
        <v>1024</v>
      </c>
    </row>
    <row r="263" spans="3:7" x14ac:dyDescent="0.25">
      <c r="C263" s="137">
        <v>61200050</v>
      </c>
      <c r="D263" s="110" t="s">
        <v>435</v>
      </c>
      <c r="E263" s="110" t="s">
        <v>1232</v>
      </c>
      <c r="F263" s="113" t="s">
        <v>473</v>
      </c>
      <c r="G263" s="138" t="s">
        <v>1024</v>
      </c>
    </row>
    <row r="264" spans="3:7" x14ac:dyDescent="0.25">
      <c r="C264" s="137">
        <v>61200060</v>
      </c>
      <c r="D264" s="110" t="s">
        <v>436</v>
      </c>
      <c r="E264" s="110" t="s">
        <v>1233</v>
      </c>
      <c r="F264" s="113" t="s">
        <v>473</v>
      </c>
      <c r="G264" s="138" t="s">
        <v>1024</v>
      </c>
    </row>
    <row r="265" spans="3:7" x14ac:dyDescent="0.25">
      <c r="C265" s="137">
        <v>61200070</v>
      </c>
      <c r="D265" s="110" t="s">
        <v>437</v>
      </c>
      <c r="E265" s="110" t="s">
        <v>1234</v>
      </c>
      <c r="F265" s="113" t="s">
        <v>473</v>
      </c>
      <c r="G265" s="138" t="s">
        <v>1024</v>
      </c>
    </row>
    <row r="266" spans="3:7" x14ac:dyDescent="0.25">
      <c r="C266" s="137">
        <v>61200080</v>
      </c>
      <c r="D266" s="110" t="s">
        <v>438</v>
      </c>
      <c r="E266" s="110" t="s">
        <v>1235</v>
      </c>
      <c r="F266" s="113" t="s">
        <v>473</v>
      </c>
      <c r="G266" s="138" t="s">
        <v>1024</v>
      </c>
    </row>
    <row r="267" spans="3:7" x14ac:dyDescent="0.25">
      <c r="C267" s="137">
        <v>61200090</v>
      </c>
      <c r="D267" s="110" t="s">
        <v>439</v>
      </c>
      <c r="E267" s="110" t="s">
        <v>1236</v>
      </c>
      <c r="F267" s="113" t="s">
        <v>473</v>
      </c>
      <c r="G267" s="138" t="s">
        <v>1024</v>
      </c>
    </row>
    <row r="268" spans="3:7" x14ac:dyDescent="0.25">
      <c r="C268" s="137">
        <v>61300010</v>
      </c>
      <c r="D268" s="110" t="s">
        <v>440</v>
      </c>
      <c r="E268" s="110" t="s">
        <v>1237</v>
      </c>
      <c r="F268" s="113" t="s">
        <v>474</v>
      </c>
      <c r="G268" s="138" t="s">
        <v>1024</v>
      </c>
    </row>
    <row r="269" spans="3:7" x14ac:dyDescent="0.25">
      <c r="C269" s="137">
        <v>61300020</v>
      </c>
      <c r="D269" s="110" t="s">
        <v>441</v>
      </c>
      <c r="E269" s="110" t="s">
        <v>1238</v>
      </c>
      <c r="F269" s="113" t="s">
        <v>474</v>
      </c>
      <c r="G269" s="138" t="s">
        <v>1024</v>
      </c>
    </row>
    <row r="270" spans="3:7" x14ac:dyDescent="0.25">
      <c r="C270" s="137">
        <v>61300030</v>
      </c>
      <c r="D270" s="110" t="s">
        <v>442</v>
      </c>
      <c r="E270" s="110" t="s">
        <v>1239</v>
      </c>
      <c r="F270" s="113" t="s">
        <v>474</v>
      </c>
      <c r="G270" s="138" t="s">
        <v>1024</v>
      </c>
    </row>
    <row r="271" spans="3:7" x14ac:dyDescent="0.25">
      <c r="C271" s="137">
        <v>61300040</v>
      </c>
      <c r="D271" s="110" t="s">
        <v>443</v>
      </c>
      <c r="E271" s="110" t="s">
        <v>1240</v>
      </c>
      <c r="F271" s="113" t="s">
        <v>474</v>
      </c>
      <c r="G271" s="138" t="s">
        <v>1024</v>
      </c>
    </row>
    <row r="272" spans="3:7" x14ac:dyDescent="0.25">
      <c r="C272" s="137">
        <v>61300050</v>
      </c>
      <c r="D272" s="110" t="s">
        <v>444</v>
      </c>
      <c r="E272" s="110" t="s">
        <v>1241</v>
      </c>
      <c r="F272" s="113" t="s">
        <v>474</v>
      </c>
      <c r="G272" s="138" t="s">
        <v>1024</v>
      </c>
    </row>
    <row r="273" spans="3:7" x14ac:dyDescent="0.25">
      <c r="C273" s="137">
        <v>61300060</v>
      </c>
      <c r="D273" s="110" t="s">
        <v>445</v>
      </c>
      <c r="E273" s="110" t="s">
        <v>1242</v>
      </c>
      <c r="F273" s="113" t="s">
        <v>474</v>
      </c>
      <c r="G273" s="138" t="s">
        <v>1024</v>
      </c>
    </row>
    <row r="274" spans="3:7" x14ac:dyDescent="0.25">
      <c r="C274" s="137">
        <v>61300070</v>
      </c>
      <c r="D274" s="110" t="s">
        <v>446</v>
      </c>
      <c r="E274" s="110" t="s">
        <v>1243</v>
      </c>
      <c r="F274" s="113" t="s">
        <v>474</v>
      </c>
      <c r="G274" s="138" t="s">
        <v>1024</v>
      </c>
    </row>
    <row r="275" spans="3:7" x14ac:dyDescent="0.25">
      <c r="C275" s="137">
        <v>61300080</v>
      </c>
      <c r="D275" s="110" t="s">
        <v>447</v>
      </c>
      <c r="E275" s="110" t="s">
        <v>1244</v>
      </c>
      <c r="F275" s="113" t="s">
        <v>474</v>
      </c>
      <c r="G275" s="138" t="s">
        <v>1024</v>
      </c>
    </row>
    <row r="276" spans="3:7" x14ac:dyDescent="0.25">
      <c r="C276" s="137">
        <v>61300090</v>
      </c>
      <c r="D276" s="110" t="s">
        <v>448</v>
      </c>
      <c r="E276" s="110" t="s">
        <v>1245</v>
      </c>
      <c r="F276" s="113" t="s">
        <v>474</v>
      </c>
      <c r="G276" s="138" t="s">
        <v>1024</v>
      </c>
    </row>
    <row r="277" spans="3:7" x14ac:dyDescent="0.25">
      <c r="C277" s="137">
        <v>61400010</v>
      </c>
      <c r="D277" s="110" t="s">
        <v>135</v>
      </c>
      <c r="E277" s="110" t="s">
        <v>1015</v>
      </c>
      <c r="F277" s="113" t="s">
        <v>475</v>
      </c>
      <c r="G277" s="138" t="s">
        <v>1025</v>
      </c>
    </row>
    <row r="278" spans="3:7" x14ac:dyDescent="0.25">
      <c r="C278" s="137">
        <v>61400020</v>
      </c>
      <c r="D278" s="110" t="s">
        <v>449</v>
      </c>
      <c r="E278" s="110" t="s">
        <v>1016</v>
      </c>
      <c r="F278" s="113" t="s">
        <v>475</v>
      </c>
      <c r="G278" s="138" t="s">
        <v>1025</v>
      </c>
    </row>
    <row r="279" spans="3:7" x14ac:dyDescent="0.25">
      <c r="C279" s="137">
        <v>61400030</v>
      </c>
      <c r="D279" s="110" t="s">
        <v>450</v>
      </c>
      <c r="E279" s="110" t="s">
        <v>1017</v>
      </c>
      <c r="F279" s="113" t="s">
        <v>475</v>
      </c>
      <c r="G279" s="138" t="s">
        <v>1025</v>
      </c>
    </row>
    <row r="280" spans="3:7" x14ac:dyDescent="0.25">
      <c r="C280" s="137">
        <v>61500010</v>
      </c>
      <c r="D280" s="110" t="s">
        <v>141</v>
      </c>
      <c r="E280" s="110" t="s">
        <v>952</v>
      </c>
      <c r="F280" s="113" t="s">
        <v>476</v>
      </c>
      <c r="G280" s="138" t="s">
        <v>989</v>
      </c>
    </row>
    <row r="281" spans="3:7" x14ac:dyDescent="0.25">
      <c r="C281" s="137">
        <v>61500020</v>
      </c>
      <c r="D281" s="110" t="s">
        <v>143</v>
      </c>
      <c r="E281" s="110" t="s">
        <v>952</v>
      </c>
      <c r="F281" s="113" t="s">
        <v>476</v>
      </c>
      <c r="G281" s="138" t="s">
        <v>50</v>
      </c>
    </row>
    <row r="282" spans="3:7" ht="30" x14ac:dyDescent="0.25">
      <c r="C282" s="137">
        <v>61600010</v>
      </c>
      <c r="D282" s="110" t="s">
        <v>993</v>
      </c>
      <c r="E282" s="110" t="s">
        <v>1246</v>
      </c>
      <c r="F282" s="113" t="s">
        <v>477</v>
      </c>
      <c r="G282" s="138" t="s">
        <v>106</v>
      </c>
    </row>
    <row r="283" spans="3:7" x14ac:dyDescent="0.25">
      <c r="C283" s="137">
        <v>61600030</v>
      </c>
      <c r="D283" s="110" t="s">
        <v>150</v>
      </c>
      <c r="E283" s="110" t="s">
        <v>1247</v>
      </c>
      <c r="F283" s="113" t="s">
        <v>477</v>
      </c>
      <c r="G283" s="138" t="s">
        <v>106</v>
      </c>
    </row>
    <row r="284" spans="3:7" x14ac:dyDescent="0.25">
      <c r="C284" s="137">
        <v>61600040</v>
      </c>
      <c r="D284" s="110" t="s">
        <v>151</v>
      </c>
      <c r="E284" s="110" t="s">
        <v>1248</v>
      </c>
      <c r="F284" s="113" t="s">
        <v>477</v>
      </c>
      <c r="G284" s="138" t="s">
        <v>176</v>
      </c>
    </row>
    <row r="285" spans="3:7" x14ac:dyDescent="0.25">
      <c r="C285" s="137">
        <v>61600050</v>
      </c>
      <c r="D285" s="110" t="s">
        <v>994</v>
      </c>
      <c r="E285" s="110" t="s">
        <v>1249</v>
      </c>
      <c r="F285" s="113" t="s">
        <v>477</v>
      </c>
      <c r="G285" s="138" t="s">
        <v>176</v>
      </c>
    </row>
    <row r="286" spans="3:7" x14ac:dyDescent="0.25">
      <c r="C286" s="137">
        <v>61600060</v>
      </c>
      <c r="D286" s="110" t="s">
        <v>995</v>
      </c>
      <c r="E286" s="110" t="s">
        <v>1250</v>
      </c>
      <c r="F286" s="113" t="s">
        <v>477</v>
      </c>
      <c r="G286" s="138" t="s">
        <v>50</v>
      </c>
    </row>
    <row r="287" spans="3:7" x14ac:dyDescent="0.25">
      <c r="C287" s="137">
        <v>61600070</v>
      </c>
      <c r="D287" s="110" t="s">
        <v>152</v>
      </c>
      <c r="E287" s="110" t="s">
        <v>1546</v>
      </c>
      <c r="F287" s="113" t="s">
        <v>477</v>
      </c>
      <c r="G287" s="138" t="s">
        <v>989</v>
      </c>
    </row>
    <row r="288" spans="3:7" x14ac:dyDescent="0.25">
      <c r="C288" s="137">
        <v>61700010</v>
      </c>
      <c r="D288" s="110" t="s">
        <v>153</v>
      </c>
      <c r="E288" s="110" t="s">
        <v>959</v>
      </c>
      <c r="F288" s="113" t="s">
        <v>478</v>
      </c>
      <c r="G288" s="138" t="s">
        <v>1026</v>
      </c>
    </row>
    <row r="289" spans="3:7" x14ac:dyDescent="0.25">
      <c r="C289" s="137">
        <v>61700030</v>
      </c>
      <c r="D289" s="110" t="s">
        <v>155</v>
      </c>
      <c r="E289" s="110" t="s">
        <v>960</v>
      </c>
      <c r="F289" s="113" t="s">
        <v>478</v>
      </c>
      <c r="G289" s="138" t="s">
        <v>106</v>
      </c>
    </row>
    <row r="290" spans="3:7" x14ac:dyDescent="0.25">
      <c r="C290" s="137">
        <v>61700040</v>
      </c>
      <c r="D290" s="110" t="s">
        <v>157</v>
      </c>
      <c r="E290" s="110" t="s">
        <v>961</v>
      </c>
      <c r="F290" s="113" t="s">
        <v>478</v>
      </c>
      <c r="G290" s="138" t="s">
        <v>106</v>
      </c>
    </row>
    <row r="291" spans="3:7" x14ac:dyDescent="0.25">
      <c r="C291" s="137">
        <v>61700050</v>
      </c>
      <c r="D291" s="110" t="s">
        <v>159</v>
      </c>
      <c r="E291" s="110" t="s">
        <v>962</v>
      </c>
      <c r="F291" s="113" t="s">
        <v>478</v>
      </c>
      <c r="G291" s="138" t="s">
        <v>106</v>
      </c>
    </row>
    <row r="292" spans="3:7" x14ac:dyDescent="0.25">
      <c r="C292" s="137">
        <v>61700060</v>
      </c>
      <c r="D292" s="110" t="s">
        <v>996</v>
      </c>
      <c r="E292" s="110" t="s">
        <v>963</v>
      </c>
      <c r="F292" s="113" t="s">
        <v>478</v>
      </c>
      <c r="G292" s="138" t="s">
        <v>106</v>
      </c>
    </row>
    <row r="293" spans="3:7" x14ac:dyDescent="0.25">
      <c r="C293" s="137">
        <v>61700070</v>
      </c>
      <c r="D293" s="110" t="s">
        <v>163</v>
      </c>
      <c r="E293" s="110" t="s">
        <v>964</v>
      </c>
      <c r="F293" s="113" t="s">
        <v>478</v>
      </c>
      <c r="G293" s="138" t="s">
        <v>989</v>
      </c>
    </row>
    <row r="294" spans="3:7" x14ac:dyDescent="0.25">
      <c r="C294" s="137">
        <v>61800010</v>
      </c>
      <c r="D294" s="110" t="s">
        <v>165</v>
      </c>
      <c r="E294" s="110" t="s">
        <v>965</v>
      </c>
      <c r="F294" s="113" t="s">
        <v>491</v>
      </c>
      <c r="G294" s="138" t="s">
        <v>989</v>
      </c>
    </row>
    <row r="295" spans="3:7" x14ac:dyDescent="0.25">
      <c r="C295" s="137">
        <v>61800020</v>
      </c>
      <c r="D295" s="137" t="s">
        <v>168</v>
      </c>
      <c r="E295" s="137" t="s">
        <v>966</v>
      </c>
      <c r="F295" s="137" t="s">
        <v>491</v>
      </c>
      <c r="G295" s="138" t="s">
        <v>989</v>
      </c>
    </row>
    <row r="296" spans="3:7" x14ac:dyDescent="0.25">
      <c r="C296" s="137">
        <v>61800030</v>
      </c>
      <c r="D296" s="137" t="s">
        <v>170</v>
      </c>
      <c r="E296" s="137" t="s">
        <v>967</v>
      </c>
      <c r="F296" s="137" t="s">
        <v>491</v>
      </c>
      <c r="G296" s="138" t="s">
        <v>989</v>
      </c>
    </row>
    <row r="297" spans="3:7" x14ac:dyDescent="0.25">
      <c r="C297" s="137">
        <v>61800090</v>
      </c>
      <c r="D297" s="137" t="s">
        <v>172</v>
      </c>
      <c r="E297" s="137" t="s">
        <v>979</v>
      </c>
      <c r="F297" s="137" t="s">
        <v>491</v>
      </c>
      <c r="G297" s="138" t="s">
        <v>989</v>
      </c>
    </row>
    <row r="298" spans="3:7" x14ac:dyDescent="0.25">
      <c r="C298" s="137">
        <v>61900010</v>
      </c>
      <c r="D298" s="137" t="s">
        <v>174</v>
      </c>
      <c r="E298" s="137" t="s">
        <v>969</v>
      </c>
      <c r="F298" s="137" t="s">
        <v>342</v>
      </c>
      <c r="G298" s="138" t="s">
        <v>989</v>
      </c>
    </row>
    <row r="299" spans="3:7" x14ac:dyDescent="0.25">
      <c r="C299" s="137">
        <v>61900020</v>
      </c>
      <c r="D299" s="137" t="s">
        <v>177</v>
      </c>
      <c r="E299" s="137" t="s">
        <v>1251</v>
      </c>
      <c r="F299" s="137" t="s">
        <v>342</v>
      </c>
      <c r="G299" s="138" t="s">
        <v>989</v>
      </c>
    </row>
    <row r="300" spans="3:7" x14ac:dyDescent="0.25">
      <c r="C300" s="137">
        <v>61900030</v>
      </c>
      <c r="D300" s="137" t="s">
        <v>180</v>
      </c>
      <c r="E300" s="137" t="s">
        <v>971</v>
      </c>
      <c r="F300" s="137" t="s">
        <v>342</v>
      </c>
      <c r="G300" s="138" t="s">
        <v>989</v>
      </c>
    </row>
    <row r="301" spans="3:7" x14ac:dyDescent="0.25">
      <c r="C301" s="137">
        <v>61900040</v>
      </c>
      <c r="D301" s="137" t="s">
        <v>182</v>
      </c>
      <c r="E301" s="137" t="s">
        <v>1252</v>
      </c>
      <c r="F301" s="137" t="s">
        <v>342</v>
      </c>
      <c r="G301" s="138" t="s">
        <v>989</v>
      </c>
    </row>
    <row r="302" spans="3:7" x14ac:dyDescent="0.25">
      <c r="C302" s="137">
        <v>61900090</v>
      </c>
      <c r="D302" s="137" t="s">
        <v>184</v>
      </c>
      <c r="E302" s="137" t="s">
        <v>1253</v>
      </c>
      <c r="F302" s="137" t="s">
        <v>342</v>
      </c>
      <c r="G302" s="138" t="s">
        <v>989</v>
      </c>
    </row>
    <row r="303" spans="3:7" x14ac:dyDescent="0.25">
      <c r="C303" s="137">
        <v>62000010</v>
      </c>
      <c r="D303" s="137" t="s">
        <v>186</v>
      </c>
      <c r="E303" s="137" t="s">
        <v>1254</v>
      </c>
      <c r="F303" s="137" t="s">
        <v>480</v>
      </c>
      <c r="G303" s="137" t="s">
        <v>236</v>
      </c>
    </row>
    <row r="304" spans="3:7" x14ac:dyDescent="0.25">
      <c r="C304" s="137">
        <v>62000020</v>
      </c>
      <c r="D304" s="137" t="s">
        <v>189</v>
      </c>
      <c r="E304" s="137" t="s">
        <v>1255</v>
      </c>
      <c r="F304" s="137" t="s">
        <v>480</v>
      </c>
      <c r="G304" s="137" t="s">
        <v>325</v>
      </c>
    </row>
    <row r="305" spans="3:7" x14ac:dyDescent="0.25">
      <c r="C305" s="137">
        <v>62000040</v>
      </c>
      <c r="D305" s="137" t="s">
        <v>192</v>
      </c>
      <c r="E305" s="137" t="s">
        <v>1256</v>
      </c>
      <c r="F305" s="137" t="s">
        <v>480</v>
      </c>
      <c r="G305" s="138" t="s">
        <v>989</v>
      </c>
    </row>
    <row r="306" spans="3:7" x14ac:dyDescent="0.25">
      <c r="C306" s="137">
        <v>62100010</v>
      </c>
      <c r="D306" s="137" t="s">
        <v>195</v>
      </c>
      <c r="E306" s="137" t="s">
        <v>196</v>
      </c>
      <c r="F306" s="137" t="s">
        <v>481</v>
      </c>
      <c r="G306" s="137" t="s">
        <v>176</v>
      </c>
    </row>
    <row r="307" spans="3:7" x14ac:dyDescent="0.25">
      <c r="C307" s="137">
        <v>62100020</v>
      </c>
      <c r="D307" s="137" t="s">
        <v>198</v>
      </c>
      <c r="E307" s="137" t="s">
        <v>974</v>
      </c>
      <c r="F307" s="137" t="s">
        <v>481</v>
      </c>
      <c r="G307" s="137" t="s">
        <v>176</v>
      </c>
    </row>
    <row r="308" spans="3:7" x14ac:dyDescent="0.25">
      <c r="C308" s="137">
        <v>62100030</v>
      </c>
      <c r="D308" s="137" t="s">
        <v>200</v>
      </c>
      <c r="E308" s="137" t="s">
        <v>201</v>
      </c>
      <c r="F308" s="137" t="s">
        <v>481</v>
      </c>
      <c r="G308" s="137" t="s">
        <v>176</v>
      </c>
    </row>
    <row r="309" spans="3:7" x14ac:dyDescent="0.25">
      <c r="C309" s="137">
        <v>62100040</v>
      </c>
      <c r="D309" s="137" t="s">
        <v>202</v>
      </c>
      <c r="E309" s="137" t="s">
        <v>203</v>
      </c>
      <c r="F309" s="137" t="s">
        <v>481</v>
      </c>
      <c r="G309" s="137" t="s">
        <v>176</v>
      </c>
    </row>
    <row r="310" spans="3:7" x14ac:dyDescent="0.25">
      <c r="C310" s="137">
        <v>62100050</v>
      </c>
      <c r="D310" s="137" t="s">
        <v>453</v>
      </c>
      <c r="E310" s="137" t="s">
        <v>975</v>
      </c>
      <c r="F310" s="137" t="s">
        <v>481</v>
      </c>
      <c r="G310" s="137" t="s">
        <v>176</v>
      </c>
    </row>
    <row r="311" spans="3:7" ht="30" x14ac:dyDescent="0.25">
      <c r="C311" s="137">
        <v>62200010</v>
      </c>
      <c r="D311" s="137" t="s">
        <v>206</v>
      </c>
      <c r="E311" s="137" t="s">
        <v>207</v>
      </c>
      <c r="F311" s="137" t="s">
        <v>482</v>
      </c>
      <c r="G311" s="138" t="s">
        <v>989</v>
      </c>
    </row>
    <row r="312" spans="3:7" ht="30" x14ac:dyDescent="0.25">
      <c r="C312" s="137">
        <v>62200020</v>
      </c>
      <c r="D312" s="137" t="s">
        <v>208</v>
      </c>
      <c r="E312" s="137" t="s">
        <v>209</v>
      </c>
      <c r="F312" s="137" t="s">
        <v>482</v>
      </c>
      <c r="G312" s="138" t="s">
        <v>989</v>
      </c>
    </row>
    <row r="313" spans="3:7" x14ac:dyDescent="0.25">
      <c r="C313" s="137">
        <v>62300010</v>
      </c>
      <c r="D313" s="137" t="s">
        <v>210</v>
      </c>
      <c r="E313" s="137" t="s">
        <v>211</v>
      </c>
      <c r="F313" s="137" t="s">
        <v>483</v>
      </c>
      <c r="G313" s="138" t="s">
        <v>989</v>
      </c>
    </row>
    <row r="314" spans="3:7" ht="30" x14ac:dyDescent="0.25">
      <c r="C314" s="137">
        <v>62300020</v>
      </c>
      <c r="D314" s="137" t="s">
        <v>212</v>
      </c>
      <c r="E314" s="137" t="s">
        <v>213</v>
      </c>
      <c r="F314" s="137" t="s">
        <v>483</v>
      </c>
      <c r="G314" s="138" t="s">
        <v>989</v>
      </c>
    </row>
    <row r="315" spans="3:7" ht="30" x14ac:dyDescent="0.25">
      <c r="C315" s="137">
        <v>62400030</v>
      </c>
      <c r="D315" s="137" t="s">
        <v>214</v>
      </c>
      <c r="E315" s="137" t="s">
        <v>215</v>
      </c>
      <c r="F315" s="137" t="s">
        <v>484</v>
      </c>
      <c r="G315" s="138" t="s">
        <v>989</v>
      </c>
    </row>
    <row r="316" spans="3:7" ht="30" x14ac:dyDescent="0.25">
      <c r="C316" s="137">
        <v>62400040</v>
      </c>
      <c r="D316" s="137" t="s">
        <v>216</v>
      </c>
      <c r="E316" s="137" t="s">
        <v>1018</v>
      </c>
      <c r="F316" s="137" t="s">
        <v>484</v>
      </c>
      <c r="G316" s="138" t="s">
        <v>989</v>
      </c>
    </row>
    <row r="317" spans="3:7" x14ac:dyDescent="0.25">
      <c r="C317" s="137">
        <v>62400060</v>
      </c>
      <c r="D317" s="137" t="s">
        <v>454</v>
      </c>
      <c r="E317" s="137" t="s">
        <v>559</v>
      </c>
      <c r="F317" s="137" t="s">
        <v>484</v>
      </c>
      <c r="G317" s="137" t="s">
        <v>236</v>
      </c>
    </row>
    <row r="318" spans="3:7" x14ac:dyDescent="0.25">
      <c r="C318" s="137">
        <v>62500010</v>
      </c>
      <c r="D318" s="137" t="s">
        <v>218</v>
      </c>
      <c r="E318" s="137" t="s">
        <v>219</v>
      </c>
      <c r="F318" s="137" t="s">
        <v>218</v>
      </c>
      <c r="G318" s="137" t="s">
        <v>22</v>
      </c>
    </row>
    <row r="319" spans="3:7" ht="30" x14ac:dyDescent="0.25">
      <c r="C319" s="137">
        <v>62600010</v>
      </c>
      <c r="D319" s="137" t="s">
        <v>221</v>
      </c>
      <c r="E319" s="137" t="s">
        <v>1019</v>
      </c>
      <c r="F319" s="137" t="s">
        <v>485</v>
      </c>
      <c r="G319" s="138" t="s">
        <v>989</v>
      </c>
    </row>
    <row r="320" spans="3:7" x14ac:dyDescent="0.25">
      <c r="C320" s="137">
        <v>62600020</v>
      </c>
      <c r="D320" s="137" t="s">
        <v>223</v>
      </c>
      <c r="E320" s="137" t="s">
        <v>1013</v>
      </c>
      <c r="F320" s="137" t="s">
        <v>485</v>
      </c>
      <c r="G320" s="138" t="s">
        <v>989</v>
      </c>
    </row>
    <row r="321" spans="1:7" x14ac:dyDescent="0.25">
      <c r="C321" s="137">
        <v>62600030</v>
      </c>
      <c r="D321" s="137" t="s">
        <v>226</v>
      </c>
      <c r="E321" s="137" t="s">
        <v>1020</v>
      </c>
      <c r="F321" s="137" t="s">
        <v>485</v>
      </c>
      <c r="G321" s="138" t="s">
        <v>989</v>
      </c>
    </row>
    <row r="322" spans="1:7" x14ac:dyDescent="0.25">
      <c r="C322" s="137">
        <v>62700010</v>
      </c>
      <c r="D322" s="137" t="s">
        <v>455</v>
      </c>
      <c r="E322" s="137" t="s">
        <v>1021</v>
      </c>
      <c r="F322" s="137" t="s">
        <v>455</v>
      </c>
      <c r="G322" s="137" t="s">
        <v>236</v>
      </c>
    </row>
    <row r="323" spans="1:7" x14ac:dyDescent="0.25">
      <c r="C323" s="137">
        <v>62800010</v>
      </c>
      <c r="D323" s="137" t="s">
        <v>456</v>
      </c>
      <c r="E323" s="137" t="s">
        <v>1014</v>
      </c>
      <c r="F323" s="137" t="s">
        <v>456</v>
      </c>
      <c r="G323" s="137" t="s">
        <v>238</v>
      </c>
    </row>
    <row r="324" spans="1:7" x14ac:dyDescent="0.25">
      <c r="C324" s="137">
        <v>62900010</v>
      </c>
      <c r="D324" s="137" t="s">
        <v>228</v>
      </c>
      <c r="E324" s="137" t="s">
        <v>229</v>
      </c>
      <c r="F324" s="137" t="s">
        <v>486</v>
      </c>
      <c r="G324" s="138" t="s">
        <v>989</v>
      </c>
    </row>
    <row r="325" spans="1:7" x14ac:dyDescent="0.25">
      <c r="C325" s="137">
        <v>62900020</v>
      </c>
      <c r="D325" s="137" t="s">
        <v>230</v>
      </c>
      <c r="E325" s="137" t="s">
        <v>231</v>
      </c>
      <c r="F325" s="137" t="s">
        <v>486</v>
      </c>
      <c r="G325" s="138" t="s">
        <v>989</v>
      </c>
    </row>
    <row r="326" spans="1:7" x14ac:dyDescent="0.25">
      <c r="C326" s="137">
        <v>63300010</v>
      </c>
      <c r="D326" s="137" t="s">
        <v>992</v>
      </c>
      <c r="E326" s="137" t="s">
        <v>1022</v>
      </c>
      <c r="F326" s="137" t="s">
        <v>342</v>
      </c>
      <c r="G326" s="137"/>
    </row>
    <row r="327" spans="1:7" x14ac:dyDescent="0.25">
      <c r="C327" s="357">
        <v>63900010</v>
      </c>
      <c r="D327" s="115" t="s">
        <v>232</v>
      </c>
      <c r="E327" s="116" t="s">
        <v>1536</v>
      </c>
      <c r="F327" s="116" t="s">
        <v>495</v>
      </c>
      <c r="G327" s="116" t="s">
        <v>989</v>
      </c>
    </row>
    <row r="330" spans="1:7" s="349" customFormat="1" ht="15.75" x14ac:dyDescent="0.25">
      <c r="A330" s="136"/>
      <c r="B330" s="136"/>
      <c r="C330" s="348" t="s">
        <v>713</v>
      </c>
      <c r="D330" s="338" t="s">
        <v>541</v>
      </c>
    </row>
    <row r="331" spans="1:7" outlineLevel="1" x14ac:dyDescent="0.25"/>
    <row r="332" spans="1:7" outlineLevel="1" x14ac:dyDescent="0.25">
      <c r="C332" s="75" t="s">
        <v>893</v>
      </c>
    </row>
    <row r="333" spans="1:7" outlineLevel="1" x14ac:dyDescent="0.25"/>
    <row r="334" spans="1:7" outlineLevel="1" x14ac:dyDescent="0.25">
      <c r="B334" s="94" t="s">
        <v>895</v>
      </c>
      <c r="C334" s="94" t="s">
        <v>543</v>
      </c>
    </row>
    <row r="335" spans="1:7" outlineLevel="1" x14ac:dyDescent="0.25">
      <c r="C335" s="75" t="s">
        <v>808</v>
      </c>
    </row>
    <row r="336" spans="1:7" outlineLevel="1" x14ac:dyDescent="0.25"/>
    <row r="337" spans="2:5" outlineLevel="1" x14ac:dyDescent="0.25">
      <c r="B337" s="94" t="s">
        <v>896</v>
      </c>
      <c r="C337" s="94" t="s">
        <v>799</v>
      </c>
    </row>
    <row r="338" spans="2:5" outlineLevel="1" x14ac:dyDescent="0.25">
      <c r="C338" s="75" t="s">
        <v>544</v>
      </c>
    </row>
    <row r="339" spans="2:5" outlineLevel="1" x14ac:dyDescent="0.25">
      <c r="C339" s="75" t="s">
        <v>834</v>
      </c>
    </row>
    <row r="340" spans="2:5" outlineLevel="1" x14ac:dyDescent="0.25"/>
    <row r="341" spans="2:5" s="94" customFormat="1" outlineLevel="1" x14ac:dyDescent="0.25">
      <c r="B341" s="94" t="s">
        <v>897</v>
      </c>
      <c r="C341" s="94" t="s">
        <v>894</v>
      </c>
    </row>
    <row r="342" spans="2:5" outlineLevel="1" x14ac:dyDescent="0.25">
      <c r="C342" s="75" t="s">
        <v>899</v>
      </c>
    </row>
    <row r="343" spans="2:5" outlineLevel="1" x14ac:dyDescent="0.25">
      <c r="C343" s="75" t="s">
        <v>834</v>
      </c>
    </row>
    <row r="344" spans="2:5" outlineLevel="1" x14ac:dyDescent="0.25"/>
    <row r="345" spans="2:5" ht="90" outlineLevel="1" x14ac:dyDescent="0.25">
      <c r="C345" s="123" t="s">
        <v>547</v>
      </c>
      <c r="D345" s="93" t="s">
        <v>900</v>
      </c>
    </row>
    <row r="346" spans="2:5" ht="30" outlineLevel="1" x14ac:dyDescent="0.25">
      <c r="C346" s="123" t="s">
        <v>461</v>
      </c>
      <c r="D346" s="93" t="s">
        <v>901</v>
      </c>
    </row>
    <row r="347" spans="2:5" ht="30" outlineLevel="1" x14ac:dyDescent="0.25">
      <c r="C347" s="123" t="s">
        <v>46</v>
      </c>
      <c r="D347" s="93" t="s">
        <v>1524</v>
      </c>
      <c r="E347" s="340" t="s">
        <v>1525</v>
      </c>
    </row>
    <row r="348" spans="2:5" ht="60" outlineLevel="1" x14ac:dyDescent="0.25">
      <c r="C348" s="123" t="s">
        <v>460</v>
      </c>
      <c r="D348" s="93" t="s">
        <v>903</v>
      </c>
    </row>
    <row r="349" spans="2:5" ht="45" outlineLevel="1" x14ac:dyDescent="0.25">
      <c r="C349" s="123" t="s">
        <v>338</v>
      </c>
      <c r="D349" s="93" t="s">
        <v>902</v>
      </c>
    </row>
  </sheetData>
  <sheetProtection formatRows="0"/>
  <hyperlinks>
    <hyperlink ref="D28" location="Cover!A1" display="Cover" xr:uid="{3EC152B7-4716-4060-A640-7A24EBF45C66}"/>
    <hyperlink ref="D125" location="'Budget Opex Detail'!A1" display="Budget Opex Detail" xr:uid="{1CDBA67C-93DD-493D-97F2-43B07A14D883}"/>
    <hyperlink ref="D330" location="'Activity Master Opex'!A1" display="Activity Master" xr:uid="{D3416604-1112-431F-82E2-EE593522ABD3}"/>
    <hyperlink ref="C80" location="'Asset determination'!A1" display="'Asset determination" xr:uid="{BBB45CD0-00E9-491F-B586-79CB01B9551B}"/>
    <hyperlink ref="E347" location="'Master Data'!A1" display="Master Data" xr:uid="{D4F46ED5-B64F-4649-8C9E-99DE94A5AF69}"/>
    <hyperlink ref="D77" location="'Budget Capex Detail'!A1" display="Budget Capex Detail" xr:uid="{8B1E8C8F-A7B6-4F02-AF15-81D1769EC371}"/>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801A2-336F-4EB4-8DFD-E63066EF5355}">
  <sheetPr codeName="Sheet12">
    <tabColor rgb="FF339966"/>
  </sheetPr>
  <dimension ref="A2:P349"/>
  <sheetViews>
    <sheetView showGridLines="0" zoomScale="80" zoomScaleNormal="80" workbookViewId="0">
      <selection activeCell="C1" sqref="C1"/>
    </sheetView>
  </sheetViews>
  <sheetFormatPr defaultColWidth="10.28515625" defaultRowHeight="15" outlineLevelRow="4" x14ac:dyDescent="0.25"/>
  <cols>
    <col min="1" max="1" width="0.85546875" style="75" customWidth="1"/>
    <col min="2" max="2" width="3.42578125" style="75" bestFit="1" customWidth="1"/>
    <col min="3" max="3" width="45" style="75" bestFit="1" customWidth="1"/>
    <col min="4" max="4" width="70.7109375" style="75" bestFit="1" customWidth="1"/>
    <col min="5" max="5" width="68.7109375" style="75" customWidth="1"/>
    <col min="6" max="6" width="33" style="75" customWidth="1"/>
    <col min="7" max="7" width="31.7109375" style="75" customWidth="1"/>
    <col min="8" max="10" width="10.28515625" style="75"/>
    <col min="11" max="11" width="10.28515625" style="75" customWidth="1"/>
    <col min="12" max="16384" width="10.28515625" style="75"/>
  </cols>
  <sheetData>
    <row r="2" spans="2:16" ht="24" x14ac:dyDescent="0.4">
      <c r="B2" s="76" t="s">
        <v>810</v>
      </c>
    </row>
    <row r="3" spans="2:16" ht="21" x14ac:dyDescent="0.35">
      <c r="B3" s="77"/>
    </row>
    <row r="4" spans="2:16" ht="19.5" thickBot="1" x14ac:dyDescent="0.35">
      <c r="B4" s="78" t="s">
        <v>772</v>
      </c>
      <c r="C4" s="79"/>
      <c r="D4" s="80"/>
      <c r="E4" s="79"/>
      <c r="F4" s="79"/>
      <c r="G4" s="79"/>
      <c r="H4" s="79"/>
      <c r="I4" s="79"/>
      <c r="J4" s="79"/>
      <c r="K4" s="79"/>
      <c r="L4" s="79"/>
      <c r="M4" s="79"/>
      <c r="N4" s="79"/>
      <c r="O4" s="79"/>
      <c r="P4" s="79"/>
    </row>
    <row r="5" spans="2:16" x14ac:dyDescent="0.25">
      <c r="B5" s="81"/>
      <c r="D5" s="82"/>
    </row>
    <row r="6" spans="2:16" x14ac:dyDescent="0.25">
      <c r="B6" s="75">
        <v>1</v>
      </c>
      <c r="C6" s="83" t="s">
        <v>1029</v>
      </c>
    </row>
    <row r="7" spans="2:16" x14ac:dyDescent="0.25">
      <c r="B7" s="75">
        <v>2</v>
      </c>
      <c r="C7" s="83" t="s">
        <v>1030</v>
      </c>
    </row>
    <row r="8" spans="2:16" x14ac:dyDescent="0.25">
      <c r="B8" s="84" t="s">
        <v>2</v>
      </c>
      <c r="C8" s="83" t="s">
        <v>1031</v>
      </c>
    </row>
    <row r="9" spans="2:16" x14ac:dyDescent="0.25">
      <c r="B9" s="84" t="s">
        <v>2</v>
      </c>
      <c r="C9" s="83" t="s">
        <v>1032</v>
      </c>
    </row>
    <row r="10" spans="2:16" x14ac:dyDescent="0.25">
      <c r="B10" s="84" t="s">
        <v>2</v>
      </c>
      <c r="C10" s="83" t="s">
        <v>1033</v>
      </c>
    </row>
    <row r="11" spans="2:16" x14ac:dyDescent="0.25">
      <c r="B11" s="84" t="s">
        <v>2</v>
      </c>
      <c r="C11" s="83" t="s">
        <v>1034</v>
      </c>
    </row>
    <row r="12" spans="2:16" x14ac:dyDescent="0.25">
      <c r="B12" s="84" t="s">
        <v>2</v>
      </c>
      <c r="C12" s="83" t="s">
        <v>1035</v>
      </c>
    </row>
    <row r="13" spans="2:16" x14ac:dyDescent="0.25">
      <c r="B13" s="75">
        <v>3</v>
      </c>
      <c r="C13" s="149" t="s">
        <v>1036</v>
      </c>
    </row>
    <row r="14" spans="2:16" x14ac:dyDescent="0.25">
      <c r="B14" s="75">
        <v>4</v>
      </c>
      <c r="C14" s="75" t="s">
        <v>1037</v>
      </c>
    </row>
    <row r="15" spans="2:16" x14ac:dyDescent="0.25">
      <c r="B15" s="75">
        <v>5</v>
      </c>
      <c r="C15" s="75" t="s">
        <v>1038</v>
      </c>
    </row>
    <row r="16" spans="2:16" x14ac:dyDescent="0.25">
      <c r="B16" s="75">
        <v>6</v>
      </c>
      <c r="C16" s="75" t="s">
        <v>1547</v>
      </c>
    </row>
    <row r="18" spans="1:16" ht="19.5" thickBot="1" x14ac:dyDescent="0.35">
      <c r="B18" s="78" t="s">
        <v>1039</v>
      </c>
      <c r="C18" s="79"/>
      <c r="D18" s="80"/>
      <c r="E18" s="79"/>
      <c r="F18" s="79"/>
      <c r="G18" s="79"/>
      <c r="H18" s="79"/>
      <c r="I18" s="79"/>
      <c r="J18" s="79"/>
      <c r="K18" s="79"/>
      <c r="L18" s="79"/>
      <c r="M18" s="79"/>
      <c r="N18" s="79"/>
      <c r="O18" s="79"/>
      <c r="P18" s="79"/>
    </row>
    <row r="20" spans="1:16" x14ac:dyDescent="0.25">
      <c r="B20" s="75">
        <v>1</v>
      </c>
      <c r="C20" s="75" t="s">
        <v>1040</v>
      </c>
    </row>
    <row r="21" spans="1:16" x14ac:dyDescent="0.25">
      <c r="C21" s="85" t="s">
        <v>8</v>
      </c>
    </row>
    <row r="22" spans="1:16" x14ac:dyDescent="0.25">
      <c r="C22" s="85" t="s">
        <v>1043</v>
      </c>
    </row>
    <row r="23" spans="1:16" x14ac:dyDescent="0.25">
      <c r="C23" s="85" t="s">
        <v>1044</v>
      </c>
    </row>
    <row r="24" spans="1:16" x14ac:dyDescent="0.25">
      <c r="C24" s="85" t="s">
        <v>1045</v>
      </c>
    </row>
    <row r="25" spans="1:16" x14ac:dyDescent="0.25">
      <c r="B25" s="75">
        <v>2</v>
      </c>
      <c r="C25" s="75" t="s">
        <v>1041</v>
      </c>
    </row>
    <row r="26" spans="1:16" x14ac:dyDescent="0.25">
      <c r="B26" s="75">
        <v>3</v>
      </c>
      <c r="C26" s="75" t="s">
        <v>1042</v>
      </c>
    </row>
    <row r="28" spans="1:16" s="343" customFormat="1" ht="15.75" x14ac:dyDescent="0.25">
      <c r="A28" s="98"/>
      <c r="B28" s="98"/>
      <c r="C28" s="341" t="s">
        <v>10</v>
      </c>
      <c r="D28" s="342" t="s">
        <v>11</v>
      </c>
    </row>
    <row r="30" spans="1:16" x14ac:dyDescent="0.25">
      <c r="C30" s="75" t="s">
        <v>1046</v>
      </c>
    </row>
    <row r="31" spans="1:16" outlineLevel="1" x14ac:dyDescent="0.25"/>
    <row r="32" spans="1:16" outlineLevel="1" x14ac:dyDescent="0.25">
      <c r="C32" s="96" t="s">
        <v>13</v>
      </c>
      <c r="D32" s="100" t="s">
        <v>1048</v>
      </c>
    </row>
    <row r="33" spans="3:4" ht="60" outlineLevel="1" x14ac:dyDescent="0.25">
      <c r="C33" s="97" t="s">
        <v>15</v>
      </c>
      <c r="D33" s="102" t="s">
        <v>1047</v>
      </c>
    </row>
    <row r="34" spans="3:4" outlineLevel="1" x14ac:dyDescent="0.25">
      <c r="C34" s="97" t="s">
        <v>234</v>
      </c>
      <c r="D34" s="102" t="s">
        <v>1049</v>
      </c>
    </row>
    <row r="35" spans="3:4" outlineLevel="1" x14ac:dyDescent="0.25">
      <c r="C35" s="97" t="s">
        <v>337</v>
      </c>
      <c r="D35" s="102" t="s">
        <v>1050</v>
      </c>
    </row>
    <row r="36" spans="3:4" outlineLevel="1" x14ac:dyDescent="0.25"/>
    <row r="37" spans="3:4" ht="33" customHeight="1" outlineLevel="1" x14ac:dyDescent="0.25">
      <c r="C37" s="120" t="s">
        <v>804</v>
      </c>
      <c r="D37" s="120" t="s">
        <v>805</v>
      </c>
    </row>
    <row r="38" spans="3:4" outlineLevel="2" x14ac:dyDescent="0.25">
      <c r="C38" s="95" t="s">
        <v>842</v>
      </c>
      <c r="D38" s="95" t="s">
        <v>337</v>
      </c>
    </row>
    <row r="39" spans="3:4" outlineLevel="2" x14ac:dyDescent="0.25">
      <c r="C39" s="99" t="s">
        <v>904</v>
      </c>
      <c r="D39" s="99" t="s">
        <v>678</v>
      </c>
    </row>
    <row r="40" spans="3:4" outlineLevel="2" x14ac:dyDescent="0.25">
      <c r="C40" s="99" t="s">
        <v>904</v>
      </c>
      <c r="D40" s="99" t="s">
        <v>674</v>
      </c>
    </row>
    <row r="41" spans="3:4" outlineLevel="2" x14ac:dyDescent="0.25">
      <c r="C41" s="99" t="s">
        <v>904</v>
      </c>
      <c r="D41" s="99" t="s">
        <v>675</v>
      </c>
    </row>
    <row r="42" spans="3:4" outlineLevel="2" x14ac:dyDescent="0.25">
      <c r="C42" s="99" t="s">
        <v>905</v>
      </c>
      <c r="D42" s="99" t="s">
        <v>835</v>
      </c>
    </row>
    <row r="43" spans="3:4" outlineLevel="2" x14ac:dyDescent="0.25">
      <c r="C43" s="99" t="s">
        <v>905</v>
      </c>
      <c r="D43" s="99" t="s">
        <v>836</v>
      </c>
    </row>
    <row r="44" spans="3:4" outlineLevel="2" x14ac:dyDescent="0.25">
      <c r="C44" s="99" t="s">
        <v>905</v>
      </c>
      <c r="D44" s="99" t="s">
        <v>640</v>
      </c>
    </row>
    <row r="45" spans="3:4" outlineLevel="2" x14ac:dyDescent="0.25">
      <c r="C45" s="99" t="s">
        <v>905</v>
      </c>
      <c r="D45" s="99" t="s">
        <v>737</v>
      </c>
    </row>
    <row r="46" spans="3:4" outlineLevel="2" x14ac:dyDescent="0.25">
      <c r="C46" s="99" t="s">
        <v>905</v>
      </c>
      <c r="D46" s="99" t="s">
        <v>680</v>
      </c>
    </row>
    <row r="47" spans="3:4" outlineLevel="2" x14ac:dyDescent="0.25">
      <c r="C47" s="100" t="s">
        <v>837</v>
      </c>
      <c r="D47" s="100" t="s">
        <v>30</v>
      </c>
    </row>
    <row r="48" spans="3:4" outlineLevel="2" x14ac:dyDescent="0.25">
      <c r="C48" s="100" t="s">
        <v>837</v>
      </c>
      <c r="D48" s="100" t="s">
        <v>29</v>
      </c>
    </row>
    <row r="49" spans="3:4" outlineLevel="2" x14ac:dyDescent="0.25">
      <c r="C49" s="100" t="s">
        <v>22</v>
      </c>
      <c r="D49" s="100" t="s">
        <v>291</v>
      </c>
    </row>
    <row r="50" spans="3:4" outlineLevel="2" x14ac:dyDescent="0.25">
      <c r="C50" s="100" t="str">
        <f>C49</f>
        <v>HSE</v>
      </c>
      <c r="D50" s="100" t="s">
        <v>292</v>
      </c>
    </row>
    <row r="51" spans="3:4" outlineLevel="2" x14ac:dyDescent="0.25">
      <c r="C51" s="100" t="s">
        <v>583</v>
      </c>
      <c r="D51" s="100" t="s">
        <v>236</v>
      </c>
    </row>
    <row r="52" spans="3:4" outlineLevel="2" x14ac:dyDescent="0.25">
      <c r="C52" s="100" t="s">
        <v>583</v>
      </c>
      <c r="D52" s="100" t="s">
        <v>32</v>
      </c>
    </row>
    <row r="53" spans="3:4" outlineLevel="2" x14ac:dyDescent="0.25">
      <c r="C53" s="100" t="s">
        <v>794</v>
      </c>
      <c r="D53" s="100" t="s">
        <v>245</v>
      </c>
    </row>
    <row r="54" spans="3:4" outlineLevel="2" x14ac:dyDescent="0.25">
      <c r="C54" s="100" t="s">
        <v>794</v>
      </c>
      <c r="D54" s="100" t="s">
        <v>24</v>
      </c>
    </row>
    <row r="55" spans="3:4" outlineLevel="2" x14ac:dyDescent="0.25">
      <c r="C55" s="100" t="s">
        <v>794</v>
      </c>
      <c r="D55" s="100" t="s">
        <v>19</v>
      </c>
    </row>
    <row r="56" spans="3:4" outlineLevel="2" x14ac:dyDescent="0.25">
      <c r="C56" s="100" t="s">
        <v>794</v>
      </c>
      <c r="D56" s="100" t="s">
        <v>20</v>
      </c>
    </row>
    <row r="57" spans="3:4" outlineLevel="2" x14ac:dyDescent="0.25">
      <c r="C57" s="100" t="s">
        <v>794</v>
      </c>
      <c r="D57" s="100" t="s">
        <v>1526</v>
      </c>
    </row>
    <row r="58" spans="3:4" outlineLevel="2" x14ac:dyDescent="0.25">
      <c r="C58" s="100" t="s">
        <v>794</v>
      </c>
      <c r="D58" s="100" t="s">
        <v>1542</v>
      </c>
    </row>
    <row r="59" spans="3:4" outlineLevel="2" x14ac:dyDescent="0.25">
      <c r="C59" s="100" t="s">
        <v>1519</v>
      </c>
      <c r="D59" s="100" t="s">
        <v>1435</v>
      </c>
    </row>
    <row r="60" spans="3:4" outlineLevel="2" x14ac:dyDescent="0.25">
      <c r="C60" s="100" t="s">
        <v>1519</v>
      </c>
      <c r="D60" s="100" t="s">
        <v>1521</v>
      </c>
    </row>
    <row r="61" spans="3:4" outlineLevel="2" x14ac:dyDescent="0.25">
      <c r="C61" s="100" t="s">
        <v>1519</v>
      </c>
      <c r="D61" s="100" t="s">
        <v>1522</v>
      </c>
    </row>
    <row r="62" spans="3:4" outlineLevel="2" x14ac:dyDescent="0.25">
      <c r="C62" s="100" t="s">
        <v>1520</v>
      </c>
      <c r="D62" s="100" t="s">
        <v>325</v>
      </c>
    </row>
    <row r="63" spans="3:4" outlineLevel="2" x14ac:dyDescent="0.25">
      <c r="C63" s="100" t="s">
        <v>1520</v>
      </c>
      <c r="D63" s="100" t="s">
        <v>588</v>
      </c>
    </row>
    <row r="64" spans="3:4" outlineLevel="2" x14ac:dyDescent="0.25">
      <c r="C64" s="100" t="s">
        <v>237</v>
      </c>
      <c r="D64" s="100" t="s">
        <v>1555</v>
      </c>
    </row>
    <row r="65" spans="1:4" outlineLevel="2" x14ac:dyDescent="0.25">
      <c r="C65" s="100" t="s">
        <v>237</v>
      </c>
      <c r="D65" s="100" t="s">
        <v>843</v>
      </c>
    </row>
    <row r="66" spans="1:4" outlineLevel="2" x14ac:dyDescent="0.25">
      <c r="C66" s="100" t="s">
        <v>237</v>
      </c>
      <c r="D66" s="100" t="s">
        <v>1556</v>
      </c>
    </row>
    <row r="67" spans="1:4" outlineLevel="2" x14ac:dyDescent="0.25">
      <c r="C67" s="100" t="s">
        <v>585</v>
      </c>
      <c r="D67" s="100" t="s">
        <v>1467</v>
      </c>
    </row>
    <row r="68" spans="1:4" outlineLevel="2" x14ac:dyDescent="0.25">
      <c r="C68" s="100" t="s">
        <v>585</v>
      </c>
      <c r="D68" s="100" t="s">
        <v>26</v>
      </c>
    </row>
    <row r="69" spans="1:4" outlineLevel="2" x14ac:dyDescent="0.25">
      <c r="C69" s="100" t="s">
        <v>585</v>
      </c>
      <c r="D69" s="100" t="s">
        <v>27</v>
      </c>
    </row>
    <row r="70" spans="1:4" outlineLevel="2" x14ac:dyDescent="0.25">
      <c r="C70" s="100" t="s">
        <v>585</v>
      </c>
      <c r="D70" s="100" t="s">
        <v>28</v>
      </c>
    </row>
    <row r="71" spans="1:4" outlineLevel="2" x14ac:dyDescent="0.25">
      <c r="C71" s="101" t="s">
        <v>239</v>
      </c>
      <c r="D71" s="100" t="s">
        <v>586</v>
      </c>
    </row>
    <row r="72" spans="1:4" outlineLevel="2" x14ac:dyDescent="0.25">
      <c r="C72" s="100" t="s">
        <v>239</v>
      </c>
      <c r="D72" s="100" t="s">
        <v>34</v>
      </c>
    </row>
    <row r="73" spans="1:4" outlineLevel="2" x14ac:dyDescent="0.25">
      <c r="C73" s="100" t="s">
        <v>239</v>
      </c>
      <c r="D73" s="100" t="s">
        <v>35</v>
      </c>
    </row>
    <row r="74" spans="1:4" outlineLevel="1" x14ac:dyDescent="0.25"/>
    <row r="75" spans="1:4" outlineLevel="1" x14ac:dyDescent="0.25">
      <c r="C75" s="75" t="s">
        <v>1054</v>
      </c>
    </row>
    <row r="77" spans="1:4" s="343" customFormat="1" ht="15.75" x14ac:dyDescent="0.25">
      <c r="A77" s="98"/>
      <c r="B77" s="98"/>
      <c r="C77" s="341" t="s">
        <v>769</v>
      </c>
      <c r="D77" s="339" t="s">
        <v>1523</v>
      </c>
    </row>
    <row r="79" spans="1:4" x14ac:dyDescent="0.25">
      <c r="C79" s="75" t="s">
        <v>1055</v>
      </c>
    </row>
    <row r="80" spans="1:4" x14ac:dyDescent="0.25">
      <c r="C80" s="337" t="s">
        <v>880</v>
      </c>
      <c r="D80" s="134"/>
    </row>
    <row r="81" spans="3:4" outlineLevel="1" x14ac:dyDescent="0.25">
      <c r="C81" s="75" t="s">
        <v>1056</v>
      </c>
    </row>
    <row r="82" spans="3:4" outlineLevel="1" x14ac:dyDescent="0.25">
      <c r="C82" s="75" t="s">
        <v>1057</v>
      </c>
    </row>
    <row r="83" spans="3:4" outlineLevel="1" x14ac:dyDescent="0.25"/>
    <row r="84" spans="3:4" outlineLevel="1" x14ac:dyDescent="0.25">
      <c r="C84" s="95" t="s">
        <v>840</v>
      </c>
      <c r="D84" s="95" t="s">
        <v>841</v>
      </c>
    </row>
    <row r="85" spans="3:4" ht="66.75" customHeight="1" outlineLevel="1" x14ac:dyDescent="0.25">
      <c r="C85" s="86" t="s">
        <v>686</v>
      </c>
      <c r="D85" s="88" t="s">
        <v>1058</v>
      </c>
    </row>
    <row r="86" spans="3:4" ht="45" outlineLevel="1" x14ac:dyDescent="0.25">
      <c r="C86" s="86" t="s">
        <v>339</v>
      </c>
      <c r="D86" s="87" t="s">
        <v>1059</v>
      </c>
    </row>
    <row r="87" spans="3:4" ht="75" outlineLevel="1" x14ac:dyDescent="0.25">
      <c r="C87" s="141" t="s">
        <v>688</v>
      </c>
      <c r="D87" s="145" t="s">
        <v>1060</v>
      </c>
    </row>
    <row r="88" spans="3:4" ht="33" customHeight="1" outlineLevel="1" x14ac:dyDescent="0.25">
      <c r="C88" s="143" t="s">
        <v>690</v>
      </c>
      <c r="D88" s="147" t="s">
        <v>1061</v>
      </c>
    </row>
    <row r="89" spans="3:4" ht="153.75" customHeight="1" outlineLevel="1" x14ac:dyDescent="0.25">
      <c r="C89" s="144"/>
      <c r="D89" s="148" t="e" vm="1">
        <v>#VALUE!</v>
      </c>
    </row>
    <row r="90" spans="3:4" ht="60" outlineLevel="1" x14ac:dyDescent="0.25">
      <c r="C90" s="142" t="s">
        <v>797</v>
      </c>
      <c r="D90" s="146" t="s">
        <v>1063</v>
      </c>
    </row>
    <row r="91" spans="3:4" outlineLevel="1" x14ac:dyDescent="0.25">
      <c r="C91" s="103" t="s">
        <v>845</v>
      </c>
      <c r="D91" s="104" t="s">
        <v>1064</v>
      </c>
    </row>
    <row r="92" spans="3:4" outlineLevel="1" x14ac:dyDescent="0.25">
      <c r="C92" s="103" t="s">
        <v>847</v>
      </c>
      <c r="D92" s="104" t="s">
        <v>1065</v>
      </c>
    </row>
    <row r="93" spans="3:4" outlineLevel="1" x14ac:dyDescent="0.25">
      <c r="C93" s="103" t="s">
        <v>845</v>
      </c>
      <c r="D93" s="104" t="s">
        <v>1548</v>
      </c>
    </row>
    <row r="94" spans="3:4" ht="75" outlineLevel="1" x14ac:dyDescent="0.25">
      <c r="C94" s="89" t="s">
        <v>591</v>
      </c>
      <c r="D94" s="87" t="s">
        <v>1066</v>
      </c>
    </row>
    <row r="95" spans="3:4" outlineLevel="1" x14ac:dyDescent="0.25">
      <c r="C95" s="89" t="s">
        <v>592</v>
      </c>
      <c r="D95" s="90" t="s">
        <v>1067</v>
      </c>
    </row>
    <row r="96" spans="3:4" outlineLevel="1" x14ac:dyDescent="0.25">
      <c r="C96" s="89" t="s">
        <v>770</v>
      </c>
      <c r="D96" s="90" t="s">
        <v>1068</v>
      </c>
    </row>
    <row r="97" spans="3:6" outlineLevel="1" x14ac:dyDescent="0.25">
      <c r="C97" s="89" t="s">
        <v>736</v>
      </c>
      <c r="D97" s="90" t="s">
        <v>1069</v>
      </c>
    </row>
    <row r="98" spans="3:6" outlineLevel="1" x14ac:dyDescent="0.25">
      <c r="C98" s="89" t="s">
        <v>722</v>
      </c>
      <c r="D98" s="90" t="s">
        <v>1070</v>
      </c>
    </row>
    <row r="99" spans="3:6" outlineLevel="1" x14ac:dyDescent="0.25">
      <c r="C99" s="89" t="s">
        <v>1072</v>
      </c>
      <c r="D99" s="90" t="s">
        <v>773</v>
      </c>
    </row>
    <row r="100" spans="3:6" outlineLevel="1" x14ac:dyDescent="0.25">
      <c r="C100" s="89" t="s">
        <v>1071</v>
      </c>
      <c r="D100" s="90" t="s">
        <v>774</v>
      </c>
    </row>
    <row r="101" spans="3:6" outlineLevel="1" x14ac:dyDescent="0.25">
      <c r="C101" s="105" t="s">
        <v>859</v>
      </c>
      <c r="D101" s="90" t="s">
        <v>1074</v>
      </c>
    </row>
    <row r="102" spans="3:6" outlineLevel="1" x14ac:dyDescent="0.25">
      <c r="C102" s="89" t="s">
        <v>775</v>
      </c>
      <c r="D102" s="90" t="s">
        <v>1073</v>
      </c>
    </row>
    <row r="103" spans="3:6" outlineLevel="1" x14ac:dyDescent="0.25"/>
    <row r="104" spans="3:6" outlineLevel="1" x14ac:dyDescent="0.25">
      <c r="C104" s="94" t="s">
        <v>1075</v>
      </c>
    </row>
    <row r="105" spans="3:6" outlineLevel="2" x14ac:dyDescent="0.25">
      <c r="C105" s="124" t="s">
        <v>40</v>
      </c>
      <c r="D105" s="95" t="s">
        <v>41</v>
      </c>
      <c r="E105" s="125" t="s">
        <v>1076</v>
      </c>
      <c r="F105" s="129"/>
    </row>
    <row r="106" spans="3:6" outlineLevel="2" x14ac:dyDescent="0.25">
      <c r="C106" s="126" t="s">
        <v>672</v>
      </c>
      <c r="D106" s="127"/>
      <c r="E106" s="133"/>
      <c r="F106" s="130"/>
    </row>
    <row r="107" spans="3:6" outlineLevel="2" x14ac:dyDescent="0.25">
      <c r="C107" s="106">
        <v>15000000</v>
      </c>
      <c r="D107" s="107" t="s">
        <v>643</v>
      </c>
      <c r="E107" s="128" t="s">
        <v>1077</v>
      </c>
      <c r="F107" s="131"/>
    </row>
    <row r="108" spans="3:6" ht="45" outlineLevel="2" x14ac:dyDescent="0.25">
      <c r="C108" s="108">
        <v>15000010</v>
      </c>
      <c r="D108" s="109" t="s">
        <v>644</v>
      </c>
      <c r="E108" s="110" t="s">
        <v>1078</v>
      </c>
      <c r="F108" s="132"/>
    </row>
    <row r="109" spans="3:6" ht="30" outlineLevel="2" x14ac:dyDescent="0.25">
      <c r="C109" s="108">
        <v>15000020</v>
      </c>
      <c r="D109" s="109" t="s">
        <v>645</v>
      </c>
      <c r="E109" s="110" t="s">
        <v>1079</v>
      </c>
      <c r="F109" s="132"/>
    </row>
    <row r="110" spans="3:6" ht="30" outlineLevel="2" x14ac:dyDescent="0.25">
      <c r="C110" s="108">
        <v>15000030</v>
      </c>
      <c r="D110" s="109" t="s">
        <v>646</v>
      </c>
      <c r="E110" s="110" t="s">
        <v>1080</v>
      </c>
      <c r="F110" s="132"/>
    </row>
    <row r="111" spans="3:6" ht="30" outlineLevel="2" x14ac:dyDescent="0.25">
      <c r="C111" s="108">
        <v>15000040</v>
      </c>
      <c r="D111" s="109" t="s">
        <v>647</v>
      </c>
      <c r="E111" s="110" t="s">
        <v>1081</v>
      </c>
      <c r="F111" s="132"/>
    </row>
    <row r="112" spans="3:6" ht="30" outlineLevel="2" x14ac:dyDescent="0.25">
      <c r="C112" s="108">
        <v>15000050</v>
      </c>
      <c r="D112" s="109" t="s">
        <v>648</v>
      </c>
      <c r="E112" s="110" t="s">
        <v>1082</v>
      </c>
      <c r="F112" s="132"/>
    </row>
    <row r="113" spans="1:6" ht="30" outlineLevel="2" x14ac:dyDescent="0.25">
      <c r="C113" s="108">
        <v>15000060</v>
      </c>
      <c r="D113" s="109" t="s">
        <v>649</v>
      </c>
      <c r="E113" s="110" t="s">
        <v>1083</v>
      </c>
      <c r="F113" s="132"/>
    </row>
    <row r="114" spans="1:6" ht="30" outlineLevel="2" x14ac:dyDescent="0.25">
      <c r="C114" s="111">
        <v>15000070</v>
      </c>
      <c r="D114" s="112" t="s">
        <v>650</v>
      </c>
      <c r="E114" s="113" t="s">
        <v>1084</v>
      </c>
      <c r="F114" s="132"/>
    </row>
    <row r="115" spans="1:6" ht="16.5" customHeight="1" outlineLevel="2" x14ac:dyDescent="0.25">
      <c r="C115" s="111">
        <v>15000080</v>
      </c>
      <c r="D115" s="112" t="s">
        <v>651</v>
      </c>
      <c r="E115" s="113" t="s">
        <v>1085</v>
      </c>
      <c r="F115" s="132"/>
    </row>
    <row r="116" spans="1:6" ht="30" outlineLevel="2" x14ac:dyDescent="0.25">
      <c r="C116" s="111">
        <v>15200000</v>
      </c>
      <c r="D116" s="112" t="s">
        <v>653</v>
      </c>
      <c r="E116" s="113" t="s">
        <v>1086</v>
      </c>
      <c r="F116" s="131"/>
    </row>
    <row r="117" spans="1:6" outlineLevel="2" x14ac:dyDescent="0.25">
      <c r="C117" s="117" t="s">
        <v>1087</v>
      </c>
      <c r="D117" s="118"/>
      <c r="E117" s="119"/>
      <c r="F117" s="130"/>
    </row>
    <row r="118" spans="1:6" ht="60" outlineLevel="2" x14ac:dyDescent="0.25">
      <c r="C118" s="111">
        <v>15020010</v>
      </c>
      <c r="D118" s="112" t="s">
        <v>655</v>
      </c>
      <c r="E118" s="113" t="s">
        <v>1088</v>
      </c>
      <c r="F118" s="132"/>
    </row>
    <row r="119" spans="1:6" ht="45" outlineLevel="2" x14ac:dyDescent="0.25">
      <c r="C119" s="111">
        <v>15020020</v>
      </c>
      <c r="D119" s="112" t="s">
        <v>656</v>
      </c>
      <c r="E119" s="113" t="s">
        <v>1089</v>
      </c>
      <c r="F119" s="132"/>
    </row>
    <row r="120" spans="1:6" ht="30" outlineLevel="2" x14ac:dyDescent="0.25">
      <c r="C120" s="111">
        <v>15020030</v>
      </c>
      <c r="D120" s="112" t="s">
        <v>657</v>
      </c>
      <c r="E120" s="113" t="s">
        <v>1090</v>
      </c>
      <c r="F120" s="132"/>
    </row>
    <row r="121" spans="1:6" ht="30" outlineLevel="2" x14ac:dyDescent="0.25">
      <c r="C121" s="111">
        <v>15020040</v>
      </c>
      <c r="D121" s="112" t="s">
        <v>658</v>
      </c>
      <c r="E121" s="113" t="s">
        <v>1091</v>
      </c>
      <c r="F121" s="132"/>
    </row>
    <row r="122" spans="1:6" outlineLevel="2" x14ac:dyDescent="0.25">
      <c r="C122" s="111">
        <v>15020080</v>
      </c>
      <c r="D122" s="112" t="s">
        <v>659</v>
      </c>
      <c r="E122" s="113" t="s">
        <v>1092</v>
      </c>
      <c r="F122" s="132"/>
    </row>
    <row r="123" spans="1:6" ht="45" outlineLevel="2" x14ac:dyDescent="0.25">
      <c r="C123" s="114">
        <v>15020090</v>
      </c>
      <c r="D123" s="115" t="s">
        <v>709</v>
      </c>
      <c r="E123" s="116" t="s">
        <v>1093</v>
      </c>
      <c r="F123" s="132"/>
    </row>
    <row r="124" spans="1:6" outlineLevel="2" x14ac:dyDescent="0.25">
      <c r="C124" s="344"/>
      <c r="D124" s="131"/>
      <c r="E124" s="132"/>
      <c r="F124" s="132"/>
    </row>
    <row r="125" spans="1:6" s="347" customFormat="1" ht="15.75" x14ac:dyDescent="0.25">
      <c r="A125" s="121"/>
      <c r="B125" s="121"/>
      <c r="C125" s="345" t="s">
        <v>1529</v>
      </c>
      <c r="D125" s="346" t="s">
        <v>520</v>
      </c>
    </row>
    <row r="127" spans="1:6" outlineLevel="1" x14ac:dyDescent="0.25">
      <c r="C127" s="75" t="s">
        <v>1094</v>
      </c>
    </row>
    <row r="128" spans="1:6" outlineLevel="1" x14ac:dyDescent="0.25">
      <c r="C128" s="75" t="s">
        <v>1095</v>
      </c>
    </row>
    <row r="129" spans="3:6" outlineLevel="1" x14ac:dyDescent="0.25">
      <c r="C129" s="75" t="s">
        <v>1096</v>
      </c>
    </row>
    <row r="130" spans="3:6" outlineLevel="1" x14ac:dyDescent="0.25"/>
    <row r="131" spans="3:6" outlineLevel="1" x14ac:dyDescent="0.25">
      <c r="C131" s="351" t="s">
        <v>1534</v>
      </c>
      <c r="D131" s="351"/>
      <c r="E131" s="351" t="s">
        <v>1535</v>
      </c>
      <c r="F131" s="351"/>
    </row>
    <row r="132" spans="3:6" ht="75" outlineLevel="1" x14ac:dyDescent="0.25">
      <c r="C132" s="122" t="s">
        <v>458</v>
      </c>
      <c r="D132" s="91" t="s">
        <v>1097</v>
      </c>
      <c r="E132" s="122" t="s">
        <v>673</v>
      </c>
      <c r="F132" s="91" t="s">
        <v>1533</v>
      </c>
    </row>
    <row r="133" spans="3:6" ht="49.5" customHeight="1" outlineLevel="1" x14ac:dyDescent="0.25">
      <c r="C133" s="122" t="s">
        <v>462</v>
      </c>
      <c r="D133" s="91" t="s">
        <v>1098</v>
      </c>
      <c r="E133" s="352"/>
      <c r="F133" s="353"/>
    </row>
    <row r="134" spans="3:6" ht="45" outlineLevel="1" x14ac:dyDescent="0.25">
      <c r="C134" s="135" t="s">
        <v>806</v>
      </c>
      <c r="D134" s="92" t="s">
        <v>1099</v>
      </c>
      <c r="E134" s="354"/>
      <c r="F134" s="353"/>
    </row>
    <row r="135" spans="3:6" ht="60" outlineLevel="1" x14ac:dyDescent="0.25">
      <c r="C135" s="135" t="s">
        <v>823</v>
      </c>
      <c r="D135" s="92" t="s">
        <v>1100</v>
      </c>
      <c r="E135" s="135" t="s">
        <v>823</v>
      </c>
      <c r="F135" s="92" t="s">
        <v>1100</v>
      </c>
    </row>
    <row r="136" spans="3:6" ht="60" outlineLevel="1" x14ac:dyDescent="0.25">
      <c r="C136" s="122" t="s">
        <v>797</v>
      </c>
      <c r="D136" s="91" t="s">
        <v>1101</v>
      </c>
      <c r="E136" s="122" t="s">
        <v>797</v>
      </c>
      <c r="F136" s="91" t="s">
        <v>1101</v>
      </c>
    </row>
    <row r="137" spans="3:6" ht="15" customHeight="1" outlineLevel="1" x14ac:dyDescent="0.25">
      <c r="C137" s="122" t="s">
        <v>807</v>
      </c>
      <c r="D137" s="91" t="s">
        <v>1102</v>
      </c>
      <c r="E137" s="122" t="s">
        <v>807</v>
      </c>
      <c r="F137" s="91" t="s">
        <v>1102</v>
      </c>
    </row>
    <row r="138" spans="3:6" ht="150" outlineLevel="1" x14ac:dyDescent="0.25">
      <c r="C138" s="123" t="s">
        <v>514</v>
      </c>
      <c r="D138" s="91" t="s">
        <v>1103</v>
      </c>
      <c r="E138" s="123" t="s">
        <v>514</v>
      </c>
      <c r="F138" s="91" t="s">
        <v>1103</v>
      </c>
    </row>
    <row r="139" spans="3:6" ht="135" outlineLevel="1" x14ac:dyDescent="0.25">
      <c r="C139" s="123" t="s">
        <v>515</v>
      </c>
      <c r="D139" s="93" t="s">
        <v>1104</v>
      </c>
      <c r="E139" s="123" t="s">
        <v>515</v>
      </c>
      <c r="F139" s="93" t="s">
        <v>1104</v>
      </c>
    </row>
    <row r="140" spans="3:6" ht="30" outlineLevel="1" x14ac:dyDescent="0.25">
      <c r="C140" s="123" t="s">
        <v>516</v>
      </c>
      <c r="D140" s="93" t="s">
        <v>1105</v>
      </c>
      <c r="E140" s="123" t="s">
        <v>516</v>
      </c>
      <c r="F140" s="93" t="s">
        <v>1105</v>
      </c>
    </row>
    <row r="141" spans="3:6" ht="60" outlineLevel="1" x14ac:dyDescent="0.25">
      <c r="C141" s="123" t="s">
        <v>518</v>
      </c>
      <c r="D141" s="93" t="s">
        <v>1106</v>
      </c>
      <c r="E141" s="123" t="s">
        <v>518</v>
      </c>
      <c r="F141" s="93" t="s">
        <v>1106</v>
      </c>
    </row>
    <row r="142" spans="3:6" ht="45" outlineLevel="1" x14ac:dyDescent="0.25">
      <c r="C142" s="123" t="s">
        <v>341</v>
      </c>
      <c r="D142" s="93" t="s">
        <v>1107</v>
      </c>
      <c r="E142" s="123" t="s">
        <v>341</v>
      </c>
      <c r="F142" s="93" t="s">
        <v>1107</v>
      </c>
    </row>
    <row r="143" spans="3:6" ht="60" outlineLevel="1" x14ac:dyDescent="0.25">
      <c r="C143" s="123" t="s">
        <v>517</v>
      </c>
      <c r="D143" s="93" t="s">
        <v>1108</v>
      </c>
      <c r="E143" s="123" t="s">
        <v>517</v>
      </c>
      <c r="F143" s="93" t="s">
        <v>1108</v>
      </c>
    </row>
    <row r="144" spans="3:6" ht="75" outlineLevel="1" x14ac:dyDescent="0.25">
      <c r="C144" s="123" t="s">
        <v>881</v>
      </c>
      <c r="D144" s="93" t="s">
        <v>1109</v>
      </c>
      <c r="E144" s="123" t="s">
        <v>881</v>
      </c>
      <c r="F144" s="93" t="s">
        <v>1109</v>
      </c>
    </row>
    <row r="145" spans="3:14" outlineLevel="1" x14ac:dyDescent="0.25"/>
    <row r="147" spans="3:14" x14ac:dyDescent="0.25">
      <c r="C147" s="94" t="s">
        <v>906</v>
      </c>
    </row>
    <row r="148" spans="3:14" outlineLevel="2" x14ac:dyDescent="0.25">
      <c r="C148" s="95" t="s">
        <v>1028</v>
      </c>
      <c r="D148" s="95" t="s">
        <v>1027</v>
      </c>
      <c r="E148" s="125" t="s">
        <v>917</v>
      </c>
      <c r="F148" s="125" t="s">
        <v>987</v>
      </c>
      <c r="G148" s="150" t="s">
        <v>988</v>
      </c>
      <c r="H148" s="385"/>
      <c r="L148" s="74"/>
      <c r="M148" s="74"/>
      <c r="N148" s="74"/>
    </row>
    <row r="149" spans="3:14" outlineLevel="4" x14ac:dyDescent="0.25">
      <c r="C149" s="137">
        <v>50200010</v>
      </c>
      <c r="D149" s="110" t="s">
        <v>907</v>
      </c>
      <c r="E149" s="110" t="s">
        <v>1267</v>
      </c>
      <c r="F149" s="138" t="s">
        <v>466</v>
      </c>
      <c r="G149" s="151" t="s">
        <v>989</v>
      </c>
      <c r="H149" s="152"/>
      <c r="L149" s="350"/>
      <c r="M149" s="350"/>
      <c r="N149" s="350"/>
    </row>
    <row r="150" spans="3:14" outlineLevel="4" x14ac:dyDescent="0.25">
      <c r="C150" s="137">
        <v>50300010</v>
      </c>
      <c r="D150" s="110" t="s">
        <v>48</v>
      </c>
      <c r="E150" s="110" t="s">
        <v>1268</v>
      </c>
      <c r="F150" s="139" t="s">
        <v>467</v>
      </c>
      <c r="G150" s="153" t="s">
        <v>50</v>
      </c>
      <c r="H150" s="152"/>
      <c r="L150" s="350"/>
      <c r="M150" s="350"/>
      <c r="N150" s="350"/>
    </row>
    <row r="151" spans="3:14" outlineLevel="4" x14ac:dyDescent="0.25">
      <c r="C151" s="137">
        <v>50300020</v>
      </c>
      <c r="D151" s="110" t="s">
        <v>51</v>
      </c>
      <c r="E151" s="110" t="s">
        <v>1269</v>
      </c>
      <c r="F151" s="110" t="s">
        <v>467</v>
      </c>
      <c r="G151" s="153" t="s">
        <v>50</v>
      </c>
      <c r="H151" s="152"/>
      <c r="L151" s="350"/>
      <c r="M151" s="350"/>
      <c r="N151" s="350"/>
    </row>
    <row r="152" spans="3:14" outlineLevel="4" x14ac:dyDescent="0.25">
      <c r="C152" s="137">
        <v>50300030</v>
      </c>
      <c r="D152" s="110" t="s">
        <v>53</v>
      </c>
      <c r="E152" s="110" t="s">
        <v>1270</v>
      </c>
      <c r="F152" s="110" t="s">
        <v>467</v>
      </c>
      <c r="G152" s="153" t="s">
        <v>50</v>
      </c>
      <c r="H152" s="152"/>
      <c r="L152" s="350"/>
      <c r="M152" s="350"/>
      <c r="N152" s="350"/>
    </row>
    <row r="153" spans="3:14" outlineLevel="4" x14ac:dyDescent="0.25">
      <c r="C153" s="137">
        <v>50300040</v>
      </c>
      <c r="D153" s="110" t="s">
        <v>55</v>
      </c>
      <c r="E153" s="110" t="s">
        <v>1271</v>
      </c>
      <c r="F153" s="110" t="s">
        <v>467</v>
      </c>
      <c r="G153" s="153" t="s">
        <v>50</v>
      </c>
      <c r="H153" s="152"/>
      <c r="L153" s="350"/>
      <c r="M153" s="350"/>
      <c r="N153" s="350"/>
    </row>
    <row r="154" spans="3:14" outlineLevel="4" x14ac:dyDescent="0.25">
      <c r="C154" s="137">
        <v>50300050</v>
      </c>
      <c r="D154" s="110" t="s">
        <v>57</v>
      </c>
      <c r="E154" s="110" t="s">
        <v>1272</v>
      </c>
      <c r="F154" s="110" t="s">
        <v>467</v>
      </c>
      <c r="G154" s="153" t="s">
        <v>50</v>
      </c>
      <c r="H154" s="152"/>
      <c r="L154" s="350"/>
      <c r="M154" s="350"/>
      <c r="N154" s="350"/>
    </row>
    <row r="155" spans="3:14" outlineLevel="4" x14ac:dyDescent="0.25">
      <c r="C155" s="137">
        <v>50300060</v>
      </c>
      <c r="D155" s="110" t="s">
        <v>908</v>
      </c>
      <c r="E155" s="110" t="s">
        <v>1273</v>
      </c>
      <c r="F155" s="110" t="s">
        <v>467</v>
      </c>
      <c r="G155" s="153" t="s">
        <v>50</v>
      </c>
      <c r="H155" s="152"/>
      <c r="L155" s="350"/>
      <c r="M155" s="350"/>
      <c r="N155" s="350"/>
    </row>
    <row r="156" spans="3:14" outlineLevel="4" x14ac:dyDescent="0.25">
      <c r="C156" s="137">
        <v>50300070</v>
      </c>
      <c r="D156" s="110" t="s">
        <v>512</v>
      </c>
      <c r="E156" s="110" t="s">
        <v>1274</v>
      </c>
      <c r="F156" s="113" t="s">
        <v>467</v>
      </c>
      <c r="G156" s="153" t="s">
        <v>50</v>
      </c>
      <c r="H156" s="152"/>
      <c r="L156" s="350"/>
      <c r="M156" s="350"/>
      <c r="N156" s="350"/>
    </row>
    <row r="157" spans="3:14" outlineLevel="4" x14ac:dyDescent="0.25">
      <c r="C157" s="137">
        <v>50300080</v>
      </c>
      <c r="D157" s="110" t="s">
        <v>63</v>
      </c>
      <c r="E157" s="110" t="s">
        <v>1275</v>
      </c>
      <c r="F157" s="113" t="s">
        <v>467</v>
      </c>
      <c r="G157" s="153" t="s">
        <v>50</v>
      </c>
      <c r="H157" s="152"/>
      <c r="L157" s="350"/>
      <c r="M157" s="350"/>
      <c r="N157" s="350"/>
    </row>
    <row r="158" spans="3:14" outlineLevel="4" x14ac:dyDescent="0.25">
      <c r="C158" s="137">
        <v>50300090</v>
      </c>
      <c r="D158" s="110" t="s">
        <v>65</v>
      </c>
      <c r="E158" s="110" t="s">
        <v>1276</v>
      </c>
      <c r="F158" s="113" t="s">
        <v>467</v>
      </c>
      <c r="G158" s="153" t="s">
        <v>50</v>
      </c>
      <c r="H158" s="152"/>
      <c r="L158" s="350"/>
      <c r="M158" s="350"/>
      <c r="N158" s="350"/>
    </row>
    <row r="159" spans="3:14" outlineLevel="4" x14ac:dyDescent="0.25">
      <c r="C159" s="137">
        <v>50300100</v>
      </c>
      <c r="D159" s="110" t="s">
        <v>67</v>
      </c>
      <c r="E159" s="110" t="s">
        <v>1277</v>
      </c>
      <c r="F159" s="113" t="s">
        <v>467</v>
      </c>
      <c r="G159" s="153" t="s">
        <v>50</v>
      </c>
      <c r="H159" s="152"/>
      <c r="L159" s="350"/>
      <c r="M159" s="350"/>
      <c r="N159" s="350"/>
    </row>
    <row r="160" spans="3:14" outlineLevel="4" x14ac:dyDescent="0.25">
      <c r="C160" s="137">
        <v>50300110</v>
      </c>
      <c r="D160" s="110" t="s">
        <v>909</v>
      </c>
      <c r="E160" s="110" t="s">
        <v>1278</v>
      </c>
      <c r="F160" s="113" t="s">
        <v>467</v>
      </c>
      <c r="G160" s="153" t="s">
        <v>50</v>
      </c>
      <c r="H160" s="152"/>
      <c r="L160" s="350"/>
      <c r="M160" s="350"/>
      <c r="N160" s="350"/>
    </row>
    <row r="161" spans="3:14" outlineLevel="4" x14ac:dyDescent="0.25">
      <c r="C161" s="137">
        <v>50300120</v>
      </c>
      <c r="D161" s="110" t="s">
        <v>910</v>
      </c>
      <c r="E161" s="110" t="s">
        <v>1279</v>
      </c>
      <c r="F161" s="113" t="s">
        <v>467</v>
      </c>
      <c r="G161" s="153" t="s">
        <v>50</v>
      </c>
      <c r="H161" s="152"/>
      <c r="L161" s="350"/>
      <c r="M161" s="350"/>
      <c r="N161" s="350"/>
    </row>
    <row r="162" spans="3:14" outlineLevel="4" x14ac:dyDescent="0.25">
      <c r="C162" s="137">
        <v>50300990</v>
      </c>
      <c r="D162" s="110" t="s">
        <v>71</v>
      </c>
      <c r="E162" s="110" t="s">
        <v>1280</v>
      </c>
      <c r="F162" s="113" t="s">
        <v>467</v>
      </c>
      <c r="G162" s="153" t="s">
        <v>50</v>
      </c>
      <c r="H162" s="152"/>
      <c r="L162" s="350"/>
      <c r="M162" s="350"/>
      <c r="N162" s="350"/>
    </row>
    <row r="163" spans="3:14" outlineLevel="4" x14ac:dyDescent="0.25">
      <c r="C163" s="137">
        <v>50400010</v>
      </c>
      <c r="D163" s="110" t="s">
        <v>911</v>
      </c>
      <c r="E163" s="110" t="s">
        <v>1281</v>
      </c>
      <c r="F163" s="113" t="s">
        <v>468</v>
      </c>
      <c r="G163" s="153" t="s">
        <v>50</v>
      </c>
      <c r="H163" s="152"/>
      <c r="L163" s="350"/>
      <c r="M163" s="350"/>
      <c r="N163" s="350"/>
    </row>
    <row r="164" spans="3:14" outlineLevel="4" x14ac:dyDescent="0.25">
      <c r="C164" s="137">
        <v>50500010</v>
      </c>
      <c r="D164" s="110" t="s">
        <v>912</v>
      </c>
      <c r="E164" s="110" t="s">
        <v>1282</v>
      </c>
      <c r="F164" s="113" t="s">
        <v>469</v>
      </c>
      <c r="G164" s="151" t="s">
        <v>989</v>
      </c>
      <c r="H164" s="152"/>
      <c r="L164" s="350"/>
      <c r="M164" s="350"/>
      <c r="N164" s="350"/>
    </row>
    <row r="165" spans="3:14" outlineLevel="4" x14ac:dyDescent="0.25">
      <c r="C165" s="137">
        <v>50500020</v>
      </c>
      <c r="D165" s="110" t="s">
        <v>513</v>
      </c>
      <c r="E165" s="110" t="s">
        <v>1283</v>
      </c>
      <c r="F165" s="113" t="s">
        <v>469</v>
      </c>
      <c r="G165" s="151" t="s">
        <v>989</v>
      </c>
      <c r="H165" s="152"/>
      <c r="L165" s="350"/>
      <c r="M165" s="350"/>
      <c r="N165" s="350"/>
    </row>
    <row r="166" spans="3:14" outlineLevel="4" x14ac:dyDescent="0.25">
      <c r="C166" s="137">
        <v>50500030</v>
      </c>
      <c r="D166" s="110" t="s">
        <v>913</v>
      </c>
      <c r="E166" s="110" t="s">
        <v>1284</v>
      </c>
      <c r="F166" s="113" t="s">
        <v>469</v>
      </c>
      <c r="G166" s="151" t="s">
        <v>989</v>
      </c>
      <c r="H166" s="152"/>
      <c r="L166" s="350"/>
      <c r="M166" s="350"/>
      <c r="N166" s="350"/>
    </row>
    <row r="167" spans="3:14" outlineLevel="4" x14ac:dyDescent="0.25">
      <c r="C167" s="137">
        <v>50500040</v>
      </c>
      <c r="D167" s="110" t="s">
        <v>111</v>
      </c>
      <c r="E167" s="110" t="s">
        <v>1285</v>
      </c>
      <c r="F167" s="113" t="s">
        <v>469</v>
      </c>
      <c r="G167" s="151" t="s">
        <v>989</v>
      </c>
      <c r="H167" s="152"/>
      <c r="L167" s="350"/>
      <c r="M167" s="350"/>
      <c r="N167" s="350"/>
    </row>
    <row r="168" spans="3:14" outlineLevel="4" x14ac:dyDescent="0.25">
      <c r="C168" s="137">
        <v>50600010</v>
      </c>
      <c r="D168" s="110" t="s">
        <v>426</v>
      </c>
      <c r="E168" s="110" t="s">
        <v>1286</v>
      </c>
      <c r="F168" s="113" t="s">
        <v>470</v>
      </c>
      <c r="G168" s="151" t="s">
        <v>989</v>
      </c>
      <c r="H168" s="152"/>
      <c r="L168" s="350"/>
      <c r="M168" s="350"/>
      <c r="N168" s="350"/>
    </row>
    <row r="169" spans="3:14" outlineLevel="4" x14ac:dyDescent="0.25">
      <c r="C169" s="137">
        <v>50600020</v>
      </c>
      <c r="D169" s="110" t="s">
        <v>427</v>
      </c>
      <c r="E169" s="110" t="s">
        <v>1287</v>
      </c>
      <c r="F169" s="113" t="s">
        <v>470</v>
      </c>
      <c r="G169" s="151" t="s">
        <v>989</v>
      </c>
      <c r="H169" s="152"/>
      <c r="L169" s="350"/>
      <c r="M169" s="350"/>
      <c r="N169" s="350"/>
    </row>
    <row r="170" spans="3:14" outlineLevel="4" x14ac:dyDescent="0.25">
      <c r="C170" s="137">
        <v>50600030</v>
      </c>
      <c r="D170" s="110" t="s">
        <v>914</v>
      </c>
      <c r="E170" s="110" t="s">
        <v>1288</v>
      </c>
      <c r="F170" s="113" t="s">
        <v>470</v>
      </c>
      <c r="G170" s="151" t="s">
        <v>989</v>
      </c>
      <c r="H170" s="152"/>
      <c r="L170" s="350"/>
      <c r="M170" s="350"/>
      <c r="N170" s="350"/>
    </row>
    <row r="171" spans="3:14" outlineLevel="4" x14ac:dyDescent="0.25">
      <c r="C171" s="137">
        <v>50600040</v>
      </c>
      <c r="D171" s="110" t="s">
        <v>429</v>
      </c>
      <c r="E171" s="110" t="s">
        <v>1289</v>
      </c>
      <c r="F171" s="113" t="s">
        <v>470</v>
      </c>
      <c r="G171" s="151" t="s">
        <v>989</v>
      </c>
      <c r="H171" s="152"/>
      <c r="L171" s="350"/>
      <c r="M171" s="350"/>
      <c r="N171" s="350"/>
    </row>
    <row r="172" spans="3:14" outlineLevel="4" x14ac:dyDescent="0.25">
      <c r="C172" s="137">
        <v>50800010</v>
      </c>
      <c r="D172" s="110" t="s">
        <v>915</v>
      </c>
      <c r="E172" s="110" t="s">
        <v>1290</v>
      </c>
      <c r="F172" s="113" t="s">
        <v>471</v>
      </c>
      <c r="G172" s="151" t="s">
        <v>989</v>
      </c>
      <c r="H172" s="152"/>
      <c r="L172" s="350"/>
      <c r="M172" s="350"/>
      <c r="N172" s="350"/>
    </row>
    <row r="173" spans="3:14" outlineLevel="4" x14ac:dyDescent="0.25">
      <c r="C173" s="137">
        <v>50800020</v>
      </c>
      <c r="D173" s="110" t="s">
        <v>119</v>
      </c>
      <c r="E173" s="110" t="s">
        <v>1291</v>
      </c>
      <c r="F173" s="113" t="s">
        <v>471</v>
      </c>
      <c r="G173" s="151" t="s">
        <v>989</v>
      </c>
      <c r="H173" s="152"/>
      <c r="L173" s="350"/>
      <c r="M173" s="350"/>
      <c r="N173" s="350"/>
    </row>
    <row r="174" spans="3:14" outlineLevel="4" x14ac:dyDescent="0.25">
      <c r="C174" s="137">
        <v>50800030</v>
      </c>
      <c r="D174" s="110" t="s">
        <v>122</v>
      </c>
      <c r="E174" s="110" t="s">
        <v>1292</v>
      </c>
      <c r="F174" s="113" t="s">
        <v>471</v>
      </c>
      <c r="G174" s="151" t="s">
        <v>989</v>
      </c>
      <c r="H174" s="152"/>
      <c r="L174" s="350"/>
      <c r="M174" s="350"/>
      <c r="N174" s="350"/>
    </row>
    <row r="175" spans="3:14" outlineLevel="4" x14ac:dyDescent="0.25">
      <c r="C175" s="137">
        <v>50800040</v>
      </c>
      <c r="D175" s="110" t="s">
        <v>124</v>
      </c>
      <c r="E175" s="110" t="s">
        <v>1293</v>
      </c>
      <c r="F175" s="113" t="s">
        <v>471</v>
      </c>
      <c r="G175" s="151" t="s">
        <v>989</v>
      </c>
      <c r="H175" s="152"/>
      <c r="L175" s="350"/>
      <c r="M175" s="350"/>
      <c r="N175" s="350"/>
    </row>
    <row r="176" spans="3:14" outlineLevel="4" x14ac:dyDescent="0.25">
      <c r="C176" s="137">
        <v>50800050</v>
      </c>
      <c r="D176" s="110" t="s">
        <v>126</v>
      </c>
      <c r="E176" s="110" t="s">
        <v>1294</v>
      </c>
      <c r="F176" s="113" t="s">
        <v>471</v>
      </c>
      <c r="G176" s="151" t="s">
        <v>989</v>
      </c>
      <c r="H176" s="152"/>
      <c r="L176" s="350"/>
      <c r="M176" s="350"/>
      <c r="N176" s="350"/>
    </row>
    <row r="177" spans="3:14" outlineLevel="4" x14ac:dyDescent="0.25">
      <c r="C177" s="137">
        <v>50800060</v>
      </c>
      <c r="D177" s="110" t="s">
        <v>128</v>
      </c>
      <c r="E177" s="110" t="s">
        <v>1295</v>
      </c>
      <c r="F177" s="113" t="s">
        <v>471</v>
      </c>
      <c r="G177" s="151" t="s">
        <v>989</v>
      </c>
      <c r="H177" s="152"/>
      <c r="L177" s="350"/>
      <c r="M177" s="350"/>
      <c r="N177" s="350"/>
    </row>
    <row r="178" spans="3:14" outlineLevel="4" x14ac:dyDescent="0.25">
      <c r="C178" s="137">
        <v>50800070</v>
      </c>
      <c r="D178" s="110" t="s">
        <v>131</v>
      </c>
      <c r="E178" s="110" t="s">
        <v>1296</v>
      </c>
      <c r="F178" s="113" t="s">
        <v>471</v>
      </c>
      <c r="G178" s="151" t="s">
        <v>989</v>
      </c>
      <c r="H178" s="152"/>
      <c r="L178" s="350"/>
      <c r="M178" s="350"/>
      <c r="N178" s="350"/>
    </row>
    <row r="179" spans="3:14" outlineLevel="4" x14ac:dyDescent="0.25">
      <c r="C179" s="137">
        <v>51100000</v>
      </c>
      <c r="D179" s="110" t="s">
        <v>430</v>
      </c>
      <c r="E179" s="110" t="s">
        <v>1297</v>
      </c>
      <c r="F179" s="113" t="s">
        <v>472</v>
      </c>
      <c r="G179" s="151" t="s">
        <v>989</v>
      </c>
      <c r="H179" s="152"/>
      <c r="L179" s="350"/>
      <c r="M179" s="350"/>
      <c r="N179" s="350"/>
    </row>
    <row r="180" spans="3:14" outlineLevel="4" x14ac:dyDescent="0.25">
      <c r="C180" s="137">
        <v>51300010</v>
      </c>
      <c r="D180" s="110" t="s">
        <v>440</v>
      </c>
      <c r="E180" s="110" t="s">
        <v>1298</v>
      </c>
      <c r="F180" s="113" t="s">
        <v>474</v>
      </c>
      <c r="G180" s="154" t="s">
        <v>250</v>
      </c>
      <c r="H180" s="152"/>
      <c r="L180" s="350"/>
      <c r="M180" s="350"/>
      <c r="N180" s="350"/>
    </row>
    <row r="181" spans="3:14" outlineLevel="4" x14ac:dyDescent="0.25">
      <c r="C181" s="137">
        <v>51300040</v>
      </c>
      <c r="D181" s="110" t="s">
        <v>443</v>
      </c>
      <c r="E181" s="110" t="s">
        <v>1299</v>
      </c>
      <c r="F181" s="113" t="s">
        <v>474</v>
      </c>
      <c r="G181" s="154" t="s">
        <v>250</v>
      </c>
      <c r="H181" s="152"/>
      <c r="L181" s="350"/>
      <c r="M181" s="350"/>
      <c r="N181" s="350"/>
    </row>
    <row r="182" spans="3:14" outlineLevel="4" x14ac:dyDescent="0.25">
      <c r="C182" s="137">
        <v>51300050</v>
      </c>
      <c r="D182" s="110" t="s">
        <v>444</v>
      </c>
      <c r="E182" s="110" t="s">
        <v>1300</v>
      </c>
      <c r="F182" s="113" t="s">
        <v>474</v>
      </c>
      <c r="G182" s="154" t="s">
        <v>250</v>
      </c>
      <c r="H182" s="152"/>
      <c r="L182" s="350"/>
      <c r="M182" s="350"/>
      <c r="N182" s="350"/>
    </row>
    <row r="183" spans="3:14" outlineLevel="4" x14ac:dyDescent="0.25">
      <c r="C183" s="137">
        <v>51300060</v>
      </c>
      <c r="D183" s="110" t="s">
        <v>445</v>
      </c>
      <c r="E183" s="110" t="s">
        <v>1301</v>
      </c>
      <c r="F183" s="113" t="s">
        <v>474</v>
      </c>
      <c r="G183" s="154" t="s">
        <v>250</v>
      </c>
      <c r="H183" s="152"/>
      <c r="L183" s="350"/>
      <c r="M183" s="350"/>
      <c r="N183" s="350"/>
    </row>
    <row r="184" spans="3:14" outlineLevel="4" x14ac:dyDescent="0.25">
      <c r="C184" s="137">
        <v>51300090</v>
      </c>
      <c r="D184" s="110" t="s">
        <v>448</v>
      </c>
      <c r="E184" s="110" t="s">
        <v>1302</v>
      </c>
      <c r="F184" s="113" t="s">
        <v>474</v>
      </c>
      <c r="G184" s="154" t="s">
        <v>250</v>
      </c>
      <c r="H184" s="152"/>
      <c r="L184" s="350"/>
      <c r="M184" s="350"/>
      <c r="N184" s="350"/>
    </row>
    <row r="185" spans="3:14" outlineLevel="4" x14ac:dyDescent="0.25">
      <c r="C185" s="137">
        <v>51500010</v>
      </c>
      <c r="D185" s="110" t="s">
        <v>916</v>
      </c>
      <c r="E185" s="110" t="s">
        <v>1303</v>
      </c>
      <c r="F185" s="113" t="s">
        <v>476</v>
      </c>
      <c r="G185" s="151" t="s">
        <v>989</v>
      </c>
      <c r="H185" s="152"/>
      <c r="L185" s="350"/>
      <c r="M185" s="350"/>
      <c r="N185" s="350"/>
    </row>
    <row r="186" spans="3:14" outlineLevel="4" x14ac:dyDescent="0.25">
      <c r="C186" s="137">
        <v>51600010</v>
      </c>
      <c r="D186" s="110" t="s">
        <v>147</v>
      </c>
      <c r="E186" s="110" t="s">
        <v>1304</v>
      </c>
      <c r="F186" s="113" t="s">
        <v>477</v>
      </c>
      <c r="G186" s="151" t="s">
        <v>989</v>
      </c>
      <c r="H186" s="152"/>
      <c r="L186" s="350"/>
      <c r="M186" s="350"/>
      <c r="N186" s="350"/>
    </row>
    <row r="187" spans="3:14" outlineLevel="4" x14ac:dyDescent="0.25">
      <c r="C187" s="137">
        <v>51600020</v>
      </c>
      <c r="D187" s="110" t="s">
        <v>148</v>
      </c>
      <c r="E187" s="110" t="s">
        <v>1305</v>
      </c>
      <c r="F187" s="113" t="s">
        <v>477</v>
      </c>
      <c r="G187" s="151" t="s">
        <v>989</v>
      </c>
      <c r="H187" s="152"/>
      <c r="L187" s="350"/>
      <c r="M187" s="350"/>
      <c r="N187" s="350"/>
    </row>
    <row r="188" spans="3:14" outlineLevel="4" x14ac:dyDescent="0.25">
      <c r="C188" s="137">
        <v>51600030</v>
      </c>
      <c r="D188" s="110" t="s">
        <v>150</v>
      </c>
      <c r="E188" s="110" t="s">
        <v>1306</v>
      </c>
      <c r="F188" s="113" t="s">
        <v>477</v>
      </c>
      <c r="G188" s="151" t="s">
        <v>989</v>
      </c>
      <c r="H188" s="152"/>
      <c r="L188" s="350"/>
      <c r="M188" s="350"/>
      <c r="N188" s="350"/>
    </row>
    <row r="189" spans="3:14" outlineLevel="4" x14ac:dyDescent="0.25">
      <c r="C189" s="137">
        <v>51600040</v>
      </c>
      <c r="D189" s="110" t="s">
        <v>151</v>
      </c>
      <c r="E189" s="110" t="s">
        <v>1307</v>
      </c>
      <c r="F189" s="113" t="s">
        <v>477</v>
      </c>
      <c r="G189" s="151" t="s">
        <v>989</v>
      </c>
      <c r="H189" s="152"/>
      <c r="L189" s="350"/>
      <c r="M189" s="350"/>
      <c r="N189" s="350"/>
    </row>
    <row r="190" spans="3:14" outlineLevel="4" x14ac:dyDescent="0.25">
      <c r="C190" s="137">
        <v>51600050</v>
      </c>
      <c r="D190" s="110" t="s">
        <v>451</v>
      </c>
      <c r="E190" s="110" t="s">
        <v>1308</v>
      </c>
      <c r="F190" s="113" t="s">
        <v>477</v>
      </c>
      <c r="G190" s="151" t="s">
        <v>989</v>
      </c>
      <c r="H190" s="152"/>
      <c r="L190" s="350"/>
      <c r="M190" s="350"/>
      <c r="N190" s="350"/>
    </row>
    <row r="191" spans="3:14" outlineLevel="4" x14ac:dyDescent="0.25">
      <c r="C191" s="137">
        <v>51600070</v>
      </c>
      <c r="D191" s="110" t="s">
        <v>152</v>
      </c>
      <c r="E191" s="110" t="s">
        <v>1309</v>
      </c>
      <c r="F191" s="113" t="s">
        <v>477</v>
      </c>
      <c r="G191" s="151" t="s">
        <v>989</v>
      </c>
      <c r="H191" s="152"/>
      <c r="L191" s="350"/>
      <c r="M191" s="350"/>
      <c r="N191" s="350"/>
    </row>
    <row r="192" spans="3:14" outlineLevel="4" x14ac:dyDescent="0.25">
      <c r="C192" s="137">
        <v>51700010</v>
      </c>
      <c r="D192" s="110" t="s">
        <v>153</v>
      </c>
      <c r="E192" s="110" t="s">
        <v>1310</v>
      </c>
      <c r="F192" s="113" t="s">
        <v>478</v>
      </c>
      <c r="G192" s="151" t="s">
        <v>989</v>
      </c>
      <c r="H192" s="152"/>
      <c r="L192" s="350"/>
      <c r="M192" s="350"/>
      <c r="N192" s="350"/>
    </row>
    <row r="193" spans="3:14" outlineLevel="4" x14ac:dyDescent="0.25">
      <c r="C193" s="137">
        <v>51700030</v>
      </c>
      <c r="D193" s="110" t="s">
        <v>155</v>
      </c>
      <c r="E193" s="110" t="s">
        <v>1311</v>
      </c>
      <c r="F193" s="113" t="s">
        <v>478</v>
      </c>
      <c r="G193" s="151" t="s">
        <v>989</v>
      </c>
      <c r="H193" s="152"/>
      <c r="L193" s="350"/>
      <c r="M193" s="350"/>
      <c r="N193" s="350"/>
    </row>
    <row r="194" spans="3:14" outlineLevel="4" x14ac:dyDescent="0.25">
      <c r="C194" s="137">
        <v>51700040</v>
      </c>
      <c r="D194" s="110" t="s">
        <v>157</v>
      </c>
      <c r="E194" s="110" t="s">
        <v>1312</v>
      </c>
      <c r="F194" s="113" t="s">
        <v>478</v>
      </c>
      <c r="G194" s="151" t="s">
        <v>989</v>
      </c>
      <c r="H194" s="152"/>
      <c r="L194" s="350"/>
      <c r="M194" s="350"/>
      <c r="N194" s="350"/>
    </row>
    <row r="195" spans="3:14" outlineLevel="4" x14ac:dyDescent="0.25">
      <c r="C195" s="137">
        <v>51700050</v>
      </c>
      <c r="D195" s="110" t="s">
        <v>159</v>
      </c>
      <c r="E195" s="110" t="s">
        <v>1313</v>
      </c>
      <c r="F195" s="113" t="s">
        <v>478</v>
      </c>
      <c r="G195" s="151" t="s">
        <v>989</v>
      </c>
      <c r="H195" s="152"/>
      <c r="L195" s="350"/>
      <c r="M195" s="350"/>
      <c r="N195" s="350"/>
    </row>
    <row r="196" spans="3:14" outlineLevel="4" x14ac:dyDescent="0.25">
      <c r="C196" s="137">
        <v>51700060</v>
      </c>
      <c r="D196" s="110" t="s">
        <v>161</v>
      </c>
      <c r="E196" s="110" t="s">
        <v>1314</v>
      </c>
      <c r="F196" s="113" t="s">
        <v>478</v>
      </c>
      <c r="G196" s="151" t="s">
        <v>989</v>
      </c>
      <c r="H196" s="152"/>
      <c r="L196" s="350"/>
      <c r="M196" s="350"/>
      <c r="N196" s="350"/>
    </row>
    <row r="197" spans="3:14" outlineLevel="4" x14ac:dyDescent="0.25">
      <c r="C197" s="137">
        <v>51700070</v>
      </c>
      <c r="D197" s="110" t="s">
        <v>163</v>
      </c>
      <c r="E197" s="110" t="s">
        <v>1315</v>
      </c>
      <c r="F197" s="113" t="s">
        <v>478</v>
      </c>
      <c r="G197" s="151" t="s">
        <v>989</v>
      </c>
      <c r="H197" s="152"/>
      <c r="L197" s="350"/>
      <c r="M197" s="350"/>
      <c r="N197" s="350"/>
    </row>
    <row r="198" spans="3:14" outlineLevel="4" x14ac:dyDescent="0.25">
      <c r="C198" s="137">
        <v>51800010</v>
      </c>
      <c r="D198" s="110" t="s">
        <v>165</v>
      </c>
      <c r="E198" s="110" t="s">
        <v>1316</v>
      </c>
      <c r="F198" s="113" t="s">
        <v>479</v>
      </c>
      <c r="G198" s="151" t="s">
        <v>989</v>
      </c>
      <c r="H198" s="152"/>
    </row>
    <row r="199" spans="3:14" outlineLevel="4" x14ac:dyDescent="0.25">
      <c r="C199" s="137">
        <v>51800020</v>
      </c>
      <c r="D199" s="110" t="s">
        <v>168</v>
      </c>
      <c r="E199" s="110" t="s">
        <v>1317</v>
      </c>
      <c r="F199" s="113" t="s">
        <v>479</v>
      </c>
      <c r="G199" s="151" t="s">
        <v>989</v>
      </c>
      <c r="H199" s="152"/>
    </row>
    <row r="200" spans="3:14" outlineLevel="4" x14ac:dyDescent="0.25">
      <c r="C200" s="137">
        <v>51800030</v>
      </c>
      <c r="D200" s="110" t="s">
        <v>170</v>
      </c>
      <c r="E200" s="110" t="s">
        <v>1318</v>
      </c>
      <c r="F200" s="113" t="s">
        <v>479</v>
      </c>
      <c r="G200" s="151" t="s">
        <v>989</v>
      </c>
      <c r="H200" s="152"/>
    </row>
    <row r="201" spans="3:14" outlineLevel="4" x14ac:dyDescent="0.25">
      <c r="C201" s="137">
        <v>51800090</v>
      </c>
      <c r="D201" s="110" t="s">
        <v>172</v>
      </c>
      <c r="E201" s="110" t="s">
        <v>1319</v>
      </c>
      <c r="F201" s="113" t="s">
        <v>479</v>
      </c>
      <c r="G201" s="151" t="s">
        <v>989</v>
      </c>
      <c r="H201" s="152"/>
    </row>
    <row r="202" spans="3:14" outlineLevel="4" x14ac:dyDescent="0.25">
      <c r="C202" s="137">
        <v>51900010</v>
      </c>
      <c r="D202" s="110" t="s">
        <v>174</v>
      </c>
      <c r="E202" s="110" t="s">
        <v>1320</v>
      </c>
      <c r="F202" s="113" t="s">
        <v>342</v>
      </c>
      <c r="G202" s="151" t="s">
        <v>989</v>
      </c>
      <c r="H202" s="152"/>
    </row>
    <row r="203" spans="3:14" outlineLevel="4" x14ac:dyDescent="0.25">
      <c r="C203" s="137">
        <v>51900020</v>
      </c>
      <c r="D203" s="110" t="s">
        <v>177</v>
      </c>
      <c r="E203" s="110" t="s">
        <v>1321</v>
      </c>
      <c r="F203" s="113" t="s">
        <v>342</v>
      </c>
      <c r="G203" s="151" t="s">
        <v>989</v>
      </c>
      <c r="H203" s="152"/>
    </row>
    <row r="204" spans="3:14" outlineLevel="4" x14ac:dyDescent="0.25">
      <c r="C204" s="137">
        <v>51900030</v>
      </c>
      <c r="D204" s="110" t="s">
        <v>180</v>
      </c>
      <c r="E204" s="110" t="s">
        <v>1322</v>
      </c>
      <c r="F204" s="113" t="s">
        <v>342</v>
      </c>
      <c r="G204" s="151" t="s">
        <v>989</v>
      </c>
      <c r="H204" s="152"/>
    </row>
    <row r="205" spans="3:14" outlineLevel="4" x14ac:dyDescent="0.25">
      <c r="C205" s="137">
        <v>51900040</v>
      </c>
      <c r="D205" s="110" t="s">
        <v>182</v>
      </c>
      <c r="E205" s="110" t="s">
        <v>1323</v>
      </c>
      <c r="F205" s="113" t="s">
        <v>342</v>
      </c>
      <c r="G205" s="151" t="s">
        <v>989</v>
      </c>
      <c r="H205" s="152"/>
    </row>
    <row r="206" spans="3:14" outlineLevel="4" x14ac:dyDescent="0.25">
      <c r="C206" s="137">
        <v>51900090</v>
      </c>
      <c r="D206" s="110" t="s">
        <v>184</v>
      </c>
      <c r="E206" s="110" t="s">
        <v>1324</v>
      </c>
      <c r="F206" s="113" t="s">
        <v>342</v>
      </c>
      <c r="G206" s="151" t="s">
        <v>989</v>
      </c>
      <c r="H206" s="152"/>
    </row>
    <row r="207" spans="3:14" outlineLevel="4" x14ac:dyDescent="0.25">
      <c r="C207" s="137">
        <v>52100010</v>
      </c>
      <c r="D207" s="110" t="s">
        <v>195</v>
      </c>
      <c r="E207" s="110" t="s">
        <v>1325</v>
      </c>
      <c r="F207" s="113" t="s">
        <v>481</v>
      </c>
      <c r="G207" s="151" t="s">
        <v>989</v>
      </c>
      <c r="H207" s="152"/>
    </row>
    <row r="208" spans="3:14" outlineLevel="4" x14ac:dyDescent="0.25">
      <c r="C208" s="137">
        <v>52100020</v>
      </c>
      <c r="D208" s="110" t="s">
        <v>198</v>
      </c>
      <c r="E208" s="110" t="s">
        <v>1326</v>
      </c>
      <c r="F208" s="113" t="s">
        <v>481</v>
      </c>
      <c r="G208" s="151" t="s">
        <v>989</v>
      </c>
      <c r="H208" s="152"/>
    </row>
    <row r="209" spans="3:8" outlineLevel="4" x14ac:dyDescent="0.25">
      <c r="C209" s="137">
        <v>52100030</v>
      </c>
      <c r="D209" s="110" t="s">
        <v>200</v>
      </c>
      <c r="E209" s="110" t="s">
        <v>1327</v>
      </c>
      <c r="F209" s="113" t="s">
        <v>481</v>
      </c>
      <c r="G209" s="151" t="s">
        <v>989</v>
      </c>
      <c r="H209" s="152"/>
    </row>
    <row r="210" spans="3:8" outlineLevel="4" x14ac:dyDescent="0.25">
      <c r="C210" s="137">
        <v>52100040</v>
      </c>
      <c r="D210" s="110" t="s">
        <v>202</v>
      </c>
      <c r="E210" s="110" t="s">
        <v>1328</v>
      </c>
      <c r="F210" s="113" t="s">
        <v>481</v>
      </c>
      <c r="G210" s="151" t="s">
        <v>989</v>
      </c>
      <c r="H210" s="152"/>
    </row>
    <row r="211" spans="3:8" outlineLevel="4" x14ac:dyDescent="0.25">
      <c r="C211" s="137">
        <v>52100050</v>
      </c>
      <c r="D211" s="110" t="s">
        <v>204</v>
      </c>
      <c r="E211" s="110" t="s">
        <v>1329</v>
      </c>
      <c r="F211" s="113" t="s">
        <v>481</v>
      </c>
      <c r="G211" s="151" t="s">
        <v>989</v>
      </c>
      <c r="H211" s="152"/>
    </row>
    <row r="212" spans="3:8" ht="30" outlineLevel="4" x14ac:dyDescent="0.25">
      <c r="C212" s="137">
        <v>52200010</v>
      </c>
      <c r="D212" s="110" t="s">
        <v>206</v>
      </c>
      <c r="E212" s="110" t="s">
        <v>1330</v>
      </c>
      <c r="F212" s="113" t="s">
        <v>482</v>
      </c>
      <c r="G212" s="151" t="s">
        <v>989</v>
      </c>
      <c r="H212" s="152"/>
    </row>
    <row r="213" spans="3:8" ht="30" outlineLevel="4" x14ac:dyDescent="0.25">
      <c r="C213" s="137">
        <v>52200020</v>
      </c>
      <c r="D213" s="110" t="s">
        <v>208</v>
      </c>
      <c r="E213" s="110" t="s">
        <v>1331</v>
      </c>
      <c r="F213" s="113" t="s">
        <v>482</v>
      </c>
      <c r="G213" s="151" t="s">
        <v>989</v>
      </c>
      <c r="H213" s="152"/>
    </row>
    <row r="214" spans="3:8" ht="30" outlineLevel="4" x14ac:dyDescent="0.25">
      <c r="C214" s="137">
        <v>52300010</v>
      </c>
      <c r="D214" s="110" t="s">
        <v>210</v>
      </c>
      <c r="E214" s="110" t="s">
        <v>1332</v>
      </c>
      <c r="F214" s="113" t="s">
        <v>483</v>
      </c>
      <c r="G214" s="151" t="s">
        <v>989</v>
      </c>
      <c r="H214" s="152"/>
    </row>
    <row r="215" spans="3:8" ht="30" outlineLevel="4" x14ac:dyDescent="0.25">
      <c r="C215" s="137">
        <v>52300020</v>
      </c>
      <c r="D215" s="110" t="s">
        <v>212</v>
      </c>
      <c r="E215" s="110" t="s">
        <v>1333</v>
      </c>
      <c r="F215" s="113" t="s">
        <v>483</v>
      </c>
      <c r="G215" s="151" t="s">
        <v>989</v>
      </c>
      <c r="H215" s="152"/>
    </row>
    <row r="216" spans="3:8" ht="30" outlineLevel="4" x14ac:dyDescent="0.25">
      <c r="C216" s="137">
        <v>52400030</v>
      </c>
      <c r="D216" s="110" t="s">
        <v>214</v>
      </c>
      <c r="E216" s="110" t="s">
        <v>1334</v>
      </c>
      <c r="F216" s="113" t="s">
        <v>484</v>
      </c>
      <c r="G216" s="151" t="s">
        <v>989</v>
      </c>
      <c r="H216" s="152"/>
    </row>
    <row r="217" spans="3:8" outlineLevel="4" x14ac:dyDescent="0.25">
      <c r="C217" s="137">
        <v>52400040</v>
      </c>
      <c r="D217" s="110" t="s">
        <v>216</v>
      </c>
      <c r="E217" s="110" t="s">
        <v>1335</v>
      </c>
      <c r="F217" s="113" t="s">
        <v>484</v>
      </c>
      <c r="G217" s="151" t="s">
        <v>989</v>
      </c>
      <c r="H217" s="152"/>
    </row>
    <row r="218" spans="3:8" outlineLevel="4" x14ac:dyDescent="0.25">
      <c r="C218" s="137">
        <v>52400060</v>
      </c>
      <c r="D218" s="110" t="s">
        <v>454</v>
      </c>
      <c r="E218" s="110" t="s">
        <v>1336</v>
      </c>
      <c r="F218" s="113" t="s">
        <v>484</v>
      </c>
      <c r="G218" s="151" t="s">
        <v>989</v>
      </c>
      <c r="H218" s="152"/>
    </row>
    <row r="219" spans="3:8" outlineLevel="4" x14ac:dyDescent="0.25">
      <c r="C219" s="137">
        <v>52500010</v>
      </c>
      <c r="D219" s="110" t="s">
        <v>218</v>
      </c>
      <c r="E219" s="110" t="s">
        <v>1337</v>
      </c>
      <c r="F219" s="113" t="s">
        <v>218</v>
      </c>
      <c r="G219" s="151" t="s">
        <v>989</v>
      </c>
      <c r="H219" s="152"/>
    </row>
    <row r="220" spans="3:8" outlineLevel="4" x14ac:dyDescent="0.25">
      <c r="C220" s="137">
        <v>52600020</v>
      </c>
      <c r="D220" s="110" t="s">
        <v>223</v>
      </c>
      <c r="E220" s="110" t="s">
        <v>1338</v>
      </c>
      <c r="F220" s="113" t="s">
        <v>485</v>
      </c>
      <c r="G220" s="151" t="s">
        <v>989</v>
      </c>
      <c r="H220" s="152"/>
    </row>
    <row r="221" spans="3:8" outlineLevel="4" x14ac:dyDescent="0.25">
      <c r="C221" s="137">
        <v>52600030</v>
      </c>
      <c r="D221" s="110" t="s">
        <v>226</v>
      </c>
      <c r="E221" s="110" t="s">
        <v>1339</v>
      </c>
      <c r="F221" s="113" t="s">
        <v>485</v>
      </c>
      <c r="G221" s="151" t="s">
        <v>989</v>
      </c>
      <c r="H221" s="152"/>
    </row>
    <row r="222" spans="3:8" outlineLevel="4" x14ac:dyDescent="0.25">
      <c r="C222" s="137">
        <v>52900010</v>
      </c>
      <c r="D222" s="110" t="s">
        <v>228</v>
      </c>
      <c r="E222" s="110" t="s">
        <v>1340</v>
      </c>
      <c r="F222" s="113" t="s">
        <v>486</v>
      </c>
      <c r="G222" s="151" t="s">
        <v>989</v>
      </c>
      <c r="H222" s="152"/>
    </row>
    <row r="223" spans="3:8" outlineLevel="4" x14ac:dyDescent="0.25">
      <c r="C223" s="137">
        <v>52900020</v>
      </c>
      <c r="D223" s="110" t="s">
        <v>230</v>
      </c>
      <c r="E223" s="110" t="s">
        <v>1341</v>
      </c>
      <c r="F223" s="113" t="s">
        <v>486</v>
      </c>
      <c r="G223" s="151" t="s">
        <v>989</v>
      </c>
      <c r="H223" s="152"/>
    </row>
    <row r="224" spans="3:8" ht="30" outlineLevel="4" x14ac:dyDescent="0.25">
      <c r="C224" s="137">
        <v>53100010</v>
      </c>
      <c r="D224" s="110" t="s">
        <v>457</v>
      </c>
      <c r="E224" s="110" t="s">
        <v>1342</v>
      </c>
      <c r="F224" s="113" t="s">
        <v>457</v>
      </c>
      <c r="G224" s="151" t="s">
        <v>989</v>
      </c>
      <c r="H224" s="152"/>
    </row>
    <row r="225" spans="3:7" outlineLevel="4" x14ac:dyDescent="0.25">
      <c r="C225" s="140"/>
      <c r="D225" s="115"/>
      <c r="E225" s="116"/>
      <c r="F225" s="116"/>
      <c r="G225" s="116"/>
    </row>
    <row r="228" spans="3:7" x14ac:dyDescent="0.25">
      <c r="C228" s="94" t="s">
        <v>990</v>
      </c>
    </row>
    <row r="229" spans="3:7" x14ac:dyDescent="0.25">
      <c r="C229" s="95" t="s">
        <v>1028</v>
      </c>
      <c r="D229" s="95" t="s">
        <v>1027</v>
      </c>
      <c r="E229" s="125" t="s">
        <v>917</v>
      </c>
      <c r="F229" s="125" t="s">
        <v>987</v>
      </c>
      <c r="G229" s="125" t="s">
        <v>988</v>
      </c>
    </row>
    <row r="230" spans="3:7" x14ac:dyDescent="0.25">
      <c r="C230" s="137">
        <v>60100010</v>
      </c>
      <c r="D230" s="110" t="s">
        <v>73</v>
      </c>
      <c r="E230" s="110" t="s">
        <v>1343</v>
      </c>
      <c r="F230" s="138" t="s">
        <v>488</v>
      </c>
      <c r="G230" s="138" t="s">
        <v>50</v>
      </c>
    </row>
    <row r="231" spans="3:7" x14ac:dyDescent="0.25">
      <c r="C231" s="137">
        <v>60100020</v>
      </c>
      <c r="D231" s="110" t="s">
        <v>75</v>
      </c>
      <c r="E231" s="110" t="s">
        <v>1344</v>
      </c>
      <c r="F231" s="139" t="s">
        <v>488</v>
      </c>
      <c r="G231" s="139" t="s">
        <v>50</v>
      </c>
    </row>
    <row r="232" spans="3:7" x14ac:dyDescent="0.25">
      <c r="C232" s="137">
        <v>60100030</v>
      </c>
      <c r="D232" s="110" t="s">
        <v>77</v>
      </c>
      <c r="E232" s="110" t="s">
        <v>999</v>
      </c>
      <c r="F232" s="110" t="s">
        <v>488</v>
      </c>
      <c r="G232" s="139" t="s">
        <v>50</v>
      </c>
    </row>
    <row r="233" spans="3:7" x14ac:dyDescent="0.25">
      <c r="C233" s="137">
        <v>60100040</v>
      </c>
      <c r="D233" s="110" t="s">
        <v>79</v>
      </c>
      <c r="E233" s="110" t="s">
        <v>1345</v>
      </c>
      <c r="F233" s="110" t="s">
        <v>488</v>
      </c>
      <c r="G233" s="139" t="s">
        <v>50</v>
      </c>
    </row>
    <row r="234" spans="3:7" x14ac:dyDescent="0.25">
      <c r="C234" s="137">
        <v>60100050</v>
      </c>
      <c r="D234" s="110" t="s">
        <v>81</v>
      </c>
      <c r="E234" s="110" t="s">
        <v>1346</v>
      </c>
      <c r="F234" s="110" t="s">
        <v>488</v>
      </c>
      <c r="G234" s="139" t="s">
        <v>50</v>
      </c>
    </row>
    <row r="235" spans="3:7" x14ac:dyDescent="0.25">
      <c r="C235" s="137">
        <v>60100060</v>
      </c>
      <c r="D235" s="110" t="s">
        <v>83</v>
      </c>
      <c r="E235" s="110" t="s">
        <v>1347</v>
      </c>
      <c r="F235" s="110" t="s">
        <v>488</v>
      </c>
      <c r="G235" s="139" t="s">
        <v>50</v>
      </c>
    </row>
    <row r="236" spans="3:7" x14ac:dyDescent="0.25">
      <c r="C236" s="137">
        <v>60100070</v>
      </c>
      <c r="D236" s="110" t="s">
        <v>85</v>
      </c>
      <c r="E236" s="110" t="s">
        <v>1348</v>
      </c>
      <c r="F236" s="110" t="s">
        <v>488</v>
      </c>
      <c r="G236" s="139" t="s">
        <v>50</v>
      </c>
    </row>
    <row r="237" spans="3:7" x14ac:dyDescent="0.25">
      <c r="C237" s="137">
        <v>60100080</v>
      </c>
      <c r="D237" s="110" t="s">
        <v>87</v>
      </c>
      <c r="E237" s="110" t="s">
        <v>1349</v>
      </c>
      <c r="F237" s="113" t="s">
        <v>488</v>
      </c>
      <c r="G237" s="139" t="s">
        <v>50</v>
      </c>
    </row>
    <row r="238" spans="3:7" x14ac:dyDescent="0.25">
      <c r="C238" s="137">
        <v>60100090</v>
      </c>
      <c r="D238" s="110" t="s">
        <v>89</v>
      </c>
      <c r="E238" s="110" t="s">
        <v>1350</v>
      </c>
      <c r="F238" s="113" t="s">
        <v>488</v>
      </c>
      <c r="G238" s="139" t="s">
        <v>50</v>
      </c>
    </row>
    <row r="239" spans="3:7" x14ac:dyDescent="0.25">
      <c r="C239" s="137">
        <v>60100100</v>
      </c>
      <c r="D239" s="110" t="s">
        <v>91</v>
      </c>
      <c r="E239" s="110" t="s">
        <v>1351</v>
      </c>
      <c r="F239" s="113" t="s">
        <v>488</v>
      </c>
      <c r="G239" s="139" t="s">
        <v>50</v>
      </c>
    </row>
    <row r="240" spans="3:7" x14ac:dyDescent="0.25">
      <c r="C240" s="137">
        <v>60100110</v>
      </c>
      <c r="D240" s="110" t="s">
        <v>93</v>
      </c>
      <c r="E240" s="110" t="s">
        <v>1352</v>
      </c>
      <c r="F240" s="113" t="s">
        <v>488</v>
      </c>
      <c r="G240" s="139" t="s">
        <v>50</v>
      </c>
    </row>
    <row r="241" spans="1:7" x14ac:dyDescent="0.25">
      <c r="C241" s="137">
        <v>60100120</v>
      </c>
      <c r="D241" s="110" t="s">
        <v>991</v>
      </c>
      <c r="E241" s="110" t="s">
        <v>1345</v>
      </c>
      <c r="F241" s="113" t="s">
        <v>488</v>
      </c>
      <c r="G241" s="139" t="s">
        <v>50</v>
      </c>
    </row>
    <row r="242" spans="1:7" x14ac:dyDescent="0.25">
      <c r="C242" s="137">
        <v>60100990</v>
      </c>
      <c r="D242" s="110" t="s">
        <v>95</v>
      </c>
      <c r="E242" s="110" t="s">
        <v>1353</v>
      </c>
      <c r="F242" s="113" t="s">
        <v>488</v>
      </c>
      <c r="G242" s="139" t="s">
        <v>50</v>
      </c>
    </row>
    <row r="243" spans="1:7" x14ac:dyDescent="0.25">
      <c r="C243" s="137">
        <v>60200010</v>
      </c>
      <c r="D243" s="110" t="s">
        <v>97</v>
      </c>
      <c r="E243" s="110" t="s">
        <v>1354</v>
      </c>
      <c r="F243" s="113" t="s">
        <v>468</v>
      </c>
      <c r="G243" s="139" t="s">
        <v>50</v>
      </c>
    </row>
    <row r="244" spans="1:7" x14ac:dyDescent="0.25">
      <c r="C244" s="137">
        <v>60300010</v>
      </c>
      <c r="D244" s="110" t="s">
        <v>100</v>
      </c>
      <c r="E244" s="110" t="s">
        <v>1355</v>
      </c>
      <c r="F244" s="113" t="s">
        <v>489</v>
      </c>
      <c r="G244" s="139" t="s">
        <v>50</v>
      </c>
    </row>
    <row r="245" spans="1:7" x14ac:dyDescent="0.25">
      <c r="C245" s="137">
        <v>60600010</v>
      </c>
      <c r="D245" s="110" t="s">
        <v>426</v>
      </c>
      <c r="E245" s="110" t="s">
        <v>1356</v>
      </c>
      <c r="F245" s="113" t="s">
        <v>470</v>
      </c>
      <c r="G245" s="138" t="s">
        <v>106</v>
      </c>
    </row>
    <row r="246" spans="1:7" x14ac:dyDescent="0.25">
      <c r="C246" s="137">
        <v>60600020</v>
      </c>
      <c r="D246" s="110" t="s">
        <v>427</v>
      </c>
      <c r="E246" s="110" t="s">
        <v>1357</v>
      </c>
      <c r="F246" s="113" t="s">
        <v>470</v>
      </c>
      <c r="G246" s="138" t="s">
        <v>106</v>
      </c>
    </row>
    <row r="247" spans="1:7" ht="14.25" customHeight="1" x14ac:dyDescent="0.25">
      <c r="C247" s="137">
        <v>60600030</v>
      </c>
      <c r="D247" s="110" t="s">
        <v>428</v>
      </c>
      <c r="E247" s="110" t="s">
        <v>1358</v>
      </c>
      <c r="F247" s="113" t="s">
        <v>470</v>
      </c>
      <c r="G247" s="138" t="s">
        <v>106</v>
      </c>
    </row>
    <row r="248" spans="1:7" ht="14.25" customHeight="1" x14ac:dyDescent="0.25">
      <c r="C248" s="137">
        <v>60600050</v>
      </c>
      <c r="D248" s="110" t="s">
        <v>113</v>
      </c>
      <c r="E248" s="110" t="s">
        <v>1549</v>
      </c>
      <c r="F248" s="113" t="s">
        <v>470</v>
      </c>
      <c r="G248" s="138" t="s">
        <v>106</v>
      </c>
    </row>
    <row r="249" spans="1:7" ht="14.25" customHeight="1" x14ac:dyDescent="0.25">
      <c r="A249" s="110"/>
      <c r="B249" s="110"/>
      <c r="C249" s="137">
        <v>60700010</v>
      </c>
      <c r="D249" s="110" t="s">
        <v>115</v>
      </c>
      <c r="E249" s="110" t="s">
        <v>1550</v>
      </c>
      <c r="F249" s="113" t="s">
        <v>115</v>
      </c>
      <c r="G249" s="138" t="s">
        <v>106</v>
      </c>
    </row>
    <row r="250" spans="1:7" x14ac:dyDescent="0.25">
      <c r="C250" s="137">
        <v>60800010</v>
      </c>
      <c r="D250" s="110" t="s">
        <v>117</v>
      </c>
      <c r="E250" s="110" t="s">
        <v>1359</v>
      </c>
      <c r="F250" s="113" t="s">
        <v>490</v>
      </c>
      <c r="G250" s="138" t="s">
        <v>989</v>
      </c>
    </row>
    <row r="251" spans="1:7" x14ac:dyDescent="0.25">
      <c r="C251" s="137">
        <v>60800020</v>
      </c>
      <c r="D251" s="110" t="s">
        <v>119</v>
      </c>
      <c r="E251" s="110" t="s">
        <v>1360</v>
      </c>
      <c r="F251" s="113" t="s">
        <v>490</v>
      </c>
      <c r="G251" s="138" t="s">
        <v>989</v>
      </c>
    </row>
    <row r="252" spans="1:7" x14ac:dyDescent="0.25">
      <c r="C252" s="137">
        <v>60800030</v>
      </c>
      <c r="D252" s="110" t="s">
        <v>122</v>
      </c>
      <c r="E252" s="110" t="s">
        <v>1361</v>
      </c>
      <c r="F252" s="113" t="s">
        <v>490</v>
      </c>
      <c r="G252" s="138" t="s">
        <v>989</v>
      </c>
    </row>
    <row r="253" spans="1:7" x14ac:dyDescent="0.25">
      <c r="C253" s="137">
        <v>60800040</v>
      </c>
      <c r="D253" s="110" t="s">
        <v>124</v>
      </c>
      <c r="E253" s="110" t="s">
        <v>1362</v>
      </c>
      <c r="F253" s="113" t="s">
        <v>490</v>
      </c>
      <c r="G253" s="138" t="s">
        <v>989</v>
      </c>
    </row>
    <row r="254" spans="1:7" x14ac:dyDescent="0.25">
      <c r="C254" s="137">
        <v>60800050</v>
      </c>
      <c r="D254" s="110" t="s">
        <v>126</v>
      </c>
      <c r="E254" s="110" t="s">
        <v>1363</v>
      </c>
      <c r="F254" s="113" t="s">
        <v>490</v>
      </c>
      <c r="G254" s="138" t="s">
        <v>989</v>
      </c>
    </row>
    <row r="255" spans="1:7" x14ac:dyDescent="0.25">
      <c r="C255" s="137">
        <v>60800060</v>
      </c>
      <c r="D255" s="110" t="s">
        <v>128</v>
      </c>
      <c r="E255" s="110" t="s">
        <v>1295</v>
      </c>
      <c r="F255" s="113" t="s">
        <v>490</v>
      </c>
      <c r="G255" s="138" t="s">
        <v>989</v>
      </c>
    </row>
    <row r="256" spans="1:7" x14ac:dyDescent="0.25">
      <c r="C256" s="137">
        <v>60800070</v>
      </c>
      <c r="D256" s="110" t="s">
        <v>131</v>
      </c>
      <c r="E256" s="110" t="s">
        <v>1296</v>
      </c>
      <c r="F256" s="113" t="s">
        <v>490</v>
      </c>
      <c r="G256" s="138" t="s">
        <v>989</v>
      </c>
    </row>
    <row r="257" spans="3:7" x14ac:dyDescent="0.25">
      <c r="C257" s="137">
        <v>60800080</v>
      </c>
      <c r="D257" s="110" t="s">
        <v>133</v>
      </c>
      <c r="E257" s="110" t="s">
        <v>1364</v>
      </c>
      <c r="F257" s="113" t="s">
        <v>490</v>
      </c>
      <c r="G257" s="138" t="s">
        <v>989</v>
      </c>
    </row>
    <row r="258" spans="3:7" x14ac:dyDescent="0.25">
      <c r="C258" s="137">
        <v>61100010</v>
      </c>
      <c r="D258" s="110" t="s">
        <v>430</v>
      </c>
      <c r="E258" s="110" t="s">
        <v>1297</v>
      </c>
      <c r="F258" s="113" t="s">
        <v>472</v>
      </c>
      <c r="G258" s="138" t="s">
        <v>1023</v>
      </c>
    </row>
    <row r="259" spans="3:7" x14ac:dyDescent="0.25">
      <c r="C259" s="137">
        <v>61200010</v>
      </c>
      <c r="D259" s="110" t="s">
        <v>431</v>
      </c>
      <c r="E259" s="110" t="s">
        <v>1365</v>
      </c>
      <c r="F259" s="113" t="s">
        <v>473</v>
      </c>
      <c r="G259" s="138" t="s">
        <v>1024</v>
      </c>
    </row>
    <row r="260" spans="3:7" x14ac:dyDescent="0.25">
      <c r="C260" s="137">
        <v>61200020</v>
      </c>
      <c r="D260" s="110" t="s">
        <v>432</v>
      </c>
      <c r="E260" s="110" t="s">
        <v>1366</v>
      </c>
      <c r="F260" s="113" t="s">
        <v>473</v>
      </c>
      <c r="G260" s="138" t="s">
        <v>1024</v>
      </c>
    </row>
    <row r="261" spans="3:7" x14ac:dyDescent="0.25">
      <c r="C261" s="137">
        <v>61200030</v>
      </c>
      <c r="D261" s="110" t="s">
        <v>433</v>
      </c>
      <c r="E261" s="110" t="s">
        <v>1367</v>
      </c>
      <c r="F261" s="113" t="s">
        <v>473</v>
      </c>
      <c r="G261" s="138" t="s">
        <v>1024</v>
      </c>
    </row>
    <row r="262" spans="3:7" x14ac:dyDescent="0.25">
      <c r="C262" s="137">
        <v>61200040</v>
      </c>
      <c r="D262" s="110" t="s">
        <v>434</v>
      </c>
      <c r="E262" s="110" t="s">
        <v>1368</v>
      </c>
      <c r="F262" s="113" t="s">
        <v>473</v>
      </c>
      <c r="G262" s="138" t="s">
        <v>1024</v>
      </c>
    </row>
    <row r="263" spans="3:7" x14ac:dyDescent="0.25">
      <c r="C263" s="137">
        <v>61200050</v>
      </c>
      <c r="D263" s="110" t="s">
        <v>435</v>
      </c>
      <c r="E263" s="110" t="s">
        <v>1369</v>
      </c>
      <c r="F263" s="113" t="s">
        <v>473</v>
      </c>
      <c r="G263" s="138" t="s">
        <v>1024</v>
      </c>
    </row>
    <row r="264" spans="3:7" x14ac:dyDescent="0.25">
      <c r="C264" s="137">
        <v>61200060</v>
      </c>
      <c r="D264" s="110" t="s">
        <v>436</v>
      </c>
      <c r="E264" s="110" t="s">
        <v>1370</v>
      </c>
      <c r="F264" s="113" t="s">
        <v>473</v>
      </c>
      <c r="G264" s="138" t="s">
        <v>1024</v>
      </c>
    </row>
    <row r="265" spans="3:7" x14ac:dyDescent="0.25">
      <c r="C265" s="137">
        <v>61200070</v>
      </c>
      <c r="D265" s="110" t="s">
        <v>437</v>
      </c>
      <c r="E265" s="110" t="s">
        <v>1371</v>
      </c>
      <c r="F265" s="113" t="s">
        <v>473</v>
      </c>
      <c r="G265" s="138" t="s">
        <v>1024</v>
      </c>
    </row>
    <row r="266" spans="3:7" x14ac:dyDescent="0.25">
      <c r="C266" s="137">
        <v>61200080</v>
      </c>
      <c r="D266" s="110" t="s">
        <v>438</v>
      </c>
      <c r="E266" s="110" t="s">
        <v>1372</v>
      </c>
      <c r="F266" s="113" t="s">
        <v>473</v>
      </c>
      <c r="G266" s="138" t="s">
        <v>1024</v>
      </c>
    </row>
    <row r="267" spans="3:7" x14ac:dyDescent="0.25">
      <c r="C267" s="137">
        <v>61200090</v>
      </c>
      <c r="D267" s="110" t="s">
        <v>439</v>
      </c>
      <c r="E267" s="110" t="s">
        <v>1373</v>
      </c>
      <c r="F267" s="113" t="s">
        <v>473</v>
      </c>
      <c r="G267" s="138" t="s">
        <v>1024</v>
      </c>
    </row>
    <row r="268" spans="3:7" x14ac:dyDescent="0.25">
      <c r="C268" s="137">
        <v>61300010</v>
      </c>
      <c r="D268" s="110" t="s">
        <v>440</v>
      </c>
      <c r="E268" s="110" t="s">
        <v>1374</v>
      </c>
      <c r="F268" s="113" t="s">
        <v>474</v>
      </c>
      <c r="G268" s="138" t="s">
        <v>1024</v>
      </c>
    </row>
    <row r="269" spans="3:7" x14ac:dyDescent="0.25">
      <c r="C269" s="137">
        <v>61300020</v>
      </c>
      <c r="D269" s="110" t="s">
        <v>441</v>
      </c>
      <c r="E269" s="110" t="s">
        <v>1375</v>
      </c>
      <c r="F269" s="113" t="s">
        <v>474</v>
      </c>
      <c r="G269" s="138" t="s">
        <v>1024</v>
      </c>
    </row>
    <row r="270" spans="3:7" x14ac:dyDescent="0.25">
      <c r="C270" s="137">
        <v>61300030</v>
      </c>
      <c r="D270" s="110" t="s">
        <v>442</v>
      </c>
      <c r="E270" s="110" t="s">
        <v>1376</v>
      </c>
      <c r="F270" s="113" t="s">
        <v>474</v>
      </c>
      <c r="G270" s="138" t="s">
        <v>1024</v>
      </c>
    </row>
    <row r="271" spans="3:7" x14ac:dyDescent="0.25">
      <c r="C271" s="137">
        <v>61300040</v>
      </c>
      <c r="D271" s="110" t="s">
        <v>443</v>
      </c>
      <c r="E271" s="110" t="s">
        <v>1377</v>
      </c>
      <c r="F271" s="113" t="s">
        <v>474</v>
      </c>
      <c r="G271" s="138" t="s">
        <v>1024</v>
      </c>
    </row>
    <row r="272" spans="3:7" x14ac:dyDescent="0.25">
      <c r="C272" s="137">
        <v>61300050</v>
      </c>
      <c r="D272" s="110" t="s">
        <v>444</v>
      </c>
      <c r="E272" s="110" t="s">
        <v>1378</v>
      </c>
      <c r="F272" s="113" t="s">
        <v>474</v>
      </c>
      <c r="G272" s="138" t="s">
        <v>1024</v>
      </c>
    </row>
    <row r="273" spans="3:7" x14ac:dyDescent="0.25">
      <c r="C273" s="137">
        <v>61300060</v>
      </c>
      <c r="D273" s="110" t="s">
        <v>445</v>
      </c>
      <c r="E273" s="110" t="s">
        <v>1379</v>
      </c>
      <c r="F273" s="113" t="s">
        <v>474</v>
      </c>
      <c r="G273" s="138" t="s">
        <v>1024</v>
      </c>
    </row>
    <row r="274" spans="3:7" x14ac:dyDescent="0.25">
      <c r="C274" s="137">
        <v>61300070</v>
      </c>
      <c r="D274" s="110" t="s">
        <v>446</v>
      </c>
      <c r="E274" s="110" t="s">
        <v>1380</v>
      </c>
      <c r="F274" s="113" t="s">
        <v>474</v>
      </c>
      <c r="G274" s="138" t="s">
        <v>1024</v>
      </c>
    </row>
    <row r="275" spans="3:7" x14ac:dyDescent="0.25">
      <c r="C275" s="137">
        <v>61300080</v>
      </c>
      <c r="D275" s="110" t="s">
        <v>447</v>
      </c>
      <c r="E275" s="110" t="s">
        <v>1381</v>
      </c>
      <c r="F275" s="113" t="s">
        <v>474</v>
      </c>
      <c r="G275" s="138" t="s">
        <v>1024</v>
      </c>
    </row>
    <row r="276" spans="3:7" ht="30" x14ac:dyDescent="0.25">
      <c r="C276" s="137">
        <v>61300090</v>
      </c>
      <c r="D276" s="110" t="s">
        <v>448</v>
      </c>
      <c r="E276" s="110" t="s">
        <v>1382</v>
      </c>
      <c r="F276" s="113" t="s">
        <v>474</v>
      </c>
      <c r="G276" s="138" t="s">
        <v>1024</v>
      </c>
    </row>
    <row r="277" spans="3:7" x14ac:dyDescent="0.25">
      <c r="C277" s="137">
        <v>61400010</v>
      </c>
      <c r="D277" s="110" t="s">
        <v>135</v>
      </c>
      <c r="E277" s="110" t="s">
        <v>1383</v>
      </c>
      <c r="F277" s="113" t="s">
        <v>475</v>
      </c>
      <c r="G277" s="138" t="s">
        <v>1025</v>
      </c>
    </row>
    <row r="278" spans="3:7" x14ac:dyDescent="0.25">
      <c r="C278" s="137">
        <v>61400020</v>
      </c>
      <c r="D278" s="110" t="s">
        <v>449</v>
      </c>
      <c r="E278" s="110" t="s">
        <v>1384</v>
      </c>
      <c r="F278" s="113" t="s">
        <v>475</v>
      </c>
      <c r="G278" s="138" t="s">
        <v>1025</v>
      </c>
    </row>
    <row r="279" spans="3:7" x14ac:dyDescent="0.25">
      <c r="C279" s="137">
        <v>61400030</v>
      </c>
      <c r="D279" s="110" t="s">
        <v>450</v>
      </c>
      <c r="E279" s="110" t="s">
        <v>1385</v>
      </c>
      <c r="F279" s="113" t="s">
        <v>475</v>
      </c>
      <c r="G279" s="138" t="s">
        <v>1025</v>
      </c>
    </row>
    <row r="280" spans="3:7" x14ac:dyDescent="0.25">
      <c r="C280" s="137">
        <v>61500010</v>
      </c>
      <c r="D280" s="110" t="s">
        <v>141</v>
      </c>
      <c r="E280" s="110" t="s">
        <v>1303</v>
      </c>
      <c r="F280" s="113" t="s">
        <v>476</v>
      </c>
      <c r="G280" s="138" t="s">
        <v>989</v>
      </c>
    </row>
    <row r="281" spans="3:7" x14ac:dyDescent="0.25">
      <c r="C281" s="137">
        <v>61500020</v>
      </c>
      <c r="D281" s="110" t="s">
        <v>143</v>
      </c>
      <c r="E281" s="110" t="s">
        <v>1303</v>
      </c>
      <c r="F281" s="113" t="s">
        <v>476</v>
      </c>
      <c r="G281" s="138" t="s">
        <v>50</v>
      </c>
    </row>
    <row r="282" spans="3:7" ht="30" x14ac:dyDescent="0.25">
      <c r="C282" s="137">
        <v>61600010</v>
      </c>
      <c r="D282" s="110" t="s">
        <v>993</v>
      </c>
      <c r="E282" s="110" t="s">
        <v>1386</v>
      </c>
      <c r="F282" s="113" t="s">
        <v>477</v>
      </c>
      <c r="G282" s="138" t="s">
        <v>106</v>
      </c>
    </row>
    <row r="283" spans="3:7" x14ac:dyDescent="0.25">
      <c r="C283" s="137">
        <v>61600030</v>
      </c>
      <c r="D283" s="110" t="s">
        <v>150</v>
      </c>
      <c r="E283" s="110" t="s">
        <v>1387</v>
      </c>
      <c r="F283" s="113" t="s">
        <v>477</v>
      </c>
      <c r="G283" s="138" t="s">
        <v>106</v>
      </c>
    </row>
    <row r="284" spans="3:7" ht="45" x14ac:dyDescent="0.25">
      <c r="C284" s="137">
        <v>61600040</v>
      </c>
      <c r="D284" s="110" t="s">
        <v>151</v>
      </c>
      <c r="E284" s="110" t="s">
        <v>1388</v>
      </c>
      <c r="F284" s="113" t="s">
        <v>477</v>
      </c>
      <c r="G284" s="138" t="s">
        <v>176</v>
      </c>
    </row>
    <row r="285" spans="3:7" ht="31.5" customHeight="1" x14ac:dyDescent="0.25">
      <c r="C285" s="137">
        <v>61600050</v>
      </c>
      <c r="D285" s="110" t="s">
        <v>994</v>
      </c>
      <c r="E285" s="110" t="s">
        <v>1389</v>
      </c>
      <c r="F285" s="113" t="s">
        <v>477</v>
      </c>
      <c r="G285" s="138" t="s">
        <v>176</v>
      </c>
    </row>
    <row r="286" spans="3:7" ht="30" x14ac:dyDescent="0.25">
      <c r="C286" s="137">
        <v>61600060</v>
      </c>
      <c r="D286" s="110" t="s">
        <v>995</v>
      </c>
      <c r="E286" s="110" t="s">
        <v>1390</v>
      </c>
      <c r="F286" s="113" t="s">
        <v>477</v>
      </c>
      <c r="G286" s="138" t="s">
        <v>50</v>
      </c>
    </row>
    <row r="287" spans="3:7" ht="30" x14ac:dyDescent="0.25">
      <c r="C287" s="137">
        <v>61600070</v>
      </c>
      <c r="D287" s="110" t="s">
        <v>152</v>
      </c>
      <c r="E287" s="110" t="s">
        <v>1551</v>
      </c>
      <c r="F287" s="113" t="s">
        <v>477</v>
      </c>
      <c r="G287" s="138" t="s">
        <v>989</v>
      </c>
    </row>
    <row r="288" spans="3:7" x14ac:dyDescent="0.25">
      <c r="C288" s="137">
        <v>61700010</v>
      </c>
      <c r="D288" s="110" t="s">
        <v>153</v>
      </c>
      <c r="E288" s="110" t="s">
        <v>1310</v>
      </c>
      <c r="F288" s="113" t="s">
        <v>478</v>
      </c>
      <c r="G288" s="138" t="s">
        <v>1026</v>
      </c>
    </row>
    <row r="289" spans="3:7" x14ac:dyDescent="0.25">
      <c r="C289" s="137">
        <v>61700030</v>
      </c>
      <c r="D289" s="110" t="s">
        <v>155</v>
      </c>
      <c r="E289" s="110" t="s">
        <v>1311</v>
      </c>
      <c r="F289" s="113" t="s">
        <v>478</v>
      </c>
      <c r="G289" s="138" t="s">
        <v>106</v>
      </c>
    </row>
    <row r="290" spans="3:7" x14ac:dyDescent="0.25">
      <c r="C290" s="137">
        <v>61700040</v>
      </c>
      <c r="D290" s="110" t="s">
        <v>157</v>
      </c>
      <c r="E290" s="110" t="s">
        <v>1312</v>
      </c>
      <c r="F290" s="113" t="s">
        <v>478</v>
      </c>
      <c r="G290" s="138" t="s">
        <v>106</v>
      </c>
    </row>
    <row r="291" spans="3:7" x14ac:dyDescent="0.25">
      <c r="C291" s="137">
        <v>61700050</v>
      </c>
      <c r="D291" s="110" t="s">
        <v>159</v>
      </c>
      <c r="E291" s="110" t="s">
        <v>1313</v>
      </c>
      <c r="F291" s="113" t="s">
        <v>478</v>
      </c>
      <c r="G291" s="138" t="s">
        <v>106</v>
      </c>
    </row>
    <row r="292" spans="3:7" x14ac:dyDescent="0.25">
      <c r="C292" s="137">
        <v>61700060</v>
      </c>
      <c r="D292" s="110" t="s">
        <v>996</v>
      </c>
      <c r="E292" s="110" t="s">
        <v>1314</v>
      </c>
      <c r="F292" s="113" t="s">
        <v>478</v>
      </c>
      <c r="G292" s="138" t="s">
        <v>106</v>
      </c>
    </row>
    <row r="293" spans="3:7" x14ac:dyDescent="0.25">
      <c r="C293" s="137">
        <v>61700070</v>
      </c>
      <c r="D293" s="110" t="s">
        <v>163</v>
      </c>
      <c r="E293" s="110" t="s">
        <v>1315</v>
      </c>
      <c r="F293" s="113" t="s">
        <v>478</v>
      </c>
      <c r="G293" s="138" t="s">
        <v>989</v>
      </c>
    </row>
    <row r="294" spans="3:7" x14ac:dyDescent="0.25">
      <c r="C294" s="137">
        <v>61800010</v>
      </c>
      <c r="D294" s="110" t="s">
        <v>165</v>
      </c>
      <c r="E294" s="110" t="s">
        <v>1316</v>
      </c>
      <c r="F294" s="113" t="s">
        <v>491</v>
      </c>
      <c r="G294" s="138" t="s">
        <v>989</v>
      </c>
    </row>
    <row r="295" spans="3:7" x14ac:dyDescent="0.25">
      <c r="C295" s="137">
        <v>61800020</v>
      </c>
      <c r="D295" s="137" t="s">
        <v>168</v>
      </c>
      <c r="E295" s="137" t="s">
        <v>1391</v>
      </c>
      <c r="F295" s="137" t="s">
        <v>491</v>
      </c>
      <c r="G295" s="138" t="s">
        <v>989</v>
      </c>
    </row>
    <row r="296" spans="3:7" x14ac:dyDescent="0.25">
      <c r="C296" s="137">
        <v>61800030</v>
      </c>
      <c r="D296" s="137" t="s">
        <v>170</v>
      </c>
      <c r="E296" s="137" t="s">
        <v>1318</v>
      </c>
      <c r="F296" s="137" t="s">
        <v>491</v>
      </c>
      <c r="G296" s="138" t="s">
        <v>989</v>
      </c>
    </row>
    <row r="297" spans="3:7" x14ac:dyDescent="0.25">
      <c r="C297" s="137">
        <v>61800090</v>
      </c>
      <c r="D297" s="137" t="s">
        <v>172</v>
      </c>
      <c r="E297" s="137" t="s">
        <v>1392</v>
      </c>
      <c r="F297" s="137" t="s">
        <v>491</v>
      </c>
      <c r="G297" s="138" t="s">
        <v>989</v>
      </c>
    </row>
    <row r="298" spans="3:7" x14ac:dyDescent="0.25">
      <c r="C298" s="137">
        <v>61900010</v>
      </c>
      <c r="D298" s="137" t="s">
        <v>174</v>
      </c>
      <c r="E298" s="137" t="s">
        <v>1393</v>
      </c>
      <c r="F298" s="137" t="s">
        <v>342</v>
      </c>
      <c r="G298" s="138" t="s">
        <v>989</v>
      </c>
    </row>
    <row r="299" spans="3:7" x14ac:dyDescent="0.25">
      <c r="C299" s="137">
        <v>61900020</v>
      </c>
      <c r="D299" s="137" t="s">
        <v>177</v>
      </c>
      <c r="E299" s="137" t="s">
        <v>1394</v>
      </c>
      <c r="F299" s="137" t="s">
        <v>342</v>
      </c>
      <c r="G299" s="138" t="s">
        <v>989</v>
      </c>
    </row>
    <row r="300" spans="3:7" x14ac:dyDescent="0.25">
      <c r="C300" s="137">
        <v>61900030</v>
      </c>
      <c r="D300" s="137" t="s">
        <v>180</v>
      </c>
      <c r="E300" s="137" t="s">
        <v>1395</v>
      </c>
      <c r="F300" s="137" t="s">
        <v>342</v>
      </c>
      <c r="G300" s="138" t="s">
        <v>989</v>
      </c>
    </row>
    <row r="301" spans="3:7" x14ac:dyDescent="0.25">
      <c r="C301" s="137">
        <v>61900040</v>
      </c>
      <c r="D301" s="137" t="s">
        <v>182</v>
      </c>
      <c r="E301" s="137" t="s">
        <v>1396</v>
      </c>
      <c r="F301" s="137" t="s">
        <v>342</v>
      </c>
      <c r="G301" s="138" t="s">
        <v>989</v>
      </c>
    </row>
    <row r="302" spans="3:7" x14ac:dyDescent="0.25">
      <c r="C302" s="137">
        <v>61900090</v>
      </c>
      <c r="D302" s="137" t="s">
        <v>184</v>
      </c>
      <c r="E302" s="137" t="s">
        <v>1397</v>
      </c>
      <c r="F302" s="137" t="s">
        <v>342</v>
      </c>
      <c r="G302" s="138" t="s">
        <v>989</v>
      </c>
    </row>
    <row r="303" spans="3:7" x14ac:dyDescent="0.25">
      <c r="C303" s="137">
        <v>62000010</v>
      </c>
      <c r="D303" s="137" t="s">
        <v>186</v>
      </c>
      <c r="E303" s="137" t="s">
        <v>1398</v>
      </c>
      <c r="F303" s="137" t="s">
        <v>480</v>
      </c>
      <c r="G303" s="137" t="s">
        <v>236</v>
      </c>
    </row>
    <row r="304" spans="3:7" x14ac:dyDescent="0.25">
      <c r="C304" s="137">
        <v>62000020</v>
      </c>
      <c r="D304" s="137" t="s">
        <v>189</v>
      </c>
      <c r="E304" s="137" t="s">
        <v>1399</v>
      </c>
      <c r="F304" s="137" t="s">
        <v>480</v>
      </c>
      <c r="G304" s="137" t="s">
        <v>325</v>
      </c>
    </row>
    <row r="305" spans="3:7" x14ac:dyDescent="0.25">
      <c r="C305" s="137">
        <v>62000040</v>
      </c>
      <c r="D305" s="137" t="s">
        <v>192</v>
      </c>
      <c r="E305" s="137" t="s">
        <v>1400</v>
      </c>
      <c r="F305" s="137" t="s">
        <v>480</v>
      </c>
      <c r="G305" s="138" t="s">
        <v>989</v>
      </c>
    </row>
    <row r="306" spans="3:7" x14ac:dyDescent="0.25">
      <c r="C306" s="137">
        <v>62100010</v>
      </c>
      <c r="D306" s="137" t="s">
        <v>195</v>
      </c>
      <c r="E306" s="137" t="s">
        <v>1401</v>
      </c>
      <c r="F306" s="137" t="s">
        <v>481</v>
      </c>
      <c r="G306" s="137" t="s">
        <v>176</v>
      </c>
    </row>
    <row r="307" spans="3:7" x14ac:dyDescent="0.25">
      <c r="C307" s="137">
        <v>62100020</v>
      </c>
      <c r="D307" s="137" t="s">
        <v>198</v>
      </c>
      <c r="E307" s="137" t="s">
        <v>1402</v>
      </c>
      <c r="F307" s="137" t="s">
        <v>481</v>
      </c>
      <c r="G307" s="137" t="s">
        <v>176</v>
      </c>
    </row>
    <row r="308" spans="3:7" x14ac:dyDescent="0.25">
      <c r="C308" s="137">
        <v>62100030</v>
      </c>
      <c r="D308" s="137" t="s">
        <v>200</v>
      </c>
      <c r="E308" s="137" t="s">
        <v>1403</v>
      </c>
      <c r="F308" s="137" t="s">
        <v>481</v>
      </c>
      <c r="G308" s="137" t="s">
        <v>176</v>
      </c>
    </row>
    <row r="309" spans="3:7" x14ac:dyDescent="0.25">
      <c r="C309" s="137">
        <v>62100040</v>
      </c>
      <c r="D309" s="137" t="s">
        <v>202</v>
      </c>
      <c r="E309" s="137" t="s">
        <v>1404</v>
      </c>
      <c r="F309" s="137" t="s">
        <v>481</v>
      </c>
      <c r="G309" s="137" t="s">
        <v>176</v>
      </c>
    </row>
    <row r="310" spans="3:7" x14ac:dyDescent="0.25">
      <c r="C310" s="137">
        <v>62100050</v>
      </c>
      <c r="D310" s="137" t="s">
        <v>453</v>
      </c>
      <c r="E310" s="137" t="s">
        <v>1405</v>
      </c>
      <c r="F310" s="137" t="s">
        <v>481</v>
      </c>
      <c r="G310" s="137" t="s">
        <v>176</v>
      </c>
    </row>
    <row r="311" spans="3:7" x14ac:dyDescent="0.25">
      <c r="C311" s="137">
        <v>62200010</v>
      </c>
      <c r="D311" s="137" t="s">
        <v>206</v>
      </c>
      <c r="E311" s="137" t="s">
        <v>1406</v>
      </c>
      <c r="F311" s="137" t="s">
        <v>482</v>
      </c>
      <c r="G311" s="138" t="s">
        <v>989</v>
      </c>
    </row>
    <row r="312" spans="3:7" ht="30" x14ac:dyDescent="0.25">
      <c r="C312" s="137">
        <v>62200020</v>
      </c>
      <c r="D312" s="137" t="s">
        <v>208</v>
      </c>
      <c r="E312" s="137" t="s">
        <v>1407</v>
      </c>
      <c r="F312" s="137" t="s">
        <v>482</v>
      </c>
      <c r="G312" s="138" t="s">
        <v>989</v>
      </c>
    </row>
    <row r="313" spans="3:7" x14ac:dyDescent="0.25">
      <c r="C313" s="137">
        <v>62300010</v>
      </c>
      <c r="D313" s="137" t="s">
        <v>210</v>
      </c>
      <c r="E313" s="137" t="s">
        <v>1408</v>
      </c>
      <c r="F313" s="137" t="s">
        <v>483</v>
      </c>
      <c r="G313" s="138" t="s">
        <v>989</v>
      </c>
    </row>
    <row r="314" spans="3:7" ht="30" x14ac:dyDescent="0.25">
      <c r="C314" s="137">
        <v>62300020</v>
      </c>
      <c r="D314" s="137" t="s">
        <v>212</v>
      </c>
      <c r="E314" s="137" t="s">
        <v>1409</v>
      </c>
      <c r="F314" s="137" t="s">
        <v>483</v>
      </c>
      <c r="G314" s="138" t="s">
        <v>989</v>
      </c>
    </row>
    <row r="315" spans="3:7" ht="30" x14ac:dyDescent="0.25">
      <c r="C315" s="137">
        <v>62400030</v>
      </c>
      <c r="D315" s="137" t="s">
        <v>214</v>
      </c>
      <c r="E315" s="137" t="s">
        <v>1410</v>
      </c>
      <c r="F315" s="137" t="s">
        <v>484</v>
      </c>
      <c r="G315" s="138" t="s">
        <v>989</v>
      </c>
    </row>
    <row r="316" spans="3:7" ht="30" x14ac:dyDescent="0.25">
      <c r="C316" s="137">
        <v>62400040</v>
      </c>
      <c r="D316" s="137" t="s">
        <v>216</v>
      </c>
      <c r="E316" s="137" t="s">
        <v>1411</v>
      </c>
      <c r="F316" s="137" t="s">
        <v>484</v>
      </c>
      <c r="G316" s="138" t="s">
        <v>989</v>
      </c>
    </row>
    <row r="317" spans="3:7" x14ac:dyDescent="0.25">
      <c r="C317" s="137">
        <v>62400060</v>
      </c>
      <c r="D317" s="137" t="s">
        <v>454</v>
      </c>
      <c r="E317" s="137" t="s">
        <v>1412</v>
      </c>
      <c r="F317" s="137" t="s">
        <v>484</v>
      </c>
      <c r="G317" s="137" t="s">
        <v>236</v>
      </c>
    </row>
    <row r="318" spans="3:7" x14ac:dyDescent="0.25">
      <c r="C318" s="137">
        <v>62500010</v>
      </c>
      <c r="D318" s="137" t="s">
        <v>218</v>
      </c>
      <c r="E318" s="137" t="s">
        <v>1413</v>
      </c>
      <c r="F318" s="137" t="s">
        <v>218</v>
      </c>
      <c r="G318" s="137" t="s">
        <v>22</v>
      </c>
    </row>
    <row r="319" spans="3:7" ht="30" x14ac:dyDescent="0.25">
      <c r="C319" s="137">
        <v>62600010</v>
      </c>
      <c r="D319" s="137" t="s">
        <v>221</v>
      </c>
      <c r="E319" s="137" t="s">
        <v>1414</v>
      </c>
      <c r="F319" s="137" t="s">
        <v>485</v>
      </c>
      <c r="G319" s="138" t="s">
        <v>989</v>
      </c>
    </row>
    <row r="320" spans="3:7" x14ac:dyDescent="0.25">
      <c r="C320" s="137">
        <v>62600020</v>
      </c>
      <c r="D320" s="137" t="s">
        <v>223</v>
      </c>
      <c r="E320" s="137" t="s">
        <v>1415</v>
      </c>
      <c r="F320" s="137" t="s">
        <v>485</v>
      </c>
      <c r="G320" s="138" t="s">
        <v>989</v>
      </c>
    </row>
    <row r="321" spans="1:7" ht="30" x14ac:dyDescent="0.25">
      <c r="C321" s="137">
        <v>62600030</v>
      </c>
      <c r="D321" s="137" t="s">
        <v>226</v>
      </c>
      <c r="E321" s="137" t="s">
        <v>1416</v>
      </c>
      <c r="F321" s="137" t="s">
        <v>485</v>
      </c>
      <c r="G321" s="138" t="s">
        <v>989</v>
      </c>
    </row>
    <row r="322" spans="1:7" x14ac:dyDescent="0.25">
      <c r="C322" s="137">
        <v>62700010</v>
      </c>
      <c r="D322" s="137" t="s">
        <v>455</v>
      </c>
      <c r="E322" s="137" t="s">
        <v>1417</v>
      </c>
      <c r="F322" s="137" t="s">
        <v>455</v>
      </c>
      <c r="G322" s="137" t="s">
        <v>236</v>
      </c>
    </row>
    <row r="323" spans="1:7" x14ac:dyDescent="0.25">
      <c r="C323" s="137">
        <v>62800010</v>
      </c>
      <c r="D323" s="137" t="s">
        <v>456</v>
      </c>
      <c r="E323" s="137" t="s">
        <v>1418</v>
      </c>
      <c r="F323" s="137" t="s">
        <v>456</v>
      </c>
      <c r="G323" s="137" t="s">
        <v>238</v>
      </c>
    </row>
    <row r="324" spans="1:7" x14ac:dyDescent="0.25">
      <c r="C324" s="137">
        <v>62900010</v>
      </c>
      <c r="D324" s="137" t="s">
        <v>228</v>
      </c>
      <c r="E324" s="137" t="s">
        <v>778</v>
      </c>
      <c r="F324" s="137" t="s">
        <v>486</v>
      </c>
      <c r="G324" s="138" t="s">
        <v>989</v>
      </c>
    </row>
    <row r="325" spans="1:7" x14ac:dyDescent="0.25">
      <c r="C325" s="137">
        <v>62900020</v>
      </c>
      <c r="D325" s="137" t="s">
        <v>230</v>
      </c>
      <c r="E325" s="137" t="s">
        <v>1419</v>
      </c>
      <c r="F325" s="137" t="s">
        <v>486</v>
      </c>
      <c r="G325" s="138" t="s">
        <v>989</v>
      </c>
    </row>
    <row r="326" spans="1:7" x14ac:dyDescent="0.25">
      <c r="C326" s="137">
        <v>63300010</v>
      </c>
      <c r="D326" s="137" t="s">
        <v>992</v>
      </c>
      <c r="E326" s="137" t="s">
        <v>1420</v>
      </c>
      <c r="F326" s="137" t="s">
        <v>342</v>
      </c>
      <c r="G326" s="137"/>
    </row>
    <row r="327" spans="1:7" x14ac:dyDescent="0.25">
      <c r="C327" s="357">
        <v>63900010</v>
      </c>
      <c r="D327" s="115" t="s">
        <v>232</v>
      </c>
      <c r="E327" s="116" t="s">
        <v>1537</v>
      </c>
      <c r="F327" s="116" t="s">
        <v>495</v>
      </c>
      <c r="G327" s="116" t="s">
        <v>989</v>
      </c>
    </row>
    <row r="330" spans="1:7" s="349" customFormat="1" ht="15.75" x14ac:dyDescent="0.25">
      <c r="A330" s="136"/>
      <c r="B330" s="136"/>
      <c r="C330" s="348" t="s">
        <v>713</v>
      </c>
      <c r="D330" s="338" t="s">
        <v>541</v>
      </c>
    </row>
    <row r="331" spans="1:7" outlineLevel="1" x14ac:dyDescent="0.25"/>
    <row r="332" spans="1:7" outlineLevel="1" x14ac:dyDescent="0.25">
      <c r="C332" s="75" t="s">
        <v>1257</v>
      </c>
    </row>
    <row r="333" spans="1:7" outlineLevel="1" x14ac:dyDescent="0.25"/>
    <row r="334" spans="1:7" outlineLevel="1" x14ac:dyDescent="0.25">
      <c r="B334" s="94" t="s">
        <v>895</v>
      </c>
      <c r="C334" s="94" t="s">
        <v>777</v>
      </c>
    </row>
    <row r="335" spans="1:7" outlineLevel="1" x14ac:dyDescent="0.25">
      <c r="C335" s="75" t="s">
        <v>1258</v>
      </c>
    </row>
    <row r="336" spans="1:7" outlineLevel="1" x14ac:dyDescent="0.25"/>
    <row r="337" spans="2:5" outlineLevel="1" x14ac:dyDescent="0.25">
      <c r="B337" s="94" t="s">
        <v>896</v>
      </c>
      <c r="C337" s="94" t="s">
        <v>811</v>
      </c>
    </row>
    <row r="338" spans="2:5" outlineLevel="1" x14ac:dyDescent="0.25">
      <c r="C338" s="75" t="s">
        <v>1259</v>
      </c>
    </row>
    <row r="339" spans="2:5" outlineLevel="1" x14ac:dyDescent="0.25">
      <c r="C339" s="75" t="s">
        <v>1260</v>
      </c>
    </row>
    <row r="340" spans="2:5" outlineLevel="1" x14ac:dyDescent="0.25"/>
    <row r="341" spans="2:5" s="94" customFormat="1" outlineLevel="1" x14ac:dyDescent="0.25">
      <c r="B341" s="94" t="s">
        <v>897</v>
      </c>
      <c r="C341" s="94" t="s">
        <v>1261</v>
      </c>
    </row>
    <row r="342" spans="2:5" outlineLevel="1" x14ac:dyDescent="0.25">
      <c r="C342" s="75" t="s">
        <v>1262</v>
      </c>
    </row>
    <row r="343" spans="2:5" outlineLevel="1" x14ac:dyDescent="0.25">
      <c r="C343" s="75" t="s">
        <v>1260</v>
      </c>
    </row>
    <row r="344" spans="2:5" outlineLevel="1" x14ac:dyDescent="0.25"/>
    <row r="345" spans="2:5" ht="105" outlineLevel="1" x14ac:dyDescent="0.25">
      <c r="C345" s="123" t="s">
        <v>547</v>
      </c>
      <c r="D345" s="93" t="s">
        <v>1263</v>
      </c>
    </row>
    <row r="346" spans="2:5" ht="15.75" customHeight="1" outlineLevel="1" x14ac:dyDescent="0.25">
      <c r="C346" s="123" t="s">
        <v>461</v>
      </c>
      <c r="D346" s="93" t="s">
        <v>1264</v>
      </c>
    </row>
    <row r="347" spans="2:5" ht="30" outlineLevel="1" x14ac:dyDescent="0.25">
      <c r="C347" s="123" t="s">
        <v>46</v>
      </c>
      <c r="D347" s="93" t="s">
        <v>1552</v>
      </c>
      <c r="E347" s="340" t="s">
        <v>1525</v>
      </c>
    </row>
    <row r="348" spans="2:5" ht="45.75" customHeight="1" outlineLevel="1" x14ac:dyDescent="0.25">
      <c r="C348" s="123" t="s">
        <v>460</v>
      </c>
      <c r="D348" s="93" t="s">
        <v>1265</v>
      </c>
    </row>
    <row r="349" spans="2:5" ht="45" outlineLevel="1" x14ac:dyDescent="0.25">
      <c r="C349" s="123" t="s">
        <v>338</v>
      </c>
      <c r="D349" s="93" t="s">
        <v>1266</v>
      </c>
    </row>
  </sheetData>
  <sheetProtection formatRows="0"/>
  <hyperlinks>
    <hyperlink ref="D28" location="Cover!A1" display="Cover" xr:uid="{F2EB4018-72D8-4A6A-AC92-6D518F5180D3}"/>
    <hyperlink ref="D125" location="'Budget Opex Detail'!A1" display="Budget Opex Detail" xr:uid="{3F35BD7F-401C-4F6B-B33B-A58F028E67AA}"/>
    <hyperlink ref="D330" location="'Activity Master Opex'!A1" display="Activity Master" xr:uid="{2ECC6061-C6AD-43F8-9F41-F8D4AEDFA152}"/>
    <hyperlink ref="D77" location="'Budget Capex Detail'!A1" display="Budget Capex Detail" xr:uid="{DAE95E04-734B-490C-A161-B13EDF073AA1}"/>
    <hyperlink ref="C80" location="'Asset determination'!A1" display="'Asset determination" xr:uid="{6005C8D9-9024-436C-8CC8-C84A47D100DF}"/>
    <hyperlink ref="E347" location="'Master Data'!A1" display="Master Data" xr:uid="{B011E9FA-E479-42A5-9DF4-62B64DD843A1}"/>
  </hyperlinks>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28AA3-CE01-4DC0-BA38-3F003DF38FDF}">
  <sheetPr>
    <tabColor rgb="FF339966"/>
  </sheetPr>
  <dimension ref="B1:D15"/>
  <sheetViews>
    <sheetView showGridLines="0" zoomScale="80" zoomScaleNormal="80" workbookViewId="0">
      <pane xSplit="8" topLeftCell="I1" activePane="topRight" state="frozen"/>
      <selection pane="topRight"/>
    </sheetView>
  </sheetViews>
  <sheetFormatPr defaultColWidth="9.140625" defaultRowHeight="15" outlineLevelRow="1" x14ac:dyDescent="0.25"/>
  <cols>
    <col min="1" max="1" width="5.28515625" style="158" customWidth="1"/>
    <col min="2" max="2" width="14.85546875" style="158" customWidth="1"/>
    <col min="3" max="3" width="10.7109375" style="158" bestFit="1" customWidth="1"/>
    <col min="4" max="16" width="9.140625" style="158"/>
    <col min="17" max="17" width="29.42578125" style="158" bestFit="1" customWidth="1"/>
    <col min="18" max="18" width="40.5703125" style="158" bestFit="1" customWidth="1"/>
    <col min="19" max="19" width="10.7109375" style="158" bestFit="1" customWidth="1"/>
    <col min="20" max="16384" width="9.140625" style="158"/>
  </cols>
  <sheetData>
    <row r="1" spans="2:4" outlineLevel="1" x14ac:dyDescent="0.25"/>
    <row r="2" spans="2:4" outlineLevel="1" x14ac:dyDescent="0.25">
      <c r="B2" s="170"/>
      <c r="C2" s="335"/>
    </row>
    <row r="3" spans="2:4" outlineLevel="1" x14ac:dyDescent="0.25"/>
    <row r="4" spans="2:4" outlineLevel="1" x14ac:dyDescent="0.25"/>
    <row r="5" spans="2:4" outlineLevel="1" x14ac:dyDescent="0.25"/>
    <row r="6" spans="2:4" outlineLevel="1" x14ac:dyDescent="0.25"/>
    <row r="7" spans="2:4" outlineLevel="1" x14ac:dyDescent="0.25"/>
    <row r="8" spans="2:4" outlineLevel="1" x14ac:dyDescent="0.25"/>
    <row r="9" spans="2:4" outlineLevel="1" x14ac:dyDescent="0.25"/>
    <row r="10" spans="2:4" outlineLevel="1" x14ac:dyDescent="0.25">
      <c r="C10" s="336"/>
    </row>
    <row r="15" spans="2:4" x14ac:dyDescent="0.25">
      <c r="D15" s="158" t="s">
        <v>879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O73"/>
  <sheetViews>
    <sheetView showGridLines="0" zoomScale="90" zoomScaleNormal="90" workbookViewId="0"/>
  </sheetViews>
  <sheetFormatPr defaultColWidth="9.140625" defaultRowHeight="15" x14ac:dyDescent="0.25"/>
  <cols>
    <col min="1" max="1" width="4" style="158" customWidth="1"/>
    <col min="2" max="2" width="26.28515625" style="158" customWidth="1"/>
    <col min="3" max="3" width="2.7109375" style="158" customWidth="1"/>
    <col min="4" max="4" width="23" style="158" customWidth="1"/>
    <col min="5" max="5" width="7.140625" style="158" customWidth="1"/>
    <col min="6" max="6" width="31.140625" style="158" customWidth="1"/>
    <col min="7" max="7" width="3.28515625" style="158" customWidth="1"/>
    <col min="8" max="8" width="4.140625" style="158" hidden="1" customWidth="1"/>
    <col min="9" max="9" width="9.140625" style="158"/>
    <col min="10" max="15" width="18.5703125" style="158" customWidth="1"/>
    <col min="16" max="16384" width="9.140625" style="158"/>
  </cols>
  <sheetData>
    <row r="1" spans="1:9" x14ac:dyDescent="0.25">
      <c r="A1" s="75"/>
      <c r="B1" s="75"/>
      <c r="C1" s="75"/>
      <c r="D1" s="75"/>
      <c r="E1" s="75"/>
      <c r="F1" s="75"/>
      <c r="G1" s="75"/>
      <c r="H1" s="75"/>
    </row>
    <row r="2" spans="1:9" ht="31.5" x14ac:dyDescent="0.5">
      <c r="A2" s="75"/>
      <c r="B2" s="75"/>
      <c r="C2" s="334" t="s">
        <v>241</v>
      </c>
      <c r="D2" s="94"/>
      <c r="E2" s="75"/>
      <c r="F2" s="75"/>
      <c r="G2" s="75"/>
      <c r="H2" s="75"/>
    </row>
    <row r="3" spans="1:9" x14ac:dyDescent="0.25">
      <c r="A3" s="75"/>
      <c r="B3" s="75"/>
      <c r="C3" s="75"/>
      <c r="D3" s="75"/>
      <c r="E3" s="75"/>
      <c r="F3" s="75"/>
      <c r="G3" s="75"/>
      <c r="H3" s="75"/>
    </row>
    <row r="4" spans="1:9" x14ac:dyDescent="0.25">
      <c r="A4" s="75"/>
      <c r="B4" s="75"/>
      <c r="C4" s="75"/>
      <c r="D4" s="75"/>
      <c r="E4" s="75"/>
      <c r="F4" s="75"/>
      <c r="G4" s="75"/>
      <c r="H4" s="75"/>
    </row>
    <row r="5" spans="1:9" x14ac:dyDescent="0.25">
      <c r="A5" s="75"/>
      <c r="B5" s="75"/>
      <c r="C5" s="75"/>
      <c r="D5" s="75"/>
      <c r="E5" s="75"/>
      <c r="F5" s="75"/>
      <c r="G5" s="75"/>
      <c r="H5" s="75"/>
    </row>
    <row r="6" spans="1:9" x14ac:dyDescent="0.25">
      <c r="A6" s="75"/>
      <c r="B6" s="94" t="s">
        <v>13</v>
      </c>
      <c r="C6" s="94" t="s">
        <v>242</v>
      </c>
      <c r="D6" s="172">
        <v>2026</v>
      </c>
      <c r="E6" s="75"/>
      <c r="F6" s="75"/>
      <c r="G6" s="75"/>
      <c r="H6" s="75"/>
    </row>
    <row r="7" spans="1:9" x14ac:dyDescent="0.25">
      <c r="A7" s="75"/>
      <c r="B7" s="94" t="s">
        <v>1495</v>
      </c>
      <c r="C7" s="94" t="s">
        <v>242</v>
      </c>
      <c r="D7" s="172" t="s">
        <v>18</v>
      </c>
      <c r="E7" s="75"/>
      <c r="F7" s="75"/>
      <c r="G7" s="75"/>
      <c r="H7" s="75"/>
    </row>
    <row r="8" spans="1:9" x14ac:dyDescent="0.25">
      <c r="A8" s="75"/>
      <c r="B8" s="94" t="s">
        <v>234</v>
      </c>
      <c r="C8" s="94" t="s">
        <v>242</v>
      </c>
      <c r="D8" s="172" t="s">
        <v>585</v>
      </c>
      <c r="E8" s="75"/>
      <c r="F8" s="75"/>
      <c r="G8" s="75"/>
      <c r="H8" s="75"/>
    </row>
    <row r="9" spans="1:9" x14ac:dyDescent="0.25">
      <c r="A9" s="173"/>
      <c r="B9" s="94" t="s">
        <v>16</v>
      </c>
      <c r="C9" s="94" t="s">
        <v>242</v>
      </c>
      <c r="D9" s="172" t="s">
        <v>585</v>
      </c>
      <c r="E9" s="75"/>
      <c r="F9" s="75"/>
      <c r="G9" s="75"/>
      <c r="H9" s="75"/>
    </row>
    <row r="10" spans="1:9" x14ac:dyDescent="0.25">
      <c r="A10" s="174"/>
      <c r="B10" s="174"/>
      <c r="C10" s="174"/>
      <c r="D10" s="174"/>
      <c r="E10" s="174"/>
      <c r="F10" s="174"/>
      <c r="G10" s="174"/>
      <c r="H10" s="174"/>
    </row>
    <row r="11" spans="1:9" x14ac:dyDescent="0.25">
      <c r="A11" s="174"/>
      <c r="B11" s="174"/>
      <c r="C11" s="174"/>
      <c r="D11" s="174"/>
      <c r="E11" s="174"/>
      <c r="F11" s="174"/>
      <c r="G11" s="174"/>
      <c r="H11" s="174"/>
    </row>
    <row r="12" spans="1:9" s="174" customFormat="1" ht="14.25" customHeight="1" x14ac:dyDescent="0.25">
      <c r="B12" s="175"/>
      <c r="C12" s="175"/>
      <c r="D12" s="175"/>
      <c r="E12" s="175"/>
      <c r="F12" s="175"/>
      <c r="G12" s="175"/>
      <c r="H12" s="175"/>
    </row>
    <row r="13" spans="1:9" s="174" customFormat="1" ht="14.25" customHeight="1" x14ac:dyDescent="0.25">
      <c r="B13" s="396" t="s">
        <v>733</v>
      </c>
      <c r="C13" s="397"/>
      <c r="D13" s="397"/>
      <c r="E13" s="397"/>
      <c r="F13" s="397"/>
      <c r="G13" s="398"/>
    </row>
    <row r="14" spans="1:9" s="174" customFormat="1" ht="14.25" customHeight="1" x14ac:dyDescent="0.25">
      <c r="B14" s="399" t="s">
        <v>780</v>
      </c>
      <c r="C14" s="400"/>
      <c r="D14" s="399" t="s">
        <v>763</v>
      </c>
      <c r="E14" s="400"/>
      <c r="F14" s="392" t="s">
        <v>764</v>
      </c>
      <c r="G14" s="393"/>
      <c r="H14" s="175"/>
      <c r="I14" s="175"/>
    </row>
    <row r="15" spans="1:9" s="174" customFormat="1" ht="14.25" customHeight="1" x14ac:dyDescent="0.25">
      <c r="B15" s="399"/>
      <c r="C15" s="400"/>
      <c r="D15" s="399"/>
      <c r="E15" s="400"/>
      <c r="F15" s="394"/>
      <c r="G15" s="395"/>
      <c r="H15" s="175"/>
      <c r="I15" s="175"/>
    </row>
    <row r="16" spans="1:9" s="174" customFormat="1" ht="14.25" customHeight="1" x14ac:dyDescent="0.25">
      <c r="B16" s="401" t="s">
        <v>728</v>
      </c>
      <c r="C16" s="402"/>
      <c r="D16" s="405"/>
      <c r="E16" s="406"/>
      <c r="F16" s="185"/>
      <c r="G16" s="186"/>
      <c r="H16" s="175"/>
      <c r="I16" s="175"/>
    </row>
    <row r="17" spans="2:15" s="174" customFormat="1" ht="14.25" customHeight="1" x14ac:dyDescent="0.25">
      <c r="B17" s="401"/>
      <c r="C17" s="402"/>
      <c r="D17" s="405"/>
      <c r="E17" s="406"/>
      <c r="F17" s="185"/>
      <c r="G17" s="186"/>
      <c r="H17" s="175"/>
      <c r="I17" s="175"/>
    </row>
    <row r="18" spans="2:15" s="174" customFormat="1" ht="14.25" customHeight="1" x14ac:dyDescent="0.25">
      <c r="B18" s="401"/>
      <c r="C18" s="402"/>
      <c r="D18" s="407"/>
      <c r="E18" s="408"/>
      <c r="F18" s="386"/>
      <c r="G18" s="387"/>
      <c r="H18" s="175"/>
      <c r="I18" s="175"/>
    </row>
    <row r="19" spans="2:15" s="174" customFormat="1" ht="14.25" customHeight="1" x14ac:dyDescent="0.25">
      <c r="B19" s="401"/>
      <c r="C19" s="402"/>
      <c r="D19" s="403" t="s">
        <v>564</v>
      </c>
      <c r="E19" s="404"/>
      <c r="F19" s="390" t="s">
        <v>729</v>
      </c>
      <c r="G19" s="391"/>
      <c r="H19" s="175"/>
      <c r="I19" s="175"/>
    </row>
    <row r="20" spans="2:15" s="174" customFormat="1" ht="14.25" customHeight="1" x14ac:dyDescent="0.25">
      <c r="G20" s="175"/>
      <c r="H20" s="175"/>
      <c r="I20" s="175"/>
      <c r="J20" s="175"/>
    </row>
    <row r="21" spans="2:15" s="174" customFormat="1" ht="14.25" customHeight="1" x14ac:dyDescent="0.25">
      <c r="G21" s="175"/>
      <c r="H21" s="175"/>
      <c r="I21" s="175"/>
      <c r="J21" s="175"/>
    </row>
    <row r="22" spans="2:15" s="174" customFormat="1" ht="14.25" customHeight="1" x14ac:dyDescent="0.25">
      <c r="H22" s="176"/>
      <c r="I22" s="177"/>
    </row>
    <row r="23" spans="2:15" s="174" customFormat="1" ht="15" customHeight="1" x14ac:dyDescent="0.25">
      <c r="H23" s="176"/>
      <c r="I23" s="177"/>
    </row>
    <row r="24" spans="2:15" s="174" customFormat="1" ht="15" customHeight="1" x14ac:dyDescent="0.25">
      <c r="B24" s="420" t="s">
        <v>563</v>
      </c>
      <c r="C24" s="421"/>
      <c r="D24" s="421"/>
      <c r="E24" s="421"/>
      <c r="F24" s="421"/>
      <c r="G24" s="421"/>
      <c r="H24" s="421"/>
      <c r="I24" s="421"/>
      <c r="J24" s="421"/>
      <c r="K24" s="421"/>
      <c r="L24" s="422"/>
      <c r="M24" s="176"/>
      <c r="N24" s="176"/>
      <c r="O24" s="176"/>
    </row>
    <row r="25" spans="2:15" s="174" customFormat="1" ht="30" customHeight="1" x14ac:dyDescent="0.25">
      <c r="B25" s="423" t="s">
        <v>822</v>
      </c>
      <c r="C25" s="424"/>
      <c r="D25" s="425" t="s">
        <v>780</v>
      </c>
      <c r="E25" s="425"/>
      <c r="F25" s="425" t="s">
        <v>763</v>
      </c>
      <c r="G25" s="425"/>
      <c r="H25" s="178"/>
      <c r="I25" s="411" t="s">
        <v>764</v>
      </c>
      <c r="J25" s="417"/>
      <c r="K25" s="411" t="s">
        <v>765</v>
      </c>
      <c r="L25" s="417"/>
      <c r="M25" s="176"/>
      <c r="N25" s="176"/>
      <c r="O25" s="176"/>
    </row>
    <row r="26" spans="2:15" s="174" customFormat="1" ht="15" customHeight="1" x14ac:dyDescent="0.25">
      <c r="B26" s="179"/>
      <c r="C26" s="180"/>
      <c r="D26" s="181"/>
      <c r="E26" s="182"/>
      <c r="F26" s="181"/>
      <c r="G26" s="182"/>
      <c r="H26" s="182"/>
      <c r="I26" s="180"/>
      <c r="J26" s="183"/>
      <c r="K26" s="180"/>
      <c r="L26" s="183"/>
      <c r="M26" s="176"/>
      <c r="N26" s="176"/>
      <c r="O26" s="177"/>
    </row>
    <row r="27" spans="2:15" s="174" customFormat="1" ht="15" customHeight="1" x14ac:dyDescent="0.25">
      <c r="B27" s="184"/>
      <c r="C27" s="175"/>
      <c r="D27" s="185"/>
      <c r="E27" s="186"/>
      <c r="F27" s="185"/>
      <c r="G27" s="186"/>
      <c r="H27" s="186"/>
      <c r="I27" s="175"/>
      <c r="J27" s="187"/>
      <c r="K27" s="175"/>
      <c r="L27" s="187"/>
      <c r="M27" s="176"/>
      <c r="N27" s="176"/>
      <c r="O27" s="177"/>
    </row>
    <row r="28" spans="2:15" s="174" customFormat="1" ht="15" customHeight="1" x14ac:dyDescent="0.25">
      <c r="B28" s="184"/>
      <c r="C28" s="175"/>
      <c r="D28" s="185"/>
      <c r="E28" s="186"/>
      <c r="F28" s="185"/>
      <c r="G28" s="186"/>
      <c r="H28" s="186"/>
      <c r="I28" s="175"/>
      <c r="J28" s="187"/>
      <c r="K28" s="175"/>
      <c r="L28" s="187"/>
      <c r="M28" s="176"/>
      <c r="N28" s="176"/>
      <c r="O28" s="177"/>
    </row>
    <row r="29" spans="2:15" s="174" customFormat="1" ht="15" customHeight="1" x14ac:dyDescent="0.25">
      <c r="B29" s="413" t="s">
        <v>727</v>
      </c>
      <c r="C29" s="426"/>
      <c r="D29" s="427" t="s">
        <v>728</v>
      </c>
      <c r="E29" s="428"/>
      <c r="F29" s="429" t="s">
        <v>564</v>
      </c>
      <c r="G29" s="429"/>
      <c r="H29" s="188"/>
      <c r="I29" s="418" t="s">
        <v>729</v>
      </c>
      <c r="J29" s="419"/>
      <c r="K29" s="418" t="s">
        <v>730</v>
      </c>
      <c r="L29" s="419"/>
      <c r="M29" s="176"/>
      <c r="N29" s="176"/>
      <c r="O29" s="176"/>
    </row>
    <row r="30" spans="2:15" s="174" customFormat="1" ht="15" customHeight="1" x14ac:dyDescent="0.25"/>
    <row r="31" spans="2:15" s="189" customFormat="1" hidden="1" x14ac:dyDescent="0.25"/>
    <row r="32" spans="2:15" s="189" customFormat="1" hidden="1" x14ac:dyDescent="0.25"/>
    <row r="33" spans="2:5" s="189" customFormat="1" hidden="1" x14ac:dyDescent="0.25">
      <c r="E33" s="190" t="s">
        <v>731</v>
      </c>
    </row>
    <row r="34" spans="2:5" s="189" customFormat="1" hidden="1" x14ac:dyDescent="0.25">
      <c r="B34" s="396" t="s">
        <v>732</v>
      </c>
      <c r="C34" s="397"/>
      <c r="D34" s="397"/>
      <c r="E34" s="398"/>
    </row>
    <row r="35" spans="2:5" s="189" customFormat="1" hidden="1" x14ac:dyDescent="0.25">
      <c r="B35" s="409" t="s">
        <v>767</v>
      </c>
      <c r="C35" s="410"/>
      <c r="D35" s="411" t="s">
        <v>766</v>
      </c>
      <c r="E35" s="412"/>
    </row>
    <row r="36" spans="2:5" s="189" customFormat="1" hidden="1" x14ac:dyDescent="0.25">
      <c r="B36" s="179"/>
      <c r="C36" s="180"/>
      <c r="D36" s="181"/>
      <c r="E36" s="182"/>
    </row>
    <row r="37" spans="2:5" s="189" customFormat="1" hidden="1" x14ac:dyDescent="0.25">
      <c r="B37" s="184"/>
      <c r="C37" s="175"/>
      <c r="D37" s="185"/>
      <c r="E37" s="186"/>
    </row>
    <row r="38" spans="2:5" s="189" customFormat="1" hidden="1" x14ac:dyDescent="0.25">
      <c r="B38" s="184"/>
      <c r="C38" s="175"/>
      <c r="D38" s="185"/>
      <c r="E38" s="186"/>
    </row>
    <row r="39" spans="2:5" s="189" customFormat="1" hidden="1" x14ac:dyDescent="0.25">
      <c r="B39" s="413"/>
      <c r="C39" s="414"/>
      <c r="D39" s="415"/>
      <c r="E39" s="416"/>
    </row>
    <row r="40" spans="2:5" s="189" customFormat="1" hidden="1" x14ac:dyDescent="0.25"/>
    <row r="41" spans="2:5" s="189" customFormat="1" hidden="1" x14ac:dyDescent="0.25"/>
    <row r="42" spans="2:5" s="189" customFormat="1" x14ac:dyDescent="0.25"/>
    <row r="43" spans="2:5" s="189" customFormat="1" x14ac:dyDescent="0.25"/>
    <row r="44" spans="2:5" s="189" customFormat="1" x14ac:dyDescent="0.25"/>
    <row r="45" spans="2:5" s="189" customFormat="1" x14ac:dyDescent="0.25"/>
    <row r="46" spans="2:5" s="189" customFormat="1" x14ac:dyDescent="0.25"/>
    <row r="47" spans="2:5" s="189" customFormat="1" x14ac:dyDescent="0.25"/>
    <row r="48" spans="2:5" s="189" customFormat="1" x14ac:dyDescent="0.25"/>
    <row r="49" s="189" customFormat="1" x14ac:dyDescent="0.25"/>
    <row r="50" s="189" customFormat="1" x14ac:dyDescent="0.25"/>
    <row r="51" s="189" customFormat="1" x14ac:dyDescent="0.25"/>
    <row r="52" s="189" customFormat="1" x14ac:dyDescent="0.25"/>
    <row r="53" s="189" customFormat="1" x14ac:dyDescent="0.25"/>
    <row r="54" s="189" customFormat="1" x14ac:dyDescent="0.25"/>
    <row r="55" s="189" customFormat="1" x14ac:dyDescent="0.25"/>
    <row r="56" s="189" customFormat="1" x14ac:dyDescent="0.25"/>
    <row r="57" s="189" customFormat="1" x14ac:dyDescent="0.25"/>
    <row r="58" s="189" customFormat="1" x14ac:dyDescent="0.25"/>
    <row r="59" s="189" customFormat="1" x14ac:dyDescent="0.25"/>
    <row r="60" s="189" customFormat="1" x14ac:dyDescent="0.25"/>
    <row r="61" s="189" customFormat="1" x14ac:dyDescent="0.25"/>
    <row r="62" s="189" customFormat="1" x14ac:dyDescent="0.25"/>
    <row r="63" s="189" customFormat="1" x14ac:dyDescent="0.25"/>
    <row r="64" s="189" customFormat="1" x14ac:dyDescent="0.25"/>
    <row r="65" s="189" customFormat="1" x14ac:dyDescent="0.25"/>
    <row r="66" s="189" customFormat="1" x14ac:dyDescent="0.25"/>
    <row r="67" s="189" customFormat="1" x14ac:dyDescent="0.25"/>
    <row r="68" s="189" customFormat="1" x14ac:dyDescent="0.25"/>
    <row r="69" s="189" customFormat="1" x14ac:dyDescent="0.25"/>
    <row r="70" s="189" customFormat="1" x14ac:dyDescent="0.25"/>
    <row r="71" s="189" customFormat="1" x14ac:dyDescent="0.25"/>
    <row r="72" s="189" customFormat="1" x14ac:dyDescent="0.25"/>
    <row r="73" s="189" customFormat="1" x14ac:dyDescent="0.25"/>
  </sheetData>
  <mergeCells count="24">
    <mergeCell ref="I25:J25"/>
    <mergeCell ref="I29:J29"/>
    <mergeCell ref="B24:L24"/>
    <mergeCell ref="B25:C25"/>
    <mergeCell ref="D25:E25"/>
    <mergeCell ref="F25:G25"/>
    <mergeCell ref="K25:L25"/>
    <mergeCell ref="B29:C29"/>
    <mergeCell ref="D29:E29"/>
    <mergeCell ref="F29:G29"/>
    <mergeCell ref="K29:L29"/>
    <mergeCell ref="B34:E34"/>
    <mergeCell ref="B35:C35"/>
    <mergeCell ref="D35:E35"/>
    <mergeCell ref="B39:C39"/>
    <mergeCell ref="D39:E39"/>
    <mergeCell ref="F19:G19"/>
    <mergeCell ref="F14:G15"/>
    <mergeCell ref="B13:G13"/>
    <mergeCell ref="B14:C15"/>
    <mergeCell ref="B16:C19"/>
    <mergeCell ref="D14:E15"/>
    <mergeCell ref="D19:E19"/>
    <mergeCell ref="D16:E18"/>
  </mergeCells>
  <dataValidations count="3">
    <dataValidation showInputMessage="1" showErrorMessage="1" sqref="D7" xr:uid="{00000000-0002-0000-0100-000000000000}"/>
    <dataValidation type="whole" allowBlank="1" showInputMessage="1" showErrorMessage="1" sqref="D6" xr:uid="{00000000-0002-0000-0100-000001000000}">
      <formula1>2022</formula1>
      <formula2>2050</formula2>
    </dataValidation>
    <dataValidation showInputMessage="1" showErrorMessage="1" error="Check BU/HO" sqref="D9" xr:uid="{00000000-0002-0000-0100-000002000000}"/>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'Master Data'!$B$7:$B$15</xm:f>
          </x14:formula1>
          <xm:sqref>D8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N25"/>
  <sheetViews>
    <sheetView showGridLines="0" view="pageBreakPreview" zoomScale="80" zoomScaleNormal="76" zoomScaleSheetLayoutView="80" workbookViewId="0">
      <pane xSplit="3" ySplit="3" topLeftCell="O4" activePane="bottomRight" state="frozen"/>
      <selection activeCell="F1" sqref="F1"/>
      <selection pane="topRight" activeCell="F1" sqref="F1"/>
      <selection pane="bottomLeft" activeCell="F1" sqref="F1"/>
      <selection pane="bottomRight"/>
    </sheetView>
  </sheetViews>
  <sheetFormatPr defaultColWidth="13.7109375" defaultRowHeight="15" customHeight="1" outlineLevelCol="1" x14ac:dyDescent="0.25"/>
  <cols>
    <col min="1" max="1" width="15.42578125" style="221" customWidth="1"/>
    <col min="2" max="2" width="11.42578125" style="221" customWidth="1"/>
    <col min="3" max="3" width="29.140625" style="217" customWidth="1"/>
    <col min="4" max="4" width="13.42578125" style="217" customWidth="1"/>
    <col min="5" max="5" width="9.140625" style="217" customWidth="1"/>
    <col min="6" max="6" width="30.5703125" style="364" customWidth="1"/>
    <col min="7" max="7" width="15.5703125" style="217" customWidth="1"/>
    <col min="8" max="8" width="25.140625" style="217" customWidth="1"/>
    <col min="9" max="9" width="24.28515625" style="217" customWidth="1"/>
    <col min="10" max="10" width="20.7109375" style="217" customWidth="1"/>
    <col min="11" max="11" width="12.85546875" style="383" customWidth="1"/>
    <col min="12" max="12" width="20.42578125" style="217" customWidth="1"/>
    <col min="13" max="14" width="42.85546875" style="132" customWidth="1"/>
    <col min="15" max="15" width="9.140625" style="366" customWidth="1" outlineLevel="1"/>
    <col min="16" max="16" width="10.140625" style="366" customWidth="1" outlineLevel="1"/>
    <col min="17" max="26" width="10.42578125" style="366" customWidth="1" outlineLevel="1"/>
    <col min="27" max="27" width="10.5703125" style="366" bestFit="1" customWidth="1"/>
    <col min="28" max="28" width="2.5703125" style="367" customWidth="1"/>
    <col min="29" max="29" width="16.28515625" style="366" bestFit="1" customWidth="1" outlineLevel="1"/>
    <col min="30" max="30" width="10.140625" style="366" customWidth="1" outlineLevel="1"/>
    <col min="31" max="40" width="10.42578125" style="366" customWidth="1" outlineLevel="1"/>
    <col min="41" max="41" width="10.5703125" style="366" bestFit="1" customWidth="1"/>
    <col min="42" max="42" width="2.85546875" style="369" customWidth="1"/>
    <col min="43" max="43" width="10" style="366" customWidth="1" outlineLevel="1"/>
    <col min="44" max="44" width="10.140625" style="366" customWidth="1" outlineLevel="1"/>
    <col min="45" max="54" width="10.42578125" style="366" customWidth="1" outlineLevel="1"/>
    <col min="55" max="55" width="10.5703125" style="366" bestFit="1" customWidth="1"/>
    <col min="56" max="56" width="9.42578125" style="370" customWidth="1"/>
    <col min="57" max="57" width="14.42578125" style="132" customWidth="1"/>
    <col min="58" max="59" width="26.42578125" style="132" customWidth="1"/>
    <col min="60" max="60" width="27.85546875" style="132" customWidth="1"/>
    <col min="61" max="61" width="30.42578125" style="132" customWidth="1"/>
    <col min="62" max="62" width="37.140625" style="132" customWidth="1"/>
    <col min="63" max="64" width="31.42578125" style="384" customWidth="1"/>
    <col min="65" max="65" width="35.7109375" style="384" customWidth="1"/>
    <col min="66" max="66" width="19.42578125" style="132" customWidth="1"/>
    <col min="67" max="16384" width="13.7109375" style="132"/>
  </cols>
  <sheetData>
    <row r="1" spans="1:66" ht="15" customHeight="1" x14ac:dyDescent="0.25">
      <c r="K1" s="364"/>
      <c r="O1" s="365"/>
      <c r="AC1" s="368"/>
      <c r="AD1" s="368"/>
      <c r="AQ1" s="368"/>
      <c r="AR1" s="368"/>
      <c r="BE1" s="217"/>
      <c r="BK1" s="364"/>
      <c r="BL1" s="364"/>
      <c r="BM1" s="364"/>
    </row>
    <row r="2" spans="1:66" ht="15" customHeight="1" x14ac:dyDescent="0.25">
      <c r="A2" s="371"/>
      <c r="B2" s="372"/>
      <c r="C2" s="373"/>
      <c r="D2" s="373"/>
      <c r="E2" s="373"/>
      <c r="F2" s="374"/>
      <c r="G2" s="373"/>
      <c r="H2" s="373"/>
      <c r="I2" s="373"/>
      <c r="J2" s="373"/>
      <c r="K2" s="374"/>
      <c r="L2" s="373"/>
      <c r="M2" s="375"/>
      <c r="N2" s="375"/>
      <c r="O2" s="376" t="s">
        <v>1498</v>
      </c>
      <c r="P2" s="377"/>
      <c r="Q2" s="377"/>
      <c r="R2" s="377"/>
      <c r="S2" s="376"/>
      <c r="T2" s="377"/>
      <c r="U2" s="377"/>
      <c r="V2" s="377"/>
      <c r="W2" s="377"/>
      <c r="X2" s="377"/>
      <c r="Y2" s="377"/>
      <c r="Z2" s="377"/>
      <c r="AA2" s="377"/>
      <c r="AB2" s="378"/>
      <c r="AC2" s="376" t="s">
        <v>1517</v>
      </c>
      <c r="AD2" s="377"/>
      <c r="AE2" s="377"/>
      <c r="AF2" s="377"/>
      <c r="AG2" s="376"/>
      <c r="AH2" s="377"/>
      <c r="AI2" s="377"/>
      <c r="AJ2" s="377"/>
      <c r="AK2" s="377"/>
      <c r="AL2" s="377"/>
      <c r="AM2" s="377"/>
      <c r="AN2" s="377"/>
      <c r="AO2" s="377"/>
      <c r="AP2" s="378"/>
      <c r="AQ2" s="376" t="s">
        <v>1528</v>
      </c>
      <c r="AR2" s="377"/>
      <c r="AS2" s="377"/>
      <c r="AT2" s="377"/>
      <c r="AU2" s="376"/>
      <c r="AV2" s="377"/>
      <c r="AW2" s="377"/>
      <c r="AX2" s="377"/>
      <c r="AY2" s="377"/>
      <c r="AZ2" s="377"/>
      <c r="BA2" s="377"/>
      <c r="BB2" s="377"/>
      <c r="BC2" s="379"/>
      <c r="BE2" s="217"/>
      <c r="BG2" s="380" t="s">
        <v>1487</v>
      </c>
      <c r="BH2" s="381">
        <v>16500</v>
      </c>
      <c r="BI2" s="382"/>
      <c r="BK2" s="364"/>
      <c r="BL2" s="364"/>
      <c r="BM2" s="364"/>
    </row>
    <row r="3" spans="1:66" s="221" customFormat="1" ht="41.25" customHeight="1" x14ac:dyDescent="0.25">
      <c r="A3" s="222" t="s">
        <v>234</v>
      </c>
      <c r="B3" s="222" t="s">
        <v>15</v>
      </c>
      <c r="C3" s="222" t="s">
        <v>16</v>
      </c>
      <c r="D3" s="430" t="s">
        <v>46</v>
      </c>
      <c r="E3" s="431"/>
      <c r="F3" s="223" t="s">
        <v>336</v>
      </c>
      <c r="G3" s="222" t="s">
        <v>339</v>
      </c>
      <c r="H3" s="222" t="s">
        <v>714</v>
      </c>
      <c r="I3" s="222" t="s">
        <v>677</v>
      </c>
      <c r="J3" s="222" t="s">
        <v>1500</v>
      </c>
      <c r="K3" s="223" t="s">
        <v>676</v>
      </c>
      <c r="L3" s="222" t="s">
        <v>1505</v>
      </c>
      <c r="M3" s="222" t="s">
        <v>589</v>
      </c>
      <c r="N3" s="222" t="s">
        <v>590</v>
      </c>
      <c r="O3" s="222" t="s">
        <v>782</v>
      </c>
      <c r="P3" s="222" t="s">
        <v>783</v>
      </c>
      <c r="Q3" s="222" t="s">
        <v>784</v>
      </c>
      <c r="R3" s="222" t="s">
        <v>785</v>
      </c>
      <c r="S3" s="222" t="s">
        <v>786</v>
      </c>
      <c r="T3" s="222" t="s">
        <v>787</v>
      </c>
      <c r="U3" s="222" t="s">
        <v>788</v>
      </c>
      <c r="V3" s="222" t="s">
        <v>789</v>
      </c>
      <c r="W3" s="222" t="s">
        <v>790</v>
      </c>
      <c r="X3" s="222" t="s">
        <v>791</v>
      </c>
      <c r="Y3" s="222" t="s">
        <v>792</v>
      </c>
      <c r="Z3" s="222" t="s">
        <v>793</v>
      </c>
      <c r="AA3" s="222" t="s">
        <v>781</v>
      </c>
      <c r="AB3" s="224"/>
      <c r="AC3" s="222" t="s">
        <v>782</v>
      </c>
      <c r="AD3" s="222" t="s">
        <v>783</v>
      </c>
      <c r="AE3" s="222" t="s">
        <v>784</v>
      </c>
      <c r="AF3" s="222" t="s">
        <v>785</v>
      </c>
      <c r="AG3" s="222" t="s">
        <v>786</v>
      </c>
      <c r="AH3" s="222" t="s">
        <v>787</v>
      </c>
      <c r="AI3" s="222" t="s">
        <v>788</v>
      </c>
      <c r="AJ3" s="222" t="s">
        <v>789</v>
      </c>
      <c r="AK3" s="222" t="s">
        <v>790</v>
      </c>
      <c r="AL3" s="222" t="s">
        <v>791</v>
      </c>
      <c r="AM3" s="222" t="s">
        <v>792</v>
      </c>
      <c r="AN3" s="222" t="s">
        <v>793</v>
      </c>
      <c r="AO3" s="222" t="s">
        <v>781</v>
      </c>
      <c r="AP3" s="225"/>
      <c r="AQ3" s="222" t="s">
        <v>782</v>
      </c>
      <c r="AR3" s="222" t="s">
        <v>783</v>
      </c>
      <c r="AS3" s="222" t="s">
        <v>784</v>
      </c>
      <c r="AT3" s="222" t="s">
        <v>785</v>
      </c>
      <c r="AU3" s="222" t="s">
        <v>786</v>
      </c>
      <c r="AV3" s="222" t="s">
        <v>787</v>
      </c>
      <c r="AW3" s="222" t="s">
        <v>788</v>
      </c>
      <c r="AX3" s="222" t="s">
        <v>789</v>
      </c>
      <c r="AY3" s="222" t="s">
        <v>790</v>
      </c>
      <c r="AZ3" s="222" t="s">
        <v>791</v>
      </c>
      <c r="BA3" s="222" t="s">
        <v>792</v>
      </c>
      <c r="BB3" s="222" t="s">
        <v>793</v>
      </c>
      <c r="BC3" s="222" t="s">
        <v>781</v>
      </c>
      <c r="BD3" s="355" t="s">
        <v>755</v>
      </c>
      <c r="BE3" s="218" t="s">
        <v>591</v>
      </c>
      <c r="BF3" s="219" t="s">
        <v>518</v>
      </c>
      <c r="BG3" s="219" t="s">
        <v>735</v>
      </c>
      <c r="BH3" s="219" t="s">
        <v>736</v>
      </c>
      <c r="BI3" s="219" t="s">
        <v>825</v>
      </c>
      <c r="BJ3" s="218" t="s">
        <v>722</v>
      </c>
      <c r="BK3" s="220" t="s">
        <v>593</v>
      </c>
      <c r="BL3" s="220" t="s">
        <v>594</v>
      </c>
      <c r="BM3" s="220" t="s">
        <v>826</v>
      </c>
      <c r="BN3" s="220" t="s">
        <v>775</v>
      </c>
    </row>
    <row r="4" spans="1:66" s="217" customFormat="1" ht="30" x14ac:dyDescent="0.25">
      <c r="A4" s="199" t="str">
        <f>IF(D4="","",Cover!$D$8)</f>
        <v/>
      </c>
      <c r="B4" s="199" t="str">
        <f>IF(D4="","",Cover!$D$7)</f>
        <v/>
      </c>
      <c r="C4" s="200" t="str">
        <f>IF(F4="","",IFERROR(VLOOKUP(F4,'Master Data'!$E$59:$J$146,6,FALSE),0))</f>
        <v/>
      </c>
      <c r="D4" s="201" t="str">
        <f>IF(F4="","",IFERROR(VLOOKUP(F4,'Master Data'!$E$59:$L$146,8,FALSE),0))</f>
        <v/>
      </c>
      <c r="E4" s="200" t="str">
        <f>IF(D4="","",IFERROR(VLOOKUP(D4,'Master Data'!$D$59:$I$146,6,FALSE),0))</f>
        <v/>
      </c>
      <c r="F4" s="131"/>
      <c r="G4" s="203"/>
      <c r="H4" s="204">
        <f>IFERROR(VLOOKUP(G4,'Master Data'!$C$336:$I$353,7,FALSE),0)</f>
        <v>0</v>
      </c>
      <c r="I4" s="205">
        <f>IFERROR(VLOOKUP(H4,'Master Data'!$B$336:$D$351,3,FALSE),0)</f>
        <v>0</v>
      </c>
      <c r="J4" s="206">
        <f>IFERROR(VLOOKUP(H4,'Master Data'!$B$336:$H$353,7,FALSE),0)</f>
        <v>0</v>
      </c>
      <c r="K4" s="207"/>
      <c r="L4" s="388" t="str">
        <f>IFERROR(IF(I4="FIXED ASSET",J4&amp;E4&amp;K4,VLOOKUP(F4,'Master Data'!$E$59:$H$146,4,FALSE)&amp;"-"&amp;J4&amp;"-"&amp;K4),"-")</f>
        <v>-</v>
      </c>
      <c r="M4" s="202"/>
      <c r="N4" s="208"/>
      <c r="O4" s="209"/>
      <c r="P4" s="209"/>
      <c r="Q4" s="209"/>
      <c r="R4" s="209"/>
      <c r="S4" s="209"/>
      <c r="T4" s="209"/>
      <c r="U4" s="209"/>
      <c r="V4" s="209"/>
      <c r="W4" s="209"/>
      <c r="X4" s="209"/>
      <c r="Y4" s="209"/>
      <c r="Z4" s="209"/>
      <c r="AA4" s="210">
        <f>SUM(O4:Z4)</f>
        <v>0</v>
      </c>
      <c r="AB4" s="211"/>
      <c r="AC4" s="209"/>
      <c r="AD4" s="209"/>
      <c r="AE4" s="209"/>
      <c r="AF4" s="209"/>
      <c r="AG4" s="209"/>
      <c r="AH4" s="209"/>
      <c r="AI4" s="209"/>
      <c r="AJ4" s="209"/>
      <c r="AK4" s="209"/>
      <c r="AL4" s="209"/>
      <c r="AM4" s="209"/>
      <c r="AN4" s="209"/>
      <c r="AO4" s="210">
        <f>SUM(AC4:AN4)</f>
        <v>0</v>
      </c>
      <c r="AP4" s="212"/>
      <c r="AQ4" s="209"/>
      <c r="AR4" s="209"/>
      <c r="AS4" s="209"/>
      <c r="AT4" s="209"/>
      <c r="AU4" s="209"/>
      <c r="AV4" s="209"/>
      <c r="AW4" s="209"/>
      <c r="AX4" s="209"/>
      <c r="AY4" s="209"/>
      <c r="AZ4" s="209"/>
      <c r="BA4" s="209"/>
      <c r="BB4" s="209"/>
      <c r="BC4" s="210">
        <f>SUM(AQ4:BB4)</f>
        <v>0</v>
      </c>
      <c r="BD4" s="356">
        <f>AA4-BI4</f>
        <v>0</v>
      </c>
      <c r="BE4" s="203"/>
      <c r="BF4" s="213"/>
      <c r="BG4" s="213"/>
      <c r="BH4" s="213"/>
      <c r="BI4" s="214">
        <f t="shared" ref="BI4:BI25" si="0">IF(BG4="USD",BH4*$BH$2,IF(BG4="IDR",BH4,0))</f>
        <v>0</v>
      </c>
      <c r="BJ4" s="213"/>
      <c r="BK4" s="215" t="str">
        <f t="shared" ref="BK4:BK25" si="1">IF($I4="PROJECT","Please Fill Start Date","")</f>
        <v/>
      </c>
      <c r="BL4" s="215" t="str">
        <f>IF($I4="PROJECT","Please Fill Finish Date","")</f>
        <v/>
      </c>
      <c r="BM4" s="215" t="str">
        <f>IF(AA4&gt;0,"Please Fill Remarks","")</f>
        <v/>
      </c>
      <c r="BN4" s="216"/>
    </row>
    <row r="5" spans="1:66" s="217" customFormat="1" ht="30" x14ac:dyDescent="0.25">
      <c r="A5" s="199" t="str">
        <f>IF(D5="","",Cover!$D$8)</f>
        <v/>
      </c>
      <c r="B5" s="199" t="str">
        <f>IF(D5="","",Cover!$D$7)</f>
        <v/>
      </c>
      <c r="C5" s="200" t="str">
        <f>IF(F5="","",IFERROR(VLOOKUP(F5,'Master Data'!$E$59:$J$146,6,FALSE),0))</f>
        <v/>
      </c>
      <c r="D5" s="201" t="str">
        <f>IF(F5="","",IFERROR(VLOOKUP(F5,'Master Data'!$E$59:$L$146,8,FALSE),0))</f>
        <v/>
      </c>
      <c r="E5" s="200" t="str">
        <f>IF(D5="","",IFERROR(VLOOKUP(D5,'Master Data'!$D$59:$I$146,6,FALSE),0))</f>
        <v/>
      </c>
      <c r="F5" s="202"/>
      <c r="G5" s="203"/>
      <c r="H5" s="204">
        <f>IFERROR(VLOOKUP(G5,'Master Data'!$C$336:$I$353,7,FALSE),0)</f>
        <v>0</v>
      </c>
      <c r="I5" s="205">
        <f>IFERROR(VLOOKUP(H5,'Master Data'!$B$336:$D$351,3,FALSE),0)</f>
        <v>0</v>
      </c>
      <c r="J5" s="206">
        <f>IFERROR(VLOOKUP(H5,'Master Data'!$B$336:$H$353,7,FALSE),0)</f>
        <v>0</v>
      </c>
      <c r="K5" s="207"/>
      <c r="L5" s="389" t="str">
        <f>IFERROR(IF(I5="FIXED ASSET",J5&amp;E5&amp;K5,VLOOKUP(F5,'Master Data'!$E$59:$H$146,4,FALSE)&amp;"-"&amp;J5&amp;"-"&amp;K5),"-")</f>
        <v>-</v>
      </c>
      <c r="M5" s="202"/>
      <c r="N5" s="208"/>
      <c r="O5" s="209"/>
      <c r="P5" s="209"/>
      <c r="Q5" s="209"/>
      <c r="R5" s="209"/>
      <c r="S5" s="209"/>
      <c r="T5" s="209"/>
      <c r="U5" s="209"/>
      <c r="V5" s="209"/>
      <c r="W5" s="209"/>
      <c r="X5" s="209"/>
      <c r="Y5" s="209"/>
      <c r="Z5" s="209"/>
      <c r="AA5" s="210">
        <f t="shared" ref="AA5:AA25" si="2">SUM(O5:Z5)</f>
        <v>0</v>
      </c>
      <c r="AB5" s="211"/>
      <c r="AC5" s="209"/>
      <c r="AD5" s="209"/>
      <c r="AE5" s="209"/>
      <c r="AF5" s="209"/>
      <c r="AG5" s="209"/>
      <c r="AH5" s="209"/>
      <c r="AI5" s="209"/>
      <c r="AJ5" s="209"/>
      <c r="AK5" s="209"/>
      <c r="AL5" s="209"/>
      <c r="AM5" s="209"/>
      <c r="AN5" s="209"/>
      <c r="AO5" s="210">
        <f t="shared" ref="AO5:AO25" si="3">SUM(AC5:AN5)</f>
        <v>0</v>
      </c>
      <c r="AP5" s="212"/>
      <c r="AQ5" s="209"/>
      <c r="AR5" s="209"/>
      <c r="AS5" s="209"/>
      <c r="AT5" s="209"/>
      <c r="AU5" s="209"/>
      <c r="AV5" s="209"/>
      <c r="AW5" s="209"/>
      <c r="AX5" s="209"/>
      <c r="AY5" s="209"/>
      <c r="AZ5" s="209"/>
      <c r="BA5" s="209"/>
      <c r="BB5" s="209"/>
      <c r="BC5" s="210">
        <f t="shared" ref="BC5:BC25" si="4">SUM(AQ5:BB5)</f>
        <v>0</v>
      </c>
      <c r="BD5" s="356">
        <f t="shared" ref="BD5:BD25" si="5">AA5-BI5</f>
        <v>0</v>
      </c>
      <c r="BE5" s="203"/>
      <c r="BF5" s="213"/>
      <c r="BG5" s="213"/>
      <c r="BH5" s="213"/>
      <c r="BI5" s="214">
        <f t="shared" si="0"/>
        <v>0</v>
      </c>
      <c r="BJ5" s="213"/>
      <c r="BK5" s="215" t="str">
        <f t="shared" si="1"/>
        <v/>
      </c>
      <c r="BL5" s="215" t="str">
        <f t="shared" ref="BL5:BL25" si="6">IF($I5="PROJECT","Please Fill Finish Date","")</f>
        <v/>
      </c>
      <c r="BM5" s="215" t="str">
        <f t="shared" ref="BM5:BM25" si="7">IF(AA5&gt;0,"Please Fill Remarks","")</f>
        <v/>
      </c>
      <c r="BN5" s="216"/>
    </row>
    <row r="6" spans="1:66" s="217" customFormat="1" ht="15" customHeight="1" x14ac:dyDescent="0.25">
      <c r="A6" s="199" t="str">
        <f>IF(D6="","",Cover!$D$8)</f>
        <v/>
      </c>
      <c r="B6" s="199" t="str">
        <f>IF(D6="","",Cover!$D$7)</f>
        <v/>
      </c>
      <c r="C6" s="200" t="str">
        <f>IF(F6="","",IFERROR(VLOOKUP(F6,'Master Data'!$E$59:$J$146,6,FALSE),0))</f>
        <v/>
      </c>
      <c r="D6" s="201" t="str">
        <f>IF(F6="","",IFERROR(VLOOKUP(F6,'Master Data'!$E$59:$L$146,8,FALSE),0))</f>
        <v/>
      </c>
      <c r="E6" s="200" t="str">
        <f>IF(D6="","",IFERROR(VLOOKUP(D6,'Master Data'!$D$59:$I$146,6,FALSE),0))</f>
        <v/>
      </c>
      <c r="F6" s="202"/>
      <c r="G6" s="203"/>
      <c r="H6" s="204">
        <f>IFERROR(VLOOKUP(G6,'Master Data'!$C$336:$I$353,7,FALSE),0)</f>
        <v>0</v>
      </c>
      <c r="I6" s="205">
        <f>IFERROR(VLOOKUP(H6,'Master Data'!$B$336:$D$351,3,FALSE),0)</f>
        <v>0</v>
      </c>
      <c r="J6" s="206">
        <f>IFERROR(VLOOKUP(H6,'Master Data'!$B$336:$H$353,7,FALSE),0)</f>
        <v>0</v>
      </c>
      <c r="K6" s="207"/>
      <c r="L6" s="389" t="str">
        <f>IFERROR(IF(I6="FIXED ASSET",J6&amp;E6&amp;K6,VLOOKUP(F6,'Master Data'!$E$59:$H$146,4,FALSE)&amp;"-"&amp;J6&amp;"-"&amp;K6),"-")</f>
        <v>-</v>
      </c>
      <c r="M6" s="202"/>
      <c r="N6" s="208"/>
      <c r="O6" s="209"/>
      <c r="P6" s="209"/>
      <c r="Q6" s="209"/>
      <c r="R6" s="209"/>
      <c r="S6" s="209"/>
      <c r="T6" s="209"/>
      <c r="U6" s="209"/>
      <c r="V6" s="209"/>
      <c r="W6" s="209"/>
      <c r="X6" s="209"/>
      <c r="Y6" s="209"/>
      <c r="Z6" s="209"/>
      <c r="AA6" s="210">
        <f t="shared" si="2"/>
        <v>0</v>
      </c>
      <c r="AB6" s="211"/>
      <c r="AC6" s="209"/>
      <c r="AD6" s="209"/>
      <c r="AE6" s="209"/>
      <c r="AF6" s="209"/>
      <c r="AG6" s="209"/>
      <c r="AH6" s="209"/>
      <c r="AI6" s="209"/>
      <c r="AJ6" s="209"/>
      <c r="AK6" s="209"/>
      <c r="AL6" s="209"/>
      <c r="AM6" s="209"/>
      <c r="AN6" s="209"/>
      <c r="AO6" s="210">
        <f t="shared" si="3"/>
        <v>0</v>
      </c>
      <c r="AP6" s="212"/>
      <c r="AQ6" s="209"/>
      <c r="AR6" s="209"/>
      <c r="AS6" s="209"/>
      <c r="AT6" s="209"/>
      <c r="AU6" s="209"/>
      <c r="AV6" s="209"/>
      <c r="AW6" s="209"/>
      <c r="AX6" s="209"/>
      <c r="AY6" s="209"/>
      <c r="AZ6" s="209"/>
      <c r="BA6" s="209"/>
      <c r="BB6" s="209"/>
      <c r="BC6" s="210">
        <f t="shared" si="4"/>
        <v>0</v>
      </c>
      <c r="BD6" s="356">
        <f t="shared" si="5"/>
        <v>0</v>
      </c>
      <c r="BE6" s="203"/>
      <c r="BF6" s="213"/>
      <c r="BG6" s="213"/>
      <c r="BH6" s="213"/>
      <c r="BI6" s="214">
        <f t="shared" si="0"/>
        <v>0</v>
      </c>
      <c r="BJ6" s="213"/>
      <c r="BK6" s="215" t="str">
        <f t="shared" si="1"/>
        <v/>
      </c>
      <c r="BL6" s="215" t="str">
        <f t="shared" si="6"/>
        <v/>
      </c>
      <c r="BM6" s="215" t="str">
        <f t="shared" si="7"/>
        <v/>
      </c>
      <c r="BN6" s="216"/>
    </row>
    <row r="7" spans="1:66" ht="15" customHeight="1" x14ac:dyDescent="0.25">
      <c r="A7" s="199" t="str">
        <f>IF(D7="","",Cover!$D$8)</f>
        <v/>
      </c>
      <c r="B7" s="199" t="str">
        <f>IF(D7="","",Cover!$D$7)</f>
        <v/>
      </c>
      <c r="C7" s="200" t="str">
        <f>IF(F7="","",IFERROR(VLOOKUP(F7,'Master Data'!$E$59:$J$146,6,FALSE),0))</f>
        <v/>
      </c>
      <c r="D7" s="201" t="str">
        <f>IF(F7="","",IFERROR(VLOOKUP(F7,'Master Data'!$E$59:$L$146,8,FALSE),0))</f>
        <v/>
      </c>
      <c r="E7" s="200" t="str">
        <f>IF(D7="","",IFERROR(VLOOKUP(D7,'Master Data'!$D$59:$I$146,6,FALSE),0))</f>
        <v/>
      </c>
      <c r="F7" s="202"/>
      <c r="G7" s="203"/>
      <c r="H7" s="204">
        <f>IFERROR(VLOOKUP(G7,'Master Data'!$C$336:$I$353,7,FALSE),0)</f>
        <v>0</v>
      </c>
      <c r="I7" s="205">
        <f>IFERROR(VLOOKUP(H7,'Master Data'!$B$336:$D$351,3,FALSE),0)</f>
        <v>0</v>
      </c>
      <c r="J7" s="206">
        <f>IFERROR(VLOOKUP(H7,'Master Data'!$B$336:$H$353,7,FALSE),0)</f>
        <v>0</v>
      </c>
      <c r="K7" s="207"/>
      <c r="L7" s="389" t="str">
        <f>IFERROR(IF(I7="FIXED ASSET",J7&amp;E7&amp;K7,VLOOKUP(F7,'Master Data'!$E$59:$H$146,4,FALSE)&amp;"-"&amp;J7&amp;"-"&amp;K7),"-")</f>
        <v>-</v>
      </c>
      <c r="M7" s="202"/>
      <c r="N7" s="208"/>
      <c r="O7" s="209"/>
      <c r="P7" s="209"/>
      <c r="Q7" s="209"/>
      <c r="R7" s="209"/>
      <c r="S7" s="209"/>
      <c r="T7" s="209"/>
      <c r="U7" s="209"/>
      <c r="V7" s="209"/>
      <c r="W7" s="209"/>
      <c r="X7" s="209"/>
      <c r="Y7" s="209"/>
      <c r="Z7" s="209"/>
      <c r="AA7" s="210">
        <f t="shared" si="2"/>
        <v>0</v>
      </c>
      <c r="AB7" s="211"/>
      <c r="AC7" s="209"/>
      <c r="AD7" s="209"/>
      <c r="AE7" s="209"/>
      <c r="AF7" s="209"/>
      <c r="AG7" s="209"/>
      <c r="AH7" s="209"/>
      <c r="AI7" s="209"/>
      <c r="AJ7" s="209"/>
      <c r="AK7" s="209"/>
      <c r="AL7" s="209"/>
      <c r="AM7" s="209"/>
      <c r="AN7" s="209"/>
      <c r="AO7" s="210">
        <f t="shared" si="3"/>
        <v>0</v>
      </c>
      <c r="AP7" s="212"/>
      <c r="AQ7" s="209"/>
      <c r="AR7" s="209"/>
      <c r="AS7" s="209"/>
      <c r="AT7" s="209"/>
      <c r="AU7" s="209"/>
      <c r="AV7" s="209"/>
      <c r="AW7" s="209"/>
      <c r="AX7" s="209"/>
      <c r="AY7" s="209"/>
      <c r="AZ7" s="209"/>
      <c r="BA7" s="209"/>
      <c r="BB7" s="209"/>
      <c r="BC7" s="210">
        <f t="shared" si="4"/>
        <v>0</v>
      </c>
      <c r="BD7" s="356">
        <f t="shared" si="5"/>
        <v>0</v>
      </c>
      <c r="BE7" s="203"/>
      <c r="BF7" s="213"/>
      <c r="BG7" s="213"/>
      <c r="BH7" s="213"/>
      <c r="BI7" s="214">
        <f t="shared" si="0"/>
        <v>0</v>
      </c>
      <c r="BJ7" s="213"/>
      <c r="BK7" s="215" t="str">
        <f t="shared" si="1"/>
        <v/>
      </c>
      <c r="BL7" s="215" t="str">
        <f t="shared" si="6"/>
        <v/>
      </c>
      <c r="BM7" s="215" t="str">
        <f t="shared" si="7"/>
        <v/>
      </c>
      <c r="BN7" s="216"/>
    </row>
    <row r="8" spans="1:66" ht="15" customHeight="1" x14ac:dyDescent="0.25">
      <c r="A8" s="199" t="str">
        <f>IF(D8="","",Cover!$D$8)</f>
        <v/>
      </c>
      <c r="B8" s="199" t="str">
        <f>IF(D8="","",Cover!$D$7)</f>
        <v/>
      </c>
      <c r="C8" s="200" t="str">
        <f>IF(F8="","",IFERROR(VLOOKUP(F8,'Master Data'!$E$59:$J$146,6,FALSE),0))</f>
        <v/>
      </c>
      <c r="D8" s="201" t="str">
        <f>IF(F8="","",IFERROR(VLOOKUP(F8,'Master Data'!$E$59:$L$146,8,FALSE),0))</f>
        <v/>
      </c>
      <c r="E8" s="200" t="str">
        <f>IF(D8="","",IFERROR(VLOOKUP(D8,'Master Data'!$D$59:$I$146,6,FALSE),0))</f>
        <v/>
      </c>
      <c r="F8" s="202"/>
      <c r="G8" s="203"/>
      <c r="H8" s="204">
        <f>IFERROR(VLOOKUP(G8,'Master Data'!$C$336:$I$353,7,FALSE),0)</f>
        <v>0</v>
      </c>
      <c r="I8" s="205">
        <f>IFERROR(VLOOKUP(H8,'Master Data'!$B$336:$D$351,3,FALSE),0)</f>
        <v>0</v>
      </c>
      <c r="J8" s="206">
        <f>IFERROR(VLOOKUP(H8,'Master Data'!$B$336:$H$353,7,FALSE),0)</f>
        <v>0</v>
      </c>
      <c r="K8" s="207"/>
      <c r="L8" s="389" t="str">
        <f>IFERROR(IF(I8="FIXED ASSET",J8&amp;E8&amp;K8,VLOOKUP(F8,'Master Data'!$E$59:$H$146,4,FALSE)&amp;"-"&amp;J8&amp;"-"&amp;K8),"-")</f>
        <v>-</v>
      </c>
      <c r="M8" s="202"/>
      <c r="N8" s="208"/>
      <c r="O8" s="209"/>
      <c r="P8" s="209"/>
      <c r="Q8" s="209"/>
      <c r="R8" s="209"/>
      <c r="S8" s="209"/>
      <c r="T8" s="209"/>
      <c r="U8" s="209"/>
      <c r="V8" s="209"/>
      <c r="W8" s="209"/>
      <c r="X8" s="209"/>
      <c r="Y8" s="209"/>
      <c r="Z8" s="209"/>
      <c r="AA8" s="210">
        <f t="shared" si="2"/>
        <v>0</v>
      </c>
      <c r="AB8" s="211"/>
      <c r="AC8" s="209"/>
      <c r="AD8" s="209"/>
      <c r="AE8" s="209"/>
      <c r="AF8" s="209"/>
      <c r="AG8" s="209"/>
      <c r="AH8" s="209"/>
      <c r="AI8" s="209"/>
      <c r="AJ8" s="209"/>
      <c r="AK8" s="209"/>
      <c r="AL8" s="209"/>
      <c r="AM8" s="209"/>
      <c r="AN8" s="209"/>
      <c r="AO8" s="210">
        <f t="shared" si="3"/>
        <v>0</v>
      </c>
      <c r="AP8" s="212"/>
      <c r="AQ8" s="209"/>
      <c r="AR8" s="209"/>
      <c r="AS8" s="209"/>
      <c r="AT8" s="209"/>
      <c r="AU8" s="209"/>
      <c r="AV8" s="209"/>
      <c r="AW8" s="209"/>
      <c r="AX8" s="209"/>
      <c r="AY8" s="209"/>
      <c r="AZ8" s="209"/>
      <c r="BA8" s="209"/>
      <c r="BB8" s="209"/>
      <c r="BC8" s="210">
        <f t="shared" si="4"/>
        <v>0</v>
      </c>
      <c r="BD8" s="356">
        <f t="shared" si="5"/>
        <v>0</v>
      </c>
      <c r="BE8" s="203"/>
      <c r="BF8" s="213"/>
      <c r="BG8" s="213"/>
      <c r="BH8" s="213"/>
      <c r="BI8" s="214">
        <f t="shared" si="0"/>
        <v>0</v>
      </c>
      <c r="BJ8" s="213"/>
      <c r="BK8" s="215" t="str">
        <f t="shared" si="1"/>
        <v/>
      </c>
      <c r="BL8" s="215" t="str">
        <f t="shared" si="6"/>
        <v/>
      </c>
      <c r="BM8" s="215" t="str">
        <f t="shared" si="7"/>
        <v/>
      </c>
      <c r="BN8" s="216"/>
    </row>
    <row r="9" spans="1:66" ht="15" customHeight="1" x14ac:dyDescent="0.25">
      <c r="A9" s="199" t="str">
        <f>IF(D9="","",Cover!$D$8)</f>
        <v/>
      </c>
      <c r="B9" s="199" t="str">
        <f>IF(D9="","",Cover!$D$7)</f>
        <v/>
      </c>
      <c r="C9" s="200" t="str">
        <f>IF(F9="","",IFERROR(VLOOKUP(F9,'Master Data'!$E$59:$J$146,6,FALSE),0))</f>
        <v/>
      </c>
      <c r="D9" s="201" t="str">
        <f>IF(F9="","",IFERROR(VLOOKUP(F9,'Master Data'!$E$59:$L$146,8,FALSE),0))</f>
        <v/>
      </c>
      <c r="E9" s="200" t="str">
        <f>IF(D9="","",IFERROR(VLOOKUP(D9,'Master Data'!$D$59:$I$146,6,FALSE),0))</f>
        <v/>
      </c>
      <c r="F9" s="202"/>
      <c r="G9" s="203"/>
      <c r="H9" s="204">
        <f>IFERROR(VLOOKUP(G9,'Master Data'!$C$336:$I$353,7,FALSE),0)</f>
        <v>0</v>
      </c>
      <c r="I9" s="205">
        <f>IFERROR(VLOOKUP(H9,'Master Data'!$B$336:$D$351,3,FALSE),0)</f>
        <v>0</v>
      </c>
      <c r="J9" s="206">
        <f>IFERROR(VLOOKUP(H9,'Master Data'!$B$336:$H$353,7,FALSE),0)</f>
        <v>0</v>
      </c>
      <c r="K9" s="207"/>
      <c r="L9" s="389" t="str">
        <f>IFERROR(IF(I9="FIXED ASSET",J9&amp;E9&amp;K9,VLOOKUP(F9,'Master Data'!$E$59:$H$146,4,FALSE)&amp;"-"&amp;J9&amp;"-"&amp;K9),"-")</f>
        <v>-</v>
      </c>
      <c r="M9" s="202"/>
      <c r="N9" s="208"/>
      <c r="O9" s="209"/>
      <c r="P9" s="209"/>
      <c r="Q9" s="209"/>
      <c r="R9" s="209"/>
      <c r="S9" s="209"/>
      <c r="T9" s="209"/>
      <c r="U9" s="209"/>
      <c r="V9" s="209"/>
      <c r="W9" s="209"/>
      <c r="X9" s="209"/>
      <c r="Y9" s="209"/>
      <c r="Z9" s="209"/>
      <c r="AA9" s="210">
        <f t="shared" si="2"/>
        <v>0</v>
      </c>
      <c r="AB9" s="211"/>
      <c r="AC9" s="209"/>
      <c r="AD9" s="209"/>
      <c r="AE9" s="209"/>
      <c r="AF9" s="209"/>
      <c r="AG9" s="209"/>
      <c r="AH9" s="209"/>
      <c r="AI9" s="209"/>
      <c r="AJ9" s="209"/>
      <c r="AK9" s="209"/>
      <c r="AL9" s="209"/>
      <c r="AM9" s="209"/>
      <c r="AN9" s="209"/>
      <c r="AO9" s="210">
        <f t="shared" si="3"/>
        <v>0</v>
      </c>
      <c r="AP9" s="212"/>
      <c r="AQ9" s="209"/>
      <c r="AR9" s="209"/>
      <c r="AS9" s="209"/>
      <c r="AT9" s="209"/>
      <c r="AU9" s="209"/>
      <c r="AV9" s="209"/>
      <c r="AW9" s="209"/>
      <c r="AX9" s="209"/>
      <c r="AY9" s="209"/>
      <c r="AZ9" s="209"/>
      <c r="BA9" s="209"/>
      <c r="BB9" s="209"/>
      <c r="BC9" s="210">
        <f t="shared" si="4"/>
        <v>0</v>
      </c>
      <c r="BD9" s="356">
        <f t="shared" si="5"/>
        <v>0</v>
      </c>
      <c r="BE9" s="203"/>
      <c r="BF9" s="213"/>
      <c r="BG9" s="213"/>
      <c r="BH9" s="213"/>
      <c r="BI9" s="214">
        <f t="shared" si="0"/>
        <v>0</v>
      </c>
      <c r="BJ9" s="213"/>
      <c r="BK9" s="215" t="str">
        <f t="shared" si="1"/>
        <v/>
      </c>
      <c r="BL9" s="215" t="str">
        <f t="shared" si="6"/>
        <v/>
      </c>
      <c r="BM9" s="215" t="str">
        <f t="shared" si="7"/>
        <v/>
      </c>
      <c r="BN9" s="216"/>
    </row>
    <row r="10" spans="1:66" ht="15" customHeight="1" x14ac:dyDescent="0.25">
      <c r="A10" s="199" t="str">
        <f>IF(D10="","",Cover!$D$8)</f>
        <v/>
      </c>
      <c r="B10" s="199" t="str">
        <f>IF(D10="","",Cover!$D$7)</f>
        <v/>
      </c>
      <c r="C10" s="200" t="str">
        <f>IF(F10="","",IFERROR(VLOOKUP(F10,'Master Data'!$E$59:$J$146,6,FALSE),0))</f>
        <v/>
      </c>
      <c r="D10" s="201" t="str">
        <f>IF(F10="","",IFERROR(VLOOKUP(F10,'Master Data'!$E$59:$L$146,8,FALSE),0))</f>
        <v/>
      </c>
      <c r="E10" s="200" t="str">
        <f>IF(D10="","",IFERROR(VLOOKUP(D10,'Master Data'!$D$59:$I$146,6,FALSE),0))</f>
        <v/>
      </c>
      <c r="F10" s="202"/>
      <c r="G10" s="203"/>
      <c r="H10" s="204">
        <f>IFERROR(VLOOKUP(G10,'Master Data'!$C$336:$I$353,7,FALSE),0)</f>
        <v>0</v>
      </c>
      <c r="I10" s="205">
        <f>IFERROR(VLOOKUP(H10,'Master Data'!$B$336:$D$351,3,FALSE),0)</f>
        <v>0</v>
      </c>
      <c r="J10" s="206">
        <f>IFERROR(VLOOKUP(H10,'Master Data'!$B$336:$H$353,7,FALSE),0)</f>
        <v>0</v>
      </c>
      <c r="K10" s="207"/>
      <c r="L10" s="389" t="str">
        <f>IFERROR(IF(I10="FIXED ASSET",J10&amp;E10&amp;K10,VLOOKUP(F10,'Master Data'!$E$59:$H$146,4,FALSE)&amp;"-"&amp;J10&amp;"-"&amp;K10),"-")</f>
        <v>-</v>
      </c>
      <c r="M10" s="202"/>
      <c r="N10" s="208"/>
      <c r="O10" s="209"/>
      <c r="P10" s="209"/>
      <c r="Q10" s="209"/>
      <c r="R10" s="209"/>
      <c r="S10" s="209"/>
      <c r="T10" s="209"/>
      <c r="U10" s="209"/>
      <c r="V10" s="209"/>
      <c r="W10" s="209"/>
      <c r="X10" s="209"/>
      <c r="Y10" s="209"/>
      <c r="Z10" s="209"/>
      <c r="AA10" s="210">
        <f t="shared" si="2"/>
        <v>0</v>
      </c>
      <c r="AB10" s="211"/>
      <c r="AC10" s="209"/>
      <c r="AD10" s="209"/>
      <c r="AE10" s="209"/>
      <c r="AF10" s="209"/>
      <c r="AG10" s="209"/>
      <c r="AH10" s="209"/>
      <c r="AI10" s="209"/>
      <c r="AJ10" s="209"/>
      <c r="AK10" s="209"/>
      <c r="AL10" s="209"/>
      <c r="AM10" s="209"/>
      <c r="AN10" s="209"/>
      <c r="AO10" s="210">
        <f t="shared" si="3"/>
        <v>0</v>
      </c>
      <c r="AP10" s="212"/>
      <c r="AQ10" s="209"/>
      <c r="AR10" s="209"/>
      <c r="AS10" s="209"/>
      <c r="AT10" s="209"/>
      <c r="AU10" s="209"/>
      <c r="AV10" s="209"/>
      <c r="AW10" s="209"/>
      <c r="AX10" s="209"/>
      <c r="AY10" s="209"/>
      <c r="AZ10" s="209"/>
      <c r="BA10" s="209"/>
      <c r="BB10" s="209"/>
      <c r="BC10" s="210">
        <f t="shared" si="4"/>
        <v>0</v>
      </c>
      <c r="BD10" s="356">
        <f t="shared" si="5"/>
        <v>0</v>
      </c>
      <c r="BE10" s="203"/>
      <c r="BF10" s="213"/>
      <c r="BG10" s="213"/>
      <c r="BH10" s="213"/>
      <c r="BI10" s="214">
        <f t="shared" si="0"/>
        <v>0</v>
      </c>
      <c r="BJ10" s="213"/>
      <c r="BK10" s="215" t="str">
        <f t="shared" si="1"/>
        <v/>
      </c>
      <c r="BL10" s="215" t="str">
        <f t="shared" si="6"/>
        <v/>
      </c>
      <c r="BM10" s="215" t="str">
        <f t="shared" si="7"/>
        <v/>
      </c>
      <c r="BN10" s="216"/>
    </row>
    <row r="11" spans="1:66" ht="15" customHeight="1" x14ac:dyDescent="0.25">
      <c r="A11" s="199" t="str">
        <f>IF(D11="","",Cover!$D$8)</f>
        <v/>
      </c>
      <c r="B11" s="199" t="str">
        <f>IF(D11="","",Cover!$D$7)</f>
        <v/>
      </c>
      <c r="C11" s="200" t="str">
        <f>IF(F11="","",IFERROR(VLOOKUP(F11,'Master Data'!$E$59:$J$146,6,FALSE),0))</f>
        <v/>
      </c>
      <c r="D11" s="201" t="str">
        <f>IF(F11="","",IFERROR(VLOOKUP(F11,'Master Data'!$E$59:$L$146,8,FALSE),0))</f>
        <v/>
      </c>
      <c r="E11" s="200" t="str">
        <f>IF(D11="","",IFERROR(VLOOKUP(D11,'Master Data'!$D$59:$I$146,6,FALSE),0))</f>
        <v/>
      </c>
      <c r="F11" s="202"/>
      <c r="G11" s="203"/>
      <c r="H11" s="204">
        <f>IFERROR(VLOOKUP(G11,'Master Data'!$C$336:$I$353,7,FALSE),0)</f>
        <v>0</v>
      </c>
      <c r="I11" s="205">
        <f>IFERROR(VLOOKUP(H11,'Master Data'!$B$336:$D$351,3,FALSE),0)</f>
        <v>0</v>
      </c>
      <c r="J11" s="206">
        <f>IFERROR(VLOOKUP(H11,'Master Data'!$B$336:$H$353,7,FALSE),0)</f>
        <v>0</v>
      </c>
      <c r="K11" s="207"/>
      <c r="L11" s="389" t="str">
        <f>IFERROR(IF(I11="FIXED ASSET",J11&amp;E11&amp;K11,VLOOKUP(F11,'Master Data'!$E$59:$H$146,4,FALSE)&amp;"-"&amp;J11&amp;"-"&amp;K11),"-")</f>
        <v>-</v>
      </c>
      <c r="M11" s="202"/>
      <c r="N11" s="208"/>
      <c r="O11" s="209"/>
      <c r="P11" s="209"/>
      <c r="Q11" s="209"/>
      <c r="R11" s="209"/>
      <c r="S11" s="209"/>
      <c r="T11" s="209"/>
      <c r="U11" s="209"/>
      <c r="V11" s="209"/>
      <c r="W11" s="209"/>
      <c r="X11" s="209"/>
      <c r="Y11" s="209"/>
      <c r="Z11" s="209"/>
      <c r="AA11" s="210">
        <f t="shared" si="2"/>
        <v>0</v>
      </c>
      <c r="AB11" s="211"/>
      <c r="AC11" s="209"/>
      <c r="AD11" s="209"/>
      <c r="AE11" s="209"/>
      <c r="AF11" s="209"/>
      <c r="AG11" s="209"/>
      <c r="AH11" s="209"/>
      <c r="AI11" s="209"/>
      <c r="AJ11" s="209"/>
      <c r="AK11" s="209"/>
      <c r="AL11" s="209"/>
      <c r="AM11" s="209"/>
      <c r="AN11" s="209"/>
      <c r="AO11" s="210">
        <f t="shared" si="3"/>
        <v>0</v>
      </c>
      <c r="AP11" s="212"/>
      <c r="AQ11" s="209"/>
      <c r="AR11" s="209"/>
      <c r="AS11" s="209"/>
      <c r="AT11" s="209"/>
      <c r="AU11" s="209"/>
      <c r="AV11" s="209"/>
      <c r="AW11" s="209"/>
      <c r="AX11" s="209"/>
      <c r="AY11" s="209"/>
      <c r="AZ11" s="209"/>
      <c r="BA11" s="209"/>
      <c r="BB11" s="209"/>
      <c r="BC11" s="210">
        <f t="shared" si="4"/>
        <v>0</v>
      </c>
      <c r="BD11" s="356">
        <f t="shared" si="5"/>
        <v>0</v>
      </c>
      <c r="BE11" s="203"/>
      <c r="BF11" s="213"/>
      <c r="BG11" s="213"/>
      <c r="BH11" s="213"/>
      <c r="BI11" s="214">
        <f t="shared" si="0"/>
        <v>0</v>
      </c>
      <c r="BJ11" s="213"/>
      <c r="BK11" s="215" t="str">
        <f t="shared" si="1"/>
        <v/>
      </c>
      <c r="BL11" s="215" t="str">
        <f t="shared" si="6"/>
        <v/>
      </c>
      <c r="BM11" s="215" t="str">
        <f t="shared" si="7"/>
        <v/>
      </c>
      <c r="BN11" s="216"/>
    </row>
    <row r="12" spans="1:66" ht="15" customHeight="1" x14ac:dyDescent="0.25">
      <c r="A12" s="199" t="str">
        <f>IF(D12="","",Cover!$D$8)</f>
        <v/>
      </c>
      <c r="B12" s="199" t="str">
        <f>IF(D12="","",Cover!$D$7)</f>
        <v/>
      </c>
      <c r="C12" s="200" t="str">
        <f>IF(F12="","",IFERROR(VLOOKUP(F12,'Master Data'!$E$59:$J$146,6,FALSE),0))</f>
        <v/>
      </c>
      <c r="D12" s="201" t="str">
        <f>IF(F12="","",IFERROR(VLOOKUP(F12,'Master Data'!$E$59:$L$146,8,FALSE),0))</f>
        <v/>
      </c>
      <c r="E12" s="200" t="str">
        <f>IF(D12="","",IFERROR(VLOOKUP(D12,'Master Data'!$D$59:$I$146,6,FALSE),0))</f>
        <v/>
      </c>
      <c r="F12" s="202"/>
      <c r="G12" s="203"/>
      <c r="H12" s="204">
        <f>IFERROR(VLOOKUP(G12,'Master Data'!$C$336:$I$353,7,FALSE),0)</f>
        <v>0</v>
      </c>
      <c r="I12" s="205">
        <f>IFERROR(VLOOKUP(H12,'Master Data'!$B$336:$D$351,3,FALSE),0)</f>
        <v>0</v>
      </c>
      <c r="J12" s="206">
        <f>IFERROR(VLOOKUP(H12,'Master Data'!$B$336:$H$353,7,FALSE),0)</f>
        <v>0</v>
      </c>
      <c r="K12" s="207"/>
      <c r="L12" s="389" t="str">
        <f>IFERROR(IF(I12="FIXED ASSET",J12&amp;E12&amp;K12,VLOOKUP(F12,'Master Data'!$E$59:$H$146,4,FALSE)&amp;"-"&amp;J12&amp;"-"&amp;K12),"-")</f>
        <v>-</v>
      </c>
      <c r="M12" s="202"/>
      <c r="N12" s="208"/>
      <c r="O12" s="209"/>
      <c r="P12" s="209"/>
      <c r="Q12" s="209"/>
      <c r="R12" s="209"/>
      <c r="S12" s="209"/>
      <c r="T12" s="209"/>
      <c r="U12" s="209"/>
      <c r="V12" s="209"/>
      <c r="W12" s="209"/>
      <c r="X12" s="209"/>
      <c r="Y12" s="209"/>
      <c r="Z12" s="209"/>
      <c r="AA12" s="210">
        <f t="shared" si="2"/>
        <v>0</v>
      </c>
      <c r="AB12" s="211"/>
      <c r="AC12" s="209"/>
      <c r="AD12" s="209"/>
      <c r="AE12" s="209"/>
      <c r="AF12" s="209"/>
      <c r="AG12" s="209"/>
      <c r="AH12" s="209"/>
      <c r="AI12" s="209"/>
      <c r="AJ12" s="209"/>
      <c r="AK12" s="209"/>
      <c r="AL12" s="209"/>
      <c r="AM12" s="209"/>
      <c r="AN12" s="209"/>
      <c r="AO12" s="210">
        <f t="shared" si="3"/>
        <v>0</v>
      </c>
      <c r="AP12" s="212"/>
      <c r="AQ12" s="209"/>
      <c r="AR12" s="209"/>
      <c r="AS12" s="209"/>
      <c r="AT12" s="209"/>
      <c r="AU12" s="209"/>
      <c r="AV12" s="209"/>
      <c r="AW12" s="209"/>
      <c r="AX12" s="209"/>
      <c r="AY12" s="209"/>
      <c r="AZ12" s="209"/>
      <c r="BA12" s="209"/>
      <c r="BB12" s="209"/>
      <c r="BC12" s="210">
        <f t="shared" si="4"/>
        <v>0</v>
      </c>
      <c r="BD12" s="356">
        <f t="shared" si="5"/>
        <v>0</v>
      </c>
      <c r="BE12" s="203"/>
      <c r="BF12" s="213"/>
      <c r="BG12" s="213"/>
      <c r="BH12" s="213"/>
      <c r="BI12" s="214">
        <f t="shared" si="0"/>
        <v>0</v>
      </c>
      <c r="BJ12" s="213"/>
      <c r="BK12" s="215" t="str">
        <f t="shared" si="1"/>
        <v/>
      </c>
      <c r="BL12" s="215" t="str">
        <f t="shared" si="6"/>
        <v/>
      </c>
      <c r="BM12" s="215" t="str">
        <f t="shared" si="7"/>
        <v/>
      </c>
      <c r="BN12" s="216"/>
    </row>
    <row r="13" spans="1:66" ht="15" customHeight="1" x14ac:dyDescent="0.25">
      <c r="A13" s="199" t="str">
        <f>IF(D13="","",Cover!$D$8)</f>
        <v/>
      </c>
      <c r="B13" s="199" t="str">
        <f>IF(D13="","",Cover!$D$7)</f>
        <v/>
      </c>
      <c r="C13" s="200" t="str">
        <f>IF(F13="","",IFERROR(VLOOKUP(F13,'Master Data'!$E$59:$J$146,6,FALSE),0))</f>
        <v/>
      </c>
      <c r="D13" s="201" t="str">
        <f>IF(F13="","",IFERROR(VLOOKUP(F13,'Master Data'!$E$59:$L$146,8,FALSE),0))</f>
        <v/>
      </c>
      <c r="E13" s="200" t="str">
        <f>IF(D13="","",IFERROR(VLOOKUP(D13,'Master Data'!$D$59:$I$146,6,FALSE),0))</f>
        <v/>
      </c>
      <c r="F13" s="202"/>
      <c r="G13" s="203"/>
      <c r="H13" s="204">
        <f>IFERROR(VLOOKUP(G13,'Master Data'!$C$336:$I$353,7,FALSE),0)</f>
        <v>0</v>
      </c>
      <c r="I13" s="205">
        <f>IFERROR(VLOOKUP(H13,'Master Data'!$B$336:$D$351,3,FALSE),0)</f>
        <v>0</v>
      </c>
      <c r="J13" s="206">
        <f>IFERROR(VLOOKUP(H13,'Master Data'!$B$336:$H$353,7,FALSE),0)</f>
        <v>0</v>
      </c>
      <c r="K13" s="207"/>
      <c r="L13" s="389" t="str">
        <f>IFERROR(IF(I13="FIXED ASSET",J13&amp;E13&amp;K13,VLOOKUP(F13,'Master Data'!$E$59:$H$146,4,FALSE)&amp;"-"&amp;J13&amp;"-"&amp;K13),"-")</f>
        <v>-</v>
      </c>
      <c r="M13" s="202"/>
      <c r="N13" s="208"/>
      <c r="O13" s="209"/>
      <c r="P13" s="209"/>
      <c r="Q13" s="209"/>
      <c r="R13" s="209"/>
      <c r="S13" s="209"/>
      <c r="T13" s="209"/>
      <c r="U13" s="209"/>
      <c r="V13" s="209"/>
      <c r="W13" s="209"/>
      <c r="X13" s="209"/>
      <c r="Y13" s="209"/>
      <c r="Z13" s="209"/>
      <c r="AA13" s="210">
        <f t="shared" si="2"/>
        <v>0</v>
      </c>
      <c r="AB13" s="211"/>
      <c r="AC13" s="209"/>
      <c r="AD13" s="209"/>
      <c r="AE13" s="209"/>
      <c r="AF13" s="209"/>
      <c r="AG13" s="209"/>
      <c r="AH13" s="209"/>
      <c r="AI13" s="209"/>
      <c r="AJ13" s="209"/>
      <c r="AK13" s="209"/>
      <c r="AL13" s="209"/>
      <c r="AM13" s="209"/>
      <c r="AN13" s="209"/>
      <c r="AO13" s="210">
        <f t="shared" si="3"/>
        <v>0</v>
      </c>
      <c r="AP13" s="212"/>
      <c r="AQ13" s="209"/>
      <c r="AR13" s="209"/>
      <c r="AS13" s="209"/>
      <c r="AT13" s="209"/>
      <c r="AU13" s="209"/>
      <c r="AV13" s="209"/>
      <c r="AW13" s="209"/>
      <c r="AX13" s="209"/>
      <c r="AY13" s="209"/>
      <c r="AZ13" s="209"/>
      <c r="BA13" s="209"/>
      <c r="BB13" s="209"/>
      <c r="BC13" s="210">
        <f t="shared" si="4"/>
        <v>0</v>
      </c>
      <c r="BD13" s="356">
        <f t="shared" si="5"/>
        <v>0</v>
      </c>
      <c r="BE13" s="203"/>
      <c r="BF13" s="213"/>
      <c r="BG13" s="213"/>
      <c r="BH13" s="213"/>
      <c r="BI13" s="214">
        <f t="shared" si="0"/>
        <v>0</v>
      </c>
      <c r="BJ13" s="213"/>
      <c r="BK13" s="215" t="str">
        <f t="shared" si="1"/>
        <v/>
      </c>
      <c r="BL13" s="215" t="str">
        <f t="shared" si="6"/>
        <v/>
      </c>
      <c r="BM13" s="215" t="str">
        <f t="shared" si="7"/>
        <v/>
      </c>
      <c r="BN13" s="216"/>
    </row>
    <row r="14" spans="1:66" ht="15" customHeight="1" x14ac:dyDescent="0.25">
      <c r="A14" s="199" t="str">
        <f>IF(D14="","",Cover!$D$8)</f>
        <v/>
      </c>
      <c r="B14" s="199" t="str">
        <f>IF(D14="","",Cover!$D$7)</f>
        <v/>
      </c>
      <c r="C14" s="200" t="str">
        <f>IF(F14="","",IFERROR(VLOOKUP(F14,'Master Data'!$E$59:$J$146,6,FALSE),0))</f>
        <v/>
      </c>
      <c r="D14" s="201" t="str">
        <f>IF(F14="","",IFERROR(VLOOKUP(F14,'Master Data'!$E$59:$L$146,8,FALSE),0))</f>
        <v/>
      </c>
      <c r="E14" s="200" t="str">
        <f>IF(D14="","",IFERROR(VLOOKUP(D14,'Master Data'!$D$59:$I$146,6,FALSE),0))</f>
        <v/>
      </c>
      <c r="F14" s="202"/>
      <c r="G14" s="203"/>
      <c r="H14" s="204">
        <f>IFERROR(VLOOKUP(G14,'Master Data'!$C$336:$I$353,7,FALSE),0)</f>
        <v>0</v>
      </c>
      <c r="I14" s="205">
        <f>IFERROR(VLOOKUP(H14,'Master Data'!$B$336:$D$351,3,FALSE),0)</f>
        <v>0</v>
      </c>
      <c r="J14" s="206">
        <f>IFERROR(VLOOKUP(H14,'Master Data'!$B$336:$H$353,7,FALSE),0)</f>
        <v>0</v>
      </c>
      <c r="K14" s="207"/>
      <c r="L14" s="389" t="str">
        <f>IFERROR(IF(I14="FIXED ASSET",J14&amp;E14&amp;K14,VLOOKUP(F14,'Master Data'!$E$59:$H$146,4,FALSE)&amp;"-"&amp;J14&amp;"-"&amp;K14),"-")</f>
        <v>-</v>
      </c>
      <c r="M14" s="202"/>
      <c r="N14" s="208"/>
      <c r="O14" s="209"/>
      <c r="P14" s="209"/>
      <c r="Q14" s="209"/>
      <c r="R14" s="209"/>
      <c r="S14" s="209"/>
      <c r="T14" s="209"/>
      <c r="U14" s="209"/>
      <c r="V14" s="209"/>
      <c r="W14" s="209"/>
      <c r="X14" s="209"/>
      <c r="Y14" s="209"/>
      <c r="Z14" s="209"/>
      <c r="AA14" s="210">
        <f t="shared" si="2"/>
        <v>0</v>
      </c>
      <c r="AB14" s="211"/>
      <c r="AC14" s="209"/>
      <c r="AD14" s="209"/>
      <c r="AE14" s="209"/>
      <c r="AF14" s="209"/>
      <c r="AG14" s="209"/>
      <c r="AH14" s="209"/>
      <c r="AI14" s="209"/>
      <c r="AJ14" s="209"/>
      <c r="AK14" s="209"/>
      <c r="AL14" s="209"/>
      <c r="AM14" s="209"/>
      <c r="AN14" s="209"/>
      <c r="AO14" s="210">
        <f t="shared" si="3"/>
        <v>0</v>
      </c>
      <c r="AP14" s="212"/>
      <c r="AQ14" s="209"/>
      <c r="AR14" s="209"/>
      <c r="AS14" s="209"/>
      <c r="AT14" s="209"/>
      <c r="AU14" s="209"/>
      <c r="AV14" s="209"/>
      <c r="AW14" s="209"/>
      <c r="AX14" s="209"/>
      <c r="AY14" s="209"/>
      <c r="AZ14" s="209"/>
      <c r="BA14" s="209"/>
      <c r="BB14" s="209"/>
      <c r="BC14" s="210">
        <f t="shared" si="4"/>
        <v>0</v>
      </c>
      <c r="BD14" s="356">
        <f t="shared" si="5"/>
        <v>0</v>
      </c>
      <c r="BE14" s="203"/>
      <c r="BF14" s="213"/>
      <c r="BG14" s="213"/>
      <c r="BH14" s="213"/>
      <c r="BI14" s="214">
        <f t="shared" si="0"/>
        <v>0</v>
      </c>
      <c r="BJ14" s="213"/>
      <c r="BK14" s="215" t="str">
        <f t="shared" si="1"/>
        <v/>
      </c>
      <c r="BL14" s="215" t="str">
        <f t="shared" si="6"/>
        <v/>
      </c>
      <c r="BM14" s="215" t="str">
        <f t="shared" si="7"/>
        <v/>
      </c>
      <c r="BN14" s="216"/>
    </row>
    <row r="15" spans="1:66" ht="15" customHeight="1" x14ac:dyDescent="0.25">
      <c r="A15" s="199" t="str">
        <f>IF(D15="","",Cover!$D$8)</f>
        <v/>
      </c>
      <c r="B15" s="199" t="str">
        <f>IF(D15="","",Cover!$D$7)</f>
        <v/>
      </c>
      <c r="C15" s="200" t="str">
        <f>IF(F15="","",IFERROR(VLOOKUP(F15,'Master Data'!$E$59:$J$146,6,FALSE),0))</f>
        <v/>
      </c>
      <c r="D15" s="201" t="str">
        <f>IF(F15="","",IFERROR(VLOOKUP(F15,'Master Data'!$E$59:$L$146,8,FALSE),0))</f>
        <v/>
      </c>
      <c r="E15" s="200" t="str">
        <f>IF(D15="","",IFERROR(VLOOKUP(D15,'Master Data'!$D$59:$I$146,6,FALSE),0))</f>
        <v/>
      </c>
      <c r="F15" s="202"/>
      <c r="G15" s="203"/>
      <c r="H15" s="204">
        <f>IFERROR(VLOOKUP(G15,'Master Data'!$C$336:$I$353,7,FALSE),0)</f>
        <v>0</v>
      </c>
      <c r="I15" s="205">
        <f>IFERROR(VLOOKUP(H15,'Master Data'!$B$336:$D$351,3,FALSE),0)</f>
        <v>0</v>
      </c>
      <c r="J15" s="206">
        <f>IFERROR(VLOOKUP(H15,'Master Data'!$B$336:$H$353,7,FALSE),0)</f>
        <v>0</v>
      </c>
      <c r="K15" s="207"/>
      <c r="L15" s="389" t="str">
        <f>IFERROR(IF(I15="FIXED ASSET",J15&amp;E15&amp;K15,VLOOKUP(F15,'Master Data'!$E$59:$H$146,4,FALSE)&amp;"-"&amp;J15&amp;"-"&amp;K15),"-")</f>
        <v>-</v>
      </c>
      <c r="M15" s="202"/>
      <c r="N15" s="208"/>
      <c r="O15" s="209"/>
      <c r="P15" s="209"/>
      <c r="Q15" s="209"/>
      <c r="R15" s="209"/>
      <c r="S15" s="209"/>
      <c r="T15" s="209"/>
      <c r="U15" s="209"/>
      <c r="V15" s="209"/>
      <c r="W15" s="209"/>
      <c r="X15" s="209"/>
      <c r="Y15" s="209"/>
      <c r="Z15" s="209"/>
      <c r="AA15" s="210">
        <f t="shared" si="2"/>
        <v>0</v>
      </c>
      <c r="AB15" s="211"/>
      <c r="AC15" s="209"/>
      <c r="AD15" s="209"/>
      <c r="AE15" s="209"/>
      <c r="AF15" s="209"/>
      <c r="AG15" s="209"/>
      <c r="AH15" s="209"/>
      <c r="AI15" s="209"/>
      <c r="AJ15" s="209"/>
      <c r="AK15" s="209"/>
      <c r="AL15" s="209"/>
      <c r="AM15" s="209"/>
      <c r="AN15" s="209"/>
      <c r="AO15" s="210">
        <f t="shared" si="3"/>
        <v>0</v>
      </c>
      <c r="AP15" s="212"/>
      <c r="AQ15" s="209"/>
      <c r="AR15" s="209"/>
      <c r="AS15" s="209"/>
      <c r="AT15" s="209"/>
      <c r="AU15" s="209"/>
      <c r="AV15" s="209"/>
      <c r="AW15" s="209"/>
      <c r="AX15" s="209"/>
      <c r="AY15" s="209"/>
      <c r="AZ15" s="209"/>
      <c r="BA15" s="209"/>
      <c r="BB15" s="209"/>
      <c r="BC15" s="210">
        <f t="shared" si="4"/>
        <v>0</v>
      </c>
      <c r="BD15" s="356">
        <f t="shared" si="5"/>
        <v>0</v>
      </c>
      <c r="BE15" s="203"/>
      <c r="BF15" s="213"/>
      <c r="BG15" s="213"/>
      <c r="BH15" s="213"/>
      <c r="BI15" s="214">
        <f t="shared" si="0"/>
        <v>0</v>
      </c>
      <c r="BJ15" s="213"/>
      <c r="BK15" s="215" t="str">
        <f t="shared" si="1"/>
        <v/>
      </c>
      <c r="BL15" s="215" t="str">
        <f t="shared" si="6"/>
        <v/>
      </c>
      <c r="BM15" s="215" t="str">
        <f t="shared" si="7"/>
        <v/>
      </c>
      <c r="BN15" s="216"/>
    </row>
    <row r="16" spans="1:66" ht="15" customHeight="1" x14ac:dyDescent="0.25">
      <c r="A16" s="199" t="str">
        <f>IF(D16="","",Cover!$D$8)</f>
        <v/>
      </c>
      <c r="B16" s="199" t="str">
        <f>IF(D16="","",Cover!$D$7)</f>
        <v/>
      </c>
      <c r="C16" s="200" t="str">
        <f>IF(F16="","",IFERROR(VLOOKUP(F16,'Master Data'!$E$59:$J$146,6,FALSE),0))</f>
        <v/>
      </c>
      <c r="D16" s="201" t="str">
        <f>IF(F16="","",IFERROR(VLOOKUP(F16,'Master Data'!$E$59:$L$146,8,FALSE),0))</f>
        <v/>
      </c>
      <c r="E16" s="200" t="str">
        <f>IF(D16="","",IFERROR(VLOOKUP(D16,'Master Data'!$D$59:$I$146,6,FALSE),0))</f>
        <v/>
      </c>
      <c r="F16" s="202"/>
      <c r="G16" s="203"/>
      <c r="H16" s="204">
        <f>IFERROR(VLOOKUP(G16,'Master Data'!$C$336:$I$353,7,FALSE),0)</f>
        <v>0</v>
      </c>
      <c r="I16" s="205">
        <f>IFERROR(VLOOKUP(H16,'Master Data'!$B$336:$D$351,3,FALSE),0)</f>
        <v>0</v>
      </c>
      <c r="J16" s="206">
        <f>IFERROR(VLOOKUP(H16,'Master Data'!$B$336:$H$353,7,FALSE),0)</f>
        <v>0</v>
      </c>
      <c r="K16" s="207"/>
      <c r="L16" s="389" t="str">
        <f>IFERROR(IF(I16="FIXED ASSET",J16&amp;E16&amp;K16,VLOOKUP(F16,'Master Data'!$E$59:$H$146,4,FALSE)&amp;"-"&amp;J16&amp;"-"&amp;K16),"-")</f>
        <v>-</v>
      </c>
      <c r="M16" s="202"/>
      <c r="N16" s="208"/>
      <c r="O16" s="209"/>
      <c r="P16" s="209"/>
      <c r="Q16" s="209"/>
      <c r="R16" s="209"/>
      <c r="S16" s="209"/>
      <c r="T16" s="209"/>
      <c r="U16" s="209"/>
      <c r="V16" s="209"/>
      <c r="W16" s="209"/>
      <c r="X16" s="209"/>
      <c r="Y16" s="209"/>
      <c r="Z16" s="209"/>
      <c r="AA16" s="210">
        <f t="shared" si="2"/>
        <v>0</v>
      </c>
      <c r="AB16" s="211"/>
      <c r="AC16" s="209"/>
      <c r="AD16" s="209"/>
      <c r="AE16" s="209"/>
      <c r="AF16" s="209"/>
      <c r="AG16" s="209"/>
      <c r="AH16" s="209"/>
      <c r="AI16" s="209"/>
      <c r="AJ16" s="209"/>
      <c r="AK16" s="209"/>
      <c r="AL16" s="209"/>
      <c r="AM16" s="209"/>
      <c r="AN16" s="209"/>
      <c r="AO16" s="210">
        <f t="shared" si="3"/>
        <v>0</v>
      </c>
      <c r="AP16" s="212"/>
      <c r="AQ16" s="209"/>
      <c r="AR16" s="209"/>
      <c r="AS16" s="209"/>
      <c r="AT16" s="209"/>
      <c r="AU16" s="209"/>
      <c r="AV16" s="209"/>
      <c r="AW16" s="209"/>
      <c r="AX16" s="209"/>
      <c r="AY16" s="209"/>
      <c r="AZ16" s="209"/>
      <c r="BA16" s="209"/>
      <c r="BB16" s="209"/>
      <c r="BC16" s="210">
        <f t="shared" si="4"/>
        <v>0</v>
      </c>
      <c r="BD16" s="356">
        <f t="shared" si="5"/>
        <v>0</v>
      </c>
      <c r="BE16" s="203"/>
      <c r="BF16" s="213"/>
      <c r="BG16" s="213"/>
      <c r="BH16" s="213"/>
      <c r="BI16" s="214">
        <f t="shared" si="0"/>
        <v>0</v>
      </c>
      <c r="BJ16" s="213"/>
      <c r="BK16" s="215" t="str">
        <f t="shared" si="1"/>
        <v/>
      </c>
      <c r="BL16" s="215" t="str">
        <f t="shared" si="6"/>
        <v/>
      </c>
      <c r="BM16" s="215" t="str">
        <f t="shared" si="7"/>
        <v/>
      </c>
      <c r="BN16" s="216"/>
    </row>
    <row r="17" spans="1:66" ht="15" customHeight="1" x14ac:dyDescent="0.25">
      <c r="A17" s="199" t="str">
        <f>IF(D17="","",Cover!$D$8)</f>
        <v/>
      </c>
      <c r="B17" s="199" t="str">
        <f>IF(D17="","",Cover!$D$7)</f>
        <v/>
      </c>
      <c r="C17" s="200" t="str">
        <f>IF(F17="","",IFERROR(VLOOKUP(F17,'Master Data'!$E$59:$J$146,6,FALSE),0))</f>
        <v/>
      </c>
      <c r="D17" s="201" t="str">
        <f>IF(F17="","",IFERROR(VLOOKUP(F17,'Master Data'!$E$59:$L$146,8,FALSE),0))</f>
        <v/>
      </c>
      <c r="E17" s="200" t="str">
        <f>IF(D17="","",IFERROR(VLOOKUP(D17,'Master Data'!$D$59:$I$146,6,FALSE),0))</f>
        <v/>
      </c>
      <c r="F17" s="202"/>
      <c r="G17" s="203"/>
      <c r="H17" s="204">
        <f>IFERROR(VLOOKUP(G17,'Master Data'!$C$336:$I$353,7,FALSE),0)</f>
        <v>0</v>
      </c>
      <c r="I17" s="205">
        <f>IFERROR(VLOOKUP(H17,'Master Data'!$B$336:$D$351,3,FALSE),0)</f>
        <v>0</v>
      </c>
      <c r="J17" s="206">
        <f>IFERROR(VLOOKUP(H17,'Master Data'!$B$336:$H$353,7,FALSE),0)</f>
        <v>0</v>
      </c>
      <c r="K17" s="207"/>
      <c r="L17" s="389" t="str">
        <f>IFERROR(IF(I17="FIXED ASSET",J17&amp;E17&amp;K17,VLOOKUP(F17,'Master Data'!$E$59:$H$146,4,FALSE)&amp;"-"&amp;J17&amp;"-"&amp;K17),"-")</f>
        <v>-</v>
      </c>
      <c r="M17" s="202"/>
      <c r="N17" s="208"/>
      <c r="O17" s="209"/>
      <c r="P17" s="209"/>
      <c r="Q17" s="209"/>
      <c r="R17" s="209"/>
      <c r="S17" s="209"/>
      <c r="T17" s="209"/>
      <c r="U17" s="209"/>
      <c r="V17" s="209"/>
      <c r="W17" s="209"/>
      <c r="X17" s="209"/>
      <c r="Y17" s="209"/>
      <c r="Z17" s="209"/>
      <c r="AA17" s="210">
        <f t="shared" si="2"/>
        <v>0</v>
      </c>
      <c r="AB17" s="211"/>
      <c r="AC17" s="209"/>
      <c r="AD17" s="209"/>
      <c r="AE17" s="209"/>
      <c r="AF17" s="209"/>
      <c r="AG17" s="209"/>
      <c r="AH17" s="209"/>
      <c r="AI17" s="209"/>
      <c r="AJ17" s="209"/>
      <c r="AK17" s="209"/>
      <c r="AL17" s="209"/>
      <c r="AM17" s="209"/>
      <c r="AN17" s="209"/>
      <c r="AO17" s="210">
        <f t="shared" si="3"/>
        <v>0</v>
      </c>
      <c r="AP17" s="212"/>
      <c r="AQ17" s="209"/>
      <c r="AR17" s="209"/>
      <c r="AS17" s="209"/>
      <c r="AT17" s="209"/>
      <c r="AU17" s="209"/>
      <c r="AV17" s="209"/>
      <c r="AW17" s="209"/>
      <c r="AX17" s="209"/>
      <c r="AY17" s="209"/>
      <c r="AZ17" s="209"/>
      <c r="BA17" s="209"/>
      <c r="BB17" s="209"/>
      <c r="BC17" s="210">
        <f t="shared" si="4"/>
        <v>0</v>
      </c>
      <c r="BD17" s="356">
        <f t="shared" si="5"/>
        <v>0</v>
      </c>
      <c r="BE17" s="203"/>
      <c r="BF17" s="213"/>
      <c r="BG17" s="213"/>
      <c r="BH17" s="213"/>
      <c r="BI17" s="214">
        <f t="shared" si="0"/>
        <v>0</v>
      </c>
      <c r="BJ17" s="213"/>
      <c r="BK17" s="215" t="str">
        <f t="shared" si="1"/>
        <v/>
      </c>
      <c r="BL17" s="215" t="str">
        <f t="shared" si="6"/>
        <v/>
      </c>
      <c r="BM17" s="215" t="str">
        <f t="shared" si="7"/>
        <v/>
      </c>
      <c r="BN17" s="216"/>
    </row>
    <row r="18" spans="1:66" ht="15" customHeight="1" x14ac:dyDescent="0.25">
      <c r="A18" s="199" t="str">
        <f>IF(D18="","",Cover!$D$8)</f>
        <v/>
      </c>
      <c r="B18" s="199" t="str">
        <f>IF(D18="","",Cover!$D$7)</f>
        <v/>
      </c>
      <c r="C18" s="200" t="str">
        <f>IF(F18="","",IFERROR(VLOOKUP(F18,'Master Data'!$E$59:$J$146,6,FALSE),0))</f>
        <v/>
      </c>
      <c r="D18" s="201" t="str">
        <f>IF(F18="","",IFERROR(VLOOKUP(F18,'Master Data'!$E$59:$L$146,8,FALSE),0))</f>
        <v/>
      </c>
      <c r="E18" s="200" t="str">
        <f>IF(D18="","",IFERROR(VLOOKUP(D18,'Master Data'!$D$59:$I$146,6,FALSE),0))</f>
        <v/>
      </c>
      <c r="F18" s="202"/>
      <c r="G18" s="203"/>
      <c r="H18" s="204">
        <f>IFERROR(VLOOKUP(G18,'Master Data'!$C$336:$I$353,7,FALSE),0)</f>
        <v>0</v>
      </c>
      <c r="I18" s="205">
        <f>IFERROR(VLOOKUP(H18,'Master Data'!$B$336:$D$351,3,FALSE),0)</f>
        <v>0</v>
      </c>
      <c r="J18" s="206">
        <f>IFERROR(VLOOKUP(H18,'Master Data'!$B$336:$H$353,7,FALSE),0)</f>
        <v>0</v>
      </c>
      <c r="K18" s="207"/>
      <c r="L18" s="389" t="str">
        <f>IFERROR(IF(I18="FIXED ASSET",J18&amp;E18&amp;K18,VLOOKUP(F18,'Master Data'!$E$59:$H$146,4,FALSE)&amp;"-"&amp;J18&amp;"-"&amp;K18),"-")</f>
        <v>-</v>
      </c>
      <c r="M18" s="202"/>
      <c r="N18" s="208"/>
      <c r="O18" s="209"/>
      <c r="P18" s="209"/>
      <c r="Q18" s="209"/>
      <c r="R18" s="209"/>
      <c r="S18" s="209"/>
      <c r="T18" s="209"/>
      <c r="U18" s="209"/>
      <c r="V18" s="209"/>
      <c r="W18" s="209"/>
      <c r="X18" s="209"/>
      <c r="Y18" s="209"/>
      <c r="Z18" s="209"/>
      <c r="AA18" s="210">
        <f t="shared" si="2"/>
        <v>0</v>
      </c>
      <c r="AB18" s="211"/>
      <c r="AC18" s="209"/>
      <c r="AD18" s="209"/>
      <c r="AE18" s="209"/>
      <c r="AF18" s="209"/>
      <c r="AG18" s="209"/>
      <c r="AH18" s="209"/>
      <c r="AI18" s="209"/>
      <c r="AJ18" s="209"/>
      <c r="AK18" s="209"/>
      <c r="AL18" s="209"/>
      <c r="AM18" s="209"/>
      <c r="AN18" s="209"/>
      <c r="AO18" s="210">
        <f t="shared" si="3"/>
        <v>0</v>
      </c>
      <c r="AP18" s="212"/>
      <c r="AQ18" s="209"/>
      <c r="AR18" s="209"/>
      <c r="AS18" s="209"/>
      <c r="AT18" s="209"/>
      <c r="AU18" s="209"/>
      <c r="AV18" s="209"/>
      <c r="AW18" s="209"/>
      <c r="AX18" s="209"/>
      <c r="AY18" s="209"/>
      <c r="AZ18" s="209"/>
      <c r="BA18" s="209"/>
      <c r="BB18" s="209"/>
      <c r="BC18" s="210">
        <f t="shared" si="4"/>
        <v>0</v>
      </c>
      <c r="BD18" s="356">
        <f t="shared" si="5"/>
        <v>0</v>
      </c>
      <c r="BE18" s="203"/>
      <c r="BF18" s="213"/>
      <c r="BG18" s="213"/>
      <c r="BH18" s="213"/>
      <c r="BI18" s="214">
        <f t="shared" si="0"/>
        <v>0</v>
      </c>
      <c r="BJ18" s="213"/>
      <c r="BK18" s="215" t="str">
        <f t="shared" si="1"/>
        <v/>
      </c>
      <c r="BL18" s="215" t="str">
        <f t="shared" si="6"/>
        <v/>
      </c>
      <c r="BM18" s="215" t="str">
        <f t="shared" si="7"/>
        <v/>
      </c>
      <c r="BN18" s="216"/>
    </row>
    <row r="19" spans="1:66" ht="15" customHeight="1" x14ac:dyDescent="0.25">
      <c r="A19" s="199" t="str">
        <f>IF(D19="","",Cover!$D$8)</f>
        <v/>
      </c>
      <c r="B19" s="199" t="str">
        <f>IF(D19="","",Cover!$D$7)</f>
        <v/>
      </c>
      <c r="C19" s="200" t="str">
        <f>IF(F19="","",IFERROR(VLOOKUP(F19,'Master Data'!$E$59:$J$146,6,FALSE),0))</f>
        <v/>
      </c>
      <c r="D19" s="201" t="str">
        <f>IF(F19="","",IFERROR(VLOOKUP(F19,'Master Data'!$E$59:$L$146,8,FALSE),0))</f>
        <v/>
      </c>
      <c r="E19" s="200" t="str">
        <f>IF(D19="","",IFERROR(VLOOKUP(D19,'Master Data'!$D$59:$I$146,6,FALSE),0))</f>
        <v/>
      </c>
      <c r="F19" s="202"/>
      <c r="G19" s="203"/>
      <c r="H19" s="204">
        <f>IFERROR(VLOOKUP(G19,'Master Data'!$C$336:$I$353,7,FALSE),0)</f>
        <v>0</v>
      </c>
      <c r="I19" s="205">
        <f>IFERROR(VLOOKUP(H19,'Master Data'!$B$336:$D$351,3,FALSE),0)</f>
        <v>0</v>
      </c>
      <c r="J19" s="206">
        <f>IFERROR(VLOOKUP(H19,'Master Data'!$B$336:$H$353,7,FALSE),0)</f>
        <v>0</v>
      </c>
      <c r="K19" s="207"/>
      <c r="L19" s="389" t="str">
        <f>IFERROR(IF(I19="FIXED ASSET",J19&amp;E19&amp;K19,VLOOKUP(F19,'Master Data'!$E$59:$H$146,4,FALSE)&amp;"-"&amp;J19&amp;"-"&amp;K19),"-")</f>
        <v>-</v>
      </c>
      <c r="M19" s="202"/>
      <c r="N19" s="208"/>
      <c r="O19" s="209"/>
      <c r="P19" s="209"/>
      <c r="Q19" s="209"/>
      <c r="R19" s="209"/>
      <c r="S19" s="209"/>
      <c r="T19" s="209"/>
      <c r="U19" s="209"/>
      <c r="V19" s="209"/>
      <c r="W19" s="209"/>
      <c r="X19" s="209"/>
      <c r="Y19" s="209"/>
      <c r="Z19" s="209"/>
      <c r="AA19" s="210">
        <f t="shared" si="2"/>
        <v>0</v>
      </c>
      <c r="AB19" s="211"/>
      <c r="AC19" s="209"/>
      <c r="AD19" s="209"/>
      <c r="AE19" s="209"/>
      <c r="AF19" s="209"/>
      <c r="AG19" s="209"/>
      <c r="AH19" s="209"/>
      <c r="AI19" s="209"/>
      <c r="AJ19" s="209"/>
      <c r="AK19" s="209"/>
      <c r="AL19" s="209"/>
      <c r="AM19" s="209"/>
      <c r="AN19" s="209"/>
      <c r="AO19" s="210">
        <f t="shared" si="3"/>
        <v>0</v>
      </c>
      <c r="AP19" s="212"/>
      <c r="AQ19" s="209"/>
      <c r="AR19" s="209"/>
      <c r="AS19" s="209"/>
      <c r="AT19" s="209"/>
      <c r="AU19" s="209"/>
      <c r="AV19" s="209"/>
      <c r="AW19" s="209"/>
      <c r="AX19" s="209"/>
      <c r="AY19" s="209"/>
      <c r="AZ19" s="209"/>
      <c r="BA19" s="209"/>
      <c r="BB19" s="209"/>
      <c r="BC19" s="210">
        <f t="shared" si="4"/>
        <v>0</v>
      </c>
      <c r="BD19" s="356">
        <f t="shared" si="5"/>
        <v>0</v>
      </c>
      <c r="BE19" s="203"/>
      <c r="BF19" s="213"/>
      <c r="BG19" s="213"/>
      <c r="BH19" s="213"/>
      <c r="BI19" s="214">
        <f t="shared" si="0"/>
        <v>0</v>
      </c>
      <c r="BJ19" s="213"/>
      <c r="BK19" s="215" t="str">
        <f t="shared" si="1"/>
        <v/>
      </c>
      <c r="BL19" s="215" t="str">
        <f t="shared" si="6"/>
        <v/>
      </c>
      <c r="BM19" s="215" t="str">
        <f t="shared" si="7"/>
        <v/>
      </c>
      <c r="BN19" s="216"/>
    </row>
    <row r="20" spans="1:66" ht="15" customHeight="1" x14ac:dyDescent="0.25">
      <c r="A20" s="199" t="str">
        <f>IF(D20="","",Cover!$D$8)</f>
        <v/>
      </c>
      <c r="B20" s="199" t="str">
        <f>IF(D20="","",Cover!$D$7)</f>
        <v/>
      </c>
      <c r="C20" s="200" t="str">
        <f>IF(F20="","",IFERROR(VLOOKUP(F20,'Master Data'!$E$59:$J$146,6,FALSE),0))</f>
        <v/>
      </c>
      <c r="D20" s="201" t="str">
        <f>IF(F20="","",IFERROR(VLOOKUP(F20,'Master Data'!$E$59:$L$146,8,FALSE),0))</f>
        <v/>
      </c>
      <c r="E20" s="200" t="str">
        <f>IF(D20="","",IFERROR(VLOOKUP(D20,'Master Data'!$D$59:$I$146,6,FALSE),0))</f>
        <v/>
      </c>
      <c r="F20" s="202"/>
      <c r="G20" s="203"/>
      <c r="H20" s="204">
        <f>IFERROR(VLOOKUP(G20,'Master Data'!$C$336:$I$353,7,FALSE),0)</f>
        <v>0</v>
      </c>
      <c r="I20" s="205">
        <f>IFERROR(VLOOKUP(H20,'Master Data'!$B$336:$D$351,3,FALSE),0)</f>
        <v>0</v>
      </c>
      <c r="J20" s="206">
        <f>IFERROR(VLOOKUP(H20,'Master Data'!$B$336:$H$353,7,FALSE),0)</f>
        <v>0</v>
      </c>
      <c r="K20" s="207"/>
      <c r="L20" s="389" t="str">
        <f>IFERROR(IF(I20="FIXED ASSET",J20&amp;E20&amp;K20,VLOOKUP(F20,'Master Data'!$E$59:$H$146,4,FALSE)&amp;"-"&amp;J20&amp;"-"&amp;K20),"-")</f>
        <v>-</v>
      </c>
      <c r="M20" s="202"/>
      <c r="N20" s="208"/>
      <c r="O20" s="209"/>
      <c r="P20" s="209"/>
      <c r="Q20" s="209"/>
      <c r="R20" s="209"/>
      <c r="S20" s="209"/>
      <c r="T20" s="209"/>
      <c r="U20" s="209"/>
      <c r="V20" s="209"/>
      <c r="W20" s="209"/>
      <c r="X20" s="209"/>
      <c r="Y20" s="209"/>
      <c r="Z20" s="209"/>
      <c r="AA20" s="210">
        <f t="shared" si="2"/>
        <v>0</v>
      </c>
      <c r="AB20" s="211"/>
      <c r="AC20" s="209"/>
      <c r="AD20" s="209"/>
      <c r="AE20" s="209"/>
      <c r="AF20" s="209"/>
      <c r="AG20" s="209"/>
      <c r="AH20" s="209"/>
      <c r="AI20" s="209"/>
      <c r="AJ20" s="209"/>
      <c r="AK20" s="209"/>
      <c r="AL20" s="209"/>
      <c r="AM20" s="209"/>
      <c r="AN20" s="209"/>
      <c r="AO20" s="210">
        <f t="shared" si="3"/>
        <v>0</v>
      </c>
      <c r="AP20" s="212"/>
      <c r="AQ20" s="209"/>
      <c r="AR20" s="209"/>
      <c r="AS20" s="209"/>
      <c r="AT20" s="209"/>
      <c r="AU20" s="209"/>
      <c r="AV20" s="209"/>
      <c r="AW20" s="209"/>
      <c r="AX20" s="209"/>
      <c r="AY20" s="209"/>
      <c r="AZ20" s="209"/>
      <c r="BA20" s="209"/>
      <c r="BB20" s="209"/>
      <c r="BC20" s="210">
        <f t="shared" si="4"/>
        <v>0</v>
      </c>
      <c r="BD20" s="356">
        <f t="shared" si="5"/>
        <v>0</v>
      </c>
      <c r="BE20" s="203"/>
      <c r="BF20" s="213"/>
      <c r="BG20" s="213"/>
      <c r="BH20" s="213"/>
      <c r="BI20" s="214">
        <f t="shared" si="0"/>
        <v>0</v>
      </c>
      <c r="BJ20" s="213"/>
      <c r="BK20" s="215" t="str">
        <f t="shared" si="1"/>
        <v/>
      </c>
      <c r="BL20" s="215" t="str">
        <f t="shared" si="6"/>
        <v/>
      </c>
      <c r="BM20" s="215" t="str">
        <f t="shared" si="7"/>
        <v/>
      </c>
      <c r="BN20" s="216"/>
    </row>
    <row r="21" spans="1:66" ht="15" customHeight="1" x14ac:dyDescent="0.25">
      <c r="A21" s="199" t="str">
        <f>IF(D21="","",Cover!$D$8)</f>
        <v/>
      </c>
      <c r="B21" s="199" t="str">
        <f>IF(D21="","",Cover!$D$7)</f>
        <v/>
      </c>
      <c r="C21" s="200" t="str">
        <f>IF(F21="","",IFERROR(VLOOKUP(F21,'Master Data'!$E$59:$J$146,6,FALSE),0))</f>
        <v/>
      </c>
      <c r="D21" s="201" t="str">
        <f>IF(F21="","",IFERROR(VLOOKUP(F21,'Master Data'!$E$59:$L$146,8,FALSE),0))</f>
        <v/>
      </c>
      <c r="E21" s="200" t="str">
        <f>IF(D21="","",IFERROR(VLOOKUP(D21,'Master Data'!$D$59:$I$146,6,FALSE),0))</f>
        <v/>
      </c>
      <c r="F21" s="202"/>
      <c r="G21" s="203"/>
      <c r="H21" s="204">
        <f>IFERROR(VLOOKUP(G21,'Master Data'!$C$336:$I$353,7,FALSE),0)</f>
        <v>0</v>
      </c>
      <c r="I21" s="205">
        <f>IFERROR(VLOOKUP(H21,'Master Data'!$B$336:$D$351,3,FALSE),0)</f>
        <v>0</v>
      </c>
      <c r="J21" s="206">
        <f>IFERROR(VLOOKUP(H21,'Master Data'!$B$336:$H$353,7,FALSE),0)</f>
        <v>0</v>
      </c>
      <c r="K21" s="207"/>
      <c r="L21" s="389" t="str">
        <f>IFERROR(IF(I21="FIXED ASSET",J21&amp;E21&amp;K21,VLOOKUP(F21,'Master Data'!$E$59:$H$146,4,FALSE)&amp;"-"&amp;J21&amp;"-"&amp;K21),"-")</f>
        <v>-</v>
      </c>
      <c r="M21" s="202"/>
      <c r="N21" s="208"/>
      <c r="O21" s="209"/>
      <c r="P21" s="209"/>
      <c r="Q21" s="209"/>
      <c r="R21" s="209"/>
      <c r="S21" s="209"/>
      <c r="T21" s="209"/>
      <c r="U21" s="209"/>
      <c r="V21" s="209"/>
      <c r="W21" s="209"/>
      <c r="X21" s="209"/>
      <c r="Y21" s="209"/>
      <c r="Z21" s="209"/>
      <c r="AA21" s="210">
        <f t="shared" si="2"/>
        <v>0</v>
      </c>
      <c r="AB21" s="211"/>
      <c r="AC21" s="209"/>
      <c r="AD21" s="209"/>
      <c r="AE21" s="209"/>
      <c r="AF21" s="209"/>
      <c r="AG21" s="209"/>
      <c r="AH21" s="209"/>
      <c r="AI21" s="209"/>
      <c r="AJ21" s="209"/>
      <c r="AK21" s="209"/>
      <c r="AL21" s="209"/>
      <c r="AM21" s="209"/>
      <c r="AN21" s="209"/>
      <c r="AO21" s="210">
        <f t="shared" si="3"/>
        <v>0</v>
      </c>
      <c r="AP21" s="212"/>
      <c r="AQ21" s="209"/>
      <c r="AR21" s="209"/>
      <c r="AS21" s="209"/>
      <c r="AT21" s="209"/>
      <c r="AU21" s="209"/>
      <c r="AV21" s="209"/>
      <c r="AW21" s="209"/>
      <c r="AX21" s="209"/>
      <c r="AY21" s="209"/>
      <c r="AZ21" s="209"/>
      <c r="BA21" s="209"/>
      <c r="BB21" s="209"/>
      <c r="BC21" s="210">
        <f t="shared" si="4"/>
        <v>0</v>
      </c>
      <c r="BD21" s="356">
        <f t="shared" si="5"/>
        <v>0</v>
      </c>
      <c r="BE21" s="203"/>
      <c r="BF21" s="213"/>
      <c r="BG21" s="213"/>
      <c r="BH21" s="213"/>
      <c r="BI21" s="214">
        <f t="shared" si="0"/>
        <v>0</v>
      </c>
      <c r="BJ21" s="213"/>
      <c r="BK21" s="215" t="str">
        <f t="shared" si="1"/>
        <v/>
      </c>
      <c r="BL21" s="215" t="str">
        <f t="shared" si="6"/>
        <v/>
      </c>
      <c r="BM21" s="215" t="str">
        <f t="shared" si="7"/>
        <v/>
      </c>
      <c r="BN21" s="216"/>
    </row>
    <row r="22" spans="1:66" ht="15" customHeight="1" x14ac:dyDescent="0.25">
      <c r="A22" s="199" t="str">
        <f>IF(D22="","",Cover!$D$8)</f>
        <v/>
      </c>
      <c r="B22" s="199" t="str">
        <f>IF(D22="","",Cover!$D$7)</f>
        <v/>
      </c>
      <c r="C22" s="200" t="str">
        <f>IF(F22="","",IFERROR(VLOOKUP(F22,'Master Data'!$E$59:$J$146,6,FALSE),0))</f>
        <v/>
      </c>
      <c r="D22" s="201" t="str">
        <f>IF(F22="","",IFERROR(VLOOKUP(F22,'Master Data'!$E$59:$L$146,8,FALSE),0))</f>
        <v/>
      </c>
      <c r="E22" s="200" t="str">
        <f>IF(D22="","",IFERROR(VLOOKUP(D22,'Master Data'!$D$59:$I$146,6,FALSE),0))</f>
        <v/>
      </c>
      <c r="F22" s="202"/>
      <c r="G22" s="203"/>
      <c r="H22" s="204">
        <f>IFERROR(VLOOKUP(G22,'Master Data'!$C$336:$I$353,7,FALSE),0)</f>
        <v>0</v>
      </c>
      <c r="I22" s="205">
        <f>IFERROR(VLOOKUP(H22,'Master Data'!$B$336:$D$351,3,FALSE),0)</f>
        <v>0</v>
      </c>
      <c r="J22" s="206">
        <f>IFERROR(VLOOKUP(H22,'Master Data'!$B$336:$H$353,7,FALSE),0)</f>
        <v>0</v>
      </c>
      <c r="K22" s="207"/>
      <c r="L22" s="389" t="str">
        <f>IFERROR(IF(I22="FIXED ASSET",J22&amp;E22&amp;K22,VLOOKUP(F22,'Master Data'!$E$59:$H$146,4,FALSE)&amp;"-"&amp;J22&amp;"-"&amp;K22),"-")</f>
        <v>-</v>
      </c>
      <c r="M22" s="202"/>
      <c r="N22" s="208"/>
      <c r="O22" s="209"/>
      <c r="P22" s="209"/>
      <c r="Q22" s="209"/>
      <c r="R22" s="209"/>
      <c r="S22" s="209"/>
      <c r="T22" s="209"/>
      <c r="U22" s="209"/>
      <c r="V22" s="209"/>
      <c r="W22" s="209"/>
      <c r="X22" s="209"/>
      <c r="Y22" s="209"/>
      <c r="Z22" s="209"/>
      <c r="AA22" s="210">
        <f t="shared" si="2"/>
        <v>0</v>
      </c>
      <c r="AB22" s="211"/>
      <c r="AC22" s="209"/>
      <c r="AD22" s="209"/>
      <c r="AE22" s="209"/>
      <c r="AF22" s="209"/>
      <c r="AG22" s="209"/>
      <c r="AH22" s="209"/>
      <c r="AI22" s="209"/>
      <c r="AJ22" s="209"/>
      <c r="AK22" s="209"/>
      <c r="AL22" s="209"/>
      <c r="AM22" s="209"/>
      <c r="AN22" s="209"/>
      <c r="AO22" s="210">
        <f t="shared" si="3"/>
        <v>0</v>
      </c>
      <c r="AP22" s="212"/>
      <c r="AQ22" s="209"/>
      <c r="AR22" s="209"/>
      <c r="AS22" s="209"/>
      <c r="AT22" s="209"/>
      <c r="AU22" s="209"/>
      <c r="AV22" s="209"/>
      <c r="AW22" s="209"/>
      <c r="AX22" s="209"/>
      <c r="AY22" s="209"/>
      <c r="AZ22" s="209"/>
      <c r="BA22" s="209"/>
      <c r="BB22" s="209"/>
      <c r="BC22" s="210">
        <f t="shared" si="4"/>
        <v>0</v>
      </c>
      <c r="BD22" s="356">
        <f t="shared" si="5"/>
        <v>0</v>
      </c>
      <c r="BE22" s="203"/>
      <c r="BF22" s="213"/>
      <c r="BG22" s="213"/>
      <c r="BH22" s="213"/>
      <c r="BI22" s="214">
        <f t="shared" si="0"/>
        <v>0</v>
      </c>
      <c r="BJ22" s="213"/>
      <c r="BK22" s="215" t="str">
        <f t="shared" si="1"/>
        <v/>
      </c>
      <c r="BL22" s="215" t="str">
        <f t="shared" si="6"/>
        <v/>
      </c>
      <c r="BM22" s="215" t="str">
        <f t="shared" si="7"/>
        <v/>
      </c>
      <c r="BN22" s="216"/>
    </row>
    <row r="23" spans="1:66" ht="15" customHeight="1" x14ac:dyDescent="0.25">
      <c r="A23" s="199" t="str">
        <f>IF(D23="","",Cover!$D$8)</f>
        <v/>
      </c>
      <c r="B23" s="199" t="str">
        <f>IF(D23="","",Cover!$D$7)</f>
        <v/>
      </c>
      <c r="C23" s="200" t="str">
        <f>IF(F23="","",IFERROR(VLOOKUP(F23,'Master Data'!$E$59:$J$146,6,FALSE),0))</f>
        <v/>
      </c>
      <c r="D23" s="201" t="str">
        <f>IF(F23="","",IFERROR(VLOOKUP(F23,'Master Data'!$E$59:$L$146,8,FALSE),0))</f>
        <v/>
      </c>
      <c r="E23" s="200" t="str">
        <f>IF(D23="","",IFERROR(VLOOKUP(D23,'Master Data'!$D$59:$I$146,6,FALSE),0))</f>
        <v/>
      </c>
      <c r="F23" s="202"/>
      <c r="G23" s="203"/>
      <c r="H23" s="204">
        <f>IFERROR(VLOOKUP(G23,'Master Data'!$C$336:$I$353,7,FALSE),0)</f>
        <v>0</v>
      </c>
      <c r="I23" s="205">
        <f>IFERROR(VLOOKUP(H23,'Master Data'!$B$336:$D$351,3,FALSE),0)</f>
        <v>0</v>
      </c>
      <c r="J23" s="206">
        <f>IFERROR(VLOOKUP(H23,'Master Data'!$B$336:$H$353,7,FALSE),0)</f>
        <v>0</v>
      </c>
      <c r="K23" s="207"/>
      <c r="L23" s="389" t="str">
        <f>IFERROR(IF(I23="FIXED ASSET",J23&amp;E23&amp;K23,VLOOKUP(F23,'Master Data'!$E$59:$H$146,4,FALSE)&amp;"-"&amp;J23&amp;"-"&amp;K23),"-")</f>
        <v>-</v>
      </c>
      <c r="M23" s="202"/>
      <c r="N23" s="208"/>
      <c r="O23" s="209"/>
      <c r="P23" s="209"/>
      <c r="Q23" s="209"/>
      <c r="R23" s="209"/>
      <c r="S23" s="209"/>
      <c r="T23" s="209"/>
      <c r="U23" s="209"/>
      <c r="V23" s="209"/>
      <c r="W23" s="209"/>
      <c r="X23" s="209"/>
      <c r="Y23" s="209"/>
      <c r="Z23" s="209"/>
      <c r="AA23" s="210">
        <f t="shared" si="2"/>
        <v>0</v>
      </c>
      <c r="AB23" s="211"/>
      <c r="AC23" s="209"/>
      <c r="AD23" s="209"/>
      <c r="AE23" s="209"/>
      <c r="AF23" s="209"/>
      <c r="AG23" s="209"/>
      <c r="AH23" s="209"/>
      <c r="AI23" s="209"/>
      <c r="AJ23" s="209"/>
      <c r="AK23" s="209"/>
      <c r="AL23" s="209"/>
      <c r="AM23" s="209"/>
      <c r="AN23" s="209"/>
      <c r="AO23" s="210">
        <f t="shared" si="3"/>
        <v>0</v>
      </c>
      <c r="AP23" s="212"/>
      <c r="AQ23" s="209"/>
      <c r="AR23" s="209"/>
      <c r="AS23" s="209"/>
      <c r="AT23" s="209"/>
      <c r="AU23" s="209"/>
      <c r="AV23" s="209"/>
      <c r="AW23" s="209"/>
      <c r="AX23" s="209"/>
      <c r="AY23" s="209"/>
      <c r="AZ23" s="209"/>
      <c r="BA23" s="209"/>
      <c r="BB23" s="209"/>
      <c r="BC23" s="210">
        <f t="shared" si="4"/>
        <v>0</v>
      </c>
      <c r="BD23" s="356">
        <f t="shared" si="5"/>
        <v>0</v>
      </c>
      <c r="BE23" s="203"/>
      <c r="BF23" s="213"/>
      <c r="BG23" s="213"/>
      <c r="BH23" s="213"/>
      <c r="BI23" s="214">
        <f t="shared" si="0"/>
        <v>0</v>
      </c>
      <c r="BJ23" s="213"/>
      <c r="BK23" s="215" t="str">
        <f t="shared" si="1"/>
        <v/>
      </c>
      <c r="BL23" s="215" t="str">
        <f t="shared" si="6"/>
        <v/>
      </c>
      <c r="BM23" s="215" t="str">
        <f t="shared" si="7"/>
        <v/>
      </c>
      <c r="BN23" s="216"/>
    </row>
    <row r="24" spans="1:66" ht="15" customHeight="1" x14ac:dyDescent="0.25">
      <c r="A24" s="199" t="str">
        <f>IF(D24="","",Cover!$D$8)</f>
        <v/>
      </c>
      <c r="B24" s="199" t="str">
        <f>IF(D24="","",Cover!$D$7)</f>
        <v/>
      </c>
      <c r="C24" s="200" t="str">
        <f>IF(F24="","",IFERROR(VLOOKUP(F24,'Master Data'!$E$59:$J$146,6,FALSE),0))</f>
        <v/>
      </c>
      <c r="D24" s="201" t="str">
        <f>IF(F24="","",IFERROR(VLOOKUP(F24,'Master Data'!$E$59:$L$146,8,FALSE),0))</f>
        <v/>
      </c>
      <c r="E24" s="200" t="str">
        <f>IF(D24="","",IFERROR(VLOOKUP(D24,'Master Data'!$D$59:$I$146,6,FALSE),0))</f>
        <v/>
      </c>
      <c r="F24" s="202"/>
      <c r="G24" s="203"/>
      <c r="H24" s="204">
        <f>IFERROR(VLOOKUP(G24,'Master Data'!$C$336:$I$353,7,FALSE),0)</f>
        <v>0</v>
      </c>
      <c r="I24" s="205">
        <f>IFERROR(VLOOKUP(H24,'Master Data'!$B$336:$D$351,3,FALSE),0)</f>
        <v>0</v>
      </c>
      <c r="J24" s="206">
        <f>IFERROR(VLOOKUP(H24,'Master Data'!$B$336:$H$353,7,FALSE),0)</f>
        <v>0</v>
      </c>
      <c r="K24" s="207"/>
      <c r="L24" s="389" t="str">
        <f>IFERROR(IF(I24="FIXED ASSET",J24&amp;E24&amp;K24,VLOOKUP(F24,'Master Data'!$E$59:$H$146,4,FALSE)&amp;"-"&amp;J24&amp;"-"&amp;K24),"-")</f>
        <v>-</v>
      </c>
      <c r="M24" s="202"/>
      <c r="N24" s="208"/>
      <c r="O24" s="209"/>
      <c r="P24" s="209"/>
      <c r="Q24" s="209"/>
      <c r="R24" s="209"/>
      <c r="S24" s="209"/>
      <c r="T24" s="209"/>
      <c r="U24" s="209"/>
      <c r="V24" s="209"/>
      <c r="W24" s="209"/>
      <c r="X24" s="209"/>
      <c r="Y24" s="209"/>
      <c r="Z24" s="209"/>
      <c r="AA24" s="210">
        <f t="shared" si="2"/>
        <v>0</v>
      </c>
      <c r="AB24" s="211"/>
      <c r="AC24" s="209"/>
      <c r="AD24" s="209"/>
      <c r="AE24" s="209"/>
      <c r="AF24" s="209"/>
      <c r="AG24" s="209"/>
      <c r="AH24" s="209"/>
      <c r="AI24" s="209"/>
      <c r="AJ24" s="209"/>
      <c r="AK24" s="209"/>
      <c r="AL24" s="209"/>
      <c r="AM24" s="209"/>
      <c r="AN24" s="209"/>
      <c r="AO24" s="210">
        <f t="shared" si="3"/>
        <v>0</v>
      </c>
      <c r="AP24" s="212"/>
      <c r="AQ24" s="209"/>
      <c r="AR24" s="209"/>
      <c r="AS24" s="209"/>
      <c r="AT24" s="209"/>
      <c r="AU24" s="209"/>
      <c r="AV24" s="209"/>
      <c r="AW24" s="209"/>
      <c r="AX24" s="209"/>
      <c r="AY24" s="209"/>
      <c r="AZ24" s="209"/>
      <c r="BA24" s="209"/>
      <c r="BB24" s="209"/>
      <c r="BC24" s="210">
        <f t="shared" si="4"/>
        <v>0</v>
      </c>
      <c r="BD24" s="356">
        <f t="shared" si="5"/>
        <v>0</v>
      </c>
      <c r="BE24" s="203"/>
      <c r="BF24" s="213"/>
      <c r="BG24" s="213"/>
      <c r="BH24" s="213"/>
      <c r="BI24" s="214">
        <f t="shared" si="0"/>
        <v>0</v>
      </c>
      <c r="BJ24" s="213"/>
      <c r="BK24" s="215" t="str">
        <f t="shared" si="1"/>
        <v/>
      </c>
      <c r="BL24" s="215" t="str">
        <f t="shared" si="6"/>
        <v/>
      </c>
      <c r="BM24" s="215" t="str">
        <f t="shared" si="7"/>
        <v/>
      </c>
      <c r="BN24" s="216"/>
    </row>
    <row r="25" spans="1:66" ht="15" customHeight="1" x14ac:dyDescent="0.25">
      <c r="A25" s="199" t="str">
        <f>IF(D25="","",Cover!$D$8)</f>
        <v/>
      </c>
      <c r="B25" s="199" t="str">
        <f>IF(D25="","",Cover!$D$7)</f>
        <v/>
      </c>
      <c r="C25" s="200" t="str">
        <f>IF(F25="","",IFERROR(VLOOKUP(F25,'Master Data'!$E$59:$J$146,6,FALSE),0))</f>
        <v/>
      </c>
      <c r="D25" s="201" t="str">
        <f>IF(F25="","",IFERROR(VLOOKUP(F25,'Master Data'!$E$59:$L$146,8,FALSE),0))</f>
        <v/>
      </c>
      <c r="E25" s="200" t="str">
        <f>IF(D25="","",IFERROR(VLOOKUP(D25,'Master Data'!$D$59:$I$146,6,FALSE),0))</f>
        <v/>
      </c>
      <c r="F25" s="202"/>
      <c r="G25" s="203"/>
      <c r="H25" s="204">
        <f>IFERROR(VLOOKUP(G25,'Master Data'!$C$336:$I$353,7,FALSE),0)</f>
        <v>0</v>
      </c>
      <c r="I25" s="205">
        <f>IFERROR(VLOOKUP(H25,'Master Data'!$B$336:$D$351,3,FALSE),0)</f>
        <v>0</v>
      </c>
      <c r="J25" s="206">
        <f>IFERROR(VLOOKUP(H25,'Master Data'!$B$336:$H$353,7,FALSE),0)</f>
        <v>0</v>
      </c>
      <c r="K25" s="207"/>
      <c r="L25" s="389" t="str">
        <f>IFERROR(IF(I25="FIXED ASSET",J25&amp;E25&amp;K25,VLOOKUP(F25,'Master Data'!$E$59:$H$146,4,FALSE)&amp;"-"&amp;J25&amp;"-"&amp;K25),"-")</f>
        <v>-</v>
      </c>
      <c r="M25" s="202"/>
      <c r="N25" s="208"/>
      <c r="O25" s="209"/>
      <c r="P25" s="209"/>
      <c r="Q25" s="209"/>
      <c r="R25" s="209"/>
      <c r="S25" s="209"/>
      <c r="T25" s="209"/>
      <c r="U25" s="209"/>
      <c r="V25" s="209"/>
      <c r="W25" s="209"/>
      <c r="X25" s="209"/>
      <c r="Y25" s="209"/>
      <c r="Z25" s="209"/>
      <c r="AA25" s="210">
        <f t="shared" si="2"/>
        <v>0</v>
      </c>
      <c r="AB25" s="211"/>
      <c r="AC25" s="209"/>
      <c r="AD25" s="209"/>
      <c r="AE25" s="209"/>
      <c r="AF25" s="209"/>
      <c r="AG25" s="209"/>
      <c r="AH25" s="209"/>
      <c r="AI25" s="209"/>
      <c r="AJ25" s="209"/>
      <c r="AK25" s="209"/>
      <c r="AL25" s="209"/>
      <c r="AM25" s="209"/>
      <c r="AN25" s="209"/>
      <c r="AO25" s="210">
        <f t="shared" si="3"/>
        <v>0</v>
      </c>
      <c r="AP25" s="212"/>
      <c r="AQ25" s="209"/>
      <c r="AR25" s="209"/>
      <c r="AS25" s="209"/>
      <c r="AT25" s="209"/>
      <c r="AU25" s="209"/>
      <c r="AV25" s="209"/>
      <c r="AW25" s="209"/>
      <c r="AX25" s="209"/>
      <c r="AY25" s="209"/>
      <c r="AZ25" s="209"/>
      <c r="BA25" s="209"/>
      <c r="BB25" s="209"/>
      <c r="BC25" s="210">
        <f t="shared" si="4"/>
        <v>0</v>
      </c>
      <c r="BD25" s="356">
        <f t="shared" si="5"/>
        <v>0</v>
      </c>
      <c r="BE25" s="203"/>
      <c r="BF25" s="213"/>
      <c r="BG25" s="213"/>
      <c r="BH25" s="213"/>
      <c r="BI25" s="214">
        <f t="shared" si="0"/>
        <v>0</v>
      </c>
      <c r="BJ25" s="213"/>
      <c r="BK25" s="215" t="str">
        <f t="shared" si="1"/>
        <v/>
      </c>
      <c r="BL25" s="215" t="str">
        <f t="shared" si="6"/>
        <v/>
      </c>
      <c r="BM25" s="215" t="str">
        <f t="shared" si="7"/>
        <v/>
      </c>
      <c r="BN25" s="216"/>
    </row>
  </sheetData>
  <sheetProtection formatColumns="0" formatRows="0" autoFilter="0"/>
  <autoFilter ref="A3:BM25" xr:uid="{00000000-0009-0000-0000-000003000000}"/>
  <dataConsolidate/>
  <mergeCells count="1">
    <mergeCell ref="D3:E3"/>
  </mergeCells>
  <conditionalFormatting sqref="BK4:BK25">
    <cfRule type="containsText" dxfId="6" priority="5" operator="containsText" text="Please Fill Start Date">
      <formula>NOT(ISERROR(SEARCH("Please Fill Start Date",BK4)))</formula>
    </cfRule>
  </conditionalFormatting>
  <conditionalFormatting sqref="BL4:BL25">
    <cfRule type="containsText" dxfId="5" priority="4" operator="containsText" text="Please Fill Start Date">
      <formula>NOT(ISERROR(SEARCH("Please Fill Start Date",BL4)))</formula>
    </cfRule>
  </conditionalFormatting>
  <conditionalFormatting sqref="BM4:BM25">
    <cfRule type="containsText" dxfId="4" priority="2" operator="containsText" text="Please Fill Remarks">
      <formula>NOT(ISERROR(SEARCH("Please Fill Remarks",BM4)))</formula>
    </cfRule>
    <cfRule type="containsText" dxfId="3" priority="3" operator="containsText" text="Please Fill Start Date">
      <formula>NOT(ISERROR(SEARCH("Please Fill Start Date",BM4)))</formula>
    </cfRule>
  </conditionalFormatting>
  <conditionalFormatting sqref="K4:K25">
    <cfRule type="containsText" dxfId="2" priority="1" operator="containsText" text="Please Fill Sequence Number">
      <formula>NOT(ISERROR(SEARCH("Please Fill Sequence Number",K4)))</formula>
    </cfRule>
  </conditionalFormatting>
  <dataValidations count="3">
    <dataValidation showInputMessage="1" showErrorMessage="1" error="Ledger tidak sesuai atau isi Divisi/Dept. pada halaman Cover." sqref="A4:B25" xr:uid="{1AC16F1D-42BC-455C-89CD-44F6FBD50C9A}"/>
    <dataValidation type="custom" showInputMessage="1" showErrorMessage="1" error="Pastikan Ledger Number dan Cost Center sudah terisi" sqref="AQ4:BB25 O4:Z25 AC4:AN25" xr:uid="{2BA74905-C126-4D70-848D-E0403D5A4B5B}">
      <formula1>AND($A4&lt;&gt;"",$J4&lt;&gt;"")</formula1>
    </dataValidation>
    <dataValidation allowBlank="1" showInputMessage="1" showErrorMessage="1" promptTitle="Mandatory for FA &amp; PROJECT" prompt="Started from 01 for each ledger description_x000a_For 01 to 09, please enter them with a leading apostrophe, e.g. : _x000a_'01, '02, ..., '09_x000a_Restart from '01 when switching to different ledger description" sqref="K4:K25" xr:uid="{69942438-F61D-48B4-A940-D52844325E11}"/>
  </dataValidations>
  <pageMargins left="0.27" right="0.28000000000000003" top="0.44" bottom="0.75" header="0" footer="0"/>
  <pageSetup paperSize="9" scale="13" orientation="landscape" r:id="rId1"/>
  <ignoredErrors>
    <ignoredError sqref="BK4 BL4:BM4 AO4:AP4 AC26:BC26 AO5:AP25 BK5:BM25 BC4 BC5:BC25" unlockedFormula="1"/>
  </ignoredErrors>
  <extLst>
    <ext xmlns:x14="http://schemas.microsoft.com/office/spreadsheetml/2009/9/main" uri="{CCE6A557-97BC-4b89-ADB6-D9C93CAAB3DF}">
      <x14:dataValidations xmlns:xm="http://schemas.microsoft.com/office/excel/2006/main" count="5">
        <x14:dataValidation type="list" allowBlank="1" showInputMessage="1" showErrorMessage="1" xr:uid="{00E2D786-F446-45D4-B165-301608C48931}">
          <x14:formula1>
            <xm:f>'Master Data'!$E$105:$E$111</xm:f>
          </x14:formula1>
          <xm:sqref>F4:F25</xm:sqref>
        </x14:dataValidation>
        <x14:dataValidation type="list" showInputMessage="1" showErrorMessage="1" error="Ledger tidak sesuai atau isi Divisi/Dept. pada halaman Cover." xr:uid="{319E2644-FE64-44FC-9ED2-894F1A178838}">
          <x14:formula1>
            <xm:f>'Master Data'!$C$336:$C$353</xm:f>
          </x14:formula1>
          <xm:sqref>G4:G25</xm:sqref>
        </x14:dataValidation>
        <x14:dataValidation type="list" allowBlank="1" showInputMessage="1" showErrorMessage="1" promptTitle="Please Fill Priority" prompt="These field should be filled from listed priority options_x000a_- High_x000a_- Medium_x000a_- Low" xr:uid="{216DB3C5-42FE-4DF8-B0D4-9C826DA1E67E}">
          <x14:formula1>
            <xm:f>'Master Data'!$B$357:$B$359</xm:f>
          </x14:formula1>
          <xm:sqref>BE4:BE25</xm:sqref>
        </x14:dataValidation>
        <x14:dataValidation type="list" allowBlank="1" showInputMessage="1" showErrorMessage="1" xr:uid="{AD860B93-E412-46CE-AEC3-BCE82F750162}">
          <x14:formula1>
            <xm:f>'Master Data'!$B$372:$B$373</xm:f>
          </x14:formula1>
          <xm:sqref>BG4:BG25</xm:sqref>
        </x14:dataValidation>
        <x14:dataValidation type="list" allowBlank="1" showInputMessage="1" showErrorMessage="1" xr:uid="{EF8E31D8-E2DE-44A8-9339-CF9E97622698}">
          <x14:formula1>
            <xm:f>'Master Data'!$B$365:$B$368</xm:f>
          </x14:formula1>
          <xm:sqref>BJ4:BJ25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sheetPr>
  <dimension ref="A1:BT51"/>
  <sheetViews>
    <sheetView showGridLines="0" zoomScale="83" zoomScaleNormal="80" workbookViewId="0">
      <pane xSplit="5" ySplit="3" topLeftCell="F4" activePane="bottomRight" state="frozen"/>
      <selection activeCell="F1" sqref="F1"/>
      <selection pane="topRight" activeCell="F1" sqref="F1"/>
      <selection pane="bottomLeft" activeCell="F1" sqref="F1"/>
      <selection pane="bottomRight"/>
    </sheetView>
  </sheetViews>
  <sheetFormatPr defaultColWidth="9.140625" defaultRowHeight="15" outlineLevelCol="1" x14ac:dyDescent="0.25"/>
  <cols>
    <col min="1" max="1" width="22.140625" style="158" customWidth="1"/>
    <col min="2" max="2" width="29" style="158" bestFit="1" customWidth="1"/>
    <col min="3" max="3" width="16.42578125" style="158" customWidth="1"/>
    <col min="4" max="4" width="36.7109375" style="189" customWidth="1"/>
    <col min="5" max="5" width="46.140625" style="158" customWidth="1"/>
    <col min="6" max="6" width="15.28515625" style="158" customWidth="1" outlineLevel="1"/>
    <col min="7" max="7" width="27.140625" style="158" customWidth="1" outlineLevel="1"/>
    <col min="8" max="8" width="12.85546875" style="158" customWidth="1" outlineLevel="1"/>
    <col min="9" max="9" width="39.5703125" style="158" customWidth="1" outlineLevel="1"/>
    <col min="10" max="10" width="16.85546875" style="158" bestFit="1" customWidth="1"/>
    <col min="11" max="11" width="14.85546875" style="158" bestFit="1" customWidth="1"/>
    <col min="12" max="13" width="9.5703125" style="158" customWidth="1" outlineLevel="1"/>
    <col min="14" max="14" width="11.140625" style="158" customWidth="1" outlineLevel="1"/>
    <col min="15" max="15" width="9.5703125" style="158" customWidth="1" outlineLevel="1"/>
    <col min="16" max="16" width="11.5703125" style="158" customWidth="1" outlineLevel="1"/>
    <col min="17" max="17" width="15.85546875" style="158" bestFit="1" customWidth="1" outlineLevel="1"/>
    <col min="18" max="21" width="9.5703125" style="158" customWidth="1" outlineLevel="1"/>
    <col min="22" max="22" width="11.42578125" style="158" customWidth="1" outlineLevel="1"/>
    <col min="23" max="23" width="9.5703125" style="158" customWidth="1" outlineLevel="1"/>
    <col min="24" max="24" width="14.42578125" style="158" customWidth="1"/>
    <col min="25" max="25" width="2.5703125" style="192" customWidth="1"/>
    <col min="26" max="26" width="16.28515625" style="191" bestFit="1" customWidth="1" outlineLevel="1"/>
    <col min="27" max="27" width="10.140625" style="191" customWidth="1" outlineLevel="1"/>
    <col min="28" max="37" width="10.42578125" style="191" customWidth="1" outlineLevel="1"/>
    <col min="38" max="38" width="11.28515625" style="191" bestFit="1" customWidth="1"/>
    <col min="39" max="39" width="2.85546875" style="194" customWidth="1"/>
    <col min="40" max="40" width="9.7109375" style="191" customWidth="1" outlineLevel="1"/>
    <col min="41" max="41" width="10.140625" style="191" customWidth="1" outlineLevel="1"/>
    <col min="42" max="51" width="10.42578125" style="191" customWidth="1" outlineLevel="1"/>
    <col min="52" max="52" width="10.5703125" style="191" bestFit="1" customWidth="1"/>
    <col min="53" max="53" width="17.5703125" style="158" customWidth="1"/>
    <col min="54" max="54" width="60.5703125" style="158" customWidth="1"/>
    <col min="55" max="55" width="13.85546875" style="158" bestFit="1" customWidth="1"/>
    <col min="56" max="56" width="13.85546875" style="158" customWidth="1"/>
    <col min="57" max="57" width="20.85546875" style="158" customWidth="1"/>
    <col min="58" max="58" width="33.85546875" style="226" customWidth="1"/>
    <col min="59" max="59" width="17.7109375" style="227" customWidth="1"/>
    <col min="60" max="60" width="14.140625" style="158" customWidth="1" outlineLevel="1"/>
    <col min="61" max="61" width="21.5703125" style="158" customWidth="1"/>
    <col min="62" max="62" width="15.7109375" style="158" customWidth="1"/>
    <col min="63" max="64" width="17.7109375" style="227" customWidth="1"/>
    <col min="65" max="65" width="20.140625" style="158" customWidth="1"/>
    <col min="66" max="66" width="20.85546875" style="158" customWidth="1"/>
    <col min="67" max="67" width="17.7109375" style="227" customWidth="1"/>
    <col min="68" max="68" width="95.140625" style="158" customWidth="1"/>
    <col min="69" max="69" width="9.140625" style="228"/>
    <col min="70" max="70" width="29.28515625" style="228" customWidth="1"/>
    <col min="71" max="71" width="35.28515625" style="228" customWidth="1"/>
    <col min="72" max="72" width="30.42578125" style="228" customWidth="1"/>
    <col min="73" max="74" width="9.140625" style="228"/>
    <col min="75" max="75" width="9.85546875" style="228" bestFit="1" customWidth="1"/>
    <col min="76" max="16384" width="9.140625" style="228"/>
  </cols>
  <sheetData>
    <row r="1" spans="1:72" x14ac:dyDescent="0.25">
      <c r="Z1" s="193"/>
      <c r="AA1" s="193"/>
      <c r="AN1" s="193"/>
      <c r="AO1" s="193"/>
      <c r="BJ1" s="228"/>
      <c r="BK1" s="228"/>
      <c r="BM1" s="170"/>
    </row>
    <row r="2" spans="1:72" x14ac:dyDescent="0.25">
      <c r="A2" s="229"/>
      <c r="B2" s="229"/>
      <c r="C2" s="229"/>
      <c r="D2" s="230"/>
      <c r="E2" s="229"/>
      <c r="F2" s="229"/>
      <c r="G2" s="229"/>
      <c r="H2" s="229"/>
      <c r="I2" s="229"/>
      <c r="J2" s="229"/>
      <c r="K2" s="229"/>
      <c r="L2" s="195" t="s">
        <v>1498</v>
      </c>
      <c r="M2" s="196"/>
      <c r="N2" s="196"/>
      <c r="O2" s="196"/>
      <c r="P2" s="195"/>
      <c r="Q2" s="196"/>
      <c r="R2" s="196"/>
      <c r="S2" s="196"/>
      <c r="T2" s="196"/>
      <c r="U2" s="196"/>
      <c r="V2" s="196"/>
      <c r="W2" s="196"/>
      <c r="X2" s="196"/>
      <c r="Y2" s="194"/>
      <c r="Z2" s="195" t="s">
        <v>1517</v>
      </c>
      <c r="AA2" s="196"/>
      <c r="AB2" s="196"/>
      <c r="AC2" s="196"/>
      <c r="AD2" s="195"/>
      <c r="AE2" s="196"/>
      <c r="AF2" s="196"/>
      <c r="AG2" s="196"/>
      <c r="AH2" s="196"/>
      <c r="AI2" s="196"/>
      <c r="AJ2" s="196"/>
      <c r="AK2" s="196"/>
      <c r="AL2" s="196"/>
      <c r="AN2" s="195" t="s">
        <v>1528</v>
      </c>
      <c r="AO2" s="196"/>
      <c r="AP2" s="196"/>
      <c r="AQ2" s="196"/>
      <c r="AR2" s="195"/>
      <c r="AS2" s="196"/>
      <c r="AT2" s="196"/>
      <c r="AU2" s="196"/>
      <c r="AV2" s="196"/>
      <c r="AW2" s="196"/>
      <c r="AX2" s="196"/>
      <c r="AY2" s="196"/>
      <c r="AZ2" s="196"/>
      <c r="BA2" s="229"/>
      <c r="BB2" s="229"/>
      <c r="BJ2" s="197" t="s">
        <v>1499</v>
      </c>
      <c r="BK2" s="198">
        <v>16500</v>
      </c>
      <c r="BM2" s="170"/>
    </row>
    <row r="3" spans="1:72" s="236" customFormat="1" ht="54.75" customHeight="1" x14ac:dyDescent="0.25">
      <c r="A3" s="222" t="s">
        <v>234</v>
      </c>
      <c r="B3" s="222" t="s">
        <v>16</v>
      </c>
      <c r="C3" s="222" t="s">
        <v>458</v>
      </c>
      <c r="D3" s="223" t="s">
        <v>461</v>
      </c>
      <c r="E3" s="222" t="s">
        <v>462</v>
      </c>
      <c r="F3" s="222" t="s">
        <v>46</v>
      </c>
      <c r="G3" s="222" t="s">
        <v>336</v>
      </c>
      <c r="H3" s="222" t="s">
        <v>38</v>
      </c>
      <c r="I3" s="222" t="s">
        <v>339</v>
      </c>
      <c r="J3" s="231" t="s">
        <v>813</v>
      </c>
      <c r="K3" s="232" t="s">
        <v>814</v>
      </c>
      <c r="L3" s="222" t="s">
        <v>782</v>
      </c>
      <c r="M3" s="222" t="s">
        <v>783</v>
      </c>
      <c r="N3" s="222" t="s">
        <v>784</v>
      </c>
      <c r="O3" s="222" t="s">
        <v>785</v>
      </c>
      <c r="P3" s="222" t="s">
        <v>786</v>
      </c>
      <c r="Q3" s="222" t="s">
        <v>787</v>
      </c>
      <c r="R3" s="222" t="s">
        <v>788</v>
      </c>
      <c r="S3" s="222" t="s">
        <v>789</v>
      </c>
      <c r="T3" s="222" t="s">
        <v>790</v>
      </c>
      <c r="U3" s="222" t="s">
        <v>791</v>
      </c>
      <c r="V3" s="222" t="s">
        <v>792</v>
      </c>
      <c r="W3" s="222" t="s">
        <v>793</v>
      </c>
      <c r="X3" s="222" t="s">
        <v>815</v>
      </c>
      <c r="Y3" s="224"/>
      <c r="Z3" s="222" t="s">
        <v>782</v>
      </c>
      <c r="AA3" s="222" t="s">
        <v>783</v>
      </c>
      <c r="AB3" s="222" t="s">
        <v>784</v>
      </c>
      <c r="AC3" s="222" t="s">
        <v>785</v>
      </c>
      <c r="AD3" s="222" t="s">
        <v>786</v>
      </c>
      <c r="AE3" s="222" t="s">
        <v>787</v>
      </c>
      <c r="AF3" s="222" t="s">
        <v>788</v>
      </c>
      <c r="AG3" s="222" t="s">
        <v>789</v>
      </c>
      <c r="AH3" s="222" t="s">
        <v>790</v>
      </c>
      <c r="AI3" s="222" t="s">
        <v>791</v>
      </c>
      <c r="AJ3" s="222" t="s">
        <v>792</v>
      </c>
      <c r="AK3" s="222" t="s">
        <v>793</v>
      </c>
      <c r="AL3" s="222" t="s">
        <v>781</v>
      </c>
      <c r="AM3" s="225"/>
      <c r="AN3" s="222" t="s">
        <v>782</v>
      </c>
      <c r="AO3" s="222" t="s">
        <v>783</v>
      </c>
      <c r="AP3" s="222" t="s">
        <v>784</v>
      </c>
      <c r="AQ3" s="222" t="s">
        <v>785</v>
      </c>
      <c r="AR3" s="222" t="s">
        <v>786</v>
      </c>
      <c r="AS3" s="222" t="s">
        <v>787</v>
      </c>
      <c r="AT3" s="222" t="s">
        <v>788</v>
      </c>
      <c r="AU3" s="222" t="s">
        <v>789</v>
      </c>
      <c r="AV3" s="222" t="s">
        <v>790</v>
      </c>
      <c r="AW3" s="222" t="s">
        <v>791</v>
      </c>
      <c r="AX3" s="222" t="s">
        <v>792</v>
      </c>
      <c r="AY3" s="222" t="s">
        <v>793</v>
      </c>
      <c r="AZ3" s="222" t="s">
        <v>781</v>
      </c>
      <c r="BA3" s="222" t="s">
        <v>487</v>
      </c>
      <c r="BB3" s="222" t="s">
        <v>754</v>
      </c>
      <c r="BC3" s="233" t="s">
        <v>755</v>
      </c>
      <c r="BD3" s="219" t="s">
        <v>816</v>
      </c>
      <c r="BE3" s="219" t="s">
        <v>515</v>
      </c>
      <c r="BF3" s="219" t="s">
        <v>516</v>
      </c>
      <c r="BG3" s="218" t="s">
        <v>722</v>
      </c>
      <c r="BH3" s="219" t="s">
        <v>514</v>
      </c>
      <c r="BI3" s="219" t="s">
        <v>518</v>
      </c>
      <c r="BJ3" s="219" t="s">
        <v>735</v>
      </c>
      <c r="BK3" s="219" t="s">
        <v>817</v>
      </c>
      <c r="BL3" s="219" t="s">
        <v>818</v>
      </c>
      <c r="BM3" s="219" t="s">
        <v>819</v>
      </c>
      <c r="BN3" s="219" t="s">
        <v>820</v>
      </c>
      <c r="BO3" s="219" t="s">
        <v>821</v>
      </c>
      <c r="BP3" s="234" t="s">
        <v>881</v>
      </c>
      <c r="BQ3" s="235" t="s">
        <v>464</v>
      </c>
      <c r="BR3" s="280" t="s">
        <v>340</v>
      </c>
      <c r="BS3" s="280" t="s">
        <v>492</v>
      </c>
      <c r="BT3" s="280" t="s">
        <v>493</v>
      </c>
    </row>
    <row r="4" spans="1:72" s="260" customFormat="1" ht="14.1" customHeight="1" x14ac:dyDescent="0.25">
      <c r="A4" s="237" t="str">
        <f>IF(D4="","",Cover!$D$8)</f>
        <v>Finance &amp; Accounting</v>
      </c>
      <c r="B4" s="200" t="str">
        <f>IF(D4="","",IFERROR(VLOOKUP(G4,'Master Data'!$E$59:$J$146,6,FALSE),0))</f>
        <v>Treasury &amp; Finance</v>
      </c>
      <c r="C4" s="238" t="str">
        <f>IF(D4="","",_xlfn.XLOOKUP(D4,'Activity Master Opex'!C:C,'Activity Master Opex'!B:B,0,0,1))</f>
        <v>FA001-00001</v>
      </c>
      <c r="D4" s="239" t="s">
        <v>1111</v>
      </c>
      <c r="E4" s="238" t="str">
        <f>IF(D4="","",IFERROR(VLOOKUP(D4,'Activity Master Opex'!$C$4:$M$70,6,FALSE),0))</f>
        <v>Purchase of stamp duty, mostly for invoice, contract or other documents</v>
      </c>
      <c r="F4" s="240" t="str">
        <f>IF($C4="","",VLOOKUP($C4,'Activity Master Opex'!$B:$I,3,0))</f>
        <v>10301FA001</v>
      </c>
      <c r="G4" s="238" t="str">
        <f>IF($C4="","",VLOOKUP($F4,'Master Data'!$D$59:$E$146,2,FALSE))</f>
        <v>TREASURY</v>
      </c>
      <c r="H4" s="241">
        <f>IF($C4="","",VLOOKUP($C4,'Activity Master Opex'!$B:$I,5,0))</f>
        <v>61800030</v>
      </c>
      <c r="I4" s="237" t="str">
        <f>IFERROR(VLOOKUP(H4,'Master Data'!B:C,2,FALSE),"")</f>
        <v>PT Exp. - Stamp Duty</v>
      </c>
      <c r="J4" s="242">
        <f>6967.74193548387*15500</f>
        <v>107999999.99999999</v>
      </c>
      <c r="K4" s="266">
        <v>27010000</v>
      </c>
      <c r="L4" s="243"/>
      <c r="M4" s="243"/>
      <c r="N4" s="243"/>
      <c r="O4" s="243"/>
      <c r="P4" s="243"/>
      <c r="Q4" s="243"/>
      <c r="R4" s="243"/>
      <c r="S4" s="243"/>
      <c r="T4" s="243"/>
      <c r="U4" s="243"/>
      <c r="V4" s="243"/>
      <c r="W4" s="243"/>
      <c r="X4" s="244">
        <f>SUM(L4:W4)</f>
        <v>0</v>
      </c>
      <c r="Y4" s="245"/>
      <c r="Z4" s="246"/>
      <c r="AA4" s="246"/>
      <c r="AB4" s="246"/>
      <c r="AC4" s="246"/>
      <c r="AD4" s="246"/>
      <c r="AE4" s="246"/>
      <c r="AF4" s="246"/>
      <c r="AG4" s="246"/>
      <c r="AH4" s="246"/>
      <c r="AI4" s="246"/>
      <c r="AJ4" s="246"/>
      <c r="AK4" s="246"/>
      <c r="AL4" s="247">
        <f>SUM(Z4:AK4)</f>
        <v>0</v>
      </c>
      <c r="AM4" s="248"/>
      <c r="AN4" s="246"/>
      <c r="AO4" s="246"/>
      <c r="AP4" s="246"/>
      <c r="AQ4" s="246"/>
      <c r="AR4" s="246"/>
      <c r="AS4" s="246"/>
      <c r="AT4" s="246"/>
      <c r="AU4" s="246"/>
      <c r="AV4" s="246"/>
      <c r="AW4" s="246"/>
      <c r="AX4" s="246"/>
      <c r="AY4" s="246"/>
      <c r="AZ4" s="247">
        <f>SUM(AN4:AY4)</f>
        <v>0</v>
      </c>
      <c r="BA4" s="249">
        <f>X4-J4</f>
        <v>-107999999.99999999</v>
      </c>
      <c r="BB4" s="250"/>
      <c r="BC4" s="251">
        <f t="shared" ref="BC4:BC51" si="0">X4-BO4</f>
        <v>0</v>
      </c>
      <c r="BD4" s="244" t="str">
        <f>IF('Budget Opex Detail'!C4="","",IF(COUNTIFS('Activity Master Opex'!$B$4:$B$58,'Budget Opex Detail'!$C4)&gt;0,"","New Activity"))</f>
        <v/>
      </c>
      <c r="BE4" s="252"/>
      <c r="BF4" s="253"/>
      <c r="BG4" s="254"/>
      <c r="BH4" s="255"/>
      <c r="BI4" s="256"/>
      <c r="BJ4" s="256"/>
      <c r="BK4" s="257"/>
      <c r="BL4" s="214">
        <f>IF(BJ4="USD",BK4*$BK$2,IF(BJ4="IDR",BK4,0))</f>
        <v>0</v>
      </c>
      <c r="BM4" s="255"/>
      <c r="BN4" s="255"/>
      <c r="BO4" s="258">
        <f t="shared" ref="BO4" si="1">BL4+BN4</f>
        <v>0</v>
      </c>
      <c r="BP4" s="259"/>
      <c r="BR4" s="261" t="str">
        <f>IF($H4="","",VLOOKUP($H4,'Master Data'!$B:$D,3,FALSE))</f>
        <v>Postage &amp; Telecom E</v>
      </c>
      <c r="BS4" s="261" t="str">
        <f t="shared" ref="BS4:BS37" si="2">IF(C4="","",IF($A4&lt;&gt;"human resources",IF(LEFT(F4,6)="10301S","Selling","General Administrative"),IFERROR(IF(FIND("Selling",D4)&gt;0,"Selling","General Administrative"),"General Administrative")))</f>
        <v>General Administrative</v>
      </c>
      <c r="BT4" s="261" t="str">
        <f>IF($H4="","",VLOOKUP(VALUE($H4),'Master Data'!B:I,8,FALSE))</f>
        <v>Postage and telecomunication</v>
      </c>
    </row>
    <row r="5" spans="1:72" s="260" customFormat="1" x14ac:dyDescent="0.25">
      <c r="A5" s="237" t="str">
        <f>IF(D5="","",Cover!$D$8)</f>
        <v>Finance &amp; Accounting</v>
      </c>
      <c r="B5" s="200" t="str">
        <f>IF(D5="","",IFERROR(VLOOKUP(G5,'Master Data'!$E$59:$J$146,6,FALSE),0))</f>
        <v>Treasury &amp; Finance</v>
      </c>
      <c r="C5" s="238" t="str">
        <f>IF(D5="","",_xlfn.XLOOKUP(D5,'Activity Master Opex'!C:C,'Activity Master Opex'!B:B,0,0,1))</f>
        <v>FA001-00003</v>
      </c>
      <c r="D5" s="263" t="s">
        <v>1223</v>
      </c>
      <c r="E5" s="262" t="str">
        <f>IF(D5="","",IFERROR(VLOOKUP(D5,'Activity Master Opex'!$C:$M,6,FALSE),0))</f>
        <v>Meeting with Bank, Vendors, or other external parties</v>
      </c>
      <c r="F5" s="264" t="str">
        <f>IF($C5="","",VLOOKUP($C5,'Activity Master Opex'!$B:$I,3,0))</f>
        <v>10301FA001</v>
      </c>
      <c r="G5" s="262" t="str">
        <f>IF($C5="","",VLOOKUP($F5,'Master Data'!$D$59:$E$146,2,FALSE))</f>
        <v>TREASURY</v>
      </c>
      <c r="H5" s="265">
        <f>IF($C5="","",VLOOKUP($C5,'Activity Master Opex'!$B:$I,5,0))</f>
        <v>62300010</v>
      </c>
      <c r="I5" s="237" t="str">
        <f>IFERROR(VLOOKUP(H5,'Master Data'!B:C,2,FALSE),"")</f>
        <v>Meeting Expenses</v>
      </c>
      <c r="J5" s="266">
        <f>19058.064516129*15500</f>
        <v>295399999.99999952</v>
      </c>
      <c r="K5" s="266">
        <v>33709241</v>
      </c>
      <c r="L5" s="267"/>
      <c r="M5" s="267"/>
      <c r="N5" s="267"/>
      <c r="O5" s="267"/>
      <c r="P5" s="267"/>
      <c r="Q5" s="267"/>
      <c r="R5" s="267"/>
      <c r="S5" s="267"/>
      <c r="T5" s="267"/>
      <c r="U5" s="267"/>
      <c r="V5" s="267"/>
      <c r="W5" s="267"/>
      <c r="X5" s="244">
        <f>SUM(L5:W5)</f>
        <v>0</v>
      </c>
      <c r="Y5" s="211"/>
      <c r="Z5" s="209"/>
      <c r="AA5" s="209"/>
      <c r="AB5" s="209"/>
      <c r="AC5" s="209"/>
      <c r="AD5" s="209"/>
      <c r="AE5" s="209"/>
      <c r="AF5" s="209"/>
      <c r="AG5" s="209"/>
      <c r="AH5" s="209"/>
      <c r="AI5" s="209"/>
      <c r="AJ5" s="209"/>
      <c r="AK5" s="209"/>
      <c r="AL5" s="210">
        <f t="shared" ref="AL5:AL51" si="3">SUM(Z5:AK5)</f>
        <v>0</v>
      </c>
      <c r="AM5" s="212"/>
      <c r="AN5" s="209"/>
      <c r="AO5" s="209"/>
      <c r="AP5" s="209"/>
      <c r="AQ5" s="209"/>
      <c r="AR5" s="209"/>
      <c r="AS5" s="209"/>
      <c r="AT5" s="209"/>
      <c r="AU5" s="209"/>
      <c r="AV5" s="209"/>
      <c r="AW5" s="209"/>
      <c r="AX5" s="209"/>
      <c r="AY5" s="209"/>
      <c r="AZ5" s="210">
        <f t="shared" ref="AZ5:AZ51" si="4">SUM(AN5:AY5)</f>
        <v>0</v>
      </c>
      <c r="BA5" s="268">
        <f t="shared" ref="BA5:BA51" si="5">X5-J5</f>
        <v>-295399999.99999952</v>
      </c>
      <c r="BB5" s="269"/>
      <c r="BC5" s="251">
        <f t="shared" si="0"/>
        <v>0</v>
      </c>
      <c r="BD5" s="244" t="str">
        <f>IF('Budget Opex Detail'!C5="","",IF(COUNTIFS('Activity Master Opex'!$B$4:$B$58,'Budget Opex Detail'!$C5)&gt;0,"","New Activity"))</f>
        <v/>
      </c>
      <c r="BE5" s="252"/>
      <c r="BF5" s="253"/>
      <c r="BG5" s="254"/>
      <c r="BH5" s="255"/>
      <c r="BI5" s="256"/>
      <c r="BJ5" s="256"/>
      <c r="BK5" s="257"/>
      <c r="BL5" s="214">
        <f t="shared" ref="BL5:BL51" si="6">IF(BJ5="USD",BK5*$BK$2,IF(BJ5="IDR",BK5,0))</f>
        <v>0</v>
      </c>
      <c r="BM5" s="255"/>
      <c r="BN5" s="255"/>
      <c r="BO5" s="258">
        <f t="shared" ref="BO5:BO51" si="7">BL5+BN5</f>
        <v>0</v>
      </c>
      <c r="BP5" s="259"/>
      <c r="BR5" s="261" t="str">
        <f>IF($H5="","",VLOOKUP($H5,'Master Data'!$B:$D,3,FALSE))</f>
        <v>Meeting &amp; Ceremony Expense</v>
      </c>
      <c r="BS5" s="261" t="str">
        <f t="shared" si="2"/>
        <v>General Administrative</v>
      </c>
      <c r="BT5" s="261" t="str">
        <f>IF($H5="","",VLOOKUP(VALUE($H5),'Master Data'!B:I,8,FALSE))</f>
        <v>Meeting and ceremony</v>
      </c>
    </row>
    <row r="6" spans="1:72" s="260" customFormat="1" x14ac:dyDescent="0.25">
      <c r="A6" s="237" t="str">
        <f>IF(D6="","",Cover!$D$8)</f>
        <v>Finance &amp; Accounting</v>
      </c>
      <c r="B6" s="200" t="str">
        <f>IF(D6="","",IFERROR(VLOOKUP(G6,'Master Data'!$E$59:$J$146,6,FALSE),0))</f>
        <v>Treasury &amp; Finance</v>
      </c>
      <c r="C6" s="238" t="str">
        <f>IF(D6="","",_xlfn.XLOOKUP(D6,'Activity Master Opex'!C:C,'Activity Master Opex'!B:B,0,0,1))</f>
        <v>FA001-00004</v>
      </c>
      <c r="D6" s="263" t="s">
        <v>1118</v>
      </c>
      <c r="E6" s="262" t="str">
        <f>IF(D6="","",IFERROR(VLOOKUP(D6,'Activity Master Opex'!$C:$M,6,FALSE),0))</f>
        <v>Yearly subscription related data sourcing</v>
      </c>
      <c r="F6" s="264" t="str">
        <f>IF($C6="","",VLOOKUP($C6,'Activity Master Opex'!$B:$I,3,0))</f>
        <v>10301FA001</v>
      </c>
      <c r="G6" s="262" t="str">
        <f>IF($C6="","",VLOOKUP($F6,'Master Data'!$D$59:$E$146,2,FALSE))</f>
        <v>TREASURY</v>
      </c>
      <c r="H6" s="265">
        <f>IF($C6="","",VLOOKUP($C6,'Activity Master Opex'!$B:$I,5,0))</f>
        <v>62900020</v>
      </c>
      <c r="I6" s="237" t="str">
        <f>IFERROR(VLOOKUP(H6,'Master Data'!B:C,2,FALSE),"")</f>
        <v>Subscriptions and Periodicals</v>
      </c>
      <c r="J6" s="266">
        <f>299*15500</f>
        <v>4634500</v>
      </c>
      <c r="K6" s="266">
        <v>0</v>
      </c>
      <c r="L6" s="267"/>
      <c r="M6" s="267"/>
      <c r="N6" s="267"/>
      <c r="O6" s="267"/>
      <c r="P6" s="267"/>
      <c r="Q6" s="267"/>
      <c r="R6" s="267"/>
      <c r="S6" s="267"/>
      <c r="T6" s="267"/>
      <c r="U6" s="267"/>
      <c r="V6" s="267"/>
      <c r="W6" s="267"/>
      <c r="X6" s="270">
        <f>SUM(L6:W6)</f>
        <v>0</v>
      </c>
      <c r="Y6" s="211"/>
      <c r="Z6" s="209"/>
      <c r="AA6" s="209"/>
      <c r="AB6" s="209"/>
      <c r="AC6" s="209"/>
      <c r="AD6" s="209"/>
      <c r="AE6" s="209"/>
      <c r="AF6" s="209"/>
      <c r="AG6" s="209"/>
      <c r="AH6" s="209"/>
      <c r="AI6" s="209"/>
      <c r="AJ6" s="209"/>
      <c r="AK6" s="209"/>
      <c r="AL6" s="271">
        <f t="shared" si="3"/>
        <v>0</v>
      </c>
      <c r="AM6" s="272"/>
      <c r="AN6" s="209"/>
      <c r="AO6" s="209"/>
      <c r="AP6" s="209"/>
      <c r="AQ6" s="209"/>
      <c r="AR6" s="209"/>
      <c r="AS6" s="209"/>
      <c r="AT6" s="209"/>
      <c r="AU6" s="209"/>
      <c r="AV6" s="209"/>
      <c r="AW6" s="209"/>
      <c r="AX6" s="209"/>
      <c r="AY6" s="209"/>
      <c r="AZ6" s="271">
        <f t="shared" si="4"/>
        <v>0</v>
      </c>
      <c r="BA6" s="270">
        <f t="shared" si="5"/>
        <v>-4634500</v>
      </c>
      <c r="BB6" s="269"/>
      <c r="BC6" s="251">
        <f t="shared" si="0"/>
        <v>0</v>
      </c>
      <c r="BD6" s="244" t="str">
        <f>IF('Budget Opex Detail'!C6="","",IF(COUNTIFS('Activity Master Opex'!$B$4:$B$58,'Budget Opex Detail'!$C6)&gt;0,"","New Activity"))</f>
        <v/>
      </c>
      <c r="BE6" s="252"/>
      <c r="BF6" s="253"/>
      <c r="BG6" s="254"/>
      <c r="BH6" s="255"/>
      <c r="BI6" s="256"/>
      <c r="BJ6" s="256"/>
      <c r="BK6" s="257"/>
      <c r="BL6" s="214">
        <f t="shared" si="6"/>
        <v>0</v>
      </c>
      <c r="BM6" s="255"/>
      <c r="BN6" s="255"/>
      <c r="BO6" s="258">
        <f t="shared" si="7"/>
        <v>0</v>
      </c>
      <c r="BP6" s="259"/>
      <c r="BR6" s="261" t="str">
        <f>IF($H6="","",VLOOKUP($H6,'Master Data'!$B:$D,3,FALSE))</f>
        <v>Membership &amp; Sponsorship</v>
      </c>
      <c r="BS6" s="261" t="str">
        <f t="shared" si="2"/>
        <v>General Administrative</v>
      </c>
      <c r="BT6" s="261" t="str">
        <f>IF($H6="","",VLOOKUP(VALUE($H6),'Master Data'!B:I,8,FALSE))</f>
        <v>Subscriptions and Periodicals</v>
      </c>
    </row>
    <row r="7" spans="1:72" s="260" customFormat="1" x14ac:dyDescent="0.25">
      <c r="A7" s="237" t="str">
        <f>IF(D7="","",Cover!$D$8)</f>
        <v>Finance &amp; Accounting</v>
      </c>
      <c r="B7" s="200" t="str">
        <f>IF(D7="","",IFERROR(VLOOKUP(G7,'Master Data'!$E$59:$J$146,6,FALSE),0))</f>
        <v>Treasury &amp; Finance</v>
      </c>
      <c r="C7" s="238" t="str">
        <f>IF(D7="","",_xlfn.XLOOKUP(D7,'Activity Master Opex'!C:C,'Activity Master Opex'!B:B,0,0,1))</f>
        <v>FA001-00006</v>
      </c>
      <c r="D7" s="263" t="s">
        <v>1224</v>
      </c>
      <c r="E7" s="262" t="str">
        <f>IF(D7="","",IFERROR(VLOOKUP(D7,'Activity Master Opex'!$C:$M,6,FALSE),0))</f>
        <v>Yearly subscription for zoom license</v>
      </c>
      <c r="F7" s="264" t="str">
        <f>IF($C7="","",VLOOKUP($C7,'Activity Master Opex'!$B:$I,3,0))</f>
        <v>10301FA001</v>
      </c>
      <c r="G7" s="262" t="str">
        <f>IF($C7="","",VLOOKUP($F7,'Master Data'!$D$59:$E$146,2,FALSE))</f>
        <v>TREASURY</v>
      </c>
      <c r="H7" s="265">
        <f>IF($C7="","",VLOOKUP($C7,'Activity Master Opex'!$B:$I,5,0))</f>
        <v>62900020</v>
      </c>
      <c r="I7" s="237" t="str">
        <f>IFERROR(VLOOKUP(H7,'Master Data'!B:C,2,FALSE),"")</f>
        <v>Subscriptions and Periodicals</v>
      </c>
      <c r="J7" s="266">
        <f>150*15500</f>
        <v>2325000</v>
      </c>
      <c r="K7" s="266">
        <v>1270421</v>
      </c>
      <c r="L7" s="267"/>
      <c r="M7" s="267"/>
      <c r="N7" s="267"/>
      <c r="O7" s="267"/>
      <c r="P7" s="267"/>
      <c r="Q7" s="267"/>
      <c r="R7" s="267"/>
      <c r="S7" s="267"/>
      <c r="T7" s="267"/>
      <c r="U7" s="267"/>
      <c r="V7" s="267"/>
      <c r="W7" s="267"/>
      <c r="X7" s="270">
        <f t="shared" ref="X7:X9" si="8">SUM(L7:W7)</f>
        <v>0</v>
      </c>
      <c r="Y7" s="273"/>
      <c r="Z7" s="274"/>
      <c r="AA7" s="274"/>
      <c r="AB7" s="274"/>
      <c r="AC7" s="274"/>
      <c r="AD7" s="274"/>
      <c r="AE7" s="274"/>
      <c r="AF7" s="274"/>
      <c r="AG7" s="274"/>
      <c r="AH7" s="274"/>
      <c r="AI7" s="274"/>
      <c r="AJ7" s="274"/>
      <c r="AK7" s="274"/>
      <c r="AL7" s="271">
        <f t="shared" si="3"/>
        <v>0</v>
      </c>
      <c r="AM7" s="272"/>
      <c r="AN7" s="274"/>
      <c r="AO7" s="274"/>
      <c r="AP7" s="274"/>
      <c r="AQ7" s="274"/>
      <c r="AR7" s="274"/>
      <c r="AS7" s="274"/>
      <c r="AT7" s="274"/>
      <c r="AU7" s="274"/>
      <c r="AV7" s="274"/>
      <c r="AW7" s="274"/>
      <c r="AX7" s="274"/>
      <c r="AY7" s="274"/>
      <c r="AZ7" s="271">
        <f t="shared" si="4"/>
        <v>0</v>
      </c>
      <c r="BA7" s="270">
        <f t="shared" si="5"/>
        <v>-2325000</v>
      </c>
      <c r="BB7" s="269"/>
      <c r="BC7" s="251">
        <f t="shared" si="0"/>
        <v>0</v>
      </c>
      <c r="BD7" s="244" t="str">
        <f>IF('Budget Opex Detail'!C7="","",IF(COUNTIFS('Activity Master Opex'!$B$4:$B$58,'Budget Opex Detail'!$C7)&gt;0,"","New Activity"))</f>
        <v/>
      </c>
      <c r="BE7" s="252"/>
      <c r="BF7" s="253"/>
      <c r="BG7" s="254"/>
      <c r="BH7" s="255"/>
      <c r="BI7" s="256"/>
      <c r="BJ7" s="256"/>
      <c r="BK7" s="257"/>
      <c r="BL7" s="214">
        <f t="shared" si="6"/>
        <v>0</v>
      </c>
      <c r="BM7" s="255"/>
      <c r="BN7" s="255"/>
      <c r="BO7" s="258">
        <f t="shared" si="7"/>
        <v>0</v>
      </c>
      <c r="BP7" s="259"/>
      <c r="BR7" s="261" t="str">
        <f>IF($H7="","",VLOOKUP($H7,'Master Data'!$B:$D,3,FALSE))</f>
        <v>Membership &amp; Sponsorship</v>
      </c>
      <c r="BS7" s="261" t="str">
        <f t="shared" si="2"/>
        <v>General Administrative</v>
      </c>
      <c r="BT7" s="261" t="str">
        <f>IF($H7="","",VLOOKUP(VALUE($H7),'Master Data'!B:I,8,FALSE))</f>
        <v>Subscriptions and Periodicals</v>
      </c>
    </row>
    <row r="8" spans="1:72" s="260" customFormat="1" x14ac:dyDescent="0.25">
      <c r="A8" s="237" t="str">
        <f>IF(D8="","",Cover!$D$8)</f>
        <v>Finance &amp; Accounting</v>
      </c>
      <c r="B8" s="200" t="str">
        <f>IF(D8="","",IFERROR(VLOOKUP(G8,'Master Data'!$E$59:$J$146,6,FALSE),0))</f>
        <v>Treasury &amp; Finance</v>
      </c>
      <c r="C8" s="238" t="str">
        <f>IF(D8="","",_xlfn.XLOOKUP(D8,'Activity Master Opex'!C:C,'Activity Master Opex'!B:B,0,0,1))</f>
        <v>FA001-00007</v>
      </c>
      <c r="D8" s="263" t="s">
        <v>1225</v>
      </c>
      <c r="E8" s="262" t="str">
        <f>IF(D8="","",IFERROR(VLOOKUP(D8,'Activity Master Opex'!$C:$M,6,FALSE),0))</f>
        <v>Business trip to attend conference, external training, etc</v>
      </c>
      <c r="F8" s="264" t="str">
        <f>IF($C8="","",VLOOKUP($C8,'Activity Master Opex'!$B:$I,3,0))</f>
        <v>10301FA001</v>
      </c>
      <c r="G8" s="262" t="str">
        <f>IF($C8="","",VLOOKUP($F8,'Master Data'!$D$59:$E$146,2,FALSE))</f>
        <v>TREASURY</v>
      </c>
      <c r="H8" s="265">
        <f>IF($C8="","",VLOOKUP($C8,'Activity Master Opex'!$B:$I,5,0))</f>
        <v>62400030</v>
      </c>
      <c r="I8" s="237" t="str">
        <f>IFERROR(VLOOKUP(H8,'Master Data'!B:C,2,FALSE),"")</f>
        <v>Gen. Transp. Travelling Expenses</v>
      </c>
      <c r="J8" s="266">
        <f>11850*15500</f>
        <v>183675000</v>
      </c>
      <c r="K8" s="266">
        <v>16972729</v>
      </c>
      <c r="L8" s="267"/>
      <c r="M8" s="267"/>
      <c r="N8" s="267"/>
      <c r="O8" s="267"/>
      <c r="P8" s="267"/>
      <c r="Q8" s="267"/>
      <c r="R8" s="267"/>
      <c r="S8" s="267"/>
      <c r="T8" s="267"/>
      <c r="U8" s="267"/>
      <c r="V8" s="267"/>
      <c r="W8" s="267"/>
      <c r="X8" s="270">
        <f t="shared" si="8"/>
        <v>0</v>
      </c>
      <c r="Y8" s="273"/>
      <c r="Z8" s="274"/>
      <c r="AA8" s="274"/>
      <c r="AB8" s="274"/>
      <c r="AC8" s="274"/>
      <c r="AD8" s="274"/>
      <c r="AE8" s="274"/>
      <c r="AF8" s="274"/>
      <c r="AG8" s="274"/>
      <c r="AH8" s="274"/>
      <c r="AI8" s="274"/>
      <c r="AJ8" s="274"/>
      <c r="AK8" s="274"/>
      <c r="AL8" s="271">
        <f t="shared" si="3"/>
        <v>0</v>
      </c>
      <c r="AM8" s="272"/>
      <c r="AN8" s="274"/>
      <c r="AO8" s="274"/>
      <c r="AP8" s="274"/>
      <c r="AQ8" s="274"/>
      <c r="AR8" s="274"/>
      <c r="AS8" s="274"/>
      <c r="AT8" s="274"/>
      <c r="AU8" s="274"/>
      <c r="AV8" s="274"/>
      <c r="AW8" s="274"/>
      <c r="AX8" s="274"/>
      <c r="AY8" s="274"/>
      <c r="AZ8" s="271">
        <f t="shared" si="4"/>
        <v>0</v>
      </c>
      <c r="BA8" s="270">
        <f t="shared" si="5"/>
        <v>-183675000</v>
      </c>
      <c r="BB8" s="269"/>
      <c r="BC8" s="251">
        <f t="shared" si="0"/>
        <v>0</v>
      </c>
      <c r="BD8" s="244" t="str">
        <f>IF('Budget Opex Detail'!C8="","",IF(COUNTIFS('Activity Master Opex'!$B$4:$B$58,'Budget Opex Detail'!$C8)&gt;0,"","New Activity"))</f>
        <v/>
      </c>
      <c r="BE8" s="252"/>
      <c r="BF8" s="253"/>
      <c r="BG8" s="254"/>
      <c r="BH8" s="255"/>
      <c r="BI8" s="256"/>
      <c r="BJ8" s="256"/>
      <c r="BK8" s="257"/>
      <c r="BL8" s="214">
        <f t="shared" si="6"/>
        <v>0</v>
      </c>
      <c r="BM8" s="255"/>
      <c r="BN8" s="255"/>
      <c r="BO8" s="258">
        <f t="shared" si="7"/>
        <v>0</v>
      </c>
      <c r="BP8" s="259"/>
      <c r="BR8" s="261" t="str">
        <f>IF($H8="","",VLOOKUP($H8,'Master Data'!$B:$D,3,FALSE))</f>
        <v>General Transportation Exp</v>
      </c>
      <c r="BS8" s="261" t="str">
        <f t="shared" si="2"/>
        <v>General Administrative</v>
      </c>
      <c r="BT8" s="261" t="str">
        <f>IF($H8="","",VLOOKUP(VALUE($H8),'Master Data'!B:I,8,FALSE))</f>
        <v>General transportation</v>
      </c>
    </row>
    <row r="9" spans="1:72" s="260" customFormat="1" x14ac:dyDescent="0.25">
      <c r="A9" s="237" t="str">
        <f>IF(D9="","",Cover!$D$8)</f>
        <v>Finance &amp; Accounting</v>
      </c>
      <c r="B9" s="200" t="str">
        <f>IF(D9="","",IFERROR(VLOOKUP(G9,'Master Data'!$E$59:$J$146,6,FALSE),0))</f>
        <v>Treasury &amp; Finance</v>
      </c>
      <c r="C9" s="238" t="str">
        <f>IF(D9="","",_xlfn.XLOOKUP(D9,'Activity Master Opex'!C:C,'Activity Master Opex'!B:B,0,0,1))</f>
        <v>FA001-00008</v>
      </c>
      <c r="D9" s="263" t="s">
        <v>1127</v>
      </c>
      <c r="E9" s="262" t="str">
        <f>IF(D9="","",IFERROR(VLOOKUP(D9,'Activity Master Opex'!$C:$M,6,FALSE),0))</f>
        <v>Meeting with Bank, Vendors, or other external parties</v>
      </c>
      <c r="F9" s="264" t="str">
        <f>IF($C9="","",VLOOKUP($C9,'Activity Master Opex'!$B:$I,3,0))</f>
        <v>10301FA001</v>
      </c>
      <c r="G9" s="262" t="str">
        <f>IF($C9="","",VLOOKUP($F9,'Master Data'!$D$59:$E$146,2,FALSE))</f>
        <v>TREASURY</v>
      </c>
      <c r="H9" s="265">
        <f>IF($C9="","",VLOOKUP($C9,'Activity Master Opex'!$B:$I,5,0))</f>
        <v>62300010</v>
      </c>
      <c r="I9" s="237" t="str">
        <f>IFERROR(VLOOKUP(H9,'Master Data'!B:C,2,FALSE),"")</f>
        <v>Meeting Expenses</v>
      </c>
      <c r="J9" s="266">
        <f>967.741935483871*15500</f>
        <v>15000000</v>
      </c>
      <c r="K9" s="266">
        <v>0</v>
      </c>
      <c r="L9" s="267"/>
      <c r="M9" s="267"/>
      <c r="N9" s="267"/>
      <c r="O9" s="267"/>
      <c r="P9" s="267"/>
      <c r="Q9" s="267"/>
      <c r="R9" s="267"/>
      <c r="S9" s="267"/>
      <c r="T9" s="267"/>
      <c r="U9" s="267"/>
      <c r="V9" s="267"/>
      <c r="W9" s="267"/>
      <c r="X9" s="270">
        <f t="shared" si="8"/>
        <v>0</v>
      </c>
      <c r="Y9" s="273"/>
      <c r="Z9" s="274"/>
      <c r="AA9" s="274"/>
      <c r="AB9" s="274"/>
      <c r="AC9" s="274"/>
      <c r="AD9" s="274"/>
      <c r="AE9" s="274"/>
      <c r="AF9" s="274"/>
      <c r="AG9" s="274"/>
      <c r="AH9" s="274"/>
      <c r="AI9" s="274"/>
      <c r="AJ9" s="274"/>
      <c r="AK9" s="274"/>
      <c r="AL9" s="271">
        <f t="shared" si="3"/>
        <v>0</v>
      </c>
      <c r="AM9" s="272"/>
      <c r="AN9" s="274"/>
      <c r="AO9" s="274"/>
      <c r="AP9" s="274"/>
      <c r="AQ9" s="274"/>
      <c r="AR9" s="274"/>
      <c r="AS9" s="274"/>
      <c r="AT9" s="274"/>
      <c r="AU9" s="274"/>
      <c r="AV9" s="274"/>
      <c r="AW9" s="274"/>
      <c r="AX9" s="274"/>
      <c r="AY9" s="274"/>
      <c r="AZ9" s="271">
        <f t="shared" si="4"/>
        <v>0</v>
      </c>
      <c r="BA9" s="270">
        <f t="shared" si="5"/>
        <v>-15000000</v>
      </c>
      <c r="BB9" s="269"/>
      <c r="BC9" s="251">
        <f t="shared" si="0"/>
        <v>0</v>
      </c>
      <c r="BD9" s="244" t="str">
        <f>IF('Budget Opex Detail'!C9="","",IF(COUNTIFS('Activity Master Opex'!$B$4:$B$58,'Budget Opex Detail'!$C9)&gt;0,"","New Activity"))</f>
        <v/>
      </c>
      <c r="BE9" s="252"/>
      <c r="BF9" s="253"/>
      <c r="BG9" s="254"/>
      <c r="BH9" s="255"/>
      <c r="BI9" s="256"/>
      <c r="BJ9" s="256"/>
      <c r="BK9" s="257"/>
      <c r="BL9" s="214">
        <f t="shared" si="6"/>
        <v>0</v>
      </c>
      <c r="BM9" s="255"/>
      <c r="BN9" s="255"/>
      <c r="BO9" s="258">
        <f t="shared" si="7"/>
        <v>0</v>
      </c>
      <c r="BP9" s="259"/>
      <c r="BR9" s="261" t="str">
        <f>IF($H9="","",VLOOKUP($H9,'Master Data'!$B:$D,3,FALSE))</f>
        <v>Meeting &amp; Ceremony Expense</v>
      </c>
      <c r="BS9" s="261" t="str">
        <f t="shared" si="2"/>
        <v>General Administrative</v>
      </c>
      <c r="BT9" s="261" t="str">
        <f>IF($H9="","",VLOOKUP(VALUE($H9),'Master Data'!B:I,8,FALSE))</f>
        <v>Meeting and ceremony</v>
      </c>
    </row>
    <row r="10" spans="1:72" s="260" customFormat="1" x14ac:dyDescent="0.25">
      <c r="A10" s="237" t="str">
        <f>IF(D10="","",Cover!$D$8)</f>
        <v>Finance &amp; Accounting</v>
      </c>
      <c r="B10" s="200" t="str">
        <f>IF(D10="","",IFERROR(VLOOKUP(G10,'Master Data'!$E$59:$J$146,6,FALSE),0))</f>
        <v>Treasury &amp; Finance</v>
      </c>
      <c r="C10" s="238" t="str">
        <f>IF(D10="","",_xlfn.XLOOKUP(D10,'Activity Master Opex'!C:C,'Activity Master Opex'!B:B,0,0,1))</f>
        <v>FA006-00002</v>
      </c>
      <c r="D10" s="263" t="s">
        <v>1135</v>
      </c>
      <c r="E10" s="262" t="str">
        <f>IF(D10="","",IFERROR(VLOOKUP(D10,'Activity Master Opex'!$C:$M,6,FALSE),0))</f>
        <v>Document delivery fee</v>
      </c>
      <c r="F10" s="264" t="str">
        <f>IF($C10="","",VLOOKUP($C10,'Activity Master Opex'!$B:$I,3,0))</f>
        <v>10301FA006</v>
      </c>
      <c r="G10" s="262" t="str">
        <f>IF($C10="","",VLOOKUP($F10,'Master Data'!$D$59:$E$146,2,FALSE))</f>
        <v>FINANCE</v>
      </c>
      <c r="H10" s="265">
        <f>IF($C10="","",VLOOKUP($C10,'Activity Master Opex'!$B:$I,5,0))</f>
        <v>61800020</v>
      </c>
      <c r="I10" s="237" t="str">
        <f>IFERROR(VLOOKUP(H10,'Master Data'!B:C,2,FALSE),"")</f>
        <v>PT Exp. - Postage and Courier</v>
      </c>
      <c r="J10" s="266">
        <f>3251.61290322581*15500</f>
        <v>50400000.000000052</v>
      </c>
      <c r="K10" s="266">
        <v>15552000</v>
      </c>
      <c r="L10" s="267"/>
      <c r="M10" s="267"/>
      <c r="N10" s="267"/>
      <c r="O10" s="267"/>
      <c r="P10" s="267"/>
      <c r="Q10" s="267"/>
      <c r="R10" s="267"/>
      <c r="S10" s="267"/>
      <c r="T10" s="267"/>
      <c r="U10" s="267"/>
      <c r="V10" s="267"/>
      <c r="W10" s="267"/>
      <c r="X10" s="270">
        <f t="shared" ref="X10:X51" si="9">SUM(L10:W10)</f>
        <v>0</v>
      </c>
      <c r="Y10" s="273"/>
      <c r="Z10" s="274"/>
      <c r="AA10" s="274"/>
      <c r="AB10" s="274"/>
      <c r="AC10" s="274"/>
      <c r="AD10" s="274"/>
      <c r="AE10" s="274"/>
      <c r="AF10" s="274"/>
      <c r="AG10" s="274"/>
      <c r="AH10" s="274"/>
      <c r="AI10" s="274"/>
      <c r="AJ10" s="274"/>
      <c r="AK10" s="274"/>
      <c r="AL10" s="271">
        <f t="shared" si="3"/>
        <v>0</v>
      </c>
      <c r="AM10" s="272"/>
      <c r="AN10" s="274"/>
      <c r="AO10" s="274"/>
      <c r="AP10" s="274"/>
      <c r="AQ10" s="274"/>
      <c r="AR10" s="274"/>
      <c r="AS10" s="274"/>
      <c r="AT10" s="274"/>
      <c r="AU10" s="274"/>
      <c r="AV10" s="274"/>
      <c r="AW10" s="274"/>
      <c r="AX10" s="274"/>
      <c r="AY10" s="274"/>
      <c r="AZ10" s="271">
        <f t="shared" si="4"/>
        <v>0</v>
      </c>
      <c r="BA10" s="270">
        <f t="shared" si="5"/>
        <v>-50400000.000000052</v>
      </c>
      <c r="BB10" s="269"/>
      <c r="BC10" s="251">
        <f t="shared" si="0"/>
        <v>0</v>
      </c>
      <c r="BD10" s="244" t="str">
        <f>IF('Budget Opex Detail'!C10="","",IF(COUNTIFS('Activity Master Opex'!$B$4:$B$58,'Budget Opex Detail'!$C10)&gt;0,"","New Activity"))</f>
        <v/>
      </c>
      <c r="BE10" s="252"/>
      <c r="BF10" s="253"/>
      <c r="BG10" s="254"/>
      <c r="BH10" s="255"/>
      <c r="BI10" s="256"/>
      <c r="BJ10" s="256"/>
      <c r="BK10" s="257"/>
      <c r="BL10" s="214">
        <f t="shared" si="6"/>
        <v>0</v>
      </c>
      <c r="BM10" s="255"/>
      <c r="BN10" s="255"/>
      <c r="BO10" s="258">
        <f t="shared" si="7"/>
        <v>0</v>
      </c>
      <c r="BP10" s="259"/>
      <c r="BR10" s="261" t="str">
        <f>IF($H10="","",VLOOKUP($H10,'Master Data'!$B:$D,3,FALSE))</f>
        <v>Postage &amp; Telecom E</v>
      </c>
      <c r="BS10" s="261" t="str">
        <f t="shared" si="2"/>
        <v>General Administrative</v>
      </c>
      <c r="BT10" s="261" t="str">
        <f>IF($H10="","",VLOOKUP(VALUE($H10),'Master Data'!B:I,8,FALSE))</f>
        <v>Postage and telecomunication</v>
      </c>
    </row>
    <row r="11" spans="1:72" s="260" customFormat="1" x14ac:dyDescent="0.25">
      <c r="A11" s="237" t="str">
        <f>IF(D11="","",Cover!$D$8)</f>
        <v>Finance &amp; Accounting</v>
      </c>
      <c r="B11" s="200" t="str">
        <f>IF(D11="","",IFERROR(VLOOKUP(G11,'Master Data'!$E$59:$J$146,6,FALSE),0))</f>
        <v>Treasury &amp; Finance</v>
      </c>
      <c r="C11" s="238" t="str">
        <f>IF(D11="","",_xlfn.XLOOKUP(D11,'Activity Master Opex'!C:C,'Activity Master Opex'!B:B,0,0,1))</f>
        <v>FA001-00011</v>
      </c>
      <c r="D11" s="263" t="s">
        <v>1138</v>
      </c>
      <c r="E11" s="262" t="str">
        <f>IF(D11="","",IFERROR(VLOOKUP(D11,'Activity Master Opex'!$C:$M,6,FALSE),0))</f>
        <v>Subscriptions and Periodicals</v>
      </c>
      <c r="F11" s="264" t="str">
        <f>IF($C11="","",VLOOKUP($C11,'Activity Master Opex'!$B:$I,3,0))</f>
        <v>10301FA001</v>
      </c>
      <c r="G11" s="262" t="str">
        <f>IF($C11="","",VLOOKUP($F11,'Master Data'!$D$59:$E$146,2,FALSE))</f>
        <v>TREASURY</v>
      </c>
      <c r="H11" s="265">
        <f>IF($C11="","",VLOOKUP($C11,'Activity Master Opex'!$B:$I,5,0))</f>
        <v>62900020</v>
      </c>
      <c r="I11" s="237" t="str">
        <f>IFERROR(VLOOKUP(H11,'Master Data'!B:C,2,FALSE),"")</f>
        <v>Subscriptions and Periodicals</v>
      </c>
      <c r="J11" s="266">
        <f>348.387096774194*15500</f>
        <v>5400000.0000000065</v>
      </c>
      <c r="K11" s="266">
        <v>0</v>
      </c>
      <c r="L11" s="267"/>
      <c r="M11" s="267"/>
      <c r="N11" s="267"/>
      <c r="O11" s="267"/>
      <c r="P11" s="267"/>
      <c r="Q11" s="267"/>
      <c r="R11" s="267"/>
      <c r="S11" s="267"/>
      <c r="T11" s="267"/>
      <c r="U11" s="267"/>
      <c r="V11" s="267"/>
      <c r="W11" s="267"/>
      <c r="X11" s="270">
        <f t="shared" si="9"/>
        <v>0</v>
      </c>
      <c r="Y11" s="273"/>
      <c r="Z11" s="274"/>
      <c r="AA11" s="274"/>
      <c r="AB11" s="274"/>
      <c r="AC11" s="274"/>
      <c r="AD11" s="274"/>
      <c r="AE11" s="274"/>
      <c r="AF11" s="274"/>
      <c r="AG11" s="274"/>
      <c r="AH11" s="274"/>
      <c r="AI11" s="274"/>
      <c r="AJ11" s="274"/>
      <c r="AK11" s="274"/>
      <c r="AL11" s="271">
        <f t="shared" si="3"/>
        <v>0</v>
      </c>
      <c r="AM11" s="272"/>
      <c r="AN11" s="274"/>
      <c r="AO11" s="274"/>
      <c r="AP11" s="274"/>
      <c r="AQ11" s="274"/>
      <c r="AR11" s="274"/>
      <c r="AS11" s="274"/>
      <c r="AT11" s="274"/>
      <c r="AU11" s="274"/>
      <c r="AV11" s="274"/>
      <c r="AW11" s="274"/>
      <c r="AX11" s="274"/>
      <c r="AY11" s="274"/>
      <c r="AZ11" s="271">
        <f t="shared" si="4"/>
        <v>0</v>
      </c>
      <c r="BA11" s="270">
        <f t="shared" si="5"/>
        <v>-5400000.0000000065</v>
      </c>
      <c r="BB11" s="269"/>
      <c r="BC11" s="251">
        <f t="shared" si="0"/>
        <v>0</v>
      </c>
      <c r="BD11" s="244" t="str">
        <f>IF('Budget Opex Detail'!C11="","",IF(COUNTIFS('Activity Master Opex'!$B$4:$B$58,'Budget Opex Detail'!$C11)&gt;0,"","New Activity"))</f>
        <v/>
      </c>
      <c r="BE11" s="252"/>
      <c r="BF11" s="253"/>
      <c r="BG11" s="254"/>
      <c r="BH11" s="255"/>
      <c r="BI11" s="256"/>
      <c r="BJ11" s="256"/>
      <c r="BK11" s="257"/>
      <c r="BL11" s="214">
        <f t="shared" si="6"/>
        <v>0</v>
      </c>
      <c r="BM11" s="255"/>
      <c r="BN11" s="255"/>
      <c r="BO11" s="258">
        <f t="shared" si="7"/>
        <v>0</v>
      </c>
      <c r="BP11" s="259"/>
      <c r="BR11" s="261" t="str">
        <f>IF($H11="","",VLOOKUP($H11,'Master Data'!$B:$D,3,FALSE))</f>
        <v>Membership &amp; Sponsorship</v>
      </c>
      <c r="BS11" s="261" t="str">
        <f t="shared" si="2"/>
        <v>General Administrative</v>
      </c>
      <c r="BT11" s="261" t="str">
        <f>IF($H11="","",VLOOKUP(VALUE($H11),'Master Data'!B:I,8,FALSE))</f>
        <v>Subscriptions and Periodicals</v>
      </c>
    </row>
    <row r="12" spans="1:72" s="260" customFormat="1" x14ac:dyDescent="0.25">
      <c r="A12" s="237" t="str">
        <f>IF(D12="","",Cover!$D$8)</f>
        <v>Finance &amp; Accounting</v>
      </c>
      <c r="B12" s="200" t="str">
        <f>IF(D12="","",IFERROR(VLOOKUP(G12,'Master Data'!$E$59:$J$146,6,FALSE),0))</f>
        <v>Treasury &amp; Finance</v>
      </c>
      <c r="C12" s="238" t="str">
        <f>IF(D12="","",_xlfn.XLOOKUP(D12,'Activity Master Opex'!C:C,'Activity Master Opex'!B:B,0,0,1))</f>
        <v>FA001-00012</v>
      </c>
      <c r="D12" s="263" t="s">
        <v>1140</v>
      </c>
      <c r="E12" s="262" t="str">
        <f>IF(D12="","",IFERROR(VLOOKUP(D12,'Activity Master Opex'!$C:$M,6,FALSE),0))</f>
        <v>Subscriptions and Periodicals</v>
      </c>
      <c r="F12" s="264" t="str">
        <f>IF($C12="","",VLOOKUP($C12,'Activity Master Opex'!$B:$I,3,0))</f>
        <v>10301FA001</v>
      </c>
      <c r="G12" s="262" t="str">
        <f>IF($C12="","",VLOOKUP($F12,'Master Data'!$D$59:$E$146,2,FALSE))</f>
        <v>TREASURY</v>
      </c>
      <c r="H12" s="265">
        <f>IF($C12="","",VLOOKUP($C12,'Activity Master Opex'!$B:$I,5,0))</f>
        <v>62900020</v>
      </c>
      <c r="I12" s="237" t="str">
        <f>IFERROR(VLOOKUP(H12,'Master Data'!B:C,2,FALSE),"")</f>
        <v>Subscriptions and Periodicals</v>
      </c>
      <c r="J12" s="266">
        <f>360*15500</f>
        <v>5580000</v>
      </c>
      <c r="K12" s="266">
        <v>1018380</v>
      </c>
      <c r="L12" s="267"/>
      <c r="M12" s="267"/>
      <c r="N12" s="267"/>
      <c r="O12" s="267"/>
      <c r="P12" s="267"/>
      <c r="Q12" s="267"/>
      <c r="R12" s="267"/>
      <c r="S12" s="267"/>
      <c r="T12" s="267"/>
      <c r="U12" s="267"/>
      <c r="V12" s="267"/>
      <c r="W12" s="267"/>
      <c r="X12" s="270">
        <f t="shared" si="9"/>
        <v>0</v>
      </c>
      <c r="Y12" s="273"/>
      <c r="Z12" s="274"/>
      <c r="AA12" s="274"/>
      <c r="AB12" s="274"/>
      <c r="AC12" s="274"/>
      <c r="AD12" s="274"/>
      <c r="AE12" s="274"/>
      <c r="AF12" s="274"/>
      <c r="AG12" s="274"/>
      <c r="AH12" s="274"/>
      <c r="AI12" s="274"/>
      <c r="AJ12" s="274"/>
      <c r="AK12" s="274"/>
      <c r="AL12" s="271">
        <f t="shared" si="3"/>
        <v>0</v>
      </c>
      <c r="AM12" s="272"/>
      <c r="AN12" s="274"/>
      <c r="AO12" s="274"/>
      <c r="AP12" s="274"/>
      <c r="AQ12" s="274"/>
      <c r="AR12" s="274"/>
      <c r="AS12" s="274"/>
      <c r="AT12" s="274"/>
      <c r="AU12" s="274"/>
      <c r="AV12" s="274"/>
      <c r="AW12" s="274"/>
      <c r="AX12" s="274"/>
      <c r="AY12" s="274"/>
      <c r="AZ12" s="271">
        <f t="shared" si="4"/>
        <v>0</v>
      </c>
      <c r="BA12" s="270">
        <f t="shared" si="5"/>
        <v>-5580000</v>
      </c>
      <c r="BB12" s="269"/>
      <c r="BC12" s="251">
        <f t="shared" si="0"/>
        <v>0</v>
      </c>
      <c r="BD12" s="244" t="str">
        <f>IF('Budget Opex Detail'!C12="","",IF(COUNTIFS('Activity Master Opex'!$B$4:$B$58,'Budget Opex Detail'!$C12)&gt;0,"","New Activity"))</f>
        <v/>
      </c>
      <c r="BE12" s="252"/>
      <c r="BF12" s="253"/>
      <c r="BG12" s="254"/>
      <c r="BH12" s="255"/>
      <c r="BI12" s="256"/>
      <c r="BJ12" s="256"/>
      <c r="BK12" s="257"/>
      <c r="BL12" s="214">
        <f t="shared" si="6"/>
        <v>0</v>
      </c>
      <c r="BM12" s="255"/>
      <c r="BN12" s="255"/>
      <c r="BO12" s="258">
        <f t="shared" si="7"/>
        <v>0</v>
      </c>
      <c r="BP12" s="259"/>
      <c r="BR12" s="261" t="str">
        <f>IF($H12="","",VLOOKUP($H12,'Master Data'!$B:$D,3,FALSE))</f>
        <v>Membership &amp; Sponsorship</v>
      </c>
      <c r="BS12" s="261" t="str">
        <f t="shared" si="2"/>
        <v>General Administrative</v>
      </c>
      <c r="BT12" s="261" t="str">
        <f>IF($H12="","",VLOOKUP(VALUE($H12),'Master Data'!B:I,8,FALSE))</f>
        <v>Subscriptions and Periodicals</v>
      </c>
    </row>
    <row r="13" spans="1:72" s="260" customFormat="1" x14ac:dyDescent="0.25">
      <c r="A13" s="237" t="str">
        <f>IF(D13="","",Cover!$D$8)</f>
        <v>Finance &amp; Accounting</v>
      </c>
      <c r="B13" s="200" t="str">
        <f>IF(D13="","",IFERROR(VLOOKUP(G13,'Master Data'!$E$59:$J$146,6,FALSE),0))</f>
        <v>Accounting &amp; Fixed Asset Management</v>
      </c>
      <c r="C13" s="238" t="str">
        <f>IF(D13="","",_xlfn.XLOOKUP(D13,'Activity Master Opex'!C:C,'Activity Master Opex'!B:B,0,0,1))</f>
        <v>FA002-00001</v>
      </c>
      <c r="D13" s="263" t="s">
        <v>1169</v>
      </c>
      <c r="E13" s="262" t="str">
        <f>IF(D13="","",IFERROR(VLOOKUP(D13,'Activity Master Opex'!$C:$M,6,FALSE),0))</f>
        <v>Consultant for Financial Audit</v>
      </c>
      <c r="F13" s="264" t="str">
        <f>IF($C13="","",VLOOKUP($C13,'Activity Master Opex'!$B:$I,3,0))</f>
        <v>10301FA002</v>
      </c>
      <c r="G13" s="262" t="str">
        <f>IF($C13="","",VLOOKUP($F13,'Master Data'!$D$59:$E$146,2,FALSE))</f>
        <v>ACCOUNTING</v>
      </c>
      <c r="H13" s="265">
        <f>IF($C13="","",VLOOKUP($C13,'Activity Master Opex'!$B:$I,5,0))</f>
        <v>61900030</v>
      </c>
      <c r="I13" s="237" t="str">
        <f>IFERROR(VLOOKUP(H13,'Master Data'!B:C,2,FALSE),"")</f>
        <v>PF - Audit Fee</v>
      </c>
      <c r="J13" s="275">
        <f>115161.290322581*15500</f>
        <v>1785000000.0000055</v>
      </c>
      <c r="K13" s="266">
        <v>238488021</v>
      </c>
      <c r="L13" s="267"/>
      <c r="M13" s="267"/>
      <c r="N13" s="267"/>
      <c r="O13" s="267"/>
      <c r="P13" s="267"/>
      <c r="Q13" s="267"/>
      <c r="R13" s="267"/>
      <c r="S13" s="267"/>
      <c r="T13" s="267"/>
      <c r="U13" s="267"/>
      <c r="V13" s="267"/>
      <c r="W13" s="267"/>
      <c r="X13" s="270">
        <f t="shared" si="9"/>
        <v>0</v>
      </c>
      <c r="Y13" s="273"/>
      <c r="Z13" s="274"/>
      <c r="AA13" s="274"/>
      <c r="AB13" s="274"/>
      <c r="AC13" s="274"/>
      <c r="AD13" s="274"/>
      <c r="AE13" s="274"/>
      <c r="AF13" s="274"/>
      <c r="AG13" s="274"/>
      <c r="AH13" s="274"/>
      <c r="AI13" s="274"/>
      <c r="AJ13" s="274"/>
      <c r="AK13" s="274"/>
      <c r="AL13" s="271">
        <f t="shared" si="3"/>
        <v>0</v>
      </c>
      <c r="AM13" s="272"/>
      <c r="AN13" s="274"/>
      <c r="AO13" s="274"/>
      <c r="AP13" s="274"/>
      <c r="AQ13" s="274"/>
      <c r="AR13" s="274"/>
      <c r="AS13" s="274"/>
      <c r="AT13" s="274"/>
      <c r="AU13" s="274"/>
      <c r="AV13" s="274"/>
      <c r="AW13" s="274"/>
      <c r="AX13" s="274"/>
      <c r="AY13" s="274"/>
      <c r="AZ13" s="271">
        <f t="shared" si="4"/>
        <v>0</v>
      </c>
      <c r="BA13" s="270">
        <f t="shared" si="5"/>
        <v>-1785000000.0000055</v>
      </c>
      <c r="BB13" s="269"/>
      <c r="BC13" s="251">
        <f t="shared" si="0"/>
        <v>0</v>
      </c>
      <c r="BD13" s="244" t="str">
        <f>IF('Budget Opex Detail'!C13="","",IF(COUNTIFS('Activity Master Opex'!$B$4:$B$58,'Budget Opex Detail'!$C13)&gt;0,"","New Activity"))</f>
        <v/>
      </c>
      <c r="BE13" s="252"/>
      <c r="BF13" s="253"/>
      <c r="BG13" s="254"/>
      <c r="BH13" s="255"/>
      <c r="BI13" s="256"/>
      <c r="BJ13" s="256"/>
      <c r="BK13" s="257"/>
      <c r="BL13" s="214">
        <f t="shared" si="6"/>
        <v>0</v>
      </c>
      <c r="BM13" s="255"/>
      <c r="BN13" s="255"/>
      <c r="BO13" s="258">
        <f t="shared" si="7"/>
        <v>0</v>
      </c>
      <c r="BP13" s="259"/>
      <c r="BR13" s="261" t="str">
        <f>IF($H13="","",VLOOKUP($H13,'Master Data'!$B:$D,3,FALSE))</f>
        <v>Professional Fees</v>
      </c>
      <c r="BS13" s="261" t="str">
        <f t="shared" si="2"/>
        <v>General Administrative</v>
      </c>
      <c r="BT13" s="261" t="str">
        <f>IF($H13="","",VLOOKUP(VALUE($H13),'Master Data'!B:I,8,FALSE))</f>
        <v>Professional fees</v>
      </c>
    </row>
    <row r="14" spans="1:72" s="260" customFormat="1" x14ac:dyDescent="0.25">
      <c r="A14" s="237" t="str">
        <f>IF(D14="","",Cover!$D$8)</f>
        <v>Finance &amp; Accounting</v>
      </c>
      <c r="B14" s="200" t="str">
        <f>IF(D14="","",IFERROR(VLOOKUP(G14,'Master Data'!$E$59:$J$146,6,FALSE),0))</f>
        <v>Accounting &amp; Fixed Asset Management</v>
      </c>
      <c r="C14" s="238" t="str">
        <f>IF(D14="","",_xlfn.XLOOKUP(D14,'Activity Master Opex'!C:C,'Activity Master Opex'!B:B,0,0,1))</f>
        <v>FA002-00002</v>
      </c>
      <c r="D14" s="263" t="s">
        <v>1172</v>
      </c>
      <c r="E14" s="262" t="str">
        <f>IF(D14="","",IFERROR(VLOOKUP(D14,'Activity Master Opex'!$C:$M,6,FALSE),0))</f>
        <v>Actuarial consulting services related work remuneration, employee benefits, insurance, pension</v>
      </c>
      <c r="F14" s="264" t="str">
        <f>IF($C14="","",VLOOKUP($C14,'Activity Master Opex'!$B:$I,3,0))</f>
        <v>10301FA002</v>
      </c>
      <c r="G14" s="262" t="str">
        <f>IF($C14="","",VLOOKUP($F14,'Master Data'!$D$59:$E$146,2,FALSE))</f>
        <v>ACCOUNTING</v>
      </c>
      <c r="H14" s="265">
        <f>IF($C14="","",VLOOKUP($C14,'Activity Master Opex'!$B:$I,5,0))</f>
        <v>61900090</v>
      </c>
      <c r="I14" s="237" t="str">
        <f>IFERROR(VLOOKUP(H14,'Master Data'!B:C,2,FALSE),"")</f>
        <v>PF - Other Professional Fees</v>
      </c>
      <c r="J14" s="275">
        <f>1587.74193548387*15500</f>
        <v>24609999.999999985</v>
      </c>
      <c r="K14" s="266">
        <v>0</v>
      </c>
      <c r="L14" s="267"/>
      <c r="M14" s="267"/>
      <c r="N14" s="267"/>
      <c r="O14" s="267"/>
      <c r="P14" s="267"/>
      <c r="Q14" s="267"/>
      <c r="R14" s="267"/>
      <c r="S14" s="267"/>
      <c r="T14" s="267"/>
      <c r="U14" s="267"/>
      <c r="V14" s="267"/>
      <c r="W14" s="267"/>
      <c r="X14" s="270">
        <f t="shared" si="9"/>
        <v>0</v>
      </c>
      <c r="Y14" s="273"/>
      <c r="Z14" s="274"/>
      <c r="AA14" s="274"/>
      <c r="AB14" s="274"/>
      <c r="AC14" s="274"/>
      <c r="AD14" s="274"/>
      <c r="AE14" s="274"/>
      <c r="AF14" s="274"/>
      <c r="AG14" s="274"/>
      <c r="AH14" s="274"/>
      <c r="AI14" s="274"/>
      <c r="AJ14" s="274"/>
      <c r="AK14" s="274"/>
      <c r="AL14" s="271">
        <f t="shared" si="3"/>
        <v>0</v>
      </c>
      <c r="AM14" s="272"/>
      <c r="AN14" s="274"/>
      <c r="AO14" s="274"/>
      <c r="AP14" s="274"/>
      <c r="AQ14" s="274"/>
      <c r="AR14" s="274"/>
      <c r="AS14" s="274"/>
      <c r="AT14" s="274"/>
      <c r="AU14" s="274"/>
      <c r="AV14" s="274"/>
      <c r="AW14" s="274"/>
      <c r="AX14" s="274"/>
      <c r="AY14" s="274"/>
      <c r="AZ14" s="271">
        <f t="shared" si="4"/>
        <v>0</v>
      </c>
      <c r="BA14" s="270">
        <f t="shared" si="5"/>
        <v>-24609999.999999985</v>
      </c>
      <c r="BB14" s="269"/>
      <c r="BC14" s="251">
        <f t="shared" si="0"/>
        <v>0</v>
      </c>
      <c r="BD14" s="244" t="str">
        <f>IF('Budget Opex Detail'!C14="","",IF(COUNTIFS('Activity Master Opex'!$B$4:$B$58,'Budget Opex Detail'!$C14)&gt;0,"","New Activity"))</f>
        <v/>
      </c>
      <c r="BE14" s="252"/>
      <c r="BF14" s="253"/>
      <c r="BG14" s="254"/>
      <c r="BH14" s="255"/>
      <c r="BI14" s="256"/>
      <c r="BJ14" s="256"/>
      <c r="BK14" s="257"/>
      <c r="BL14" s="214">
        <f t="shared" si="6"/>
        <v>0</v>
      </c>
      <c r="BM14" s="255"/>
      <c r="BN14" s="255"/>
      <c r="BO14" s="258">
        <f t="shared" si="7"/>
        <v>0</v>
      </c>
      <c r="BP14" s="259"/>
      <c r="BR14" s="261" t="str">
        <f>IF($H14="","",VLOOKUP($H14,'Master Data'!$B:$D,3,FALSE))</f>
        <v>Professional Fees</v>
      </c>
      <c r="BS14" s="261" t="str">
        <f t="shared" si="2"/>
        <v>General Administrative</v>
      </c>
      <c r="BT14" s="261" t="str">
        <f>IF($H14="","",VLOOKUP(VALUE($H14),'Master Data'!B:I,8,FALSE))</f>
        <v>Professional fees</v>
      </c>
    </row>
    <row r="15" spans="1:72" s="260" customFormat="1" x14ac:dyDescent="0.25">
      <c r="A15" s="237" t="str">
        <f>IF(D15="","",Cover!$D$8)</f>
        <v>Finance &amp; Accounting</v>
      </c>
      <c r="B15" s="200" t="str">
        <f>IF(D15="","",IFERROR(VLOOKUP(G15,'Master Data'!$E$59:$J$146,6,FALSE),0))</f>
        <v>Accounting &amp; Fixed Asset Management</v>
      </c>
      <c r="C15" s="238" t="str">
        <f>IF(D15="","",_xlfn.XLOOKUP(D15,'Activity Master Opex'!C:C,'Activity Master Opex'!B:B,0,0,1))</f>
        <v>FA002-00004</v>
      </c>
      <c r="D15" s="263" t="s">
        <v>1178</v>
      </c>
      <c r="E15" s="262" t="str">
        <f>IF(D15="","",IFERROR(VLOOKUP(D15,'Activity Master Opex'!$C:$M,6,FALSE),0))</f>
        <v>Consultant service related KPPK Report</v>
      </c>
      <c r="F15" s="264" t="str">
        <f>IF($C15="","",VLOOKUP($C15,'Activity Master Opex'!$B:$I,3,0))</f>
        <v>10301FA002</v>
      </c>
      <c r="G15" s="262" t="str">
        <f>IF($C15="","",VLOOKUP($F15,'Master Data'!$D$59:$E$146,2,FALSE))</f>
        <v>ACCOUNTING</v>
      </c>
      <c r="H15" s="265">
        <f>IF($C15="","",VLOOKUP($C15,'Activity Master Opex'!$B:$I,5,0))</f>
        <v>61900090</v>
      </c>
      <c r="I15" s="237" t="str">
        <f>IFERROR(VLOOKUP(H15,'Master Data'!B:C,2,FALSE),"")</f>
        <v>PF - Other Professional Fees</v>
      </c>
      <c r="J15" s="275">
        <f>2941.93548387097*15500</f>
        <v>45600000.000000037</v>
      </c>
      <c r="K15" s="266">
        <v>0</v>
      </c>
      <c r="L15" s="267"/>
      <c r="M15" s="267"/>
      <c r="N15" s="267"/>
      <c r="O15" s="267"/>
      <c r="P15" s="267"/>
      <c r="Q15" s="267"/>
      <c r="R15" s="267"/>
      <c r="S15" s="267"/>
      <c r="T15" s="267"/>
      <c r="U15" s="267"/>
      <c r="V15" s="267"/>
      <c r="W15" s="267"/>
      <c r="X15" s="270">
        <f t="shared" si="9"/>
        <v>0</v>
      </c>
      <c r="Y15" s="273"/>
      <c r="Z15" s="274"/>
      <c r="AA15" s="274"/>
      <c r="AB15" s="274"/>
      <c r="AC15" s="274"/>
      <c r="AD15" s="274"/>
      <c r="AE15" s="274"/>
      <c r="AF15" s="274"/>
      <c r="AG15" s="274"/>
      <c r="AH15" s="274"/>
      <c r="AI15" s="274"/>
      <c r="AJ15" s="274"/>
      <c r="AK15" s="274"/>
      <c r="AL15" s="271">
        <f t="shared" si="3"/>
        <v>0</v>
      </c>
      <c r="AM15" s="272"/>
      <c r="AN15" s="274"/>
      <c r="AO15" s="274"/>
      <c r="AP15" s="274"/>
      <c r="AQ15" s="274"/>
      <c r="AR15" s="274"/>
      <c r="AS15" s="274"/>
      <c r="AT15" s="274"/>
      <c r="AU15" s="274"/>
      <c r="AV15" s="274"/>
      <c r="AW15" s="274"/>
      <c r="AX15" s="274"/>
      <c r="AY15" s="274"/>
      <c r="AZ15" s="271">
        <f t="shared" si="4"/>
        <v>0</v>
      </c>
      <c r="BA15" s="270">
        <f t="shared" si="5"/>
        <v>-45600000.000000037</v>
      </c>
      <c r="BB15" s="269"/>
      <c r="BC15" s="251">
        <f t="shared" si="0"/>
        <v>0</v>
      </c>
      <c r="BD15" s="244" t="str">
        <f>IF('Budget Opex Detail'!C15="","",IF(COUNTIFS('Activity Master Opex'!$B$4:$B$58,'Budget Opex Detail'!$C15)&gt;0,"","New Activity"))</f>
        <v/>
      </c>
      <c r="BE15" s="252"/>
      <c r="BF15" s="253"/>
      <c r="BG15" s="254"/>
      <c r="BH15" s="255"/>
      <c r="BI15" s="256"/>
      <c r="BJ15" s="256"/>
      <c r="BK15" s="257"/>
      <c r="BL15" s="214">
        <f t="shared" si="6"/>
        <v>0</v>
      </c>
      <c r="BM15" s="255"/>
      <c r="BN15" s="255"/>
      <c r="BO15" s="258">
        <f t="shared" si="7"/>
        <v>0</v>
      </c>
      <c r="BP15" s="259"/>
      <c r="BR15" s="261" t="str">
        <f>IF($H15="","",VLOOKUP($H15,'Master Data'!$B:$D,3,FALSE))</f>
        <v>Professional Fees</v>
      </c>
      <c r="BS15" s="261" t="str">
        <f t="shared" si="2"/>
        <v>General Administrative</v>
      </c>
      <c r="BT15" s="261" t="str">
        <f>IF($H15="","",VLOOKUP(VALUE($H15),'Master Data'!B:I,8,FALSE))</f>
        <v>Professional fees</v>
      </c>
    </row>
    <row r="16" spans="1:72" s="260" customFormat="1" x14ac:dyDescent="0.25">
      <c r="A16" s="237" t="str">
        <f>IF(D16="","",Cover!$D$8)</f>
        <v>Finance &amp; Accounting</v>
      </c>
      <c r="B16" s="200" t="str">
        <f>IF(D16="","",IFERROR(VLOOKUP(G16,'Master Data'!$E$59:$J$146,6,FALSE),0))</f>
        <v>Accounting &amp; Fixed Asset Management</v>
      </c>
      <c r="C16" s="238" t="str">
        <f>IF(D16="","",_xlfn.XLOOKUP(D16,'Activity Master Opex'!C:C,'Activity Master Opex'!B:B,0,0,1))</f>
        <v>FA002-00005</v>
      </c>
      <c r="D16" s="263" t="s">
        <v>1424</v>
      </c>
      <c r="E16" s="262" t="str">
        <f>IF(D16="","",IFERROR(VLOOKUP(D16,'Activity Master Opex'!$C:$M,6,FALSE),0))</f>
        <v>Annual subscription for zoom</v>
      </c>
      <c r="F16" s="264" t="str">
        <f>IF($C16="","",VLOOKUP($C16,'Activity Master Opex'!$B:$I,3,0))</f>
        <v>10301FA002</v>
      </c>
      <c r="G16" s="262" t="str">
        <f>IF($C16="","",VLOOKUP($F16,'Master Data'!$D$59:$E$146,2,FALSE))</f>
        <v>ACCOUNTING</v>
      </c>
      <c r="H16" s="265">
        <f>IF($C16="","",VLOOKUP($C16,'Activity Master Opex'!$B:$I,5,0))</f>
        <v>62900020</v>
      </c>
      <c r="I16" s="237" t="str">
        <f>IFERROR(VLOOKUP(H16,'Master Data'!B:C,2,FALSE),"")</f>
        <v>Subscriptions and Periodicals</v>
      </c>
      <c r="J16" s="275">
        <f>160.3716*15500</f>
        <v>2485759.7999999998</v>
      </c>
      <c r="K16" s="266">
        <v>0</v>
      </c>
      <c r="L16" s="267"/>
      <c r="M16" s="267"/>
      <c r="N16" s="267"/>
      <c r="O16" s="267"/>
      <c r="P16" s="267"/>
      <c r="Q16" s="267"/>
      <c r="R16" s="267"/>
      <c r="S16" s="267"/>
      <c r="T16" s="267"/>
      <c r="U16" s="267"/>
      <c r="V16" s="267"/>
      <c r="W16" s="267"/>
      <c r="X16" s="270">
        <f t="shared" si="9"/>
        <v>0</v>
      </c>
      <c r="Y16" s="273"/>
      <c r="Z16" s="274"/>
      <c r="AA16" s="274"/>
      <c r="AB16" s="274"/>
      <c r="AC16" s="274"/>
      <c r="AD16" s="274"/>
      <c r="AE16" s="274"/>
      <c r="AF16" s="274"/>
      <c r="AG16" s="274"/>
      <c r="AH16" s="274"/>
      <c r="AI16" s="274"/>
      <c r="AJ16" s="274"/>
      <c r="AK16" s="274"/>
      <c r="AL16" s="271">
        <f t="shared" si="3"/>
        <v>0</v>
      </c>
      <c r="AM16" s="272"/>
      <c r="AN16" s="274"/>
      <c r="AO16" s="274"/>
      <c r="AP16" s="274"/>
      <c r="AQ16" s="274"/>
      <c r="AR16" s="274"/>
      <c r="AS16" s="274"/>
      <c r="AT16" s="274"/>
      <c r="AU16" s="274"/>
      <c r="AV16" s="274"/>
      <c r="AW16" s="274"/>
      <c r="AX16" s="274"/>
      <c r="AY16" s="274"/>
      <c r="AZ16" s="271">
        <f t="shared" si="4"/>
        <v>0</v>
      </c>
      <c r="BA16" s="270">
        <f t="shared" si="5"/>
        <v>-2485759.7999999998</v>
      </c>
      <c r="BB16" s="269"/>
      <c r="BC16" s="251">
        <f t="shared" si="0"/>
        <v>0</v>
      </c>
      <c r="BD16" s="244" t="str">
        <f>IF('Budget Opex Detail'!C16="","",IF(COUNTIFS('Activity Master Opex'!$B$4:$B$58,'Budget Opex Detail'!$C16)&gt;0,"","New Activity"))</f>
        <v/>
      </c>
      <c r="BE16" s="252"/>
      <c r="BF16" s="253"/>
      <c r="BG16" s="254"/>
      <c r="BH16" s="255"/>
      <c r="BI16" s="256"/>
      <c r="BJ16" s="256"/>
      <c r="BK16" s="257"/>
      <c r="BL16" s="214">
        <f t="shared" si="6"/>
        <v>0</v>
      </c>
      <c r="BM16" s="255"/>
      <c r="BN16" s="255"/>
      <c r="BO16" s="258">
        <f t="shared" si="7"/>
        <v>0</v>
      </c>
      <c r="BP16" s="259"/>
      <c r="BR16" s="261" t="str">
        <f>IF($H16="","",VLOOKUP($H16,'Master Data'!$B:$D,3,FALSE))</f>
        <v>Membership &amp; Sponsorship</v>
      </c>
      <c r="BS16" s="261" t="str">
        <f t="shared" si="2"/>
        <v>General Administrative</v>
      </c>
      <c r="BT16" s="261" t="str">
        <f>IF($H16="","",VLOOKUP(VALUE($H16),'Master Data'!B:I,8,FALSE))</f>
        <v>Subscriptions and Periodicals</v>
      </c>
    </row>
    <row r="17" spans="1:72" s="260" customFormat="1" x14ac:dyDescent="0.25">
      <c r="A17" s="237" t="str">
        <f>IF(D17="","",Cover!$D$8)</f>
        <v>Finance &amp; Accounting</v>
      </c>
      <c r="B17" s="200" t="str">
        <f>IF(D17="","",IFERROR(VLOOKUP(G17,'Master Data'!$E$59:$J$146,6,FALSE),0))</f>
        <v>Accounting &amp; Fixed Asset Management</v>
      </c>
      <c r="C17" s="238" t="str">
        <f>IF(D17="","",_xlfn.XLOOKUP(D17,'Activity Master Opex'!C:C,'Activity Master Opex'!B:B,0,0,1))</f>
        <v>FA002-00006</v>
      </c>
      <c r="D17" s="263" t="s">
        <v>1183</v>
      </c>
      <c r="E17" s="262" t="str">
        <f>IF(D17="","",IFERROR(VLOOKUP(D17,'Activity Master Opex'!$C:$M,6,FALSE),0))</f>
        <v>Business trip</v>
      </c>
      <c r="F17" s="264" t="str">
        <f>IF($C17="","",VLOOKUP($C17,'Activity Master Opex'!$B:$I,3,0))</f>
        <v>10301FA002</v>
      </c>
      <c r="G17" s="262" t="str">
        <f>IF($C17="","",VLOOKUP($F17,'Master Data'!$D$59:$E$146,2,FALSE))</f>
        <v>ACCOUNTING</v>
      </c>
      <c r="H17" s="265">
        <f>IF($C17="","",VLOOKUP($C17,'Activity Master Opex'!$B:$I,5,0))</f>
        <v>62400030</v>
      </c>
      <c r="I17" s="237" t="str">
        <f>IFERROR(VLOOKUP(H17,'Master Data'!B:C,2,FALSE),"")</f>
        <v>Gen. Transp. Travelling Expenses</v>
      </c>
      <c r="J17" s="275">
        <f>10954.8387096774*15500</f>
        <v>169799999.9999997</v>
      </c>
      <c r="K17" s="266">
        <v>0</v>
      </c>
      <c r="L17" s="267"/>
      <c r="M17" s="267"/>
      <c r="N17" s="267"/>
      <c r="O17" s="267"/>
      <c r="P17" s="267"/>
      <c r="Q17" s="267"/>
      <c r="R17" s="267"/>
      <c r="S17" s="267"/>
      <c r="T17" s="267"/>
      <c r="U17" s="267"/>
      <c r="V17" s="267"/>
      <c r="W17" s="267"/>
      <c r="X17" s="270">
        <f t="shared" si="9"/>
        <v>0</v>
      </c>
      <c r="Y17" s="273"/>
      <c r="Z17" s="274"/>
      <c r="AA17" s="274"/>
      <c r="AB17" s="274"/>
      <c r="AC17" s="274"/>
      <c r="AD17" s="274"/>
      <c r="AE17" s="274"/>
      <c r="AF17" s="274"/>
      <c r="AG17" s="274"/>
      <c r="AH17" s="274"/>
      <c r="AI17" s="274"/>
      <c r="AJ17" s="274"/>
      <c r="AK17" s="274"/>
      <c r="AL17" s="271">
        <f t="shared" si="3"/>
        <v>0</v>
      </c>
      <c r="AM17" s="272"/>
      <c r="AN17" s="274"/>
      <c r="AO17" s="274"/>
      <c r="AP17" s="274"/>
      <c r="AQ17" s="274"/>
      <c r="AR17" s="274"/>
      <c r="AS17" s="274"/>
      <c r="AT17" s="274"/>
      <c r="AU17" s="274"/>
      <c r="AV17" s="274"/>
      <c r="AW17" s="274"/>
      <c r="AX17" s="274"/>
      <c r="AY17" s="274"/>
      <c r="AZ17" s="271">
        <f t="shared" si="4"/>
        <v>0</v>
      </c>
      <c r="BA17" s="270">
        <f t="shared" si="5"/>
        <v>-169799999.9999997</v>
      </c>
      <c r="BB17" s="269"/>
      <c r="BC17" s="251">
        <f t="shared" si="0"/>
        <v>0</v>
      </c>
      <c r="BD17" s="244" t="str">
        <f>IF('Budget Opex Detail'!C17="","",IF(COUNTIFS('Activity Master Opex'!$B$4:$B$58,'Budget Opex Detail'!$C17)&gt;0,"","New Activity"))</f>
        <v/>
      </c>
      <c r="BE17" s="252"/>
      <c r="BF17" s="253"/>
      <c r="BG17" s="254"/>
      <c r="BH17" s="255"/>
      <c r="BI17" s="256"/>
      <c r="BJ17" s="256"/>
      <c r="BK17" s="257"/>
      <c r="BL17" s="214">
        <f t="shared" si="6"/>
        <v>0</v>
      </c>
      <c r="BM17" s="255"/>
      <c r="BN17" s="255"/>
      <c r="BO17" s="258">
        <f t="shared" si="7"/>
        <v>0</v>
      </c>
      <c r="BP17" s="259"/>
      <c r="BR17" s="261" t="str">
        <f>IF($H17="","",VLOOKUP($H17,'Master Data'!$B:$D,3,FALSE))</f>
        <v>General Transportation Exp</v>
      </c>
      <c r="BS17" s="261" t="str">
        <f t="shared" si="2"/>
        <v>General Administrative</v>
      </c>
      <c r="BT17" s="261" t="str">
        <f>IF($H17="","",VLOOKUP(VALUE($H17),'Master Data'!B:I,8,FALSE))</f>
        <v>General transportation</v>
      </c>
    </row>
    <row r="18" spans="1:72" s="260" customFormat="1" x14ac:dyDescent="0.25">
      <c r="A18" s="237" t="str">
        <f>IF(D18="","",Cover!$D$8)</f>
        <v>Finance &amp; Accounting</v>
      </c>
      <c r="B18" s="200" t="str">
        <f>IF(D18="","",IFERROR(VLOOKUP(G18,'Master Data'!$E$59:$J$146,6,FALSE),0))</f>
        <v>Accounting &amp; Fixed Asset Management</v>
      </c>
      <c r="C18" s="238" t="str">
        <f>IF(D18="","",_xlfn.XLOOKUP(D18,'Activity Master Opex'!C:C,'Activity Master Opex'!B:B,0,0,1))</f>
        <v>FA002-00008</v>
      </c>
      <c r="D18" s="263" t="s">
        <v>168</v>
      </c>
      <c r="E18" s="262" t="str">
        <f>IF(D18="","",IFERROR(VLOOKUP(D18,'Activity Master Opex'!$C:$M,6,FALSE),0))</f>
        <v>Document delivery fee</v>
      </c>
      <c r="F18" s="264" t="str">
        <f>IF($C18="","",VLOOKUP($C18,'Activity Master Opex'!$B:$I,3,0))</f>
        <v>10301FA002</v>
      </c>
      <c r="G18" s="262" t="str">
        <f>IF($C18="","",VLOOKUP($F18,'Master Data'!$D$59:$E$146,2,FALSE))</f>
        <v>ACCOUNTING</v>
      </c>
      <c r="H18" s="265">
        <f>IF($C18="","",VLOOKUP($C18,'Activity Master Opex'!$B:$I,5,0))</f>
        <v>61800020</v>
      </c>
      <c r="I18" s="237" t="str">
        <f>IFERROR(VLOOKUP(H18,'Master Data'!B:C,2,FALSE),"")</f>
        <v>PT Exp. - Postage and Courier</v>
      </c>
      <c r="J18" s="275">
        <f>330.322580645161*15500</f>
        <v>5119999.9999999953</v>
      </c>
      <c r="K18" s="266">
        <v>0</v>
      </c>
      <c r="L18" s="267"/>
      <c r="M18" s="267"/>
      <c r="N18" s="267"/>
      <c r="O18" s="267"/>
      <c r="P18" s="267"/>
      <c r="Q18" s="267"/>
      <c r="R18" s="267"/>
      <c r="S18" s="267"/>
      <c r="T18" s="267"/>
      <c r="U18" s="267"/>
      <c r="V18" s="267"/>
      <c r="W18" s="267"/>
      <c r="X18" s="270">
        <f t="shared" si="9"/>
        <v>0</v>
      </c>
      <c r="Y18" s="273"/>
      <c r="Z18" s="274"/>
      <c r="AA18" s="274"/>
      <c r="AB18" s="274"/>
      <c r="AC18" s="274"/>
      <c r="AD18" s="274"/>
      <c r="AE18" s="274"/>
      <c r="AF18" s="274"/>
      <c r="AG18" s="274"/>
      <c r="AH18" s="274"/>
      <c r="AI18" s="274"/>
      <c r="AJ18" s="274"/>
      <c r="AK18" s="274"/>
      <c r="AL18" s="271">
        <f t="shared" si="3"/>
        <v>0</v>
      </c>
      <c r="AM18" s="272"/>
      <c r="AN18" s="274"/>
      <c r="AO18" s="274"/>
      <c r="AP18" s="274"/>
      <c r="AQ18" s="274"/>
      <c r="AR18" s="274"/>
      <c r="AS18" s="274"/>
      <c r="AT18" s="274"/>
      <c r="AU18" s="274"/>
      <c r="AV18" s="274"/>
      <c r="AW18" s="274"/>
      <c r="AX18" s="274"/>
      <c r="AY18" s="274"/>
      <c r="AZ18" s="271">
        <f t="shared" si="4"/>
        <v>0</v>
      </c>
      <c r="BA18" s="270">
        <f t="shared" si="5"/>
        <v>-5119999.9999999953</v>
      </c>
      <c r="BB18" s="269"/>
      <c r="BC18" s="251">
        <f t="shared" si="0"/>
        <v>0</v>
      </c>
      <c r="BD18" s="244" t="str">
        <f>IF('Budget Opex Detail'!C18="","",IF(COUNTIFS('Activity Master Opex'!$B$4:$B$58,'Budget Opex Detail'!$C18)&gt;0,"","New Activity"))</f>
        <v/>
      </c>
      <c r="BE18" s="252"/>
      <c r="BF18" s="253"/>
      <c r="BG18" s="254"/>
      <c r="BH18" s="255"/>
      <c r="BI18" s="256"/>
      <c r="BJ18" s="256"/>
      <c r="BK18" s="257"/>
      <c r="BL18" s="214">
        <f t="shared" si="6"/>
        <v>0</v>
      </c>
      <c r="BM18" s="255"/>
      <c r="BN18" s="255"/>
      <c r="BO18" s="258">
        <f t="shared" si="7"/>
        <v>0</v>
      </c>
      <c r="BP18" s="259"/>
      <c r="BR18" s="261" t="str">
        <f>IF($H18="","",VLOOKUP($H18,'Master Data'!$B:$D,3,FALSE))</f>
        <v>Postage &amp; Telecom E</v>
      </c>
      <c r="BS18" s="261" t="str">
        <f t="shared" si="2"/>
        <v>General Administrative</v>
      </c>
      <c r="BT18" s="261" t="str">
        <f>IF($H18="","",VLOOKUP(VALUE($H18),'Master Data'!B:I,8,FALSE))</f>
        <v>Postage and telecomunication</v>
      </c>
    </row>
    <row r="19" spans="1:72" s="260" customFormat="1" x14ac:dyDescent="0.25">
      <c r="A19" s="237" t="str">
        <f>IF(D19="","",Cover!$D$8)</f>
        <v>Finance &amp; Accounting</v>
      </c>
      <c r="B19" s="200" t="str">
        <f>IF(D19="","",IFERROR(VLOOKUP(G19,'Master Data'!$E$59:$J$146,6,FALSE),0))</f>
        <v>Accounting &amp; Fixed Asset Management</v>
      </c>
      <c r="C19" s="238" t="str">
        <f>IF(D19="","",_xlfn.XLOOKUP(D19,'Activity Master Opex'!C:C,'Activity Master Opex'!B:B,0,0,1))</f>
        <v>FA007-00001</v>
      </c>
      <c r="D19" s="263" t="s">
        <v>1195</v>
      </c>
      <c r="E19" s="262" t="str">
        <f>IF(D19="","",IFERROR(VLOOKUP(D19,'Activity Master Opex'!$C:$M,6,FALSE),0))</f>
        <v>FA Tag printing cost for FA Opname</v>
      </c>
      <c r="F19" s="264" t="str">
        <f>IF($C19="","",VLOOKUP($C19,'Activity Master Opex'!$B:$I,3,0))</f>
        <v>10301FA007</v>
      </c>
      <c r="G19" s="262" t="str">
        <f>IF($C19="","",VLOOKUP($F19,'Master Data'!$D$59:$E$146,2,FALSE))</f>
        <v>FIXED ASSET MGT</v>
      </c>
      <c r="H19" s="265">
        <f>IF($C19="","",VLOOKUP($C19,'Activity Master Opex'!$B:$I,5,0))</f>
        <v>62200020</v>
      </c>
      <c r="I19" s="237" t="str">
        <f>IFERROR(VLOOKUP(H19,'Master Data'!B:C,2,FALSE),"")</f>
        <v>Printing and Supplies Expenses</v>
      </c>
      <c r="J19" s="275">
        <f>8008.02505147563*15500</f>
        <v>124124388.29787226</v>
      </c>
      <c r="K19" s="266">
        <v>0</v>
      </c>
      <c r="L19" s="267"/>
      <c r="M19" s="267"/>
      <c r="N19" s="267"/>
      <c r="O19" s="267"/>
      <c r="P19" s="267"/>
      <c r="Q19" s="267"/>
      <c r="R19" s="267"/>
      <c r="S19" s="267"/>
      <c r="T19" s="267"/>
      <c r="U19" s="267"/>
      <c r="V19" s="267"/>
      <c r="W19" s="267"/>
      <c r="X19" s="270">
        <f t="shared" si="9"/>
        <v>0</v>
      </c>
      <c r="Y19" s="273"/>
      <c r="Z19" s="274"/>
      <c r="AA19" s="274"/>
      <c r="AB19" s="274"/>
      <c r="AC19" s="274"/>
      <c r="AD19" s="274"/>
      <c r="AE19" s="274"/>
      <c r="AF19" s="274"/>
      <c r="AG19" s="274"/>
      <c r="AH19" s="274"/>
      <c r="AI19" s="274"/>
      <c r="AJ19" s="274"/>
      <c r="AK19" s="274"/>
      <c r="AL19" s="271">
        <f t="shared" si="3"/>
        <v>0</v>
      </c>
      <c r="AM19" s="272"/>
      <c r="AN19" s="274"/>
      <c r="AO19" s="274"/>
      <c r="AP19" s="274"/>
      <c r="AQ19" s="274"/>
      <c r="AR19" s="274"/>
      <c r="AS19" s="274"/>
      <c r="AT19" s="274"/>
      <c r="AU19" s="274"/>
      <c r="AV19" s="274"/>
      <c r="AW19" s="274"/>
      <c r="AX19" s="274"/>
      <c r="AY19" s="274"/>
      <c r="AZ19" s="271">
        <f t="shared" si="4"/>
        <v>0</v>
      </c>
      <c r="BA19" s="270">
        <f t="shared" si="5"/>
        <v>-124124388.29787226</v>
      </c>
      <c r="BB19" s="269"/>
      <c r="BC19" s="251">
        <f t="shared" si="0"/>
        <v>0</v>
      </c>
      <c r="BD19" s="244" t="str">
        <f>IF('Budget Opex Detail'!C19="","",IF(COUNTIFS('Activity Master Opex'!$B$4:$B$58,'Budget Opex Detail'!$C19)&gt;0,"","New Activity"))</f>
        <v/>
      </c>
      <c r="BE19" s="252"/>
      <c r="BF19" s="253"/>
      <c r="BG19" s="254"/>
      <c r="BH19" s="255"/>
      <c r="BI19" s="256"/>
      <c r="BJ19" s="256"/>
      <c r="BK19" s="257"/>
      <c r="BL19" s="214">
        <f t="shared" si="6"/>
        <v>0</v>
      </c>
      <c r="BM19" s="255"/>
      <c r="BN19" s="255"/>
      <c r="BO19" s="258">
        <f t="shared" si="7"/>
        <v>0</v>
      </c>
      <c r="BP19" s="259"/>
      <c r="BR19" s="261" t="str">
        <f>IF($H19="","",VLOOKUP($H19,'Master Data'!$B:$D,3,FALSE))</f>
        <v>Stationery &amp; Supplies Expe</v>
      </c>
      <c r="BS19" s="261" t="str">
        <f t="shared" si="2"/>
        <v>General Administrative</v>
      </c>
      <c r="BT19" s="261" t="str">
        <f>IF($H19="","",VLOOKUP(VALUE($H19),'Master Data'!B:I,8,FALSE))</f>
        <v>Stationery and supplies</v>
      </c>
    </row>
    <row r="20" spans="1:72" s="260" customFormat="1" x14ac:dyDescent="0.25">
      <c r="A20" s="237" t="str">
        <f>IF(D20="","",Cover!$D$8)</f>
        <v>Finance &amp; Accounting</v>
      </c>
      <c r="B20" s="200" t="str">
        <f>IF(D20="","",IFERROR(VLOOKUP(G20,'Master Data'!$E$59:$J$146,6,FALSE),0))</f>
        <v>Accounting &amp; Fixed Asset Management</v>
      </c>
      <c r="C20" s="238" t="str">
        <f>IF(D20="","",_xlfn.XLOOKUP(D20,'Activity Master Opex'!C:C,'Activity Master Opex'!B:B,0,0,1))</f>
        <v>FA007-00002</v>
      </c>
      <c r="D20" s="263" t="s">
        <v>1199</v>
      </c>
      <c r="E20" s="262" t="str">
        <f>IF(D20="","",IFERROR(VLOOKUP(D20,'Activity Master Opex'!$C:$M,6,FALSE),0))</f>
        <v>Consultant service related assets appraisal</v>
      </c>
      <c r="F20" s="264" t="str">
        <f>IF($C20="","",VLOOKUP($C20,'Activity Master Opex'!$B:$I,3,0))</f>
        <v>10301FA007</v>
      </c>
      <c r="G20" s="262" t="str">
        <f>IF($C20="","",VLOOKUP($F20,'Master Data'!$D$59:$E$146,2,FALSE))</f>
        <v>FIXED ASSET MGT</v>
      </c>
      <c r="H20" s="265">
        <f>IF($C20="","",VLOOKUP($C20,'Activity Master Opex'!$B:$I,5,0))</f>
        <v>61900090</v>
      </c>
      <c r="I20" s="237" t="str">
        <f>IFERROR(VLOOKUP(H20,'Master Data'!B:C,2,FALSE),"")</f>
        <v>PF - Other Professional Fees</v>
      </c>
      <c r="J20" s="275">
        <f>20041.7419354839*15500</f>
        <v>310647000.00000048</v>
      </c>
      <c r="K20" s="266">
        <v>100000000</v>
      </c>
      <c r="L20" s="267"/>
      <c r="M20" s="267"/>
      <c r="N20" s="267"/>
      <c r="O20" s="267"/>
      <c r="P20" s="267"/>
      <c r="Q20" s="267"/>
      <c r="R20" s="267"/>
      <c r="S20" s="267"/>
      <c r="T20" s="267"/>
      <c r="U20" s="267"/>
      <c r="V20" s="267"/>
      <c r="W20" s="267"/>
      <c r="X20" s="270">
        <f t="shared" si="9"/>
        <v>0</v>
      </c>
      <c r="Y20" s="273"/>
      <c r="Z20" s="274"/>
      <c r="AA20" s="274"/>
      <c r="AB20" s="274"/>
      <c r="AC20" s="274"/>
      <c r="AD20" s="274"/>
      <c r="AE20" s="274"/>
      <c r="AF20" s="274"/>
      <c r="AG20" s="274"/>
      <c r="AH20" s="274"/>
      <c r="AI20" s="274"/>
      <c r="AJ20" s="274"/>
      <c r="AK20" s="274"/>
      <c r="AL20" s="271">
        <f t="shared" si="3"/>
        <v>0</v>
      </c>
      <c r="AM20" s="272"/>
      <c r="AN20" s="274"/>
      <c r="AO20" s="274"/>
      <c r="AP20" s="274"/>
      <c r="AQ20" s="274"/>
      <c r="AR20" s="274"/>
      <c r="AS20" s="274"/>
      <c r="AT20" s="274"/>
      <c r="AU20" s="274"/>
      <c r="AV20" s="274"/>
      <c r="AW20" s="274"/>
      <c r="AX20" s="274"/>
      <c r="AY20" s="274"/>
      <c r="AZ20" s="271">
        <f t="shared" si="4"/>
        <v>0</v>
      </c>
      <c r="BA20" s="270">
        <f t="shared" si="5"/>
        <v>-310647000.00000048</v>
      </c>
      <c r="BB20" s="269"/>
      <c r="BC20" s="251">
        <f t="shared" si="0"/>
        <v>0</v>
      </c>
      <c r="BD20" s="244" t="str">
        <f>IF('Budget Opex Detail'!C20="","",IF(COUNTIFS('Activity Master Opex'!$B$4:$B$58,'Budget Opex Detail'!$C20)&gt;0,"","New Activity"))</f>
        <v/>
      </c>
      <c r="BE20" s="252"/>
      <c r="BF20" s="253"/>
      <c r="BG20" s="254"/>
      <c r="BH20" s="255"/>
      <c r="BI20" s="256"/>
      <c r="BJ20" s="256"/>
      <c r="BK20" s="257"/>
      <c r="BL20" s="214">
        <f t="shared" si="6"/>
        <v>0</v>
      </c>
      <c r="BM20" s="255"/>
      <c r="BN20" s="255"/>
      <c r="BO20" s="258">
        <f t="shared" si="7"/>
        <v>0</v>
      </c>
      <c r="BP20" s="259"/>
      <c r="BR20" s="261" t="str">
        <f>IF($H20="","",VLOOKUP($H20,'Master Data'!$B:$D,3,FALSE))</f>
        <v>Professional Fees</v>
      </c>
      <c r="BS20" s="261" t="str">
        <f t="shared" si="2"/>
        <v>General Administrative</v>
      </c>
      <c r="BT20" s="261" t="str">
        <f>IF($H20="","",VLOOKUP(VALUE($H20),'Master Data'!B:I,8,FALSE))</f>
        <v>Professional fees</v>
      </c>
    </row>
    <row r="21" spans="1:72" s="260" customFormat="1" x14ac:dyDescent="0.25">
      <c r="A21" s="237" t="str">
        <f>IF(D21="","",Cover!$D$8)</f>
        <v>Finance &amp; Accounting</v>
      </c>
      <c r="B21" s="200" t="str">
        <f>IF(D21="","",IFERROR(VLOOKUP(G21,'Master Data'!$E$59:$J$146,6,FALSE),0))</f>
        <v>Accounting &amp; Fixed Asset Management</v>
      </c>
      <c r="C21" s="238" t="str">
        <f>IF(D21="","",_xlfn.XLOOKUP(D21,'Activity Master Opex'!C:C,'Activity Master Opex'!B:B,0,0,1))</f>
        <v>FA007-00011</v>
      </c>
      <c r="D21" s="263" t="s">
        <v>1210</v>
      </c>
      <c r="E21" s="262" t="str">
        <f>IF(D21="","",IFERROR(VLOOKUP(D21,'Activity Master Opex'!$C:$M,6,FALSE),0))</f>
        <v>Entertain given to vendor/consultant</v>
      </c>
      <c r="F21" s="264" t="str">
        <f>IF($C21="","",VLOOKUP($C21,'Activity Master Opex'!$B:$I,3,0))</f>
        <v>10301FA007</v>
      </c>
      <c r="G21" s="262" t="str">
        <f>IF($C21="","",VLOOKUP($F21,'Master Data'!$D$59:$E$146,2,FALSE))</f>
        <v>FIXED ASSET MGT</v>
      </c>
      <c r="H21" s="265">
        <f>IF($C21="","",VLOOKUP($C21,'Activity Master Opex'!$B:$I,5,0))</f>
        <v>62000040</v>
      </c>
      <c r="I21" s="237" t="str">
        <f>IFERROR(VLOOKUP(H21,'Master Data'!B:C,2,FALSE),"")</f>
        <v>Ent. Exp - Others Entertainment</v>
      </c>
      <c r="J21" s="275">
        <f>4387.09677419355*15500</f>
        <v>68000000.00000003</v>
      </c>
      <c r="K21" s="266">
        <v>0</v>
      </c>
      <c r="L21" s="267"/>
      <c r="M21" s="267"/>
      <c r="N21" s="267"/>
      <c r="O21" s="267"/>
      <c r="P21" s="267"/>
      <c r="Q21" s="267"/>
      <c r="R21" s="267"/>
      <c r="S21" s="267"/>
      <c r="T21" s="267"/>
      <c r="U21" s="267"/>
      <c r="V21" s="267"/>
      <c r="W21" s="267"/>
      <c r="X21" s="270">
        <f t="shared" si="9"/>
        <v>0</v>
      </c>
      <c r="Y21" s="273"/>
      <c r="Z21" s="274"/>
      <c r="AA21" s="274"/>
      <c r="AB21" s="274"/>
      <c r="AC21" s="274"/>
      <c r="AD21" s="274"/>
      <c r="AE21" s="274"/>
      <c r="AF21" s="274"/>
      <c r="AG21" s="274"/>
      <c r="AH21" s="274"/>
      <c r="AI21" s="274"/>
      <c r="AJ21" s="274"/>
      <c r="AK21" s="274"/>
      <c r="AL21" s="271">
        <f t="shared" si="3"/>
        <v>0</v>
      </c>
      <c r="AM21" s="272"/>
      <c r="AN21" s="274"/>
      <c r="AO21" s="274"/>
      <c r="AP21" s="274"/>
      <c r="AQ21" s="274"/>
      <c r="AR21" s="274"/>
      <c r="AS21" s="274"/>
      <c r="AT21" s="274"/>
      <c r="AU21" s="274"/>
      <c r="AV21" s="274"/>
      <c r="AW21" s="274"/>
      <c r="AX21" s="274"/>
      <c r="AY21" s="274"/>
      <c r="AZ21" s="271">
        <f t="shared" si="4"/>
        <v>0</v>
      </c>
      <c r="BA21" s="270">
        <f t="shared" si="5"/>
        <v>-68000000.00000003</v>
      </c>
      <c r="BB21" s="269"/>
      <c r="BC21" s="251">
        <f t="shared" si="0"/>
        <v>0</v>
      </c>
      <c r="BD21" s="244" t="str">
        <f>IF('Budget Opex Detail'!C21="","",IF(COUNTIFS('Activity Master Opex'!$B$4:$B$58,'Budget Opex Detail'!$C21)&gt;0,"","New Activity"))</f>
        <v/>
      </c>
      <c r="BE21" s="252"/>
      <c r="BF21" s="253"/>
      <c r="BG21" s="254"/>
      <c r="BH21" s="255"/>
      <c r="BI21" s="256"/>
      <c r="BJ21" s="256"/>
      <c r="BK21" s="257"/>
      <c r="BL21" s="214">
        <f t="shared" si="6"/>
        <v>0</v>
      </c>
      <c r="BM21" s="255"/>
      <c r="BN21" s="255"/>
      <c r="BO21" s="258">
        <f t="shared" si="7"/>
        <v>0</v>
      </c>
      <c r="BP21" s="259"/>
      <c r="BR21" s="261" t="str">
        <f>IF($H21="","",VLOOKUP($H21,'Master Data'!$B:$D,3,FALSE))</f>
        <v>Entertainment Expenses</v>
      </c>
      <c r="BS21" s="261" t="str">
        <f t="shared" si="2"/>
        <v>General Administrative</v>
      </c>
      <c r="BT21" s="261" t="str">
        <f>IF($H21="","",VLOOKUP(VALUE($H21),'Master Data'!B:I,8,FALSE))</f>
        <v xml:space="preserve">Entertainment </v>
      </c>
    </row>
    <row r="22" spans="1:72" s="260" customFormat="1" x14ac:dyDescent="0.25">
      <c r="A22" s="237" t="str">
        <f>IF(D22="","",Cover!$D$8)</f>
        <v>Finance &amp; Accounting</v>
      </c>
      <c r="B22" s="200" t="str">
        <f>IF(D22="","",IFERROR(VLOOKUP(G22,'Master Data'!$E$59:$J$146,6,FALSE),0))</f>
        <v>Accounting &amp; Fixed Asset Management</v>
      </c>
      <c r="C22" s="238" t="str">
        <f>IF(D22="","",_xlfn.XLOOKUP(D22,'Activity Master Opex'!C:C,'Activity Master Opex'!B:B,0,0,1))</f>
        <v>FA007-00012</v>
      </c>
      <c r="D22" s="263" t="s">
        <v>1213</v>
      </c>
      <c r="E22" s="262" t="str">
        <f>IF(D22="","",IFERROR(VLOOKUP(D22,'Activity Master Opex'!$C:$M,6,FALSE),0))</f>
        <v>License software to support daily job if needed (Adobe, Drawing license, etc)</v>
      </c>
      <c r="F22" s="264" t="str">
        <f>IF($C22="","",VLOOKUP($C22,'Activity Master Opex'!$B:$I,3,0))</f>
        <v>10301FA007</v>
      </c>
      <c r="G22" s="262" t="str">
        <f>IF($C22="","",VLOOKUP($F22,'Master Data'!$D$59:$E$146,2,FALSE))</f>
        <v>FIXED ASSET MGT</v>
      </c>
      <c r="H22" s="265">
        <f>IF($C22="","",VLOOKUP($C22,'Activity Master Opex'!$B:$I,5,0))</f>
        <v>62900020</v>
      </c>
      <c r="I22" s="237" t="str">
        <f>IFERROR(VLOOKUP(H22,'Master Data'!B:C,2,FALSE),"")</f>
        <v>Subscriptions and Periodicals</v>
      </c>
      <c r="J22" s="275">
        <f>399.99*15500</f>
        <v>6199845</v>
      </c>
      <c r="K22" s="266">
        <v>0</v>
      </c>
      <c r="L22" s="267"/>
      <c r="M22" s="267"/>
      <c r="N22" s="267"/>
      <c r="O22" s="267"/>
      <c r="P22" s="267"/>
      <c r="Q22" s="267"/>
      <c r="R22" s="267"/>
      <c r="S22" s="267"/>
      <c r="T22" s="267"/>
      <c r="U22" s="267"/>
      <c r="V22" s="267"/>
      <c r="W22" s="267"/>
      <c r="X22" s="270">
        <f t="shared" si="9"/>
        <v>0</v>
      </c>
      <c r="Y22" s="273"/>
      <c r="Z22" s="274"/>
      <c r="AA22" s="274"/>
      <c r="AB22" s="274"/>
      <c r="AC22" s="274"/>
      <c r="AD22" s="274"/>
      <c r="AE22" s="274"/>
      <c r="AF22" s="274"/>
      <c r="AG22" s="274"/>
      <c r="AH22" s="274"/>
      <c r="AI22" s="274"/>
      <c r="AJ22" s="274"/>
      <c r="AK22" s="274"/>
      <c r="AL22" s="271">
        <f t="shared" si="3"/>
        <v>0</v>
      </c>
      <c r="AM22" s="272"/>
      <c r="AN22" s="274"/>
      <c r="AO22" s="274"/>
      <c r="AP22" s="274"/>
      <c r="AQ22" s="274"/>
      <c r="AR22" s="274"/>
      <c r="AS22" s="274"/>
      <c r="AT22" s="274"/>
      <c r="AU22" s="274"/>
      <c r="AV22" s="274"/>
      <c r="AW22" s="274"/>
      <c r="AX22" s="274"/>
      <c r="AY22" s="274"/>
      <c r="AZ22" s="271">
        <f t="shared" si="4"/>
        <v>0</v>
      </c>
      <c r="BA22" s="270">
        <f t="shared" si="5"/>
        <v>-6199845</v>
      </c>
      <c r="BB22" s="269"/>
      <c r="BC22" s="251">
        <f t="shared" si="0"/>
        <v>0</v>
      </c>
      <c r="BD22" s="244" t="str">
        <f>IF('Budget Opex Detail'!C22="","",IF(COUNTIFS('Activity Master Opex'!$B$4:$B$58,'Budget Opex Detail'!$C22)&gt;0,"","New Activity"))</f>
        <v/>
      </c>
      <c r="BE22" s="252"/>
      <c r="BF22" s="253"/>
      <c r="BG22" s="254"/>
      <c r="BH22" s="255"/>
      <c r="BI22" s="256"/>
      <c r="BJ22" s="256"/>
      <c r="BK22" s="257"/>
      <c r="BL22" s="214">
        <f t="shared" si="6"/>
        <v>0</v>
      </c>
      <c r="BM22" s="255"/>
      <c r="BN22" s="255"/>
      <c r="BO22" s="258">
        <f t="shared" si="7"/>
        <v>0</v>
      </c>
      <c r="BP22" s="259"/>
      <c r="BR22" s="261" t="str">
        <f>IF($H22="","",VLOOKUP($H22,'Master Data'!$B:$D,3,FALSE))</f>
        <v>Membership &amp; Sponsorship</v>
      </c>
      <c r="BS22" s="261" t="str">
        <f t="shared" si="2"/>
        <v>General Administrative</v>
      </c>
      <c r="BT22" s="261" t="str">
        <f>IF($H22="","",VLOOKUP(VALUE($H22),'Master Data'!B:I,8,FALSE))</f>
        <v>Subscriptions and Periodicals</v>
      </c>
    </row>
    <row r="23" spans="1:72" s="260" customFormat="1" x14ac:dyDescent="0.25">
      <c r="A23" s="237" t="str">
        <f>IF(D23="","",Cover!$D$8)</f>
        <v>Finance &amp; Accounting</v>
      </c>
      <c r="B23" s="200" t="str">
        <f>IF(D23="","",IFERROR(VLOOKUP(G23,'Master Data'!$E$59:$J$146,6,FALSE),0))</f>
        <v>Accounting &amp; Fixed Asset Management</v>
      </c>
      <c r="C23" s="238" t="str">
        <f>IF(D23="","",_xlfn.XLOOKUP(D23,'Activity Master Opex'!C:C,'Activity Master Opex'!B:B,0,0,1))</f>
        <v>FA008-00001</v>
      </c>
      <c r="D23" s="263" t="s">
        <v>1216</v>
      </c>
      <c r="E23" s="262" t="str">
        <f>IF(D23="","",IFERROR(VLOOKUP(D23,'Activity Master Opex'!$C:$M,6,FALSE),0))</f>
        <v>Business travel expenses of Head of Finance</v>
      </c>
      <c r="F23" s="264" t="str">
        <f>IF($C23="","",VLOOKUP($C23,'Activity Master Opex'!$B:$I,3,0))</f>
        <v>10301FA008</v>
      </c>
      <c r="G23" s="262" t="str">
        <f>IF($C23="","",VLOOKUP($F23,'Master Data'!$D$59:$E$146,2,FALSE))</f>
        <v>HEAD OF FINANCE EXP</v>
      </c>
      <c r="H23" s="265">
        <f>IF($C23="","",VLOOKUP($C23,'Activity Master Opex'!$B:$I,5,0))</f>
        <v>62400030</v>
      </c>
      <c r="I23" s="237" t="str">
        <f>IFERROR(VLOOKUP(H23,'Master Data'!B:C,2,FALSE),"")</f>
        <v>Gen. Transp. Travelling Expenses</v>
      </c>
      <c r="J23" s="275">
        <f>11824.5161290323*15500</f>
        <v>183280000.00000066</v>
      </c>
      <c r="K23" s="266">
        <v>98866361</v>
      </c>
      <c r="L23" s="267"/>
      <c r="M23" s="267"/>
      <c r="N23" s="267"/>
      <c r="O23" s="267"/>
      <c r="P23" s="267"/>
      <c r="Q23" s="267"/>
      <c r="R23" s="267"/>
      <c r="S23" s="267"/>
      <c r="T23" s="267"/>
      <c r="U23" s="267"/>
      <c r="V23" s="267"/>
      <c r="W23" s="267"/>
      <c r="X23" s="270">
        <f t="shared" si="9"/>
        <v>0</v>
      </c>
      <c r="Y23" s="273"/>
      <c r="Z23" s="274"/>
      <c r="AA23" s="274"/>
      <c r="AB23" s="274"/>
      <c r="AC23" s="274"/>
      <c r="AD23" s="274"/>
      <c r="AE23" s="274"/>
      <c r="AF23" s="274"/>
      <c r="AG23" s="274"/>
      <c r="AH23" s="274"/>
      <c r="AI23" s="274"/>
      <c r="AJ23" s="274"/>
      <c r="AK23" s="274"/>
      <c r="AL23" s="271">
        <f t="shared" si="3"/>
        <v>0</v>
      </c>
      <c r="AM23" s="272"/>
      <c r="AN23" s="274"/>
      <c r="AO23" s="274"/>
      <c r="AP23" s="274"/>
      <c r="AQ23" s="274"/>
      <c r="AR23" s="274"/>
      <c r="AS23" s="274"/>
      <c r="AT23" s="274"/>
      <c r="AU23" s="274"/>
      <c r="AV23" s="274"/>
      <c r="AW23" s="274"/>
      <c r="AX23" s="274"/>
      <c r="AY23" s="274"/>
      <c r="AZ23" s="271">
        <f t="shared" si="4"/>
        <v>0</v>
      </c>
      <c r="BA23" s="270">
        <f t="shared" si="5"/>
        <v>-183280000.00000066</v>
      </c>
      <c r="BB23" s="269"/>
      <c r="BC23" s="251">
        <f t="shared" si="0"/>
        <v>0</v>
      </c>
      <c r="BD23" s="244" t="str">
        <f>IF('Budget Opex Detail'!C23="","",IF(COUNTIFS('Activity Master Opex'!$B$4:$B$58,'Budget Opex Detail'!$C23)&gt;0,"","New Activity"))</f>
        <v/>
      </c>
      <c r="BE23" s="252"/>
      <c r="BF23" s="253"/>
      <c r="BG23" s="254"/>
      <c r="BH23" s="255"/>
      <c r="BI23" s="256"/>
      <c r="BJ23" s="256"/>
      <c r="BK23" s="257"/>
      <c r="BL23" s="214">
        <f t="shared" si="6"/>
        <v>0</v>
      </c>
      <c r="BM23" s="255"/>
      <c r="BN23" s="255"/>
      <c r="BO23" s="258">
        <f t="shared" si="7"/>
        <v>0</v>
      </c>
      <c r="BP23" s="259"/>
      <c r="BR23" s="261" t="str">
        <f>IF($H23="","",VLOOKUP($H23,'Master Data'!$B:$D,3,FALSE))</f>
        <v>General Transportation Exp</v>
      </c>
      <c r="BS23" s="261" t="str">
        <f t="shared" si="2"/>
        <v>General Administrative</v>
      </c>
      <c r="BT23" s="261" t="str">
        <f>IF($H23="","",VLOOKUP(VALUE($H23),'Master Data'!B:I,8,FALSE))</f>
        <v>General transportation</v>
      </c>
    </row>
    <row r="24" spans="1:72" s="260" customFormat="1" x14ac:dyDescent="0.25">
      <c r="A24" s="237" t="str">
        <f>IF(D24="","",Cover!$D$8)</f>
        <v>Finance &amp; Accounting</v>
      </c>
      <c r="B24" s="200" t="str">
        <f>IF(D24="","",IFERROR(VLOOKUP(G24,'Master Data'!$E$59:$J$146,6,FALSE),0))</f>
        <v>Accounting &amp; Fixed Asset Management</v>
      </c>
      <c r="C24" s="238" t="str">
        <f>IF(D24="","",_xlfn.XLOOKUP(D24,'Activity Master Opex'!C:C,'Activity Master Opex'!B:B,0,0,1))</f>
        <v>FA008-00002</v>
      </c>
      <c r="D24" s="263" t="s">
        <v>1220</v>
      </c>
      <c r="E24" s="262" t="str">
        <f>IF(D24="","",IFERROR(VLOOKUP(D24,'Activity Master Opex'!$C:$M,6,FALSE),0))</f>
        <v>Meeting expenses of Head of Finance</v>
      </c>
      <c r="F24" s="264" t="str">
        <f>IF($C24="","",VLOOKUP($C24,'Activity Master Opex'!$B:$I,3,0))</f>
        <v>10301FA008</v>
      </c>
      <c r="G24" s="262" t="str">
        <f>IF($C24="","",VLOOKUP($F24,'Master Data'!$D$59:$E$146,2,FALSE))</f>
        <v>HEAD OF FINANCE EXP</v>
      </c>
      <c r="H24" s="265">
        <f>IF($C24="","",VLOOKUP($C24,'Activity Master Opex'!$B:$I,5,0))</f>
        <v>62300010</v>
      </c>
      <c r="I24" s="237" t="str">
        <f>IFERROR(VLOOKUP(H24,'Master Data'!B:C,2,FALSE),"")</f>
        <v>Meeting Expenses</v>
      </c>
      <c r="J24" s="275">
        <f>3058.06451612903*15500</f>
        <v>47399999.999999963</v>
      </c>
      <c r="K24" s="266">
        <v>0</v>
      </c>
      <c r="L24" s="267"/>
      <c r="M24" s="267"/>
      <c r="N24" s="267"/>
      <c r="O24" s="267"/>
      <c r="P24" s="267"/>
      <c r="Q24" s="267"/>
      <c r="R24" s="267"/>
      <c r="S24" s="267"/>
      <c r="T24" s="267"/>
      <c r="U24" s="267"/>
      <c r="V24" s="267"/>
      <c r="W24" s="267"/>
      <c r="X24" s="270">
        <f t="shared" si="9"/>
        <v>0</v>
      </c>
      <c r="Y24" s="273"/>
      <c r="Z24" s="274"/>
      <c r="AA24" s="274"/>
      <c r="AB24" s="274"/>
      <c r="AC24" s="274"/>
      <c r="AD24" s="274"/>
      <c r="AE24" s="274"/>
      <c r="AF24" s="274"/>
      <c r="AG24" s="274"/>
      <c r="AH24" s="274"/>
      <c r="AI24" s="274"/>
      <c r="AJ24" s="274"/>
      <c r="AK24" s="274"/>
      <c r="AL24" s="271">
        <f t="shared" si="3"/>
        <v>0</v>
      </c>
      <c r="AM24" s="272"/>
      <c r="AN24" s="274"/>
      <c r="AO24" s="274"/>
      <c r="AP24" s="274"/>
      <c r="AQ24" s="274"/>
      <c r="AR24" s="274"/>
      <c r="AS24" s="274"/>
      <c r="AT24" s="274"/>
      <c r="AU24" s="274"/>
      <c r="AV24" s="274"/>
      <c r="AW24" s="274"/>
      <c r="AX24" s="274"/>
      <c r="AY24" s="274"/>
      <c r="AZ24" s="271">
        <f t="shared" si="4"/>
        <v>0</v>
      </c>
      <c r="BA24" s="270">
        <f t="shared" si="5"/>
        <v>-47399999.999999963</v>
      </c>
      <c r="BB24" s="269"/>
      <c r="BC24" s="251">
        <f t="shared" si="0"/>
        <v>0</v>
      </c>
      <c r="BD24" s="244" t="str">
        <f>IF('Budget Opex Detail'!C24="","",IF(COUNTIFS('Activity Master Opex'!$B$4:$B$58,'Budget Opex Detail'!$C24)&gt;0,"","New Activity"))</f>
        <v/>
      </c>
      <c r="BE24" s="252"/>
      <c r="BF24" s="253"/>
      <c r="BG24" s="254"/>
      <c r="BH24" s="255"/>
      <c r="BI24" s="256"/>
      <c r="BJ24" s="256"/>
      <c r="BK24" s="257"/>
      <c r="BL24" s="214">
        <f t="shared" si="6"/>
        <v>0</v>
      </c>
      <c r="BM24" s="255"/>
      <c r="BN24" s="255"/>
      <c r="BO24" s="258">
        <f t="shared" si="7"/>
        <v>0</v>
      </c>
      <c r="BP24" s="259"/>
      <c r="BR24" s="261" t="str">
        <f>IF($H24="","",VLOOKUP($H24,'Master Data'!$B:$D,3,FALSE))</f>
        <v>Meeting &amp; Ceremony Expense</v>
      </c>
      <c r="BS24" s="261" t="str">
        <f t="shared" si="2"/>
        <v>General Administrative</v>
      </c>
      <c r="BT24" s="261" t="str">
        <f>IF($H24="","",VLOOKUP(VALUE($H24),'Master Data'!B:I,8,FALSE))</f>
        <v>Meeting and ceremony</v>
      </c>
    </row>
    <row r="25" spans="1:72" s="260" customFormat="1" x14ac:dyDescent="0.25">
      <c r="A25" s="237" t="str">
        <f>IF(D25="","",Cover!$D$8)</f>
        <v>Finance &amp; Accounting</v>
      </c>
      <c r="B25" s="200" t="str">
        <f>IF(D25="","",IFERROR(VLOOKUP(G25,'Master Data'!$E$59:$J$146,6,FALSE),0))</f>
        <v>Taxation</v>
      </c>
      <c r="C25" s="238" t="str">
        <f>IF(D25="","",_xlfn.XLOOKUP(D25,'Activity Master Opex'!C:C,'Activity Master Opex'!B:B,0,0,1))</f>
        <v>FA003-00001</v>
      </c>
      <c r="D25" s="263" t="s">
        <v>1142</v>
      </c>
      <c r="E25" s="262" t="str">
        <f>IF(D25="","",IFERROR(VLOOKUP(D25,'Activity Master Opex'!$C:$M,6,FALSE),0))</f>
        <v>PF - Tax Consultan Fee</v>
      </c>
      <c r="F25" s="264" t="str">
        <f>IF($C25="","",VLOOKUP($C25,'Activity Master Opex'!$B:$I,3,0))</f>
        <v>10301FA003</v>
      </c>
      <c r="G25" s="262" t="str">
        <f>IF($C25="","",VLOOKUP($F25,'Master Data'!$D$59:$E$146,2,FALSE))</f>
        <v>TAX</v>
      </c>
      <c r="H25" s="265">
        <f>IF($C25="","",VLOOKUP($C25,'Activity Master Opex'!$B:$I,5,0))</f>
        <v>61900020</v>
      </c>
      <c r="I25" s="237" t="str">
        <f>IFERROR(VLOOKUP(H25,'Master Data'!B:C,2,FALSE),"")</f>
        <v>PF - Tax Consultan Fee</v>
      </c>
      <c r="J25" s="266">
        <f>5419.35483870968*15500</f>
        <v>84000000.000000045</v>
      </c>
      <c r="K25" s="266">
        <v>30000000</v>
      </c>
      <c r="L25" s="267"/>
      <c r="M25" s="267"/>
      <c r="N25" s="267"/>
      <c r="O25" s="267"/>
      <c r="P25" s="267"/>
      <c r="Q25" s="267"/>
      <c r="R25" s="267"/>
      <c r="S25" s="267"/>
      <c r="T25" s="267"/>
      <c r="U25" s="267"/>
      <c r="V25" s="267"/>
      <c r="W25" s="267"/>
      <c r="X25" s="270">
        <f t="shared" si="9"/>
        <v>0</v>
      </c>
      <c r="Y25" s="276"/>
      <c r="Z25" s="274"/>
      <c r="AA25" s="274"/>
      <c r="AB25" s="274"/>
      <c r="AC25" s="274"/>
      <c r="AD25" s="274"/>
      <c r="AE25" s="274"/>
      <c r="AF25" s="274"/>
      <c r="AG25" s="274"/>
      <c r="AH25" s="274"/>
      <c r="AI25" s="274"/>
      <c r="AJ25" s="274"/>
      <c r="AK25" s="274"/>
      <c r="AL25" s="271">
        <f t="shared" si="3"/>
        <v>0</v>
      </c>
      <c r="AM25" s="272"/>
      <c r="AN25" s="274"/>
      <c r="AO25" s="274"/>
      <c r="AP25" s="274"/>
      <c r="AQ25" s="274"/>
      <c r="AR25" s="274"/>
      <c r="AS25" s="274"/>
      <c r="AT25" s="274"/>
      <c r="AU25" s="274"/>
      <c r="AV25" s="274"/>
      <c r="AW25" s="274"/>
      <c r="AX25" s="274"/>
      <c r="AY25" s="274"/>
      <c r="AZ25" s="271">
        <f t="shared" si="4"/>
        <v>0</v>
      </c>
      <c r="BA25" s="270">
        <f t="shared" si="5"/>
        <v>-84000000.000000045</v>
      </c>
      <c r="BB25" s="269"/>
      <c r="BC25" s="251">
        <f t="shared" si="0"/>
        <v>0</v>
      </c>
      <c r="BD25" s="244" t="str">
        <f>IF('Budget Opex Detail'!C25="","",IF(COUNTIFS('Activity Master Opex'!$B$4:$B$58,'Budget Opex Detail'!$C25)&gt;0,"","New Activity"))</f>
        <v/>
      </c>
      <c r="BE25" s="252"/>
      <c r="BF25" s="253"/>
      <c r="BG25" s="254"/>
      <c r="BH25" s="255"/>
      <c r="BI25" s="256"/>
      <c r="BJ25" s="256"/>
      <c r="BK25" s="257"/>
      <c r="BL25" s="214">
        <f t="shared" si="6"/>
        <v>0</v>
      </c>
      <c r="BM25" s="255"/>
      <c r="BN25" s="255"/>
      <c r="BO25" s="258">
        <f t="shared" si="7"/>
        <v>0</v>
      </c>
      <c r="BP25" s="259"/>
      <c r="BR25" s="261" t="str">
        <f>IF($H25="","",VLOOKUP($H25,'Master Data'!$B:$D,3,FALSE))</f>
        <v>Professional Fees</v>
      </c>
      <c r="BS25" s="261" t="str">
        <f t="shared" si="2"/>
        <v>General Administrative</v>
      </c>
      <c r="BT25" s="261" t="str">
        <f>IF($H25="","",VLOOKUP(VALUE($H25),'Master Data'!B:I,8,FALSE))</f>
        <v>Professional fees</v>
      </c>
    </row>
    <row r="26" spans="1:72" s="260" customFormat="1" x14ac:dyDescent="0.25">
      <c r="A26" s="237" t="str">
        <f>IF(D26="","",Cover!$D$8)</f>
        <v>Finance &amp; Accounting</v>
      </c>
      <c r="B26" s="200" t="str">
        <f>IF(D26="","",IFERROR(VLOOKUP(G26,'Master Data'!$E$59:$J$146,6,FALSE),0))</f>
        <v>Taxation</v>
      </c>
      <c r="C26" s="238" t="str">
        <f>IF(D26="","",_xlfn.XLOOKUP(D26,'Activity Master Opex'!C:C,'Activity Master Opex'!B:B,0,0,1))</f>
        <v>FA003-00002</v>
      </c>
      <c r="D26" s="263" t="s">
        <v>1144</v>
      </c>
      <c r="E26" s="262" t="str">
        <f>IF(D26="","",IFERROR(VLOOKUP(D26,'Activity Master Opex'!$C:$M,6,FALSE),0))</f>
        <v>PF - Tax Consultan Fee</v>
      </c>
      <c r="F26" s="264" t="str">
        <f>IF($C26="","",VLOOKUP($C26,'Activity Master Opex'!$B:$I,3,0))</f>
        <v>10301FA003</v>
      </c>
      <c r="G26" s="262" t="str">
        <f>IF($C26="","",VLOOKUP($F26,'Master Data'!$D$59:$E$146,2,FALSE))</f>
        <v>TAX</v>
      </c>
      <c r="H26" s="265">
        <f>IF($C26="","",VLOOKUP($C26,'Activity Master Opex'!$B:$I,5,0))</f>
        <v>61900020</v>
      </c>
      <c r="I26" s="237" t="str">
        <f>IFERROR(VLOOKUP(H26,'Master Data'!B:C,2,FALSE),"")</f>
        <v>PF - Tax Consultan Fee</v>
      </c>
      <c r="J26" s="266">
        <f>4959.67741935484*15500</f>
        <v>76875000.000000015</v>
      </c>
      <c r="K26" s="266">
        <v>0</v>
      </c>
      <c r="L26" s="267"/>
      <c r="M26" s="267"/>
      <c r="N26" s="267"/>
      <c r="O26" s="267"/>
      <c r="P26" s="267"/>
      <c r="Q26" s="267"/>
      <c r="R26" s="267"/>
      <c r="S26" s="267"/>
      <c r="T26" s="267"/>
      <c r="U26" s="267"/>
      <c r="V26" s="267"/>
      <c r="W26" s="267"/>
      <c r="X26" s="270">
        <f t="shared" si="9"/>
        <v>0</v>
      </c>
      <c r="Y26" s="277"/>
      <c r="Z26" s="278"/>
      <c r="AA26" s="278"/>
      <c r="AB26" s="278"/>
      <c r="AC26" s="278"/>
      <c r="AD26" s="278"/>
      <c r="AE26" s="278"/>
      <c r="AF26" s="278"/>
      <c r="AG26" s="278"/>
      <c r="AH26" s="278"/>
      <c r="AI26" s="278"/>
      <c r="AJ26" s="278"/>
      <c r="AK26" s="278"/>
      <c r="AL26" s="271">
        <f t="shared" si="3"/>
        <v>0</v>
      </c>
      <c r="AM26" s="279"/>
      <c r="AN26" s="278"/>
      <c r="AO26" s="278"/>
      <c r="AP26" s="278"/>
      <c r="AQ26" s="278"/>
      <c r="AR26" s="278"/>
      <c r="AS26" s="278"/>
      <c r="AT26" s="278"/>
      <c r="AU26" s="278"/>
      <c r="AV26" s="278"/>
      <c r="AW26" s="278"/>
      <c r="AX26" s="278"/>
      <c r="AY26" s="278"/>
      <c r="AZ26" s="271">
        <f t="shared" si="4"/>
        <v>0</v>
      </c>
      <c r="BA26" s="270">
        <f t="shared" si="5"/>
        <v>-76875000.000000015</v>
      </c>
      <c r="BB26" s="269"/>
      <c r="BC26" s="251">
        <f t="shared" si="0"/>
        <v>0</v>
      </c>
      <c r="BD26" s="244" t="str">
        <f>IF('Budget Opex Detail'!C26="","",IF(COUNTIFS('Activity Master Opex'!$B$4:$B$58,'Budget Opex Detail'!$C26)&gt;0,"","New Activity"))</f>
        <v/>
      </c>
      <c r="BE26" s="252"/>
      <c r="BF26" s="253"/>
      <c r="BG26" s="254"/>
      <c r="BH26" s="255"/>
      <c r="BI26" s="256"/>
      <c r="BJ26" s="256"/>
      <c r="BK26" s="257"/>
      <c r="BL26" s="214">
        <f t="shared" si="6"/>
        <v>0</v>
      </c>
      <c r="BM26" s="255"/>
      <c r="BN26" s="255"/>
      <c r="BO26" s="258">
        <f t="shared" si="7"/>
        <v>0</v>
      </c>
      <c r="BP26" s="259"/>
      <c r="BR26" s="261" t="str">
        <f>IF($H26="","",VLOOKUP($H26,'Master Data'!$B:$D,3,FALSE))</f>
        <v>Professional Fees</v>
      </c>
      <c r="BS26" s="261" t="str">
        <f t="shared" si="2"/>
        <v>General Administrative</v>
      </c>
      <c r="BT26" s="261" t="str">
        <f>IF($H26="","",VLOOKUP(VALUE($H26),'Master Data'!B:I,8,FALSE))</f>
        <v>Professional fees</v>
      </c>
    </row>
    <row r="27" spans="1:72" s="260" customFormat="1" x14ac:dyDescent="0.25">
      <c r="A27" s="237" t="str">
        <f>IF(D27="","",Cover!$D$8)</f>
        <v>Finance &amp; Accounting</v>
      </c>
      <c r="B27" s="200" t="str">
        <f>IF(D27="","",IFERROR(VLOOKUP(G27,'Master Data'!$E$59:$J$146,6,FALSE),0))</f>
        <v>Taxation</v>
      </c>
      <c r="C27" s="238" t="str">
        <f>IF(D27="","",_xlfn.XLOOKUP(D27,'Activity Master Opex'!C:C,'Activity Master Opex'!B:B,0,0,1))</f>
        <v>FA003-00003</v>
      </c>
      <c r="D27" s="263" t="s">
        <v>1146</v>
      </c>
      <c r="E27" s="262" t="str">
        <f>IF(D27="","",IFERROR(VLOOKUP(D27,'Activity Master Opex'!$C:$M,6,FALSE),0))</f>
        <v>TL - Others Tax and License</v>
      </c>
      <c r="F27" s="264" t="str">
        <f>IF($C27="","",VLOOKUP($C27,'Activity Master Opex'!$B:$I,3,0))</f>
        <v>10301FA003</v>
      </c>
      <c r="G27" s="262" t="str">
        <f>IF($C27="","",VLOOKUP($F27,'Master Data'!$D$59:$E$146,2,FALSE))</f>
        <v>TAX</v>
      </c>
      <c r="H27" s="265">
        <f>IF($C27="","",VLOOKUP($C27,'Activity Master Opex'!$B:$I,5,0))</f>
        <v>62100050</v>
      </c>
      <c r="I27" s="237" t="str">
        <f>IFERROR(VLOOKUP(H27,'Master Data'!B:C,2,FALSE),"")</f>
        <v>TL - Others Tax and License</v>
      </c>
      <c r="J27" s="266">
        <f>3110.01636574739*15500</f>
        <v>48205253.669084541</v>
      </c>
      <c r="K27" s="266">
        <v>13807814</v>
      </c>
      <c r="L27" s="267"/>
      <c r="M27" s="267"/>
      <c r="N27" s="267"/>
      <c r="O27" s="267"/>
      <c r="P27" s="267"/>
      <c r="Q27" s="267"/>
      <c r="R27" s="267"/>
      <c r="S27" s="267"/>
      <c r="T27" s="267"/>
      <c r="U27" s="267"/>
      <c r="V27" s="267"/>
      <c r="W27" s="267"/>
      <c r="X27" s="270">
        <f t="shared" si="9"/>
        <v>0</v>
      </c>
      <c r="Y27" s="277"/>
      <c r="Z27" s="278"/>
      <c r="AA27" s="278"/>
      <c r="AB27" s="278"/>
      <c r="AC27" s="278"/>
      <c r="AD27" s="278"/>
      <c r="AE27" s="278"/>
      <c r="AF27" s="278"/>
      <c r="AG27" s="278"/>
      <c r="AH27" s="278"/>
      <c r="AI27" s="278"/>
      <c r="AJ27" s="278"/>
      <c r="AK27" s="278"/>
      <c r="AL27" s="271">
        <f t="shared" si="3"/>
        <v>0</v>
      </c>
      <c r="AM27" s="279"/>
      <c r="AN27" s="278"/>
      <c r="AO27" s="278"/>
      <c r="AP27" s="278"/>
      <c r="AQ27" s="278"/>
      <c r="AR27" s="278"/>
      <c r="AS27" s="278"/>
      <c r="AT27" s="278"/>
      <c r="AU27" s="278"/>
      <c r="AV27" s="278"/>
      <c r="AW27" s="278"/>
      <c r="AX27" s="278"/>
      <c r="AY27" s="278"/>
      <c r="AZ27" s="271">
        <f t="shared" si="4"/>
        <v>0</v>
      </c>
      <c r="BA27" s="270">
        <f t="shared" si="5"/>
        <v>-48205253.669084541</v>
      </c>
      <c r="BB27" s="269"/>
      <c r="BC27" s="251">
        <f t="shared" si="0"/>
        <v>0</v>
      </c>
      <c r="BD27" s="244" t="str">
        <f>IF('Budget Opex Detail'!C27="","",IF(COUNTIFS('Activity Master Opex'!$B$4:$B$58,'Budget Opex Detail'!$C27)&gt;0,"","New Activity"))</f>
        <v/>
      </c>
      <c r="BE27" s="252"/>
      <c r="BF27" s="253"/>
      <c r="BG27" s="254"/>
      <c r="BH27" s="255"/>
      <c r="BI27" s="256"/>
      <c r="BJ27" s="256"/>
      <c r="BK27" s="257"/>
      <c r="BL27" s="214">
        <f t="shared" si="6"/>
        <v>0</v>
      </c>
      <c r="BM27" s="255"/>
      <c r="BN27" s="255"/>
      <c r="BO27" s="258">
        <f t="shared" si="7"/>
        <v>0</v>
      </c>
      <c r="BP27" s="259"/>
      <c r="BR27" s="261" t="str">
        <f>IF($H27="","",VLOOKUP($H27,'Master Data'!$B:$D,3,FALSE))</f>
        <v>Tax and Licenses Expenses</v>
      </c>
      <c r="BS27" s="261" t="str">
        <f t="shared" si="2"/>
        <v>General Administrative</v>
      </c>
      <c r="BT27" s="261" t="str">
        <f>IF($H27="","",VLOOKUP(VALUE($H27),'Master Data'!B:I,8,FALSE))</f>
        <v>Tax and license</v>
      </c>
    </row>
    <row r="28" spans="1:72" s="260" customFormat="1" x14ac:dyDescent="0.25">
      <c r="A28" s="237" t="str">
        <f>IF(D28="","",Cover!$D$8)</f>
        <v>Finance &amp; Accounting</v>
      </c>
      <c r="B28" s="200" t="str">
        <f>IF(D28="","",IFERROR(VLOOKUP(G28,'Master Data'!$E$59:$J$146,6,FALSE),0))</f>
        <v>Taxation</v>
      </c>
      <c r="C28" s="238" t="str">
        <f>IF(D28="","",_xlfn.XLOOKUP(D28,'Activity Master Opex'!C:C,'Activity Master Opex'!B:B,0,0,1))</f>
        <v>FA003-00004</v>
      </c>
      <c r="D28" s="263" t="s">
        <v>1421</v>
      </c>
      <c r="E28" s="262" t="str">
        <f>IF(D28="","",IFERROR(VLOOKUP(D28,'Activity Master Opex'!$C:$M,6,FALSE),0))</f>
        <v>Ent. Exp - Others Entertainment</v>
      </c>
      <c r="F28" s="264" t="str">
        <f>IF($C28="","",VLOOKUP($C28,'Activity Master Opex'!$B:$I,3,0))</f>
        <v>10301FA003</v>
      </c>
      <c r="G28" s="262" t="str">
        <f>IF($C28="","",VLOOKUP($F28,'Master Data'!$D$59:$E$146,2,FALSE))</f>
        <v>TAX</v>
      </c>
      <c r="H28" s="265">
        <f>IF($C28="","",VLOOKUP($C28,'Activity Master Opex'!$B:$I,5,0))</f>
        <v>62000040</v>
      </c>
      <c r="I28" s="237" t="str">
        <f>IFERROR(VLOOKUP(H28,'Master Data'!B:C,2,FALSE),"")</f>
        <v>Ent. Exp - Others Entertainment</v>
      </c>
      <c r="J28" s="266">
        <f>3213.0064516129*15500</f>
        <v>49801599.999999948</v>
      </c>
      <c r="K28" s="266">
        <v>0</v>
      </c>
      <c r="L28" s="267"/>
      <c r="M28" s="267"/>
      <c r="N28" s="267"/>
      <c r="O28" s="267"/>
      <c r="P28" s="267"/>
      <c r="Q28" s="267"/>
      <c r="R28" s="267"/>
      <c r="S28" s="267"/>
      <c r="T28" s="267"/>
      <c r="U28" s="267"/>
      <c r="V28" s="267"/>
      <c r="W28" s="267"/>
      <c r="X28" s="270">
        <f t="shared" si="9"/>
        <v>0</v>
      </c>
      <c r="Y28" s="277"/>
      <c r="Z28" s="278"/>
      <c r="AA28" s="278"/>
      <c r="AB28" s="278"/>
      <c r="AC28" s="278"/>
      <c r="AD28" s="278"/>
      <c r="AE28" s="278"/>
      <c r="AF28" s="278"/>
      <c r="AG28" s="278"/>
      <c r="AH28" s="278"/>
      <c r="AI28" s="278"/>
      <c r="AJ28" s="278"/>
      <c r="AK28" s="278"/>
      <c r="AL28" s="271">
        <f t="shared" si="3"/>
        <v>0</v>
      </c>
      <c r="AM28" s="279"/>
      <c r="AN28" s="278"/>
      <c r="AO28" s="278"/>
      <c r="AP28" s="278"/>
      <c r="AQ28" s="278"/>
      <c r="AR28" s="278"/>
      <c r="AS28" s="278"/>
      <c r="AT28" s="278"/>
      <c r="AU28" s="278"/>
      <c r="AV28" s="278"/>
      <c r="AW28" s="278"/>
      <c r="AX28" s="278"/>
      <c r="AY28" s="278"/>
      <c r="AZ28" s="271">
        <f t="shared" si="4"/>
        <v>0</v>
      </c>
      <c r="BA28" s="270">
        <f t="shared" si="5"/>
        <v>-49801599.999999948</v>
      </c>
      <c r="BB28" s="269"/>
      <c r="BC28" s="251">
        <f t="shared" si="0"/>
        <v>0</v>
      </c>
      <c r="BD28" s="244" t="str">
        <f>IF('Budget Opex Detail'!C28="","",IF(COUNTIFS('Activity Master Opex'!$B$4:$B$58,'Budget Opex Detail'!$C28)&gt;0,"","New Activity"))</f>
        <v/>
      </c>
      <c r="BE28" s="252"/>
      <c r="BF28" s="253"/>
      <c r="BG28" s="254"/>
      <c r="BH28" s="255"/>
      <c r="BI28" s="256"/>
      <c r="BJ28" s="256"/>
      <c r="BK28" s="257"/>
      <c r="BL28" s="214">
        <f t="shared" si="6"/>
        <v>0</v>
      </c>
      <c r="BM28" s="255"/>
      <c r="BN28" s="255"/>
      <c r="BO28" s="258">
        <f t="shared" si="7"/>
        <v>0</v>
      </c>
      <c r="BP28" s="259"/>
      <c r="BR28" s="261" t="str">
        <f>IF($H28="","",VLOOKUP($H28,'Master Data'!$B:$D,3,FALSE))</f>
        <v>Entertainment Expenses</v>
      </c>
      <c r="BS28" s="261" t="str">
        <f t="shared" si="2"/>
        <v>General Administrative</v>
      </c>
      <c r="BT28" s="261" t="str">
        <f>IF($H28="","",VLOOKUP(VALUE($H28),'Master Data'!B:I,8,FALSE))</f>
        <v xml:space="preserve">Entertainment </v>
      </c>
    </row>
    <row r="29" spans="1:72" s="260" customFormat="1" x14ac:dyDescent="0.25">
      <c r="A29" s="237" t="str">
        <f>IF(D29="","",Cover!$D$8)</f>
        <v>Finance &amp; Accounting</v>
      </c>
      <c r="B29" s="200" t="str">
        <f>IF(D29="","",IFERROR(VLOOKUP(G29,'Master Data'!$E$59:$J$146,6,FALSE),0))</f>
        <v>Taxation</v>
      </c>
      <c r="C29" s="238" t="str">
        <f>IF(D29="","",_xlfn.XLOOKUP(D29,'Activity Master Opex'!C:C,'Activity Master Opex'!B:B,0,0,1))</f>
        <v>FA003-00005</v>
      </c>
      <c r="D29" s="263" t="s">
        <v>1149</v>
      </c>
      <c r="E29" s="262" t="str">
        <f>IF(D29="","",IFERROR(VLOOKUP(D29,'Activity Master Opex'!$C:$M,6,FALSE),0))</f>
        <v>TL - Others Tax and License</v>
      </c>
      <c r="F29" s="264" t="str">
        <f>IF($C29="","",VLOOKUP($C29,'Activity Master Opex'!$B:$I,3,0))</f>
        <v>10301FA003</v>
      </c>
      <c r="G29" s="262" t="str">
        <f>IF($C29="","",VLOOKUP($F29,'Master Data'!$D$59:$E$146,2,FALSE))</f>
        <v>TAX</v>
      </c>
      <c r="H29" s="265">
        <f>IF($C29="","",VLOOKUP($C29,'Activity Master Opex'!$B:$I,5,0))</f>
        <v>62100050</v>
      </c>
      <c r="I29" s="237" t="str">
        <f>IFERROR(VLOOKUP(H29,'Master Data'!B:C,2,FALSE),"")</f>
        <v>TL - Others Tax and License</v>
      </c>
      <c r="J29" s="266">
        <f>1513.95968118933*15500</f>
        <v>23466375.058434617</v>
      </c>
      <c r="K29" s="266">
        <v>0</v>
      </c>
      <c r="L29" s="267"/>
      <c r="M29" s="267"/>
      <c r="N29" s="267"/>
      <c r="O29" s="267"/>
      <c r="P29" s="267"/>
      <c r="Q29" s="267"/>
      <c r="R29" s="267"/>
      <c r="S29" s="267"/>
      <c r="T29" s="267"/>
      <c r="U29" s="267"/>
      <c r="V29" s="267"/>
      <c r="W29" s="267"/>
      <c r="X29" s="270">
        <f t="shared" si="9"/>
        <v>0</v>
      </c>
      <c r="Y29" s="277"/>
      <c r="Z29" s="278"/>
      <c r="AA29" s="278"/>
      <c r="AB29" s="278"/>
      <c r="AC29" s="278"/>
      <c r="AD29" s="278"/>
      <c r="AE29" s="278"/>
      <c r="AF29" s="278"/>
      <c r="AG29" s="278"/>
      <c r="AH29" s="278"/>
      <c r="AI29" s="278"/>
      <c r="AJ29" s="278"/>
      <c r="AK29" s="278"/>
      <c r="AL29" s="271">
        <f t="shared" si="3"/>
        <v>0</v>
      </c>
      <c r="AM29" s="279"/>
      <c r="AN29" s="278"/>
      <c r="AO29" s="278"/>
      <c r="AP29" s="278"/>
      <c r="AQ29" s="278"/>
      <c r="AR29" s="278"/>
      <c r="AS29" s="278"/>
      <c r="AT29" s="278"/>
      <c r="AU29" s="278"/>
      <c r="AV29" s="278"/>
      <c r="AW29" s="278"/>
      <c r="AX29" s="278"/>
      <c r="AY29" s="278"/>
      <c r="AZ29" s="271">
        <f t="shared" si="4"/>
        <v>0</v>
      </c>
      <c r="BA29" s="270">
        <f t="shared" si="5"/>
        <v>-23466375.058434617</v>
      </c>
      <c r="BB29" s="269"/>
      <c r="BC29" s="251">
        <f t="shared" si="0"/>
        <v>0</v>
      </c>
      <c r="BD29" s="244" t="str">
        <f>IF('Budget Opex Detail'!C29="","",IF(COUNTIFS('Activity Master Opex'!$B$4:$B$58,'Budget Opex Detail'!$C29)&gt;0,"","New Activity"))</f>
        <v/>
      </c>
      <c r="BE29" s="252"/>
      <c r="BF29" s="253"/>
      <c r="BG29" s="254"/>
      <c r="BH29" s="255"/>
      <c r="BI29" s="256"/>
      <c r="BJ29" s="256"/>
      <c r="BK29" s="257"/>
      <c r="BL29" s="214">
        <f t="shared" si="6"/>
        <v>0</v>
      </c>
      <c r="BM29" s="255"/>
      <c r="BN29" s="255"/>
      <c r="BO29" s="258">
        <f t="shared" si="7"/>
        <v>0</v>
      </c>
      <c r="BP29" s="259"/>
      <c r="BR29" s="261" t="str">
        <f>IF($H29="","",VLOOKUP($H29,'Master Data'!$B:$D,3,FALSE))</f>
        <v>Tax and Licenses Expenses</v>
      </c>
      <c r="BS29" s="261" t="str">
        <f t="shared" si="2"/>
        <v>General Administrative</v>
      </c>
      <c r="BT29" s="261" t="str">
        <f>IF($H29="","",VLOOKUP(VALUE($H29),'Master Data'!B:I,8,FALSE))</f>
        <v>Tax and license</v>
      </c>
    </row>
    <row r="30" spans="1:72" s="260" customFormat="1" x14ac:dyDescent="0.25">
      <c r="A30" s="237" t="str">
        <f>IF(D30="","",Cover!$D$8)</f>
        <v>Finance &amp; Accounting</v>
      </c>
      <c r="B30" s="200" t="str">
        <f>IF(D30="","",IFERROR(VLOOKUP(G30,'Master Data'!$E$59:$J$146,6,FALSE),0))</f>
        <v>Taxation</v>
      </c>
      <c r="C30" s="238" t="str">
        <f>IF(D30="","",_xlfn.XLOOKUP(D30,'Activity Master Opex'!C:C,'Activity Master Opex'!B:B,0,0,1))</f>
        <v>FA003-00006</v>
      </c>
      <c r="D30" s="263" t="s">
        <v>1151</v>
      </c>
      <c r="E30" s="262" t="str">
        <f>IF(D30="","",IFERROR(VLOOKUP(D30,'Activity Master Opex'!$C:$M,6,FALSE),0))</f>
        <v>TL - Others Tax and License</v>
      </c>
      <c r="F30" s="264" t="str">
        <f>IF($C30="","",VLOOKUP($C30,'Activity Master Opex'!$B:$I,3,0))</f>
        <v>10301FA003</v>
      </c>
      <c r="G30" s="262" t="str">
        <f>IF($C30="","",VLOOKUP($F30,'Master Data'!$D$59:$E$146,2,FALSE))</f>
        <v>TAX</v>
      </c>
      <c r="H30" s="265">
        <f>IF($C30="","",VLOOKUP($C30,'Activity Master Opex'!$B:$I,5,0))</f>
        <v>62100050</v>
      </c>
      <c r="I30" s="237" t="str">
        <f>IFERROR(VLOOKUP(H30,'Master Data'!B:C,2,FALSE),"")</f>
        <v>TL - Others Tax and License</v>
      </c>
      <c r="J30" s="266">
        <f>1087.56904436039*15500</f>
        <v>16857320.187586047</v>
      </c>
      <c r="K30" s="266">
        <v>12208266</v>
      </c>
      <c r="L30" s="267"/>
      <c r="M30" s="267"/>
      <c r="N30" s="267"/>
      <c r="O30" s="267"/>
      <c r="P30" s="267"/>
      <c r="Q30" s="267"/>
      <c r="R30" s="267"/>
      <c r="S30" s="267"/>
      <c r="T30" s="267"/>
      <c r="U30" s="267"/>
      <c r="V30" s="267"/>
      <c r="W30" s="267"/>
      <c r="X30" s="270">
        <f t="shared" si="9"/>
        <v>0</v>
      </c>
      <c r="Y30" s="277"/>
      <c r="Z30" s="278"/>
      <c r="AA30" s="278"/>
      <c r="AB30" s="278"/>
      <c r="AC30" s="278"/>
      <c r="AD30" s="278"/>
      <c r="AE30" s="278"/>
      <c r="AF30" s="278"/>
      <c r="AG30" s="278"/>
      <c r="AH30" s="278"/>
      <c r="AI30" s="278"/>
      <c r="AJ30" s="278"/>
      <c r="AK30" s="278"/>
      <c r="AL30" s="271">
        <f t="shared" si="3"/>
        <v>0</v>
      </c>
      <c r="AM30" s="279"/>
      <c r="AN30" s="278"/>
      <c r="AO30" s="278"/>
      <c r="AP30" s="278"/>
      <c r="AQ30" s="278"/>
      <c r="AR30" s="278"/>
      <c r="AS30" s="278"/>
      <c r="AT30" s="278"/>
      <c r="AU30" s="278"/>
      <c r="AV30" s="278"/>
      <c r="AW30" s="278"/>
      <c r="AX30" s="278"/>
      <c r="AY30" s="278"/>
      <c r="AZ30" s="271">
        <f t="shared" si="4"/>
        <v>0</v>
      </c>
      <c r="BA30" s="270">
        <f t="shared" si="5"/>
        <v>-16857320.187586047</v>
      </c>
      <c r="BB30" s="269"/>
      <c r="BC30" s="251">
        <f t="shared" si="0"/>
        <v>0</v>
      </c>
      <c r="BD30" s="244" t="str">
        <f>IF('Budget Opex Detail'!C30="","",IF(COUNTIFS('Activity Master Opex'!$B$4:$B$58,'Budget Opex Detail'!$C30)&gt;0,"","New Activity"))</f>
        <v/>
      </c>
      <c r="BE30" s="252"/>
      <c r="BF30" s="253"/>
      <c r="BG30" s="254"/>
      <c r="BH30" s="255"/>
      <c r="BI30" s="256"/>
      <c r="BJ30" s="256"/>
      <c r="BK30" s="257"/>
      <c r="BL30" s="214">
        <f t="shared" si="6"/>
        <v>0</v>
      </c>
      <c r="BM30" s="255"/>
      <c r="BN30" s="255"/>
      <c r="BO30" s="258">
        <f t="shared" si="7"/>
        <v>0</v>
      </c>
      <c r="BP30" s="259"/>
      <c r="BR30" s="261" t="str">
        <f>IF($H30="","",VLOOKUP($H30,'Master Data'!$B:$D,3,FALSE))</f>
        <v>Tax and Licenses Expenses</v>
      </c>
      <c r="BS30" s="261" t="str">
        <f t="shared" si="2"/>
        <v>General Administrative</v>
      </c>
      <c r="BT30" s="261" t="str">
        <f>IF($H30="","",VLOOKUP(VALUE($H30),'Master Data'!B:I,8,FALSE))</f>
        <v>Tax and license</v>
      </c>
    </row>
    <row r="31" spans="1:72" s="260" customFormat="1" x14ac:dyDescent="0.25">
      <c r="A31" s="237" t="str">
        <f>IF(D31="","",Cover!$D$8)</f>
        <v>Finance &amp; Accounting</v>
      </c>
      <c r="B31" s="200" t="str">
        <f>IF(D31="","",IFERROR(VLOOKUP(G31,'Master Data'!$E$59:$J$146,6,FALSE),0))</f>
        <v>Taxation</v>
      </c>
      <c r="C31" s="238" t="str">
        <f>IF(D31="","",_xlfn.XLOOKUP(D31,'Activity Master Opex'!C:C,'Activity Master Opex'!B:B,0,0,1))</f>
        <v>FA003-00007</v>
      </c>
      <c r="D31" s="263" t="s">
        <v>1153</v>
      </c>
      <c r="E31" s="262" t="str">
        <f>IF(D31="","",IFERROR(VLOOKUP(D31,'Activity Master Opex'!$C:$M,6,FALSE),0))</f>
        <v>TL - Others Tax and License</v>
      </c>
      <c r="F31" s="264" t="str">
        <f>IF($C31="","",VLOOKUP($C31,'Activity Master Opex'!$B:$I,3,0))</f>
        <v>10301FA003</v>
      </c>
      <c r="G31" s="262" t="str">
        <f>IF($C31="","",VLOOKUP($F31,'Master Data'!$D$59:$E$146,2,FALSE))</f>
        <v>TAX</v>
      </c>
      <c r="H31" s="265">
        <f>IF($C31="","",VLOOKUP($C31,'Activity Master Opex'!$B:$I,5,0))</f>
        <v>62100050</v>
      </c>
      <c r="I31" s="237" t="str">
        <f>IFERROR(VLOOKUP(H31,'Master Data'!B:C,2,FALSE),"")</f>
        <v>TL - Others Tax and License</v>
      </c>
      <c r="J31" s="266">
        <f>6081.19643698598*15500</f>
        <v>94258544.773282692</v>
      </c>
      <c r="K31" s="266">
        <v>0</v>
      </c>
      <c r="L31" s="267"/>
      <c r="M31" s="267"/>
      <c r="N31" s="267"/>
      <c r="O31" s="267"/>
      <c r="P31" s="267"/>
      <c r="Q31" s="267"/>
      <c r="R31" s="267"/>
      <c r="S31" s="267"/>
      <c r="T31" s="267"/>
      <c r="U31" s="267"/>
      <c r="V31" s="267"/>
      <c r="W31" s="267"/>
      <c r="X31" s="270">
        <f t="shared" si="9"/>
        <v>0</v>
      </c>
      <c r="Y31" s="277"/>
      <c r="Z31" s="278"/>
      <c r="AA31" s="278"/>
      <c r="AB31" s="278"/>
      <c r="AC31" s="278"/>
      <c r="AD31" s="278"/>
      <c r="AE31" s="278"/>
      <c r="AF31" s="278"/>
      <c r="AG31" s="278"/>
      <c r="AH31" s="278"/>
      <c r="AI31" s="278"/>
      <c r="AJ31" s="278"/>
      <c r="AK31" s="278"/>
      <c r="AL31" s="271">
        <f t="shared" si="3"/>
        <v>0</v>
      </c>
      <c r="AM31" s="279"/>
      <c r="AN31" s="278"/>
      <c r="AO31" s="278"/>
      <c r="AP31" s="278"/>
      <c r="AQ31" s="278"/>
      <c r="AR31" s="278"/>
      <c r="AS31" s="278"/>
      <c r="AT31" s="278"/>
      <c r="AU31" s="278"/>
      <c r="AV31" s="278"/>
      <c r="AW31" s="278"/>
      <c r="AX31" s="278"/>
      <c r="AY31" s="278"/>
      <c r="AZ31" s="271">
        <f t="shared" si="4"/>
        <v>0</v>
      </c>
      <c r="BA31" s="270">
        <f t="shared" si="5"/>
        <v>-94258544.773282692</v>
      </c>
      <c r="BB31" s="269"/>
      <c r="BC31" s="251">
        <f t="shared" si="0"/>
        <v>0</v>
      </c>
      <c r="BD31" s="244" t="str">
        <f>IF('Budget Opex Detail'!C31="","",IF(COUNTIFS('Activity Master Opex'!$B$4:$B$58,'Budget Opex Detail'!$C31)&gt;0,"","New Activity"))</f>
        <v/>
      </c>
      <c r="BE31" s="252"/>
      <c r="BF31" s="253"/>
      <c r="BG31" s="254"/>
      <c r="BH31" s="255"/>
      <c r="BI31" s="256"/>
      <c r="BJ31" s="256"/>
      <c r="BK31" s="257"/>
      <c r="BL31" s="214">
        <f t="shared" si="6"/>
        <v>0</v>
      </c>
      <c r="BM31" s="255"/>
      <c r="BN31" s="255"/>
      <c r="BO31" s="258">
        <f t="shared" si="7"/>
        <v>0</v>
      </c>
      <c r="BP31" s="259"/>
      <c r="BR31" s="261" t="str">
        <f>IF($H31="","",VLOOKUP($H31,'Master Data'!$B:$D,3,FALSE))</f>
        <v>Tax and Licenses Expenses</v>
      </c>
      <c r="BS31" s="261" t="str">
        <f t="shared" si="2"/>
        <v>General Administrative</v>
      </c>
      <c r="BT31" s="261" t="str">
        <f>IF($H31="","",VLOOKUP(VALUE($H31),'Master Data'!B:I,8,FALSE))</f>
        <v>Tax and license</v>
      </c>
    </row>
    <row r="32" spans="1:72" s="260" customFormat="1" x14ac:dyDescent="0.25">
      <c r="A32" s="237" t="str">
        <f>IF(D32="","",Cover!$D$8)</f>
        <v>Finance &amp; Accounting</v>
      </c>
      <c r="B32" s="200" t="str">
        <f>IF(D32="","",IFERROR(VLOOKUP(G32,'Master Data'!$E$59:$J$146,6,FALSE),0))</f>
        <v>Taxation</v>
      </c>
      <c r="C32" s="238" t="str">
        <f>IF(D32="","",_xlfn.XLOOKUP(D32,'Activity Master Opex'!C:C,'Activity Master Opex'!B:B,0,0,1))</f>
        <v>FA003-00008</v>
      </c>
      <c r="D32" s="263" t="s">
        <v>1155</v>
      </c>
      <c r="E32" s="262" t="str">
        <f>IF(D32="","",IFERROR(VLOOKUP(D32,'Activity Master Opex'!$C:$M,6,FALSE),0))</f>
        <v>TL - Others Tax and License</v>
      </c>
      <c r="F32" s="264" t="str">
        <f>IF($C32="","",VLOOKUP($C32,'Activity Master Opex'!$B:$I,3,0))</f>
        <v>10301FA003</v>
      </c>
      <c r="G32" s="262" t="str">
        <f>IF($C32="","",VLOOKUP($F32,'Master Data'!$D$59:$E$146,2,FALSE))</f>
        <v>TAX</v>
      </c>
      <c r="H32" s="265">
        <f>IF($C32="","",VLOOKUP($C32,'Activity Master Opex'!$B:$I,5,0))</f>
        <v>62100050</v>
      </c>
      <c r="I32" s="237" t="str">
        <f>IFERROR(VLOOKUP(H32,'Master Data'!B:C,2,FALSE),"")</f>
        <v>TL - Others Tax and License</v>
      </c>
      <c r="J32" s="266">
        <f>3223.79357261273*15500</f>
        <v>49968800.375497311</v>
      </c>
      <c r="K32" s="266">
        <v>0</v>
      </c>
      <c r="L32" s="267"/>
      <c r="M32" s="267"/>
      <c r="N32" s="267"/>
      <c r="O32" s="267"/>
      <c r="P32" s="267"/>
      <c r="Q32" s="267"/>
      <c r="R32" s="267"/>
      <c r="S32" s="267"/>
      <c r="T32" s="267"/>
      <c r="U32" s="267"/>
      <c r="V32" s="267"/>
      <c r="W32" s="267"/>
      <c r="X32" s="270">
        <f t="shared" si="9"/>
        <v>0</v>
      </c>
      <c r="Y32" s="277"/>
      <c r="Z32" s="278"/>
      <c r="AA32" s="278"/>
      <c r="AB32" s="278"/>
      <c r="AC32" s="278"/>
      <c r="AD32" s="278"/>
      <c r="AE32" s="278"/>
      <c r="AF32" s="278"/>
      <c r="AG32" s="278"/>
      <c r="AH32" s="278"/>
      <c r="AI32" s="278"/>
      <c r="AJ32" s="278"/>
      <c r="AK32" s="278"/>
      <c r="AL32" s="271">
        <f t="shared" si="3"/>
        <v>0</v>
      </c>
      <c r="AM32" s="279"/>
      <c r="AN32" s="278"/>
      <c r="AO32" s="278"/>
      <c r="AP32" s="278"/>
      <c r="AQ32" s="278"/>
      <c r="AR32" s="278"/>
      <c r="AS32" s="278"/>
      <c r="AT32" s="278"/>
      <c r="AU32" s="278"/>
      <c r="AV32" s="278"/>
      <c r="AW32" s="278"/>
      <c r="AX32" s="278"/>
      <c r="AY32" s="278"/>
      <c r="AZ32" s="271">
        <f t="shared" si="4"/>
        <v>0</v>
      </c>
      <c r="BA32" s="270">
        <f t="shared" si="5"/>
        <v>-49968800.375497311</v>
      </c>
      <c r="BB32" s="269"/>
      <c r="BC32" s="251">
        <f t="shared" si="0"/>
        <v>0</v>
      </c>
      <c r="BD32" s="244" t="str">
        <f>IF('Budget Opex Detail'!C32="","",IF(COUNTIFS('Activity Master Opex'!$B$4:$B$58,'Budget Opex Detail'!$C32)&gt;0,"","New Activity"))</f>
        <v/>
      </c>
      <c r="BE32" s="252"/>
      <c r="BF32" s="253"/>
      <c r="BG32" s="254"/>
      <c r="BH32" s="255"/>
      <c r="BI32" s="256"/>
      <c r="BJ32" s="256"/>
      <c r="BK32" s="257"/>
      <c r="BL32" s="214">
        <f t="shared" si="6"/>
        <v>0</v>
      </c>
      <c r="BM32" s="255"/>
      <c r="BN32" s="255"/>
      <c r="BO32" s="258">
        <f t="shared" si="7"/>
        <v>0</v>
      </c>
      <c r="BP32" s="259"/>
      <c r="BR32" s="261" t="str">
        <f>IF($H32="","",VLOOKUP($H32,'Master Data'!$B:$D,3,FALSE))</f>
        <v>Tax and Licenses Expenses</v>
      </c>
      <c r="BS32" s="261" t="str">
        <f t="shared" si="2"/>
        <v>General Administrative</v>
      </c>
      <c r="BT32" s="261" t="str">
        <f>IF($H32="","",VLOOKUP(VALUE($H32),'Master Data'!B:I,8,FALSE))</f>
        <v>Tax and license</v>
      </c>
    </row>
    <row r="33" spans="1:72" s="260" customFormat="1" x14ac:dyDescent="0.25">
      <c r="A33" s="237" t="str">
        <f>IF(D33="","",Cover!$D$8)</f>
        <v>Finance &amp; Accounting</v>
      </c>
      <c r="B33" s="200" t="str">
        <f>IF(D33="","",IFERROR(VLOOKUP(G33,'Master Data'!$E$59:$J$146,6,FALSE),0))</f>
        <v>Taxation</v>
      </c>
      <c r="C33" s="238" t="str">
        <f>IF(D33="","",_xlfn.XLOOKUP(D33,'Activity Master Opex'!C:C,'Activity Master Opex'!B:B,0,0,1))</f>
        <v>FA003-00011</v>
      </c>
      <c r="D33" s="263" t="s">
        <v>1160</v>
      </c>
      <c r="E33" s="262" t="str">
        <f>IF(D33="","",IFERROR(VLOOKUP(D33,'Activity Master Opex'!$C:$M,6,FALSE),0))</f>
        <v>TL - Others Tax and License</v>
      </c>
      <c r="F33" s="264" t="str">
        <f>IF($C33="","",VLOOKUP($C33,'Activity Master Opex'!$B:$I,3,0))</f>
        <v>10301FA003</v>
      </c>
      <c r="G33" s="262" t="str">
        <f>IF($C33="","",VLOOKUP($F33,'Master Data'!$D$59:$E$146,2,FALSE))</f>
        <v>TAX</v>
      </c>
      <c r="H33" s="265">
        <f>IF($C33="","",VLOOKUP($C33,'Activity Master Opex'!$B:$I,5,0))</f>
        <v>62100050</v>
      </c>
      <c r="I33" s="237" t="str">
        <f>IFERROR(VLOOKUP(H33,'Master Data'!B:C,2,FALSE),"")</f>
        <v>TL - Others Tax and License</v>
      </c>
      <c r="J33" s="266">
        <f>1519.81590193548*15500</f>
        <v>23557146.479999941</v>
      </c>
      <c r="K33" s="266">
        <v>0</v>
      </c>
      <c r="L33" s="267"/>
      <c r="M33" s="267"/>
      <c r="N33" s="267"/>
      <c r="O33" s="267"/>
      <c r="P33" s="267"/>
      <c r="Q33" s="267"/>
      <c r="R33" s="267"/>
      <c r="S33" s="267"/>
      <c r="T33" s="267"/>
      <c r="U33" s="267"/>
      <c r="V33" s="267"/>
      <c r="W33" s="267"/>
      <c r="X33" s="270">
        <f t="shared" si="9"/>
        <v>0</v>
      </c>
      <c r="Y33" s="277"/>
      <c r="Z33" s="278"/>
      <c r="AA33" s="278"/>
      <c r="AB33" s="278"/>
      <c r="AC33" s="278"/>
      <c r="AD33" s="278"/>
      <c r="AE33" s="278"/>
      <c r="AF33" s="278"/>
      <c r="AG33" s="278"/>
      <c r="AH33" s="278"/>
      <c r="AI33" s="278"/>
      <c r="AJ33" s="278"/>
      <c r="AK33" s="278"/>
      <c r="AL33" s="271">
        <f t="shared" si="3"/>
        <v>0</v>
      </c>
      <c r="AM33" s="279"/>
      <c r="AN33" s="278"/>
      <c r="AO33" s="278"/>
      <c r="AP33" s="278"/>
      <c r="AQ33" s="278"/>
      <c r="AR33" s="278"/>
      <c r="AS33" s="278"/>
      <c r="AT33" s="278"/>
      <c r="AU33" s="278"/>
      <c r="AV33" s="278"/>
      <c r="AW33" s="278"/>
      <c r="AX33" s="278"/>
      <c r="AY33" s="278"/>
      <c r="AZ33" s="271">
        <f t="shared" si="4"/>
        <v>0</v>
      </c>
      <c r="BA33" s="270">
        <f t="shared" si="5"/>
        <v>-23557146.479999941</v>
      </c>
      <c r="BB33" s="269"/>
      <c r="BC33" s="251">
        <f t="shared" si="0"/>
        <v>0</v>
      </c>
      <c r="BD33" s="244" t="str">
        <f>IF('Budget Opex Detail'!C33="","",IF(COUNTIFS('Activity Master Opex'!$B$4:$B$58,'Budget Opex Detail'!$C33)&gt;0,"","New Activity"))</f>
        <v/>
      </c>
      <c r="BE33" s="252"/>
      <c r="BF33" s="253"/>
      <c r="BG33" s="254"/>
      <c r="BH33" s="255"/>
      <c r="BI33" s="256"/>
      <c r="BJ33" s="256"/>
      <c r="BK33" s="257"/>
      <c r="BL33" s="214">
        <f t="shared" si="6"/>
        <v>0</v>
      </c>
      <c r="BM33" s="255"/>
      <c r="BN33" s="255"/>
      <c r="BO33" s="258">
        <f t="shared" si="7"/>
        <v>0</v>
      </c>
      <c r="BP33" s="259"/>
      <c r="BR33" s="261" t="str">
        <f>IF($H33="","",VLOOKUP($H33,'Master Data'!$B:$D,3,FALSE))</f>
        <v>Tax and Licenses Expenses</v>
      </c>
      <c r="BS33" s="261" t="str">
        <f t="shared" si="2"/>
        <v>General Administrative</v>
      </c>
      <c r="BT33" s="261" t="str">
        <f>IF($H33="","",VLOOKUP(VALUE($H33),'Master Data'!B:I,8,FALSE))</f>
        <v>Tax and license</v>
      </c>
    </row>
    <row r="34" spans="1:72" s="260" customFormat="1" x14ac:dyDescent="0.25">
      <c r="A34" s="237" t="str">
        <f>IF(D34="","",Cover!$D$8)</f>
        <v>Finance &amp; Accounting</v>
      </c>
      <c r="B34" s="200" t="str">
        <f>IF(D34="","",IFERROR(VLOOKUP(G34,'Master Data'!$E$59:$J$146,6,FALSE),0))</f>
        <v>Taxation</v>
      </c>
      <c r="C34" s="238" t="str">
        <f>IF(D34="","",_xlfn.XLOOKUP(D34,'Activity Master Opex'!C:C,'Activity Master Opex'!B:B,0,0,1))</f>
        <v>FA003-00012</v>
      </c>
      <c r="D34" s="263" t="s">
        <v>1422</v>
      </c>
      <c r="E34" s="262" t="str">
        <f>IF(D34="","",IFERROR(VLOOKUP(D34,'Activity Master Opex'!$C:$M,6,FALSE),0))</f>
        <v>Gen. Transp. Travelling Expenses</v>
      </c>
      <c r="F34" s="264" t="str">
        <f>IF($C34="","",VLOOKUP($C34,'Activity Master Opex'!$B:$I,3,0))</f>
        <v>10301FA003</v>
      </c>
      <c r="G34" s="262" t="str">
        <f>IF($C34="","",VLOOKUP($F34,'Master Data'!$D$59:$E$146,2,FALSE))</f>
        <v>TAX</v>
      </c>
      <c r="H34" s="265">
        <f>IF($C34="","",VLOOKUP($C34,'Activity Master Opex'!$B:$I,5,0))</f>
        <v>62400030</v>
      </c>
      <c r="I34" s="237" t="str">
        <f>IFERROR(VLOOKUP(H34,'Master Data'!B:C,2,FALSE),"")</f>
        <v>Gen. Transp. Travelling Expenses</v>
      </c>
      <c r="J34" s="266">
        <f>3393.54838709677*15500</f>
        <v>52599999.999999933</v>
      </c>
      <c r="K34" s="266">
        <v>0</v>
      </c>
      <c r="L34" s="267"/>
      <c r="M34" s="267"/>
      <c r="N34" s="267"/>
      <c r="O34" s="267"/>
      <c r="P34" s="267"/>
      <c r="Q34" s="267"/>
      <c r="R34" s="267"/>
      <c r="S34" s="267"/>
      <c r="T34" s="267"/>
      <c r="U34" s="267"/>
      <c r="V34" s="267"/>
      <c r="W34" s="267"/>
      <c r="X34" s="270">
        <f t="shared" si="9"/>
        <v>0</v>
      </c>
      <c r="Y34" s="277"/>
      <c r="Z34" s="278"/>
      <c r="AA34" s="278"/>
      <c r="AB34" s="278"/>
      <c r="AC34" s="278"/>
      <c r="AD34" s="278"/>
      <c r="AE34" s="278"/>
      <c r="AF34" s="278"/>
      <c r="AG34" s="278"/>
      <c r="AH34" s="278"/>
      <c r="AI34" s="278"/>
      <c r="AJ34" s="278"/>
      <c r="AK34" s="278"/>
      <c r="AL34" s="271">
        <f t="shared" si="3"/>
        <v>0</v>
      </c>
      <c r="AM34" s="279"/>
      <c r="AN34" s="278"/>
      <c r="AO34" s="278"/>
      <c r="AP34" s="278"/>
      <c r="AQ34" s="278"/>
      <c r="AR34" s="278"/>
      <c r="AS34" s="278"/>
      <c r="AT34" s="278"/>
      <c r="AU34" s="278"/>
      <c r="AV34" s="278"/>
      <c r="AW34" s="278"/>
      <c r="AX34" s="278"/>
      <c r="AY34" s="278"/>
      <c r="AZ34" s="271">
        <f t="shared" si="4"/>
        <v>0</v>
      </c>
      <c r="BA34" s="270">
        <f t="shared" si="5"/>
        <v>-52599999.999999933</v>
      </c>
      <c r="BB34" s="269"/>
      <c r="BC34" s="251">
        <f t="shared" si="0"/>
        <v>0</v>
      </c>
      <c r="BD34" s="244" t="str">
        <f>IF('Budget Opex Detail'!C34="","",IF(COUNTIFS('Activity Master Opex'!$B$4:$B$58,'Budget Opex Detail'!$C34)&gt;0,"","New Activity"))</f>
        <v/>
      </c>
      <c r="BE34" s="252"/>
      <c r="BF34" s="253"/>
      <c r="BG34" s="254"/>
      <c r="BH34" s="255"/>
      <c r="BI34" s="256"/>
      <c r="BJ34" s="256"/>
      <c r="BK34" s="257"/>
      <c r="BL34" s="214">
        <f t="shared" si="6"/>
        <v>0</v>
      </c>
      <c r="BM34" s="255"/>
      <c r="BN34" s="255"/>
      <c r="BO34" s="258">
        <f t="shared" si="7"/>
        <v>0</v>
      </c>
      <c r="BP34" s="259"/>
      <c r="BR34" s="261" t="str">
        <f>IF($H34="","",VLOOKUP($H34,'Master Data'!$B:$D,3,FALSE))</f>
        <v>General Transportation Exp</v>
      </c>
      <c r="BS34" s="261" t="str">
        <f t="shared" si="2"/>
        <v>General Administrative</v>
      </c>
      <c r="BT34" s="261" t="str">
        <f>IF($H34="","",VLOOKUP(VALUE($H34),'Master Data'!B:I,8,FALSE))</f>
        <v>General transportation</v>
      </c>
    </row>
    <row r="35" spans="1:72" s="260" customFormat="1" x14ac:dyDescent="0.25">
      <c r="A35" s="237" t="str">
        <f>IF(D35="","",Cover!$D$8)</f>
        <v>Finance &amp; Accounting</v>
      </c>
      <c r="B35" s="200" t="str">
        <f>IF(D35="","",IFERROR(VLOOKUP(G35,'Master Data'!$E$59:$J$146,6,FALSE),0))</f>
        <v>Taxation</v>
      </c>
      <c r="C35" s="238" t="str">
        <f>IF(D35="","",_xlfn.XLOOKUP(D35,'Activity Master Opex'!C:C,'Activity Master Opex'!B:B,0,0,1))</f>
        <v>FA003-00014</v>
      </c>
      <c r="D35" s="263" t="s">
        <v>1165</v>
      </c>
      <c r="E35" s="262" t="str">
        <f>IF(D35="","",IFERROR(VLOOKUP(D35,'Activity Master Opex'!$C:$M,6,FALSE),0))</f>
        <v>Subscriptions and Periodicals</v>
      </c>
      <c r="F35" s="264" t="str">
        <f>IF($C35="","",VLOOKUP($C35,'Activity Master Opex'!$B:$I,3,0))</f>
        <v>10301FA003</v>
      </c>
      <c r="G35" s="262" t="str">
        <f>IF($C35="","",VLOOKUP($F35,'Master Data'!$D$59:$E$146,2,FALSE))</f>
        <v>TAX</v>
      </c>
      <c r="H35" s="265">
        <f>IF($C35="","",VLOOKUP($C35,'Activity Master Opex'!$B:$I,5,0))</f>
        <v>62900020</v>
      </c>
      <c r="I35" s="237" t="str">
        <f>IFERROR(VLOOKUP(H35,'Master Data'!B:C,2,FALSE),"")</f>
        <v>Subscriptions and Periodicals</v>
      </c>
      <c r="J35" s="266">
        <f>135.483870967742*15500</f>
        <v>2100000.0000000009</v>
      </c>
      <c r="K35" s="266">
        <v>1575000</v>
      </c>
      <c r="L35" s="267"/>
      <c r="M35" s="267"/>
      <c r="N35" s="267"/>
      <c r="O35" s="267"/>
      <c r="P35" s="267"/>
      <c r="Q35" s="267"/>
      <c r="R35" s="267"/>
      <c r="S35" s="267"/>
      <c r="T35" s="267"/>
      <c r="U35" s="267"/>
      <c r="V35" s="267"/>
      <c r="W35" s="267"/>
      <c r="X35" s="270">
        <f t="shared" si="9"/>
        <v>0</v>
      </c>
      <c r="Y35" s="277"/>
      <c r="Z35" s="278"/>
      <c r="AA35" s="278"/>
      <c r="AB35" s="278"/>
      <c r="AC35" s="278"/>
      <c r="AD35" s="278"/>
      <c r="AE35" s="278"/>
      <c r="AF35" s="278"/>
      <c r="AG35" s="278"/>
      <c r="AH35" s="278"/>
      <c r="AI35" s="278"/>
      <c r="AJ35" s="278"/>
      <c r="AK35" s="278"/>
      <c r="AL35" s="271">
        <f t="shared" si="3"/>
        <v>0</v>
      </c>
      <c r="AM35" s="279"/>
      <c r="AN35" s="278"/>
      <c r="AO35" s="278"/>
      <c r="AP35" s="278"/>
      <c r="AQ35" s="278"/>
      <c r="AR35" s="278"/>
      <c r="AS35" s="278"/>
      <c r="AT35" s="278"/>
      <c r="AU35" s="278"/>
      <c r="AV35" s="278"/>
      <c r="AW35" s="278"/>
      <c r="AX35" s="278"/>
      <c r="AY35" s="278"/>
      <c r="AZ35" s="271">
        <f t="shared" si="4"/>
        <v>0</v>
      </c>
      <c r="BA35" s="270">
        <f t="shared" si="5"/>
        <v>-2100000.0000000009</v>
      </c>
      <c r="BB35" s="269"/>
      <c r="BC35" s="251">
        <f t="shared" si="0"/>
        <v>0</v>
      </c>
      <c r="BD35" s="244" t="str">
        <f>IF('Budget Opex Detail'!C35="","",IF(COUNTIFS('Activity Master Opex'!$B$4:$B$58,'Budget Opex Detail'!$C35)&gt;0,"","New Activity"))</f>
        <v/>
      </c>
      <c r="BE35" s="252"/>
      <c r="BF35" s="253"/>
      <c r="BG35" s="254"/>
      <c r="BH35" s="255"/>
      <c r="BI35" s="256"/>
      <c r="BJ35" s="256"/>
      <c r="BK35" s="257"/>
      <c r="BL35" s="214">
        <f t="shared" si="6"/>
        <v>0</v>
      </c>
      <c r="BM35" s="255"/>
      <c r="BN35" s="255"/>
      <c r="BO35" s="258">
        <f t="shared" si="7"/>
        <v>0</v>
      </c>
      <c r="BP35" s="259"/>
      <c r="BR35" s="261" t="str">
        <f>IF($H35="","",VLOOKUP($H35,'Master Data'!$B:$D,3,FALSE))</f>
        <v>Membership &amp; Sponsorship</v>
      </c>
      <c r="BS35" s="261" t="str">
        <f t="shared" si="2"/>
        <v>General Administrative</v>
      </c>
      <c r="BT35" s="261" t="str">
        <f>IF($H35="","",VLOOKUP(VALUE($H35),'Master Data'!B:I,8,FALSE))</f>
        <v>Subscriptions and Periodicals</v>
      </c>
    </row>
    <row r="36" spans="1:72" s="260" customFormat="1" x14ac:dyDescent="0.25">
      <c r="A36" s="237" t="str">
        <f>IF(D36="","",Cover!$D$8)</f>
        <v>Finance &amp; Accounting</v>
      </c>
      <c r="B36" s="200" t="str">
        <f>IF(D36="","",IFERROR(VLOOKUP(G36,'Master Data'!$E$59:$J$146,6,FALSE),0))</f>
        <v>Taxation</v>
      </c>
      <c r="C36" s="238" t="str">
        <f>IF(D36="","",_xlfn.XLOOKUP(D36,'Activity Master Opex'!C:C,'Activity Master Opex'!B:B,0,0,1))</f>
        <v>FA003-00015</v>
      </c>
      <c r="D36" s="263" t="s">
        <v>1167</v>
      </c>
      <c r="E36" s="262" t="str">
        <f>IF(D36="","",IFERROR(VLOOKUP(D36,'Activity Master Opex'!$C:$M,6,FALSE),0))</f>
        <v>PF - Tax Consultan Fee</v>
      </c>
      <c r="F36" s="264" t="str">
        <f>IF($C36="","",VLOOKUP($C36,'Activity Master Opex'!$B:$I,3,0))</f>
        <v>10301FA003</v>
      </c>
      <c r="G36" s="262" t="str">
        <f>IF($C36="","",VLOOKUP($F36,'Master Data'!$D$59:$E$146,2,FALSE))</f>
        <v>TAX</v>
      </c>
      <c r="H36" s="265">
        <f>IF($C36="","",VLOOKUP($C36,'Activity Master Opex'!$B:$I,5,0))</f>
        <v>61900020</v>
      </c>
      <c r="I36" s="237" t="str">
        <f>IFERROR(VLOOKUP(H36,'Master Data'!B:C,2,FALSE),"")</f>
        <v>PF - Tax Consultan Fee</v>
      </c>
      <c r="J36" s="266">
        <f>100000*15500</f>
        <v>1550000000</v>
      </c>
      <c r="K36" s="266">
        <v>0</v>
      </c>
      <c r="L36" s="267"/>
      <c r="M36" s="267"/>
      <c r="N36" s="267"/>
      <c r="O36" s="267"/>
      <c r="P36" s="267"/>
      <c r="Q36" s="267"/>
      <c r="R36" s="267"/>
      <c r="S36" s="267"/>
      <c r="T36" s="267"/>
      <c r="U36" s="267"/>
      <c r="V36" s="267"/>
      <c r="W36" s="267"/>
      <c r="X36" s="270">
        <f t="shared" si="9"/>
        <v>0</v>
      </c>
      <c r="Y36" s="277"/>
      <c r="Z36" s="278"/>
      <c r="AA36" s="278"/>
      <c r="AB36" s="278"/>
      <c r="AC36" s="278"/>
      <c r="AD36" s="278"/>
      <c r="AE36" s="278"/>
      <c r="AF36" s="278"/>
      <c r="AG36" s="278"/>
      <c r="AH36" s="278"/>
      <c r="AI36" s="278"/>
      <c r="AJ36" s="278"/>
      <c r="AK36" s="278"/>
      <c r="AL36" s="271">
        <f t="shared" si="3"/>
        <v>0</v>
      </c>
      <c r="AM36" s="279"/>
      <c r="AN36" s="278"/>
      <c r="AO36" s="278"/>
      <c r="AP36" s="278"/>
      <c r="AQ36" s="278"/>
      <c r="AR36" s="278"/>
      <c r="AS36" s="278"/>
      <c r="AT36" s="278"/>
      <c r="AU36" s="278"/>
      <c r="AV36" s="278"/>
      <c r="AW36" s="278"/>
      <c r="AX36" s="278"/>
      <c r="AY36" s="278"/>
      <c r="AZ36" s="271">
        <f t="shared" si="4"/>
        <v>0</v>
      </c>
      <c r="BA36" s="270">
        <f t="shared" si="5"/>
        <v>-1550000000</v>
      </c>
      <c r="BB36" s="269"/>
      <c r="BC36" s="251">
        <f t="shared" si="0"/>
        <v>0</v>
      </c>
      <c r="BD36" s="244" t="str">
        <f>IF('Budget Opex Detail'!C36="","",IF(COUNTIFS('Activity Master Opex'!$B$4:$B$58,'Budget Opex Detail'!$C36)&gt;0,"","New Activity"))</f>
        <v/>
      </c>
      <c r="BE36" s="252"/>
      <c r="BF36" s="253"/>
      <c r="BG36" s="254"/>
      <c r="BH36" s="255"/>
      <c r="BI36" s="256"/>
      <c r="BJ36" s="256"/>
      <c r="BK36" s="257"/>
      <c r="BL36" s="214">
        <f t="shared" si="6"/>
        <v>0</v>
      </c>
      <c r="BM36" s="255"/>
      <c r="BN36" s="255"/>
      <c r="BO36" s="258">
        <f t="shared" si="7"/>
        <v>0</v>
      </c>
      <c r="BP36" s="259"/>
      <c r="BR36" s="261" t="str">
        <f>IF($H36="","",VLOOKUP($H36,'Master Data'!$B:$D,3,FALSE))</f>
        <v>Professional Fees</v>
      </c>
      <c r="BS36" s="261" t="str">
        <f t="shared" si="2"/>
        <v>General Administrative</v>
      </c>
      <c r="BT36" s="261" t="str">
        <f>IF($H36="","",VLOOKUP(VALUE($H36),'Master Data'!B:I,8,FALSE))</f>
        <v>Professional fees</v>
      </c>
    </row>
    <row r="37" spans="1:72" s="260" customFormat="1" x14ac:dyDescent="0.25">
      <c r="A37" s="237" t="str">
        <f>IF(D37="","",Cover!$D$8)</f>
        <v>Finance &amp; Accounting</v>
      </c>
      <c r="B37" s="200" t="str">
        <f>IF(D37="","",IFERROR(VLOOKUP(G37,'Master Data'!$E$59:$J$146,6,FALSE),0))</f>
        <v>Financial Planning &amp; Analysis</v>
      </c>
      <c r="C37" s="238" t="str">
        <f>IF(D37="","",_xlfn.XLOOKUP(D37,'Activity Master Opex'!C:C,'Activity Master Opex'!B:B,0,0,1))</f>
        <v>FA004-00008</v>
      </c>
      <c r="D37" s="263" t="s">
        <v>1423</v>
      </c>
      <c r="E37" s="262" t="str">
        <f>IF(D37="","",IFERROR(VLOOKUP(D37,'Activity Master Opex'!$C:$M,6,FALSE),0))</f>
        <v>Business Trip to attend conference, external training, etc</v>
      </c>
      <c r="F37" s="264" t="str">
        <f>IF($C37="","",VLOOKUP($C37,'Activity Master Opex'!$B:$I,3,0))</f>
        <v>10301FA004</v>
      </c>
      <c r="G37" s="262" t="str">
        <f>IF($C37="","",VLOOKUP($F37,'Master Data'!$D$59:$E$146,2,FALSE))</f>
        <v>FIN. PLAN &amp; ANALYSIS</v>
      </c>
      <c r="H37" s="265">
        <f>IF($C37="","",VLOOKUP($C37,'Activity Master Opex'!$B:$I,5,0))</f>
        <v>62400030</v>
      </c>
      <c r="I37" s="237" t="str">
        <f>IFERROR(VLOOKUP(H37,'Master Data'!B:C,2,FALSE),"")</f>
        <v>Gen. Transp. Travelling Expenses</v>
      </c>
      <c r="J37" s="266">
        <f>6792.4935483871*15500</f>
        <v>105283650.00000006</v>
      </c>
      <c r="K37" s="266">
        <v>0</v>
      </c>
      <c r="L37" s="267"/>
      <c r="M37" s="267"/>
      <c r="N37" s="267"/>
      <c r="O37" s="267"/>
      <c r="P37" s="267"/>
      <c r="Q37" s="267"/>
      <c r="R37" s="267"/>
      <c r="S37" s="267"/>
      <c r="T37" s="267"/>
      <c r="U37" s="267"/>
      <c r="V37" s="267"/>
      <c r="W37" s="267"/>
      <c r="X37" s="270">
        <f t="shared" si="9"/>
        <v>0</v>
      </c>
      <c r="Y37" s="277"/>
      <c r="Z37" s="278"/>
      <c r="AA37" s="278"/>
      <c r="AB37" s="278"/>
      <c r="AC37" s="278"/>
      <c r="AD37" s="278"/>
      <c r="AE37" s="278"/>
      <c r="AF37" s="278"/>
      <c r="AG37" s="278"/>
      <c r="AH37" s="278"/>
      <c r="AI37" s="278"/>
      <c r="AJ37" s="278"/>
      <c r="AK37" s="278"/>
      <c r="AL37" s="271">
        <f t="shared" si="3"/>
        <v>0</v>
      </c>
      <c r="AM37" s="279"/>
      <c r="AN37" s="278"/>
      <c r="AO37" s="278"/>
      <c r="AP37" s="278"/>
      <c r="AQ37" s="278"/>
      <c r="AR37" s="278"/>
      <c r="AS37" s="278"/>
      <c r="AT37" s="278"/>
      <c r="AU37" s="278"/>
      <c r="AV37" s="278"/>
      <c r="AW37" s="278"/>
      <c r="AX37" s="278"/>
      <c r="AY37" s="278"/>
      <c r="AZ37" s="271">
        <f t="shared" si="4"/>
        <v>0</v>
      </c>
      <c r="BA37" s="270">
        <f t="shared" si="5"/>
        <v>-105283650.00000006</v>
      </c>
      <c r="BB37" s="269"/>
      <c r="BC37" s="251">
        <f t="shared" si="0"/>
        <v>0</v>
      </c>
      <c r="BD37" s="244" t="str">
        <f>IF('Budget Opex Detail'!C37="","",IF(COUNTIFS('Activity Master Opex'!$B$4:$B$58,'Budget Opex Detail'!$C37)&gt;0,"","New Activity"))</f>
        <v/>
      </c>
      <c r="BE37" s="252"/>
      <c r="BF37" s="253"/>
      <c r="BG37" s="254"/>
      <c r="BH37" s="255"/>
      <c r="BI37" s="256"/>
      <c r="BJ37" s="256"/>
      <c r="BK37" s="257"/>
      <c r="BL37" s="214">
        <f t="shared" si="6"/>
        <v>0</v>
      </c>
      <c r="BM37" s="255"/>
      <c r="BN37" s="255"/>
      <c r="BO37" s="258">
        <f t="shared" si="7"/>
        <v>0</v>
      </c>
      <c r="BP37" s="259"/>
      <c r="BR37" s="261" t="str">
        <f>IF($H37="","",VLOOKUP($H37,'Master Data'!$B:$D,3,FALSE))</f>
        <v>General Transportation Exp</v>
      </c>
      <c r="BS37" s="261" t="str">
        <f t="shared" si="2"/>
        <v>General Administrative</v>
      </c>
      <c r="BT37" s="261" t="str">
        <f>IF($H37="","",VLOOKUP(VALUE($H37),'Master Data'!B:I,8,FALSE))</f>
        <v>General transportation</v>
      </c>
    </row>
    <row r="38" spans="1:72" s="260" customFormat="1" x14ac:dyDescent="0.25">
      <c r="A38" s="237" t="str">
        <f>IF(D38="","",Cover!$D$8)</f>
        <v/>
      </c>
      <c r="B38" s="200" t="str">
        <f>IF(D38="","",IFERROR(VLOOKUP(G38,'Master Data'!$E$59:$J$146,6,FALSE),0))</f>
        <v/>
      </c>
      <c r="C38" s="238" t="str">
        <f>IF(D38="","",_xlfn.XLOOKUP(D38,'Activity Master Opex'!C:C,'Activity Master Opex'!B:B,0,0,1))</f>
        <v/>
      </c>
      <c r="D38" s="263"/>
      <c r="E38" s="262" t="str">
        <f>IF(D38="","",IFERROR(VLOOKUP(D38,'Activity Master Opex'!$C:$M,6,FALSE),0))</f>
        <v/>
      </c>
      <c r="F38" s="264" t="str">
        <f>IF($C38="","",VLOOKUP($C38,'Activity Master Opex'!$B:$I,3,0))</f>
        <v/>
      </c>
      <c r="G38" s="262" t="str">
        <f>IF($C38="","",VLOOKUP($F38,'Master Data'!$D$59:$E$146,2,FALSE))</f>
        <v/>
      </c>
      <c r="H38" s="265" t="str">
        <f>IF($C38="","",VLOOKUP($C38,'Activity Master Opex'!$B:$I,5,0))</f>
        <v/>
      </c>
      <c r="I38" s="237" t="str">
        <f>IFERROR(VLOOKUP(H38,'Master Data'!B:C,2,FALSE),"")</f>
        <v/>
      </c>
      <c r="J38" s="266"/>
      <c r="K38" s="266"/>
      <c r="L38" s="267"/>
      <c r="M38" s="267"/>
      <c r="N38" s="267"/>
      <c r="O38" s="267"/>
      <c r="P38" s="267"/>
      <c r="Q38" s="267"/>
      <c r="R38" s="267"/>
      <c r="S38" s="267"/>
      <c r="T38" s="267"/>
      <c r="U38" s="267"/>
      <c r="V38" s="267"/>
      <c r="W38" s="267"/>
      <c r="X38" s="270">
        <f t="shared" si="9"/>
        <v>0</v>
      </c>
      <c r="Y38" s="277"/>
      <c r="Z38" s="278"/>
      <c r="AA38" s="278"/>
      <c r="AB38" s="278"/>
      <c r="AC38" s="278"/>
      <c r="AD38" s="278"/>
      <c r="AE38" s="278"/>
      <c r="AF38" s="278"/>
      <c r="AG38" s="278"/>
      <c r="AH38" s="278"/>
      <c r="AI38" s="278"/>
      <c r="AJ38" s="278"/>
      <c r="AK38" s="278"/>
      <c r="AL38" s="271">
        <f t="shared" si="3"/>
        <v>0</v>
      </c>
      <c r="AM38" s="279"/>
      <c r="AN38" s="278"/>
      <c r="AO38" s="278"/>
      <c r="AP38" s="278"/>
      <c r="AQ38" s="278"/>
      <c r="AR38" s="278"/>
      <c r="AS38" s="278"/>
      <c r="AT38" s="278"/>
      <c r="AU38" s="278"/>
      <c r="AV38" s="278"/>
      <c r="AW38" s="278"/>
      <c r="AX38" s="278"/>
      <c r="AY38" s="278"/>
      <c r="AZ38" s="271">
        <f t="shared" si="4"/>
        <v>0</v>
      </c>
      <c r="BA38" s="270">
        <f t="shared" si="5"/>
        <v>0</v>
      </c>
      <c r="BB38" s="269"/>
      <c r="BC38" s="251">
        <f t="shared" si="0"/>
        <v>0</v>
      </c>
      <c r="BD38" s="244" t="str">
        <f>IF('Budget Opex Detail'!C38="","",IF(COUNTIFS('Activity Master Opex'!$B$4:$B$58,'Budget Opex Detail'!$C38)&gt;0,"","New Activity"))</f>
        <v/>
      </c>
      <c r="BE38" s="252"/>
      <c r="BF38" s="253"/>
      <c r="BG38" s="254"/>
      <c r="BH38" s="255"/>
      <c r="BI38" s="256"/>
      <c r="BJ38" s="256"/>
      <c r="BK38" s="257"/>
      <c r="BL38" s="214">
        <f t="shared" si="6"/>
        <v>0</v>
      </c>
      <c r="BM38" s="255"/>
      <c r="BN38" s="255"/>
      <c r="BO38" s="258">
        <f t="shared" si="7"/>
        <v>0</v>
      </c>
      <c r="BP38" s="259"/>
      <c r="BR38" s="261" t="str">
        <f>IF($H38="","",VLOOKUP($H38,'Master Data'!$B:$D,3,FALSE))</f>
        <v/>
      </c>
      <c r="BS38" s="261" t="str">
        <f t="shared" ref="BS38:BS51" si="10">IF(C38="","",IF($A38&lt;&gt;"human resources",IF(LEFT(F38,6)="10301S","Selling","General Administrative"),IFERROR(IF(FIND("Selling",D38)&gt;0,"Selling","General Administrative"),"General Administrative")))</f>
        <v/>
      </c>
      <c r="BT38" s="261" t="str">
        <f>IF($H38="","",VLOOKUP(VALUE($H38),'Master Data'!B:I,8,FALSE))</f>
        <v/>
      </c>
    </row>
    <row r="39" spans="1:72" s="260" customFormat="1" x14ac:dyDescent="0.25">
      <c r="A39" s="237" t="str">
        <f>IF(D39="","",Cover!$D$8)</f>
        <v/>
      </c>
      <c r="B39" s="200" t="str">
        <f>IF(D39="","",IFERROR(VLOOKUP(G39,'Master Data'!$E$59:$J$146,6,FALSE),0))</f>
        <v/>
      </c>
      <c r="C39" s="238" t="str">
        <f>IF(D39="","",_xlfn.XLOOKUP(D39,'Activity Master Opex'!C:C,'Activity Master Opex'!B:B,0,0,1))</f>
        <v/>
      </c>
      <c r="D39" s="263"/>
      <c r="E39" s="262" t="str">
        <f>IF(D39="","",IFERROR(VLOOKUP(D39,'Activity Master Opex'!$C:$M,6,FALSE),0))</f>
        <v/>
      </c>
      <c r="F39" s="264" t="str">
        <f>IF($C39="","",VLOOKUP($C39,'Activity Master Opex'!$B:$I,3,0))</f>
        <v/>
      </c>
      <c r="G39" s="262" t="str">
        <f>IF($C39="","",VLOOKUP($F39,'Master Data'!$D$59:$E$146,2,FALSE))</f>
        <v/>
      </c>
      <c r="H39" s="265" t="str">
        <f>IF($C39="","",VLOOKUP($C39,'Activity Master Opex'!$B:$I,5,0))</f>
        <v/>
      </c>
      <c r="I39" s="237" t="str">
        <f>IFERROR(VLOOKUP(H39,'Master Data'!B:C,2,FALSE),"")</f>
        <v/>
      </c>
      <c r="J39" s="266"/>
      <c r="K39" s="266"/>
      <c r="L39" s="267"/>
      <c r="M39" s="267"/>
      <c r="N39" s="267"/>
      <c r="O39" s="267"/>
      <c r="P39" s="267"/>
      <c r="Q39" s="267"/>
      <c r="R39" s="267"/>
      <c r="S39" s="267"/>
      <c r="T39" s="267"/>
      <c r="U39" s="267"/>
      <c r="V39" s="267"/>
      <c r="W39" s="267"/>
      <c r="X39" s="270">
        <f t="shared" si="9"/>
        <v>0</v>
      </c>
      <c r="Y39" s="277"/>
      <c r="Z39" s="278"/>
      <c r="AA39" s="278"/>
      <c r="AB39" s="278"/>
      <c r="AC39" s="278"/>
      <c r="AD39" s="278"/>
      <c r="AE39" s="278"/>
      <c r="AF39" s="278"/>
      <c r="AG39" s="278"/>
      <c r="AH39" s="278"/>
      <c r="AI39" s="278"/>
      <c r="AJ39" s="278"/>
      <c r="AK39" s="278"/>
      <c r="AL39" s="271">
        <f t="shared" si="3"/>
        <v>0</v>
      </c>
      <c r="AM39" s="279"/>
      <c r="AN39" s="278"/>
      <c r="AO39" s="278"/>
      <c r="AP39" s="278"/>
      <c r="AQ39" s="278"/>
      <c r="AR39" s="278"/>
      <c r="AS39" s="278"/>
      <c r="AT39" s="278"/>
      <c r="AU39" s="278"/>
      <c r="AV39" s="278"/>
      <c r="AW39" s="278"/>
      <c r="AX39" s="278"/>
      <c r="AY39" s="278"/>
      <c r="AZ39" s="271">
        <f t="shared" si="4"/>
        <v>0</v>
      </c>
      <c r="BA39" s="270">
        <f t="shared" si="5"/>
        <v>0</v>
      </c>
      <c r="BB39" s="269"/>
      <c r="BC39" s="251">
        <f t="shared" si="0"/>
        <v>0</v>
      </c>
      <c r="BD39" s="244" t="str">
        <f>IF('Budget Opex Detail'!C39="","",IF(COUNTIFS('Activity Master Opex'!$B$4:$B$58,'Budget Opex Detail'!$C39)&gt;0,"","New Activity"))</f>
        <v/>
      </c>
      <c r="BE39" s="252"/>
      <c r="BF39" s="253"/>
      <c r="BG39" s="254"/>
      <c r="BH39" s="255"/>
      <c r="BI39" s="256"/>
      <c r="BJ39" s="256"/>
      <c r="BK39" s="257"/>
      <c r="BL39" s="214">
        <f t="shared" si="6"/>
        <v>0</v>
      </c>
      <c r="BM39" s="255"/>
      <c r="BN39" s="255"/>
      <c r="BO39" s="258">
        <f t="shared" si="7"/>
        <v>0</v>
      </c>
      <c r="BP39" s="259"/>
      <c r="BR39" s="261" t="str">
        <f>IF($H39="","",VLOOKUP($H39,'Master Data'!$B:$D,3,FALSE))</f>
        <v/>
      </c>
      <c r="BS39" s="261" t="str">
        <f t="shared" si="10"/>
        <v/>
      </c>
      <c r="BT39" s="261" t="str">
        <f>IF($H39="","",VLOOKUP(VALUE($H39),'Master Data'!B:I,8,FALSE))</f>
        <v/>
      </c>
    </row>
    <row r="40" spans="1:72" s="260" customFormat="1" x14ac:dyDescent="0.25">
      <c r="A40" s="237" t="str">
        <f>IF(D40="","",Cover!$D$8)</f>
        <v/>
      </c>
      <c r="B40" s="200" t="str">
        <f>IF(D40="","",IFERROR(VLOOKUP(G40,'Master Data'!$E$59:$J$146,6,FALSE),0))</f>
        <v/>
      </c>
      <c r="C40" s="238" t="str">
        <f>IF(D40="","",_xlfn.XLOOKUP(D40,'Activity Master Opex'!C:C,'Activity Master Opex'!B:B,0,0,1))</f>
        <v/>
      </c>
      <c r="D40" s="263"/>
      <c r="E40" s="262" t="str">
        <f>IF(D40="","",IFERROR(VLOOKUP(D40,'Activity Master Opex'!$C:$M,6,FALSE),0))</f>
        <v/>
      </c>
      <c r="F40" s="264" t="str">
        <f>IF($C40="","",VLOOKUP($C40,'Activity Master Opex'!$B:$I,3,0))</f>
        <v/>
      </c>
      <c r="G40" s="262" t="str">
        <f>IF($C40="","",VLOOKUP($F40,'Master Data'!$D$59:$E$146,2,FALSE))</f>
        <v/>
      </c>
      <c r="H40" s="265" t="str">
        <f>IF($C40="","",VLOOKUP($C40,'Activity Master Opex'!$B:$I,5,0))</f>
        <v/>
      </c>
      <c r="I40" s="237" t="str">
        <f>IFERROR(VLOOKUP(H40,'Master Data'!B:C,2,FALSE),"")</f>
        <v/>
      </c>
      <c r="J40" s="266"/>
      <c r="K40" s="266"/>
      <c r="L40" s="267"/>
      <c r="M40" s="267"/>
      <c r="N40" s="267"/>
      <c r="O40" s="267"/>
      <c r="P40" s="267"/>
      <c r="Q40" s="267"/>
      <c r="R40" s="267"/>
      <c r="S40" s="267"/>
      <c r="T40" s="267"/>
      <c r="U40" s="267"/>
      <c r="V40" s="267"/>
      <c r="W40" s="267"/>
      <c r="X40" s="270">
        <f t="shared" si="9"/>
        <v>0</v>
      </c>
      <c r="Y40" s="277"/>
      <c r="Z40" s="278"/>
      <c r="AA40" s="278"/>
      <c r="AB40" s="278"/>
      <c r="AC40" s="278"/>
      <c r="AD40" s="278"/>
      <c r="AE40" s="278"/>
      <c r="AF40" s="278"/>
      <c r="AG40" s="278"/>
      <c r="AH40" s="278"/>
      <c r="AI40" s="278"/>
      <c r="AJ40" s="278"/>
      <c r="AK40" s="278"/>
      <c r="AL40" s="271">
        <f t="shared" si="3"/>
        <v>0</v>
      </c>
      <c r="AM40" s="279"/>
      <c r="AN40" s="278"/>
      <c r="AO40" s="278"/>
      <c r="AP40" s="278"/>
      <c r="AQ40" s="278"/>
      <c r="AR40" s="278"/>
      <c r="AS40" s="278"/>
      <c r="AT40" s="278"/>
      <c r="AU40" s="278"/>
      <c r="AV40" s="278"/>
      <c r="AW40" s="278"/>
      <c r="AX40" s="278"/>
      <c r="AY40" s="278"/>
      <c r="AZ40" s="271">
        <f t="shared" si="4"/>
        <v>0</v>
      </c>
      <c r="BA40" s="270">
        <f t="shared" si="5"/>
        <v>0</v>
      </c>
      <c r="BB40" s="269"/>
      <c r="BC40" s="251">
        <f t="shared" si="0"/>
        <v>0</v>
      </c>
      <c r="BD40" s="244" t="str">
        <f>IF('Budget Opex Detail'!C40="","",IF(COUNTIFS('Activity Master Opex'!$B$4:$B$58,'Budget Opex Detail'!$C40)&gt;0,"","New Activity"))</f>
        <v/>
      </c>
      <c r="BE40" s="252"/>
      <c r="BF40" s="253"/>
      <c r="BG40" s="254"/>
      <c r="BH40" s="255"/>
      <c r="BI40" s="256"/>
      <c r="BJ40" s="256"/>
      <c r="BK40" s="257"/>
      <c r="BL40" s="214">
        <f t="shared" si="6"/>
        <v>0</v>
      </c>
      <c r="BM40" s="255"/>
      <c r="BN40" s="255"/>
      <c r="BO40" s="258">
        <f t="shared" si="7"/>
        <v>0</v>
      </c>
      <c r="BP40" s="259"/>
      <c r="BR40" s="261" t="str">
        <f>IF($H40="","",VLOOKUP($H40,'Master Data'!$B:$D,3,FALSE))</f>
        <v/>
      </c>
      <c r="BS40" s="261" t="str">
        <f t="shared" si="10"/>
        <v/>
      </c>
      <c r="BT40" s="261" t="str">
        <f>IF($H40="","",VLOOKUP(VALUE($H40),'Master Data'!B:I,8,FALSE))</f>
        <v/>
      </c>
    </row>
    <row r="41" spans="1:72" s="260" customFormat="1" x14ac:dyDescent="0.25">
      <c r="A41" s="237" t="str">
        <f>IF(D41="","",Cover!$D$8)</f>
        <v/>
      </c>
      <c r="B41" s="200" t="str">
        <f>IF(D41="","",IFERROR(VLOOKUP(G41,'Master Data'!$E$59:$J$146,6,FALSE),0))</f>
        <v/>
      </c>
      <c r="C41" s="238" t="str">
        <f>IF(D41="","",_xlfn.XLOOKUP(D41,'Activity Master Opex'!C:C,'Activity Master Opex'!B:B,0,0,1))</f>
        <v/>
      </c>
      <c r="D41" s="263"/>
      <c r="E41" s="262" t="str">
        <f>IF(D41="","",IFERROR(VLOOKUP(D41,'Activity Master Opex'!$C:$M,6,FALSE),0))</f>
        <v/>
      </c>
      <c r="F41" s="264" t="str">
        <f>IF($C41="","",VLOOKUP($C41,'Activity Master Opex'!$B:$I,3,0))</f>
        <v/>
      </c>
      <c r="G41" s="262" t="str">
        <f>IF($C41="","",VLOOKUP($F41,'Master Data'!$D$59:$E$146,2,FALSE))</f>
        <v/>
      </c>
      <c r="H41" s="265" t="str">
        <f>IF($C41="","",VLOOKUP($C41,'Activity Master Opex'!$B:$I,5,0))</f>
        <v/>
      </c>
      <c r="I41" s="237" t="str">
        <f>IFERROR(VLOOKUP(H41,'Master Data'!B:C,2,FALSE),"")</f>
        <v/>
      </c>
      <c r="J41" s="266"/>
      <c r="K41" s="266"/>
      <c r="L41" s="267"/>
      <c r="M41" s="267"/>
      <c r="N41" s="267"/>
      <c r="O41" s="267"/>
      <c r="P41" s="267"/>
      <c r="Q41" s="267"/>
      <c r="R41" s="267"/>
      <c r="S41" s="267"/>
      <c r="T41" s="267"/>
      <c r="U41" s="267"/>
      <c r="V41" s="267"/>
      <c r="W41" s="267"/>
      <c r="X41" s="270">
        <f t="shared" si="9"/>
        <v>0</v>
      </c>
      <c r="Y41" s="277"/>
      <c r="Z41" s="278"/>
      <c r="AA41" s="278"/>
      <c r="AB41" s="278"/>
      <c r="AC41" s="278"/>
      <c r="AD41" s="278"/>
      <c r="AE41" s="278"/>
      <c r="AF41" s="278"/>
      <c r="AG41" s="278"/>
      <c r="AH41" s="278"/>
      <c r="AI41" s="278"/>
      <c r="AJ41" s="278"/>
      <c r="AK41" s="278"/>
      <c r="AL41" s="271">
        <f t="shared" si="3"/>
        <v>0</v>
      </c>
      <c r="AM41" s="279"/>
      <c r="AN41" s="278"/>
      <c r="AO41" s="278"/>
      <c r="AP41" s="278"/>
      <c r="AQ41" s="278"/>
      <c r="AR41" s="278"/>
      <c r="AS41" s="278"/>
      <c r="AT41" s="278"/>
      <c r="AU41" s="278"/>
      <c r="AV41" s="278"/>
      <c r="AW41" s="278"/>
      <c r="AX41" s="278"/>
      <c r="AY41" s="278"/>
      <c r="AZ41" s="271">
        <f t="shared" si="4"/>
        <v>0</v>
      </c>
      <c r="BA41" s="270">
        <f t="shared" si="5"/>
        <v>0</v>
      </c>
      <c r="BB41" s="269"/>
      <c r="BC41" s="251">
        <f t="shared" si="0"/>
        <v>0</v>
      </c>
      <c r="BD41" s="244" t="str">
        <f>IF('Budget Opex Detail'!C41="","",IF(COUNTIFS('Activity Master Opex'!$B$4:$B$58,'Budget Opex Detail'!$C41)&gt;0,"","New Activity"))</f>
        <v/>
      </c>
      <c r="BE41" s="252"/>
      <c r="BF41" s="253"/>
      <c r="BG41" s="254"/>
      <c r="BH41" s="255"/>
      <c r="BI41" s="256"/>
      <c r="BJ41" s="256"/>
      <c r="BK41" s="257"/>
      <c r="BL41" s="214">
        <f t="shared" si="6"/>
        <v>0</v>
      </c>
      <c r="BM41" s="255"/>
      <c r="BN41" s="255"/>
      <c r="BO41" s="258">
        <f t="shared" si="7"/>
        <v>0</v>
      </c>
      <c r="BP41" s="259"/>
      <c r="BR41" s="261" t="str">
        <f>IF($H41="","",VLOOKUP($H41,'Master Data'!$B:$D,3,FALSE))</f>
        <v/>
      </c>
      <c r="BS41" s="261" t="str">
        <f t="shared" si="10"/>
        <v/>
      </c>
      <c r="BT41" s="261" t="str">
        <f>IF($H41="","",VLOOKUP(VALUE($H41),'Master Data'!B:I,8,FALSE))</f>
        <v/>
      </c>
    </row>
    <row r="42" spans="1:72" s="260" customFormat="1" x14ac:dyDescent="0.25">
      <c r="A42" s="237" t="str">
        <f>IF(D42="","",Cover!$D$8)</f>
        <v/>
      </c>
      <c r="B42" s="200" t="str">
        <f>IF(D42="","",IFERROR(VLOOKUP(G42,'Master Data'!$E$59:$J$146,6,FALSE),0))</f>
        <v/>
      </c>
      <c r="C42" s="238" t="str">
        <f>IF(D42="","",_xlfn.XLOOKUP(D42,'Activity Master Opex'!C:C,'Activity Master Opex'!B:B,0,0,1))</f>
        <v/>
      </c>
      <c r="D42" s="263"/>
      <c r="E42" s="262" t="str">
        <f>IF(D42="","",IFERROR(VLOOKUP(D42,'Activity Master Opex'!$C:$M,6,FALSE),0))</f>
        <v/>
      </c>
      <c r="F42" s="264" t="str">
        <f>IF($C42="","",VLOOKUP($C42,'Activity Master Opex'!$B:$I,3,0))</f>
        <v/>
      </c>
      <c r="G42" s="262" t="str">
        <f>IF($C42="","",VLOOKUP($F42,'Master Data'!$D$59:$E$146,2,FALSE))</f>
        <v/>
      </c>
      <c r="H42" s="265" t="str">
        <f>IF($C42="","",VLOOKUP($C42,'Activity Master Opex'!$B:$I,5,0))</f>
        <v/>
      </c>
      <c r="I42" s="237" t="str">
        <f>IFERROR(VLOOKUP(H42,'Master Data'!B:C,2,FALSE),"")</f>
        <v/>
      </c>
      <c r="J42" s="266"/>
      <c r="K42" s="266"/>
      <c r="L42" s="267"/>
      <c r="M42" s="267"/>
      <c r="N42" s="267"/>
      <c r="O42" s="267"/>
      <c r="P42" s="267"/>
      <c r="Q42" s="267"/>
      <c r="R42" s="267"/>
      <c r="S42" s="267"/>
      <c r="T42" s="267"/>
      <c r="U42" s="267"/>
      <c r="V42" s="267"/>
      <c r="W42" s="267"/>
      <c r="X42" s="270">
        <f t="shared" si="9"/>
        <v>0</v>
      </c>
      <c r="Y42" s="277"/>
      <c r="Z42" s="278"/>
      <c r="AA42" s="278"/>
      <c r="AB42" s="278"/>
      <c r="AC42" s="278"/>
      <c r="AD42" s="278"/>
      <c r="AE42" s="278"/>
      <c r="AF42" s="278"/>
      <c r="AG42" s="278"/>
      <c r="AH42" s="278"/>
      <c r="AI42" s="278"/>
      <c r="AJ42" s="278"/>
      <c r="AK42" s="278"/>
      <c r="AL42" s="271">
        <f t="shared" si="3"/>
        <v>0</v>
      </c>
      <c r="AM42" s="279"/>
      <c r="AN42" s="278"/>
      <c r="AO42" s="278"/>
      <c r="AP42" s="278"/>
      <c r="AQ42" s="278"/>
      <c r="AR42" s="278"/>
      <c r="AS42" s="278"/>
      <c r="AT42" s="278"/>
      <c r="AU42" s="278"/>
      <c r="AV42" s="278"/>
      <c r="AW42" s="278"/>
      <c r="AX42" s="278"/>
      <c r="AY42" s="278"/>
      <c r="AZ42" s="271">
        <f t="shared" si="4"/>
        <v>0</v>
      </c>
      <c r="BA42" s="270">
        <f t="shared" si="5"/>
        <v>0</v>
      </c>
      <c r="BB42" s="269"/>
      <c r="BC42" s="251">
        <f t="shared" si="0"/>
        <v>0</v>
      </c>
      <c r="BD42" s="244" t="str">
        <f>IF('Budget Opex Detail'!C42="","",IF(COUNTIFS('Activity Master Opex'!$B$4:$B$58,'Budget Opex Detail'!$C42)&gt;0,"","New Activity"))</f>
        <v/>
      </c>
      <c r="BE42" s="252"/>
      <c r="BF42" s="253"/>
      <c r="BG42" s="254"/>
      <c r="BH42" s="255"/>
      <c r="BI42" s="256"/>
      <c r="BJ42" s="256"/>
      <c r="BK42" s="257"/>
      <c r="BL42" s="214">
        <f t="shared" si="6"/>
        <v>0</v>
      </c>
      <c r="BM42" s="255"/>
      <c r="BN42" s="255"/>
      <c r="BO42" s="258">
        <f t="shared" si="7"/>
        <v>0</v>
      </c>
      <c r="BP42" s="259"/>
      <c r="BR42" s="261" t="str">
        <f>IF($H42="","",VLOOKUP($H42,'Master Data'!$B:$D,3,FALSE))</f>
        <v/>
      </c>
      <c r="BS42" s="261" t="str">
        <f t="shared" si="10"/>
        <v/>
      </c>
      <c r="BT42" s="261" t="str">
        <f>IF($H42="","",VLOOKUP(VALUE($H42),'Master Data'!B:I,8,FALSE))</f>
        <v/>
      </c>
    </row>
    <row r="43" spans="1:72" s="260" customFormat="1" x14ac:dyDescent="0.25">
      <c r="A43" s="237" t="str">
        <f>IF(D43="","",Cover!$D$8)</f>
        <v/>
      </c>
      <c r="B43" s="200" t="str">
        <f>IF(D43="","",IFERROR(VLOOKUP(G43,'Master Data'!$E$59:$J$146,6,FALSE),0))</f>
        <v/>
      </c>
      <c r="C43" s="238" t="str">
        <f>IF(D43="","",_xlfn.XLOOKUP(D43,'Activity Master Opex'!C:C,'Activity Master Opex'!B:B,0,0,1))</f>
        <v/>
      </c>
      <c r="D43" s="263"/>
      <c r="E43" s="262" t="str">
        <f>IF(D43="","",IFERROR(VLOOKUP(D43,'Activity Master Opex'!$C:$M,6,FALSE),0))</f>
        <v/>
      </c>
      <c r="F43" s="264" t="str">
        <f>IF($C43="","",VLOOKUP($C43,'Activity Master Opex'!$B:$I,3,0))</f>
        <v/>
      </c>
      <c r="G43" s="262" t="str">
        <f>IF($C43="","",VLOOKUP($F43,'Master Data'!$D$59:$E$146,2,FALSE))</f>
        <v/>
      </c>
      <c r="H43" s="265" t="str">
        <f>IF($C43="","",VLOOKUP($C43,'Activity Master Opex'!$B:$I,5,0))</f>
        <v/>
      </c>
      <c r="I43" s="237" t="str">
        <f>IFERROR(VLOOKUP(H43,'Master Data'!B:C,2,FALSE),"")</f>
        <v/>
      </c>
      <c r="J43" s="266"/>
      <c r="K43" s="266"/>
      <c r="L43" s="267"/>
      <c r="M43" s="267"/>
      <c r="N43" s="267"/>
      <c r="O43" s="267"/>
      <c r="P43" s="267"/>
      <c r="Q43" s="267"/>
      <c r="R43" s="267"/>
      <c r="S43" s="267"/>
      <c r="T43" s="267"/>
      <c r="U43" s="267"/>
      <c r="V43" s="267"/>
      <c r="W43" s="267"/>
      <c r="X43" s="270">
        <f t="shared" si="9"/>
        <v>0</v>
      </c>
      <c r="Y43" s="277"/>
      <c r="Z43" s="278"/>
      <c r="AA43" s="278"/>
      <c r="AB43" s="278"/>
      <c r="AC43" s="278"/>
      <c r="AD43" s="278"/>
      <c r="AE43" s="278"/>
      <c r="AF43" s="278"/>
      <c r="AG43" s="278"/>
      <c r="AH43" s="278"/>
      <c r="AI43" s="278"/>
      <c r="AJ43" s="278"/>
      <c r="AK43" s="278"/>
      <c r="AL43" s="271">
        <f t="shared" si="3"/>
        <v>0</v>
      </c>
      <c r="AM43" s="279"/>
      <c r="AN43" s="278"/>
      <c r="AO43" s="278"/>
      <c r="AP43" s="278"/>
      <c r="AQ43" s="278"/>
      <c r="AR43" s="278"/>
      <c r="AS43" s="278"/>
      <c r="AT43" s="278"/>
      <c r="AU43" s="278"/>
      <c r="AV43" s="278"/>
      <c r="AW43" s="278"/>
      <c r="AX43" s="278"/>
      <c r="AY43" s="278"/>
      <c r="AZ43" s="271">
        <f t="shared" si="4"/>
        <v>0</v>
      </c>
      <c r="BA43" s="270">
        <f t="shared" si="5"/>
        <v>0</v>
      </c>
      <c r="BB43" s="269"/>
      <c r="BC43" s="251">
        <f t="shared" si="0"/>
        <v>0</v>
      </c>
      <c r="BD43" s="244" t="str">
        <f>IF('Budget Opex Detail'!C43="","",IF(COUNTIFS('Activity Master Opex'!$B$4:$B$58,'Budget Opex Detail'!$C43)&gt;0,"","New Activity"))</f>
        <v/>
      </c>
      <c r="BE43" s="252"/>
      <c r="BF43" s="253"/>
      <c r="BG43" s="254"/>
      <c r="BH43" s="255"/>
      <c r="BI43" s="256"/>
      <c r="BJ43" s="256"/>
      <c r="BK43" s="257"/>
      <c r="BL43" s="214">
        <f t="shared" si="6"/>
        <v>0</v>
      </c>
      <c r="BM43" s="255"/>
      <c r="BN43" s="255"/>
      <c r="BO43" s="258">
        <f t="shared" si="7"/>
        <v>0</v>
      </c>
      <c r="BP43" s="259"/>
      <c r="BR43" s="261" t="str">
        <f>IF($H43="","",VLOOKUP($H43,'Master Data'!$B:$D,3,FALSE))</f>
        <v/>
      </c>
      <c r="BS43" s="261" t="str">
        <f t="shared" si="10"/>
        <v/>
      </c>
      <c r="BT43" s="261" t="str">
        <f>IF($H43="","",VLOOKUP(VALUE($H43),'Master Data'!B:I,8,FALSE))</f>
        <v/>
      </c>
    </row>
    <row r="44" spans="1:72" s="260" customFormat="1" x14ac:dyDescent="0.25">
      <c r="A44" s="237" t="str">
        <f>IF(D44="","",Cover!$D$8)</f>
        <v/>
      </c>
      <c r="B44" s="200" t="str">
        <f>IF(D44="","",IFERROR(VLOOKUP(G44,'Master Data'!$E$59:$J$146,6,FALSE),0))</f>
        <v/>
      </c>
      <c r="C44" s="238" t="str">
        <f>IF(D44="","",_xlfn.XLOOKUP(D44,'Activity Master Opex'!C:C,'Activity Master Opex'!B:B,0,0,1))</f>
        <v/>
      </c>
      <c r="D44" s="263"/>
      <c r="E44" s="262" t="str">
        <f>IF(D44="","",IFERROR(VLOOKUP(D44,'Activity Master Opex'!$C:$M,6,FALSE),0))</f>
        <v/>
      </c>
      <c r="F44" s="264" t="str">
        <f>IF($C44="","",VLOOKUP($C44,'Activity Master Opex'!$B:$I,3,0))</f>
        <v/>
      </c>
      <c r="G44" s="262" t="str">
        <f>IF($C44="","",VLOOKUP($F44,'Master Data'!$D$59:$E$146,2,FALSE))</f>
        <v/>
      </c>
      <c r="H44" s="265" t="str">
        <f>IF($C44="","",VLOOKUP($C44,'Activity Master Opex'!$B:$I,5,0))</f>
        <v/>
      </c>
      <c r="I44" s="237" t="str">
        <f>IFERROR(VLOOKUP(H44,'Master Data'!B:C,2,FALSE),"")</f>
        <v/>
      </c>
      <c r="J44" s="266"/>
      <c r="K44" s="266"/>
      <c r="L44" s="267"/>
      <c r="M44" s="267"/>
      <c r="N44" s="267"/>
      <c r="O44" s="267"/>
      <c r="P44" s="267"/>
      <c r="Q44" s="267"/>
      <c r="R44" s="267"/>
      <c r="S44" s="267"/>
      <c r="T44" s="267"/>
      <c r="U44" s="267"/>
      <c r="V44" s="267"/>
      <c r="W44" s="267"/>
      <c r="X44" s="270">
        <f t="shared" si="9"/>
        <v>0</v>
      </c>
      <c r="Y44" s="277"/>
      <c r="Z44" s="278"/>
      <c r="AA44" s="278"/>
      <c r="AB44" s="278"/>
      <c r="AC44" s="278"/>
      <c r="AD44" s="278"/>
      <c r="AE44" s="278"/>
      <c r="AF44" s="278"/>
      <c r="AG44" s="278"/>
      <c r="AH44" s="278"/>
      <c r="AI44" s="278"/>
      <c r="AJ44" s="278"/>
      <c r="AK44" s="278"/>
      <c r="AL44" s="271">
        <f t="shared" si="3"/>
        <v>0</v>
      </c>
      <c r="AM44" s="279"/>
      <c r="AN44" s="278"/>
      <c r="AO44" s="278"/>
      <c r="AP44" s="278"/>
      <c r="AQ44" s="278"/>
      <c r="AR44" s="278"/>
      <c r="AS44" s="278"/>
      <c r="AT44" s="278"/>
      <c r="AU44" s="278"/>
      <c r="AV44" s="278"/>
      <c r="AW44" s="278"/>
      <c r="AX44" s="278"/>
      <c r="AY44" s="278"/>
      <c r="AZ44" s="271">
        <f t="shared" si="4"/>
        <v>0</v>
      </c>
      <c r="BA44" s="270">
        <f t="shared" si="5"/>
        <v>0</v>
      </c>
      <c r="BB44" s="269"/>
      <c r="BC44" s="251">
        <f t="shared" si="0"/>
        <v>0</v>
      </c>
      <c r="BD44" s="244" t="str">
        <f>IF('Budget Opex Detail'!C44="","",IF(COUNTIFS('Activity Master Opex'!$B$4:$B$58,'Budget Opex Detail'!$C44)&gt;0,"","New Activity"))</f>
        <v/>
      </c>
      <c r="BE44" s="252"/>
      <c r="BF44" s="253"/>
      <c r="BG44" s="254"/>
      <c r="BH44" s="255"/>
      <c r="BI44" s="256"/>
      <c r="BJ44" s="256"/>
      <c r="BK44" s="257"/>
      <c r="BL44" s="214">
        <f t="shared" si="6"/>
        <v>0</v>
      </c>
      <c r="BM44" s="255"/>
      <c r="BN44" s="255"/>
      <c r="BO44" s="258">
        <f t="shared" si="7"/>
        <v>0</v>
      </c>
      <c r="BP44" s="259"/>
      <c r="BR44" s="261" t="str">
        <f>IF($H44="","",VLOOKUP($H44,'Master Data'!$B:$D,3,FALSE))</f>
        <v/>
      </c>
      <c r="BS44" s="261" t="str">
        <f t="shared" si="10"/>
        <v/>
      </c>
      <c r="BT44" s="261" t="str">
        <f>IF($H44="","",VLOOKUP(VALUE($H44),'Master Data'!B:I,8,FALSE))</f>
        <v/>
      </c>
    </row>
    <row r="45" spans="1:72" s="260" customFormat="1" x14ac:dyDescent="0.25">
      <c r="A45" s="237" t="str">
        <f>IF(D45="","",Cover!$D$8)</f>
        <v/>
      </c>
      <c r="B45" s="200" t="str">
        <f>IF(D45="","",IFERROR(VLOOKUP(G45,'Master Data'!$E$59:$J$146,6,FALSE),0))</f>
        <v/>
      </c>
      <c r="C45" s="238" t="str">
        <f>IF(D45="","",_xlfn.XLOOKUP(D45,'Activity Master Opex'!C:C,'Activity Master Opex'!B:B,0,0,1))</f>
        <v/>
      </c>
      <c r="D45" s="263"/>
      <c r="E45" s="262" t="str">
        <f>IF(D45="","",IFERROR(VLOOKUP(D45,'Activity Master Opex'!$C:$M,6,FALSE),0))</f>
        <v/>
      </c>
      <c r="F45" s="264" t="str">
        <f>IF($C45="","",VLOOKUP($C45,'Activity Master Opex'!$B:$I,3,0))</f>
        <v/>
      </c>
      <c r="G45" s="262" t="str">
        <f>IF($C45="","",VLOOKUP($F45,'Master Data'!$D$59:$E$146,2,FALSE))</f>
        <v/>
      </c>
      <c r="H45" s="265" t="str">
        <f>IF($C45="","",VLOOKUP($C45,'Activity Master Opex'!$B:$I,5,0))</f>
        <v/>
      </c>
      <c r="I45" s="237" t="str">
        <f>IFERROR(VLOOKUP(H45,'Master Data'!B:C,2,FALSE),"")</f>
        <v/>
      </c>
      <c r="J45" s="266"/>
      <c r="K45" s="266"/>
      <c r="L45" s="267"/>
      <c r="M45" s="267"/>
      <c r="N45" s="267"/>
      <c r="O45" s="267"/>
      <c r="P45" s="267"/>
      <c r="Q45" s="267"/>
      <c r="R45" s="267"/>
      <c r="S45" s="267"/>
      <c r="T45" s="267"/>
      <c r="U45" s="267"/>
      <c r="V45" s="267"/>
      <c r="W45" s="267"/>
      <c r="X45" s="270">
        <f t="shared" si="9"/>
        <v>0</v>
      </c>
      <c r="Y45" s="277"/>
      <c r="Z45" s="278"/>
      <c r="AA45" s="278"/>
      <c r="AB45" s="278"/>
      <c r="AC45" s="278"/>
      <c r="AD45" s="278"/>
      <c r="AE45" s="278"/>
      <c r="AF45" s="278"/>
      <c r="AG45" s="278"/>
      <c r="AH45" s="278"/>
      <c r="AI45" s="278"/>
      <c r="AJ45" s="278"/>
      <c r="AK45" s="278"/>
      <c r="AL45" s="271">
        <f t="shared" si="3"/>
        <v>0</v>
      </c>
      <c r="AM45" s="279"/>
      <c r="AN45" s="278"/>
      <c r="AO45" s="278"/>
      <c r="AP45" s="278"/>
      <c r="AQ45" s="278"/>
      <c r="AR45" s="278"/>
      <c r="AS45" s="278"/>
      <c r="AT45" s="278"/>
      <c r="AU45" s="278"/>
      <c r="AV45" s="278"/>
      <c r="AW45" s="278"/>
      <c r="AX45" s="278"/>
      <c r="AY45" s="278"/>
      <c r="AZ45" s="271">
        <f t="shared" si="4"/>
        <v>0</v>
      </c>
      <c r="BA45" s="270">
        <f t="shared" si="5"/>
        <v>0</v>
      </c>
      <c r="BB45" s="269"/>
      <c r="BC45" s="251">
        <f t="shared" si="0"/>
        <v>0</v>
      </c>
      <c r="BD45" s="244" t="str">
        <f>IF('Budget Opex Detail'!C45="","",IF(COUNTIFS('Activity Master Opex'!$B$4:$B$58,'Budget Opex Detail'!$C45)&gt;0,"","New Activity"))</f>
        <v/>
      </c>
      <c r="BE45" s="252"/>
      <c r="BF45" s="253"/>
      <c r="BG45" s="254"/>
      <c r="BH45" s="255"/>
      <c r="BI45" s="256"/>
      <c r="BJ45" s="256"/>
      <c r="BK45" s="257"/>
      <c r="BL45" s="214">
        <f t="shared" si="6"/>
        <v>0</v>
      </c>
      <c r="BM45" s="255"/>
      <c r="BN45" s="255"/>
      <c r="BO45" s="258">
        <f t="shared" si="7"/>
        <v>0</v>
      </c>
      <c r="BP45" s="259"/>
      <c r="BR45" s="261" t="str">
        <f>IF($H45="","",VLOOKUP($H45,'Master Data'!$B:$D,3,FALSE))</f>
        <v/>
      </c>
      <c r="BS45" s="261" t="str">
        <f t="shared" si="10"/>
        <v/>
      </c>
      <c r="BT45" s="261" t="str">
        <f>IF($H45="","",VLOOKUP(VALUE($H45),'Master Data'!B:I,8,FALSE))</f>
        <v/>
      </c>
    </row>
    <row r="46" spans="1:72" s="260" customFormat="1" x14ac:dyDescent="0.25">
      <c r="A46" s="237" t="str">
        <f>IF(D46="","",Cover!$D$8)</f>
        <v/>
      </c>
      <c r="B46" s="200" t="str">
        <f>IF(D46="","",IFERROR(VLOOKUP(G46,'Master Data'!$E$59:$J$146,6,FALSE),0))</f>
        <v/>
      </c>
      <c r="C46" s="238" t="str">
        <f>IF(D46="","",_xlfn.XLOOKUP(D46,'Activity Master Opex'!C:C,'Activity Master Opex'!B:B,0,0,1))</f>
        <v/>
      </c>
      <c r="D46" s="263"/>
      <c r="E46" s="262" t="str">
        <f>IF(D46="","",IFERROR(VLOOKUP(D46,'Activity Master Opex'!$C:$M,6,FALSE),0))</f>
        <v/>
      </c>
      <c r="F46" s="264" t="str">
        <f>IF($C46="","",VLOOKUP($C46,'Activity Master Opex'!$B:$I,3,0))</f>
        <v/>
      </c>
      <c r="G46" s="262" t="str">
        <f>IF($C46="","",VLOOKUP($F46,'Master Data'!$D$59:$E$146,2,FALSE))</f>
        <v/>
      </c>
      <c r="H46" s="265" t="str">
        <f>IF($C46="","",VLOOKUP($C46,'Activity Master Opex'!$B:$I,5,0))</f>
        <v/>
      </c>
      <c r="I46" s="237" t="str">
        <f>IFERROR(VLOOKUP(H46,'Master Data'!B:C,2,FALSE),"")</f>
        <v/>
      </c>
      <c r="J46" s="266"/>
      <c r="K46" s="266"/>
      <c r="L46" s="267"/>
      <c r="M46" s="267"/>
      <c r="N46" s="267"/>
      <c r="O46" s="267"/>
      <c r="P46" s="267"/>
      <c r="Q46" s="267"/>
      <c r="R46" s="267"/>
      <c r="S46" s="267"/>
      <c r="T46" s="267"/>
      <c r="U46" s="267"/>
      <c r="V46" s="267"/>
      <c r="W46" s="267"/>
      <c r="X46" s="270">
        <f t="shared" si="9"/>
        <v>0</v>
      </c>
      <c r="Y46" s="277"/>
      <c r="Z46" s="278"/>
      <c r="AA46" s="278"/>
      <c r="AB46" s="278"/>
      <c r="AC46" s="278"/>
      <c r="AD46" s="278"/>
      <c r="AE46" s="278"/>
      <c r="AF46" s="278"/>
      <c r="AG46" s="278"/>
      <c r="AH46" s="278"/>
      <c r="AI46" s="278"/>
      <c r="AJ46" s="278"/>
      <c r="AK46" s="278"/>
      <c r="AL46" s="271">
        <f t="shared" si="3"/>
        <v>0</v>
      </c>
      <c r="AM46" s="279"/>
      <c r="AN46" s="278"/>
      <c r="AO46" s="278"/>
      <c r="AP46" s="278"/>
      <c r="AQ46" s="278"/>
      <c r="AR46" s="278"/>
      <c r="AS46" s="278"/>
      <c r="AT46" s="278"/>
      <c r="AU46" s="278"/>
      <c r="AV46" s="278"/>
      <c r="AW46" s="278"/>
      <c r="AX46" s="278"/>
      <c r="AY46" s="278"/>
      <c r="AZ46" s="271">
        <f t="shared" si="4"/>
        <v>0</v>
      </c>
      <c r="BA46" s="270">
        <f t="shared" si="5"/>
        <v>0</v>
      </c>
      <c r="BB46" s="269"/>
      <c r="BC46" s="251">
        <f t="shared" si="0"/>
        <v>0</v>
      </c>
      <c r="BD46" s="244" t="str">
        <f>IF('Budget Opex Detail'!C46="","",IF(COUNTIFS('Activity Master Opex'!$B$4:$B$58,'Budget Opex Detail'!$C46)&gt;0,"","New Activity"))</f>
        <v/>
      </c>
      <c r="BE46" s="252"/>
      <c r="BF46" s="253"/>
      <c r="BG46" s="254"/>
      <c r="BH46" s="255"/>
      <c r="BI46" s="256"/>
      <c r="BJ46" s="256"/>
      <c r="BK46" s="257"/>
      <c r="BL46" s="214">
        <f t="shared" si="6"/>
        <v>0</v>
      </c>
      <c r="BM46" s="255"/>
      <c r="BN46" s="255"/>
      <c r="BO46" s="258">
        <f t="shared" si="7"/>
        <v>0</v>
      </c>
      <c r="BP46" s="259"/>
      <c r="BR46" s="261" t="str">
        <f>IF($H46="","",VLOOKUP($H46,'Master Data'!$B:$D,3,FALSE))</f>
        <v/>
      </c>
      <c r="BS46" s="261" t="str">
        <f t="shared" si="10"/>
        <v/>
      </c>
      <c r="BT46" s="261" t="str">
        <f>IF($H46="","",VLOOKUP(VALUE($H46),'Master Data'!B:I,8,FALSE))</f>
        <v/>
      </c>
    </row>
    <row r="47" spans="1:72" s="260" customFormat="1" x14ac:dyDescent="0.25">
      <c r="A47" s="237" t="str">
        <f>IF(D47="","",Cover!$D$8)</f>
        <v/>
      </c>
      <c r="B47" s="200" t="str">
        <f>IF(D47="","",IFERROR(VLOOKUP(G47,'Master Data'!$E$59:$J$146,6,FALSE),0))</f>
        <v/>
      </c>
      <c r="C47" s="238" t="str">
        <f>IF(D47="","",_xlfn.XLOOKUP(D47,'Activity Master Opex'!C:C,'Activity Master Opex'!B:B,0,0,1))</f>
        <v/>
      </c>
      <c r="D47" s="263"/>
      <c r="E47" s="262" t="str">
        <f>IF(D47="","",IFERROR(VLOOKUP(D47,'Activity Master Opex'!$C:$M,6,FALSE),0))</f>
        <v/>
      </c>
      <c r="F47" s="264" t="str">
        <f>IF($C47="","",VLOOKUP($C47,'Activity Master Opex'!$B:$I,3,0))</f>
        <v/>
      </c>
      <c r="G47" s="262" t="str">
        <f>IF($C47="","",VLOOKUP($F47,'Master Data'!$D$59:$E$146,2,FALSE))</f>
        <v/>
      </c>
      <c r="H47" s="265" t="str">
        <f>IF($C47="","",VLOOKUP($C47,'Activity Master Opex'!$B:$I,5,0))</f>
        <v/>
      </c>
      <c r="I47" s="237" t="str">
        <f>IFERROR(VLOOKUP(H47,'Master Data'!B:C,2,FALSE),"")</f>
        <v/>
      </c>
      <c r="J47" s="266"/>
      <c r="K47" s="266"/>
      <c r="L47" s="267"/>
      <c r="M47" s="267"/>
      <c r="N47" s="267"/>
      <c r="O47" s="267"/>
      <c r="P47" s="267"/>
      <c r="Q47" s="267"/>
      <c r="R47" s="267"/>
      <c r="S47" s="267"/>
      <c r="T47" s="267"/>
      <c r="U47" s="267"/>
      <c r="V47" s="267"/>
      <c r="W47" s="267"/>
      <c r="X47" s="270">
        <f t="shared" si="9"/>
        <v>0</v>
      </c>
      <c r="Y47" s="277"/>
      <c r="Z47" s="278"/>
      <c r="AA47" s="278"/>
      <c r="AB47" s="278"/>
      <c r="AC47" s="278"/>
      <c r="AD47" s="278"/>
      <c r="AE47" s="278"/>
      <c r="AF47" s="278"/>
      <c r="AG47" s="278"/>
      <c r="AH47" s="278"/>
      <c r="AI47" s="278"/>
      <c r="AJ47" s="278"/>
      <c r="AK47" s="278"/>
      <c r="AL47" s="271">
        <f t="shared" si="3"/>
        <v>0</v>
      </c>
      <c r="AM47" s="279"/>
      <c r="AN47" s="278"/>
      <c r="AO47" s="278"/>
      <c r="AP47" s="278"/>
      <c r="AQ47" s="278"/>
      <c r="AR47" s="278"/>
      <c r="AS47" s="278"/>
      <c r="AT47" s="278"/>
      <c r="AU47" s="278"/>
      <c r="AV47" s="278"/>
      <c r="AW47" s="278"/>
      <c r="AX47" s="278"/>
      <c r="AY47" s="278"/>
      <c r="AZ47" s="271">
        <f t="shared" si="4"/>
        <v>0</v>
      </c>
      <c r="BA47" s="270">
        <f t="shared" si="5"/>
        <v>0</v>
      </c>
      <c r="BB47" s="269"/>
      <c r="BC47" s="251">
        <f t="shared" si="0"/>
        <v>0</v>
      </c>
      <c r="BD47" s="244" t="str">
        <f>IF('Budget Opex Detail'!C47="","",IF(COUNTIFS('Activity Master Opex'!$B$4:$B$58,'Budget Opex Detail'!$C47)&gt;0,"","New Activity"))</f>
        <v/>
      </c>
      <c r="BE47" s="252"/>
      <c r="BF47" s="253"/>
      <c r="BG47" s="254"/>
      <c r="BH47" s="255"/>
      <c r="BI47" s="256"/>
      <c r="BJ47" s="256"/>
      <c r="BK47" s="257"/>
      <c r="BL47" s="214">
        <f t="shared" si="6"/>
        <v>0</v>
      </c>
      <c r="BM47" s="255"/>
      <c r="BN47" s="255"/>
      <c r="BO47" s="258">
        <f t="shared" si="7"/>
        <v>0</v>
      </c>
      <c r="BP47" s="259"/>
      <c r="BR47" s="261" t="str">
        <f>IF($H47="","",VLOOKUP($H47,'Master Data'!$B:$D,3,FALSE))</f>
        <v/>
      </c>
      <c r="BS47" s="261" t="str">
        <f t="shared" si="10"/>
        <v/>
      </c>
      <c r="BT47" s="261" t="str">
        <f>IF($H47="","",VLOOKUP(VALUE($H47),'Master Data'!B:I,8,FALSE))</f>
        <v/>
      </c>
    </row>
    <row r="48" spans="1:72" s="260" customFormat="1" x14ac:dyDescent="0.25">
      <c r="A48" s="237" t="str">
        <f>IF(D48="","",Cover!$D$8)</f>
        <v/>
      </c>
      <c r="B48" s="200" t="str">
        <f>IF(D48="","",IFERROR(VLOOKUP(G48,'Master Data'!$E$59:$J$146,6,FALSE),0))</f>
        <v/>
      </c>
      <c r="C48" s="238" t="str">
        <f>IF(D48="","",_xlfn.XLOOKUP(D48,'Activity Master Opex'!C:C,'Activity Master Opex'!B:B,0,0,1))</f>
        <v/>
      </c>
      <c r="D48" s="263"/>
      <c r="E48" s="262" t="str">
        <f>IF(D48="","",IFERROR(VLOOKUP(D48,'Activity Master Opex'!$C:$M,6,FALSE),0))</f>
        <v/>
      </c>
      <c r="F48" s="264" t="str">
        <f>IF($C48="","",VLOOKUP($C48,'Activity Master Opex'!$B:$I,3,0))</f>
        <v/>
      </c>
      <c r="G48" s="262" t="str">
        <f>IF($C48="","",VLOOKUP($F48,'Master Data'!$D$59:$E$146,2,FALSE))</f>
        <v/>
      </c>
      <c r="H48" s="265" t="str">
        <f>IF($C48="","",VLOOKUP($C48,'Activity Master Opex'!$B:$I,5,0))</f>
        <v/>
      </c>
      <c r="I48" s="237" t="str">
        <f>IFERROR(VLOOKUP(H48,'Master Data'!B:C,2,FALSE),"")</f>
        <v/>
      </c>
      <c r="J48" s="266"/>
      <c r="K48" s="266"/>
      <c r="L48" s="267"/>
      <c r="M48" s="267"/>
      <c r="N48" s="267"/>
      <c r="O48" s="267"/>
      <c r="P48" s="267"/>
      <c r="Q48" s="267"/>
      <c r="R48" s="267"/>
      <c r="S48" s="267"/>
      <c r="T48" s="267"/>
      <c r="U48" s="267"/>
      <c r="V48" s="267"/>
      <c r="W48" s="267"/>
      <c r="X48" s="270">
        <f t="shared" si="9"/>
        <v>0</v>
      </c>
      <c r="Y48" s="277"/>
      <c r="Z48" s="278"/>
      <c r="AA48" s="278"/>
      <c r="AB48" s="278"/>
      <c r="AC48" s="278"/>
      <c r="AD48" s="278"/>
      <c r="AE48" s="278"/>
      <c r="AF48" s="278"/>
      <c r="AG48" s="278"/>
      <c r="AH48" s="278"/>
      <c r="AI48" s="278"/>
      <c r="AJ48" s="278"/>
      <c r="AK48" s="278"/>
      <c r="AL48" s="271">
        <f t="shared" si="3"/>
        <v>0</v>
      </c>
      <c r="AM48" s="279"/>
      <c r="AN48" s="278"/>
      <c r="AO48" s="278"/>
      <c r="AP48" s="278"/>
      <c r="AQ48" s="278"/>
      <c r="AR48" s="278"/>
      <c r="AS48" s="278"/>
      <c r="AT48" s="278"/>
      <c r="AU48" s="278"/>
      <c r="AV48" s="278"/>
      <c r="AW48" s="278"/>
      <c r="AX48" s="278"/>
      <c r="AY48" s="278"/>
      <c r="AZ48" s="271">
        <f t="shared" si="4"/>
        <v>0</v>
      </c>
      <c r="BA48" s="270">
        <f t="shared" si="5"/>
        <v>0</v>
      </c>
      <c r="BB48" s="269"/>
      <c r="BC48" s="251">
        <f t="shared" si="0"/>
        <v>0</v>
      </c>
      <c r="BD48" s="244" t="str">
        <f>IF('Budget Opex Detail'!C48="","",IF(COUNTIFS('Activity Master Opex'!$B$4:$B$58,'Budget Opex Detail'!$C48)&gt;0,"","New Activity"))</f>
        <v/>
      </c>
      <c r="BE48" s="252"/>
      <c r="BF48" s="253"/>
      <c r="BG48" s="254"/>
      <c r="BH48" s="255"/>
      <c r="BI48" s="256"/>
      <c r="BJ48" s="256"/>
      <c r="BK48" s="257"/>
      <c r="BL48" s="214">
        <f t="shared" si="6"/>
        <v>0</v>
      </c>
      <c r="BM48" s="255"/>
      <c r="BN48" s="255"/>
      <c r="BO48" s="258">
        <f t="shared" si="7"/>
        <v>0</v>
      </c>
      <c r="BP48" s="259"/>
      <c r="BR48" s="261" t="str">
        <f>IF($H48="","",VLOOKUP($H48,'Master Data'!$B:$D,3,FALSE))</f>
        <v/>
      </c>
      <c r="BS48" s="261" t="str">
        <f t="shared" si="10"/>
        <v/>
      </c>
      <c r="BT48" s="261" t="str">
        <f>IF($H48="","",VLOOKUP(VALUE($H48),'Master Data'!B:I,8,FALSE))</f>
        <v/>
      </c>
    </row>
    <row r="49" spans="1:72" s="260" customFormat="1" x14ac:dyDescent="0.25">
      <c r="A49" s="237" t="str">
        <f>IF(D49="","",Cover!$D$8)</f>
        <v/>
      </c>
      <c r="B49" s="200" t="str">
        <f>IF(D49="","",IFERROR(VLOOKUP(G49,'Master Data'!$E$59:$J$146,6,FALSE),0))</f>
        <v/>
      </c>
      <c r="C49" s="238" t="str">
        <f>IF(D49="","",_xlfn.XLOOKUP(D49,'Activity Master Opex'!C:C,'Activity Master Opex'!B:B,0,0,1))</f>
        <v/>
      </c>
      <c r="D49" s="263"/>
      <c r="E49" s="262" t="str">
        <f>IF(D49="","",IFERROR(VLOOKUP(D49,'Activity Master Opex'!$C:$M,6,FALSE),0))</f>
        <v/>
      </c>
      <c r="F49" s="264" t="str">
        <f>IF($C49="","",VLOOKUP($C49,'Activity Master Opex'!$B:$I,3,0))</f>
        <v/>
      </c>
      <c r="G49" s="262" t="str">
        <f>IF($C49="","",VLOOKUP($F49,'Master Data'!$D$59:$E$146,2,FALSE))</f>
        <v/>
      </c>
      <c r="H49" s="265" t="str">
        <f>IF($C49="","",VLOOKUP($C49,'Activity Master Opex'!$B:$I,5,0))</f>
        <v/>
      </c>
      <c r="I49" s="237" t="str">
        <f>IFERROR(VLOOKUP(H49,'Master Data'!B:C,2,FALSE),"")</f>
        <v/>
      </c>
      <c r="J49" s="266"/>
      <c r="K49" s="266"/>
      <c r="L49" s="267"/>
      <c r="M49" s="267"/>
      <c r="N49" s="267"/>
      <c r="O49" s="267"/>
      <c r="P49" s="267"/>
      <c r="Q49" s="267"/>
      <c r="R49" s="267"/>
      <c r="S49" s="267"/>
      <c r="T49" s="267"/>
      <c r="U49" s="267"/>
      <c r="V49" s="267"/>
      <c r="W49" s="267"/>
      <c r="X49" s="270">
        <f t="shared" si="9"/>
        <v>0</v>
      </c>
      <c r="Y49" s="277"/>
      <c r="Z49" s="278"/>
      <c r="AA49" s="278"/>
      <c r="AB49" s="278"/>
      <c r="AC49" s="278"/>
      <c r="AD49" s="278"/>
      <c r="AE49" s="278"/>
      <c r="AF49" s="278"/>
      <c r="AG49" s="278"/>
      <c r="AH49" s="278"/>
      <c r="AI49" s="278"/>
      <c r="AJ49" s="278"/>
      <c r="AK49" s="278"/>
      <c r="AL49" s="271">
        <f t="shared" si="3"/>
        <v>0</v>
      </c>
      <c r="AM49" s="279"/>
      <c r="AN49" s="278"/>
      <c r="AO49" s="278"/>
      <c r="AP49" s="278"/>
      <c r="AQ49" s="278"/>
      <c r="AR49" s="278"/>
      <c r="AS49" s="278"/>
      <c r="AT49" s="278"/>
      <c r="AU49" s="278"/>
      <c r="AV49" s="278"/>
      <c r="AW49" s="278"/>
      <c r="AX49" s="278"/>
      <c r="AY49" s="278"/>
      <c r="AZ49" s="271">
        <f t="shared" si="4"/>
        <v>0</v>
      </c>
      <c r="BA49" s="270">
        <f t="shared" si="5"/>
        <v>0</v>
      </c>
      <c r="BB49" s="269"/>
      <c r="BC49" s="251">
        <f t="shared" si="0"/>
        <v>0</v>
      </c>
      <c r="BD49" s="244" t="str">
        <f>IF('Budget Opex Detail'!C49="","",IF(COUNTIFS('Activity Master Opex'!$B$4:$B$58,'Budget Opex Detail'!$C49)&gt;0,"","New Activity"))</f>
        <v/>
      </c>
      <c r="BE49" s="252"/>
      <c r="BF49" s="253"/>
      <c r="BG49" s="254"/>
      <c r="BH49" s="255"/>
      <c r="BI49" s="256"/>
      <c r="BJ49" s="256"/>
      <c r="BK49" s="257"/>
      <c r="BL49" s="214">
        <f t="shared" si="6"/>
        <v>0</v>
      </c>
      <c r="BM49" s="255"/>
      <c r="BN49" s="255"/>
      <c r="BO49" s="258">
        <f t="shared" si="7"/>
        <v>0</v>
      </c>
      <c r="BP49" s="259"/>
      <c r="BR49" s="261" t="str">
        <f>IF($H49="","",VLOOKUP($H49,'Master Data'!$B:$D,3,FALSE))</f>
        <v/>
      </c>
      <c r="BS49" s="261" t="str">
        <f t="shared" si="10"/>
        <v/>
      </c>
      <c r="BT49" s="261" t="str">
        <f>IF($H49="","",VLOOKUP(VALUE($H49),'Master Data'!B:I,8,FALSE))</f>
        <v/>
      </c>
    </row>
    <row r="50" spans="1:72" s="260" customFormat="1" x14ac:dyDescent="0.25">
      <c r="A50" s="237" t="str">
        <f>IF(D50="","",Cover!$D$8)</f>
        <v/>
      </c>
      <c r="B50" s="200" t="str">
        <f>IF(D50="","",IFERROR(VLOOKUP(G50,'Master Data'!$E$59:$J$146,6,FALSE),0))</f>
        <v/>
      </c>
      <c r="C50" s="238" t="str">
        <f>IF(D50="","",_xlfn.XLOOKUP(D50,'Activity Master Opex'!C:C,'Activity Master Opex'!B:B,0,0,1))</f>
        <v/>
      </c>
      <c r="D50" s="263"/>
      <c r="E50" s="262" t="str">
        <f>IF(D50="","",IFERROR(VLOOKUP(D50,'Activity Master Opex'!$C:$M,6,FALSE),0))</f>
        <v/>
      </c>
      <c r="F50" s="264" t="str">
        <f>IF($C50="","",VLOOKUP($C50,'Activity Master Opex'!$B:$I,3,0))</f>
        <v/>
      </c>
      <c r="G50" s="262" t="str">
        <f>IF($C50="","",VLOOKUP($F50,'Master Data'!$D$59:$E$146,2,FALSE))</f>
        <v/>
      </c>
      <c r="H50" s="265" t="str">
        <f>IF($C50="","",VLOOKUP($C50,'Activity Master Opex'!$B:$I,5,0))</f>
        <v/>
      </c>
      <c r="I50" s="237" t="str">
        <f>IFERROR(VLOOKUP(H50,'Master Data'!B:C,2,FALSE),"")</f>
        <v/>
      </c>
      <c r="J50" s="266"/>
      <c r="K50" s="266"/>
      <c r="L50" s="267"/>
      <c r="M50" s="267"/>
      <c r="N50" s="267"/>
      <c r="O50" s="267"/>
      <c r="P50" s="267"/>
      <c r="Q50" s="267"/>
      <c r="R50" s="267"/>
      <c r="S50" s="267"/>
      <c r="T50" s="267"/>
      <c r="U50" s="267"/>
      <c r="V50" s="267"/>
      <c r="W50" s="267"/>
      <c r="X50" s="270">
        <f t="shared" si="9"/>
        <v>0</v>
      </c>
      <c r="Y50" s="277"/>
      <c r="Z50" s="278"/>
      <c r="AA50" s="278"/>
      <c r="AB50" s="278"/>
      <c r="AC50" s="278"/>
      <c r="AD50" s="278"/>
      <c r="AE50" s="278"/>
      <c r="AF50" s="278"/>
      <c r="AG50" s="278"/>
      <c r="AH50" s="278"/>
      <c r="AI50" s="278"/>
      <c r="AJ50" s="278"/>
      <c r="AK50" s="278"/>
      <c r="AL50" s="271">
        <f t="shared" si="3"/>
        <v>0</v>
      </c>
      <c r="AM50" s="279"/>
      <c r="AN50" s="278"/>
      <c r="AO50" s="278"/>
      <c r="AP50" s="278"/>
      <c r="AQ50" s="278"/>
      <c r="AR50" s="278"/>
      <c r="AS50" s="278"/>
      <c r="AT50" s="278"/>
      <c r="AU50" s="278"/>
      <c r="AV50" s="278"/>
      <c r="AW50" s="278"/>
      <c r="AX50" s="278"/>
      <c r="AY50" s="278"/>
      <c r="AZ50" s="271">
        <f t="shared" si="4"/>
        <v>0</v>
      </c>
      <c r="BA50" s="270">
        <f t="shared" si="5"/>
        <v>0</v>
      </c>
      <c r="BB50" s="269"/>
      <c r="BC50" s="251">
        <f t="shared" si="0"/>
        <v>0</v>
      </c>
      <c r="BD50" s="244" t="str">
        <f>IF('Budget Opex Detail'!C50="","",IF(COUNTIFS('Activity Master Opex'!$B$4:$B$58,'Budget Opex Detail'!$C50)&gt;0,"","New Activity"))</f>
        <v/>
      </c>
      <c r="BE50" s="252"/>
      <c r="BF50" s="253"/>
      <c r="BG50" s="254"/>
      <c r="BH50" s="255"/>
      <c r="BI50" s="256"/>
      <c r="BJ50" s="256"/>
      <c r="BK50" s="257"/>
      <c r="BL50" s="214">
        <f t="shared" si="6"/>
        <v>0</v>
      </c>
      <c r="BM50" s="255"/>
      <c r="BN50" s="255"/>
      <c r="BO50" s="258">
        <f t="shared" si="7"/>
        <v>0</v>
      </c>
      <c r="BP50" s="259"/>
      <c r="BR50" s="261" t="str">
        <f>IF($H50="","",VLOOKUP($H50,'Master Data'!$B:$D,3,FALSE))</f>
        <v/>
      </c>
      <c r="BS50" s="261" t="str">
        <f t="shared" si="10"/>
        <v/>
      </c>
      <c r="BT50" s="261" t="str">
        <f>IF($H50="","",VLOOKUP(VALUE($H50),'Master Data'!B:I,8,FALSE))</f>
        <v/>
      </c>
    </row>
    <row r="51" spans="1:72" s="260" customFormat="1" x14ac:dyDescent="0.25">
      <c r="A51" s="237" t="str">
        <f>IF(D51="","",Cover!$D$8)</f>
        <v/>
      </c>
      <c r="B51" s="200" t="str">
        <f>IF(D51="","",IFERROR(VLOOKUP(G51,'Master Data'!$E$59:$J$146,6,FALSE),0))</f>
        <v/>
      </c>
      <c r="C51" s="238" t="str">
        <f>IF(D51="","",_xlfn.XLOOKUP(D51,'Activity Master Opex'!C:C,'Activity Master Opex'!B:B,0,0,1))</f>
        <v/>
      </c>
      <c r="D51" s="263"/>
      <c r="E51" s="262" t="str">
        <f>IF(D51="","",IFERROR(VLOOKUP(D51,'Activity Master Opex'!$C:$M,6,FALSE),0))</f>
        <v/>
      </c>
      <c r="F51" s="264" t="str">
        <f>IF($C51="","",VLOOKUP($C51,'Activity Master Opex'!$B:$I,3,0))</f>
        <v/>
      </c>
      <c r="G51" s="262" t="str">
        <f>IF($C51="","",VLOOKUP($F51,'Master Data'!$D$59:$E$146,2,FALSE))</f>
        <v/>
      </c>
      <c r="H51" s="265" t="str">
        <f>IF($C51="","",VLOOKUP($C51,'Activity Master Opex'!$B:$I,5,0))</f>
        <v/>
      </c>
      <c r="I51" s="237" t="str">
        <f>IFERROR(VLOOKUP(H51,'Master Data'!B:C,2,FALSE),"")</f>
        <v/>
      </c>
      <c r="J51" s="266"/>
      <c r="K51" s="266"/>
      <c r="L51" s="267"/>
      <c r="M51" s="267"/>
      <c r="N51" s="267"/>
      <c r="O51" s="267"/>
      <c r="P51" s="267"/>
      <c r="Q51" s="267"/>
      <c r="R51" s="267"/>
      <c r="S51" s="267"/>
      <c r="T51" s="267"/>
      <c r="U51" s="267"/>
      <c r="V51" s="267"/>
      <c r="W51" s="267"/>
      <c r="X51" s="270">
        <f t="shared" si="9"/>
        <v>0</v>
      </c>
      <c r="Y51" s="277"/>
      <c r="Z51" s="278"/>
      <c r="AA51" s="278"/>
      <c r="AB51" s="278"/>
      <c r="AC51" s="278"/>
      <c r="AD51" s="278"/>
      <c r="AE51" s="278"/>
      <c r="AF51" s="278"/>
      <c r="AG51" s="278"/>
      <c r="AH51" s="278"/>
      <c r="AI51" s="278"/>
      <c r="AJ51" s="278"/>
      <c r="AK51" s="278"/>
      <c r="AL51" s="271">
        <f t="shared" si="3"/>
        <v>0</v>
      </c>
      <c r="AM51" s="279"/>
      <c r="AN51" s="278"/>
      <c r="AO51" s="278"/>
      <c r="AP51" s="278"/>
      <c r="AQ51" s="278"/>
      <c r="AR51" s="278"/>
      <c r="AS51" s="278"/>
      <c r="AT51" s="278"/>
      <c r="AU51" s="278"/>
      <c r="AV51" s="278"/>
      <c r="AW51" s="278"/>
      <c r="AX51" s="278"/>
      <c r="AY51" s="278"/>
      <c r="AZ51" s="271">
        <f t="shared" si="4"/>
        <v>0</v>
      </c>
      <c r="BA51" s="270">
        <f t="shared" si="5"/>
        <v>0</v>
      </c>
      <c r="BB51" s="269"/>
      <c r="BC51" s="251">
        <f t="shared" si="0"/>
        <v>0</v>
      </c>
      <c r="BD51" s="244" t="str">
        <f>IF('Budget Opex Detail'!C51="","",IF(COUNTIFS('Activity Master Opex'!$B$4:$B$58,'Budget Opex Detail'!$C51)&gt;0,"","New Activity"))</f>
        <v/>
      </c>
      <c r="BE51" s="252"/>
      <c r="BF51" s="253"/>
      <c r="BG51" s="254"/>
      <c r="BH51" s="255"/>
      <c r="BI51" s="256"/>
      <c r="BJ51" s="256"/>
      <c r="BK51" s="257"/>
      <c r="BL51" s="214">
        <f t="shared" si="6"/>
        <v>0</v>
      </c>
      <c r="BM51" s="255"/>
      <c r="BN51" s="255"/>
      <c r="BO51" s="258">
        <f t="shared" si="7"/>
        <v>0</v>
      </c>
      <c r="BP51" s="259"/>
      <c r="BR51" s="261" t="str">
        <f>IF($H51="","",VLOOKUP($H51,'Master Data'!$B:$D,3,FALSE))</f>
        <v/>
      </c>
      <c r="BS51" s="261" t="str">
        <f t="shared" si="10"/>
        <v/>
      </c>
      <c r="BT51" s="261" t="str">
        <f>IF($H51="","",VLOOKUP(VALUE($H51),'Master Data'!B:I,8,FALSE))</f>
        <v/>
      </c>
    </row>
  </sheetData>
  <sheetProtection formatColumns="0" formatRows="0" sort="0" autoFilter="0" pivotTables="0"/>
  <autoFilter ref="A3:BT51" xr:uid="{00000000-0009-0000-0000-000003000000}"/>
  <dataValidations count="5">
    <dataValidation type="list" allowBlank="1" showInputMessage="1" showErrorMessage="1" sqref="BH4:BH51" xr:uid="{00000000-0002-0000-0300-000000000000}">
      <formula1>"Essentials, Moderate, Not Essentials"</formula1>
    </dataValidation>
    <dataValidation type="list" allowBlank="1" showInputMessage="1" showErrorMessage="1" sqref="BE4:BE51" xr:uid="{00000000-0002-0000-0300-000001000000}">
      <formula1>"Monthly Recurring, Periodically (Quarterly/Yearly) Recurring, One Off, Conditional"</formula1>
    </dataValidation>
    <dataValidation type="custom" showInputMessage="1" showErrorMessage="1" error="Pastikan Ledger Number dan Cost Center sudah terisi" sqref="Z4:AK25 AN4:AY25" xr:uid="{7DAB5103-9B26-42B4-BDA0-3A5D803C61D3}">
      <formula1>AND($A4&lt;&gt;"",$J4&lt;&gt;"")</formula1>
    </dataValidation>
    <dataValidation type="custom" showInputMessage="1" showErrorMessage="1" error="Pastikan Master Activity Number sudah terisi dan format isian adalah angka_x000a_" sqref="L4:W51" xr:uid="{00000000-0002-0000-0300-000003000000}">
      <formula1>AND(ISNUMBER(L4),$C4&lt;&gt;"")</formula1>
    </dataValidation>
    <dataValidation type="list" allowBlank="1" showInputMessage="1" showErrorMessage="1" sqref="BH4:BH51" xr:uid="{9BA3F9A9-8EC0-48C9-A313-CF1426ED10E0}">
      <formula1>#REF!</formula1>
    </dataValidation>
  </dataValidations>
  <pageMargins left="0.7" right="0.7" top="0.75" bottom="0.75" header="0.3" footer="0.3"/>
  <pageSetup orientation="portrait" r:id="rId1"/>
  <ignoredErrors>
    <ignoredError sqref="E4 BO4 J13:J24" unlockedFormula="1"/>
    <ignoredError sqref="X4" formulaRange="1"/>
  </ignoredErrors>
  <legacyDrawing r:id="rId2"/>
  <extLst>
    <ext xmlns:x14="http://schemas.microsoft.com/office/spreadsheetml/2009/9/main" uri="{78C0D931-6437-407d-A8EE-F0AAD7539E65}">
      <x14:conditionalFormattings>
        <x14:conditionalFormatting xmlns:xm="http://schemas.microsoft.com/office/excel/2006/main">
          <x14:cfRule type="iconSet" priority="10" id="{CD70B9FB-62B0-4B40-B46A-6E03C3AE82C7}">
            <x14:iconSet iconSet="3Triangles">
              <x14:cfvo type="percent">
                <xm:f>0</xm:f>
              </x14:cfvo>
              <x14:cfvo type="num">
                <xm:f>0</xm:f>
              </x14:cfvo>
              <x14:cfvo type="num" gte="0">
                <xm:f>0</xm:f>
              </x14:cfvo>
            </x14:iconSet>
          </x14:cfRule>
          <xm:sqref>BA4:BA51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CD11C85-3AF4-4073-AE08-150143AB5965}">
          <x14:formula1>
            <xm:f>'Activity Master Opex'!$C:$C</xm:f>
          </x14:formula1>
          <xm:sqref>D4:D51</xm:sqref>
        </x14:dataValidation>
        <x14:dataValidation type="list" allowBlank="1" showInputMessage="1" showErrorMessage="1" xr:uid="{38602663-6FEE-4635-86B4-21FDC127FA9E}">
          <x14:formula1>
            <xm:f>'Master Data'!$C$365:$C$367</xm:f>
          </x14:formula1>
          <xm:sqref>BG4:BG51</xm:sqref>
        </x14:dataValidation>
        <x14:dataValidation type="list" allowBlank="1" showInputMessage="1" showErrorMessage="1" xr:uid="{D392A325-8273-492B-8035-45BFE636416C}">
          <x14:formula1>
            <xm:f>'Master Data'!$B$372:$B$373</xm:f>
          </x14:formula1>
          <xm:sqref>BJ4:BJ51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39997558519241921"/>
  </sheetPr>
  <dimension ref="A1:O84"/>
  <sheetViews>
    <sheetView showGridLines="0" zoomScale="80" zoomScaleNormal="80" workbookViewId="0">
      <pane xSplit="1" ySplit="3" topLeftCell="B4" activePane="bottomRight" state="frozen"/>
      <selection activeCell="F1" sqref="F1"/>
      <selection pane="topRight" activeCell="F1" sqref="F1"/>
      <selection pane="bottomLeft" activeCell="F1" sqref="F1"/>
      <selection pane="bottomRight"/>
    </sheetView>
  </sheetViews>
  <sheetFormatPr defaultColWidth="9.140625" defaultRowHeight="15" x14ac:dyDescent="0.25"/>
  <cols>
    <col min="1" max="1" width="12.7109375" style="158" bestFit="1" customWidth="1"/>
    <col min="2" max="2" width="30.140625" style="158" bestFit="1" customWidth="1"/>
    <col min="3" max="3" width="38.28515625" style="158" bestFit="1" customWidth="1"/>
    <col min="4" max="4" width="11.28515625" style="158" bestFit="1" customWidth="1"/>
    <col min="5" max="5" width="31.85546875" style="158" bestFit="1" customWidth="1"/>
    <col min="6" max="6" width="27.42578125" style="158" customWidth="1"/>
    <col min="7" max="7" width="37.85546875" style="158" customWidth="1"/>
    <col min="8" max="8" width="79.7109375" style="164" customWidth="1"/>
    <col min="9" max="9" width="23" style="283" bestFit="1" customWidth="1"/>
    <col min="10" max="15" width="8.7109375" style="283" customWidth="1"/>
    <col min="16" max="16384" width="9.140625" style="158"/>
  </cols>
  <sheetData>
    <row r="1" spans="1:15" ht="15.75" thickBot="1" x14ac:dyDescent="0.3">
      <c r="A1" s="281"/>
      <c r="F1" s="282" t="s">
        <v>519</v>
      </c>
    </row>
    <row r="2" spans="1:15" x14ac:dyDescent="0.25">
      <c r="B2" s="434" t="s">
        <v>463</v>
      </c>
      <c r="C2" s="435"/>
      <c r="D2" s="435"/>
      <c r="E2" s="435"/>
      <c r="F2" s="435"/>
      <c r="G2" s="435"/>
      <c r="H2" s="436"/>
      <c r="I2" s="284" t="s">
        <v>1504</v>
      </c>
    </row>
    <row r="3" spans="1:15" s="285" customFormat="1" x14ac:dyDescent="0.25">
      <c r="B3" s="286" t="s">
        <v>547</v>
      </c>
      <c r="C3" s="287" t="s">
        <v>461</v>
      </c>
      <c r="D3" s="287" t="s">
        <v>46</v>
      </c>
      <c r="E3" s="287" t="s">
        <v>459</v>
      </c>
      <c r="F3" s="287" t="s">
        <v>460</v>
      </c>
      <c r="G3" s="287" t="s">
        <v>460</v>
      </c>
      <c r="H3" s="288" t="s">
        <v>338</v>
      </c>
      <c r="I3" s="289"/>
      <c r="J3" s="290"/>
      <c r="K3" s="290"/>
      <c r="L3" s="290"/>
      <c r="M3" s="290"/>
      <c r="N3" s="290"/>
      <c r="O3" s="290"/>
    </row>
    <row r="4" spans="1:15" s="285" customFormat="1" x14ac:dyDescent="0.25">
      <c r="B4" s="291" t="s">
        <v>1110</v>
      </c>
      <c r="C4" s="292" t="s">
        <v>1111</v>
      </c>
      <c r="D4" s="292" t="s">
        <v>266</v>
      </c>
      <c r="E4" s="292" t="s">
        <v>298</v>
      </c>
      <c r="F4" s="293">
        <v>61800030</v>
      </c>
      <c r="G4" s="292" t="str">
        <f>VLOOKUP(F4,'Master Data'!$B$232:$C$331,2,0)</f>
        <v>PT Exp. - Stamp Duty</v>
      </c>
      <c r="H4" s="294" t="s">
        <v>1112</v>
      </c>
      <c r="I4" s="289">
        <f>IFERROR(VLOOKUP(F4,'Master Data'!B:B,1,FALSE),0)</f>
        <v>61800030</v>
      </c>
      <c r="J4" s="290"/>
      <c r="K4" s="290"/>
      <c r="L4" s="290"/>
      <c r="M4" s="290"/>
      <c r="N4" s="290"/>
      <c r="O4" s="290"/>
    </row>
    <row r="5" spans="1:15" s="285" customFormat="1" x14ac:dyDescent="0.25">
      <c r="B5" s="291" t="s">
        <v>1113</v>
      </c>
      <c r="C5" s="292" t="s">
        <v>1221</v>
      </c>
      <c r="D5" s="292" t="s">
        <v>266</v>
      </c>
      <c r="E5" s="292" t="s">
        <v>298</v>
      </c>
      <c r="F5" s="293">
        <v>61900090</v>
      </c>
      <c r="G5" s="292" t="str">
        <f>VLOOKUP(F5,'Master Data'!$B$232:$C$331,2,0)</f>
        <v>PF - Other Professional Fees</v>
      </c>
      <c r="H5" s="295"/>
      <c r="I5" s="289">
        <f>IFERROR(VLOOKUP(F5,'Master Data'!B:B,1,FALSE),0)</f>
        <v>61900090</v>
      </c>
      <c r="J5" s="290"/>
      <c r="K5" s="290"/>
      <c r="L5" s="290"/>
      <c r="M5" s="290"/>
      <c r="N5" s="290"/>
      <c r="O5" s="290"/>
    </row>
    <row r="6" spans="1:15" s="285" customFormat="1" x14ac:dyDescent="0.25">
      <c r="B6" s="291" t="s">
        <v>1114</v>
      </c>
      <c r="C6" s="292" t="s">
        <v>1223</v>
      </c>
      <c r="D6" s="292" t="s">
        <v>266</v>
      </c>
      <c r="E6" s="292" t="s">
        <v>298</v>
      </c>
      <c r="F6" s="293">
        <v>62300010</v>
      </c>
      <c r="G6" s="292" t="str">
        <f>VLOOKUP(F6,'Master Data'!$B$232:$C$331,2,0)</f>
        <v>Meeting Expenses</v>
      </c>
      <c r="H6" s="294" t="s">
        <v>1116</v>
      </c>
      <c r="I6" s="289">
        <f>IFERROR(VLOOKUP(F6,'Master Data'!B:B,1,FALSE),0)</f>
        <v>62300010</v>
      </c>
      <c r="J6" s="290"/>
      <c r="K6" s="290"/>
      <c r="L6" s="290"/>
      <c r="M6" s="290"/>
      <c r="N6" s="290"/>
      <c r="O6" s="290"/>
    </row>
    <row r="7" spans="1:15" s="285" customFormat="1" x14ac:dyDescent="0.25">
      <c r="B7" s="291" t="s">
        <v>1117</v>
      </c>
      <c r="C7" s="292" t="s">
        <v>1118</v>
      </c>
      <c r="D7" s="292" t="s">
        <v>266</v>
      </c>
      <c r="E7" s="292" t="s">
        <v>298</v>
      </c>
      <c r="F7" s="293">
        <v>62900020</v>
      </c>
      <c r="G7" s="292" t="str">
        <f>VLOOKUP(F7,'Master Data'!$B$232:$C$331,2,0)</f>
        <v>Subscriptions and Periodicals</v>
      </c>
      <c r="H7" s="294" t="s">
        <v>1119</v>
      </c>
      <c r="I7" s="289">
        <f>IFERROR(VLOOKUP(F7,'Master Data'!B:B,1,FALSE),0)</f>
        <v>62900020</v>
      </c>
      <c r="J7" s="290"/>
      <c r="K7" s="290"/>
      <c r="L7" s="290"/>
      <c r="M7" s="290"/>
      <c r="N7" s="290"/>
      <c r="O7" s="290"/>
    </row>
    <row r="8" spans="1:15" s="285" customFormat="1" x14ac:dyDescent="0.25">
      <c r="B8" s="291" t="s">
        <v>1120</v>
      </c>
      <c r="C8" s="292" t="s">
        <v>1121</v>
      </c>
      <c r="D8" s="292" t="s">
        <v>266</v>
      </c>
      <c r="E8" s="292" t="s">
        <v>298</v>
      </c>
      <c r="F8" s="293">
        <v>62900020</v>
      </c>
      <c r="G8" s="292" t="str">
        <f>VLOOKUP(F8,'Master Data'!$B$232:$C$331,2,0)</f>
        <v>Subscriptions and Periodicals</v>
      </c>
      <c r="H8" s="294" t="s">
        <v>1119</v>
      </c>
      <c r="I8" s="289">
        <f>IFERROR(VLOOKUP(F8,'Master Data'!B:B,1,FALSE),0)</f>
        <v>62900020</v>
      </c>
      <c r="J8" s="290"/>
      <c r="K8" s="290"/>
      <c r="L8" s="290"/>
      <c r="M8" s="290"/>
      <c r="N8" s="290"/>
      <c r="O8" s="290"/>
    </row>
    <row r="9" spans="1:15" s="285" customFormat="1" x14ac:dyDescent="0.25">
      <c r="B9" s="291" t="s">
        <v>1122</v>
      </c>
      <c r="C9" s="292" t="s">
        <v>1224</v>
      </c>
      <c r="D9" s="292" t="s">
        <v>266</v>
      </c>
      <c r="E9" s="292" t="s">
        <v>298</v>
      </c>
      <c r="F9" s="293">
        <v>62900020</v>
      </c>
      <c r="G9" s="292" t="str">
        <f>VLOOKUP(F9,'Master Data'!$B$232:$C$331,2,0)</f>
        <v>Subscriptions and Periodicals</v>
      </c>
      <c r="H9" s="296" t="s">
        <v>1123</v>
      </c>
      <c r="I9" s="289">
        <f>IFERROR(VLOOKUP(F9,'Master Data'!B:B,1,FALSE),0)</f>
        <v>62900020</v>
      </c>
      <c r="J9" s="290"/>
      <c r="K9" s="290"/>
      <c r="L9" s="290"/>
      <c r="M9" s="290"/>
      <c r="N9" s="290"/>
      <c r="O9" s="290"/>
    </row>
    <row r="10" spans="1:15" s="285" customFormat="1" x14ac:dyDescent="0.25">
      <c r="B10" s="291" t="s">
        <v>1124</v>
      </c>
      <c r="C10" s="292" t="s">
        <v>1225</v>
      </c>
      <c r="D10" s="292" t="s">
        <v>266</v>
      </c>
      <c r="E10" s="292" t="s">
        <v>298</v>
      </c>
      <c r="F10" s="293">
        <v>62400030</v>
      </c>
      <c r="G10" s="292" t="str">
        <f>VLOOKUP(F10,'Master Data'!$B$232:$C$331,2,0)</f>
        <v>Gen. Transp. Travelling Expenses</v>
      </c>
      <c r="H10" s="294" t="s">
        <v>1125</v>
      </c>
      <c r="I10" s="289">
        <f>IFERROR(VLOOKUP(F10,'Master Data'!B:B,1,FALSE),0)</f>
        <v>62400030</v>
      </c>
      <c r="J10" s="290"/>
      <c r="K10" s="290"/>
      <c r="L10" s="290"/>
      <c r="M10" s="290"/>
      <c r="N10" s="290"/>
      <c r="O10" s="290"/>
    </row>
    <row r="11" spans="1:15" s="285" customFormat="1" x14ac:dyDescent="0.25">
      <c r="B11" s="291" t="s">
        <v>1126</v>
      </c>
      <c r="C11" s="292" t="s">
        <v>1127</v>
      </c>
      <c r="D11" s="292" t="s">
        <v>266</v>
      </c>
      <c r="E11" s="292" t="s">
        <v>298</v>
      </c>
      <c r="F11" s="293">
        <v>62300010</v>
      </c>
      <c r="G11" s="292" t="str">
        <f>VLOOKUP(F11,'Master Data'!$B$232:$C$331,2,0)</f>
        <v>Meeting Expenses</v>
      </c>
      <c r="H11" s="294" t="s">
        <v>1116</v>
      </c>
      <c r="I11" s="289">
        <f>IFERROR(VLOOKUP(F11,'Master Data'!B:B,1,FALSE),0)</f>
        <v>62300010</v>
      </c>
      <c r="J11" s="290"/>
      <c r="K11" s="290"/>
      <c r="L11" s="290"/>
      <c r="M11" s="290"/>
      <c r="N11" s="290"/>
      <c r="O11" s="290"/>
    </row>
    <row r="12" spans="1:15" s="285" customFormat="1" x14ac:dyDescent="0.25">
      <c r="B12" s="291" t="s">
        <v>1128</v>
      </c>
      <c r="C12" s="292" t="s">
        <v>1129</v>
      </c>
      <c r="D12" s="292" t="s">
        <v>266</v>
      </c>
      <c r="E12" s="292" t="s">
        <v>298</v>
      </c>
      <c r="F12" s="293">
        <v>61900090</v>
      </c>
      <c r="G12" s="292" t="str">
        <f>VLOOKUP(F12,'Master Data'!$B$232:$C$331,2,0)</f>
        <v>PF - Other Professional Fees</v>
      </c>
      <c r="H12" s="294" t="s">
        <v>1130</v>
      </c>
      <c r="I12" s="289">
        <f>IFERROR(VLOOKUP(F12,'Master Data'!B:B,1,FALSE),0)</f>
        <v>61900090</v>
      </c>
      <c r="J12" s="290"/>
      <c r="K12" s="290"/>
      <c r="L12" s="290"/>
      <c r="M12" s="290"/>
      <c r="N12" s="290"/>
      <c r="O12" s="290"/>
    </row>
    <row r="13" spans="1:15" s="285" customFormat="1" x14ac:dyDescent="0.25">
      <c r="B13" s="291" t="s">
        <v>1131</v>
      </c>
      <c r="C13" s="292" t="s">
        <v>1132</v>
      </c>
      <c r="D13" s="292" t="s">
        <v>273</v>
      </c>
      <c r="E13" s="292" t="s">
        <v>304</v>
      </c>
      <c r="F13" s="293">
        <v>61900090</v>
      </c>
      <c r="G13" s="292" t="str">
        <f>VLOOKUP(F13,'Master Data'!$B$232:$C$331,2,0)</f>
        <v>PF - Other Professional Fees</v>
      </c>
      <c r="H13" s="294" t="s">
        <v>1133</v>
      </c>
      <c r="I13" s="289">
        <f>IFERROR(VLOOKUP(F13,'Master Data'!B:B,1,FALSE),0)</f>
        <v>61900090</v>
      </c>
      <c r="J13" s="290"/>
      <c r="K13" s="290"/>
      <c r="L13" s="290"/>
      <c r="M13" s="290"/>
      <c r="N13" s="290"/>
      <c r="O13" s="290"/>
    </row>
    <row r="14" spans="1:15" s="285" customFormat="1" x14ac:dyDescent="0.25">
      <c r="B14" s="291" t="s">
        <v>1134</v>
      </c>
      <c r="C14" s="292" t="s">
        <v>1135</v>
      </c>
      <c r="D14" s="292" t="s">
        <v>273</v>
      </c>
      <c r="E14" s="292" t="s">
        <v>304</v>
      </c>
      <c r="F14" s="293">
        <v>61800020</v>
      </c>
      <c r="G14" s="292" t="str">
        <f>VLOOKUP(F14,'Master Data'!$B$232:$C$331,2,0)</f>
        <v>PT Exp. - Postage and Courier</v>
      </c>
      <c r="H14" s="294" t="s">
        <v>1136</v>
      </c>
      <c r="I14" s="289">
        <f>IFERROR(VLOOKUP(F14,'Master Data'!B:B,1,FALSE),0)</f>
        <v>61800020</v>
      </c>
      <c r="J14" s="290"/>
      <c r="K14" s="290"/>
      <c r="L14" s="290"/>
      <c r="M14" s="290"/>
      <c r="N14" s="290"/>
      <c r="O14" s="290"/>
    </row>
    <row r="15" spans="1:15" s="285" customFormat="1" x14ac:dyDescent="0.25">
      <c r="B15" s="291" t="s">
        <v>1137</v>
      </c>
      <c r="C15" s="292" t="s">
        <v>1138</v>
      </c>
      <c r="D15" s="292" t="s">
        <v>266</v>
      </c>
      <c r="E15" s="292" t="s">
        <v>298</v>
      </c>
      <c r="F15" s="293">
        <v>62900020</v>
      </c>
      <c r="G15" s="292" t="str">
        <f>VLOOKUP(F15,'Master Data'!$B$232:$C$331,2,0)</f>
        <v>Subscriptions and Periodicals</v>
      </c>
      <c r="H15" s="296" t="s">
        <v>230</v>
      </c>
      <c r="I15" s="289">
        <f>IFERROR(VLOOKUP(F15,'Master Data'!B:B,1,FALSE),0)</f>
        <v>62900020</v>
      </c>
      <c r="J15" s="290"/>
      <c r="K15" s="290"/>
      <c r="L15" s="290"/>
      <c r="M15" s="290"/>
      <c r="N15" s="290"/>
      <c r="O15" s="290"/>
    </row>
    <row r="16" spans="1:15" s="285" customFormat="1" x14ac:dyDescent="0.25">
      <c r="B16" s="297" t="s">
        <v>1139</v>
      </c>
      <c r="C16" s="298" t="s">
        <v>1140</v>
      </c>
      <c r="D16" s="292" t="s">
        <v>266</v>
      </c>
      <c r="E16" s="292" t="s">
        <v>298</v>
      </c>
      <c r="F16" s="299">
        <v>62900020</v>
      </c>
      <c r="G16" s="292" t="str">
        <f>VLOOKUP(F16,'Master Data'!$B$232:$C$331,2,0)</f>
        <v>Subscriptions and Periodicals</v>
      </c>
      <c r="H16" s="301" t="s">
        <v>230</v>
      </c>
      <c r="I16" s="289">
        <f>IFERROR(VLOOKUP(F16,'Master Data'!B:B,1,FALSE),0)</f>
        <v>62900020</v>
      </c>
      <c r="J16" s="290"/>
      <c r="K16" s="290"/>
      <c r="L16" s="290"/>
      <c r="M16" s="290"/>
      <c r="N16" s="290"/>
      <c r="O16" s="290"/>
    </row>
    <row r="17" spans="2:15" s="285" customFormat="1" x14ac:dyDescent="0.25">
      <c r="B17" s="291" t="s">
        <v>1141</v>
      </c>
      <c r="C17" s="292" t="s">
        <v>1142</v>
      </c>
      <c r="D17" s="292" t="s">
        <v>265</v>
      </c>
      <c r="E17" s="292" t="s">
        <v>301</v>
      </c>
      <c r="F17" s="293">
        <v>61900020</v>
      </c>
      <c r="G17" s="292" t="str">
        <f>VLOOKUP(F17,'Master Data'!$B$232:$C$331,2,0)</f>
        <v>PF - Tax Consultan Fee</v>
      </c>
      <c r="H17" s="296" t="s">
        <v>177</v>
      </c>
      <c r="I17" s="289">
        <f>IFERROR(VLOOKUP(F17,'Master Data'!B:B,1,FALSE),0)</f>
        <v>61900020</v>
      </c>
      <c r="J17" s="290"/>
      <c r="K17" s="290"/>
      <c r="L17" s="290"/>
      <c r="M17" s="290"/>
      <c r="N17" s="290"/>
      <c r="O17" s="290"/>
    </row>
    <row r="18" spans="2:15" s="285" customFormat="1" x14ac:dyDescent="0.25">
      <c r="B18" s="291" t="s">
        <v>1143</v>
      </c>
      <c r="C18" s="292" t="s">
        <v>1144</v>
      </c>
      <c r="D18" s="292" t="s">
        <v>265</v>
      </c>
      <c r="E18" s="292" t="s">
        <v>301</v>
      </c>
      <c r="F18" s="293">
        <v>61900020</v>
      </c>
      <c r="G18" s="292" t="str">
        <f>VLOOKUP(F18,'Master Data'!$B$232:$C$331,2,0)</f>
        <v>PF - Tax Consultan Fee</v>
      </c>
      <c r="H18" s="296" t="s">
        <v>177</v>
      </c>
      <c r="I18" s="289">
        <f>IFERROR(VLOOKUP(F18,'Master Data'!B:B,1,FALSE),0)</f>
        <v>61900020</v>
      </c>
      <c r="J18" s="290"/>
      <c r="K18" s="290"/>
      <c r="L18" s="290"/>
      <c r="M18" s="290"/>
      <c r="N18" s="290"/>
      <c r="O18" s="290"/>
    </row>
    <row r="19" spans="2:15" s="285" customFormat="1" x14ac:dyDescent="0.25">
      <c r="B19" s="291" t="s">
        <v>1145</v>
      </c>
      <c r="C19" s="292" t="s">
        <v>1146</v>
      </c>
      <c r="D19" s="292" t="s">
        <v>265</v>
      </c>
      <c r="E19" s="292" t="s">
        <v>301</v>
      </c>
      <c r="F19" s="293">
        <v>62100050</v>
      </c>
      <c r="G19" s="292" t="str">
        <f>VLOOKUP(F19,'Master Data'!$B$232:$C$331,2,0)</f>
        <v>TL - Others Tax and License</v>
      </c>
      <c r="H19" s="296" t="s">
        <v>453</v>
      </c>
      <c r="I19" s="289">
        <f>IFERROR(VLOOKUP(F19,'Master Data'!B:B,1,FALSE),0)</f>
        <v>62100050</v>
      </c>
      <c r="J19" s="290"/>
      <c r="K19" s="290"/>
      <c r="L19" s="290"/>
      <c r="M19" s="290"/>
      <c r="N19" s="290"/>
      <c r="O19" s="290"/>
    </row>
    <row r="20" spans="2:15" s="285" customFormat="1" x14ac:dyDescent="0.25">
      <c r="B20" s="291" t="s">
        <v>1147</v>
      </c>
      <c r="C20" s="292" t="s">
        <v>1421</v>
      </c>
      <c r="D20" s="292" t="s">
        <v>265</v>
      </c>
      <c r="E20" s="292" t="s">
        <v>301</v>
      </c>
      <c r="F20" s="293">
        <v>62000040</v>
      </c>
      <c r="G20" s="292" t="str">
        <f>VLOOKUP(F20,'Master Data'!$B$232:$C$331,2,0)</f>
        <v>Ent. Exp - Others Entertainment</v>
      </c>
      <c r="H20" s="296" t="s">
        <v>192</v>
      </c>
      <c r="I20" s="289">
        <f>IFERROR(VLOOKUP(F20,'Master Data'!B:B,1,FALSE),0)</f>
        <v>62000040</v>
      </c>
      <c r="J20" s="290"/>
      <c r="K20" s="290"/>
      <c r="L20" s="290"/>
      <c r="M20" s="290"/>
      <c r="N20" s="290"/>
      <c r="O20" s="290"/>
    </row>
    <row r="21" spans="2:15" s="285" customFormat="1" x14ac:dyDescent="0.25">
      <c r="B21" s="291" t="s">
        <v>1148</v>
      </c>
      <c r="C21" s="292" t="s">
        <v>1149</v>
      </c>
      <c r="D21" s="292" t="s">
        <v>265</v>
      </c>
      <c r="E21" s="292" t="s">
        <v>301</v>
      </c>
      <c r="F21" s="293">
        <v>62100050</v>
      </c>
      <c r="G21" s="292" t="str">
        <f>VLOOKUP(F21,'Master Data'!$B$232:$C$331,2,0)</f>
        <v>TL - Others Tax and License</v>
      </c>
      <c r="H21" s="296" t="s">
        <v>453</v>
      </c>
      <c r="I21" s="289">
        <f>IFERROR(VLOOKUP(F21,'Master Data'!B:B,1,FALSE),0)</f>
        <v>62100050</v>
      </c>
      <c r="J21" s="290"/>
      <c r="K21" s="290"/>
      <c r="L21" s="290"/>
      <c r="M21" s="290"/>
      <c r="N21" s="290"/>
      <c r="O21" s="290"/>
    </row>
    <row r="22" spans="2:15" s="285" customFormat="1" x14ac:dyDescent="0.25">
      <c r="B22" s="291" t="s">
        <v>1150</v>
      </c>
      <c r="C22" s="292" t="s">
        <v>1151</v>
      </c>
      <c r="D22" s="292" t="s">
        <v>265</v>
      </c>
      <c r="E22" s="292" t="s">
        <v>301</v>
      </c>
      <c r="F22" s="293">
        <v>62100050</v>
      </c>
      <c r="G22" s="292" t="str">
        <f>VLOOKUP(F22,'Master Data'!$B$232:$C$331,2,0)</f>
        <v>TL - Others Tax and License</v>
      </c>
      <c r="H22" s="296" t="s">
        <v>453</v>
      </c>
      <c r="I22" s="289">
        <f>IFERROR(VLOOKUP(F22,'Master Data'!B:B,1,FALSE),0)</f>
        <v>62100050</v>
      </c>
      <c r="J22" s="290"/>
      <c r="K22" s="290"/>
      <c r="L22" s="290"/>
      <c r="M22" s="290"/>
      <c r="N22" s="290"/>
      <c r="O22" s="290"/>
    </row>
    <row r="23" spans="2:15" s="285" customFormat="1" x14ac:dyDescent="0.25">
      <c r="B23" s="291" t="s">
        <v>1152</v>
      </c>
      <c r="C23" s="292" t="s">
        <v>1153</v>
      </c>
      <c r="D23" s="292" t="s">
        <v>265</v>
      </c>
      <c r="E23" s="292" t="s">
        <v>301</v>
      </c>
      <c r="F23" s="293">
        <v>62100050</v>
      </c>
      <c r="G23" s="292" t="str">
        <f>VLOOKUP(F23,'Master Data'!$B$232:$C$331,2,0)</f>
        <v>TL - Others Tax and License</v>
      </c>
      <c r="H23" s="296" t="s">
        <v>453</v>
      </c>
      <c r="I23" s="289">
        <f>IFERROR(VLOOKUP(F23,'Master Data'!B:B,1,FALSE),0)</f>
        <v>62100050</v>
      </c>
      <c r="J23" s="290"/>
      <c r="K23" s="290"/>
      <c r="L23" s="290"/>
      <c r="M23" s="290"/>
      <c r="N23" s="290"/>
      <c r="O23" s="290"/>
    </row>
    <row r="24" spans="2:15" s="285" customFormat="1" x14ac:dyDescent="0.25">
      <c r="B24" s="291" t="s">
        <v>1154</v>
      </c>
      <c r="C24" s="292" t="s">
        <v>1155</v>
      </c>
      <c r="D24" s="292" t="s">
        <v>265</v>
      </c>
      <c r="E24" s="292" t="s">
        <v>301</v>
      </c>
      <c r="F24" s="293">
        <v>62100050</v>
      </c>
      <c r="G24" s="292" t="str">
        <f>VLOOKUP(F24,'Master Data'!$B$232:$C$331,2,0)</f>
        <v>TL - Others Tax and License</v>
      </c>
      <c r="H24" s="296" t="s">
        <v>453</v>
      </c>
      <c r="I24" s="289">
        <f>IFERROR(VLOOKUP(F24,'Master Data'!B:B,1,FALSE),0)</f>
        <v>62100050</v>
      </c>
      <c r="J24" s="290"/>
      <c r="K24" s="290"/>
      <c r="L24" s="290"/>
      <c r="M24" s="290"/>
      <c r="N24" s="290"/>
      <c r="O24" s="290"/>
    </row>
    <row r="25" spans="2:15" s="285" customFormat="1" x14ac:dyDescent="0.25">
      <c r="B25" s="291" t="s">
        <v>1156</v>
      </c>
      <c r="C25" s="292" t="s">
        <v>1157</v>
      </c>
      <c r="D25" s="292" t="s">
        <v>265</v>
      </c>
      <c r="E25" s="292" t="s">
        <v>301</v>
      </c>
      <c r="F25" s="293">
        <v>61700070</v>
      </c>
      <c r="G25" s="292" t="str">
        <f>VLOOKUP(F25,'Master Data'!$B$232:$C$331,2,0)</f>
        <v>RE - Rental Other</v>
      </c>
      <c r="H25" s="296" t="s">
        <v>163</v>
      </c>
      <c r="I25" s="289">
        <f>IFERROR(VLOOKUP(F25,'Master Data'!B:B,1,FALSE),0)</f>
        <v>61700070</v>
      </c>
      <c r="J25" s="290"/>
      <c r="K25" s="290"/>
      <c r="L25" s="290"/>
      <c r="M25" s="290"/>
      <c r="N25" s="290"/>
      <c r="O25" s="290"/>
    </row>
    <row r="26" spans="2:15" s="285" customFormat="1" x14ac:dyDescent="0.25">
      <c r="B26" s="291" t="s">
        <v>1158</v>
      </c>
      <c r="C26" s="292" t="s">
        <v>1115</v>
      </c>
      <c r="D26" s="292" t="s">
        <v>265</v>
      </c>
      <c r="E26" s="292" t="s">
        <v>301</v>
      </c>
      <c r="F26" s="293">
        <v>62300010</v>
      </c>
      <c r="G26" s="292" t="str">
        <f>VLOOKUP(F26,'Master Data'!$B$232:$C$331,2,0)</f>
        <v>Meeting Expenses</v>
      </c>
      <c r="H26" s="296" t="s">
        <v>210</v>
      </c>
      <c r="I26" s="289">
        <f>IFERROR(VLOOKUP(F26,'Master Data'!B:B,1,FALSE),0)</f>
        <v>62300010</v>
      </c>
      <c r="J26" s="290"/>
      <c r="K26" s="290"/>
      <c r="L26" s="290"/>
      <c r="M26" s="290"/>
      <c r="N26" s="290"/>
      <c r="O26" s="290"/>
    </row>
    <row r="27" spans="2:15" s="285" customFormat="1" x14ac:dyDescent="0.25">
      <c r="B27" s="291" t="s">
        <v>1159</v>
      </c>
      <c r="C27" s="292" t="s">
        <v>1160</v>
      </c>
      <c r="D27" s="292" t="s">
        <v>265</v>
      </c>
      <c r="E27" s="292" t="s">
        <v>301</v>
      </c>
      <c r="F27" s="293">
        <v>62100050</v>
      </c>
      <c r="G27" s="292" t="str">
        <f>VLOOKUP(F27,'Master Data'!$B$232:$C$331,2,0)</f>
        <v>TL - Others Tax and License</v>
      </c>
      <c r="H27" s="296" t="s">
        <v>453</v>
      </c>
      <c r="I27" s="289">
        <f>IFERROR(VLOOKUP(F27,'Master Data'!B:B,1,FALSE),0)</f>
        <v>62100050</v>
      </c>
      <c r="J27" s="290"/>
      <c r="K27" s="290"/>
      <c r="L27" s="290"/>
      <c r="M27" s="290"/>
      <c r="N27" s="290"/>
      <c r="O27" s="290"/>
    </row>
    <row r="28" spans="2:15" s="285" customFormat="1" x14ac:dyDescent="0.25">
      <c r="B28" s="291" t="s">
        <v>1161</v>
      </c>
      <c r="C28" s="292" t="s">
        <v>1422</v>
      </c>
      <c r="D28" s="292" t="s">
        <v>265</v>
      </c>
      <c r="E28" s="292" t="s">
        <v>301</v>
      </c>
      <c r="F28" s="293">
        <v>62400030</v>
      </c>
      <c r="G28" s="292" t="str">
        <f>VLOOKUP(F28,'Master Data'!$B$232:$C$331,2,0)</f>
        <v>Gen. Transp. Travelling Expenses</v>
      </c>
      <c r="H28" s="296" t="s">
        <v>214</v>
      </c>
      <c r="I28" s="289">
        <f>IFERROR(VLOOKUP(F28,'Master Data'!B:B,1,FALSE),0)</f>
        <v>62400030</v>
      </c>
      <c r="J28" s="290"/>
      <c r="K28" s="290"/>
      <c r="L28" s="290"/>
      <c r="M28" s="290"/>
      <c r="N28" s="290"/>
      <c r="O28" s="290"/>
    </row>
    <row r="29" spans="2:15" s="285" customFormat="1" x14ac:dyDescent="0.25">
      <c r="B29" s="291" t="s">
        <v>1162</v>
      </c>
      <c r="C29" s="292" t="s">
        <v>1163</v>
      </c>
      <c r="D29" s="292" t="s">
        <v>265</v>
      </c>
      <c r="E29" s="292" t="s">
        <v>301</v>
      </c>
      <c r="F29" s="293">
        <v>61900020</v>
      </c>
      <c r="G29" s="292" t="str">
        <f>VLOOKUP(F29,'Master Data'!$B$232:$C$331,2,0)</f>
        <v>PF - Tax Consultan Fee</v>
      </c>
      <c r="H29" s="296" t="s">
        <v>177</v>
      </c>
      <c r="I29" s="289">
        <f>IFERROR(VLOOKUP(F29,'Master Data'!B:B,1,FALSE),0)</f>
        <v>61900020</v>
      </c>
      <c r="J29" s="290"/>
      <c r="K29" s="290"/>
      <c r="L29" s="290"/>
      <c r="M29" s="290"/>
      <c r="N29" s="290"/>
      <c r="O29" s="290"/>
    </row>
    <row r="30" spans="2:15" s="285" customFormat="1" x14ac:dyDescent="0.25">
      <c r="B30" s="291" t="s">
        <v>1164</v>
      </c>
      <c r="C30" s="292" t="s">
        <v>1165</v>
      </c>
      <c r="D30" s="292" t="s">
        <v>265</v>
      </c>
      <c r="E30" s="292" t="s">
        <v>301</v>
      </c>
      <c r="F30" s="293">
        <v>62900020</v>
      </c>
      <c r="G30" s="292" t="str">
        <f>VLOOKUP(F30,'Master Data'!$B$232:$C$331,2,0)</f>
        <v>Subscriptions and Periodicals</v>
      </c>
      <c r="H30" s="296" t="s">
        <v>230</v>
      </c>
      <c r="I30" s="289">
        <f>IFERROR(VLOOKUP(F30,'Master Data'!B:B,1,FALSE),0)</f>
        <v>62900020</v>
      </c>
      <c r="J30" s="290"/>
      <c r="K30" s="290"/>
      <c r="L30" s="290"/>
      <c r="M30" s="290"/>
      <c r="N30" s="290"/>
      <c r="O30" s="290"/>
    </row>
    <row r="31" spans="2:15" s="285" customFormat="1" x14ac:dyDescent="0.25">
      <c r="B31" s="291" t="s">
        <v>1166</v>
      </c>
      <c r="C31" s="292" t="s">
        <v>1167</v>
      </c>
      <c r="D31" s="292" t="s">
        <v>265</v>
      </c>
      <c r="E31" s="292" t="s">
        <v>301</v>
      </c>
      <c r="F31" s="293">
        <v>61900020</v>
      </c>
      <c r="G31" s="292" t="str">
        <f>VLOOKUP(F31,'Master Data'!$B$232:$C$331,2,0)</f>
        <v>PF - Tax Consultan Fee</v>
      </c>
      <c r="H31" s="296" t="s">
        <v>177</v>
      </c>
      <c r="I31" s="289">
        <f>IFERROR(VLOOKUP(F31,'Master Data'!B:B,1,FALSE),0)</f>
        <v>61900020</v>
      </c>
      <c r="J31" s="290"/>
      <c r="K31" s="290"/>
      <c r="L31" s="290"/>
      <c r="M31" s="290"/>
      <c r="N31" s="290"/>
      <c r="O31" s="290"/>
    </row>
    <row r="32" spans="2:15" s="285" customFormat="1" x14ac:dyDescent="0.25">
      <c r="B32" s="291" t="s">
        <v>739</v>
      </c>
      <c r="C32" s="292" t="s">
        <v>1423</v>
      </c>
      <c r="D32" s="292" t="s">
        <v>257</v>
      </c>
      <c r="E32" s="292" t="s">
        <v>745</v>
      </c>
      <c r="F32" s="293">
        <v>62400030</v>
      </c>
      <c r="G32" s="292" t="str">
        <f>VLOOKUP(F32,'Master Data'!$B$232:$C$331,2,0)</f>
        <v>Gen. Transp. Travelling Expenses</v>
      </c>
      <c r="H32" s="294" t="s">
        <v>756</v>
      </c>
      <c r="I32" s="289">
        <f>IFERROR(VLOOKUP(F32,'Master Data'!B:B,1,FALSE),0)</f>
        <v>62400030</v>
      </c>
      <c r="J32" s="290"/>
      <c r="K32" s="290"/>
      <c r="L32" s="290"/>
      <c r="M32" s="290"/>
      <c r="N32" s="290"/>
      <c r="O32" s="290"/>
    </row>
    <row r="33" spans="2:15" s="285" customFormat="1" x14ac:dyDescent="0.25">
      <c r="B33" s="291" t="s">
        <v>740</v>
      </c>
      <c r="C33" s="292" t="s">
        <v>1222</v>
      </c>
      <c r="D33" s="292" t="s">
        <v>257</v>
      </c>
      <c r="E33" s="292" t="s">
        <v>745</v>
      </c>
      <c r="F33" s="293">
        <v>61900090</v>
      </c>
      <c r="G33" s="292" t="str">
        <f>VLOOKUP(F33,'Master Data'!$B$232:$C$331,2,0)</f>
        <v>PF - Other Professional Fees</v>
      </c>
      <c r="H33" s="295"/>
      <c r="I33" s="289">
        <f>IFERROR(VLOOKUP(F33,'Master Data'!B:B,1,FALSE),0)</f>
        <v>61900090</v>
      </c>
      <c r="J33" s="290"/>
      <c r="K33" s="290"/>
      <c r="L33" s="290"/>
      <c r="M33" s="290"/>
      <c r="N33" s="290"/>
      <c r="O33" s="290"/>
    </row>
    <row r="34" spans="2:15" s="285" customFormat="1" x14ac:dyDescent="0.25">
      <c r="B34" s="291" t="s">
        <v>741</v>
      </c>
      <c r="C34" s="292" t="s">
        <v>743</v>
      </c>
      <c r="D34" s="292" t="s">
        <v>257</v>
      </c>
      <c r="E34" s="292" t="s">
        <v>745</v>
      </c>
      <c r="F34" s="293">
        <v>62900020</v>
      </c>
      <c r="G34" s="292" t="str">
        <f>VLOOKUP(F34,'Master Data'!$B$232:$C$331,2,0)</f>
        <v>Subscriptions and Periodicals</v>
      </c>
      <c r="H34" s="294" t="s">
        <v>757</v>
      </c>
      <c r="I34" s="289">
        <f>IFERROR(VLOOKUP(F34,'Master Data'!B:B,1,FALSE),0)</f>
        <v>62900020</v>
      </c>
      <c r="J34" s="290"/>
      <c r="K34" s="290"/>
      <c r="L34" s="290"/>
      <c r="M34" s="290"/>
      <c r="N34" s="290"/>
      <c r="O34" s="290"/>
    </row>
    <row r="35" spans="2:15" s="285" customFormat="1" x14ac:dyDescent="0.25">
      <c r="B35" s="291" t="s">
        <v>742</v>
      </c>
      <c r="C35" s="292" t="s">
        <v>744</v>
      </c>
      <c r="D35" s="292" t="s">
        <v>257</v>
      </c>
      <c r="E35" s="292" t="s">
        <v>745</v>
      </c>
      <c r="F35" s="293">
        <v>61900090</v>
      </c>
      <c r="G35" s="292" t="str">
        <f>VLOOKUP(F35,'Master Data'!$B$232:$C$331,2,0)</f>
        <v>PF - Other Professional Fees</v>
      </c>
      <c r="H35" s="294" t="s">
        <v>758</v>
      </c>
      <c r="I35" s="289">
        <f>IFERROR(VLOOKUP(F35,'Master Data'!B:B,1,FALSE),0)</f>
        <v>61900090</v>
      </c>
      <c r="J35" s="290"/>
      <c r="K35" s="290"/>
      <c r="L35" s="290"/>
      <c r="M35" s="290"/>
      <c r="N35" s="290"/>
      <c r="O35" s="290"/>
    </row>
    <row r="36" spans="2:15" s="285" customFormat="1" x14ac:dyDescent="0.25">
      <c r="B36" s="291" t="s">
        <v>1168</v>
      </c>
      <c r="C36" s="292" t="s">
        <v>1169</v>
      </c>
      <c r="D36" s="292" t="s">
        <v>254</v>
      </c>
      <c r="E36" s="292" t="s">
        <v>300</v>
      </c>
      <c r="F36" s="293">
        <v>61900030</v>
      </c>
      <c r="G36" s="292" t="str">
        <f>VLOOKUP(F36,'Master Data'!$B$232:$C$331,2,0)</f>
        <v>PF - Audit Fee</v>
      </c>
      <c r="H36" s="294" t="s">
        <v>1170</v>
      </c>
      <c r="I36" s="289">
        <f>IFERROR(VLOOKUP(F36,'Master Data'!B:B,1,FALSE),0)</f>
        <v>61900030</v>
      </c>
      <c r="J36" s="290"/>
      <c r="K36" s="290"/>
      <c r="L36" s="290"/>
      <c r="M36" s="290"/>
      <c r="N36" s="290"/>
      <c r="O36" s="290"/>
    </row>
    <row r="37" spans="2:15" s="285" customFormat="1" ht="30" x14ac:dyDescent="0.25">
      <c r="B37" s="291" t="s">
        <v>1171</v>
      </c>
      <c r="C37" s="292" t="s">
        <v>1172</v>
      </c>
      <c r="D37" s="292" t="s">
        <v>254</v>
      </c>
      <c r="E37" s="292" t="s">
        <v>300</v>
      </c>
      <c r="F37" s="293">
        <v>61900090</v>
      </c>
      <c r="G37" s="292" t="str">
        <f>VLOOKUP(F37,'Master Data'!$B$232:$C$331,2,0)</f>
        <v>PF - Other Professional Fees</v>
      </c>
      <c r="H37" s="295" t="s">
        <v>1173</v>
      </c>
      <c r="I37" s="289">
        <f>IFERROR(VLOOKUP(F37,'Master Data'!B:B,1,FALSE),0)</f>
        <v>61900090</v>
      </c>
      <c r="J37" s="290"/>
      <c r="K37" s="290"/>
      <c r="L37" s="290"/>
      <c r="M37" s="290"/>
      <c r="N37" s="290"/>
      <c r="O37" s="290"/>
    </row>
    <row r="38" spans="2:15" s="285" customFormat="1" x14ac:dyDescent="0.25">
      <c r="B38" s="291" t="s">
        <v>1174</v>
      </c>
      <c r="C38" s="292" t="s">
        <v>1175</v>
      </c>
      <c r="D38" s="292" t="s">
        <v>254</v>
      </c>
      <c r="E38" s="292" t="s">
        <v>300</v>
      </c>
      <c r="F38" s="293">
        <v>61900090</v>
      </c>
      <c r="G38" s="292" t="str">
        <f>VLOOKUP(F38,'Master Data'!$B$232:$C$331,2,0)</f>
        <v>PF - Other Professional Fees</v>
      </c>
      <c r="H38" s="294" t="s">
        <v>1176</v>
      </c>
      <c r="I38" s="289">
        <f>IFERROR(VLOOKUP(F38,'Master Data'!B:B,1,FALSE),0)</f>
        <v>61900090</v>
      </c>
      <c r="J38" s="290"/>
      <c r="K38" s="290"/>
      <c r="L38" s="290"/>
      <c r="M38" s="290"/>
      <c r="N38" s="290"/>
      <c r="O38" s="290"/>
    </row>
    <row r="39" spans="2:15" s="285" customFormat="1" x14ac:dyDescent="0.25">
      <c r="B39" s="291" t="s">
        <v>1177</v>
      </c>
      <c r="C39" s="292" t="s">
        <v>1178</v>
      </c>
      <c r="D39" s="292" t="s">
        <v>254</v>
      </c>
      <c r="E39" s="292" t="s">
        <v>300</v>
      </c>
      <c r="F39" s="293">
        <v>61900090</v>
      </c>
      <c r="G39" s="292" t="str">
        <f>VLOOKUP(F39,'Master Data'!$B$232:$C$331,2,0)</f>
        <v>PF - Other Professional Fees</v>
      </c>
      <c r="H39" s="294" t="s">
        <v>1179</v>
      </c>
      <c r="I39" s="289">
        <f>IFERROR(VLOOKUP(F39,'Master Data'!B:B,1,FALSE),0)</f>
        <v>61900090</v>
      </c>
      <c r="J39" s="290"/>
      <c r="K39" s="290"/>
      <c r="L39" s="290"/>
      <c r="M39" s="290"/>
      <c r="N39" s="290"/>
      <c r="O39" s="290"/>
    </row>
    <row r="40" spans="2:15" s="285" customFormat="1" x14ac:dyDescent="0.25">
      <c r="B40" s="291" t="s">
        <v>1180</v>
      </c>
      <c r="C40" s="292" t="s">
        <v>1424</v>
      </c>
      <c r="D40" s="292" t="s">
        <v>254</v>
      </c>
      <c r="E40" s="292" t="s">
        <v>300</v>
      </c>
      <c r="F40" s="293">
        <v>62900020</v>
      </c>
      <c r="G40" s="292" t="str">
        <f>VLOOKUP(F40,'Master Data'!$B$232:$C$331,2,0)</f>
        <v>Subscriptions and Periodicals</v>
      </c>
      <c r="H40" s="294" t="s">
        <v>1181</v>
      </c>
      <c r="I40" s="289">
        <f>IFERROR(VLOOKUP(F40,'Master Data'!B:B,1,FALSE),0)</f>
        <v>62900020</v>
      </c>
      <c r="J40" s="290"/>
      <c r="K40" s="290"/>
      <c r="L40" s="290"/>
      <c r="M40" s="290"/>
      <c r="N40" s="290"/>
      <c r="O40" s="290"/>
    </row>
    <row r="41" spans="2:15" s="285" customFormat="1" x14ac:dyDescent="0.25">
      <c r="B41" s="291" t="s">
        <v>1182</v>
      </c>
      <c r="C41" s="292" t="s">
        <v>1183</v>
      </c>
      <c r="D41" s="292" t="s">
        <v>254</v>
      </c>
      <c r="E41" s="292" t="s">
        <v>300</v>
      </c>
      <c r="F41" s="293">
        <v>62400030</v>
      </c>
      <c r="G41" s="292" t="str">
        <f>VLOOKUP(F41,'Master Data'!$B$232:$C$331,2,0)</f>
        <v>Gen. Transp. Travelling Expenses</v>
      </c>
      <c r="H41" s="296" t="s">
        <v>1184</v>
      </c>
      <c r="I41" s="289">
        <f>IFERROR(VLOOKUP(F41,'Master Data'!B:B,1,FALSE),0)</f>
        <v>62400030</v>
      </c>
      <c r="J41" s="290"/>
      <c r="K41" s="290"/>
      <c r="L41" s="290"/>
      <c r="M41" s="290"/>
      <c r="N41" s="290"/>
      <c r="O41" s="290"/>
    </row>
    <row r="42" spans="2:15" s="285" customFormat="1" x14ac:dyDescent="0.25">
      <c r="B42" s="291" t="s">
        <v>1185</v>
      </c>
      <c r="C42" s="292" t="s">
        <v>1186</v>
      </c>
      <c r="D42" s="292" t="s">
        <v>254</v>
      </c>
      <c r="E42" s="292" t="s">
        <v>300</v>
      </c>
      <c r="F42" s="293">
        <v>61900090</v>
      </c>
      <c r="G42" s="292" t="str">
        <f>VLOOKUP(F42,'Master Data'!$B$232:$C$331,2,0)</f>
        <v>PF - Other Professional Fees</v>
      </c>
      <c r="H42" s="302"/>
      <c r="I42" s="289">
        <f>IFERROR(VLOOKUP(F42,'Master Data'!B:B,1,FALSE),0)</f>
        <v>61900090</v>
      </c>
      <c r="J42" s="290"/>
      <c r="K42" s="290"/>
      <c r="L42" s="290"/>
      <c r="M42" s="290"/>
      <c r="N42" s="290"/>
      <c r="O42" s="290"/>
    </row>
    <row r="43" spans="2:15" s="285" customFormat="1" x14ac:dyDescent="0.25">
      <c r="B43" s="291" t="s">
        <v>1187</v>
      </c>
      <c r="C43" s="292" t="s">
        <v>168</v>
      </c>
      <c r="D43" s="292" t="s">
        <v>254</v>
      </c>
      <c r="E43" s="292" t="s">
        <v>300</v>
      </c>
      <c r="F43" s="293">
        <v>61800020</v>
      </c>
      <c r="G43" s="292" t="str">
        <f>VLOOKUP(F43,'Master Data'!$B$232:$C$331,2,0)</f>
        <v>PT Exp. - Postage and Courier</v>
      </c>
      <c r="H43" s="294" t="s">
        <v>1136</v>
      </c>
      <c r="I43" s="289">
        <f>IFERROR(VLOOKUP(F43,'Master Data'!B:B,1,FALSE),0)</f>
        <v>61800020</v>
      </c>
      <c r="J43" s="290"/>
      <c r="K43" s="290"/>
      <c r="L43" s="290"/>
      <c r="M43" s="290"/>
      <c r="N43" s="290"/>
      <c r="O43" s="290"/>
    </row>
    <row r="44" spans="2:15" s="285" customFormat="1" x14ac:dyDescent="0.25">
      <c r="B44" s="291" t="s">
        <v>1188</v>
      </c>
      <c r="C44" s="292" t="s">
        <v>1189</v>
      </c>
      <c r="D44" s="292" t="s">
        <v>254</v>
      </c>
      <c r="E44" s="292" t="s">
        <v>300</v>
      </c>
      <c r="F44" s="293">
        <v>62900020</v>
      </c>
      <c r="G44" s="292" t="str">
        <f>VLOOKUP(F44,'Master Data'!$B$232:$C$331,2,0)</f>
        <v>Subscriptions and Periodicals</v>
      </c>
      <c r="H44" s="294" t="s">
        <v>1190</v>
      </c>
      <c r="I44" s="289">
        <f>IFERROR(VLOOKUP(F44,'Master Data'!B:B,1,FALSE),0)</f>
        <v>62900020</v>
      </c>
      <c r="J44" s="290"/>
      <c r="K44" s="290"/>
      <c r="L44" s="290"/>
      <c r="M44" s="290"/>
      <c r="N44" s="290"/>
      <c r="O44" s="290"/>
    </row>
    <row r="45" spans="2:15" s="285" customFormat="1" x14ac:dyDescent="0.25">
      <c r="B45" s="291" t="s">
        <v>1191</v>
      </c>
      <c r="C45" s="292" t="s">
        <v>1192</v>
      </c>
      <c r="D45" s="292" t="s">
        <v>254</v>
      </c>
      <c r="E45" s="292" t="s">
        <v>300</v>
      </c>
      <c r="F45" s="293">
        <v>61900090</v>
      </c>
      <c r="G45" s="292" t="str">
        <f>VLOOKUP(F45,'Master Data'!$B$232:$C$331,2,0)</f>
        <v>PF - Other Professional Fees</v>
      </c>
      <c r="H45" s="294" t="s">
        <v>1193</v>
      </c>
      <c r="I45" s="289">
        <f>IFERROR(VLOOKUP(F45,'Master Data'!B:B,1,FALSE),0)</f>
        <v>61900090</v>
      </c>
      <c r="J45" s="290"/>
      <c r="K45" s="290"/>
      <c r="L45" s="290"/>
      <c r="M45" s="290"/>
      <c r="N45" s="290"/>
      <c r="O45" s="290"/>
    </row>
    <row r="46" spans="2:15" s="285" customFormat="1" x14ac:dyDescent="0.25">
      <c r="B46" s="291" t="s">
        <v>1194</v>
      </c>
      <c r="C46" s="292" t="s">
        <v>1195</v>
      </c>
      <c r="D46" s="292" t="s">
        <v>267</v>
      </c>
      <c r="E46" s="292" t="s">
        <v>1196</v>
      </c>
      <c r="F46" s="293">
        <v>62200020</v>
      </c>
      <c r="G46" s="292" t="str">
        <f>VLOOKUP(F46,'Master Data'!$B$232:$C$331,2,0)</f>
        <v>Printing and Supplies Expenses</v>
      </c>
      <c r="H46" s="294" t="s">
        <v>1197</v>
      </c>
      <c r="I46" s="289">
        <f>IFERROR(VLOOKUP(F46,'Master Data'!B:B,1,FALSE),0)</f>
        <v>62200020</v>
      </c>
      <c r="J46" s="290"/>
      <c r="K46" s="290"/>
      <c r="L46" s="290"/>
      <c r="M46" s="290"/>
      <c r="N46" s="290"/>
      <c r="O46" s="290"/>
    </row>
    <row r="47" spans="2:15" s="285" customFormat="1" x14ac:dyDescent="0.25">
      <c r="B47" s="291" t="s">
        <v>1198</v>
      </c>
      <c r="C47" s="292" t="s">
        <v>1199</v>
      </c>
      <c r="D47" s="292" t="s">
        <v>267</v>
      </c>
      <c r="E47" s="292" t="s">
        <v>1196</v>
      </c>
      <c r="F47" s="293">
        <v>61900090</v>
      </c>
      <c r="G47" s="292" t="str">
        <f>VLOOKUP(F47,'Master Data'!$B$232:$C$331,2,0)</f>
        <v>PF - Other Professional Fees</v>
      </c>
      <c r="H47" s="294" t="s">
        <v>1200</v>
      </c>
      <c r="I47" s="289">
        <f>IFERROR(VLOOKUP(F47,'Master Data'!B:B,1,FALSE),0)</f>
        <v>61900090</v>
      </c>
      <c r="J47" s="290"/>
      <c r="K47" s="290"/>
      <c r="L47" s="290"/>
      <c r="M47" s="290"/>
      <c r="N47" s="290"/>
      <c r="O47" s="290"/>
    </row>
    <row r="48" spans="2:15" s="285" customFormat="1" x14ac:dyDescent="0.25">
      <c r="B48" s="291" t="s">
        <v>1201</v>
      </c>
      <c r="C48" s="292" t="s">
        <v>1202</v>
      </c>
      <c r="D48" s="292" t="s">
        <v>267</v>
      </c>
      <c r="E48" s="292" t="s">
        <v>1196</v>
      </c>
      <c r="F48" s="293">
        <v>62400030</v>
      </c>
      <c r="G48" s="292" t="str">
        <f>VLOOKUP(F48,'Master Data'!$B$232:$C$331,2,0)</f>
        <v>Gen. Transp. Travelling Expenses</v>
      </c>
      <c r="H48" s="296" t="s">
        <v>1184</v>
      </c>
      <c r="I48" s="289">
        <f>IFERROR(VLOOKUP(F48,'Master Data'!B:B,1,FALSE),0)</f>
        <v>62400030</v>
      </c>
      <c r="J48" s="290"/>
      <c r="K48" s="290"/>
      <c r="L48" s="290"/>
      <c r="M48" s="290"/>
      <c r="N48" s="290"/>
      <c r="O48" s="290"/>
    </row>
    <row r="49" spans="2:15" s="285" customFormat="1" x14ac:dyDescent="0.25">
      <c r="B49" s="291" t="s">
        <v>1203</v>
      </c>
      <c r="C49" s="292" t="s">
        <v>1204</v>
      </c>
      <c r="D49" s="292" t="s">
        <v>267</v>
      </c>
      <c r="E49" s="292" t="s">
        <v>1196</v>
      </c>
      <c r="F49" s="293">
        <v>61900090</v>
      </c>
      <c r="G49" s="292" t="str">
        <f>VLOOKUP(F49,'Master Data'!$B$232:$C$331,2,0)</f>
        <v>PF - Other Professional Fees</v>
      </c>
      <c r="H49" s="302"/>
      <c r="I49" s="289">
        <f>IFERROR(VLOOKUP(F49,'Master Data'!B:B,1,FALSE),0)</f>
        <v>61900090</v>
      </c>
      <c r="J49" s="290"/>
      <c r="K49" s="290"/>
      <c r="L49" s="290"/>
      <c r="M49" s="290"/>
      <c r="N49" s="290"/>
      <c r="O49" s="290"/>
    </row>
    <row r="50" spans="2:15" s="285" customFormat="1" x14ac:dyDescent="0.25">
      <c r="B50" s="291" t="s">
        <v>1205</v>
      </c>
      <c r="C50" s="292" t="s">
        <v>1206</v>
      </c>
      <c r="D50" s="292" t="s">
        <v>267</v>
      </c>
      <c r="E50" s="292" t="s">
        <v>1196</v>
      </c>
      <c r="F50" s="293">
        <v>61900090</v>
      </c>
      <c r="G50" s="292" t="str">
        <f>VLOOKUP(F50,'Master Data'!$B$232:$C$331,2,0)</f>
        <v>PF - Other Professional Fees</v>
      </c>
      <c r="H50" s="302"/>
      <c r="I50" s="289">
        <f>IFERROR(VLOOKUP(F50,'Master Data'!B:B,1,FALSE),0)</f>
        <v>61900090</v>
      </c>
      <c r="J50" s="290"/>
      <c r="K50" s="290"/>
      <c r="L50" s="290"/>
      <c r="M50" s="290"/>
      <c r="N50" s="290"/>
      <c r="O50" s="290"/>
    </row>
    <row r="51" spans="2:15" s="285" customFormat="1" x14ac:dyDescent="0.25">
      <c r="B51" s="291" t="s">
        <v>1207</v>
      </c>
      <c r="C51" s="292" t="s">
        <v>1208</v>
      </c>
      <c r="D51" s="292" t="s">
        <v>267</v>
      </c>
      <c r="E51" s="292" t="s">
        <v>1196</v>
      </c>
      <c r="F51" s="293">
        <v>61900090</v>
      </c>
      <c r="G51" s="292" t="str">
        <f>VLOOKUP(F51,'Master Data'!$B$232:$C$331,2,0)</f>
        <v>PF - Other Professional Fees</v>
      </c>
      <c r="H51" s="302"/>
      <c r="I51" s="289">
        <f>IFERROR(VLOOKUP(F51,'Master Data'!B:B,1,FALSE),0)</f>
        <v>61900090</v>
      </c>
      <c r="J51" s="290"/>
      <c r="K51" s="290"/>
      <c r="L51" s="290"/>
      <c r="M51" s="290"/>
      <c r="N51" s="290"/>
      <c r="O51" s="290"/>
    </row>
    <row r="52" spans="2:15" s="285" customFormat="1" x14ac:dyDescent="0.25">
      <c r="B52" s="291" t="s">
        <v>1209</v>
      </c>
      <c r="C52" s="292" t="s">
        <v>1210</v>
      </c>
      <c r="D52" s="292" t="s">
        <v>267</v>
      </c>
      <c r="E52" s="292" t="s">
        <v>1196</v>
      </c>
      <c r="F52" s="293">
        <v>62000040</v>
      </c>
      <c r="G52" s="292" t="str">
        <f>VLOOKUP(F52,'Master Data'!$B$232:$C$331,2,0)</f>
        <v>Ent. Exp - Others Entertainment</v>
      </c>
      <c r="H52" s="294" t="s">
        <v>1211</v>
      </c>
      <c r="I52" s="289">
        <f>IFERROR(VLOOKUP(F52,'Master Data'!B:B,1,FALSE),0)</f>
        <v>62000040</v>
      </c>
      <c r="J52" s="290"/>
      <c r="K52" s="290"/>
      <c r="L52" s="290"/>
      <c r="M52" s="290"/>
      <c r="N52" s="290"/>
      <c r="O52" s="290"/>
    </row>
    <row r="53" spans="2:15" s="285" customFormat="1" x14ac:dyDescent="0.25">
      <c r="B53" s="291" t="s">
        <v>1212</v>
      </c>
      <c r="C53" s="292" t="s">
        <v>1213</v>
      </c>
      <c r="D53" s="292" t="s">
        <v>267</v>
      </c>
      <c r="E53" s="292" t="s">
        <v>1196</v>
      </c>
      <c r="F53" s="293">
        <v>62900020</v>
      </c>
      <c r="G53" s="292" t="str">
        <f>VLOOKUP(F53,'Master Data'!$B$232:$C$331,2,0)</f>
        <v>Subscriptions and Periodicals</v>
      </c>
      <c r="H53" s="294" t="s">
        <v>1214</v>
      </c>
      <c r="I53" s="289">
        <f>IFERROR(VLOOKUP(F53,'Master Data'!B:B,1,FALSE),0)</f>
        <v>62900020</v>
      </c>
      <c r="J53" s="290"/>
      <c r="K53" s="290"/>
      <c r="L53" s="290"/>
      <c r="M53" s="290"/>
      <c r="N53" s="290"/>
      <c r="O53" s="290"/>
    </row>
    <row r="54" spans="2:15" s="285" customFormat="1" x14ac:dyDescent="0.25">
      <c r="B54" s="291" t="s">
        <v>1215</v>
      </c>
      <c r="C54" s="292" t="s">
        <v>1216</v>
      </c>
      <c r="D54" s="292" t="s">
        <v>1217</v>
      </c>
      <c r="E54" s="292" t="s">
        <v>1218</v>
      </c>
      <c r="F54" s="293">
        <v>62400030</v>
      </c>
      <c r="G54" s="292" t="str">
        <f>VLOOKUP(F54,'Master Data'!$B$232:$C$331,2,0)</f>
        <v>Gen. Transp. Travelling Expenses</v>
      </c>
      <c r="H54" s="294" t="s">
        <v>1553</v>
      </c>
      <c r="I54" s="289">
        <f>IFERROR(VLOOKUP(F54,'Master Data'!B:B,1,FALSE),0)</f>
        <v>62400030</v>
      </c>
      <c r="J54" s="290"/>
      <c r="K54" s="290"/>
      <c r="L54" s="290"/>
      <c r="M54" s="290"/>
      <c r="N54" s="290"/>
      <c r="O54" s="290"/>
    </row>
    <row r="55" spans="2:15" s="285" customFormat="1" x14ac:dyDescent="0.25">
      <c r="B55" s="291" t="s">
        <v>1219</v>
      </c>
      <c r="C55" s="292" t="s">
        <v>1220</v>
      </c>
      <c r="D55" s="292" t="s">
        <v>1217</v>
      </c>
      <c r="E55" s="292" t="s">
        <v>1218</v>
      </c>
      <c r="F55" s="293">
        <v>62300010</v>
      </c>
      <c r="G55" s="292" t="str">
        <f>VLOOKUP(F55,'Master Data'!$B$232:$C$331,2,0)</f>
        <v>Meeting Expenses</v>
      </c>
      <c r="H55" s="294" t="s">
        <v>1554</v>
      </c>
      <c r="I55" s="289">
        <f>IFERROR(VLOOKUP(F55,'Master Data'!B:B,1,FALSE),0)</f>
        <v>62300010</v>
      </c>
      <c r="J55" s="290"/>
      <c r="K55" s="290"/>
      <c r="L55" s="290"/>
      <c r="M55" s="290"/>
      <c r="N55" s="290"/>
      <c r="O55" s="290"/>
    </row>
    <row r="56" spans="2:15" x14ac:dyDescent="0.25">
      <c r="B56" s="297"/>
      <c r="C56" s="298"/>
      <c r="D56" s="300"/>
      <c r="E56" s="300"/>
      <c r="F56" s="298"/>
      <c r="G56" s="292"/>
      <c r="H56" s="303"/>
      <c r="I56" s="304"/>
      <c r="M56" s="290"/>
    </row>
    <row r="57" spans="2:15" ht="15.75" thickBot="1" x14ac:dyDescent="0.3">
      <c r="B57" s="305"/>
      <c r="C57" s="306"/>
      <c r="D57" s="306"/>
      <c r="E57" s="306"/>
      <c r="F57" s="306"/>
      <c r="G57" s="306"/>
      <c r="H57" s="307"/>
      <c r="M57" s="290"/>
    </row>
    <row r="58" spans="2:15" ht="15.75" thickBot="1" x14ac:dyDescent="0.3">
      <c r="M58" s="290"/>
    </row>
    <row r="59" spans="2:15" x14ac:dyDescent="0.25">
      <c r="B59" s="437" t="s">
        <v>812</v>
      </c>
      <c r="C59" s="438"/>
      <c r="D59" s="438"/>
      <c r="E59" s="438"/>
      <c r="F59" s="438"/>
      <c r="G59" s="438"/>
      <c r="H59" s="439"/>
      <c r="I59" s="432" t="s">
        <v>562</v>
      </c>
      <c r="M59" s="290"/>
    </row>
    <row r="60" spans="2:15" ht="15.75" thickBot="1" x14ac:dyDescent="0.3">
      <c r="B60" s="308" t="s">
        <v>547</v>
      </c>
      <c r="C60" s="309" t="s">
        <v>461</v>
      </c>
      <c r="D60" s="309" t="s">
        <v>46</v>
      </c>
      <c r="E60" s="309" t="s">
        <v>459</v>
      </c>
      <c r="F60" s="310" t="s">
        <v>460</v>
      </c>
      <c r="G60" s="311" t="s">
        <v>460</v>
      </c>
      <c r="H60" s="311" t="s">
        <v>338</v>
      </c>
      <c r="I60" s="433"/>
      <c r="M60" s="290"/>
    </row>
    <row r="61" spans="2:15" x14ac:dyDescent="0.25">
      <c r="B61" s="312"/>
      <c r="C61" s="313"/>
      <c r="D61" s="314">
        <f>IFERROR(VLOOKUP(E61,'Master Data'!$E$59:$L$146,8,FALSE),0)</f>
        <v>0</v>
      </c>
      <c r="E61" s="315"/>
      <c r="F61" s="316">
        <f>IFERROR(VLOOKUP(G61,'Master Data'!$C$233:$H$331,6,FALSE),0)</f>
        <v>0</v>
      </c>
      <c r="G61" s="317"/>
      <c r="H61" s="318"/>
      <c r="I61" s="319" t="str">
        <f t="shared" ref="I61:I66" si="0">IF(B61="","",IF(AND(RIGHT(D61,5)=LEFT(B61,5),MID(B61,6,1)="-",COUNTIFS(B:B,"*"&amp;RIGHT(B61,5))=1),"Benar","Salah"))</f>
        <v/>
      </c>
      <c r="M61" s="290"/>
    </row>
    <row r="62" spans="2:15" x14ac:dyDescent="0.25">
      <c r="B62" s="312"/>
      <c r="C62" s="189"/>
      <c r="D62" s="320">
        <f>IFERROR(VLOOKUP(E62,'Master Data'!$E$59:$L$146,8,FALSE),0)</f>
        <v>0</v>
      </c>
      <c r="F62" s="321">
        <f>IFERROR(VLOOKUP(G62,'Master Data'!$C$233:$H$331,6,FALSE),0)</f>
        <v>0</v>
      </c>
      <c r="G62" s="322"/>
      <c r="H62" s="323"/>
      <c r="I62" s="319" t="str">
        <f t="shared" si="0"/>
        <v/>
      </c>
      <c r="M62" s="290"/>
    </row>
    <row r="63" spans="2:15" x14ac:dyDescent="0.25">
      <c r="B63" s="312"/>
      <c r="C63" s="189"/>
      <c r="D63" s="320">
        <f>IFERROR(VLOOKUP(E63,'Master Data'!$E$59:$L$146,8,FALSE),0)</f>
        <v>0</v>
      </c>
      <c r="F63" s="321">
        <f>IFERROR(VLOOKUP(G63,'Master Data'!$C$233:$H$331,6,FALSE),0)</f>
        <v>0</v>
      </c>
      <c r="G63" s="322"/>
      <c r="H63" s="323"/>
      <c r="I63" s="319" t="str">
        <f t="shared" si="0"/>
        <v/>
      </c>
      <c r="M63" s="290"/>
    </row>
    <row r="64" spans="2:15" x14ac:dyDescent="0.25">
      <c r="B64" s="312"/>
      <c r="C64" s="189"/>
      <c r="D64" s="320">
        <f>IFERROR(VLOOKUP(E64,'Master Data'!$E$59:$L$146,8,FALSE),0)</f>
        <v>0</v>
      </c>
      <c r="F64" s="321">
        <f>IFERROR(VLOOKUP(G64,'Master Data'!$C$233:$H$331,6,FALSE),0)</f>
        <v>0</v>
      </c>
      <c r="G64" s="322"/>
      <c r="H64" s="323"/>
      <c r="I64" s="319" t="str">
        <f t="shared" si="0"/>
        <v/>
      </c>
      <c r="M64" s="290"/>
    </row>
    <row r="65" spans="2:13" x14ac:dyDescent="0.25">
      <c r="B65" s="312"/>
      <c r="C65" s="189"/>
      <c r="D65" s="320">
        <f>IFERROR(VLOOKUP(E65,'Master Data'!$E$59:$L$146,8,FALSE),0)</f>
        <v>0</v>
      </c>
      <c r="F65" s="321">
        <f>IFERROR(VLOOKUP(G65,'Master Data'!$C$233:$H$331,6,FALSE),0)</f>
        <v>0</v>
      </c>
      <c r="G65" s="322"/>
      <c r="H65" s="323"/>
      <c r="I65" s="319" t="str">
        <f t="shared" si="0"/>
        <v/>
      </c>
      <c r="M65" s="290"/>
    </row>
    <row r="66" spans="2:13" x14ac:dyDescent="0.25">
      <c r="B66" s="312"/>
      <c r="C66" s="189"/>
      <c r="D66" s="320">
        <f>IFERROR(VLOOKUP(E66,'Master Data'!$E$59:$L$146,8,FALSE),0)</f>
        <v>0</v>
      </c>
      <c r="F66" s="321">
        <f>IFERROR(VLOOKUP(G66,'Master Data'!$C$233:$H$331,6,FALSE),0)</f>
        <v>0</v>
      </c>
      <c r="G66" s="322"/>
      <c r="H66" s="323"/>
      <c r="I66" s="319" t="str">
        <f t="shared" si="0"/>
        <v/>
      </c>
      <c r="M66" s="290"/>
    </row>
    <row r="67" spans="2:13" x14ac:dyDescent="0.25">
      <c r="B67" s="312"/>
      <c r="C67" s="189"/>
      <c r="D67" s="320">
        <f>IFERROR(VLOOKUP(E67,'Master Data'!$E$59:$L$146,8,FALSE),0)</f>
        <v>0</v>
      </c>
      <c r="F67" s="321">
        <f>IFERROR(VLOOKUP(G67,'Master Data'!$C$233:$H$331,6,FALSE),0)</f>
        <v>0</v>
      </c>
      <c r="G67" s="322"/>
      <c r="H67" s="323"/>
      <c r="I67" s="319"/>
      <c r="M67" s="290"/>
    </row>
    <row r="68" spans="2:13" x14ac:dyDescent="0.25">
      <c r="B68" s="312"/>
      <c r="C68" s="189"/>
      <c r="D68" s="320">
        <f>IFERROR(VLOOKUP(E68,'Master Data'!$E$59:$L$146,8,FALSE),0)</f>
        <v>0</v>
      </c>
      <c r="F68" s="321">
        <f>IFERROR(VLOOKUP(G68,'Master Data'!$C$233:$H$331,6,FALSE),0)</f>
        <v>0</v>
      </c>
      <c r="G68" s="322"/>
      <c r="H68" s="323"/>
      <c r="I68" s="319" t="str">
        <f>IF(B68="","",IF(AND(RIGHT(D68,5)=LEFT(B68,5),MID(B68,6,1)="-",COUNTIFS(B:B,"*"&amp;RIGHT(B68,5))=1),"Benar","Salah"))</f>
        <v/>
      </c>
      <c r="M68" s="290"/>
    </row>
    <row r="69" spans="2:13" x14ac:dyDescent="0.25">
      <c r="B69" s="312"/>
      <c r="C69" s="189"/>
      <c r="D69" s="320">
        <f>IFERROR(VLOOKUP(E69,'Master Data'!$E$59:$L$146,8,FALSE),0)</f>
        <v>0</v>
      </c>
      <c r="F69" s="321">
        <f>IFERROR(VLOOKUP(G69,'Master Data'!$C$233:$H$331,6,FALSE),0)</f>
        <v>0</v>
      </c>
      <c r="G69" s="322"/>
      <c r="H69" s="323"/>
      <c r="I69" s="319"/>
      <c r="M69" s="290"/>
    </row>
    <row r="70" spans="2:13" ht="15.75" thickBot="1" x14ac:dyDescent="0.3">
      <c r="B70" s="324"/>
      <c r="C70" s="325"/>
      <c r="D70" s="326">
        <f>IFERROR(VLOOKUP(E70,'Master Data'!$E$59:$L$146,8,FALSE),0)</f>
        <v>0</v>
      </c>
      <c r="E70" s="327"/>
      <c r="F70" s="328">
        <f>IFERROR(VLOOKUP(G70,'Master Data'!$C$233:$H$331,6,FALSE),0)</f>
        <v>0</v>
      </c>
      <c r="G70" s="329"/>
      <c r="H70" s="330"/>
      <c r="I70" s="331" t="str">
        <f>IF(B70="","",IF(AND(RIGHT(D70,5)=LEFT(B70,5),MID(B70,6,1)="-",COUNTIFS(B:B,"*"&amp;RIGHT(B70,5))=1),"Benar","Salah"))</f>
        <v/>
      </c>
      <c r="M70" s="290"/>
    </row>
    <row r="72" spans="2:13" ht="15.75" thickBot="1" x14ac:dyDescent="0.3"/>
    <row r="73" spans="2:13" x14ac:dyDescent="0.25">
      <c r="B73" s="437" t="s">
        <v>827</v>
      </c>
      <c r="C73" s="438"/>
      <c r="D73" s="438"/>
      <c r="E73" s="438"/>
      <c r="F73" s="438"/>
      <c r="G73" s="438"/>
      <c r="H73" s="439"/>
      <c r="I73" s="440"/>
      <c r="M73" s="290"/>
    </row>
    <row r="74" spans="2:13" x14ac:dyDescent="0.25">
      <c r="B74" s="308" t="s">
        <v>547</v>
      </c>
      <c r="C74" s="309" t="s">
        <v>461</v>
      </c>
      <c r="D74" s="309" t="s">
        <v>46</v>
      </c>
      <c r="E74" s="309" t="s">
        <v>459</v>
      </c>
      <c r="F74" s="310" t="s">
        <v>460</v>
      </c>
      <c r="G74" s="311" t="s">
        <v>460</v>
      </c>
      <c r="H74" s="311" t="s">
        <v>338</v>
      </c>
      <c r="I74" s="440"/>
      <c r="M74" s="290"/>
    </row>
    <row r="75" spans="2:13" x14ac:dyDescent="0.25">
      <c r="B75" s="312"/>
      <c r="C75" s="189"/>
      <c r="D75" s="320">
        <f>IFERROR(VLOOKUP(E75,'Master Data'!$E$59:$L$146,8,FALSE),0)</f>
        <v>0</v>
      </c>
      <c r="F75" s="316">
        <f>IFERROR(VLOOKUP(G75,'Master Data'!$C$233:$H$331,6,FALSE),0)</f>
        <v>0</v>
      </c>
      <c r="G75" s="322"/>
      <c r="H75" s="323"/>
      <c r="I75" s="332"/>
      <c r="M75" s="290"/>
    </row>
    <row r="76" spans="2:13" x14ac:dyDescent="0.25">
      <c r="B76" s="312"/>
      <c r="C76" s="189"/>
      <c r="D76" s="320">
        <f>IFERROR(VLOOKUP(E76,'Master Data'!$E$59:$L$146,8,FALSE),0)</f>
        <v>0</v>
      </c>
      <c r="F76" s="321">
        <f>IFERROR(VLOOKUP(G76,'Master Data'!$C$233:$H$331,6,FALSE),0)</f>
        <v>0</v>
      </c>
      <c r="G76" s="322"/>
      <c r="H76" s="323"/>
      <c r="I76" s="332"/>
      <c r="M76" s="290"/>
    </row>
    <row r="77" spans="2:13" x14ac:dyDescent="0.25">
      <c r="B77" s="312"/>
      <c r="C77" s="189"/>
      <c r="D77" s="320">
        <f>IFERROR(VLOOKUP(E77,'Master Data'!$E$59:$L$146,8,FALSE),0)</f>
        <v>0</v>
      </c>
      <c r="F77" s="321">
        <f>IFERROR(VLOOKUP(G77,'Master Data'!$C$233:$H$331,6,FALSE),0)</f>
        <v>0</v>
      </c>
      <c r="G77" s="322"/>
      <c r="H77" s="323"/>
      <c r="I77" s="332"/>
      <c r="M77" s="290"/>
    </row>
    <row r="78" spans="2:13" x14ac:dyDescent="0.25">
      <c r="B78" s="312"/>
      <c r="C78" s="189"/>
      <c r="D78" s="320">
        <f>IFERROR(VLOOKUP(E78,'Master Data'!$E$59:$L$146,8,FALSE),0)</f>
        <v>0</v>
      </c>
      <c r="F78" s="321">
        <f>IFERROR(VLOOKUP(G78,'Master Data'!$C$233:$H$331,6,FALSE),0)</f>
        <v>0</v>
      </c>
      <c r="G78" s="322"/>
      <c r="H78" s="323"/>
      <c r="I78" s="332"/>
      <c r="M78" s="290"/>
    </row>
    <row r="79" spans="2:13" x14ac:dyDescent="0.25">
      <c r="B79" s="312"/>
      <c r="C79" s="189"/>
      <c r="D79" s="320">
        <f>IFERROR(VLOOKUP(E79,'Master Data'!$E$59:$L$146,8,FALSE),0)</f>
        <v>0</v>
      </c>
      <c r="F79" s="321">
        <f>IFERROR(VLOOKUP(G79,'Master Data'!$C$233:$H$331,6,FALSE),0)</f>
        <v>0</v>
      </c>
      <c r="G79" s="322"/>
      <c r="H79" s="323"/>
      <c r="I79" s="332"/>
      <c r="M79" s="290"/>
    </row>
    <row r="80" spans="2:13" x14ac:dyDescent="0.25">
      <c r="B80" s="312"/>
      <c r="C80" s="189"/>
      <c r="D80" s="320">
        <f>IFERROR(VLOOKUP(E80,'Master Data'!$E$59:$L$146,8,FALSE),0)</f>
        <v>0</v>
      </c>
      <c r="F80" s="321">
        <f>IFERROR(VLOOKUP(G80,'Master Data'!$C$233:$H$331,6,FALSE),0)</f>
        <v>0</v>
      </c>
      <c r="G80" s="322"/>
      <c r="H80" s="323"/>
      <c r="I80" s="332"/>
      <c r="M80" s="290"/>
    </row>
    <row r="81" spans="2:13" x14ac:dyDescent="0.25">
      <c r="B81" s="312"/>
      <c r="C81" s="189"/>
      <c r="D81" s="320">
        <f>IFERROR(VLOOKUP(E81,'Master Data'!$E$59:$L$146,8,FALSE),0)</f>
        <v>0</v>
      </c>
      <c r="F81" s="321">
        <f>IFERROR(VLOOKUP(G81,'Master Data'!$C$233:$H$331,6,FALSE),0)</f>
        <v>0</v>
      </c>
      <c r="G81" s="322"/>
      <c r="H81" s="323"/>
      <c r="I81" s="332"/>
      <c r="M81" s="290"/>
    </row>
    <row r="82" spans="2:13" x14ac:dyDescent="0.25">
      <c r="B82" s="312"/>
      <c r="C82" s="189"/>
      <c r="D82" s="320">
        <f>IFERROR(VLOOKUP(E82,'Master Data'!$E$59:$L$146,8,FALSE),0)</f>
        <v>0</v>
      </c>
      <c r="F82" s="321">
        <f>IFERROR(VLOOKUP(G82,'Master Data'!$C$233:$H$331,6,FALSE),0)</f>
        <v>0</v>
      </c>
      <c r="G82" s="322"/>
      <c r="H82" s="323"/>
      <c r="I82" s="332"/>
      <c r="M82" s="290"/>
    </row>
    <row r="83" spans="2:13" x14ac:dyDescent="0.25">
      <c r="B83" s="312"/>
      <c r="C83" s="189"/>
      <c r="D83" s="320">
        <f>IFERROR(VLOOKUP(E83,'Master Data'!$E$59:$L$146,8,FALSE),0)</f>
        <v>0</v>
      </c>
      <c r="F83" s="321">
        <f>IFERROR(VLOOKUP(G83,'Master Data'!$C$233:$H$331,6,FALSE),0)</f>
        <v>0</v>
      </c>
      <c r="G83" s="322"/>
      <c r="H83" s="323"/>
      <c r="I83" s="332"/>
      <c r="M83" s="290"/>
    </row>
    <row r="84" spans="2:13" ht="15.75" thickBot="1" x14ac:dyDescent="0.3">
      <c r="B84" s="324"/>
      <c r="C84" s="325"/>
      <c r="D84" s="326">
        <f>IFERROR(VLOOKUP(E84,'Master Data'!$E$59:$L$146,8,FALSE),0)</f>
        <v>0</v>
      </c>
      <c r="E84" s="327"/>
      <c r="F84" s="328">
        <f>IFERROR(VLOOKUP(G84,'Master Data'!$C$233:$H$331,6,FALSE),0)</f>
        <v>0</v>
      </c>
      <c r="G84" s="329"/>
      <c r="H84" s="330"/>
      <c r="I84" s="332"/>
      <c r="M84" s="290"/>
    </row>
  </sheetData>
  <sheetProtection autoFilter="0"/>
  <autoFilter ref="B3:G70" xr:uid="{00000000-0009-0000-0000-000004000000}"/>
  <mergeCells count="5">
    <mergeCell ref="I59:I60"/>
    <mergeCell ref="B2:H2"/>
    <mergeCell ref="B59:H59"/>
    <mergeCell ref="B73:H73"/>
    <mergeCell ref="I73:I74"/>
  </mergeCells>
  <conditionalFormatting sqref="C4:C55">
    <cfRule type="duplicateValues" dxfId="1" priority="1"/>
  </conditionalFormatting>
  <pageMargins left="0.7" right="0.7" top="0.75" bottom="0.75" header="0.3" footer="0.3"/>
  <pageSetup orientation="portrait" r:id="rId1"/>
  <ignoredErrors>
    <ignoredError sqref="D61:D62 B71:H74 B63:E70 H70 B85:H85 B75:D75 H75 B76:E84 H84 H63:H69 F61:F70 H76 H77:H83 F75:F84"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63EFC8F7-DA5A-4CE0-ACA9-3E5B09367008}">
          <x14:formula1>
            <xm:f>'Master Data'!$E$105:$E$111</xm:f>
          </x14:formula1>
          <xm:sqref>E61:E70 E75:E84</xm:sqref>
        </x14:dataValidation>
        <x14:dataValidation type="list" allowBlank="1" showInputMessage="1" showErrorMessage="1" xr:uid="{11BC705A-41CE-4D55-89D6-68FB45CFE6E0}">
          <x14:formula1>
            <xm:f>'Master Data'!$C$233:$C$331</xm:f>
          </x14:formula1>
          <xm:sqref>G61:G70 G75:G84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D7365-3834-493F-A008-64964EFB9794}">
  <dimension ref="B2:L373"/>
  <sheetViews>
    <sheetView zoomScale="80" zoomScaleNormal="80" workbookViewId="0">
      <selection activeCell="E22" sqref="E22"/>
    </sheetView>
  </sheetViews>
  <sheetFormatPr defaultColWidth="9.140625" defaultRowHeight="15" outlineLevelRow="1" x14ac:dyDescent="0.25"/>
  <cols>
    <col min="1" max="1" width="4.140625" style="158" customWidth="1"/>
    <col min="2" max="2" width="26.5703125" style="158" bestFit="1" customWidth="1"/>
    <col min="3" max="3" width="35.42578125" style="158" bestFit="1" customWidth="1"/>
    <col min="4" max="4" width="39.5703125" style="158" customWidth="1"/>
    <col min="5" max="5" width="43.7109375" style="158" customWidth="1"/>
    <col min="6" max="6" width="30.28515625" style="158" bestFit="1" customWidth="1"/>
    <col min="7" max="7" width="3.42578125" style="158" customWidth="1"/>
    <col min="8" max="8" width="20.42578125" style="164" customWidth="1"/>
    <col min="9" max="9" width="27.5703125" style="164" customWidth="1"/>
    <col min="10" max="10" width="32.85546875" style="158" bestFit="1" customWidth="1"/>
    <col min="11" max="11" width="9.140625" style="158"/>
    <col min="12" max="12" width="16.5703125" style="158" customWidth="1"/>
    <col min="13" max="14" width="9.140625" style="158"/>
    <col min="15" max="15" width="30.85546875" style="158" bestFit="1" customWidth="1"/>
    <col min="16" max="16" width="25.85546875" style="158" bestFit="1" customWidth="1"/>
    <col min="17" max="16384" width="9.140625" style="158"/>
  </cols>
  <sheetData>
    <row r="2" spans="2:9" s="156" customFormat="1" x14ac:dyDescent="0.25">
      <c r="B2" s="155" t="s">
        <v>234</v>
      </c>
      <c r="H2" s="167"/>
      <c r="I2" s="167"/>
    </row>
    <row r="4" spans="2:9" outlineLevel="1" x14ac:dyDescent="0.25">
      <c r="B4" s="157" t="s">
        <v>234</v>
      </c>
      <c r="C4" s="157" t="s">
        <v>249</v>
      </c>
    </row>
    <row r="5" spans="2:9" outlineLevel="1" x14ac:dyDescent="0.25">
      <c r="B5" s="159" t="s">
        <v>904</v>
      </c>
      <c r="C5" s="159" t="s">
        <v>679</v>
      </c>
    </row>
    <row r="6" spans="2:9" outlineLevel="1" x14ac:dyDescent="0.25">
      <c r="B6" s="159" t="s">
        <v>905</v>
      </c>
      <c r="C6" s="159" t="s">
        <v>681</v>
      </c>
    </row>
    <row r="7" spans="2:9" outlineLevel="1" x14ac:dyDescent="0.25">
      <c r="B7" s="159" t="s">
        <v>837</v>
      </c>
      <c r="C7" s="159" t="s">
        <v>1425</v>
      </c>
    </row>
    <row r="8" spans="2:9" outlineLevel="1" x14ac:dyDescent="0.25">
      <c r="B8" s="159" t="s">
        <v>22</v>
      </c>
      <c r="C8" s="159" t="s">
        <v>22</v>
      </c>
    </row>
    <row r="9" spans="2:9" outlineLevel="1" x14ac:dyDescent="0.25">
      <c r="B9" s="159" t="s">
        <v>583</v>
      </c>
      <c r="C9" s="159" t="s">
        <v>583</v>
      </c>
    </row>
    <row r="10" spans="2:9" outlineLevel="1" x14ac:dyDescent="0.25">
      <c r="B10" s="159" t="s">
        <v>794</v>
      </c>
      <c r="C10" s="159" t="s">
        <v>794</v>
      </c>
    </row>
    <row r="11" spans="2:9" outlineLevel="1" x14ac:dyDescent="0.25">
      <c r="B11" s="159" t="s">
        <v>1519</v>
      </c>
      <c r="C11" s="159" t="s">
        <v>1519</v>
      </c>
    </row>
    <row r="12" spans="2:9" outlineLevel="1" x14ac:dyDescent="0.25">
      <c r="B12" s="159" t="s">
        <v>1520</v>
      </c>
      <c r="C12" s="159" t="s">
        <v>1520</v>
      </c>
    </row>
    <row r="13" spans="2:9" outlineLevel="1" x14ac:dyDescent="0.25">
      <c r="B13" s="159" t="s">
        <v>237</v>
      </c>
      <c r="C13" s="159" t="s">
        <v>31</v>
      </c>
    </row>
    <row r="14" spans="2:9" outlineLevel="1" x14ac:dyDescent="0.25">
      <c r="B14" s="159" t="s">
        <v>585</v>
      </c>
      <c r="C14" s="159" t="s">
        <v>299</v>
      </c>
    </row>
    <row r="15" spans="2:9" outlineLevel="1" x14ac:dyDescent="0.25">
      <c r="B15" s="159" t="s">
        <v>239</v>
      </c>
      <c r="C15" s="159" t="s">
        <v>247</v>
      </c>
    </row>
    <row r="16" spans="2:9" outlineLevel="1" x14ac:dyDescent="0.25">
      <c r="B16"/>
    </row>
    <row r="17" spans="2:9" s="156" customFormat="1" x14ac:dyDescent="0.25">
      <c r="B17" s="155" t="s">
        <v>337</v>
      </c>
      <c r="H17" s="167"/>
      <c r="I17" s="167"/>
    </row>
    <row r="18" spans="2:9" x14ac:dyDescent="0.25">
      <c r="B18"/>
    </row>
    <row r="19" spans="2:9" outlineLevel="1" x14ac:dyDescent="0.25">
      <c r="B19" s="95" t="s">
        <v>842</v>
      </c>
      <c r="C19" s="95" t="s">
        <v>337</v>
      </c>
    </row>
    <row r="20" spans="2:9" outlineLevel="1" x14ac:dyDescent="0.25">
      <c r="B20" s="99" t="s">
        <v>904</v>
      </c>
      <c r="C20" s="99" t="s">
        <v>678</v>
      </c>
    </row>
    <row r="21" spans="2:9" outlineLevel="1" x14ac:dyDescent="0.25">
      <c r="B21" s="99" t="s">
        <v>904</v>
      </c>
      <c r="C21" s="99" t="s">
        <v>674</v>
      </c>
    </row>
    <row r="22" spans="2:9" outlineLevel="1" x14ac:dyDescent="0.25">
      <c r="B22" s="99" t="s">
        <v>904</v>
      </c>
      <c r="C22" s="99" t="s">
        <v>675</v>
      </c>
    </row>
    <row r="23" spans="2:9" outlineLevel="1" x14ac:dyDescent="0.25">
      <c r="B23" s="99" t="s">
        <v>905</v>
      </c>
      <c r="C23" s="99" t="s">
        <v>835</v>
      </c>
    </row>
    <row r="24" spans="2:9" outlineLevel="1" x14ac:dyDescent="0.25">
      <c r="B24" s="99" t="s">
        <v>905</v>
      </c>
      <c r="C24" s="99" t="s">
        <v>836</v>
      </c>
    </row>
    <row r="25" spans="2:9" outlineLevel="1" x14ac:dyDescent="0.25">
      <c r="B25" s="99" t="s">
        <v>905</v>
      </c>
      <c r="C25" s="99" t="s">
        <v>640</v>
      </c>
    </row>
    <row r="26" spans="2:9" outlineLevel="1" x14ac:dyDescent="0.25">
      <c r="B26" s="99" t="s">
        <v>905</v>
      </c>
      <c r="C26" s="99" t="s">
        <v>737</v>
      </c>
    </row>
    <row r="27" spans="2:9" outlineLevel="1" x14ac:dyDescent="0.25">
      <c r="B27" s="99" t="s">
        <v>905</v>
      </c>
      <c r="C27" s="99" t="s">
        <v>680</v>
      </c>
    </row>
    <row r="28" spans="2:9" outlineLevel="1" x14ac:dyDescent="0.25">
      <c r="B28" s="100" t="s">
        <v>837</v>
      </c>
      <c r="C28" s="100" t="s">
        <v>30</v>
      </c>
    </row>
    <row r="29" spans="2:9" outlineLevel="1" x14ac:dyDescent="0.25">
      <c r="B29" s="100" t="s">
        <v>837</v>
      </c>
      <c r="C29" s="100" t="s">
        <v>29</v>
      </c>
    </row>
    <row r="30" spans="2:9" outlineLevel="1" x14ac:dyDescent="0.25">
      <c r="B30" s="100" t="s">
        <v>22</v>
      </c>
      <c r="C30" s="100" t="s">
        <v>291</v>
      </c>
    </row>
    <row r="31" spans="2:9" outlineLevel="1" x14ac:dyDescent="0.25">
      <c r="B31" s="100" t="str">
        <f>B30</f>
        <v>HSE</v>
      </c>
      <c r="C31" s="100" t="s">
        <v>292</v>
      </c>
    </row>
    <row r="32" spans="2:9" outlineLevel="1" x14ac:dyDescent="0.25">
      <c r="B32" s="100" t="s">
        <v>583</v>
      </c>
      <c r="C32" s="100" t="s">
        <v>236</v>
      </c>
    </row>
    <row r="33" spans="2:3" outlineLevel="1" x14ac:dyDescent="0.25">
      <c r="B33" s="100" t="s">
        <v>583</v>
      </c>
      <c r="C33" s="100" t="s">
        <v>32</v>
      </c>
    </row>
    <row r="34" spans="2:3" outlineLevel="1" x14ac:dyDescent="0.25">
      <c r="B34" s="100" t="s">
        <v>794</v>
      </c>
      <c r="C34" s="100" t="s">
        <v>245</v>
      </c>
    </row>
    <row r="35" spans="2:3" outlineLevel="1" x14ac:dyDescent="0.25">
      <c r="B35" s="100" t="s">
        <v>794</v>
      </c>
      <c r="C35" s="100" t="s">
        <v>24</v>
      </c>
    </row>
    <row r="36" spans="2:3" outlineLevel="1" x14ac:dyDescent="0.25">
      <c r="B36" s="100" t="s">
        <v>794</v>
      </c>
      <c r="C36" s="100" t="s">
        <v>19</v>
      </c>
    </row>
    <row r="37" spans="2:3" outlineLevel="1" x14ac:dyDescent="0.25">
      <c r="B37" s="100" t="s">
        <v>794</v>
      </c>
      <c r="C37" s="100" t="s">
        <v>20</v>
      </c>
    </row>
    <row r="38" spans="2:3" outlineLevel="1" x14ac:dyDescent="0.25">
      <c r="B38" s="100" t="s">
        <v>794</v>
      </c>
      <c r="C38" s="100" t="s">
        <v>1526</v>
      </c>
    </row>
    <row r="39" spans="2:3" outlineLevel="1" x14ac:dyDescent="0.25">
      <c r="B39" s="100" t="s">
        <v>794</v>
      </c>
      <c r="C39" s="100" t="s">
        <v>1542</v>
      </c>
    </row>
    <row r="40" spans="2:3" outlineLevel="1" x14ac:dyDescent="0.25">
      <c r="B40" s="100" t="s">
        <v>1519</v>
      </c>
      <c r="C40" s="100" t="s">
        <v>1435</v>
      </c>
    </row>
    <row r="41" spans="2:3" outlineLevel="1" x14ac:dyDescent="0.25">
      <c r="B41" s="100" t="s">
        <v>1519</v>
      </c>
      <c r="C41" s="100" t="s">
        <v>1521</v>
      </c>
    </row>
    <row r="42" spans="2:3" outlineLevel="1" x14ac:dyDescent="0.25">
      <c r="B42" s="100" t="s">
        <v>1519</v>
      </c>
      <c r="C42" s="100" t="s">
        <v>1522</v>
      </c>
    </row>
    <row r="43" spans="2:3" outlineLevel="1" x14ac:dyDescent="0.25">
      <c r="B43" s="100" t="s">
        <v>1520</v>
      </c>
      <c r="C43" s="100" t="s">
        <v>325</v>
      </c>
    </row>
    <row r="44" spans="2:3" outlineLevel="1" x14ac:dyDescent="0.25">
      <c r="B44" s="100" t="s">
        <v>1520</v>
      </c>
      <c r="C44" s="100" t="s">
        <v>588</v>
      </c>
    </row>
    <row r="45" spans="2:3" outlineLevel="1" x14ac:dyDescent="0.25">
      <c r="B45" s="100" t="s">
        <v>237</v>
      </c>
      <c r="C45" s="100" t="s">
        <v>1555</v>
      </c>
    </row>
    <row r="46" spans="2:3" outlineLevel="1" x14ac:dyDescent="0.25">
      <c r="B46" s="100" t="s">
        <v>237</v>
      </c>
      <c r="C46" s="100" t="s">
        <v>843</v>
      </c>
    </row>
    <row r="47" spans="2:3" outlineLevel="1" x14ac:dyDescent="0.25">
      <c r="B47" s="100" t="s">
        <v>237</v>
      </c>
      <c r="C47" s="100" t="s">
        <v>1556</v>
      </c>
    </row>
    <row r="48" spans="2:3" outlineLevel="1" x14ac:dyDescent="0.25">
      <c r="B48" s="100" t="s">
        <v>585</v>
      </c>
      <c r="C48" s="100" t="s">
        <v>1467</v>
      </c>
    </row>
    <row r="49" spans="2:12" outlineLevel="1" x14ac:dyDescent="0.25">
      <c r="B49" s="100" t="s">
        <v>585</v>
      </c>
      <c r="C49" s="100" t="s">
        <v>26</v>
      </c>
    </row>
    <row r="50" spans="2:12" outlineLevel="1" x14ac:dyDescent="0.25">
      <c r="B50" s="100" t="s">
        <v>585</v>
      </c>
      <c r="C50" s="100" t="s">
        <v>27</v>
      </c>
    </row>
    <row r="51" spans="2:12" outlineLevel="1" x14ac:dyDescent="0.25">
      <c r="B51" s="100" t="s">
        <v>585</v>
      </c>
      <c r="C51" s="100" t="s">
        <v>28</v>
      </c>
    </row>
    <row r="52" spans="2:12" outlineLevel="1" x14ac:dyDescent="0.25">
      <c r="B52" s="101" t="s">
        <v>239</v>
      </c>
      <c r="C52" s="100" t="s">
        <v>586</v>
      </c>
    </row>
    <row r="53" spans="2:12" outlineLevel="1" x14ac:dyDescent="0.25">
      <c r="B53" s="100" t="s">
        <v>239</v>
      </c>
      <c r="C53" s="100" t="s">
        <v>34</v>
      </c>
    </row>
    <row r="54" spans="2:12" outlineLevel="1" x14ac:dyDescent="0.25">
      <c r="B54" s="100" t="s">
        <v>239</v>
      </c>
      <c r="C54" s="100" t="s">
        <v>35</v>
      </c>
    </row>
    <row r="55" spans="2:12" outlineLevel="1" x14ac:dyDescent="0.25"/>
    <row r="56" spans="2:12" s="156" customFormat="1" x14ac:dyDescent="0.25">
      <c r="B56" s="155" t="s">
        <v>1426</v>
      </c>
      <c r="H56" s="168"/>
      <c r="I56" s="168"/>
    </row>
    <row r="58" spans="2:12" outlineLevel="1" x14ac:dyDescent="0.25">
      <c r="B58" s="157" t="s">
        <v>234</v>
      </c>
      <c r="C58" s="157" t="s">
        <v>337</v>
      </c>
      <c r="D58" s="157" t="s">
        <v>1427</v>
      </c>
      <c r="E58" s="157" t="s">
        <v>1428</v>
      </c>
      <c r="H58" s="157" t="s">
        <v>1501</v>
      </c>
      <c r="I58" s="157" t="s">
        <v>1502</v>
      </c>
      <c r="J58" s="157" t="s">
        <v>337</v>
      </c>
      <c r="L58" s="157" t="s">
        <v>1427</v>
      </c>
    </row>
    <row r="59" spans="2:12" outlineLevel="1" x14ac:dyDescent="0.25">
      <c r="B59" s="159" t="s">
        <v>1464</v>
      </c>
      <c r="C59" s="159" t="s">
        <v>1464</v>
      </c>
      <c r="D59" s="159" t="s">
        <v>605</v>
      </c>
      <c r="E59" s="159" t="s">
        <v>606</v>
      </c>
      <c r="H59" s="171" t="s">
        <v>1464</v>
      </c>
      <c r="I59" s="171" t="str">
        <f>IF(MID(D59,6,2)="PP",_xlfn.CONCAT(H59,RIGHT(D59,2)),IF(MID(D59,6,2)="SU",RIGHT(D59,5),_xlfn.CONCAT(H59,"01",RIGHT(D59,1))))</f>
        <v>SMS01</v>
      </c>
      <c r="J59" s="159" t="str">
        <f>C59</f>
        <v>SMS</v>
      </c>
      <c r="L59" s="159" t="str">
        <f>D59</f>
        <v>10101PP001</v>
      </c>
    </row>
    <row r="60" spans="2:12" outlineLevel="1" x14ac:dyDescent="0.25">
      <c r="B60" s="159" t="s">
        <v>1464</v>
      </c>
      <c r="C60" s="159" t="s">
        <v>1464</v>
      </c>
      <c r="D60" s="159" t="s">
        <v>607</v>
      </c>
      <c r="E60" s="159" t="s">
        <v>608</v>
      </c>
      <c r="H60" s="171" t="s">
        <v>1464</v>
      </c>
      <c r="I60" s="171" t="str">
        <f t="shared" ref="I60:I84" si="0">IF(MID(D60,6,2)="PP",_xlfn.CONCAT(H60,RIGHT(D60,2)),IF(MID(D60,6,2)="SU",RIGHT(D60,5),_xlfn.CONCAT(H60,"01",RIGHT(D60,1))))</f>
        <v>SMS02</v>
      </c>
      <c r="J60" s="159" t="str">
        <f t="shared" ref="J60:J84" si="1">C60</f>
        <v>SMS</v>
      </c>
      <c r="L60" s="159" t="str">
        <f t="shared" ref="L60:L84" si="2">D60</f>
        <v>10101PP002</v>
      </c>
    </row>
    <row r="61" spans="2:12" outlineLevel="1" x14ac:dyDescent="0.25">
      <c r="B61" s="159" t="s">
        <v>1464</v>
      </c>
      <c r="C61" s="159" t="s">
        <v>1464</v>
      </c>
      <c r="D61" s="159" t="s">
        <v>609</v>
      </c>
      <c r="E61" s="159" t="s">
        <v>610</v>
      </c>
      <c r="H61" s="171" t="s">
        <v>1464</v>
      </c>
      <c r="I61" s="171" t="str">
        <f t="shared" si="0"/>
        <v>SMS03</v>
      </c>
      <c r="J61" s="159" t="str">
        <f t="shared" si="1"/>
        <v>SMS</v>
      </c>
      <c r="L61" s="159" t="str">
        <f t="shared" si="2"/>
        <v>10101PP003</v>
      </c>
    </row>
    <row r="62" spans="2:12" outlineLevel="1" x14ac:dyDescent="0.25">
      <c r="B62" s="159" t="s">
        <v>1464</v>
      </c>
      <c r="C62" s="159" t="s">
        <v>1464</v>
      </c>
      <c r="D62" s="159" t="s">
        <v>611</v>
      </c>
      <c r="E62" s="159" t="s">
        <v>612</v>
      </c>
      <c r="H62" s="171" t="s">
        <v>1464</v>
      </c>
      <c r="I62" s="171" t="str">
        <f t="shared" si="0"/>
        <v>SMS04</v>
      </c>
      <c r="J62" s="159" t="str">
        <f t="shared" si="1"/>
        <v>SMS</v>
      </c>
      <c r="L62" s="159" t="str">
        <f t="shared" si="2"/>
        <v>10101PP004</v>
      </c>
    </row>
    <row r="63" spans="2:12" outlineLevel="1" x14ac:dyDescent="0.25">
      <c r="B63" s="159" t="s">
        <v>1464</v>
      </c>
      <c r="C63" s="159" t="s">
        <v>1464</v>
      </c>
      <c r="D63" s="159" t="s">
        <v>613</v>
      </c>
      <c r="E63" s="159" t="s">
        <v>614</v>
      </c>
      <c r="H63" s="171" t="s">
        <v>1464</v>
      </c>
      <c r="I63" s="171" t="str">
        <f t="shared" si="0"/>
        <v>SMS05</v>
      </c>
      <c r="J63" s="159" t="str">
        <f t="shared" si="1"/>
        <v>SMS</v>
      </c>
      <c r="L63" s="159" t="str">
        <f t="shared" si="2"/>
        <v>10101PP005</v>
      </c>
    </row>
    <row r="64" spans="2:12" outlineLevel="1" x14ac:dyDescent="0.25">
      <c r="B64" s="159" t="s">
        <v>1464</v>
      </c>
      <c r="C64" s="159" t="s">
        <v>1464</v>
      </c>
      <c r="D64" s="159" t="s">
        <v>615</v>
      </c>
      <c r="E64" s="159" t="s">
        <v>616</v>
      </c>
      <c r="H64" s="171" t="s">
        <v>1464</v>
      </c>
      <c r="I64" s="171" t="str">
        <f t="shared" si="0"/>
        <v>SMS06</v>
      </c>
      <c r="J64" s="159" t="str">
        <f t="shared" si="1"/>
        <v>SMS</v>
      </c>
      <c r="L64" s="159" t="str">
        <f t="shared" si="2"/>
        <v>10101PP006</v>
      </c>
    </row>
    <row r="65" spans="2:12" outlineLevel="1" x14ac:dyDescent="0.25">
      <c r="B65" s="159" t="s">
        <v>1464</v>
      </c>
      <c r="C65" s="159" t="s">
        <v>1464</v>
      </c>
      <c r="D65" s="159" t="s">
        <v>617</v>
      </c>
      <c r="E65" s="159" t="s">
        <v>618</v>
      </c>
      <c r="H65" s="171" t="s">
        <v>1464</v>
      </c>
      <c r="I65" s="171" t="str">
        <f t="shared" si="0"/>
        <v>SMS07</v>
      </c>
      <c r="J65" s="159" t="str">
        <f t="shared" si="1"/>
        <v>SMS</v>
      </c>
      <c r="L65" s="159" t="str">
        <f t="shared" si="2"/>
        <v>10101PP007</v>
      </c>
    </row>
    <row r="66" spans="2:12" outlineLevel="1" x14ac:dyDescent="0.25">
      <c r="B66" s="159" t="s">
        <v>1479</v>
      </c>
      <c r="C66" s="159" t="s">
        <v>1479</v>
      </c>
      <c r="D66" s="159" t="s">
        <v>619</v>
      </c>
      <c r="E66" s="159" t="s">
        <v>1434</v>
      </c>
      <c r="H66" s="171" t="s">
        <v>1464</v>
      </c>
      <c r="I66" s="171" t="str">
        <f>IF(MID(D66,6,2)="PP",_xlfn.CONCAT(H66,RIGHT(D66,2)),IF(MID(D66,6,2)="SU",RIGHT(D66,5),_xlfn.CONCAT(H66,"1",RIGHT(D66,1))))</f>
        <v>SMS11</v>
      </c>
      <c r="J66" s="159" t="str">
        <f t="shared" si="1"/>
        <v>ELECTRICAL</v>
      </c>
      <c r="L66" s="159" t="str">
        <f t="shared" si="2"/>
        <v>10101PS001</v>
      </c>
    </row>
    <row r="67" spans="2:12" outlineLevel="1" x14ac:dyDescent="0.25">
      <c r="B67" s="159" t="s">
        <v>1483</v>
      </c>
      <c r="C67" s="159" t="s">
        <v>1483</v>
      </c>
      <c r="D67" s="159" t="s">
        <v>620</v>
      </c>
      <c r="E67" s="159" t="s">
        <v>1436</v>
      </c>
      <c r="H67" s="171" t="s">
        <v>1464</v>
      </c>
      <c r="I67" s="171" t="str">
        <f t="shared" ref="I67:I73" si="3">IF(MID(D67,6,2)="PP",_xlfn.CONCAT(H67,RIGHT(D67,2)),IF(MID(D67,6,2)="SU",RIGHT(D67,5),_xlfn.CONCAT(H67,"1",RIGHT(D67,1))))</f>
        <v>SMS12</v>
      </c>
      <c r="J67" s="159" t="str">
        <f t="shared" si="1"/>
        <v>MECHANICAL</v>
      </c>
      <c r="L67" s="159" t="str">
        <f t="shared" si="2"/>
        <v>10101PS002</v>
      </c>
    </row>
    <row r="68" spans="2:12" outlineLevel="1" x14ac:dyDescent="0.25">
      <c r="B68" s="159" t="s">
        <v>640</v>
      </c>
      <c r="C68" s="159" t="s">
        <v>640</v>
      </c>
      <c r="D68" s="159" t="s">
        <v>621</v>
      </c>
      <c r="E68" s="159" t="s">
        <v>1438</v>
      </c>
      <c r="H68" s="171" t="s">
        <v>1464</v>
      </c>
      <c r="I68" s="171" t="str">
        <f t="shared" si="3"/>
        <v>SMS13</v>
      </c>
      <c r="J68" s="159" t="str">
        <f t="shared" si="1"/>
        <v>PPIC</v>
      </c>
      <c r="L68" s="159" t="str">
        <f t="shared" si="2"/>
        <v>10101PS003</v>
      </c>
    </row>
    <row r="69" spans="2:12" outlineLevel="1" x14ac:dyDescent="0.25">
      <c r="B69" s="159" t="s">
        <v>737</v>
      </c>
      <c r="C69" s="159" t="s">
        <v>737</v>
      </c>
      <c r="D69" s="159" t="s">
        <v>622</v>
      </c>
      <c r="E69" s="159" t="s">
        <v>1439</v>
      </c>
      <c r="H69" s="171" t="s">
        <v>1464</v>
      </c>
      <c r="I69" s="171" t="str">
        <f t="shared" si="3"/>
        <v>SMS14</v>
      </c>
      <c r="J69" s="159" t="str">
        <f t="shared" si="1"/>
        <v>QAQC</v>
      </c>
      <c r="L69" s="159" t="str">
        <f t="shared" si="2"/>
        <v>10101PS004</v>
      </c>
    </row>
    <row r="70" spans="2:12" outlineLevel="1" x14ac:dyDescent="0.25">
      <c r="B70" s="159" t="s">
        <v>1464</v>
      </c>
      <c r="C70" s="159" t="s">
        <v>1464</v>
      </c>
      <c r="D70" s="159" t="s">
        <v>623</v>
      </c>
      <c r="E70" s="159" t="s">
        <v>1440</v>
      </c>
      <c r="H70" s="171" t="s">
        <v>1464</v>
      </c>
      <c r="I70" s="171" t="str">
        <f t="shared" si="3"/>
        <v>SMS15</v>
      </c>
      <c r="J70" s="159" t="str">
        <f t="shared" si="1"/>
        <v>SMS</v>
      </c>
      <c r="L70" s="159" t="str">
        <f t="shared" si="2"/>
        <v>10101PS005</v>
      </c>
    </row>
    <row r="71" spans="2:12" outlineLevel="1" x14ac:dyDescent="0.25">
      <c r="B71" s="159" t="s">
        <v>1464</v>
      </c>
      <c r="C71" s="159" t="s">
        <v>1464</v>
      </c>
      <c r="D71" s="159" t="s">
        <v>624</v>
      </c>
      <c r="E71" s="159" t="s">
        <v>1441</v>
      </c>
      <c r="H71" s="171" t="s">
        <v>1464</v>
      </c>
      <c r="I71" s="171" t="str">
        <f t="shared" si="3"/>
        <v>SMS16</v>
      </c>
      <c r="J71" s="159" t="str">
        <f t="shared" si="1"/>
        <v>SMS</v>
      </c>
      <c r="L71" s="159" t="str">
        <f t="shared" si="2"/>
        <v>10101PS006</v>
      </c>
    </row>
    <row r="72" spans="2:12" outlineLevel="1" x14ac:dyDescent="0.25">
      <c r="B72" s="159" t="s">
        <v>1464</v>
      </c>
      <c r="C72" s="159" t="s">
        <v>1464</v>
      </c>
      <c r="D72" s="159" t="s">
        <v>625</v>
      </c>
      <c r="E72" s="159" t="s">
        <v>1442</v>
      </c>
      <c r="H72" s="171" t="s">
        <v>1464</v>
      </c>
      <c r="I72" s="171" t="str">
        <f t="shared" si="3"/>
        <v>SMS17</v>
      </c>
      <c r="J72" s="159" t="str">
        <f t="shared" si="1"/>
        <v>SMS</v>
      </c>
      <c r="L72" s="159" t="str">
        <f t="shared" si="2"/>
        <v>10101PS007</v>
      </c>
    </row>
    <row r="73" spans="2:12" outlineLevel="1" x14ac:dyDescent="0.25">
      <c r="B73" s="159" t="s">
        <v>1464</v>
      </c>
      <c r="C73" s="159" t="s">
        <v>1464</v>
      </c>
      <c r="D73" s="159" t="s">
        <v>626</v>
      </c>
      <c r="E73" s="159" t="s">
        <v>1443</v>
      </c>
      <c r="H73" s="171" t="s">
        <v>1464</v>
      </c>
      <c r="I73" s="171" t="str">
        <f t="shared" si="3"/>
        <v>SMS18</v>
      </c>
      <c r="J73" s="159" t="str">
        <f t="shared" si="1"/>
        <v>SMS</v>
      </c>
      <c r="L73" s="159" t="str">
        <f t="shared" si="2"/>
        <v>10101PS008</v>
      </c>
    </row>
    <row r="74" spans="2:12" outlineLevel="1" x14ac:dyDescent="0.25">
      <c r="B74" s="159" t="s">
        <v>678</v>
      </c>
      <c r="C74" s="159" t="s">
        <v>678</v>
      </c>
      <c r="D74" s="159" t="s">
        <v>627</v>
      </c>
      <c r="E74" s="159" t="s">
        <v>628</v>
      </c>
      <c r="H74" s="171" t="s">
        <v>678</v>
      </c>
      <c r="I74" s="171" t="str">
        <f>IF(MID(D74,6,2)="PP",_xlfn.CONCAT(H74,RIGHT(D74,3)),IF(MID(D74,6,2)="SU",RIGHT(D74,5),_xlfn.CONCAT(H74,"01",RIGHT(D74,1))))</f>
        <v>BP001</v>
      </c>
      <c r="J74" s="159" t="str">
        <f t="shared" si="1"/>
        <v>BP</v>
      </c>
      <c r="L74" s="159" t="str">
        <f t="shared" si="2"/>
        <v>10103PP001</v>
      </c>
    </row>
    <row r="75" spans="2:12" outlineLevel="1" x14ac:dyDescent="0.25">
      <c r="B75" s="159" t="s">
        <v>678</v>
      </c>
      <c r="C75" s="159" t="s">
        <v>678</v>
      </c>
      <c r="D75" s="159" t="s">
        <v>629</v>
      </c>
      <c r="E75" s="159" t="s">
        <v>630</v>
      </c>
      <c r="H75" s="171" t="s">
        <v>678</v>
      </c>
      <c r="I75" s="171" t="str">
        <f t="shared" ref="I75:I76" si="4">IF(MID(D75,6,2)="PP",_xlfn.CONCAT(H75,RIGHT(D75,3)),IF(MID(D75,6,2)="SU",RIGHT(D75,5),_xlfn.CONCAT(H75,"01",RIGHT(D75,1))))</f>
        <v>BP009</v>
      </c>
      <c r="J75" s="159" t="str">
        <f t="shared" si="1"/>
        <v>BP</v>
      </c>
      <c r="L75" s="159" t="str">
        <f t="shared" si="2"/>
        <v>10103PP009</v>
      </c>
    </row>
    <row r="76" spans="2:12" outlineLevel="1" x14ac:dyDescent="0.25">
      <c r="B76" s="159" t="s">
        <v>678</v>
      </c>
      <c r="C76" s="159" t="s">
        <v>678</v>
      </c>
      <c r="D76" s="159" t="s">
        <v>631</v>
      </c>
      <c r="E76" s="159" t="s">
        <v>632</v>
      </c>
      <c r="H76" s="171" t="s">
        <v>678</v>
      </c>
      <c r="I76" s="171" t="str">
        <f t="shared" si="4"/>
        <v>BP010</v>
      </c>
      <c r="J76" s="159" t="str">
        <f t="shared" si="1"/>
        <v>BP</v>
      </c>
      <c r="L76" s="159" t="str">
        <f t="shared" si="2"/>
        <v>10103PP010</v>
      </c>
    </row>
    <row r="77" spans="2:12" outlineLevel="1" x14ac:dyDescent="0.25">
      <c r="B77" s="159" t="s">
        <v>1479</v>
      </c>
      <c r="C77" s="159" t="s">
        <v>1479</v>
      </c>
      <c r="D77" s="159" t="s">
        <v>633</v>
      </c>
      <c r="E77" s="159" t="s">
        <v>1444</v>
      </c>
      <c r="H77" s="171" t="s">
        <v>678</v>
      </c>
      <c r="I77" s="171" t="str">
        <f>IF(MID(D77,6,2)="PP",_xlfn.CONCAT(H77,RIGHT(D77,2)),IF(MID(D77,6,2)="SU",RIGHT(D77,5),_xlfn.CONCAT(H77,"01",RIGHT(D77,1))))</f>
        <v>BP011</v>
      </c>
      <c r="J77" s="159" t="str">
        <f t="shared" si="1"/>
        <v>ELECTRICAL</v>
      </c>
      <c r="L77" s="159" t="str">
        <f t="shared" si="2"/>
        <v>10103PS001</v>
      </c>
    </row>
    <row r="78" spans="2:12" outlineLevel="1" x14ac:dyDescent="0.25">
      <c r="B78" s="159" t="s">
        <v>1483</v>
      </c>
      <c r="C78" s="159" t="s">
        <v>1483</v>
      </c>
      <c r="D78" s="159" t="s">
        <v>634</v>
      </c>
      <c r="E78" s="159" t="s">
        <v>1445</v>
      </c>
      <c r="H78" s="171" t="s">
        <v>678</v>
      </c>
      <c r="I78" s="171" t="str">
        <f t="shared" si="0"/>
        <v>BP012</v>
      </c>
      <c r="J78" s="159" t="str">
        <f t="shared" si="1"/>
        <v>MECHANICAL</v>
      </c>
      <c r="L78" s="159" t="str">
        <f t="shared" si="2"/>
        <v>10103PS002</v>
      </c>
    </row>
    <row r="79" spans="2:12" outlineLevel="1" x14ac:dyDescent="0.25">
      <c r="B79" s="159" t="s">
        <v>640</v>
      </c>
      <c r="C79" s="159" t="s">
        <v>640</v>
      </c>
      <c r="D79" s="159" t="s">
        <v>635</v>
      </c>
      <c r="E79" s="159" t="s">
        <v>1446</v>
      </c>
      <c r="H79" s="171" t="s">
        <v>678</v>
      </c>
      <c r="I79" s="171" t="str">
        <f t="shared" si="0"/>
        <v>BP013</v>
      </c>
      <c r="J79" s="159" t="str">
        <f t="shared" si="1"/>
        <v>PPIC</v>
      </c>
      <c r="L79" s="159" t="str">
        <f t="shared" si="2"/>
        <v>10103PS003</v>
      </c>
    </row>
    <row r="80" spans="2:12" outlineLevel="1" x14ac:dyDescent="0.25">
      <c r="B80" s="159" t="s">
        <v>737</v>
      </c>
      <c r="C80" s="159" t="s">
        <v>737</v>
      </c>
      <c r="D80" s="159" t="s">
        <v>636</v>
      </c>
      <c r="E80" s="159" t="s">
        <v>1447</v>
      </c>
      <c r="H80" s="171" t="s">
        <v>678</v>
      </c>
      <c r="I80" s="171" t="str">
        <f t="shared" si="0"/>
        <v>BP014</v>
      </c>
      <c r="J80" s="159" t="str">
        <f t="shared" si="1"/>
        <v>QAQC</v>
      </c>
      <c r="L80" s="159" t="str">
        <f t="shared" si="2"/>
        <v>10103PS004</v>
      </c>
    </row>
    <row r="81" spans="2:12" outlineLevel="1" x14ac:dyDescent="0.25">
      <c r="B81" s="159" t="s">
        <v>678</v>
      </c>
      <c r="C81" s="159" t="s">
        <v>678</v>
      </c>
      <c r="D81" s="159" t="s">
        <v>637</v>
      </c>
      <c r="E81" s="159" t="s">
        <v>638</v>
      </c>
      <c r="H81" s="171" t="s">
        <v>678</v>
      </c>
      <c r="I81" s="171" t="str">
        <f t="shared" si="0"/>
        <v>BP016</v>
      </c>
      <c r="J81" s="159" t="str">
        <f t="shared" si="1"/>
        <v>BP</v>
      </c>
      <c r="L81" s="159" t="str">
        <f t="shared" si="2"/>
        <v>10103PS006</v>
      </c>
    </row>
    <row r="82" spans="2:12" outlineLevel="1" x14ac:dyDescent="0.25">
      <c r="B82" s="159" t="s">
        <v>246</v>
      </c>
      <c r="C82" s="159" t="s">
        <v>674</v>
      </c>
      <c r="D82" s="159" t="s">
        <v>597</v>
      </c>
      <c r="E82" s="159" t="s">
        <v>1448</v>
      </c>
      <c r="H82" s="171" t="s">
        <v>674</v>
      </c>
      <c r="I82" s="171" t="str">
        <f t="shared" si="0"/>
        <v>LSM01</v>
      </c>
      <c r="J82" s="159" t="str">
        <f t="shared" si="1"/>
        <v>LSM</v>
      </c>
      <c r="L82" s="159" t="str">
        <f t="shared" si="2"/>
        <v>10131PP001</v>
      </c>
    </row>
    <row r="83" spans="2:12" outlineLevel="1" x14ac:dyDescent="0.25">
      <c r="B83" s="159" t="s">
        <v>674</v>
      </c>
      <c r="C83" s="159" t="s">
        <v>674</v>
      </c>
      <c r="D83" s="159" t="s">
        <v>598</v>
      </c>
      <c r="E83" s="159" t="s">
        <v>1449</v>
      </c>
      <c r="H83" s="171" t="s">
        <v>674</v>
      </c>
      <c r="I83" s="171" t="str">
        <f t="shared" si="0"/>
        <v>LSM09</v>
      </c>
      <c r="J83" s="159" t="str">
        <f t="shared" si="1"/>
        <v>LSM</v>
      </c>
      <c r="L83" s="159" t="str">
        <f t="shared" si="2"/>
        <v>10131PP009</v>
      </c>
    </row>
    <row r="84" spans="2:12" outlineLevel="1" x14ac:dyDescent="0.25">
      <c r="B84" s="333" t="s">
        <v>674</v>
      </c>
      <c r="C84" s="333" t="s">
        <v>674</v>
      </c>
      <c r="D84" s="333" t="s">
        <v>599</v>
      </c>
      <c r="E84" s="333" t="s">
        <v>1516</v>
      </c>
      <c r="F84" s="158" t="s">
        <v>1518</v>
      </c>
      <c r="H84" s="171" t="s">
        <v>674</v>
      </c>
      <c r="I84" s="171" t="str">
        <f t="shared" si="0"/>
        <v>LSM10</v>
      </c>
      <c r="J84" s="159" t="str">
        <f t="shared" si="1"/>
        <v>LSM</v>
      </c>
      <c r="L84" s="159" t="str">
        <f t="shared" si="2"/>
        <v>10131PP010</v>
      </c>
    </row>
    <row r="85" spans="2:12" outlineLevel="1" x14ac:dyDescent="0.25">
      <c r="B85" s="159" t="s">
        <v>1479</v>
      </c>
      <c r="C85" s="159" t="s">
        <v>1479</v>
      </c>
      <c r="D85" s="159" t="s">
        <v>600</v>
      </c>
      <c r="E85" s="159" t="s">
        <v>1450</v>
      </c>
      <c r="H85" s="171" t="s">
        <v>674</v>
      </c>
      <c r="I85" s="171" t="str">
        <f>IF(MID(D85,6,2)="PP",_xlfn.CONCAT(H85,RIGHT(D85,2)),IF(MID(D85,6,2)="SU",RIGHT(D85,5),_xlfn.CONCAT(H85,"1",RIGHT(D85,1))))</f>
        <v>LSM11</v>
      </c>
      <c r="J85" s="159" t="str">
        <f t="shared" ref="J85:J125" si="5">C85</f>
        <v>ELECTRICAL</v>
      </c>
      <c r="L85" s="159" t="str">
        <f t="shared" ref="L85:L125" si="6">D85</f>
        <v>10131PS001</v>
      </c>
    </row>
    <row r="86" spans="2:12" outlineLevel="1" x14ac:dyDescent="0.25">
      <c r="B86" s="159" t="s">
        <v>1483</v>
      </c>
      <c r="C86" s="159" t="s">
        <v>1483</v>
      </c>
      <c r="D86" s="159" t="s">
        <v>601</v>
      </c>
      <c r="E86" s="159" t="s">
        <v>1451</v>
      </c>
      <c r="H86" s="171" t="s">
        <v>674</v>
      </c>
      <c r="I86" s="171" t="str">
        <f>IF(MID(D86,6,2)="PP",_xlfn.CONCAT(H86,RIGHT(D86,2)),IF(MID(D86,6,2)="SU",RIGHT(D86,5),_xlfn.CONCAT(H86,"1",RIGHT(D86,1))))</f>
        <v>LSM12</v>
      </c>
      <c r="J86" s="159" t="str">
        <f t="shared" si="5"/>
        <v>MECHANICAL</v>
      </c>
      <c r="L86" s="159" t="str">
        <f t="shared" si="6"/>
        <v>10131PS002</v>
      </c>
    </row>
    <row r="87" spans="2:12" outlineLevel="1" x14ac:dyDescent="0.25">
      <c r="B87" s="159" t="s">
        <v>640</v>
      </c>
      <c r="C87" s="159" t="s">
        <v>640</v>
      </c>
      <c r="D87" s="159" t="s">
        <v>602</v>
      </c>
      <c r="E87" s="159" t="s">
        <v>1452</v>
      </c>
      <c r="H87" s="171" t="s">
        <v>674</v>
      </c>
      <c r="I87" s="171" t="str">
        <f>IF(MID(D87,6,2)="PP",_xlfn.CONCAT(H87,RIGHT(D87,2)),IF(MID(D87,6,2)="SU",RIGHT(D87,5),_xlfn.CONCAT(H87,"1",RIGHT(D87,1))))</f>
        <v>LSM13</v>
      </c>
      <c r="J87" s="159" t="str">
        <f t="shared" si="5"/>
        <v>PPIC</v>
      </c>
      <c r="L87" s="159" t="str">
        <f t="shared" si="6"/>
        <v>10131PS003</v>
      </c>
    </row>
    <row r="88" spans="2:12" outlineLevel="1" x14ac:dyDescent="0.25">
      <c r="B88" s="159" t="s">
        <v>737</v>
      </c>
      <c r="C88" s="159" t="s">
        <v>737</v>
      </c>
      <c r="D88" s="159" t="s">
        <v>603</v>
      </c>
      <c r="E88" s="159" t="s">
        <v>1453</v>
      </c>
      <c r="H88" s="171" t="s">
        <v>674</v>
      </c>
      <c r="I88" s="171" t="str">
        <f>IF(MID(D88,6,2)="PP",_xlfn.CONCAT(H88,RIGHT(D88,2)),IF(MID(D88,6,2)="SU",RIGHT(D88,5),_xlfn.CONCAT(H88,"1",RIGHT(D88,1))))</f>
        <v>LSM14</v>
      </c>
      <c r="J88" s="159" t="str">
        <f t="shared" si="5"/>
        <v>QAQC</v>
      </c>
      <c r="L88" s="159" t="str">
        <f t="shared" si="6"/>
        <v>10131PS004</v>
      </c>
    </row>
    <row r="89" spans="2:12" outlineLevel="1" x14ac:dyDescent="0.25">
      <c r="B89" s="159" t="s">
        <v>674</v>
      </c>
      <c r="C89" s="159" t="s">
        <v>674</v>
      </c>
      <c r="D89" s="159" t="s">
        <v>604</v>
      </c>
      <c r="E89" s="159" t="s">
        <v>1454</v>
      </c>
      <c r="H89" s="171" t="s">
        <v>674</v>
      </c>
      <c r="I89" s="171" t="str">
        <f>IF(MID(D89,6,2)="PP",_xlfn.CONCAT(H89,RIGHT(D89,2)),IF(MID(D89,6,2)="SU",RIGHT(D89,5),_xlfn.CONCAT(H89,"1",RIGHT(D89,1))))</f>
        <v>LSM16</v>
      </c>
      <c r="J89" s="159" t="str">
        <f t="shared" si="5"/>
        <v>LSM</v>
      </c>
      <c r="L89" s="159" t="str">
        <f t="shared" si="6"/>
        <v>10131PS006</v>
      </c>
    </row>
    <row r="90" spans="2:12" outlineLevel="1" x14ac:dyDescent="0.25">
      <c r="B90" s="159" t="s">
        <v>680</v>
      </c>
      <c r="C90" s="159" t="s">
        <v>680</v>
      </c>
      <c r="D90" s="159" t="s">
        <v>1455</v>
      </c>
      <c r="E90" s="159" t="s">
        <v>680</v>
      </c>
      <c r="H90" s="171" t="s">
        <v>680</v>
      </c>
      <c r="I90" s="171" t="str">
        <f>IF(MID(D90,6,2)="PP",_xlfn.CONCAT(H90,RIGHT(D90,2)),IF(MID(D90,6,2)="SU",RIGHT(D90,5),_xlfn.CONCAT(H90,"01",RIGHT(D90,1))))</f>
        <v>SU001</v>
      </c>
      <c r="J90" s="159" t="str">
        <f t="shared" si="5"/>
        <v>SSC</v>
      </c>
      <c r="L90" s="159" t="str">
        <f t="shared" si="6"/>
        <v>10202SU001</v>
      </c>
    </row>
    <row r="91" spans="2:12" outlineLevel="1" x14ac:dyDescent="0.25">
      <c r="B91" s="159" t="s">
        <v>640</v>
      </c>
      <c r="C91" s="159" t="s">
        <v>640</v>
      </c>
      <c r="D91" s="159" t="s">
        <v>641</v>
      </c>
      <c r="E91" s="159" t="s">
        <v>1456</v>
      </c>
      <c r="H91" s="171" t="s">
        <v>640</v>
      </c>
      <c r="I91" s="171" t="str">
        <f>IF(MID(D91,6,2)="PP",_xlfn.CONCAT(H91,RIGHT(D91,2)),IF(MID(D91,6,2)="SU",RIGHT(D91,5),_xlfn.CONCAT(H91,"01",RIGHT(D91,1))))</f>
        <v>SU006</v>
      </c>
      <c r="J91" s="159" t="str">
        <f t="shared" si="5"/>
        <v>PPIC</v>
      </c>
      <c r="L91" s="159" t="str">
        <f t="shared" si="6"/>
        <v>10202SU006</v>
      </c>
    </row>
    <row r="92" spans="2:12" outlineLevel="1" x14ac:dyDescent="0.25">
      <c r="B92" s="159" t="s">
        <v>737</v>
      </c>
      <c r="C92" s="159" t="s">
        <v>737</v>
      </c>
      <c r="D92" s="159" t="s">
        <v>642</v>
      </c>
      <c r="E92" s="159" t="s">
        <v>1457</v>
      </c>
      <c r="H92" s="171" t="s">
        <v>737</v>
      </c>
      <c r="I92" s="171" t="str">
        <f>IF(MID(D92,6,2)="PP",_xlfn.CONCAT(H92,RIGHT(D92,2)),IF(MID(D92,6,2)="SU",RIGHT(D92,5),_xlfn.CONCAT(H92,"01",RIGHT(D92,1))))</f>
        <v>SU007</v>
      </c>
      <c r="J92" s="159" t="str">
        <f t="shared" si="5"/>
        <v>QAQC</v>
      </c>
      <c r="L92" s="159" t="str">
        <f t="shared" si="6"/>
        <v>10202SU007</v>
      </c>
    </row>
    <row r="93" spans="2:12" outlineLevel="1" x14ac:dyDescent="0.25">
      <c r="B93" s="159" t="s">
        <v>1479</v>
      </c>
      <c r="C93" s="159" t="s">
        <v>1479</v>
      </c>
      <c r="D93" s="159" t="s">
        <v>1458</v>
      </c>
      <c r="E93" s="159" t="s">
        <v>1459</v>
      </c>
      <c r="H93" s="171" t="s">
        <v>639</v>
      </c>
      <c r="I93" s="171" t="str">
        <f>IF(MID(D93,6,2)="PP",_xlfn.CONCAT(H93,RIGHT(D93,2)),IF(MID(D93,6,2)="SU",RIGHT(D93,5),_xlfn.CONCAT(H93,"01",RIGHT(D93,1))))</f>
        <v>SU009</v>
      </c>
      <c r="J93" s="159" t="str">
        <f t="shared" si="5"/>
        <v>ELECTRICAL</v>
      </c>
      <c r="L93" s="159" t="str">
        <f t="shared" si="6"/>
        <v>10202SU009</v>
      </c>
    </row>
    <row r="94" spans="2:12" outlineLevel="1" x14ac:dyDescent="0.25">
      <c r="B94" s="159" t="s">
        <v>1486</v>
      </c>
      <c r="C94" s="159" t="s">
        <v>1486</v>
      </c>
      <c r="D94" s="159" t="s">
        <v>1460</v>
      </c>
      <c r="E94" s="159" t="s">
        <v>1461</v>
      </c>
      <c r="H94" s="171" t="s">
        <v>1486</v>
      </c>
      <c r="I94" s="171" t="str">
        <f>IF(MID(D94,6,2)="PP",_xlfn.CONCAT(H94,RIGHT(D94,2)),IF(MID(D94,6,2)="SU",RIGHT(D94,5),_xlfn.CONCAT(H94,"01",RIGHT(D94,1))))</f>
        <v>SU017</v>
      </c>
      <c r="J94" s="159" t="str">
        <f t="shared" si="5"/>
        <v>MSN</v>
      </c>
      <c r="L94" s="159" t="str">
        <f t="shared" si="6"/>
        <v>10202SU017</v>
      </c>
    </row>
    <row r="95" spans="2:12" outlineLevel="1" x14ac:dyDescent="0.25">
      <c r="B95" s="159" t="s">
        <v>1430</v>
      </c>
      <c r="C95" s="159" t="s">
        <v>1429</v>
      </c>
      <c r="D95" s="159" t="s">
        <v>255</v>
      </c>
      <c r="E95" s="159" t="s">
        <v>294</v>
      </c>
      <c r="H95" s="171" t="s">
        <v>1503</v>
      </c>
      <c r="I95" s="171" t="str">
        <f>RIGHT(D95,5)</f>
        <v>BD001</v>
      </c>
      <c r="J95" s="159" t="str">
        <f t="shared" si="5"/>
        <v>Board of Directors</v>
      </c>
      <c r="L95" s="159" t="str">
        <f t="shared" si="6"/>
        <v>10301BD001</v>
      </c>
    </row>
    <row r="96" spans="2:12" outlineLevel="1" x14ac:dyDescent="0.25">
      <c r="B96" s="159" t="s">
        <v>1430</v>
      </c>
      <c r="C96" s="159" t="s">
        <v>1429</v>
      </c>
      <c r="D96" s="159" t="s">
        <v>1431</v>
      </c>
      <c r="E96" s="159" t="s">
        <v>1462</v>
      </c>
      <c r="H96" s="171" t="s">
        <v>1503</v>
      </c>
      <c r="I96" s="171" t="str">
        <f t="shared" ref="I96:I146" si="7">RIGHT(D96,5)</f>
        <v>BD002</v>
      </c>
      <c r="J96" s="159" t="str">
        <f t="shared" si="5"/>
        <v>Board of Directors</v>
      </c>
      <c r="L96" s="159" t="str">
        <f t="shared" si="6"/>
        <v>10301BD002</v>
      </c>
    </row>
    <row r="97" spans="2:12" outlineLevel="1" x14ac:dyDescent="0.25">
      <c r="B97" s="159" t="s">
        <v>1430</v>
      </c>
      <c r="C97" s="159" t="s">
        <v>19</v>
      </c>
      <c r="D97" s="159" t="s">
        <v>256</v>
      </c>
      <c r="E97" s="159" t="s">
        <v>296</v>
      </c>
      <c r="H97" s="171" t="s">
        <v>1503</v>
      </c>
      <c r="I97" s="171" t="str">
        <f t="shared" si="7"/>
        <v>CP001</v>
      </c>
      <c r="J97" s="159" t="str">
        <f t="shared" si="5"/>
        <v>Corp. Planning &amp; Sustainability</v>
      </c>
      <c r="L97" s="159" t="str">
        <f t="shared" si="6"/>
        <v>10301CP001</v>
      </c>
    </row>
    <row r="98" spans="2:12" outlineLevel="1" x14ac:dyDescent="0.25">
      <c r="B98" s="159" t="s">
        <v>1430</v>
      </c>
      <c r="C98" s="159" t="s">
        <v>20</v>
      </c>
      <c r="D98" s="159" t="s">
        <v>261</v>
      </c>
      <c r="E98" s="159" t="s">
        <v>320</v>
      </c>
      <c r="H98" s="171" t="s">
        <v>1503</v>
      </c>
      <c r="I98" s="171" t="str">
        <f t="shared" si="7"/>
        <v>IA001</v>
      </c>
      <c r="J98" s="159" t="str">
        <f t="shared" si="5"/>
        <v>Internal Audit</v>
      </c>
      <c r="L98" s="159" t="str">
        <f t="shared" si="6"/>
        <v>10301IA001</v>
      </c>
    </row>
    <row r="99" spans="2:12" outlineLevel="1" x14ac:dyDescent="0.25">
      <c r="B99" s="333" t="s">
        <v>1430</v>
      </c>
      <c r="C99" s="333" t="s">
        <v>1526</v>
      </c>
      <c r="D99" s="333"/>
      <c r="E99" s="333" t="s">
        <v>1527</v>
      </c>
      <c r="F99" s="158" t="s">
        <v>1518</v>
      </c>
      <c r="H99" s="171" t="s">
        <v>1503</v>
      </c>
      <c r="I99" s="171" t="str">
        <f t="shared" si="7"/>
        <v/>
      </c>
      <c r="J99" s="159" t="str">
        <f t="shared" ref="J99:J100" si="8">C99</f>
        <v>Sustainability</v>
      </c>
      <c r="L99" s="159">
        <f t="shared" si="6"/>
        <v>0</v>
      </c>
    </row>
    <row r="100" spans="2:12" outlineLevel="1" x14ac:dyDescent="0.25">
      <c r="B100" s="333" t="s">
        <v>1430</v>
      </c>
      <c r="C100" s="333" t="s">
        <v>1542</v>
      </c>
      <c r="D100" s="333"/>
      <c r="E100" s="333" t="s">
        <v>1541</v>
      </c>
      <c r="F100" s="158" t="s">
        <v>1518</v>
      </c>
      <c r="H100" s="171" t="s">
        <v>1503</v>
      </c>
      <c r="I100" s="171" t="str">
        <f t="shared" si="7"/>
        <v/>
      </c>
      <c r="J100" s="159" t="str">
        <f t="shared" si="8"/>
        <v>Project Management</v>
      </c>
      <c r="L100" s="159">
        <f t="shared" si="6"/>
        <v>0</v>
      </c>
    </row>
    <row r="101" spans="2:12" outlineLevel="1" x14ac:dyDescent="0.25">
      <c r="B101" s="159" t="s">
        <v>1433</v>
      </c>
      <c r="C101" s="159" t="s">
        <v>1432</v>
      </c>
      <c r="D101" s="159" t="s">
        <v>263</v>
      </c>
      <c r="E101" s="159" t="s">
        <v>295</v>
      </c>
      <c r="H101" s="171" t="s">
        <v>1491</v>
      </c>
      <c r="I101" s="171" t="str">
        <f t="shared" si="7"/>
        <v>CL001</v>
      </c>
      <c r="J101" s="159" t="str">
        <f t="shared" si="5"/>
        <v>General Counsel</v>
      </c>
      <c r="L101" s="159" t="str">
        <f t="shared" si="6"/>
        <v>10301CL001</v>
      </c>
    </row>
    <row r="102" spans="2:12" outlineLevel="1" x14ac:dyDescent="0.25">
      <c r="B102" s="159" t="s">
        <v>1433</v>
      </c>
      <c r="C102" s="159" t="s">
        <v>1435</v>
      </c>
      <c r="D102" s="159" t="s">
        <v>271</v>
      </c>
      <c r="E102" s="159" t="s">
        <v>297</v>
      </c>
      <c r="H102" s="171" t="s">
        <v>1491</v>
      </c>
      <c r="I102" s="171" t="str">
        <f t="shared" si="7"/>
        <v>CS001</v>
      </c>
      <c r="J102" s="159" t="str">
        <f t="shared" si="5"/>
        <v>Compliance &amp; Governance</v>
      </c>
      <c r="L102" s="159" t="str">
        <f t="shared" si="6"/>
        <v>10301CS001</v>
      </c>
    </row>
    <row r="103" spans="2:12" outlineLevel="1" x14ac:dyDescent="0.25">
      <c r="B103" s="159" t="s">
        <v>1433</v>
      </c>
      <c r="C103" s="159" t="s">
        <v>1437</v>
      </c>
      <c r="D103" s="159" t="s">
        <v>277</v>
      </c>
      <c r="E103" s="159" t="s">
        <v>324</v>
      </c>
      <c r="H103" s="171" t="s">
        <v>1491</v>
      </c>
      <c r="I103" s="171" t="str">
        <f t="shared" si="7"/>
        <v>MS005</v>
      </c>
      <c r="J103" s="159" t="str">
        <f t="shared" si="5"/>
        <v>Permit &amp; Licensing</v>
      </c>
      <c r="L103" s="159" t="str">
        <f t="shared" si="6"/>
        <v>10301MS005</v>
      </c>
    </row>
    <row r="104" spans="2:12" outlineLevel="1" x14ac:dyDescent="0.25">
      <c r="B104" s="159" t="s">
        <v>1433</v>
      </c>
      <c r="C104" s="159" t="s">
        <v>1437</v>
      </c>
      <c r="D104" s="159" t="s">
        <v>264</v>
      </c>
      <c r="E104" s="159" t="s">
        <v>327</v>
      </c>
      <c r="H104" s="171" t="s">
        <v>1491</v>
      </c>
      <c r="I104" s="171" t="str">
        <f t="shared" si="7"/>
        <v>MS008</v>
      </c>
      <c r="J104" s="159" t="str">
        <f t="shared" si="5"/>
        <v>Permit &amp; Licensing</v>
      </c>
      <c r="L104" s="159" t="str">
        <f t="shared" si="6"/>
        <v>10301MS008</v>
      </c>
    </row>
    <row r="105" spans="2:12" outlineLevel="1" x14ac:dyDescent="0.25">
      <c r="B105" s="159" t="s">
        <v>299</v>
      </c>
      <c r="C105" s="159" t="s">
        <v>28</v>
      </c>
      <c r="D105" s="159" t="s">
        <v>266</v>
      </c>
      <c r="E105" s="159" t="s">
        <v>298</v>
      </c>
      <c r="H105" s="171" t="s">
        <v>299</v>
      </c>
      <c r="I105" s="171" t="str">
        <f t="shared" si="7"/>
        <v>FA001</v>
      </c>
      <c r="J105" s="159" t="str">
        <f t="shared" si="5"/>
        <v>Treasury &amp; Finance</v>
      </c>
      <c r="L105" s="159" t="str">
        <f t="shared" si="6"/>
        <v>10301FA001</v>
      </c>
    </row>
    <row r="106" spans="2:12" outlineLevel="1" x14ac:dyDescent="0.25">
      <c r="B106" s="159" t="s">
        <v>299</v>
      </c>
      <c r="C106" s="159" t="s">
        <v>1467</v>
      </c>
      <c r="D106" s="159" t="s">
        <v>254</v>
      </c>
      <c r="E106" s="159" t="s">
        <v>300</v>
      </c>
      <c r="H106" s="171" t="s">
        <v>299</v>
      </c>
      <c r="I106" s="171" t="str">
        <f t="shared" si="7"/>
        <v>FA002</v>
      </c>
      <c r="J106" s="159" t="str">
        <f t="shared" si="5"/>
        <v>Accounting &amp; Fixed Asset Management</v>
      </c>
      <c r="L106" s="159" t="str">
        <f t="shared" si="6"/>
        <v>10301FA002</v>
      </c>
    </row>
    <row r="107" spans="2:12" outlineLevel="1" x14ac:dyDescent="0.25">
      <c r="B107" s="159" t="s">
        <v>299</v>
      </c>
      <c r="C107" s="159" t="s">
        <v>27</v>
      </c>
      <c r="D107" s="159" t="s">
        <v>265</v>
      </c>
      <c r="E107" s="159" t="s">
        <v>301</v>
      </c>
      <c r="H107" s="171" t="s">
        <v>299</v>
      </c>
      <c r="I107" s="171" t="str">
        <f t="shared" si="7"/>
        <v>FA003</v>
      </c>
      <c r="J107" s="159" t="str">
        <f t="shared" si="5"/>
        <v>Taxation</v>
      </c>
      <c r="L107" s="159" t="str">
        <f t="shared" si="6"/>
        <v>10301FA003</v>
      </c>
    </row>
    <row r="108" spans="2:12" outlineLevel="1" x14ac:dyDescent="0.25">
      <c r="B108" s="159" t="s">
        <v>299</v>
      </c>
      <c r="C108" s="159" t="s">
        <v>26</v>
      </c>
      <c r="D108" s="159" t="s">
        <v>257</v>
      </c>
      <c r="E108" s="159" t="s">
        <v>302</v>
      </c>
      <c r="H108" s="171" t="s">
        <v>299</v>
      </c>
      <c r="I108" s="171" t="str">
        <f t="shared" si="7"/>
        <v>FA004</v>
      </c>
      <c r="J108" s="159" t="str">
        <f t="shared" si="5"/>
        <v>Financial Planning &amp; Analysis</v>
      </c>
      <c r="L108" s="159" t="str">
        <f t="shared" si="6"/>
        <v>10301FA004</v>
      </c>
    </row>
    <row r="109" spans="2:12" outlineLevel="1" x14ac:dyDescent="0.25">
      <c r="B109" s="159" t="s">
        <v>299</v>
      </c>
      <c r="C109" s="159" t="s">
        <v>28</v>
      </c>
      <c r="D109" s="159" t="s">
        <v>273</v>
      </c>
      <c r="E109" s="159" t="s">
        <v>304</v>
      </c>
      <c r="H109" s="171" t="s">
        <v>299</v>
      </c>
      <c r="I109" s="171" t="str">
        <f t="shared" si="7"/>
        <v>FA006</v>
      </c>
      <c r="J109" s="159" t="str">
        <f t="shared" si="5"/>
        <v>Treasury &amp; Finance</v>
      </c>
      <c r="L109" s="159" t="str">
        <f t="shared" si="6"/>
        <v>10301FA006</v>
      </c>
    </row>
    <row r="110" spans="2:12" outlineLevel="1" x14ac:dyDescent="0.25">
      <c r="B110" s="159" t="s">
        <v>299</v>
      </c>
      <c r="C110" s="159" t="s">
        <v>1467</v>
      </c>
      <c r="D110" s="159" t="s">
        <v>267</v>
      </c>
      <c r="E110" s="159" t="s">
        <v>305</v>
      </c>
      <c r="H110" s="171" t="s">
        <v>299</v>
      </c>
      <c r="I110" s="171" t="str">
        <f t="shared" si="7"/>
        <v>FA007</v>
      </c>
      <c r="J110" s="159" t="str">
        <f t="shared" si="5"/>
        <v>Accounting &amp; Fixed Asset Management</v>
      </c>
      <c r="L110" s="159" t="str">
        <f t="shared" si="6"/>
        <v>10301FA007</v>
      </c>
    </row>
    <row r="111" spans="2:12" outlineLevel="1" x14ac:dyDescent="0.25">
      <c r="B111" s="159" t="s">
        <v>299</v>
      </c>
      <c r="C111" s="159" t="s">
        <v>1467</v>
      </c>
      <c r="D111" s="159" t="s">
        <v>1217</v>
      </c>
      <c r="E111" s="159" t="s">
        <v>1472</v>
      </c>
      <c r="H111" s="171" t="s">
        <v>299</v>
      </c>
      <c r="I111" s="171" t="str">
        <f t="shared" si="7"/>
        <v>FA008</v>
      </c>
      <c r="J111" s="159" t="str">
        <f t="shared" si="5"/>
        <v>Accounting &amp; Fixed Asset Management</v>
      </c>
      <c r="L111" s="159" t="str">
        <f t="shared" si="6"/>
        <v>10301FA008</v>
      </c>
    </row>
    <row r="112" spans="2:12" outlineLevel="1" x14ac:dyDescent="0.25">
      <c r="B112" s="159" t="s">
        <v>1425</v>
      </c>
      <c r="C112" s="159" t="s">
        <v>29</v>
      </c>
      <c r="D112" s="159" t="s">
        <v>258</v>
      </c>
      <c r="E112" s="159" t="s">
        <v>306</v>
      </c>
      <c r="H112" s="171" t="s">
        <v>106</v>
      </c>
      <c r="I112" s="171" t="str">
        <f t="shared" si="7"/>
        <v>GA001</v>
      </c>
      <c r="J112" s="159" t="str">
        <f t="shared" si="5"/>
        <v>General Affairs</v>
      </c>
      <c r="L112" s="159" t="str">
        <f t="shared" si="6"/>
        <v>10301GA001</v>
      </c>
    </row>
    <row r="113" spans="2:12" outlineLevel="1" x14ac:dyDescent="0.25">
      <c r="B113" s="159" t="s">
        <v>1425</v>
      </c>
      <c r="C113" s="159" t="s">
        <v>29</v>
      </c>
      <c r="D113" s="159" t="s">
        <v>268</v>
      </c>
      <c r="E113" s="159" t="s">
        <v>307</v>
      </c>
      <c r="H113" s="171" t="s">
        <v>106</v>
      </c>
      <c r="I113" s="171" t="str">
        <f t="shared" si="7"/>
        <v>GA002</v>
      </c>
      <c r="J113" s="159" t="str">
        <f t="shared" si="5"/>
        <v>General Affairs</v>
      </c>
      <c r="L113" s="159" t="str">
        <f t="shared" si="6"/>
        <v>10301GA002</v>
      </c>
    </row>
    <row r="114" spans="2:12" outlineLevel="1" x14ac:dyDescent="0.25">
      <c r="B114" s="159" t="s">
        <v>1425</v>
      </c>
      <c r="C114" s="159" t="s">
        <v>29</v>
      </c>
      <c r="D114" s="159" t="s">
        <v>275</v>
      </c>
      <c r="E114" s="159" t="s">
        <v>308</v>
      </c>
      <c r="H114" s="171" t="s">
        <v>106</v>
      </c>
      <c r="I114" s="171" t="str">
        <f t="shared" si="7"/>
        <v>GA003</v>
      </c>
      <c r="J114" s="159" t="str">
        <f t="shared" si="5"/>
        <v>General Affairs</v>
      </c>
      <c r="L114" s="159" t="str">
        <f t="shared" si="6"/>
        <v>10301GA003</v>
      </c>
    </row>
    <row r="115" spans="2:12" outlineLevel="1" x14ac:dyDescent="0.25">
      <c r="B115" s="159" t="s">
        <v>1425</v>
      </c>
      <c r="C115" s="159" t="s">
        <v>29</v>
      </c>
      <c r="D115" s="159" t="s">
        <v>280</v>
      </c>
      <c r="E115" s="159" t="s">
        <v>309</v>
      </c>
      <c r="H115" s="171" t="s">
        <v>106</v>
      </c>
      <c r="I115" s="171" t="str">
        <f t="shared" si="7"/>
        <v>GA004</v>
      </c>
      <c r="J115" s="159" t="str">
        <f t="shared" si="5"/>
        <v>General Affairs</v>
      </c>
      <c r="L115" s="159" t="str">
        <f t="shared" si="6"/>
        <v>10301GA004</v>
      </c>
    </row>
    <row r="116" spans="2:12" outlineLevel="1" x14ac:dyDescent="0.25">
      <c r="B116" s="159" t="s">
        <v>1425</v>
      </c>
      <c r="C116" s="159" t="s">
        <v>29</v>
      </c>
      <c r="D116" s="159" t="s">
        <v>283</v>
      </c>
      <c r="E116" s="159" t="s">
        <v>310</v>
      </c>
      <c r="H116" s="171" t="s">
        <v>106</v>
      </c>
      <c r="I116" s="171" t="str">
        <f t="shared" si="7"/>
        <v>GA005</v>
      </c>
      <c r="J116" s="159" t="str">
        <f t="shared" si="5"/>
        <v>General Affairs</v>
      </c>
      <c r="L116" s="159" t="str">
        <f t="shared" si="6"/>
        <v>10301GA005</v>
      </c>
    </row>
    <row r="117" spans="2:12" outlineLevel="1" x14ac:dyDescent="0.25">
      <c r="B117" s="159" t="s">
        <v>1425</v>
      </c>
      <c r="C117" s="159" t="s">
        <v>29</v>
      </c>
      <c r="D117" s="159" t="s">
        <v>286</v>
      </c>
      <c r="E117" s="159" t="s">
        <v>311</v>
      </c>
      <c r="H117" s="171" t="s">
        <v>106</v>
      </c>
      <c r="I117" s="171" t="str">
        <f t="shared" si="7"/>
        <v>GA008</v>
      </c>
      <c r="J117" s="159" t="str">
        <f t="shared" si="5"/>
        <v>General Affairs</v>
      </c>
      <c r="L117" s="159" t="str">
        <f t="shared" si="6"/>
        <v>10301GA008</v>
      </c>
    </row>
    <row r="118" spans="2:12" outlineLevel="1" x14ac:dyDescent="0.25">
      <c r="B118" s="159" t="s">
        <v>1425</v>
      </c>
      <c r="C118" s="159" t="s">
        <v>30</v>
      </c>
      <c r="D118" s="159" t="s">
        <v>260</v>
      </c>
      <c r="E118" s="159" t="s">
        <v>312</v>
      </c>
      <c r="H118" s="171" t="s">
        <v>50</v>
      </c>
      <c r="I118" s="171" t="str">
        <f t="shared" si="7"/>
        <v>HR001</v>
      </c>
      <c r="J118" s="159" t="str">
        <f t="shared" si="5"/>
        <v>Human Resources</v>
      </c>
      <c r="L118" s="159" t="str">
        <f t="shared" si="6"/>
        <v>10301HR001</v>
      </c>
    </row>
    <row r="119" spans="2:12" outlineLevel="1" x14ac:dyDescent="0.25">
      <c r="B119" s="159" t="s">
        <v>1425</v>
      </c>
      <c r="C119" s="159" t="s">
        <v>30</v>
      </c>
      <c r="D119" s="159" t="s">
        <v>269</v>
      </c>
      <c r="E119" s="159" t="s">
        <v>313</v>
      </c>
      <c r="H119" s="171" t="s">
        <v>50</v>
      </c>
      <c r="I119" s="171" t="str">
        <f t="shared" si="7"/>
        <v>HR002</v>
      </c>
      <c r="J119" s="159" t="str">
        <f t="shared" si="5"/>
        <v>Human Resources</v>
      </c>
      <c r="L119" s="159" t="str">
        <f t="shared" si="6"/>
        <v>10301HR002</v>
      </c>
    </row>
    <row r="120" spans="2:12" outlineLevel="1" x14ac:dyDescent="0.25">
      <c r="B120" s="159" t="s">
        <v>1425</v>
      </c>
      <c r="C120" s="159" t="s">
        <v>30</v>
      </c>
      <c r="D120" s="159" t="s">
        <v>276</v>
      </c>
      <c r="E120" s="159" t="s">
        <v>314</v>
      </c>
      <c r="H120" s="171" t="s">
        <v>50</v>
      </c>
      <c r="I120" s="171" t="str">
        <f t="shared" si="7"/>
        <v>HR003</v>
      </c>
      <c r="J120" s="159" t="str">
        <f t="shared" si="5"/>
        <v>Human Resources</v>
      </c>
      <c r="L120" s="159" t="str">
        <f t="shared" si="6"/>
        <v>10301HR003</v>
      </c>
    </row>
    <row r="121" spans="2:12" outlineLevel="1" x14ac:dyDescent="0.25">
      <c r="B121" s="159" t="s">
        <v>1425</v>
      </c>
      <c r="C121" s="159" t="s">
        <v>30</v>
      </c>
      <c r="D121" s="159" t="s">
        <v>281</v>
      </c>
      <c r="E121" s="159" t="s">
        <v>315</v>
      </c>
      <c r="H121" s="171" t="s">
        <v>50</v>
      </c>
      <c r="I121" s="171" t="str">
        <f t="shared" si="7"/>
        <v>HR004</v>
      </c>
      <c r="J121" s="159" t="str">
        <f t="shared" si="5"/>
        <v>Human Resources</v>
      </c>
      <c r="L121" s="159" t="str">
        <f t="shared" si="6"/>
        <v>10301HR004</v>
      </c>
    </row>
    <row r="122" spans="2:12" outlineLevel="1" x14ac:dyDescent="0.25">
      <c r="B122" s="159" t="s">
        <v>1425</v>
      </c>
      <c r="C122" s="159" t="s">
        <v>30</v>
      </c>
      <c r="D122" s="159" t="s">
        <v>284</v>
      </c>
      <c r="E122" s="159" t="s">
        <v>316</v>
      </c>
      <c r="H122" s="171" t="s">
        <v>50</v>
      </c>
      <c r="I122" s="171" t="str">
        <f t="shared" si="7"/>
        <v>HR005</v>
      </c>
      <c r="J122" s="159" t="str">
        <f t="shared" si="5"/>
        <v>Human Resources</v>
      </c>
      <c r="L122" s="159" t="str">
        <f t="shared" si="6"/>
        <v>10301HR005</v>
      </c>
    </row>
    <row r="123" spans="2:12" outlineLevel="1" x14ac:dyDescent="0.25">
      <c r="B123" s="159" t="s">
        <v>1425</v>
      </c>
      <c r="C123" s="159" t="s">
        <v>30</v>
      </c>
      <c r="D123" s="159" t="s">
        <v>287</v>
      </c>
      <c r="E123" s="159" t="s">
        <v>317</v>
      </c>
      <c r="H123" s="171" t="s">
        <v>50</v>
      </c>
      <c r="I123" s="171" t="str">
        <f t="shared" si="7"/>
        <v>HR007</v>
      </c>
      <c r="J123" s="159" t="str">
        <f t="shared" si="5"/>
        <v>Human Resources</v>
      </c>
      <c r="L123" s="159" t="str">
        <f t="shared" si="6"/>
        <v>10301HR007</v>
      </c>
    </row>
    <row r="124" spans="2:12" outlineLevel="1" x14ac:dyDescent="0.25">
      <c r="B124" s="159" t="s">
        <v>1425</v>
      </c>
      <c r="C124" s="159" t="s">
        <v>29</v>
      </c>
      <c r="D124" s="159" t="s">
        <v>289</v>
      </c>
      <c r="E124" s="159" t="s">
        <v>323</v>
      </c>
      <c r="H124" s="171" t="s">
        <v>106</v>
      </c>
      <c r="I124" s="171" t="str">
        <f t="shared" si="7"/>
        <v>MS001</v>
      </c>
      <c r="J124" s="159" t="str">
        <f t="shared" si="5"/>
        <v>General Affairs</v>
      </c>
      <c r="L124" s="159" t="str">
        <f t="shared" si="6"/>
        <v>10301MS001</v>
      </c>
    </row>
    <row r="125" spans="2:12" outlineLevel="1" x14ac:dyDescent="0.25">
      <c r="B125" s="159" t="s">
        <v>22</v>
      </c>
      <c r="C125" s="159" t="s">
        <v>291</v>
      </c>
      <c r="D125" s="159" t="s">
        <v>259</v>
      </c>
      <c r="E125" s="159" t="s">
        <v>318</v>
      </c>
      <c r="H125" s="171" t="s">
        <v>22</v>
      </c>
      <c r="I125" s="171" t="str">
        <f t="shared" si="7"/>
        <v>HS001</v>
      </c>
      <c r="J125" s="159" t="str">
        <f t="shared" si="5"/>
        <v>Health &amp; Safety</v>
      </c>
      <c r="L125" s="159" t="str">
        <f t="shared" si="6"/>
        <v>10301HS001</v>
      </c>
    </row>
    <row r="126" spans="2:12" outlineLevel="1" x14ac:dyDescent="0.25">
      <c r="B126" s="159" t="s">
        <v>22</v>
      </c>
      <c r="C126" s="159" t="s">
        <v>292</v>
      </c>
      <c r="D126" s="159" t="s">
        <v>285</v>
      </c>
      <c r="E126" s="159" t="s">
        <v>319</v>
      </c>
      <c r="H126" s="171" t="s">
        <v>22</v>
      </c>
      <c r="I126" s="171" t="str">
        <f t="shared" si="7"/>
        <v>HS002</v>
      </c>
      <c r="J126" s="159" t="str">
        <f t="shared" ref="J126:J146" si="9">C126</f>
        <v>Environment</v>
      </c>
      <c r="L126" s="159" t="str">
        <f t="shared" ref="L126:L146" si="10">D126</f>
        <v>10301HS002</v>
      </c>
    </row>
    <row r="127" spans="2:12" outlineLevel="1" x14ac:dyDescent="0.25">
      <c r="B127" s="159" t="s">
        <v>31</v>
      </c>
      <c r="C127" s="159" t="s">
        <v>237</v>
      </c>
      <c r="D127" s="159" t="s">
        <v>262</v>
      </c>
      <c r="E127" s="159" t="s">
        <v>321</v>
      </c>
      <c r="H127" s="171" t="s">
        <v>31</v>
      </c>
      <c r="I127" s="171" t="str">
        <f t="shared" si="7"/>
        <v>IT001</v>
      </c>
      <c r="J127" s="159" t="str">
        <f t="shared" si="9"/>
        <v>Information Technology</v>
      </c>
      <c r="L127" s="159" t="str">
        <f t="shared" si="10"/>
        <v>10301IT001</v>
      </c>
    </row>
    <row r="128" spans="2:12" outlineLevel="1" x14ac:dyDescent="0.25">
      <c r="B128" s="159" t="s">
        <v>31</v>
      </c>
      <c r="C128" s="159" t="s">
        <v>237</v>
      </c>
      <c r="D128" s="159" t="s">
        <v>322</v>
      </c>
      <c r="E128" s="159" t="s">
        <v>779</v>
      </c>
      <c r="H128" s="171" t="s">
        <v>31</v>
      </c>
      <c r="I128" s="171" t="str">
        <f t="shared" si="7"/>
        <v>IT002</v>
      </c>
      <c r="J128" s="159" t="str">
        <f t="shared" si="9"/>
        <v>Information Technology</v>
      </c>
      <c r="L128" s="159" t="str">
        <f t="shared" si="10"/>
        <v>10301IT002</v>
      </c>
    </row>
    <row r="129" spans="2:12" outlineLevel="1" x14ac:dyDescent="0.25">
      <c r="B129" s="159" t="s">
        <v>31</v>
      </c>
      <c r="C129" s="159" t="s">
        <v>237</v>
      </c>
      <c r="D129" s="159" t="s">
        <v>270</v>
      </c>
      <c r="E129" s="100" t="s">
        <v>1557</v>
      </c>
      <c r="H129" s="171" t="s">
        <v>31</v>
      </c>
      <c r="I129" s="171" t="str">
        <f t="shared" si="7"/>
        <v>IT003</v>
      </c>
      <c r="J129" s="159" t="str">
        <f t="shared" si="9"/>
        <v>Information Technology</v>
      </c>
      <c r="L129" s="159" t="str">
        <f t="shared" si="10"/>
        <v>10301IT003</v>
      </c>
    </row>
    <row r="130" spans="2:12" outlineLevel="1" x14ac:dyDescent="0.25">
      <c r="B130" s="159" t="s">
        <v>31</v>
      </c>
      <c r="C130" s="159" t="s">
        <v>237</v>
      </c>
      <c r="D130" s="159" t="s">
        <v>1463</v>
      </c>
      <c r="E130" s="159" t="s">
        <v>1477</v>
      </c>
      <c r="H130" s="171" t="s">
        <v>31</v>
      </c>
      <c r="I130" s="171" t="str">
        <f t="shared" si="7"/>
        <v>IT004</v>
      </c>
      <c r="J130" s="159" t="str">
        <f t="shared" si="9"/>
        <v>Information Technology</v>
      </c>
      <c r="L130" s="159" t="str">
        <f t="shared" si="10"/>
        <v>10301IT004</v>
      </c>
    </row>
    <row r="131" spans="2:12" outlineLevel="1" x14ac:dyDescent="0.25">
      <c r="B131" s="159" t="s">
        <v>1466</v>
      </c>
      <c r="C131" s="159" t="s">
        <v>1465</v>
      </c>
      <c r="D131" s="159" t="s">
        <v>272</v>
      </c>
      <c r="E131" s="159" t="s">
        <v>1538</v>
      </c>
      <c r="H131" s="171" t="s">
        <v>1492</v>
      </c>
      <c r="I131" s="171" t="str">
        <f t="shared" si="7"/>
        <v>MS002</v>
      </c>
      <c r="J131" s="159" t="str">
        <f t="shared" si="9"/>
        <v>Government Relation &amp; EA</v>
      </c>
      <c r="L131" s="159" t="str">
        <f t="shared" si="10"/>
        <v>10301MS002</v>
      </c>
    </row>
    <row r="132" spans="2:12" outlineLevel="1" x14ac:dyDescent="0.25">
      <c r="B132" s="159" t="s">
        <v>1466</v>
      </c>
      <c r="C132" s="159" t="s">
        <v>1465</v>
      </c>
      <c r="D132" s="159" t="s">
        <v>278</v>
      </c>
      <c r="E132" s="159" t="s">
        <v>1539</v>
      </c>
      <c r="H132" s="171" t="s">
        <v>1492</v>
      </c>
      <c r="I132" s="171" t="str">
        <f t="shared" si="7"/>
        <v>MS006</v>
      </c>
      <c r="J132" s="159" t="str">
        <f t="shared" si="9"/>
        <v>Government Relation &amp; EA</v>
      </c>
      <c r="L132" s="159" t="str">
        <f t="shared" si="10"/>
        <v>10301MS006</v>
      </c>
    </row>
    <row r="133" spans="2:12" outlineLevel="1" x14ac:dyDescent="0.25">
      <c r="B133" s="159" t="s">
        <v>1466</v>
      </c>
      <c r="C133" s="159" t="s">
        <v>1465</v>
      </c>
      <c r="D133" s="159" t="s">
        <v>282</v>
      </c>
      <c r="E133" s="159" t="s">
        <v>326</v>
      </c>
      <c r="H133" s="171" t="s">
        <v>1492</v>
      </c>
      <c r="I133" s="171" t="str">
        <f t="shared" si="7"/>
        <v>MS007</v>
      </c>
      <c r="J133" s="159" t="str">
        <f t="shared" si="9"/>
        <v>Government Relation &amp; EA</v>
      </c>
      <c r="L133" s="159" t="str">
        <f t="shared" si="10"/>
        <v>10301MS007</v>
      </c>
    </row>
    <row r="134" spans="2:12" outlineLevel="1" x14ac:dyDescent="0.25">
      <c r="B134" s="159" t="s">
        <v>1466</v>
      </c>
      <c r="C134" s="159" t="s">
        <v>1465</v>
      </c>
      <c r="D134" s="159" t="s">
        <v>1468</v>
      </c>
      <c r="E134" s="159" t="s">
        <v>1540</v>
      </c>
      <c r="H134" s="171" t="s">
        <v>1492</v>
      </c>
      <c r="I134" s="171" t="str">
        <f t="shared" si="7"/>
        <v>MS010</v>
      </c>
      <c r="J134" s="159" t="str">
        <f t="shared" si="9"/>
        <v>Government Relation &amp; EA</v>
      </c>
      <c r="L134" s="159" t="str">
        <f t="shared" si="10"/>
        <v>10301MS010</v>
      </c>
    </row>
    <row r="135" spans="2:12" outlineLevel="1" x14ac:dyDescent="0.25">
      <c r="B135" s="159" t="s">
        <v>1430</v>
      </c>
      <c r="C135" s="159" t="s">
        <v>24</v>
      </c>
      <c r="D135" s="159" t="s">
        <v>288</v>
      </c>
      <c r="E135" s="159" t="s">
        <v>328</v>
      </c>
      <c r="H135" s="171" t="s">
        <v>1503</v>
      </c>
      <c r="I135" s="171" t="str">
        <f t="shared" si="7"/>
        <v>PR001</v>
      </c>
      <c r="J135" s="159" t="str">
        <f t="shared" si="9"/>
        <v>Corporate Communication</v>
      </c>
      <c r="L135" s="159" t="str">
        <f t="shared" si="10"/>
        <v>10301PR001</v>
      </c>
    </row>
    <row r="136" spans="2:12" outlineLevel="1" x14ac:dyDescent="0.25">
      <c r="B136" s="159" t="s">
        <v>1430</v>
      </c>
      <c r="C136" s="159" t="s">
        <v>24</v>
      </c>
      <c r="D136" s="159" t="s">
        <v>290</v>
      </c>
      <c r="E136" s="159" t="s">
        <v>329</v>
      </c>
      <c r="H136" s="171" t="s">
        <v>1503</v>
      </c>
      <c r="I136" s="171" t="str">
        <f t="shared" si="7"/>
        <v>PR002</v>
      </c>
      <c r="J136" s="159" t="str">
        <f t="shared" si="9"/>
        <v>Corporate Communication</v>
      </c>
      <c r="L136" s="159" t="str">
        <f t="shared" si="10"/>
        <v>10301PR002</v>
      </c>
    </row>
    <row r="137" spans="2:12" outlineLevel="1" x14ac:dyDescent="0.25">
      <c r="B137" s="159" t="s">
        <v>247</v>
      </c>
      <c r="C137" s="159" t="s">
        <v>1469</v>
      </c>
      <c r="D137" s="159" t="s">
        <v>279</v>
      </c>
      <c r="E137" s="159" t="s">
        <v>1478</v>
      </c>
      <c r="H137" s="171" t="s">
        <v>247</v>
      </c>
      <c r="I137" s="171" t="str">
        <f t="shared" si="7"/>
        <v>SC002</v>
      </c>
      <c r="J137" s="159" t="str">
        <f t="shared" si="9"/>
        <v>SCM Logistics</v>
      </c>
      <c r="L137" s="159" t="str">
        <f t="shared" si="10"/>
        <v>10301SC002</v>
      </c>
    </row>
    <row r="138" spans="2:12" outlineLevel="1" x14ac:dyDescent="0.25">
      <c r="B138" s="159" t="s">
        <v>247</v>
      </c>
      <c r="C138" s="159" t="s">
        <v>1470</v>
      </c>
      <c r="D138" s="159" t="s">
        <v>253</v>
      </c>
      <c r="E138" s="159" t="s">
        <v>1480</v>
      </c>
      <c r="H138" s="171" t="s">
        <v>247</v>
      </c>
      <c r="I138" s="171" t="str">
        <f t="shared" si="7"/>
        <v>SC004</v>
      </c>
      <c r="J138" s="159" t="str">
        <f t="shared" si="9"/>
        <v>SCM Warehouse &amp; Inventory</v>
      </c>
      <c r="L138" s="159" t="str">
        <f t="shared" si="10"/>
        <v>10301SC004</v>
      </c>
    </row>
    <row r="139" spans="2:12" outlineLevel="1" x14ac:dyDescent="0.25">
      <c r="B139" s="159" t="s">
        <v>247</v>
      </c>
      <c r="C139" s="159" t="s">
        <v>1471</v>
      </c>
      <c r="D139" s="159" t="s">
        <v>274</v>
      </c>
      <c r="E139" s="159" t="s">
        <v>1481</v>
      </c>
      <c r="H139" s="171" t="s">
        <v>247</v>
      </c>
      <c r="I139" s="171" t="str">
        <f t="shared" si="7"/>
        <v>SC005</v>
      </c>
      <c r="J139" s="159" t="str">
        <f t="shared" si="9"/>
        <v>SCM Grader</v>
      </c>
      <c r="L139" s="159" t="str">
        <f t="shared" si="10"/>
        <v>10301SC005</v>
      </c>
    </row>
    <row r="140" spans="2:12" outlineLevel="1" x14ac:dyDescent="0.25">
      <c r="B140" s="159" t="s">
        <v>247</v>
      </c>
      <c r="C140" s="159" t="s">
        <v>1470</v>
      </c>
      <c r="D140" s="159" t="s">
        <v>331</v>
      </c>
      <c r="E140" s="159" t="s">
        <v>332</v>
      </c>
      <c r="H140" s="171" t="s">
        <v>247</v>
      </c>
      <c r="I140" s="171" t="str">
        <f t="shared" si="7"/>
        <v>SC006</v>
      </c>
      <c r="J140" s="159" t="str">
        <f t="shared" si="9"/>
        <v>SCM Warehouse &amp; Inventory</v>
      </c>
      <c r="L140" s="159" t="str">
        <f t="shared" si="10"/>
        <v>10301SC006</v>
      </c>
    </row>
    <row r="141" spans="2:12" outlineLevel="1" x14ac:dyDescent="0.25">
      <c r="B141" s="159" t="s">
        <v>247</v>
      </c>
      <c r="C141" s="159" t="s">
        <v>1470</v>
      </c>
      <c r="D141" s="159" t="s">
        <v>333</v>
      </c>
      <c r="E141" s="159" t="s">
        <v>334</v>
      </c>
      <c r="H141" s="171" t="s">
        <v>247</v>
      </c>
      <c r="I141" s="171" t="str">
        <f t="shared" si="7"/>
        <v>SC007</v>
      </c>
      <c r="J141" s="159" t="str">
        <f t="shared" si="9"/>
        <v>SCM Warehouse &amp; Inventory</v>
      </c>
      <c r="L141" s="159" t="str">
        <f t="shared" si="10"/>
        <v>10301SC007</v>
      </c>
    </row>
    <row r="142" spans="2:12" outlineLevel="1" x14ac:dyDescent="0.25">
      <c r="B142" s="159" t="s">
        <v>247</v>
      </c>
      <c r="C142" s="159" t="s">
        <v>1470</v>
      </c>
      <c r="D142" s="159" t="s">
        <v>1473</v>
      </c>
      <c r="E142" s="159" t="s">
        <v>1482</v>
      </c>
      <c r="H142" s="171" t="s">
        <v>247</v>
      </c>
      <c r="I142" s="171" t="str">
        <f t="shared" si="7"/>
        <v>SC009</v>
      </c>
      <c r="J142" s="159" t="str">
        <f t="shared" si="9"/>
        <v>SCM Warehouse &amp; Inventory</v>
      </c>
      <c r="L142" s="159" t="str">
        <f t="shared" si="10"/>
        <v>10301SC009</v>
      </c>
    </row>
    <row r="143" spans="2:12" outlineLevel="1" x14ac:dyDescent="0.25">
      <c r="B143" s="159" t="s">
        <v>1474</v>
      </c>
      <c r="C143" s="159" t="s">
        <v>32</v>
      </c>
      <c r="D143" s="159" t="s">
        <v>252</v>
      </c>
      <c r="E143" s="159" t="s">
        <v>330</v>
      </c>
      <c r="H143" s="171" t="s">
        <v>1490</v>
      </c>
      <c r="I143" s="171" t="str">
        <f t="shared" si="7"/>
        <v>SC001</v>
      </c>
      <c r="J143" s="159" t="str">
        <f t="shared" si="9"/>
        <v>Strategic Sourcing &amp; Procurement</v>
      </c>
      <c r="L143" s="159" t="str">
        <f t="shared" si="10"/>
        <v>10301SC001</v>
      </c>
    </row>
    <row r="144" spans="2:12" outlineLevel="1" x14ac:dyDescent="0.25">
      <c r="B144" s="159" t="s">
        <v>1474</v>
      </c>
      <c r="C144" s="159" t="s">
        <v>32</v>
      </c>
      <c r="D144" s="159" t="s">
        <v>1476</v>
      </c>
      <c r="E144" s="159" t="s">
        <v>1484</v>
      </c>
      <c r="H144" s="171" t="s">
        <v>1490</v>
      </c>
      <c r="I144" s="171" t="str">
        <f t="shared" si="7"/>
        <v>SC008</v>
      </c>
      <c r="J144" s="159" t="str">
        <f t="shared" si="9"/>
        <v>Strategic Sourcing &amp; Procurement</v>
      </c>
      <c r="L144" s="159" t="str">
        <f t="shared" si="10"/>
        <v>10301SC008</v>
      </c>
    </row>
    <row r="145" spans="2:12" outlineLevel="1" x14ac:dyDescent="0.25">
      <c r="B145" s="159" t="s">
        <v>1474</v>
      </c>
      <c r="C145" s="159" t="s">
        <v>236</v>
      </c>
      <c r="D145" s="159" t="s">
        <v>251</v>
      </c>
      <c r="E145" s="159" t="s">
        <v>335</v>
      </c>
      <c r="H145" s="171" t="s">
        <v>1489</v>
      </c>
      <c r="I145" s="171" t="str">
        <f t="shared" si="7"/>
        <v>SM001</v>
      </c>
      <c r="J145" s="159" t="str">
        <f t="shared" si="9"/>
        <v>Sales</v>
      </c>
      <c r="L145" s="159" t="str">
        <f t="shared" si="10"/>
        <v>10301SM001</v>
      </c>
    </row>
    <row r="146" spans="2:12" outlineLevel="1" x14ac:dyDescent="0.25">
      <c r="B146" s="159" t="s">
        <v>1474</v>
      </c>
      <c r="C146" s="159" t="s">
        <v>236</v>
      </c>
      <c r="D146" s="159" t="s">
        <v>1475</v>
      </c>
      <c r="E146" s="159" t="s">
        <v>1485</v>
      </c>
      <c r="H146" s="171" t="s">
        <v>1489</v>
      </c>
      <c r="I146" s="171" t="str">
        <f t="shared" si="7"/>
        <v>SM004</v>
      </c>
      <c r="J146" s="159" t="str">
        <f t="shared" si="9"/>
        <v>Sales</v>
      </c>
      <c r="L146" s="159" t="str">
        <f t="shared" si="10"/>
        <v>10301SM004</v>
      </c>
    </row>
    <row r="147" spans="2:12" outlineLevel="1" x14ac:dyDescent="0.25"/>
    <row r="148" spans="2:12" s="156" customFormat="1" x14ac:dyDescent="0.25">
      <c r="B148" s="155" t="s">
        <v>1488</v>
      </c>
      <c r="H148" s="167"/>
      <c r="I148" s="167"/>
    </row>
    <row r="150" spans="2:12" s="75" customFormat="1" x14ac:dyDescent="0.25">
      <c r="B150" s="94" t="s">
        <v>906</v>
      </c>
      <c r="H150" s="169"/>
      <c r="I150" s="169"/>
    </row>
    <row r="151" spans="2:12" s="75" customFormat="1" outlineLevel="1" x14ac:dyDescent="0.25">
      <c r="B151" s="95" t="s">
        <v>1028</v>
      </c>
      <c r="C151" s="95" t="s">
        <v>1027</v>
      </c>
      <c r="D151" s="125" t="s">
        <v>987</v>
      </c>
      <c r="E151" s="125" t="s">
        <v>988</v>
      </c>
      <c r="H151" s="95" t="s">
        <v>1028</v>
      </c>
    </row>
    <row r="152" spans="2:12" s="75" customFormat="1" outlineLevel="1" x14ac:dyDescent="0.25">
      <c r="B152" s="137">
        <v>50200010</v>
      </c>
      <c r="C152" s="110" t="s">
        <v>907</v>
      </c>
      <c r="D152" s="138" t="s">
        <v>466</v>
      </c>
      <c r="E152" s="138" t="s">
        <v>989</v>
      </c>
      <c r="H152" s="169">
        <f t="shared" ref="H152:H183" si="11">B152</f>
        <v>50200010</v>
      </c>
    </row>
    <row r="153" spans="2:12" s="75" customFormat="1" outlineLevel="1" x14ac:dyDescent="0.25">
      <c r="B153" s="137">
        <v>50300010</v>
      </c>
      <c r="C153" s="110" t="s">
        <v>48</v>
      </c>
      <c r="D153" s="139" t="s">
        <v>467</v>
      </c>
      <c r="E153" s="139" t="s">
        <v>50</v>
      </c>
      <c r="H153" s="169">
        <f t="shared" si="11"/>
        <v>50300010</v>
      </c>
    </row>
    <row r="154" spans="2:12" s="75" customFormat="1" outlineLevel="1" x14ac:dyDescent="0.25">
      <c r="B154" s="137">
        <v>50300020</v>
      </c>
      <c r="C154" s="110" t="s">
        <v>51</v>
      </c>
      <c r="D154" s="110" t="s">
        <v>467</v>
      </c>
      <c r="E154" s="139" t="s">
        <v>50</v>
      </c>
      <c r="H154" s="169">
        <f t="shared" si="11"/>
        <v>50300020</v>
      </c>
    </row>
    <row r="155" spans="2:12" s="75" customFormat="1" outlineLevel="1" x14ac:dyDescent="0.25">
      <c r="B155" s="137">
        <v>50300030</v>
      </c>
      <c r="C155" s="110" t="s">
        <v>53</v>
      </c>
      <c r="D155" s="110" t="s">
        <v>467</v>
      </c>
      <c r="E155" s="139" t="s">
        <v>50</v>
      </c>
      <c r="H155" s="169">
        <f t="shared" si="11"/>
        <v>50300030</v>
      </c>
    </row>
    <row r="156" spans="2:12" s="75" customFormat="1" outlineLevel="1" x14ac:dyDescent="0.25">
      <c r="B156" s="137">
        <v>50300040</v>
      </c>
      <c r="C156" s="110" t="s">
        <v>55</v>
      </c>
      <c r="D156" s="110" t="s">
        <v>467</v>
      </c>
      <c r="E156" s="139" t="s">
        <v>50</v>
      </c>
      <c r="H156" s="169">
        <f t="shared" si="11"/>
        <v>50300040</v>
      </c>
    </row>
    <row r="157" spans="2:12" s="75" customFormat="1" outlineLevel="1" x14ac:dyDescent="0.25">
      <c r="B157" s="137">
        <v>50300050</v>
      </c>
      <c r="C157" s="110" t="s">
        <v>57</v>
      </c>
      <c r="D157" s="110" t="s">
        <v>467</v>
      </c>
      <c r="E157" s="139" t="s">
        <v>50</v>
      </c>
      <c r="H157" s="169">
        <f t="shared" si="11"/>
        <v>50300050</v>
      </c>
    </row>
    <row r="158" spans="2:12" s="75" customFormat="1" outlineLevel="1" x14ac:dyDescent="0.25">
      <c r="B158" s="137">
        <v>50300060</v>
      </c>
      <c r="C158" s="110" t="s">
        <v>908</v>
      </c>
      <c r="D158" s="110" t="s">
        <v>467</v>
      </c>
      <c r="E158" s="139" t="s">
        <v>50</v>
      </c>
      <c r="H158" s="169">
        <f t="shared" si="11"/>
        <v>50300060</v>
      </c>
    </row>
    <row r="159" spans="2:12" s="75" customFormat="1" outlineLevel="1" x14ac:dyDescent="0.25">
      <c r="B159" s="137">
        <v>50300070</v>
      </c>
      <c r="C159" s="110" t="s">
        <v>512</v>
      </c>
      <c r="D159" s="113" t="s">
        <v>467</v>
      </c>
      <c r="E159" s="139" t="s">
        <v>50</v>
      </c>
      <c r="H159" s="169">
        <f t="shared" si="11"/>
        <v>50300070</v>
      </c>
    </row>
    <row r="160" spans="2:12" s="75" customFormat="1" outlineLevel="1" x14ac:dyDescent="0.25">
      <c r="B160" s="137">
        <v>50300080</v>
      </c>
      <c r="C160" s="110" t="s">
        <v>63</v>
      </c>
      <c r="D160" s="113" t="s">
        <v>467</v>
      </c>
      <c r="E160" s="139" t="s">
        <v>50</v>
      </c>
      <c r="H160" s="169">
        <f t="shared" si="11"/>
        <v>50300080</v>
      </c>
    </row>
    <row r="161" spans="2:8" s="75" customFormat="1" outlineLevel="1" x14ac:dyDescent="0.25">
      <c r="B161" s="137">
        <v>50300090</v>
      </c>
      <c r="C161" s="110" t="s">
        <v>65</v>
      </c>
      <c r="D161" s="113" t="s">
        <v>467</v>
      </c>
      <c r="E161" s="139" t="s">
        <v>50</v>
      </c>
      <c r="H161" s="169">
        <f t="shared" si="11"/>
        <v>50300090</v>
      </c>
    </row>
    <row r="162" spans="2:8" s="75" customFormat="1" outlineLevel="1" x14ac:dyDescent="0.25">
      <c r="B162" s="137">
        <v>50300100</v>
      </c>
      <c r="C162" s="110" t="s">
        <v>67</v>
      </c>
      <c r="D162" s="113" t="s">
        <v>467</v>
      </c>
      <c r="E162" s="139" t="s">
        <v>50</v>
      </c>
      <c r="H162" s="169">
        <f t="shared" si="11"/>
        <v>50300100</v>
      </c>
    </row>
    <row r="163" spans="2:8" s="75" customFormat="1" outlineLevel="1" x14ac:dyDescent="0.25">
      <c r="B163" s="137">
        <v>50300110</v>
      </c>
      <c r="C163" s="110" t="s">
        <v>909</v>
      </c>
      <c r="D163" s="113" t="s">
        <v>467</v>
      </c>
      <c r="E163" s="139" t="s">
        <v>50</v>
      </c>
      <c r="H163" s="169">
        <f t="shared" si="11"/>
        <v>50300110</v>
      </c>
    </row>
    <row r="164" spans="2:8" s="75" customFormat="1" outlineLevel="1" x14ac:dyDescent="0.25">
      <c r="B164" s="137">
        <v>50300120</v>
      </c>
      <c r="C164" s="110" t="s">
        <v>910</v>
      </c>
      <c r="D164" s="113" t="s">
        <v>467</v>
      </c>
      <c r="E164" s="139" t="s">
        <v>50</v>
      </c>
      <c r="H164" s="169">
        <f t="shared" si="11"/>
        <v>50300120</v>
      </c>
    </row>
    <row r="165" spans="2:8" s="75" customFormat="1" outlineLevel="1" x14ac:dyDescent="0.25">
      <c r="B165" s="137">
        <v>50300990</v>
      </c>
      <c r="C165" s="110" t="s">
        <v>71</v>
      </c>
      <c r="D165" s="113" t="s">
        <v>467</v>
      </c>
      <c r="E165" s="139" t="s">
        <v>50</v>
      </c>
      <c r="H165" s="169">
        <f t="shared" si="11"/>
        <v>50300990</v>
      </c>
    </row>
    <row r="166" spans="2:8" s="75" customFormat="1" ht="30" outlineLevel="1" x14ac:dyDescent="0.25">
      <c r="B166" s="137">
        <v>50400010</v>
      </c>
      <c r="C166" s="110" t="s">
        <v>911</v>
      </c>
      <c r="D166" s="113" t="s">
        <v>468</v>
      </c>
      <c r="E166" s="139" t="s">
        <v>50</v>
      </c>
      <c r="H166" s="169">
        <f t="shared" si="11"/>
        <v>50400010</v>
      </c>
    </row>
    <row r="167" spans="2:8" s="75" customFormat="1" outlineLevel="1" x14ac:dyDescent="0.25">
      <c r="B167" s="137">
        <v>50500010</v>
      </c>
      <c r="C167" s="110" t="s">
        <v>912</v>
      </c>
      <c r="D167" s="113" t="s">
        <v>469</v>
      </c>
      <c r="E167" s="138" t="s">
        <v>989</v>
      </c>
      <c r="H167" s="169">
        <f t="shared" si="11"/>
        <v>50500010</v>
      </c>
    </row>
    <row r="168" spans="2:8" s="75" customFormat="1" outlineLevel="1" x14ac:dyDescent="0.25">
      <c r="B168" s="137">
        <v>50500020</v>
      </c>
      <c r="C168" s="110" t="s">
        <v>513</v>
      </c>
      <c r="D168" s="113" t="s">
        <v>469</v>
      </c>
      <c r="E168" s="138" t="s">
        <v>989</v>
      </c>
      <c r="H168" s="169">
        <f t="shared" si="11"/>
        <v>50500020</v>
      </c>
    </row>
    <row r="169" spans="2:8" s="75" customFormat="1" outlineLevel="1" x14ac:dyDescent="0.25">
      <c r="B169" s="137">
        <v>50500030</v>
      </c>
      <c r="C169" s="110" t="s">
        <v>913</v>
      </c>
      <c r="D169" s="113" t="s">
        <v>469</v>
      </c>
      <c r="E169" s="138" t="s">
        <v>989</v>
      </c>
      <c r="H169" s="169">
        <f t="shared" si="11"/>
        <v>50500030</v>
      </c>
    </row>
    <row r="170" spans="2:8" s="75" customFormat="1" outlineLevel="1" x14ac:dyDescent="0.25">
      <c r="B170" s="137">
        <v>50500040</v>
      </c>
      <c r="C170" s="110" t="s">
        <v>111</v>
      </c>
      <c r="D170" s="113" t="s">
        <v>469</v>
      </c>
      <c r="E170" s="138" t="s">
        <v>989</v>
      </c>
      <c r="H170" s="169">
        <f t="shared" si="11"/>
        <v>50500040</v>
      </c>
    </row>
    <row r="171" spans="2:8" s="75" customFormat="1" outlineLevel="1" x14ac:dyDescent="0.25">
      <c r="B171" s="137">
        <v>50600010</v>
      </c>
      <c r="C171" s="110" t="s">
        <v>426</v>
      </c>
      <c r="D171" s="113" t="s">
        <v>470</v>
      </c>
      <c r="E171" s="138" t="s">
        <v>989</v>
      </c>
      <c r="H171" s="169">
        <f t="shared" si="11"/>
        <v>50600010</v>
      </c>
    </row>
    <row r="172" spans="2:8" s="75" customFormat="1" outlineLevel="1" x14ac:dyDescent="0.25">
      <c r="B172" s="137">
        <v>50600020</v>
      </c>
      <c r="C172" s="110" t="s">
        <v>427</v>
      </c>
      <c r="D172" s="113" t="s">
        <v>470</v>
      </c>
      <c r="E172" s="138" t="s">
        <v>989</v>
      </c>
      <c r="H172" s="169">
        <f t="shared" si="11"/>
        <v>50600020</v>
      </c>
    </row>
    <row r="173" spans="2:8" s="75" customFormat="1" outlineLevel="1" x14ac:dyDescent="0.25">
      <c r="B173" s="137">
        <v>50600030</v>
      </c>
      <c r="C173" s="110" t="s">
        <v>914</v>
      </c>
      <c r="D173" s="113" t="s">
        <v>470</v>
      </c>
      <c r="E173" s="138" t="s">
        <v>989</v>
      </c>
      <c r="H173" s="169">
        <f t="shared" si="11"/>
        <v>50600030</v>
      </c>
    </row>
    <row r="174" spans="2:8" s="75" customFormat="1" ht="30" outlineLevel="1" x14ac:dyDescent="0.25">
      <c r="B174" s="137">
        <v>50600040</v>
      </c>
      <c r="C174" s="110" t="s">
        <v>429</v>
      </c>
      <c r="D174" s="113" t="s">
        <v>470</v>
      </c>
      <c r="E174" s="138" t="s">
        <v>989</v>
      </c>
      <c r="H174" s="169">
        <f t="shared" si="11"/>
        <v>50600040</v>
      </c>
    </row>
    <row r="175" spans="2:8" s="75" customFormat="1" outlineLevel="1" x14ac:dyDescent="0.25">
      <c r="B175" s="137">
        <v>50800010</v>
      </c>
      <c r="C175" s="110" t="s">
        <v>915</v>
      </c>
      <c r="D175" s="113" t="s">
        <v>471</v>
      </c>
      <c r="E175" s="138" t="s">
        <v>989</v>
      </c>
      <c r="H175" s="169">
        <f t="shared" si="11"/>
        <v>50800010</v>
      </c>
    </row>
    <row r="176" spans="2:8" s="75" customFormat="1" outlineLevel="1" x14ac:dyDescent="0.25">
      <c r="B176" s="137">
        <v>50800020</v>
      </c>
      <c r="C176" s="110" t="s">
        <v>119</v>
      </c>
      <c r="D176" s="113" t="s">
        <v>471</v>
      </c>
      <c r="E176" s="138" t="s">
        <v>989</v>
      </c>
      <c r="H176" s="169">
        <f t="shared" si="11"/>
        <v>50800020</v>
      </c>
    </row>
    <row r="177" spans="2:8" s="75" customFormat="1" outlineLevel="1" x14ac:dyDescent="0.25">
      <c r="B177" s="137">
        <v>50800030</v>
      </c>
      <c r="C177" s="110" t="s">
        <v>122</v>
      </c>
      <c r="D177" s="113" t="s">
        <v>471</v>
      </c>
      <c r="E177" s="138" t="s">
        <v>989</v>
      </c>
      <c r="H177" s="169">
        <f t="shared" si="11"/>
        <v>50800030</v>
      </c>
    </row>
    <row r="178" spans="2:8" s="75" customFormat="1" outlineLevel="1" x14ac:dyDescent="0.25">
      <c r="B178" s="137">
        <v>50800040</v>
      </c>
      <c r="C178" s="110" t="s">
        <v>124</v>
      </c>
      <c r="D178" s="113" t="s">
        <v>471</v>
      </c>
      <c r="E178" s="138" t="s">
        <v>989</v>
      </c>
      <c r="H178" s="169">
        <f t="shared" si="11"/>
        <v>50800040</v>
      </c>
    </row>
    <row r="179" spans="2:8" s="75" customFormat="1" outlineLevel="1" x14ac:dyDescent="0.25">
      <c r="B179" s="137">
        <v>50800050</v>
      </c>
      <c r="C179" s="110" t="s">
        <v>126</v>
      </c>
      <c r="D179" s="113" t="s">
        <v>471</v>
      </c>
      <c r="E179" s="138" t="s">
        <v>989</v>
      </c>
      <c r="H179" s="169">
        <f t="shared" si="11"/>
        <v>50800050</v>
      </c>
    </row>
    <row r="180" spans="2:8" s="75" customFormat="1" outlineLevel="1" x14ac:dyDescent="0.25">
      <c r="B180" s="137">
        <v>50800060</v>
      </c>
      <c r="C180" s="110" t="s">
        <v>128</v>
      </c>
      <c r="D180" s="113" t="s">
        <v>471</v>
      </c>
      <c r="E180" s="138" t="s">
        <v>989</v>
      </c>
      <c r="H180" s="169">
        <f t="shared" si="11"/>
        <v>50800060</v>
      </c>
    </row>
    <row r="181" spans="2:8" s="75" customFormat="1" outlineLevel="1" x14ac:dyDescent="0.25">
      <c r="B181" s="137">
        <v>50800070</v>
      </c>
      <c r="C181" s="110" t="s">
        <v>131</v>
      </c>
      <c r="D181" s="113" t="s">
        <v>471</v>
      </c>
      <c r="E181" s="138" t="s">
        <v>989</v>
      </c>
      <c r="H181" s="169">
        <f t="shared" si="11"/>
        <v>50800070</v>
      </c>
    </row>
    <row r="182" spans="2:8" s="75" customFormat="1" outlineLevel="1" x14ac:dyDescent="0.25">
      <c r="B182" s="137">
        <v>51100000</v>
      </c>
      <c r="C182" s="110" t="s">
        <v>430</v>
      </c>
      <c r="D182" s="113" t="s">
        <v>472</v>
      </c>
      <c r="E182" s="138" t="s">
        <v>989</v>
      </c>
      <c r="H182" s="169">
        <f t="shared" si="11"/>
        <v>51100000</v>
      </c>
    </row>
    <row r="183" spans="2:8" s="75" customFormat="1" outlineLevel="1" x14ac:dyDescent="0.25">
      <c r="B183" s="137">
        <v>51300010</v>
      </c>
      <c r="C183" s="110" t="s">
        <v>440</v>
      </c>
      <c r="D183" s="113" t="s">
        <v>474</v>
      </c>
      <c r="E183" s="113" t="s">
        <v>250</v>
      </c>
      <c r="H183" s="169">
        <f t="shared" si="11"/>
        <v>51300010</v>
      </c>
    </row>
    <row r="184" spans="2:8" s="75" customFormat="1" outlineLevel="1" x14ac:dyDescent="0.25">
      <c r="B184" s="137">
        <v>51300040</v>
      </c>
      <c r="C184" s="110" t="s">
        <v>443</v>
      </c>
      <c r="D184" s="113" t="s">
        <v>474</v>
      </c>
      <c r="E184" s="113" t="s">
        <v>250</v>
      </c>
      <c r="H184" s="169">
        <f t="shared" ref="H184:H215" si="12">B184</f>
        <v>51300040</v>
      </c>
    </row>
    <row r="185" spans="2:8" s="75" customFormat="1" outlineLevel="1" x14ac:dyDescent="0.25">
      <c r="B185" s="137">
        <v>51300050</v>
      </c>
      <c r="C185" s="110" t="s">
        <v>444</v>
      </c>
      <c r="D185" s="113" t="s">
        <v>474</v>
      </c>
      <c r="E185" s="113" t="s">
        <v>250</v>
      </c>
      <c r="H185" s="169">
        <f t="shared" si="12"/>
        <v>51300050</v>
      </c>
    </row>
    <row r="186" spans="2:8" s="75" customFormat="1" outlineLevel="1" x14ac:dyDescent="0.25">
      <c r="B186" s="137">
        <v>51300060</v>
      </c>
      <c r="C186" s="110" t="s">
        <v>445</v>
      </c>
      <c r="D186" s="113" t="s">
        <v>474</v>
      </c>
      <c r="E186" s="113" t="s">
        <v>250</v>
      </c>
      <c r="H186" s="169">
        <f t="shared" si="12"/>
        <v>51300060</v>
      </c>
    </row>
    <row r="187" spans="2:8" s="75" customFormat="1" outlineLevel="1" x14ac:dyDescent="0.25">
      <c r="B187" s="137">
        <v>51300090</v>
      </c>
      <c r="C187" s="110" t="s">
        <v>448</v>
      </c>
      <c r="D187" s="113" t="s">
        <v>474</v>
      </c>
      <c r="E187" s="113" t="s">
        <v>250</v>
      </c>
      <c r="H187" s="169">
        <f t="shared" si="12"/>
        <v>51300090</v>
      </c>
    </row>
    <row r="188" spans="2:8" s="75" customFormat="1" outlineLevel="1" x14ac:dyDescent="0.25">
      <c r="B188" s="137">
        <v>51500010</v>
      </c>
      <c r="C188" s="110" t="s">
        <v>916</v>
      </c>
      <c r="D188" s="113" t="s">
        <v>476</v>
      </c>
      <c r="E188" s="138" t="s">
        <v>989</v>
      </c>
      <c r="H188" s="169">
        <f t="shared" si="12"/>
        <v>51500010</v>
      </c>
    </row>
    <row r="189" spans="2:8" s="75" customFormat="1" outlineLevel="1" x14ac:dyDescent="0.25">
      <c r="B189" s="137">
        <v>51600010</v>
      </c>
      <c r="C189" s="110" t="s">
        <v>147</v>
      </c>
      <c r="D189" s="113" t="s">
        <v>477</v>
      </c>
      <c r="E189" s="138" t="s">
        <v>989</v>
      </c>
      <c r="H189" s="169">
        <f t="shared" si="12"/>
        <v>51600010</v>
      </c>
    </row>
    <row r="190" spans="2:8" s="75" customFormat="1" outlineLevel="1" x14ac:dyDescent="0.25">
      <c r="B190" s="137">
        <v>51600020</v>
      </c>
      <c r="C190" s="110" t="s">
        <v>148</v>
      </c>
      <c r="D190" s="113" t="s">
        <v>477</v>
      </c>
      <c r="E190" s="138" t="s">
        <v>989</v>
      </c>
      <c r="H190" s="169">
        <f t="shared" si="12"/>
        <v>51600020</v>
      </c>
    </row>
    <row r="191" spans="2:8" s="75" customFormat="1" outlineLevel="1" x14ac:dyDescent="0.25">
      <c r="B191" s="137">
        <v>51600030</v>
      </c>
      <c r="C191" s="110" t="s">
        <v>150</v>
      </c>
      <c r="D191" s="113" t="s">
        <v>477</v>
      </c>
      <c r="E191" s="138" t="s">
        <v>989</v>
      </c>
      <c r="H191" s="169">
        <f t="shared" si="12"/>
        <v>51600030</v>
      </c>
    </row>
    <row r="192" spans="2:8" s="75" customFormat="1" ht="30" outlineLevel="1" x14ac:dyDescent="0.25">
      <c r="B192" s="137">
        <v>51600040</v>
      </c>
      <c r="C192" s="110" t="s">
        <v>151</v>
      </c>
      <c r="D192" s="113" t="s">
        <v>477</v>
      </c>
      <c r="E192" s="138" t="s">
        <v>989</v>
      </c>
      <c r="H192" s="169">
        <f t="shared" si="12"/>
        <v>51600040</v>
      </c>
    </row>
    <row r="193" spans="2:8" s="75" customFormat="1" outlineLevel="1" x14ac:dyDescent="0.25">
      <c r="B193" s="137">
        <v>51600050</v>
      </c>
      <c r="C193" s="110" t="s">
        <v>451</v>
      </c>
      <c r="D193" s="113" t="s">
        <v>477</v>
      </c>
      <c r="E193" s="138" t="s">
        <v>989</v>
      </c>
      <c r="H193" s="169">
        <f t="shared" si="12"/>
        <v>51600050</v>
      </c>
    </row>
    <row r="194" spans="2:8" s="75" customFormat="1" outlineLevel="1" x14ac:dyDescent="0.25">
      <c r="B194" s="137">
        <v>51600070</v>
      </c>
      <c r="C194" s="110" t="s">
        <v>152</v>
      </c>
      <c r="D194" s="113" t="s">
        <v>477</v>
      </c>
      <c r="E194" s="138" t="s">
        <v>989</v>
      </c>
      <c r="H194" s="169">
        <f t="shared" si="12"/>
        <v>51600070</v>
      </c>
    </row>
    <row r="195" spans="2:8" s="75" customFormat="1" outlineLevel="1" x14ac:dyDescent="0.25">
      <c r="B195" s="137">
        <v>51700010</v>
      </c>
      <c r="C195" s="110" t="s">
        <v>153</v>
      </c>
      <c r="D195" s="113" t="s">
        <v>478</v>
      </c>
      <c r="E195" s="138" t="s">
        <v>989</v>
      </c>
      <c r="H195" s="169">
        <f t="shared" si="12"/>
        <v>51700010</v>
      </c>
    </row>
    <row r="196" spans="2:8" s="75" customFormat="1" outlineLevel="1" x14ac:dyDescent="0.25">
      <c r="B196" s="137">
        <v>51700030</v>
      </c>
      <c r="C196" s="110" t="s">
        <v>155</v>
      </c>
      <c r="D196" s="113" t="s">
        <v>478</v>
      </c>
      <c r="E196" s="138" t="s">
        <v>989</v>
      </c>
      <c r="H196" s="169">
        <f t="shared" si="12"/>
        <v>51700030</v>
      </c>
    </row>
    <row r="197" spans="2:8" s="75" customFormat="1" outlineLevel="1" x14ac:dyDescent="0.25">
      <c r="B197" s="137">
        <v>51700040</v>
      </c>
      <c r="C197" s="110" t="s">
        <v>157</v>
      </c>
      <c r="D197" s="113" t="s">
        <v>478</v>
      </c>
      <c r="E197" s="138" t="s">
        <v>989</v>
      </c>
      <c r="H197" s="169">
        <f t="shared" si="12"/>
        <v>51700040</v>
      </c>
    </row>
    <row r="198" spans="2:8" s="75" customFormat="1" outlineLevel="1" x14ac:dyDescent="0.25">
      <c r="B198" s="137">
        <v>51700050</v>
      </c>
      <c r="C198" s="110" t="s">
        <v>159</v>
      </c>
      <c r="D198" s="113" t="s">
        <v>478</v>
      </c>
      <c r="E198" s="138" t="s">
        <v>989</v>
      </c>
      <c r="H198" s="169">
        <f t="shared" si="12"/>
        <v>51700050</v>
      </c>
    </row>
    <row r="199" spans="2:8" s="75" customFormat="1" outlineLevel="1" x14ac:dyDescent="0.25">
      <c r="B199" s="137">
        <v>51700060</v>
      </c>
      <c r="C199" s="110" t="s">
        <v>161</v>
      </c>
      <c r="D199" s="113" t="s">
        <v>478</v>
      </c>
      <c r="E199" s="138" t="s">
        <v>989</v>
      </c>
      <c r="H199" s="169">
        <f t="shared" si="12"/>
        <v>51700060</v>
      </c>
    </row>
    <row r="200" spans="2:8" s="75" customFormat="1" outlineLevel="1" x14ac:dyDescent="0.25">
      <c r="B200" s="137">
        <v>51700070</v>
      </c>
      <c r="C200" s="110" t="s">
        <v>163</v>
      </c>
      <c r="D200" s="113" t="s">
        <v>478</v>
      </c>
      <c r="E200" s="138" t="s">
        <v>989</v>
      </c>
      <c r="H200" s="169">
        <f t="shared" si="12"/>
        <v>51700070</v>
      </c>
    </row>
    <row r="201" spans="2:8" s="75" customFormat="1" ht="30" outlineLevel="1" x14ac:dyDescent="0.25">
      <c r="B201" s="137">
        <v>51800010</v>
      </c>
      <c r="C201" s="110" t="s">
        <v>165</v>
      </c>
      <c r="D201" s="113" t="s">
        <v>479</v>
      </c>
      <c r="E201" s="138" t="s">
        <v>989</v>
      </c>
      <c r="H201" s="169">
        <f t="shared" si="12"/>
        <v>51800010</v>
      </c>
    </row>
    <row r="202" spans="2:8" s="75" customFormat="1" outlineLevel="1" x14ac:dyDescent="0.25">
      <c r="B202" s="137">
        <v>51800020</v>
      </c>
      <c r="C202" s="110" t="s">
        <v>168</v>
      </c>
      <c r="D202" s="113" t="s">
        <v>479</v>
      </c>
      <c r="E202" s="138" t="s">
        <v>989</v>
      </c>
      <c r="H202" s="169">
        <f t="shared" si="12"/>
        <v>51800020</v>
      </c>
    </row>
    <row r="203" spans="2:8" s="75" customFormat="1" outlineLevel="1" x14ac:dyDescent="0.25">
      <c r="B203" s="137">
        <v>51800030</v>
      </c>
      <c r="C203" s="110" t="s">
        <v>170</v>
      </c>
      <c r="D203" s="113" t="s">
        <v>479</v>
      </c>
      <c r="E203" s="138" t="s">
        <v>989</v>
      </c>
      <c r="H203" s="169">
        <f t="shared" si="12"/>
        <v>51800030</v>
      </c>
    </row>
    <row r="204" spans="2:8" s="75" customFormat="1" outlineLevel="1" x14ac:dyDescent="0.25">
      <c r="B204" s="137">
        <v>51800090</v>
      </c>
      <c r="C204" s="110" t="s">
        <v>172</v>
      </c>
      <c r="D204" s="113" t="s">
        <v>479</v>
      </c>
      <c r="E204" s="138" t="s">
        <v>989</v>
      </c>
      <c r="H204" s="169">
        <f t="shared" si="12"/>
        <v>51800090</v>
      </c>
    </row>
    <row r="205" spans="2:8" s="75" customFormat="1" outlineLevel="1" x14ac:dyDescent="0.25">
      <c r="B205" s="137">
        <v>51900010</v>
      </c>
      <c r="C205" s="110" t="s">
        <v>174</v>
      </c>
      <c r="D205" s="113" t="s">
        <v>342</v>
      </c>
      <c r="E205" s="138" t="s">
        <v>989</v>
      </c>
      <c r="H205" s="169">
        <f t="shared" si="12"/>
        <v>51900010</v>
      </c>
    </row>
    <row r="206" spans="2:8" s="75" customFormat="1" outlineLevel="1" x14ac:dyDescent="0.25">
      <c r="B206" s="137">
        <v>51900020</v>
      </c>
      <c r="C206" s="110" t="s">
        <v>177</v>
      </c>
      <c r="D206" s="113" t="s">
        <v>342</v>
      </c>
      <c r="E206" s="138" t="s">
        <v>989</v>
      </c>
      <c r="H206" s="169">
        <f t="shared" si="12"/>
        <v>51900020</v>
      </c>
    </row>
    <row r="207" spans="2:8" s="75" customFormat="1" outlineLevel="1" x14ac:dyDescent="0.25">
      <c r="B207" s="137">
        <v>51900030</v>
      </c>
      <c r="C207" s="110" t="s">
        <v>180</v>
      </c>
      <c r="D207" s="113" t="s">
        <v>342</v>
      </c>
      <c r="E207" s="138" t="s">
        <v>989</v>
      </c>
      <c r="H207" s="169">
        <f t="shared" si="12"/>
        <v>51900030</v>
      </c>
    </row>
    <row r="208" spans="2:8" s="75" customFormat="1" outlineLevel="1" x14ac:dyDescent="0.25">
      <c r="B208" s="137">
        <v>51900040</v>
      </c>
      <c r="C208" s="110" t="s">
        <v>182</v>
      </c>
      <c r="D208" s="113" t="s">
        <v>342</v>
      </c>
      <c r="E208" s="138" t="s">
        <v>989</v>
      </c>
      <c r="H208" s="169">
        <f t="shared" si="12"/>
        <v>51900040</v>
      </c>
    </row>
    <row r="209" spans="2:8" s="75" customFormat="1" outlineLevel="1" x14ac:dyDescent="0.25">
      <c r="B209" s="137">
        <v>51900090</v>
      </c>
      <c r="C209" s="110" t="s">
        <v>184</v>
      </c>
      <c r="D209" s="113" t="s">
        <v>342</v>
      </c>
      <c r="E209" s="138" t="s">
        <v>989</v>
      </c>
      <c r="H209" s="169">
        <f t="shared" si="12"/>
        <v>51900090</v>
      </c>
    </row>
    <row r="210" spans="2:8" s="75" customFormat="1" outlineLevel="1" x14ac:dyDescent="0.25">
      <c r="B210" s="137">
        <v>52100010</v>
      </c>
      <c r="C210" s="110" t="s">
        <v>195</v>
      </c>
      <c r="D210" s="113" t="s">
        <v>481</v>
      </c>
      <c r="E210" s="138" t="s">
        <v>989</v>
      </c>
      <c r="H210" s="169">
        <f t="shared" si="12"/>
        <v>52100010</v>
      </c>
    </row>
    <row r="211" spans="2:8" s="75" customFormat="1" outlineLevel="1" x14ac:dyDescent="0.25">
      <c r="B211" s="137">
        <v>52100020</v>
      </c>
      <c r="C211" s="110" t="s">
        <v>198</v>
      </c>
      <c r="D211" s="113" t="s">
        <v>481</v>
      </c>
      <c r="E211" s="138" t="s">
        <v>989</v>
      </c>
      <c r="H211" s="169">
        <f t="shared" si="12"/>
        <v>52100020</v>
      </c>
    </row>
    <row r="212" spans="2:8" s="75" customFormat="1" outlineLevel="1" x14ac:dyDescent="0.25">
      <c r="B212" s="137">
        <v>52100030</v>
      </c>
      <c r="C212" s="110" t="s">
        <v>200</v>
      </c>
      <c r="D212" s="113" t="s">
        <v>481</v>
      </c>
      <c r="E212" s="138" t="s">
        <v>989</v>
      </c>
      <c r="H212" s="169">
        <f t="shared" si="12"/>
        <v>52100030</v>
      </c>
    </row>
    <row r="213" spans="2:8" s="75" customFormat="1" outlineLevel="1" x14ac:dyDescent="0.25">
      <c r="B213" s="137">
        <v>52100040</v>
      </c>
      <c r="C213" s="110" t="s">
        <v>202</v>
      </c>
      <c r="D213" s="113" t="s">
        <v>481</v>
      </c>
      <c r="E213" s="138" t="s">
        <v>989</v>
      </c>
      <c r="H213" s="169">
        <f t="shared" si="12"/>
        <v>52100040</v>
      </c>
    </row>
    <row r="214" spans="2:8" s="75" customFormat="1" outlineLevel="1" x14ac:dyDescent="0.25">
      <c r="B214" s="137">
        <v>52100050</v>
      </c>
      <c r="C214" s="110" t="s">
        <v>204</v>
      </c>
      <c r="D214" s="113" t="s">
        <v>481</v>
      </c>
      <c r="E214" s="138" t="s">
        <v>989</v>
      </c>
      <c r="H214" s="169">
        <f t="shared" si="12"/>
        <v>52100050</v>
      </c>
    </row>
    <row r="215" spans="2:8" s="75" customFormat="1" outlineLevel="1" x14ac:dyDescent="0.25">
      <c r="B215" s="137">
        <v>52200010</v>
      </c>
      <c r="C215" s="110" t="s">
        <v>206</v>
      </c>
      <c r="D215" s="113" t="s">
        <v>482</v>
      </c>
      <c r="E215" s="138" t="s">
        <v>989</v>
      </c>
      <c r="H215" s="169">
        <f t="shared" si="12"/>
        <v>52200010</v>
      </c>
    </row>
    <row r="216" spans="2:8" s="75" customFormat="1" outlineLevel="1" x14ac:dyDescent="0.25">
      <c r="B216" s="137">
        <v>52200020</v>
      </c>
      <c r="C216" s="110" t="s">
        <v>208</v>
      </c>
      <c r="D216" s="113" t="s">
        <v>482</v>
      </c>
      <c r="E216" s="138" t="s">
        <v>989</v>
      </c>
      <c r="H216" s="169">
        <f t="shared" ref="H216:H227" si="13">B216</f>
        <v>52200020</v>
      </c>
    </row>
    <row r="217" spans="2:8" s="75" customFormat="1" outlineLevel="1" x14ac:dyDescent="0.25">
      <c r="B217" s="137">
        <v>52300010</v>
      </c>
      <c r="C217" s="110" t="s">
        <v>210</v>
      </c>
      <c r="D217" s="113" t="s">
        <v>483</v>
      </c>
      <c r="E217" s="138" t="s">
        <v>989</v>
      </c>
      <c r="H217" s="169">
        <f t="shared" si="13"/>
        <v>52300010</v>
      </c>
    </row>
    <row r="218" spans="2:8" s="75" customFormat="1" outlineLevel="1" x14ac:dyDescent="0.25">
      <c r="B218" s="137">
        <v>52300020</v>
      </c>
      <c r="C218" s="110" t="s">
        <v>212</v>
      </c>
      <c r="D218" s="113" t="s">
        <v>483</v>
      </c>
      <c r="E218" s="138" t="s">
        <v>989</v>
      </c>
      <c r="H218" s="169">
        <f t="shared" si="13"/>
        <v>52300020</v>
      </c>
    </row>
    <row r="219" spans="2:8" s="75" customFormat="1" outlineLevel="1" x14ac:dyDescent="0.25">
      <c r="B219" s="137">
        <v>52400030</v>
      </c>
      <c r="C219" s="110" t="s">
        <v>214</v>
      </c>
      <c r="D219" s="113" t="s">
        <v>484</v>
      </c>
      <c r="E219" s="138" t="s">
        <v>989</v>
      </c>
      <c r="H219" s="169">
        <f t="shared" si="13"/>
        <v>52400030</v>
      </c>
    </row>
    <row r="220" spans="2:8" s="75" customFormat="1" outlineLevel="1" x14ac:dyDescent="0.25">
      <c r="B220" s="137">
        <v>52400040</v>
      </c>
      <c r="C220" s="110" t="s">
        <v>216</v>
      </c>
      <c r="D220" s="113" t="s">
        <v>484</v>
      </c>
      <c r="E220" s="138" t="s">
        <v>989</v>
      </c>
      <c r="H220" s="169">
        <f t="shared" si="13"/>
        <v>52400040</v>
      </c>
    </row>
    <row r="221" spans="2:8" s="75" customFormat="1" outlineLevel="1" x14ac:dyDescent="0.25">
      <c r="B221" s="137">
        <v>52400060</v>
      </c>
      <c r="C221" s="110" t="s">
        <v>454</v>
      </c>
      <c r="D221" s="113" t="s">
        <v>484</v>
      </c>
      <c r="E221" s="138" t="s">
        <v>989</v>
      </c>
      <c r="H221" s="169">
        <f t="shared" si="13"/>
        <v>52400060</v>
      </c>
    </row>
    <row r="222" spans="2:8" s="75" customFormat="1" outlineLevel="1" x14ac:dyDescent="0.25">
      <c r="B222" s="137">
        <v>52500010</v>
      </c>
      <c r="C222" s="110" t="s">
        <v>218</v>
      </c>
      <c r="D222" s="113" t="s">
        <v>218</v>
      </c>
      <c r="E222" s="138" t="s">
        <v>989</v>
      </c>
      <c r="H222" s="169">
        <f t="shared" si="13"/>
        <v>52500010</v>
      </c>
    </row>
    <row r="223" spans="2:8" s="75" customFormat="1" outlineLevel="1" x14ac:dyDescent="0.25">
      <c r="B223" s="137">
        <v>52600020</v>
      </c>
      <c r="C223" s="110" t="s">
        <v>223</v>
      </c>
      <c r="D223" s="113" t="s">
        <v>485</v>
      </c>
      <c r="E223" s="138" t="s">
        <v>989</v>
      </c>
      <c r="H223" s="169">
        <f t="shared" si="13"/>
        <v>52600020</v>
      </c>
    </row>
    <row r="224" spans="2:8" s="75" customFormat="1" outlineLevel="1" x14ac:dyDescent="0.25">
      <c r="B224" s="137">
        <v>52600030</v>
      </c>
      <c r="C224" s="110" t="s">
        <v>226</v>
      </c>
      <c r="D224" s="113" t="s">
        <v>485</v>
      </c>
      <c r="E224" s="138" t="s">
        <v>989</v>
      </c>
      <c r="H224" s="169">
        <f t="shared" si="13"/>
        <v>52600030</v>
      </c>
    </row>
    <row r="225" spans="2:9" s="75" customFormat="1" outlineLevel="1" x14ac:dyDescent="0.25">
      <c r="B225" s="137">
        <v>52900010</v>
      </c>
      <c r="C225" s="110" t="s">
        <v>228</v>
      </c>
      <c r="D225" s="113" t="s">
        <v>486</v>
      </c>
      <c r="E225" s="138" t="s">
        <v>989</v>
      </c>
      <c r="H225" s="169">
        <f t="shared" si="13"/>
        <v>52900010</v>
      </c>
    </row>
    <row r="226" spans="2:9" s="75" customFormat="1" outlineLevel="1" x14ac:dyDescent="0.25">
      <c r="B226" s="137">
        <v>52900020</v>
      </c>
      <c r="C226" s="110" t="s">
        <v>230</v>
      </c>
      <c r="D226" s="113" t="s">
        <v>486</v>
      </c>
      <c r="E226" s="138" t="s">
        <v>989</v>
      </c>
      <c r="H226" s="169">
        <f t="shared" si="13"/>
        <v>52900020</v>
      </c>
    </row>
    <row r="227" spans="2:9" s="75" customFormat="1" outlineLevel="1" x14ac:dyDescent="0.25">
      <c r="B227" s="137">
        <v>53100010</v>
      </c>
      <c r="C227" s="110" t="s">
        <v>457</v>
      </c>
      <c r="D227" s="113" t="s">
        <v>457</v>
      </c>
      <c r="E227" s="138" t="s">
        <v>989</v>
      </c>
      <c r="H227" s="169">
        <f t="shared" si="13"/>
        <v>53100010</v>
      </c>
    </row>
    <row r="228" spans="2:9" s="75" customFormat="1" outlineLevel="1" x14ac:dyDescent="0.25">
      <c r="B228" s="140"/>
      <c r="C228" s="115"/>
      <c r="D228" s="116"/>
      <c r="E228" s="116"/>
      <c r="H228" s="169"/>
      <c r="I228" s="169"/>
    </row>
    <row r="229" spans="2:9" s="75" customFormat="1" outlineLevel="1" x14ac:dyDescent="0.25">
      <c r="H229" s="169"/>
      <c r="I229" s="169"/>
    </row>
    <row r="230" spans="2:9" s="75" customFormat="1" outlineLevel="1" x14ac:dyDescent="0.25">
      <c r="H230" s="169"/>
      <c r="I230" s="169"/>
    </row>
    <row r="231" spans="2:9" s="75" customFormat="1" x14ac:dyDescent="0.25">
      <c r="B231" s="94" t="s">
        <v>990</v>
      </c>
      <c r="H231" s="169"/>
      <c r="I231" s="169"/>
    </row>
    <row r="232" spans="2:9" s="75" customFormat="1" outlineLevel="1" x14ac:dyDescent="0.25">
      <c r="B232" s="95" t="s">
        <v>1028</v>
      </c>
      <c r="C232" s="95" t="s">
        <v>1027</v>
      </c>
      <c r="D232" s="125" t="s">
        <v>987</v>
      </c>
      <c r="E232" s="125" t="s">
        <v>988</v>
      </c>
      <c r="H232" s="95" t="s">
        <v>1028</v>
      </c>
      <c r="I232" s="95" t="s">
        <v>493</v>
      </c>
    </row>
    <row r="233" spans="2:9" s="75" customFormat="1" outlineLevel="1" x14ac:dyDescent="0.25">
      <c r="B233" s="137">
        <v>60100010</v>
      </c>
      <c r="C233" s="110" t="s">
        <v>73</v>
      </c>
      <c r="D233" s="138" t="s">
        <v>488</v>
      </c>
      <c r="E233" s="138" t="s">
        <v>50</v>
      </c>
      <c r="H233" s="169">
        <f t="shared" ref="H233:H266" si="14">B233</f>
        <v>60100010</v>
      </c>
      <c r="I233" s="75" t="s">
        <v>494</v>
      </c>
    </row>
    <row r="234" spans="2:9" s="75" customFormat="1" outlineLevel="1" x14ac:dyDescent="0.25">
      <c r="B234" s="137">
        <v>60100020</v>
      </c>
      <c r="C234" s="110" t="s">
        <v>75</v>
      </c>
      <c r="D234" s="139" t="s">
        <v>488</v>
      </c>
      <c r="E234" s="139" t="s">
        <v>50</v>
      </c>
      <c r="H234" s="169">
        <f t="shared" si="14"/>
        <v>60100020</v>
      </c>
      <c r="I234" s="75" t="s">
        <v>494</v>
      </c>
    </row>
    <row r="235" spans="2:9" s="75" customFormat="1" outlineLevel="1" x14ac:dyDescent="0.25">
      <c r="B235" s="137">
        <v>60100030</v>
      </c>
      <c r="C235" s="110" t="s">
        <v>77</v>
      </c>
      <c r="D235" s="110" t="s">
        <v>488</v>
      </c>
      <c r="E235" s="139" t="s">
        <v>50</v>
      </c>
      <c r="H235" s="169">
        <f t="shared" si="14"/>
        <v>60100030</v>
      </c>
      <c r="I235" s="75" t="s">
        <v>494</v>
      </c>
    </row>
    <row r="236" spans="2:9" s="75" customFormat="1" outlineLevel="1" x14ac:dyDescent="0.25">
      <c r="B236" s="137">
        <v>60100040</v>
      </c>
      <c r="C236" s="110" t="s">
        <v>79</v>
      </c>
      <c r="D236" s="110" t="s">
        <v>488</v>
      </c>
      <c r="E236" s="139" t="s">
        <v>50</v>
      </c>
      <c r="H236" s="169">
        <f t="shared" si="14"/>
        <v>60100040</v>
      </c>
      <c r="I236" s="75" t="s">
        <v>494</v>
      </c>
    </row>
    <row r="237" spans="2:9" s="75" customFormat="1" outlineLevel="1" x14ac:dyDescent="0.25">
      <c r="B237" s="137">
        <v>60100050</v>
      </c>
      <c r="C237" s="110" t="s">
        <v>81</v>
      </c>
      <c r="D237" s="110" t="s">
        <v>488</v>
      </c>
      <c r="E237" s="139" t="s">
        <v>50</v>
      </c>
      <c r="H237" s="169">
        <f t="shared" si="14"/>
        <v>60100050</v>
      </c>
      <c r="I237" s="75" t="s">
        <v>494</v>
      </c>
    </row>
    <row r="238" spans="2:9" s="75" customFormat="1" outlineLevel="1" x14ac:dyDescent="0.25">
      <c r="B238" s="137">
        <v>60100060</v>
      </c>
      <c r="C238" s="110" t="s">
        <v>83</v>
      </c>
      <c r="D238" s="110" t="s">
        <v>488</v>
      </c>
      <c r="E238" s="139" t="s">
        <v>50</v>
      </c>
      <c r="H238" s="169">
        <f t="shared" si="14"/>
        <v>60100060</v>
      </c>
      <c r="I238" s="75" t="s">
        <v>494</v>
      </c>
    </row>
    <row r="239" spans="2:9" s="75" customFormat="1" outlineLevel="1" x14ac:dyDescent="0.25">
      <c r="B239" s="137">
        <v>60100070</v>
      </c>
      <c r="C239" s="110" t="s">
        <v>85</v>
      </c>
      <c r="D239" s="110" t="s">
        <v>488</v>
      </c>
      <c r="E239" s="139" t="s">
        <v>50</v>
      </c>
      <c r="H239" s="169">
        <f t="shared" si="14"/>
        <v>60100070</v>
      </c>
      <c r="I239" s="75" t="s">
        <v>494</v>
      </c>
    </row>
    <row r="240" spans="2:9" s="75" customFormat="1" outlineLevel="1" x14ac:dyDescent="0.25">
      <c r="B240" s="137">
        <v>60100080</v>
      </c>
      <c r="C240" s="110" t="s">
        <v>87</v>
      </c>
      <c r="D240" s="113" t="s">
        <v>488</v>
      </c>
      <c r="E240" s="139" t="s">
        <v>50</v>
      </c>
      <c r="H240" s="169">
        <f t="shared" si="14"/>
        <v>60100080</v>
      </c>
      <c r="I240" s="75" t="s">
        <v>494</v>
      </c>
    </row>
    <row r="241" spans="2:9" s="75" customFormat="1" outlineLevel="1" x14ac:dyDescent="0.25">
      <c r="B241" s="137">
        <v>60100090</v>
      </c>
      <c r="C241" s="110" t="s">
        <v>89</v>
      </c>
      <c r="D241" s="113" t="s">
        <v>488</v>
      </c>
      <c r="E241" s="139" t="s">
        <v>50</v>
      </c>
      <c r="H241" s="169">
        <f t="shared" si="14"/>
        <v>60100090</v>
      </c>
      <c r="I241" s="75" t="s">
        <v>494</v>
      </c>
    </row>
    <row r="242" spans="2:9" s="75" customFormat="1" outlineLevel="1" x14ac:dyDescent="0.25">
      <c r="B242" s="137">
        <v>60100100</v>
      </c>
      <c r="C242" s="110" t="s">
        <v>91</v>
      </c>
      <c r="D242" s="113" t="s">
        <v>488</v>
      </c>
      <c r="E242" s="139" t="s">
        <v>50</v>
      </c>
      <c r="H242" s="169">
        <f t="shared" si="14"/>
        <v>60100100</v>
      </c>
      <c r="I242" s="75" t="s">
        <v>494</v>
      </c>
    </row>
    <row r="243" spans="2:9" s="75" customFormat="1" outlineLevel="1" x14ac:dyDescent="0.25">
      <c r="B243" s="137">
        <v>60100110</v>
      </c>
      <c r="C243" s="110" t="s">
        <v>93</v>
      </c>
      <c r="D243" s="113" t="s">
        <v>488</v>
      </c>
      <c r="E243" s="139" t="s">
        <v>50</v>
      </c>
      <c r="H243" s="169">
        <f t="shared" si="14"/>
        <v>60100110</v>
      </c>
      <c r="I243" s="75" t="s">
        <v>494</v>
      </c>
    </row>
    <row r="244" spans="2:9" s="75" customFormat="1" outlineLevel="1" x14ac:dyDescent="0.25">
      <c r="B244" s="137">
        <v>60100120</v>
      </c>
      <c r="C244" s="110" t="s">
        <v>991</v>
      </c>
      <c r="D244" s="113" t="s">
        <v>488</v>
      </c>
      <c r="E244" s="139" t="s">
        <v>50</v>
      </c>
      <c r="H244" s="169">
        <f t="shared" si="14"/>
        <v>60100120</v>
      </c>
      <c r="I244" s="75" t="s">
        <v>494</v>
      </c>
    </row>
    <row r="245" spans="2:9" s="75" customFormat="1" outlineLevel="1" x14ac:dyDescent="0.25">
      <c r="B245" s="137">
        <v>60100990</v>
      </c>
      <c r="C245" s="110" t="s">
        <v>95</v>
      </c>
      <c r="D245" s="113" t="s">
        <v>488</v>
      </c>
      <c r="E245" s="139" t="s">
        <v>50</v>
      </c>
      <c r="H245" s="169">
        <f t="shared" si="14"/>
        <v>60100990</v>
      </c>
      <c r="I245" s="75" t="s">
        <v>494</v>
      </c>
    </row>
    <row r="246" spans="2:9" s="75" customFormat="1" outlineLevel="1" x14ac:dyDescent="0.25">
      <c r="B246" s="137">
        <v>60200010</v>
      </c>
      <c r="C246" s="110" t="s">
        <v>97</v>
      </c>
      <c r="D246" s="113" t="s">
        <v>468</v>
      </c>
      <c r="E246" s="139" t="s">
        <v>50</v>
      </c>
      <c r="H246" s="169">
        <f t="shared" si="14"/>
        <v>60200010</v>
      </c>
      <c r="I246" s="75" t="s">
        <v>496</v>
      </c>
    </row>
    <row r="247" spans="2:9" s="75" customFormat="1" outlineLevel="1" x14ac:dyDescent="0.25">
      <c r="B247" s="137">
        <v>60300010</v>
      </c>
      <c r="C247" s="110" t="s">
        <v>100</v>
      </c>
      <c r="D247" s="113" t="s">
        <v>489</v>
      </c>
      <c r="E247" s="139" t="s">
        <v>50</v>
      </c>
      <c r="H247" s="169">
        <f t="shared" si="14"/>
        <v>60300010</v>
      </c>
      <c r="I247" s="75" t="s">
        <v>469</v>
      </c>
    </row>
    <row r="248" spans="2:9" s="75" customFormat="1" outlineLevel="1" x14ac:dyDescent="0.25">
      <c r="B248" s="137">
        <v>60600010</v>
      </c>
      <c r="C248" s="110" t="s">
        <v>426</v>
      </c>
      <c r="D248" s="113" t="s">
        <v>470</v>
      </c>
      <c r="E248" s="138" t="s">
        <v>106</v>
      </c>
      <c r="H248" s="169">
        <f t="shared" si="14"/>
        <v>60600010</v>
      </c>
      <c r="I248" s="75" t="s">
        <v>470</v>
      </c>
    </row>
    <row r="249" spans="2:9" s="75" customFormat="1" outlineLevel="1" x14ac:dyDescent="0.25">
      <c r="B249" s="137">
        <v>60600020</v>
      </c>
      <c r="C249" s="110" t="s">
        <v>427</v>
      </c>
      <c r="D249" s="113" t="s">
        <v>470</v>
      </c>
      <c r="E249" s="138" t="s">
        <v>106</v>
      </c>
      <c r="H249" s="169">
        <f t="shared" si="14"/>
        <v>60600020</v>
      </c>
      <c r="I249" s="75" t="s">
        <v>470</v>
      </c>
    </row>
    <row r="250" spans="2:9" s="75" customFormat="1" outlineLevel="1" x14ac:dyDescent="0.25">
      <c r="B250" s="137">
        <v>60600030</v>
      </c>
      <c r="C250" s="110" t="s">
        <v>428</v>
      </c>
      <c r="D250" s="113" t="s">
        <v>470</v>
      </c>
      <c r="E250" s="138" t="s">
        <v>106</v>
      </c>
      <c r="H250" s="169">
        <f t="shared" si="14"/>
        <v>60600030</v>
      </c>
      <c r="I250" s="75" t="s">
        <v>470</v>
      </c>
    </row>
    <row r="251" spans="2:9" s="75" customFormat="1" outlineLevel="1" x14ac:dyDescent="0.25">
      <c r="B251" s="137">
        <v>60600050</v>
      </c>
      <c r="C251" s="110" t="s">
        <v>113</v>
      </c>
      <c r="D251" s="113" t="s">
        <v>470</v>
      </c>
      <c r="E251" s="138" t="s">
        <v>989</v>
      </c>
      <c r="H251" s="169">
        <f t="shared" si="14"/>
        <v>60600050</v>
      </c>
      <c r="I251" s="75" t="s">
        <v>470</v>
      </c>
    </row>
    <row r="252" spans="2:9" s="75" customFormat="1" outlineLevel="1" x14ac:dyDescent="0.25">
      <c r="B252" s="137">
        <v>60700010</v>
      </c>
      <c r="C252" s="110" t="s">
        <v>115</v>
      </c>
      <c r="D252" s="113" t="s">
        <v>115</v>
      </c>
      <c r="E252" s="138" t="s">
        <v>106</v>
      </c>
      <c r="H252" s="169">
        <f t="shared" si="14"/>
        <v>60700010</v>
      </c>
      <c r="I252" s="75" t="s">
        <v>115</v>
      </c>
    </row>
    <row r="253" spans="2:9" s="75" customFormat="1" outlineLevel="1" x14ac:dyDescent="0.25">
      <c r="B253" s="137">
        <v>60800010</v>
      </c>
      <c r="C253" s="110" t="s">
        <v>117</v>
      </c>
      <c r="D253" s="113" t="s">
        <v>490</v>
      </c>
      <c r="E253" s="138" t="s">
        <v>989</v>
      </c>
      <c r="H253" s="169">
        <f t="shared" si="14"/>
        <v>60800010</v>
      </c>
      <c r="I253" s="75" t="s">
        <v>497</v>
      </c>
    </row>
    <row r="254" spans="2:9" s="75" customFormat="1" outlineLevel="1" x14ac:dyDescent="0.25">
      <c r="B254" s="137">
        <v>60800020</v>
      </c>
      <c r="C254" s="110" t="s">
        <v>119</v>
      </c>
      <c r="D254" s="113" t="s">
        <v>490</v>
      </c>
      <c r="E254" s="138" t="s">
        <v>989</v>
      </c>
      <c r="H254" s="169">
        <f t="shared" si="14"/>
        <v>60800020</v>
      </c>
      <c r="I254" s="75" t="s">
        <v>497</v>
      </c>
    </row>
    <row r="255" spans="2:9" s="75" customFormat="1" outlineLevel="1" x14ac:dyDescent="0.25">
      <c r="B255" s="137">
        <v>60800030</v>
      </c>
      <c r="C255" s="110" t="s">
        <v>122</v>
      </c>
      <c r="D255" s="113" t="s">
        <v>490</v>
      </c>
      <c r="E255" s="138" t="s">
        <v>989</v>
      </c>
      <c r="H255" s="169">
        <f t="shared" si="14"/>
        <v>60800030</v>
      </c>
      <c r="I255" s="75" t="s">
        <v>497</v>
      </c>
    </row>
    <row r="256" spans="2:9" s="75" customFormat="1" outlineLevel="1" x14ac:dyDescent="0.25">
      <c r="B256" s="137">
        <v>60800040</v>
      </c>
      <c r="C256" s="110" t="s">
        <v>124</v>
      </c>
      <c r="D256" s="113" t="s">
        <v>490</v>
      </c>
      <c r="E256" s="138" t="s">
        <v>989</v>
      </c>
      <c r="H256" s="169">
        <f t="shared" si="14"/>
        <v>60800040</v>
      </c>
      <c r="I256" s="75" t="s">
        <v>497</v>
      </c>
    </row>
    <row r="257" spans="2:9" s="75" customFormat="1" outlineLevel="1" x14ac:dyDescent="0.25">
      <c r="B257" s="137">
        <v>60800050</v>
      </c>
      <c r="C257" s="110" t="s">
        <v>126</v>
      </c>
      <c r="D257" s="113" t="s">
        <v>490</v>
      </c>
      <c r="E257" s="138" t="s">
        <v>989</v>
      </c>
      <c r="H257" s="169">
        <f t="shared" si="14"/>
        <v>60800050</v>
      </c>
      <c r="I257" s="75" t="s">
        <v>497</v>
      </c>
    </row>
    <row r="258" spans="2:9" s="75" customFormat="1" outlineLevel="1" x14ac:dyDescent="0.25">
      <c r="B258" s="137">
        <v>60800060</v>
      </c>
      <c r="C258" s="110" t="s">
        <v>128</v>
      </c>
      <c r="D258" s="113" t="s">
        <v>490</v>
      </c>
      <c r="E258" s="138" t="s">
        <v>989</v>
      </c>
      <c r="H258" s="169">
        <f t="shared" si="14"/>
        <v>60800060</v>
      </c>
      <c r="I258" s="75" t="s">
        <v>497</v>
      </c>
    </row>
    <row r="259" spans="2:9" s="75" customFormat="1" outlineLevel="1" x14ac:dyDescent="0.25">
      <c r="B259" s="137">
        <v>60800070</v>
      </c>
      <c r="C259" s="110" t="s">
        <v>131</v>
      </c>
      <c r="D259" s="113" t="s">
        <v>490</v>
      </c>
      <c r="E259" s="138" t="s">
        <v>989</v>
      </c>
      <c r="H259" s="169">
        <f t="shared" si="14"/>
        <v>60800070</v>
      </c>
      <c r="I259" s="75" t="s">
        <v>497</v>
      </c>
    </row>
    <row r="260" spans="2:9" s="75" customFormat="1" outlineLevel="1" x14ac:dyDescent="0.25">
      <c r="B260" s="137">
        <v>60800080</v>
      </c>
      <c r="C260" s="110" t="s">
        <v>133</v>
      </c>
      <c r="D260" s="113" t="s">
        <v>490</v>
      </c>
      <c r="E260" s="138" t="s">
        <v>989</v>
      </c>
      <c r="H260" s="169">
        <f t="shared" si="14"/>
        <v>60800080</v>
      </c>
      <c r="I260" s="75" t="s">
        <v>497</v>
      </c>
    </row>
    <row r="261" spans="2:9" s="75" customFormat="1" outlineLevel="1" x14ac:dyDescent="0.25">
      <c r="B261" s="137">
        <v>61100010</v>
      </c>
      <c r="C261" s="110" t="s">
        <v>430</v>
      </c>
      <c r="D261" s="113" t="s">
        <v>472</v>
      </c>
      <c r="E261" s="138" t="s">
        <v>1023</v>
      </c>
      <c r="H261" s="169">
        <f t="shared" si="14"/>
        <v>61100010</v>
      </c>
      <c r="I261" s="75" t="s">
        <v>472</v>
      </c>
    </row>
    <row r="262" spans="2:9" s="75" customFormat="1" outlineLevel="1" x14ac:dyDescent="0.25">
      <c r="B262" s="137">
        <v>61200010</v>
      </c>
      <c r="C262" s="110" t="s">
        <v>431</v>
      </c>
      <c r="D262" s="113" t="s">
        <v>473</v>
      </c>
      <c r="E262" s="138" t="s">
        <v>1024</v>
      </c>
      <c r="H262" s="169">
        <f t="shared" si="14"/>
        <v>61200010</v>
      </c>
      <c r="I262" s="75" t="s">
        <v>498</v>
      </c>
    </row>
    <row r="263" spans="2:9" s="75" customFormat="1" outlineLevel="1" x14ac:dyDescent="0.25">
      <c r="B263" s="137">
        <v>61200020</v>
      </c>
      <c r="C263" s="110" t="s">
        <v>432</v>
      </c>
      <c r="D263" s="113" t="s">
        <v>473</v>
      </c>
      <c r="E263" s="138" t="s">
        <v>1024</v>
      </c>
      <c r="H263" s="169">
        <f t="shared" si="14"/>
        <v>61200020</v>
      </c>
      <c r="I263" s="75" t="s">
        <v>498</v>
      </c>
    </row>
    <row r="264" spans="2:9" s="75" customFormat="1" outlineLevel="1" x14ac:dyDescent="0.25">
      <c r="B264" s="137">
        <v>61200030</v>
      </c>
      <c r="C264" s="110" t="s">
        <v>433</v>
      </c>
      <c r="D264" s="113" t="s">
        <v>473</v>
      </c>
      <c r="E264" s="138" t="s">
        <v>1024</v>
      </c>
      <c r="H264" s="169">
        <f t="shared" si="14"/>
        <v>61200030</v>
      </c>
      <c r="I264" s="75" t="s">
        <v>498</v>
      </c>
    </row>
    <row r="265" spans="2:9" s="75" customFormat="1" outlineLevel="1" x14ac:dyDescent="0.25">
      <c r="B265" s="137">
        <v>61200040</v>
      </c>
      <c r="C265" s="110" t="s">
        <v>434</v>
      </c>
      <c r="D265" s="113" t="s">
        <v>473</v>
      </c>
      <c r="E265" s="138" t="s">
        <v>1024</v>
      </c>
      <c r="H265" s="169">
        <f t="shared" si="14"/>
        <v>61200040</v>
      </c>
      <c r="I265" s="75" t="s">
        <v>498</v>
      </c>
    </row>
    <row r="266" spans="2:9" s="75" customFormat="1" outlineLevel="1" x14ac:dyDescent="0.25">
      <c r="B266" s="137">
        <v>61200050</v>
      </c>
      <c r="C266" s="110" t="s">
        <v>435</v>
      </c>
      <c r="D266" s="113" t="s">
        <v>473</v>
      </c>
      <c r="E266" s="138" t="s">
        <v>1024</v>
      </c>
      <c r="H266" s="169">
        <f t="shared" si="14"/>
        <v>61200050</v>
      </c>
      <c r="I266" s="75" t="s">
        <v>498</v>
      </c>
    </row>
    <row r="267" spans="2:9" s="75" customFormat="1" outlineLevel="1" x14ac:dyDescent="0.25">
      <c r="B267" s="137">
        <v>61200060</v>
      </c>
      <c r="C267" s="110" t="s">
        <v>436</v>
      </c>
      <c r="D267" s="113" t="s">
        <v>473</v>
      </c>
      <c r="E267" s="138" t="s">
        <v>1024</v>
      </c>
      <c r="H267" s="169">
        <f t="shared" ref="H267:H299" si="15">B267</f>
        <v>61200060</v>
      </c>
      <c r="I267" s="75" t="s">
        <v>498</v>
      </c>
    </row>
    <row r="268" spans="2:9" s="75" customFormat="1" outlineLevel="1" x14ac:dyDescent="0.25">
      <c r="B268" s="137">
        <v>61200070</v>
      </c>
      <c r="C268" s="110" t="s">
        <v>437</v>
      </c>
      <c r="D268" s="113" t="s">
        <v>473</v>
      </c>
      <c r="E268" s="138" t="s">
        <v>1024</v>
      </c>
      <c r="H268" s="169">
        <f t="shared" si="15"/>
        <v>61200070</v>
      </c>
      <c r="I268" s="75" t="s">
        <v>498</v>
      </c>
    </row>
    <row r="269" spans="2:9" s="75" customFormat="1" outlineLevel="1" x14ac:dyDescent="0.25">
      <c r="B269" s="137">
        <v>61200080</v>
      </c>
      <c r="C269" s="110" t="s">
        <v>438</v>
      </c>
      <c r="D269" s="113" t="s">
        <v>473</v>
      </c>
      <c r="E269" s="138" t="s">
        <v>1024</v>
      </c>
      <c r="H269" s="169">
        <f t="shared" si="15"/>
        <v>61200080</v>
      </c>
      <c r="I269" s="75" t="s">
        <v>498</v>
      </c>
    </row>
    <row r="270" spans="2:9" s="75" customFormat="1" outlineLevel="1" x14ac:dyDescent="0.25">
      <c r="B270" s="137">
        <v>61200090</v>
      </c>
      <c r="C270" s="110" t="s">
        <v>439</v>
      </c>
      <c r="D270" s="113" t="s">
        <v>473</v>
      </c>
      <c r="E270" s="138" t="s">
        <v>1024</v>
      </c>
      <c r="H270" s="169">
        <f t="shared" si="15"/>
        <v>61200090</v>
      </c>
      <c r="I270" s="75" t="s">
        <v>498</v>
      </c>
    </row>
    <row r="271" spans="2:9" s="75" customFormat="1" outlineLevel="1" x14ac:dyDescent="0.25">
      <c r="B271" s="137">
        <v>61300010</v>
      </c>
      <c r="C271" s="110" t="s">
        <v>440</v>
      </c>
      <c r="D271" s="113" t="s">
        <v>474</v>
      </c>
      <c r="E271" s="138" t="s">
        <v>1024</v>
      </c>
      <c r="H271" s="169">
        <f t="shared" si="15"/>
        <v>61300010</v>
      </c>
      <c r="I271" s="75" t="s">
        <v>499</v>
      </c>
    </row>
    <row r="272" spans="2:9" s="75" customFormat="1" outlineLevel="1" x14ac:dyDescent="0.25">
      <c r="B272" s="137">
        <v>61300020</v>
      </c>
      <c r="C272" s="110" t="s">
        <v>441</v>
      </c>
      <c r="D272" s="113" t="s">
        <v>474</v>
      </c>
      <c r="E272" s="138" t="s">
        <v>1024</v>
      </c>
      <c r="H272" s="169">
        <f t="shared" si="15"/>
        <v>61300020</v>
      </c>
      <c r="I272" s="75" t="s">
        <v>499</v>
      </c>
    </row>
    <row r="273" spans="2:9" s="75" customFormat="1" outlineLevel="1" x14ac:dyDescent="0.25">
      <c r="B273" s="137">
        <v>61300030</v>
      </c>
      <c r="C273" s="110" t="s">
        <v>442</v>
      </c>
      <c r="D273" s="113" t="s">
        <v>474</v>
      </c>
      <c r="E273" s="138" t="s">
        <v>1024</v>
      </c>
      <c r="H273" s="169">
        <f t="shared" si="15"/>
        <v>61300030</v>
      </c>
      <c r="I273" s="75" t="s">
        <v>499</v>
      </c>
    </row>
    <row r="274" spans="2:9" s="75" customFormat="1" outlineLevel="1" x14ac:dyDescent="0.25">
      <c r="B274" s="137">
        <v>61300040</v>
      </c>
      <c r="C274" s="110" t="s">
        <v>443</v>
      </c>
      <c r="D274" s="113" t="s">
        <v>474</v>
      </c>
      <c r="E274" s="138" t="s">
        <v>1024</v>
      </c>
      <c r="H274" s="169">
        <f t="shared" si="15"/>
        <v>61300040</v>
      </c>
      <c r="I274" s="75" t="s">
        <v>499</v>
      </c>
    </row>
    <row r="275" spans="2:9" s="75" customFormat="1" outlineLevel="1" x14ac:dyDescent="0.25">
      <c r="B275" s="137">
        <v>61300050</v>
      </c>
      <c r="C275" s="110" t="s">
        <v>444</v>
      </c>
      <c r="D275" s="113" t="s">
        <v>474</v>
      </c>
      <c r="E275" s="138" t="s">
        <v>1024</v>
      </c>
      <c r="H275" s="169">
        <f t="shared" si="15"/>
        <v>61300050</v>
      </c>
      <c r="I275" s="75" t="s">
        <v>499</v>
      </c>
    </row>
    <row r="276" spans="2:9" s="75" customFormat="1" outlineLevel="1" x14ac:dyDescent="0.25">
      <c r="B276" s="137">
        <v>61300060</v>
      </c>
      <c r="C276" s="110" t="s">
        <v>445</v>
      </c>
      <c r="D276" s="113" t="s">
        <v>474</v>
      </c>
      <c r="E276" s="138" t="s">
        <v>1024</v>
      </c>
      <c r="H276" s="169">
        <f t="shared" si="15"/>
        <v>61300060</v>
      </c>
      <c r="I276" s="75" t="s">
        <v>499</v>
      </c>
    </row>
    <row r="277" spans="2:9" s="75" customFormat="1" outlineLevel="1" x14ac:dyDescent="0.25">
      <c r="B277" s="137">
        <v>61300070</v>
      </c>
      <c r="C277" s="110" t="s">
        <v>446</v>
      </c>
      <c r="D277" s="113" t="s">
        <v>474</v>
      </c>
      <c r="E277" s="138" t="s">
        <v>1024</v>
      </c>
      <c r="H277" s="169">
        <f t="shared" si="15"/>
        <v>61300070</v>
      </c>
      <c r="I277" s="75" t="s">
        <v>499</v>
      </c>
    </row>
    <row r="278" spans="2:9" s="75" customFormat="1" outlineLevel="1" x14ac:dyDescent="0.25">
      <c r="B278" s="137">
        <v>61300080</v>
      </c>
      <c r="C278" s="110" t="s">
        <v>447</v>
      </c>
      <c r="D278" s="113" t="s">
        <v>474</v>
      </c>
      <c r="E278" s="138" t="s">
        <v>1024</v>
      </c>
      <c r="H278" s="169">
        <f t="shared" si="15"/>
        <v>61300080</v>
      </c>
      <c r="I278" s="75" t="s">
        <v>499</v>
      </c>
    </row>
    <row r="279" spans="2:9" s="75" customFormat="1" outlineLevel="1" x14ac:dyDescent="0.25">
      <c r="B279" s="137">
        <v>61300090</v>
      </c>
      <c r="C279" s="110" t="s">
        <v>448</v>
      </c>
      <c r="D279" s="113" t="s">
        <v>474</v>
      </c>
      <c r="E279" s="138" t="s">
        <v>1024</v>
      </c>
      <c r="H279" s="169">
        <f t="shared" si="15"/>
        <v>61300090</v>
      </c>
      <c r="I279" s="75" t="s">
        <v>499</v>
      </c>
    </row>
    <row r="280" spans="2:9" s="75" customFormat="1" ht="30" outlineLevel="1" x14ac:dyDescent="0.25">
      <c r="B280" s="137">
        <v>61400010</v>
      </c>
      <c r="C280" s="110" t="s">
        <v>135</v>
      </c>
      <c r="D280" s="113" t="s">
        <v>475</v>
      </c>
      <c r="E280" s="138" t="s">
        <v>1025</v>
      </c>
      <c r="H280" s="169">
        <f t="shared" si="15"/>
        <v>61400010</v>
      </c>
      <c r="I280" s="75" t="s">
        <v>500</v>
      </c>
    </row>
    <row r="281" spans="2:9" s="75" customFormat="1" outlineLevel="1" x14ac:dyDescent="0.25">
      <c r="B281" s="137">
        <v>61400020</v>
      </c>
      <c r="C281" s="110" t="s">
        <v>449</v>
      </c>
      <c r="D281" s="113" t="s">
        <v>475</v>
      </c>
      <c r="E281" s="138" t="s">
        <v>1025</v>
      </c>
      <c r="H281" s="169">
        <f t="shared" si="15"/>
        <v>61400020</v>
      </c>
      <c r="I281" s="75" t="s">
        <v>500</v>
      </c>
    </row>
    <row r="282" spans="2:9" s="75" customFormat="1" outlineLevel="1" x14ac:dyDescent="0.25">
      <c r="B282" s="137">
        <v>61400030</v>
      </c>
      <c r="C282" s="110" t="s">
        <v>450</v>
      </c>
      <c r="D282" s="113" t="s">
        <v>475</v>
      </c>
      <c r="E282" s="138" t="s">
        <v>1025</v>
      </c>
      <c r="H282" s="169">
        <f t="shared" si="15"/>
        <v>61400030</v>
      </c>
      <c r="I282" s="75" t="s">
        <v>500</v>
      </c>
    </row>
    <row r="283" spans="2:9" s="75" customFormat="1" outlineLevel="1" x14ac:dyDescent="0.25">
      <c r="B283" s="137">
        <v>61500010</v>
      </c>
      <c r="C283" s="110" t="s">
        <v>141</v>
      </c>
      <c r="D283" s="113" t="s">
        <v>476</v>
      </c>
      <c r="E283" s="138" t="s">
        <v>989</v>
      </c>
      <c r="H283" s="169">
        <f t="shared" si="15"/>
        <v>61500010</v>
      </c>
      <c r="I283" s="75" t="s">
        <v>501</v>
      </c>
    </row>
    <row r="284" spans="2:9" s="75" customFormat="1" outlineLevel="1" x14ac:dyDescent="0.25">
      <c r="B284" s="137">
        <v>61500020</v>
      </c>
      <c r="C284" s="110" t="s">
        <v>143</v>
      </c>
      <c r="D284" s="113" t="s">
        <v>476</v>
      </c>
      <c r="E284" s="138" t="s">
        <v>50</v>
      </c>
      <c r="H284" s="169">
        <f t="shared" si="15"/>
        <v>61500020</v>
      </c>
      <c r="I284" s="75" t="s">
        <v>501</v>
      </c>
    </row>
    <row r="285" spans="2:9" s="75" customFormat="1" ht="30" outlineLevel="1" x14ac:dyDescent="0.25">
      <c r="B285" s="137">
        <v>61600010</v>
      </c>
      <c r="C285" s="110" t="s">
        <v>993</v>
      </c>
      <c r="D285" s="113" t="s">
        <v>477</v>
      </c>
      <c r="E285" s="138" t="s">
        <v>106</v>
      </c>
      <c r="H285" s="169">
        <f t="shared" si="15"/>
        <v>61600010</v>
      </c>
      <c r="I285" s="75" t="s">
        <v>502</v>
      </c>
    </row>
    <row r="286" spans="2:9" s="75" customFormat="1" outlineLevel="1" x14ac:dyDescent="0.25">
      <c r="B286" s="137">
        <v>61600030</v>
      </c>
      <c r="C286" s="110" t="s">
        <v>150</v>
      </c>
      <c r="D286" s="113" t="s">
        <v>477</v>
      </c>
      <c r="E286" s="138" t="s">
        <v>106</v>
      </c>
      <c r="H286" s="169">
        <f t="shared" si="15"/>
        <v>61600030</v>
      </c>
      <c r="I286" s="75" t="s">
        <v>502</v>
      </c>
    </row>
    <row r="287" spans="2:9" s="75" customFormat="1" ht="30" outlineLevel="1" x14ac:dyDescent="0.25">
      <c r="B287" s="137">
        <v>61600040</v>
      </c>
      <c r="C287" s="110" t="s">
        <v>151</v>
      </c>
      <c r="D287" s="113" t="s">
        <v>477</v>
      </c>
      <c r="E287" s="138" t="s">
        <v>176</v>
      </c>
      <c r="H287" s="169">
        <f t="shared" si="15"/>
        <v>61600040</v>
      </c>
      <c r="I287" s="75" t="s">
        <v>502</v>
      </c>
    </row>
    <row r="288" spans="2:9" s="75" customFormat="1" ht="30" outlineLevel="1" x14ac:dyDescent="0.25">
      <c r="B288" s="137">
        <v>61600050</v>
      </c>
      <c r="C288" s="110" t="s">
        <v>994</v>
      </c>
      <c r="D288" s="113" t="s">
        <v>477</v>
      </c>
      <c r="E288" s="138" t="s">
        <v>176</v>
      </c>
      <c r="H288" s="169">
        <f t="shared" si="15"/>
        <v>61600050</v>
      </c>
      <c r="I288" s="75" t="s">
        <v>502</v>
      </c>
    </row>
    <row r="289" spans="2:9" s="75" customFormat="1" outlineLevel="1" x14ac:dyDescent="0.25">
      <c r="B289" s="137">
        <v>61600060</v>
      </c>
      <c r="C289" s="110" t="s">
        <v>995</v>
      </c>
      <c r="D289" s="113" t="s">
        <v>477</v>
      </c>
      <c r="E289" s="138" t="s">
        <v>50</v>
      </c>
      <c r="H289" s="169">
        <f t="shared" si="15"/>
        <v>61600060</v>
      </c>
      <c r="I289" s="75" t="s">
        <v>502</v>
      </c>
    </row>
    <row r="290" spans="2:9" s="75" customFormat="1" outlineLevel="1" x14ac:dyDescent="0.25">
      <c r="B290" s="137">
        <v>61600070</v>
      </c>
      <c r="C290" s="110" t="s">
        <v>152</v>
      </c>
      <c r="D290" s="113" t="s">
        <v>477</v>
      </c>
      <c r="E290" s="138" t="s">
        <v>106</v>
      </c>
      <c r="H290" s="169">
        <f t="shared" ref="H290" si="16">B290</f>
        <v>61600070</v>
      </c>
      <c r="I290" s="75" t="s">
        <v>502</v>
      </c>
    </row>
    <row r="291" spans="2:9" s="75" customFormat="1" outlineLevel="1" x14ac:dyDescent="0.25">
      <c r="B291" s="137">
        <v>61700010</v>
      </c>
      <c r="C291" s="110" t="s">
        <v>153</v>
      </c>
      <c r="D291" s="113" t="s">
        <v>478</v>
      </c>
      <c r="E291" s="138" t="s">
        <v>1026</v>
      </c>
      <c r="H291" s="169">
        <f t="shared" si="15"/>
        <v>61700010</v>
      </c>
      <c r="I291" s="75" t="s">
        <v>503</v>
      </c>
    </row>
    <row r="292" spans="2:9" s="75" customFormat="1" outlineLevel="1" x14ac:dyDescent="0.25">
      <c r="B292" s="137">
        <v>61700030</v>
      </c>
      <c r="C292" s="110" t="s">
        <v>155</v>
      </c>
      <c r="D292" s="113" t="s">
        <v>478</v>
      </c>
      <c r="E292" s="138" t="s">
        <v>106</v>
      </c>
      <c r="H292" s="169">
        <f t="shared" si="15"/>
        <v>61700030</v>
      </c>
      <c r="I292" s="75" t="s">
        <v>503</v>
      </c>
    </row>
    <row r="293" spans="2:9" s="75" customFormat="1" outlineLevel="1" x14ac:dyDescent="0.25">
      <c r="B293" s="137">
        <v>61700040</v>
      </c>
      <c r="C293" s="110" t="s">
        <v>157</v>
      </c>
      <c r="D293" s="113" t="s">
        <v>478</v>
      </c>
      <c r="E293" s="138" t="s">
        <v>106</v>
      </c>
      <c r="H293" s="169">
        <f t="shared" si="15"/>
        <v>61700040</v>
      </c>
      <c r="I293" s="75" t="s">
        <v>503</v>
      </c>
    </row>
    <row r="294" spans="2:9" s="75" customFormat="1" outlineLevel="1" x14ac:dyDescent="0.25">
      <c r="B294" s="137">
        <v>61700050</v>
      </c>
      <c r="C294" s="110" t="s">
        <v>159</v>
      </c>
      <c r="D294" s="113" t="s">
        <v>478</v>
      </c>
      <c r="E294" s="138" t="s">
        <v>106</v>
      </c>
      <c r="H294" s="169">
        <f t="shared" si="15"/>
        <v>61700050</v>
      </c>
      <c r="I294" s="75" t="s">
        <v>503</v>
      </c>
    </row>
    <row r="295" spans="2:9" s="75" customFormat="1" outlineLevel="1" x14ac:dyDescent="0.25">
      <c r="B295" s="137">
        <v>61700060</v>
      </c>
      <c r="C295" s="110" t="s">
        <v>996</v>
      </c>
      <c r="D295" s="113" t="s">
        <v>478</v>
      </c>
      <c r="E295" s="138" t="s">
        <v>106</v>
      </c>
      <c r="H295" s="169">
        <f t="shared" si="15"/>
        <v>61700060</v>
      </c>
      <c r="I295" s="75" t="s">
        <v>503</v>
      </c>
    </row>
    <row r="296" spans="2:9" s="75" customFormat="1" outlineLevel="1" x14ac:dyDescent="0.25">
      <c r="B296" s="137">
        <v>61700070</v>
      </c>
      <c r="C296" s="110" t="s">
        <v>163</v>
      </c>
      <c r="D296" s="113" t="s">
        <v>478</v>
      </c>
      <c r="E296" s="138" t="s">
        <v>989</v>
      </c>
      <c r="H296" s="169">
        <f t="shared" si="15"/>
        <v>61700070</v>
      </c>
      <c r="I296" s="75" t="s">
        <v>503</v>
      </c>
    </row>
    <row r="297" spans="2:9" s="75" customFormat="1" ht="30" outlineLevel="1" x14ac:dyDescent="0.25">
      <c r="B297" s="137">
        <v>61800010</v>
      </c>
      <c r="C297" s="110" t="s">
        <v>165</v>
      </c>
      <c r="D297" s="113" t="s">
        <v>491</v>
      </c>
      <c r="E297" s="138" t="s">
        <v>989</v>
      </c>
      <c r="H297" s="169">
        <f t="shared" si="15"/>
        <v>61800010</v>
      </c>
      <c r="I297" s="75" t="s">
        <v>504</v>
      </c>
    </row>
    <row r="298" spans="2:9" s="75" customFormat="1" outlineLevel="1" x14ac:dyDescent="0.25">
      <c r="B298" s="137">
        <v>61800020</v>
      </c>
      <c r="C298" s="137" t="s">
        <v>168</v>
      </c>
      <c r="D298" s="137" t="s">
        <v>491</v>
      </c>
      <c r="E298" s="138" t="s">
        <v>989</v>
      </c>
      <c r="H298" s="169">
        <f t="shared" si="15"/>
        <v>61800020</v>
      </c>
      <c r="I298" s="75" t="s">
        <v>504</v>
      </c>
    </row>
    <row r="299" spans="2:9" s="75" customFormat="1" outlineLevel="1" x14ac:dyDescent="0.25">
      <c r="B299" s="137">
        <v>61800030</v>
      </c>
      <c r="C299" s="137" t="s">
        <v>170</v>
      </c>
      <c r="D299" s="137" t="s">
        <v>491</v>
      </c>
      <c r="E299" s="138" t="s">
        <v>989</v>
      </c>
      <c r="H299" s="169">
        <f t="shared" si="15"/>
        <v>61800030</v>
      </c>
      <c r="I299" s="75" t="s">
        <v>504</v>
      </c>
    </row>
    <row r="300" spans="2:9" s="75" customFormat="1" outlineLevel="1" x14ac:dyDescent="0.25">
      <c r="B300" s="137">
        <v>61800090</v>
      </c>
      <c r="C300" s="137" t="s">
        <v>172</v>
      </c>
      <c r="D300" s="137" t="s">
        <v>491</v>
      </c>
      <c r="E300" s="138" t="s">
        <v>989</v>
      </c>
      <c r="H300" s="169">
        <f t="shared" ref="H300:H330" si="17">B300</f>
        <v>61800090</v>
      </c>
      <c r="I300" s="75" t="s">
        <v>504</v>
      </c>
    </row>
    <row r="301" spans="2:9" s="75" customFormat="1" outlineLevel="1" x14ac:dyDescent="0.25">
      <c r="B301" s="137">
        <v>61900010</v>
      </c>
      <c r="C301" s="137" t="s">
        <v>174</v>
      </c>
      <c r="D301" s="137" t="s">
        <v>342</v>
      </c>
      <c r="E301" s="138" t="s">
        <v>989</v>
      </c>
      <c r="H301" s="169">
        <f t="shared" si="17"/>
        <v>61900010</v>
      </c>
      <c r="I301" s="75" t="s">
        <v>505</v>
      </c>
    </row>
    <row r="302" spans="2:9" s="75" customFormat="1" outlineLevel="1" x14ac:dyDescent="0.25">
      <c r="B302" s="137">
        <v>61900020</v>
      </c>
      <c r="C302" s="137" t="s">
        <v>177</v>
      </c>
      <c r="D302" s="137" t="s">
        <v>342</v>
      </c>
      <c r="E302" s="138" t="s">
        <v>989</v>
      </c>
      <c r="H302" s="169">
        <f t="shared" si="17"/>
        <v>61900020</v>
      </c>
      <c r="I302" s="75" t="s">
        <v>505</v>
      </c>
    </row>
    <row r="303" spans="2:9" s="75" customFormat="1" outlineLevel="1" x14ac:dyDescent="0.25">
      <c r="B303" s="137">
        <v>61900030</v>
      </c>
      <c r="C303" s="137" t="s">
        <v>180</v>
      </c>
      <c r="D303" s="137" t="s">
        <v>342</v>
      </c>
      <c r="E303" s="138" t="s">
        <v>989</v>
      </c>
      <c r="H303" s="169">
        <f t="shared" si="17"/>
        <v>61900030</v>
      </c>
      <c r="I303" s="75" t="s">
        <v>505</v>
      </c>
    </row>
    <row r="304" spans="2:9" s="75" customFormat="1" outlineLevel="1" x14ac:dyDescent="0.25">
      <c r="B304" s="137">
        <v>61900040</v>
      </c>
      <c r="C304" s="137" t="s">
        <v>182</v>
      </c>
      <c r="D304" s="137" t="s">
        <v>342</v>
      </c>
      <c r="E304" s="138" t="s">
        <v>989</v>
      </c>
      <c r="H304" s="169">
        <f t="shared" si="17"/>
        <v>61900040</v>
      </c>
      <c r="I304" s="75" t="s">
        <v>505</v>
      </c>
    </row>
    <row r="305" spans="2:9" s="75" customFormat="1" outlineLevel="1" x14ac:dyDescent="0.25">
      <c r="B305" s="137">
        <v>61900050</v>
      </c>
      <c r="C305" s="137" t="s">
        <v>581</v>
      </c>
      <c r="D305" s="137" t="s">
        <v>342</v>
      </c>
      <c r="E305" s="138" t="s">
        <v>989</v>
      </c>
      <c r="H305" s="169">
        <f t="shared" si="17"/>
        <v>61900050</v>
      </c>
      <c r="I305" s="75" t="s">
        <v>505</v>
      </c>
    </row>
    <row r="306" spans="2:9" s="75" customFormat="1" outlineLevel="1" x14ac:dyDescent="0.25">
      <c r="B306" s="137">
        <v>61900090</v>
      </c>
      <c r="C306" s="137" t="s">
        <v>184</v>
      </c>
      <c r="D306" s="137" t="s">
        <v>342</v>
      </c>
      <c r="E306" s="138" t="s">
        <v>989</v>
      </c>
      <c r="H306" s="169">
        <f t="shared" si="17"/>
        <v>61900090</v>
      </c>
      <c r="I306" s="75" t="s">
        <v>505</v>
      </c>
    </row>
    <row r="307" spans="2:9" s="75" customFormat="1" outlineLevel="1" x14ac:dyDescent="0.25">
      <c r="B307" s="137">
        <v>62000010</v>
      </c>
      <c r="C307" s="137" t="s">
        <v>186</v>
      </c>
      <c r="D307" s="137" t="s">
        <v>480</v>
      </c>
      <c r="E307" s="137" t="s">
        <v>236</v>
      </c>
      <c r="H307" s="169">
        <f t="shared" si="17"/>
        <v>62000010</v>
      </c>
      <c r="I307" s="75" t="s">
        <v>506</v>
      </c>
    </row>
    <row r="308" spans="2:9" s="75" customFormat="1" ht="30" outlineLevel="1" x14ac:dyDescent="0.25">
      <c r="B308" s="137">
        <v>62000020</v>
      </c>
      <c r="C308" s="137" t="s">
        <v>189</v>
      </c>
      <c r="D308" s="137" t="s">
        <v>480</v>
      </c>
      <c r="E308" s="137" t="s">
        <v>325</v>
      </c>
      <c r="H308" s="169">
        <f t="shared" si="17"/>
        <v>62000020</v>
      </c>
      <c r="I308" s="75" t="s">
        <v>506</v>
      </c>
    </row>
    <row r="309" spans="2:9" s="75" customFormat="1" outlineLevel="1" x14ac:dyDescent="0.25">
      <c r="B309" s="137">
        <v>62000040</v>
      </c>
      <c r="C309" s="137" t="s">
        <v>192</v>
      </c>
      <c r="D309" s="137" t="s">
        <v>480</v>
      </c>
      <c r="E309" s="138" t="s">
        <v>989</v>
      </c>
      <c r="H309" s="169">
        <f t="shared" si="17"/>
        <v>62000040</v>
      </c>
      <c r="I309" s="75" t="s">
        <v>506</v>
      </c>
    </row>
    <row r="310" spans="2:9" s="75" customFormat="1" outlineLevel="1" x14ac:dyDescent="0.25">
      <c r="B310" s="137">
        <v>62100010</v>
      </c>
      <c r="C310" s="137" t="s">
        <v>195</v>
      </c>
      <c r="D310" s="137" t="s">
        <v>481</v>
      </c>
      <c r="E310" s="137" t="s">
        <v>176</v>
      </c>
      <c r="H310" s="169">
        <f t="shared" si="17"/>
        <v>62100010</v>
      </c>
      <c r="I310" s="75" t="s">
        <v>507</v>
      </c>
    </row>
    <row r="311" spans="2:9" s="75" customFormat="1" outlineLevel="1" x14ac:dyDescent="0.25">
      <c r="B311" s="137">
        <v>62100020</v>
      </c>
      <c r="C311" s="137" t="s">
        <v>198</v>
      </c>
      <c r="D311" s="137" t="s">
        <v>481</v>
      </c>
      <c r="E311" s="137" t="s">
        <v>176</v>
      </c>
      <c r="H311" s="169">
        <f t="shared" si="17"/>
        <v>62100020</v>
      </c>
      <c r="I311" s="75" t="s">
        <v>507</v>
      </c>
    </row>
    <row r="312" spans="2:9" s="75" customFormat="1" outlineLevel="1" x14ac:dyDescent="0.25">
      <c r="B312" s="137">
        <v>62100030</v>
      </c>
      <c r="C312" s="137" t="s">
        <v>200</v>
      </c>
      <c r="D312" s="137" t="s">
        <v>481</v>
      </c>
      <c r="E312" s="137" t="s">
        <v>176</v>
      </c>
      <c r="H312" s="169">
        <f t="shared" si="17"/>
        <v>62100030</v>
      </c>
      <c r="I312" s="75" t="s">
        <v>507</v>
      </c>
    </row>
    <row r="313" spans="2:9" s="75" customFormat="1" outlineLevel="1" x14ac:dyDescent="0.25">
      <c r="B313" s="137">
        <v>62100040</v>
      </c>
      <c r="C313" s="137" t="s">
        <v>202</v>
      </c>
      <c r="D313" s="137" t="s">
        <v>481</v>
      </c>
      <c r="E313" s="137" t="s">
        <v>176</v>
      </c>
      <c r="H313" s="169">
        <f t="shared" si="17"/>
        <v>62100040</v>
      </c>
      <c r="I313" s="75" t="s">
        <v>507</v>
      </c>
    </row>
    <row r="314" spans="2:9" s="75" customFormat="1" outlineLevel="1" x14ac:dyDescent="0.25">
      <c r="B314" s="137">
        <v>62100050</v>
      </c>
      <c r="C314" s="137" t="s">
        <v>453</v>
      </c>
      <c r="D314" s="137" t="s">
        <v>481</v>
      </c>
      <c r="E314" s="137" t="s">
        <v>176</v>
      </c>
      <c r="H314" s="169">
        <f t="shared" si="17"/>
        <v>62100050</v>
      </c>
      <c r="I314" s="75" t="s">
        <v>507</v>
      </c>
    </row>
    <row r="315" spans="2:9" s="75" customFormat="1" outlineLevel="1" x14ac:dyDescent="0.25">
      <c r="B315" s="137">
        <v>62200010</v>
      </c>
      <c r="C315" s="137" t="s">
        <v>206</v>
      </c>
      <c r="D315" s="137" t="s">
        <v>482</v>
      </c>
      <c r="E315" s="138" t="s">
        <v>989</v>
      </c>
      <c r="H315" s="169">
        <f t="shared" si="17"/>
        <v>62200010</v>
      </c>
      <c r="I315" s="75" t="s">
        <v>508</v>
      </c>
    </row>
    <row r="316" spans="2:9" s="75" customFormat="1" outlineLevel="1" x14ac:dyDescent="0.25">
      <c r="B316" s="137">
        <v>62200020</v>
      </c>
      <c r="C316" s="137" t="s">
        <v>208</v>
      </c>
      <c r="D316" s="137" t="s">
        <v>482</v>
      </c>
      <c r="E316" s="138" t="s">
        <v>989</v>
      </c>
      <c r="H316" s="169">
        <f t="shared" si="17"/>
        <v>62200020</v>
      </c>
      <c r="I316" s="75" t="s">
        <v>508</v>
      </c>
    </row>
    <row r="317" spans="2:9" s="75" customFormat="1" outlineLevel="1" x14ac:dyDescent="0.25">
      <c r="B317" s="137">
        <v>62300010</v>
      </c>
      <c r="C317" s="137" t="s">
        <v>210</v>
      </c>
      <c r="D317" s="137" t="s">
        <v>483</v>
      </c>
      <c r="E317" s="138" t="s">
        <v>989</v>
      </c>
      <c r="H317" s="169">
        <f t="shared" si="17"/>
        <v>62300010</v>
      </c>
      <c r="I317" s="75" t="s">
        <v>509</v>
      </c>
    </row>
    <row r="318" spans="2:9" s="75" customFormat="1" outlineLevel="1" x14ac:dyDescent="0.25">
      <c r="B318" s="137">
        <v>62300020</v>
      </c>
      <c r="C318" s="137" t="s">
        <v>212</v>
      </c>
      <c r="D318" s="137" t="s">
        <v>483</v>
      </c>
      <c r="E318" s="138" t="s">
        <v>989</v>
      </c>
      <c r="H318" s="169">
        <f t="shared" si="17"/>
        <v>62300020</v>
      </c>
      <c r="I318" s="75" t="s">
        <v>509</v>
      </c>
    </row>
    <row r="319" spans="2:9" s="75" customFormat="1" outlineLevel="1" x14ac:dyDescent="0.25">
      <c r="B319" s="137">
        <v>62400030</v>
      </c>
      <c r="C319" s="137" t="s">
        <v>214</v>
      </c>
      <c r="D319" s="137" t="s">
        <v>484</v>
      </c>
      <c r="E319" s="138" t="s">
        <v>989</v>
      </c>
      <c r="H319" s="169">
        <f t="shared" si="17"/>
        <v>62400030</v>
      </c>
      <c r="I319" s="75" t="s">
        <v>510</v>
      </c>
    </row>
    <row r="320" spans="2:9" s="75" customFormat="1" outlineLevel="1" x14ac:dyDescent="0.25">
      <c r="B320" s="137">
        <v>62400040</v>
      </c>
      <c r="C320" s="137" t="s">
        <v>216</v>
      </c>
      <c r="D320" s="137" t="s">
        <v>484</v>
      </c>
      <c r="E320" s="138" t="s">
        <v>989</v>
      </c>
      <c r="H320" s="169">
        <f t="shared" si="17"/>
        <v>62400040</v>
      </c>
      <c r="I320" s="75" t="s">
        <v>510</v>
      </c>
    </row>
    <row r="321" spans="2:9" s="75" customFormat="1" outlineLevel="1" x14ac:dyDescent="0.25">
      <c r="B321" s="137">
        <v>62400060</v>
      </c>
      <c r="C321" s="137" t="s">
        <v>454</v>
      </c>
      <c r="D321" s="137" t="s">
        <v>484</v>
      </c>
      <c r="E321" s="137" t="s">
        <v>236</v>
      </c>
      <c r="H321" s="169">
        <f t="shared" si="17"/>
        <v>62400060</v>
      </c>
      <c r="I321" s="75" t="s">
        <v>510</v>
      </c>
    </row>
    <row r="322" spans="2:9" s="75" customFormat="1" outlineLevel="1" x14ac:dyDescent="0.25">
      <c r="B322" s="137">
        <v>62500010</v>
      </c>
      <c r="C322" s="137" t="s">
        <v>218</v>
      </c>
      <c r="D322" s="137" t="s">
        <v>218</v>
      </c>
      <c r="E322" s="137" t="s">
        <v>22</v>
      </c>
      <c r="H322" s="169">
        <f t="shared" si="17"/>
        <v>62500010</v>
      </c>
      <c r="I322" s="75" t="s">
        <v>485</v>
      </c>
    </row>
    <row r="323" spans="2:9" s="75" customFormat="1" outlineLevel="1" x14ac:dyDescent="0.25">
      <c r="B323" s="137">
        <v>62600010</v>
      </c>
      <c r="C323" s="137" t="s">
        <v>221</v>
      </c>
      <c r="D323" s="137" t="s">
        <v>485</v>
      </c>
      <c r="E323" s="138" t="s">
        <v>989</v>
      </c>
      <c r="H323" s="169">
        <f t="shared" si="17"/>
        <v>62600010</v>
      </c>
      <c r="I323" s="75" t="s">
        <v>485</v>
      </c>
    </row>
    <row r="324" spans="2:9" s="75" customFormat="1" outlineLevel="1" x14ac:dyDescent="0.25">
      <c r="B324" s="137">
        <v>62600020</v>
      </c>
      <c r="C324" s="137" t="s">
        <v>223</v>
      </c>
      <c r="D324" s="137" t="s">
        <v>485</v>
      </c>
      <c r="E324" s="138" t="s">
        <v>989</v>
      </c>
      <c r="H324" s="169">
        <f t="shared" si="17"/>
        <v>62600020</v>
      </c>
      <c r="I324" s="75" t="s">
        <v>485</v>
      </c>
    </row>
    <row r="325" spans="2:9" s="75" customFormat="1" outlineLevel="1" x14ac:dyDescent="0.25">
      <c r="B325" s="137">
        <v>62600030</v>
      </c>
      <c r="C325" s="137" t="s">
        <v>226</v>
      </c>
      <c r="D325" s="137" t="s">
        <v>485</v>
      </c>
      <c r="E325" s="138" t="s">
        <v>989</v>
      </c>
      <c r="H325" s="169">
        <f t="shared" si="17"/>
        <v>62600030</v>
      </c>
      <c r="I325" s="75" t="s">
        <v>485</v>
      </c>
    </row>
    <row r="326" spans="2:9" s="75" customFormat="1" outlineLevel="1" x14ac:dyDescent="0.25">
      <c r="B326" s="137">
        <v>62700010</v>
      </c>
      <c r="C326" s="137" t="s">
        <v>455</v>
      </c>
      <c r="D326" s="137" t="s">
        <v>455</v>
      </c>
      <c r="E326" s="137" t="s">
        <v>236</v>
      </c>
      <c r="H326" s="169">
        <f t="shared" si="17"/>
        <v>62700010</v>
      </c>
      <c r="I326" s="75" t="s">
        <v>511</v>
      </c>
    </row>
    <row r="327" spans="2:9" s="75" customFormat="1" outlineLevel="1" x14ac:dyDescent="0.25">
      <c r="B327" s="137">
        <v>62800010</v>
      </c>
      <c r="C327" s="137" t="s">
        <v>456</v>
      </c>
      <c r="D327" s="137" t="s">
        <v>456</v>
      </c>
      <c r="E327" s="137" t="s">
        <v>238</v>
      </c>
      <c r="H327" s="169">
        <f t="shared" si="17"/>
        <v>62800010</v>
      </c>
      <c r="I327" s="75" t="s">
        <v>456</v>
      </c>
    </row>
    <row r="328" spans="2:9" s="75" customFormat="1" outlineLevel="1" x14ac:dyDescent="0.25">
      <c r="B328" s="137">
        <v>62900010</v>
      </c>
      <c r="C328" s="137" t="s">
        <v>228</v>
      </c>
      <c r="D328" s="137" t="s">
        <v>486</v>
      </c>
      <c r="E328" s="138" t="s">
        <v>989</v>
      </c>
      <c r="H328" s="169">
        <f t="shared" si="17"/>
        <v>62900010</v>
      </c>
      <c r="I328" s="75" t="s">
        <v>228</v>
      </c>
    </row>
    <row r="329" spans="2:9" s="75" customFormat="1" outlineLevel="1" x14ac:dyDescent="0.25">
      <c r="B329" s="137">
        <v>62900020</v>
      </c>
      <c r="C329" s="137" t="s">
        <v>230</v>
      </c>
      <c r="D329" s="137" t="s">
        <v>486</v>
      </c>
      <c r="E329" s="138" t="s">
        <v>989</v>
      </c>
      <c r="H329" s="169">
        <f t="shared" si="17"/>
        <v>62900020</v>
      </c>
      <c r="I329" s="75" t="s">
        <v>230</v>
      </c>
    </row>
    <row r="330" spans="2:9" s="75" customFormat="1" outlineLevel="1" x14ac:dyDescent="0.25">
      <c r="B330" s="137">
        <v>63300010</v>
      </c>
      <c r="C330" s="137" t="s">
        <v>992</v>
      </c>
      <c r="D330" s="137" t="s">
        <v>342</v>
      </c>
      <c r="E330" s="137"/>
      <c r="H330" s="169">
        <f t="shared" si="17"/>
        <v>63300010</v>
      </c>
      <c r="I330" s="75" t="s">
        <v>505</v>
      </c>
    </row>
    <row r="331" spans="2:9" s="75" customFormat="1" outlineLevel="1" x14ac:dyDescent="0.25">
      <c r="B331" s="358">
        <v>63900010</v>
      </c>
      <c r="C331" s="359" t="s">
        <v>232</v>
      </c>
      <c r="D331" s="359" t="s">
        <v>495</v>
      </c>
      <c r="E331" s="360" t="s">
        <v>989</v>
      </c>
      <c r="H331" s="169">
        <f>B331</f>
        <v>63900010</v>
      </c>
      <c r="I331" s="75" t="s">
        <v>495</v>
      </c>
    </row>
    <row r="332" spans="2:9" outlineLevel="1" x14ac:dyDescent="0.25">
      <c r="B332" s="361"/>
      <c r="C332" s="362"/>
      <c r="D332" s="362"/>
      <c r="E332" s="363"/>
    </row>
    <row r="333" spans="2:9" outlineLevel="1" x14ac:dyDescent="0.25"/>
    <row r="334" spans="2:9" outlineLevel="1" x14ac:dyDescent="0.25">
      <c r="B334" s="94" t="s">
        <v>1493</v>
      </c>
      <c r="C334" s="75"/>
      <c r="D334" s="75"/>
      <c r="E334" s="75"/>
      <c r="F334" s="75"/>
    </row>
    <row r="335" spans="2:9" x14ac:dyDescent="0.25">
      <c r="B335" s="160" t="s">
        <v>1028</v>
      </c>
      <c r="C335" s="160" t="s">
        <v>1027</v>
      </c>
      <c r="D335" s="160" t="s">
        <v>987</v>
      </c>
      <c r="E335" s="160" t="s">
        <v>988</v>
      </c>
      <c r="H335" s="160" t="s">
        <v>1494</v>
      </c>
      <c r="I335" s="160" t="s">
        <v>1028</v>
      </c>
    </row>
    <row r="336" spans="2:9" x14ac:dyDescent="0.25">
      <c r="B336" s="138">
        <v>15000000</v>
      </c>
      <c r="C336" s="161" t="s">
        <v>643</v>
      </c>
      <c r="D336" s="138" t="s">
        <v>672</v>
      </c>
      <c r="E336" s="138" t="s">
        <v>44</v>
      </c>
      <c r="H336" s="165" t="s">
        <v>1506</v>
      </c>
      <c r="I336" s="138">
        <v>15000000</v>
      </c>
    </row>
    <row r="337" spans="2:9" x14ac:dyDescent="0.25">
      <c r="B337" s="138">
        <v>15000010</v>
      </c>
      <c r="C337" s="161" t="s">
        <v>644</v>
      </c>
      <c r="D337" s="138" t="s">
        <v>672</v>
      </c>
      <c r="E337" s="138" t="s">
        <v>44</v>
      </c>
      <c r="H337" s="165" t="s">
        <v>1507</v>
      </c>
      <c r="I337" s="138">
        <v>15000010</v>
      </c>
    </row>
    <row r="338" spans="2:9" x14ac:dyDescent="0.25">
      <c r="B338" s="138">
        <v>15000020</v>
      </c>
      <c r="C338" s="161" t="s">
        <v>645</v>
      </c>
      <c r="D338" s="138" t="s">
        <v>672</v>
      </c>
      <c r="E338" s="138" t="s">
        <v>44</v>
      </c>
      <c r="H338" s="165" t="s">
        <v>1508</v>
      </c>
      <c r="I338" s="138">
        <v>15000020</v>
      </c>
    </row>
    <row r="339" spans="2:9" x14ac:dyDescent="0.25">
      <c r="B339" s="138">
        <v>15000030</v>
      </c>
      <c r="C339" s="161" t="s">
        <v>646</v>
      </c>
      <c r="D339" s="138" t="s">
        <v>672</v>
      </c>
      <c r="E339" s="138" t="s">
        <v>44</v>
      </c>
      <c r="H339" s="165" t="s">
        <v>1509</v>
      </c>
      <c r="I339" s="138">
        <v>15000030</v>
      </c>
    </row>
    <row r="340" spans="2:9" x14ac:dyDescent="0.25">
      <c r="B340" s="138">
        <v>15000040</v>
      </c>
      <c r="C340" s="161" t="s">
        <v>647</v>
      </c>
      <c r="D340" s="138" t="s">
        <v>672</v>
      </c>
      <c r="E340" s="138" t="s">
        <v>44</v>
      </c>
      <c r="H340" s="165" t="s">
        <v>1510</v>
      </c>
      <c r="I340" s="138">
        <v>15000040</v>
      </c>
    </row>
    <row r="341" spans="2:9" x14ac:dyDescent="0.25">
      <c r="B341" s="138">
        <v>15000050</v>
      </c>
      <c r="C341" s="161" t="s">
        <v>648</v>
      </c>
      <c r="D341" s="138" t="s">
        <v>672</v>
      </c>
      <c r="E341" s="138" t="s">
        <v>44</v>
      </c>
      <c r="H341" s="165" t="s">
        <v>1511</v>
      </c>
      <c r="I341" s="138">
        <v>15000050</v>
      </c>
    </row>
    <row r="342" spans="2:9" x14ac:dyDescent="0.25">
      <c r="B342" s="138">
        <v>15000060</v>
      </c>
      <c r="C342" s="161" t="s">
        <v>649</v>
      </c>
      <c r="D342" s="138" t="s">
        <v>672</v>
      </c>
      <c r="E342" s="138" t="s">
        <v>44</v>
      </c>
      <c r="H342" s="165" t="s">
        <v>1512</v>
      </c>
      <c r="I342" s="138">
        <v>15000060</v>
      </c>
    </row>
    <row r="343" spans="2:9" x14ac:dyDescent="0.25">
      <c r="B343" s="138">
        <v>15000070</v>
      </c>
      <c r="C343" s="161" t="s">
        <v>650</v>
      </c>
      <c r="D343" s="138" t="s">
        <v>672</v>
      </c>
      <c r="E343" s="138" t="s">
        <v>44</v>
      </c>
      <c r="H343" s="165" t="s">
        <v>1513</v>
      </c>
      <c r="I343" s="138">
        <v>15000070</v>
      </c>
    </row>
    <row r="344" spans="2:9" x14ac:dyDescent="0.25">
      <c r="B344" s="138">
        <v>15000080</v>
      </c>
      <c r="C344" s="161" t="s">
        <v>651</v>
      </c>
      <c r="D344" s="138" t="s">
        <v>672</v>
      </c>
      <c r="E344" s="138" t="s">
        <v>44</v>
      </c>
      <c r="H344" s="165" t="s">
        <v>1514</v>
      </c>
      <c r="I344" s="138">
        <v>15000080</v>
      </c>
    </row>
    <row r="345" spans="2:9" x14ac:dyDescent="0.25">
      <c r="B345" s="138">
        <v>15200000</v>
      </c>
      <c r="C345" s="161" t="s">
        <v>653</v>
      </c>
      <c r="D345" s="138" t="s">
        <v>672</v>
      </c>
      <c r="E345" s="138" t="s">
        <v>44</v>
      </c>
      <c r="H345" s="165" t="s">
        <v>1515</v>
      </c>
      <c r="I345" s="138">
        <v>15200000</v>
      </c>
    </row>
    <row r="346" spans="2:9" ht="30" x14ac:dyDescent="0.25">
      <c r="B346" s="138">
        <v>15020010</v>
      </c>
      <c r="C346" s="161" t="s">
        <v>655</v>
      </c>
      <c r="D346" s="138" t="s">
        <v>303</v>
      </c>
      <c r="E346" s="138" t="s">
        <v>44</v>
      </c>
      <c r="H346" s="165">
        <v>6026</v>
      </c>
      <c r="I346" s="138">
        <v>15020010</v>
      </c>
    </row>
    <row r="347" spans="2:9" ht="30" x14ac:dyDescent="0.25">
      <c r="B347" s="138">
        <v>15020020</v>
      </c>
      <c r="C347" s="161" t="s">
        <v>656</v>
      </c>
      <c r="D347" s="138" t="s">
        <v>303</v>
      </c>
      <c r="E347" s="138" t="s">
        <v>44</v>
      </c>
      <c r="H347" s="165">
        <v>6126</v>
      </c>
      <c r="I347" s="138">
        <v>15020020</v>
      </c>
    </row>
    <row r="348" spans="2:9" ht="30" x14ac:dyDescent="0.25">
      <c r="B348" s="138">
        <v>15020030</v>
      </c>
      <c r="C348" s="161" t="s">
        <v>657</v>
      </c>
      <c r="D348" s="138" t="s">
        <v>303</v>
      </c>
      <c r="E348" s="138" t="s">
        <v>44</v>
      </c>
      <c r="H348" s="165">
        <v>6226</v>
      </c>
      <c r="I348" s="138">
        <v>15020030</v>
      </c>
    </row>
    <row r="349" spans="2:9" ht="30" x14ac:dyDescent="0.25">
      <c r="B349" s="138">
        <v>15020040</v>
      </c>
      <c r="C349" s="161" t="s">
        <v>658</v>
      </c>
      <c r="D349" s="138" t="s">
        <v>303</v>
      </c>
      <c r="E349" s="138" t="s">
        <v>44</v>
      </c>
      <c r="H349" s="165">
        <v>6326</v>
      </c>
      <c r="I349" s="138">
        <v>15020040</v>
      </c>
    </row>
    <row r="350" spans="2:9" ht="30" x14ac:dyDescent="0.25">
      <c r="B350" s="138">
        <v>15020080</v>
      </c>
      <c r="C350" s="161" t="s">
        <v>659</v>
      </c>
      <c r="D350" s="138" t="s">
        <v>303</v>
      </c>
      <c r="E350" s="138" t="s">
        <v>44</v>
      </c>
      <c r="H350" s="165">
        <v>6426</v>
      </c>
      <c r="I350" s="138">
        <v>15020080</v>
      </c>
    </row>
    <row r="351" spans="2:9" ht="30" x14ac:dyDescent="0.25">
      <c r="B351" s="162">
        <v>15020090</v>
      </c>
      <c r="C351" s="163" t="s">
        <v>709</v>
      </c>
      <c r="D351" s="138" t="s">
        <v>303</v>
      </c>
      <c r="E351" s="162" t="s">
        <v>44</v>
      </c>
      <c r="H351" s="166">
        <v>6526</v>
      </c>
      <c r="I351" s="162">
        <v>15020090</v>
      </c>
    </row>
    <row r="354" spans="2:9" s="156" customFormat="1" x14ac:dyDescent="0.25">
      <c r="B354" s="155" t="s">
        <v>1496</v>
      </c>
      <c r="H354" s="167"/>
      <c r="I354" s="167"/>
    </row>
    <row r="356" spans="2:9" x14ac:dyDescent="0.25">
      <c r="B356" s="49" t="s">
        <v>591</v>
      </c>
      <c r="C356" s="49" t="s">
        <v>715</v>
      </c>
    </row>
    <row r="357" spans="2:9" x14ac:dyDescent="0.25">
      <c r="B357" s="44" t="s">
        <v>716</v>
      </c>
      <c r="C357" s="44" t="s">
        <v>719</v>
      </c>
    </row>
    <row r="358" spans="2:9" x14ac:dyDescent="0.25">
      <c r="B358" s="44" t="s">
        <v>717</v>
      </c>
      <c r="C358" s="44" t="s">
        <v>720</v>
      </c>
    </row>
    <row r="359" spans="2:9" x14ac:dyDescent="0.25">
      <c r="B359" s="44" t="s">
        <v>718</v>
      </c>
      <c r="C359" s="44" t="s">
        <v>721</v>
      </c>
    </row>
    <row r="362" spans="2:9" s="156" customFormat="1" x14ac:dyDescent="0.25">
      <c r="B362" s="155" t="s">
        <v>722</v>
      </c>
      <c r="H362" s="167"/>
      <c r="I362" s="167"/>
    </row>
    <row r="364" spans="2:9" x14ac:dyDescent="0.25">
      <c r="B364" s="170" t="s">
        <v>671</v>
      </c>
      <c r="C364" s="170" t="s">
        <v>1497</v>
      </c>
    </row>
    <row r="365" spans="2:9" x14ac:dyDescent="0.25">
      <c r="B365" t="s">
        <v>726</v>
      </c>
      <c r="C365" t="s">
        <v>726</v>
      </c>
    </row>
    <row r="366" spans="2:9" x14ac:dyDescent="0.25">
      <c r="B366" t="s">
        <v>725</v>
      </c>
      <c r="C366" t="s">
        <v>723</v>
      </c>
    </row>
    <row r="367" spans="2:9" x14ac:dyDescent="0.25">
      <c r="B367" t="s">
        <v>723</v>
      </c>
      <c r="C367" t="s">
        <v>724</v>
      </c>
    </row>
    <row r="368" spans="2:9" x14ac:dyDescent="0.25">
      <c r="B368" t="s">
        <v>724</v>
      </c>
    </row>
    <row r="371" spans="2:9" s="156" customFormat="1" x14ac:dyDescent="0.25">
      <c r="B371" s="155" t="s">
        <v>770</v>
      </c>
      <c r="H371" s="167"/>
      <c r="I371" s="167"/>
    </row>
    <row r="372" spans="2:9" x14ac:dyDescent="0.25">
      <c r="B372" s="158" t="s">
        <v>293</v>
      </c>
    </row>
    <row r="373" spans="2:9" x14ac:dyDescent="0.25">
      <c r="B373" s="158" t="s">
        <v>734</v>
      </c>
    </row>
  </sheetData>
  <autoFilter ref="B19:E146" xr:uid="{15FD7365-3834-493F-A008-64964EFB9794}"/>
  <conditionalFormatting sqref="I59:I146">
    <cfRule type="duplicateValues" dxfId="0" priority="13"/>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Guidance</vt:lpstr>
      <vt:lpstr>Guidance (Indonesia)</vt:lpstr>
      <vt:lpstr>Guidance (English)</vt:lpstr>
      <vt:lpstr>Asset determination</vt:lpstr>
      <vt:lpstr>Cover</vt:lpstr>
      <vt:lpstr>Budget Capex Detail</vt:lpstr>
      <vt:lpstr>Budget Opex Detail</vt:lpstr>
      <vt:lpstr>Activity Master Opex</vt:lpstr>
      <vt:lpstr>Master Data</vt:lpstr>
      <vt:lpstr>'Budget Capex Detail'!_FilterDatabase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Safitri Nur Andhini</dc:creator>
  <cp:lastModifiedBy>Nazla Sagita</cp:lastModifiedBy>
  <dcterms:created xsi:type="dcterms:W3CDTF">2023-07-25T08:22:13Z</dcterms:created>
  <dcterms:modified xsi:type="dcterms:W3CDTF">2025-08-04T04:59:39Z</dcterms:modified>
</cp:coreProperties>
</file>
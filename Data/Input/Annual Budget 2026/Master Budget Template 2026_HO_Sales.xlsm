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Z:\GYS\FPA\Budget\2026\0. Master Budget Blank Template\HO\"/>
    </mc:Choice>
  </mc:AlternateContent>
  <xr:revisionPtr revIDLastSave="0" documentId="13_ncr:1_{85792890-7F62-4CA2-9FB5-092D0E8032BF}" xr6:coauthVersionLast="47" xr6:coauthVersionMax="47" xr10:uidLastSave="{00000000-0000-0000-0000-000000000000}"/>
  <bookViews>
    <workbookView xWindow="-120" yWindow="-120" windowWidth="29040" windowHeight="15720" tabRatio="881" activeTab="4" xr2:uid="{00000000-000D-0000-FFFF-FFFF00000000}"/>
  </bookViews>
  <sheets>
    <sheet name="Guidance (Indonesia)" sheetId="20" r:id="rId1"/>
    <sheet name="Guidance (English)" sheetId="21" r:id="rId2"/>
    <sheet name="Asset determination" sheetId="18" r:id="rId3"/>
    <sheet name="Guidance" sheetId="12" state="hidden" r:id="rId4"/>
    <sheet name="Cover" sheetId="3" r:id="rId5"/>
    <sheet name="Budget Capex Detail" sheetId="10" r:id="rId6"/>
    <sheet name="Budget Opex Detail" sheetId="7" r:id="rId7"/>
    <sheet name="Activity Master Opex" sheetId="8" r:id="rId8"/>
    <sheet name="Calculation" sheetId="22" r:id="rId9"/>
    <sheet name="Master Data" sheetId="19" r:id="rId10"/>
    <sheet name="Realisation Capex 2024" sheetId="11" state="hidden" r:id="rId11"/>
  </sheets>
  <definedNames>
    <definedName name="______________PPP3" hidden="1">{#N/A,#N/A,FALSE,"特殊室（ＢＱ表）"}</definedName>
    <definedName name="______________PPP33" hidden="1">{#N/A,#N/A,FALSE,"特殊室（ＢＱ表）"}</definedName>
    <definedName name="______________ppp34" hidden="1">{#N/A,#N/A,FALSE,"特殊室（ＢＱ表）"}</definedName>
    <definedName name="______________ppp3444" hidden="1">{#N/A,#N/A,FALSE,"特殊室（ＢＱ表）"}</definedName>
    <definedName name="_____________lop111" hidden="1">{#N/A,#N/A,FALSE,"特殊室（ＢＱ表）"}</definedName>
    <definedName name="____________PPP3" hidden="1">{#N/A,#N/A,FALSE,"特殊室（ＢＱ表）"}</definedName>
    <definedName name="____________PPP33" hidden="1">{#N/A,#N/A,FALSE,"特殊室（ＢＱ表）"}</definedName>
    <definedName name="____________ppp34" hidden="1">{#N/A,#N/A,FALSE,"特殊室（ＢＱ表）"}</definedName>
    <definedName name="____________ppp3444" hidden="1">{#N/A,#N/A,FALSE,"特殊室（ＢＱ表）"}</definedName>
    <definedName name="___________lop111" hidden="1">{#N/A,#N/A,FALSE,"特殊室（ＢＱ表）"}</definedName>
    <definedName name="__________PPP3" hidden="1">{#N/A,#N/A,FALSE,"特殊室（ＢＱ表）"}</definedName>
    <definedName name="__________PPP33" hidden="1">{#N/A,#N/A,FALSE,"特殊室（ＢＱ表）"}</definedName>
    <definedName name="__________ppp34" hidden="1">{#N/A,#N/A,FALSE,"特殊室（ＢＱ表）"}</definedName>
    <definedName name="__________ppp3444" hidden="1">{#N/A,#N/A,FALSE,"特殊室（ＢＱ表）"}</definedName>
    <definedName name="_________lop111" hidden="1">{#N/A,#N/A,FALSE,"特殊室（ＢＱ表）"}</definedName>
    <definedName name="_________PPP3" hidden="1">{#N/A,#N/A,FALSE,"特殊室（ＢＱ表）"}</definedName>
    <definedName name="_________PPP33" hidden="1">{#N/A,#N/A,FALSE,"特殊室（ＢＱ表）"}</definedName>
    <definedName name="_________ppp34" hidden="1">{#N/A,#N/A,FALSE,"特殊室（ＢＱ表）"}</definedName>
    <definedName name="_________ppp3444" hidden="1">{#N/A,#N/A,FALSE,"特殊室（ＢＱ表）"}</definedName>
    <definedName name="_________xlfn.ROUNDBAHTUP" hidden="1">#NAME?</definedName>
    <definedName name="________lop111" hidden="1">{#N/A,#N/A,FALSE,"特殊室（ＢＱ表）"}</definedName>
    <definedName name="________PPP3" hidden="1">{#N/A,#N/A,FALSE,"特殊室（ＢＱ表）"}</definedName>
    <definedName name="________PPP33" hidden="1">{#N/A,#N/A,FALSE,"特殊室（ＢＱ表）"}</definedName>
    <definedName name="________ppp34" hidden="1">{#N/A,#N/A,FALSE,"特殊室（ＢＱ表）"}</definedName>
    <definedName name="________ppp3444" hidden="1">{#N/A,#N/A,FALSE,"特殊室（ＢＱ表）"}</definedName>
    <definedName name="________xlfn.ROUNDBAHTUP" hidden="1">#NAME?</definedName>
    <definedName name="_______lop111" hidden="1">{#N/A,#N/A,FALSE,"特殊室（ＢＱ表）"}</definedName>
    <definedName name="_______PPP3" hidden="1">{#N/A,#N/A,FALSE,"特殊室（ＢＱ表）"}</definedName>
    <definedName name="_______PPP33" hidden="1">{#N/A,#N/A,FALSE,"特殊室（ＢＱ表）"}</definedName>
    <definedName name="_______ppp34" hidden="1">{#N/A,#N/A,FALSE,"特殊室（ＢＱ表）"}</definedName>
    <definedName name="_______ppp3444" hidden="1">{#N/A,#N/A,FALSE,"特殊室（ＢＱ表）"}</definedName>
    <definedName name="_______xlfn.ROUNDBAHTUP" hidden="1">#NAME?</definedName>
    <definedName name="______lop111" hidden="1">{#N/A,#N/A,FALSE,"特殊室（ＢＱ表）"}</definedName>
    <definedName name="______PPP3" hidden="1">{#N/A,#N/A,FALSE,"特殊室（ＢＱ表）"}</definedName>
    <definedName name="______PPP33" hidden="1">{#N/A,#N/A,FALSE,"特殊室（ＢＱ表）"}</definedName>
    <definedName name="______ppp34" hidden="1">{#N/A,#N/A,FALSE,"特殊室（ＢＱ表）"}</definedName>
    <definedName name="______ppp3444" hidden="1">{#N/A,#N/A,FALSE,"特殊室（ＢＱ表）"}</definedName>
    <definedName name="______xlfn.ROUNDBAHTUP" hidden="1">#NAME?</definedName>
    <definedName name="_____lop111" hidden="1">{#N/A,#N/A,FALSE,"特殊室（ＢＱ表）"}</definedName>
    <definedName name="_____PPP3" hidden="1">{#N/A,#N/A,FALSE,"特殊室（ＢＱ表）"}</definedName>
    <definedName name="_____PPP33" hidden="1">{#N/A,#N/A,FALSE,"特殊室（ＢＱ表）"}</definedName>
    <definedName name="_____ppp34" hidden="1">{#N/A,#N/A,FALSE,"特殊室（ＢＱ表）"}</definedName>
    <definedName name="_____ppp3444" hidden="1">{#N/A,#N/A,FALSE,"特殊室（ＢＱ表）"}</definedName>
    <definedName name="_____xlfn.ROUNDBAHTUP" hidden="1">#NAME?</definedName>
    <definedName name="____lop111" hidden="1">{#N/A,#N/A,FALSE,"特殊室（ＢＱ表）"}</definedName>
    <definedName name="____PPP3" hidden="1">{#N/A,#N/A,FALSE,"特殊室（ＢＱ表）"}</definedName>
    <definedName name="____PPP33" hidden="1">{#N/A,#N/A,FALSE,"特殊室（ＢＱ表）"}</definedName>
    <definedName name="____ppp34" hidden="1">{#N/A,#N/A,FALSE,"特殊室（ＢＱ表）"}</definedName>
    <definedName name="____ppp3444" hidden="1">{#N/A,#N/A,FALSE,"特殊室（ＢＱ表）"}</definedName>
    <definedName name="____xlfn.ROUNDBAHTUP" hidden="1">#NAME?</definedName>
    <definedName name="___lop111" hidden="1">{#N/A,#N/A,FALSE,"特殊室（ＢＱ表）"}</definedName>
    <definedName name="___xlfn.ROUNDBAHTUP" hidden="1">#NAME?</definedName>
    <definedName name="__ab1" hidden="1">{#N/A,#N/A,FALSE,"SumD";#N/A,#N/A,FALSE,"ElecD";#N/A,#N/A,FALSE,"MechD";#N/A,#N/A,FALSE,"GeotD";#N/A,#N/A,FALSE,"PrcsD";#N/A,#N/A,FALSE,"TunnD";#N/A,#N/A,FALSE,"CivlD";#N/A,#N/A,FALSE,"NtwkD";#N/A,#N/A,FALSE,"EstgD";#N/A,#N/A,FALSE,"PEngD"}</definedName>
    <definedName name="__as1" hidden="1">{#N/A,#N/A,FALSE,"SumD";#N/A,#N/A,FALSE,"ElecD";#N/A,#N/A,FALSE,"MechD";#N/A,#N/A,FALSE,"GeotD";#N/A,#N/A,FALSE,"PrcsD";#N/A,#N/A,FALSE,"TunnD";#N/A,#N/A,FALSE,"CivlD";#N/A,#N/A,FALSE,"NtwkD";#N/A,#N/A,FALSE,"EstgD";#N/A,#N/A,FALSE,"PEngD"}</definedName>
    <definedName name="__EE1" hidden="1">{#N/A,#N/A,FALSE,"단가표지"}</definedName>
    <definedName name="__old3" hidden="1">{#N/A,#N/A,FALSE,"Summary";#N/A,#N/A,FALSE,"3TJ";#N/A,#N/A,FALSE,"3TN";#N/A,#N/A,FALSE,"3TP";#N/A,#N/A,FALSE,"3SJ";#N/A,#N/A,FALSE,"3CJ";#N/A,#N/A,FALSE,"3CN";#N/A,#N/A,FALSE,"3CP";#N/A,#N/A,FALSE,"3A"}</definedName>
    <definedName name="__old5" hidden="1">{#N/A,#N/A,FALSE,"Summary";#N/A,#N/A,FALSE,"3TJ";#N/A,#N/A,FALSE,"3TN";#N/A,#N/A,FALSE,"3TP";#N/A,#N/A,FALSE,"3SJ";#N/A,#N/A,FALSE,"3CJ";#N/A,#N/A,FALSE,"3CN";#N/A,#N/A,FALSE,"3CP";#N/A,#N/A,FALSE,"3A"}</definedName>
    <definedName name="__old7" hidden="1">{#N/A,#N/A,FALSE,"Summary";#N/A,#N/A,FALSE,"3TJ";#N/A,#N/A,FALSE,"3TN";#N/A,#N/A,FALSE,"3TP";#N/A,#N/A,FALSE,"3SJ";#N/A,#N/A,FALSE,"3CJ";#N/A,#N/A,FALSE,"3CN";#N/A,#N/A,FALSE,"3CP";#N/A,#N/A,FALSE,"3A"}</definedName>
    <definedName name="__PK2" hidden="1">{"'장비'!$A$3:$M$12"}</definedName>
    <definedName name="__PKG3" hidden="1">{"'장비'!$A$3:$M$12"}</definedName>
    <definedName name="__PPP3" hidden="1">{#N/A,#N/A,FALSE,"特殊室（ＢＱ表）"}</definedName>
    <definedName name="__PPP33" hidden="1">{#N/A,#N/A,FALSE,"特殊室（ＢＱ表）"}</definedName>
    <definedName name="__ppp34" hidden="1">{#N/A,#N/A,FALSE,"特殊室（ＢＱ表）"}</definedName>
    <definedName name="__ppp3444" hidden="1">{#N/A,#N/A,FALSE,"特殊室（ＢＱ表）"}</definedName>
    <definedName name="__qqq222" hidden="1">{"'장비'!$A$3:$M$12"}</definedName>
    <definedName name="__S3" hidden="1">{#N/A,#N/A,FALSE,"포장2"}</definedName>
    <definedName name="__xlfn.ROUNDBAHTUP" hidden="1">#NAME?</definedName>
    <definedName name="_1__123Graph_ACHART_1" hidden="1">#REF!</definedName>
    <definedName name="_11__123Graph_Xｸﾞﾗﾌ_1" hidden="1">#REF!</definedName>
    <definedName name="_12__123Graph_Xｸﾞﾗﾌ_2" hidden="1">#REF!</definedName>
    <definedName name="_13__123Graph_Xｸﾞﾗﾌ_3" hidden="1">#REF!</definedName>
    <definedName name="_14__123Graph_Xｸﾞﾗﾌ_4" hidden="1">#REF!</definedName>
    <definedName name="_15__123Graph_Xｸﾞﾗﾌ_5" hidden="1">#REF!</definedName>
    <definedName name="_18__123Graph_Aｸﾞﾗﾌ_1" hidden="1">#REF!</definedName>
    <definedName name="_19__123Graph_Aｸﾞﾗﾌ_2" hidden="1">#REF!</definedName>
    <definedName name="_2__123Graph_ACHART_2" hidden="1">#REF!</definedName>
    <definedName name="_20__123Graph_Aｸﾞﾗﾌ_3" hidden="1">#REF!</definedName>
    <definedName name="_21__123Graph_Aｸﾞﾗﾌ_4" hidden="1">#REF!</definedName>
    <definedName name="_22__123Graph_Aｸﾞﾗﾌ_5" hidden="1">#REF!</definedName>
    <definedName name="_3__123Graph_Aｸﾞﾗﾌ_1" hidden="1">#REF!</definedName>
    <definedName name="_3__123Graph_BCHART_2" hidden="1">#REF!</definedName>
    <definedName name="_30__123Graph_Xｸﾞﾗﾌ_1" hidden="1">#REF!</definedName>
    <definedName name="_31__123Graph_Xｸﾞﾗﾌ_2" hidden="1">#REF!</definedName>
    <definedName name="_32__123Graph_Xｸﾞﾗﾌ_3" hidden="1">#REF!</definedName>
    <definedName name="_33__123Graph_Xｸﾞﾗﾌ_4" hidden="1">#REF!</definedName>
    <definedName name="_34__123Graph_Xｸﾞﾗﾌ_5" hidden="1">#REF!</definedName>
    <definedName name="_4__123Graph_Aｸﾞﾗﾌ_2" hidden="1">#REF!</definedName>
    <definedName name="_4__123Graph_CCHART_1" hidden="1">#REF!</definedName>
    <definedName name="_4ab1_" hidden="1">{#N/A,#N/A,FALSE,"SumD";#N/A,#N/A,FALSE,"ElecD";#N/A,#N/A,FALSE,"MechD";#N/A,#N/A,FALSE,"GeotD";#N/A,#N/A,FALSE,"PrcsD";#N/A,#N/A,FALSE,"TunnD";#N/A,#N/A,FALSE,"CivlD";#N/A,#N/A,FALSE,"NtwkD";#N/A,#N/A,FALSE,"EstgD";#N/A,#N/A,FALSE,"PEngD"}</definedName>
    <definedName name="_5__123Graph_Aｸﾞﾗﾌ_3" hidden="1">#REF!</definedName>
    <definedName name="_5__123Graph_DCHART_1" hidden="1">#REF!</definedName>
    <definedName name="_5as1_" hidden="1">{#N/A,#N/A,FALSE,"SumD";#N/A,#N/A,FALSE,"ElecD";#N/A,#N/A,FALSE,"MechD";#N/A,#N/A,FALSE,"GeotD";#N/A,#N/A,FALSE,"PrcsD";#N/A,#N/A,FALSE,"TunnD";#N/A,#N/A,FALSE,"CivlD";#N/A,#N/A,FALSE,"NtwkD";#N/A,#N/A,FALSE,"EstgD";#N/A,#N/A,FALSE,"PEngD"}</definedName>
    <definedName name="_6__123Graph_Aｸﾞﾗﾌ_4" hidden="1">#REF!</definedName>
    <definedName name="_7__123Graph_Aｸﾞﾗﾌ_5" hidden="1">#REF!</definedName>
    <definedName name="_bob2"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Fill" hidden="1">#REF!</definedName>
    <definedName name="_xlnm._FilterDatabase" localSheetId="7" hidden="1">'Activity Master Opex'!$B$3:$G$66</definedName>
    <definedName name="_xlnm._FilterDatabase" localSheetId="5">'Budget Capex Detail'!$A$3:$AK$25</definedName>
    <definedName name="_xlnm._FilterDatabase" localSheetId="6" hidden="1">'Budget Opex Detail'!$A$3:$AR$26</definedName>
    <definedName name="_xlnm._FilterDatabase" hidden="1">#REF!</definedName>
    <definedName name="_Key1" hidden="1">#REF!</definedName>
    <definedName name="_Key2" hidden="1">#REF!</definedName>
    <definedName name="_kfkf" hidden="1">#REF!</definedName>
    <definedName name="_lop111" hidden="1">{#N/A,#N/A,FALSE,"特殊室（ＢＱ表）"}</definedName>
    <definedName name="_old3" hidden="1">{#N/A,#N/A,FALSE,"Summary";#N/A,#N/A,FALSE,"3TJ";#N/A,#N/A,FALSE,"3TN";#N/A,#N/A,FALSE,"3TP";#N/A,#N/A,FALSE,"3SJ";#N/A,#N/A,FALSE,"3CJ";#N/A,#N/A,FALSE,"3CN";#N/A,#N/A,FALSE,"3CP";#N/A,#N/A,FALSE,"3A"}</definedName>
    <definedName name="_old5" hidden="1">{#N/A,#N/A,FALSE,"Summary";#N/A,#N/A,FALSE,"3TJ";#N/A,#N/A,FALSE,"3TN";#N/A,#N/A,FALSE,"3TP";#N/A,#N/A,FALSE,"3SJ";#N/A,#N/A,FALSE,"3CJ";#N/A,#N/A,FALSE,"3CN";#N/A,#N/A,FALSE,"3CP";#N/A,#N/A,FALSE,"3A"}</definedName>
    <definedName name="_old7" hidden="1">{#N/A,#N/A,FALSE,"Summary";#N/A,#N/A,FALSE,"3TJ";#N/A,#N/A,FALSE,"3TN";#N/A,#N/A,FALSE,"3TP";#N/A,#N/A,FALSE,"3SJ";#N/A,#N/A,FALSE,"3CJ";#N/A,#N/A,FALSE,"3CN";#N/A,#N/A,FALSE,"3CP";#N/A,#N/A,FALSE,"3A"}</definedName>
    <definedName name="_Order1" hidden="1">255</definedName>
    <definedName name="_Order2" hidden="1">255</definedName>
    <definedName name="_Parse_Out" hidden="1">#REF!</definedName>
    <definedName name="_PPP3" hidden="1">{#N/A,#N/A,FALSE,"特殊室（ＢＱ表）"}</definedName>
    <definedName name="_PPP33" hidden="1">{#N/A,#N/A,FALSE,"特殊室（ＢＱ表）"}</definedName>
    <definedName name="_ppp34" hidden="1">{#N/A,#N/A,FALSE,"特殊室（ＢＱ表）"}</definedName>
    <definedName name="_ppp3444" hidden="1">{#N/A,#N/A,FALSE,"特殊室（ＢＱ表）"}</definedName>
    <definedName name="_Regression_Int" hidden="1">1</definedName>
    <definedName name="_Sort" hidden="1">#REF!</definedName>
    <definedName name="_Table1_In1" hidden="1">#REF!</definedName>
    <definedName name="_Table1_Out" hidden="1">#REF!</definedName>
    <definedName name="_woogi" hidden="1">#REF!</definedName>
    <definedName name="_woogi2" hidden="1">#REF!</definedName>
    <definedName name="_woogi24" hidden="1">#REF!</definedName>
    <definedName name="_woogi3" hidden="1">#REF!</definedName>
    <definedName name="_xleta.LEN" hidden="1" xlm="1">#NAME?</definedName>
    <definedName name="_재ㅐ햐" hidden="1">#REF!</definedName>
    <definedName name="aa" hidden="1">{#N/A,#N/A,FALSE,"CCTV"}</definedName>
    <definedName name="aaa" hidden="1">{#N/A,#N/A,FALSE,"손익표지";#N/A,#N/A,FALSE,"손익계산";#N/A,#N/A,FALSE,"일반관리비";#N/A,#N/A,FALSE,"영업외수익";#N/A,#N/A,FALSE,"영업외비용";#N/A,#N/A,FALSE,"매출액";#N/A,#N/A,FALSE,"요약손익";#N/A,#N/A,FALSE,"요약대차";#N/A,#N/A,FALSE,"매출채권현황";#N/A,#N/A,FALSE,"매출채권명세"}</definedName>
    <definedName name="aaaa" hidden="1">{#N/A,#N/A,FALSE,"CCTV"}</definedName>
    <definedName name="aaaaaaa" hidden="1">{#N/A,#N/A,FALSE,"type1";#N/A,#N/A,FALSE,"지지력";#N/A,#N/A,FALSE,"PILE계산";#N/A,#N/A,FALSE,"PILE ";#N/A,#N/A,FALSE,"철근량";#N/A,#N/A,FALSE,"균열검토";#N/A,#N/A,FALSE,"날개벽";#N/A,#N/A,FALSE,"주철근조립도";#N/A,#N/A,FALSE,"교좌"}</definedName>
    <definedName name="aaabbb" hidden="1">{#N/A,#N/A,FALSE,"CCTV"}</definedName>
    <definedName name="ab" hidden="1">{#N/A,#N/A,FALSE,"SumD";#N/A,#N/A,FALSE,"ElecD";#N/A,#N/A,FALSE,"MechD";#N/A,#N/A,FALSE,"GeotD";#N/A,#N/A,FALSE,"PrcsD";#N/A,#N/A,FALSE,"TunnD";#N/A,#N/A,FALSE,"CivlD";#N/A,#N/A,FALSE,"NtwkD";#N/A,#N/A,FALSE,"EstgD";#N/A,#N/A,FALSE,"PEngD"}</definedName>
    <definedName name="abcd" hidden="1">{#N/A,#N/A,FALSE,"特殊室（ＢＱ表）"}</definedName>
    <definedName name="AccessDatabase" hidden="1">"C:\WIN95\Desktop\Ramesh\AIC\Aic.mdb"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D">#REF!</definedName>
    <definedName name="ada" hidden="1">{#N/A,#N/A,FALSE,"特殊室（ＢＱ表）"}</definedName>
    <definedName name="ADCD" hidden="1">{#N/A,#N/A,FALSE,"特殊室（ＢＱ表）"}</definedName>
    <definedName name="ADI">#REF!</definedName>
    <definedName name="afdasgh" hidden="1">{#N/A,#N/A,FALSE,"CCTV"}</definedName>
    <definedName name="afdsfdg" hidden="1">{#N/A,#N/A,FALSE,"CCTV"}</definedName>
    <definedName name="afffgff" hidden="1">{#N/A,#N/A,FALSE,"CCTV"}</definedName>
    <definedName name="Agency">#REF!</definedName>
    <definedName name="ak">#REF!</definedName>
    <definedName name="aku">#REF!</definedName>
    <definedName name="anscount" hidden="1">1</definedName>
    <definedName name="AQE" hidden="1">{"'장비'!$A$3:$M$12"}</definedName>
    <definedName name="aras">#REF!</definedName>
    <definedName name="asdada" hidden="1">{#N/A,#N/A,FALSE,"特殊室（ＢＱ表）"}</definedName>
    <definedName name="asya">#REF!</definedName>
    <definedName name="ay" hidden="1">#REF!</definedName>
    <definedName name="B" hidden="1">{#N/A,#N/A,FALSE,"CCTV"}</definedName>
    <definedName name="bagas">#REF!</definedName>
    <definedName name="bawor">#REF!</definedName>
    <definedName name="BBB" hidden="1">{#N/A,#N/A,FALSE,"CCTV"}</definedName>
    <definedName name="bfbfdhfdhdfgh" hidden="1">{#N/A,#N/A,FALSE,"CCTV"}</definedName>
    <definedName name="BNN" hidden="1">{#N/A,#N/A,FALSE,"CCTV"}</definedName>
    <definedName name="bob"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ok" hidden="1">{"SUM",#N/A,FALSE,"summary";"BOOK11-1",#N/A,FALSE,"1CityGarden";"BOOK11-2",#N/A,FALSE,"2CountryGarden";"BOOK11-3",#N/A,FALSE,"3JUNGLE";"BOOK11-4CIVIL",#N/A,FALSE,"CIVIL"}</definedName>
    <definedName name="BU_DIV">#REF!</definedName>
    <definedName name="BUHO">#REF!</definedName>
    <definedName name="ccc" hidden="1">{#N/A,#N/A,FALSE,"SumD";#N/A,#N/A,FALSE,"ElecD";#N/A,#N/A,FALSE,"MechD";#N/A,#N/A,FALSE,"GeotD";#N/A,#N/A,FALSE,"PrcsD";#N/A,#N/A,FALSE,"TunnD";#N/A,#N/A,FALSE,"CivlD";#N/A,#N/A,FALSE,"NtwkD";#N/A,#N/A,FALSE,"EstgD";#N/A,#N/A,FALSE,"PEngD"}</definedName>
    <definedName name="CD">NA()</definedName>
    <definedName name="CentralisedCC">#REF!</definedName>
    <definedName name="CHRIS" hidden="1">{#N/A,#N/A,FALSE,"CCTV"}</definedName>
    <definedName name="da" hidden="1">{#N/A,#N/A,FALSE,"特殊室（ＢＱ表）"}</definedName>
    <definedName name="daa" hidden="1">{#N/A,#N/A,FALSE,"特殊室（ＢＱ表）"}</definedName>
    <definedName name="dad" hidden="1">{#N/A,#N/A,FALSE,"特殊室（ＢＱ表）"}</definedName>
    <definedName name="dada" hidden="1">{#N/A,#N/A,FALSE,"特殊室（ＢＱ表）"}</definedName>
    <definedName name="dadasda" hidden="1">{#N/A,#N/A,FALSE,"特殊室（ＢＱ表）"}</definedName>
    <definedName name="daj">#REF!</definedName>
    <definedName name="dataww" hidden="1">#REF!</definedName>
    <definedName name="ddddd" hidden="1">{#N/A,#N/A,FALSE,"SumD";#N/A,#N/A,FALSE,"ElecD";#N/A,#N/A,FALSE,"MechD";#N/A,#N/A,FALSE,"GeotD";#N/A,#N/A,FALSE,"PrcsD";#N/A,#N/A,FALSE,"TunnD";#N/A,#N/A,FALSE,"CivlD";#N/A,#N/A,FALSE,"NtwkD";#N/A,#N/A,FALSE,"EstgD";#N/A,#N/A,FALSE,"PEngD"}</definedName>
    <definedName name="DDFD" hidden="1">{#N/A,#N/A,FALSE,"CCTV"}</definedName>
    <definedName name="DDFYDFYUDF">#REF!</definedName>
    <definedName name="dffd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fff" hidden="1">{#N/A,#N/A,FALSE,"SumG";#N/A,#N/A,FALSE,"ElecG";#N/A,#N/A,FALSE,"MechG";#N/A,#N/A,FALSE,"GeotG";#N/A,#N/A,FALSE,"PrcsG";#N/A,#N/A,FALSE,"TunnG";#N/A,#N/A,FALSE,"CivlG";#N/A,#N/A,FALSE,"NtwkG";#N/A,#N/A,FALSE,"EstgG";#N/A,#N/A,FALSE,"PEngG"}</definedName>
    <definedName name="dfh" hidden="1">{#N/A,#N/A,FALSE,"特殊室（ＢＱ表）"}</definedName>
    <definedName name="DFSF" hidden="1">{#N/A,#N/A,FALSE,"特殊室（ＢＱ表）"}</definedName>
    <definedName name="dgdsgsd">#REF!</definedName>
    <definedName name="DGF" hidden="1">{#N/A,#N/A,FALSE,"特殊室（ＢＱ表）"}</definedName>
    <definedName name="dgfd" hidden="1">{#N/A,#N/A,FALSE,"SumG";#N/A,#N/A,FALSE,"ElecG";#N/A,#N/A,FALSE,"MechG";#N/A,#N/A,FALSE,"GeotG";#N/A,#N/A,FALSE,"PrcsG";#N/A,#N/A,FALSE,"TunnG";#N/A,#N/A,FALSE,"CivlG";#N/A,#N/A,FALSE,"NtwkG";#N/A,#N/A,FALSE,"EstgG";#N/A,#N/A,FALSE,"PEngG"}</definedName>
    <definedName name="DGFDG" hidden="1">{#N/A,#N/A,FALSE,"特殊室（ＢＱ表）"}</definedName>
    <definedName name="dgfgjgj" hidden="1">{#N/A,#N/A,FALSE,"CCTV"}</definedName>
    <definedName name="DIN">#REF!</definedName>
    <definedName name="dinar">#REF!</definedName>
    <definedName name="dinars">#REF!</definedName>
    <definedName name="DirektoratHO">#REF!</definedName>
    <definedName name="Div.">#REF!</definedName>
    <definedName name="dvbgf" hidden="1">{#N/A,#N/A,FALSE,"SumD";#N/A,#N/A,FALSE,"ElecD";#N/A,#N/A,FALSE,"MechD";#N/A,#N/A,FALSE,"GeotD";#N/A,#N/A,FALSE,"PrcsD";#N/A,#N/A,FALSE,"TunnD";#N/A,#N/A,FALSE,"CivlD";#N/A,#N/A,FALSE,"NtwkD";#N/A,#N/A,FALSE,"EstgD";#N/A,#N/A,FALSE,"PEngD"}</definedName>
    <definedName name="dydy">#REF!</definedName>
    <definedName name="ear">#REF!</definedName>
    <definedName name="eddy" hidden="1">#REF!</definedName>
    <definedName name="equptdis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 hidden="1">{#N/A,#N/A,FALSE,"SumG";#N/A,#N/A,FALSE,"ElecG";#N/A,#N/A,FALSE,"MechG";#N/A,#N/A,FALSE,"GeotG";#N/A,#N/A,FALSE,"PrcsG";#N/A,#N/A,FALSE,"TunnG";#N/A,#N/A,FALSE,"CivlG";#N/A,#N/A,FALSE,"NtwkG";#N/A,#N/A,FALSE,"EstgG";#N/A,#N/A,FALSE,"PEngG"}</definedName>
    <definedName name="er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stes">#REF!</definedName>
    <definedName name="etdes">#REF!</definedName>
    <definedName name="eyteyt" hidden="1">{#N/A,#N/A,FALSE,"CCTV"}</definedName>
    <definedName name="FCHFCHFGHFG">#REF!</definedName>
    <definedName name="fddfhdfhdgh" hidden="1">{#N/A,#N/A,FALSE,"CCTV"}</definedName>
    <definedName name="fdf" hidden="1">{#N/A,#N/A,FALSE,"CCTV"}</definedName>
    <definedName name="FDFDF" hidden="1">{#N/A,#N/A,FALSE,"CCTV"}</definedName>
    <definedName name="fdff" hidden="1">{#N/A,#N/A,FALSE,"SumG";#N/A,#N/A,FALSE,"ElecG";#N/A,#N/A,FALSE,"MechG";#N/A,#N/A,FALSE,"GeotG";#N/A,#N/A,FALSE,"PrcsG";#N/A,#N/A,FALSE,"TunnG";#N/A,#N/A,FALSE,"CivlG";#N/A,#N/A,FALSE,"NtwkG";#N/A,#N/A,FALSE,"EstgG";#N/A,#N/A,FALSE,"PEngG"}</definedName>
    <definedName name="FF" hidden="1">#REF!</definedName>
    <definedName name="fff" hidden="1">{#N/A,#N/A,FALSE,"CCTV"}</definedName>
    <definedName name="ffffff" hidden="1">{#N/A,#N/A,FALSE,"CCTV"}</definedName>
    <definedName name="fg" hidden="1">{#N/A,#N/A,FALSE,"SumG";#N/A,#N/A,FALSE,"ElecG";#N/A,#N/A,FALSE,"MechG";#N/A,#N/A,FALSE,"GeotG";#N/A,#N/A,FALSE,"PrcsG";#N/A,#N/A,FALSE,"TunnG";#N/A,#N/A,FALSE,"CivlG";#N/A,#N/A,FALSE,"NtwkG";#N/A,#N/A,FALSE,"EstgG";#N/A,#N/A,FALSE,"PEngG"}</definedName>
    <definedName name="fgdfg" hidden="1">{#N/A,#N/A,FALSE,"SumD";#N/A,#N/A,FALSE,"ElecD";#N/A,#N/A,FALSE,"MechD";#N/A,#N/A,FALSE,"GeotD";#N/A,#N/A,FALSE,"PrcsD";#N/A,#N/A,FALSE,"TunnD";#N/A,#N/A,FALSE,"CivlD";#N/A,#N/A,FALSE,"NtwkD";#N/A,#N/A,FALSE,"EstgD";#N/A,#N/A,FALSE,"PEngD"}</definedName>
    <definedName name="FGF" hidden="1">{#N/A,#N/A,FALSE,"CCTV"}</definedName>
    <definedName name="fg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g" hidden="1">{#N/A,#N/A,FALSE,"SumG";#N/A,#N/A,FALSE,"ElecG";#N/A,#N/A,FALSE,"MechG";#N/A,#N/A,FALSE,"GeotG";#N/A,#N/A,FALSE,"PrcsG";#N/A,#N/A,FALSE,"TunnG";#N/A,#N/A,FALSE,"CivlG";#N/A,#N/A,FALSE,"NtwkG";#N/A,#N/A,FALSE,"EstgG";#N/A,#N/A,FALSE,"PEngG"}</definedName>
    <definedName name="fgg" hidden="1">{"'장비'!$A$3:$M$12"}</definedName>
    <definedName name="fgh">#REF!</definedName>
    <definedName name="fghfg" hidden="1">{#N/A,#N/A,FALSE,"SumD";#N/A,#N/A,FALSE,"ElecD";#N/A,#N/A,FALSE,"MechD";#N/A,#N/A,FALSE,"GeotD";#N/A,#N/A,FALSE,"PrcsD";#N/A,#N/A,FALSE,"TunnD";#N/A,#N/A,FALSE,"CivlD";#N/A,#N/A,FALSE,"NtwkD";#N/A,#N/A,FALSE,"EstgD";#N/A,#N/A,FALSE,"PEngD"}</definedName>
    <definedName name="FGHH" hidden="1">{#N/A,#N/A,FALSE,"SumD";#N/A,#N/A,FALSE,"ElecD";#N/A,#N/A,FALSE,"MechD";#N/A,#N/A,FALSE,"GeotD";#N/A,#N/A,FALSE,"PrcsD";#N/A,#N/A,FALSE,"TunnD";#N/A,#N/A,FALSE,"CivlD";#N/A,#N/A,FALSE,"NtwkD";#N/A,#N/A,FALSE,"EstgD";#N/A,#N/A,FALSE,"PEngD"}</definedName>
    <definedName name="fgjdf">#REF!</definedName>
    <definedName name="fgrfyj">#REF!</definedName>
    <definedName name="fgtg"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hdfhdf">#REF!</definedName>
    <definedName name="fhgfhj">#REF!</definedName>
    <definedName name="fhgjfghfghgf" hidden="1">{#N/A,#N/A,FALSE,"CCTV"}</definedName>
    <definedName name="fjgfjh">#REF!</definedName>
    <definedName name="fjhfjh">#REF!</definedName>
    <definedName name="fryhrfgh">#REF!</definedName>
    <definedName name="fturedh">#REF!</definedName>
    <definedName name="fyftu">#REF!</definedName>
    <definedName name="g">#REF!</definedName>
    <definedName name="GD" hidden="1">{#N/A,#N/A,FALSE,"特殊室（ＢＱ表）"}</definedName>
    <definedName name="gdg" hidden="1">{#N/A,#N/A,FALSE,"特殊室（ＢＱ表）"}</definedName>
    <definedName name="gdghd">#REF!</definedName>
    <definedName name="GFA" hidden="1">#REF!</definedName>
    <definedName name="gfdg" hidden="1">{#N/A,#N/A,FALSE,"特殊室（ＢＱ表）"}</definedName>
    <definedName name="gfdgfdg" hidden="1">{#N/A,#N/A,FALSE,"SumD";#N/A,#N/A,FALSE,"ElecD";#N/A,#N/A,FALSE,"MechD";#N/A,#N/A,FALSE,"GeotD";#N/A,#N/A,FALSE,"PrcsD";#N/A,#N/A,FALSE,"TunnD";#N/A,#N/A,FALSE,"CivlD";#N/A,#N/A,FALSE,"NtwkD";#N/A,#N/A,FALSE,"EstgD";#N/A,#N/A,FALSE,"PEngD"}</definedName>
    <definedName name="gfgfgfgfg" hidden="1">{#N/A,#N/A,FALSE,"SumD";#N/A,#N/A,FALSE,"ElecD";#N/A,#N/A,FALSE,"MechD";#N/A,#N/A,FALSE,"GeotD";#N/A,#N/A,FALSE,"PrcsD";#N/A,#N/A,FALSE,"TunnD";#N/A,#N/A,FALSE,"CivlD";#N/A,#N/A,FALSE,"NtwkD";#N/A,#N/A,FALSE,"EstgD";#N/A,#N/A,FALSE,"PEngD"}</definedName>
    <definedName name="gfgfgfgss" hidden="1">{#N/A,#N/A,FALSE,"SumG";#N/A,#N/A,FALSE,"ElecG";#N/A,#N/A,FALSE,"MechG";#N/A,#N/A,FALSE,"GeotG";#N/A,#N/A,FALSE,"PrcsG";#N/A,#N/A,FALSE,"TunnG";#N/A,#N/A,FALSE,"CivlG";#N/A,#N/A,FALSE,"NtwkG";#N/A,#N/A,FALSE,"EstgG";#N/A,#N/A,FALSE,"PEngG"}</definedName>
    <definedName name="gfjgfh" hidden="1">{#N/A,#N/A,FALSE,"CCTV"}</definedName>
    <definedName name="gfjgfhfg" hidden="1">{#N/A,#N/A,FALSE,"CCTV"}</definedName>
    <definedName name="ghg">#REF!</definedName>
    <definedName name="ghggg" hidden="1">{#N/A,#N/A,FALSE,"SumG";#N/A,#N/A,FALSE,"ElecG";#N/A,#N/A,FALSE,"MechG";#N/A,#N/A,FALSE,"GeotG";#N/A,#N/A,FALSE,"PrcsG";#N/A,#N/A,FALSE,"TunnG";#N/A,#N/A,FALSE,"CivlG";#N/A,#N/A,FALSE,"NtwkG";#N/A,#N/A,FALSE,"EstgG";#N/A,#N/A,FALSE,"PEngG"}</definedName>
    <definedName name="GHJ">#REF!</definedName>
    <definedName name="ghjg">#REF!</definedName>
    <definedName name="GHJGJGFK">#REF!</definedName>
    <definedName name="ghjsghkjsg">#REF!</definedName>
    <definedName name="ghk">#REF!</definedName>
    <definedName name="gjfgvfh" hidden="1">{#N/A,#N/A,FALSE,"特殊室（ＢＱ表）"}</definedName>
    <definedName name="gkgkgkju">#REF!</definedName>
    <definedName name="gkj.">#REF!</definedName>
    <definedName name="GLFA">#REF!</definedName>
    <definedName name="GLOPEX">#REF!</definedName>
    <definedName name="GLPRJ">#REF!</definedName>
    <definedName name="GMG" hidden="1">{#N/A,#N/A,FALSE,"特殊室（ＢＱ表）"}</definedName>
    <definedName name="gsdhs">#REF!</definedName>
    <definedName name="gshdf">#REF!</definedName>
    <definedName name="gygug">#REF!</definedName>
    <definedName name="gyhf">#REF!</definedName>
    <definedName name="HA" hidden="1">{"'Sheet1'!$L$16"}</definedName>
    <definedName name="harga">#REF!</definedName>
    <definedName name="hfdgfdg" hidden="1">{#N/A,#N/A,FALSE,"CCTV"}</definedName>
    <definedName name="hfgk" hidden="1">{#N/A,#N/A,FALSE,"特殊室（ＢＱ表）"}</definedName>
    <definedName name="hfjhhjj" hidden="1">{#N/A,#N/A,FALSE,"CCTV"}</definedName>
    <definedName name="hghghjfv">#REF!</definedName>
    <definedName name="hgjfgh" hidden="1">{#N/A,#N/A,FALSE,"CCTV"}</definedName>
    <definedName name="hgjgfhgh" hidden="1">{#N/A,#N/A,FALSE,"CCTV"}</definedName>
    <definedName name="HHJGHJ">#REF!</definedName>
    <definedName name="hihuih">#REF!</definedName>
    <definedName name="hjhgxdgdz">#REF!</definedName>
    <definedName name="hjhklh">#REF!</definedName>
    <definedName name="HKJ">#REF!</definedName>
    <definedName name="HTML" hidden="1">{"'장비'!$A$3:$M$12"}</definedName>
    <definedName name="HTML_CodePage" hidden="1">949</definedName>
    <definedName name="HTML_Control" hidden="1">{"'장비'!$A$3:$M$12"}</definedName>
    <definedName name="HTML_Description" hidden="1">""</definedName>
    <definedName name="HTML_Email" hidden="1">""</definedName>
    <definedName name="HTML_Header" hidden="1">"장비"</definedName>
    <definedName name="HTML_LastUpdate" hidden="1">"97-08-05"</definedName>
    <definedName name="HTML_LineAfter" hidden="1">FALSE</definedName>
    <definedName name="HTML_LineBefore" hidden="1">FALSE</definedName>
    <definedName name="HTML_Name" hidden="1">"이진화"</definedName>
    <definedName name="HTML_OBDlg2" hidden="1">TRUE</definedName>
    <definedName name="HTML_OBDlg4" hidden="1">TRUE</definedName>
    <definedName name="HTML_OS" hidden="1">0</definedName>
    <definedName name="HTML_PathFile" hidden="1">"C:\My Documents\MyHTML.htm"</definedName>
    <definedName name="HTML_Title" hidden="1">"가산동미라보"</definedName>
    <definedName name="HTML1_1" hidden="1">"'[98계획ⅱ.XLS]98총괄'!$A$2:$F$16"</definedName>
    <definedName name="HTML1_10" hidden="1">""</definedName>
    <definedName name="HTML1_11" hidden="1">1</definedName>
    <definedName name="HTML1_12" hidden="1">"C:\My Documents\cck\MyHTML.htm"</definedName>
    <definedName name="HTML1_2" hidden="1">1</definedName>
    <definedName name="HTML1_3" hidden="1">"98계획ⅱ.XL"</definedName>
    <definedName name="HTML1_4" hidden="1">"98총괄"</definedName>
    <definedName name="HTML1_5" hidden="1">""</definedName>
    <definedName name="HTML1_6" hidden="1">1</definedName>
    <definedName name="HTML1_7" hidden="1">1</definedName>
    <definedName name="HTML1_8" hidden="1">"97-12-10"</definedName>
    <definedName name="HTML1_9" hidden="1">"hyogye01"</definedName>
    <definedName name="HTMLCount" hidden="1">1</definedName>
    <definedName name="humaira">#REF!</definedName>
    <definedName name="hygfi">#REF!</definedName>
    <definedName name="iiouolkll" hidden="1">{#N/A,#N/A,FALSE,"CCTV"}</definedName>
    <definedName name="irawan">#REF!</definedName>
    <definedName name="irishjane" hidden="1">#REF!</definedName>
    <definedName name="jh" hidden="1">{#N/A,#N/A,FALSE,"SumG";#N/A,#N/A,FALSE,"ElecG";#N/A,#N/A,FALSE,"MechG";#N/A,#N/A,FALSE,"GeotG";#N/A,#N/A,FALSE,"PrcsG";#N/A,#N/A,FALSE,"TunnG";#N/A,#N/A,FALSE,"CivlG";#N/A,#N/A,FALSE,"NtwkG";#N/A,#N/A,FALSE,"EstgG";#N/A,#N/A,FALSE,"PEngG"}</definedName>
    <definedName name="jhhhh" hidden="1">{#N/A,#N/A,FALSE,"CCTV"}</definedName>
    <definedName name="KAMU">#REF!</definedName>
    <definedName name="KDJU" hidden="1">{"'장비'!$A$3:$M$12"}</definedName>
    <definedName name="KE_CUSTOMER">#REF!</definedName>
    <definedName name="kghlgh" hidden="1">{#N/A,#N/A,FALSE,"CCTV"}</definedName>
    <definedName name="ki">#REF!</definedName>
    <definedName name="kita">#REF!</definedName>
    <definedName name="kitz"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ulil" hidden="1">{#N/A,#N/A,FALSE,"CCTV"}</definedName>
    <definedName name="kjhkj" hidden="1">{#N/A,#N/A,FALSE,"SumG";#N/A,#N/A,FALSE,"ElecG";#N/A,#N/A,FALSE,"MechG";#N/A,#N/A,FALSE,"GeotG";#N/A,#N/A,FALSE,"PrcsG";#N/A,#N/A,FALSE,"TunnG";#N/A,#N/A,FALSE,"CivlG";#N/A,#N/A,FALSE,"NtwkG";#N/A,#N/A,FALSE,"EstgG";#N/A,#N/A,FALSE,"PEngG"}</definedName>
    <definedName name="kjhlh" hidden="1">{#N/A,#N/A,FALSE,"CCTV"}</definedName>
    <definedName name="kjhljhk" hidden="1">{#N/A,#N/A,FALSE,"CCTV"}</definedName>
    <definedName name="kjoh" hidden="1">{#N/A,#N/A,FALSE,"特殊室（ＢＱ表）"}</definedName>
    <definedName name="kkk" hidden="1">{#N/A,#N/A,FALSE,"CCTV"}</definedName>
    <definedName name="KLHKJ">#REF!</definedName>
    <definedName name="ktf" hidden="1">#REF!</definedName>
    <definedName name="kty" hidden="1">#REF!</definedName>
    <definedName name="LKL" hidden="1">{#N/A,#N/A,FALSE,"SumG";#N/A,#N/A,FALSE,"ElecG";#N/A,#N/A,FALSE,"MechG";#N/A,#N/A,FALSE,"GeotG";#N/A,#N/A,FALSE,"PrcsG";#N/A,#N/A,FALSE,"TunnG";#N/A,#N/A,FALSE,"CivlG";#N/A,#N/A,FALSE,"NtwkG";#N/A,#N/A,FALSE,"EstgG";#N/A,#N/A,FALSE,"PEngG"}</definedName>
    <definedName name="lklhlkjl" hidden="1">{#N/A,#N/A,FALSE,"CCTV"}</definedName>
    <definedName name="lop" hidden="1">{#N/A,#N/A,FALSE,"特殊室（ＢＱ表）"}</definedName>
    <definedName name="lop." hidden="1">{#N/A,#N/A,FALSE,"特殊室（ＢＱ表）"}</definedName>
    <definedName name="MBM" hidden="1">{#N/A,#N/A,FALSE,"特殊室（ＢＱ表）"}</definedName>
    <definedName name="MEE">#REF!</definedName>
    <definedName name="MGB" hidden="1">{#N/A,#N/A,FALSE,"特殊室（ＢＱ表）"}</definedName>
    <definedName name="mmm" hidden="1">{"'장비'!$A$3:$M$12"}</definedName>
    <definedName name="mmmmm" hidden="1">{#N/A,#N/A,FALSE,"CCTV"}</definedName>
    <definedName name="MNB" hidden="1">{#N/A,#N/A,FALSE,"特殊室（ＢＱ表）"}</definedName>
    <definedName name="MpwrDistrRev"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NEWNAME" hidden="1">{#N/A,#N/A,FALSE,"CCTV"}</definedName>
    <definedName name="nkknk" hidden="1">{#N/A,#N/A,FALSE,"CCTV"}</definedName>
    <definedName name="nnn" hidden="1">{#N/A,#N/A,FALSE,"SumD";#N/A,#N/A,FALSE,"ElecD";#N/A,#N/A,FALSE,"MechD";#N/A,#N/A,FALSE,"GeotD";#N/A,#N/A,FALSE,"PrcsD";#N/A,#N/A,FALSE,"TunnD";#N/A,#N/A,FALSE,"CivlD";#N/A,#N/A,FALSE,"NtwkD";#N/A,#N/A,FALSE,"EstgD";#N/A,#N/A,FALSE,"PEngD"}</definedName>
    <definedName name="nnnnn" hidden="1">{#N/A,#N/A,FALSE,"SumG";#N/A,#N/A,FALSE,"ElecG";#N/A,#N/A,FALSE,"MechG";#N/A,#N/A,FALSE,"GeotG";#N/A,#N/A,FALSE,"PrcsG";#N/A,#N/A,FALSE,"TunnG";#N/A,#N/A,FALSE,"CivlG";#N/A,#N/A,FALSE,"NtwkG";#N/A,#N/A,FALSE,"EstgG";#N/A,#N/A,FALSE,"PEngG"}</definedName>
    <definedName name="ODH" hidden="1">#REF!</definedName>
    <definedName name="ODHH" hidden="1">#REF!</definedName>
    <definedName name="oililui" hidden="1">{#N/A,#N/A,FALSE,"CCTV"}</definedName>
    <definedName name="ok">#REF!</definedName>
    <definedName name="olk" hidden="1">{#N/A,#N/A,FALSE,"特殊室（ＢＱ表）"}</definedName>
    <definedName name="P" hidden="1">#REF!</definedName>
    <definedName name="pamularsih">#REF!</definedName>
    <definedName name="Port1" hidden="1">{#N/A,#N/A,FALSE,"特殊室（ＢＱ表）"}</definedName>
    <definedName name="port11" hidden="1">{#N/A,#N/A,FALSE,"特殊室（ＢＱ表）"}</definedName>
    <definedName name="PPP" hidden="1">{#N/A,#N/A,FALSE,"CCTV"}</definedName>
    <definedName name="Priority" localSheetId="3">#REF!</definedName>
    <definedName name="Priority">#REF!</definedName>
    <definedName name="QAZ" hidden="1">{#N/A,#N/A,FALSE,"CCTV"}</definedName>
    <definedName name="qqqqqqqqqqqqqqqqqqqqqqqqqqqqqq" hidden="1">{#N/A,#N/A,FALSE,"손익표지";#N/A,#N/A,FALSE,"손익계산";#N/A,#N/A,FALSE,"일반관리비";#N/A,#N/A,FALSE,"영업외수익";#N/A,#N/A,FALSE,"영업외비용";#N/A,#N/A,FALSE,"매출액";#N/A,#N/A,FALSE,"요약손익";#N/A,#N/A,FALSE,"요약대차";#N/A,#N/A,FALSE,"매출채권현황";#N/A,#N/A,FALSE,"매출채권명세"}</definedName>
    <definedName name="QQW" hidden="1">{#N/A,#N/A,FALSE,"CCTV"}</definedName>
    <definedName name="rarewt" hidden="1">{#N/A,#N/A,FALSE,"CCTV"}</definedName>
    <definedName name="report1" hidden="1">{#N/A,#N/A,FALSE,"特殊室（ＢＱ表）"}</definedName>
    <definedName name="report2" hidden="1">{#N/A,#N/A,FALSE,"特殊室（ＢＱ表）"}</definedName>
    <definedName name="re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faw">#REF!</definedName>
    <definedName name="ri">#REF!</definedName>
    <definedName name="RNAO" hidden="1">{"'장비'!$A$3:$M$12"}</definedName>
    <definedName name="rrr"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rr" hidden="1">{"'장비'!$A$3:$M$12"}</definedName>
    <definedName name="rrrrrrrr" hidden="1">{"'장비'!$A$3:$M$12"}</definedName>
    <definedName name="rsk" hidden="1">#REF!</definedName>
    <definedName name="rss" hidden="1">#REF!</definedName>
    <definedName name="rteswdqwwf" hidden="1">#REF!</definedName>
    <definedName name="RTYE" hidden="1">{"'장비'!$A$3:$M$12"}</definedName>
    <definedName name="saada" hidden="1">{#N/A,#N/A,FALSE,"特殊室（ＢＱ表）"}</definedName>
    <definedName name="scarce" hidden="1">{#N/A,#N/A,FALSE,"Summary";#N/A,#N/A,FALSE,"3TJ";#N/A,#N/A,FALSE,"3TN";#N/A,#N/A,FALSE,"3TP";#N/A,#N/A,FALSE,"3SJ";#N/A,#N/A,FALSE,"3CJ";#N/A,#N/A,FALSE,"3CN";#N/A,#N/A,FALSE,"3CP";#N/A,#N/A,FALSE,"3A"}</definedName>
    <definedName name="sdgshs">#REF!</definedName>
    <definedName name="Seat" hidden="1">#REF!</definedName>
    <definedName name="sencount" hidden="1">1</definedName>
    <definedName name="Services2" hidden="1">{#N/A,#N/A,FALSE,"Pricing";#N/A,#N/A,FALSE,"Summary";#N/A,#N/A,FALSE,"CompProd";#N/A,#N/A,FALSE,"CompJobhrs";#N/A,#N/A,FALSE,"Escalation";#N/A,#N/A,FALSE,"Contingency";#N/A,#N/A,FALSE,"GM";#N/A,#N/A,FALSE,"CompWage";#N/A,#N/A,FALSE,"costSum"}</definedName>
    <definedName name="sffff" hidden="1">{#N/A,#N/A,FALSE,"SumD";#N/A,#N/A,FALSE,"ElecD";#N/A,#N/A,FALSE,"MechD";#N/A,#N/A,FALSE,"GeotD";#N/A,#N/A,FALSE,"PrcsD";#N/A,#N/A,FALSE,"TunnD";#N/A,#N/A,FALSE,"CivlD";#N/A,#N/A,FALSE,"NtwkD";#N/A,#N/A,FALSE,"EstgD";#N/A,#N/A,FALSE,"PEngD"}</definedName>
    <definedName name="shjfgdsg">#REF!</definedName>
    <definedName name="SS" hidden="1">#REF!</definedName>
    <definedName name="ssshhh" hidden="1">{#N/A,#N/A,FALSE,"SumG";#N/A,#N/A,FALSE,"ElecG";#N/A,#N/A,FALSE,"MechG";#N/A,#N/A,FALSE,"GeotG";#N/A,#N/A,FALSE,"PrcsG";#N/A,#N/A,FALSE,"TunnG";#N/A,#N/A,FALSE,"CivlG";#N/A,#N/A,FALSE,"NtwkG";#N/A,#N/A,FALSE,"EstgG";#N/A,#N/A,FALSE,"PEngG"}</definedName>
    <definedName name="sssss" hidden="1">{#N/A,#N/A,FALSE,"SumD";#N/A,#N/A,FALSE,"ElecD";#N/A,#N/A,FALSE,"MechD";#N/A,#N/A,FALSE,"GeotD";#N/A,#N/A,FALSE,"PrcsD";#N/A,#N/A,FALSE,"TunnD";#N/A,#N/A,FALSE,"CivlD";#N/A,#N/A,FALSE,"NtwkD";#N/A,#N/A,FALSE,"EstgD";#N/A,#N/A,FALSE,"PEngD"}</definedName>
    <definedName name="SU_DIV" localSheetId="3">#REF!</definedName>
    <definedName name="SU_DIV">#REF!</definedName>
    <definedName name="summar" hidden="1">{#N/A,#N/A,FALSE,"特殊室（ＢＱ表）"}</definedName>
    <definedName name="Tabel">NA()</definedName>
    <definedName name="TB">#REF!</definedName>
    <definedName name="TBL">#REF!</definedName>
    <definedName name="TDFYDFYU">#REF!</definedName>
    <definedName name="Tend_Box" hidden="1">#REF!</definedName>
    <definedName name="tttt" hidden="1">{"'Sheet1'!$L$16"}</definedName>
    <definedName name="typ" hidden="1">#REF!</definedName>
    <definedName name="type1" hidden="1">#REF!</definedName>
    <definedName name="ui">#REF!</definedName>
    <definedName name="uj" hidden="1">{#N/A,#N/A,FALSE,"SumG";#N/A,#N/A,FALSE,"ElecG";#N/A,#N/A,FALSE,"MechG";#N/A,#N/A,FALSE,"GeotG";#N/A,#N/A,FALSE,"PrcsG";#N/A,#N/A,FALSE,"TunnG";#N/A,#N/A,FALSE,"CivlG";#N/A,#N/A,FALSE,"NtwkG";#N/A,#N/A,FALSE,"EstgG";#N/A,#N/A,FALSE,"PEngG"}</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UU" hidden="1">{#N/A,#N/A,FALSE,"CCTV"}</definedName>
    <definedName name="van" hidden="1">{#N/A,#N/A,FALSE,"CCTV"}</definedName>
    <definedName name="Variation" hidden="1">{#N/A,#N/A,FALSE,"SumD";#N/A,#N/A,FALSE,"ElecD";#N/A,#N/A,FALSE,"MechD";#N/A,#N/A,FALSE,"GeotD";#N/A,#N/A,FALSE,"PrcsD";#N/A,#N/A,FALSE,"TunnD";#N/A,#N/A,FALSE,"CivlD";#N/A,#N/A,FALSE,"NtwkD";#N/A,#N/A,FALSE,"EstgD";#N/A,#N/A,FALSE,"PEngD"}</definedName>
    <definedName name="vgjh" hidden="1">{#N/A,#N/A,FALSE,"特殊室（ＢＱ表）"}</definedName>
    <definedName name="weq" hidden="1">{#N/A,#N/A,FALSE,"SumD";#N/A,#N/A,FALSE,"ElecD";#N/A,#N/A,FALSE,"MechD";#N/A,#N/A,FALSE,"GeotD";#N/A,#N/A,FALSE,"PrcsD";#N/A,#N/A,FALSE,"TunnD";#N/A,#N/A,FALSE,"CivlD";#N/A,#N/A,FALSE,"NtwkD";#N/A,#N/A,FALSE,"EstgD";#N/A,#N/A,FALSE,"PEngD"}</definedName>
    <definedName name="wjs" hidden="1">{#N/A,#N/A,FALSE,"CCTV"}</definedName>
    <definedName name="WRITE" hidden="1">{#N/A,#N/A,FALSE,"CCTV"}</definedName>
    <definedName name="wrn.all." hidden="1">{#N/A,#N/A,FALSE,"Pricing";#N/A,#N/A,FALSE,"Summary";#N/A,#N/A,FALSE,"CompProd";#N/A,#N/A,FALSE,"CompJobhrs";#N/A,#N/A,FALSE,"Escalation";#N/A,#N/A,FALSE,"Contingency";#N/A,#N/A,FALSE,"GM";#N/A,#N/A,FALSE,"CompWage";#N/A,#N/A,FALSE,"costSum"}</definedName>
    <definedName name="wrn.all._.lines." hidden="1">{#N/A,#N/A,FALSE,"Summary";#N/A,#N/A,FALSE,"3TJ";#N/A,#N/A,FALSE,"3TN";#N/A,#N/A,FALSE,"3TP";#N/A,#N/A,FALSE,"3SJ";#N/A,#N/A,FALSE,"3CJ";#N/A,#N/A,FALSE,"3CN";#N/A,#N/A,FALSE,"3CP";#N/A,#N/A,FALSE,"3A"}</definedName>
    <definedName name="wrn.Barbara._.Modular._.Indirects." hidden="1">{#N/A,#N/A,FALSE,"COVER";#N/A,#N/A,FALSE,"RECAP";#N/A,#N/A,FALSE,"SANTA BARBARA NONMANUAL";#N/A,#N/A,FALSE,"CEQUIP";#N/A,#N/A,FALSE,"WRATE";#N/A,#N/A,FALSE,"INDIRECT";#N/A,#N/A,FALSE,"TRAIN";#N/A,#N/A,FALSE,"MANLOADED SCHEDULE"}</definedName>
    <definedName name="wrn.BM." hidden="1">{#N/A,#N/A,FALSE,"CCTV"}</definedName>
    <definedName name="wrn.BOOK11." hidden="1">{"SUM",#N/A,FALSE,"summary";"BOOK11-1",#N/A,FALSE,"1CityGarden";"BOOK11-2",#N/A,FALSE,"2CountryGarden";"BOOK11-3",#N/A,FALSE,"3JUNGLE";"BOOK11-4CIVIL",#N/A,FALSE,"CIVIL"}</definedName>
    <definedName name="wrn.CHIEF._.REVIEW." hidden="1">{#N/A,#N/A,FALSE,"Q&amp;AE";#N/A,#N/A,FALSE,"Params";#N/A,#N/A,FALSE,"ReconE";#N/A,#N/A,FALSE,"CostCompE";#N/A,#N/A,FALSE,"SummaryE";#N/A,#N/A,FALSE,"Detail";#N/A,#N/A,FALSE,"PayItem"}</definedName>
    <definedName name="wrn.CIRCUITS." hidden="1">{"DBANK",#N/A,FALSE,"PriceE";"CKTS",#N/A,FALSE,"PriceE"}</definedName>
    <definedName name="wrn.COST_SHEETS." hidden="1">{#N/A,#N/A,FALSE,"WBS 1.06";#N/A,#N/A,FALSE,"WBS 1.14";#N/A,#N/A,FALSE,"WBS 1.17";#N/A,#N/A,FALSE,"WBS 1.18"}</definedName>
    <definedName name="wrn.FINAL._.ESTIMATE." hidden="1">{#N/A,#N/A,FALSE,"ProjInfo";#N/A,#N/A,FALSE,"Params";#N/A,#N/A,FALSE,"Q&amp;AE";#N/A,#N/A,FALSE,"CostCompE";#N/A,#N/A,FALSE,"SummaryE";#N/A,#N/A,FALSE,"PayItem";#N/A,#N/A,FALSE,"Detail";#N/A,#N/A,FALSE,"ReconE"}</definedName>
    <definedName name="wrn.Fuel._.oil._.option." hidden="1">{"FUEL OIL",#N/A,FALSE,"Option"}</definedName>
    <definedName name="wrn.Main._.Summary."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Payment." hidden="1">{#N/A,#N/A,TRUE,"General Summary";#N/A,#N/A,TRUE,"Preliminaries";#N/A,#N/A,TRUE,"Bill No4";#N/A,#N/A,TRUE,"BAL Cert";#N/A,#N/A,TRUE,"Valuation Info"}</definedName>
    <definedName name="wrn.PrintAll." hidden="1">{#N/A,#N/A,FALSE,"Sheet1";#N/A,#N/A,FALSE,"Sheet2";#N/A,#N/A,FALSE,"Sheet3";#N/A,#N/A,FALSE,"Sheet4";#N/A,#N/A,FALSE,"Sheet5";#N/A,#N/A,FALSE,"Sheet6";#N/A,#N/A,FALSE,"Sheet7";#N/A,#N/A,FALSE,"Sheet8";#N/A,#N/A,FALSE,"Sheet9"}</definedName>
    <definedName name="wrn.PrintallD." hidden="1">{#N/A,#N/A,FALSE,"SumD";#N/A,#N/A,FALSE,"ElecD";#N/A,#N/A,FALSE,"MechD";#N/A,#N/A,FALSE,"GeotD";#N/A,#N/A,FALSE,"PrcsD";#N/A,#N/A,FALSE,"TunnD";#N/A,#N/A,FALSE,"CivlD";#N/A,#N/A,FALSE,"NtwkD";#N/A,#N/A,FALSE,"EstgD";#N/A,#N/A,FALSE,"PEngD"}</definedName>
    <definedName name="wrn.PrintallG." hidden="1">{#N/A,#N/A,FALSE,"SumG";#N/A,#N/A,FALSE,"ElecG";#N/A,#N/A,FALSE,"MechG";#N/A,#N/A,FALSE,"GeotG";#N/A,#N/A,FALSE,"PrcsG";#N/A,#N/A,FALSE,"TunnG";#N/A,#N/A,FALSE,"CivlG";#N/A,#N/A,FALSE,"NtwkG";#N/A,#N/A,FALSE,"EstgG";#N/A,#N/A,FALSE,"PEngG"}</definedName>
    <definedName name="wrn.PrintCurr." hidden="1">{#N/A,#N/A,FALSE,"Sheet1";#N/A,#N/A,FALSE,"Sheet2";#N/A,#N/A,FALSE,"Sheet3"}</definedName>
    <definedName name="wrn.PrintPrev1." hidden="1">{#N/A,#N/A,FALSE,"Sheet4";#N/A,#N/A,FALSE,"Sheet5";#N/A,#N/A,FALSE,"Sheet6"}</definedName>
    <definedName name="wrn.PrintPrev2." hidden="1">{#N/A,#N/A,FALSE,"Sheet7";#N/A,#N/A,FALSE,"Sheet8";#N/A,#N/A,FALSE,"Sheet9"}</definedName>
    <definedName name="wrn.Redundant._.Equipment._.Option." hidden="1">{"pumps",#N/A,FALSE,"Option"}</definedName>
    <definedName name="wrn.report1." hidden="1">{#N/A,#N/A,FALSE,"特殊室（ＢＱ表）"}</definedName>
    <definedName name="wrn.STG._.BLDG._.ENCLOSURE." hidden="1">{"turbine",#N/A,FALSE,"Option"}</definedName>
    <definedName name="wrn.struckgi." hidden="1">{#N/A,#N/A,TRUE,"arnitower";#N/A,#N/A,TRUE,"arnigarage "}</definedName>
    <definedName name="wrn.Summar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WHOUSE._.CT." hidden="1">{"WESTINGHOUSE",#N/A,FALSE,"Option"}</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S" hidden="1">{"'장비'!$A$3:$M$12"}</definedName>
    <definedName name="xc" hidden="1">{#N/A,#N/A,FALSE,"SumD";#N/A,#N/A,FALSE,"ElecD";#N/A,#N/A,FALSE,"MechD";#N/A,#N/A,FALSE,"GeotD";#N/A,#N/A,FALSE,"PrcsD";#N/A,#N/A,FALSE,"TunnD";#N/A,#N/A,FALSE,"CivlD";#N/A,#N/A,FALSE,"NtwkD";#N/A,#N/A,FALSE,"EstgD";#N/A,#N/A,FALSE,"PEngD"}</definedName>
    <definedName name="xx" hidden="1">{#N/A,#N/A,FALSE,"SumD";#N/A,#N/A,FALSE,"ElecD";#N/A,#N/A,FALSE,"MechD";#N/A,#N/A,FALSE,"GeotD";#N/A,#N/A,FALSE,"PrcsD";#N/A,#N/A,FALSE,"TunnD";#N/A,#N/A,FALSE,"CivlD";#N/A,#N/A,FALSE,"NtwkD";#N/A,#N/A,FALSE,"EstgD";#N/A,#N/A,FALSE,"PEngD"}</definedName>
    <definedName name="yddfjfj">#REF!</definedName>
    <definedName name="ydru">#REF!</definedName>
    <definedName name="yrdtytyt" hidden="1">{#N/A,#N/A,FALSE,"CCTV"}</definedName>
    <definedName name="yu">#REF!</definedName>
    <definedName name="yui">#REF!</definedName>
    <definedName name="yuiko">#REF!</definedName>
    <definedName name="yy" hidden="1">{"'장비'!$A$3:$M$12"}</definedName>
    <definedName name="zeqq" hidden="1">{"'장비'!$A$3:$M$12"}</definedName>
    <definedName name="zfgxdgd">#REF!</definedName>
    <definedName name="zse" hidden="1">{#N/A,#N/A,FALSE,"SumG";#N/A,#N/A,FALSE,"ElecG";#N/A,#N/A,FALSE,"MechG";#N/A,#N/A,FALSE,"GeotG";#N/A,#N/A,FALSE,"PrcsG";#N/A,#N/A,FALSE,"TunnG";#N/A,#N/A,FALSE,"CivlG";#N/A,#N/A,FALSE,"NtwkG";#N/A,#N/A,FALSE,"EstgG";#N/A,#N/A,FALSE,"PEngG"}</definedName>
    <definedName name="zz" hidden="1">{#N/A,#N/A,FALSE,"SumD";#N/A,#N/A,FALSE,"ElecD";#N/A,#N/A,FALSE,"MechD";#N/A,#N/A,FALSE,"GeotD";#N/A,#N/A,FALSE,"PrcsD";#N/A,#N/A,FALSE,"TunnD";#N/A,#N/A,FALSE,"CivlD";#N/A,#N/A,FALSE,"NtwkD";#N/A,#N/A,FALSE,"EstgD";#N/A,#N/A,FALSE,"PEngD"}</definedName>
    <definedName name="ㄱㄷㄱㄷㄱㄱㅎㄺㄷ" hidden="1">{"'장비'!$A$3:$M$12"}</definedName>
    <definedName name="견적조건" hidden="1">#REF!</definedName>
    <definedName name="견적품의서" hidden="1">{"'장비'!$A$3:$M$12"}</definedName>
    <definedName name="ㄴㅁㄹㅈㄹ" hidden="1">#REF!</definedName>
    <definedName name="ㄴㅇㄹ" hidden="1">{#N/A,#N/A,FALSE,"CCTV"}</definedName>
    <definedName name="ㄷㄳ" hidden="1">{"'장비'!$A$3:$M$12"}</definedName>
    <definedName name="ㄷㄷㄷㄷ" hidden="1">{"'장비'!$A$3:$M$12"}</definedName>
    <definedName name="ㄷㅈㅂㄷ" hidden="1">{"'장비'!$A$3:$M$12"}</definedName>
    <definedName name="ㄷㅎㄹㅇ" hidden="1">#REF!</definedName>
    <definedName name="동영" hidden="1">{#N/A,#N/A,FALSE,"CCTV"}</definedName>
    <definedName name="ㄹㄹ" hidden="1">{"'장비'!$A$3:$M$12"}</definedName>
    <definedName name="뭉" hidden="1">{"'장비'!$A$3:$M$12"}</definedName>
    <definedName name="ㅂㅈㄱㅂㅈㄷㄱ" hidden="1">{"'장비'!$A$3:$M$12"}</definedName>
    <definedName name="ㅂㅈㄷ" hidden="1">{"'장비'!$A$3:$M$12"}</definedName>
    <definedName name="ㅂㅈㄷㄷㅂㅈㅈㅂ" hidden="1">{"'장비'!$A$3:$M$12"}</definedName>
    <definedName name="ㅂㅈㄷㅂㅈ" hidden="1">{"'장비'!$A$3:$M$12"}</definedName>
    <definedName name="ㅂㅈㄷㅂㅈㅈㅂㄷ" hidden="1">{"'장비'!$A$3:$M$12"}</definedName>
    <definedName name="ㅂㅈㄷㅈㅂㄷ" hidden="1">{"'장비'!$A$3:$M$12"}</definedName>
    <definedName name="부대공사" hidden="1">#REF!</definedName>
    <definedName name="ㅅㄱㄱㄷ" hidden="1">{"'장비'!$A$3:$M$12"}</definedName>
    <definedName name="ㅅㅅㅅㅅㅅ" hidden="1">{"'장비'!$A$3:$M$12"}</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쇼ㅗㅎ로" hidden="1">{"'장비'!$A$3:$M$12"}</definedName>
    <definedName name="연습"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전기" hidden="1">{"'장비'!$A$3:$M$12"}</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찰샇기" hidden="1">#REF!</definedName>
    <definedName name="토건" hidden="1">{"'장비'!$A$3:$M$12"}</definedName>
    <definedName name="토건공사비대비r" hidden="1">{"'장비'!$A$3:$M$12"}</definedName>
    <definedName name="토건업체" hidden="1">{"'장비'!$A$3:$M$12"}</definedName>
    <definedName name="토건집계표r" hidden="1">{"'장비'!$A$3:$M$12"}</definedName>
    <definedName name="투찰예정가50" hidden="1">{"'장비'!$A$3:$M$12"}</definedName>
    <definedName name="투찰예정본부장" hidden="1">{"'장비'!$A$3:$M$12"}</definedName>
    <definedName name="ㅎㅎㅎㅎ" hidden="1">{"'장비'!$A$3:$M$12"}</definedName>
    <definedName name="ㅗ홓ㅎ로" hidden="1">{"'장비'!$A$3:$M$12"}</definedName>
    <definedName name="ㅗㅗㅗㅗㅗ" hidden="1">{"'장비'!$A$3:$M$12"}</definedName>
    <definedName name="ㅛ" hidden="1">{"'장비'!$A$3:$M$12"}</definedName>
    <definedName name="ㅛㅛㅛ" hidden="1">{"'장비'!$A$3:$M$12"}</definedName>
    <definedName name="ㅠ뮤ㅐ" hidden="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6" i="7" l="1"/>
  <c r="H26" i="7" s="1"/>
  <c r="BR26" i="7" s="1"/>
  <c r="C25" i="7"/>
  <c r="C24" i="7"/>
  <c r="C4" i="7"/>
  <c r="C5" i="7"/>
  <c r="C6" i="7"/>
  <c r="C7" i="7"/>
  <c r="C8" i="7"/>
  <c r="C9" i="7"/>
  <c r="C10" i="7"/>
  <c r="F10" i="7" s="1"/>
  <c r="C11" i="7"/>
  <c r="BD11" i="7" s="1"/>
  <c r="C12" i="7"/>
  <c r="H12" i="7" s="1"/>
  <c r="C13" i="7"/>
  <c r="C14" i="7"/>
  <c r="H14" i="7" s="1"/>
  <c r="C15" i="7"/>
  <c r="F15" i="7" s="1"/>
  <c r="C16" i="7"/>
  <c r="BD16" i="7" s="1"/>
  <c r="C17" i="7"/>
  <c r="C18" i="7"/>
  <c r="C19" i="7"/>
  <c r="C20" i="7"/>
  <c r="C21" i="7"/>
  <c r="C22" i="7"/>
  <c r="C23" i="7"/>
  <c r="H23" i="7" s="1"/>
  <c r="H8" i="7"/>
  <c r="F9" i="7"/>
  <c r="G9" i="7" s="1"/>
  <c r="BD13" i="7"/>
  <c r="F20" i="7"/>
  <c r="G20" i="7" s="1"/>
  <c r="F21" i="7"/>
  <c r="G21" i="7" s="1"/>
  <c r="F22" i="7"/>
  <c r="H4" i="7"/>
  <c r="BR4" i="7" s="1"/>
  <c r="BD6" i="7"/>
  <c r="BD7" i="7"/>
  <c r="BD8" i="7"/>
  <c r="BD9" i="7"/>
  <c r="BD17" i="7"/>
  <c r="BD18" i="7"/>
  <c r="BD19" i="7"/>
  <c r="BD20" i="7"/>
  <c r="BD21" i="7"/>
  <c r="BD22" i="7"/>
  <c r="BD23" i="7"/>
  <c r="BD5" i="7"/>
  <c r="N39" i="22"/>
  <c r="K42" i="22"/>
  <c r="K43" i="22" s="1"/>
  <c r="J42" i="22"/>
  <c r="J36" i="22" s="1"/>
  <c r="I42" i="22"/>
  <c r="I36" i="22" s="1"/>
  <c r="H42" i="22"/>
  <c r="G42" i="22"/>
  <c r="G43" i="22" s="1"/>
  <c r="F42" i="22"/>
  <c r="F43" i="22" s="1"/>
  <c r="E42" i="22"/>
  <c r="E43" i="22" s="1"/>
  <c r="L40" i="22"/>
  <c r="N37" i="22"/>
  <c r="G17" i="22"/>
  <c r="G19" i="22" s="1"/>
  <c r="P10" i="7" s="1"/>
  <c r="F17" i="22"/>
  <c r="F18" i="22" s="1"/>
  <c r="O9" i="7" s="1"/>
  <c r="E17" i="22"/>
  <c r="E18" i="22" s="1"/>
  <c r="N9" i="7" s="1"/>
  <c r="D17" i="22"/>
  <c r="D20" i="22" s="1"/>
  <c r="M11" i="7" s="1"/>
  <c r="C17" i="22"/>
  <c r="C20" i="22" s="1"/>
  <c r="L11" i="7" s="1"/>
  <c r="N17" i="22"/>
  <c r="N20" i="22" s="1"/>
  <c r="W11" i="7" s="1"/>
  <c r="M17" i="22"/>
  <c r="M20" i="22" s="1"/>
  <c r="V11" i="7" s="1"/>
  <c r="L17" i="22"/>
  <c r="L19" i="22" s="1"/>
  <c r="U10" i="7" s="1"/>
  <c r="K17" i="22"/>
  <c r="K18" i="22" s="1"/>
  <c r="T9" i="7" s="1"/>
  <c r="J17" i="22"/>
  <c r="J19" i="22" s="1"/>
  <c r="S10" i="7" s="1"/>
  <c r="I17" i="22"/>
  <c r="I18" i="22" s="1"/>
  <c r="R9" i="7" s="1"/>
  <c r="H17" i="22"/>
  <c r="H18" i="22" s="1"/>
  <c r="Q9" i="7" s="1"/>
  <c r="H20" i="7"/>
  <c r="F18" i="7"/>
  <c r="F17" i="7"/>
  <c r="G17" i="7" s="1"/>
  <c r="F6" i="7"/>
  <c r="F5" i="7"/>
  <c r="G5" i="7" s="1"/>
  <c r="H25" i="7"/>
  <c r="BR25" i="7" s="1"/>
  <c r="H19" i="7"/>
  <c r="H18" i="7"/>
  <c r="H17" i="7"/>
  <c r="F14" i="7"/>
  <c r="G14" i="7" s="1"/>
  <c r="H13" i="7"/>
  <c r="H7" i="7"/>
  <c r="H6" i="7"/>
  <c r="H5" i="7"/>
  <c r="F26" i="7" l="1"/>
  <c r="BD12" i="7"/>
  <c r="F12" i="7"/>
  <c r="BD10" i="7"/>
  <c r="H15" i="7"/>
  <c r="F13" i="7"/>
  <c r="F8" i="7"/>
  <c r="G8" i="7" s="1"/>
  <c r="F25" i="7"/>
  <c r="BS25" i="7" s="1"/>
  <c r="BD15" i="7"/>
  <c r="BT25" i="7"/>
  <c r="H16" i="7"/>
  <c r="BT26" i="7"/>
  <c r="BD14" i="7"/>
  <c r="BD4" i="7"/>
  <c r="F24" i="7"/>
  <c r="BS24" i="7" s="1"/>
  <c r="H24" i="7"/>
  <c r="G15" i="7"/>
  <c r="H9" i="7"/>
  <c r="H21" i="7"/>
  <c r="F11" i="7"/>
  <c r="G11" i="7" s="1"/>
  <c r="F23" i="7"/>
  <c r="G10" i="7"/>
  <c r="G23" i="7"/>
  <c r="H11" i="7"/>
  <c r="F7" i="7"/>
  <c r="G7" i="7" s="1"/>
  <c r="F19" i="7"/>
  <c r="G19" i="7" s="1"/>
  <c r="G6" i="7"/>
  <c r="G12" i="7"/>
  <c r="G18" i="7"/>
  <c r="G22" i="7"/>
  <c r="F4" i="7"/>
  <c r="G4" i="7" s="1"/>
  <c r="F16" i="7"/>
  <c r="G16" i="7" s="1"/>
  <c r="H10" i="7"/>
  <c r="H22" i="7"/>
  <c r="G13" i="7"/>
  <c r="E36" i="22"/>
  <c r="F36" i="22"/>
  <c r="L42" i="22"/>
  <c r="G36" i="22"/>
  <c r="K36" i="22"/>
  <c r="L36" i="22"/>
  <c r="I43" i="22"/>
  <c r="F30" i="22"/>
  <c r="J43" i="22"/>
  <c r="H43" i="22"/>
  <c r="H36" i="22"/>
  <c r="C18" i="22"/>
  <c r="L9" i="7" s="1"/>
  <c r="G18" i="22"/>
  <c r="P9" i="7" s="1"/>
  <c r="E20" i="22"/>
  <c r="N11" i="7" s="1"/>
  <c r="C19" i="22"/>
  <c r="F20" i="22"/>
  <c r="O11" i="7" s="1"/>
  <c r="G20" i="22"/>
  <c r="P11" i="7" s="1"/>
  <c r="F19" i="22"/>
  <c r="D19" i="22"/>
  <c r="M10" i="7" s="1"/>
  <c r="E19" i="22"/>
  <c r="N10" i="7" s="1"/>
  <c r="D18" i="22"/>
  <c r="M9" i="7" s="1"/>
  <c r="J18" i="22"/>
  <c r="M18" i="22"/>
  <c r="V9" i="7" s="1"/>
  <c r="N18" i="22"/>
  <c r="W9" i="7" s="1"/>
  <c r="N19" i="22"/>
  <c r="W10" i="7" s="1"/>
  <c r="H20" i="22"/>
  <c r="Q11" i="7" s="1"/>
  <c r="L18" i="22"/>
  <c r="U9" i="7" s="1"/>
  <c r="M19" i="22"/>
  <c r="V10" i="7" s="1"/>
  <c r="H19" i="22"/>
  <c r="Q10" i="7" s="1"/>
  <c r="I20" i="22"/>
  <c r="R11" i="7" s="1"/>
  <c r="I19" i="22"/>
  <c r="J20" i="22"/>
  <c r="S11" i="7" s="1"/>
  <c r="K20" i="22"/>
  <c r="T11" i="7" s="1"/>
  <c r="K19" i="22"/>
  <c r="T10" i="7" s="1"/>
  <c r="L20" i="22"/>
  <c r="U11" i="7" s="1"/>
  <c r="G24" i="7" l="1"/>
  <c r="G25" i="7"/>
  <c r="G26" i="7"/>
  <c r="BS26" i="7"/>
  <c r="BT24" i="7"/>
  <c r="BR24" i="7"/>
  <c r="M30" i="22"/>
  <c r="C30" i="22"/>
  <c r="J30" i="22"/>
  <c r="K30" i="22"/>
  <c r="H30" i="22"/>
  <c r="N30" i="22"/>
  <c r="D30" i="22"/>
  <c r="L30" i="22"/>
  <c r="I30" i="22"/>
  <c r="E30" i="22"/>
  <c r="G30" i="22"/>
  <c r="G21" i="22"/>
  <c r="F21" i="22"/>
  <c r="O10" i="7"/>
  <c r="I21" i="22"/>
  <c r="R10" i="7"/>
  <c r="J21" i="22"/>
  <c r="S9" i="7"/>
  <c r="C21" i="22"/>
  <c r="L10" i="7"/>
  <c r="K21" i="22"/>
  <c r="E21" i="22"/>
  <c r="M21" i="22"/>
  <c r="D21" i="22"/>
  <c r="H21" i="22"/>
  <c r="N21" i="22"/>
  <c r="L21" i="22"/>
  <c r="O30" i="22" l="1"/>
  <c r="BI65" i="10" l="1"/>
  <c r="BC65" i="10"/>
  <c r="AO65" i="10"/>
  <c r="AA65" i="10"/>
  <c r="H65" i="10"/>
  <c r="J65" i="10" s="1"/>
  <c r="D65" i="10"/>
  <c r="A65" i="10" s="1"/>
  <c r="C65" i="10"/>
  <c r="B65" i="10"/>
  <c r="BI64" i="10"/>
  <c r="BD64" i="10"/>
  <c r="BC64" i="10"/>
  <c r="AO64" i="10"/>
  <c r="AA64" i="10"/>
  <c r="H64" i="10"/>
  <c r="I64" i="10" s="1"/>
  <c r="D64" i="10"/>
  <c r="B64" i="10" s="1"/>
  <c r="C64" i="10"/>
  <c r="BI63" i="10"/>
  <c r="BD63" i="10"/>
  <c r="BC63" i="10"/>
  <c r="AO63" i="10"/>
  <c r="AA63" i="10"/>
  <c r="H63" i="10"/>
  <c r="J63" i="10" s="1"/>
  <c r="D63" i="10"/>
  <c r="B63" i="10" s="1"/>
  <c r="C63" i="10"/>
  <c r="BI62" i="10"/>
  <c r="BD62" i="10"/>
  <c r="BC62" i="10"/>
  <c r="AO62" i="10"/>
  <c r="AA62" i="10"/>
  <c r="H62" i="10"/>
  <c r="I62" i="10" s="1"/>
  <c r="D62" i="10"/>
  <c r="E62" i="10" s="1"/>
  <c r="C62" i="10"/>
  <c r="A62" i="10"/>
  <c r="BI61" i="10"/>
  <c r="BC61" i="10"/>
  <c r="AO61" i="10"/>
  <c r="AA61" i="10"/>
  <c r="BD61" i="10" s="1"/>
  <c r="H61" i="10"/>
  <c r="J61" i="10" s="1"/>
  <c r="D61" i="10"/>
  <c r="A61" i="10" s="1"/>
  <c r="C61" i="10"/>
  <c r="B61" i="10"/>
  <c r="BI60" i="10"/>
  <c r="BC60" i="10"/>
  <c r="AO60" i="10"/>
  <c r="AA60" i="10"/>
  <c r="BD60" i="10" s="1"/>
  <c r="H60" i="10"/>
  <c r="J60" i="10" s="1"/>
  <c r="D60" i="10"/>
  <c r="E60" i="10" s="1"/>
  <c r="C60" i="10"/>
  <c r="B60" i="10"/>
  <c r="BI59" i="10"/>
  <c r="BC59" i="10"/>
  <c r="AO59" i="10"/>
  <c r="AA59" i="10"/>
  <c r="BD59" i="10" s="1"/>
  <c r="H59" i="10"/>
  <c r="J59" i="10" s="1"/>
  <c r="D59" i="10"/>
  <c r="E59" i="10" s="1"/>
  <c r="C59" i="10"/>
  <c r="BI58" i="10"/>
  <c r="BC58" i="10"/>
  <c r="AO58" i="10"/>
  <c r="AA58" i="10"/>
  <c r="BD58" i="10" s="1"/>
  <c r="H58" i="10"/>
  <c r="J58" i="10" s="1"/>
  <c r="D58" i="10"/>
  <c r="E58" i="10" s="1"/>
  <c r="C58" i="10"/>
  <c r="BI57" i="10"/>
  <c r="BC57" i="10"/>
  <c r="AO57" i="10"/>
  <c r="AA57" i="10"/>
  <c r="H57" i="10"/>
  <c r="J57" i="10" s="1"/>
  <c r="D57" i="10"/>
  <c r="A57" i="10" s="1"/>
  <c r="C57" i="10"/>
  <c r="D56" i="10"/>
  <c r="E56" i="10" s="1"/>
  <c r="C56" i="10"/>
  <c r="D55" i="10"/>
  <c r="E55" i="10" s="1"/>
  <c r="C55" i="10"/>
  <c r="D54" i="10"/>
  <c r="E54" i="10" s="1"/>
  <c r="C54" i="10"/>
  <c r="D53" i="10"/>
  <c r="E53" i="10" s="1"/>
  <c r="C53" i="10"/>
  <c r="D52" i="10"/>
  <c r="E52" i="10" s="1"/>
  <c r="C52" i="10"/>
  <c r="D51" i="10"/>
  <c r="E51" i="10" s="1"/>
  <c r="C51" i="10"/>
  <c r="D50" i="10"/>
  <c r="E50" i="10" s="1"/>
  <c r="C50" i="10"/>
  <c r="D49" i="10"/>
  <c r="E49" i="10" s="1"/>
  <c r="C49" i="10"/>
  <c r="D48" i="10"/>
  <c r="E48" i="10" s="1"/>
  <c r="C48" i="10"/>
  <c r="D47" i="10"/>
  <c r="E47" i="10" s="1"/>
  <c r="C47" i="10"/>
  <c r="D46" i="10"/>
  <c r="E46" i="10" s="1"/>
  <c r="C46" i="10"/>
  <c r="D45" i="10"/>
  <c r="E45" i="10" s="1"/>
  <c r="C45" i="10"/>
  <c r="D44" i="10"/>
  <c r="E44" i="10" s="1"/>
  <c r="C44" i="10"/>
  <c r="D43" i="10"/>
  <c r="E43" i="10" s="1"/>
  <c r="C43" i="10"/>
  <c r="D42" i="10"/>
  <c r="E42" i="10" s="1"/>
  <c r="C42" i="10"/>
  <c r="D41" i="10"/>
  <c r="E41" i="10" s="1"/>
  <c r="C41" i="10"/>
  <c r="D40" i="10"/>
  <c r="E40" i="10" s="1"/>
  <c r="C40" i="10"/>
  <c r="D39" i="10"/>
  <c r="E39" i="10" s="1"/>
  <c r="C39" i="10"/>
  <c r="D38" i="10"/>
  <c r="E38" i="10" s="1"/>
  <c r="C38" i="10"/>
  <c r="D37" i="10"/>
  <c r="E37" i="10" s="1"/>
  <c r="C37" i="10"/>
  <c r="D36" i="10"/>
  <c r="E36" i="10" s="1"/>
  <c r="C36" i="10"/>
  <c r="D35" i="10"/>
  <c r="E35" i="10" s="1"/>
  <c r="C35" i="10"/>
  <c r="D34" i="10"/>
  <c r="E34" i="10" s="1"/>
  <c r="C34" i="10"/>
  <c r="D33" i="10"/>
  <c r="E33" i="10" s="1"/>
  <c r="C33" i="10"/>
  <c r="D32" i="10"/>
  <c r="E32" i="10" s="1"/>
  <c r="C32" i="10"/>
  <c r="D31" i="10"/>
  <c r="E31" i="10" s="1"/>
  <c r="C31" i="10"/>
  <c r="D30" i="10"/>
  <c r="E30" i="10" s="1"/>
  <c r="C30" i="10"/>
  <c r="D29" i="10"/>
  <c r="E29" i="10" s="1"/>
  <c r="C29" i="10"/>
  <c r="D28" i="10"/>
  <c r="E28" i="10" s="1"/>
  <c r="C28" i="10"/>
  <c r="D27" i="10"/>
  <c r="E27" i="10" s="1"/>
  <c r="C27" i="10"/>
  <c r="E26" i="10"/>
  <c r="D26" i="10"/>
  <c r="C26" i="10"/>
  <c r="D25" i="10"/>
  <c r="E25" i="10" s="1"/>
  <c r="C25" i="10"/>
  <c r="D24" i="10"/>
  <c r="E24" i="10" s="1"/>
  <c r="C24" i="10"/>
  <c r="D23" i="10"/>
  <c r="E23" i="10" s="1"/>
  <c r="C23" i="10"/>
  <c r="D22" i="10"/>
  <c r="E22" i="10" s="1"/>
  <c r="C22" i="10"/>
  <c r="D21" i="10"/>
  <c r="E21" i="10" s="1"/>
  <c r="C21" i="10"/>
  <c r="D20" i="10"/>
  <c r="E20" i="10" s="1"/>
  <c r="C20" i="10"/>
  <c r="D19" i="10"/>
  <c r="E19" i="10" s="1"/>
  <c r="C19" i="10"/>
  <c r="D18" i="10"/>
  <c r="E18" i="10" s="1"/>
  <c r="C18" i="10"/>
  <c r="D17" i="10"/>
  <c r="E17" i="10" s="1"/>
  <c r="C17" i="10"/>
  <c r="D16" i="10"/>
  <c r="E16" i="10" s="1"/>
  <c r="C16" i="10"/>
  <c r="D15" i="10"/>
  <c r="E15" i="10" s="1"/>
  <c r="C15" i="10"/>
  <c r="D14" i="10"/>
  <c r="E14" i="10" s="1"/>
  <c r="C14" i="10"/>
  <c r="D13" i="10"/>
  <c r="E13" i="10" s="1"/>
  <c r="C13" i="10"/>
  <c r="D12" i="10"/>
  <c r="E12" i="10" s="1"/>
  <c r="C12" i="10"/>
  <c r="E11" i="10"/>
  <c r="D11" i="10"/>
  <c r="C11" i="10"/>
  <c r="D10" i="10"/>
  <c r="E10" i="10" s="1"/>
  <c r="C10" i="10"/>
  <c r="D9" i="10"/>
  <c r="E9" i="10" s="1"/>
  <c r="C9" i="10"/>
  <c r="D8" i="10"/>
  <c r="E8" i="10" s="1"/>
  <c r="C8" i="10"/>
  <c r="D7" i="10"/>
  <c r="E7" i="10" s="1"/>
  <c r="C7" i="10"/>
  <c r="D6" i="10"/>
  <c r="E6" i="10" s="1"/>
  <c r="C6" i="10"/>
  <c r="D5" i="10"/>
  <c r="E5" i="10" s="1"/>
  <c r="C5" i="10"/>
  <c r="D4" i="10"/>
  <c r="E4" i="10" s="1"/>
  <c r="C4" i="10"/>
  <c r="I60" i="10" l="1"/>
  <c r="L60" i="10" s="1"/>
  <c r="B57" i="10"/>
  <c r="B58" i="10"/>
  <c r="A60" i="10"/>
  <c r="I59" i="10"/>
  <c r="E61" i="10"/>
  <c r="B62" i="10"/>
  <c r="A58" i="10"/>
  <c r="A59" i="10"/>
  <c r="B59" i="10"/>
  <c r="I61" i="10"/>
  <c r="E63" i="10"/>
  <c r="E57" i="10"/>
  <c r="BD57" i="10"/>
  <c r="BD65" i="10"/>
  <c r="A63" i="10"/>
  <c r="J64" i="10"/>
  <c r="L64" i="10" s="1"/>
  <c r="I65" i="10"/>
  <c r="E64" i="10"/>
  <c r="J62" i="10"/>
  <c r="L62" i="10" s="1"/>
  <c r="I63" i="10"/>
  <c r="E65" i="10"/>
  <c r="I57" i="10"/>
  <c r="I58" i="10"/>
  <c r="A64" i="10"/>
  <c r="L59" i="10" l="1"/>
  <c r="L65" i="10"/>
  <c r="L58" i="10"/>
  <c r="L63" i="10"/>
  <c r="L61" i="10"/>
  <c r="L57" i="10"/>
  <c r="B26" i="7" l="1"/>
  <c r="B25" i="7"/>
  <c r="B24" i="7"/>
  <c r="I145" i="19"/>
  <c r="J145" i="19"/>
  <c r="L145" i="19"/>
  <c r="I146" i="19"/>
  <c r="J146" i="19"/>
  <c r="L146" i="19"/>
  <c r="B31" i="19"/>
  <c r="G5" i="8"/>
  <c r="G6" i="8"/>
  <c r="G7" i="8"/>
  <c r="G8" i="8"/>
  <c r="G9" i="8"/>
  <c r="G10" i="8"/>
  <c r="G11" i="8"/>
  <c r="G12" i="8"/>
  <c r="G13" i="8"/>
  <c r="G14" i="8"/>
  <c r="G15" i="8"/>
  <c r="G16" i="8"/>
  <c r="G17" i="8"/>
  <c r="G18" i="8"/>
  <c r="G19" i="8"/>
  <c r="G20" i="8"/>
  <c r="G21" i="8"/>
  <c r="G22" i="8"/>
  <c r="G23" i="8"/>
  <c r="G24" i="8"/>
  <c r="G25" i="8"/>
  <c r="G26" i="8"/>
  <c r="G27" i="8"/>
  <c r="G28" i="8"/>
  <c r="G4" i="8"/>
  <c r="C50" i="21"/>
  <c r="C50" i="20"/>
  <c r="E26" i="7"/>
  <c r="E25" i="7"/>
  <c r="E24" i="7"/>
  <c r="E23" i="7"/>
  <c r="E22" i="7"/>
  <c r="E21" i="7"/>
  <c r="E20" i="7"/>
  <c r="E19" i="7"/>
  <c r="E18" i="7"/>
  <c r="E17" i="7"/>
  <c r="E16" i="7"/>
  <c r="E15" i="7"/>
  <c r="E14" i="7"/>
  <c r="E13" i="7"/>
  <c r="E12" i="7"/>
  <c r="E11" i="7"/>
  <c r="E10" i="7"/>
  <c r="E9" i="7"/>
  <c r="E8" i="7"/>
  <c r="E7" i="7"/>
  <c r="E6" i="7"/>
  <c r="E5" i="7"/>
  <c r="E4" i="7"/>
  <c r="D66" i="8"/>
  <c r="F66" i="8"/>
  <c r="F65" i="8"/>
  <c r="F64" i="8"/>
  <c r="F63" i="8"/>
  <c r="F62" i="8"/>
  <c r="F61" i="8"/>
  <c r="F60" i="8"/>
  <c r="F59" i="8"/>
  <c r="F58" i="8"/>
  <c r="F57" i="8"/>
  <c r="F56" i="8"/>
  <c r="F55" i="8"/>
  <c r="D50" i="8"/>
  <c r="F50" i="8"/>
  <c r="F49" i="8"/>
  <c r="F48" i="8"/>
  <c r="F47" i="8"/>
  <c r="F46" i="8"/>
  <c r="F45" i="8"/>
  <c r="F44" i="8"/>
  <c r="F43" i="8"/>
  <c r="F42" i="8"/>
  <c r="F41" i="8"/>
  <c r="F40" i="8"/>
  <c r="F39" i="8"/>
  <c r="F38" i="8"/>
  <c r="F37" i="8"/>
  <c r="H331" i="19"/>
  <c r="H305" i="19"/>
  <c r="H290" i="19"/>
  <c r="H252" i="19"/>
  <c r="H251" i="19"/>
  <c r="BD5" i="10" l="1"/>
  <c r="BD6" i="10"/>
  <c r="BD7" i="10"/>
  <c r="BD8" i="10"/>
  <c r="BD9" i="10"/>
  <c r="BD10" i="10"/>
  <c r="BD11" i="10"/>
  <c r="BD12" i="10"/>
  <c r="BD13" i="10"/>
  <c r="BD14" i="10"/>
  <c r="BD15" i="10"/>
  <c r="BD16" i="10"/>
  <c r="BD17" i="10"/>
  <c r="BD18" i="10"/>
  <c r="BD19" i="10"/>
  <c r="BD20" i="10"/>
  <c r="BD21" i="10"/>
  <c r="BD22" i="10"/>
  <c r="BD23" i="10"/>
  <c r="BD24" i="10"/>
  <c r="BD25" i="10"/>
  <c r="BD26" i="10"/>
  <c r="BD27" i="10"/>
  <c r="BD28" i="10"/>
  <c r="BD29" i="10"/>
  <c r="BD30" i="10"/>
  <c r="BD31" i="10"/>
  <c r="BD32" i="10"/>
  <c r="BD33" i="10"/>
  <c r="BD34" i="10"/>
  <c r="BD35" i="10"/>
  <c r="BD36" i="10"/>
  <c r="BD37" i="10"/>
  <c r="BD38" i="10"/>
  <c r="BD39" i="10"/>
  <c r="BD40" i="10"/>
  <c r="BD41" i="10"/>
  <c r="BD42" i="10"/>
  <c r="BD43" i="10"/>
  <c r="BD44" i="10"/>
  <c r="BD45" i="10"/>
  <c r="BD46" i="10"/>
  <c r="BD47" i="10"/>
  <c r="BD48" i="10"/>
  <c r="BD49" i="10"/>
  <c r="BD50" i="10"/>
  <c r="BD51" i="10"/>
  <c r="BD52" i="10"/>
  <c r="BD53" i="10"/>
  <c r="BD54" i="10"/>
  <c r="BD55" i="10"/>
  <c r="BD56" i="10"/>
  <c r="BD4" i="10"/>
  <c r="L133" i="19"/>
  <c r="J133" i="19"/>
  <c r="I133" i="19"/>
  <c r="I144" i="19"/>
  <c r="I143" i="19"/>
  <c r="I142" i="19"/>
  <c r="I141" i="19"/>
  <c r="I140" i="19"/>
  <c r="I139" i="19"/>
  <c r="I138" i="19"/>
  <c r="I137" i="19"/>
  <c r="I136" i="19"/>
  <c r="I135" i="19"/>
  <c r="I134" i="19"/>
  <c r="I132" i="19"/>
  <c r="I131" i="19"/>
  <c r="I130" i="19"/>
  <c r="I129" i="19"/>
  <c r="I128" i="19"/>
  <c r="I127" i="19"/>
  <c r="I126" i="19"/>
  <c r="I125" i="19"/>
  <c r="I124" i="19"/>
  <c r="I123" i="19"/>
  <c r="I122" i="19"/>
  <c r="I121" i="19"/>
  <c r="I120" i="19"/>
  <c r="I119" i="19"/>
  <c r="I118" i="19"/>
  <c r="I117" i="19"/>
  <c r="I116" i="19"/>
  <c r="I115" i="19"/>
  <c r="I114" i="19"/>
  <c r="I113" i="19"/>
  <c r="I112" i="19"/>
  <c r="I111" i="19"/>
  <c r="I110" i="19"/>
  <c r="I109" i="19"/>
  <c r="I108" i="19"/>
  <c r="I107" i="19"/>
  <c r="I106" i="19"/>
  <c r="I105" i="19"/>
  <c r="I104" i="19"/>
  <c r="I103" i="19"/>
  <c r="I102" i="19"/>
  <c r="I101" i="19"/>
  <c r="I100" i="19"/>
  <c r="I99" i="19"/>
  <c r="I98" i="19"/>
  <c r="I97" i="19"/>
  <c r="I96" i="19"/>
  <c r="I95" i="19"/>
  <c r="I94" i="19"/>
  <c r="I93" i="19"/>
  <c r="I92" i="19"/>
  <c r="I91" i="19"/>
  <c r="I90" i="19"/>
  <c r="I89" i="19"/>
  <c r="I88" i="19"/>
  <c r="I87" i="19"/>
  <c r="I86" i="19"/>
  <c r="I85" i="19"/>
  <c r="I84" i="19"/>
  <c r="I83" i="19"/>
  <c r="I82" i="19"/>
  <c r="I81" i="19"/>
  <c r="I80" i="19"/>
  <c r="I79" i="19"/>
  <c r="I78" i="19"/>
  <c r="I77" i="19"/>
  <c r="I76" i="19"/>
  <c r="I75" i="19"/>
  <c r="I74" i="19"/>
  <c r="I73" i="19"/>
  <c r="I72" i="19"/>
  <c r="I71" i="19"/>
  <c r="I70" i="19"/>
  <c r="I69" i="19"/>
  <c r="I68" i="19"/>
  <c r="I67" i="19"/>
  <c r="I66" i="19"/>
  <c r="I65" i="19"/>
  <c r="I64" i="19"/>
  <c r="I63" i="19"/>
  <c r="I62" i="19"/>
  <c r="I61" i="19"/>
  <c r="I60" i="19"/>
  <c r="I59" i="19"/>
  <c r="I17" i="8"/>
  <c r="BL5" i="7"/>
  <c r="BO5" i="7" s="1"/>
  <c r="BL6" i="7"/>
  <c r="BL7" i="7"/>
  <c r="BO7" i="7" s="1"/>
  <c r="BL8" i="7"/>
  <c r="BL9" i="7"/>
  <c r="BL10" i="7"/>
  <c r="BL11" i="7"/>
  <c r="BO11" i="7" s="1"/>
  <c r="BL12" i="7"/>
  <c r="BL13" i="7"/>
  <c r="BO13" i="7" s="1"/>
  <c r="BL14" i="7"/>
  <c r="BL15" i="7"/>
  <c r="BL16" i="7"/>
  <c r="BL17" i="7"/>
  <c r="BL18" i="7"/>
  <c r="BL19" i="7"/>
  <c r="BL20" i="7"/>
  <c r="BL21" i="7"/>
  <c r="BL22" i="7"/>
  <c r="BO22" i="7" s="1"/>
  <c r="BL23" i="7"/>
  <c r="BO23" i="7" s="1"/>
  <c r="BL24" i="7"/>
  <c r="BO24" i="7" s="1"/>
  <c r="BL25" i="7"/>
  <c r="BO25" i="7" s="1"/>
  <c r="BL26" i="7"/>
  <c r="BO26" i="7" s="1"/>
  <c r="BO8" i="7"/>
  <c r="BO14" i="7"/>
  <c r="BO15" i="7"/>
  <c r="BO16" i="7"/>
  <c r="BO17" i="7"/>
  <c r="BO20" i="7"/>
  <c r="BL4" i="7"/>
  <c r="BI5" i="10"/>
  <c r="BI6" i="10"/>
  <c r="BI7" i="10"/>
  <c r="BI8" i="10"/>
  <c r="BI9" i="10"/>
  <c r="BI10" i="10"/>
  <c r="BI11" i="10"/>
  <c r="BI12" i="10"/>
  <c r="BI13" i="10"/>
  <c r="BI14" i="10"/>
  <c r="BI15" i="10"/>
  <c r="BI16" i="10"/>
  <c r="BI17" i="10"/>
  <c r="BI18" i="10"/>
  <c r="BI19" i="10"/>
  <c r="BI20" i="10"/>
  <c r="BI21" i="10"/>
  <c r="BI22" i="10"/>
  <c r="BI23" i="10"/>
  <c r="BI24" i="10"/>
  <c r="BI25" i="10"/>
  <c r="BI26" i="10"/>
  <c r="BI27" i="10"/>
  <c r="BI28" i="10"/>
  <c r="BI29" i="10"/>
  <c r="BI30" i="10"/>
  <c r="BI31" i="10"/>
  <c r="BI32" i="10"/>
  <c r="BI33" i="10"/>
  <c r="BI34" i="10"/>
  <c r="BI35" i="10"/>
  <c r="BI36" i="10"/>
  <c r="BI37" i="10"/>
  <c r="BI38" i="10"/>
  <c r="BI39" i="10"/>
  <c r="BI40" i="10"/>
  <c r="BI41" i="10"/>
  <c r="BI42" i="10"/>
  <c r="BI43" i="10"/>
  <c r="BI44" i="10"/>
  <c r="BI45" i="10"/>
  <c r="BI46" i="10"/>
  <c r="BI47" i="10"/>
  <c r="BI48" i="10"/>
  <c r="BI49" i="10"/>
  <c r="BI50" i="10"/>
  <c r="BI51" i="10"/>
  <c r="BI52" i="10"/>
  <c r="BI53" i="10"/>
  <c r="BI54" i="10"/>
  <c r="BI55" i="10"/>
  <c r="BI56" i="10"/>
  <c r="BI4" i="10"/>
  <c r="L84" i="19"/>
  <c r="J84" i="19"/>
  <c r="BO21" i="7"/>
  <c r="BO19" i="7"/>
  <c r="BO18" i="7"/>
  <c r="BO12" i="7"/>
  <c r="BO10" i="7"/>
  <c r="BO9" i="7"/>
  <c r="BO6" i="7"/>
  <c r="D65" i="8"/>
  <c r="D64" i="8"/>
  <c r="D63" i="8"/>
  <c r="D62" i="8"/>
  <c r="D61" i="8"/>
  <c r="D60" i="8"/>
  <c r="D59" i="8"/>
  <c r="D58" i="8"/>
  <c r="D57" i="8"/>
  <c r="D56" i="8"/>
  <c r="D55" i="8"/>
  <c r="D49" i="8"/>
  <c r="D48" i="8"/>
  <c r="D47" i="8"/>
  <c r="D46" i="8"/>
  <c r="D45" i="8"/>
  <c r="D44" i="8"/>
  <c r="D43" i="8"/>
  <c r="D42" i="8"/>
  <c r="D41" i="8"/>
  <c r="D40" i="8"/>
  <c r="D39" i="8"/>
  <c r="D38" i="8"/>
  <c r="D37" i="8"/>
  <c r="BM55" i="10"/>
  <c r="BM53" i="10"/>
  <c r="BM49" i="10"/>
  <c r="BM48" i="10"/>
  <c r="BM42" i="10"/>
  <c r="BM41" i="10"/>
  <c r="BM38" i="10"/>
  <c r="BM37" i="10"/>
  <c r="BM35" i="10"/>
  <c r="BM32" i="10"/>
  <c r="BM31" i="10"/>
  <c r="BM25" i="10"/>
  <c r="BM20" i="10"/>
  <c r="BM12" i="10"/>
  <c r="BM8" i="10"/>
  <c r="H56" i="10"/>
  <c r="I56" i="10" s="1"/>
  <c r="B56" i="10"/>
  <c r="H55" i="10"/>
  <c r="J55" i="10" s="1"/>
  <c r="H54" i="10"/>
  <c r="J54" i="10" s="1"/>
  <c r="B54" i="10"/>
  <c r="H53" i="10"/>
  <c r="I53" i="10" s="1"/>
  <c r="A53" i="10"/>
  <c r="H52" i="10"/>
  <c r="J52" i="10" s="1"/>
  <c r="H51" i="10"/>
  <c r="J51" i="10" s="1"/>
  <c r="A51" i="10"/>
  <c r="H50" i="10"/>
  <c r="I50" i="10" s="1"/>
  <c r="BL50" i="10" s="1"/>
  <c r="B50" i="10"/>
  <c r="H49" i="10"/>
  <c r="J49" i="10" s="1"/>
  <c r="H48" i="10"/>
  <c r="I48" i="10" s="1"/>
  <c r="H47" i="10"/>
  <c r="J47" i="10" s="1"/>
  <c r="B47" i="10"/>
  <c r="H46" i="10"/>
  <c r="I46" i="10" s="1"/>
  <c r="B46" i="10"/>
  <c r="H45" i="10"/>
  <c r="J45" i="10" s="1"/>
  <c r="A45" i="10"/>
  <c r="H44" i="10"/>
  <c r="J44" i="10" s="1"/>
  <c r="H43" i="10"/>
  <c r="J43" i="10" s="1"/>
  <c r="A43" i="10"/>
  <c r="H42" i="10"/>
  <c r="I42" i="10" s="1"/>
  <c r="BK42" i="10" s="1"/>
  <c r="B42" i="10"/>
  <c r="H41" i="10"/>
  <c r="J41" i="10" s="1"/>
  <c r="H40" i="10"/>
  <c r="J40" i="10" s="1"/>
  <c r="H39" i="10"/>
  <c r="J39" i="10" s="1"/>
  <c r="B39" i="10"/>
  <c r="H38" i="10"/>
  <c r="I38" i="10" s="1"/>
  <c r="B38" i="10"/>
  <c r="H37" i="10"/>
  <c r="I37" i="10" s="1"/>
  <c r="A37" i="10"/>
  <c r="H36" i="10"/>
  <c r="J36" i="10" s="1"/>
  <c r="H35" i="10"/>
  <c r="J35" i="10" s="1"/>
  <c r="A35" i="10"/>
  <c r="H34" i="10"/>
  <c r="I34" i="10" s="1"/>
  <c r="BL34" i="10" s="1"/>
  <c r="B34" i="10"/>
  <c r="H33" i="10"/>
  <c r="J33" i="10" s="1"/>
  <c r="H32" i="10"/>
  <c r="J32" i="10" s="1"/>
  <c r="H31" i="10"/>
  <c r="J31" i="10" s="1"/>
  <c r="H30" i="10"/>
  <c r="J30" i="10" s="1"/>
  <c r="B30" i="10"/>
  <c r="H29" i="10"/>
  <c r="I29" i="10" s="1"/>
  <c r="A29" i="10"/>
  <c r="H28" i="10"/>
  <c r="J28" i="10" s="1"/>
  <c r="H27" i="10"/>
  <c r="J27" i="10" s="1"/>
  <c r="A27" i="10"/>
  <c r="H26" i="10"/>
  <c r="I26" i="10" s="1"/>
  <c r="BL26" i="10" s="1"/>
  <c r="B26" i="10"/>
  <c r="H25" i="10"/>
  <c r="J25" i="10" s="1"/>
  <c r="H24" i="10"/>
  <c r="J24" i="10" s="1"/>
  <c r="B24" i="10"/>
  <c r="H23" i="10"/>
  <c r="J23" i="10" s="1"/>
  <c r="H22" i="10"/>
  <c r="J22" i="10" s="1"/>
  <c r="B22" i="10"/>
  <c r="H21" i="10"/>
  <c r="I21" i="10" s="1"/>
  <c r="BL21" i="10" s="1"/>
  <c r="A21" i="10"/>
  <c r="H20" i="10"/>
  <c r="J20" i="10" s="1"/>
  <c r="H19" i="10"/>
  <c r="J19" i="10" s="1"/>
  <c r="A19" i="10"/>
  <c r="H18" i="10"/>
  <c r="I18" i="10" s="1"/>
  <c r="BL18" i="10" s="1"/>
  <c r="B18" i="10"/>
  <c r="H17" i="10"/>
  <c r="J17" i="10" s="1"/>
  <c r="H16" i="10"/>
  <c r="I16" i="10" s="1"/>
  <c r="H15" i="10"/>
  <c r="J15" i="10" s="1"/>
  <c r="H14" i="10"/>
  <c r="I14" i="10" s="1"/>
  <c r="B14" i="10"/>
  <c r="H13" i="10"/>
  <c r="I13" i="10" s="1"/>
  <c r="BL13" i="10" s="1"/>
  <c r="A13" i="10"/>
  <c r="H12" i="10"/>
  <c r="J12" i="10" s="1"/>
  <c r="H11" i="10"/>
  <c r="J11" i="10" s="1"/>
  <c r="B11" i="10"/>
  <c r="H10" i="10"/>
  <c r="I10" i="10" s="1"/>
  <c r="BL10" i="10" s="1"/>
  <c r="B10" i="10"/>
  <c r="H9" i="10"/>
  <c r="J9" i="10" s="1"/>
  <c r="H8" i="10"/>
  <c r="J8" i="10" s="1"/>
  <c r="H7" i="10"/>
  <c r="I7" i="10" s="1"/>
  <c r="H6" i="10"/>
  <c r="I6" i="10" s="1"/>
  <c r="H5" i="10"/>
  <c r="I5" i="10" s="1"/>
  <c r="BL5" i="10" s="1"/>
  <c r="H4" i="10"/>
  <c r="J4" i="10" s="1"/>
  <c r="H330" i="19"/>
  <c r="H329" i="19"/>
  <c r="H328" i="19"/>
  <c r="H327" i="19"/>
  <c r="H326" i="19"/>
  <c r="H325" i="19"/>
  <c r="H324" i="19"/>
  <c r="H323" i="19"/>
  <c r="H322" i="19"/>
  <c r="H321" i="19"/>
  <c r="H320" i="19"/>
  <c r="H319" i="19"/>
  <c r="H318" i="19"/>
  <c r="H317" i="19"/>
  <c r="H316" i="19"/>
  <c r="H315" i="19"/>
  <c r="H314" i="19"/>
  <c r="H313" i="19"/>
  <c r="H312" i="19"/>
  <c r="H311" i="19"/>
  <c r="H310" i="19"/>
  <c r="H309" i="19"/>
  <c r="H308" i="19"/>
  <c r="H307" i="19"/>
  <c r="H306" i="19"/>
  <c r="H304" i="19"/>
  <c r="H303" i="19"/>
  <c r="H302" i="19"/>
  <c r="H301" i="19"/>
  <c r="H300" i="19"/>
  <c r="H299" i="19"/>
  <c r="H298" i="19"/>
  <c r="H297" i="19"/>
  <c r="H296" i="19"/>
  <c r="H295" i="19"/>
  <c r="H294" i="19"/>
  <c r="H293" i="19"/>
  <c r="H292" i="19"/>
  <c r="H291" i="19"/>
  <c r="H289" i="19"/>
  <c r="H288" i="19"/>
  <c r="H287" i="19"/>
  <c r="H286" i="19"/>
  <c r="H285" i="19"/>
  <c r="H284" i="19"/>
  <c r="H283" i="19"/>
  <c r="H282" i="19"/>
  <c r="H281" i="19"/>
  <c r="H280" i="19"/>
  <c r="H279" i="19"/>
  <c r="H278" i="19"/>
  <c r="H277" i="19"/>
  <c r="H276" i="19"/>
  <c r="H275" i="19"/>
  <c r="H274" i="19"/>
  <c r="H273" i="19"/>
  <c r="H272" i="19"/>
  <c r="H271" i="19"/>
  <c r="H270" i="19"/>
  <c r="H269" i="19"/>
  <c r="H268" i="19"/>
  <c r="H267" i="19"/>
  <c r="H266" i="19"/>
  <c r="H265" i="19"/>
  <c r="H264" i="19"/>
  <c r="H263" i="19"/>
  <c r="H262" i="19"/>
  <c r="H261" i="19"/>
  <c r="H260" i="19"/>
  <c r="H259" i="19"/>
  <c r="H258" i="19"/>
  <c r="H257" i="19"/>
  <c r="H256" i="19"/>
  <c r="H255" i="19"/>
  <c r="H254" i="19"/>
  <c r="H253" i="19"/>
  <c r="H250" i="19"/>
  <c r="H249" i="19"/>
  <c r="H248" i="19"/>
  <c r="H247" i="19"/>
  <c r="H246" i="19"/>
  <c r="H245" i="19"/>
  <c r="H244" i="19"/>
  <c r="H243" i="19"/>
  <c r="H242" i="19"/>
  <c r="H241" i="19"/>
  <c r="H240" i="19"/>
  <c r="H239" i="19"/>
  <c r="H238" i="19"/>
  <c r="H237" i="19"/>
  <c r="H236" i="19"/>
  <c r="H235" i="19"/>
  <c r="H234" i="19"/>
  <c r="H233" i="19"/>
  <c r="H227" i="19"/>
  <c r="H226" i="19"/>
  <c r="H225" i="19"/>
  <c r="H224" i="19"/>
  <c r="H223" i="19"/>
  <c r="H222" i="19"/>
  <c r="H221" i="19"/>
  <c r="H220" i="19"/>
  <c r="H219" i="19"/>
  <c r="H218" i="19"/>
  <c r="H217" i="19"/>
  <c r="H216" i="19"/>
  <c r="H215" i="19"/>
  <c r="H214" i="19"/>
  <c r="H213" i="19"/>
  <c r="H212" i="19"/>
  <c r="H211" i="19"/>
  <c r="H210" i="19"/>
  <c r="H209" i="19"/>
  <c r="H208" i="19"/>
  <c r="H207" i="19"/>
  <c r="H206" i="19"/>
  <c r="H205" i="19"/>
  <c r="H204" i="19"/>
  <c r="H203" i="19"/>
  <c r="H202" i="19"/>
  <c r="H201" i="19"/>
  <c r="H200" i="19"/>
  <c r="H199" i="19"/>
  <c r="H198" i="19"/>
  <c r="H197" i="19"/>
  <c r="H196" i="19"/>
  <c r="H195" i="19"/>
  <c r="H194" i="19"/>
  <c r="H193" i="19"/>
  <c r="H192" i="19"/>
  <c r="H191" i="19"/>
  <c r="H190" i="19"/>
  <c r="H189" i="19"/>
  <c r="H188" i="19"/>
  <c r="H187" i="19"/>
  <c r="H186" i="19"/>
  <c r="H185" i="19"/>
  <c r="H184" i="19"/>
  <c r="H183" i="19"/>
  <c r="H182" i="19"/>
  <c r="H181" i="19"/>
  <c r="H180" i="19"/>
  <c r="H179" i="19"/>
  <c r="H178" i="19"/>
  <c r="H177" i="19"/>
  <c r="H176" i="19"/>
  <c r="H175" i="19"/>
  <c r="H174" i="19"/>
  <c r="H173" i="19"/>
  <c r="H172" i="19"/>
  <c r="H171" i="19"/>
  <c r="H170" i="19"/>
  <c r="H169" i="19"/>
  <c r="H168" i="19"/>
  <c r="H167" i="19"/>
  <c r="H166" i="19"/>
  <c r="H165" i="19"/>
  <c r="H164" i="19"/>
  <c r="H163" i="19"/>
  <c r="H162" i="19"/>
  <c r="H161" i="19"/>
  <c r="H160" i="19"/>
  <c r="H159" i="19"/>
  <c r="H158" i="19"/>
  <c r="H157" i="19"/>
  <c r="H156" i="19"/>
  <c r="H155" i="19"/>
  <c r="H154" i="19"/>
  <c r="H153" i="19"/>
  <c r="H152" i="19"/>
  <c r="L144" i="19"/>
  <c r="J144" i="19"/>
  <c r="B6" i="10"/>
  <c r="A5" i="10"/>
  <c r="L143" i="19"/>
  <c r="J143" i="19"/>
  <c r="L142" i="19"/>
  <c r="J142" i="19"/>
  <c r="L141" i="19"/>
  <c r="J141" i="19"/>
  <c r="L140" i="19"/>
  <c r="J140" i="19"/>
  <c r="L139" i="19"/>
  <c r="J139" i="19"/>
  <c r="L138" i="19"/>
  <c r="J138" i="19"/>
  <c r="L137" i="19"/>
  <c r="J137" i="19"/>
  <c r="L136" i="19"/>
  <c r="J136" i="19"/>
  <c r="L135" i="19"/>
  <c r="J135" i="19"/>
  <c r="L134" i="19"/>
  <c r="J134" i="19"/>
  <c r="L132" i="19"/>
  <c r="J132" i="19"/>
  <c r="L131" i="19"/>
  <c r="J131" i="19"/>
  <c r="L130" i="19"/>
  <c r="J130" i="19"/>
  <c r="L129" i="19"/>
  <c r="J129" i="19"/>
  <c r="L128" i="19"/>
  <c r="J128" i="19"/>
  <c r="L127" i="19"/>
  <c r="J127" i="19"/>
  <c r="L126" i="19"/>
  <c r="J126" i="19"/>
  <c r="L125" i="19"/>
  <c r="J125" i="19"/>
  <c r="L124" i="19"/>
  <c r="J124" i="19"/>
  <c r="L123" i="19"/>
  <c r="J123" i="19"/>
  <c r="L122" i="19"/>
  <c r="J122" i="19"/>
  <c r="L121" i="19"/>
  <c r="J121" i="19"/>
  <c r="L120" i="19"/>
  <c r="J120" i="19"/>
  <c r="L119" i="19"/>
  <c r="J119" i="19"/>
  <c r="L118" i="19"/>
  <c r="J118" i="19"/>
  <c r="L117" i="19"/>
  <c r="J117" i="19"/>
  <c r="L116" i="19"/>
  <c r="J116" i="19"/>
  <c r="L115" i="19"/>
  <c r="J115" i="19"/>
  <c r="L114" i="19"/>
  <c r="J114" i="19"/>
  <c r="L113" i="19"/>
  <c r="J113" i="19"/>
  <c r="L112" i="19"/>
  <c r="J112" i="19"/>
  <c r="L111" i="19"/>
  <c r="J111" i="19"/>
  <c r="L110" i="19"/>
  <c r="J110" i="19"/>
  <c r="L109" i="19"/>
  <c r="J109" i="19"/>
  <c r="L108" i="19"/>
  <c r="J108" i="19"/>
  <c r="L107" i="19"/>
  <c r="J107" i="19"/>
  <c r="L106" i="19"/>
  <c r="J106" i="19"/>
  <c r="L105" i="19"/>
  <c r="J105" i="19"/>
  <c r="L104" i="19"/>
  <c r="J104" i="19"/>
  <c r="L103" i="19"/>
  <c r="J103" i="19"/>
  <c r="L102" i="19"/>
  <c r="J102" i="19"/>
  <c r="L101" i="19"/>
  <c r="J101" i="19"/>
  <c r="L100" i="19"/>
  <c r="J100" i="19"/>
  <c r="L99" i="19"/>
  <c r="J99" i="19"/>
  <c r="L98" i="19"/>
  <c r="J98" i="19"/>
  <c r="L97" i="19"/>
  <c r="J97" i="19"/>
  <c r="L96" i="19"/>
  <c r="J96" i="19"/>
  <c r="L95" i="19"/>
  <c r="J95" i="19"/>
  <c r="L94" i="19"/>
  <c r="J94" i="19"/>
  <c r="L93" i="19"/>
  <c r="J93" i="19"/>
  <c r="L92" i="19"/>
  <c r="J92" i="19"/>
  <c r="L91" i="19"/>
  <c r="J91" i="19"/>
  <c r="L90" i="19"/>
  <c r="J90" i="19"/>
  <c r="L89" i="19"/>
  <c r="J89" i="19"/>
  <c r="L88" i="19"/>
  <c r="J88" i="19"/>
  <c r="L87" i="19"/>
  <c r="J87" i="19"/>
  <c r="L86" i="19"/>
  <c r="J86" i="19"/>
  <c r="L85" i="19"/>
  <c r="J85" i="19"/>
  <c r="L83" i="19"/>
  <c r="J83" i="19"/>
  <c r="L82" i="19"/>
  <c r="J82" i="19"/>
  <c r="L81" i="19"/>
  <c r="J81" i="19"/>
  <c r="L80" i="19"/>
  <c r="J80" i="19"/>
  <c r="L79" i="19"/>
  <c r="J79" i="19"/>
  <c r="L78" i="19"/>
  <c r="J78" i="19"/>
  <c r="L77" i="19"/>
  <c r="J77" i="19"/>
  <c r="L76" i="19"/>
  <c r="J76" i="19"/>
  <c r="L75" i="19"/>
  <c r="J75" i="19"/>
  <c r="L74" i="19"/>
  <c r="J74" i="19"/>
  <c r="L73" i="19"/>
  <c r="J73" i="19"/>
  <c r="L72" i="19"/>
  <c r="J72" i="19"/>
  <c r="L71" i="19"/>
  <c r="J71" i="19"/>
  <c r="L70" i="19"/>
  <c r="J70" i="19"/>
  <c r="L69" i="19"/>
  <c r="J69" i="19"/>
  <c r="L68" i="19"/>
  <c r="J68" i="19"/>
  <c r="L67" i="19"/>
  <c r="J67" i="19"/>
  <c r="L66" i="19"/>
  <c r="J66" i="19"/>
  <c r="L65" i="19"/>
  <c r="J65" i="19"/>
  <c r="L64" i="19"/>
  <c r="J64" i="19"/>
  <c r="L63" i="19"/>
  <c r="J63" i="19"/>
  <c r="L62" i="19"/>
  <c r="J62" i="19"/>
  <c r="L61" i="19"/>
  <c r="J61" i="19"/>
  <c r="L60" i="19"/>
  <c r="J60" i="19"/>
  <c r="L59" i="19"/>
  <c r="J59" i="19"/>
  <c r="AA56" i="10"/>
  <c r="BM56" i="10" s="1"/>
  <c r="AA55" i="10"/>
  <c r="AA54" i="10"/>
  <c r="BM54" i="10" s="1"/>
  <c r="AA53" i="10"/>
  <c r="AA52" i="10"/>
  <c r="BM52" i="10" s="1"/>
  <c r="AA51" i="10"/>
  <c r="BM51" i="10" s="1"/>
  <c r="AA50" i="10"/>
  <c r="BM50" i="10" s="1"/>
  <c r="AA49" i="10"/>
  <c r="AA48" i="10"/>
  <c r="AA47" i="10"/>
  <c r="BM47" i="10" s="1"/>
  <c r="AA46" i="10"/>
  <c r="BM46" i="10" s="1"/>
  <c r="AA45" i="10"/>
  <c r="BM45" i="10" s="1"/>
  <c r="AA44" i="10"/>
  <c r="BM44" i="10" s="1"/>
  <c r="AA43" i="10"/>
  <c r="BM43" i="10" s="1"/>
  <c r="AA42" i="10"/>
  <c r="AA41" i="10"/>
  <c r="AA40" i="10"/>
  <c r="BM40" i="10" s="1"/>
  <c r="AA39" i="10"/>
  <c r="BM39" i="10" s="1"/>
  <c r="AA38" i="10"/>
  <c r="AA37" i="10"/>
  <c r="AA36" i="10"/>
  <c r="BM36" i="10" s="1"/>
  <c r="AA35" i="10"/>
  <c r="AA34" i="10"/>
  <c r="BM34" i="10" s="1"/>
  <c r="AA33" i="10"/>
  <c r="BM33" i="10" s="1"/>
  <c r="AA32" i="10"/>
  <c r="AA31" i="10"/>
  <c r="AA30" i="10"/>
  <c r="BM30" i="10" s="1"/>
  <c r="AA29" i="10"/>
  <c r="BM29" i="10" s="1"/>
  <c r="AA28" i="10"/>
  <c r="BM28" i="10" s="1"/>
  <c r="AA27" i="10"/>
  <c r="BM27" i="10" s="1"/>
  <c r="AA26" i="10"/>
  <c r="BM26" i="10" s="1"/>
  <c r="AA25" i="10"/>
  <c r="AA24" i="10"/>
  <c r="BM24" i="10" s="1"/>
  <c r="AA23" i="10"/>
  <c r="BM23" i="10" s="1"/>
  <c r="AA22" i="10"/>
  <c r="BM22" i="10" s="1"/>
  <c r="AA21" i="10"/>
  <c r="BM21" i="10" s="1"/>
  <c r="AA20" i="10"/>
  <c r="AA19" i="10"/>
  <c r="BM19" i="10" s="1"/>
  <c r="AA18" i="10"/>
  <c r="BM18" i="10" s="1"/>
  <c r="AA17" i="10"/>
  <c r="BM17" i="10" s="1"/>
  <c r="AA16" i="10"/>
  <c r="BM16" i="10" s="1"/>
  <c r="AA15" i="10"/>
  <c r="BM15" i="10" s="1"/>
  <c r="AA14" i="10"/>
  <c r="BM14" i="10" s="1"/>
  <c r="AA13" i="10"/>
  <c r="BM13" i="10" s="1"/>
  <c r="AA12" i="10"/>
  <c r="AA11" i="10"/>
  <c r="BM11" i="10" s="1"/>
  <c r="AA10" i="10"/>
  <c r="BM10" i="10" s="1"/>
  <c r="AA9" i="10"/>
  <c r="BM9" i="10" s="1"/>
  <c r="AA8" i="10"/>
  <c r="AA7" i="10"/>
  <c r="BM7" i="10" s="1"/>
  <c r="AA6" i="10"/>
  <c r="BM6" i="10" s="1"/>
  <c r="AA5" i="10"/>
  <c r="BM5" i="10" s="1"/>
  <c r="I8" i="8" l="1"/>
  <c r="I9" i="8"/>
  <c r="I12" i="8"/>
  <c r="I18" i="8"/>
  <c r="I28" i="8"/>
  <c r="J46" i="10"/>
  <c r="L46" i="10" s="1"/>
  <c r="I19" i="8"/>
  <c r="BL42" i="10"/>
  <c r="I24" i="8"/>
  <c r="I29" i="8"/>
  <c r="I30" i="8"/>
  <c r="J14" i="10"/>
  <c r="L14" i="10" s="1"/>
  <c r="I7" i="8"/>
  <c r="J16" i="10"/>
  <c r="L16" i="10" s="1"/>
  <c r="I25" i="8"/>
  <c r="J42" i="10"/>
  <c r="L42" i="10" s="1"/>
  <c r="A9" i="10"/>
  <c r="I13" i="8"/>
  <c r="A49" i="10"/>
  <c r="J6" i="10"/>
  <c r="BK21" i="10"/>
  <c r="BK5" i="10"/>
  <c r="B16" i="10"/>
  <c r="BC39" i="10"/>
  <c r="B48" i="10"/>
  <c r="A32" i="10"/>
  <c r="B32" i="10"/>
  <c r="B43" i="10"/>
  <c r="B29" i="10"/>
  <c r="A36" i="10"/>
  <c r="A48" i="10"/>
  <c r="B55" i="10"/>
  <c r="B37" i="10"/>
  <c r="A16" i="10"/>
  <c r="A7" i="10"/>
  <c r="A33" i="10"/>
  <c r="A47" i="10"/>
  <c r="A24" i="10"/>
  <c r="A31" i="10"/>
  <c r="A8" i="10"/>
  <c r="B21" i="10"/>
  <c r="B31" i="10"/>
  <c r="B8" i="10"/>
  <c r="A15" i="10"/>
  <c r="BK29" i="10"/>
  <c r="BL29" i="10"/>
  <c r="J48" i="10"/>
  <c r="L48" i="10" s="1"/>
  <c r="B7" i="10"/>
  <c r="B15" i="10"/>
  <c r="A17" i="10"/>
  <c r="A23" i="10"/>
  <c r="I24" i="10"/>
  <c r="L24" i="10" s="1"/>
  <c r="J29" i="10"/>
  <c r="L29" i="10" s="1"/>
  <c r="I4" i="8"/>
  <c r="I14" i="8"/>
  <c r="B5" i="10"/>
  <c r="B23" i="10"/>
  <c r="A25" i="10"/>
  <c r="B35" i="10"/>
  <c r="A40" i="10"/>
  <c r="B45" i="10"/>
  <c r="J56" i="10"/>
  <c r="L56" i="10" s="1"/>
  <c r="I5" i="8"/>
  <c r="I15" i="8"/>
  <c r="I26" i="8"/>
  <c r="I9" i="10"/>
  <c r="L9" i="10" s="1"/>
  <c r="B13" i="10"/>
  <c r="A28" i="10"/>
  <c r="B40" i="10"/>
  <c r="A52" i="10"/>
  <c r="A55" i="10"/>
  <c r="I6" i="8"/>
  <c r="I16" i="8"/>
  <c r="I27" i="8"/>
  <c r="J38" i="10"/>
  <c r="L38" i="10" s="1"/>
  <c r="B53" i="10"/>
  <c r="I20" i="8"/>
  <c r="I31" i="8"/>
  <c r="A39" i="10"/>
  <c r="A41" i="10"/>
  <c r="A56" i="10"/>
  <c r="I10" i="8"/>
  <c r="I21" i="8"/>
  <c r="I32" i="8"/>
  <c r="B19" i="10"/>
  <c r="I33" i="10"/>
  <c r="BK18" i="10"/>
  <c r="I22" i="8"/>
  <c r="I33" i="8"/>
  <c r="I49" i="10"/>
  <c r="BL49" i="10" s="1"/>
  <c r="B27" i="10"/>
  <c r="A44" i="10"/>
  <c r="B51" i="10"/>
  <c r="I11" i="8"/>
  <c r="I23" i="8"/>
  <c r="BL48" i="10"/>
  <c r="BK48" i="10"/>
  <c r="BK53" i="10"/>
  <c r="BL53" i="10"/>
  <c r="BK56" i="10"/>
  <c r="BL56" i="10"/>
  <c r="BL37" i="10"/>
  <c r="BK37" i="10"/>
  <c r="BK38" i="10"/>
  <c r="BL38" i="10"/>
  <c r="BK14" i="10"/>
  <c r="BL14" i="10"/>
  <c r="I8" i="10"/>
  <c r="I22" i="10"/>
  <c r="J53" i="10"/>
  <c r="L53" i="10" s="1"/>
  <c r="BK6" i="10"/>
  <c r="I32" i="10"/>
  <c r="J13" i="10"/>
  <c r="L13" i="10" s="1"/>
  <c r="J26" i="10"/>
  <c r="L26" i="10" s="1"/>
  <c r="I45" i="10"/>
  <c r="I51" i="10"/>
  <c r="BL6" i="10"/>
  <c r="I11" i="10"/>
  <c r="L11" i="10" s="1"/>
  <c r="J37" i="10"/>
  <c r="L37" i="10" s="1"/>
  <c r="I41" i="10"/>
  <c r="I54" i="10"/>
  <c r="BK7" i="10"/>
  <c r="BK10" i="10"/>
  <c r="BK13" i="10"/>
  <c r="BK16" i="10"/>
  <c r="BK34" i="10"/>
  <c r="BK46" i="10"/>
  <c r="I43" i="10"/>
  <c r="J5" i="10"/>
  <c r="L5" i="10" s="1"/>
  <c r="J7" i="10"/>
  <c r="L7" i="10" s="1"/>
  <c r="J18" i="10"/>
  <c r="L18" i="10" s="1"/>
  <c r="I35" i="10"/>
  <c r="L35" i="10" s="1"/>
  <c r="BL7" i="10"/>
  <c r="BL16" i="10"/>
  <c r="BL46" i="10"/>
  <c r="I17" i="10"/>
  <c r="J50" i="10"/>
  <c r="L50" i="10" s="1"/>
  <c r="I30" i="10"/>
  <c r="I40" i="10"/>
  <c r="J10" i="10"/>
  <c r="L10" i="10" s="1"/>
  <c r="I19" i="10"/>
  <c r="J34" i="10"/>
  <c r="L34" i="10" s="1"/>
  <c r="I27" i="10"/>
  <c r="J21" i="10"/>
  <c r="L21" i="10" s="1"/>
  <c r="I25" i="10"/>
  <c r="BK26" i="10"/>
  <c r="BK50" i="10"/>
  <c r="B9" i="10"/>
  <c r="A10" i="10"/>
  <c r="I12" i="10"/>
  <c r="B17" i="10"/>
  <c r="A18" i="10"/>
  <c r="I20" i="10"/>
  <c r="B25" i="10"/>
  <c r="A26" i="10"/>
  <c r="I28" i="10"/>
  <c r="B33" i="10"/>
  <c r="A34" i="10"/>
  <c r="I36" i="10"/>
  <c r="B41" i="10"/>
  <c r="A42" i="10"/>
  <c r="I44" i="10"/>
  <c r="B49" i="10"/>
  <c r="A50" i="10"/>
  <c r="I52" i="10"/>
  <c r="A11" i="10"/>
  <c r="A20" i="10"/>
  <c r="A12" i="10"/>
  <c r="B12" i="10"/>
  <c r="I15" i="10"/>
  <c r="B20" i="10"/>
  <c r="I23" i="10"/>
  <c r="B28" i="10"/>
  <c r="I31" i="10"/>
  <c r="B36" i="10"/>
  <c r="I39" i="10"/>
  <c r="B44" i="10"/>
  <c r="I47" i="10"/>
  <c r="B52" i="10"/>
  <c r="I55" i="10"/>
  <c r="A6" i="10"/>
  <c r="A14" i="10"/>
  <c r="A22" i="10"/>
  <c r="A30" i="10"/>
  <c r="A38" i="10"/>
  <c r="A46" i="10"/>
  <c r="A54" i="10"/>
  <c r="I4" i="10"/>
  <c r="L4" i="10" s="1"/>
  <c r="A4" i="10"/>
  <c r="B4" i="10"/>
  <c r="BC35" i="10"/>
  <c r="BC12" i="10"/>
  <c r="BC55" i="10"/>
  <c r="AO37" i="10"/>
  <c r="AO43" i="10"/>
  <c r="AO33" i="10"/>
  <c r="BC10" i="10"/>
  <c r="BC42" i="10"/>
  <c r="BC31" i="10"/>
  <c r="AO23" i="10"/>
  <c r="AO26" i="10"/>
  <c r="AO56" i="10"/>
  <c r="BC18" i="10"/>
  <c r="BC24" i="10"/>
  <c r="BC5" i="10"/>
  <c r="BC51" i="10"/>
  <c r="BC8" i="10"/>
  <c r="AO30" i="10"/>
  <c r="BC14" i="10"/>
  <c r="AO14" i="10"/>
  <c r="BC21" i="10"/>
  <c r="AO21" i="10"/>
  <c r="BC37" i="10"/>
  <c r="BC53" i="10"/>
  <c r="BC9" i="10"/>
  <c r="AO9" i="10"/>
  <c r="AO40" i="10"/>
  <c r="BC33" i="10"/>
  <c r="BC40" i="10"/>
  <c r="BC56" i="10"/>
  <c r="BC44" i="10"/>
  <c r="BC16" i="10"/>
  <c r="AO18" i="10"/>
  <c r="BC27" i="10"/>
  <c r="AO7" i="10"/>
  <c r="AO10" i="10"/>
  <c r="AO12" i="10"/>
  <c r="BC30" i="10"/>
  <c r="BC38" i="10"/>
  <c r="AO38" i="10"/>
  <c r="AO5" i="10"/>
  <c r="BC7" i="10"/>
  <c r="AO8" i="10"/>
  <c r="BC20" i="10"/>
  <c r="AO20" i="10"/>
  <c r="BC23" i="10"/>
  <c r="BC26" i="10"/>
  <c r="BC29" i="10"/>
  <c r="BC32" i="10"/>
  <c r="AO35" i="10"/>
  <c r="BC43" i="10"/>
  <c r="AO49" i="10"/>
  <c r="AO51" i="10"/>
  <c r="AO55" i="10"/>
  <c r="AO11" i="10"/>
  <c r="BC15" i="10"/>
  <c r="AO19" i="10"/>
  <c r="AO28" i="10"/>
  <c r="AO31" i="10"/>
  <c r="BC11" i="10"/>
  <c r="BC47" i="10"/>
  <c r="AO47" i="10"/>
  <c r="BC25" i="10"/>
  <c r="AO25" i="10"/>
  <c r="AO29" i="10"/>
  <c r="AO44" i="10"/>
  <c r="BC48" i="10"/>
  <c r="AO48" i="10"/>
  <c r="BC6" i="10"/>
  <c r="AO6" i="10"/>
  <c r="AO16" i="10"/>
  <c r="AO24" i="10"/>
  <c r="AO27" i="10"/>
  <c r="AO36" i="10"/>
  <c r="BC28" i="10"/>
  <c r="BC36" i="10"/>
  <c r="AO39" i="10"/>
  <c r="AO32" i="10"/>
  <c r="BC41" i="10"/>
  <c r="AO15" i="10"/>
  <c r="BC22" i="10"/>
  <c r="AO22" i="10"/>
  <c r="BC34" i="10"/>
  <c r="AO34" i="10"/>
  <c r="AO42" i="10"/>
  <c r="BC49" i="10"/>
  <c r="AO53" i="10"/>
  <c r="BC13" i="10"/>
  <c r="AO13" i="10"/>
  <c r="BC19" i="10"/>
  <c r="AO45" i="10"/>
  <c r="BC45" i="10"/>
  <c r="BC50" i="10"/>
  <c r="AO50" i="10"/>
  <c r="AO52" i="10"/>
  <c r="BC54" i="10"/>
  <c r="AO54" i="10"/>
  <c r="BC17" i="10"/>
  <c r="AO17" i="10"/>
  <c r="AO41" i="10"/>
  <c r="BC52" i="10"/>
  <c r="BC46" i="10"/>
  <c r="AO46" i="10"/>
  <c r="AZ5" i="7"/>
  <c r="AZ6" i="7"/>
  <c r="AZ7" i="7"/>
  <c r="AZ8" i="7"/>
  <c r="AZ9" i="7"/>
  <c r="AZ10" i="7"/>
  <c r="AZ11" i="7"/>
  <c r="AZ12" i="7"/>
  <c r="AZ13" i="7"/>
  <c r="AZ14" i="7"/>
  <c r="AZ15" i="7"/>
  <c r="AZ16" i="7"/>
  <c r="AZ17" i="7"/>
  <c r="AZ18" i="7"/>
  <c r="AZ19" i="7"/>
  <c r="AZ20" i="7"/>
  <c r="AZ21" i="7"/>
  <c r="AZ22" i="7"/>
  <c r="AZ23" i="7"/>
  <c r="AZ24" i="7"/>
  <c r="AZ25" i="7"/>
  <c r="AZ26" i="7"/>
  <c r="AL5" i="7"/>
  <c r="AL13" i="7"/>
  <c r="AL14" i="7"/>
  <c r="AL15" i="7"/>
  <c r="AL16" i="7"/>
  <c r="AL17" i="7"/>
  <c r="AL25" i="7"/>
  <c r="AL26" i="7"/>
  <c r="AL12" i="7"/>
  <c r="AL24" i="7"/>
  <c r="AL6" i="7"/>
  <c r="AL7" i="7"/>
  <c r="AL8" i="7"/>
  <c r="AL9" i="7"/>
  <c r="AL18" i="7"/>
  <c r="AL19" i="7"/>
  <c r="AL20" i="7"/>
  <c r="AL21" i="7"/>
  <c r="AL10" i="7"/>
  <c r="AL11" i="7"/>
  <c r="AL22" i="7"/>
  <c r="AL23" i="7"/>
  <c r="X4" i="7"/>
  <c r="BO4" i="7"/>
  <c r="AA4" i="10"/>
  <c r="BM4" i="10" s="1"/>
  <c r="J23" i="7"/>
  <c r="J22" i="7"/>
  <c r="J21" i="7"/>
  <c r="J20" i="7"/>
  <c r="J19" i="7"/>
  <c r="J18" i="7"/>
  <c r="J17" i="7"/>
  <c r="J16" i="7"/>
  <c r="J15" i="7"/>
  <c r="J14" i="7"/>
  <c r="J13" i="7"/>
  <c r="J12" i="7"/>
  <c r="J11" i="7"/>
  <c r="J10" i="7"/>
  <c r="J9" i="7"/>
  <c r="J8" i="7"/>
  <c r="J7" i="7"/>
  <c r="J6" i="7"/>
  <c r="J5" i="7"/>
  <c r="J4" i="7"/>
  <c r="L6" i="10" l="1"/>
  <c r="L49" i="10"/>
  <c r="BK49" i="10"/>
  <c r="BL9" i="10"/>
  <c r="BK9" i="10"/>
  <c r="BL24" i="10"/>
  <c r="BK24" i="10"/>
  <c r="BL33" i="10"/>
  <c r="BK33" i="10"/>
  <c r="L33" i="10"/>
  <c r="BL25" i="10"/>
  <c r="BK25" i="10"/>
  <c r="L27" i="10"/>
  <c r="BL27" i="10"/>
  <c r="BK27" i="10"/>
  <c r="BL43" i="10"/>
  <c r="BK43" i="10"/>
  <c r="L39" i="10"/>
  <c r="BL39" i="10"/>
  <c r="BK39" i="10"/>
  <c r="L22" i="10"/>
  <c r="BL22" i="10"/>
  <c r="BK22" i="10"/>
  <c r="L8" i="10"/>
  <c r="BK8" i="10"/>
  <c r="BL8" i="10"/>
  <c r="BL55" i="10"/>
  <c r="BK55" i="10"/>
  <c r="L32" i="10"/>
  <c r="BK32" i="10"/>
  <c r="BL32" i="10"/>
  <c r="BK47" i="10"/>
  <c r="BL47" i="10"/>
  <c r="BK11" i="10"/>
  <c r="BL11" i="10"/>
  <c r="BL52" i="10"/>
  <c r="BK52" i="10"/>
  <c r="L31" i="10"/>
  <c r="BL31" i="10"/>
  <c r="BK31" i="10"/>
  <c r="L43" i="10"/>
  <c r="BL19" i="10"/>
  <c r="BK19" i="10"/>
  <c r="BK41" i="10"/>
  <c r="BL41" i="10"/>
  <c r="L25" i="10"/>
  <c r="BK17" i="10"/>
  <c r="BL17" i="10"/>
  <c r="BL28" i="10"/>
  <c r="BK28" i="10"/>
  <c r="L17" i="10"/>
  <c r="BK35" i="10"/>
  <c r="BL35" i="10"/>
  <c r="L51" i="10"/>
  <c r="BL51" i="10"/>
  <c r="BK51" i="10"/>
  <c r="L36" i="10"/>
  <c r="BL36" i="10"/>
  <c r="BK36" i="10"/>
  <c r="L41" i="10"/>
  <c r="BK23" i="10"/>
  <c r="BL23" i="10"/>
  <c r="L44" i="10"/>
  <c r="BK44" i="10"/>
  <c r="BL44" i="10"/>
  <c r="BK20" i="10"/>
  <c r="BL20" i="10"/>
  <c r="L19" i="10"/>
  <c r="BL12" i="10"/>
  <c r="BK12" i="10"/>
  <c r="L40" i="10"/>
  <c r="BL40" i="10"/>
  <c r="BK40" i="10"/>
  <c r="BL45" i="10"/>
  <c r="BK45" i="10"/>
  <c r="L45" i="10"/>
  <c r="L54" i="10"/>
  <c r="BL54" i="10"/>
  <c r="BK54" i="10"/>
  <c r="L15" i="10"/>
  <c r="BL15" i="10"/>
  <c r="BK15" i="10"/>
  <c r="L30" i="10"/>
  <c r="BL30" i="10"/>
  <c r="BK30" i="10"/>
  <c r="L28" i="10"/>
  <c r="L12" i="10"/>
  <c r="L23" i="10"/>
  <c r="L47" i="10"/>
  <c r="L52" i="10"/>
  <c r="L20" i="10"/>
  <c r="L55" i="10"/>
  <c r="BK4" i="10"/>
  <c r="BL4" i="10"/>
  <c r="AO4" i="10"/>
  <c r="BA4" i="7"/>
  <c r="AZ4" i="7"/>
  <c r="AL4" i="7"/>
  <c r="BC4" i="7"/>
  <c r="BC4" i="10"/>
  <c r="I37" i="8"/>
  <c r="D2" i="11" l="1"/>
  <c r="M2" i="11"/>
  <c r="A4" i="7" l="1"/>
  <c r="A26" i="7"/>
  <c r="A25" i="7"/>
  <c r="A24" i="7"/>
  <c r="A23" i="7"/>
  <c r="A22" i="7"/>
  <c r="A21" i="7"/>
  <c r="A20" i="7"/>
  <c r="A19" i="7"/>
  <c r="A18" i="7"/>
  <c r="A17" i="7"/>
  <c r="A16" i="7"/>
  <c r="A15" i="7"/>
  <c r="A14" i="7"/>
  <c r="A13" i="7"/>
  <c r="A12" i="7"/>
  <c r="A11" i="7"/>
  <c r="A10" i="7"/>
  <c r="A9" i="7"/>
  <c r="A8" i="7"/>
  <c r="A7" i="7"/>
  <c r="A6" i="7"/>
  <c r="A5" i="7"/>
  <c r="I9" i="7" l="1"/>
  <c r="I10" i="7"/>
  <c r="I11" i="7"/>
  <c r="B19" i="7" l="1"/>
  <c r="BS19" i="7" l="1"/>
  <c r="I52" i="8"/>
  <c r="I50" i="8"/>
  <c r="I49" i="8"/>
  <c r="I48" i="8"/>
  <c r="I47" i="8"/>
  <c r="I46" i="8"/>
  <c r="I45" i="8"/>
  <c r="I44" i="8"/>
  <c r="I43" i="8"/>
  <c r="I42" i="8"/>
  <c r="I41" i="8"/>
  <c r="I40" i="8"/>
  <c r="I39" i="8"/>
  <c r="I38" i="8"/>
  <c r="A1" i="8" l="1"/>
  <c r="G52" i="8"/>
  <c r="E52" i="8"/>
  <c r="G32" i="8"/>
  <c r="X6" i="7"/>
  <c r="X7" i="7"/>
  <c r="X5" i="7"/>
  <c r="BA5" i="7" l="1"/>
  <c r="BC5" i="7"/>
  <c r="BA7" i="7"/>
  <c r="BC7" i="7"/>
  <c r="BA6" i="7"/>
  <c r="BC6" i="7"/>
  <c r="B4" i="7"/>
  <c r="X26" i="7"/>
  <c r="X25" i="7"/>
  <c r="X24" i="7"/>
  <c r="X23" i="7"/>
  <c r="I23" i="7"/>
  <c r="B23" i="7"/>
  <c r="X22" i="7"/>
  <c r="I22" i="7"/>
  <c r="B22" i="7"/>
  <c r="X21" i="7"/>
  <c r="I21" i="7"/>
  <c r="B21" i="7"/>
  <c r="X20" i="7"/>
  <c r="I20" i="7"/>
  <c r="B20" i="7"/>
  <c r="X19" i="7"/>
  <c r="I19" i="7"/>
  <c r="X18" i="7"/>
  <c r="I18" i="7"/>
  <c r="B18" i="7"/>
  <c r="X17" i="7"/>
  <c r="I17" i="7"/>
  <c r="B17" i="7"/>
  <c r="X16" i="7"/>
  <c r="I16" i="7"/>
  <c r="B16" i="7"/>
  <c r="X15" i="7"/>
  <c r="I15" i="7"/>
  <c r="B15" i="7"/>
  <c r="X14" i="7"/>
  <c r="I14" i="7"/>
  <c r="B14" i="7"/>
  <c r="X13" i="7"/>
  <c r="I13" i="7"/>
  <c r="B13" i="7"/>
  <c r="X12" i="7"/>
  <c r="I12" i="7"/>
  <c r="B12" i="7"/>
  <c r="X11" i="7"/>
  <c r="B11" i="7"/>
  <c r="X10" i="7"/>
  <c r="X9" i="7"/>
  <c r="X8" i="7"/>
  <c r="I8" i="7"/>
  <c r="I7" i="7"/>
  <c r="I6" i="7"/>
  <c r="I5" i="7"/>
  <c r="I4" i="7"/>
  <c r="B10" i="7"/>
  <c r="B5" i="7"/>
  <c r="B6" i="7"/>
  <c r="B7" i="7"/>
  <c r="B8" i="7"/>
  <c r="B9" i="7"/>
  <c r="BS21" i="7" l="1"/>
  <c r="BT5" i="7"/>
  <c r="BR5" i="7"/>
  <c r="BS17" i="7"/>
  <c r="BT13" i="7"/>
  <c r="BR13" i="7"/>
  <c r="BT7" i="7"/>
  <c r="BR7" i="7"/>
  <c r="BS18" i="7"/>
  <c r="BT14" i="7"/>
  <c r="BR14" i="7"/>
  <c r="BT23" i="7"/>
  <c r="BR23" i="7"/>
  <c r="BT4" i="7"/>
  <c r="BS13" i="7"/>
  <c r="BR21" i="7"/>
  <c r="BT21" i="7"/>
  <c r="BT6" i="7"/>
  <c r="BR6" i="7"/>
  <c r="BT17" i="7"/>
  <c r="BR17" i="7"/>
  <c r="BS22" i="7"/>
  <c r="BT8" i="7"/>
  <c r="BR8" i="7"/>
  <c r="BS14" i="7"/>
  <c r="BR22" i="7"/>
  <c r="BT22" i="7"/>
  <c r="BT18" i="7"/>
  <c r="BR18" i="7"/>
  <c r="BS9" i="7"/>
  <c r="BS23" i="7"/>
  <c r="BS4" i="7"/>
  <c r="BS8" i="7"/>
  <c r="BS15" i="7"/>
  <c r="BT19" i="7"/>
  <c r="BR19" i="7"/>
  <c r="BS7" i="7"/>
  <c r="BS11" i="7"/>
  <c r="BR15" i="7"/>
  <c r="BT15" i="7"/>
  <c r="BS6" i="7"/>
  <c r="BS20" i="7"/>
  <c r="BS5" i="7"/>
  <c r="BS12" i="7"/>
  <c r="BS16" i="7"/>
  <c r="BT20" i="7"/>
  <c r="BR20" i="7"/>
  <c r="BS10" i="7"/>
  <c r="BT12" i="7"/>
  <c r="BR12" i="7"/>
  <c r="BT16" i="7"/>
  <c r="BR16" i="7"/>
  <c r="BA21" i="7"/>
  <c r="BC21" i="7"/>
  <c r="BA25" i="7"/>
  <c r="BC25" i="7"/>
  <c r="BA13" i="7"/>
  <c r="BC13" i="7"/>
  <c r="BA17" i="7"/>
  <c r="BC17" i="7"/>
  <c r="BC22" i="7"/>
  <c r="BA22" i="7"/>
  <c r="BA26" i="7"/>
  <c r="BC26" i="7"/>
  <c r="BA19" i="7"/>
  <c r="BC19" i="7"/>
  <c r="BA23" i="7"/>
  <c r="BC23" i="7"/>
  <c r="BA9" i="7"/>
  <c r="BC9" i="7"/>
  <c r="BA14" i="7"/>
  <c r="BC14" i="7"/>
  <c r="BA18" i="7"/>
  <c r="BC18" i="7"/>
  <c r="BC10" i="7"/>
  <c r="BA10" i="7"/>
  <c r="BA15" i="7"/>
  <c r="BC15" i="7"/>
  <c r="BA8" i="7"/>
  <c r="BC8" i="7"/>
  <c r="BA11" i="7"/>
  <c r="BC11" i="7"/>
  <c r="BA20" i="7"/>
  <c r="BC20" i="7"/>
  <c r="BA24" i="7"/>
  <c r="BC24" i="7"/>
  <c r="BA12" i="7"/>
  <c r="BC12" i="7"/>
  <c r="BA16" i="7"/>
  <c r="BC16" i="7"/>
  <c r="I24" i="7" l="1"/>
  <c r="I26" i="7"/>
  <c r="I25"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Safitri Nur Andhini</author>
  </authors>
  <commentList>
    <comment ref="BE3" authorId="0" shapeId="0" xr:uid="{9B3E460A-121D-4743-9170-FC7455C4F4AD}">
      <text>
        <r>
          <rPr>
            <b/>
            <sz val="9"/>
            <color indexed="81"/>
            <rFont val="Tahoma"/>
            <family val="2"/>
          </rPr>
          <t>Recurring : Kegiatan rutin, ada setiap tahun atau bulan atau di beberapa periode
One Off : Kegiatan yang dilakukan hanya 1x saja yang disebabkan / dengan tujuan khusus</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<sst xmlns="http://schemas.openxmlformats.org/spreadsheetml/2006/main" count="4296" uniqueCount="1577">
  <si>
    <t>Petunjuk Umum</t>
  </si>
  <si>
    <r>
      <t>Dasar penyusunan anggaran tahunan (</t>
    </r>
    <r>
      <rPr>
        <i/>
        <sz val="11"/>
        <rFont val="Arial"/>
        <family val="2"/>
      </rPr>
      <t>Master Budget</t>
    </r>
    <r>
      <rPr>
        <sz val="11"/>
        <rFont val="Arial"/>
        <family val="2"/>
      </rPr>
      <t>) dapat mempertimbangkan:</t>
    </r>
  </si>
  <si>
    <t>•</t>
  </si>
  <si>
    <r>
      <t xml:space="preserve">Mohon untuk </t>
    </r>
    <r>
      <rPr>
        <b/>
        <sz val="11"/>
        <rFont val="Arial"/>
        <family val="2"/>
      </rPr>
      <t>tidak</t>
    </r>
    <r>
      <rPr>
        <sz val="11"/>
        <rFont val="Arial"/>
        <family val="2"/>
      </rPr>
      <t xml:space="preserve"> menghapus&amp;menambah baris/kolom pada Lembar kerja anggaran tahunan (</t>
    </r>
    <r>
      <rPr>
        <i/>
        <sz val="11"/>
        <rFont val="Arial"/>
        <family val="2"/>
      </rPr>
      <t>master budget template</t>
    </r>
    <r>
      <rPr>
        <sz val="11"/>
        <rFont val="Arial"/>
        <family val="2"/>
      </rPr>
      <t>)</t>
    </r>
  </si>
  <si>
    <t>Setiap Departemen wajib menunjuk PIC anggaran (selain manager) untuk mempermudah pemberitahuan terkini terkait dengan perubahan/tambahan peraturan/kebijakan</t>
  </si>
  <si>
    <r>
      <t>Lembar kerja anggaran tahunan (</t>
    </r>
    <r>
      <rPr>
        <i/>
        <sz val="11"/>
        <color theme="1"/>
        <rFont val="Arial"/>
        <family val="2"/>
      </rPr>
      <t>master budget</t>
    </r>
    <r>
      <rPr>
        <sz val="11"/>
        <color theme="1"/>
        <rFont val="Arial"/>
        <family val="2"/>
      </rPr>
      <t xml:space="preserve"> template) harus diketahui dan disetujui oleh Kepala Departemen/Manajer, Kepala Divisi/GM, dan Direktur terkait</t>
    </r>
  </si>
  <si>
    <t>Petunjuk Rinci/Detail</t>
  </si>
  <si>
    <t>Terdapat 4 bagian dalam lembar kerja budget :</t>
  </si>
  <si>
    <t>- COVER</t>
  </si>
  <si>
    <r>
      <t xml:space="preserve">- </t>
    </r>
    <r>
      <rPr>
        <sz val="11"/>
        <color rgb="FF000000"/>
        <rFont val="Arial"/>
        <family val="2"/>
      </rPr>
      <t>OPEX DETAIL</t>
    </r>
  </si>
  <si>
    <t>Sheet 1 : Cover</t>
  </si>
  <si>
    <t>Cover</t>
  </si>
  <si>
    <t>Harap isi masing-masing bagian sesuai urutan dibawah.</t>
  </si>
  <si>
    <t xml:space="preserve">Year                                   </t>
  </si>
  <si>
    <t>Diisi dengan tahun perencanaan budget</t>
  </si>
  <si>
    <t>BU/HO</t>
  </si>
  <si>
    <t>Div. /Dept.</t>
  </si>
  <si>
    <t>Diisi sesuai dengan Divisi / Departement yang tertera di list.</t>
  </si>
  <si>
    <t>HO</t>
  </si>
  <si>
    <t>Corp. Planning &amp; Sustainability</t>
  </si>
  <si>
    <t>Internal Audit</t>
  </si>
  <si>
    <t>Legal &amp; Corp. Secretary</t>
  </si>
  <si>
    <t>HSE</t>
  </si>
  <si>
    <t>Regulatory</t>
  </si>
  <si>
    <t>Corporate Communication</t>
  </si>
  <si>
    <t>Accounting &amp; Reporting</t>
  </si>
  <si>
    <t>Financial Planning &amp; Analysis</t>
  </si>
  <si>
    <t>Taxation</t>
  </si>
  <si>
    <t>Treasury &amp; Finance</t>
  </si>
  <si>
    <t>General Affairs</t>
  </si>
  <si>
    <t>Human Resources</t>
  </si>
  <si>
    <t>IT</t>
  </si>
  <si>
    <t>Strategic Sourcing &amp; Procurement</t>
  </si>
  <si>
    <t>Weightbridge</t>
  </si>
  <si>
    <t>Custom &amp; Logistic</t>
  </si>
  <si>
    <t>Warehouse &amp; Inventory</t>
  </si>
  <si>
    <t>Siapkan approval sesuai dengan approval matrix Divisi / Departement masing-masing</t>
  </si>
  <si>
    <r>
      <t xml:space="preserve">Harap isi masing-masing bagian sesuai urutan dibawah dan harap mengisi kolom yang berwarna </t>
    </r>
    <r>
      <rPr>
        <b/>
        <sz val="11"/>
        <color theme="1"/>
        <rFont val="Arial"/>
        <family val="2"/>
      </rPr>
      <t>putih</t>
    </r>
    <r>
      <rPr>
        <sz val="11"/>
        <color theme="1"/>
        <rFont val="Arial"/>
        <family val="2"/>
      </rPr>
      <t>.</t>
    </r>
  </si>
  <si>
    <t>Ledger SAP</t>
  </si>
  <si>
    <t>Budget 2024</t>
  </si>
  <si>
    <t>No (SAP)</t>
  </si>
  <si>
    <t>Name (SAP)</t>
  </si>
  <si>
    <t>Definition</t>
  </si>
  <si>
    <t>Cost Owner</t>
  </si>
  <si>
    <t>Related Departments</t>
  </si>
  <si>
    <t>Diisi bila department/divisi terkait mempunyai biaya operasional budget untuk periode ini.</t>
  </si>
  <si>
    <t>Cost Center</t>
  </si>
  <si>
    <t>Table 3.1. List Ledger Opex</t>
  </si>
  <si>
    <t>DL Salaries &amp; Wages</t>
  </si>
  <si>
    <t>Biaya imbalan dasar beserta lembur untuk karyawan tetap yang secara langsung menangani proses produksi.</t>
  </si>
  <si>
    <t>HR</t>
  </si>
  <si>
    <t>DL Overtime</t>
  </si>
  <si>
    <t>Biaya lembur atas pekerjaan yang melebihi jam kerja biasa untuk karyawan tetap yang secara langsung menangani proses produksi.</t>
  </si>
  <si>
    <t>DL THR</t>
  </si>
  <si>
    <t>Biaya kompensasi tambahan yang berupa hadiah dari perusahaan dan tunjangan hari raya untuk karyawan tetap yang secara langsung menangani proses produksi.</t>
  </si>
  <si>
    <t>DL Allowances</t>
  </si>
  <si>
    <t>Biaya tunjangan lainnya untuk karyawan tetap yang secara langsung menangani proses produksi.</t>
  </si>
  <si>
    <t>DL Social Security</t>
  </si>
  <si>
    <t>Biaya iuran BPJS karyawan tetap yang secara langsung menangani proses produksi.</t>
  </si>
  <si>
    <t>DL Contract Employee Pay</t>
  </si>
  <si>
    <t>Biaya imbalan dasar, lembur, dan kompensasi tambahan untuk karyawan kontrak yang secara langsung menangani proses produksi.</t>
  </si>
  <si>
    <t>DL  Incentives</t>
  </si>
  <si>
    <t>Gaji insentif karyawan produksi atas pencapaian target produksi.</t>
  </si>
  <si>
    <t>DL Employee Income Tax</t>
  </si>
  <si>
    <t>Biaya atas Pph 21 terkait dengan karyawan yang berkaitan langsung dengan produksi.</t>
  </si>
  <si>
    <t>DL Bonus</t>
  </si>
  <si>
    <t>Bonus yang diterima karyawan produksi seperti Bonus tahunan dan THR.</t>
  </si>
  <si>
    <t>DL Severance Pay</t>
  </si>
  <si>
    <t>Biaya terkait dengan karyawan produksi yang pension/resign (pesangon).</t>
  </si>
  <si>
    <t>DL Employee Insurance</t>
  </si>
  <si>
    <t>Biaya kesejahteraan untuk asuransi karyawan produksi.</t>
  </si>
  <si>
    <t>DL Others</t>
  </si>
  <si>
    <t>Biaya terkait karyawan produksi diluar gaji pokok, “overtime”, “allowances” &amp; “incentives”.</t>
  </si>
  <si>
    <t>IDL Salaries &amp; Wages</t>
  </si>
  <si>
    <t>Biaya imbalan dasar beserta lembur untuk karyawan tetap yang tidak secara langsung menangani proses produksi.</t>
  </si>
  <si>
    <t>IDL Overtime</t>
  </si>
  <si>
    <t>Biaya lembur atas pekerjaan yang melebihi jam kerja biasa untuk karyawan tetap yang tidak secara langsung menangani proses produksi.</t>
  </si>
  <si>
    <t>IDL THR</t>
  </si>
  <si>
    <t>Biaya kompensasi tambahan yang berupa hadiah dari perusahaan dan tunjangan hari raya untuk karyawan tetap yang tidak secara langsung menangani proses produksi.</t>
  </si>
  <si>
    <t>IDL Allowances</t>
  </si>
  <si>
    <t>Biaya tunjangan lainnya untuk karyawan tetap yang tidak secara langsung menangani proses produksi.</t>
  </si>
  <si>
    <t>IDL Social Security</t>
  </si>
  <si>
    <t>Biaya iuran BPJS karyawan tetap yang tidak secara langsung menangani proses produksi.</t>
  </si>
  <si>
    <t>IDL Contract Employee Pay</t>
  </si>
  <si>
    <t>Biaya imbalan dasar, lembur, dan kompensasi tambahan untuk karyawan kontrak yang tidak secara langsung menangani proses produksi.</t>
  </si>
  <si>
    <t>IDL  Incentives</t>
  </si>
  <si>
    <t>Gaji insentif karyawan (sales) atas pencapaian target penjualan.</t>
  </si>
  <si>
    <t>IDL Employee Income Tax</t>
  </si>
  <si>
    <t>Biaya atas Pph 21 terkait dengan karyawan (didalam HO)  yang tidak berkaitan langsung dengan produksi.</t>
  </si>
  <si>
    <t>IDL Bonus</t>
  </si>
  <si>
    <t>Bonus yang diterima karyawan (di dalam HO) seperti Bonus tahunan dan THR.</t>
  </si>
  <si>
    <t>IDL Severance Pay</t>
  </si>
  <si>
    <t>Biaya terkait dengan karyawan diluar produksi  yang pension/resign (pesangon).</t>
  </si>
  <si>
    <t>IDL Employee Insurance</t>
  </si>
  <si>
    <t>Biaya kesejahteraan untuk makan karyawan, yang bukan merupakan penghasilan karyawan.</t>
  </si>
  <si>
    <t>IDL Others</t>
  </si>
  <si>
    <t>Biaya terkait karyawan (didalam HO) diluar gaji pokok, “overtime”, “allowances” &amp; “incentives”</t>
  </si>
  <si>
    <t>Provision for Employee Benefits</t>
  </si>
  <si>
    <t>Biaya cadangan untuk imbalan pisah karyawan pensiun.</t>
  </si>
  <si>
    <t>Accounting</t>
  </si>
  <si>
    <t>Outsourcing Services</t>
  </si>
  <si>
    <t>Biaya upah untuk tenaga outsourcing/pekerja harian</t>
  </si>
  <si>
    <t>Event Services</t>
  </si>
  <si>
    <t xml:space="preserve">Biaya upah untuk tenaga event </t>
  </si>
  <si>
    <t>Construction Services</t>
  </si>
  <si>
    <t>Biaya upah untuk tenaga konstruksi</t>
  </si>
  <si>
    <t>GA</t>
  </si>
  <si>
    <t>Planning Services</t>
  </si>
  <si>
    <t>Biaya upah untuk tenaga planning konstruksi</t>
  </si>
  <si>
    <t>Construction Monitoring Services</t>
  </si>
  <si>
    <t>Biaya upah untuk tenaga supervisi konstruksi</t>
  </si>
  <si>
    <t>Calibration Services</t>
  </si>
  <si>
    <t>Biaya uji kalibrasi timbangan</t>
  </si>
  <si>
    <t>Utilities - Factory Sundries</t>
  </si>
  <si>
    <t>Biaya operasional lain-lain terkait pabrik.
Contoh : masker, helm, keperluan katin (makan karyawan) &amp; baju karyawan</t>
  </si>
  <si>
    <t>Fuel</t>
  </si>
  <si>
    <t>Biaya terkait dengan bahan bakar kendaraan operasional perusahaan.</t>
  </si>
  <si>
    <t>RM Exp - Buidings Services</t>
  </si>
  <si>
    <t>Biaya perbaikan dan pemeliharaan bangunan/gedung milik perusahaan. Termasuk pemakaian spare part dan others consumables (lubricant/pelumas).</t>
  </si>
  <si>
    <t>RM Exp - Machinery and Equipment</t>
  </si>
  <si>
    <t>Biaya perbaikan dan pemeliharaan mesin milik perusahaan. Termasuk pemakaian spare part dan others consumables (lubricant/pelumas).</t>
  </si>
  <si>
    <t>Operational</t>
  </si>
  <si>
    <t>RM Exp - Heavy Equipment</t>
  </si>
  <si>
    <t>Biaya perbaikan dan pemeliharaan alat-alat berat milik perusahaan. Termasuk pemakaian spare part dan others consumables (lubricant/pelumas).</t>
  </si>
  <si>
    <t>RM Exp - Vehicles</t>
  </si>
  <si>
    <t>Biaya perbaikan dan pemeliharaan kendaraan milik perusahaan. Termasuk pemakaian spare part dan others consumables (lubricant/pelumas).</t>
  </si>
  <si>
    <t>RM Exp - Furniture and Fixtures</t>
  </si>
  <si>
    <t>Biaya perbaikan dan pemeliharaan perlengkapan dan perabotan milik perusahaan.</t>
  </si>
  <si>
    <t>RM Exp - Office and Other Equipment</t>
  </si>
  <si>
    <t>Biaya perbaikan dan pemeliharaan peralatan lainnya. (termasuk barang IT)</t>
  </si>
  <si>
    <t>GA and MIS</t>
  </si>
  <si>
    <t>RM Exp - Water Treatment</t>
  </si>
  <si>
    <t>Biaya perbaikan dan pemeliharaan sumber daya air milik perusahaan.</t>
  </si>
  <si>
    <t>RM Exp - Low Value Asset</t>
  </si>
  <si>
    <t>Biaya perbaikan dan pemeliharaan atas LVA Building and Structure, LVA Machinery and Equipment, LVA Heavy Equipment</t>
  </si>
  <si>
    <t>AE - Advertising and Promotion Expenses</t>
  </si>
  <si>
    <t>Biaya iklan dalam bentuk penempatan pada media umum.
Contoh : Biaya pemasangan iklan lowongan kerja di situs JOBSTREET.COM dari tanggal 08 DES 2019 S/D 08 DES 2020</t>
  </si>
  <si>
    <t>AE - Material Gift</t>
  </si>
  <si>
    <t>Biaya terkait souvenir yang diberikan dalam rangka kegiatan promosi</t>
  </si>
  <si>
    <t>AE - Exhibit Sponsor</t>
  </si>
  <si>
    <t>Biaya terkait pameran dan sponsorship dalam rangka kegiatan promosi</t>
  </si>
  <si>
    <t>TE - Seminar</t>
  </si>
  <si>
    <t>Biaya terkait seminar keluar.
Contoh : Biaya KPI Team deteksi dini bulan Juli 2020</t>
  </si>
  <si>
    <t>TE - Training</t>
  </si>
  <si>
    <t xml:space="preserve">Biaya untuk pelatihan dan seminar lain, termasuk biaya sertifikasi/uji untuk memenuhi standar tertentu dalam pekerjaan.
Contoh : Biaya Narasumber dari POLRES BEKASI untuk kegiatan sosialisaso bahaya Terorisme &amp; Radikalisme </t>
  </si>
  <si>
    <t>TE - Others Training &amp; Seminar</t>
  </si>
  <si>
    <t>Biaya lain - lain terkait seminar/training yang tidak termasuk kategori di atas</t>
  </si>
  <si>
    <t>Ins. Exp. - Insurance of Building</t>
  </si>
  <si>
    <t>Ins. Exp. - Insurance of Machinery</t>
  </si>
  <si>
    <t>Operational and GA</t>
  </si>
  <si>
    <t>Ins. Exp. - Insurance of Vehicle</t>
  </si>
  <si>
    <t>Ins. Exp. - Insurance of Public and Product Liabil</t>
  </si>
  <si>
    <t>Ins. Exp. - Insurance Others</t>
  </si>
  <si>
    <t>RE - Rental Warehouse</t>
  </si>
  <si>
    <t>Biaya sewa gudang</t>
  </si>
  <si>
    <t>RE - Rental Vehicle</t>
  </si>
  <si>
    <t>Biaya sewa kendaraan.</t>
  </si>
  <si>
    <t>RE - Rental Land</t>
  </si>
  <si>
    <t>Biaya sewa tanah.</t>
  </si>
  <si>
    <t>RE - Rental Building / Office</t>
  </si>
  <si>
    <t>Biaya sewa gedung/kantor/gudang.</t>
  </si>
  <si>
    <t>RE - Rental Machinery</t>
  </si>
  <si>
    <t>Biaya sewa mesin.</t>
  </si>
  <si>
    <t>RE - Rental Other</t>
  </si>
  <si>
    <t>Biaya sewa lainnya.</t>
  </si>
  <si>
    <t>PT Exp. - Telecommunication &amp; Internet</t>
  </si>
  <si>
    <t>Biaya pemakaian telepon, handphone, faximile, internet.</t>
  </si>
  <si>
    <t>MIS</t>
  </si>
  <si>
    <t>PT Exp. - Postage and Courier</t>
  </si>
  <si>
    <t>Biaya pengiriman dokumen administrasi.</t>
  </si>
  <si>
    <t>PT Exp. - Stamp Duty</t>
  </si>
  <si>
    <t>Biaya pemakaian materai.</t>
  </si>
  <si>
    <t>PT Exp. - Others</t>
  </si>
  <si>
    <t xml:space="preserve">Biaya terkait jasa pengiriman lain-lain yang tidak termasuk pada kategori biaya tersebut di atas </t>
  </si>
  <si>
    <t>PF - Legal Fee</t>
  </si>
  <si>
    <t>Biaya pemakaian jasa pengacara atau konsultasi hukum lain-lain.</t>
  </si>
  <si>
    <t>Legal</t>
  </si>
  <si>
    <t>PF - Tax Consultan Fee</t>
  </si>
  <si>
    <t>Biaya pemakaian jasa konsultan pajak.</t>
  </si>
  <si>
    <t>Tax</t>
  </si>
  <si>
    <t>PF - Audit Fee</t>
  </si>
  <si>
    <t>Biaya pemakaian jasa auditor.</t>
  </si>
  <si>
    <t>PF - Surveyor Fee</t>
  </si>
  <si>
    <t>Biaya pemakaian jasa surveyor</t>
  </si>
  <si>
    <t>PF - Other Professional Fees</t>
  </si>
  <si>
    <t>Biaya pemakaian jasa profesi lainnya.</t>
  </si>
  <si>
    <t>Ent. Exp - Sample Marketing</t>
  </si>
  <si>
    <t>Biaya jamuan untuk relasi perusahaan dalam rangka membina hubungan baik. Makan dan minum visit customer complain.
Contoh : MEETING DENGAN PT GUNUNG INTI SEMPURNA 4 ORG PROYEK PENGADAAN MATERIAL PLAT TGL 19/12/19 (KODRAT,RUDY,NY SL)</t>
  </si>
  <si>
    <t>Sales Marketing and BOD</t>
  </si>
  <si>
    <t>Ent. Exp - Donation and Social Contribution</t>
  </si>
  <si>
    <t>Sumbangan yang diberikan kepada pihak luar, dan dalam rangka tanggung jawab social perusahaan terhadap lingkungan dan masyarakat.</t>
  </si>
  <si>
    <t>Corporate Public Relations and BOD</t>
  </si>
  <si>
    <t>Ent. Exp - Others Entertainment</t>
  </si>
  <si>
    <t>Biaya representasi untuk relasi perusahaan dalam rangka membina hubungan baik.</t>
  </si>
  <si>
    <t>SMSCM &amp; Environment</t>
  </si>
  <si>
    <t>TL - Land and Property Tax</t>
  </si>
  <si>
    <t>Biaya pajak dan perijinan atas tanah.</t>
  </si>
  <si>
    <t>Land Management</t>
  </si>
  <si>
    <t>TL - IMB</t>
  </si>
  <si>
    <t xml:space="preserve">[Saat ini belum digunakan, konfirmasi ke Budgeting unit terlebih dahulu apakah alokasi ini akan aktif atau tidak] </t>
  </si>
  <si>
    <t>TL - Restribution</t>
  </si>
  <si>
    <t>Biaya pajak dan perijinan atas retribusi.</t>
  </si>
  <si>
    <t>TL - SIM, STNK</t>
  </si>
  <si>
    <t>Biaya pajak dan perijinan atas kendaraan.</t>
  </si>
  <si>
    <t>TL - Others Tax and Lisence</t>
  </si>
  <si>
    <t>Biaya pajak dan perijinan lainnya.</t>
  </si>
  <si>
    <t>Stationery Expenses</t>
  </si>
  <si>
    <t>Biaya pemakaian/pembelian perlengkapan office.
Contoh: Alat tulis</t>
  </si>
  <si>
    <t>Printing and Supplies Expenses</t>
  </si>
  <si>
    <t>Biaya untuk semua jenis percetakan dan photocopy.
Contoh: cetak invoice, faktur, kwitansi, kartu nama dll</t>
  </si>
  <si>
    <t>Meeting Expenses</t>
  </si>
  <si>
    <t>Biaya keperluan rapat dinas, konferensi dan lain-lain.</t>
  </si>
  <si>
    <t>Ceremony Expenses</t>
  </si>
  <si>
    <t>Biaya pengadaaan acara khusus perusahaan, seperti halal bihalal, perayaan natal, ulang tahun perusahaan, perayaan 17 Agustus, dan lain-lain.</t>
  </si>
  <si>
    <t>Gen. Transp. Travelling Expenses</t>
  </si>
  <si>
    <t>Biaya tiket perjalanan dinas dan akomodasi perjalanan (contoh seperti biaya penginapan, swab saat perjalanan dinas,dll)</t>
  </si>
  <si>
    <t>Gen. Transp. Others</t>
  </si>
  <si>
    <t>- Biaya yang terkait dengan kendaraan operasional perusahaan. Biaya transportasi FG RM antar warehouse/Bisnit unit, termasuk didalamnya biaya tilang dll 
- Biaya transport antar jemput karyawan 
- Biaya langsir 
- Biaya yang terkait dengan transportasi untuk kegiatan operasional.
Contoh : BY TAXI ONLINE DINAS KE PEMDA BEKASI,KANTOR IMIGRASI TGL 7/9/18  
- Biaya tol dan parkir</t>
  </si>
  <si>
    <t>Waste Removal Expenses</t>
  </si>
  <si>
    <t>Biaya (jasa dan barang) untuk pengolahan limbah pabrik.</t>
  </si>
  <si>
    <t>GA and Environment</t>
  </si>
  <si>
    <t>Household Equipment Expenses</t>
  </si>
  <si>
    <t>Pembelian asset atau barang modal (Low Value Asset) untuk kebutuhan Housing, dengan syarat:
-Nilai &lt; USD 10.000 (Rp 14.300.000)
-	Tidak tergolong sebagai asset tetap (Fixed Asset) di ketentuan/SOP yang berlaku
-	Tidak tergolong sebagai sparepart
Contoh:	Kalkulator, AC, dispenser, kulkas, tools kit dll</t>
  </si>
  <si>
    <t>Factory Equipment Expenses</t>
  </si>
  <si>
    <t>Pembelian asset atau barang modal (Low Value Asset) untuk kebutuhan Pabrik, dengan syarat:
-Nilai &lt; USD 10.000 (Rp 14.300.000)
-	Tidak tergolong sebagai asset tetap (Fixed Asset) di ketentuan/SOP yang berlaku
-	Tidak tergolong sebagai sparepart
Contoh: Kalkulator, AC, dispenser, kulkas, tools kit dll</t>
  </si>
  <si>
    <t xml:space="preserve">Operational </t>
  </si>
  <si>
    <t>Office Equipment Expenses</t>
  </si>
  <si>
    <t>Pembelian asset atau barang modal (Low Value Asset) untuk kebutuhan Kantor, dengan syarat:
-Nilai &lt; USD 10.000 (Rp 14.300.000)
-	Tidak tergolong sebagai asset tetap (Fixed Asset) di ketentuan/SOP yang berlaku
-	Tidak tergolong sebagai sparepart
Contoh: Kalkulator, AC, dispenser, kulkas, tools kit dll</t>
  </si>
  <si>
    <t>Association and Membership</t>
  </si>
  <si>
    <t>Biaya iuran keanggotaan</t>
  </si>
  <si>
    <t>Subscriptions and Periodicals</t>
  </si>
  <si>
    <t>Biaya berlangganan website, majalah, dll</t>
  </si>
  <si>
    <t>Miscellaneous Expenses</t>
  </si>
  <si>
    <t>Biaya lain-lain yang tidak termasuk pada kategori biaya tersebut di atas (contoh : biaya cleaning service, biaya tax penalty, dll)</t>
  </si>
  <si>
    <t>Directorate</t>
  </si>
  <si>
    <t>Diisi dengan:
HO untuk department Head Office</t>
  </si>
  <si>
    <t>Sales</t>
  </si>
  <si>
    <t>Information Technology</t>
  </si>
  <si>
    <t>Finance</t>
  </si>
  <si>
    <t>Supply Chain Management</t>
  </si>
  <si>
    <t>CEO Office</t>
  </si>
  <si>
    <t>Annual Budget</t>
  </si>
  <si>
    <t>:</t>
  </si>
  <si>
    <t>Diisi sesuai dengan Direktorat yang tertera di list.</t>
  </si>
  <si>
    <t>Division / Department</t>
  </si>
  <si>
    <t>Board of Director</t>
  </si>
  <si>
    <t>KSO</t>
  </si>
  <si>
    <t>SCM</t>
  </si>
  <si>
    <t>Fixed Asset Management</t>
  </si>
  <si>
    <t>Mapping</t>
  </si>
  <si>
    <t>Procurement</t>
  </si>
  <si>
    <t>10301SM001</t>
  </si>
  <si>
    <t>10301SC001</t>
  </si>
  <si>
    <t>10301SC004</t>
  </si>
  <si>
    <t>10301FA002</t>
  </si>
  <si>
    <t>10301BD001</t>
  </si>
  <si>
    <t>10301CP001</t>
  </si>
  <si>
    <t>10301FA004</t>
  </si>
  <si>
    <t>10301GA001</t>
  </si>
  <si>
    <t>10301HS001</t>
  </si>
  <si>
    <t>10301HR001</t>
  </si>
  <si>
    <t>10301IA001</t>
  </si>
  <si>
    <t>10301IT001</t>
  </si>
  <si>
    <t>10301CL001</t>
  </si>
  <si>
    <t>10301MS008</t>
  </si>
  <si>
    <t>10301FA003</t>
  </si>
  <si>
    <t>10301FA001</t>
  </si>
  <si>
    <t>10301FA007</t>
  </si>
  <si>
    <t>10301GA002</t>
  </si>
  <si>
    <t>10301HR002</t>
  </si>
  <si>
    <t>10301IT003</t>
  </si>
  <si>
    <t>10301CS001</t>
  </si>
  <si>
    <t>10301MS002</t>
  </si>
  <si>
    <t>10301FA006</t>
  </si>
  <si>
    <t>10301SC005</t>
  </si>
  <si>
    <t>10301GA003</t>
  </si>
  <si>
    <t>10301HR003</t>
  </si>
  <si>
    <t>10301MS005</t>
  </si>
  <si>
    <t>10301MS006</t>
  </si>
  <si>
    <t>10301SC002</t>
  </si>
  <si>
    <t>10301GA004</t>
  </si>
  <si>
    <t>10301HR004</t>
  </si>
  <si>
    <t>10301MS007</t>
  </si>
  <si>
    <t>10301GA005</t>
  </si>
  <si>
    <t>10301HR005</t>
  </si>
  <si>
    <t>10301HS002</t>
  </si>
  <si>
    <t>10301GA008</t>
  </si>
  <si>
    <t>10301HR007</t>
  </si>
  <si>
    <t>10301PR001</t>
  </si>
  <si>
    <t>10301MS001</t>
  </si>
  <si>
    <t>10301PR002</t>
  </si>
  <si>
    <t>Health &amp; Safety</t>
  </si>
  <si>
    <t>Environment</t>
  </si>
  <si>
    <t>USD</t>
  </si>
  <si>
    <t>BOARD OF DIRECTORS</t>
  </si>
  <si>
    <t>CORPORATE LEGAL</t>
  </si>
  <si>
    <t>CORP. PLAN&amp;STRATEGY</t>
  </si>
  <si>
    <t>CORPORATE SECRETARY</t>
  </si>
  <si>
    <t>TREASURY</t>
  </si>
  <si>
    <t>FA</t>
  </si>
  <si>
    <t>ACCOUNTING</t>
  </si>
  <si>
    <t>TAX</t>
  </si>
  <si>
    <t>FIN. PLAN &amp; ANALYSIS</t>
  </si>
  <si>
    <t>PROJECT</t>
  </si>
  <si>
    <t>FINANCE</t>
  </si>
  <si>
    <t>FIXED ASSET MGT</t>
  </si>
  <si>
    <t>PROPERTY MAINTENANCE</t>
  </si>
  <si>
    <t>HOUSEKEEPING</t>
  </si>
  <si>
    <t>GA CUSTOMER CARE</t>
  </si>
  <si>
    <t>FOOD &amp; BEVERAGE</t>
  </si>
  <si>
    <t>LANDSCAPE</t>
  </si>
  <si>
    <t>CORP. VEHICLE MGT.</t>
  </si>
  <si>
    <t>TALENT MANAGEMENT</t>
  </si>
  <si>
    <t>HR ADMINISTRATION</t>
  </si>
  <si>
    <t>INDUSTRIAL RELATIONS</t>
  </si>
  <si>
    <t>PAYROLL, COMPBEN.</t>
  </si>
  <si>
    <t>TALENT ACQ. &amp; DEV.</t>
  </si>
  <si>
    <t>HR PROJECTS</t>
  </si>
  <si>
    <t>HEALTH &amp; SAFETY</t>
  </si>
  <si>
    <t>ENVIRONMENT</t>
  </si>
  <si>
    <t>INTERNAL AUDIT</t>
  </si>
  <si>
    <t>IT INFRASTRUCTURE</t>
  </si>
  <si>
    <t>10301IT002</t>
  </si>
  <si>
    <t>SECURITY ADMIN</t>
  </si>
  <si>
    <t>LAND MANAGEMENT</t>
  </si>
  <si>
    <t>INDUSTRY ASSOCIATION</t>
  </si>
  <si>
    <t>LICENSES &amp; PERMITS</t>
  </si>
  <si>
    <t>WEBSITE MASTER</t>
  </si>
  <si>
    <t>MEDIA REL/PRESS CONF</t>
  </si>
  <si>
    <t>PROCUREMENT</t>
  </si>
  <si>
    <t>10301SC006</t>
  </si>
  <si>
    <t>SCM INVENTORY</t>
  </si>
  <si>
    <t>10301SC007</t>
  </si>
  <si>
    <t>SCM WAREHOUSE FG</t>
  </si>
  <si>
    <t>SALES</t>
  </si>
  <si>
    <t>Profit Center</t>
  </si>
  <si>
    <t>Cost Center Description</t>
  </si>
  <si>
    <t>Remarks</t>
  </si>
  <si>
    <t>Ledger Description</t>
  </si>
  <si>
    <t>Basis Calculation
(Price per Unit)</t>
  </si>
  <si>
    <t>Professional Fees</t>
  </si>
  <si>
    <t>60100010</t>
  </si>
  <si>
    <t>60100020</t>
  </si>
  <si>
    <t>60100030</t>
  </si>
  <si>
    <t>60100040</t>
  </si>
  <si>
    <t>60100050</t>
  </si>
  <si>
    <t>60100060</t>
  </si>
  <si>
    <t>60100070</t>
  </si>
  <si>
    <t>60100080</t>
  </si>
  <si>
    <t>60100090</t>
  </si>
  <si>
    <t>60100100</t>
  </si>
  <si>
    <t>60100110</t>
  </si>
  <si>
    <t>60100120</t>
  </si>
  <si>
    <t>60200010</t>
  </si>
  <si>
    <t>60300010</t>
  </si>
  <si>
    <t>60300020</t>
  </si>
  <si>
    <t>60300030</t>
  </si>
  <si>
    <t>60300040</t>
  </si>
  <si>
    <t>60300050</t>
  </si>
  <si>
    <t>60300060</t>
  </si>
  <si>
    <t>60600010</t>
  </si>
  <si>
    <t>60600020</t>
  </si>
  <si>
    <t>60600040</t>
  </si>
  <si>
    <t>60600050</t>
  </si>
  <si>
    <t>60700010</t>
  </si>
  <si>
    <t>60800010</t>
  </si>
  <si>
    <t>60800020</t>
  </si>
  <si>
    <t>60800030</t>
  </si>
  <si>
    <t>60800040</t>
  </si>
  <si>
    <t>60800050</t>
  </si>
  <si>
    <t>60800060</t>
  </si>
  <si>
    <t>60800070</t>
  </si>
  <si>
    <t>60800080</t>
  </si>
  <si>
    <t>61400010</t>
  </si>
  <si>
    <t>61400020</t>
  </si>
  <si>
    <t>61400030</t>
  </si>
  <si>
    <t>61500010</t>
  </si>
  <si>
    <t>61500020</t>
  </si>
  <si>
    <t>61500030</t>
  </si>
  <si>
    <t>61600010</t>
  </si>
  <si>
    <t>61600020</t>
  </si>
  <si>
    <t>61600030</t>
  </si>
  <si>
    <t>61600040</t>
  </si>
  <si>
    <t>61600050</t>
  </si>
  <si>
    <t>61600060</t>
  </si>
  <si>
    <t>61600070</t>
  </si>
  <si>
    <t>61700010</t>
  </si>
  <si>
    <t>61700030</t>
  </si>
  <si>
    <t>61700040</t>
  </si>
  <si>
    <t>61700050</t>
  </si>
  <si>
    <t>61700060</t>
  </si>
  <si>
    <t>61700070</t>
  </si>
  <si>
    <t>61800010</t>
  </si>
  <si>
    <t>61800020</t>
  </si>
  <si>
    <t>61800030</t>
  </si>
  <si>
    <t>61800090</t>
  </si>
  <si>
    <t>61900010</t>
  </si>
  <si>
    <t>61900020</t>
  </si>
  <si>
    <t>61900030</t>
  </si>
  <si>
    <t>61900040</t>
  </si>
  <si>
    <t>61900090</t>
  </si>
  <si>
    <t>62000010</t>
  </si>
  <si>
    <t>62000020</t>
  </si>
  <si>
    <t>62000040</t>
  </si>
  <si>
    <t>62100010</t>
  </si>
  <si>
    <t>62100020</t>
  </si>
  <si>
    <t>62100030</t>
  </si>
  <si>
    <t>62100040</t>
  </si>
  <si>
    <t>62100050</t>
  </si>
  <si>
    <t>62200010</t>
  </si>
  <si>
    <t>62200020</t>
  </si>
  <si>
    <t>62300010</t>
  </si>
  <si>
    <t>62300020</t>
  </si>
  <si>
    <t>62400030</t>
  </si>
  <si>
    <t>62400040</t>
  </si>
  <si>
    <t>62400060</t>
  </si>
  <si>
    <t>62500010</t>
  </si>
  <si>
    <t>62600010</t>
  </si>
  <si>
    <t>62600020</t>
  </si>
  <si>
    <t>62600030</t>
  </si>
  <si>
    <t>62700010</t>
  </si>
  <si>
    <t>62900010</t>
  </si>
  <si>
    <t>62900020</t>
  </si>
  <si>
    <t>63900010</t>
  </si>
  <si>
    <t>Utilities - Electricity Expenses</t>
  </si>
  <si>
    <t>Utilities - Water Expenses</t>
  </si>
  <si>
    <t>Utilities - Oxigent, CO2, Elpiji,  Argon</t>
  </si>
  <si>
    <t>Utilities - Gas PGN (Perusahaan Gas Negara)</t>
  </si>
  <si>
    <t>Steel  Laboratorium Expenses</t>
  </si>
  <si>
    <t>EE - Freight</t>
  </si>
  <si>
    <t>EE - In Land  Transportation</t>
  </si>
  <si>
    <t>EE - Certificate</t>
  </si>
  <si>
    <t>EE - Customs Duty</t>
  </si>
  <si>
    <t>EE - Banking Expenses</t>
  </si>
  <si>
    <t>EE - Insurance</t>
  </si>
  <si>
    <t>EE - Stevedoring Cost</t>
  </si>
  <si>
    <t>EE - Demurage</t>
  </si>
  <si>
    <t>EE - Others</t>
  </si>
  <si>
    <t>IE - Freight</t>
  </si>
  <si>
    <t>IE - In Land  Transportation</t>
  </si>
  <si>
    <t>IE - Certificate</t>
  </si>
  <si>
    <t>IE - Customs Duty</t>
  </si>
  <si>
    <t>IE - Banking Expenses</t>
  </si>
  <si>
    <t>IE - Insurance</t>
  </si>
  <si>
    <t>IE - Stevedoring Cost</t>
  </si>
  <si>
    <t>IE - Demurage</t>
  </si>
  <si>
    <t>IE - Others</t>
  </si>
  <si>
    <t>AE - Material and Gift</t>
  </si>
  <si>
    <t>AE - Exhibition and Sponsorship</t>
  </si>
  <si>
    <t>Ins. Exp. - Insurance of DL Employee</t>
  </si>
  <si>
    <t>Ins. Exp. - Insurance of IDL Employee</t>
  </si>
  <si>
    <t>TL - Others Tax and License</t>
  </si>
  <si>
    <t>Gen. Transp. Freight Local</t>
  </si>
  <si>
    <t>Commission Expense</t>
  </si>
  <si>
    <t>Bank Charges</t>
  </si>
  <si>
    <t>Spareparts Consumption</t>
  </si>
  <si>
    <t>Master Activity Code 
(IO Number)</t>
  </si>
  <si>
    <t>Responsible Cost Center</t>
  </si>
  <si>
    <t>G/L Account</t>
  </si>
  <si>
    <t>Master Activity Description</t>
  </si>
  <si>
    <t>Detail Activity (Spesific detail of activity)</t>
  </si>
  <si>
    <t>Existing Master Activity</t>
  </si>
  <si>
    <t>Detail Information</t>
  </si>
  <si>
    <t>Indirect material</t>
  </si>
  <si>
    <t>Direct labor</t>
  </si>
  <si>
    <t>Provision for Employee Ben</t>
  </si>
  <si>
    <t>Third Parties Services</t>
  </si>
  <si>
    <t>Utilities</t>
  </si>
  <si>
    <t>Repairs &amp; Maintenance Exp</t>
  </si>
  <si>
    <t>Laboratory Cost</t>
  </si>
  <si>
    <t>Export Expenses</t>
  </si>
  <si>
    <t>Import Expenses</t>
  </si>
  <si>
    <t>Advertising Expenses</t>
  </si>
  <si>
    <t>Training Expenses</t>
  </si>
  <si>
    <t>Insurance Expenses</t>
  </si>
  <si>
    <t>Rental Expenses</t>
  </si>
  <si>
    <t>Postage &amp; Telecom. E</t>
  </si>
  <si>
    <t>Entertainment Expenses</t>
  </si>
  <si>
    <t>Tax and Licenses Expenses</t>
  </si>
  <si>
    <t>Stationery &amp; Supplies Expe</t>
  </si>
  <si>
    <t>Meeting &amp; Ceremony Expense</t>
  </si>
  <si>
    <t>General Transportation Exp</t>
  </si>
  <si>
    <t>Equipment Expenses</t>
  </si>
  <si>
    <t>Membership &amp; Sponsorship</t>
  </si>
  <si>
    <t>Variance</t>
  </si>
  <si>
    <t>Employee Cost</t>
  </si>
  <si>
    <t>Services Expense</t>
  </si>
  <si>
    <t>Repairs &amp; Maintenance Expe</t>
  </si>
  <si>
    <t>Postage &amp; Telecom E</t>
  </si>
  <si>
    <t>BSPL Mapping</t>
  </si>
  <si>
    <t>Salary, wages and allowance</t>
  </si>
  <si>
    <t>Miscellaneous expense</t>
  </si>
  <si>
    <t>Employee benefits</t>
  </si>
  <si>
    <t>Repairs and maintenance</t>
  </si>
  <si>
    <t>Export</t>
  </si>
  <si>
    <t>Import</t>
  </si>
  <si>
    <t>Advertising</t>
  </si>
  <si>
    <t xml:space="preserve">Training </t>
  </si>
  <si>
    <t>Insurance</t>
  </si>
  <si>
    <t>Rental</t>
  </si>
  <si>
    <t>Postage and telecomunication</t>
  </si>
  <si>
    <t>Professional fees</t>
  </si>
  <si>
    <t xml:space="preserve">Entertainment </t>
  </si>
  <si>
    <t>Tax and license</t>
  </si>
  <si>
    <t>Stationery and supplies</t>
  </si>
  <si>
    <t>Meeting and ceremony</t>
  </si>
  <si>
    <t>General transportation</t>
  </si>
  <si>
    <t>Comission Expenses</t>
  </si>
  <si>
    <t>DL Incentives</t>
  </si>
  <si>
    <t>Packing Cost</t>
  </si>
  <si>
    <t>Level of Requirement</t>
  </si>
  <si>
    <t>Type of Expense</t>
  </si>
  <si>
    <t>Supplier / Vendor</t>
  </si>
  <si>
    <t>Basis Calculation
in Original Currency</t>
  </si>
  <si>
    <t>Basis Calculation
(Unit/Qty/Freq/Month)</t>
  </si>
  <si>
    <t>GLLIST</t>
  </si>
  <si>
    <t>Budget Opex Detail</t>
  </si>
  <si>
    <t>50300010</t>
  </si>
  <si>
    <t>50300020</t>
  </si>
  <si>
    <t>50300030</t>
  </si>
  <si>
    <t>50300040</t>
  </si>
  <si>
    <t>50300050</t>
  </si>
  <si>
    <t>50300060</t>
  </si>
  <si>
    <t>50300070</t>
  </si>
  <si>
    <t>50300080</t>
  </si>
  <si>
    <t>50300090</t>
  </si>
  <si>
    <t>50300100</t>
  </si>
  <si>
    <t>50300110</t>
  </si>
  <si>
    <t>50300990</t>
  </si>
  <si>
    <t>50400010</t>
  </si>
  <si>
    <r>
      <t xml:space="preserve">Penambahan expense/aktivitas </t>
    </r>
    <r>
      <rPr>
        <b/>
        <sz val="11"/>
        <color theme="1"/>
        <rFont val="Arial"/>
        <family val="2"/>
      </rPr>
      <t>baru</t>
    </r>
    <r>
      <rPr>
        <sz val="11"/>
        <color theme="1"/>
        <rFont val="Arial"/>
        <family val="2"/>
      </rPr>
      <t>, silahkan mengisi di baris baru, dengan memilih Activity Master yang sesuai dengan jenis aktivitas tersebut.</t>
    </r>
  </si>
  <si>
    <t>Mohon diisi informasi detail yang terkait dengan aktivitas tersebut dan basis perkiraan angka aktivitas terkait. 
Contoh : Budget dihitung bedasarkan agreement sebesar IDR 200juta/bulan. Tagihan akan ditagihkan perquarter, untuk masa sewa 3 bulan.</t>
  </si>
  <si>
    <t>Basis perhitungan nilai assumsi untuk aktivitas ekspense terkait dalam mata uang basis perhitungan. 
Contoh: 957.000.000
Karena per 3 bulan akan ditagihkan sebesar 239 juta rupiah</t>
  </si>
  <si>
    <r>
      <t xml:space="preserve">Basis perhitungan assumsi total </t>
    </r>
    <r>
      <rPr>
        <b/>
        <sz val="11"/>
        <color theme="1"/>
        <rFont val="Arial"/>
        <family val="2"/>
      </rPr>
      <t xml:space="preserve">unit atau periode </t>
    </r>
    <r>
      <rPr>
        <sz val="11"/>
        <color theme="1"/>
        <rFont val="Arial"/>
        <family val="2"/>
      </rPr>
      <t>atas aktivitas terkait.
Contoh: 12
Karena masa sewa akan dilakukan selama 12 bulan.</t>
    </r>
  </si>
  <si>
    <r>
      <t xml:space="preserve">Basis perhitungan </t>
    </r>
    <r>
      <rPr>
        <b/>
        <sz val="11"/>
        <color theme="1"/>
        <rFont val="Arial"/>
        <family val="2"/>
      </rPr>
      <t>Harga</t>
    </r>
    <r>
      <rPr>
        <sz val="11"/>
        <color theme="1"/>
        <rFont val="Arial"/>
        <family val="2"/>
      </rPr>
      <t xml:space="preserve"> assumsi per unit atas aktivitas terkait.
Contoh: 79.750.000
Harga perbulan bedasarkan kontrak</t>
    </r>
  </si>
  <si>
    <t>Diisi informasi terkait dengan vendor &amp; supplier jika menggunakan jasa pihak ketiga</t>
  </si>
  <si>
    <t>Level prioritas dari aktivitas tersebut:
  - Essentials : Aktivitas wajib dan harus ada untuk mendukung pekerjaan dan berjalannya aktivitas bisnis perusahaan. Contoh: 
  - Moderate :  Aktivitas penting dan menunjang berjalannya bisnis perusahaan. Contoh : Biaya konsultan research yang tidak wajib dari pemerintah namun membantu menunjang keputusan/aktivitas bisnis yang dilakukan. 
  - Not Essentials : Aktivitas tidak wajib. Contoh : Penyewaan alat event.</t>
  </si>
  <si>
    <t>Activity Master</t>
  </si>
  <si>
    <t>Terdapat 2 bagian pada sheet ini.</t>
  </si>
  <si>
    <t>Bagian 1. Existing Master Activity</t>
  </si>
  <si>
    <t>Jika terdapat aktivitas baru yang belum mempunyai master activity.</t>
  </si>
  <si>
    <t>Nomor Ledger SAP bedasarkan nature dari aktivitas tersebut. List Ledger dapat dilihat di table 3.1 List Ledger Opex.</t>
  </si>
  <si>
    <t>Harap diisi dengan kode SAP cost center sesuai dengan cost center department masing-masing.</t>
  </si>
  <si>
    <t>Master Activity Code</t>
  </si>
  <si>
    <r>
      <t xml:space="preserve">Diisi dengan 11 digit kode aktivitas yang ingin diajukan. Susunan aktivitas wajib berisi sebagai berikut 
Kode aktivitas XXXXX-YYYYY
- </t>
    </r>
    <r>
      <rPr>
        <b/>
        <sz val="11"/>
        <color theme="1"/>
        <rFont val="Arial"/>
        <family val="2"/>
      </rPr>
      <t xml:space="preserve">XXXXX </t>
    </r>
    <r>
      <rPr>
        <sz val="11"/>
        <color theme="1"/>
        <rFont val="Arial"/>
        <family val="2"/>
      </rPr>
      <t>: 5 kode awal adalah 5 digit terakhir kode cost center.  
  Contoh: cost center 10301HR001, maka kode tersebut berawalan HR001
-</t>
    </r>
    <r>
      <rPr>
        <b/>
        <sz val="11"/>
        <color theme="1"/>
        <rFont val="Arial"/>
        <family val="2"/>
      </rPr>
      <t xml:space="preserve">YYYYY </t>
    </r>
    <r>
      <rPr>
        <sz val="11"/>
        <color theme="1"/>
        <rFont val="Arial"/>
        <family val="2"/>
      </rPr>
      <t xml:space="preserve">: 5 kode terakhir adalah running number dari aktivitas yang sudah ada, jika kode aktivitas master terkahir adalah 00071 maka aktivitas yang baru diisi dengan 00072.
Maka kode aktivitas yang diisi akan menjadi </t>
    </r>
    <r>
      <rPr>
        <b/>
        <sz val="11"/>
        <color theme="1"/>
        <rFont val="Arial"/>
        <family val="2"/>
      </rPr>
      <t>HR001-00072</t>
    </r>
    <r>
      <rPr>
        <sz val="11"/>
        <color theme="1"/>
        <rFont val="Arial"/>
        <family val="2"/>
      </rPr>
      <t>.</t>
    </r>
  </si>
  <si>
    <t>Biaya operasional listrik terkait dengan Head Office.
Contoh : listrik head office</t>
  </si>
  <si>
    <t>Biaya operasional air terkait dengan Head Office.
Contoh : biaya penggunaan air sungai</t>
  </si>
  <si>
    <t>Biaya operasional gas terkait dengan Head Office.
Contoh : biaya penggunaan air sungai</t>
  </si>
  <si>
    <t>Biaya atas premi asuransi gedung dan infrasruktur.
Contoh : Biaya Asuransi Property all risk (PAR) PT GRP</t>
  </si>
  <si>
    <t>Biaya atas premi asuransi mesin.
Contoh : Biaya Asuransi Machinery Breakdown (MB) PT GRP</t>
  </si>
  <si>
    <t>Biaya atas premi asuransi kendaraan.
Note: 	untuk kendaraan perusahaan
Contoh : Biaya Premi kendaraan bermotor PT GRP No Polisi B 9705 GY</t>
  </si>
  <si>
    <t>Biaya atas premi asuransi atas tanggung jawab produk dan masyarakat.
Note: 	untuk produk dan pernyataan publik
Contoh : Biaya Premi asuransi publik dan produk liability</t>
  </si>
  <si>
    <t>Biaya atas premi kesehatan karyawan produksi.
Note: 	untuk karyawan produksi
Contoh : Biaya Premi kesehatan karyawan produksi</t>
  </si>
  <si>
    <t>Biaya atas premi kesehatan karyawan Head Office.
Note: 	untuk karyawan Head Office
Contoh : Biaya Premi kesehatan karyawan Head Office</t>
  </si>
  <si>
    <t>Biaya atas premi asuransi lainnya, yang tidak dapat selain golongan asuransi di atas.</t>
  </si>
  <si>
    <t>Biaya yang terkait dengan pengiriman barang ke customer lokal</t>
  </si>
  <si>
    <t>Biaya komisi penjualan</t>
  </si>
  <si>
    <t>Sales Marketing</t>
  </si>
  <si>
    <t>Naming Check</t>
  </si>
  <si>
    <t>Reviewed by:</t>
  </si>
  <si>
    <t>(Yohanes Yamin)</t>
  </si>
  <si>
    <t>PETUNJUK PENGISIAN ANGGARAN TAHUNAN (MASTER BUDGET) PERIODE 2025</t>
  </si>
  <si>
    <t>Rencana Aktivitas yang akan dilakukan di tahun 2025</t>
  </si>
  <si>
    <t>Periode di mana biaya tersebut akan digunakan di tahun 2025</t>
  </si>
  <si>
    <t>Jika terdapat Purchase Order yang masih akan menggantung dan belum terealisasi hingga akhir tahun (belum di GRN), harap menambahkan sebagai aktivitas yang akan terjadi di 2025.</t>
  </si>
  <si>
    <t>Jan - Dec 2025</t>
  </si>
  <si>
    <t>Bagian 2. Proposed New Activity 2025</t>
  </si>
  <si>
    <t>Outstanding Purchase Order di tahun 2024 yang akan direalisasikan di 2025 (Open Purchase Order sampai akhir tahun)</t>
  </si>
  <si>
    <t>Anggaran tahunan 2024</t>
  </si>
  <si>
    <t>Realisasi anggaran (aktual biaya) selama periode 2024</t>
  </si>
  <si>
    <t>Kode Master Activity atau Internal Order Number. 
Untuk list activity yang sudah terdaftar di tahun 2024 bisa dilihat di sheet Activity Master.
Dan untuk penambahan aktifitas baru bisa di daftarkan di sheet Activity Master.
Note : Kode Master Activity harus valid agar expense dapat tercatat dan dapat dipantau lebih mudah.</t>
  </si>
  <si>
    <t>Actual Realisation 
(Jan-Aug 2024)</t>
  </si>
  <si>
    <t>Aktual biaya Januari - Agustus 2024.
- Tidak perlu diisi
- Disajikan dalam mata uang USD</t>
  </si>
  <si>
    <t>Outstanding PO 2024</t>
  </si>
  <si>
    <t>Aktivitas yang sudah terdaftar selama tahun 2024.</t>
  </si>
  <si>
    <t>Jumlah anggaran per ledger yang disetujui di tahun 2024.
- Tidak perlu diisi
- Disajikan dalam mata uang USD
  (asumsi 1 USD = Rp15.000)</t>
  </si>
  <si>
    <t>61900050</t>
  </si>
  <si>
    <t>PF - Management Fee</t>
  </si>
  <si>
    <t>Biaya jasa manajemen</t>
  </si>
  <si>
    <t>Sales &amp; Procurement</t>
  </si>
  <si>
    <t>Good Corporate Governance</t>
  </si>
  <si>
    <t>Finance &amp; Accounting</t>
  </si>
  <si>
    <t>Weighbridge</t>
  </si>
  <si>
    <t>ESG (CSR)</t>
  </si>
  <si>
    <t>Government Relation</t>
  </si>
  <si>
    <t>Project Name / Capex Name</t>
  </si>
  <si>
    <t>Detail Activity / Project Description</t>
  </si>
  <si>
    <t>Priority</t>
  </si>
  <si>
    <t>Basis Calculation</t>
  </si>
  <si>
    <t>Estimation Start Date</t>
  </si>
  <si>
    <t>Estimation Finish Date</t>
  </si>
  <si>
    <t>Additional Remarks</t>
  </si>
  <si>
    <t>Centralized to</t>
  </si>
  <si>
    <t>10131PP001</t>
  </si>
  <si>
    <t>10131PP009</t>
  </si>
  <si>
    <t>10131PP010</t>
  </si>
  <si>
    <t>10131PS001</t>
  </si>
  <si>
    <t>10131PS002</t>
  </si>
  <si>
    <t>10131PS003</t>
  </si>
  <si>
    <t>10131PS004</t>
  </si>
  <si>
    <t>10131PS006</t>
  </si>
  <si>
    <t>10101PP001</t>
  </si>
  <si>
    <t>SMS1 PRODUCTION DEPT</t>
  </si>
  <si>
    <t>10101PP002</t>
  </si>
  <si>
    <t>SMS1 EAF</t>
  </si>
  <si>
    <t>10101PP003</t>
  </si>
  <si>
    <t>SMS1 LRF 1</t>
  </si>
  <si>
    <t>10101PP004</t>
  </si>
  <si>
    <t>SMS1 LRF 2</t>
  </si>
  <si>
    <t>10101PP005</t>
  </si>
  <si>
    <t>SMS1 SBQ</t>
  </si>
  <si>
    <t>10101PP006</t>
  </si>
  <si>
    <t>SMS1 BBL</t>
  </si>
  <si>
    <t>10101PP007</t>
  </si>
  <si>
    <t>SMS1 REPAIR</t>
  </si>
  <si>
    <t>10101PS001</t>
  </si>
  <si>
    <t>10101PS002</t>
  </si>
  <si>
    <t>10101PS003</t>
  </si>
  <si>
    <t>10101PS004</t>
  </si>
  <si>
    <t>10101PS005</t>
  </si>
  <si>
    <t>10101PS006</t>
  </si>
  <si>
    <t>10101PS007</t>
  </si>
  <si>
    <t>10101PS008</t>
  </si>
  <si>
    <t>10103PP001</t>
  </si>
  <si>
    <t>BP1 PRODUCTION DEPT</t>
  </si>
  <si>
    <t>10103PP009</t>
  </si>
  <si>
    <t>BP1 REPAIR</t>
  </si>
  <si>
    <t>10103PP010</t>
  </si>
  <si>
    <t>10103PS001</t>
  </si>
  <si>
    <t>10103PS002</t>
  </si>
  <si>
    <t>10103PS003</t>
  </si>
  <si>
    <t>10103PS004</t>
  </si>
  <si>
    <t>10103PS006</t>
  </si>
  <si>
    <t>BP1 CRANE DEPARTMENT</t>
  </si>
  <si>
    <t>CEM</t>
  </si>
  <si>
    <t>PPIC</t>
  </si>
  <si>
    <t>10202SU006</t>
  </si>
  <si>
    <t>10202SU007</t>
  </si>
  <si>
    <t>FA - Land and Landright</t>
  </si>
  <si>
    <t>FA - Building and Structure</t>
  </si>
  <si>
    <t>FA - Machinery and Equipment</t>
  </si>
  <si>
    <t>FA - Equipment and Supplies</t>
  </si>
  <si>
    <t>FA - Heavy Equipment</t>
  </si>
  <si>
    <t>FA - Vehicles</t>
  </si>
  <si>
    <t>FA - Furniture and Fixtures</t>
  </si>
  <si>
    <t>FA - Office and Other Equipment</t>
  </si>
  <si>
    <t>FA - Leasehold improvement</t>
  </si>
  <si>
    <t>FA - Overhaul Asset</t>
  </si>
  <si>
    <t>Intangible Asset - Licence</t>
  </si>
  <si>
    <t>FA - LVA Office and Other Equipment</t>
  </si>
  <si>
    <t>FA - Assets Under Construction - Building</t>
  </si>
  <si>
    <t>FA - Assets Under Construction - Machinery</t>
  </si>
  <si>
    <t>FA - Assets Under Construction - Equipment</t>
  </si>
  <si>
    <t>FA - Assets Under Construction - Heavy Equipment</t>
  </si>
  <si>
    <t>FA-Assets Under Construction-Leasehold improvement</t>
  </si>
  <si>
    <t>Biaya perolehan atas tanah dan/atau hak guna atas tanah</t>
  </si>
  <si>
    <t>Biaya perolehan awal atas gedung/bangunan yang dimiliki oleh Perusahaan untuk digunakan dalam kegiatan produksi dan/atau operasional, dan dalam kondisi siap digunakan. Contoh : bangunan pabrik, gedung kantor, mess,dll. Biaya perolehan yang termaksud dalam capex Building &amp; Structure dengan nilai &gt; USD 10.000 / (IDR 150,000,000).</t>
  </si>
  <si>
    <t>Biaya perolehan atas peralatan dan mesin yang dimiliki oleh Perusahaan untuk digunakan dalam kegiatan produksi dan/atau operasional, dan dalam kondisi siap digunakan. Contoh : mesin produksi. Biaya perolehan yang termaksud dalam capex Machinery &amp; Equipment dengan nilai &gt; USD 10.000 / (DR 150,000,000).</t>
  </si>
  <si>
    <t>Biaya perolehan atas peralatan pabrik. (roll, bearing dll) dengan nilai &gt; USD 10.000  / (IDR 150,000,000).</t>
  </si>
  <si>
    <t>Biaya perolehan atas alat berat yang dimiliki oleh Perusahaan untuk digunakan dalam kegiatan produksi dan/atau operasional, dan dalam kondisi siap digunakan. Biaya perolehan yang termaksud dalam capex Heavy Equipment dengan nilai &gt; USD 10.000 / (IDR 150,000,000).</t>
  </si>
  <si>
    <t>Biaya perolehan atas kendaraan yang dimiliki oleh Perusahaan untuk digunakan dalam kegiatan produksi dan/atau operasional, dan dalam kondisi siap digunakan. 
Contoh : biaya pembelian truk, mobil &amp; motor inventaris kantor
Biaya perolehan yang termaksud dalam capex Vehicles dengan nilai &gt; USD 700 / (IDR 10,000,000).</t>
  </si>
  <si>
    <t>Biaya perolehan atas perabotan dan perlengkapan dengan nilai &gt; USD 175 (Rp 2,500,000)
Contoh : pembelian meja, kursi, furnitur lain dengan masa manfaat lebih dari satu tahun yang digunakan untuk operasional kantor/mess</t>
  </si>
  <si>
    <t>Biaya perolehan atas peralatan kantor dengan nilai &gt; USD 525 (Rp7,500,000)
Contoh : laptop, komputer</t>
  </si>
  <si>
    <t>Biaya pengembangan atau penambahan atas tanah atau bangunan yang dilakukan dan dibiayai oleh penyewa.</t>
  </si>
  <si>
    <t>Biaya penggantian salah satu part mesin dengan biaya yang signifikan</t>
  </si>
  <si>
    <t>Biaya perolehan atas peralatan kantor dengan nilai &gt; USD 175 (IDR2,500,000) and &lt; USD 525 (IDR7,500,000)
Contoh : laptop, komputer</t>
  </si>
  <si>
    <t>CAPEX</t>
  </si>
  <si>
    <t>FIXED ASSET</t>
  </si>
  <si>
    <t>GL Account</t>
  </si>
  <si>
    <t>LSM</t>
  </si>
  <si>
    <t>SMS1</t>
  </si>
  <si>
    <t>Sequence Number</t>
  </si>
  <si>
    <t>Classification</t>
  </si>
  <si>
    <t>BP</t>
  </si>
  <si>
    <t>BU</t>
  </si>
  <si>
    <t>SSC</t>
  </si>
  <si>
    <t>SU</t>
  </si>
  <si>
    <t>Sheet 2 : Capex &amp; Project Detail</t>
  </si>
  <si>
    <t>Capex &amp; Project Detail</t>
  </si>
  <si>
    <t>Diisi bila department/divisi terkait mempunyai capex/project budget untuk periode ini.</t>
  </si>
  <si>
    <t>Nomor akun di system SAP.
- Mohon diisi sesuai dengan budget yang diajukan.
- Penjelasan Ledger untuk Capex &amp; Project silahkan lihat di Table 2.1</t>
  </si>
  <si>
    <t>Profit Center / Cost Center</t>
  </si>
  <si>
    <t>Nomor Profit Center / Cost Center dalam system SAP:
- BU : Mohon diisi cost center sesuai dengan budget capex BU terkait.
- SU : Mohon diisi cost center sesuai dengan budget capex SU terkait.
- HO :  Mohon diisi cost center sesuai dengan budget capex HO terkait.
- Project : Mohon diisi apabila ada Project baru.</t>
  </si>
  <si>
    <t>Expense / Nama Project</t>
  </si>
  <si>
    <t xml:space="preserve">Diisi dengan deskripsi jenis capex/project yang dibudgetkan.
 Contoh:
   - Beautification of Factory
   - Laptop
   - Plant Upgrade and Modification </t>
  </si>
  <si>
    <t>Detail Activity</t>
  </si>
  <si>
    <t xml:space="preserve">Diisi dengan detail aktivitas untuk project yang dibudgetkan. Didetailkan perlines (jumlah row menjadi sesuai dengan detail aktivitas.
 Contoh:
</t>
  </si>
  <si>
    <t>Jumlah anggaran per ledger yang disetujui di tahun 2024
- Tidak perlu diisi
- Disajikan dalam mata uang USD
  (asumsi 1 USD = Rp15.000)</t>
  </si>
  <si>
    <t>Actual Realisation 
(Jan-Jul 2024)</t>
  </si>
  <si>
    <t>2026-2034</t>
  </si>
  <si>
    <t>Jumlah anggaran per ledger dan per tahun yang dibutuhkan jika perkiraan project &amp; biaya project melewati periode tahun 2025. Diisi dengan perkiraan pertahunnya hingga project selesai.</t>
  </si>
  <si>
    <t>Level prioritas budget:
  - 1 High priority, diisi untuk aktivitas dan biaya yg sudah berulang. 
  - 2 Medium priority, diisi untuk aktivitas dan biaya yg diprediksi kemungkinan besar akan terjadi di tahun anggaran tersebut
  - 3 Low priority, diisi dengan aktivitas dan biaya cadangan</t>
  </si>
  <si>
    <t>Basis perhitungan nilai assumsi untuk aktivitas project/capex terkait.</t>
  </si>
  <si>
    <t>Estimasi / target Project dimulai</t>
  </si>
  <si>
    <t xml:space="preserve">Estimasi / target Project selesai </t>
  </si>
  <si>
    <t>Diisi informasi detail yang ingin ditambahkan.</t>
  </si>
  <si>
    <t>Jika Capex/Project disentralisasi ke BU/Departement lain, silahkan pilih department terkait.
  - Jika tidak sentralisasi, silahkan kosongkan.
  - Sentralisasi hanya untuk capex/project yang terkait dengan department HR, IT, dan GA.</t>
  </si>
  <si>
    <t>Table 2.1. List Ledger Capex / Project</t>
  </si>
  <si>
    <t xml:space="preserve">Biaya perolehan atas pembelian lisence </t>
  </si>
  <si>
    <t>Aset bangunan dalam pengerjaan (% penyelesaian belum mencapai 100%), saat telah mencapai 100% akan dipindah ke FA - Building and Structure</t>
  </si>
  <si>
    <t>Aset mesin dalam pengerjaan (% penyelesaian belum mencapai 100%), saat telah mencapai 100% akan dipindah ke FA - Machinery and Equipment</t>
  </si>
  <si>
    <t>Aset peralatan dalam pengerjaan (% penyelesaian belum mencapai 100%), saat telah mencapai 100% akan dipindah ke FA -  Equipment</t>
  </si>
  <si>
    <t>Aset alat berat dalam pengerjaan (% penyelesaian belum mencapai 100%), saat telah mencapai 100% akan dipindah ke FA -  Heavy Equipment</t>
  </si>
  <si>
    <t>Aset pengembangan atau penambahan atas tanah atau bangunan (oleh  pihak penyewa) dalam pengerjaan (% penyelesaian belum mencapai 100%), saat telah mencapai 100% akan dipindah ke FA -  Leasehold Improvement</t>
  </si>
  <si>
    <t>FA-Assets Under Construction - Intangible Asset</t>
  </si>
  <si>
    <t>Aset lisence / system dalam pengerjaan (oleh  pihak penyewa) dalam pengerjaan (% penyelesaian belum mencapai 100%), saat telah mencapai 100% akan dipindah ke Intangible Asset - Lisence</t>
  </si>
  <si>
    <r>
      <t>- CAPEX</t>
    </r>
    <r>
      <rPr>
        <sz val="11"/>
        <color rgb="FF000000"/>
        <rFont val="Arial"/>
        <family val="2"/>
      </rPr>
      <t xml:space="preserve"> DETAIL</t>
    </r>
  </si>
  <si>
    <r>
      <t xml:space="preserve">- </t>
    </r>
    <r>
      <rPr>
        <sz val="11"/>
        <color rgb="FF000000"/>
        <rFont val="Arial"/>
        <family val="2"/>
      </rPr>
      <t>ACTIVITY MASTER</t>
    </r>
    <r>
      <rPr>
        <sz val="11"/>
        <color theme="1"/>
        <rFont val="Arial"/>
        <family val="2"/>
      </rPr>
      <t xml:space="preserve"> OPEX</t>
    </r>
  </si>
  <si>
    <t>Sheet 4 : Activity Master</t>
  </si>
  <si>
    <t>Ledger Account</t>
  </si>
  <si>
    <t>Description</t>
  </si>
  <si>
    <t>High</t>
  </si>
  <si>
    <t>Medium</t>
  </si>
  <si>
    <t>Low</t>
  </si>
  <si>
    <t>Recurring activities</t>
  </si>
  <si>
    <t>aktivitas dan biaya yg diprediksi kemungkinan besar akan terjadi di tahun anggaran tersebut</t>
  </si>
  <si>
    <t>aktivitas dan biaya cadangan</t>
  </si>
  <si>
    <t>Supporting Document</t>
  </si>
  <si>
    <t>Internal Memo</t>
  </si>
  <si>
    <t>Marketplace</t>
  </si>
  <si>
    <t>RAB</t>
  </si>
  <si>
    <t>Vendor Quotation</t>
  </si>
  <si>
    <t>(Nazla Sagita)</t>
  </si>
  <si>
    <t>(Catherine Sandra)</t>
  </si>
  <si>
    <t>(Mamoru Nakata)</t>
  </si>
  <si>
    <t>(Tony Taniwan)</t>
  </si>
  <si>
    <t>Prepared by:</t>
  </si>
  <si>
    <t>IDR</t>
  </si>
  <si>
    <t>Original Currency 
(USD/IDR)</t>
  </si>
  <si>
    <t>Original Currency Value</t>
  </si>
  <si>
    <t>QAQC</t>
  </si>
  <si>
    <t>HRGA &amp; HSE</t>
  </si>
  <si>
    <t>SM001-00002</t>
  </si>
  <si>
    <t>SM001-00003</t>
  </si>
  <si>
    <t>Entertainment - Souvenir/Gift/Hampers</t>
  </si>
  <si>
    <t>SM001-00004</t>
  </si>
  <si>
    <t>Entertainment - Bouquet</t>
  </si>
  <si>
    <t>SM001-00005</t>
  </si>
  <si>
    <t>Freight - Local</t>
  </si>
  <si>
    <t>SM001-00010</t>
  </si>
  <si>
    <t>SM001-00011</t>
  </si>
  <si>
    <t>SM001-00012</t>
  </si>
  <si>
    <t>SM001-00019</t>
  </si>
  <si>
    <t>Printing - Sticker/Banner/Foto</t>
  </si>
  <si>
    <t>SM001-00023</t>
  </si>
  <si>
    <t>Rental - Laptop</t>
  </si>
  <si>
    <t>SM001-00024</t>
  </si>
  <si>
    <t>PF - Sales Contract Transfer</t>
  </si>
  <si>
    <t>Meeting with External Parties (Sales)</t>
  </si>
  <si>
    <t>Business Trip (Sales)</t>
  </si>
  <si>
    <t>Actual Fixed Asset</t>
  </si>
  <si>
    <t>Cost Element</t>
  </si>
  <si>
    <t>Total quantity</t>
  </si>
  <si>
    <t>Posted unit of meas.</t>
  </si>
  <si>
    <t>Val/COArea Crcy</t>
  </si>
  <si>
    <t>CO Object Name</t>
  </si>
  <si>
    <t>Document Date</t>
  </si>
  <si>
    <t>Order</t>
  </si>
  <si>
    <t>Period</t>
  </si>
  <si>
    <t>Posting Date</t>
  </si>
  <si>
    <t>Ref. document number</t>
  </si>
  <si>
    <t>Ref. Fiscal Year</t>
  </si>
  <si>
    <t>Transaction Currency</t>
  </si>
  <si>
    <t>Value TranCurr</t>
  </si>
  <si>
    <t>Purchase Order Text</t>
  </si>
  <si>
    <t>Name</t>
  </si>
  <si>
    <t>Remark</t>
  </si>
  <si>
    <t>15099090</t>
  </si>
  <si>
    <t>UNT</t>
  </si>
  <si>
    <t>A4224SM100</t>
  </si>
  <si>
    <t>2</t>
  </si>
  <si>
    <t>5000006188</t>
  </si>
  <si>
    <t>5000006190</t>
  </si>
  <si>
    <t>2024</t>
  </si>
  <si>
    <t>Laptop Dell Lattitude 3420 i5-1135G7</t>
  </si>
  <si>
    <t>Additional budget</t>
  </si>
  <si>
    <t>Sales General Manager</t>
  </si>
  <si>
    <t>(Boby Sandi)</t>
  </si>
  <si>
    <t>Head Of Sales &amp; Procurement</t>
  </si>
  <si>
    <t>Mohon kirimkan Lembar kerja anggaran tahunan (master budget template) yang telah disetujui ke Budget&amp;Analysis Departemen paling lambat tanggal 30 Agustus 2024.</t>
  </si>
  <si>
    <t>Jumlah anggaran per ledger dan per bulan yang dibutuhkan di tahun 2025
- Disajikan dalam mata uang USD
  (asumsi 1 USD = Rp15.800)
- Nilai yang dibudgetkan adalah nilai DPP(exclude PPn)
- Nilai yang diisi didetailkan berdasakan detail aktivitas</t>
  </si>
  <si>
    <t>Sheet 3 : Opex - Budget Detail</t>
  </si>
  <si>
    <t>Diisi dengan penjalasan aktivitas yang lebih detail
Untuk available activity, detail sudah diisi di sheet Activity Master Opex
Untuk activity baru yang akan diajukan di 2025, mohon agar menambahkan juga penjelasan di sheet Activity Master Opex</t>
  </si>
  <si>
    <t>Jumlah anggaran per ledger dan per bulan yang dibutuhkan di tahun 2025.
- Disajikan dalam mata uang USD
  (asumsi 1 USD = Rp15.800)
- Nilai yang dibudgetkan adalah nilai DPP (exclude PPn)
- Nilai yang diisi didetailkan berdasakan detail aktivitas</t>
  </si>
  <si>
    <t>Isi dengan "Outstanding PO" hanya jika aktivitas merupakan PO yang menggantung hingga akhir tahun 2024 dan terealisasi di 2025.</t>
  </si>
  <si>
    <t>Pilihan terkait dengan type aktivitas:
- Monthly Recurring : Jika aktivitas dilakukan setiap bulan, contoh : Sewa Mobil
- Periodically (Quarterly/Yearly) Recurring : Jika aktivitas dilakukan setiap tahun / kuarter. Contoh : Audit Professional Fee
- One Off : Jika aktivitas dilakukan hanya karena tujuan khusus. Contoh : biaya konsultan dengan tujuan khusus yang hanya dilakukan sekali saja dan tidak berulang ditahun selanjutnya.
- Conditional : Aktivitas yang hampir setiap tahun ada, namun biaya aktivitasnya tidak menentu. Contoh : Biaya notaris</t>
  </si>
  <si>
    <t>Diisi dengan max 40 karakter nama aktivitas yang ingin diajukan</t>
  </si>
  <si>
    <t>Diisi dengan tambahan detail penjelasan atas aktivitas yang ingin diajukan
Misal : 
- Activity : Rental - Fortuner
- Remarks : monthly rental car for BoD based on Working Contract</t>
  </si>
  <si>
    <t>(Sayompoo Henakaset)</t>
  </si>
  <si>
    <t>Reason for increase/decrease</t>
  </si>
  <si>
    <t>Control</t>
  </si>
  <si>
    <t>Sales Commission</t>
  </si>
  <si>
    <t>Purchasing Document</t>
  </si>
  <si>
    <t>4300000013</t>
  </si>
  <si>
    <t>4300000017</t>
  </si>
  <si>
    <t>Purchase Laptop a.n Leni &amp; Wawan</t>
  </si>
  <si>
    <t xml:space="preserve">Lembar kerja anggaran tahunan (master budget template) dibuat dengan menyesuaikan struktur organisasi per Juli 2024 serta cost center terkait </t>
  </si>
  <si>
    <t>Table1.1. List Direktorat:
(menyesuaikan struktur organisasi per Juli 2024)</t>
  </si>
  <si>
    <t>Table1.2. List Divisi / Departement :
(menyesuaikan struktur organisasi per Juli 2024)</t>
  </si>
  <si>
    <t>Aktual biaya January - Juli 2024
- Tidak perlu diisi
- Disajikan dalam mata uang USD</t>
  </si>
  <si>
    <t>Deputy Head Of Finance</t>
  </si>
  <si>
    <t>Deputy President Director</t>
  </si>
  <si>
    <t>President Director</t>
  </si>
  <si>
    <t>Sheet 2 : Capex Detail</t>
  </si>
  <si>
    <t>Original Currency</t>
  </si>
  <si>
    <t>Diisi informasi nominal sesuai mata uang asli</t>
  </si>
  <si>
    <t>Payment Terms</t>
  </si>
  <si>
    <t>Diisi informasi syarat pembayaran untuk aktivitas project/capex terkait.</t>
  </si>
  <si>
    <t>General Guidances</t>
  </si>
  <si>
    <t>Estimated / target project start date</t>
  </si>
  <si>
    <t>Estimated / target project completion date</t>
  </si>
  <si>
    <t>Section 1. Existing Master Activity</t>
  </si>
  <si>
    <t>Membership fees</t>
  </si>
  <si>
    <t>IT ANALYTICS</t>
  </si>
  <si>
    <t>10301BD002</t>
  </si>
  <si>
    <t>HEAD OF PRODUCTION</t>
  </si>
  <si>
    <t>10301FA008</t>
  </si>
  <si>
    <t>HEAD OF FINANCE EXP</t>
  </si>
  <si>
    <t>10301IT004</t>
  </si>
  <si>
    <t>HEAD OF IT EXPENSES</t>
  </si>
  <si>
    <t>10301SC008</t>
  </si>
  <si>
    <t>HEAD OF PROCUREMENT</t>
  </si>
  <si>
    <t>10301SC009</t>
  </si>
  <si>
    <t>HEAD OF SCM</t>
  </si>
  <si>
    <t>10301SM004</t>
  </si>
  <si>
    <t>HEAD OF SALES EXP</t>
  </si>
  <si>
    <t>GUIDANCES FOR FILLING OUT THE ANNUAL BUDGET (MASTER BUDGET) FOR THE PERIOD 2026</t>
  </si>
  <si>
    <t>Jan - Dec 2026</t>
  </si>
  <si>
    <t>Section 2. Proposed New Activity 2026</t>
  </si>
  <si>
    <t>Budget 2025</t>
  </si>
  <si>
    <t>Outstanding PO 2025</t>
  </si>
  <si>
    <t>Aktivitas yang sudah terdaftar selama tahun 2025.</t>
  </si>
  <si>
    <t>PETUNJUK PENGISIAN ANGGARAN TAHUNAN (MASTER BUDGET) PERIODE 2026</t>
  </si>
  <si>
    <t>Rencana Aktivitas yang akan dilakukan di tahun 2026</t>
  </si>
  <si>
    <t>Jika terdapat Purchase Order yang masih akan menggantung dan belum terealisasi hingga akhir tahun (belum di GRN), harap menambahkan sebagai aktivitas yang akan terjadi di 2026.</t>
  </si>
  <si>
    <t>Bagian 2. Proposed New Activity 2026</t>
  </si>
  <si>
    <t xml:space="preserve">Lembar kerja anggaran tahunan (master budget template) dibuat dengan menyesuaikan struktur organisasi per Juli 2025 serta cost center terkait </t>
  </si>
  <si>
    <t>Outstanding Purchase Order di tahun 2025 yang akan direalisasikan di 2026 (Open Purchase Order sampai akhir tahun)</t>
  </si>
  <si>
    <t>Anggaran tahunan 2025</t>
  </si>
  <si>
    <t>Realisasi anggaran (aktual biaya) selama periode 2025</t>
  </si>
  <si>
    <t>Table1.1. List Direktorat:
(menyesuaikan struktur organisasi per Juli 2025)</t>
  </si>
  <si>
    <t>Table1.2. List Divisi / Departement :
(menyesuaikan struktur organisasi per Juli 2025)</t>
  </si>
  <si>
    <t>Jumlah anggaran per ledger dan per bulan yang dibutuhkan di tahun 2026
- Disajikan dalam mata uang IDR
- Nilai yang dibudgetkan adalah nilai DPP(exclude PPn)
- Nilai yang diisi didetailkan berdasakan detail aktivitas</t>
  </si>
  <si>
    <t>General Manager Finance &amp; Accounting</t>
  </si>
  <si>
    <t>Total 2026</t>
  </si>
  <si>
    <t>Amount
(IDR)</t>
  </si>
  <si>
    <t>Proposed New Activity 2026</t>
  </si>
  <si>
    <t>SM001-00001</t>
  </si>
  <si>
    <t>Stamp Duty</t>
  </si>
  <si>
    <t>SM001-00006</t>
  </si>
  <si>
    <t>PF - Material Certification</t>
  </si>
  <si>
    <t>SM001-00008</t>
  </si>
  <si>
    <t>Steel Testing</t>
  </si>
  <si>
    <t>Royalty Fee - SYS</t>
  </si>
  <si>
    <t>Royalty Fee - Hanwa</t>
  </si>
  <si>
    <t>Royalty Fee - GRP</t>
  </si>
  <si>
    <t>SM001-00018</t>
  </si>
  <si>
    <t>Entertainment - Voorijder for VIP Cust</t>
  </si>
  <si>
    <t>SM001-00028</t>
  </si>
  <si>
    <t>Tax for Customer Gift</t>
  </si>
  <si>
    <t>SM001-00029</t>
  </si>
  <si>
    <t>Subscriptions and periodicals</t>
  </si>
  <si>
    <t>SM001-00030</t>
  </si>
  <si>
    <t>Product Workshop</t>
  </si>
  <si>
    <t>SM001-00031</t>
  </si>
  <si>
    <t>Trip with Customer</t>
  </si>
  <si>
    <t>SM001-00032</t>
  </si>
  <si>
    <t>Exhibition</t>
  </si>
  <si>
    <t>SM001-00033</t>
  </si>
  <si>
    <t>Brand/marketing Consultant</t>
  </si>
  <si>
    <t>SM001-00034</t>
  </si>
  <si>
    <t>Billboard for customers</t>
  </si>
  <si>
    <t>SM001-00035</t>
  </si>
  <si>
    <t>Seismic Development SNI code &amp; marketing</t>
  </si>
  <si>
    <t>SM004-00001</t>
  </si>
  <si>
    <t>Business Trip (Head)</t>
  </si>
  <si>
    <t>SM001-00025</t>
  </si>
  <si>
    <t>SM001-00026</t>
  </si>
  <si>
    <t>HEAD OF SALES EXPENSES</t>
  </si>
  <si>
    <t>Annual Budget 2025</t>
  </si>
  <si>
    <t>Actual
(Jan-Jul 2025)</t>
  </si>
  <si>
    <t>New Activity 2026</t>
  </si>
  <si>
    <t>Amount Budget 2026
(Original Currency)</t>
  </si>
  <si>
    <t>Outstanding PO 2025
(Realised in 2026)
PO Number</t>
  </si>
  <si>
    <t>Amount Budget 2026
(IDR)</t>
  </si>
  <si>
    <t>Outstanding PO 2025
(Realised in 2026)
IDR</t>
  </si>
  <si>
    <t>Proposed Budget 2026 + Outstanding PO 2025
IDR</t>
  </si>
  <si>
    <t>Financial Planning &amp; Analysis Manager</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</si>
  <si>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</si>
  <si>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</si>
  <si>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</si>
  <si>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</si>
  <si>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</si>
  <si>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</si>
  <si>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</si>
  <si>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</si>
  <si>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</si>
  <si>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</si>
  <si>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</si>
  <si>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</si>
  <si>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Why this budget required?
(Justification)</t>
  </si>
  <si>
    <t>Annual Budget
2026</t>
  </si>
  <si>
    <t>PD Office</t>
  </si>
  <si>
    <t>Legal &amp; Compliance</t>
  </si>
  <si>
    <t>Business Unit (BU)</t>
  </si>
  <si>
    <t>Service Unit (SU)</t>
  </si>
  <si>
    <t>HRGA</t>
  </si>
  <si>
    <t>Board of Directors</t>
  </si>
  <si>
    <t>General Counsel</t>
  </si>
  <si>
    <t>SCM Logistics</t>
  </si>
  <si>
    <t>Government Relation &amp; EA</t>
  </si>
  <si>
    <t>ELECTRICAL</t>
  </si>
  <si>
    <t>Compliance &amp; Governance</t>
  </si>
  <si>
    <t>SCM Warehouse &amp; Inventory</t>
  </si>
  <si>
    <t>SMS</t>
  </si>
  <si>
    <t>MECHANICAL</t>
  </si>
  <si>
    <t>Permit &amp; Licensing</t>
  </si>
  <si>
    <t>SCM Grader</t>
  </si>
  <si>
    <t>MSN</t>
  </si>
  <si>
    <t>Sustainability</t>
  </si>
  <si>
    <t>PD OFFICE</t>
  </si>
  <si>
    <t>LEGAL &amp; COMPLIANCE</t>
  </si>
  <si>
    <t>IT BUSINESS SOLUTION</t>
  </si>
  <si>
    <t>REGULATORY &amp; EXT AFFAIRS</t>
  </si>
  <si>
    <t>10301MS010</t>
  </si>
  <si>
    <t>SCM LOGISTICS</t>
  </si>
  <si>
    <t>SCM WAREHOUSE SPC</t>
  </si>
  <si>
    <t>SCM GRADER</t>
  </si>
  <si>
    <t>SALES &amp; PROCUREMENT</t>
  </si>
  <si>
    <t>10202SU001</t>
  </si>
  <si>
    <t>10202SU009</t>
  </si>
  <si>
    <t>ELECTRICAL MT &amp; PROJ</t>
  </si>
  <si>
    <t>TECH SUPPORT PPIC</t>
  </si>
  <si>
    <t>TECH SUPPORTING QA</t>
  </si>
  <si>
    <t>10202SU017</t>
  </si>
  <si>
    <t>MACHINE SHOP</t>
  </si>
  <si>
    <t>SL</t>
  </si>
  <si>
    <t>PC</t>
  </si>
  <si>
    <t>Corporate Planning</t>
  </si>
  <si>
    <t>GR</t>
  </si>
  <si>
    <t>SMS1 ELECTRICAL DEPT</t>
  </si>
  <si>
    <t>SMS1 MECHANICAL DEPT</t>
  </si>
  <si>
    <t>SMS1 PPIC DEPT</t>
  </si>
  <si>
    <t>SMS1 QA/QC DEPT</t>
  </si>
  <si>
    <t>SMS1 WAREHOUSE DEPT</t>
  </si>
  <si>
    <t>SMS1 CRANE DEPARTMEN</t>
  </si>
  <si>
    <t>SMS1 OFFICE DEPT</t>
  </si>
  <si>
    <t>SMS1 STR.MFACTURING</t>
  </si>
  <si>
    <t>LSM PRODUCTION DEPT</t>
  </si>
  <si>
    <t>LSM ROLL SHOP</t>
  </si>
  <si>
    <t>LSM ELECTRICAL DEPT</t>
  </si>
  <si>
    <t>LSM MECHANICAL DEPT</t>
  </si>
  <si>
    <t>LSM PPIC DEPARTMENT</t>
  </si>
  <si>
    <t>LSM QA/QC DEPARTMENT</t>
  </si>
  <si>
    <t>LSM CRANE DEPARTMENT</t>
  </si>
  <si>
    <t>BP1 ELECTRICAL DEPT</t>
  </si>
  <si>
    <t>BP1 MECHANICAL DEPT</t>
  </si>
  <si>
    <t>BP1 PPIC DEPT</t>
  </si>
  <si>
    <t>BP1 QA/QC DEPT</t>
  </si>
  <si>
    <t>Estimated budget consumed (based on PO)</t>
  </si>
  <si>
    <t>Estimated expense recorded (based on GRN)</t>
  </si>
  <si>
    <t>Exchange rate</t>
  </si>
  <si>
    <t>Justification of the budget</t>
  </si>
  <si>
    <t>Proposed Delete/close Activity 2026</t>
  </si>
  <si>
    <r>
      <t>Dasar penyusunan anggaran tahunan (</t>
    </r>
    <r>
      <rPr>
        <i/>
        <sz val="11"/>
        <rFont val="Aptos Narrow"/>
        <family val="2"/>
      </rPr>
      <t>Master Budget</t>
    </r>
    <r>
      <rPr>
        <sz val="11"/>
        <rFont val="Aptos Narrow"/>
        <family val="2"/>
      </rPr>
      <t>) dapat mempertimbangkan:</t>
    </r>
  </si>
  <si>
    <t>Periode di mana biaya tersebut akan digunakan di tahun 2026 (PO, GRN, Invoice)</t>
  </si>
  <si>
    <r>
      <t xml:space="preserve">Mohon untuk </t>
    </r>
    <r>
      <rPr>
        <b/>
        <sz val="11"/>
        <rFont val="Aptos Narrow"/>
        <family val="2"/>
      </rPr>
      <t>tidak</t>
    </r>
    <r>
      <rPr>
        <sz val="11"/>
        <rFont val="Aptos Narrow"/>
        <family val="2"/>
      </rPr>
      <t xml:space="preserve"> menghapus&amp;menambah baris/kolom pada Lembar kerja anggaran tahunan (</t>
    </r>
    <r>
      <rPr>
        <i/>
        <sz val="11"/>
        <rFont val="Aptos Narrow"/>
        <family val="2"/>
      </rPr>
      <t>master budget template</t>
    </r>
    <r>
      <rPr>
        <sz val="11"/>
        <rFont val="Aptos Narrow"/>
        <family val="2"/>
      </rPr>
      <t>)</t>
    </r>
  </si>
  <si>
    <r>
      <t>Lembar kerja anggaran tahunan (</t>
    </r>
    <r>
      <rPr>
        <i/>
        <sz val="11"/>
        <color theme="1"/>
        <rFont val="Aptos Narrow"/>
        <family val="2"/>
      </rPr>
      <t>master budget</t>
    </r>
    <r>
      <rPr>
        <sz val="11"/>
        <color theme="1"/>
        <rFont val="Aptos Narrow"/>
        <family val="2"/>
      </rPr>
      <t xml:space="preserve"> template) harus diketahui dan disetujui oleh Kepala Departemen (Manager/General Manager) dan Kepala Divisi/Directorate (HoX) sebelum diajukan</t>
    </r>
  </si>
  <si>
    <r>
      <t>- CAPEX</t>
    </r>
    <r>
      <rPr>
        <sz val="11"/>
        <color rgb="FF000000"/>
        <rFont val="Aptos Narrow"/>
        <family val="2"/>
      </rPr>
      <t xml:space="preserve"> DETAIL</t>
    </r>
  </si>
  <si>
    <r>
      <t xml:space="preserve">- </t>
    </r>
    <r>
      <rPr>
        <sz val="11"/>
        <color rgb="FF000000"/>
        <rFont val="Aptos Narrow"/>
        <family val="2"/>
      </rPr>
      <t>OPEX DETAIL</t>
    </r>
  </si>
  <si>
    <r>
      <t xml:space="preserve">- </t>
    </r>
    <r>
      <rPr>
        <sz val="11"/>
        <color rgb="FF000000"/>
        <rFont val="Aptos Narrow"/>
        <family val="2"/>
      </rPr>
      <t>ACTIVITY MASTER</t>
    </r>
    <r>
      <rPr>
        <sz val="11"/>
        <color theme="1"/>
        <rFont val="Aptos Narrow"/>
        <family val="2"/>
      </rPr>
      <t xml:space="preserve"> OPEX</t>
    </r>
  </si>
  <si>
    <r>
      <t xml:space="preserve">Penambahan expense/aktivitas </t>
    </r>
    <r>
      <rPr>
        <b/>
        <sz val="11"/>
        <color theme="1"/>
        <rFont val="Aptos Narrow"/>
        <family val="2"/>
      </rPr>
      <t>baru</t>
    </r>
    <r>
      <rPr>
        <sz val="11"/>
        <color theme="1"/>
        <rFont val="Aptos Narrow"/>
        <family val="2"/>
      </rPr>
      <t>, silahkan mengisi di baris baru, dengan memilih Activity Master yang sesuai dengan jenis aktivitas tersebut.</t>
    </r>
  </si>
  <si>
    <r>
      <t xml:space="preserve">Pengurangan expense/aktivitas </t>
    </r>
    <r>
      <rPr>
        <b/>
        <sz val="11"/>
        <color theme="1"/>
        <rFont val="Aptos Narrow"/>
        <family val="2"/>
      </rPr>
      <t>yang ada</t>
    </r>
    <r>
      <rPr>
        <sz val="11"/>
        <color theme="1"/>
        <rFont val="Aptos Narrow"/>
        <family val="2"/>
      </rPr>
      <t>, silahkan mengisi table proposal tutup/hapus aktifitas.</t>
    </r>
  </si>
  <si>
    <t>Diisi dengan:
- HO untuk department Head Office
- BU untuk department Business Unit
- SU untuk department Support Unit</t>
  </si>
  <si>
    <t>Department</t>
  </si>
  <si>
    <t>Diisi sesuai dengan Departement yang tertera di list.</t>
  </si>
  <si>
    <t>Table1.1. Directorate List:
(Following July 2025 organizational structure)</t>
  </si>
  <si>
    <t>Table1.2. Department List:
(Following to July 2025 organizational structure)</t>
  </si>
  <si>
    <t>Directorate/ Division</t>
  </si>
  <si>
    <t>Electrical</t>
  </si>
  <si>
    <t>Mechanical</t>
  </si>
  <si>
    <t xml:space="preserve">HRGA </t>
  </si>
  <si>
    <t>IT Infrastructure</t>
  </si>
  <si>
    <t>Untuk menentukan apakah barang termasuk kategori aset, mohon melakukan pengecekan di kuesioner berikut:</t>
  </si>
  <si>
    <t>Asset determination</t>
  </si>
  <si>
    <r>
      <t xml:space="preserve">Harap isi masing-masing bagian sesuai urutan dibawah dan harap mengisi kolom yang berwarna </t>
    </r>
    <r>
      <rPr>
        <b/>
        <sz val="11"/>
        <color theme="1"/>
        <rFont val="Aptos Narrow"/>
        <family val="2"/>
      </rPr>
      <t>putih</t>
    </r>
    <r>
      <rPr>
        <sz val="11"/>
        <color theme="1"/>
        <rFont val="Aptos Narrow"/>
        <family val="2"/>
      </rPr>
      <t>.</t>
    </r>
  </si>
  <si>
    <t>Deskripsi</t>
  </si>
  <si>
    <t>Penjelasan</t>
  </si>
  <si>
    <t>Nomor Profit Center / Cost Center dalam system SAP:
- BU : Mohon diisi cost center sesuai dengan budget capex BU terkait.
- SU : Mohon diisi cost center sesuai dengan budget capex SU terkait.
- HO :  Mohon diisi cost center sesuai dengan budget capex HO terkait.</t>
  </si>
  <si>
    <t>Nomor akun di system SAP.
- Mohon diisi sesuai dengan tipe aset atas budget yang diajukan.
- Penjelasan Ledger untuk Capex &amp; Project silahkan lihat di Table 2.1</t>
  </si>
  <si>
    <t xml:space="preserve">Diisi dengan detail aktivitas untuk project yang dibudgetkan. Didetailkan perlines 
 Contoh:
</t>
  </si>
  <si>
    <t>- Column 1</t>
  </si>
  <si>
    <t>Berdasarkan tanggal PO creation (saat budget digunakan)</t>
  </si>
  <si>
    <t>- Column 2</t>
  </si>
  <si>
    <t>Berdasarkan tanggal GRN (estimasi barang diterima)</t>
  </si>
  <si>
    <t>Berdasarkan tanggal Invoice (estimasi invoice diterima)</t>
  </si>
  <si>
    <t>Level prioritas budget:
  - 1 High priority, diisi untuk aktivitas dan biaya yg sudah berulang dan memiliki risiko tinggi bila tidak dilakukan. 
  - 2 Medium priority, diisi untuk aktivitas dan biaya yg diprediksi kemungkinan besar akan terjadi di tahun anggaran tersebut
  - 3 Low priority, diisi dengan aktivitas dan biaya cadangan</t>
  </si>
  <si>
    <t>Diisi informasi mata uang digunakan USD/IDR/JPY/EUR/CNY</t>
  </si>
  <si>
    <t>Diisi dokumen pendukung sumber harga yang digunakan</t>
  </si>
  <si>
    <r>
      <t xml:space="preserve">Estimation Start Date </t>
    </r>
    <r>
      <rPr>
        <b/>
        <i/>
        <sz val="11"/>
        <color rgb="FFFF0000"/>
        <rFont val="Aptos Narrow"/>
        <family val="2"/>
      </rPr>
      <t>(Hanya untuk project)</t>
    </r>
  </si>
  <si>
    <r>
      <t xml:space="preserve">Estimation Finish Date </t>
    </r>
    <r>
      <rPr>
        <b/>
        <i/>
        <sz val="11"/>
        <color rgb="FFFF0000"/>
        <rFont val="Aptos Narrow"/>
        <family val="2"/>
      </rPr>
      <t>(Hanya untuk project)</t>
    </r>
  </si>
  <si>
    <t>Why this budget required? (Justification)</t>
  </si>
  <si>
    <t>Justifikasi atas budget yang diajukan, mengapa membutuhkan budget ini</t>
  </si>
  <si>
    <t>Gunakan jika membeli:</t>
  </si>
  <si>
    <t>Tanah atau hak guna atas tanah untuk dipakai perusahaan (bukan sewa jangka pendek).</t>
  </si>
  <si>
    <t>Gedung/bangunan milik perusahaan (kantor, pabrik, mess) untuk kegiatan produksi atau operasional. Contoh: pembelian gedung dengan nilai &gt; USD 10.000 / IDR 150.000.000.</t>
  </si>
  <si>
    <t>Mesin/peralatan utama untuk kegiatan produksi yang siap dipakai. Contoh: mesin produksi dengan nilai &gt; USD 10.000 / IDR 150.000.000.</t>
  </si>
  <si>
    <t>Peralatan pendukung produksi seperti roll, bearing, dll. Digunakan langsung dan bernilai &gt; USD 10.000 / IDR 150.000.000.</t>
  </si>
  <si>
    <t>Alat berat seperti forklift atau loader yang digunakan untuk produksi atau operasional. Nilai &gt; USD 10.000 / IDR 150.000.000.</t>
  </si>
  <si>
    <t xml:space="preserve">	Kendaraan operasional seperti mobil kantor, truk, atau mobil inventaris. Nilai &gt; USD 10.000 / IDR 150.000.000.</t>
  </si>
  <si>
    <t>Meja, kursi, atau perabot kantor/mess lainnya yang masa pakainya &gt; 1 tahun. Nilai minimal USD 175 / IDR 2.500.000.</t>
  </si>
  <si>
    <t xml:space="preserve">	Peralatan kantor seperti laptop, komputer, printer. Nilai minimal USD 525 / IDR 7.500.000.</t>
  </si>
  <si>
    <t>Renovasi atau pengembangan atas gedung/tanah sewaan yang dibayar sendiri oleh perusahaan.</t>
  </si>
  <si>
    <t>Pembelian lisensi software permanen (bukan langganan tahunan). Nilai &gt; USD 10.000 / IDR 150.000.000.</t>
  </si>
  <si>
    <t>PROJECT (Gunakan jika aset masih dalam proses pengerjaan/tidak langsung pakai)</t>
  </si>
  <si>
    <t>Proyek pembangunan gedung/mess/kantor yang belum selesai. Setelah 100% selesai akan dipindahkan ke akun Building &amp; Structure. nilai &gt; USD 10.000 / IDR 150.000.000.</t>
  </si>
  <si>
    <t xml:space="preserve">	Mesin masih dalam proses instalasi atau belum siap digunakan. Nanti akan dipindahkan ke Machinery &amp; Equipment. nilai &gt; USD 10.000 / IDR 150.000.000.</t>
  </si>
  <si>
    <t>Peralatan penunjang produksi yang sedang dalam tahap instalasi/pembangunan. nilai &gt; USD 10.000 / IDR 150.000.000.</t>
  </si>
  <si>
    <t>Alat berat sedang dalam proses pemasangan atau modifikasi. nilai &gt; USD 10.000 / IDR 150.000.000.</t>
  </si>
  <si>
    <t>Renovasi lokasi sewa (oleh perusahaan) yang masih dalam proses pengerjaan.</t>
  </si>
  <si>
    <t xml:space="preserve">	Pengembangan software/internal tools yang belum selesai. Akan dikapitalisasi ke Intangible Asset setelah selesai. nilai &gt; USD 10.000 / IDR 150.000.000.</t>
  </si>
  <si>
    <t>Masukkan kode aktivitas (Internal Order) yang sudah terdaftar. Lihat daftar lengkapnya di sheet Activity Master. Jika membuat aktivitas baru atau menghapus, update juga di sheet tersebut. Harus valid agar pengeluaran bisa tercatat.</t>
  </si>
  <si>
    <t>Jelaskan aktivitasnya secara spesifik. Jika aktivitas sudah ada, cek deskripsi di sheet Activity Master. Untuk aktivitas baru, sertakan penjelasan singkat di sheet Opex.</t>
  </si>
  <si>
    <t>Jumlah anggaran per ledger yang disetujui di tahun 2025.
- Tidak perlu diisi
- Disajikan dalam mata uang IDR
  (asumsi 1 USD = Rp16.500)</t>
  </si>
  <si>
    <t>Actual Realisation 
(Jan-Jul 2025)</t>
  </si>
  <si>
    <t>Aktual biaya Januari - Juli 2025.
- Tidak perlu diisi
- Disajikan dalam mata uang IDR</t>
  </si>
  <si>
    <t>Perkiraan anggaran tahun 2026 per bulan. 
- Dalam IDR, gunakan asumsi 1 USD = Rp16.500. 
- Isi nilai DPP (tanpa PPN). 
- Harus dirinci berdasarkan aktivitas.</t>
  </si>
  <si>
    <t>Diisi jika ada PO tahun 2025 yang belum terealisasi dan akan berjalan di 2026.</t>
  </si>
  <si>
    <r>
      <t xml:space="preserve">	Prioritas aktivitas:
</t>
    </r>
    <r>
      <rPr>
        <b/>
        <sz val="11"/>
        <color theme="1"/>
        <rFont val="Aptos Narrow"/>
        <family val="2"/>
      </rPr>
      <t>Essentials</t>
    </r>
    <r>
      <rPr>
        <sz val="11"/>
        <color theme="1"/>
        <rFont val="Aptos Narrow"/>
        <family val="2"/>
      </rPr>
      <t xml:space="preserve"> = Wajib dan penting. Contoh: operasional utama.
</t>
    </r>
    <r>
      <rPr>
        <b/>
        <sz val="11"/>
        <color theme="1"/>
        <rFont val="Aptos Narrow"/>
        <family val="2"/>
      </rPr>
      <t xml:space="preserve">Moderate </t>
    </r>
    <r>
      <rPr>
        <sz val="11"/>
        <color theme="1"/>
        <rFont val="Aptos Narrow"/>
        <family val="2"/>
      </rPr>
      <t xml:space="preserve">= Tidak wajib, tapi mendukung bisnis. Contoh: konsultan untuk research yang tidak diwajibkan regulasi.
</t>
    </r>
    <r>
      <rPr>
        <b/>
        <sz val="11"/>
        <color theme="1"/>
        <rFont val="Aptos Narrow"/>
        <family val="2"/>
      </rPr>
      <t xml:space="preserve">Not Essentials </t>
    </r>
    <r>
      <rPr>
        <sz val="11"/>
        <color theme="1"/>
        <rFont val="Aptos Narrow"/>
        <family val="2"/>
      </rPr>
      <t>= Tidak wajib. Contoh: sewa alat event.</t>
    </r>
  </si>
  <si>
    <r>
      <t xml:space="preserve">	Jenis pengeluaran:
</t>
    </r>
    <r>
      <rPr>
        <b/>
        <sz val="11"/>
        <color theme="1"/>
        <rFont val="Aptos Narrow"/>
        <family val="2"/>
      </rPr>
      <t xml:space="preserve">Monthly Recurring </t>
    </r>
    <r>
      <rPr>
        <sz val="11"/>
        <color theme="1"/>
        <rFont val="Aptos Narrow"/>
        <family val="2"/>
      </rPr>
      <t xml:space="preserve">= Tiap bulan (contoh: sewa mobil, subscription).
</t>
    </r>
    <r>
      <rPr>
        <b/>
        <sz val="11"/>
        <color theme="1"/>
        <rFont val="Aptos Narrow"/>
        <family val="2"/>
      </rPr>
      <t xml:space="preserve">Periodically Recurring </t>
    </r>
    <r>
      <rPr>
        <sz val="11"/>
        <color theme="1"/>
        <rFont val="Aptos Narrow"/>
        <family val="2"/>
      </rPr>
      <t xml:space="preserve">= Tiap kuartal/tahun (contoh: audit).
</t>
    </r>
    <r>
      <rPr>
        <b/>
        <sz val="11"/>
        <color theme="1"/>
        <rFont val="Aptos Narrow"/>
        <family val="2"/>
      </rPr>
      <t>One Off</t>
    </r>
    <r>
      <rPr>
        <sz val="11"/>
        <color theme="1"/>
        <rFont val="Aptos Narrow"/>
        <family val="2"/>
      </rPr>
      <t xml:space="preserve"> = Sekali saja (contoh: proyek konsultan khusus).
</t>
    </r>
    <r>
      <rPr>
        <b/>
        <sz val="11"/>
        <color theme="1"/>
        <rFont val="Aptos Narrow"/>
        <family val="2"/>
      </rPr>
      <t>Conditional</t>
    </r>
    <r>
      <rPr>
        <sz val="11"/>
        <color theme="1"/>
        <rFont val="Aptos Narrow"/>
        <family val="2"/>
      </rPr>
      <t xml:space="preserve"> = Mungkin ada tiap tahun, tapi tidak tetap (contoh: notaris).</t>
    </r>
  </si>
  <si>
    <t xml:space="preserve">	Isi nama vendor jika memakai jasa pihak ketiga.</t>
  </si>
  <si>
    <t>Masukkan asumsi jumlah unit atau durasi. 
Contoh: 12 
Karena 12 bulan sewa.</t>
  </si>
  <si>
    <t>Harga per unit dari kontrak. 
Contoh: Rp79.750.000 per bulan.</t>
  </si>
  <si>
    <t>Jika nilai kontrak dalam bentuk total, tulis di sini. 
Contoh: Rp957 juta dibayar per 3 bulan.</t>
  </si>
  <si>
    <t xml:space="preserve">	Jelaskan dasar perhitungan anggaran. 
Contoh: Sewa Rp200 juta/bulan, ditagih per kuartal untuk masa 3 bulan.</t>
  </si>
  <si>
    <t>Terdapat 3 bagian pada sheet ini.</t>
  </si>
  <si>
    <t>[1]</t>
  </si>
  <si>
    <t>[2]</t>
  </si>
  <si>
    <t>[3]</t>
  </si>
  <si>
    <t>Bagian 3. Proposed Close existing Activity 2026</t>
  </si>
  <si>
    <t>Jika ada aktivitas yang sudah tidak digunakan, maka mohon mengisi kolom ini beserta alasannya.</t>
  </si>
  <si>
    <r>
      <t>Diisi 11 digit. Formatnya</t>
    </r>
    <r>
      <rPr>
        <b/>
        <sz val="11"/>
        <color theme="1"/>
        <rFont val="Aptos Narrow"/>
        <family val="2"/>
      </rPr>
      <t>: XXXXX-YYYYY</t>
    </r>
    <r>
      <rPr>
        <sz val="11"/>
        <color theme="1"/>
        <rFont val="Aptos Narrow"/>
        <family val="2"/>
      </rPr>
      <t xml:space="preserve">
- </t>
    </r>
    <r>
      <rPr>
        <b/>
        <sz val="11"/>
        <color theme="1"/>
        <rFont val="Aptos Narrow"/>
        <family val="2"/>
      </rPr>
      <t>XXXXX</t>
    </r>
    <r>
      <rPr>
        <sz val="11"/>
        <color theme="1"/>
        <rFont val="Aptos Narrow"/>
        <family val="2"/>
      </rPr>
      <t xml:space="preserve"> = ambil 5 digit terakhir dari Cost Center (contoh:</t>
    </r>
    <r>
      <rPr>
        <b/>
        <sz val="11"/>
        <color theme="1"/>
        <rFont val="Aptos Narrow"/>
        <family val="2"/>
      </rPr>
      <t xml:space="preserve"> HR001</t>
    </r>
    <r>
      <rPr>
        <sz val="11"/>
        <color theme="1"/>
        <rFont val="Aptos Narrow"/>
        <family val="2"/>
      </rPr>
      <t xml:space="preserve">)
- </t>
    </r>
    <r>
      <rPr>
        <b/>
        <sz val="11"/>
        <color theme="1"/>
        <rFont val="Aptos Narrow"/>
        <family val="2"/>
      </rPr>
      <t>YYYYY</t>
    </r>
    <r>
      <rPr>
        <sz val="11"/>
        <color theme="1"/>
        <rFont val="Aptos Narrow"/>
        <family val="2"/>
      </rPr>
      <t xml:space="preserve"> = nomor urut dari aktivitas. Kalau baru, isi </t>
    </r>
    <r>
      <rPr>
        <b/>
        <sz val="11"/>
        <color theme="1"/>
        <rFont val="Aptos Narrow"/>
        <family val="2"/>
      </rPr>
      <t>00072</t>
    </r>
    <r>
      <rPr>
        <sz val="11"/>
        <color theme="1"/>
        <rFont val="Aptos Narrow"/>
        <family val="2"/>
      </rPr>
      <t xml:space="preserve"> misalnya.
</t>
    </r>
    <r>
      <rPr>
        <b/>
        <sz val="11"/>
        <color theme="1"/>
        <rFont val="Aptos Narrow"/>
        <family val="2"/>
      </rPr>
      <t>Contoh Lengkap</t>
    </r>
    <r>
      <rPr>
        <sz val="11"/>
        <color theme="1"/>
        <rFont val="Aptos Narrow"/>
        <family val="2"/>
      </rPr>
      <t xml:space="preserve">: Jika </t>
    </r>
    <r>
      <rPr>
        <b/>
        <sz val="11"/>
        <color theme="1"/>
        <rFont val="Aptos Narrow"/>
        <family val="2"/>
      </rPr>
      <t xml:space="preserve">cost center anda 10301HR001 </t>
    </r>
    <r>
      <rPr>
        <sz val="11"/>
        <color theme="1"/>
        <rFont val="Aptos Narrow"/>
        <family val="2"/>
      </rPr>
      <t>dan kamu buat aktivitas baru, maka kode activity jadi</t>
    </r>
    <r>
      <rPr>
        <b/>
        <sz val="11"/>
        <color theme="1"/>
        <rFont val="Aptos Narrow"/>
        <family val="2"/>
      </rPr>
      <t xml:space="preserve"> HR001-00072</t>
    </r>
  </si>
  <si>
    <r>
      <t xml:space="preserve">Nama singkat aktivitas (maks. 40 karakter). </t>
    </r>
    <r>
      <rPr>
        <b/>
        <sz val="11"/>
        <color theme="1"/>
        <rFont val="Aptos Narrow"/>
        <family val="2"/>
      </rPr>
      <t>Contoh</t>
    </r>
    <r>
      <rPr>
        <sz val="11"/>
        <color theme="1"/>
        <rFont val="Aptos Narrow"/>
        <family val="2"/>
      </rPr>
      <t>: Rental Fortuner BoD</t>
    </r>
  </si>
  <si>
    <r>
      <t xml:space="preserve">Pilih kode akun ledger SAP yang sesuai dengan jenis aktivitas (misalnya untuk biaya sewa, pelatihan, dll). 
Lihat </t>
    </r>
    <r>
      <rPr>
        <sz val="11"/>
        <rFont val="Aptos Narrow"/>
        <family val="2"/>
      </rPr>
      <t>daftarnya di "</t>
    </r>
    <r>
      <rPr>
        <b/>
        <sz val="11"/>
        <rFont val="Aptos Narrow"/>
        <family val="2"/>
      </rPr>
      <t>Table 3.1 List Ledger COGM</t>
    </r>
    <r>
      <rPr>
        <sz val="11"/>
        <rFont val="Aptos Narrow"/>
        <family val="2"/>
      </rPr>
      <t>" &amp; "</t>
    </r>
    <r>
      <rPr>
        <b/>
        <sz val="11"/>
        <rFont val="Aptos Narrow"/>
        <family val="2"/>
      </rPr>
      <t>Table 3.2 List Ledger OPEX</t>
    </r>
    <r>
      <rPr>
        <sz val="11"/>
        <rFont val="Aptos Narrow"/>
        <family val="2"/>
      </rPr>
      <t>".</t>
    </r>
  </si>
  <si>
    <t>Jelaskan aktivitasnya lebih detail, misalnya:
Activity: Rental - Fortuner
Remarks: Monthly rental car for BoD, sesuai kontrak kerja</t>
  </si>
  <si>
    <t xml:space="preserve">Table 3.1. List Ledger COGM </t>
  </si>
  <si>
    <t>G/L Account Number</t>
  </si>
  <si>
    <t>G/L Account Description</t>
  </si>
  <si>
    <t>Definisi</t>
  </si>
  <si>
    <t>GL Grouping</t>
  </si>
  <si>
    <t>Cost owner</t>
  </si>
  <si>
    <t>Consumable Material Used</t>
  </si>
  <si>
    <t>Bahan pendukung atau habis pakai yang digunakan dalam operasional</t>
  </si>
  <si>
    <t>Each department</t>
  </si>
  <si>
    <t>Gaji pokok untuk karyawan - Produksi</t>
  </si>
  <si>
    <t>Biaya lembur - Produksi</t>
  </si>
  <si>
    <t>Tunjangan hari raya (THR) - Produksi</t>
  </si>
  <si>
    <t>Tunjangan tambahan seperti transport, makan - Produksi</t>
  </si>
  <si>
    <t>Iuran BPJS atau jaminan sosial lainnya - Produksi</t>
  </si>
  <si>
    <t>DL Contract Employee</t>
  </si>
  <si>
    <t>Gaji untuk karyawan kontrak - Produksi</t>
  </si>
  <si>
    <t>Bonus insentif karena pencapaian target atau performa - Produksi</t>
  </si>
  <si>
    <t>Pajak penghasilan karyawan (PPh21) - Produksi</t>
  </si>
  <si>
    <t>Bonus tahunan atau tambahan - Produksi</t>
  </si>
  <si>
    <t>Pesangon atau uang pisah saat karyawan keluar - Produksi</t>
  </si>
  <si>
    <t>DL Emp Insurance</t>
  </si>
  <si>
    <t>Asuransi kesehatan atau asuransi lainnya - Produksi</t>
  </si>
  <si>
    <t>DL Meal Allowances</t>
  </si>
  <si>
    <t>Tunjangan tambahan seperti biaya makan - Produksi</t>
  </si>
  <si>
    <t>Biaya lainnya yang tidak termasuk kategori khusus - Produksi</t>
  </si>
  <si>
    <t>Provision for Employee Benefits &amp; Severence Pay</t>
  </si>
  <si>
    <t>Biaya provisi atas employee benefit</t>
  </si>
  <si>
    <t>Sub Contractor Expenses</t>
  </si>
  <si>
    <t>Biaya subcontractor dan fabrikasi menggunakan pihak ketiga</t>
  </si>
  <si>
    <t>Biaya packing menggunakan pihak ketiga</t>
  </si>
  <si>
    <t>Other Third Parties Services</t>
  </si>
  <si>
    <t>Biaya jasa kalibrasi menggunakan pihak ketiga</t>
  </si>
  <si>
    <t>Biaya listrik dari PLN</t>
  </si>
  <si>
    <t xml:space="preserve">Biaya air bersih </t>
  </si>
  <si>
    <t>Utilities - Oxigent (O2)</t>
  </si>
  <si>
    <t xml:space="preserve">Biaya Oxigen </t>
  </si>
  <si>
    <t>Biaya gas industri dari PGN</t>
  </si>
  <si>
    <t>RM Exp - Buildings Services</t>
  </si>
  <si>
    <t>Biaya perbaikan dan pemeliharaan aset gedung</t>
  </si>
  <si>
    <t>Biaya perbaikan dan pemeliharaan aset mesin</t>
  </si>
  <si>
    <t>Biaya perbaikan dan pemeliharaan aset alat berat</t>
  </si>
  <si>
    <t>Biaya perbaikan dan pemeliharaan aset kendaraan</t>
  </si>
  <si>
    <t>Biaya perbaikan dan pemeliharaan aset furniture kantor</t>
  </si>
  <si>
    <t>Biaya perbaikan dan pemeliharaan aset alat kerja</t>
  </si>
  <si>
    <t>Biaya perbaikan dan pemeliharaan  WTP</t>
  </si>
  <si>
    <t>Biaya pengujian atau pemeriksaan di lab baja</t>
  </si>
  <si>
    <t>Biaya import berkaitan dengan freight</t>
  </si>
  <si>
    <t>Biaya import tekait bea cukai</t>
  </si>
  <si>
    <t>Biaya import berkaitan dengan LC</t>
  </si>
  <si>
    <t>Biaya import berkaitan dengan asuransi</t>
  </si>
  <si>
    <t>Biaya import lainnya yang tidak termasuk kategori khusus</t>
  </si>
  <si>
    <t>TE - Seminar &amp; Training</t>
  </si>
  <si>
    <t>Biaya pelatihan atau seminar</t>
  </si>
  <si>
    <t>Biaya premi asuransi gedung</t>
  </si>
  <si>
    <t>Biaya premi asuransi mesin</t>
  </si>
  <si>
    <t>Biaya premi asuransi kendaraan</t>
  </si>
  <si>
    <t>Biaya premi asuransi product liability</t>
  </si>
  <si>
    <t>Biaya premi asuransi employee (diluar salary)</t>
  </si>
  <si>
    <t>Biaya premi asuransi lainnya yang berkaitan dengan produksi</t>
  </si>
  <si>
    <t>Biaya sewa warehouse</t>
  </si>
  <si>
    <t>Biaya sewa kendaraan</t>
  </si>
  <si>
    <t>Biaya sewa tanah</t>
  </si>
  <si>
    <t>Biaya sewa gedung atau kantor</t>
  </si>
  <si>
    <t>Biaya sewa mesin</t>
  </si>
  <si>
    <t>Biaya sewa lainnya</t>
  </si>
  <si>
    <t>Tagihan internet dan telepon</t>
  </si>
  <si>
    <t>Biaya kirim dokumen atau barang</t>
  </si>
  <si>
    <t>Biaya materai</t>
  </si>
  <si>
    <t>Biaya pos/telekomunikasi lainnya yang tidak termasuk kategori khusus</t>
  </si>
  <si>
    <t>Biaya jasa hukum</t>
  </si>
  <si>
    <t>Biaya jasa konsultan pajak khusu produksi</t>
  </si>
  <si>
    <t>Biaya jasa audit eksternal</t>
  </si>
  <si>
    <t>Biaya jasa surveyor, biasanya untuk surveyor scrap</t>
  </si>
  <si>
    <t>Biaya jasa operasional lainnya</t>
  </si>
  <si>
    <t>Biaya pajak atas IMB</t>
  </si>
  <si>
    <t>Biaya pajak dan perijinan lainnya yang tidak masuk kategori khusus.</t>
  </si>
  <si>
    <t>Biaya keperluan rapat dinas, konferensi dan lain-lain yang berkaitan langsung dengan produksi.</t>
  </si>
  <si>
    <t>Biaya pengadaaan acara khusus perusahaan yang berkaitan langsung dengan produks. Contohnya pengesahan plant.</t>
  </si>
  <si>
    <t>Biaya transportasi yang tidak masuk kategori spesifik misalnya:Transport pickup alat produksi</t>
  </si>
  <si>
    <t>Biaya transportasi lainnya yang tidak termasuk kategori khusus</t>
  </si>
  <si>
    <t>Biaya pengiriman barang secara lokal</t>
  </si>
  <si>
    <t>Biaya pengangkutan atau pembuangan limbah</t>
  </si>
  <si>
    <t>Pembelian alat yang berkaitan dengan produksi</t>
  </si>
  <si>
    <t>Pembelian alat kantor di area produksi</t>
  </si>
  <si>
    <t>Biaya iuran keanggotaan yang berkaitan langsung dengan produksi</t>
  </si>
  <si>
    <t>Biaya berlangganan website atau sistem yang berkaitan langsung dengan produksi</t>
  </si>
  <si>
    <t>Biaya saparepart yang digunakan untuk produksi maupun repair &amp; maintenance di area produksi</t>
  </si>
  <si>
    <t>Table 3.2. List Ledger OPEX</t>
  </si>
  <si>
    <t>Gaji pokok untuk karyawan - Head Office</t>
  </si>
  <si>
    <t>Biaya lembur - Head Office</t>
  </si>
  <si>
    <t>Tunjangan hari raya (THR) - Head Office</t>
  </si>
  <si>
    <t>Tunjangan tambahan seperti transport, makan - Head Office</t>
  </si>
  <si>
    <t>Iuran BPJS atau jaminan sosial lainnya - Head Office</t>
  </si>
  <si>
    <t>Gaji untuk karyawan kontrak - Head Office</t>
  </si>
  <si>
    <t>Bonus insentif karena pencapaian target atau performa - Head Office</t>
  </si>
  <si>
    <t>Pajak penghasilan karyawan - Head Office</t>
  </si>
  <si>
    <t>Bonus tahunan atau tambahan - Head Office</t>
  </si>
  <si>
    <t>Pesangon atau uang pisah saat karyawan keluar - Head Office</t>
  </si>
  <si>
    <t>Asuransi kesehatan atau asuransi lainnya - Head Office</t>
  </si>
  <si>
    <t>IDL Meal Allowances</t>
  </si>
  <si>
    <t>Biaya karyawan lainnya yang tidak termasuk kategori khusus - Head Office</t>
  </si>
  <si>
    <t>Biaya listrik dari PLN - Head Office</t>
  </si>
  <si>
    <t>Biaya air bersih dari PDAM - Head Office</t>
  </si>
  <si>
    <t>Biaya Oxygen - Head Office (internal consumption, berkaitan dengan project)</t>
  </si>
  <si>
    <t>Biaya perbaikan dan pemeliharaan LVA</t>
  </si>
  <si>
    <t>Biaya frieght atas transaksi export</t>
  </si>
  <si>
    <t>Custom&amp;logistic</t>
  </si>
  <si>
    <t>Biaya antar atas transaksi export</t>
  </si>
  <si>
    <t>Biaya sertifikasi atas transaksi export</t>
  </si>
  <si>
    <t>Biaya bea cukai atas transaksi export</t>
  </si>
  <si>
    <t>Biaya layanan bank atas transaksi export</t>
  </si>
  <si>
    <t>Biaya asuransi atas transaksi export</t>
  </si>
  <si>
    <t>Biaya handling atas transaksi export</t>
  </si>
  <si>
    <t>Biaya penalti atas transaksi export</t>
  </si>
  <si>
    <t>Biaya lainnya yang tidak masuk kategori khusus atas transaksi export</t>
  </si>
  <si>
    <t>Biaya frieght atas transaksi import</t>
  </si>
  <si>
    <t>Biaya antar atas transaksi import</t>
  </si>
  <si>
    <t>Biaya sertifikasi atas transaksi import</t>
  </si>
  <si>
    <t>Biaya bea cukai atas transaksi import</t>
  </si>
  <si>
    <t>Biaya layanan bank atas transaksi import</t>
  </si>
  <si>
    <t>Biaya asuransi atas transaksi import</t>
  </si>
  <si>
    <t>Biaya handling atas transaksi import</t>
  </si>
  <si>
    <t>Biaya penalti atas transaksi import</t>
  </si>
  <si>
    <t>Biaya lainnya yang tidak masuk kategori khusus atas transaksi import</t>
  </si>
  <si>
    <t>Biaya promosi, iklan, branding</t>
  </si>
  <si>
    <t>Sales/Corporate communication</t>
  </si>
  <si>
    <t>Hadiah atau cendera mata promosi</t>
  </si>
  <si>
    <t>Biaya sponsorship event/pameran</t>
  </si>
  <si>
    <t>Ins. Exp. - Insurance of Property All Risk</t>
  </si>
  <si>
    <t>Premi asuransi untuk menanggung kerusakan atau kerugian atas aset fisik
(misalnya: bangunan, mesin, persediaan)</t>
  </si>
  <si>
    <t>Premi asuransi untuk menanggung kendaraan milik perusahaan</t>
  </si>
  <si>
    <t>Premi asuransi untuk melindungi perusahaan dari klaim hukum atau keuangan</t>
  </si>
  <si>
    <t>Ins. Exp. - Insurance of Director and Officer Liab</t>
  </si>
  <si>
    <t>Premi asuransi untuk melindungi direksi dan pejabat perusahaan</t>
  </si>
  <si>
    <t>Ins. Exp. - Insurance of Employee</t>
  </si>
  <si>
    <t>Premi asuransi untuk memenuhi kebutuhan asuransi pribadi karyawan</t>
  </si>
  <si>
    <t>GA/SCM</t>
  </si>
  <si>
    <t>RE - Rental Office Equipment</t>
  </si>
  <si>
    <t>Biaya lainnya yang tidak termasuk kategori khusus</t>
  </si>
  <si>
    <t xml:space="preserve">Biaya jasa konsultan pajak </t>
  </si>
  <si>
    <t>Biaya surveyor scrap, untuk menghitung persediaan scrap</t>
  </si>
  <si>
    <t>Biaya jasa profesional lainnya yang tidak masuk kategori</t>
  </si>
  <si>
    <t>Biasa sample potongan finished goods untuk customer</t>
  </si>
  <si>
    <t>Biaya donasi dan kontribusi sosial untuk masyarakat sekitar</t>
  </si>
  <si>
    <t>CSR</t>
  </si>
  <si>
    <t>Biaya entertainment lainnya yang tidak termasuk kategori khusus</t>
  </si>
  <si>
    <t>Biaya lainnya yang tidak termasuk kategori khusus seperti biaya langsir antar gudang atau biaya transportasi kegiatan operasional</t>
  </si>
  <si>
    <t>Biaya untuk kebutuhan rumah tangga di perusahaan yang langsung habis. Contoh: cleaning supplies, perabot ringan, alat dapur</t>
  </si>
  <si>
    <t>Pembelian alat kantor atau pabrik</t>
  </si>
  <si>
    <t>Pembelian alat atau equipment untuk kebutuhan KantorContoh: Kalkulator, AC, dispenser, kulkas, tools kit dll</t>
  </si>
  <si>
    <t>Biaya komisi untuk agen, mitra atau sales</t>
  </si>
  <si>
    <t>Biaya layanan bank seperti transfer, kliring</t>
  </si>
  <si>
    <t>PF - Royalty Fee</t>
  </si>
  <si>
    <t>Biaya atas royalty fee yang dibayarkan ke shareholders</t>
  </si>
  <si>
    <t>The annual budget worksheet (master budget template) is structured based on the organizational structure as of July 2025 and the relevant cost centers.</t>
  </si>
  <si>
    <t>The basis for preparing the annual budget (Master Budget) may consider:</t>
  </si>
  <si>
    <t>Planned activities to be carried out in 2026</t>
  </si>
  <si>
    <t>Outstanding Purchase Orders from 2025 to be realized in 2026 (open POs until year-end)</t>
  </si>
  <si>
    <t>The period in which the expense will be used in 2026 (PO, GRN, Invoice)</t>
  </si>
  <si>
    <t>2025 annual budget</t>
  </si>
  <si>
    <t>Budget realization (actual cost) during 2025</t>
  </si>
  <si>
    <t>Please do not delete or add rows/columns in the annual budget worksheet (master budget template)</t>
  </si>
  <si>
    <t>Each department must assign a budget PIC (other than the manager) to facilitate updates regarding regulation/policy changes.</t>
  </si>
  <si>
    <t>The annual budget worksheet must be acknowledged and approved by the Department Head (Manager/General Manager) and Division Head/Directorate (HoX) before submission.</t>
  </si>
  <si>
    <t>Detailed Instructions</t>
  </si>
  <si>
    <t>There are 4 sections in the budget worksheet:</t>
  </si>
  <si>
    <t>- CAPEX DETAIL</t>
  </si>
  <si>
    <t>- OPEX DETAIL</t>
  </si>
  <si>
    <t>- ACTIVITY MASTER OPEX</t>
  </si>
  <si>
    <t>For adding new expenses/activities, please fill in a new row, and select the appropriate Activity Master based on the activity type.</t>
  </si>
  <si>
    <t>For removing existing expenses/activities, please fill in the proposal table for closing/deleting activities.</t>
  </si>
  <si>
    <t>Please fill each section according to the order below.</t>
  </si>
  <si>
    <t>Fill in the budget planning year</t>
  </si>
  <si>
    <t>Fill in with:
- HO for Head Office departments
- BU for Business Unit departments
- SU for Support Unit departments</t>
  </si>
  <si>
    <t>Fill according to the Directorate listed.</t>
  </si>
  <si>
    <t>Fill according to the Department listed.</t>
  </si>
  <si>
    <t>Prepare the approval based on DAL .</t>
  </si>
  <si>
    <t>To determine whether the transaction falls under asset category, please check the questionnaire below:</t>
  </si>
  <si>
    <t>To be filled if the related department/division has a capex/project budget for this period.</t>
  </si>
  <si>
    <r>
      <t xml:space="preserve">Please complete each section in the order below and </t>
    </r>
    <r>
      <rPr>
        <b/>
        <sz val="11"/>
        <color theme="1"/>
        <rFont val="Aptos Narrow"/>
        <family val="2"/>
      </rPr>
      <t>fill in the white-colored columns only</t>
    </r>
    <r>
      <rPr>
        <sz val="11"/>
        <color theme="1"/>
        <rFont val="Aptos Narrow"/>
        <family val="2"/>
      </rPr>
      <t>.</t>
    </r>
  </si>
  <si>
    <t>Profit Center / Cost Center number in the SAP system:
- BU: Please fill in the cost center according to the relevant BU capex budget.
- SU: Please fill in the cost center according to the relevant SU capex budget.
- HO: Please fill in the cost center according to the relevant HO capex budget.</t>
  </si>
  <si>
    <t>SAP account number.
- Please fill it in according to the type of asset or budget being proposed.
- Ledger explanation for Capex &amp; Project can be referred to in Table 2.1.</t>
  </si>
  <si>
    <t>Fill in with the description of the type of capex/project being proposed.
Examples:
- Beautification of Factory
- Laptop
- Plant Upgrade and Modification</t>
  </si>
  <si>
    <t>Fill in with detailed activities for the proposed project. Break down per line.
Example:</t>
  </si>
  <si>
    <t>The budget amount per ledger per month needed in 2026:
- Presented in IDR currency
- The proposed amount is net of VAT (exclude VAT)
- The amount filled is based on the activity details</t>
  </si>
  <si>
    <t>Based on PO creation date (when the budget is requested)</t>
  </si>
  <si>
    <t>Based on GRN date (goods received)</t>
  </si>
  <si>
    <t>Based on Invoice date (estimated invoice receipt)</t>
  </si>
  <si>
    <t>Budget priority level:
1 - High: for urgent activities and costs with high risk if not done
2 - Medium: for predictable activities and costs likely to occur in the proposed year
3 - Low: for activities that are unlikely to occur in that year</t>
  </si>
  <si>
    <t>Basis for the value assumptions related to the proposed project/capex activity</t>
  </si>
  <si>
    <t>Original currency used (USD/IDR/JPY/EUR/CNY/etc)</t>
  </si>
  <si>
    <t>Nominal amount used in original currency</t>
  </si>
  <si>
    <t>Fill in the supporting documents used for price estimation</t>
  </si>
  <si>
    <r>
      <t xml:space="preserve">Estimation Start Date </t>
    </r>
    <r>
      <rPr>
        <b/>
        <i/>
        <sz val="11"/>
        <color rgb="FFFF0000"/>
        <rFont val="Aptos Narrow"/>
        <family val="2"/>
      </rPr>
      <t>(Project only)</t>
    </r>
  </si>
  <si>
    <r>
      <t xml:space="preserve">Estimation Finish Date </t>
    </r>
    <r>
      <rPr>
        <b/>
        <i/>
        <sz val="11"/>
        <color rgb="FFFF0000"/>
        <rFont val="Aptos Narrow"/>
        <family val="2"/>
      </rPr>
      <t>(Project only)</t>
    </r>
  </si>
  <si>
    <t>Justification for the proposed budget, why this budget/capex is needed</t>
  </si>
  <si>
    <t>Fill in the payment terms related to the proposed activity/project</t>
  </si>
  <si>
    <t>Table 2.1. List of Ledger Capex / Project</t>
  </si>
  <si>
    <t>Use if purchasing:</t>
  </si>
  <si>
    <t>Land or land rights used by the company (not short-term lease/rent).</t>
  </si>
  <si>
    <t>Company-owned buildings/structures (offices, factories, etc.) used for production or operations.
Example: purchasing a building worth &gt; USD 10,000 / IDR 150,000,000.</t>
  </si>
  <si>
    <t>Main machinery/equipment used in production activities.
Example: production machine worth &gt; USD 10,000 / IDR 150,000,000.</t>
  </si>
  <si>
    <t>Supporting equipment such as tools, bearings, drill machines, etc.,
worth &gt; USD 10,000 / IDR 150,000,000.</t>
  </si>
  <si>
    <t>Heavy equipment such as loaders used for production/operations.
Value &gt; USD 10,000 / IDR 150,000,000.</t>
  </si>
  <si>
    <t>Operational vehicles such as office cars, trucks, or inventory vehicles.
Value &gt; USD 10,000 / IDR 150,000,000.</t>
  </si>
  <si>
    <t>Tables, chairs, or other office furniture with &gt; 1 year of use.
Minimum value USD 175 / IDR 2,500,000.</t>
  </si>
  <si>
    <t>Office equipment like laptops, computers, printers.
Minimum value USD 525 / IDR 7,500,000.</t>
  </si>
  <si>
    <t>Renovation or development of rented buildings/land paid for by the company.</t>
  </si>
  <si>
    <t>Purchase of permanent software licenses (not annual subscriptions).
Value &gt; USD 10,000 / IDR 150,000,000.</t>
  </si>
  <si>
    <t>PROJECT (Use if the asset is still in progress/not yet in use)</t>
  </si>
  <si>
    <t>Construction of buildings/offices/dorms that are not yet completed.
Once 100% completed, it will be transferred to the Building &amp; Structure account.
Value &gt; USD 10,000 / IDR 150,000,000.</t>
  </si>
  <si>
    <t>Machinery still in the installation process and not yet usable.
Will be transferred to Machinery &amp; Equipment.
Value &gt; USD 10,000 / IDR 150,000,000.</t>
  </si>
  <si>
    <t>Supporting production equipment still in the installation/assembly phase.
Value &gt; USD 10,000 / IDR 150,000,000.</t>
  </si>
  <si>
    <t>Heavy equipment in the process of installation or modification.
Value &gt; USD 10,000 / IDR 150,000,000.</t>
  </si>
  <si>
    <t>Renovation of rented locations (owned by others) that is still in progress.</t>
  </si>
  <si>
    <t>Development of software/internal tools that are not yet complete.
Will be capitalized as Intangible Asset upon completion.
Value &gt; USD 10,000 / IDR 150,000,000.</t>
  </si>
  <si>
    <t>Fill in if the related department/division has operational expenses budget for this period.</t>
  </si>
  <si>
    <t>If there are outstanding Purchase Orders that have not been realized until the end of the year (not yet GRN), please add them as activities to occur in 2026.</t>
  </si>
  <si>
    <t>Please complete each section in the order below and only fill in the columns marked in white.</t>
  </si>
  <si>
    <t>Enter the activity code (Internal Order) that is already registered. See the complete list in the Activity Master sheet.
If entering a new activity or deleting/updating, please also update the sheet. Must be valid for the expense to be recorded.</t>
  </si>
  <si>
    <t>Explain the activity in detail. If the activity already exists, check its description in the Activity Master sheet.
For new activities, include a brief description in the Opex sheet.</t>
  </si>
  <si>
    <t>Total budget per ledger approved for the year 2025.
- Do not fill manually
- Presented in IDR currency (assumption: 1 USD = Rp16,500)</t>
  </si>
  <si>
    <t>Actual expenses from January to July 2025.
- Do not fill manually
- Presented in IDR currency</t>
  </si>
  <si>
    <t>Estimated monthly budget for 2026.
- Use IDR, assume 1 USD = Rp16,500
- Enter net value (excluding VAT)
- Must be detailed based on activity</t>
  </si>
  <si>
    <t>Fill in the value of 2025 POs that have not yet been realized and will run in 2026.</t>
  </si>
  <si>
    <r>
      <t xml:space="preserve">Activity priority level:
</t>
    </r>
    <r>
      <rPr>
        <b/>
        <sz val="11"/>
        <color theme="1"/>
        <rFont val="Aptos Narrow"/>
        <family val="2"/>
      </rPr>
      <t xml:space="preserve">Essentials </t>
    </r>
    <r>
      <rPr>
        <sz val="11"/>
        <color theme="1"/>
        <rFont val="Aptos Narrow"/>
        <family val="2"/>
      </rPr>
      <t xml:space="preserve">= Mandatory and important. Example: core operational.
</t>
    </r>
    <r>
      <rPr>
        <b/>
        <sz val="11"/>
        <color theme="1"/>
        <rFont val="Aptos Narrow"/>
        <family val="2"/>
      </rPr>
      <t>Moderate</t>
    </r>
    <r>
      <rPr>
        <sz val="11"/>
        <color theme="1"/>
        <rFont val="Aptos Narrow"/>
        <family val="2"/>
      </rPr>
      <t xml:space="preserve"> = Not mandatory, but supports the business. Example: consultant for regulatory-required research.
</t>
    </r>
    <r>
      <rPr>
        <b/>
        <sz val="11"/>
        <color theme="1"/>
        <rFont val="Aptos Narrow"/>
        <family val="2"/>
      </rPr>
      <t>Not Essentials</t>
    </r>
    <r>
      <rPr>
        <sz val="11"/>
        <color theme="1"/>
        <rFont val="Aptos Narrow"/>
        <family val="2"/>
      </rPr>
      <t xml:space="preserve"> = Not mandatory. Example: tool rental.</t>
    </r>
  </si>
  <si>
    <r>
      <t xml:space="preserve">Types of expenses:
</t>
    </r>
    <r>
      <rPr>
        <b/>
        <sz val="11"/>
        <color theme="1"/>
        <rFont val="Aptos Narrow"/>
        <family val="2"/>
      </rPr>
      <t xml:space="preserve">Monthly Recurring </t>
    </r>
    <r>
      <rPr>
        <sz val="11"/>
        <color theme="1"/>
        <rFont val="Aptos Narrow"/>
        <family val="2"/>
      </rPr>
      <t xml:space="preserve">= Monthly (e.g. car lease, subscription)
</t>
    </r>
    <r>
      <rPr>
        <b/>
        <sz val="11"/>
        <color theme="1"/>
        <rFont val="Aptos Narrow"/>
        <family val="2"/>
      </rPr>
      <t>Periodically Recurring</t>
    </r>
    <r>
      <rPr>
        <sz val="11"/>
        <color theme="1"/>
        <rFont val="Aptos Narrow"/>
        <family val="2"/>
      </rPr>
      <t xml:space="preserve"> = Quarterly/yearly (e.g. audit)
</t>
    </r>
    <r>
      <rPr>
        <b/>
        <sz val="11"/>
        <color theme="1"/>
        <rFont val="Aptos Narrow"/>
        <family val="2"/>
      </rPr>
      <t>One Off</t>
    </r>
    <r>
      <rPr>
        <sz val="11"/>
        <color theme="1"/>
        <rFont val="Aptos Narrow"/>
        <family val="2"/>
      </rPr>
      <t xml:space="preserve"> = One-time (e.g. construction project)
</t>
    </r>
    <r>
      <rPr>
        <b/>
        <sz val="11"/>
        <color theme="1"/>
        <rFont val="Aptos Narrow"/>
        <family val="2"/>
      </rPr>
      <t>Conditional =</t>
    </r>
    <r>
      <rPr>
        <sz val="11"/>
        <color theme="1"/>
        <rFont val="Aptos Narrow"/>
        <family val="2"/>
      </rPr>
      <t xml:space="preserve"> May occur each year but not certain (e.g. notary)</t>
    </r>
  </si>
  <si>
    <t>Fill in the name of the vendor or third-party service provider.</t>
  </si>
  <si>
    <t>Enter assumption of unit or duration.
Example: 12 (Because 12 months in a year)</t>
  </si>
  <si>
    <t>Price per unit according to the contract.
Example: Rp79,750,000 per month</t>
  </si>
  <si>
    <t>If the contract value is in original currency, enter here.
Example: Rp957 million paid for 3 months.</t>
  </si>
  <si>
    <t>Explain the budget calculation rationale.
Example: Rent Rp200 million/month, billed quarterly for 3 months.</t>
  </si>
  <si>
    <t>There are 3 sections in this sheet:</t>
  </si>
  <si>
    <t>All activities already registered as master activities for 2025.</t>
  </si>
  <si>
    <t>This section is filled with activities that have not yet been included in the master activity list.</t>
  </si>
  <si>
    <t>Please complete each part in the order below and only fill in the white-colored columns.</t>
  </si>
  <si>
    <t>Section 3. Proposed Codes from Existing Activity 2026</t>
  </si>
  <si>
    <t>This section is used if the requested activity already exists but the requesting department is different.</t>
  </si>
  <si>
    <r>
      <t>Fill in 11 digits. Format:</t>
    </r>
    <r>
      <rPr>
        <b/>
        <sz val="11"/>
        <color theme="1"/>
        <rFont val="Aptos Narrow"/>
        <family val="2"/>
      </rPr>
      <t xml:space="preserve"> XXXXX-YYYYY</t>
    </r>
    <r>
      <rPr>
        <sz val="11"/>
        <color theme="1"/>
        <rFont val="Aptos Narrow"/>
        <family val="2"/>
      </rPr>
      <t xml:space="preserve">
- </t>
    </r>
    <r>
      <rPr>
        <b/>
        <sz val="11"/>
        <color theme="1"/>
        <rFont val="Aptos Narrow"/>
        <family val="2"/>
      </rPr>
      <t>XXXXX</t>
    </r>
    <r>
      <rPr>
        <sz val="11"/>
        <color theme="1"/>
        <rFont val="Aptos Narrow"/>
        <family val="2"/>
      </rPr>
      <t xml:space="preserve"> = take the last 5 digits of the Cost Center (example: HR001)
- </t>
    </r>
    <r>
      <rPr>
        <b/>
        <sz val="11"/>
        <color theme="1"/>
        <rFont val="Aptos Narrow"/>
        <family val="2"/>
      </rPr>
      <t>YYYYY</t>
    </r>
    <r>
      <rPr>
        <sz val="11"/>
        <color theme="1"/>
        <rFont val="Aptos Narrow"/>
        <family val="2"/>
      </rPr>
      <t xml:space="preserve"> = sequence number of the activity. If new, fill in as 00072
</t>
    </r>
    <r>
      <rPr>
        <b/>
        <sz val="11"/>
        <color theme="1"/>
        <rFont val="Aptos Narrow"/>
        <family val="2"/>
      </rPr>
      <t xml:space="preserve">Complete Example:
</t>
    </r>
    <r>
      <rPr>
        <sz val="11"/>
        <color theme="1"/>
        <rFont val="Aptos Narrow"/>
        <family val="2"/>
      </rPr>
      <t xml:space="preserve">If your cost center is </t>
    </r>
    <r>
      <rPr>
        <b/>
        <sz val="11"/>
        <color theme="1"/>
        <rFont val="Aptos Narrow"/>
        <family val="2"/>
      </rPr>
      <t>10301HR001</t>
    </r>
    <r>
      <rPr>
        <sz val="11"/>
        <color theme="1"/>
        <rFont val="Aptos Narrow"/>
        <family val="2"/>
      </rPr>
      <t xml:space="preserve"> and you're creating a new activity,
then the activity code will be: </t>
    </r>
    <r>
      <rPr>
        <b/>
        <sz val="11"/>
        <color theme="1"/>
        <rFont val="Aptos Narrow"/>
        <family val="2"/>
      </rPr>
      <t>HR001-00072</t>
    </r>
  </si>
  <si>
    <r>
      <t xml:space="preserve">Short name of the activity (max. 40 characters). </t>
    </r>
    <r>
      <rPr>
        <b/>
        <sz val="11"/>
        <color theme="1"/>
        <rFont val="Aptos Narrow"/>
        <family val="2"/>
      </rPr>
      <t>Example</t>
    </r>
    <r>
      <rPr>
        <sz val="11"/>
        <color theme="1"/>
        <rFont val="Aptos Narrow"/>
        <family val="2"/>
      </rPr>
      <t>: Rental Fortuner BoD</t>
    </r>
  </si>
  <si>
    <r>
      <t>Choose the SAP ledger account code according to the type of activity
(for example, for rental, training, etc.).
See the list in "</t>
    </r>
    <r>
      <rPr>
        <b/>
        <sz val="11"/>
        <color theme="1"/>
        <rFont val="Aptos Narrow"/>
        <family val="2"/>
      </rPr>
      <t>Table 3.1 List Ledger COGM"</t>
    </r>
    <r>
      <rPr>
        <sz val="11"/>
        <color theme="1"/>
        <rFont val="Aptos Narrow"/>
        <family val="2"/>
      </rPr>
      <t xml:space="preserve"> &amp; "</t>
    </r>
    <r>
      <rPr>
        <b/>
        <sz val="11"/>
        <color theme="1"/>
        <rFont val="Aptos Narrow"/>
        <family val="2"/>
      </rPr>
      <t>Table 3.2 List Ledger OPEX</t>
    </r>
    <r>
      <rPr>
        <sz val="11"/>
        <color theme="1"/>
        <rFont val="Aptos Narrow"/>
        <family val="2"/>
      </rPr>
      <t>".</t>
    </r>
  </si>
  <si>
    <r>
      <t xml:space="preserve">Explain the activity in more detail, for example:
</t>
    </r>
    <r>
      <rPr>
        <b/>
        <sz val="11"/>
        <color theme="1"/>
        <rFont val="Aptos Narrow"/>
        <family val="2"/>
      </rPr>
      <t>Activity</t>
    </r>
    <r>
      <rPr>
        <sz val="11"/>
        <color theme="1"/>
        <rFont val="Aptos Narrow"/>
        <family val="2"/>
      </rPr>
      <t xml:space="preserve">: Rental - Fortuner
</t>
    </r>
    <r>
      <rPr>
        <b/>
        <sz val="11"/>
        <color theme="1"/>
        <rFont val="Aptos Narrow"/>
        <family val="2"/>
      </rPr>
      <t>Remarks</t>
    </r>
    <r>
      <rPr>
        <sz val="11"/>
        <color theme="1"/>
        <rFont val="Aptos Narrow"/>
        <family val="2"/>
      </rPr>
      <t>: Monthly rental car for BoD, under contract agreement</t>
    </r>
  </si>
  <si>
    <t>Supporting or consumable materials used in operations</t>
  </si>
  <si>
    <t>Basic salary for employees – Production</t>
  </si>
  <si>
    <t>Overtime costs – Production</t>
  </si>
  <si>
    <t>Tunjangan hari raya (THR) – Production</t>
  </si>
  <si>
    <t>Additional allowances such as transport and meals – Production</t>
  </si>
  <si>
    <t>BPJS fee or other social security – Production</t>
  </si>
  <si>
    <t>Salary for contract employees – Production</t>
  </si>
  <si>
    <t>Performance-based incentive bonus – Production</t>
  </si>
  <si>
    <t>Employee income tax (PPh 21) – Production</t>
  </si>
  <si>
    <t>Annual or additional bonus – Production</t>
  </si>
  <si>
    <t>Severance pay or separation money upon employee departure – Production</t>
  </si>
  <si>
    <t>Health insurance or other insurance – Production</t>
  </si>
  <si>
    <t>Additional allowances such as meal expenses – Production</t>
  </si>
  <si>
    <t>Other labor costs not classified under specific categories – Production</t>
  </si>
  <si>
    <t>Provision costs for employee benefits – Production</t>
  </si>
  <si>
    <t>Subcontracting and fabrication costs using third parties – Production</t>
  </si>
  <si>
    <t>Third-party packaging costs – Production</t>
  </si>
  <si>
    <t>Daily wages for outsourced workers – Production</t>
  </si>
  <si>
    <t>Calibration services using third parties – Production</t>
  </si>
  <si>
    <t>Electricity costs from PLN – Production</t>
  </si>
  <si>
    <t>Clean water costs – Production</t>
  </si>
  <si>
    <t>Oxygen cost - Production</t>
  </si>
  <si>
    <t>Gas from PGN cost - Production</t>
  </si>
  <si>
    <t>Repair and Maintenance cost for building</t>
  </si>
  <si>
    <t>Repair and Maintenance Costs for Machine Assets</t>
  </si>
  <si>
    <t>Repair and Maintenance Costs for Heavy Equipment</t>
  </si>
  <si>
    <t>Repair and Maintenance Costs for Vehicle Assets</t>
  </si>
  <si>
    <t>Repair and Maintenance Costs for Office Furniture Assets</t>
  </si>
  <si>
    <t>Repair and maintenance costs of work equipment assets</t>
  </si>
  <si>
    <t>Repair and maintenance costs of Water Treatment Plant (WTP)</t>
  </si>
  <si>
    <t>Testing or inspection costs at the steel lab</t>
  </si>
  <si>
    <t>Import costs related to freight</t>
  </si>
  <si>
    <t>Import costs related to customs duties</t>
  </si>
  <si>
    <t>Import costs related to LC</t>
  </si>
  <si>
    <t>Import costs related to insurance</t>
  </si>
  <si>
    <t>Other import costs that do not fall under specific categories</t>
  </si>
  <si>
    <t>Training or seminar costs</t>
  </si>
  <si>
    <t>Building insurance premium costs</t>
  </si>
  <si>
    <t>Machine insurance premium costs</t>
  </si>
  <si>
    <t>Vehicle insurance premium costs</t>
  </si>
  <si>
    <t>Product liability insurance premium costs</t>
  </si>
  <si>
    <t>Employee insurance premium costs (excluding DL benefit)</t>
  </si>
  <si>
    <t>Other insurance premium costs related to production</t>
  </si>
  <si>
    <t>Warehouse rental costs</t>
  </si>
  <si>
    <t>Vehicle rental costs</t>
  </si>
  <si>
    <t>Land rental costs</t>
  </si>
  <si>
    <t>Building or office rental costs</t>
  </si>
  <si>
    <t>Machine rental costs</t>
  </si>
  <si>
    <t>Other rental costs</t>
  </si>
  <si>
    <t>Internet and telephone bills</t>
  </si>
  <si>
    <t>Document or goods shipping costs</t>
  </si>
  <si>
    <t>Stamp duty costs</t>
  </si>
  <si>
    <t>Other postal/telecommunication costs not included in specific categories</t>
  </si>
  <si>
    <t>Legal service costs</t>
  </si>
  <si>
    <t>Production-specific tax consultant service costs</t>
  </si>
  <si>
    <t>External audit service costs</t>
  </si>
  <si>
    <t>Surveyor service costs, usually for scrap surveyors</t>
  </si>
  <si>
    <t>Other operational service costs</t>
  </si>
  <si>
    <t>Tax and licensing costs for land.</t>
  </si>
  <si>
    <t>Tax costs for IMB (Building Permit)</t>
  </si>
  <si>
    <t>Tax and licensing costs for retribution.</t>
  </si>
  <si>
    <t>Tax and licensing costs for vehicles.</t>
  </si>
  <si>
    <t>Other tax and licensing costs that do not fall under specific categories.</t>
  </si>
  <si>
    <t>Office supplies usage/purchase costs..
Example: Stationery</t>
  </si>
  <si>
    <t>Costs for all types of printing and photocopying.
Example: printing invoices, receipts, bills, business cards, etc.</t>
  </si>
  <si>
    <t>Costs for official meetings, conferences, and other expenses directly related to production.</t>
  </si>
  <si>
    <t>Costs for organizing special company events directly related to production. For example, plant certification.</t>
  </si>
  <si>
    <t>Transportation costs that do not fall under specific categories, for example: transportation for production equipment pickup.</t>
  </si>
  <si>
    <t>Other transportation costs that do not fall under specific categories</t>
  </si>
  <si>
    <t>Local shipping costs</t>
  </si>
  <si>
    <t>Waste transportation or disposal costs</t>
  </si>
  <si>
    <t>Purchase of equipment related to production</t>
  </si>
  <si>
    <t>Purchase of office equipment in the production area</t>
  </si>
  <si>
    <t>Membership fees directly related to production</t>
  </si>
  <si>
    <t>Subscription costs for websites or systems directly related to production</t>
  </si>
  <si>
    <t>Spare parts costs used for production as well as repair &amp; maintenance in the production area</t>
  </si>
  <si>
    <t>Basic salary for employees – Head Office</t>
  </si>
  <si>
    <t>Overtime costs – Head Office</t>
  </si>
  <si>
    <t>Additional allowances such as transport, meals – Head Office</t>
  </si>
  <si>
    <t>BPJS fee or other social security – Head Office</t>
  </si>
  <si>
    <t>Salary for contract employees – Head Office</t>
  </si>
  <si>
    <t>Incentive bonus for achieving targets or performance – Head Office</t>
  </si>
  <si>
    <t>Employee income tax – Head Office</t>
  </si>
  <si>
    <t>Annual or additional bonuses – Head Office</t>
  </si>
  <si>
    <t>Severance pay or separation money when employees leave – Head Office</t>
  </si>
  <si>
    <t>Health insurance or other insurance – Head Office</t>
  </si>
  <si>
    <t>Other employee costs not included in specific categories – Head Office</t>
  </si>
  <si>
    <t>Reserve costs for retirement separation benefits</t>
  </si>
  <si>
    <t>Wage costs for outsourcing staff/daily workers</t>
  </si>
  <si>
    <t>Electricity costs from PLN – Head Office</t>
  </si>
  <si>
    <t>Clean water costs from PDAM – Head Office</t>
  </si>
  <si>
    <t>Oxygen costs – Head Office (internal consumption, related to projects)</t>
  </si>
  <si>
    <t>Repair and maintenance costs for building assets</t>
  </si>
  <si>
    <t>Repair and maintenance costs for machine assets</t>
  </si>
  <si>
    <t>Repair and maintenance costs of heavy equipment assets</t>
  </si>
  <si>
    <t>Repair and maintenance costs of vehicle assets</t>
  </si>
  <si>
    <t>Repair and maintenance costs of office furniture assets</t>
  </si>
  <si>
    <t>Repair and maintenance costs of LVA</t>
  </si>
  <si>
    <t>Freight cost for export transactions</t>
  </si>
  <si>
    <t>Delivery cost for export transactions</t>
  </si>
  <si>
    <t>Certification cost for export transactions</t>
  </si>
  <si>
    <t>Customs duty cost for export transactions</t>
  </si>
  <si>
    <t>Bank service fees for export transactions</t>
  </si>
  <si>
    <t>Insurance premium for export transactions</t>
  </si>
  <si>
    <t>Handling cost for export transactions</t>
  </si>
  <si>
    <t>Penalty cost for export transactions</t>
  </si>
  <si>
    <t>Other costs not classified under specific categories for export transactions</t>
  </si>
  <si>
    <t>Freight cost for import transactions</t>
  </si>
  <si>
    <t>Delivery cost for import transactions</t>
  </si>
  <si>
    <t>Certification cost for import transactions</t>
  </si>
  <si>
    <t>Customs duty cost for import transactions</t>
  </si>
  <si>
    <t>Bank service fees for import transactions</t>
  </si>
  <si>
    <t>Insurance premium for import transactions</t>
  </si>
  <si>
    <t>Handling cost for import transactions</t>
  </si>
  <si>
    <t>Penalty cost for import transactions</t>
  </si>
  <si>
    <t>Other costs not classified under specific categories for import transactions</t>
  </si>
  <si>
    <t>Promotion, advertising, and branding costs</t>
  </si>
  <si>
    <t>Promotional gifts or souvenirs</t>
  </si>
  <si>
    <t>Event/exhibition sponsorship costs</t>
  </si>
  <si>
    <t xml:space="preserve">Insurance premium to cover damage or loss to physical assets (e.g. buildings, machinery, inventory) </t>
  </si>
  <si>
    <t>Insurance premium to cover company-owned vehicles</t>
  </si>
  <si>
    <t>Insurance premium to protects the company from legal or financial claims caused by third-party injury or property damage due to the company's operations or products.</t>
  </si>
  <si>
    <t>Insurance premium to protect the company directors and officers against personal losses due to legal actions taken for alleged wrongful acts in their role.</t>
  </si>
  <si>
    <t>Insurance premium to cover employees’ personal insurance needs as provided by the company</t>
  </si>
  <si>
    <t>Document or goods delivery costs</t>
  </si>
  <si>
    <t>Other costs not classified under a specific category</t>
  </si>
  <si>
    <t>Legal service fees</t>
  </si>
  <si>
    <t>Tax consultant service fees</t>
  </si>
  <si>
    <t>External audit service fees</t>
  </si>
  <si>
    <t>Scrap surveyor fees (for calculating scrap inventory)</t>
  </si>
  <si>
    <t>Other professional service fees not classified into specific categories</t>
  </si>
  <si>
    <t>Product sample costs for finished goods given to customers</t>
  </si>
  <si>
    <t>Donations and social contributions to the surrounding community</t>
  </si>
  <si>
    <t>Other entertainment expenses not classified into specific categories</t>
  </si>
  <si>
    <t>Land tax and permit fees</t>
  </si>
  <si>
    <t>IMB (building permit) tax fees</t>
  </si>
  <si>
    <t>Retribution tax and permit fees</t>
  </si>
  <si>
    <t>Vehicle tax and permit fees</t>
  </si>
  <si>
    <t>Other tax and permit fees not classified into specific categories</t>
  </si>
  <si>
    <t>Office supply usage/purchase costs (Example: Stationery)</t>
  </si>
  <si>
    <t>Printing and photocopying expenses for all types (Example: invoice printing, receipts, name cards, etc.)</t>
  </si>
  <si>
    <t>Meeting, conference, and other internal gathering expenses</t>
  </si>
  <si>
    <t>Company event expenses such as religious gatherings, Christmas, company anniversary, Independence Day celebration, etc.</t>
  </si>
  <si>
    <t>Business travel ticket and accommodation expenses (e.g., hotel, COVID test for travel, etc.)</t>
  </si>
  <si>
    <t>Other general expenses not classified elsewhere, such as inter-warehouse transfer or operational transport</t>
  </si>
  <si>
    <t>Expenses related to shipping goods to local customers</t>
  </si>
  <si>
    <t>Factory waste treatment costs (goods and services)</t>
  </si>
  <si>
    <t>Household supply expenses consumed directly by the company (e.g., cleaning supplies, light furniture, kitchen utensils)</t>
  </si>
  <si>
    <t>Purchase of general office or factory tools</t>
  </si>
  <si>
    <t>Purchase of office equipment (e.g., calculator, AC, dispenser, fridge, tool kits, etc.)</t>
  </si>
  <si>
    <t>Commission fees for agents, partners, or sales reps</t>
  </si>
  <si>
    <t>Bank service fees (e.g., transfer, clearing)</t>
  </si>
  <si>
    <t>Website, magazine, and other subscription costs</t>
  </si>
  <si>
    <t>Royalty fees paid to shareholders</t>
  </si>
  <si>
    <t>w</t>
  </si>
  <si>
    <t>Cost centre</t>
  </si>
  <si>
    <t>Cost centre code</t>
  </si>
  <si>
    <t>Cost centre description</t>
  </si>
  <si>
    <t>Project ID - Code</t>
  </si>
  <si>
    <t>IO - Code</t>
  </si>
  <si>
    <t>BP1 ROLLER</t>
  </si>
  <si>
    <t>PD</t>
  </si>
  <si>
    <t>CLC</t>
  </si>
  <si>
    <t>Accounting &amp; Fixed Asset Management</t>
  </si>
  <si>
    <t>List General Ledger</t>
  </si>
  <si>
    <t>Table 3.3. List Ledger CAPEX</t>
  </si>
  <si>
    <t>IO &amp; Project ID - Group</t>
  </si>
  <si>
    <t>CAPEX Priority</t>
  </si>
  <si>
    <t>OPEX</t>
  </si>
  <si>
    <t>BU/SU/HO</t>
  </si>
  <si>
    <t>Ctrl to Master Data</t>
  </si>
  <si>
    <t>A0126</t>
  </si>
  <si>
    <t>A0226</t>
  </si>
  <si>
    <t>A0326</t>
  </si>
  <si>
    <t>A0426</t>
  </si>
  <si>
    <t>A0526</t>
  </si>
  <si>
    <t>A0626</t>
  </si>
  <si>
    <t>A0726</t>
  </si>
  <si>
    <t>A0826</t>
  </si>
  <si>
    <t>A0926</t>
  </si>
  <si>
    <t>A1126</t>
  </si>
  <si>
    <t>LSM REPAIR</t>
  </si>
  <si>
    <t>Exchange rate (USD)</t>
  </si>
  <si>
    <t>IO/Project ID Group</t>
  </si>
  <si>
    <t>IO/Project ID</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</si>
  <si>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</si>
  <si>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</si>
  <si>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</si>
  <si>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</si>
  <si>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</si>
  <si>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</si>
  <si>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</si>
  <si>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</si>
  <si>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</si>
  <si>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</si>
  <si>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</si>
  <si>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</si>
  <si>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x</t>
  </si>
  <si>
    <t>Ledger Expense Group / Type</t>
  </si>
  <si>
    <t>Selling / GA</t>
  </si>
  <si>
    <t>Permits &amp; Licensing</t>
  </si>
  <si>
    <t>Legal Commercial</t>
  </si>
  <si>
    <t>Regulatory &amp; external affair</t>
  </si>
  <si>
    <t>&gt;&gt; New CC</t>
  </si>
  <si>
    <t>Budget Capex Detail</t>
  </si>
  <si>
    <t>Master Data</t>
  </si>
  <si>
    <t>SUSTAINABILITY</t>
  </si>
  <si>
    <t>Management fees</t>
  </si>
  <si>
    <r>
      <t>Harap diisi dengan kode SAP cost center sesuai dengan cost center department masing-masing. Bisa ke sheet "</t>
    </r>
    <r>
      <rPr>
        <b/>
        <sz val="11"/>
        <color theme="1"/>
        <rFont val="Aptos Narrow"/>
        <family val="2"/>
      </rPr>
      <t>Master Data</t>
    </r>
    <r>
      <rPr>
        <sz val="11"/>
        <color theme="1"/>
        <rFont val="Aptos Narrow"/>
        <family val="2"/>
      </rPr>
      <t>" &gt;&gt;</t>
    </r>
  </si>
  <si>
    <t>Estimated payment period</t>
  </si>
  <si>
    <t>Sheet 3 : Opex&amp;COGM - Budget Detail</t>
  </si>
  <si>
    <t>KERTAS KERJA "BUDGET OPEX DETAIL"</t>
  </si>
  <si>
    <t>KERTAS KERJA "BUDGET COGM DETAIL"</t>
  </si>
  <si>
    <r>
      <t>Masukan nomor GL sesuai dengan nature dari transaksi yang akan dijalankan. Untuk referensi GL, bisa melihat "</t>
    </r>
    <r>
      <rPr>
        <b/>
        <sz val="11"/>
        <color theme="1"/>
        <rFont val="Aptos Narrow"/>
        <family val="2"/>
      </rPr>
      <t>Table 3.1 List Ledger COGM</t>
    </r>
    <r>
      <rPr>
        <sz val="11"/>
        <color theme="1"/>
        <rFont val="Aptos Narrow"/>
        <family val="2"/>
      </rPr>
      <t>".</t>
    </r>
  </si>
  <si>
    <t>"BUDGET OPEX DETAIL" Working paper</t>
  </si>
  <si>
    <t>"BUDGET COGM DETAIL" Working paper</t>
  </si>
  <si>
    <r>
      <t>Enter the GL number according to the nature of the transaction to be carried out. For GL reference, you can refer to '</t>
    </r>
    <r>
      <rPr>
        <b/>
        <sz val="11"/>
        <color theme="1"/>
        <rFont val="Aptos Narrow"/>
        <family val="2"/>
      </rPr>
      <t>Table 3.1 List Ledger COGM</t>
    </r>
    <r>
      <rPr>
        <sz val="11"/>
        <color theme="1"/>
        <rFont val="Aptos Narrow"/>
        <family val="2"/>
      </rPr>
      <t>'.</t>
    </r>
  </si>
  <si>
    <t>Biaya lain-lain yang tidak termasuk pada kategori biaya tersebut di atas</t>
  </si>
  <si>
    <t>Other expenses not included in the categories mentioned above</t>
  </si>
  <si>
    <t>Mohon kirimkan Lembar kerja anggaran tahunan (master budget template) yang telah disetujui ke Budget&amp;Analysis Departemen paling lambat tanggal 05 September 2025.</t>
  </si>
  <si>
    <t>Project Management</t>
  </si>
  <si>
    <t>IT Business Solution</t>
  </si>
  <si>
    <t>IT Analytics</t>
  </si>
  <si>
    <t>Biaya makanan untuk semua karyawan yang memenuhi syarat, acara internal, rapat, pelatihan, tamu, perlengkapan &amp; bahan habis pakai lainnya</t>
  </si>
  <si>
    <t>Biaya bahan bakar kendaraan operasional</t>
  </si>
  <si>
    <t>Premi asuransi ain-lain yang tidak termasuk pada kategori biaya tersebut di atas</t>
  </si>
  <si>
    <t>Please submit the approved annual budget worksheet to the Budget &amp; Analysis Department no later than September 05, 2025.</t>
  </si>
  <si>
    <t>Meals provided for all eligible employees,internal event, meeting, training, guests, kitchen and other supplies</t>
  </si>
  <si>
    <t>Operational vehicle fuel costs</t>
  </si>
  <si>
    <t>Insurance premiums not included in the aforementioned cost classifications</t>
  </si>
  <si>
    <r>
      <t xml:space="preserve">Please fill in the SAP cost center code according to your department.
You can refer to the </t>
    </r>
    <r>
      <rPr>
        <b/>
        <sz val="11"/>
        <color theme="1"/>
        <rFont val="Aptos Narrow"/>
        <family val="2"/>
      </rPr>
      <t>"Master Data"</t>
    </r>
    <r>
      <rPr>
        <sz val="11"/>
        <color theme="1"/>
        <rFont val="Aptos Narrow"/>
        <family val="2"/>
      </rPr>
      <t xml:space="preserve"> sheet &gt;&gt;</t>
    </r>
  </si>
  <si>
    <t>PROJECT MANAGEMENT</t>
  </si>
  <si>
    <t>CSR &amp; COMMUNITY DEVELOPMENT</t>
  </si>
  <si>
    <t>GOVERNMENT RELATIONS &amp; EXTERNAL ACTIVITIES</t>
  </si>
  <si>
    <t>GOVERNMENT PROJECT - CONSULTING SERVICES</t>
  </si>
  <si>
    <t>Business Trip for Head of Sales</t>
  </si>
  <si>
    <t>Road to campus and seminar</t>
  </si>
  <si>
    <t>Distributor Trip to Japan</t>
  </si>
  <si>
    <t>Participate in any exhibition to promote GYS Product</t>
  </si>
  <si>
    <t>Rebranding activity, Marketing research for seismic grade with ITB, TADA</t>
  </si>
  <si>
    <t>Subscription to Data Base Projects</t>
  </si>
  <si>
    <t>Billboad using vendor, for Customers</t>
  </si>
  <si>
    <t>- Column 3</t>
  </si>
  <si>
    <t>Stake acquired by purchasers</t>
  </si>
  <si>
    <t>From GRD</t>
  </si>
  <si>
    <t>From GRP</t>
  </si>
  <si>
    <t>Total</t>
  </si>
  <si>
    <t>%</t>
  </si>
  <si>
    <t>YKC</t>
  </si>
  <si>
    <t># of shares</t>
  </si>
  <si>
    <t>SYS</t>
  </si>
  <si>
    <t>HK</t>
  </si>
  <si>
    <t>GRP (Retained shares)</t>
  </si>
  <si>
    <t>Fee Rate</t>
  </si>
  <si>
    <t>Revenue</t>
  </si>
  <si>
    <t>Fee SYS</t>
  </si>
  <si>
    <t>Fee Hanwa</t>
  </si>
  <si>
    <t>Fee GRP</t>
  </si>
  <si>
    <t>Revenue (net)</t>
  </si>
  <si>
    <t>Revenue reduction</t>
  </si>
  <si>
    <t>Royalty fee to shareholders</t>
  </si>
  <si>
    <t>&gt;&gt; Filled in the highlighted area</t>
  </si>
  <si>
    <t>Freight cost</t>
  </si>
  <si>
    <t>Jan</t>
  </si>
  <si>
    <t>Feb</t>
  </si>
  <si>
    <t>Mar</t>
  </si>
  <si>
    <t>Apr</t>
  </si>
  <si>
    <t>May</t>
  </si>
  <si>
    <t>Jun</t>
  </si>
  <si>
    <t>Jul</t>
  </si>
  <si>
    <t>Aug</t>
  </si>
  <si>
    <t>Sep</t>
  </si>
  <si>
    <t>Oct</t>
  </si>
  <si>
    <t>Nov</t>
  </si>
  <si>
    <t>Dec</t>
  </si>
  <si>
    <t>Jan-Dec</t>
  </si>
  <si>
    <t>Dispatch target</t>
  </si>
  <si>
    <t>General transport</t>
  </si>
  <si>
    <t>FREIGHT LOCAL</t>
  </si>
  <si>
    <t>Actual Freight</t>
  </si>
  <si>
    <t>Detail incoterms</t>
  </si>
  <si>
    <t>TOTAL</t>
  </si>
  <si>
    <t>Inventory Type</t>
  </si>
  <si>
    <t>Quantity (MT)</t>
  </si>
  <si>
    <t>Dispatch</t>
  </si>
  <si>
    <t>Freight Cost</t>
  </si>
  <si>
    <t>EXW</t>
  </si>
  <si>
    <t>FRA</t>
  </si>
  <si>
    <t>Jan-Jul 25</t>
  </si>
  <si>
    <t>Freight/MT
(IDT)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</si>
</sst>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 #,##0.00_-;_-* &quot;-&quot;??_-;_-@_-"/>
    <numFmt numFmtId="164" formatCode="_(* #,##0_);_(* \(#,##0\);_(* &quot;-&quot;_);_(@_)"/>
    <numFmt numFmtId="165" formatCode="_(* #,##0.00_);_(* \(#,##0.00\);_(* &quot;-&quot;??_);_(@_)"/>
    <numFmt numFmtId="166" formatCode="_ * #,##0.00_ ;_ * \-#,##0.00_ ;_ * &quot;-&quot;??_ ;_ @_ "/>
    <numFmt numFmtId="167" formatCode="_(* #,##0_);_(* \(#,##0\);_(* &quot;-&quot;??_);_(@_)"/>
    <numFmt numFmtId="168" formatCode="[$-409]mmm\-yy;@"/>
    <numFmt numFmtId="169" formatCode="_-* #,##0_-;\-* #,##0_-;_-* &quot;-&quot;??_-;_-@_-"/>
  </numFmts>
  <fonts count="56" x14ac:knownFonts="1">
    <font>
      <sz val="11"/>
      <color theme="1"/>
      <name val="Calibri"/>
      <family val="2"/>
      <scheme val="minor"/>
    </font>
    <font>
      <sz val="11"/>
      <color theme="1"/>
      <name val="Calibri"/>
      <family val="2"/>
      <scheme val="minor"/>
    </font>
    <font>
      <b/>
      <sz val="11"/>
      <color theme="0"/>
      <name val="Calibri"/>
      <family val="2"/>
      <scheme val="minor"/>
    </font>
    <font>
      <sz val="11"/>
      <color theme="1"/>
      <name val="Arial"/>
      <family val="2"/>
    </font>
    <font>
      <b/>
      <i/>
      <sz val="18"/>
      <color theme="1"/>
      <name val="Arial"/>
      <family val="2"/>
    </font>
    <font>
      <b/>
      <sz val="16"/>
      <color theme="1"/>
      <name val="Arial"/>
      <family val="2"/>
    </font>
    <font>
      <b/>
      <sz val="14"/>
      <color theme="1"/>
      <name val="Arial"/>
      <family val="2"/>
    </font>
    <font>
      <b/>
      <sz val="11"/>
      <color rgb="FFC00000"/>
      <name val="Arial"/>
      <family val="2"/>
    </font>
    <font>
      <b/>
      <u/>
      <sz val="11"/>
      <color theme="1"/>
      <name val="Arial"/>
      <family val="2"/>
    </font>
    <font>
      <b/>
      <u/>
      <sz val="11"/>
      <color rgb="FFC00000"/>
      <name val="Arial"/>
      <family val="2"/>
    </font>
    <font>
      <sz val="11"/>
      <name val="Arial"/>
      <family val="2"/>
    </font>
    <font>
      <i/>
      <sz val="11"/>
      <name val="Arial"/>
      <family val="2"/>
    </font>
    <font>
      <b/>
      <sz val="11"/>
      <name val="Arial"/>
      <family val="2"/>
    </font>
    <font>
      <i/>
      <sz val="11"/>
      <color theme="1"/>
      <name val="Arial"/>
      <family val="2"/>
    </font>
    <font>
      <sz val="11"/>
      <color rgb="FF000000"/>
      <name val="Arial"/>
      <family val="2"/>
    </font>
    <font>
      <b/>
      <sz val="11"/>
      <color theme="1"/>
      <name val="Arial"/>
      <family val="2"/>
    </font>
    <font>
      <sz val="11"/>
      <color theme="1"/>
      <name val="Calibri"/>
      <family val="2"/>
    </font>
    <font>
      <sz val="12"/>
      <color theme="1"/>
      <name val="Arial"/>
      <family val="2"/>
    </font>
    <font>
      <b/>
      <sz val="12"/>
      <color theme="0"/>
      <name val="Arial"/>
      <family val="2"/>
    </font>
    <font>
      <u/>
      <sz val="11"/>
      <color theme="10"/>
      <name val="Arial"/>
      <family val="2"/>
    </font>
    <font>
      <b/>
      <i/>
      <u/>
      <sz val="12"/>
      <color rgb="FF002060"/>
      <name val="Arial"/>
      <family val="2"/>
    </font>
    <font>
      <sz val="9"/>
      <color theme="1"/>
      <name val="Arial"/>
      <family val="2"/>
    </font>
    <font>
      <b/>
      <sz val="10"/>
      <color theme="1"/>
      <name val="Arial"/>
      <family val="2"/>
    </font>
    <font>
      <sz val="10"/>
      <color theme="1"/>
      <name val="Arial"/>
      <family val="2"/>
    </font>
    <font>
      <sz val="10"/>
      <color theme="1"/>
      <name val="Calibri"/>
      <family val="2"/>
    </font>
    <font>
      <b/>
      <sz val="11"/>
      <color theme="1"/>
      <name val="Calibri"/>
      <family val="2"/>
      <scheme val="minor"/>
    </font>
    <font>
      <b/>
      <sz val="9"/>
      <color indexed="81"/>
      <name val="Tahoma"/>
      <family val="2"/>
    </font>
    <font>
      <i/>
      <sz val="10"/>
      <color theme="1"/>
      <name val="Calibri"/>
      <family val="2"/>
    </font>
    <font>
      <u/>
      <sz val="11"/>
      <color theme="10"/>
      <name val="Calibri"/>
      <family val="2"/>
      <scheme val="minor"/>
    </font>
    <font>
      <b/>
      <i/>
      <sz val="18"/>
      <color theme="1"/>
      <name val="Aptos Narrow"/>
      <family val="2"/>
    </font>
    <font>
      <sz val="11"/>
      <color theme="1"/>
      <name val="Aptos Narrow"/>
      <family val="2"/>
    </font>
    <font>
      <b/>
      <sz val="16"/>
      <color theme="1"/>
      <name val="Aptos Narrow"/>
      <family val="2"/>
    </font>
    <font>
      <b/>
      <sz val="14"/>
      <color theme="1"/>
      <name val="Aptos Narrow"/>
      <family val="2"/>
    </font>
    <font>
      <b/>
      <sz val="11"/>
      <color rgb="FFC00000"/>
      <name val="Aptos Narrow"/>
      <family val="2"/>
    </font>
    <font>
      <b/>
      <u/>
      <sz val="11"/>
      <color theme="1"/>
      <name val="Aptos Narrow"/>
      <family val="2"/>
    </font>
    <font>
      <b/>
      <u/>
      <sz val="11"/>
      <color rgb="FFC00000"/>
      <name val="Aptos Narrow"/>
      <family val="2"/>
    </font>
    <font>
      <sz val="11"/>
      <name val="Aptos Narrow"/>
      <family val="2"/>
    </font>
    <font>
      <i/>
      <sz val="11"/>
      <name val="Aptos Narrow"/>
      <family val="2"/>
    </font>
    <font>
      <b/>
      <sz val="11"/>
      <name val="Aptos Narrow"/>
      <family val="2"/>
    </font>
    <font>
      <i/>
      <sz val="11"/>
      <color theme="1"/>
      <name val="Aptos Narrow"/>
      <family val="2"/>
    </font>
    <font>
      <sz val="11"/>
      <color rgb="FF000000"/>
      <name val="Aptos Narrow"/>
      <family val="2"/>
    </font>
    <font>
      <b/>
      <sz val="11"/>
      <color theme="1"/>
      <name val="Aptos Narrow"/>
      <family val="2"/>
    </font>
    <font>
      <sz val="12"/>
      <color theme="1"/>
      <name val="Aptos Narrow"/>
      <family val="2"/>
    </font>
    <font>
      <b/>
      <sz val="11"/>
      <color theme="0"/>
      <name val="Aptos Narrow"/>
      <family val="2"/>
    </font>
    <font>
      <b/>
      <sz val="11"/>
      <color rgb="FF339966"/>
      <name val="Aptos Narrow"/>
      <family val="2"/>
    </font>
    <font>
      <b/>
      <i/>
      <sz val="11"/>
      <color rgb="FFFF0000"/>
      <name val="Aptos Narrow"/>
      <family val="2"/>
    </font>
    <font>
      <b/>
      <i/>
      <sz val="11"/>
      <color theme="1"/>
      <name val="Aptos Narrow"/>
      <family val="2"/>
    </font>
    <font>
      <sz val="12"/>
      <name val="Aptos Narrow"/>
      <family val="2"/>
    </font>
    <font>
      <b/>
      <sz val="11"/>
      <color rgb="FFFF0000"/>
      <name val="Aptos Narrow"/>
      <family val="2"/>
    </font>
    <font>
      <i/>
      <sz val="11"/>
      <color rgb="FF000000"/>
      <name val="Aptos Narrow"/>
      <family val="2"/>
    </font>
    <font>
      <b/>
      <sz val="11"/>
      <color rgb="FF000000"/>
      <name val="Aptos Narrow"/>
      <family val="2"/>
    </font>
    <font>
      <sz val="11"/>
      <color theme="0"/>
      <name val="Aptos Narrow"/>
      <family val="2"/>
    </font>
    <font>
      <sz val="11"/>
      <color rgb="FFFF0000"/>
      <name val="Aptos Narrow"/>
      <family val="2"/>
    </font>
    <font>
      <b/>
      <sz val="24"/>
      <color theme="1"/>
      <name val="Aptos Narrow"/>
      <family val="2"/>
    </font>
    <font>
      <b/>
      <i/>
      <u/>
      <sz val="11"/>
      <color rgb="FF339966"/>
      <name val="Aptos Narrow"/>
      <family val="2"/>
    </font>
    <font>
      <sz val="10"/>
      <name val="Arial"/>
      <family val="2"/>
    </font>
  </fonts>
  <fills count="29">
    <fill>
      <patternFill patternType="none"/>
    </fill>
    <fill>
      <patternFill patternType="gray125"/>
    </fill>
    <fill>
      <patternFill patternType="solid">
        <fgColor theme="0" tint="-0.499984740745262"/>
        <bgColor indexed="64"/>
      </patternFill>
    </fill>
    <fill>
      <patternFill patternType="solid">
        <fgColor theme="2" tint="-0.249977111117893"/>
        <bgColor indexed="64"/>
      </patternFill>
    </fill>
    <fill>
      <patternFill patternType="solid">
        <fgColor theme="2" tint="-0.14999847407452621"/>
        <bgColor indexed="64"/>
      </patternFill>
    </fill>
    <fill>
      <patternFill patternType="solid">
        <fgColor theme="0" tint="-0.14999847407452621"/>
        <bgColor indexed="64"/>
      </patternFill>
    </fill>
    <fill>
      <patternFill patternType="solid">
        <fgColor theme="1"/>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499984740745262"/>
        <bgColor indexed="64"/>
      </patternFill>
    </fill>
    <fill>
      <patternFill patternType="solid">
        <fgColor theme="8" tint="0.39997558519241921"/>
        <bgColor indexed="64"/>
      </patternFill>
    </fill>
    <fill>
      <patternFill patternType="solid">
        <fgColor indexed="22"/>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rgb="FF1D8764"/>
        <bgColor indexed="64"/>
      </patternFill>
    </fill>
    <fill>
      <patternFill patternType="solid">
        <fgColor theme="2" tint="-0.89999084444715716"/>
        <bgColor rgb="FFC00000"/>
      </patternFill>
    </fill>
    <fill>
      <patternFill patternType="solid">
        <fgColor theme="2" tint="-4.9989318521683403E-2"/>
        <bgColor indexed="64"/>
      </patternFill>
    </fill>
    <fill>
      <patternFill patternType="solid">
        <fgColor theme="0" tint="-0.249977111117893"/>
        <bgColor rgb="FFC00000"/>
      </patternFill>
    </fill>
    <fill>
      <patternFill patternType="solid">
        <fgColor theme="5" tint="0.79998168889431442"/>
        <bgColor indexed="64"/>
      </patternFill>
    </fill>
    <fill>
      <patternFill patternType="solid">
        <fgColor rgb="FF339966"/>
        <bgColor indexed="64"/>
      </patternFill>
    </fill>
    <fill>
      <patternFill patternType="solid">
        <fgColor theme="0" tint="-4.9989318521683403E-2"/>
        <bgColor indexed="64"/>
      </patternFill>
    </fill>
    <fill>
      <patternFill patternType="solid">
        <fgColor rgb="FF339966"/>
        <bgColor rgb="FFC00000"/>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499984740745262"/>
        <bgColor rgb="FFC00000"/>
      </patternFill>
    </fill>
    <fill>
      <patternFill patternType="solid">
        <fgColor theme="1" tint="0.34998626667073579"/>
        <bgColor indexed="64"/>
      </patternFill>
    </fill>
    <fill>
      <patternFill patternType="solid">
        <fgColor theme="1" tint="0.34998626667073579"/>
        <bgColor rgb="FFC00000"/>
      </patternFill>
    </fill>
    <fill>
      <patternFill patternType="solid">
        <fgColor rgb="FFFFFFCC"/>
        <bgColor indexed="64"/>
      </patternFill>
    </fill>
  </fills>
  <borders count="92">
    <border>
      <left/>
      <right/>
      <top/>
      <bottom/>
      <diagonal/>
    </border>
    <border>
      <left/>
      <right/>
      <top/>
      <bottom style="medium">
        <color indexed="64"/>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rgb="FF000000"/>
      </top>
      <bottom style="dotted">
        <color rgb="FF000000"/>
      </bottom>
      <diagonal/>
    </border>
    <border>
      <left style="thin">
        <color indexed="64"/>
      </left>
      <right style="thin">
        <color indexed="64"/>
      </right>
      <top style="thin">
        <color rgb="FF000000"/>
      </top>
      <bottom style="dotted">
        <color rgb="FF000000"/>
      </bottom>
      <diagonal/>
    </border>
    <border>
      <left/>
      <right style="thin">
        <color indexed="64"/>
      </right>
      <top style="thin">
        <color rgb="FF000000"/>
      </top>
      <bottom style="dotted">
        <color rgb="FF000000"/>
      </bottom>
      <diagonal/>
    </border>
    <border>
      <left style="thin">
        <color indexed="64"/>
      </left>
      <right/>
      <top style="dotted">
        <color rgb="FF000000"/>
      </top>
      <bottom style="dotted">
        <color rgb="FF000000"/>
      </bottom>
      <diagonal/>
    </border>
    <border>
      <left style="thin">
        <color indexed="64"/>
      </left>
      <right style="thin">
        <color indexed="64"/>
      </right>
      <top style="dotted">
        <color rgb="FF000000"/>
      </top>
      <bottom style="dotted">
        <color rgb="FF000000"/>
      </bottom>
      <diagonal/>
    </border>
    <border>
      <left/>
      <right style="thin">
        <color indexed="64"/>
      </right>
      <top style="dotted">
        <color rgb="FF000000"/>
      </top>
      <bottom style="dotted">
        <color rgb="FF000000"/>
      </bottom>
      <diagonal/>
    </border>
    <border>
      <left style="thin">
        <color indexed="64"/>
      </left>
      <right/>
      <top/>
      <bottom style="dotted">
        <color rgb="FF000000"/>
      </bottom>
      <diagonal/>
    </border>
    <border>
      <left style="thin">
        <color indexed="64"/>
      </left>
      <right style="thin">
        <color indexed="64"/>
      </right>
      <top/>
      <bottom style="dotted">
        <color rgb="FF000000"/>
      </bottom>
      <diagonal/>
    </border>
    <border>
      <left/>
      <right style="thin">
        <color indexed="64"/>
      </right>
      <top/>
      <bottom style="dotted">
        <color rgb="FF000000"/>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indexed="64"/>
      </top>
      <bottom/>
      <diagonal/>
    </border>
    <border>
      <left style="thin">
        <color auto="1"/>
      </left>
      <right style="thin">
        <color auto="1"/>
      </right>
      <top/>
      <bottom/>
      <diagonal/>
    </border>
    <border>
      <left/>
      <right/>
      <top/>
      <bottom style="thin">
        <color rgb="FF00000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indexed="64"/>
      </right>
      <top/>
      <bottom/>
      <diagonal/>
    </border>
    <border>
      <left style="thin">
        <color rgb="FF000000"/>
      </left>
      <right/>
      <top/>
      <bottom/>
      <diagonal/>
    </border>
    <border>
      <left/>
      <right style="thin">
        <color rgb="FF000000"/>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medium">
        <color indexed="64"/>
      </left>
      <right style="medium">
        <color indexed="64"/>
      </right>
      <top/>
      <bottom/>
      <diagonal/>
    </border>
    <border>
      <left style="thin">
        <color auto="1"/>
      </left>
      <right style="medium">
        <color indexed="64"/>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auto="1"/>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dotted">
        <color rgb="FF000000"/>
      </bottom>
      <diagonal/>
    </border>
    <border>
      <left style="thin">
        <color indexed="64"/>
      </left>
      <right/>
      <top style="thin">
        <color auto="1"/>
      </top>
      <bottom style="thin">
        <color rgb="FF000000"/>
      </bottom>
      <diagonal/>
    </border>
    <border>
      <left/>
      <right/>
      <top style="thin">
        <color indexed="64"/>
      </top>
      <bottom style="thin">
        <color rgb="FF000000"/>
      </bottom>
      <diagonal/>
    </border>
    <border>
      <left style="medium">
        <color indexed="64"/>
      </left>
      <right/>
      <top/>
      <bottom style="thin">
        <color auto="1"/>
      </bottom>
      <diagonal/>
    </border>
    <border>
      <left/>
      <right style="medium">
        <color auto="1"/>
      </right>
      <top style="thin">
        <color auto="1"/>
      </top>
      <bottom style="thin">
        <color auto="1"/>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right style="thin">
        <color indexed="64"/>
      </right>
      <top style="thin">
        <color auto="1"/>
      </top>
      <bottom style="thin">
        <color rgb="FF000000"/>
      </bottom>
      <diagonal/>
    </border>
    <border>
      <left/>
      <right style="thin">
        <color rgb="FF000000"/>
      </right>
      <top style="thin">
        <color indexed="64"/>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top style="thin">
        <color rgb="FF000000"/>
      </top>
      <bottom/>
      <diagonal/>
    </border>
    <border>
      <left/>
      <right style="thin">
        <color indexed="64"/>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style="thin">
        <color indexed="64"/>
      </left>
      <right/>
      <top/>
      <bottom style="thin">
        <color rgb="FF000000"/>
      </bottom>
      <diagonal/>
    </border>
    <border>
      <left/>
      <right style="thin">
        <color indexed="64"/>
      </right>
      <top/>
      <bottom style="thin">
        <color rgb="FF000000"/>
      </bottom>
      <diagonal/>
    </border>
    <border>
      <left style="thin">
        <color indexed="64"/>
      </left>
      <right style="thin">
        <color indexed="64"/>
      </right>
      <top/>
      <bottom style="thin">
        <color rgb="FF000000"/>
      </bottom>
      <diagonal/>
    </border>
    <border>
      <left/>
      <right style="thin">
        <color rgb="FF000000"/>
      </right>
      <top/>
      <bottom style="thin">
        <color rgb="FF000000"/>
      </bottom>
      <diagonal/>
    </border>
    <border>
      <left/>
      <right style="medium">
        <color indexed="64"/>
      </right>
      <top/>
      <bottom style="thin">
        <color auto="1"/>
      </bottom>
      <diagonal/>
    </border>
    <border>
      <left style="thin">
        <color auto="1"/>
      </left>
      <right style="thin">
        <color auto="1"/>
      </right>
      <top style="thin">
        <color auto="1"/>
      </top>
      <bottom style="hair">
        <color auto="1"/>
      </bottom>
      <diagonal/>
    </border>
    <border>
      <left style="hair">
        <color auto="1"/>
      </left>
      <right style="hair">
        <color auto="1"/>
      </right>
      <top/>
      <bottom style="thin">
        <color auto="1"/>
      </bottom>
      <diagonal/>
    </border>
    <border>
      <left/>
      <right style="hair">
        <color auto="1"/>
      </right>
      <top style="hair">
        <color indexed="64"/>
      </top>
      <bottom style="hair">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top style="hair">
        <color auto="1"/>
      </top>
      <bottom style="hair">
        <color auto="1"/>
      </bottom>
      <diagonal/>
    </border>
    <border>
      <left style="thin">
        <color auto="1"/>
      </left>
      <right/>
      <top style="hair">
        <color auto="1"/>
      </top>
      <bottom style="dotted">
        <color rgb="FF000000"/>
      </bottom>
      <diagonal/>
    </border>
    <border>
      <left/>
      <right/>
      <top/>
      <bottom style="dotted">
        <color rgb="FF000000"/>
      </bottom>
      <diagonal/>
    </border>
    <border>
      <left style="thin">
        <color auto="1"/>
      </left>
      <right style="thin">
        <color auto="1"/>
      </right>
      <top style="hair">
        <color auto="1"/>
      </top>
      <bottom style="thin">
        <color auto="1"/>
      </bottom>
      <diagonal/>
    </border>
    <border>
      <left/>
      <right style="medium">
        <color indexed="64"/>
      </right>
      <top style="thin">
        <color auto="1"/>
      </top>
      <bottom/>
      <diagonal/>
    </border>
    <border>
      <left/>
      <right style="hair">
        <color indexed="64"/>
      </right>
      <top/>
      <bottom/>
      <diagonal/>
    </border>
    <border>
      <left style="hair">
        <color auto="1"/>
      </left>
      <right style="hair">
        <color auto="1"/>
      </right>
      <top/>
      <bottom/>
      <diagonal/>
    </border>
    <border>
      <left style="hair">
        <color auto="1"/>
      </left>
      <right/>
      <top/>
      <bottom/>
      <diagonal/>
    </border>
    <border>
      <left style="hair">
        <color auto="1"/>
      </left>
      <right/>
      <top/>
      <bottom style="hair">
        <color auto="1"/>
      </bottom>
      <diagonal/>
    </border>
    <border>
      <left style="thin">
        <color auto="1"/>
      </left>
      <right style="hair">
        <color auto="1"/>
      </right>
      <top/>
      <bottom style="hair">
        <color auto="1"/>
      </bottom>
      <diagonal/>
    </border>
    <border>
      <left style="hair">
        <color auto="1"/>
      </left>
      <right style="thin">
        <color auto="1"/>
      </right>
      <top style="thin">
        <color indexed="64"/>
      </top>
      <bottom style="thin">
        <color indexed="64"/>
      </bottom>
      <diagonal/>
    </border>
    <border>
      <left style="thin">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style="dotted">
        <color rgb="FF000000"/>
      </left>
      <right style="thin">
        <color rgb="FF000000"/>
      </right>
      <top style="dotted">
        <color rgb="FF000000"/>
      </top>
      <bottom style="dotted">
        <color rgb="FF000000"/>
      </bottom>
      <diagonal/>
    </border>
    <border>
      <left style="thin">
        <color rgb="FF000000"/>
      </left>
      <right style="dotted">
        <color rgb="FF000000"/>
      </right>
      <top style="dotted">
        <color rgb="FF000000"/>
      </top>
      <bottom style="thin">
        <color auto="1"/>
      </bottom>
      <diagonal/>
    </border>
    <border>
      <left style="dotted">
        <color rgb="FF000000"/>
      </left>
      <right style="dotted">
        <color rgb="FF000000"/>
      </right>
      <top style="dotted">
        <color rgb="FF000000"/>
      </top>
      <bottom style="thin">
        <color auto="1"/>
      </bottom>
      <diagonal/>
    </border>
    <border>
      <left style="dotted">
        <color rgb="FF000000"/>
      </left>
      <right style="thin">
        <color rgb="FF000000"/>
      </right>
      <top style="dotted">
        <color rgb="FF000000"/>
      </top>
      <bottom style="thin">
        <color auto="1"/>
      </bottom>
      <diagonal/>
    </border>
    <border>
      <left/>
      <right/>
      <top style="thin">
        <color indexed="64"/>
      </top>
      <bottom style="double">
        <color indexed="64"/>
      </bottom>
      <diagonal/>
    </border>
    <border>
      <left/>
      <right/>
      <top style="thin">
        <color auto="1"/>
      </top>
      <bottom style="medium">
        <color indexed="64"/>
      </bottom>
      <diagonal/>
    </border>
  </borders>
  <cellStyleXfs count="21">
    <xf numFmtId="0" fontId="0" fillId="0" borderId="0"/>
    <xf numFmtId="0" fontId="3" fillId="0" borderId="0"/>
    <xf numFmtId="0" fontId="19" fillId="0" borderId="0" applyNumberFormat="0" applyFill="0" applyBorder="0" applyAlignment="0" applyProtection="0"/>
    <xf numFmtId="0" fontId="3" fillId="0" borderId="0"/>
    <xf numFmtId="165" fontId="3" fillId="0" borderId="0" applyFont="0" applyFill="0" applyBorder="0" applyAlignment="0" applyProtection="0"/>
    <xf numFmtId="166" fontId="1" fillId="0" borderId="0" applyFont="0" applyFill="0" applyBorder="0" applyAlignment="0" applyProtection="0">
      <alignment vertical="center"/>
    </xf>
    <xf numFmtId="0" fontId="1" fillId="0" borderId="0"/>
    <xf numFmtId="164" fontId="1" fillId="0" borderId="0" applyFont="0" applyFill="0" applyBorder="0" applyAlignment="0" applyProtection="0"/>
    <xf numFmtId="9" fontId="3" fillId="0" borderId="0" applyFont="0" applyFill="0" applyBorder="0" applyAlignment="0" applyProtection="0"/>
    <xf numFmtId="165" fontId="1" fillId="0" borderId="0" applyFont="0" applyFill="0" applyBorder="0" applyAlignment="0" applyProtection="0"/>
    <xf numFmtId="0" fontId="28" fillId="0" borderId="0" applyNumberFormat="0" applyFill="0" applyBorder="0" applyAlignment="0" applyProtection="0"/>
    <xf numFmtId="0" fontId="1" fillId="0" borderId="0"/>
    <xf numFmtId="0" fontId="1" fillId="0" borderId="0"/>
    <xf numFmtId="43" fontId="1" fillId="0" borderId="0" applyFont="0" applyFill="0" applyBorder="0" applyAlignment="0" applyProtection="0"/>
    <xf numFmtId="43" fontId="3" fillId="0" borderId="0" applyFont="0" applyFill="0" applyBorder="0" applyAlignment="0" applyProtection="0"/>
    <xf numFmtId="0" fontId="55" fillId="0" borderId="0"/>
    <xf numFmtId="165" fontId="1" fillId="0" borderId="0" applyFont="0" applyFill="0" applyBorder="0" applyAlignment="0" applyProtection="0"/>
    <xf numFmtId="0" fontId="1" fillId="0" borderId="0"/>
    <xf numFmtId="9" fontId="55" fillId="0" borderId="0" applyFont="0" applyFill="0" applyBorder="0" applyAlignment="0" applyProtection="0"/>
    <xf numFmtId="0" fontId="55" fillId="0" borderId="0"/>
    <xf numFmtId="43" fontId="1" fillId="0" borderId="0" applyFont="0" applyFill="0" applyBorder="0" applyAlignment="0" applyProtection="0"/>
  </cellStyleXfs>
  <cellXfs count="475">
    <xf numFmtId="0" fontId="0" fillId="0" borderId="0" xfId="0"/>
    <xf numFmtId="0" fontId="3" fillId="0" borderId="0" xfId="1"/>
    <xf numFmtId="0" fontId="4" fillId="0" borderId="0" xfId="1" applyFont="1"/>
    <xf numFmtId="0" fontId="5" fillId="0" borderId="0" xfId="1" applyFont="1"/>
    <xf numFmtId="0" fontId="6" fillId="0" borderId="1" xfId="1" applyFont="1" applyBorder="1"/>
    <xf numFmtId="0" fontId="3" fillId="0" borderId="1" xfId="1" applyBorder="1"/>
    <xf numFmtId="0" fontId="7" fillId="0" borderId="1" xfId="1" applyFont="1" applyBorder="1"/>
    <xf numFmtId="0" fontId="8" fillId="0" borderId="0" xfId="1" applyFont="1"/>
    <xf numFmtId="0" fontId="9" fillId="0" borderId="0" xfId="1" applyFont="1"/>
    <xf numFmtId="0" fontId="10" fillId="0" borderId="0" xfId="1" applyFont="1"/>
    <xf numFmtId="0" fontId="3" fillId="0" borderId="0" xfId="1" applyAlignment="1">
      <alignment horizontal="right"/>
    </xf>
    <xf numFmtId="0" fontId="3" fillId="0" borderId="0" xfId="1" quotePrefix="1"/>
    <xf numFmtId="0" fontId="16" fillId="0" borderId="0" xfId="1" applyFont="1"/>
    <xf numFmtId="0" fontId="17" fillId="0" borderId="0" xfId="1" applyFont="1"/>
    <xf numFmtId="0" fontId="18" fillId="2" borderId="0" xfId="1" applyFont="1" applyFill="1" applyAlignment="1">
      <alignment horizontal="left" vertical="center"/>
    </xf>
    <xf numFmtId="0" fontId="20" fillId="2" borderId="0" xfId="2" applyFont="1" applyFill="1" applyAlignment="1">
      <alignment horizontal="center" vertical="center"/>
    </xf>
    <xf numFmtId="0" fontId="17" fillId="2" borderId="0" xfId="1" applyFont="1" applyFill="1"/>
    <xf numFmtId="0" fontId="15" fillId="3" borderId="2" xfId="1" applyFont="1" applyFill="1" applyBorder="1"/>
    <xf numFmtId="0" fontId="3" fillId="3" borderId="2" xfId="1" applyFill="1" applyBorder="1"/>
    <xf numFmtId="0" fontId="15" fillId="3" borderId="2" xfId="1" applyFont="1" applyFill="1" applyBorder="1" applyAlignment="1">
      <alignment vertical="top"/>
    </xf>
    <xf numFmtId="0" fontId="3" fillId="3" borderId="2" xfId="1" applyFill="1" applyBorder="1" applyAlignment="1">
      <alignment vertical="top" wrapText="1"/>
    </xf>
    <xf numFmtId="0" fontId="22" fillId="4" borderId="2" xfId="1" applyFont="1" applyFill="1" applyBorder="1" applyAlignment="1">
      <alignment horizontal="center"/>
    </xf>
    <xf numFmtId="0" fontId="23" fillId="0" borderId="2" xfId="1" applyFont="1" applyBorder="1"/>
    <xf numFmtId="0" fontId="23" fillId="0" borderId="4" xfId="1" applyFont="1" applyBorder="1"/>
    <xf numFmtId="0" fontId="21" fillId="0" borderId="0" xfId="1" applyFont="1"/>
    <xf numFmtId="0" fontId="22" fillId="4" borderId="6" xfId="1" applyFont="1" applyFill="1" applyBorder="1" applyAlignment="1">
      <alignment horizontal="center"/>
    </xf>
    <xf numFmtId="0" fontId="22" fillId="4" borderId="5" xfId="1" applyFont="1" applyFill="1" applyBorder="1" applyAlignment="1">
      <alignment horizontal="center"/>
    </xf>
    <xf numFmtId="0" fontId="24" fillId="0" borderId="8" xfId="1" applyFont="1" applyBorder="1" applyAlignment="1">
      <alignment vertical="center"/>
    </xf>
    <xf numFmtId="0" fontId="24" fillId="0" borderId="9" xfId="1" applyFont="1" applyBorder="1" applyAlignment="1">
      <alignment vertical="center"/>
    </xf>
    <xf numFmtId="0" fontId="24" fillId="0" borderId="11" xfId="1" applyFont="1" applyBorder="1" applyAlignment="1">
      <alignment vertical="center"/>
    </xf>
    <xf numFmtId="0" fontId="24" fillId="0" borderId="12" xfId="1" applyFont="1" applyBorder="1" applyAlignment="1">
      <alignment vertical="center" wrapText="1"/>
    </xf>
    <xf numFmtId="0" fontId="24" fillId="0" borderId="14" xfId="1" applyFont="1" applyBorder="1" applyAlignment="1">
      <alignment vertical="center"/>
    </xf>
    <xf numFmtId="0" fontId="24" fillId="0" borderId="15" xfId="1" applyFont="1" applyBorder="1" applyAlignment="1">
      <alignment vertical="center" wrapText="1"/>
    </xf>
    <xf numFmtId="0" fontId="24" fillId="0" borderId="16" xfId="1" applyFont="1" applyBorder="1" applyAlignment="1">
      <alignment horizontal="center" vertical="center"/>
    </xf>
    <xf numFmtId="0" fontId="24" fillId="0" borderId="17" xfId="1" applyFont="1" applyBorder="1" applyAlignment="1">
      <alignment vertical="center"/>
    </xf>
    <xf numFmtId="0" fontId="24" fillId="0" borderId="18" xfId="1" applyFont="1" applyBorder="1" applyAlignment="1">
      <alignment vertical="center" wrapText="1"/>
    </xf>
    <xf numFmtId="0" fontId="21" fillId="0" borderId="3" xfId="1" applyFont="1" applyBorder="1" applyAlignment="1">
      <alignment horizontal="left" vertical="top" wrapText="1"/>
    </xf>
    <xf numFmtId="0" fontId="12" fillId="0" borderId="2" xfId="3" applyFont="1" applyBorder="1" applyAlignment="1">
      <alignment vertical="top" wrapText="1"/>
    </xf>
    <xf numFmtId="0" fontId="3" fillId="0" borderId="2" xfId="5" applyNumberFormat="1" applyFont="1" applyFill="1" applyBorder="1" applyAlignment="1" applyProtection="1">
      <alignment vertical="top" wrapText="1"/>
      <protection locked="0"/>
    </xf>
    <xf numFmtId="0" fontId="3" fillId="0" borderId="2" xfId="3" applyBorder="1" applyAlignment="1" applyProtection="1">
      <alignment vertical="top" wrapText="1"/>
      <protection locked="0"/>
    </xf>
    <xf numFmtId="0" fontId="12" fillId="0" borderId="2" xfId="5" applyNumberFormat="1" applyFont="1" applyFill="1" applyBorder="1" applyAlignment="1">
      <alignment vertical="top"/>
    </xf>
    <xf numFmtId="0" fontId="3" fillId="0" borderId="0" xfId="1" applyAlignment="1">
      <alignment vertical="top"/>
    </xf>
    <xf numFmtId="0" fontId="12" fillId="9" borderId="2" xfId="5" applyNumberFormat="1" applyFont="1" applyFill="1" applyBorder="1" applyAlignment="1">
      <alignment vertical="top"/>
    </xf>
    <xf numFmtId="0" fontId="3" fillId="9" borderId="2" xfId="3" applyFill="1" applyBorder="1" applyAlignment="1" applyProtection="1">
      <alignment vertical="top" wrapText="1"/>
      <protection locked="0"/>
    </xf>
    <xf numFmtId="0" fontId="0" fillId="0" borderId="2" xfId="0" applyBorder="1" applyAlignment="1">
      <alignment vertical="top"/>
    </xf>
    <xf numFmtId="0" fontId="24" fillId="0" borderId="42" xfId="1" applyFont="1" applyBorder="1" applyAlignment="1">
      <alignment vertical="center"/>
    </xf>
    <xf numFmtId="0" fontId="24" fillId="0" borderId="43" xfId="1" applyFont="1" applyBorder="1" applyAlignment="1">
      <alignment vertical="center" wrapText="1"/>
    </xf>
    <xf numFmtId="0" fontId="24" fillId="0" borderId="11" xfId="1" applyFont="1" applyBorder="1" applyAlignment="1">
      <alignment vertical="center" wrapText="1"/>
    </xf>
    <xf numFmtId="0" fontId="24" fillId="0" borderId="17" xfId="1" applyFont="1" applyBorder="1" applyAlignment="1">
      <alignment horizontal="center" vertical="center"/>
    </xf>
    <xf numFmtId="0" fontId="25" fillId="0" borderId="2" xfId="0" applyFont="1" applyBorder="1" applyAlignment="1">
      <alignment horizontal="left"/>
    </xf>
    <xf numFmtId="0" fontId="23" fillId="0" borderId="2" xfId="1" applyFont="1" applyBorder="1" applyAlignment="1">
      <alignment horizontal="left"/>
    </xf>
    <xf numFmtId="0" fontId="20" fillId="2" borderId="0" xfId="2" applyFont="1" applyFill="1" applyAlignment="1" applyProtection="1">
      <alignment horizontal="center" vertical="center"/>
    </xf>
    <xf numFmtId="0" fontId="12" fillId="0" borderId="2" xfId="3" applyFont="1" applyBorder="1" applyAlignment="1">
      <alignment horizontal="left" vertical="top" wrapText="1"/>
    </xf>
    <xf numFmtId="0" fontId="3" fillId="0" borderId="2" xfId="3" applyBorder="1" applyAlignment="1">
      <alignment horizontal="left" wrapText="1"/>
    </xf>
    <xf numFmtId="0" fontId="3" fillId="0" borderId="2" xfId="3" applyBorder="1" applyAlignment="1">
      <alignment horizontal="left" vertical="top" wrapText="1"/>
    </xf>
    <xf numFmtId="0" fontId="12" fillId="0" borderId="2" xfId="5" applyNumberFormat="1" applyFont="1" applyFill="1" applyBorder="1" applyAlignment="1" applyProtection="1">
      <alignment horizontal="left" vertical="center"/>
    </xf>
    <xf numFmtId="0" fontId="3" fillId="0" borderId="2" xfId="5" applyNumberFormat="1" applyFont="1" applyFill="1" applyBorder="1" applyAlignment="1" applyProtection="1">
      <alignment horizontal="left"/>
    </xf>
    <xf numFmtId="0" fontId="3" fillId="0" borderId="2" xfId="5" applyNumberFormat="1" applyFont="1" applyFill="1" applyBorder="1" applyAlignment="1" applyProtection="1">
      <alignment horizontal="left" vertical="top" wrapText="1"/>
    </xf>
    <xf numFmtId="0" fontId="27" fillId="17" borderId="44" xfId="1" applyFont="1" applyFill="1" applyBorder="1" applyAlignment="1">
      <alignment horizontal="left" vertical="center"/>
    </xf>
    <xf numFmtId="0" fontId="27" fillId="17" borderId="45" xfId="1" applyFont="1" applyFill="1" applyBorder="1" applyAlignment="1">
      <alignment horizontal="left" vertical="center"/>
    </xf>
    <xf numFmtId="0" fontId="24" fillId="0" borderId="7" xfId="1" applyFont="1" applyBorder="1" applyAlignment="1">
      <alignment horizontal="center" vertical="center"/>
    </xf>
    <xf numFmtId="0" fontId="24" fillId="0" borderId="10" xfId="1" applyFont="1" applyBorder="1" applyAlignment="1">
      <alignment horizontal="center" vertical="center"/>
    </xf>
    <xf numFmtId="0" fontId="24" fillId="0" borderId="13" xfId="1" applyFont="1" applyBorder="1" applyAlignment="1">
      <alignment horizontal="center" vertical="center"/>
    </xf>
    <xf numFmtId="0" fontId="24" fillId="0" borderId="15" xfId="1" applyFont="1" applyBorder="1" applyAlignment="1">
      <alignment vertical="center"/>
    </xf>
    <xf numFmtId="0" fontId="27" fillId="17" borderId="6" xfId="1" applyFont="1" applyFill="1" applyBorder="1" applyAlignment="1">
      <alignment horizontal="left" vertical="center"/>
    </xf>
    <xf numFmtId="0" fontId="27" fillId="17" borderId="37" xfId="1" applyFont="1" applyFill="1" applyBorder="1" applyAlignment="1">
      <alignment horizontal="left" vertical="center"/>
    </xf>
    <xf numFmtId="0" fontId="27" fillId="17" borderId="5" xfId="1" applyFont="1" applyFill="1" applyBorder="1" applyAlignment="1">
      <alignment horizontal="left" vertical="center"/>
    </xf>
    <xf numFmtId="0" fontId="24" fillId="0" borderId="0" xfId="1" applyFont="1" applyAlignment="1">
      <alignment horizontal="center" vertical="center"/>
    </xf>
    <xf numFmtId="0" fontId="24" fillId="0" borderId="0" xfId="1" applyFont="1" applyAlignment="1">
      <alignment vertical="center"/>
    </xf>
    <xf numFmtId="0" fontId="24" fillId="0" borderId="0" xfId="1" applyFont="1" applyAlignment="1">
      <alignment vertical="center" wrapText="1"/>
    </xf>
    <xf numFmtId="165" fontId="25" fillId="0" borderId="0" xfId="9" applyFont="1"/>
    <xf numFmtId="0" fontId="2" fillId="15" borderId="66" xfId="0" applyFont="1" applyFill="1" applyBorder="1" applyAlignment="1">
      <alignment horizontal="center" vertical="center" wrapText="1"/>
    </xf>
    <xf numFmtId="0" fontId="0" fillId="0" borderId="41" xfId="0" applyBorder="1" applyAlignment="1">
      <alignment vertical="top"/>
    </xf>
    <xf numFmtId="14" fontId="0" fillId="0" borderId="41" xfId="0" applyNumberFormat="1" applyBorder="1" applyAlignment="1">
      <alignment horizontal="right" vertical="top"/>
    </xf>
    <xf numFmtId="0" fontId="0" fillId="0" borderId="29" xfId="0" applyBorder="1" applyAlignment="1">
      <alignment vertical="top"/>
    </xf>
    <xf numFmtId="0" fontId="0" fillId="0" borderId="29" xfId="0" applyBorder="1"/>
    <xf numFmtId="165" fontId="0" fillId="0" borderId="29" xfId="9" applyFont="1" applyBorder="1" applyAlignment="1">
      <alignment horizontal="right" vertical="top"/>
    </xf>
    <xf numFmtId="14" fontId="0" fillId="0" borderId="29" xfId="0" applyNumberFormat="1" applyBorder="1" applyAlignment="1">
      <alignment horizontal="right" vertical="top"/>
    </xf>
    <xf numFmtId="165" fontId="0" fillId="0" borderId="0" xfId="9" applyFont="1"/>
    <xf numFmtId="165" fontId="0" fillId="0" borderId="41" xfId="9" applyFont="1" applyBorder="1" applyAlignment="1">
      <alignment horizontal="right" vertical="top"/>
    </xf>
    <xf numFmtId="1" fontId="10" fillId="18" borderId="2" xfId="4" applyNumberFormat="1" applyFont="1" applyFill="1" applyBorder="1" applyAlignment="1" applyProtection="1">
      <alignment horizontal="left" vertical="top" wrapText="1"/>
    </xf>
    <xf numFmtId="0" fontId="3" fillId="7" borderId="2" xfId="3" applyFill="1" applyBorder="1" applyAlignment="1">
      <alignment horizontal="left" wrapText="1"/>
    </xf>
    <xf numFmtId="1" fontId="10" fillId="18" borderId="2" xfId="4" applyNumberFormat="1" applyFont="1" applyFill="1" applyBorder="1" applyAlignment="1" applyProtection="1">
      <alignment vertical="top" wrapText="1"/>
    </xf>
    <xf numFmtId="0" fontId="3" fillId="7" borderId="2" xfId="3" applyFill="1" applyBorder="1" applyAlignment="1" applyProtection="1">
      <alignment vertical="top" wrapText="1"/>
      <protection locked="0"/>
    </xf>
    <xf numFmtId="0" fontId="2" fillId="15" borderId="2" xfId="0" applyFont="1" applyFill="1" applyBorder="1" applyAlignment="1">
      <alignment horizontal="center" vertical="top" wrapText="1"/>
    </xf>
    <xf numFmtId="167" fontId="25" fillId="0" borderId="0" xfId="9" applyNumberFormat="1" applyFont="1"/>
    <xf numFmtId="167" fontId="2" fillId="15" borderId="2" xfId="9" applyNumberFormat="1" applyFont="1" applyFill="1" applyBorder="1" applyAlignment="1">
      <alignment horizontal="center" vertical="top" wrapText="1"/>
    </xf>
    <xf numFmtId="167" fontId="0" fillId="0" borderId="41" xfId="9" applyNumberFormat="1" applyFont="1" applyBorder="1" applyAlignment="1">
      <alignment horizontal="right" vertical="top"/>
    </xf>
    <xf numFmtId="167" fontId="0" fillId="0" borderId="29" xfId="9" applyNumberFormat="1" applyFont="1" applyBorder="1" applyAlignment="1">
      <alignment horizontal="right" vertical="top"/>
    </xf>
    <xf numFmtId="167" fontId="0" fillId="0" borderId="0" xfId="9" applyNumberFormat="1" applyFont="1"/>
    <xf numFmtId="0" fontId="29" fillId="0" borderId="0" xfId="1" applyFont="1"/>
    <xf numFmtId="0" fontId="30" fillId="0" borderId="0" xfId="1" applyFont="1"/>
    <xf numFmtId="0" fontId="31" fillId="0" borderId="0" xfId="1" applyFont="1"/>
    <xf numFmtId="0" fontId="32" fillId="0" borderId="1" xfId="1" applyFont="1" applyBorder="1"/>
    <xf numFmtId="0" fontId="30" fillId="0" borderId="1" xfId="1" applyFont="1" applyBorder="1"/>
    <xf numFmtId="0" fontId="33" fillId="0" borderId="1" xfId="1" applyFont="1" applyBorder="1"/>
    <xf numFmtId="0" fontId="34" fillId="0" borderId="0" xfId="1" applyFont="1"/>
    <xf numFmtId="0" fontId="35" fillId="0" borderId="0" xfId="1" applyFont="1"/>
    <xf numFmtId="0" fontId="36" fillId="0" borderId="0" xfId="1" applyFont="1"/>
    <xf numFmtId="0" fontId="30" fillId="0" borderId="0" xfId="1" applyFont="1" applyAlignment="1">
      <alignment horizontal="right"/>
    </xf>
    <xf numFmtId="0" fontId="30" fillId="0" borderId="0" xfId="1" quotePrefix="1" applyFont="1"/>
    <xf numFmtId="0" fontId="42" fillId="5" borderId="0" xfId="1" applyFont="1" applyFill="1"/>
    <xf numFmtId="0" fontId="43" fillId="20" borderId="2" xfId="1" applyFont="1" applyFill="1" applyBorder="1"/>
    <xf numFmtId="0" fontId="30" fillId="0" borderId="2" xfId="1" applyFont="1" applyBorder="1"/>
    <xf numFmtId="0" fontId="43" fillId="20" borderId="2" xfId="1" applyFont="1" applyFill="1" applyBorder="1" applyAlignment="1">
      <alignment vertical="top"/>
    </xf>
    <xf numFmtId="0" fontId="30" fillId="0" borderId="2" xfId="1" applyFont="1" applyBorder="1" applyAlignment="1">
      <alignment vertical="top" wrapText="1"/>
    </xf>
    <xf numFmtId="0" fontId="41" fillId="0" borderId="3" xfId="1" applyFont="1" applyBorder="1" applyAlignment="1">
      <alignment horizontal="left" vertical="top" wrapText="1"/>
    </xf>
    <xf numFmtId="0" fontId="43" fillId="20" borderId="2" xfId="1" applyFont="1" applyFill="1" applyBorder="1" applyAlignment="1">
      <alignment horizontal="center"/>
    </xf>
    <xf numFmtId="0" fontId="30" fillId="0" borderId="2" xfId="1" applyFont="1" applyBorder="1" applyAlignment="1">
      <alignment horizontal="left"/>
    </xf>
    <xf numFmtId="0" fontId="30" fillId="0" borderId="4" xfId="1" applyFont="1" applyBorder="1"/>
    <xf numFmtId="0" fontId="44" fillId="0" borderId="0" xfId="1" applyFont="1"/>
    <xf numFmtId="0" fontId="38" fillId="0" borderId="2" xfId="3" applyFont="1" applyBorder="1" applyAlignment="1">
      <alignment horizontal="left" vertical="top" wrapText="1"/>
    </xf>
    <xf numFmtId="0" fontId="30" fillId="0" borderId="2" xfId="3" applyFont="1" applyBorder="1" applyAlignment="1">
      <alignment horizontal="left" vertical="top" wrapText="1"/>
    </xf>
    <xf numFmtId="0" fontId="30" fillId="0" borderId="2" xfId="3" applyFont="1" applyBorder="1" applyAlignment="1">
      <alignment horizontal="left" wrapText="1"/>
    </xf>
    <xf numFmtId="0" fontId="38" fillId="0" borderId="4" xfId="3" applyFont="1" applyBorder="1" applyAlignment="1">
      <alignment horizontal="left" vertical="top" wrapText="1"/>
    </xf>
    <xf numFmtId="0" fontId="30" fillId="0" borderId="4" xfId="3" applyFont="1" applyBorder="1" applyAlignment="1">
      <alignment horizontal="left" wrapText="1"/>
    </xf>
    <xf numFmtId="0" fontId="38" fillId="0" borderId="22" xfId="3" applyFont="1" applyBorder="1" applyAlignment="1">
      <alignment horizontal="left" vertical="top" wrapText="1"/>
    </xf>
    <xf numFmtId="0" fontId="30" fillId="0" borderId="4" xfId="3" applyFont="1" applyBorder="1" applyAlignment="1">
      <alignment horizontal="left" vertical="top" wrapText="1"/>
    </xf>
    <xf numFmtId="0" fontId="38" fillId="0" borderId="16" xfId="3" applyFont="1" applyBorder="1" applyAlignment="1">
      <alignment horizontal="left" vertical="top" wrapText="1"/>
    </xf>
    <xf numFmtId="0" fontId="30" fillId="0" borderId="17" xfId="3" applyFont="1" applyBorder="1" applyAlignment="1">
      <alignment horizontal="left" vertical="top" wrapText="1"/>
    </xf>
    <xf numFmtId="0" fontId="38" fillId="0" borderId="17" xfId="3" applyFont="1" applyBorder="1" applyAlignment="1">
      <alignment horizontal="left" vertical="top" wrapText="1"/>
    </xf>
    <xf numFmtId="0" fontId="30" fillId="0" borderId="17" xfId="3" applyFont="1" applyBorder="1" applyAlignment="1">
      <alignment horizontal="left" wrapText="1"/>
    </xf>
    <xf numFmtId="0" fontId="38" fillId="19" borderId="2" xfId="3" quotePrefix="1" applyFont="1" applyFill="1" applyBorder="1" applyAlignment="1">
      <alignment horizontal="left" vertical="top" wrapText="1" indent="2"/>
    </xf>
    <xf numFmtId="0" fontId="30" fillId="19" borderId="2" xfId="3" applyFont="1" applyFill="1" applyBorder="1" applyAlignment="1">
      <alignment horizontal="left" wrapText="1"/>
    </xf>
    <xf numFmtId="0" fontId="38" fillId="0" borderId="2" xfId="5" applyNumberFormat="1" applyFont="1" applyFill="1" applyBorder="1" applyAlignment="1" applyProtection="1">
      <alignment horizontal="left" vertical="center"/>
    </xf>
    <xf numFmtId="0" fontId="30" fillId="0" borderId="2" xfId="5" applyNumberFormat="1" applyFont="1" applyFill="1" applyBorder="1" applyAlignment="1" applyProtection="1">
      <alignment horizontal="left"/>
    </xf>
    <xf numFmtId="0" fontId="38" fillId="0" borderId="2" xfId="5" applyNumberFormat="1" applyFont="1" applyFill="1" applyBorder="1" applyAlignment="1" applyProtection="1">
      <alignment horizontal="left" vertical="center" wrapText="1"/>
    </xf>
    <xf numFmtId="0" fontId="41" fillId="0" borderId="0" xfId="1" applyFont="1"/>
    <xf numFmtId="0" fontId="43" fillId="20" borderId="6" xfId="1" applyFont="1" applyFill="1" applyBorder="1" applyAlignment="1">
      <alignment horizontal="center"/>
    </xf>
    <xf numFmtId="0" fontId="43" fillId="20" borderId="5" xfId="1" applyFont="1" applyFill="1" applyBorder="1" applyAlignment="1">
      <alignment horizontal="center"/>
    </xf>
    <xf numFmtId="0" fontId="43" fillId="0" borderId="0" xfId="1" applyFont="1" applyAlignment="1">
      <alignment horizontal="center"/>
    </xf>
    <xf numFmtId="0" fontId="46" fillId="21" borderId="44" xfId="1" applyFont="1" applyFill="1" applyBorder="1" applyAlignment="1">
      <alignment horizontal="left" vertical="center"/>
    </xf>
    <xf numFmtId="0" fontId="39" fillId="21" borderId="45" xfId="1" applyFont="1" applyFill="1" applyBorder="1" applyAlignment="1">
      <alignment horizontal="left" vertical="center"/>
    </xf>
    <xf numFmtId="0" fontId="39" fillId="21" borderId="53" xfId="1" applyFont="1" applyFill="1" applyBorder="1" applyAlignment="1">
      <alignment horizontal="left" vertical="center"/>
    </xf>
    <xf numFmtId="0" fontId="39" fillId="0" borderId="0" xfId="1" applyFont="1" applyAlignment="1">
      <alignment horizontal="left" vertical="center"/>
    </xf>
    <xf numFmtId="0" fontId="30" fillId="0" borderId="7" xfId="1" applyFont="1" applyBorder="1" applyAlignment="1">
      <alignment horizontal="center" vertical="center"/>
    </xf>
    <xf numFmtId="0" fontId="30" fillId="0" borderId="8" xfId="1" applyFont="1" applyBorder="1" applyAlignment="1">
      <alignment vertical="center"/>
    </xf>
    <xf numFmtId="0" fontId="30" fillId="0" borderId="9" xfId="1" applyFont="1" applyBorder="1" applyAlignment="1">
      <alignment vertical="center" wrapText="1"/>
    </xf>
    <xf numFmtId="0" fontId="30" fillId="0" borderId="0" xfId="1" applyFont="1" applyAlignment="1">
      <alignment vertical="center"/>
    </xf>
    <xf numFmtId="0" fontId="30" fillId="0" borderId="10" xfId="1" applyFont="1" applyBorder="1" applyAlignment="1">
      <alignment horizontal="center" vertical="center"/>
    </xf>
    <xf numFmtId="0" fontId="30" fillId="0" borderId="11" xfId="1" applyFont="1" applyBorder="1" applyAlignment="1">
      <alignment vertical="center"/>
    </xf>
    <xf numFmtId="0" fontId="30" fillId="0" borderId="12" xfId="1" applyFont="1" applyBorder="1" applyAlignment="1">
      <alignment vertical="center" wrapText="1"/>
    </xf>
    <xf numFmtId="0" fontId="30" fillId="0" borderId="0" xfId="1" applyFont="1" applyAlignment="1">
      <alignment vertical="center" wrapText="1"/>
    </xf>
    <xf numFmtId="0" fontId="30" fillId="0" borderId="13" xfId="1" applyFont="1" applyBorder="1" applyAlignment="1">
      <alignment horizontal="center" vertical="center"/>
    </xf>
    <xf numFmtId="0" fontId="30" fillId="0" borderId="14" xfId="1" applyFont="1" applyBorder="1" applyAlignment="1">
      <alignment vertical="center"/>
    </xf>
    <xf numFmtId="0" fontId="30" fillId="0" borderId="15" xfId="1" applyFont="1" applyBorder="1" applyAlignment="1">
      <alignment vertical="center" wrapText="1"/>
    </xf>
    <xf numFmtId="0" fontId="46" fillId="21" borderId="6" xfId="1" applyFont="1" applyFill="1" applyBorder="1" applyAlignment="1">
      <alignment horizontal="left" vertical="center"/>
    </xf>
    <xf numFmtId="0" fontId="39" fillId="21" borderId="37" xfId="1" applyFont="1" applyFill="1" applyBorder="1" applyAlignment="1">
      <alignment horizontal="left" vertical="center"/>
    </xf>
    <xf numFmtId="0" fontId="39" fillId="21" borderId="5" xfId="1" applyFont="1" applyFill="1" applyBorder="1" applyAlignment="1">
      <alignment horizontal="left" vertical="center"/>
    </xf>
    <xf numFmtId="0" fontId="30" fillId="0" borderId="16" xfId="1" applyFont="1" applyBorder="1" applyAlignment="1">
      <alignment horizontal="center" vertical="center"/>
    </xf>
    <xf numFmtId="0" fontId="30" fillId="0" borderId="17" xfId="1" applyFont="1" applyBorder="1" applyAlignment="1">
      <alignment vertical="center"/>
    </xf>
    <xf numFmtId="0" fontId="30" fillId="0" borderId="18" xfId="1" applyFont="1" applyBorder="1" applyAlignment="1">
      <alignment vertical="center" wrapText="1"/>
    </xf>
    <xf numFmtId="0" fontId="47" fillId="21" borderId="0" xfId="1" applyFont="1" applyFill="1"/>
    <xf numFmtId="0" fontId="43" fillId="20" borderId="2" xfId="3" applyFont="1" applyFill="1" applyBorder="1" applyAlignment="1">
      <alignment vertical="top" wrapText="1"/>
    </xf>
    <xf numFmtId="0" fontId="30" fillId="0" borderId="2" xfId="3" applyFont="1" applyBorder="1" applyAlignment="1" applyProtection="1">
      <alignment vertical="top" wrapText="1"/>
      <protection locked="0"/>
    </xf>
    <xf numFmtId="1" fontId="43" fillId="22" borderId="2" xfId="4" applyNumberFormat="1" applyFont="1" applyFill="1" applyBorder="1" applyAlignment="1" applyProtection="1">
      <alignment vertical="top" wrapText="1"/>
    </xf>
    <xf numFmtId="0" fontId="30" fillId="7" borderId="2" xfId="3" applyFont="1" applyFill="1" applyBorder="1" applyAlignment="1" applyProtection="1">
      <alignment vertical="top" wrapText="1"/>
      <protection locked="0"/>
    </xf>
    <xf numFmtId="0" fontId="43" fillId="20" borderId="2" xfId="5" applyNumberFormat="1" applyFont="1" applyFill="1" applyBorder="1" applyAlignment="1">
      <alignment vertical="top"/>
    </xf>
    <xf numFmtId="0" fontId="30" fillId="0" borderId="2" xfId="5" applyNumberFormat="1" applyFont="1" applyFill="1" applyBorder="1" applyAlignment="1" applyProtection="1">
      <alignment vertical="top" wrapText="1"/>
      <protection locked="0"/>
    </xf>
    <xf numFmtId="0" fontId="47" fillId="8" borderId="0" xfId="1" applyFont="1" applyFill="1"/>
    <xf numFmtId="0" fontId="30" fillId="0" borderId="11" xfId="1" applyFont="1" applyBorder="1" applyAlignment="1">
      <alignment vertical="center" wrapText="1"/>
    </xf>
    <xf numFmtId="0" fontId="30" fillId="0" borderId="42" xfId="1" applyFont="1" applyBorder="1" applyAlignment="1">
      <alignment vertical="center"/>
    </xf>
    <xf numFmtId="0" fontId="30" fillId="0" borderId="43" xfId="1" applyFont="1" applyBorder="1" applyAlignment="1">
      <alignment vertical="center" wrapText="1"/>
    </xf>
    <xf numFmtId="0" fontId="30" fillId="0" borderId="17" xfId="1" applyFont="1" applyBorder="1" applyAlignment="1">
      <alignment horizontal="center" vertical="center"/>
    </xf>
    <xf numFmtId="0" fontId="38" fillId="0" borderId="0" xfId="1" applyFont="1"/>
    <xf numFmtId="0" fontId="43" fillId="20" borderId="37" xfId="1" applyFont="1" applyFill="1" applyBorder="1" applyAlignment="1">
      <alignment horizontal="center"/>
    </xf>
    <xf numFmtId="0" fontId="43" fillId="20" borderId="24" xfId="1" applyFont="1" applyFill="1" applyBorder="1" applyAlignment="1">
      <alignment horizontal="center"/>
    </xf>
    <xf numFmtId="0" fontId="25" fillId="0" borderId="0" xfId="0" applyFont="1" applyAlignment="1">
      <alignment horizontal="center" vertical="center"/>
    </xf>
    <xf numFmtId="0" fontId="30" fillId="0" borderId="73" xfId="1" applyFont="1" applyBorder="1" applyAlignment="1">
      <alignment vertical="center"/>
    </xf>
    <xf numFmtId="0" fontId="30" fillId="0" borderId="24" xfId="1" applyFont="1" applyBorder="1" applyAlignment="1">
      <alignment vertical="center"/>
    </xf>
    <xf numFmtId="0" fontId="30" fillId="0" borderId="74" xfId="1" applyFont="1" applyBorder="1" applyAlignment="1">
      <alignment vertical="center" wrapText="1"/>
    </xf>
    <xf numFmtId="0" fontId="30" fillId="0" borderId="75" xfId="1" applyFont="1" applyBorder="1" applyAlignment="1">
      <alignment vertical="center" wrapText="1"/>
    </xf>
    <xf numFmtId="0" fontId="41" fillId="21" borderId="0" xfId="0" applyFont="1" applyFill="1"/>
    <xf numFmtId="0" fontId="30" fillId="21" borderId="0" xfId="0" applyFont="1" applyFill="1"/>
    <xf numFmtId="0" fontId="30" fillId="21" borderId="0" xfId="0" applyFont="1" applyFill="1" applyAlignment="1">
      <alignment horizontal="center"/>
    </xf>
    <xf numFmtId="0" fontId="43" fillId="20" borderId="2" xfId="0" applyFont="1" applyFill="1" applyBorder="1" applyAlignment="1">
      <alignment horizontal="center"/>
    </xf>
    <xf numFmtId="0" fontId="30" fillId="0" borderId="0" xfId="0" applyFont="1"/>
    <xf numFmtId="0" fontId="30" fillId="0" borderId="0" xfId="0" applyFont="1" applyAlignment="1">
      <alignment horizontal="center"/>
    </xf>
    <xf numFmtId="0" fontId="30" fillId="0" borderId="2" xfId="0" applyFont="1" applyBorder="1"/>
    <xf numFmtId="0" fontId="41" fillId="21" borderId="0" xfId="0" applyFont="1" applyFill="1" applyAlignment="1">
      <alignment horizontal="center"/>
    </xf>
    <xf numFmtId="0" fontId="30" fillId="0" borderId="2" xfId="0" applyFont="1" applyBorder="1" applyAlignment="1">
      <alignment horizontal="center"/>
    </xf>
    <xf numFmtId="0" fontId="30" fillId="0" borderId="0" xfId="1" applyFont="1" applyAlignment="1">
      <alignment horizontal="center"/>
    </xf>
    <xf numFmtId="0" fontId="43" fillId="20" borderId="66" xfId="1" applyFont="1" applyFill="1" applyBorder="1" applyAlignment="1">
      <alignment horizontal="center" vertical="center"/>
    </xf>
    <xf numFmtId="0" fontId="30" fillId="0" borderId="42" xfId="1" applyFont="1" applyBorder="1" applyAlignment="1">
      <alignment vertical="center" wrapText="1"/>
    </xf>
    <xf numFmtId="0" fontId="30" fillId="0" borderId="42" xfId="0" applyFont="1" applyBorder="1" applyAlignment="1">
      <alignment horizontal="center" vertical="center"/>
    </xf>
    <xf numFmtId="0" fontId="30" fillId="0" borderId="76" xfId="1" applyFont="1" applyBorder="1" applyAlignment="1">
      <alignment vertical="center"/>
    </xf>
    <xf numFmtId="0" fontId="30" fillId="0" borderId="76" xfId="1" applyFont="1" applyBorder="1" applyAlignment="1">
      <alignment vertical="center" wrapText="1"/>
    </xf>
    <xf numFmtId="0" fontId="30" fillId="0" borderId="76" xfId="0" applyFont="1" applyBorder="1" applyAlignment="1">
      <alignment horizontal="center" vertical="center"/>
    </xf>
    <xf numFmtId="0" fontId="41" fillId="0" borderId="0" xfId="0" applyFont="1"/>
    <xf numFmtId="0" fontId="41" fillId="0" borderId="0" xfId="0" applyFont="1" applyAlignment="1">
      <alignment horizontal="center" wrapText="1"/>
    </xf>
    <xf numFmtId="16" fontId="30" fillId="0" borderId="0" xfId="0" quotePrefix="1" applyNumberFormat="1" applyFont="1"/>
    <xf numFmtId="0" fontId="41" fillId="0" borderId="21" xfId="1" applyFont="1" applyBorder="1" applyAlignment="1" applyProtection="1">
      <alignment horizontal="left"/>
      <protection locked="0"/>
    </xf>
    <xf numFmtId="0" fontId="48" fillId="0" borderId="0" xfId="0" applyFont="1"/>
    <xf numFmtId="0" fontId="30" fillId="0" borderId="0" xfId="1" applyFont="1" applyProtection="1">
      <protection locked="0"/>
    </xf>
    <xf numFmtId="0" fontId="30" fillId="0" borderId="0" xfId="1" applyFont="1" applyProtection="1">
      <protection locked="0" hidden="1"/>
    </xf>
    <xf numFmtId="0" fontId="49" fillId="0" borderId="17" xfId="1" applyFont="1" applyBorder="1" applyAlignment="1" applyProtection="1">
      <alignment horizontal="center"/>
      <protection locked="0" hidden="1"/>
    </xf>
    <xf numFmtId="0" fontId="40" fillId="0" borderId="0" xfId="1" applyFont="1" applyAlignment="1" applyProtection="1">
      <alignment vertical="center"/>
      <protection locked="0"/>
    </xf>
    <xf numFmtId="0" fontId="40" fillId="0" borderId="0" xfId="1" applyFont="1" applyAlignment="1" applyProtection="1">
      <alignment vertical="center" wrapText="1"/>
      <protection locked="0"/>
    </xf>
    <xf numFmtId="0" fontId="36" fillId="0" borderId="53" xfId="1" applyFont="1" applyBorder="1" applyAlignment="1" applyProtection="1">
      <alignment horizontal="center" vertical="center" wrapText="1"/>
      <protection locked="0" hidden="1"/>
    </xf>
    <xf numFmtId="0" fontId="30" fillId="0" borderId="55" xfId="1" applyFont="1" applyBorder="1" applyProtection="1">
      <protection locked="0" hidden="1"/>
    </xf>
    <xf numFmtId="0" fontId="30" fillId="0" borderId="56" xfId="1" applyFont="1" applyBorder="1" applyProtection="1">
      <protection locked="0" hidden="1"/>
    </xf>
    <xf numFmtId="0" fontId="30" fillId="0" borderId="57" xfId="1" applyFont="1" applyBorder="1" applyProtection="1">
      <protection locked="0" hidden="1"/>
    </xf>
    <xf numFmtId="0" fontId="30" fillId="0" borderId="58" xfId="1" applyFont="1" applyBorder="1" applyProtection="1">
      <protection locked="0" hidden="1"/>
    </xf>
    <xf numFmtId="0" fontId="30" fillId="0" borderId="59" xfId="1" applyFont="1" applyBorder="1" applyProtection="1">
      <protection locked="0" hidden="1"/>
    </xf>
    <xf numFmtId="0" fontId="30" fillId="0" borderId="26" xfId="1" applyFont="1" applyBorder="1" applyProtection="1">
      <protection locked="0" hidden="1"/>
    </xf>
    <xf numFmtId="0" fontId="30" fillId="0" borderId="24" xfId="1" applyFont="1" applyBorder="1" applyProtection="1">
      <protection locked="0" hidden="1"/>
    </xf>
    <xf numFmtId="0" fontId="30" fillId="0" borderId="25" xfId="1" applyFont="1" applyBorder="1" applyProtection="1">
      <protection locked="0" hidden="1"/>
    </xf>
    <xf numFmtId="0" fontId="30" fillId="0" borderId="27" xfId="1" applyFont="1" applyBorder="1" applyProtection="1">
      <protection locked="0" hidden="1"/>
    </xf>
    <xf numFmtId="0" fontId="49" fillId="0" borderId="62" xfId="1" applyFont="1" applyBorder="1" applyAlignment="1" applyProtection="1">
      <alignment horizontal="center"/>
      <protection locked="0" hidden="1"/>
    </xf>
    <xf numFmtId="0" fontId="30" fillId="0" borderId="0" xfId="0" applyFont="1" applyProtection="1">
      <protection locked="0"/>
    </xf>
    <xf numFmtId="0" fontId="30" fillId="0" borderId="0" xfId="1" applyFont="1" applyAlignment="1">
      <alignment horizontal="center" wrapText="1"/>
    </xf>
    <xf numFmtId="0" fontId="30" fillId="0" borderId="0" xfId="1" applyFont="1" applyAlignment="1">
      <alignment horizontal="left" wrapText="1"/>
    </xf>
    <xf numFmtId="0" fontId="30" fillId="0" borderId="0" xfId="1" applyFont="1" applyAlignment="1" applyProtection="1">
      <alignment horizontal="left" wrapText="1"/>
      <protection locked="0"/>
    </xf>
    <xf numFmtId="0" fontId="30" fillId="0" borderId="0" xfId="1" applyFont="1" applyAlignment="1">
      <alignment wrapText="1"/>
    </xf>
    <xf numFmtId="167" fontId="30" fillId="0" borderId="0" xfId="4" applyNumberFormat="1" applyFont="1" applyAlignment="1">
      <alignment wrapText="1"/>
    </xf>
    <xf numFmtId="0" fontId="30" fillId="6" borderId="0" xfId="1" applyFont="1" applyFill="1" applyAlignment="1">
      <alignment wrapText="1"/>
    </xf>
    <xf numFmtId="167" fontId="41" fillId="0" borderId="0" xfId="4" applyNumberFormat="1" applyFont="1" applyAlignment="1"/>
    <xf numFmtId="167" fontId="30" fillId="6" borderId="0" xfId="4" applyNumberFormat="1" applyFont="1" applyFill="1" applyAlignment="1">
      <alignment wrapText="1"/>
    </xf>
    <xf numFmtId="0" fontId="30" fillId="0" borderId="0" xfId="1" applyFont="1" applyAlignment="1">
      <alignment horizontal="left" vertical="top" wrapText="1"/>
    </xf>
    <xf numFmtId="0" fontId="30" fillId="0" borderId="0" xfId="1" applyFont="1" applyAlignment="1" applyProtection="1">
      <alignment horizontal="left" vertical="top" wrapText="1"/>
      <protection locked="0"/>
    </xf>
    <xf numFmtId="0" fontId="48" fillId="0" borderId="0" xfId="1" applyFont="1" applyAlignment="1">
      <alignment horizontal="left" vertical="top" wrapText="1"/>
    </xf>
    <xf numFmtId="167" fontId="48" fillId="0" borderId="0" xfId="9" applyNumberFormat="1" applyFont="1" applyAlignment="1">
      <alignment wrapText="1"/>
    </xf>
    <xf numFmtId="0" fontId="30" fillId="5" borderId="29" xfId="3" applyFont="1" applyFill="1" applyBorder="1" applyAlignment="1" applyProtection="1">
      <alignment horizontal="center" vertical="center" wrapText="1"/>
      <protection hidden="1"/>
    </xf>
    <xf numFmtId="0" fontId="30" fillId="5" borderId="28" xfId="3" quotePrefix="1" applyFont="1" applyFill="1" applyBorder="1" applyAlignment="1" applyProtection="1">
      <alignment horizontal="left" vertical="center"/>
      <protection hidden="1"/>
    </xf>
    <xf numFmtId="165" fontId="30" fillId="5" borderId="29" xfId="9" applyFont="1" applyFill="1" applyBorder="1" applyAlignment="1" applyProtection="1">
      <alignment horizontal="left" vertical="center" wrapText="1"/>
      <protection hidden="1"/>
    </xf>
    <xf numFmtId="0" fontId="30" fillId="0" borderId="29" xfId="3" applyFont="1" applyBorder="1" applyAlignment="1" applyProtection="1">
      <alignment horizontal="left" vertical="center" wrapText="1"/>
      <protection locked="0"/>
    </xf>
    <xf numFmtId="0" fontId="30" fillId="0" borderId="29" xfId="3" applyFont="1" applyBorder="1" applyAlignment="1" applyProtection="1">
      <alignment horizontal="center" vertical="center" wrapText="1"/>
      <protection locked="0"/>
    </xf>
    <xf numFmtId="0" fontId="30" fillId="5" borderId="29" xfId="9" applyNumberFormat="1" applyFont="1" applyFill="1" applyBorder="1" applyAlignment="1" applyProtection="1">
      <alignment horizontal="left" vertical="center" wrapText="1"/>
      <protection hidden="1"/>
    </xf>
    <xf numFmtId="165" fontId="30" fillId="5" borderId="41" xfId="9" applyFont="1" applyFill="1" applyBorder="1" applyAlignment="1" applyProtection="1">
      <alignment horizontal="left" vertical="center" wrapText="1"/>
      <protection hidden="1"/>
    </xf>
    <xf numFmtId="0" fontId="30" fillId="5" borderId="41" xfId="9" applyNumberFormat="1" applyFont="1" applyFill="1" applyBorder="1" applyAlignment="1" applyProtection="1">
      <alignment horizontal="center" vertical="center" wrapText="1"/>
      <protection hidden="1"/>
    </xf>
    <xf numFmtId="0" fontId="30" fillId="0" borderId="41" xfId="3" quotePrefix="1" applyFont="1" applyBorder="1" applyAlignment="1" applyProtection="1">
      <alignment horizontal="center" vertical="center" wrapText="1"/>
      <protection locked="0"/>
    </xf>
    <xf numFmtId="0" fontId="41" fillId="5" borderId="0" xfId="0" quotePrefix="1" applyFont="1" applyFill="1" applyAlignment="1">
      <alignment horizontal="center" vertical="center"/>
    </xf>
    <xf numFmtId="0" fontId="30" fillId="0" borderId="30" xfId="3" applyFont="1" applyBorder="1" applyAlignment="1" applyProtection="1">
      <alignment horizontal="left" vertical="center" wrapText="1"/>
      <protection locked="0"/>
    </xf>
    <xf numFmtId="167" fontId="30" fillId="0" borderId="29" xfId="4" applyNumberFormat="1" applyFont="1" applyFill="1" applyBorder="1" applyAlignment="1" applyProtection="1">
      <alignment horizontal="left" vertical="center" wrapText="1"/>
      <protection locked="0"/>
    </xf>
    <xf numFmtId="167" fontId="36" fillId="5" borderId="40" xfId="4" applyNumberFormat="1" applyFont="1" applyFill="1" applyBorder="1" applyAlignment="1" applyProtection="1">
      <alignment horizontal="left" vertical="center" wrapText="1"/>
      <protection hidden="1"/>
    </xf>
    <xf numFmtId="167" fontId="36" fillId="6" borderId="30" xfId="4" applyNumberFormat="1" applyFont="1" applyFill="1" applyBorder="1" applyAlignment="1" applyProtection="1">
      <alignment horizontal="left" vertical="center" wrapText="1"/>
      <protection hidden="1"/>
    </xf>
    <xf numFmtId="167" fontId="30" fillId="0" borderId="0" xfId="4" applyNumberFormat="1" applyFont="1" applyFill="1" applyAlignment="1">
      <alignment horizontal="left" vertical="center" wrapText="1"/>
    </xf>
    <xf numFmtId="167" fontId="30" fillId="0" borderId="29" xfId="5" quotePrefix="1" applyNumberFormat="1" applyFont="1" applyFill="1" applyBorder="1" applyAlignment="1" applyProtection="1">
      <alignment horizontal="left" vertical="center" wrapText="1"/>
      <protection locked="0"/>
    </xf>
    <xf numFmtId="167" fontId="30" fillId="7" borderId="29" xfId="5" quotePrefix="1" applyNumberFormat="1" applyFont="1" applyFill="1" applyBorder="1" applyAlignment="1" applyProtection="1">
      <alignment horizontal="left" vertical="center" wrapText="1"/>
      <protection hidden="1"/>
    </xf>
    <xf numFmtId="168" fontId="30" fillId="0" borderId="29" xfId="5" quotePrefix="1" applyNumberFormat="1" applyFont="1" applyFill="1" applyBorder="1" applyAlignment="1" applyProtection="1">
      <alignment horizontal="left" vertical="center" wrapText="1"/>
      <protection locked="0"/>
    </xf>
    <xf numFmtId="167" fontId="30" fillId="0" borderId="29" xfId="5" applyNumberFormat="1" applyFont="1" applyFill="1" applyBorder="1" applyAlignment="1" applyProtection="1">
      <alignment horizontal="left" vertical="center" wrapText="1"/>
      <protection locked="0"/>
    </xf>
    <xf numFmtId="0" fontId="30" fillId="0" borderId="0" xfId="1" applyFont="1" applyAlignment="1">
      <alignment horizontal="left" vertical="center" wrapText="1"/>
    </xf>
    <xf numFmtId="0" fontId="30" fillId="0" borderId="0" xfId="1" applyFont="1" applyAlignment="1" applyProtection="1">
      <alignment horizontal="center" wrapText="1"/>
      <protection locked="0"/>
    </xf>
    <xf numFmtId="0" fontId="30" fillId="0" borderId="0" xfId="1" applyFont="1" applyAlignment="1" applyProtection="1">
      <alignment wrapText="1"/>
      <protection locked="0"/>
    </xf>
    <xf numFmtId="0" fontId="30" fillId="20" borderId="78" xfId="1" applyFont="1" applyFill="1" applyBorder="1" applyAlignment="1">
      <alignment horizontal="center" wrapText="1"/>
    </xf>
    <xf numFmtId="0" fontId="30" fillId="20" borderId="79" xfId="1" applyFont="1" applyFill="1" applyBorder="1" applyAlignment="1">
      <alignment horizontal="center" wrapText="1"/>
    </xf>
    <xf numFmtId="0" fontId="30" fillId="20" borderId="79" xfId="1" applyFont="1" applyFill="1" applyBorder="1" applyAlignment="1">
      <alignment horizontal="left" wrapText="1"/>
    </xf>
    <xf numFmtId="0" fontId="30" fillId="20" borderId="80" xfId="1" applyFont="1" applyFill="1" applyBorder="1" applyAlignment="1">
      <alignment horizontal="left" wrapText="1"/>
    </xf>
    <xf numFmtId="0" fontId="30" fillId="20" borderId="78" xfId="1" applyFont="1" applyFill="1" applyBorder="1" applyAlignment="1">
      <alignment horizontal="left" wrapText="1"/>
    </xf>
    <xf numFmtId="0" fontId="30" fillId="20" borderId="79" xfId="1" applyFont="1" applyFill="1" applyBorder="1" applyAlignment="1" applyProtection="1">
      <alignment horizontal="left" wrapText="1"/>
      <protection locked="0"/>
    </xf>
    <xf numFmtId="0" fontId="30" fillId="20" borderId="79" xfId="1" applyFont="1" applyFill="1" applyBorder="1" applyAlignment="1">
      <alignment wrapText="1"/>
    </xf>
    <xf numFmtId="167" fontId="43" fillId="20" borderId="28" xfId="4" applyNumberFormat="1" applyFont="1" applyFill="1" applyBorder="1" applyAlignment="1">
      <alignment horizontal="centerContinuous"/>
    </xf>
    <xf numFmtId="167" fontId="51" fillId="20" borderId="28" xfId="4" applyNumberFormat="1" applyFont="1" applyFill="1" applyBorder="1" applyAlignment="1">
      <alignment horizontal="centerContinuous" wrapText="1"/>
    </xf>
    <xf numFmtId="167" fontId="30" fillId="6" borderId="28" xfId="4" applyNumberFormat="1" applyFont="1" applyFill="1" applyBorder="1" applyAlignment="1">
      <alignment wrapText="1"/>
    </xf>
    <xf numFmtId="167" fontId="51" fillId="20" borderId="81" xfId="4" applyNumberFormat="1" applyFont="1" applyFill="1" applyBorder="1" applyAlignment="1">
      <alignment horizontal="centerContinuous" wrapText="1"/>
    </xf>
    <xf numFmtId="0" fontId="43" fillId="20" borderId="82" xfId="0" applyFont="1" applyFill="1" applyBorder="1" applyAlignment="1">
      <alignment horizontal="center" vertical="center" wrapText="1"/>
    </xf>
    <xf numFmtId="0" fontId="43" fillId="20" borderId="28" xfId="0" applyFont="1" applyFill="1" applyBorder="1" applyAlignment="1">
      <alignment horizontal="center" vertical="center" wrapText="1"/>
    </xf>
    <xf numFmtId="0" fontId="43" fillId="20" borderId="28" xfId="0" applyFont="1" applyFill="1" applyBorder="1" applyAlignment="1" applyProtection="1">
      <alignment horizontal="center" vertical="center" wrapText="1"/>
      <protection locked="0"/>
    </xf>
    <xf numFmtId="0" fontId="43" fillId="20" borderId="29" xfId="0" applyFont="1" applyFill="1" applyBorder="1" applyAlignment="1">
      <alignment horizontal="center" vertical="center" wrapText="1"/>
    </xf>
    <xf numFmtId="167" fontId="30" fillId="6" borderId="29" xfId="4" applyNumberFormat="1" applyFont="1" applyFill="1" applyBorder="1" applyAlignment="1">
      <alignment horizontal="center" vertical="center" wrapText="1"/>
    </xf>
    <xf numFmtId="0" fontId="38" fillId="11" borderId="67" xfId="5" applyNumberFormat="1" applyFont="1" applyFill="1" applyBorder="1" applyAlignment="1">
      <alignment horizontal="center" vertical="center" wrapText="1"/>
    </xf>
    <xf numFmtId="0" fontId="38" fillId="11" borderId="0" xfId="5" applyNumberFormat="1" applyFont="1" applyFill="1" applyBorder="1" applyAlignment="1">
      <alignment horizontal="center" vertical="center" wrapText="1"/>
    </xf>
    <xf numFmtId="0" fontId="38" fillId="11" borderId="67" xfId="5" applyNumberFormat="1" applyFont="1" applyFill="1" applyBorder="1" applyAlignment="1" applyProtection="1">
      <alignment horizontal="center" vertical="center" wrapText="1"/>
      <protection locked="0"/>
    </xf>
    <xf numFmtId="0" fontId="30" fillId="0" borderId="0" xfId="1" applyFont="1" applyAlignment="1">
      <alignment horizontal="center" vertical="center" wrapText="1"/>
    </xf>
    <xf numFmtId="0" fontId="38" fillId="6" borderId="3" xfId="5" applyNumberFormat="1" applyFont="1" applyFill="1" applyBorder="1" applyAlignment="1" applyProtection="1">
      <alignment horizontal="center" vertical="center" wrapText="1"/>
      <protection locked="0"/>
    </xf>
    <xf numFmtId="0" fontId="30" fillId="0" borderId="0" xfId="0" applyFont="1" applyAlignment="1">
      <alignment wrapText="1"/>
    </xf>
    <xf numFmtId="167" fontId="30" fillId="0" borderId="0" xfId="9" applyNumberFormat="1" applyFont="1"/>
    <xf numFmtId="0" fontId="48" fillId="0" borderId="0" xfId="1" applyFont="1" applyAlignment="1">
      <alignment wrapText="1"/>
    </xf>
    <xf numFmtId="0" fontId="30" fillId="0" borderId="0" xfId="0" applyFont="1" applyProtection="1">
      <protection hidden="1"/>
    </xf>
    <xf numFmtId="0" fontId="52" fillId="0" borderId="0" xfId="1" applyFont="1" applyAlignment="1">
      <alignment horizontal="center" vertical="center" wrapText="1"/>
    </xf>
    <xf numFmtId="0" fontId="38" fillId="11" borderId="25" xfId="5" applyNumberFormat="1" applyFont="1" applyFill="1" applyBorder="1" applyAlignment="1">
      <alignment horizontal="center" vertical="center" wrapText="1"/>
    </xf>
    <xf numFmtId="0" fontId="41" fillId="0" borderId="0" xfId="1" applyFont="1" applyAlignment="1" applyProtection="1">
      <alignment horizontal="center" vertical="center" wrapText="1"/>
      <protection hidden="1"/>
    </xf>
    <xf numFmtId="0" fontId="30" fillId="5" borderId="28" xfId="3" applyFont="1" applyFill="1" applyBorder="1" applyAlignment="1" applyProtection="1">
      <alignment horizontal="left"/>
      <protection hidden="1"/>
    </xf>
    <xf numFmtId="165" fontId="30" fillId="5" borderId="29" xfId="4" applyFont="1" applyFill="1" applyBorder="1" applyAlignment="1" applyProtection="1">
      <alignment vertical="center"/>
      <protection hidden="1"/>
    </xf>
    <xf numFmtId="165" fontId="30" fillId="0" borderId="29" xfId="4" applyFont="1" applyFill="1" applyBorder="1" applyAlignment="1" applyProtection="1">
      <alignment vertical="center"/>
      <protection locked="0"/>
    </xf>
    <xf numFmtId="165" fontId="30" fillId="5" borderId="29" xfId="4" applyFont="1" applyFill="1" applyBorder="1" applyAlignment="1" applyProtection="1">
      <alignment horizontal="left" vertical="center"/>
      <protection hidden="1"/>
    </xf>
    <xf numFmtId="0" fontId="30" fillId="5" borderId="29" xfId="4" applyNumberFormat="1" applyFont="1" applyFill="1" applyBorder="1" applyAlignment="1" applyProtection="1">
      <alignment horizontal="left" vertical="center"/>
      <protection hidden="1"/>
    </xf>
    <xf numFmtId="164" fontId="30" fillId="5" borderId="29" xfId="7" applyFont="1" applyFill="1" applyBorder="1" applyAlignment="1" applyProtection="1">
      <alignment vertical="center"/>
      <protection hidden="1"/>
    </xf>
    <xf numFmtId="164" fontId="30" fillId="0" borderId="29" xfId="7" applyFont="1" applyFill="1" applyBorder="1" applyAlignment="1" applyProtection="1">
      <alignment vertical="center"/>
      <protection locked="0"/>
    </xf>
    <xf numFmtId="164" fontId="30" fillId="5" borderId="28" xfId="7" applyFont="1" applyFill="1" applyBorder="1" applyAlignment="1" applyProtection="1">
      <protection hidden="1"/>
    </xf>
    <xf numFmtId="167" fontId="30" fillId="6" borderId="29" xfId="5" applyNumberFormat="1" applyFont="1" applyFill="1" applyBorder="1" applyAlignment="1" applyProtection="1">
      <alignment horizontal="left" vertical="center" wrapText="1"/>
      <protection locked="0"/>
    </xf>
    <xf numFmtId="164" fontId="30" fillId="7" borderId="68" xfId="7" applyFont="1" applyFill="1" applyBorder="1" applyAlignment="1" applyProtection="1">
      <protection hidden="1"/>
    </xf>
    <xf numFmtId="164" fontId="30" fillId="0" borderId="29" xfId="7" applyFont="1" applyFill="1" applyBorder="1" applyAlignment="1" applyProtection="1">
      <protection hidden="1"/>
    </xf>
    <xf numFmtId="167" fontId="52" fillId="0" borderId="0" xfId="9" applyNumberFormat="1" applyFont="1" applyFill="1" applyAlignment="1">
      <alignment vertical="center"/>
    </xf>
    <xf numFmtId="164" fontId="30" fillId="7" borderId="28" xfId="7" applyFont="1" applyFill="1" applyBorder="1" applyAlignment="1" applyProtection="1">
      <protection hidden="1"/>
    </xf>
    <xf numFmtId="0" fontId="30" fillId="0" borderId="30" xfId="3" applyFont="1" applyBorder="1" applyAlignment="1" applyProtection="1">
      <alignment horizontal="left"/>
      <protection locked="0"/>
    </xf>
    <xf numFmtId="167" fontId="30" fillId="0" borderId="29" xfId="5" applyNumberFormat="1" applyFont="1" applyFill="1" applyBorder="1" applyAlignment="1" applyProtection="1">
      <alignment wrapText="1"/>
      <protection locked="0"/>
    </xf>
    <xf numFmtId="167" fontId="30" fillId="0" borderId="30" xfId="5" quotePrefix="1" applyNumberFormat="1" applyFont="1" applyFill="1" applyBorder="1" applyAlignment="1" applyProtection="1">
      <alignment horizontal="left" vertical="center" wrapText="1"/>
      <protection locked="0"/>
    </xf>
    <xf numFmtId="0" fontId="30" fillId="0" borderId="30" xfId="3" applyFont="1" applyBorder="1" applyAlignment="1" applyProtection="1">
      <alignment horizontal="center"/>
      <protection locked="0"/>
    </xf>
    <xf numFmtId="167" fontId="30" fillId="0" borderId="29" xfId="5" applyNumberFormat="1" applyFont="1" applyFill="1" applyBorder="1" applyAlignment="1" applyProtection="1">
      <protection locked="0"/>
    </xf>
    <xf numFmtId="167" fontId="30" fillId="0" borderId="29" xfId="9" applyNumberFormat="1" applyFont="1" applyFill="1" applyBorder="1" applyAlignment="1" applyProtection="1">
      <protection locked="0"/>
    </xf>
    <xf numFmtId="167" fontId="30" fillId="7" borderId="30" xfId="5" quotePrefix="1" applyNumberFormat="1" applyFont="1" applyFill="1" applyBorder="1" applyAlignment="1" applyProtection="1">
      <alignment horizontal="left" vertical="center" wrapText="1"/>
      <protection hidden="1"/>
    </xf>
    <xf numFmtId="0" fontId="30" fillId="0" borderId="40" xfId="3" applyFont="1" applyBorder="1" applyAlignment="1" applyProtection="1">
      <alignment horizontal="left"/>
      <protection locked="0"/>
    </xf>
    <xf numFmtId="0" fontId="36" fillId="0" borderId="0" xfId="1" applyFont="1" applyAlignment="1" applyProtection="1">
      <alignment vertical="center"/>
      <protection hidden="1"/>
    </xf>
    <xf numFmtId="164" fontId="30" fillId="5" borderId="41" xfId="7" applyFont="1" applyFill="1" applyBorder="1" applyAlignment="1" applyProtection="1">
      <alignment vertical="center"/>
      <protection hidden="1"/>
    </xf>
    <xf numFmtId="0" fontId="52" fillId="0" borderId="0" xfId="0" applyFont="1"/>
    <xf numFmtId="0" fontId="43" fillId="15" borderId="17" xfId="0" applyFont="1" applyFill="1" applyBorder="1" applyAlignment="1">
      <alignment horizontal="center" vertical="center" wrapText="1"/>
    </xf>
    <xf numFmtId="0" fontId="51" fillId="0" borderId="0" xfId="0" applyFont="1"/>
    <xf numFmtId="0" fontId="51" fillId="0" borderId="0" xfId="0" applyFont="1" applyAlignment="1">
      <alignment horizontal="center"/>
    </xf>
    <xf numFmtId="0" fontId="38" fillId="0" borderId="0" xfId="0" applyFont="1"/>
    <xf numFmtId="0" fontId="30" fillId="0" borderId="0" xfId="0" applyFont="1" applyAlignment="1">
      <alignment vertical="center"/>
    </xf>
    <xf numFmtId="0" fontId="41" fillId="12" borderId="6" xfId="0" applyFont="1" applyFill="1" applyBorder="1" applyAlignment="1">
      <alignment horizontal="center" vertical="center"/>
    </xf>
    <xf numFmtId="0" fontId="41" fillId="12" borderId="37" xfId="0" applyFont="1" applyFill="1" applyBorder="1" applyAlignment="1">
      <alignment horizontal="center" vertical="center"/>
    </xf>
    <xf numFmtId="0" fontId="41" fillId="12" borderId="47" xfId="0" applyFont="1" applyFill="1" applyBorder="1" applyAlignment="1">
      <alignment horizontal="center" vertical="center"/>
    </xf>
    <xf numFmtId="0" fontId="36" fillId="0" borderId="0" xfId="0" applyFont="1" applyAlignment="1">
      <alignment vertical="center"/>
    </xf>
    <xf numFmtId="0" fontId="30" fillId="5" borderId="33" xfId="0" applyFont="1" applyFill="1" applyBorder="1" applyAlignment="1">
      <alignment vertical="center"/>
    </xf>
    <xf numFmtId="0" fontId="30" fillId="5" borderId="0" xfId="0" applyFont="1" applyFill="1" applyAlignment="1">
      <alignment vertical="center"/>
    </xf>
    <xf numFmtId="0" fontId="30" fillId="5" borderId="34" xfId="0" applyFont="1" applyFill="1" applyBorder="1" applyAlignment="1">
      <alignment horizontal="left" vertical="center"/>
    </xf>
    <xf numFmtId="0" fontId="30" fillId="5" borderId="34" xfId="0" applyFont="1" applyFill="1" applyBorder="1" applyAlignment="1">
      <alignment horizontal="left" vertical="center" wrapText="1"/>
    </xf>
    <xf numFmtId="0" fontId="30" fillId="5" borderId="34" xfId="0" applyFont="1" applyFill="1" applyBorder="1" applyAlignment="1">
      <alignment vertical="center"/>
    </xf>
    <xf numFmtId="0" fontId="30" fillId="5" borderId="34" xfId="0" applyFont="1" applyFill="1" applyBorder="1" applyAlignment="1">
      <alignment horizontal="center" vertical="center"/>
    </xf>
    <xf numFmtId="0" fontId="30" fillId="5" borderId="33" xfId="0" applyFont="1" applyFill="1" applyBorder="1"/>
    <xf numFmtId="0" fontId="30" fillId="5" borderId="0" xfId="0" applyFont="1" applyFill="1"/>
    <xf numFmtId="0" fontId="30" fillId="5" borderId="0" xfId="0" applyFont="1" applyFill="1" applyAlignment="1">
      <alignment vertical="top"/>
    </xf>
    <xf numFmtId="0" fontId="30" fillId="5" borderId="34" xfId="0" applyFont="1" applyFill="1" applyBorder="1" applyAlignment="1">
      <alignment horizontal="center"/>
    </xf>
    <xf numFmtId="0" fontId="30" fillId="5" borderId="35" xfId="0" applyFont="1" applyFill="1" applyBorder="1"/>
    <xf numFmtId="0" fontId="30" fillId="5" borderId="1" xfId="0" applyFont="1" applyFill="1" applyBorder="1"/>
    <xf numFmtId="0" fontId="30" fillId="5" borderId="36" xfId="0" applyFont="1" applyFill="1" applyBorder="1" applyAlignment="1">
      <alignment horizontal="center"/>
    </xf>
    <xf numFmtId="0" fontId="41" fillId="12" borderId="2" xfId="0" applyFont="1" applyFill="1" applyBorder="1" applyAlignment="1">
      <alignment horizontal="center" vertical="top"/>
    </xf>
    <xf numFmtId="0" fontId="41" fillId="12" borderId="6" xfId="0" applyFont="1" applyFill="1" applyBorder="1" applyAlignment="1">
      <alignment horizontal="center" vertical="top"/>
    </xf>
    <xf numFmtId="0" fontId="41" fillId="12" borderId="32" xfId="0" applyFont="1" applyFill="1" applyBorder="1" applyAlignment="1">
      <alignment horizontal="center" vertical="top"/>
    </xf>
    <xf numFmtId="0" fontId="30" fillId="0" borderId="33" xfId="0" applyFont="1" applyBorder="1" applyProtection="1">
      <protection locked="0"/>
    </xf>
    <xf numFmtId="0" fontId="30" fillId="8" borderId="19" xfId="0" applyFont="1" applyFill="1" applyBorder="1" applyProtection="1">
      <protection locked="0"/>
    </xf>
    <xf numFmtId="0" fontId="30" fillId="0" borderId="19" xfId="3" applyFont="1" applyBorder="1" applyAlignment="1" applyProtection="1">
      <alignment horizontal="left" vertical="center" wrapText="1"/>
      <protection locked="0"/>
    </xf>
    <xf numFmtId="0" fontId="30" fillId="8" borderId="19" xfId="0" applyFont="1" applyFill="1" applyBorder="1" applyAlignment="1" applyProtection="1">
      <alignment horizontal="left"/>
      <protection locked="0"/>
    </xf>
    <xf numFmtId="0" fontId="30" fillId="0" borderId="77" xfId="0" applyFont="1" applyBorder="1"/>
    <xf numFmtId="0" fontId="30" fillId="8" borderId="31" xfId="0" applyFont="1" applyFill="1" applyBorder="1" applyAlignment="1">
      <alignment horizontal="center"/>
    </xf>
    <xf numFmtId="0" fontId="30" fillId="8" borderId="0" xfId="0" applyFont="1" applyFill="1" applyProtection="1">
      <protection locked="0"/>
    </xf>
    <xf numFmtId="0" fontId="30" fillId="0" borderId="0" xfId="3" applyFont="1" applyAlignment="1" applyProtection="1">
      <alignment horizontal="left" vertical="center" wrapText="1"/>
      <protection locked="0"/>
    </xf>
    <xf numFmtId="0" fontId="30" fillId="8" borderId="0" xfId="0" applyFont="1" applyFill="1" applyAlignment="1" applyProtection="1">
      <alignment horizontal="left"/>
      <protection locked="0"/>
    </xf>
    <xf numFmtId="0" fontId="30" fillId="0" borderId="34" xfId="0" applyFont="1" applyBorder="1"/>
    <xf numFmtId="0" fontId="30" fillId="0" borderId="35" xfId="0" applyFont="1" applyBorder="1" applyProtection="1">
      <protection locked="0"/>
    </xf>
    <xf numFmtId="0" fontId="30" fillId="0" borderId="1" xfId="0" applyFont="1" applyBorder="1" applyProtection="1">
      <protection locked="0"/>
    </xf>
    <xf numFmtId="0" fontId="30" fillId="8" borderId="1" xfId="0" applyFont="1" applyFill="1" applyBorder="1" applyProtection="1">
      <protection locked="0"/>
    </xf>
    <xf numFmtId="0" fontId="30" fillId="0" borderId="1" xfId="0" applyFont="1" applyBorder="1"/>
    <xf numFmtId="49" fontId="30" fillId="8" borderId="1" xfId="0" applyNumberFormat="1" applyFont="1" applyFill="1" applyBorder="1" applyProtection="1">
      <protection locked="0"/>
    </xf>
    <xf numFmtId="0" fontId="30" fillId="0" borderId="36" xfId="0" applyFont="1" applyBorder="1"/>
    <xf numFmtId="0" fontId="30" fillId="0" borderId="1" xfId="0" applyFont="1" applyBorder="1" applyAlignment="1">
      <alignment horizontal="center"/>
    </xf>
    <xf numFmtId="0" fontId="30" fillId="8" borderId="38" xfId="0" applyFont="1" applyFill="1" applyBorder="1" applyAlignment="1">
      <alignment horizontal="center"/>
    </xf>
    <xf numFmtId="49" fontId="30" fillId="0" borderId="0" xfId="0" applyNumberFormat="1" applyFont="1" applyProtection="1">
      <protection locked="0"/>
    </xf>
    <xf numFmtId="0" fontId="41" fillId="12" borderId="72" xfId="0" applyFont="1" applyFill="1" applyBorder="1" applyAlignment="1">
      <alignment horizontal="center" vertical="top"/>
    </xf>
    <xf numFmtId="0" fontId="53" fillId="0" borderId="0" xfId="1" applyFont="1"/>
    <xf numFmtId="0" fontId="30" fillId="20" borderId="0" xfId="0" applyFont="1" applyFill="1"/>
    <xf numFmtId="0" fontId="30" fillId="20" borderId="0" xfId="0" applyFont="1" applyFill="1" applyProtection="1">
      <protection locked="0"/>
    </xf>
    <xf numFmtId="167" fontId="43" fillId="20" borderId="0" xfId="4" applyNumberFormat="1" applyFont="1" applyFill="1" applyAlignment="1">
      <alignment horizontal="centerContinuous"/>
    </xf>
    <xf numFmtId="167" fontId="51" fillId="20" borderId="0" xfId="4" applyNumberFormat="1" applyFont="1" applyFill="1" applyAlignment="1">
      <alignment horizontal="centerContinuous" wrapText="1"/>
    </xf>
    <xf numFmtId="0" fontId="43" fillId="20" borderId="2" xfId="0" applyFont="1" applyFill="1" applyBorder="1" applyAlignment="1">
      <alignment horizontal="center" vertical="center" wrapText="1"/>
    </xf>
    <xf numFmtId="0" fontId="43" fillId="20" borderId="2" xfId="0" applyFont="1" applyFill="1" applyBorder="1" applyAlignment="1" applyProtection="1">
      <alignment horizontal="center" vertical="center" wrapText="1"/>
      <protection locked="0"/>
    </xf>
    <xf numFmtId="167" fontId="43" fillId="16" borderId="83" xfId="4" applyNumberFormat="1" applyFont="1" applyFill="1" applyBorder="1" applyAlignment="1" applyProtection="1">
      <alignment horizontal="center" vertical="center" wrapText="1"/>
    </xf>
    <xf numFmtId="167" fontId="43" fillId="16" borderId="37" xfId="4" applyNumberFormat="1" applyFont="1" applyFill="1" applyBorder="1" applyAlignment="1" applyProtection="1">
      <alignment horizontal="center" vertical="center" wrapText="1"/>
    </xf>
    <xf numFmtId="0" fontId="38" fillId="6" borderId="37" xfId="5" applyNumberFormat="1" applyFont="1" applyFill="1" applyBorder="1" applyAlignment="1" applyProtection="1">
      <alignment horizontal="center" vertical="center" wrapText="1"/>
      <protection locked="0"/>
    </xf>
    <xf numFmtId="0" fontId="43" fillId="6" borderId="2" xfId="0" applyFont="1" applyFill="1" applyBorder="1" applyAlignment="1">
      <alignment horizontal="center" vertical="center" wrapText="1"/>
    </xf>
    <xf numFmtId="0" fontId="43" fillId="0" borderId="0" xfId="1" applyFont="1" applyAlignment="1" applyProtection="1">
      <alignment horizontal="center" vertical="center" wrapText="1"/>
      <protection hidden="1"/>
    </xf>
    <xf numFmtId="0" fontId="30" fillId="21" borderId="28" xfId="3" applyFont="1" applyFill="1" applyBorder="1" applyAlignment="1" applyProtection="1">
      <alignment horizontal="left"/>
      <protection hidden="1"/>
    </xf>
    <xf numFmtId="0" fontId="30" fillId="23" borderId="2" xfId="0" applyFont="1" applyFill="1" applyBorder="1"/>
    <xf numFmtId="0" fontId="54" fillId="0" borderId="0" xfId="10" quotePrefix="1" applyFont="1"/>
    <xf numFmtId="0" fontId="54" fillId="8" borderId="0" xfId="10" applyFont="1" applyFill="1" applyAlignment="1">
      <alignment horizontal="center" vertical="center"/>
    </xf>
    <xf numFmtId="0" fontId="41" fillId="5" borderId="0" xfId="1" applyFont="1" applyFill="1" applyAlignment="1">
      <alignment horizontal="left" vertical="center"/>
    </xf>
    <xf numFmtId="0" fontId="54" fillId="5" borderId="0" xfId="2" applyFont="1" applyFill="1" applyAlignment="1">
      <alignment horizontal="center" vertical="center"/>
    </xf>
    <xf numFmtId="0" fontId="30" fillId="5" borderId="0" xfId="1" applyFont="1" applyFill="1"/>
    <xf numFmtId="0" fontId="30" fillId="0" borderId="0" xfId="1" applyFont="1" applyAlignment="1">
      <alignment horizontal="center" vertical="center"/>
    </xf>
    <xf numFmtId="0" fontId="38" fillId="21" borderId="0" xfId="1" applyFont="1" applyFill="1" applyAlignment="1">
      <alignment horizontal="left" vertical="center"/>
    </xf>
    <xf numFmtId="0" fontId="54" fillId="21" borderId="0" xfId="2" applyFont="1" applyFill="1" applyAlignment="1">
      <alignment horizontal="center" vertical="center"/>
    </xf>
    <xf numFmtId="0" fontId="36" fillId="21" borderId="0" xfId="1" applyFont="1" applyFill="1"/>
    <xf numFmtId="0" fontId="38" fillId="8" borderId="0" xfId="1" applyFont="1" applyFill="1" applyAlignment="1">
      <alignment horizontal="left" vertical="center"/>
    </xf>
    <xf numFmtId="0" fontId="36" fillId="8" borderId="0" xfId="1" applyFont="1" applyFill="1"/>
    <xf numFmtId="0" fontId="54" fillId="5" borderId="0" xfId="10" applyFont="1" applyFill="1" applyAlignment="1" applyProtection="1">
      <alignment horizontal="center" vertical="center"/>
    </xf>
    <xf numFmtId="0" fontId="54" fillId="0" borderId="0" xfId="10" applyFont="1"/>
    <xf numFmtId="0" fontId="1" fillId="0" borderId="0" xfId="0" applyFont="1" applyAlignment="1">
      <alignment vertical="center"/>
    </xf>
    <xf numFmtId="167" fontId="52" fillId="0" borderId="0" xfId="4" applyNumberFormat="1" applyFont="1" applyAlignment="1">
      <alignment horizontal="center" vertical="center" wrapText="1"/>
    </xf>
    <xf numFmtId="0" fontId="43" fillId="20" borderId="0" xfId="1" applyFont="1" applyFill="1" applyAlignment="1">
      <alignment horizontal="centerContinuous"/>
    </xf>
    <xf numFmtId="0" fontId="43" fillId="24" borderId="2" xfId="3" applyFont="1" applyFill="1" applyBorder="1" applyAlignment="1">
      <alignment vertical="top" wrapText="1"/>
    </xf>
    <xf numFmtId="0" fontId="30" fillId="24" borderId="2" xfId="3" applyFont="1" applyFill="1" applyBorder="1" applyAlignment="1" applyProtection="1">
      <alignment vertical="top" wrapText="1"/>
      <protection locked="0"/>
    </xf>
    <xf numFmtId="1" fontId="43" fillId="25" borderId="2" xfId="4" applyNumberFormat="1" applyFont="1" applyFill="1" applyBorder="1" applyAlignment="1" applyProtection="1">
      <alignment vertical="top" wrapText="1"/>
    </xf>
    <xf numFmtId="0" fontId="30" fillId="0" borderId="33" xfId="0" applyFont="1" applyBorder="1" applyAlignment="1">
      <alignment horizontal="center"/>
    </xf>
    <xf numFmtId="0" fontId="30" fillId="0" borderId="17" xfId="1" applyFont="1" applyBorder="1" applyAlignment="1">
      <alignment horizontal="right" vertical="center"/>
    </xf>
    <xf numFmtId="0" fontId="30" fillId="0" borderId="84" xfId="1" applyFont="1" applyBorder="1" applyAlignment="1">
      <alignment vertical="center" wrapText="1"/>
    </xf>
    <xf numFmtId="0" fontId="30" fillId="0" borderId="85" xfId="1" applyFont="1" applyBorder="1" applyAlignment="1">
      <alignment vertical="center" wrapText="1"/>
    </xf>
    <xf numFmtId="0" fontId="30" fillId="0" borderId="86" xfId="1" applyFont="1" applyBorder="1" applyAlignment="1">
      <alignment vertical="center" wrapText="1"/>
    </xf>
    <xf numFmtId="0" fontId="30" fillId="0" borderId="87" xfId="0" applyFont="1" applyBorder="1"/>
    <xf numFmtId="0" fontId="30" fillId="0" borderId="88" xfId="0" applyFont="1" applyBorder="1"/>
    <xf numFmtId="0" fontId="30" fillId="0" borderId="89" xfId="0" applyFont="1" applyBorder="1"/>
    <xf numFmtId="0" fontId="43" fillId="26" borderId="2" xfId="3" applyFont="1" applyFill="1" applyBorder="1" applyAlignment="1">
      <alignment vertical="top" wrapText="1"/>
    </xf>
    <xf numFmtId="0" fontId="30" fillId="26" borderId="2" xfId="3" applyFont="1" applyFill="1" applyBorder="1" applyAlignment="1" applyProtection="1">
      <alignment vertical="top" wrapText="1"/>
      <protection locked="0"/>
    </xf>
    <xf numFmtId="1" fontId="43" fillId="27" borderId="2" xfId="4" applyNumberFormat="1" applyFont="1" applyFill="1" applyBorder="1" applyAlignment="1" applyProtection="1">
      <alignment vertical="top" wrapText="1"/>
    </xf>
    <xf numFmtId="0" fontId="39" fillId="0" borderId="37" xfId="12" applyFont="1" applyBorder="1" applyAlignment="1">
      <alignment horizontal="centerContinuous" vertical="center"/>
    </xf>
    <xf numFmtId="0" fontId="30" fillId="0" borderId="37" xfId="12" applyFont="1" applyBorder="1" applyAlignment="1">
      <alignment horizontal="centerContinuous" vertical="center"/>
    </xf>
    <xf numFmtId="0" fontId="30" fillId="0" borderId="5" xfId="12" applyFont="1" applyBorder="1" applyAlignment="1">
      <alignment horizontal="centerContinuous" vertical="center"/>
    </xf>
    <xf numFmtId="17" fontId="41" fillId="0" borderId="0" xfId="12" applyNumberFormat="1" applyFont="1" applyAlignment="1">
      <alignment horizontal="center"/>
    </xf>
    <xf numFmtId="0" fontId="30" fillId="19" borderId="0" xfId="0" applyFont="1" applyFill="1"/>
    <xf numFmtId="169" fontId="30" fillId="0" borderId="0" xfId="14" applyNumberFormat="1" applyFont="1"/>
    <xf numFmtId="169" fontId="41" fillId="0" borderId="90" xfId="12" applyNumberFormat="1" applyFont="1" applyBorder="1"/>
    <xf numFmtId="164" fontId="36" fillId="0" borderId="0" xfId="11" applyNumberFormat="1" applyFont="1" applyAlignment="1">
      <alignment vertical="center"/>
    </xf>
    <xf numFmtId="0" fontId="36" fillId="0" borderId="0" xfId="11" applyFont="1" applyAlignment="1">
      <alignment vertical="center"/>
    </xf>
    <xf numFmtId="0" fontId="30" fillId="0" borderId="0" xfId="11" applyFont="1" applyAlignment="1">
      <alignment vertical="center"/>
    </xf>
    <xf numFmtId="165" fontId="36" fillId="0" borderId="0" xfId="11" applyNumberFormat="1" applyFont="1" applyAlignment="1">
      <alignment vertical="center"/>
    </xf>
    <xf numFmtId="167" fontId="48" fillId="28" borderId="0" xfId="9" applyNumberFormat="1" applyFont="1" applyFill="1" applyAlignment="1">
      <alignment vertical="center"/>
    </xf>
    <xf numFmtId="10" fontId="30" fillId="0" borderId="0" xfId="11" applyNumberFormat="1" applyFont="1" applyAlignment="1">
      <alignment vertical="center"/>
    </xf>
    <xf numFmtId="0" fontId="30" fillId="0" borderId="37" xfId="0" applyFont="1" applyBorder="1" applyAlignment="1">
      <alignment horizontal="centerContinuous"/>
    </xf>
    <xf numFmtId="17" fontId="30" fillId="19" borderId="0" xfId="12" applyNumberFormat="1" applyFont="1" applyFill="1" applyAlignment="1">
      <alignment horizontal="center"/>
    </xf>
    <xf numFmtId="169" fontId="30" fillId="0" borderId="19" xfId="13" applyNumberFormat="1" applyFont="1" applyBorder="1"/>
    <xf numFmtId="0" fontId="30" fillId="0" borderId="6" xfId="11" applyFont="1" applyBorder="1" applyAlignment="1">
      <alignment horizontal="centerContinuous" vertical="center"/>
    </xf>
    <xf numFmtId="0" fontId="41" fillId="0" borderId="0" xfId="0" applyFont="1" applyAlignment="1">
      <alignment horizontal="center"/>
    </xf>
    <xf numFmtId="167" fontId="30" fillId="0" borderId="0" xfId="16" applyNumberFormat="1" applyFont="1"/>
    <xf numFmtId="0" fontId="30" fillId="0" borderId="0" xfId="0" applyFont="1" applyAlignment="1">
      <alignment horizontal="left" vertical="center" wrapText="1"/>
    </xf>
    <xf numFmtId="165" fontId="30" fillId="0" borderId="0" xfId="16" applyFont="1"/>
    <xf numFmtId="0" fontId="36" fillId="0" borderId="0" xfId="15" applyFont="1"/>
    <xf numFmtId="0" fontId="38" fillId="0" borderId="0" xfId="15" applyFont="1"/>
    <xf numFmtId="0" fontId="38" fillId="0" borderId="0" xfId="15" applyFont="1" applyAlignment="1">
      <alignment horizontal="center"/>
    </xf>
    <xf numFmtId="167" fontId="36" fillId="0" borderId="0" xfId="16" applyNumberFormat="1" applyFont="1"/>
    <xf numFmtId="167" fontId="36" fillId="0" borderId="0" xfId="15" applyNumberFormat="1" applyFont="1"/>
    <xf numFmtId="0" fontId="46" fillId="0" borderId="0" xfId="17" applyFont="1"/>
    <xf numFmtId="9" fontId="46" fillId="0" borderId="0" xfId="18" applyFont="1"/>
    <xf numFmtId="0" fontId="43" fillId="10" borderId="4" xfId="19" applyFont="1" applyFill="1" applyBorder="1" applyAlignment="1">
      <alignment horizontal="center" vertical="center" wrapText="1"/>
    </xf>
    <xf numFmtId="0" fontId="43" fillId="10" borderId="0" xfId="19" applyFont="1" applyFill="1" applyAlignment="1">
      <alignment horizontal="center" wrapText="1"/>
    </xf>
    <xf numFmtId="0" fontId="43" fillId="10" borderId="25" xfId="19" applyFont="1" applyFill="1" applyBorder="1" applyAlignment="1">
      <alignment horizontal="center" vertical="center"/>
    </xf>
    <xf numFmtId="0" fontId="43" fillId="10" borderId="20" xfId="19" applyFont="1" applyFill="1" applyBorder="1" applyAlignment="1">
      <alignment horizontal="center" vertical="center" wrapText="1"/>
    </xf>
    <xf numFmtId="0" fontId="43" fillId="10" borderId="3" xfId="19" applyFont="1" applyFill="1" applyBorder="1" applyAlignment="1">
      <alignment horizontal="center" wrapText="1"/>
    </xf>
    <xf numFmtId="0" fontId="43" fillId="10" borderId="18" xfId="19" applyFont="1" applyFill="1" applyBorder="1" applyAlignment="1">
      <alignment horizontal="center" vertical="center"/>
    </xf>
    <xf numFmtId="0" fontId="43" fillId="10" borderId="2" xfId="17" applyFont="1" applyFill="1" applyBorder="1" applyAlignment="1">
      <alignment horizontal="center" vertical="center"/>
    </xf>
    <xf numFmtId="0" fontId="46" fillId="0" borderId="0" xfId="17" applyFont="1" applyAlignment="1">
      <alignment horizontal="center"/>
    </xf>
    <xf numFmtId="169" fontId="46" fillId="0" borderId="0" xfId="20" applyNumberFormat="1" applyFont="1"/>
    <xf numFmtId="0" fontId="41" fillId="0" borderId="91" xfId="17" applyFont="1" applyBorder="1"/>
    <xf numFmtId="169" fontId="41" fillId="0" borderId="91" xfId="20" applyNumberFormat="1" applyFont="1" applyBorder="1"/>
    <xf numFmtId="0" fontId="43" fillId="10" borderId="6" xfId="17" applyFont="1" applyFill="1" applyBorder="1" applyAlignment="1">
      <alignment horizontal="centerContinuous"/>
    </xf>
    <xf numFmtId="0" fontId="43" fillId="10" borderId="37" xfId="17" applyFont="1" applyFill="1" applyBorder="1" applyAlignment="1">
      <alignment horizontal="centerContinuous"/>
    </xf>
    <xf numFmtId="169" fontId="30" fillId="19" borderId="0" xfId="20" applyNumberFormat="1" applyFont="1" applyFill="1" applyAlignment="1">
      <alignment horizontal="center"/>
    </xf>
    <xf numFmtId="167" fontId="30" fillId="19" borderId="0" xfId="16" applyNumberFormat="1" applyFont="1" applyFill="1" applyAlignment="1">
      <alignment vertical="center"/>
    </xf>
    <xf numFmtId="165" fontId="30" fillId="19" borderId="0" xfId="0" applyNumberFormat="1" applyFont="1" applyFill="1"/>
    <xf numFmtId="167" fontId="30" fillId="0" borderId="0" xfId="16" applyNumberFormat="1" applyFont="1" applyFill="1"/>
    <xf numFmtId="167" fontId="41" fillId="0" borderId="0" xfId="0" applyNumberFormat="1" applyFont="1" applyAlignment="1">
      <alignment vertical="center"/>
    </xf>
    <xf numFmtId="165" fontId="30" fillId="0" borderId="0" xfId="0" applyNumberFormat="1" applyFont="1"/>
    <xf numFmtId="0" fontId="49" fillId="0" borderId="61" xfId="1" applyFont="1" applyBorder="1" applyAlignment="1" applyProtection="1">
      <alignment horizontal="center"/>
      <protection locked="0" hidden="1"/>
    </xf>
    <xf numFmtId="0" fontId="49" fillId="0" borderId="64" xfId="1" applyFont="1" applyBorder="1" applyAlignment="1" applyProtection="1">
      <alignment horizontal="center"/>
      <protection locked="0" hidden="1"/>
    </xf>
    <xf numFmtId="0" fontId="36" fillId="0" borderId="51" xfId="1" applyFont="1" applyBorder="1" applyAlignment="1" applyProtection="1">
      <alignment horizontal="center" vertical="center" wrapText="1"/>
      <protection locked="0" hidden="1"/>
    </xf>
    <xf numFmtId="0" fontId="36" fillId="0" borderId="45" xfId="1" applyFont="1" applyBorder="1" applyAlignment="1" applyProtection="1">
      <alignment horizontal="center" vertical="center" wrapText="1"/>
      <protection locked="0" hidden="1"/>
    </xf>
    <xf numFmtId="0" fontId="36" fillId="0" borderId="52" xfId="1" applyFont="1" applyBorder="1" applyAlignment="1" applyProtection="1">
      <alignment horizontal="center" vertical="center" wrapText="1"/>
      <protection locked="0" hidden="1"/>
    </xf>
    <xf numFmtId="0" fontId="36" fillId="0" borderId="44" xfId="1" applyFont="1" applyBorder="1" applyAlignment="1" applyProtection="1">
      <alignment horizontal="center" vertical="center" wrapText="1"/>
      <protection locked="0" hidden="1"/>
    </xf>
    <xf numFmtId="0" fontId="36" fillId="0" borderId="54" xfId="1" applyFont="1" applyBorder="1" applyAlignment="1" applyProtection="1">
      <alignment horizontal="center" vertical="center" wrapText="1"/>
      <protection locked="0" hidden="1"/>
    </xf>
    <xf numFmtId="0" fontId="39" fillId="0" borderId="60" xfId="1" applyFont="1" applyBorder="1" applyAlignment="1" applyProtection="1">
      <alignment horizontal="center"/>
      <protection locked="0" hidden="1"/>
    </xf>
    <xf numFmtId="0" fontId="39" fillId="0" borderId="21" xfId="1" applyFont="1" applyBorder="1" applyAlignment="1" applyProtection="1">
      <alignment horizontal="center"/>
      <protection locked="0" hidden="1"/>
    </xf>
    <xf numFmtId="0" fontId="37" fillId="0" borderId="61" xfId="1" applyFont="1" applyBorder="1" applyAlignment="1" applyProtection="1">
      <alignment horizontal="center"/>
      <protection locked="0" hidden="1"/>
    </xf>
    <xf numFmtId="0" fontId="37" fillId="0" borderId="62" xfId="1" applyFont="1" applyBorder="1" applyAlignment="1" applyProtection="1">
      <alignment horizontal="center"/>
      <protection locked="0" hidden="1"/>
    </xf>
    <xf numFmtId="0" fontId="39" fillId="0" borderId="63" xfId="1" applyFont="1" applyBorder="1" applyAlignment="1" applyProtection="1">
      <alignment horizontal="center"/>
      <protection locked="0" hidden="1"/>
    </xf>
    <xf numFmtId="0" fontId="36" fillId="0" borderId="22" xfId="1" applyFont="1" applyBorder="1" applyAlignment="1" applyProtection="1">
      <alignment horizontal="center" vertical="center" wrapText="1"/>
      <protection locked="0" hidden="1"/>
    </xf>
    <xf numFmtId="0" fontId="36" fillId="0" borderId="23" xfId="1" applyFont="1" applyBorder="1" applyAlignment="1" applyProtection="1">
      <alignment horizontal="center" vertical="center" wrapText="1"/>
      <protection locked="0" hidden="1"/>
    </xf>
    <xf numFmtId="0" fontId="36" fillId="0" borderId="16" xfId="1" applyFont="1" applyBorder="1" applyAlignment="1" applyProtection="1">
      <alignment horizontal="center" vertical="center" wrapText="1"/>
      <protection locked="0" hidden="1"/>
    </xf>
    <xf numFmtId="0" fontId="36" fillId="0" borderId="18" xfId="1" applyFont="1" applyBorder="1" applyAlignment="1" applyProtection="1">
      <alignment horizontal="center" vertical="center" wrapText="1"/>
      <protection locked="0" hidden="1"/>
    </xf>
    <xf numFmtId="0" fontId="36" fillId="0" borderId="17" xfId="1" applyFont="1" applyBorder="1" applyAlignment="1" applyProtection="1">
      <alignment horizontal="center" vertical="center" wrapText="1"/>
      <protection locked="0" hidden="1"/>
    </xf>
    <xf numFmtId="0" fontId="36" fillId="0" borderId="2" xfId="1" applyFont="1" applyBorder="1" applyAlignment="1" applyProtection="1">
      <alignment horizontal="center" vertical="center" wrapText="1"/>
      <protection locked="0" hidden="1"/>
    </xf>
    <xf numFmtId="0" fontId="41" fillId="0" borderId="6" xfId="1" applyFont="1" applyBorder="1" applyAlignment="1" applyProtection="1">
      <alignment horizontal="center"/>
      <protection locked="0" hidden="1"/>
    </xf>
    <xf numFmtId="0" fontId="41" fillId="0" borderId="37" xfId="1" applyFont="1" applyBorder="1" applyAlignment="1" applyProtection="1">
      <alignment horizontal="center"/>
      <protection locked="0" hidden="1"/>
    </xf>
    <xf numFmtId="0" fontId="41" fillId="0" borderId="5" xfId="1" applyFont="1" applyBorder="1" applyAlignment="1" applyProtection="1">
      <alignment horizontal="center"/>
      <protection locked="0" hidden="1"/>
    </xf>
    <xf numFmtId="0" fontId="50" fillId="0" borderId="48" xfId="1" applyFont="1" applyBorder="1" applyAlignment="1" applyProtection="1">
      <alignment horizontal="center" vertical="center" wrapText="1"/>
      <protection locked="0" hidden="1"/>
    </xf>
    <xf numFmtId="0" fontId="50" fillId="0" borderId="49" xfId="1" applyFont="1" applyBorder="1" applyAlignment="1" applyProtection="1">
      <alignment horizontal="center" vertical="center" wrapText="1"/>
      <protection locked="0" hidden="1"/>
    </xf>
    <xf numFmtId="0" fontId="50" fillId="0" borderId="50" xfId="1" applyFont="1" applyBorder="1" applyAlignment="1" applyProtection="1">
      <alignment horizontal="center" vertical="center" wrapText="1"/>
      <protection locked="0" hidden="1"/>
    </xf>
    <xf numFmtId="0" fontId="30" fillId="0" borderId="24" xfId="1" applyFont="1" applyBorder="1" applyAlignment="1" applyProtection="1">
      <alignment horizontal="center"/>
      <protection locked="0" hidden="1"/>
    </xf>
    <xf numFmtId="0" fontId="30" fillId="0" borderId="25" xfId="1" applyFont="1" applyBorder="1" applyAlignment="1" applyProtection="1">
      <alignment horizontal="center"/>
      <protection locked="0" hidden="1"/>
    </xf>
    <xf numFmtId="0" fontId="39" fillId="0" borderId="16" xfId="1" applyFont="1" applyBorder="1" applyAlignment="1" applyProtection="1">
      <alignment horizontal="center"/>
      <protection locked="0" hidden="1"/>
    </xf>
    <xf numFmtId="0" fontId="39" fillId="0" borderId="18" xfId="1" applyFont="1" applyBorder="1" applyAlignment="1" applyProtection="1">
      <alignment horizontal="center"/>
      <protection locked="0" hidden="1"/>
    </xf>
    <xf numFmtId="0" fontId="30" fillId="0" borderId="4" xfId="1" applyFont="1" applyBorder="1" applyAlignment="1" applyProtection="1">
      <alignment horizontal="center"/>
      <protection locked="0" hidden="1"/>
    </xf>
    <xf numFmtId="0" fontId="30" fillId="0" borderId="20" xfId="1" applyFont="1" applyBorder="1" applyAlignment="1" applyProtection="1">
      <alignment horizontal="center"/>
      <protection locked="0" hidden="1"/>
    </xf>
    <xf numFmtId="0" fontId="43" fillId="20" borderId="28" xfId="0" applyFont="1" applyFill="1" applyBorder="1" applyAlignment="1">
      <alignment horizontal="center" vertical="center" wrapText="1"/>
    </xf>
    <xf numFmtId="0" fontId="30" fillId="9" borderId="39" xfId="0" applyFont="1" applyFill="1" applyBorder="1" applyAlignment="1">
      <alignment horizontal="center" vertical="center" wrapText="1"/>
    </xf>
    <xf numFmtId="0" fontId="30" fillId="9" borderId="38" xfId="0" applyFont="1" applyFill="1" applyBorder="1" applyAlignment="1">
      <alignment horizontal="center" vertical="center" wrapText="1"/>
    </xf>
    <xf numFmtId="0" fontId="41" fillId="14" borderId="46" xfId="0" applyFont="1" applyFill="1" applyBorder="1" applyAlignment="1">
      <alignment horizontal="center"/>
    </xf>
    <xf numFmtId="0" fontId="41" fillId="14" borderId="3" xfId="0" applyFont="1" applyFill="1" applyBorder="1" applyAlignment="1">
      <alignment horizontal="center"/>
    </xf>
    <xf numFmtId="0" fontId="41" fillId="13" borderId="46" xfId="0" applyFont="1" applyFill="1" applyBorder="1" applyAlignment="1">
      <alignment horizontal="center"/>
    </xf>
    <xf numFmtId="0" fontId="41" fillId="13" borderId="3" xfId="0" applyFont="1" applyFill="1" applyBorder="1" applyAlignment="1">
      <alignment horizontal="center"/>
    </xf>
    <xf numFmtId="0" fontId="41" fillId="13" borderId="65" xfId="0" applyFont="1" applyFill="1" applyBorder="1" applyAlignment="1">
      <alignment horizontal="center"/>
    </xf>
    <xf numFmtId="0" fontId="41" fillId="13" borderId="69" xfId="0" applyFont="1" applyFill="1" applyBorder="1" applyAlignment="1">
      <alignment horizontal="center"/>
    </xf>
    <xf numFmtId="0" fontId="41" fillId="13" borderId="70" xfId="0" applyFont="1" applyFill="1" applyBorder="1" applyAlignment="1">
      <alignment horizontal="center"/>
    </xf>
    <xf numFmtId="0" fontId="41" fillId="13" borderId="71" xfId="0" applyFont="1" applyFill="1" applyBorder="1" applyAlignment="1">
      <alignment horizontal="center"/>
    </xf>
    <xf numFmtId="0" fontId="30" fillId="0" borderId="33" xfId="0" applyFont="1" applyBorder="1" applyAlignment="1">
      <alignment horizontal="center" vertical="center" wrapText="1"/>
    </xf>
    <xf numFmtId="0" fontId="25" fillId="0" borderId="0" xfId="0" applyFont="1" applyAlignment="1">
      <alignment horizontal="center"/>
    </xf>
  </cellXfs>
  <cellStyles count="21">
    <cellStyle name="Comma" xfId="9" builtinId="3"/>
    <cellStyle name="Comma [0]" xfId="7" builtinId="6"/>
    <cellStyle name="Comma 10 2 2" xfId="14" xr:uid="{E95798A2-96EE-4C16-BC53-1EC7D0AE721D}"/>
    <cellStyle name="Comma 10 2 2 2" xfId="13" xr:uid="{193F82E7-0E3F-486E-800B-2D14CC52B25D}"/>
    <cellStyle name="Comma 2" xfId="4" xr:uid="{00000000-0005-0000-0000-000002000000}"/>
    <cellStyle name="Comma 2 12" xfId="16" xr:uid="{3890A4FD-F5CD-492E-8343-8308FE577378}"/>
    <cellStyle name="Comma 2 2 2 10" xfId="20" xr:uid="{6A71AF95-7820-4ED0-9268-A6668C3EF627}"/>
    <cellStyle name="Comma 2 4 2" xfId="5" xr:uid="{00000000-0005-0000-0000-000003000000}"/>
    <cellStyle name="Hyperlink" xfId="10" builtinId="8"/>
    <cellStyle name="Hyperlink 2" xfId="2" xr:uid="{00000000-0005-0000-0000-000004000000}"/>
    <cellStyle name="Normal" xfId="0" builtinId="0"/>
    <cellStyle name="Normal 2" xfId="1" xr:uid="{00000000-0005-0000-0000-000006000000}"/>
    <cellStyle name="Normal 2 2 2" xfId="19" xr:uid="{DBF45E3B-AEDD-4803-BAC4-471D9CDE9978}"/>
    <cellStyle name="Normal 2 4" xfId="11" xr:uid="{107486D4-6CEA-4348-BFB1-60A5FD16DA11}"/>
    <cellStyle name="Normal 3" xfId="3" xr:uid="{00000000-0005-0000-0000-000007000000}"/>
    <cellStyle name="Normal 302" xfId="12" xr:uid="{363AB9D7-43EB-42EC-BD1B-ECD576476F32}"/>
    <cellStyle name="Normal 39 2" xfId="15" xr:uid="{FCD7873A-4850-445F-BE96-6C14BD0935F4}"/>
    <cellStyle name="Normal 4 2 2 2" xfId="17" xr:uid="{EBBCD9B2-4A54-471E-9B09-39289DB41879}"/>
    <cellStyle name="Normal 6" xfId="6" xr:uid="{00000000-0005-0000-0000-000008000000}"/>
    <cellStyle name="Percent 2" xfId="8" xr:uid="{00000000-0005-0000-0000-000009000000}"/>
    <cellStyle name="Percent 2 2" xfId="18" xr:uid="{852F24DE-FF7D-4418-9F44-100E469EAAD7}"/>
  </cellStyles>
  <dxfs count="62">
    <dxf>
      <font>
        <color rgb="FF9C0006"/>
      </font>
      <fill>
        <patternFill>
          <bgColor rgb="FFFFC7CE"/>
        </patternFill>
      </fill>
    </dxf>
    <dxf>
      <font>
        <color rgb="FF9C0006"/>
      </font>
      <fill>
        <patternFill>
          <bgColor rgb="FFFFC7CE"/>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vertical style="thin">
          <color auto="1"/>
        </vertical>
        <horizontal style="thin">
          <color auto="1"/>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i val="0"/>
      </font>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s>
  <tableStyles count="5" defaultTableStyle="Table Style 1" defaultPivotStyle="PivotStyleMedium8 2 2">
    <tableStyle name="PivotStyleMedium8 2" table="0" count="12" xr9:uid="{00000000-0011-0000-FFFF-FFFF00000000}">
      <tableStyleElement type="wholeTable" dxfId="61"/>
      <tableStyleElement type="headerRow" dxfId="60"/>
      <tableStyleElement type="totalRow" dxfId="59"/>
      <tableStyleElement type="firstRowStripe" dxfId="58"/>
      <tableStyleElement type="firstColumnStripe" dxfId="57"/>
      <tableStyleElement type="firstSubtotalColumn" dxfId="56"/>
      <tableStyleElement type="firstSubtotalRow" dxfId="55"/>
      <tableStyleElement type="secondSubtotalRow" dxfId="54"/>
      <tableStyleElement type="firstRowSubheading" dxfId="53"/>
      <tableStyleElement type="secondRowSubheading" dxfId="52"/>
      <tableStyleElement type="pageFieldLabels" dxfId="51"/>
      <tableStyleElement type="pageFieldValues" dxfId="50"/>
    </tableStyle>
    <tableStyle name="PivotStyleMedium8 2 2" table="0" count="12" xr9:uid="{00000000-0011-0000-FFFF-FFFF01000000}">
      <tableStyleElement type="wholeTable" dxfId="49"/>
      <tableStyleElement type="headerRow" dxfId="48"/>
      <tableStyleElement type="totalRow" dxfId="47"/>
      <tableStyleElement type="firstRowStripe" dxfId="46"/>
      <tableStyleElement type="firstColumnStripe" dxfId="45"/>
      <tableStyleElement type="firstSubtotalColumn" dxfId="44"/>
      <tableStyleElement type="firstSubtotalRow" dxfId="43"/>
      <tableStyleElement type="secondSubtotalRow" dxfId="42"/>
      <tableStyleElement type="firstRowSubheading" dxfId="41"/>
      <tableStyleElement type="secondRowSubheading" dxfId="40"/>
      <tableStyleElement type="pageFieldLabels" dxfId="39"/>
      <tableStyleElement type="pageFieldValues" dxfId="38"/>
    </tableStyle>
    <tableStyle name="PivotStyleMedium8 2 2 2" table="0" count="13" xr9:uid="{00000000-0011-0000-FFFF-FFFF02000000}">
      <tableStyleElement type="wholeTable" dxfId="37"/>
      <tableStyleElement type="headerRow" dxfId="36"/>
      <tableStyleElement type="totalRow" dxfId="35"/>
      <tableStyleElement type="lastColumn" dxfId="34"/>
      <tableStyleElement type="firstRowStripe" dxfId="33"/>
      <tableStyleElement type="firstColumnStripe" dxfId="32"/>
      <tableStyleElement type="firstSubtotalColumn" dxfId="31"/>
      <tableStyleElement type="firstSubtotalRow" dxfId="30"/>
      <tableStyleElement type="secondSubtotalRow" dxfId="29"/>
      <tableStyleElement type="firstRowSubheading" dxfId="28"/>
      <tableStyleElement type="secondRowSubheading" dxfId="27"/>
      <tableStyleElement type="pageFieldLabels" dxfId="26"/>
      <tableStyleElement type="pageFieldValues" dxfId="25"/>
    </tableStyle>
    <tableStyle name="PivotStyleMedium8 2 3" table="0" count="12" xr9:uid="{00000000-0011-0000-FFFF-FFFF03000000}">
      <tableStyleElement type="wholeTable" dxfId="24"/>
      <tableStyleElement type="headerRow" dxfId="23"/>
      <tableStyleElement type="totalRow" dxfId="22"/>
      <tableStyleElement type="firstRowStripe" dxfId="21"/>
      <tableStyleElement type="firstColumnStripe" dxfId="20"/>
      <tableStyleElement type="firstSubtotalColumn" dxfId="19"/>
      <tableStyleElement type="firstSubtotalRow" dxfId="18"/>
      <tableStyleElement type="secondSubtotalRow" dxfId="17"/>
      <tableStyleElement type="firstRowSubheading" dxfId="16"/>
      <tableStyleElement type="secondRowSubheading" dxfId="15"/>
      <tableStyleElement type="pageFieldLabels" dxfId="14"/>
      <tableStyleElement type="pageFieldValues" dxfId="13"/>
    </tableStyle>
    <tableStyle name="Table Style 1" pivot="0" count="2" xr9:uid="{00000000-0011-0000-FFFF-FFFF04000000}">
      <tableStyleElement type="wholeTable" dxfId="12"/>
      <tableStyleElement type="headerRow" dxfId="11"/>
    </tableStyle>
  </tableStyles>
  <colors>
    <mruColors>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 Target="richData/rdrichvalue.xml"/><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xdr:col>
      <xdr:colOff>333374</xdr:colOff>
      <xdr:row>80</xdr:row>
      <xdr:rowOff>0</xdr:rowOff>
    </xdr:from>
    <xdr:to>
      <xdr:col>3</xdr:col>
      <xdr:colOff>4000499</xdr:colOff>
      <xdr:row>80</xdr:row>
      <xdr:rowOff>0</xdr:rowOff>
    </xdr:to>
    <xdr:pic>
      <xdr:nvPicPr>
        <xdr:cNvPr id="2" name="Picture 1">
          <a:extLst>
            <a:ext uri="{FF2B5EF4-FFF2-40B4-BE49-F238E27FC236}">
              <a16:creationId xmlns:a16="http://schemas.microsoft.com/office/drawing/2014/main" id="{3B432308-BEA8-43D4-949F-87325F336E8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48049" y="163639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333374</xdr:colOff>
      <xdr:row>79</xdr:row>
      <xdr:rowOff>178594</xdr:rowOff>
    </xdr:from>
    <xdr:to>
      <xdr:col>3</xdr:col>
      <xdr:colOff>4000499</xdr:colOff>
      <xdr:row>79</xdr:row>
      <xdr:rowOff>178594</xdr:rowOff>
    </xdr:to>
    <xdr:pic>
      <xdr:nvPicPr>
        <xdr:cNvPr id="2" name="Picture 1">
          <a:extLst>
            <a:ext uri="{FF2B5EF4-FFF2-40B4-BE49-F238E27FC236}">
              <a16:creationId xmlns:a16="http://schemas.microsoft.com/office/drawing/2014/main" id="{C11DD2F5-F6AA-4CF4-BE57-9E6CDB77DD2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19499" y="16352044"/>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23811</xdr:colOff>
      <xdr:row>11</xdr:row>
      <xdr:rowOff>154781</xdr:rowOff>
    </xdr:from>
    <xdr:to>
      <xdr:col>15</xdr:col>
      <xdr:colOff>47624</xdr:colOff>
      <xdr:row>14</xdr:row>
      <xdr:rowOff>178595</xdr:rowOff>
    </xdr:to>
    <xdr:sp macro="" textlink="">
      <xdr:nvSpPr>
        <xdr:cNvPr id="2" name="Rectangle: Rounded Corners 1">
          <a:extLst>
            <a:ext uri="{FF2B5EF4-FFF2-40B4-BE49-F238E27FC236}">
              <a16:creationId xmlns:a16="http://schemas.microsoft.com/office/drawing/2014/main" id="{25E4258D-A798-4D5A-9467-021E02AFFA5F}"/>
            </a:ext>
          </a:extLst>
        </xdr:cNvPr>
        <xdr:cNvSpPr/>
      </xdr:nvSpPr>
      <xdr:spPr>
        <a:xfrm>
          <a:off x="5738811" y="2250281"/>
          <a:ext cx="3681413" cy="59531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xdr:col>
      <xdr:colOff>0</xdr:colOff>
      <xdr:row>11</xdr:row>
      <xdr:rowOff>86159</xdr:rowOff>
    </xdr:from>
    <xdr:to>
      <xdr:col>3</xdr:col>
      <xdr:colOff>107156</xdr:colOff>
      <xdr:row>15</xdr:row>
      <xdr:rowOff>59532</xdr:rowOff>
    </xdr:to>
    <xdr:sp macro="" textlink="">
      <xdr:nvSpPr>
        <xdr:cNvPr id="3" name="Rectangle: Rounded Corners 2">
          <a:extLst>
            <a:ext uri="{FF2B5EF4-FFF2-40B4-BE49-F238E27FC236}">
              <a16:creationId xmlns:a16="http://schemas.microsoft.com/office/drawing/2014/main" id="{122B011D-4BD8-4704-AA49-E7549095C80A}"/>
            </a:ext>
          </a:extLst>
        </xdr:cNvPr>
        <xdr:cNvSpPr/>
      </xdr:nvSpPr>
      <xdr:spPr>
        <a:xfrm>
          <a:off x="352425" y="2181659"/>
          <a:ext cx="1812131" cy="73537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Q1</a:t>
          </a:r>
        </a:p>
        <a:p>
          <a:pPr algn="ctr"/>
          <a:r>
            <a:rPr lang="en-ID" sz="1100"/>
            <a:t>What is the asset type?</a:t>
          </a:r>
        </a:p>
        <a:p>
          <a:pPr algn="ctr"/>
          <a:r>
            <a:rPr lang="en-ID" sz="1100"/>
            <a:t>Apa tipe asetnya?</a:t>
          </a:r>
        </a:p>
      </xdr:txBody>
    </xdr:sp>
    <xdr:clientData/>
  </xdr:twoCellAnchor>
  <xdr:twoCellAnchor>
    <xdr:from>
      <xdr:col>5</xdr:col>
      <xdr:colOff>42863</xdr:colOff>
      <xdr:row>11</xdr:row>
      <xdr:rowOff>161927</xdr:rowOff>
    </xdr:from>
    <xdr:to>
      <xdr:col>8</xdr:col>
      <xdr:colOff>35719</xdr:colOff>
      <xdr:row>14</xdr:row>
      <xdr:rowOff>166691</xdr:rowOff>
    </xdr:to>
    <xdr:sp macro="" textlink="">
      <xdr:nvSpPr>
        <xdr:cNvPr id="4" name="Rectangle: Rounded Corners 3">
          <a:extLst>
            <a:ext uri="{FF2B5EF4-FFF2-40B4-BE49-F238E27FC236}">
              <a16:creationId xmlns:a16="http://schemas.microsoft.com/office/drawing/2014/main" id="{67248ED7-E105-4B75-92ED-57A37ACD4EFF}"/>
            </a:ext>
          </a:extLst>
        </xdr:cNvPr>
        <xdr:cNvSpPr/>
      </xdr:nvSpPr>
      <xdr:spPr>
        <a:xfrm>
          <a:off x="3319463" y="2257427"/>
          <a:ext cx="1821656"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Building and structure</a:t>
          </a:r>
        </a:p>
        <a:p>
          <a:pPr algn="ctr"/>
          <a:r>
            <a:rPr lang="en-ID" sz="1100"/>
            <a:t>Gedung dan struktur</a:t>
          </a:r>
        </a:p>
      </xdr:txBody>
    </xdr:sp>
    <xdr:clientData/>
  </xdr:twoCellAnchor>
  <xdr:twoCellAnchor>
    <xdr:from>
      <xdr:col>5</xdr:col>
      <xdr:colOff>16670</xdr:colOff>
      <xdr:row>30</xdr:row>
      <xdr:rowOff>37201</xdr:rowOff>
    </xdr:from>
    <xdr:to>
      <xdr:col>8</xdr:col>
      <xdr:colOff>0</xdr:colOff>
      <xdr:row>33</xdr:row>
      <xdr:rowOff>41965</xdr:rowOff>
    </xdr:to>
    <xdr:sp macro="" textlink="">
      <xdr:nvSpPr>
        <xdr:cNvPr id="5" name="Rectangle: Rounded Corners 4">
          <a:extLst>
            <a:ext uri="{FF2B5EF4-FFF2-40B4-BE49-F238E27FC236}">
              <a16:creationId xmlns:a16="http://schemas.microsoft.com/office/drawing/2014/main" id="{6B874771-13D3-4A63-B3A4-7B8FAABDF51E}"/>
            </a:ext>
          </a:extLst>
        </xdr:cNvPr>
        <xdr:cNvSpPr/>
      </xdr:nvSpPr>
      <xdr:spPr>
        <a:xfrm>
          <a:off x="3293270" y="5752201"/>
          <a:ext cx="1812130"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Machine and Equipment</a:t>
          </a:r>
        </a:p>
        <a:p>
          <a:pPr algn="ctr"/>
          <a:r>
            <a:rPr lang="en-ID" sz="1100"/>
            <a:t>Mesin dan peralatan</a:t>
          </a:r>
        </a:p>
      </xdr:txBody>
    </xdr:sp>
    <xdr:clientData/>
  </xdr:twoCellAnchor>
  <xdr:twoCellAnchor>
    <xdr:from>
      <xdr:col>5</xdr:col>
      <xdr:colOff>28111</xdr:colOff>
      <xdr:row>47</xdr:row>
      <xdr:rowOff>152370</xdr:rowOff>
    </xdr:from>
    <xdr:to>
      <xdr:col>8</xdr:col>
      <xdr:colOff>25729</xdr:colOff>
      <xdr:row>50</xdr:row>
      <xdr:rowOff>157134</xdr:rowOff>
    </xdr:to>
    <xdr:sp macro="" textlink="">
      <xdr:nvSpPr>
        <xdr:cNvPr id="6" name="Rectangle: Rounded Corners 5">
          <a:extLst>
            <a:ext uri="{FF2B5EF4-FFF2-40B4-BE49-F238E27FC236}">
              <a16:creationId xmlns:a16="http://schemas.microsoft.com/office/drawing/2014/main" id="{61A2FDB3-83A2-45DA-AC02-441156254075}"/>
            </a:ext>
          </a:extLst>
        </xdr:cNvPr>
        <xdr:cNvSpPr/>
      </xdr:nvSpPr>
      <xdr:spPr>
        <a:xfrm>
          <a:off x="3304711" y="9105870"/>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Equipment and Supplies</a:t>
          </a:r>
        </a:p>
        <a:p>
          <a:pPr algn="ctr"/>
          <a:r>
            <a:rPr lang="en-ID" sz="1100"/>
            <a:t>Perlatan dan Persediaan</a:t>
          </a:r>
        </a:p>
      </xdr:txBody>
    </xdr:sp>
    <xdr:clientData/>
  </xdr:twoCellAnchor>
  <xdr:twoCellAnchor>
    <xdr:from>
      <xdr:col>5</xdr:col>
      <xdr:colOff>12865</xdr:colOff>
      <xdr:row>66</xdr:row>
      <xdr:rowOff>93332</xdr:rowOff>
    </xdr:from>
    <xdr:to>
      <xdr:col>8</xdr:col>
      <xdr:colOff>10483</xdr:colOff>
      <xdr:row>69</xdr:row>
      <xdr:rowOff>98096</xdr:rowOff>
    </xdr:to>
    <xdr:sp macro="" textlink="">
      <xdr:nvSpPr>
        <xdr:cNvPr id="7" name="Rectangle: Rounded Corners 6">
          <a:extLst>
            <a:ext uri="{FF2B5EF4-FFF2-40B4-BE49-F238E27FC236}">
              <a16:creationId xmlns:a16="http://schemas.microsoft.com/office/drawing/2014/main" id="{7CA41AEA-F15D-474D-93B3-3CE7F680A204}"/>
            </a:ext>
          </a:extLst>
        </xdr:cNvPr>
        <xdr:cNvSpPr/>
      </xdr:nvSpPr>
      <xdr:spPr>
        <a:xfrm>
          <a:off x="3289465" y="12666332"/>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Heavy Equipment</a:t>
          </a:r>
        </a:p>
        <a:p>
          <a:pPr algn="ctr"/>
          <a:r>
            <a:rPr lang="en-ID" sz="1100"/>
            <a:t>Alat berat</a:t>
          </a:r>
        </a:p>
      </xdr:txBody>
    </xdr:sp>
    <xdr:clientData/>
  </xdr:twoCellAnchor>
  <xdr:twoCellAnchor>
    <xdr:from>
      <xdr:col>4</xdr:col>
      <xdr:colOff>570269</xdr:colOff>
      <xdr:row>103</xdr:row>
      <xdr:rowOff>113312</xdr:rowOff>
    </xdr:from>
    <xdr:to>
      <xdr:col>7</xdr:col>
      <xdr:colOff>567888</xdr:colOff>
      <xdr:row>106</xdr:row>
      <xdr:rowOff>118076</xdr:rowOff>
    </xdr:to>
    <xdr:sp macro="" textlink="">
      <xdr:nvSpPr>
        <xdr:cNvPr id="8" name="Rectangle: Rounded Corners 7">
          <a:extLst>
            <a:ext uri="{FF2B5EF4-FFF2-40B4-BE49-F238E27FC236}">
              <a16:creationId xmlns:a16="http://schemas.microsoft.com/office/drawing/2014/main" id="{EBC3AD79-5DCD-4186-866B-59D82CC53AEA}"/>
            </a:ext>
          </a:extLst>
        </xdr:cNvPr>
        <xdr:cNvSpPr/>
      </xdr:nvSpPr>
      <xdr:spPr>
        <a:xfrm>
          <a:off x="3237269" y="19734812"/>
          <a:ext cx="1826419"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Vehicle</a:t>
          </a:r>
        </a:p>
        <a:p>
          <a:pPr algn="ctr"/>
          <a:r>
            <a:rPr lang="en-ID" sz="1100"/>
            <a:t>Kendaraan</a:t>
          </a:r>
          <a:r>
            <a:rPr lang="en-ID" sz="1100" baseline="0"/>
            <a:t> bermotor</a:t>
          </a:r>
          <a:endParaRPr lang="en-ID" sz="1100"/>
        </a:p>
      </xdr:txBody>
    </xdr:sp>
    <xdr:clientData/>
  </xdr:twoCellAnchor>
  <xdr:twoCellAnchor>
    <xdr:from>
      <xdr:col>4</xdr:col>
      <xdr:colOff>593890</xdr:colOff>
      <xdr:row>83</xdr:row>
      <xdr:rowOff>143778</xdr:rowOff>
    </xdr:from>
    <xdr:to>
      <xdr:col>7</xdr:col>
      <xdr:colOff>591508</xdr:colOff>
      <xdr:row>86</xdr:row>
      <xdr:rowOff>148542</xdr:rowOff>
    </xdr:to>
    <xdr:sp macro="" textlink="">
      <xdr:nvSpPr>
        <xdr:cNvPr id="9" name="Rectangle: Rounded Corners 8">
          <a:extLst>
            <a:ext uri="{FF2B5EF4-FFF2-40B4-BE49-F238E27FC236}">
              <a16:creationId xmlns:a16="http://schemas.microsoft.com/office/drawing/2014/main" id="{61F214A5-6793-4377-966B-307D158A34C0}"/>
            </a:ext>
          </a:extLst>
        </xdr:cNvPr>
        <xdr:cNvSpPr/>
      </xdr:nvSpPr>
      <xdr:spPr>
        <a:xfrm>
          <a:off x="3260890" y="15955278"/>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Office Equipment</a:t>
          </a:r>
        </a:p>
        <a:p>
          <a:pPr algn="ctr"/>
          <a:r>
            <a:rPr lang="en-ID" sz="1100"/>
            <a:t>Peralatan</a:t>
          </a:r>
          <a:r>
            <a:rPr lang="en-ID" sz="1100" baseline="0"/>
            <a:t> kantor</a:t>
          </a:r>
          <a:endParaRPr lang="en-ID" sz="1100"/>
        </a:p>
      </xdr:txBody>
    </xdr:sp>
    <xdr:clientData/>
  </xdr:twoCellAnchor>
  <xdr:twoCellAnchor>
    <xdr:from>
      <xdr:col>9</xdr:col>
      <xdr:colOff>35719</xdr:colOff>
      <xdr:row>30</xdr:row>
      <xdr:rowOff>8626</xdr:rowOff>
    </xdr:from>
    <xdr:to>
      <xdr:col>15</xdr:col>
      <xdr:colOff>59532</xdr:colOff>
      <xdr:row>33</xdr:row>
      <xdr:rowOff>68157</xdr:rowOff>
    </xdr:to>
    <xdr:sp macro="" textlink="">
      <xdr:nvSpPr>
        <xdr:cNvPr id="10" name="Rectangle: Rounded Corners 9">
          <a:extLst>
            <a:ext uri="{FF2B5EF4-FFF2-40B4-BE49-F238E27FC236}">
              <a16:creationId xmlns:a16="http://schemas.microsoft.com/office/drawing/2014/main" id="{AF35F22E-9963-4234-AA10-10F985ABA963}"/>
            </a:ext>
          </a:extLst>
        </xdr:cNvPr>
        <xdr:cNvSpPr/>
      </xdr:nvSpPr>
      <xdr:spPr>
        <a:xfrm>
          <a:off x="5750719" y="572362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16</xdr:col>
      <xdr:colOff>59531</xdr:colOff>
      <xdr:row>10</xdr:row>
      <xdr:rowOff>154782</xdr:rowOff>
    </xdr:from>
    <xdr:to>
      <xdr:col>17</xdr:col>
      <xdr:colOff>321469</xdr:colOff>
      <xdr:row>12</xdr:row>
      <xdr:rowOff>95251</xdr:rowOff>
    </xdr:to>
    <xdr:sp macro="" textlink="">
      <xdr:nvSpPr>
        <xdr:cNvPr id="11" name="Rectangle: Rounded Corners 10">
          <a:extLst>
            <a:ext uri="{FF2B5EF4-FFF2-40B4-BE49-F238E27FC236}">
              <a16:creationId xmlns:a16="http://schemas.microsoft.com/office/drawing/2014/main" id="{A67C7FC1-C5C5-44C1-8366-EAB7834B45F6}"/>
            </a:ext>
          </a:extLst>
        </xdr:cNvPr>
        <xdr:cNvSpPr/>
      </xdr:nvSpPr>
      <xdr:spPr>
        <a:xfrm>
          <a:off x="10041731" y="2059782"/>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47625</xdr:colOff>
      <xdr:row>15</xdr:row>
      <xdr:rowOff>4376</xdr:rowOff>
    </xdr:from>
    <xdr:to>
      <xdr:col>17</xdr:col>
      <xdr:colOff>309563</xdr:colOff>
      <xdr:row>16</xdr:row>
      <xdr:rowOff>87586</xdr:rowOff>
    </xdr:to>
    <xdr:sp macro="" textlink="">
      <xdr:nvSpPr>
        <xdr:cNvPr id="12" name="Rectangle: Rounded Corners 11">
          <a:extLst>
            <a:ext uri="{FF2B5EF4-FFF2-40B4-BE49-F238E27FC236}">
              <a16:creationId xmlns:a16="http://schemas.microsoft.com/office/drawing/2014/main" id="{0B70F747-B6F2-451F-97B3-69DF69FB4B30}"/>
            </a:ext>
          </a:extLst>
        </xdr:cNvPr>
        <xdr:cNvSpPr/>
      </xdr:nvSpPr>
      <xdr:spPr>
        <a:xfrm>
          <a:off x="10029825" y="2861876"/>
          <a:ext cx="2224088" cy="2737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47624</xdr:colOff>
      <xdr:row>11</xdr:row>
      <xdr:rowOff>125017</xdr:rowOff>
    </xdr:from>
    <xdr:to>
      <xdr:col>16</xdr:col>
      <xdr:colOff>59531</xdr:colOff>
      <xdr:row>13</xdr:row>
      <xdr:rowOff>71438</xdr:rowOff>
    </xdr:to>
    <xdr:cxnSp macro="">
      <xdr:nvCxnSpPr>
        <xdr:cNvPr id="13" name="Straight Arrow Connector 12">
          <a:extLst>
            <a:ext uri="{FF2B5EF4-FFF2-40B4-BE49-F238E27FC236}">
              <a16:creationId xmlns:a16="http://schemas.microsoft.com/office/drawing/2014/main" id="{74EFBEFD-DFF8-4DC5-A743-74A330885465}"/>
            </a:ext>
          </a:extLst>
        </xdr:cNvPr>
        <xdr:cNvCxnSpPr>
          <a:stCxn id="2" idx="3"/>
          <a:endCxn id="11" idx="1"/>
        </xdr:cNvCxnSpPr>
      </xdr:nvCxnSpPr>
      <xdr:spPr>
        <a:xfrm flipV="1">
          <a:off x="9420224" y="2220517"/>
          <a:ext cx="621507" cy="3274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47624</xdr:colOff>
      <xdr:row>13</xdr:row>
      <xdr:rowOff>73627</xdr:rowOff>
    </xdr:from>
    <xdr:to>
      <xdr:col>16</xdr:col>
      <xdr:colOff>47625</xdr:colOff>
      <xdr:row>15</xdr:row>
      <xdr:rowOff>139042</xdr:rowOff>
    </xdr:to>
    <xdr:cxnSp macro="">
      <xdr:nvCxnSpPr>
        <xdr:cNvPr id="14" name="Straight Arrow Connector 13">
          <a:extLst>
            <a:ext uri="{FF2B5EF4-FFF2-40B4-BE49-F238E27FC236}">
              <a16:creationId xmlns:a16="http://schemas.microsoft.com/office/drawing/2014/main" id="{492C68D8-4933-496A-9EDE-F7C1ADDE19FB}"/>
            </a:ext>
          </a:extLst>
        </xdr:cNvPr>
        <xdr:cNvCxnSpPr>
          <a:stCxn id="2" idx="3"/>
          <a:endCxn id="12" idx="1"/>
        </xdr:cNvCxnSpPr>
      </xdr:nvCxnSpPr>
      <xdr:spPr>
        <a:xfrm>
          <a:off x="9420224" y="2550127"/>
          <a:ext cx="609601" cy="4464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628651</xdr:colOff>
      <xdr:row>14</xdr:row>
      <xdr:rowOff>152398</xdr:rowOff>
    </xdr:from>
    <xdr:to>
      <xdr:col>17</xdr:col>
      <xdr:colOff>2667001</xdr:colOff>
      <xdr:row>16</xdr:row>
      <xdr:rowOff>131379</xdr:rowOff>
    </xdr:to>
    <xdr:sp macro="" textlink="">
      <xdr:nvSpPr>
        <xdr:cNvPr id="15" name="Rectangle: Rounded Corners 14">
          <a:extLst>
            <a:ext uri="{FF2B5EF4-FFF2-40B4-BE49-F238E27FC236}">
              <a16:creationId xmlns:a16="http://schemas.microsoft.com/office/drawing/2014/main" id="{A76B6AA1-81D9-4F42-A1C0-555F10759E5D}"/>
            </a:ext>
          </a:extLst>
        </xdr:cNvPr>
        <xdr:cNvSpPr/>
      </xdr:nvSpPr>
      <xdr:spPr>
        <a:xfrm>
          <a:off x="12573001" y="2819398"/>
          <a:ext cx="2038350" cy="359981"/>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309563</xdr:colOff>
      <xdr:row>15</xdr:row>
      <xdr:rowOff>139042</xdr:rowOff>
    </xdr:from>
    <xdr:to>
      <xdr:col>17</xdr:col>
      <xdr:colOff>628651</xdr:colOff>
      <xdr:row>15</xdr:row>
      <xdr:rowOff>141889</xdr:rowOff>
    </xdr:to>
    <xdr:cxnSp macro="">
      <xdr:nvCxnSpPr>
        <xdr:cNvPr id="16" name="Straight Arrow Connector 15">
          <a:extLst>
            <a:ext uri="{FF2B5EF4-FFF2-40B4-BE49-F238E27FC236}">
              <a16:creationId xmlns:a16="http://schemas.microsoft.com/office/drawing/2014/main" id="{D02878DA-2FCC-4404-B689-EBF1BB7BD9EB}"/>
            </a:ext>
          </a:extLst>
        </xdr:cNvPr>
        <xdr:cNvCxnSpPr>
          <a:stCxn id="12" idx="3"/>
          <a:endCxn id="15" idx="1"/>
        </xdr:cNvCxnSpPr>
      </xdr:nvCxnSpPr>
      <xdr:spPr>
        <a:xfrm>
          <a:off x="12253913" y="299654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69059</xdr:rowOff>
    </xdr:from>
    <xdr:to>
      <xdr:col>5</xdr:col>
      <xdr:colOff>42863</xdr:colOff>
      <xdr:row>13</xdr:row>
      <xdr:rowOff>72846</xdr:rowOff>
    </xdr:to>
    <xdr:cxnSp macro="">
      <xdr:nvCxnSpPr>
        <xdr:cNvPr id="17" name="Straight Arrow Connector 16">
          <a:extLst>
            <a:ext uri="{FF2B5EF4-FFF2-40B4-BE49-F238E27FC236}">
              <a16:creationId xmlns:a16="http://schemas.microsoft.com/office/drawing/2014/main" id="{77B9FA7A-82FA-4C26-9F68-9E82BE934A15}"/>
            </a:ext>
          </a:extLst>
        </xdr:cNvPr>
        <xdr:cNvCxnSpPr>
          <a:stCxn id="3" idx="3"/>
          <a:endCxn id="4" idx="1"/>
        </xdr:cNvCxnSpPr>
      </xdr:nvCxnSpPr>
      <xdr:spPr>
        <a:xfrm flipV="1">
          <a:off x="2164556" y="2545559"/>
          <a:ext cx="1154907" cy="37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35719</xdr:colOff>
      <xdr:row>13</xdr:row>
      <xdr:rowOff>69059</xdr:rowOff>
    </xdr:from>
    <xdr:to>
      <xdr:col>9</xdr:col>
      <xdr:colOff>23811</xdr:colOff>
      <xdr:row>13</xdr:row>
      <xdr:rowOff>71438</xdr:rowOff>
    </xdr:to>
    <xdr:cxnSp macro="">
      <xdr:nvCxnSpPr>
        <xdr:cNvPr id="18" name="Straight Arrow Connector 17">
          <a:extLst>
            <a:ext uri="{FF2B5EF4-FFF2-40B4-BE49-F238E27FC236}">
              <a16:creationId xmlns:a16="http://schemas.microsoft.com/office/drawing/2014/main" id="{3647BD57-3255-4B54-8162-B921A2CE27E6}"/>
            </a:ext>
          </a:extLst>
        </xdr:cNvPr>
        <xdr:cNvCxnSpPr>
          <a:stCxn id="4" idx="3"/>
          <a:endCxn id="2" idx="1"/>
        </xdr:cNvCxnSpPr>
      </xdr:nvCxnSpPr>
      <xdr:spPr>
        <a:xfrm>
          <a:off x="5141119" y="2545559"/>
          <a:ext cx="597692" cy="23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767</xdr:colOff>
      <xdr:row>9</xdr:row>
      <xdr:rowOff>142875</xdr:rowOff>
    </xdr:from>
    <xdr:to>
      <xdr:col>40</xdr:col>
      <xdr:colOff>174901</xdr:colOff>
      <xdr:row>13</xdr:row>
      <xdr:rowOff>119061</xdr:rowOff>
    </xdr:to>
    <xdr:sp macro="" textlink="">
      <xdr:nvSpPr>
        <xdr:cNvPr id="19" name="Rectangle: Rounded Corners 18">
          <a:extLst>
            <a:ext uri="{FF2B5EF4-FFF2-40B4-BE49-F238E27FC236}">
              <a16:creationId xmlns:a16="http://schemas.microsoft.com/office/drawing/2014/main" id="{E517A45B-437E-4C21-9771-4CC496952CC0}"/>
            </a:ext>
          </a:extLst>
        </xdr:cNvPr>
        <xdr:cNvSpPr/>
      </xdr:nvSpPr>
      <xdr:spPr>
        <a:xfrm>
          <a:off x="23898992" y="1857375"/>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Is</a:t>
          </a:r>
          <a:r>
            <a:rPr lang="en-ID" sz="1100" baseline="0"/>
            <a:t> there any value added? (e.g: adding new function)</a:t>
          </a:r>
        </a:p>
        <a:p>
          <a:pPr algn="ctr"/>
          <a:r>
            <a:rPr lang="en-ID" sz="1100"/>
            <a:t>Apakah ada nilai tambah? (Contoh: Penambahan fungsi)</a:t>
          </a:r>
        </a:p>
      </xdr:txBody>
    </xdr:sp>
    <xdr:clientData/>
  </xdr:twoCellAnchor>
  <xdr:twoCellAnchor>
    <xdr:from>
      <xdr:col>17</xdr:col>
      <xdr:colOff>321469</xdr:colOff>
      <xdr:row>11</xdr:row>
      <xdr:rowOff>125017</xdr:rowOff>
    </xdr:from>
    <xdr:to>
      <xdr:col>17</xdr:col>
      <xdr:colOff>689960</xdr:colOff>
      <xdr:row>11</xdr:row>
      <xdr:rowOff>130502</xdr:rowOff>
    </xdr:to>
    <xdr:cxnSp macro="">
      <xdr:nvCxnSpPr>
        <xdr:cNvPr id="20" name="Straight Arrow Connector 19">
          <a:extLst>
            <a:ext uri="{FF2B5EF4-FFF2-40B4-BE49-F238E27FC236}">
              <a16:creationId xmlns:a16="http://schemas.microsoft.com/office/drawing/2014/main" id="{E4E08BEB-1BAA-4755-91DB-057D91930C56}"/>
            </a:ext>
          </a:extLst>
        </xdr:cNvPr>
        <xdr:cNvCxnSpPr>
          <a:stCxn id="11" idx="3"/>
          <a:endCxn id="51" idx="1"/>
        </xdr:cNvCxnSpPr>
      </xdr:nvCxnSpPr>
      <xdr:spPr>
        <a:xfrm>
          <a:off x="12265819" y="2220517"/>
          <a:ext cx="368491" cy="5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53455</xdr:colOff>
      <xdr:row>7</xdr:row>
      <xdr:rowOff>152401</xdr:rowOff>
    </xdr:from>
    <xdr:to>
      <xdr:col>42</xdr:col>
      <xdr:colOff>430814</xdr:colOff>
      <xdr:row>10</xdr:row>
      <xdr:rowOff>92870</xdr:rowOff>
    </xdr:to>
    <xdr:sp macro="" textlink="">
      <xdr:nvSpPr>
        <xdr:cNvPr id="21" name="Rectangle: Rounded Corners 20">
          <a:extLst>
            <a:ext uri="{FF2B5EF4-FFF2-40B4-BE49-F238E27FC236}">
              <a16:creationId xmlns:a16="http://schemas.microsoft.com/office/drawing/2014/main" id="{CC5529AB-2F0D-4125-AA9A-F39F73C1C5E6}"/>
            </a:ext>
          </a:extLst>
        </xdr:cNvPr>
        <xdr:cNvSpPr/>
      </xdr:nvSpPr>
      <xdr:spPr>
        <a:xfrm>
          <a:off x="28828480" y="1485901"/>
          <a:ext cx="986959" cy="5119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62980</xdr:colOff>
      <xdr:row>12</xdr:row>
      <xdr:rowOff>78581</xdr:rowOff>
    </xdr:from>
    <xdr:to>
      <xdr:col>42</xdr:col>
      <xdr:colOff>440339</xdr:colOff>
      <xdr:row>14</xdr:row>
      <xdr:rowOff>19050</xdr:rowOff>
    </xdr:to>
    <xdr:sp macro="" textlink="">
      <xdr:nvSpPr>
        <xdr:cNvPr id="22" name="Rectangle: Rounded Corners 21">
          <a:extLst>
            <a:ext uri="{FF2B5EF4-FFF2-40B4-BE49-F238E27FC236}">
              <a16:creationId xmlns:a16="http://schemas.microsoft.com/office/drawing/2014/main" id="{68395579-129F-4551-85DF-9EF39E35C556}"/>
            </a:ext>
          </a:extLst>
        </xdr:cNvPr>
        <xdr:cNvSpPr/>
      </xdr:nvSpPr>
      <xdr:spPr>
        <a:xfrm>
          <a:off x="28838005" y="2364581"/>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174901</xdr:colOff>
      <xdr:row>9</xdr:row>
      <xdr:rowOff>122636</xdr:rowOff>
    </xdr:from>
    <xdr:to>
      <xdr:col>41</xdr:col>
      <xdr:colOff>53455</xdr:colOff>
      <xdr:row>11</xdr:row>
      <xdr:rowOff>130968</xdr:rowOff>
    </xdr:to>
    <xdr:cxnSp macro="">
      <xdr:nvCxnSpPr>
        <xdr:cNvPr id="23" name="Straight Arrow Connector 22">
          <a:extLst>
            <a:ext uri="{FF2B5EF4-FFF2-40B4-BE49-F238E27FC236}">
              <a16:creationId xmlns:a16="http://schemas.microsoft.com/office/drawing/2014/main" id="{050F9ACC-C79C-43EB-BD6D-C946F3D04A7A}"/>
            </a:ext>
          </a:extLst>
        </xdr:cNvPr>
        <xdr:cNvCxnSpPr>
          <a:stCxn id="19" idx="3"/>
          <a:endCxn id="21" idx="1"/>
        </xdr:cNvCxnSpPr>
      </xdr:nvCxnSpPr>
      <xdr:spPr>
        <a:xfrm flipV="1">
          <a:off x="28340326" y="1837136"/>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174901</xdr:colOff>
      <xdr:row>11</xdr:row>
      <xdr:rowOff>130968</xdr:rowOff>
    </xdr:from>
    <xdr:to>
      <xdr:col>41</xdr:col>
      <xdr:colOff>62980</xdr:colOff>
      <xdr:row>13</xdr:row>
      <xdr:rowOff>48816</xdr:rowOff>
    </xdr:to>
    <xdr:cxnSp macro="">
      <xdr:nvCxnSpPr>
        <xdr:cNvPr id="24" name="Straight Arrow Connector 23">
          <a:extLst>
            <a:ext uri="{FF2B5EF4-FFF2-40B4-BE49-F238E27FC236}">
              <a16:creationId xmlns:a16="http://schemas.microsoft.com/office/drawing/2014/main" id="{85851452-A2FD-471A-853B-16D10DFD2CF4}"/>
            </a:ext>
          </a:extLst>
        </xdr:cNvPr>
        <xdr:cNvCxnSpPr>
          <a:stCxn id="19" idx="3"/>
          <a:endCxn id="22" idx="1"/>
        </xdr:cNvCxnSpPr>
      </xdr:nvCxnSpPr>
      <xdr:spPr>
        <a:xfrm>
          <a:off x="28340326" y="2226468"/>
          <a:ext cx="497679" cy="29884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16670</xdr:colOff>
      <xdr:row>31</xdr:row>
      <xdr:rowOff>134833</xdr:rowOff>
    </xdr:to>
    <xdr:cxnSp macro="">
      <xdr:nvCxnSpPr>
        <xdr:cNvPr id="25" name="Straight Arrow Connector 34">
          <a:extLst>
            <a:ext uri="{FF2B5EF4-FFF2-40B4-BE49-F238E27FC236}">
              <a16:creationId xmlns:a16="http://schemas.microsoft.com/office/drawing/2014/main" id="{5E88EF0C-9C39-4B20-8CD3-4F60CFC06F44}"/>
            </a:ext>
          </a:extLst>
        </xdr:cNvPr>
        <xdr:cNvCxnSpPr>
          <a:stCxn id="3" idx="3"/>
          <a:endCxn id="5" idx="1"/>
        </xdr:cNvCxnSpPr>
      </xdr:nvCxnSpPr>
      <xdr:spPr>
        <a:xfrm>
          <a:off x="2164556" y="2549346"/>
          <a:ext cx="1128714" cy="3490987"/>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28111</xdr:colOff>
      <xdr:row>49</xdr:row>
      <xdr:rowOff>59502</xdr:rowOff>
    </xdr:to>
    <xdr:cxnSp macro="">
      <xdr:nvCxnSpPr>
        <xdr:cNvPr id="26" name="Straight Arrow Connector 36">
          <a:extLst>
            <a:ext uri="{FF2B5EF4-FFF2-40B4-BE49-F238E27FC236}">
              <a16:creationId xmlns:a16="http://schemas.microsoft.com/office/drawing/2014/main" id="{12000206-D377-4AEC-8621-8F154017BDFC}"/>
            </a:ext>
          </a:extLst>
        </xdr:cNvPr>
        <xdr:cNvCxnSpPr>
          <a:stCxn id="3" idx="3"/>
          <a:endCxn id="6" idx="1"/>
        </xdr:cNvCxnSpPr>
      </xdr:nvCxnSpPr>
      <xdr:spPr>
        <a:xfrm>
          <a:off x="2164556" y="2549346"/>
          <a:ext cx="1140155" cy="6844656"/>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593890</xdr:colOff>
      <xdr:row>85</xdr:row>
      <xdr:rowOff>50910</xdr:rowOff>
    </xdr:to>
    <xdr:cxnSp macro="">
      <xdr:nvCxnSpPr>
        <xdr:cNvPr id="27" name="Straight Arrow Connector 40">
          <a:extLst>
            <a:ext uri="{FF2B5EF4-FFF2-40B4-BE49-F238E27FC236}">
              <a16:creationId xmlns:a16="http://schemas.microsoft.com/office/drawing/2014/main" id="{A2CD3DC5-7A77-49D1-8ED7-D08D0FBC449F}"/>
            </a:ext>
          </a:extLst>
        </xdr:cNvPr>
        <xdr:cNvCxnSpPr>
          <a:stCxn id="3" idx="3"/>
          <a:endCxn id="9" idx="1"/>
        </xdr:cNvCxnSpPr>
      </xdr:nvCxnSpPr>
      <xdr:spPr>
        <a:xfrm>
          <a:off x="2164556" y="2549346"/>
          <a:ext cx="1096334" cy="136940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12865</xdr:colOff>
      <xdr:row>68</xdr:row>
      <xdr:rowOff>464</xdr:rowOff>
    </xdr:to>
    <xdr:cxnSp macro="">
      <xdr:nvCxnSpPr>
        <xdr:cNvPr id="28" name="Straight Arrow Connector 42">
          <a:extLst>
            <a:ext uri="{FF2B5EF4-FFF2-40B4-BE49-F238E27FC236}">
              <a16:creationId xmlns:a16="http://schemas.microsoft.com/office/drawing/2014/main" id="{3F6FDC53-BDC8-4466-B3E4-A2D9ACD98FF7}"/>
            </a:ext>
          </a:extLst>
        </xdr:cNvPr>
        <xdr:cNvCxnSpPr>
          <a:stCxn id="3" idx="3"/>
          <a:endCxn id="7" idx="1"/>
        </xdr:cNvCxnSpPr>
      </xdr:nvCxnSpPr>
      <xdr:spPr>
        <a:xfrm>
          <a:off x="2164556" y="2549346"/>
          <a:ext cx="1124909" cy="1040511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0</xdr:colOff>
      <xdr:row>31</xdr:row>
      <xdr:rowOff>129262</xdr:rowOff>
    </xdr:from>
    <xdr:to>
      <xdr:col>9</xdr:col>
      <xdr:colOff>35719</xdr:colOff>
      <xdr:row>31</xdr:row>
      <xdr:rowOff>130453</xdr:rowOff>
    </xdr:to>
    <xdr:cxnSp macro="">
      <xdr:nvCxnSpPr>
        <xdr:cNvPr id="29" name="Straight Arrow Connector 28">
          <a:extLst>
            <a:ext uri="{FF2B5EF4-FFF2-40B4-BE49-F238E27FC236}">
              <a16:creationId xmlns:a16="http://schemas.microsoft.com/office/drawing/2014/main" id="{BB730590-243B-43D7-91F1-D7C2320BBA3F}"/>
            </a:ext>
          </a:extLst>
        </xdr:cNvPr>
        <xdr:cNvCxnSpPr>
          <a:stCxn id="5" idx="3"/>
          <a:endCxn id="10" idx="1"/>
        </xdr:cNvCxnSpPr>
      </xdr:nvCxnSpPr>
      <xdr:spPr>
        <a:xfrm flipV="1">
          <a:off x="5105400" y="6034762"/>
          <a:ext cx="645319" cy="11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267362</xdr:colOff>
      <xdr:row>12</xdr:row>
      <xdr:rowOff>62622</xdr:rowOff>
    </xdr:from>
    <xdr:to>
      <xdr:col>44</xdr:col>
      <xdr:colOff>470778</xdr:colOff>
      <xdr:row>14</xdr:row>
      <xdr:rowOff>41191</xdr:rowOff>
    </xdr:to>
    <xdr:sp macro="" textlink="">
      <xdr:nvSpPr>
        <xdr:cNvPr id="30" name="Rectangle: Rounded Corners 29">
          <a:extLst>
            <a:ext uri="{FF2B5EF4-FFF2-40B4-BE49-F238E27FC236}">
              <a16:creationId xmlns:a16="http://schemas.microsoft.com/office/drawing/2014/main" id="{07A5D905-4BB9-4CE4-9E4D-3E90CF0C0FD4}"/>
            </a:ext>
          </a:extLst>
        </xdr:cNvPr>
        <xdr:cNvSpPr/>
      </xdr:nvSpPr>
      <xdr:spPr>
        <a:xfrm>
          <a:off x="30261587" y="2348622"/>
          <a:ext cx="81301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440339</xdr:colOff>
      <xdr:row>13</xdr:row>
      <xdr:rowOff>48816</xdr:rowOff>
    </xdr:from>
    <xdr:to>
      <xdr:col>43</xdr:col>
      <xdr:colOff>267362</xdr:colOff>
      <xdr:row>13</xdr:row>
      <xdr:rowOff>51907</xdr:rowOff>
    </xdr:to>
    <xdr:cxnSp macro="">
      <xdr:nvCxnSpPr>
        <xdr:cNvPr id="31" name="Straight Arrow Connector 30">
          <a:extLst>
            <a:ext uri="{FF2B5EF4-FFF2-40B4-BE49-F238E27FC236}">
              <a16:creationId xmlns:a16="http://schemas.microsoft.com/office/drawing/2014/main" id="{C54B3137-46FD-487E-9AAA-A00797B2098B}"/>
            </a:ext>
          </a:extLst>
        </xdr:cNvPr>
        <xdr:cNvCxnSpPr>
          <a:stCxn id="22" idx="3"/>
          <a:endCxn id="30" idx="1"/>
        </xdr:cNvCxnSpPr>
      </xdr:nvCxnSpPr>
      <xdr:spPr>
        <a:xfrm>
          <a:off x="29824964" y="2525316"/>
          <a:ext cx="436623"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548686</xdr:colOff>
      <xdr:row>6</xdr:row>
      <xdr:rowOff>43794</xdr:rowOff>
    </xdr:from>
    <xdr:to>
      <xdr:col>41</xdr:col>
      <xdr:colOff>552889</xdr:colOff>
      <xdr:row>7</xdr:row>
      <xdr:rowOff>152401</xdr:rowOff>
    </xdr:to>
    <xdr:cxnSp macro="">
      <xdr:nvCxnSpPr>
        <xdr:cNvPr id="32" name="Straight Arrow Connector 31">
          <a:extLst>
            <a:ext uri="{FF2B5EF4-FFF2-40B4-BE49-F238E27FC236}">
              <a16:creationId xmlns:a16="http://schemas.microsoft.com/office/drawing/2014/main" id="{2C564F4E-7E45-4FDC-B19A-D8CE2126B5D4}"/>
            </a:ext>
          </a:extLst>
        </xdr:cNvPr>
        <xdr:cNvCxnSpPr>
          <a:stCxn id="21" idx="0"/>
          <a:endCxn id="33" idx="2"/>
        </xdr:cNvCxnSpPr>
      </xdr:nvCxnSpPr>
      <xdr:spPr>
        <a:xfrm flipV="1">
          <a:off x="29323711" y="1186794"/>
          <a:ext cx="4203" cy="29910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328450</xdr:colOff>
      <xdr:row>1</xdr:row>
      <xdr:rowOff>175172</xdr:rowOff>
    </xdr:from>
    <xdr:to>
      <xdr:col>44</xdr:col>
      <xdr:colOff>164224</xdr:colOff>
      <xdr:row>6</xdr:row>
      <xdr:rowOff>43794</xdr:rowOff>
    </xdr:to>
    <xdr:sp macro="" textlink="">
      <xdr:nvSpPr>
        <xdr:cNvPr id="33" name="Rectangle: Rounded Corners 32">
          <a:extLst>
            <a:ext uri="{FF2B5EF4-FFF2-40B4-BE49-F238E27FC236}">
              <a16:creationId xmlns:a16="http://schemas.microsoft.com/office/drawing/2014/main" id="{57037FFA-4AB3-4BEB-87F0-92A54CA4441E}"/>
            </a:ext>
          </a:extLst>
        </xdr:cNvPr>
        <xdr:cNvSpPr/>
      </xdr:nvSpPr>
      <xdr:spPr>
        <a:xfrm>
          <a:off x="27884275" y="365672"/>
          <a:ext cx="2883774" cy="8211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430814</xdr:colOff>
      <xdr:row>9</xdr:row>
      <xdr:rowOff>27372</xdr:rowOff>
    </xdr:from>
    <xdr:to>
      <xdr:col>46</xdr:col>
      <xdr:colOff>98535</xdr:colOff>
      <xdr:row>9</xdr:row>
      <xdr:rowOff>29576</xdr:rowOff>
    </xdr:to>
    <xdr:cxnSp macro="">
      <xdr:nvCxnSpPr>
        <xdr:cNvPr id="34" name="Straight Arrow Connector 33">
          <a:extLst>
            <a:ext uri="{FF2B5EF4-FFF2-40B4-BE49-F238E27FC236}">
              <a16:creationId xmlns:a16="http://schemas.microsoft.com/office/drawing/2014/main" id="{93413E9F-8C18-4EB7-9BA6-1DAA73C8AC61}"/>
            </a:ext>
          </a:extLst>
        </xdr:cNvPr>
        <xdr:cNvCxnSpPr>
          <a:stCxn id="21" idx="3"/>
          <a:endCxn id="35" idx="1"/>
        </xdr:cNvCxnSpPr>
      </xdr:nvCxnSpPr>
      <xdr:spPr>
        <a:xfrm flipV="1">
          <a:off x="29815439" y="174187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98535</xdr:colOff>
      <xdr:row>7</xdr:row>
      <xdr:rowOff>21897</xdr:rowOff>
    </xdr:from>
    <xdr:to>
      <xdr:col>50</xdr:col>
      <xdr:colOff>175173</xdr:colOff>
      <xdr:row>11</xdr:row>
      <xdr:rowOff>32845</xdr:rowOff>
    </xdr:to>
    <xdr:sp macro="" textlink="">
      <xdr:nvSpPr>
        <xdr:cNvPr id="35" name="Rectangle: Rounded Corners 34">
          <a:extLst>
            <a:ext uri="{FF2B5EF4-FFF2-40B4-BE49-F238E27FC236}">
              <a16:creationId xmlns:a16="http://schemas.microsoft.com/office/drawing/2014/main" id="{CA928C1C-64CE-4D44-8D10-5DE21B9F7862}"/>
            </a:ext>
          </a:extLst>
        </xdr:cNvPr>
        <xdr:cNvSpPr/>
      </xdr:nvSpPr>
      <xdr:spPr>
        <a:xfrm>
          <a:off x="31921560" y="1355397"/>
          <a:ext cx="2515038" cy="7729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135566</xdr:colOff>
      <xdr:row>4</xdr:row>
      <xdr:rowOff>65689</xdr:rowOff>
    </xdr:from>
    <xdr:to>
      <xdr:col>53</xdr:col>
      <xdr:colOff>175172</xdr:colOff>
      <xdr:row>6</xdr:row>
      <xdr:rowOff>175171</xdr:rowOff>
    </xdr:to>
    <xdr:sp macro="" textlink="">
      <xdr:nvSpPr>
        <xdr:cNvPr id="36" name="Rectangle: Rounded Corners 35">
          <a:extLst>
            <a:ext uri="{FF2B5EF4-FFF2-40B4-BE49-F238E27FC236}">
              <a16:creationId xmlns:a16="http://schemas.microsoft.com/office/drawing/2014/main" id="{D00BD04C-FD66-4EBC-B7A1-AAE5FC2C920D}"/>
            </a:ext>
          </a:extLst>
        </xdr:cNvPr>
        <xdr:cNvSpPr/>
      </xdr:nvSpPr>
      <xdr:spPr>
        <a:xfrm>
          <a:off x="35006591" y="827689"/>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145638</xdr:colOff>
      <xdr:row>9</xdr:row>
      <xdr:rowOff>174295</xdr:rowOff>
    </xdr:from>
    <xdr:to>
      <xdr:col>53</xdr:col>
      <xdr:colOff>185244</xdr:colOff>
      <xdr:row>12</xdr:row>
      <xdr:rowOff>97656</xdr:rowOff>
    </xdr:to>
    <xdr:sp macro="" textlink="">
      <xdr:nvSpPr>
        <xdr:cNvPr id="37" name="Rectangle: Rounded Corners 36">
          <a:extLst>
            <a:ext uri="{FF2B5EF4-FFF2-40B4-BE49-F238E27FC236}">
              <a16:creationId xmlns:a16="http://schemas.microsoft.com/office/drawing/2014/main" id="{2458C830-B6CF-4D68-AE1F-21DAE5A614D1}"/>
            </a:ext>
          </a:extLst>
        </xdr:cNvPr>
        <xdr:cNvSpPr/>
      </xdr:nvSpPr>
      <xdr:spPr>
        <a:xfrm>
          <a:off x="35016663" y="188879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175173</xdr:colOff>
      <xdr:row>5</xdr:row>
      <xdr:rowOff>120430</xdr:rowOff>
    </xdr:from>
    <xdr:to>
      <xdr:col>51</xdr:col>
      <xdr:colOff>135566</xdr:colOff>
      <xdr:row>9</xdr:row>
      <xdr:rowOff>120431</xdr:rowOff>
    </xdr:to>
    <xdr:cxnSp macro="">
      <xdr:nvCxnSpPr>
        <xdr:cNvPr id="38" name="Straight Arrow Connector 37">
          <a:extLst>
            <a:ext uri="{FF2B5EF4-FFF2-40B4-BE49-F238E27FC236}">
              <a16:creationId xmlns:a16="http://schemas.microsoft.com/office/drawing/2014/main" id="{A2E5EBEB-9E33-40D8-8C4D-B82B06F53ECB}"/>
            </a:ext>
          </a:extLst>
        </xdr:cNvPr>
        <xdr:cNvCxnSpPr>
          <a:stCxn id="35" idx="3"/>
          <a:endCxn id="36" idx="1"/>
        </xdr:cNvCxnSpPr>
      </xdr:nvCxnSpPr>
      <xdr:spPr>
        <a:xfrm flipV="1">
          <a:off x="34436598" y="1072930"/>
          <a:ext cx="569993" cy="7620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175173</xdr:colOff>
      <xdr:row>9</xdr:row>
      <xdr:rowOff>120431</xdr:rowOff>
    </xdr:from>
    <xdr:to>
      <xdr:col>51</xdr:col>
      <xdr:colOff>145638</xdr:colOff>
      <xdr:row>11</xdr:row>
      <xdr:rowOff>42916</xdr:rowOff>
    </xdr:to>
    <xdr:cxnSp macro="">
      <xdr:nvCxnSpPr>
        <xdr:cNvPr id="39" name="Straight Arrow Connector 38">
          <a:extLst>
            <a:ext uri="{FF2B5EF4-FFF2-40B4-BE49-F238E27FC236}">
              <a16:creationId xmlns:a16="http://schemas.microsoft.com/office/drawing/2014/main" id="{6E3F4852-663B-4BDE-83FC-F1B6DE71088D}"/>
            </a:ext>
          </a:extLst>
        </xdr:cNvPr>
        <xdr:cNvCxnSpPr>
          <a:stCxn id="35" idx="3"/>
          <a:endCxn id="37" idx="1"/>
        </xdr:cNvCxnSpPr>
      </xdr:nvCxnSpPr>
      <xdr:spPr>
        <a:xfrm>
          <a:off x="34436598" y="1834931"/>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111917</xdr:colOff>
      <xdr:row>4</xdr:row>
      <xdr:rowOff>63936</xdr:rowOff>
    </xdr:from>
    <xdr:to>
      <xdr:col>56</xdr:col>
      <xdr:colOff>151523</xdr:colOff>
      <xdr:row>6</xdr:row>
      <xdr:rowOff>173418</xdr:rowOff>
    </xdr:to>
    <xdr:sp macro="" textlink="">
      <xdr:nvSpPr>
        <xdr:cNvPr id="40" name="Rectangle: Rounded Corners 39">
          <a:extLst>
            <a:ext uri="{FF2B5EF4-FFF2-40B4-BE49-F238E27FC236}">
              <a16:creationId xmlns:a16="http://schemas.microsoft.com/office/drawing/2014/main" id="{519802F8-F17F-47A2-871F-887460331B74}"/>
            </a:ext>
          </a:extLst>
        </xdr:cNvPr>
        <xdr:cNvSpPr/>
      </xdr:nvSpPr>
      <xdr:spPr>
        <a:xfrm>
          <a:off x="36811742" y="82593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100092</xdr:colOff>
      <xdr:row>9</xdr:row>
      <xdr:rowOff>172543</xdr:rowOff>
    </xdr:from>
    <xdr:to>
      <xdr:col>56</xdr:col>
      <xdr:colOff>139698</xdr:colOff>
      <xdr:row>12</xdr:row>
      <xdr:rowOff>95904</xdr:rowOff>
    </xdr:to>
    <xdr:sp macro="" textlink="">
      <xdr:nvSpPr>
        <xdr:cNvPr id="41" name="Rectangle: Rounded Corners 40">
          <a:extLst>
            <a:ext uri="{FF2B5EF4-FFF2-40B4-BE49-F238E27FC236}">
              <a16:creationId xmlns:a16="http://schemas.microsoft.com/office/drawing/2014/main" id="{C834D8EF-7B10-47B8-8A6C-8552F445F3BA}"/>
            </a:ext>
          </a:extLst>
        </xdr:cNvPr>
        <xdr:cNvSpPr/>
      </xdr:nvSpPr>
      <xdr:spPr>
        <a:xfrm>
          <a:off x="36799917" y="1887043"/>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175172</xdr:colOff>
      <xdr:row>5</xdr:row>
      <xdr:rowOff>118677</xdr:rowOff>
    </xdr:from>
    <xdr:to>
      <xdr:col>54</xdr:col>
      <xdr:colOff>111917</xdr:colOff>
      <xdr:row>5</xdr:row>
      <xdr:rowOff>120430</xdr:rowOff>
    </xdr:to>
    <xdr:cxnSp macro="">
      <xdr:nvCxnSpPr>
        <xdr:cNvPr id="42" name="Straight Arrow Connector 41">
          <a:extLst>
            <a:ext uri="{FF2B5EF4-FFF2-40B4-BE49-F238E27FC236}">
              <a16:creationId xmlns:a16="http://schemas.microsoft.com/office/drawing/2014/main" id="{275EB86E-1FCD-4576-BA9A-52A15D26AF2B}"/>
            </a:ext>
          </a:extLst>
        </xdr:cNvPr>
        <xdr:cNvCxnSpPr>
          <a:stCxn id="36" idx="3"/>
          <a:endCxn id="40" idx="1"/>
        </xdr:cNvCxnSpPr>
      </xdr:nvCxnSpPr>
      <xdr:spPr>
        <a:xfrm flipV="1">
          <a:off x="36265397" y="1071177"/>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185244</xdr:colOff>
      <xdr:row>11</xdr:row>
      <xdr:rowOff>41164</xdr:rowOff>
    </xdr:from>
    <xdr:to>
      <xdr:col>54</xdr:col>
      <xdr:colOff>100092</xdr:colOff>
      <xdr:row>11</xdr:row>
      <xdr:rowOff>42916</xdr:rowOff>
    </xdr:to>
    <xdr:cxnSp macro="">
      <xdr:nvCxnSpPr>
        <xdr:cNvPr id="43" name="Straight Arrow Connector 42">
          <a:extLst>
            <a:ext uri="{FF2B5EF4-FFF2-40B4-BE49-F238E27FC236}">
              <a16:creationId xmlns:a16="http://schemas.microsoft.com/office/drawing/2014/main" id="{67D388A4-BBB2-4A3C-A907-594B6293771D}"/>
            </a:ext>
          </a:extLst>
        </xdr:cNvPr>
        <xdr:cNvCxnSpPr>
          <a:stCxn id="37" idx="3"/>
          <a:endCxn id="41" idx="1"/>
        </xdr:cNvCxnSpPr>
      </xdr:nvCxnSpPr>
      <xdr:spPr>
        <a:xfrm flipV="1">
          <a:off x="36275469" y="213666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192005</xdr:colOff>
      <xdr:row>29</xdr:row>
      <xdr:rowOff>23402</xdr:rowOff>
    </xdr:from>
    <xdr:to>
      <xdr:col>17</xdr:col>
      <xdr:colOff>453943</xdr:colOff>
      <xdr:row>30</xdr:row>
      <xdr:rowOff>149993</xdr:rowOff>
    </xdr:to>
    <xdr:sp macro="" textlink="">
      <xdr:nvSpPr>
        <xdr:cNvPr id="44" name="Rectangle: Rounded Corners 43">
          <a:extLst>
            <a:ext uri="{FF2B5EF4-FFF2-40B4-BE49-F238E27FC236}">
              <a16:creationId xmlns:a16="http://schemas.microsoft.com/office/drawing/2014/main" id="{3C0D0933-5408-4B43-B8A8-6FE2BF7383C0}"/>
            </a:ext>
          </a:extLst>
        </xdr:cNvPr>
        <xdr:cNvSpPr/>
      </xdr:nvSpPr>
      <xdr:spPr>
        <a:xfrm>
          <a:off x="10174205" y="5547902"/>
          <a:ext cx="2224088" cy="3170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180099</xdr:colOff>
      <xdr:row>33</xdr:row>
      <xdr:rowOff>59118</xdr:rowOff>
    </xdr:from>
    <xdr:to>
      <xdr:col>17</xdr:col>
      <xdr:colOff>442037</xdr:colOff>
      <xdr:row>34</xdr:row>
      <xdr:rowOff>149989</xdr:rowOff>
    </xdr:to>
    <xdr:sp macro="" textlink="">
      <xdr:nvSpPr>
        <xdr:cNvPr id="45" name="Rectangle: Rounded Corners 44">
          <a:extLst>
            <a:ext uri="{FF2B5EF4-FFF2-40B4-BE49-F238E27FC236}">
              <a16:creationId xmlns:a16="http://schemas.microsoft.com/office/drawing/2014/main" id="{F34E56B5-A8E5-4AEB-8A23-05503D3AEC78}"/>
            </a:ext>
          </a:extLst>
        </xdr:cNvPr>
        <xdr:cNvSpPr/>
      </xdr:nvSpPr>
      <xdr:spPr>
        <a:xfrm>
          <a:off x="10162299" y="6345618"/>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59532</xdr:colOff>
      <xdr:row>29</xdr:row>
      <xdr:rowOff>179758</xdr:rowOff>
    </xdr:from>
    <xdr:to>
      <xdr:col>16</xdr:col>
      <xdr:colOff>192005</xdr:colOff>
      <xdr:row>31</xdr:row>
      <xdr:rowOff>131452</xdr:rowOff>
    </xdr:to>
    <xdr:cxnSp macro="">
      <xdr:nvCxnSpPr>
        <xdr:cNvPr id="46" name="Straight Arrow Connector 45">
          <a:extLst>
            <a:ext uri="{FF2B5EF4-FFF2-40B4-BE49-F238E27FC236}">
              <a16:creationId xmlns:a16="http://schemas.microsoft.com/office/drawing/2014/main" id="{F3985D39-0BB3-4F1B-AD49-DE849ABAD1C1}"/>
            </a:ext>
          </a:extLst>
        </xdr:cNvPr>
        <xdr:cNvCxnSpPr>
          <a:stCxn id="10" idx="3"/>
          <a:endCxn id="44" idx="1"/>
        </xdr:cNvCxnSpPr>
      </xdr:nvCxnSpPr>
      <xdr:spPr>
        <a:xfrm flipV="1">
          <a:off x="9432132" y="5704258"/>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59532</xdr:colOff>
      <xdr:row>31</xdr:row>
      <xdr:rowOff>131452</xdr:rowOff>
    </xdr:from>
    <xdr:to>
      <xdr:col>16</xdr:col>
      <xdr:colOff>180099</xdr:colOff>
      <xdr:row>34</xdr:row>
      <xdr:rowOff>11493</xdr:rowOff>
    </xdr:to>
    <xdr:cxnSp macro="">
      <xdr:nvCxnSpPr>
        <xdr:cNvPr id="47" name="Straight Arrow Connector 46">
          <a:extLst>
            <a:ext uri="{FF2B5EF4-FFF2-40B4-BE49-F238E27FC236}">
              <a16:creationId xmlns:a16="http://schemas.microsoft.com/office/drawing/2014/main" id="{354F2A06-0142-419F-AFB3-29A612DA1C47}"/>
            </a:ext>
          </a:extLst>
        </xdr:cNvPr>
        <xdr:cNvCxnSpPr>
          <a:stCxn id="10" idx="3"/>
          <a:endCxn id="45" idx="1"/>
        </xdr:cNvCxnSpPr>
      </xdr:nvCxnSpPr>
      <xdr:spPr>
        <a:xfrm>
          <a:off x="9432132" y="6036952"/>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761125</xdr:colOff>
      <xdr:row>33</xdr:row>
      <xdr:rowOff>21019</xdr:rowOff>
    </xdr:from>
    <xdr:to>
      <xdr:col>18</xdr:col>
      <xdr:colOff>95251</xdr:colOff>
      <xdr:row>34</xdr:row>
      <xdr:rowOff>185708</xdr:rowOff>
    </xdr:to>
    <xdr:sp macro="" textlink="">
      <xdr:nvSpPr>
        <xdr:cNvPr id="48" name="Rectangle: Rounded Corners 47">
          <a:extLst>
            <a:ext uri="{FF2B5EF4-FFF2-40B4-BE49-F238E27FC236}">
              <a16:creationId xmlns:a16="http://schemas.microsoft.com/office/drawing/2014/main" id="{181E4D33-6290-445A-BB7E-E3772441F9CD}"/>
            </a:ext>
          </a:extLst>
        </xdr:cNvPr>
        <xdr:cNvSpPr/>
      </xdr:nvSpPr>
      <xdr:spPr>
        <a:xfrm>
          <a:off x="12705475" y="6307519"/>
          <a:ext cx="2039226" cy="3551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442037</xdr:colOff>
      <xdr:row>34</xdr:row>
      <xdr:rowOff>10303</xdr:rowOff>
    </xdr:from>
    <xdr:to>
      <xdr:col>17</xdr:col>
      <xdr:colOff>761125</xdr:colOff>
      <xdr:row>34</xdr:row>
      <xdr:rowOff>11493</xdr:rowOff>
    </xdr:to>
    <xdr:cxnSp macro="">
      <xdr:nvCxnSpPr>
        <xdr:cNvPr id="49" name="Straight Arrow Connector 48">
          <a:extLst>
            <a:ext uri="{FF2B5EF4-FFF2-40B4-BE49-F238E27FC236}">
              <a16:creationId xmlns:a16="http://schemas.microsoft.com/office/drawing/2014/main" id="{03419666-67C1-4B2E-B6E0-1C4CD4F737E2}"/>
            </a:ext>
          </a:extLst>
        </xdr:cNvPr>
        <xdr:cNvCxnSpPr>
          <a:stCxn id="45" idx="3"/>
          <a:endCxn id="48" idx="1"/>
        </xdr:cNvCxnSpPr>
      </xdr:nvCxnSpPr>
      <xdr:spPr>
        <a:xfrm flipV="1">
          <a:off x="12386387" y="6487303"/>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453943</xdr:colOff>
      <xdr:row>29</xdr:row>
      <xdr:rowOff>179758</xdr:rowOff>
    </xdr:from>
    <xdr:to>
      <xdr:col>17</xdr:col>
      <xdr:colOff>713499</xdr:colOff>
      <xdr:row>29</xdr:row>
      <xdr:rowOff>185709</xdr:rowOff>
    </xdr:to>
    <xdr:cxnSp macro="">
      <xdr:nvCxnSpPr>
        <xdr:cNvPr id="50" name="Straight Arrow Connector 49">
          <a:extLst>
            <a:ext uri="{FF2B5EF4-FFF2-40B4-BE49-F238E27FC236}">
              <a16:creationId xmlns:a16="http://schemas.microsoft.com/office/drawing/2014/main" id="{DB383DAE-096F-41C8-999C-52E134CECD67}"/>
            </a:ext>
          </a:extLst>
        </xdr:cNvPr>
        <xdr:cNvCxnSpPr>
          <a:cxnSpLocks/>
          <a:stCxn id="44" idx="3"/>
        </xdr:cNvCxnSpPr>
      </xdr:nvCxnSpPr>
      <xdr:spPr>
        <a:xfrm>
          <a:off x="12398293" y="570425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689960</xdr:colOff>
      <xdr:row>10</xdr:row>
      <xdr:rowOff>31968</xdr:rowOff>
    </xdr:from>
    <xdr:to>
      <xdr:col>17</xdr:col>
      <xdr:colOff>2594742</xdr:colOff>
      <xdr:row>13</xdr:row>
      <xdr:rowOff>42915</xdr:rowOff>
    </xdr:to>
    <xdr:sp macro="" textlink="">
      <xdr:nvSpPr>
        <xdr:cNvPr id="51" name="Rectangle: Rounded Corners 50">
          <a:extLst>
            <a:ext uri="{FF2B5EF4-FFF2-40B4-BE49-F238E27FC236}">
              <a16:creationId xmlns:a16="http://schemas.microsoft.com/office/drawing/2014/main" id="{A71091C9-85AE-436A-B18C-97F112380835}"/>
            </a:ext>
          </a:extLst>
        </xdr:cNvPr>
        <xdr:cNvSpPr/>
      </xdr:nvSpPr>
      <xdr:spPr>
        <a:xfrm>
          <a:off x="12634310" y="1936968"/>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2594742</xdr:colOff>
      <xdr:row>4</xdr:row>
      <xdr:rowOff>20251</xdr:rowOff>
    </xdr:from>
    <xdr:to>
      <xdr:col>18</xdr:col>
      <xdr:colOff>328447</xdr:colOff>
      <xdr:row>11</xdr:row>
      <xdr:rowOff>130502</xdr:rowOff>
    </xdr:to>
    <xdr:cxnSp macro="">
      <xdr:nvCxnSpPr>
        <xdr:cNvPr id="52" name="Straight Arrow Connector 51">
          <a:extLst>
            <a:ext uri="{FF2B5EF4-FFF2-40B4-BE49-F238E27FC236}">
              <a16:creationId xmlns:a16="http://schemas.microsoft.com/office/drawing/2014/main" id="{424B7291-B8A9-4CA2-AE7D-877A0C504B35}"/>
            </a:ext>
          </a:extLst>
        </xdr:cNvPr>
        <xdr:cNvCxnSpPr>
          <a:stCxn id="51" idx="3"/>
          <a:endCxn id="53" idx="1"/>
        </xdr:cNvCxnSpPr>
      </xdr:nvCxnSpPr>
      <xdr:spPr>
        <a:xfrm flipV="1">
          <a:off x="14539092" y="782251"/>
          <a:ext cx="438805" cy="14437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328447</xdr:colOff>
      <xdr:row>3</xdr:row>
      <xdr:rowOff>67876</xdr:rowOff>
    </xdr:from>
    <xdr:to>
      <xdr:col>20</xdr:col>
      <xdr:colOff>208017</xdr:colOff>
      <xdr:row>4</xdr:row>
      <xdr:rowOff>158747</xdr:rowOff>
    </xdr:to>
    <xdr:sp macro="" textlink="">
      <xdr:nvSpPr>
        <xdr:cNvPr id="53" name="Rectangle: Rounded Corners 52">
          <a:extLst>
            <a:ext uri="{FF2B5EF4-FFF2-40B4-BE49-F238E27FC236}">
              <a16:creationId xmlns:a16="http://schemas.microsoft.com/office/drawing/2014/main" id="{90BA981B-A10A-4C9F-AFA4-B9B4F1BFCEE2}"/>
            </a:ext>
          </a:extLst>
        </xdr:cNvPr>
        <xdr:cNvSpPr/>
      </xdr:nvSpPr>
      <xdr:spPr>
        <a:xfrm>
          <a:off x="14977897" y="639376"/>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541065</xdr:colOff>
      <xdr:row>3</xdr:row>
      <xdr:rowOff>29777</xdr:rowOff>
    </xdr:from>
    <xdr:to>
      <xdr:col>23</xdr:col>
      <xdr:colOff>131379</xdr:colOff>
      <xdr:row>5</xdr:row>
      <xdr:rowOff>8345</xdr:rowOff>
    </xdr:to>
    <xdr:sp macro="" textlink="">
      <xdr:nvSpPr>
        <xdr:cNvPr id="54" name="Rectangle: Rounded Corners 53">
          <a:extLst>
            <a:ext uri="{FF2B5EF4-FFF2-40B4-BE49-F238E27FC236}">
              <a16:creationId xmlns:a16="http://schemas.microsoft.com/office/drawing/2014/main" id="{34A212CA-7F9F-4461-BB8A-8B8C2A0EC9DC}"/>
            </a:ext>
          </a:extLst>
        </xdr:cNvPr>
        <xdr:cNvSpPr/>
      </xdr:nvSpPr>
      <xdr:spPr>
        <a:xfrm>
          <a:off x="16514490" y="601277"/>
          <a:ext cx="1419114"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20</xdr:col>
      <xdr:colOff>208017</xdr:colOff>
      <xdr:row>4</xdr:row>
      <xdr:rowOff>19061</xdr:rowOff>
    </xdr:from>
    <xdr:to>
      <xdr:col>20</xdr:col>
      <xdr:colOff>541065</xdr:colOff>
      <xdr:row>4</xdr:row>
      <xdr:rowOff>20251</xdr:rowOff>
    </xdr:to>
    <xdr:cxnSp macro="">
      <xdr:nvCxnSpPr>
        <xdr:cNvPr id="55" name="Straight Arrow Connector 54">
          <a:extLst>
            <a:ext uri="{FF2B5EF4-FFF2-40B4-BE49-F238E27FC236}">
              <a16:creationId xmlns:a16="http://schemas.microsoft.com/office/drawing/2014/main" id="{49BEE45E-C96A-4E96-A916-6856EA9CBCB8}"/>
            </a:ext>
          </a:extLst>
        </xdr:cNvPr>
        <xdr:cNvCxnSpPr>
          <a:stCxn id="53" idx="3"/>
          <a:endCxn id="54" idx="1"/>
        </xdr:cNvCxnSpPr>
      </xdr:nvCxnSpPr>
      <xdr:spPr>
        <a:xfrm flipV="1">
          <a:off x="16181442" y="781061"/>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327790</xdr:colOff>
      <xdr:row>9</xdr:row>
      <xdr:rowOff>164225</xdr:rowOff>
    </xdr:from>
    <xdr:to>
      <xdr:col>22</xdr:col>
      <xdr:colOff>218965</xdr:colOff>
      <xdr:row>13</xdr:row>
      <xdr:rowOff>98535</xdr:rowOff>
    </xdr:to>
    <xdr:sp macro="" textlink="">
      <xdr:nvSpPr>
        <xdr:cNvPr id="56" name="Rectangle: Rounded Corners 55">
          <a:extLst>
            <a:ext uri="{FF2B5EF4-FFF2-40B4-BE49-F238E27FC236}">
              <a16:creationId xmlns:a16="http://schemas.microsoft.com/office/drawing/2014/main" id="{EB00DD2B-15A3-486C-91B7-BDF5ED7A8A4A}"/>
            </a:ext>
          </a:extLst>
        </xdr:cNvPr>
        <xdr:cNvSpPr/>
      </xdr:nvSpPr>
      <xdr:spPr>
        <a:xfrm>
          <a:off x="14977240" y="1878725"/>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2594742</xdr:colOff>
      <xdr:row>11</xdr:row>
      <xdr:rowOff>130502</xdr:rowOff>
    </xdr:from>
    <xdr:to>
      <xdr:col>18</xdr:col>
      <xdr:colOff>327790</xdr:colOff>
      <xdr:row>11</xdr:row>
      <xdr:rowOff>131381</xdr:rowOff>
    </xdr:to>
    <xdr:cxnSp macro="">
      <xdr:nvCxnSpPr>
        <xdr:cNvPr id="57" name="Straight Arrow Connector 56">
          <a:extLst>
            <a:ext uri="{FF2B5EF4-FFF2-40B4-BE49-F238E27FC236}">
              <a16:creationId xmlns:a16="http://schemas.microsoft.com/office/drawing/2014/main" id="{BFDC9485-825C-4584-AA32-DBD69D6F6944}"/>
            </a:ext>
          </a:extLst>
        </xdr:cNvPr>
        <xdr:cNvCxnSpPr>
          <a:stCxn id="51" idx="3"/>
          <a:endCxn id="56" idx="1"/>
        </xdr:cNvCxnSpPr>
      </xdr:nvCxnSpPr>
      <xdr:spPr>
        <a:xfrm>
          <a:off x="14539092" y="222600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613102</xdr:colOff>
      <xdr:row>27</xdr:row>
      <xdr:rowOff>131051</xdr:rowOff>
    </xdr:from>
    <xdr:to>
      <xdr:col>40</xdr:col>
      <xdr:colOff>349196</xdr:colOff>
      <xdr:row>31</xdr:row>
      <xdr:rowOff>107237</xdr:rowOff>
    </xdr:to>
    <xdr:sp macro="" textlink="">
      <xdr:nvSpPr>
        <xdr:cNvPr id="58" name="Rectangle: Rounded Corners 57">
          <a:extLst>
            <a:ext uri="{FF2B5EF4-FFF2-40B4-BE49-F238E27FC236}">
              <a16:creationId xmlns:a16="http://schemas.microsoft.com/office/drawing/2014/main" id="{B7B03820-38AC-4C0F-83FA-77AD0028CAD8}"/>
            </a:ext>
          </a:extLst>
        </xdr:cNvPr>
        <xdr:cNvSpPr/>
      </xdr:nvSpPr>
      <xdr:spPr>
        <a:xfrm>
          <a:off x="23901727" y="5274551"/>
          <a:ext cx="461289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52579</xdr:colOff>
      <xdr:row>26</xdr:row>
      <xdr:rowOff>140577</xdr:rowOff>
    </xdr:from>
    <xdr:to>
      <xdr:col>42</xdr:col>
      <xdr:colOff>429938</xdr:colOff>
      <xdr:row>28</xdr:row>
      <xdr:rowOff>81045</xdr:rowOff>
    </xdr:to>
    <xdr:sp macro="" textlink="">
      <xdr:nvSpPr>
        <xdr:cNvPr id="59" name="Rectangle: Rounded Corners 58">
          <a:extLst>
            <a:ext uri="{FF2B5EF4-FFF2-40B4-BE49-F238E27FC236}">
              <a16:creationId xmlns:a16="http://schemas.microsoft.com/office/drawing/2014/main" id="{B7BBFC23-4D2B-4589-8A66-4BC046373389}"/>
            </a:ext>
          </a:extLst>
        </xdr:cNvPr>
        <xdr:cNvSpPr/>
      </xdr:nvSpPr>
      <xdr:spPr>
        <a:xfrm>
          <a:off x="28827604" y="509357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62104</xdr:colOff>
      <xdr:row>30</xdr:row>
      <xdr:rowOff>66757</xdr:rowOff>
    </xdr:from>
    <xdr:to>
      <xdr:col>42</xdr:col>
      <xdr:colOff>439463</xdr:colOff>
      <xdr:row>32</xdr:row>
      <xdr:rowOff>7225</xdr:rowOff>
    </xdr:to>
    <xdr:sp macro="" textlink="">
      <xdr:nvSpPr>
        <xdr:cNvPr id="60" name="Rectangle: Rounded Corners 59">
          <a:extLst>
            <a:ext uri="{FF2B5EF4-FFF2-40B4-BE49-F238E27FC236}">
              <a16:creationId xmlns:a16="http://schemas.microsoft.com/office/drawing/2014/main" id="{9485AAF1-DD6C-457F-BF7B-26C6BEEEBD97}"/>
            </a:ext>
          </a:extLst>
        </xdr:cNvPr>
        <xdr:cNvSpPr/>
      </xdr:nvSpPr>
      <xdr:spPr>
        <a:xfrm>
          <a:off x="28837129" y="578175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349196</xdr:colOff>
      <xdr:row>27</xdr:row>
      <xdr:rowOff>110811</xdr:rowOff>
    </xdr:from>
    <xdr:to>
      <xdr:col>41</xdr:col>
      <xdr:colOff>52579</xdr:colOff>
      <xdr:row>29</xdr:row>
      <xdr:rowOff>119145</xdr:rowOff>
    </xdr:to>
    <xdr:cxnSp macro="">
      <xdr:nvCxnSpPr>
        <xdr:cNvPr id="61" name="Straight Arrow Connector 60">
          <a:extLst>
            <a:ext uri="{FF2B5EF4-FFF2-40B4-BE49-F238E27FC236}">
              <a16:creationId xmlns:a16="http://schemas.microsoft.com/office/drawing/2014/main" id="{9CA576D1-7922-44F4-807C-A91FBC9911D8}"/>
            </a:ext>
          </a:extLst>
        </xdr:cNvPr>
        <xdr:cNvCxnSpPr>
          <a:stCxn id="58" idx="3"/>
          <a:endCxn id="59" idx="1"/>
        </xdr:cNvCxnSpPr>
      </xdr:nvCxnSpPr>
      <xdr:spPr>
        <a:xfrm flipV="1">
          <a:off x="28514621" y="5254311"/>
          <a:ext cx="31298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349196</xdr:colOff>
      <xdr:row>29</xdr:row>
      <xdr:rowOff>119145</xdr:rowOff>
    </xdr:from>
    <xdr:to>
      <xdr:col>41</xdr:col>
      <xdr:colOff>62104</xdr:colOff>
      <xdr:row>31</xdr:row>
      <xdr:rowOff>36991</xdr:rowOff>
    </xdr:to>
    <xdr:cxnSp macro="">
      <xdr:nvCxnSpPr>
        <xdr:cNvPr id="62" name="Straight Arrow Connector 61">
          <a:extLst>
            <a:ext uri="{FF2B5EF4-FFF2-40B4-BE49-F238E27FC236}">
              <a16:creationId xmlns:a16="http://schemas.microsoft.com/office/drawing/2014/main" id="{4BEA7690-DC9B-40DD-B6EE-8C00ED4F6FA0}"/>
            </a:ext>
          </a:extLst>
        </xdr:cNvPr>
        <xdr:cNvCxnSpPr>
          <a:stCxn id="58" idx="3"/>
          <a:endCxn id="60" idx="1"/>
        </xdr:cNvCxnSpPr>
      </xdr:nvCxnSpPr>
      <xdr:spPr>
        <a:xfrm>
          <a:off x="28514621" y="5643645"/>
          <a:ext cx="322508" cy="2988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288382</xdr:colOff>
      <xdr:row>30</xdr:row>
      <xdr:rowOff>50798</xdr:rowOff>
    </xdr:from>
    <xdr:to>
      <xdr:col>44</xdr:col>
      <xdr:colOff>569312</xdr:colOff>
      <xdr:row>32</xdr:row>
      <xdr:rowOff>29366</xdr:rowOff>
    </xdr:to>
    <xdr:sp macro="" textlink="">
      <xdr:nvSpPr>
        <xdr:cNvPr id="63" name="Rectangle: Rounded Corners 62">
          <a:extLst>
            <a:ext uri="{FF2B5EF4-FFF2-40B4-BE49-F238E27FC236}">
              <a16:creationId xmlns:a16="http://schemas.microsoft.com/office/drawing/2014/main" id="{E3A072D3-1E59-486B-A644-387BEE4CEB6F}"/>
            </a:ext>
          </a:extLst>
        </xdr:cNvPr>
        <xdr:cNvSpPr/>
      </xdr:nvSpPr>
      <xdr:spPr>
        <a:xfrm>
          <a:off x="30282607" y="5765798"/>
          <a:ext cx="890530"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439463</xdr:colOff>
      <xdr:row>31</xdr:row>
      <xdr:rowOff>36991</xdr:rowOff>
    </xdr:from>
    <xdr:to>
      <xdr:col>43</xdr:col>
      <xdr:colOff>288382</xdr:colOff>
      <xdr:row>31</xdr:row>
      <xdr:rowOff>40082</xdr:rowOff>
    </xdr:to>
    <xdr:cxnSp macro="">
      <xdr:nvCxnSpPr>
        <xdr:cNvPr id="64" name="Straight Arrow Connector 63">
          <a:extLst>
            <a:ext uri="{FF2B5EF4-FFF2-40B4-BE49-F238E27FC236}">
              <a16:creationId xmlns:a16="http://schemas.microsoft.com/office/drawing/2014/main" id="{CE902DCA-CA9A-449A-B136-2FDD4CEDF515}"/>
            </a:ext>
          </a:extLst>
        </xdr:cNvPr>
        <xdr:cNvCxnSpPr>
          <a:stCxn id="60" idx="3"/>
          <a:endCxn id="63" idx="1"/>
        </xdr:cNvCxnSpPr>
      </xdr:nvCxnSpPr>
      <xdr:spPr>
        <a:xfrm>
          <a:off x="29824088" y="5942491"/>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546977</xdr:colOff>
      <xdr:row>25</xdr:row>
      <xdr:rowOff>31969</xdr:rowOff>
    </xdr:from>
    <xdr:to>
      <xdr:col>41</xdr:col>
      <xdr:colOff>547810</xdr:colOff>
      <xdr:row>26</xdr:row>
      <xdr:rowOff>140577</xdr:rowOff>
    </xdr:to>
    <xdr:cxnSp macro="">
      <xdr:nvCxnSpPr>
        <xdr:cNvPr id="65" name="Straight Arrow Connector 64">
          <a:extLst>
            <a:ext uri="{FF2B5EF4-FFF2-40B4-BE49-F238E27FC236}">
              <a16:creationId xmlns:a16="http://schemas.microsoft.com/office/drawing/2014/main" id="{768398EF-0409-46FD-8A28-FAEEED593240}"/>
            </a:ext>
          </a:extLst>
        </xdr:cNvPr>
        <xdr:cNvCxnSpPr>
          <a:stCxn id="59" idx="0"/>
          <a:endCxn id="66" idx="2"/>
        </xdr:cNvCxnSpPr>
      </xdr:nvCxnSpPr>
      <xdr:spPr>
        <a:xfrm flipH="1" flipV="1">
          <a:off x="29322002" y="4794469"/>
          <a:ext cx="833" cy="29910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327574</xdr:colOff>
      <xdr:row>19</xdr:row>
      <xdr:rowOff>152399</xdr:rowOff>
    </xdr:from>
    <xdr:to>
      <xdr:col>44</xdr:col>
      <xdr:colOff>153276</xdr:colOff>
      <xdr:row>25</xdr:row>
      <xdr:rowOff>31969</xdr:rowOff>
    </xdr:to>
    <xdr:sp macro="" textlink="">
      <xdr:nvSpPr>
        <xdr:cNvPr id="66" name="Rectangle: Rounded Corners 65">
          <a:extLst>
            <a:ext uri="{FF2B5EF4-FFF2-40B4-BE49-F238E27FC236}">
              <a16:creationId xmlns:a16="http://schemas.microsoft.com/office/drawing/2014/main" id="{EE96A2E2-61FC-4854-914E-442B1FE2D16D}"/>
            </a:ext>
          </a:extLst>
        </xdr:cNvPr>
        <xdr:cNvSpPr/>
      </xdr:nvSpPr>
      <xdr:spPr>
        <a:xfrm>
          <a:off x="27883399" y="3771899"/>
          <a:ext cx="2873702" cy="10225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429938</xdr:colOff>
      <xdr:row>27</xdr:row>
      <xdr:rowOff>108607</xdr:rowOff>
    </xdr:from>
    <xdr:to>
      <xdr:col>46</xdr:col>
      <xdr:colOff>97659</xdr:colOff>
      <xdr:row>27</xdr:row>
      <xdr:rowOff>110811</xdr:rowOff>
    </xdr:to>
    <xdr:cxnSp macro="">
      <xdr:nvCxnSpPr>
        <xdr:cNvPr id="67" name="Straight Arrow Connector 66">
          <a:extLst>
            <a:ext uri="{FF2B5EF4-FFF2-40B4-BE49-F238E27FC236}">
              <a16:creationId xmlns:a16="http://schemas.microsoft.com/office/drawing/2014/main" id="{17C1932E-5454-4AF2-AD78-3C5CEF56D12B}"/>
            </a:ext>
          </a:extLst>
        </xdr:cNvPr>
        <xdr:cNvCxnSpPr>
          <a:stCxn id="59" idx="3"/>
          <a:endCxn id="68" idx="1"/>
        </xdr:cNvCxnSpPr>
      </xdr:nvCxnSpPr>
      <xdr:spPr>
        <a:xfrm flipV="1">
          <a:off x="29814563" y="5252107"/>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97659</xdr:colOff>
      <xdr:row>26</xdr:row>
      <xdr:rowOff>10073</xdr:rowOff>
    </xdr:from>
    <xdr:to>
      <xdr:col>50</xdr:col>
      <xdr:colOff>174297</xdr:colOff>
      <xdr:row>29</xdr:row>
      <xdr:rowOff>21020</xdr:rowOff>
    </xdr:to>
    <xdr:sp macro="" textlink="">
      <xdr:nvSpPr>
        <xdr:cNvPr id="68" name="Rectangle: Rounded Corners 67">
          <a:extLst>
            <a:ext uri="{FF2B5EF4-FFF2-40B4-BE49-F238E27FC236}">
              <a16:creationId xmlns:a16="http://schemas.microsoft.com/office/drawing/2014/main" id="{A32DA86D-90BC-44A5-B606-DDE2264993E0}"/>
            </a:ext>
          </a:extLst>
        </xdr:cNvPr>
        <xdr:cNvSpPr/>
      </xdr:nvSpPr>
      <xdr:spPr>
        <a:xfrm>
          <a:off x="31920684" y="4963073"/>
          <a:ext cx="2515038"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134690</xdr:colOff>
      <xdr:row>23</xdr:row>
      <xdr:rowOff>53865</xdr:rowOff>
    </xdr:from>
    <xdr:to>
      <xdr:col>53</xdr:col>
      <xdr:colOff>174296</xdr:colOff>
      <xdr:row>25</xdr:row>
      <xdr:rowOff>163346</xdr:rowOff>
    </xdr:to>
    <xdr:sp macro="" textlink="">
      <xdr:nvSpPr>
        <xdr:cNvPr id="69" name="Rectangle: Rounded Corners 68">
          <a:extLst>
            <a:ext uri="{FF2B5EF4-FFF2-40B4-BE49-F238E27FC236}">
              <a16:creationId xmlns:a16="http://schemas.microsoft.com/office/drawing/2014/main" id="{0B2E806F-19BD-4CEB-8E4F-44C7D14FBAE6}"/>
            </a:ext>
          </a:extLst>
        </xdr:cNvPr>
        <xdr:cNvSpPr/>
      </xdr:nvSpPr>
      <xdr:spPr>
        <a:xfrm>
          <a:off x="35005715" y="4435365"/>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144762</xdr:colOff>
      <xdr:row>27</xdr:row>
      <xdr:rowOff>162471</xdr:rowOff>
    </xdr:from>
    <xdr:to>
      <xdr:col>53</xdr:col>
      <xdr:colOff>184368</xdr:colOff>
      <xdr:row>30</xdr:row>
      <xdr:rowOff>85832</xdr:rowOff>
    </xdr:to>
    <xdr:sp macro="" textlink="">
      <xdr:nvSpPr>
        <xdr:cNvPr id="70" name="Rectangle: Rounded Corners 69">
          <a:extLst>
            <a:ext uri="{FF2B5EF4-FFF2-40B4-BE49-F238E27FC236}">
              <a16:creationId xmlns:a16="http://schemas.microsoft.com/office/drawing/2014/main" id="{AA322C4F-E783-4290-BE86-C66DFD3CDF68}"/>
            </a:ext>
          </a:extLst>
        </xdr:cNvPr>
        <xdr:cNvSpPr/>
      </xdr:nvSpPr>
      <xdr:spPr>
        <a:xfrm>
          <a:off x="35015787" y="5305971"/>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174297</xdr:colOff>
      <xdr:row>24</xdr:row>
      <xdr:rowOff>108606</xdr:rowOff>
    </xdr:from>
    <xdr:to>
      <xdr:col>51</xdr:col>
      <xdr:colOff>134690</xdr:colOff>
      <xdr:row>27</xdr:row>
      <xdr:rowOff>108607</xdr:rowOff>
    </xdr:to>
    <xdr:cxnSp macro="">
      <xdr:nvCxnSpPr>
        <xdr:cNvPr id="71" name="Straight Arrow Connector 70">
          <a:extLst>
            <a:ext uri="{FF2B5EF4-FFF2-40B4-BE49-F238E27FC236}">
              <a16:creationId xmlns:a16="http://schemas.microsoft.com/office/drawing/2014/main" id="{7EE44C12-3FF7-40A6-87A9-00B4D4377359}"/>
            </a:ext>
          </a:extLst>
        </xdr:cNvPr>
        <xdr:cNvCxnSpPr>
          <a:stCxn id="68" idx="3"/>
          <a:endCxn id="69" idx="1"/>
        </xdr:cNvCxnSpPr>
      </xdr:nvCxnSpPr>
      <xdr:spPr>
        <a:xfrm flipV="1">
          <a:off x="34435722" y="4680606"/>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174297</xdr:colOff>
      <xdr:row>27</xdr:row>
      <xdr:rowOff>108607</xdr:rowOff>
    </xdr:from>
    <xdr:to>
      <xdr:col>51</xdr:col>
      <xdr:colOff>144762</xdr:colOff>
      <xdr:row>29</xdr:row>
      <xdr:rowOff>31091</xdr:rowOff>
    </xdr:to>
    <xdr:cxnSp macro="">
      <xdr:nvCxnSpPr>
        <xdr:cNvPr id="72" name="Straight Arrow Connector 71">
          <a:extLst>
            <a:ext uri="{FF2B5EF4-FFF2-40B4-BE49-F238E27FC236}">
              <a16:creationId xmlns:a16="http://schemas.microsoft.com/office/drawing/2014/main" id="{82C47FFD-F879-433E-AD6B-9FD3479867E3}"/>
            </a:ext>
          </a:extLst>
        </xdr:cNvPr>
        <xdr:cNvCxnSpPr>
          <a:stCxn id="68" idx="3"/>
          <a:endCxn id="70" idx="1"/>
        </xdr:cNvCxnSpPr>
      </xdr:nvCxnSpPr>
      <xdr:spPr>
        <a:xfrm>
          <a:off x="34435722" y="5252107"/>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111041</xdr:colOff>
      <xdr:row>23</xdr:row>
      <xdr:rowOff>52112</xdr:rowOff>
    </xdr:from>
    <xdr:to>
      <xdr:col>56</xdr:col>
      <xdr:colOff>150647</xdr:colOff>
      <xdr:row>25</xdr:row>
      <xdr:rowOff>161593</xdr:rowOff>
    </xdr:to>
    <xdr:sp macro="" textlink="">
      <xdr:nvSpPr>
        <xdr:cNvPr id="73" name="Rectangle: Rounded Corners 72">
          <a:extLst>
            <a:ext uri="{FF2B5EF4-FFF2-40B4-BE49-F238E27FC236}">
              <a16:creationId xmlns:a16="http://schemas.microsoft.com/office/drawing/2014/main" id="{66CA4BD3-95C7-4DC3-BF5F-0AE08BB08A16}"/>
            </a:ext>
          </a:extLst>
        </xdr:cNvPr>
        <xdr:cNvSpPr/>
      </xdr:nvSpPr>
      <xdr:spPr>
        <a:xfrm>
          <a:off x="36810866" y="4433612"/>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99216</xdr:colOff>
      <xdr:row>27</xdr:row>
      <xdr:rowOff>160719</xdr:rowOff>
    </xdr:from>
    <xdr:to>
      <xdr:col>56</xdr:col>
      <xdr:colOff>138822</xdr:colOff>
      <xdr:row>30</xdr:row>
      <xdr:rowOff>84080</xdr:rowOff>
    </xdr:to>
    <xdr:sp macro="" textlink="">
      <xdr:nvSpPr>
        <xdr:cNvPr id="74" name="Rectangle: Rounded Corners 73">
          <a:extLst>
            <a:ext uri="{FF2B5EF4-FFF2-40B4-BE49-F238E27FC236}">
              <a16:creationId xmlns:a16="http://schemas.microsoft.com/office/drawing/2014/main" id="{9FE8AA3F-674D-4FBE-B997-DB9CCEBC965E}"/>
            </a:ext>
          </a:extLst>
        </xdr:cNvPr>
        <xdr:cNvSpPr/>
      </xdr:nvSpPr>
      <xdr:spPr>
        <a:xfrm>
          <a:off x="36799041" y="5304219"/>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174296</xdr:colOff>
      <xdr:row>24</xdr:row>
      <xdr:rowOff>106853</xdr:rowOff>
    </xdr:from>
    <xdr:to>
      <xdr:col>54</xdr:col>
      <xdr:colOff>111041</xdr:colOff>
      <xdr:row>24</xdr:row>
      <xdr:rowOff>108606</xdr:rowOff>
    </xdr:to>
    <xdr:cxnSp macro="">
      <xdr:nvCxnSpPr>
        <xdr:cNvPr id="75" name="Straight Arrow Connector 74">
          <a:extLst>
            <a:ext uri="{FF2B5EF4-FFF2-40B4-BE49-F238E27FC236}">
              <a16:creationId xmlns:a16="http://schemas.microsoft.com/office/drawing/2014/main" id="{263B87A9-F68C-4EB4-A683-BB29F558AC46}"/>
            </a:ext>
          </a:extLst>
        </xdr:cNvPr>
        <xdr:cNvCxnSpPr>
          <a:stCxn id="69" idx="3"/>
          <a:endCxn id="73" idx="1"/>
        </xdr:cNvCxnSpPr>
      </xdr:nvCxnSpPr>
      <xdr:spPr>
        <a:xfrm flipV="1">
          <a:off x="36264521" y="4678853"/>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184368</xdr:colOff>
      <xdr:row>29</xdr:row>
      <xdr:rowOff>29339</xdr:rowOff>
    </xdr:from>
    <xdr:to>
      <xdr:col>54</xdr:col>
      <xdr:colOff>99216</xdr:colOff>
      <xdr:row>29</xdr:row>
      <xdr:rowOff>31091</xdr:rowOff>
    </xdr:to>
    <xdr:cxnSp macro="">
      <xdr:nvCxnSpPr>
        <xdr:cNvPr id="76" name="Straight Arrow Connector 75">
          <a:extLst>
            <a:ext uri="{FF2B5EF4-FFF2-40B4-BE49-F238E27FC236}">
              <a16:creationId xmlns:a16="http://schemas.microsoft.com/office/drawing/2014/main" id="{ED99283B-5FE6-4F36-BFD6-9BD2703E359A}"/>
            </a:ext>
          </a:extLst>
        </xdr:cNvPr>
        <xdr:cNvCxnSpPr>
          <a:stCxn id="70" idx="3"/>
          <a:endCxn id="74" idx="1"/>
        </xdr:cNvCxnSpPr>
      </xdr:nvCxnSpPr>
      <xdr:spPr>
        <a:xfrm flipV="1">
          <a:off x="36274593" y="5553839"/>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689084</xdr:colOff>
      <xdr:row>28</xdr:row>
      <xdr:rowOff>20143</xdr:rowOff>
    </xdr:from>
    <xdr:to>
      <xdr:col>17</xdr:col>
      <xdr:colOff>2593866</xdr:colOff>
      <xdr:row>31</xdr:row>
      <xdr:rowOff>31091</xdr:rowOff>
    </xdr:to>
    <xdr:sp macro="" textlink="">
      <xdr:nvSpPr>
        <xdr:cNvPr id="77" name="Rectangle: Rounded Corners 76">
          <a:extLst>
            <a:ext uri="{FF2B5EF4-FFF2-40B4-BE49-F238E27FC236}">
              <a16:creationId xmlns:a16="http://schemas.microsoft.com/office/drawing/2014/main" id="{A6B31C96-E2EF-45C0-A01E-42D0F80433DA}"/>
            </a:ext>
          </a:extLst>
        </xdr:cNvPr>
        <xdr:cNvSpPr/>
      </xdr:nvSpPr>
      <xdr:spPr>
        <a:xfrm>
          <a:off x="12633434" y="5354143"/>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2593866</xdr:colOff>
      <xdr:row>23</xdr:row>
      <xdr:rowOff>8427</xdr:rowOff>
    </xdr:from>
    <xdr:to>
      <xdr:col>18</xdr:col>
      <xdr:colOff>327571</xdr:colOff>
      <xdr:row>29</xdr:row>
      <xdr:rowOff>118677</xdr:rowOff>
    </xdr:to>
    <xdr:cxnSp macro="">
      <xdr:nvCxnSpPr>
        <xdr:cNvPr id="78" name="Straight Arrow Connector 77">
          <a:extLst>
            <a:ext uri="{FF2B5EF4-FFF2-40B4-BE49-F238E27FC236}">
              <a16:creationId xmlns:a16="http://schemas.microsoft.com/office/drawing/2014/main" id="{0ADD8523-3588-4C9F-A386-D7B9934E6701}"/>
            </a:ext>
          </a:extLst>
        </xdr:cNvPr>
        <xdr:cNvCxnSpPr>
          <a:stCxn id="77" idx="3"/>
          <a:endCxn id="79" idx="1"/>
        </xdr:cNvCxnSpPr>
      </xdr:nvCxnSpPr>
      <xdr:spPr>
        <a:xfrm flipV="1">
          <a:off x="14538216" y="4389927"/>
          <a:ext cx="438805" cy="125325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327571</xdr:colOff>
      <xdr:row>22</xdr:row>
      <xdr:rowOff>56051</xdr:rowOff>
    </xdr:from>
    <xdr:to>
      <xdr:col>20</xdr:col>
      <xdr:colOff>207141</xdr:colOff>
      <xdr:row>23</xdr:row>
      <xdr:rowOff>146923</xdr:rowOff>
    </xdr:to>
    <xdr:sp macro="" textlink="">
      <xdr:nvSpPr>
        <xdr:cNvPr id="79" name="Rectangle: Rounded Corners 78">
          <a:extLst>
            <a:ext uri="{FF2B5EF4-FFF2-40B4-BE49-F238E27FC236}">
              <a16:creationId xmlns:a16="http://schemas.microsoft.com/office/drawing/2014/main" id="{CB318B41-97AC-4FE5-AB0E-09F64F5BC31E}"/>
            </a:ext>
          </a:extLst>
        </xdr:cNvPr>
        <xdr:cNvSpPr/>
      </xdr:nvSpPr>
      <xdr:spPr>
        <a:xfrm>
          <a:off x="14977021" y="4247051"/>
          <a:ext cx="1203545" cy="28137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540189</xdr:colOff>
      <xdr:row>22</xdr:row>
      <xdr:rowOff>17952</xdr:rowOff>
    </xdr:from>
    <xdr:to>
      <xdr:col>23</xdr:col>
      <xdr:colOff>76637</xdr:colOff>
      <xdr:row>23</xdr:row>
      <xdr:rowOff>182642</xdr:rowOff>
    </xdr:to>
    <xdr:sp macro="" textlink="">
      <xdr:nvSpPr>
        <xdr:cNvPr id="80" name="Rectangle: Rounded Corners 79">
          <a:extLst>
            <a:ext uri="{FF2B5EF4-FFF2-40B4-BE49-F238E27FC236}">
              <a16:creationId xmlns:a16="http://schemas.microsoft.com/office/drawing/2014/main" id="{B398C8D1-2717-46EB-8907-BD2C8449D0D7}"/>
            </a:ext>
          </a:extLst>
        </xdr:cNvPr>
        <xdr:cNvSpPr/>
      </xdr:nvSpPr>
      <xdr:spPr>
        <a:xfrm>
          <a:off x="16513614" y="4208952"/>
          <a:ext cx="1365248" cy="355190"/>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326914</xdr:colOff>
      <xdr:row>27</xdr:row>
      <xdr:rowOff>152401</xdr:rowOff>
    </xdr:from>
    <xdr:to>
      <xdr:col>22</xdr:col>
      <xdr:colOff>218089</xdr:colOff>
      <xdr:row>31</xdr:row>
      <xdr:rowOff>86711</xdr:rowOff>
    </xdr:to>
    <xdr:sp macro="" textlink="">
      <xdr:nvSpPr>
        <xdr:cNvPr id="81" name="Rectangle: Rounded Corners 80">
          <a:extLst>
            <a:ext uri="{FF2B5EF4-FFF2-40B4-BE49-F238E27FC236}">
              <a16:creationId xmlns:a16="http://schemas.microsoft.com/office/drawing/2014/main" id="{DAE34307-AD63-4D23-9B9D-B6252CCC76BC}"/>
            </a:ext>
          </a:extLst>
        </xdr:cNvPr>
        <xdr:cNvSpPr/>
      </xdr:nvSpPr>
      <xdr:spPr>
        <a:xfrm>
          <a:off x="14976364" y="5295901"/>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2593866</xdr:colOff>
      <xdr:row>29</xdr:row>
      <xdr:rowOff>118677</xdr:rowOff>
    </xdr:from>
    <xdr:to>
      <xdr:col>18</xdr:col>
      <xdr:colOff>326914</xdr:colOff>
      <xdr:row>29</xdr:row>
      <xdr:rowOff>119556</xdr:rowOff>
    </xdr:to>
    <xdr:cxnSp macro="">
      <xdr:nvCxnSpPr>
        <xdr:cNvPr id="82" name="Straight Arrow Connector 81">
          <a:extLst>
            <a:ext uri="{FF2B5EF4-FFF2-40B4-BE49-F238E27FC236}">
              <a16:creationId xmlns:a16="http://schemas.microsoft.com/office/drawing/2014/main" id="{332D9ED7-46DB-47EB-9B08-F508CBA64D06}"/>
            </a:ext>
          </a:extLst>
        </xdr:cNvPr>
        <xdr:cNvCxnSpPr>
          <a:stCxn id="77" idx="3"/>
          <a:endCxn id="81" idx="1"/>
        </xdr:cNvCxnSpPr>
      </xdr:nvCxnSpPr>
      <xdr:spPr>
        <a:xfrm>
          <a:off x="14538216" y="5643177"/>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56739</xdr:colOff>
      <xdr:row>47</xdr:row>
      <xdr:rowOff>139130</xdr:rowOff>
    </xdr:from>
    <xdr:to>
      <xdr:col>15</xdr:col>
      <xdr:colOff>80552</xdr:colOff>
      <xdr:row>51</xdr:row>
      <xdr:rowOff>12540</xdr:rowOff>
    </xdr:to>
    <xdr:sp macro="" textlink="">
      <xdr:nvSpPr>
        <xdr:cNvPr id="83" name="Rectangle: Rounded Corners 82">
          <a:extLst>
            <a:ext uri="{FF2B5EF4-FFF2-40B4-BE49-F238E27FC236}">
              <a16:creationId xmlns:a16="http://schemas.microsoft.com/office/drawing/2014/main" id="{6BBEA66F-8352-426C-B2A2-8D2EE44F500B}"/>
            </a:ext>
          </a:extLst>
        </xdr:cNvPr>
        <xdr:cNvSpPr/>
      </xdr:nvSpPr>
      <xdr:spPr>
        <a:xfrm>
          <a:off x="5771739" y="9092630"/>
          <a:ext cx="3681413" cy="6354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25729</xdr:colOff>
      <xdr:row>49</xdr:row>
      <xdr:rowOff>61691</xdr:rowOff>
    </xdr:from>
    <xdr:to>
      <xdr:col>9</xdr:col>
      <xdr:colOff>56739</xdr:colOff>
      <xdr:row>49</xdr:row>
      <xdr:rowOff>75835</xdr:rowOff>
    </xdr:to>
    <xdr:cxnSp macro="">
      <xdr:nvCxnSpPr>
        <xdr:cNvPr id="84" name="Straight Arrow Connector 83">
          <a:extLst>
            <a:ext uri="{FF2B5EF4-FFF2-40B4-BE49-F238E27FC236}">
              <a16:creationId xmlns:a16="http://schemas.microsoft.com/office/drawing/2014/main" id="{46FF9288-4234-487D-AB73-C501D5689EFD}"/>
            </a:ext>
          </a:extLst>
        </xdr:cNvPr>
        <xdr:cNvCxnSpPr>
          <a:stCxn id="6" idx="3"/>
          <a:endCxn id="83" idx="1"/>
        </xdr:cNvCxnSpPr>
      </xdr:nvCxnSpPr>
      <xdr:spPr>
        <a:xfrm>
          <a:off x="5131129" y="9396191"/>
          <a:ext cx="640610" cy="141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213025</xdr:colOff>
      <xdr:row>46</xdr:row>
      <xdr:rowOff>153907</xdr:rowOff>
    </xdr:from>
    <xdr:to>
      <xdr:col>17</xdr:col>
      <xdr:colOff>474963</xdr:colOff>
      <xdr:row>48</xdr:row>
      <xdr:rowOff>94376</xdr:rowOff>
    </xdr:to>
    <xdr:sp macro="" textlink="">
      <xdr:nvSpPr>
        <xdr:cNvPr id="85" name="Rectangle: Rounded Corners 84">
          <a:extLst>
            <a:ext uri="{FF2B5EF4-FFF2-40B4-BE49-F238E27FC236}">
              <a16:creationId xmlns:a16="http://schemas.microsoft.com/office/drawing/2014/main" id="{FF6C659D-6F76-40C3-A12D-029F78421AF9}"/>
            </a:ext>
          </a:extLst>
        </xdr:cNvPr>
        <xdr:cNvSpPr/>
      </xdr:nvSpPr>
      <xdr:spPr>
        <a:xfrm>
          <a:off x="10195225" y="8916907"/>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201119</xdr:colOff>
      <xdr:row>51</xdr:row>
      <xdr:rowOff>3501</xdr:rowOff>
    </xdr:from>
    <xdr:to>
      <xdr:col>17</xdr:col>
      <xdr:colOff>463057</xdr:colOff>
      <xdr:row>52</xdr:row>
      <xdr:rowOff>94372</xdr:rowOff>
    </xdr:to>
    <xdr:sp macro="" textlink="">
      <xdr:nvSpPr>
        <xdr:cNvPr id="86" name="Rectangle: Rounded Corners 85">
          <a:extLst>
            <a:ext uri="{FF2B5EF4-FFF2-40B4-BE49-F238E27FC236}">
              <a16:creationId xmlns:a16="http://schemas.microsoft.com/office/drawing/2014/main" id="{A33C47CF-B594-4556-9553-29E351E33367}"/>
            </a:ext>
          </a:extLst>
        </xdr:cNvPr>
        <xdr:cNvSpPr/>
      </xdr:nvSpPr>
      <xdr:spPr>
        <a:xfrm>
          <a:off x="10183319" y="9719001"/>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80552</xdr:colOff>
      <xdr:row>47</xdr:row>
      <xdr:rowOff>124142</xdr:rowOff>
    </xdr:from>
    <xdr:to>
      <xdr:col>16</xdr:col>
      <xdr:colOff>213025</xdr:colOff>
      <xdr:row>49</xdr:row>
      <xdr:rowOff>75835</xdr:rowOff>
    </xdr:to>
    <xdr:cxnSp macro="">
      <xdr:nvCxnSpPr>
        <xdr:cNvPr id="87" name="Straight Arrow Connector 86">
          <a:extLst>
            <a:ext uri="{FF2B5EF4-FFF2-40B4-BE49-F238E27FC236}">
              <a16:creationId xmlns:a16="http://schemas.microsoft.com/office/drawing/2014/main" id="{CBA9B0C1-8719-484C-8348-DAB529ED59D0}"/>
            </a:ext>
          </a:extLst>
        </xdr:cNvPr>
        <xdr:cNvCxnSpPr>
          <a:stCxn id="83" idx="3"/>
          <a:endCxn id="85" idx="1"/>
        </xdr:cNvCxnSpPr>
      </xdr:nvCxnSpPr>
      <xdr:spPr>
        <a:xfrm flipV="1">
          <a:off x="9453152" y="9077642"/>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80552</xdr:colOff>
      <xdr:row>49</xdr:row>
      <xdr:rowOff>75835</xdr:rowOff>
    </xdr:from>
    <xdr:to>
      <xdr:col>16</xdr:col>
      <xdr:colOff>201119</xdr:colOff>
      <xdr:row>51</xdr:row>
      <xdr:rowOff>141997</xdr:rowOff>
    </xdr:to>
    <xdr:cxnSp macro="">
      <xdr:nvCxnSpPr>
        <xdr:cNvPr id="88" name="Straight Arrow Connector 87">
          <a:extLst>
            <a:ext uri="{FF2B5EF4-FFF2-40B4-BE49-F238E27FC236}">
              <a16:creationId xmlns:a16="http://schemas.microsoft.com/office/drawing/2014/main" id="{49DBFE98-E71F-4507-AFC8-9724007D57EC}"/>
            </a:ext>
          </a:extLst>
        </xdr:cNvPr>
        <xdr:cNvCxnSpPr>
          <a:stCxn id="83" idx="3"/>
          <a:endCxn id="86" idx="1"/>
        </xdr:cNvCxnSpPr>
      </xdr:nvCxnSpPr>
      <xdr:spPr>
        <a:xfrm>
          <a:off x="9453152" y="9410335"/>
          <a:ext cx="730167" cy="44716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782145</xdr:colOff>
      <xdr:row>50</xdr:row>
      <xdr:rowOff>151523</xdr:rowOff>
    </xdr:from>
    <xdr:to>
      <xdr:col>18</xdr:col>
      <xdr:colOff>116271</xdr:colOff>
      <xdr:row>52</xdr:row>
      <xdr:rowOff>130091</xdr:rowOff>
    </xdr:to>
    <xdr:sp macro="" textlink="">
      <xdr:nvSpPr>
        <xdr:cNvPr id="89" name="Rectangle: Rounded Corners 88">
          <a:extLst>
            <a:ext uri="{FF2B5EF4-FFF2-40B4-BE49-F238E27FC236}">
              <a16:creationId xmlns:a16="http://schemas.microsoft.com/office/drawing/2014/main" id="{9D5023D3-BB02-49E8-9F21-2E39390DAB34}"/>
            </a:ext>
          </a:extLst>
        </xdr:cNvPr>
        <xdr:cNvSpPr/>
      </xdr:nvSpPr>
      <xdr:spPr>
        <a:xfrm>
          <a:off x="12726495" y="9676523"/>
          <a:ext cx="2039226"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463057</xdr:colOff>
      <xdr:row>51</xdr:row>
      <xdr:rowOff>140807</xdr:rowOff>
    </xdr:from>
    <xdr:to>
      <xdr:col>17</xdr:col>
      <xdr:colOff>782145</xdr:colOff>
      <xdr:row>51</xdr:row>
      <xdr:rowOff>141997</xdr:rowOff>
    </xdr:to>
    <xdr:cxnSp macro="">
      <xdr:nvCxnSpPr>
        <xdr:cNvPr id="90" name="Straight Arrow Connector 89">
          <a:extLst>
            <a:ext uri="{FF2B5EF4-FFF2-40B4-BE49-F238E27FC236}">
              <a16:creationId xmlns:a16="http://schemas.microsoft.com/office/drawing/2014/main" id="{036EABA8-F059-4BBA-AD57-B5170D8680D3}"/>
            </a:ext>
          </a:extLst>
        </xdr:cNvPr>
        <xdr:cNvCxnSpPr>
          <a:stCxn id="86" idx="3"/>
          <a:endCxn id="89" idx="1"/>
        </xdr:cNvCxnSpPr>
      </xdr:nvCxnSpPr>
      <xdr:spPr>
        <a:xfrm flipV="1">
          <a:off x="12407407" y="9856307"/>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474963</xdr:colOff>
      <xdr:row>47</xdr:row>
      <xdr:rowOff>124142</xdr:rowOff>
    </xdr:from>
    <xdr:to>
      <xdr:col>17</xdr:col>
      <xdr:colOff>734519</xdr:colOff>
      <xdr:row>47</xdr:row>
      <xdr:rowOff>130093</xdr:rowOff>
    </xdr:to>
    <xdr:cxnSp macro="">
      <xdr:nvCxnSpPr>
        <xdr:cNvPr id="91" name="Straight Arrow Connector 90">
          <a:extLst>
            <a:ext uri="{FF2B5EF4-FFF2-40B4-BE49-F238E27FC236}">
              <a16:creationId xmlns:a16="http://schemas.microsoft.com/office/drawing/2014/main" id="{81B29E7E-D69B-4D46-A019-9631DD48F433}"/>
            </a:ext>
          </a:extLst>
        </xdr:cNvPr>
        <xdr:cNvCxnSpPr>
          <a:cxnSpLocks/>
          <a:stCxn id="85" idx="3"/>
        </xdr:cNvCxnSpPr>
      </xdr:nvCxnSpPr>
      <xdr:spPr>
        <a:xfrm>
          <a:off x="12419313" y="9077642"/>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20911</xdr:colOff>
      <xdr:row>45</xdr:row>
      <xdr:rowOff>75434</xdr:rowOff>
    </xdr:from>
    <xdr:to>
      <xdr:col>40</xdr:col>
      <xdr:colOff>195045</xdr:colOff>
      <xdr:row>49</xdr:row>
      <xdr:rowOff>51620</xdr:rowOff>
    </xdr:to>
    <xdr:sp macro="" textlink="">
      <xdr:nvSpPr>
        <xdr:cNvPr id="92" name="Rectangle: Rounded Corners 91">
          <a:extLst>
            <a:ext uri="{FF2B5EF4-FFF2-40B4-BE49-F238E27FC236}">
              <a16:creationId xmlns:a16="http://schemas.microsoft.com/office/drawing/2014/main" id="{E4536889-697D-497F-A99A-0C9D4D0FEC6C}"/>
            </a:ext>
          </a:extLst>
        </xdr:cNvPr>
        <xdr:cNvSpPr/>
      </xdr:nvSpPr>
      <xdr:spPr>
        <a:xfrm>
          <a:off x="23919136" y="8647934"/>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73599</xdr:colOff>
      <xdr:row>44</xdr:row>
      <xdr:rowOff>84960</xdr:rowOff>
    </xdr:from>
    <xdr:to>
      <xdr:col>42</xdr:col>
      <xdr:colOff>450958</xdr:colOff>
      <xdr:row>46</xdr:row>
      <xdr:rowOff>25429</xdr:rowOff>
    </xdr:to>
    <xdr:sp macro="" textlink="">
      <xdr:nvSpPr>
        <xdr:cNvPr id="93" name="Rectangle: Rounded Corners 92">
          <a:extLst>
            <a:ext uri="{FF2B5EF4-FFF2-40B4-BE49-F238E27FC236}">
              <a16:creationId xmlns:a16="http://schemas.microsoft.com/office/drawing/2014/main" id="{7FAF58B9-669B-40E7-A228-5769BC85D105}"/>
            </a:ext>
          </a:extLst>
        </xdr:cNvPr>
        <xdr:cNvSpPr/>
      </xdr:nvSpPr>
      <xdr:spPr>
        <a:xfrm>
          <a:off x="28848624" y="8466960"/>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83124</xdr:colOff>
      <xdr:row>48</xdr:row>
      <xdr:rowOff>11140</xdr:rowOff>
    </xdr:from>
    <xdr:to>
      <xdr:col>42</xdr:col>
      <xdr:colOff>460483</xdr:colOff>
      <xdr:row>49</xdr:row>
      <xdr:rowOff>137729</xdr:rowOff>
    </xdr:to>
    <xdr:sp macro="" textlink="">
      <xdr:nvSpPr>
        <xdr:cNvPr id="94" name="Rectangle: Rounded Corners 93">
          <a:extLst>
            <a:ext uri="{FF2B5EF4-FFF2-40B4-BE49-F238E27FC236}">
              <a16:creationId xmlns:a16="http://schemas.microsoft.com/office/drawing/2014/main" id="{5684EA44-6C16-447C-89FC-2D2F3B211D96}"/>
            </a:ext>
          </a:extLst>
        </xdr:cNvPr>
        <xdr:cNvSpPr/>
      </xdr:nvSpPr>
      <xdr:spPr>
        <a:xfrm>
          <a:off x="28858149" y="9155140"/>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195045</xdr:colOff>
      <xdr:row>45</xdr:row>
      <xdr:rowOff>55195</xdr:rowOff>
    </xdr:from>
    <xdr:to>
      <xdr:col>41</xdr:col>
      <xdr:colOff>73599</xdr:colOff>
      <xdr:row>47</xdr:row>
      <xdr:rowOff>63527</xdr:rowOff>
    </xdr:to>
    <xdr:cxnSp macro="">
      <xdr:nvCxnSpPr>
        <xdr:cNvPr id="95" name="Straight Arrow Connector 94">
          <a:extLst>
            <a:ext uri="{FF2B5EF4-FFF2-40B4-BE49-F238E27FC236}">
              <a16:creationId xmlns:a16="http://schemas.microsoft.com/office/drawing/2014/main" id="{3574D875-1EE8-45DF-9CF2-97DD2AA1CDB0}"/>
            </a:ext>
          </a:extLst>
        </xdr:cNvPr>
        <xdr:cNvCxnSpPr>
          <a:stCxn id="92" idx="3"/>
          <a:endCxn id="93" idx="1"/>
        </xdr:cNvCxnSpPr>
      </xdr:nvCxnSpPr>
      <xdr:spPr>
        <a:xfrm flipV="1">
          <a:off x="28360470" y="8627695"/>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195045</xdr:colOff>
      <xdr:row>47</xdr:row>
      <xdr:rowOff>63527</xdr:rowOff>
    </xdr:from>
    <xdr:to>
      <xdr:col>41</xdr:col>
      <xdr:colOff>83124</xdr:colOff>
      <xdr:row>48</xdr:row>
      <xdr:rowOff>167496</xdr:rowOff>
    </xdr:to>
    <xdr:cxnSp macro="">
      <xdr:nvCxnSpPr>
        <xdr:cNvPr id="96" name="Straight Arrow Connector 95">
          <a:extLst>
            <a:ext uri="{FF2B5EF4-FFF2-40B4-BE49-F238E27FC236}">
              <a16:creationId xmlns:a16="http://schemas.microsoft.com/office/drawing/2014/main" id="{4556127E-C514-4424-BBDE-762BDA319FE2}"/>
            </a:ext>
          </a:extLst>
        </xdr:cNvPr>
        <xdr:cNvCxnSpPr>
          <a:stCxn id="92" idx="3"/>
          <a:endCxn id="94" idx="1"/>
        </xdr:cNvCxnSpPr>
      </xdr:nvCxnSpPr>
      <xdr:spPr>
        <a:xfrm>
          <a:off x="28360470" y="9017027"/>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232763</xdr:colOff>
      <xdr:row>47</xdr:row>
      <xdr:rowOff>181302</xdr:rowOff>
    </xdr:from>
    <xdr:to>
      <xdr:col>44</xdr:col>
      <xdr:colOff>470776</xdr:colOff>
      <xdr:row>49</xdr:row>
      <xdr:rowOff>159870</xdr:rowOff>
    </xdr:to>
    <xdr:sp macro="" textlink="">
      <xdr:nvSpPr>
        <xdr:cNvPr id="97" name="Rectangle: Rounded Corners 96">
          <a:extLst>
            <a:ext uri="{FF2B5EF4-FFF2-40B4-BE49-F238E27FC236}">
              <a16:creationId xmlns:a16="http://schemas.microsoft.com/office/drawing/2014/main" id="{2E83716F-20D4-4C54-A1AA-1AD18A2FF69C}"/>
            </a:ext>
          </a:extLst>
        </xdr:cNvPr>
        <xdr:cNvSpPr/>
      </xdr:nvSpPr>
      <xdr:spPr>
        <a:xfrm>
          <a:off x="30226988" y="9134802"/>
          <a:ext cx="847613"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460483</xdr:colOff>
      <xdr:row>48</xdr:row>
      <xdr:rowOff>167495</xdr:rowOff>
    </xdr:from>
    <xdr:to>
      <xdr:col>43</xdr:col>
      <xdr:colOff>232763</xdr:colOff>
      <xdr:row>48</xdr:row>
      <xdr:rowOff>170587</xdr:rowOff>
    </xdr:to>
    <xdr:cxnSp macro="">
      <xdr:nvCxnSpPr>
        <xdr:cNvPr id="98" name="Straight Arrow Connector 97">
          <a:extLst>
            <a:ext uri="{FF2B5EF4-FFF2-40B4-BE49-F238E27FC236}">
              <a16:creationId xmlns:a16="http://schemas.microsoft.com/office/drawing/2014/main" id="{E0EE4F22-D5E2-41DB-B76D-E5F35A110198}"/>
            </a:ext>
          </a:extLst>
        </xdr:cNvPr>
        <xdr:cNvCxnSpPr>
          <a:stCxn id="94" idx="3"/>
          <a:endCxn id="97" idx="1"/>
        </xdr:cNvCxnSpPr>
      </xdr:nvCxnSpPr>
      <xdr:spPr>
        <a:xfrm>
          <a:off x="29845108" y="9311495"/>
          <a:ext cx="381880" cy="309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568435</xdr:colOff>
      <xdr:row>42</xdr:row>
      <xdr:rowOff>162474</xdr:rowOff>
    </xdr:from>
    <xdr:to>
      <xdr:col>41</xdr:col>
      <xdr:colOff>568830</xdr:colOff>
      <xdr:row>44</xdr:row>
      <xdr:rowOff>84960</xdr:rowOff>
    </xdr:to>
    <xdr:cxnSp macro="">
      <xdr:nvCxnSpPr>
        <xdr:cNvPr id="99" name="Straight Arrow Connector 98">
          <a:extLst>
            <a:ext uri="{FF2B5EF4-FFF2-40B4-BE49-F238E27FC236}">
              <a16:creationId xmlns:a16="http://schemas.microsoft.com/office/drawing/2014/main" id="{9F2FA7FA-468C-441A-BC33-556B1CBA6B88}"/>
            </a:ext>
          </a:extLst>
        </xdr:cNvPr>
        <xdr:cNvCxnSpPr>
          <a:stCxn id="93" idx="0"/>
          <a:endCxn id="100" idx="2"/>
        </xdr:cNvCxnSpPr>
      </xdr:nvCxnSpPr>
      <xdr:spPr>
        <a:xfrm flipH="1" flipV="1">
          <a:off x="29343460" y="8163474"/>
          <a:ext cx="395"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348594</xdr:colOff>
      <xdr:row>37</xdr:row>
      <xdr:rowOff>109484</xdr:rowOff>
    </xdr:from>
    <xdr:to>
      <xdr:col>44</xdr:col>
      <xdr:colOff>175172</xdr:colOff>
      <xdr:row>42</xdr:row>
      <xdr:rowOff>162474</xdr:rowOff>
    </xdr:to>
    <xdr:sp macro="" textlink="">
      <xdr:nvSpPr>
        <xdr:cNvPr id="100" name="Rectangle: Rounded Corners 99">
          <a:extLst>
            <a:ext uri="{FF2B5EF4-FFF2-40B4-BE49-F238E27FC236}">
              <a16:creationId xmlns:a16="http://schemas.microsoft.com/office/drawing/2014/main" id="{E97433E3-A6AC-4B2D-BD74-BA64760DA3F3}"/>
            </a:ext>
          </a:extLst>
        </xdr:cNvPr>
        <xdr:cNvSpPr/>
      </xdr:nvSpPr>
      <xdr:spPr>
        <a:xfrm>
          <a:off x="27904419" y="7157984"/>
          <a:ext cx="2874578" cy="10054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450958</xdr:colOff>
      <xdr:row>45</xdr:row>
      <xdr:rowOff>55195</xdr:rowOff>
    </xdr:from>
    <xdr:to>
      <xdr:col>45</xdr:col>
      <xdr:colOff>440535</xdr:colOff>
      <xdr:row>45</xdr:row>
      <xdr:rowOff>59532</xdr:rowOff>
    </xdr:to>
    <xdr:cxnSp macro="">
      <xdr:nvCxnSpPr>
        <xdr:cNvPr id="101" name="Straight Arrow Connector 100">
          <a:extLst>
            <a:ext uri="{FF2B5EF4-FFF2-40B4-BE49-F238E27FC236}">
              <a16:creationId xmlns:a16="http://schemas.microsoft.com/office/drawing/2014/main" id="{39618E4B-611D-44DB-BE9C-E2ECE40A19F9}"/>
            </a:ext>
          </a:extLst>
        </xdr:cNvPr>
        <xdr:cNvCxnSpPr>
          <a:stCxn id="93" idx="3"/>
          <a:endCxn id="378" idx="1"/>
        </xdr:cNvCxnSpPr>
      </xdr:nvCxnSpPr>
      <xdr:spPr>
        <a:xfrm>
          <a:off x="29835583" y="8627695"/>
          <a:ext cx="1818377" cy="433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118679</xdr:colOff>
      <xdr:row>43</xdr:row>
      <xdr:rowOff>140577</xdr:rowOff>
    </xdr:from>
    <xdr:to>
      <xdr:col>58</xdr:col>
      <xdr:colOff>195317</xdr:colOff>
      <xdr:row>46</xdr:row>
      <xdr:rowOff>151525</xdr:rowOff>
    </xdr:to>
    <xdr:sp macro="" textlink="">
      <xdr:nvSpPr>
        <xdr:cNvPr id="102" name="Rectangle: Rounded Corners 101">
          <a:extLst>
            <a:ext uri="{FF2B5EF4-FFF2-40B4-BE49-F238E27FC236}">
              <a16:creationId xmlns:a16="http://schemas.microsoft.com/office/drawing/2014/main" id="{3EBA0789-0152-48C7-B67D-22BDD21E3DE9}"/>
            </a:ext>
          </a:extLst>
        </xdr:cNvPr>
        <xdr:cNvSpPr/>
      </xdr:nvSpPr>
      <xdr:spPr>
        <a:xfrm>
          <a:off x="36818504" y="8332077"/>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59</xdr:col>
      <xdr:colOff>155710</xdr:colOff>
      <xdr:row>40</xdr:row>
      <xdr:rowOff>184369</xdr:rowOff>
    </xdr:from>
    <xdr:to>
      <xdr:col>61</xdr:col>
      <xdr:colOff>195316</xdr:colOff>
      <xdr:row>43</xdr:row>
      <xdr:rowOff>107730</xdr:rowOff>
    </xdr:to>
    <xdr:sp macro="" textlink="">
      <xdr:nvSpPr>
        <xdr:cNvPr id="103" name="Rectangle: Rounded Corners 102">
          <a:extLst>
            <a:ext uri="{FF2B5EF4-FFF2-40B4-BE49-F238E27FC236}">
              <a16:creationId xmlns:a16="http://schemas.microsoft.com/office/drawing/2014/main" id="{0BCD751B-5D97-485E-A293-7195AC202A92}"/>
            </a:ext>
          </a:extLst>
        </xdr:cNvPr>
        <xdr:cNvSpPr/>
      </xdr:nvSpPr>
      <xdr:spPr>
        <a:xfrm>
          <a:off x="39903535" y="7804369"/>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59</xdr:col>
      <xdr:colOff>165782</xdr:colOff>
      <xdr:row>45</xdr:row>
      <xdr:rowOff>106854</xdr:rowOff>
    </xdr:from>
    <xdr:to>
      <xdr:col>61</xdr:col>
      <xdr:colOff>205388</xdr:colOff>
      <xdr:row>48</xdr:row>
      <xdr:rowOff>30215</xdr:rowOff>
    </xdr:to>
    <xdr:sp macro="" textlink="">
      <xdr:nvSpPr>
        <xdr:cNvPr id="104" name="Rectangle: Rounded Corners 103">
          <a:extLst>
            <a:ext uri="{FF2B5EF4-FFF2-40B4-BE49-F238E27FC236}">
              <a16:creationId xmlns:a16="http://schemas.microsoft.com/office/drawing/2014/main" id="{37EDC2C6-5595-4E2D-992A-4AF2BA79746B}"/>
            </a:ext>
          </a:extLst>
        </xdr:cNvPr>
        <xdr:cNvSpPr/>
      </xdr:nvSpPr>
      <xdr:spPr>
        <a:xfrm>
          <a:off x="39913607" y="8679354"/>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58</xdr:col>
      <xdr:colOff>195317</xdr:colOff>
      <xdr:row>42</xdr:row>
      <xdr:rowOff>52989</xdr:rowOff>
    </xdr:from>
    <xdr:to>
      <xdr:col>59</xdr:col>
      <xdr:colOff>155710</xdr:colOff>
      <xdr:row>45</xdr:row>
      <xdr:rowOff>52990</xdr:rowOff>
    </xdr:to>
    <xdr:cxnSp macro="">
      <xdr:nvCxnSpPr>
        <xdr:cNvPr id="105" name="Straight Arrow Connector 104">
          <a:extLst>
            <a:ext uri="{FF2B5EF4-FFF2-40B4-BE49-F238E27FC236}">
              <a16:creationId xmlns:a16="http://schemas.microsoft.com/office/drawing/2014/main" id="{B0E49E85-EFAB-4BD5-9007-4D95B0B7A222}"/>
            </a:ext>
          </a:extLst>
        </xdr:cNvPr>
        <xdr:cNvCxnSpPr>
          <a:stCxn id="102" idx="3"/>
          <a:endCxn id="103" idx="1"/>
        </xdr:cNvCxnSpPr>
      </xdr:nvCxnSpPr>
      <xdr:spPr>
        <a:xfrm flipV="1">
          <a:off x="39333542" y="8053989"/>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58</xdr:col>
      <xdr:colOff>195317</xdr:colOff>
      <xdr:row>45</xdr:row>
      <xdr:rowOff>52990</xdr:rowOff>
    </xdr:from>
    <xdr:to>
      <xdr:col>59</xdr:col>
      <xdr:colOff>165782</xdr:colOff>
      <xdr:row>46</xdr:row>
      <xdr:rowOff>161596</xdr:rowOff>
    </xdr:to>
    <xdr:cxnSp macro="">
      <xdr:nvCxnSpPr>
        <xdr:cNvPr id="106" name="Straight Arrow Connector 105">
          <a:extLst>
            <a:ext uri="{FF2B5EF4-FFF2-40B4-BE49-F238E27FC236}">
              <a16:creationId xmlns:a16="http://schemas.microsoft.com/office/drawing/2014/main" id="{8F787A41-0914-48A7-83C1-988A37C71D27}"/>
            </a:ext>
          </a:extLst>
        </xdr:cNvPr>
        <xdr:cNvCxnSpPr>
          <a:stCxn id="102" idx="3"/>
          <a:endCxn id="104" idx="1"/>
        </xdr:cNvCxnSpPr>
      </xdr:nvCxnSpPr>
      <xdr:spPr>
        <a:xfrm>
          <a:off x="39333542" y="8625490"/>
          <a:ext cx="580065" cy="29910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62</xdr:col>
      <xdr:colOff>132061</xdr:colOff>
      <xdr:row>40</xdr:row>
      <xdr:rowOff>182616</xdr:rowOff>
    </xdr:from>
    <xdr:to>
      <xdr:col>64</xdr:col>
      <xdr:colOff>171667</xdr:colOff>
      <xdr:row>43</xdr:row>
      <xdr:rowOff>105977</xdr:rowOff>
    </xdr:to>
    <xdr:sp macro="" textlink="">
      <xdr:nvSpPr>
        <xdr:cNvPr id="107" name="Rectangle: Rounded Corners 106">
          <a:extLst>
            <a:ext uri="{FF2B5EF4-FFF2-40B4-BE49-F238E27FC236}">
              <a16:creationId xmlns:a16="http://schemas.microsoft.com/office/drawing/2014/main" id="{B898F266-A936-4FB3-8FC9-2EFFB76B1843}"/>
            </a:ext>
          </a:extLst>
        </xdr:cNvPr>
        <xdr:cNvSpPr/>
      </xdr:nvSpPr>
      <xdr:spPr>
        <a:xfrm>
          <a:off x="41708686" y="7802616"/>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62</xdr:col>
      <xdr:colOff>120236</xdr:colOff>
      <xdr:row>45</xdr:row>
      <xdr:rowOff>105102</xdr:rowOff>
    </xdr:from>
    <xdr:to>
      <xdr:col>64</xdr:col>
      <xdr:colOff>159842</xdr:colOff>
      <xdr:row>48</xdr:row>
      <xdr:rowOff>28463</xdr:rowOff>
    </xdr:to>
    <xdr:sp macro="" textlink="">
      <xdr:nvSpPr>
        <xdr:cNvPr id="108" name="Rectangle: Rounded Corners 107">
          <a:extLst>
            <a:ext uri="{FF2B5EF4-FFF2-40B4-BE49-F238E27FC236}">
              <a16:creationId xmlns:a16="http://schemas.microsoft.com/office/drawing/2014/main" id="{1AA76A18-BAF4-4909-8EEC-B85614237082}"/>
            </a:ext>
          </a:extLst>
        </xdr:cNvPr>
        <xdr:cNvSpPr/>
      </xdr:nvSpPr>
      <xdr:spPr>
        <a:xfrm>
          <a:off x="41696861" y="8677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61</xdr:col>
      <xdr:colOff>195316</xdr:colOff>
      <xdr:row>42</xdr:row>
      <xdr:rowOff>51236</xdr:rowOff>
    </xdr:from>
    <xdr:to>
      <xdr:col>62</xdr:col>
      <xdr:colOff>132061</xdr:colOff>
      <xdr:row>42</xdr:row>
      <xdr:rowOff>52989</xdr:rowOff>
    </xdr:to>
    <xdr:cxnSp macro="">
      <xdr:nvCxnSpPr>
        <xdr:cNvPr id="109" name="Straight Arrow Connector 108">
          <a:extLst>
            <a:ext uri="{FF2B5EF4-FFF2-40B4-BE49-F238E27FC236}">
              <a16:creationId xmlns:a16="http://schemas.microsoft.com/office/drawing/2014/main" id="{FECE5496-130F-4285-A36C-F8C7B5179639}"/>
            </a:ext>
          </a:extLst>
        </xdr:cNvPr>
        <xdr:cNvCxnSpPr>
          <a:stCxn id="103" idx="3"/>
          <a:endCxn id="107" idx="1"/>
        </xdr:cNvCxnSpPr>
      </xdr:nvCxnSpPr>
      <xdr:spPr>
        <a:xfrm flipV="1">
          <a:off x="41162341" y="8052236"/>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205388</xdr:colOff>
      <xdr:row>46</xdr:row>
      <xdr:rowOff>159844</xdr:rowOff>
    </xdr:from>
    <xdr:to>
      <xdr:col>62</xdr:col>
      <xdr:colOff>120236</xdr:colOff>
      <xdr:row>46</xdr:row>
      <xdr:rowOff>161596</xdr:rowOff>
    </xdr:to>
    <xdr:cxnSp macro="">
      <xdr:nvCxnSpPr>
        <xdr:cNvPr id="110" name="Straight Arrow Connector 109">
          <a:extLst>
            <a:ext uri="{FF2B5EF4-FFF2-40B4-BE49-F238E27FC236}">
              <a16:creationId xmlns:a16="http://schemas.microsoft.com/office/drawing/2014/main" id="{DB4B6BD7-BAD9-474B-BFA3-49D42B8B5AD5}"/>
            </a:ext>
          </a:extLst>
        </xdr:cNvPr>
        <xdr:cNvCxnSpPr>
          <a:stCxn id="104" idx="3"/>
          <a:endCxn id="108" idx="1"/>
        </xdr:cNvCxnSpPr>
      </xdr:nvCxnSpPr>
      <xdr:spPr>
        <a:xfrm flipV="1">
          <a:off x="41172413" y="892284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710104</xdr:colOff>
      <xdr:row>45</xdr:row>
      <xdr:rowOff>150647</xdr:rowOff>
    </xdr:from>
    <xdr:to>
      <xdr:col>17</xdr:col>
      <xdr:colOff>2614886</xdr:colOff>
      <xdr:row>48</xdr:row>
      <xdr:rowOff>161595</xdr:rowOff>
    </xdr:to>
    <xdr:sp macro="" textlink="">
      <xdr:nvSpPr>
        <xdr:cNvPr id="111" name="Rectangle: Rounded Corners 110">
          <a:extLst>
            <a:ext uri="{FF2B5EF4-FFF2-40B4-BE49-F238E27FC236}">
              <a16:creationId xmlns:a16="http://schemas.microsoft.com/office/drawing/2014/main" id="{E23931A1-5BE5-4AEF-B5C7-C34522566675}"/>
            </a:ext>
          </a:extLst>
        </xdr:cNvPr>
        <xdr:cNvSpPr/>
      </xdr:nvSpPr>
      <xdr:spPr>
        <a:xfrm>
          <a:off x="12654454" y="8723147"/>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2614886</xdr:colOff>
      <xdr:row>40</xdr:row>
      <xdr:rowOff>138931</xdr:rowOff>
    </xdr:from>
    <xdr:to>
      <xdr:col>18</xdr:col>
      <xdr:colOff>348591</xdr:colOff>
      <xdr:row>47</xdr:row>
      <xdr:rowOff>63061</xdr:rowOff>
    </xdr:to>
    <xdr:cxnSp macro="">
      <xdr:nvCxnSpPr>
        <xdr:cNvPr id="112" name="Straight Arrow Connector 111">
          <a:extLst>
            <a:ext uri="{FF2B5EF4-FFF2-40B4-BE49-F238E27FC236}">
              <a16:creationId xmlns:a16="http://schemas.microsoft.com/office/drawing/2014/main" id="{F4620587-BEDB-4784-9189-5CAD2B8C12E2}"/>
            </a:ext>
          </a:extLst>
        </xdr:cNvPr>
        <xdr:cNvCxnSpPr>
          <a:stCxn id="111" idx="3"/>
          <a:endCxn id="113" idx="1"/>
        </xdr:cNvCxnSpPr>
      </xdr:nvCxnSpPr>
      <xdr:spPr>
        <a:xfrm flipV="1">
          <a:off x="14559236" y="7758931"/>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348591</xdr:colOff>
      <xdr:row>40</xdr:row>
      <xdr:rowOff>435</xdr:rowOff>
    </xdr:from>
    <xdr:to>
      <xdr:col>20</xdr:col>
      <xdr:colOff>228161</xdr:colOff>
      <xdr:row>41</xdr:row>
      <xdr:rowOff>91306</xdr:rowOff>
    </xdr:to>
    <xdr:sp macro="" textlink="">
      <xdr:nvSpPr>
        <xdr:cNvPr id="113" name="Rectangle: Rounded Corners 112">
          <a:extLst>
            <a:ext uri="{FF2B5EF4-FFF2-40B4-BE49-F238E27FC236}">
              <a16:creationId xmlns:a16="http://schemas.microsoft.com/office/drawing/2014/main" id="{37FFCA2A-77C7-4C41-962F-CE5D41682FC6}"/>
            </a:ext>
          </a:extLst>
        </xdr:cNvPr>
        <xdr:cNvSpPr/>
      </xdr:nvSpPr>
      <xdr:spPr>
        <a:xfrm>
          <a:off x="14998041" y="7620435"/>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561209</xdr:colOff>
      <xdr:row>39</xdr:row>
      <xdr:rowOff>131379</xdr:rowOff>
    </xdr:from>
    <xdr:to>
      <xdr:col>23</xdr:col>
      <xdr:colOff>10948</xdr:colOff>
      <xdr:row>41</xdr:row>
      <xdr:rowOff>127025</xdr:rowOff>
    </xdr:to>
    <xdr:sp macro="" textlink="">
      <xdr:nvSpPr>
        <xdr:cNvPr id="114" name="Rectangle: Rounded Corners 113">
          <a:extLst>
            <a:ext uri="{FF2B5EF4-FFF2-40B4-BE49-F238E27FC236}">
              <a16:creationId xmlns:a16="http://schemas.microsoft.com/office/drawing/2014/main" id="{0A6EE831-1247-40F5-A6DC-1F9B1192D775}"/>
            </a:ext>
          </a:extLst>
        </xdr:cNvPr>
        <xdr:cNvSpPr/>
      </xdr:nvSpPr>
      <xdr:spPr>
        <a:xfrm>
          <a:off x="16534634" y="7560879"/>
          <a:ext cx="1278539" cy="376646"/>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347934</xdr:colOff>
      <xdr:row>45</xdr:row>
      <xdr:rowOff>96784</xdr:rowOff>
    </xdr:from>
    <xdr:to>
      <xdr:col>22</xdr:col>
      <xdr:colOff>239109</xdr:colOff>
      <xdr:row>49</xdr:row>
      <xdr:rowOff>31094</xdr:rowOff>
    </xdr:to>
    <xdr:sp macro="" textlink="">
      <xdr:nvSpPr>
        <xdr:cNvPr id="115" name="Rectangle: Rounded Corners 114">
          <a:extLst>
            <a:ext uri="{FF2B5EF4-FFF2-40B4-BE49-F238E27FC236}">
              <a16:creationId xmlns:a16="http://schemas.microsoft.com/office/drawing/2014/main" id="{3202994E-FD1F-4DBA-9BE6-DC71241AD44F}"/>
            </a:ext>
          </a:extLst>
        </xdr:cNvPr>
        <xdr:cNvSpPr/>
      </xdr:nvSpPr>
      <xdr:spPr>
        <a:xfrm>
          <a:off x="14997384" y="8669284"/>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2614886</xdr:colOff>
      <xdr:row>47</xdr:row>
      <xdr:rowOff>63061</xdr:rowOff>
    </xdr:from>
    <xdr:to>
      <xdr:col>18</xdr:col>
      <xdr:colOff>347934</xdr:colOff>
      <xdr:row>47</xdr:row>
      <xdr:rowOff>63940</xdr:rowOff>
    </xdr:to>
    <xdr:cxnSp macro="">
      <xdr:nvCxnSpPr>
        <xdr:cNvPr id="116" name="Straight Arrow Connector 115">
          <a:extLst>
            <a:ext uri="{FF2B5EF4-FFF2-40B4-BE49-F238E27FC236}">
              <a16:creationId xmlns:a16="http://schemas.microsoft.com/office/drawing/2014/main" id="{B8E4F0E2-CE7B-4A4B-AA3F-4C8A8E80BDE2}"/>
            </a:ext>
          </a:extLst>
        </xdr:cNvPr>
        <xdr:cNvCxnSpPr>
          <a:stCxn id="111" idx="3"/>
          <a:endCxn id="115" idx="1"/>
        </xdr:cNvCxnSpPr>
      </xdr:nvCxnSpPr>
      <xdr:spPr>
        <a:xfrm>
          <a:off x="14559236" y="9016561"/>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55863</xdr:colOff>
      <xdr:row>66</xdr:row>
      <xdr:rowOff>61616</xdr:rowOff>
    </xdr:from>
    <xdr:to>
      <xdr:col>15</xdr:col>
      <xdr:colOff>79676</xdr:colOff>
      <xdr:row>69</xdr:row>
      <xdr:rowOff>121147</xdr:rowOff>
    </xdr:to>
    <xdr:sp macro="" textlink="">
      <xdr:nvSpPr>
        <xdr:cNvPr id="117" name="Rectangle: Rounded Corners 116">
          <a:extLst>
            <a:ext uri="{FF2B5EF4-FFF2-40B4-BE49-F238E27FC236}">
              <a16:creationId xmlns:a16="http://schemas.microsoft.com/office/drawing/2014/main" id="{043A39D7-743A-45BE-8102-01F9A00E94C8}"/>
            </a:ext>
          </a:extLst>
        </xdr:cNvPr>
        <xdr:cNvSpPr/>
      </xdr:nvSpPr>
      <xdr:spPr>
        <a:xfrm>
          <a:off x="5770863" y="1263461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10483</xdr:colOff>
      <xdr:row>67</xdr:row>
      <xdr:rowOff>184442</xdr:rowOff>
    </xdr:from>
    <xdr:to>
      <xdr:col>9</xdr:col>
      <xdr:colOff>55863</xdr:colOff>
      <xdr:row>68</xdr:row>
      <xdr:rowOff>2654</xdr:rowOff>
    </xdr:to>
    <xdr:cxnSp macro="">
      <xdr:nvCxnSpPr>
        <xdr:cNvPr id="118" name="Straight Arrow Connector 117">
          <a:extLst>
            <a:ext uri="{FF2B5EF4-FFF2-40B4-BE49-F238E27FC236}">
              <a16:creationId xmlns:a16="http://schemas.microsoft.com/office/drawing/2014/main" id="{5B6700B9-FBD4-4BC9-8302-97D0B8551AFF}"/>
            </a:ext>
          </a:extLst>
        </xdr:cNvPr>
        <xdr:cNvCxnSpPr>
          <a:stCxn id="7" idx="3"/>
          <a:endCxn id="117" idx="1"/>
        </xdr:cNvCxnSpPr>
      </xdr:nvCxnSpPr>
      <xdr:spPr>
        <a:xfrm flipV="1">
          <a:off x="5115883" y="12947942"/>
          <a:ext cx="654980" cy="8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212149</xdr:colOff>
      <xdr:row>65</xdr:row>
      <xdr:rowOff>76393</xdr:rowOff>
    </xdr:from>
    <xdr:to>
      <xdr:col>17</xdr:col>
      <xdr:colOff>474087</xdr:colOff>
      <xdr:row>67</xdr:row>
      <xdr:rowOff>16863</xdr:rowOff>
    </xdr:to>
    <xdr:sp macro="" textlink="">
      <xdr:nvSpPr>
        <xdr:cNvPr id="119" name="Rectangle: Rounded Corners 118">
          <a:extLst>
            <a:ext uri="{FF2B5EF4-FFF2-40B4-BE49-F238E27FC236}">
              <a16:creationId xmlns:a16="http://schemas.microsoft.com/office/drawing/2014/main" id="{F2EC3B71-0B07-4643-8E83-775CE74EC7FC}"/>
            </a:ext>
          </a:extLst>
        </xdr:cNvPr>
        <xdr:cNvSpPr/>
      </xdr:nvSpPr>
      <xdr:spPr>
        <a:xfrm>
          <a:off x="10194349" y="12458893"/>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200243</xdr:colOff>
      <xdr:row>69</xdr:row>
      <xdr:rowOff>112108</xdr:rowOff>
    </xdr:from>
    <xdr:to>
      <xdr:col>17</xdr:col>
      <xdr:colOff>462181</xdr:colOff>
      <xdr:row>71</xdr:row>
      <xdr:rowOff>16859</xdr:rowOff>
    </xdr:to>
    <xdr:sp macro="" textlink="">
      <xdr:nvSpPr>
        <xdr:cNvPr id="120" name="Rectangle: Rounded Corners 119">
          <a:extLst>
            <a:ext uri="{FF2B5EF4-FFF2-40B4-BE49-F238E27FC236}">
              <a16:creationId xmlns:a16="http://schemas.microsoft.com/office/drawing/2014/main" id="{634FD2E3-EA71-41C2-A593-67B4EEC9B120}"/>
            </a:ext>
          </a:extLst>
        </xdr:cNvPr>
        <xdr:cNvSpPr/>
      </xdr:nvSpPr>
      <xdr:spPr>
        <a:xfrm>
          <a:off x="10182443" y="13256608"/>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79676</xdr:colOff>
      <xdr:row>66</xdr:row>
      <xdr:rowOff>46628</xdr:rowOff>
    </xdr:from>
    <xdr:to>
      <xdr:col>16</xdr:col>
      <xdr:colOff>212149</xdr:colOff>
      <xdr:row>67</xdr:row>
      <xdr:rowOff>184443</xdr:rowOff>
    </xdr:to>
    <xdr:cxnSp macro="">
      <xdr:nvCxnSpPr>
        <xdr:cNvPr id="121" name="Straight Arrow Connector 120">
          <a:extLst>
            <a:ext uri="{FF2B5EF4-FFF2-40B4-BE49-F238E27FC236}">
              <a16:creationId xmlns:a16="http://schemas.microsoft.com/office/drawing/2014/main" id="{6E6EAA5A-7987-4399-A221-9057B5708809}"/>
            </a:ext>
          </a:extLst>
        </xdr:cNvPr>
        <xdr:cNvCxnSpPr>
          <a:stCxn id="117" idx="3"/>
          <a:endCxn id="119" idx="1"/>
        </xdr:cNvCxnSpPr>
      </xdr:nvCxnSpPr>
      <xdr:spPr>
        <a:xfrm flipV="1">
          <a:off x="9452276" y="12619628"/>
          <a:ext cx="742073" cy="3283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79676</xdr:colOff>
      <xdr:row>67</xdr:row>
      <xdr:rowOff>184443</xdr:rowOff>
    </xdr:from>
    <xdr:to>
      <xdr:col>16</xdr:col>
      <xdr:colOff>200243</xdr:colOff>
      <xdr:row>70</xdr:row>
      <xdr:rowOff>64484</xdr:rowOff>
    </xdr:to>
    <xdr:cxnSp macro="">
      <xdr:nvCxnSpPr>
        <xdr:cNvPr id="122" name="Straight Arrow Connector 121">
          <a:extLst>
            <a:ext uri="{FF2B5EF4-FFF2-40B4-BE49-F238E27FC236}">
              <a16:creationId xmlns:a16="http://schemas.microsoft.com/office/drawing/2014/main" id="{7155C9C0-64E8-4395-9BAE-6760E0C968F6}"/>
            </a:ext>
          </a:extLst>
        </xdr:cNvPr>
        <xdr:cNvCxnSpPr>
          <a:stCxn id="117" idx="3"/>
          <a:endCxn id="120" idx="1"/>
        </xdr:cNvCxnSpPr>
      </xdr:nvCxnSpPr>
      <xdr:spPr>
        <a:xfrm>
          <a:off x="9452276" y="12947943"/>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781269</xdr:colOff>
      <xdr:row>69</xdr:row>
      <xdr:rowOff>74009</xdr:rowOff>
    </xdr:from>
    <xdr:to>
      <xdr:col>18</xdr:col>
      <xdr:colOff>115395</xdr:colOff>
      <xdr:row>71</xdr:row>
      <xdr:rowOff>52578</xdr:rowOff>
    </xdr:to>
    <xdr:sp macro="" textlink="">
      <xdr:nvSpPr>
        <xdr:cNvPr id="123" name="Rectangle: Rounded Corners 122">
          <a:extLst>
            <a:ext uri="{FF2B5EF4-FFF2-40B4-BE49-F238E27FC236}">
              <a16:creationId xmlns:a16="http://schemas.microsoft.com/office/drawing/2014/main" id="{B5D4C756-D189-4BB6-B0D5-54C70CCBC953}"/>
            </a:ext>
          </a:extLst>
        </xdr:cNvPr>
        <xdr:cNvSpPr/>
      </xdr:nvSpPr>
      <xdr:spPr>
        <a:xfrm>
          <a:off x="12725619" y="13218509"/>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462181</xdr:colOff>
      <xdr:row>70</xdr:row>
      <xdr:rowOff>63294</xdr:rowOff>
    </xdr:from>
    <xdr:to>
      <xdr:col>17</xdr:col>
      <xdr:colOff>781269</xdr:colOff>
      <xdr:row>70</xdr:row>
      <xdr:rowOff>64484</xdr:rowOff>
    </xdr:to>
    <xdr:cxnSp macro="">
      <xdr:nvCxnSpPr>
        <xdr:cNvPr id="124" name="Straight Arrow Connector 123">
          <a:extLst>
            <a:ext uri="{FF2B5EF4-FFF2-40B4-BE49-F238E27FC236}">
              <a16:creationId xmlns:a16="http://schemas.microsoft.com/office/drawing/2014/main" id="{82D2457D-539F-4F49-9AC7-77A0214D4CDC}"/>
            </a:ext>
          </a:extLst>
        </xdr:cNvPr>
        <xdr:cNvCxnSpPr>
          <a:stCxn id="120" idx="3"/>
          <a:endCxn id="123" idx="1"/>
        </xdr:cNvCxnSpPr>
      </xdr:nvCxnSpPr>
      <xdr:spPr>
        <a:xfrm flipV="1">
          <a:off x="12406531" y="13398294"/>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474087</xdr:colOff>
      <xdr:row>66</xdr:row>
      <xdr:rowOff>46628</xdr:rowOff>
    </xdr:from>
    <xdr:to>
      <xdr:col>17</xdr:col>
      <xdr:colOff>733643</xdr:colOff>
      <xdr:row>66</xdr:row>
      <xdr:rowOff>52579</xdr:rowOff>
    </xdr:to>
    <xdr:cxnSp macro="">
      <xdr:nvCxnSpPr>
        <xdr:cNvPr id="125" name="Straight Arrow Connector 124">
          <a:extLst>
            <a:ext uri="{FF2B5EF4-FFF2-40B4-BE49-F238E27FC236}">
              <a16:creationId xmlns:a16="http://schemas.microsoft.com/office/drawing/2014/main" id="{9BBFF99A-AF7B-4DA2-A3B5-56746A52748E}"/>
            </a:ext>
          </a:extLst>
        </xdr:cNvPr>
        <xdr:cNvCxnSpPr>
          <a:cxnSpLocks/>
          <a:stCxn id="119" idx="3"/>
        </xdr:cNvCxnSpPr>
      </xdr:nvCxnSpPr>
      <xdr:spPr>
        <a:xfrm>
          <a:off x="12418437" y="1261962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20035</xdr:colOff>
      <xdr:row>63</xdr:row>
      <xdr:rowOff>184042</xdr:rowOff>
    </xdr:from>
    <xdr:to>
      <xdr:col>40</xdr:col>
      <xdr:colOff>194169</xdr:colOff>
      <xdr:row>67</xdr:row>
      <xdr:rowOff>160228</xdr:rowOff>
    </xdr:to>
    <xdr:sp macro="" textlink="">
      <xdr:nvSpPr>
        <xdr:cNvPr id="126" name="Rectangle: Rounded Corners 125">
          <a:extLst>
            <a:ext uri="{FF2B5EF4-FFF2-40B4-BE49-F238E27FC236}">
              <a16:creationId xmlns:a16="http://schemas.microsoft.com/office/drawing/2014/main" id="{473AA9BD-08D8-42EF-BEB5-D9C5F86A3334}"/>
            </a:ext>
          </a:extLst>
        </xdr:cNvPr>
        <xdr:cNvSpPr/>
      </xdr:nvSpPr>
      <xdr:spPr>
        <a:xfrm>
          <a:off x="23918260" y="12185542"/>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72723</xdr:colOff>
      <xdr:row>63</xdr:row>
      <xdr:rowOff>7447</xdr:rowOff>
    </xdr:from>
    <xdr:to>
      <xdr:col>42</xdr:col>
      <xdr:colOff>450082</xdr:colOff>
      <xdr:row>64</xdr:row>
      <xdr:rowOff>134036</xdr:rowOff>
    </xdr:to>
    <xdr:sp macro="" textlink="">
      <xdr:nvSpPr>
        <xdr:cNvPr id="127" name="Rectangle: Rounded Corners 126">
          <a:extLst>
            <a:ext uri="{FF2B5EF4-FFF2-40B4-BE49-F238E27FC236}">
              <a16:creationId xmlns:a16="http://schemas.microsoft.com/office/drawing/2014/main" id="{2EC5EAF2-FA4B-4F6B-ABB8-F987CF6B5B7B}"/>
            </a:ext>
          </a:extLst>
        </xdr:cNvPr>
        <xdr:cNvSpPr/>
      </xdr:nvSpPr>
      <xdr:spPr>
        <a:xfrm>
          <a:off x="28847748" y="12008947"/>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82248</xdr:colOff>
      <xdr:row>66</xdr:row>
      <xdr:rowOff>119747</xdr:rowOff>
    </xdr:from>
    <xdr:to>
      <xdr:col>42</xdr:col>
      <xdr:colOff>459607</xdr:colOff>
      <xdr:row>68</xdr:row>
      <xdr:rowOff>60216</xdr:rowOff>
    </xdr:to>
    <xdr:sp macro="" textlink="">
      <xdr:nvSpPr>
        <xdr:cNvPr id="128" name="Rectangle: Rounded Corners 127">
          <a:extLst>
            <a:ext uri="{FF2B5EF4-FFF2-40B4-BE49-F238E27FC236}">
              <a16:creationId xmlns:a16="http://schemas.microsoft.com/office/drawing/2014/main" id="{90E7E24B-1AD9-44EF-BB83-4AEE12A798A2}"/>
            </a:ext>
          </a:extLst>
        </xdr:cNvPr>
        <xdr:cNvSpPr/>
      </xdr:nvSpPr>
      <xdr:spPr>
        <a:xfrm>
          <a:off x="28857273" y="12692747"/>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194169</xdr:colOff>
      <xdr:row>63</xdr:row>
      <xdr:rowOff>163803</xdr:rowOff>
    </xdr:from>
    <xdr:to>
      <xdr:col>41</xdr:col>
      <xdr:colOff>72723</xdr:colOff>
      <xdr:row>65</xdr:row>
      <xdr:rowOff>172134</xdr:rowOff>
    </xdr:to>
    <xdr:cxnSp macro="">
      <xdr:nvCxnSpPr>
        <xdr:cNvPr id="129" name="Straight Arrow Connector 128">
          <a:extLst>
            <a:ext uri="{FF2B5EF4-FFF2-40B4-BE49-F238E27FC236}">
              <a16:creationId xmlns:a16="http://schemas.microsoft.com/office/drawing/2014/main" id="{BF34197D-E8AE-42BC-9A78-CE1C8306990A}"/>
            </a:ext>
          </a:extLst>
        </xdr:cNvPr>
        <xdr:cNvCxnSpPr>
          <a:stCxn id="126" idx="3"/>
          <a:endCxn id="127" idx="1"/>
        </xdr:cNvCxnSpPr>
      </xdr:nvCxnSpPr>
      <xdr:spPr>
        <a:xfrm flipV="1">
          <a:off x="28359594" y="12165303"/>
          <a:ext cx="488154" cy="38933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194169</xdr:colOff>
      <xdr:row>65</xdr:row>
      <xdr:rowOff>172134</xdr:rowOff>
    </xdr:from>
    <xdr:to>
      <xdr:col>41</xdr:col>
      <xdr:colOff>82248</xdr:colOff>
      <xdr:row>67</xdr:row>
      <xdr:rowOff>89983</xdr:rowOff>
    </xdr:to>
    <xdr:cxnSp macro="">
      <xdr:nvCxnSpPr>
        <xdr:cNvPr id="130" name="Straight Arrow Connector 129">
          <a:extLst>
            <a:ext uri="{FF2B5EF4-FFF2-40B4-BE49-F238E27FC236}">
              <a16:creationId xmlns:a16="http://schemas.microsoft.com/office/drawing/2014/main" id="{301EBEE8-5B47-48AF-8A4C-AF67E700EEE7}"/>
            </a:ext>
          </a:extLst>
        </xdr:cNvPr>
        <xdr:cNvCxnSpPr>
          <a:stCxn id="126" idx="3"/>
          <a:endCxn id="128" idx="1"/>
        </xdr:cNvCxnSpPr>
      </xdr:nvCxnSpPr>
      <xdr:spPr>
        <a:xfrm>
          <a:off x="28359594" y="12554634"/>
          <a:ext cx="497679" cy="29884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155248</xdr:colOff>
      <xdr:row>66</xdr:row>
      <xdr:rowOff>103788</xdr:rowOff>
    </xdr:from>
    <xdr:to>
      <xdr:col>44</xdr:col>
      <xdr:colOff>426982</xdr:colOff>
      <xdr:row>68</xdr:row>
      <xdr:rowOff>82357</xdr:rowOff>
    </xdr:to>
    <xdr:sp macro="" textlink="">
      <xdr:nvSpPr>
        <xdr:cNvPr id="131" name="Rectangle: Rounded Corners 130">
          <a:extLst>
            <a:ext uri="{FF2B5EF4-FFF2-40B4-BE49-F238E27FC236}">
              <a16:creationId xmlns:a16="http://schemas.microsoft.com/office/drawing/2014/main" id="{89E0D735-EC77-49F8-971E-FE59D4A85D2C}"/>
            </a:ext>
          </a:extLst>
        </xdr:cNvPr>
        <xdr:cNvSpPr/>
      </xdr:nvSpPr>
      <xdr:spPr>
        <a:xfrm>
          <a:off x="30149473" y="12676788"/>
          <a:ext cx="881334"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459607</xdr:colOff>
      <xdr:row>67</xdr:row>
      <xdr:rowOff>89982</xdr:rowOff>
    </xdr:from>
    <xdr:to>
      <xdr:col>43</xdr:col>
      <xdr:colOff>155248</xdr:colOff>
      <xdr:row>67</xdr:row>
      <xdr:rowOff>93073</xdr:rowOff>
    </xdr:to>
    <xdr:cxnSp macro="">
      <xdr:nvCxnSpPr>
        <xdr:cNvPr id="132" name="Straight Arrow Connector 131">
          <a:extLst>
            <a:ext uri="{FF2B5EF4-FFF2-40B4-BE49-F238E27FC236}">
              <a16:creationId xmlns:a16="http://schemas.microsoft.com/office/drawing/2014/main" id="{15833BC1-7917-4E49-B179-8B69340794CF}"/>
            </a:ext>
          </a:extLst>
        </xdr:cNvPr>
        <xdr:cNvCxnSpPr>
          <a:stCxn id="128" idx="3"/>
          <a:endCxn id="131" idx="1"/>
        </xdr:cNvCxnSpPr>
      </xdr:nvCxnSpPr>
      <xdr:spPr>
        <a:xfrm>
          <a:off x="29844232" y="12853482"/>
          <a:ext cx="30524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562523</xdr:colOff>
      <xdr:row>61</xdr:row>
      <xdr:rowOff>84960</xdr:rowOff>
    </xdr:from>
    <xdr:to>
      <xdr:col>41</xdr:col>
      <xdr:colOff>567954</xdr:colOff>
      <xdr:row>63</xdr:row>
      <xdr:rowOff>7447</xdr:rowOff>
    </xdr:to>
    <xdr:cxnSp macro="">
      <xdr:nvCxnSpPr>
        <xdr:cNvPr id="133" name="Straight Arrow Connector 132">
          <a:extLst>
            <a:ext uri="{FF2B5EF4-FFF2-40B4-BE49-F238E27FC236}">
              <a16:creationId xmlns:a16="http://schemas.microsoft.com/office/drawing/2014/main" id="{80A15E03-8F01-406A-9DBC-01FF7F781DAA}"/>
            </a:ext>
          </a:extLst>
        </xdr:cNvPr>
        <xdr:cNvCxnSpPr>
          <a:stCxn id="127" idx="0"/>
          <a:endCxn id="134" idx="2"/>
        </xdr:cNvCxnSpPr>
      </xdr:nvCxnSpPr>
      <xdr:spPr>
        <a:xfrm flipH="1" flipV="1">
          <a:off x="29337548" y="11705460"/>
          <a:ext cx="5431" cy="30348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347718</xdr:colOff>
      <xdr:row>56</xdr:row>
      <xdr:rowOff>76638</xdr:rowOff>
    </xdr:from>
    <xdr:to>
      <xdr:col>44</xdr:col>
      <xdr:colOff>164224</xdr:colOff>
      <xdr:row>61</xdr:row>
      <xdr:rowOff>84960</xdr:rowOff>
    </xdr:to>
    <xdr:sp macro="" textlink="">
      <xdr:nvSpPr>
        <xdr:cNvPr id="134" name="Rectangle: Rounded Corners 133">
          <a:extLst>
            <a:ext uri="{FF2B5EF4-FFF2-40B4-BE49-F238E27FC236}">
              <a16:creationId xmlns:a16="http://schemas.microsoft.com/office/drawing/2014/main" id="{6C4D6958-0279-423E-8BF4-7E11627F51A5}"/>
            </a:ext>
          </a:extLst>
        </xdr:cNvPr>
        <xdr:cNvSpPr/>
      </xdr:nvSpPr>
      <xdr:spPr>
        <a:xfrm>
          <a:off x="27903543" y="10744638"/>
          <a:ext cx="2864506" cy="9608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450082</xdr:colOff>
      <xdr:row>63</xdr:row>
      <xdr:rowOff>161598</xdr:rowOff>
    </xdr:from>
    <xdr:to>
      <xdr:col>46</xdr:col>
      <xdr:colOff>117803</xdr:colOff>
      <xdr:row>63</xdr:row>
      <xdr:rowOff>163802</xdr:rowOff>
    </xdr:to>
    <xdr:cxnSp macro="">
      <xdr:nvCxnSpPr>
        <xdr:cNvPr id="135" name="Straight Arrow Connector 134">
          <a:extLst>
            <a:ext uri="{FF2B5EF4-FFF2-40B4-BE49-F238E27FC236}">
              <a16:creationId xmlns:a16="http://schemas.microsoft.com/office/drawing/2014/main" id="{6B554144-4A2A-45CC-9AFB-F947C963B7DC}"/>
            </a:ext>
          </a:extLst>
        </xdr:cNvPr>
        <xdr:cNvCxnSpPr>
          <a:stCxn id="127" idx="3"/>
          <a:endCxn id="136" idx="1"/>
        </xdr:cNvCxnSpPr>
      </xdr:nvCxnSpPr>
      <xdr:spPr>
        <a:xfrm flipV="1">
          <a:off x="29834707" y="12163098"/>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117803</xdr:colOff>
      <xdr:row>62</xdr:row>
      <xdr:rowOff>63063</xdr:rowOff>
    </xdr:from>
    <xdr:to>
      <xdr:col>50</xdr:col>
      <xdr:colOff>194441</xdr:colOff>
      <xdr:row>65</xdr:row>
      <xdr:rowOff>74011</xdr:rowOff>
    </xdr:to>
    <xdr:sp macro="" textlink="">
      <xdr:nvSpPr>
        <xdr:cNvPr id="136" name="Rectangle: Rounded Corners 135">
          <a:extLst>
            <a:ext uri="{FF2B5EF4-FFF2-40B4-BE49-F238E27FC236}">
              <a16:creationId xmlns:a16="http://schemas.microsoft.com/office/drawing/2014/main" id="{B903CF9C-09D9-4DEA-80D5-38FAD098757F}"/>
            </a:ext>
          </a:extLst>
        </xdr:cNvPr>
        <xdr:cNvSpPr/>
      </xdr:nvSpPr>
      <xdr:spPr>
        <a:xfrm>
          <a:off x="31940828" y="11874063"/>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154834</xdr:colOff>
      <xdr:row>59</xdr:row>
      <xdr:rowOff>106855</xdr:rowOff>
    </xdr:from>
    <xdr:to>
      <xdr:col>53</xdr:col>
      <xdr:colOff>194440</xdr:colOff>
      <xdr:row>62</xdr:row>
      <xdr:rowOff>30216</xdr:rowOff>
    </xdr:to>
    <xdr:sp macro="" textlink="">
      <xdr:nvSpPr>
        <xdr:cNvPr id="137" name="Rectangle: Rounded Corners 136">
          <a:extLst>
            <a:ext uri="{FF2B5EF4-FFF2-40B4-BE49-F238E27FC236}">
              <a16:creationId xmlns:a16="http://schemas.microsoft.com/office/drawing/2014/main" id="{F02DD755-75CB-4970-8C51-54094139C574}"/>
            </a:ext>
          </a:extLst>
        </xdr:cNvPr>
        <xdr:cNvSpPr/>
      </xdr:nvSpPr>
      <xdr:spPr>
        <a:xfrm>
          <a:off x="35025859" y="1134635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164906</xdr:colOff>
      <xdr:row>64</xdr:row>
      <xdr:rowOff>29341</xdr:rowOff>
    </xdr:from>
    <xdr:to>
      <xdr:col>53</xdr:col>
      <xdr:colOff>204512</xdr:colOff>
      <xdr:row>66</xdr:row>
      <xdr:rowOff>138822</xdr:rowOff>
    </xdr:to>
    <xdr:sp macro="" textlink="">
      <xdr:nvSpPr>
        <xdr:cNvPr id="138" name="Rectangle: Rounded Corners 137">
          <a:extLst>
            <a:ext uri="{FF2B5EF4-FFF2-40B4-BE49-F238E27FC236}">
              <a16:creationId xmlns:a16="http://schemas.microsoft.com/office/drawing/2014/main" id="{8F40CE62-A7FC-4F32-9781-5F60176A4CF6}"/>
            </a:ext>
          </a:extLst>
        </xdr:cNvPr>
        <xdr:cNvSpPr/>
      </xdr:nvSpPr>
      <xdr:spPr>
        <a:xfrm>
          <a:off x="35035931" y="12221341"/>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194441</xdr:colOff>
      <xdr:row>60</xdr:row>
      <xdr:rowOff>161597</xdr:rowOff>
    </xdr:from>
    <xdr:to>
      <xdr:col>51</xdr:col>
      <xdr:colOff>154834</xdr:colOff>
      <xdr:row>63</xdr:row>
      <xdr:rowOff>161598</xdr:rowOff>
    </xdr:to>
    <xdr:cxnSp macro="">
      <xdr:nvCxnSpPr>
        <xdr:cNvPr id="139" name="Straight Arrow Connector 138">
          <a:extLst>
            <a:ext uri="{FF2B5EF4-FFF2-40B4-BE49-F238E27FC236}">
              <a16:creationId xmlns:a16="http://schemas.microsoft.com/office/drawing/2014/main" id="{A96FBE35-BAA5-422D-AB22-D8A23068328D}"/>
            </a:ext>
          </a:extLst>
        </xdr:cNvPr>
        <xdr:cNvCxnSpPr>
          <a:stCxn id="136" idx="3"/>
          <a:endCxn id="137" idx="1"/>
        </xdr:cNvCxnSpPr>
      </xdr:nvCxnSpPr>
      <xdr:spPr>
        <a:xfrm flipV="1">
          <a:off x="34455866" y="11591597"/>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194441</xdr:colOff>
      <xdr:row>63</xdr:row>
      <xdr:rowOff>161598</xdr:rowOff>
    </xdr:from>
    <xdr:to>
      <xdr:col>51</xdr:col>
      <xdr:colOff>164906</xdr:colOff>
      <xdr:row>65</xdr:row>
      <xdr:rowOff>84082</xdr:rowOff>
    </xdr:to>
    <xdr:cxnSp macro="">
      <xdr:nvCxnSpPr>
        <xdr:cNvPr id="140" name="Straight Arrow Connector 139">
          <a:extLst>
            <a:ext uri="{FF2B5EF4-FFF2-40B4-BE49-F238E27FC236}">
              <a16:creationId xmlns:a16="http://schemas.microsoft.com/office/drawing/2014/main" id="{7BC71B33-7ED0-41B4-8E96-F3C6C7E9C68C}"/>
            </a:ext>
          </a:extLst>
        </xdr:cNvPr>
        <xdr:cNvCxnSpPr>
          <a:stCxn id="136" idx="3"/>
          <a:endCxn id="138" idx="1"/>
        </xdr:cNvCxnSpPr>
      </xdr:nvCxnSpPr>
      <xdr:spPr>
        <a:xfrm>
          <a:off x="34455866" y="12163098"/>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131185</xdr:colOff>
      <xdr:row>59</xdr:row>
      <xdr:rowOff>105102</xdr:rowOff>
    </xdr:from>
    <xdr:to>
      <xdr:col>56</xdr:col>
      <xdr:colOff>170791</xdr:colOff>
      <xdr:row>62</xdr:row>
      <xdr:rowOff>28463</xdr:rowOff>
    </xdr:to>
    <xdr:sp macro="" textlink="">
      <xdr:nvSpPr>
        <xdr:cNvPr id="141" name="Rectangle: Rounded Corners 140">
          <a:extLst>
            <a:ext uri="{FF2B5EF4-FFF2-40B4-BE49-F238E27FC236}">
              <a16:creationId xmlns:a16="http://schemas.microsoft.com/office/drawing/2014/main" id="{F7B99418-0669-4699-B607-1F327794906E}"/>
            </a:ext>
          </a:extLst>
        </xdr:cNvPr>
        <xdr:cNvSpPr/>
      </xdr:nvSpPr>
      <xdr:spPr>
        <a:xfrm>
          <a:off x="36831010" y="11344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119360</xdr:colOff>
      <xdr:row>64</xdr:row>
      <xdr:rowOff>27589</xdr:rowOff>
    </xdr:from>
    <xdr:to>
      <xdr:col>56</xdr:col>
      <xdr:colOff>158966</xdr:colOff>
      <xdr:row>66</xdr:row>
      <xdr:rowOff>137070</xdr:rowOff>
    </xdr:to>
    <xdr:sp macro="" textlink="">
      <xdr:nvSpPr>
        <xdr:cNvPr id="142" name="Rectangle: Rounded Corners 141">
          <a:extLst>
            <a:ext uri="{FF2B5EF4-FFF2-40B4-BE49-F238E27FC236}">
              <a16:creationId xmlns:a16="http://schemas.microsoft.com/office/drawing/2014/main" id="{27C33D75-862E-40C7-866F-E07F7B570597}"/>
            </a:ext>
          </a:extLst>
        </xdr:cNvPr>
        <xdr:cNvSpPr/>
      </xdr:nvSpPr>
      <xdr:spPr>
        <a:xfrm>
          <a:off x="36819185" y="12219589"/>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194440</xdr:colOff>
      <xdr:row>60</xdr:row>
      <xdr:rowOff>159844</xdr:rowOff>
    </xdr:from>
    <xdr:to>
      <xdr:col>54</xdr:col>
      <xdr:colOff>131185</xdr:colOff>
      <xdr:row>60</xdr:row>
      <xdr:rowOff>161597</xdr:rowOff>
    </xdr:to>
    <xdr:cxnSp macro="">
      <xdr:nvCxnSpPr>
        <xdr:cNvPr id="143" name="Straight Arrow Connector 142">
          <a:extLst>
            <a:ext uri="{FF2B5EF4-FFF2-40B4-BE49-F238E27FC236}">
              <a16:creationId xmlns:a16="http://schemas.microsoft.com/office/drawing/2014/main" id="{72A6090E-DC90-4AA8-B5E5-FA0D580F0F04}"/>
            </a:ext>
          </a:extLst>
        </xdr:cNvPr>
        <xdr:cNvCxnSpPr>
          <a:stCxn id="137" idx="3"/>
          <a:endCxn id="141" idx="1"/>
        </xdr:cNvCxnSpPr>
      </xdr:nvCxnSpPr>
      <xdr:spPr>
        <a:xfrm flipV="1">
          <a:off x="36284665" y="11589844"/>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204512</xdr:colOff>
      <xdr:row>65</xdr:row>
      <xdr:rowOff>82330</xdr:rowOff>
    </xdr:from>
    <xdr:to>
      <xdr:col>54</xdr:col>
      <xdr:colOff>119360</xdr:colOff>
      <xdr:row>65</xdr:row>
      <xdr:rowOff>84082</xdr:rowOff>
    </xdr:to>
    <xdr:cxnSp macro="">
      <xdr:nvCxnSpPr>
        <xdr:cNvPr id="144" name="Straight Arrow Connector 143">
          <a:extLst>
            <a:ext uri="{FF2B5EF4-FFF2-40B4-BE49-F238E27FC236}">
              <a16:creationId xmlns:a16="http://schemas.microsoft.com/office/drawing/2014/main" id="{C0BE4AC6-C012-42DE-9247-101A8F596858}"/>
            </a:ext>
          </a:extLst>
        </xdr:cNvPr>
        <xdr:cNvCxnSpPr>
          <a:stCxn id="138" idx="3"/>
          <a:endCxn id="142" idx="1"/>
        </xdr:cNvCxnSpPr>
      </xdr:nvCxnSpPr>
      <xdr:spPr>
        <a:xfrm flipV="1">
          <a:off x="36294737" y="12464830"/>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709228</xdr:colOff>
      <xdr:row>64</xdr:row>
      <xdr:rowOff>73134</xdr:rowOff>
    </xdr:from>
    <xdr:to>
      <xdr:col>17</xdr:col>
      <xdr:colOff>2614010</xdr:colOff>
      <xdr:row>67</xdr:row>
      <xdr:rowOff>84082</xdr:rowOff>
    </xdr:to>
    <xdr:sp macro="" textlink="">
      <xdr:nvSpPr>
        <xdr:cNvPr id="145" name="Rectangle: Rounded Corners 144">
          <a:extLst>
            <a:ext uri="{FF2B5EF4-FFF2-40B4-BE49-F238E27FC236}">
              <a16:creationId xmlns:a16="http://schemas.microsoft.com/office/drawing/2014/main" id="{09EA885C-0129-4A0C-83EE-0A2B7B98683A}"/>
            </a:ext>
          </a:extLst>
        </xdr:cNvPr>
        <xdr:cNvSpPr/>
      </xdr:nvSpPr>
      <xdr:spPr>
        <a:xfrm>
          <a:off x="12653578" y="12265134"/>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2614010</xdr:colOff>
      <xdr:row>59</xdr:row>
      <xdr:rowOff>61417</xdr:rowOff>
    </xdr:from>
    <xdr:to>
      <xdr:col>18</xdr:col>
      <xdr:colOff>347715</xdr:colOff>
      <xdr:row>65</xdr:row>
      <xdr:rowOff>171668</xdr:rowOff>
    </xdr:to>
    <xdr:cxnSp macro="">
      <xdr:nvCxnSpPr>
        <xdr:cNvPr id="146" name="Straight Arrow Connector 145">
          <a:extLst>
            <a:ext uri="{FF2B5EF4-FFF2-40B4-BE49-F238E27FC236}">
              <a16:creationId xmlns:a16="http://schemas.microsoft.com/office/drawing/2014/main" id="{C8660D9B-1930-4130-8DB6-99C9224F3A43}"/>
            </a:ext>
          </a:extLst>
        </xdr:cNvPr>
        <xdr:cNvCxnSpPr>
          <a:stCxn id="145" idx="3"/>
          <a:endCxn id="147" idx="1"/>
        </xdr:cNvCxnSpPr>
      </xdr:nvCxnSpPr>
      <xdr:spPr>
        <a:xfrm flipV="1">
          <a:off x="14558360" y="11300917"/>
          <a:ext cx="438805" cy="12532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347715</xdr:colOff>
      <xdr:row>58</xdr:row>
      <xdr:rowOff>109042</xdr:rowOff>
    </xdr:from>
    <xdr:to>
      <xdr:col>20</xdr:col>
      <xdr:colOff>227285</xdr:colOff>
      <xdr:row>60</xdr:row>
      <xdr:rowOff>13793</xdr:rowOff>
    </xdr:to>
    <xdr:sp macro="" textlink="">
      <xdr:nvSpPr>
        <xdr:cNvPr id="147" name="Rectangle: Rounded Corners 146">
          <a:extLst>
            <a:ext uri="{FF2B5EF4-FFF2-40B4-BE49-F238E27FC236}">
              <a16:creationId xmlns:a16="http://schemas.microsoft.com/office/drawing/2014/main" id="{A2657D74-A2CE-4CCC-B0B3-FBCE96AB7FC2}"/>
            </a:ext>
          </a:extLst>
        </xdr:cNvPr>
        <xdr:cNvSpPr/>
      </xdr:nvSpPr>
      <xdr:spPr>
        <a:xfrm>
          <a:off x="14997165" y="11158042"/>
          <a:ext cx="1203545"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560333</xdr:colOff>
      <xdr:row>58</xdr:row>
      <xdr:rowOff>70943</xdr:rowOff>
    </xdr:from>
    <xdr:to>
      <xdr:col>23</xdr:col>
      <xdr:colOff>10948</xdr:colOff>
      <xdr:row>60</xdr:row>
      <xdr:rowOff>49512</xdr:rowOff>
    </xdr:to>
    <xdr:sp macro="" textlink="">
      <xdr:nvSpPr>
        <xdr:cNvPr id="148" name="Rectangle: Rounded Corners 147">
          <a:extLst>
            <a:ext uri="{FF2B5EF4-FFF2-40B4-BE49-F238E27FC236}">
              <a16:creationId xmlns:a16="http://schemas.microsoft.com/office/drawing/2014/main" id="{450A2C98-6F39-4F49-B785-E5DABE743435}"/>
            </a:ext>
          </a:extLst>
        </xdr:cNvPr>
        <xdr:cNvSpPr/>
      </xdr:nvSpPr>
      <xdr:spPr>
        <a:xfrm>
          <a:off x="16533758" y="11119943"/>
          <a:ext cx="1279415"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347058</xdr:colOff>
      <xdr:row>64</xdr:row>
      <xdr:rowOff>19271</xdr:rowOff>
    </xdr:from>
    <xdr:to>
      <xdr:col>22</xdr:col>
      <xdr:colOff>238233</xdr:colOff>
      <xdr:row>67</xdr:row>
      <xdr:rowOff>139702</xdr:rowOff>
    </xdr:to>
    <xdr:sp macro="" textlink="">
      <xdr:nvSpPr>
        <xdr:cNvPr id="149" name="Rectangle: Rounded Corners 148">
          <a:extLst>
            <a:ext uri="{FF2B5EF4-FFF2-40B4-BE49-F238E27FC236}">
              <a16:creationId xmlns:a16="http://schemas.microsoft.com/office/drawing/2014/main" id="{CECB8E34-8370-48AF-83A6-DFFAFE417A24}"/>
            </a:ext>
          </a:extLst>
        </xdr:cNvPr>
        <xdr:cNvSpPr/>
      </xdr:nvSpPr>
      <xdr:spPr>
        <a:xfrm>
          <a:off x="14996508" y="12211271"/>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2614010</xdr:colOff>
      <xdr:row>65</xdr:row>
      <xdr:rowOff>171668</xdr:rowOff>
    </xdr:from>
    <xdr:to>
      <xdr:col>18</xdr:col>
      <xdr:colOff>347058</xdr:colOff>
      <xdr:row>65</xdr:row>
      <xdr:rowOff>172547</xdr:rowOff>
    </xdr:to>
    <xdr:cxnSp macro="">
      <xdr:nvCxnSpPr>
        <xdr:cNvPr id="150" name="Straight Arrow Connector 149">
          <a:extLst>
            <a:ext uri="{FF2B5EF4-FFF2-40B4-BE49-F238E27FC236}">
              <a16:creationId xmlns:a16="http://schemas.microsoft.com/office/drawing/2014/main" id="{BD50EEF1-236E-4760-9019-290B1CA1C897}"/>
            </a:ext>
          </a:extLst>
        </xdr:cNvPr>
        <xdr:cNvCxnSpPr>
          <a:stCxn id="145" idx="3"/>
          <a:endCxn id="149" idx="1"/>
        </xdr:cNvCxnSpPr>
      </xdr:nvCxnSpPr>
      <xdr:spPr>
        <a:xfrm>
          <a:off x="14558360" y="12554168"/>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245</xdr:colOff>
      <xdr:row>83</xdr:row>
      <xdr:rowOff>104534</xdr:rowOff>
    </xdr:from>
    <xdr:to>
      <xdr:col>15</xdr:col>
      <xdr:colOff>24058</xdr:colOff>
      <xdr:row>86</xdr:row>
      <xdr:rowOff>164064</xdr:rowOff>
    </xdr:to>
    <xdr:sp macro="" textlink="">
      <xdr:nvSpPr>
        <xdr:cNvPr id="151" name="Rectangle: Rounded Corners 150">
          <a:extLst>
            <a:ext uri="{FF2B5EF4-FFF2-40B4-BE49-F238E27FC236}">
              <a16:creationId xmlns:a16="http://schemas.microsoft.com/office/drawing/2014/main" id="{4FF0A0C5-B414-4A8A-958C-30CD8D76B0BF}"/>
            </a:ext>
          </a:extLst>
        </xdr:cNvPr>
        <xdr:cNvSpPr/>
      </xdr:nvSpPr>
      <xdr:spPr>
        <a:xfrm>
          <a:off x="5715245" y="159160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591508</xdr:colOff>
      <xdr:row>85</xdr:row>
      <xdr:rowOff>41239</xdr:rowOff>
    </xdr:from>
    <xdr:to>
      <xdr:col>9</xdr:col>
      <xdr:colOff>245</xdr:colOff>
      <xdr:row>85</xdr:row>
      <xdr:rowOff>53100</xdr:rowOff>
    </xdr:to>
    <xdr:cxnSp macro="">
      <xdr:nvCxnSpPr>
        <xdr:cNvPr id="152" name="Straight Arrow Connector 151">
          <a:extLst>
            <a:ext uri="{FF2B5EF4-FFF2-40B4-BE49-F238E27FC236}">
              <a16:creationId xmlns:a16="http://schemas.microsoft.com/office/drawing/2014/main" id="{F5BCBC11-A862-44AD-8E28-DAD11B067451}"/>
            </a:ext>
          </a:extLst>
        </xdr:cNvPr>
        <xdr:cNvCxnSpPr>
          <a:stCxn id="9" idx="3"/>
          <a:endCxn id="151" idx="1"/>
        </xdr:cNvCxnSpPr>
      </xdr:nvCxnSpPr>
      <xdr:spPr>
        <a:xfrm flipV="1">
          <a:off x="5087308" y="16233739"/>
          <a:ext cx="627937"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156531</xdr:colOff>
      <xdr:row>82</xdr:row>
      <xdr:rowOff>119310</xdr:rowOff>
    </xdr:from>
    <xdr:to>
      <xdr:col>17</xdr:col>
      <xdr:colOff>418469</xdr:colOff>
      <xdr:row>84</xdr:row>
      <xdr:rowOff>59780</xdr:rowOff>
    </xdr:to>
    <xdr:sp macro="" textlink="">
      <xdr:nvSpPr>
        <xdr:cNvPr id="153" name="Rectangle: Rounded Corners 152">
          <a:extLst>
            <a:ext uri="{FF2B5EF4-FFF2-40B4-BE49-F238E27FC236}">
              <a16:creationId xmlns:a16="http://schemas.microsoft.com/office/drawing/2014/main" id="{9A4A97CA-C6BB-4ECC-8050-16D63B83FE98}"/>
            </a:ext>
          </a:extLst>
        </xdr:cNvPr>
        <xdr:cNvSpPr/>
      </xdr:nvSpPr>
      <xdr:spPr>
        <a:xfrm>
          <a:off x="10138731" y="15740310"/>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144625</xdr:colOff>
      <xdr:row>86</xdr:row>
      <xdr:rowOff>155025</xdr:rowOff>
    </xdr:from>
    <xdr:to>
      <xdr:col>17</xdr:col>
      <xdr:colOff>406563</xdr:colOff>
      <xdr:row>88</xdr:row>
      <xdr:rowOff>54741</xdr:rowOff>
    </xdr:to>
    <xdr:sp macro="" textlink="">
      <xdr:nvSpPr>
        <xdr:cNvPr id="154" name="Rectangle: Rounded Corners 153">
          <a:extLst>
            <a:ext uri="{FF2B5EF4-FFF2-40B4-BE49-F238E27FC236}">
              <a16:creationId xmlns:a16="http://schemas.microsoft.com/office/drawing/2014/main" id="{4716BA33-8F2D-454F-BE16-593DC7CF26BB}"/>
            </a:ext>
          </a:extLst>
        </xdr:cNvPr>
        <xdr:cNvSpPr/>
      </xdr:nvSpPr>
      <xdr:spPr>
        <a:xfrm>
          <a:off x="10126825" y="165380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24058</xdr:colOff>
      <xdr:row>83</xdr:row>
      <xdr:rowOff>89546</xdr:rowOff>
    </xdr:from>
    <xdr:to>
      <xdr:col>16</xdr:col>
      <xdr:colOff>156531</xdr:colOff>
      <xdr:row>85</xdr:row>
      <xdr:rowOff>41239</xdr:rowOff>
    </xdr:to>
    <xdr:cxnSp macro="">
      <xdr:nvCxnSpPr>
        <xdr:cNvPr id="155" name="Straight Arrow Connector 154">
          <a:extLst>
            <a:ext uri="{FF2B5EF4-FFF2-40B4-BE49-F238E27FC236}">
              <a16:creationId xmlns:a16="http://schemas.microsoft.com/office/drawing/2014/main" id="{0FB90315-242C-4F94-AA4A-EB47F9320603}"/>
            </a:ext>
          </a:extLst>
        </xdr:cNvPr>
        <xdr:cNvCxnSpPr>
          <a:stCxn id="151" idx="3"/>
          <a:endCxn id="153" idx="1"/>
        </xdr:cNvCxnSpPr>
      </xdr:nvCxnSpPr>
      <xdr:spPr>
        <a:xfrm flipV="1">
          <a:off x="9396658" y="159010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24058</xdr:colOff>
      <xdr:row>85</xdr:row>
      <xdr:rowOff>41239</xdr:rowOff>
    </xdr:from>
    <xdr:to>
      <xdr:col>16</xdr:col>
      <xdr:colOff>144625</xdr:colOff>
      <xdr:row>87</xdr:row>
      <xdr:rowOff>104884</xdr:rowOff>
    </xdr:to>
    <xdr:cxnSp macro="">
      <xdr:nvCxnSpPr>
        <xdr:cNvPr id="156" name="Straight Arrow Connector 155">
          <a:extLst>
            <a:ext uri="{FF2B5EF4-FFF2-40B4-BE49-F238E27FC236}">
              <a16:creationId xmlns:a16="http://schemas.microsoft.com/office/drawing/2014/main" id="{AC0319B5-64CB-491F-9AC1-04DF1483D007}"/>
            </a:ext>
          </a:extLst>
        </xdr:cNvPr>
        <xdr:cNvCxnSpPr>
          <a:stCxn id="151" idx="3"/>
          <a:endCxn id="154" idx="1"/>
        </xdr:cNvCxnSpPr>
      </xdr:nvCxnSpPr>
      <xdr:spPr>
        <a:xfrm>
          <a:off x="9396658" y="16233739"/>
          <a:ext cx="730167" cy="444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725651</xdr:colOff>
      <xdr:row>86</xdr:row>
      <xdr:rowOff>116926</xdr:rowOff>
    </xdr:from>
    <xdr:to>
      <xdr:col>18</xdr:col>
      <xdr:colOff>59777</xdr:colOff>
      <xdr:row>88</xdr:row>
      <xdr:rowOff>98534</xdr:rowOff>
    </xdr:to>
    <xdr:sp macro="" textlink="">
      <xdr:nvSpPr>
        <xdr:cNvPr id="157" name="Rectangle: Rounded Corners 156">
          <a:extLst>
            <a:ext uri="{FF2B5EF4-FFF2-40B4-BE49-F238E27FC236}">
              <a16:creationId xmlns:a16="http://schemas.microsoft.com/office/drawing/2014/main" id="{67D73DB2-80F6-4B87-9C3E-F386253C209F}"/>
            </a:ext>
          </a:extLst>
        </xdr:cNvPr>
        <xdr:cNvSpPr/>
      </xdr:nvSpPr>
      <xdr:spPr>
        <a:xfrm>
          <a:off x="12670001" y="164999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406563</xdr:colOff>
      <xdr:row>87</xdr:row>
      <xdr:rowOff>104884</xdr:rowOff>
    </xdr:from>
    <xdr:to>
      <xdr:col>17</xdr:col>
      <xdr:colOff>725651</xdr:colOff>
      <xdr:row>87</xdr:row>
      <xdr:rowOff>107731</xdr:rowOff>
    </xdr:to>
    <xdr:cxnSp macro="">
      <xdr:nvCxnSpPr>
        <xdr:cNvPr id="158" name="Straight Arrow Connector 157">
          <a:extLst>
            <a:ext uri="{FF2B5EF4-FFF2-40B4-BE49-F238E27FC236}">
              <a16:creationId xmlns:a16="http://schemas.microsoft.com/office/drawing/2014/main" id="{B8B1D9EA-1A70-492C-A520-9B2A285C9783}"/>
            </a:ext>
          </a:extLst>
        </xdr:cNvPr>
        <xdr:cNvCxnSpPr>
          <a:stCxn id="154" idx="3"/>
          <a:endCxn id="157" idx="1"/>
        </xdr:cNvCxnSpPr>
      </xdr:nvCxnSpPr>
      <xdr:spPr>
        <a:xfrm>
          <a:off x="12350913" y="16678384"/>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418469</xdr:colOff>
      <xdr:row>83</xdr:row>
      <xdr:rowOff>89546</xdr:rowOff>
    </xdr:from>
    <xdr:to>
      <xdr:col>17</xdr:col>
      <xdr:colOff>678025</xdr:colOff>
      <xdr:row>83</xdr:row>
      <xdr:rowOff>95497</xdr:rowOff>
    </xdr:to>
    <xdr:cxnSp macro="">
      <xdr:nvCxnSpPr>
        <xdr:cNvPr id="159" name="Straight Arrow Connector 158">
          <a:extLst>
            <a:ext uri="{FF2B5EF4-FFF2-40B4-BE49-F238E27FC236}">
              <a16:creationId xmlns:a16="http://schemas.microsoft.com/office/drawing/2014/main" id="{4B50448D-8D21-41FA-BAA2-2336D18D512A}"/>
            </a:ext>
          </a:extLst>
        </xdr:cNvPr>
        <xdr:cNvCxnSpPr>
          <a:cxnSpLocks/>
          <a:stCxn id="153" idx="3"/>
        </xdr:cNvCxnSpPr>
      </xdr:nvCxnSpPr>
      <xdr:spPr>
        <a:xfrm>
          <a:off x="12362819" y="159010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81</xdr:row>
      <xdr:rowOff>40838</xdr:rowOff>
    </xdr:from>
    <xdr:to>
      <xdr:col>40</xdr:col>
      <xdr:colOff>138551</xdr:colOff>
      <xdr:row>85</xdr:row>
      <xdr:rowOff>17024</xdr:rowOff>
    </xdr:to>
    <xdr:sp macro="" textlink="">
      <xdr:nvSpPr>
        <xdr:cNvPr id="160" name="Rectangle: Rounded Corners 159">
          <a:extLst>
            <a:ext uri="{FF2B5EF4-FFF2-40B4-BE49-F238E27FC236}">
              <a16:creationId xmlns:a16="http://schemas.microsoft.com/office/drawing/2014/main" id="{CC77A8EB-538D-443A-A448-6CDED79D73D3}"/>
            </a:ext>
          </a:extLst>
        </xdr:cNvPr>
        <xdr:cNvSpPr/>
      </xdr:nvSpPr>
      <xdr:spPr>
        <a:xfrm>
          <a:off x="23920122" y="15471338"/>
          <a:ext cx="438385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17105</xdr:colOff>
      <xdr:row>80</xdr:row>
      <xdr:rowOff>50364</xdr:rowOff>
    </xdr:from>
    <xdr:to>
      <xdr:col>42</xdr:col>
      <xdr:colOff>394464</xdr:colOff>
      <xdr:row>81</xdr:row>
      <xdr:rowOff>176953</xdr:rowOff>
    </xdr:to>
    <xdr:sp macro="" textlink="">
      <xdr:nvSpPr>
        <xdr:cNvPr id="161" name="Rectangle: Rounded Corners 160">
          <a:extLst>
            <a:ext uri="{FF2B5EF4-FFF2-40B4-BE49-F238E27FC236}">
              <a16:creationId xmlns:a16="http://schemas.microsoft.com/office/drawing/2014/main" id="{090DFCD8-364B-490D-BDC3-8682CCF7D397}"/>
            </a:ext>
          </a:extLst>
        </xdr:cNvPr>
        <xdr:cNvSpPr/>
      </xdr:nvSpPr>
      <xdr:spPr>
        <a:xfrm>
          <a:off x="28792130" y="15290364"/>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26630</xdr:colOff>
      <xdr:row>83</xdr:row>
      <xdr:rowOff>162665</xdr:rowOff>
    </xdr:from>
    <xdr:to>
      <xdr:col>42</xdr:col>
      <xdr:colOff>403989</xdr:colOff>
      <xdr:row>85</xdr:row>
      <xdr:rowOff>103133</xdr:rowOff>
    </xdr:to>
    <xdr:sp macro="" textlink="">
      <xdr:nvSpPr>
        <xdr:cNvPr id="162" name="Rectangle: Rounded Corners 161">
          <a:extLst>
            <a:ext uri="{FF2B5EF4-FFF2-40B4-BE49-F238E27FC236}">
              <a16:creationId xmlns:a16="http://schemas.microsoft.com/office/drawing/2014/main" id="{3D16F1C2-B825-4B3A-A311-B825D98FBAA8}"/>
            </a:ext>
          </a:extLst>
        </xdr:cNvPr>
        <xdr:cNvSpPr/>
      </xdr:nvSpPr>
      <xdr:spPr>
        <a:xfrm>
          <a:off x="28801655" y="159741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138551</xdr:colOff>
      <xdr:row>81</xdr:row>
      <xdr:rowOff>20598</xdr:rowOff>
    </xdr:from>
    <xdr:to>
      <xdr:col>41</xdr:col>
      <xdr:colOff>17105</xdr:colOff>
      <xdr:row>83</xdr:row>
      <xdr:rowOff>28931</xdr:rowOff>
    </xdr:to>
    <xdr:cxnSp macro="">
      <xdr:nvCxnSpPr>
        <xdr:cNvPr id="163" name="Straight Arrow Connector 162">
          <a:extLst>
            <a:ext uri="{FF2B5EF4-FFF2-40B4-BE49-F238E27FC236}">
              <a16:creationId xmlns:a16="http://schemas.microsoft.com/office/drawing/2014/main" id="{F5BE841A-B8E2-4D79-9D62-D7E535BF3409}"/>
            </a:ext>
          </a:extLst>
        </xdr:cNvPr>
        <xdr:cNvCxnSpPr>
          <a:stCxn id="160" idx="3"/>
          <a:endCxn id="161" idx="1"/>
        </xdr:cNvCxnSpPr>
      </xdr:nvCxnSpPr>
      <xdr:spPr>
        <a:xfrm flipV="1">
          <a:off x="28303976" y="15451098"/>
          <a:ext cx="488154" cy="38933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138551</xdr:colOff>
      <xdr:row>83</xdr:row>
      <xdr:rowOff>28931</xdr:rowOff>
    </xdr:from>
    <xdr:to>
      <xdr:col>41</xdr:col>
      <xdr:colOff>26630</xdr:colOff>
      <xdr:row>84</xdr:row>
      <xdr:rowOff>132900</xdr:rowOff>
    </xdr:to>
    <xdr:cxnSp macro="">
      <xdr:nvCxnSpPr>
        <xdr:cNvPr id="164" name="Straight Arrow Connector 163">
          <a:extLst>
            <a:ext uri="{FF2B5EF4-FFF2-40B4-BE49-F238E27FC236}">
              <a16:creationId xmlns:a16="http://schemas.microsoft.com/office/drawing/2014/main" id="{06924951-7F35-4F34-B648-352D5DBB5892}"/>
            </a:ext>
          </a:extLst>
        </xdr:cNvPr>
        <xdr:cNvCxnSpPr>
          <a:stCxn id="160" idx="3"/>
          <a:endCxn id="162" idx="1"/>
        </xdr:cNvCxnSpPr>
      </xdr:nvCxnSpPr>
      <xdr:spPr>
        <a:xfrm>
          <a:off x="28303976" y="15840431"/>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165320</xdr:colOff>
      <xdr:row>83</xdr:row>
      <xdr:rowOff>146706</xdr:rowOff>
    </xdr:from>
    <xdr:to>
      <xdr:col>44</xdr:col>
      <xdr:colOff>459828</xdr:colOff>
      <xdr:row>85</xdr:row>
      <xdr:rowOff>125274</xdr:rowOff>
    </xdr:to>
    <xdr:sp macro="" textlink="">
      <xdr:nvSpPr>
        <xdr:cNvPr id="165" name="Rectangle: Rounded Corners 164">
          <a:extLst>
            <a:ext uri="{FF2B5EF4-FFF2-40B4-BE49-F238E27FC236}">
              <a16:creationId xmlns:a16="http://schemas.microsoft.com/office/drawing/2014/main" id="{B69FACCC-BD62-46D1-8640-02CC337AB30E}"/>
            </a:ext>
          </a:extLst>
        </xdr:cNvPr>
        <xdr:cNvSpPr/>
      </xdr:nvSpPr>
      <xdr:spPr>
        <a:xfrm>
          <a:off x="30159545" y="159582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403989</xdr:colOff>
      <xdr:row>84</xdr:row>
      <xdr:rowOff>132900</xdr:rowOff>
    </xdr:from>
    <xdr:to>
      <xdr:col>43</xdr:col>
      <xdr:colOff>165320</xdr:colOff>
      <xdr:row>84</xdr:row>
      <xdr:rowOff>135991</xdr:rowOff>
    </xdr:to>
    <xdr:cxnSp macro="">
      <xdr:nvCxnSpPr>
        <xdr:cNvPr id="166" name="Straight Arrow Connector 165">
          <a:extLst>
            <a:ext uri="{FF2B5EF4-FFF2-40B4-BE49-F238E27FC236}">
              <a16:creationId xmlns:a16="http://schemas.microsoft.com/office/drawing/2014/main" id="{F69A7A8B-9185-4FE8-AC6B-C72C80737C09}"/>
            </a:ext>
          </a:extLst>
        </xdr:cNvPr>
        <xdr:cNvCxnSpPr>
          <a:stCxn id="162" idx="3"/>
          <a:endCxn id="165" idx="1"/>
        </xdr:cNvCxnSpPr>
      </xdr:nvCxnSpPr>
      <xdr:spPr>
        <a:xfrm>
          <a:off x="29788614" y="16134900"/>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501869</xdr:colOff>
      <xdr:row>78</xdr:row>
      <xdr:rowOff>127876</xdr:rowOff>
    </xdr:from>
    <xdr:to>
      <xdr:col>41</xdr:col>
      <xdr:colOff>512336</xdr:colOff>
      <xdr:row>80</xdr:row>
      <xdr:rowOff>50364</xdr:rowOff>
    </xdr:to>
    <xdr:cxnSp macro="">
      <xdr:nvCxnSpPr>
        <xdr:cNvPr id="167" name="Straight Arrow Connector 166">
          <a:extLst>
            <a:ext uri="{FF2B5EF4-FFF2-40B4-BE49-F238E27FC236}">
              <a16:creationId xmlns:a16="http://schemas.microsoft.com/office/drawing/2014/main" id="{34AEEE0E-C10C-4F8D-9A12-750EE0291FD5}"/>
            </a:ext>
          </a:extLst>
        </xdr:cNvPr>
        <xdr:cNvCxnSpPr>
          <a:stCxn id="161" idx="0"/>
          <a:endCxn id="168" idx="2"/>
        </xdr:cNvCxnSpPr>
      </xdr:nvCxnSpPr>
      <xdr:spPr>
        <a:xfrm flipH="1" flipV="1">
          <a:off x="29276894" y="14986876"/>
          <a:ext cx="10467"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292101</xdr:colOff>
      <xdr:row>73</xdr:row>
      <xdr:rowOff>109482</xdr:rowOff>
    </xdr:from>
    <xdr:to>
      <xdr:col>44</xdr:col>
      <xdr:colOff>98534</xdr:colOff>
      <xdr:row>78</xdr:row>
      <xdr:rowOff>127876</xdr:rowOff>
    </xdr:to>
    <xdr:sp macro="" textlink="">
      <xdr:nvSpPr>
        <xdr:cNvPr id="168" name="Rectangle: Rounded Corners 167">
          <a:extLst>
            <a:ext uri="{FF2B5EF4-FFF2-40B4-BE49-F238E27FC236}">
              <a16:creationId xmlns:a16="http://schemas.microsoft.com/office/drawing/2014/main" id="{A6E77056-FEF6-479E-A111-539C93458B15}"/>
            </a:ext>
          </a:extLst>
        </xdr:cNvPr>
        <xdr:cNvSpPr/>
      </xdr:nvSpPr>
      <xdr:spPr>
        <a:xfrm>
          <a:off x="27847926" y="14015982"/>
          <a:ext cx="2854433" cy="97089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394464</xdr:colOff>
      <xdr:row>81</xdr:row>
      <xdr:rowOff>18394</xdr:rowOff>
    </xdr:from>
    <xdr:to>
      <xdr:col>46</xdr:col>
      <xdr:colOff>62185</xdr:colOff>
      <xdr:row>81</xdr:row>
      <xdr:rowOff>20598</xdr:rowOff>
    </xdr:to>
    <xdr:cxnSp macro="">
      <xdr:nvCxnSpPr>
        <xdr:cNvPr id="169" name="Straight Arrow Connector 168">
          <a:extLst>
            <a:ext uri="{FF2B5EF4-FFF2-40B4-BE49-F238E27FC236}">
              <a16:creationId xmlns:a16="http://schemas.microsoft.com/office/drawing/2014/main" id="{F6A11A5B-B275-4593-A8FE-A1A65029C32B}"/>
            </a:ext>
          </a:extLst>
        </xdr:cNvPr>
        <xdr:cNvCxnSpPr>
          <a:stCxn id="161" idx="3"/>
          <a:endCxn id="170" idx="1"/>
        </xdr:cNvCxnSpPr>
      </xdr:nvCxnSpPr>
      <xdr:spPr>
        <a:xfrm flipV="1">
          <a:off x="29779089" y="1544889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62185</xdr:colOff>
      <xdr:row>79</xdr:row>
      <xdr:rowOff>105980</xdr:rowOff>
    </xdr:from>
    <xdr:to>
      <xdr:col>50</xdr:col>
      <xdr:colOff>138823</xdr:colOff>
      <xdr:row>82</xdr:row>
      <xdr:rowOff>116928</xdr:rowOff>
    </xdr:to>
    <xdr:sp macro="" textlink="">
      <xdr:nvSpPr>
        <xdr:cNvPr id="170" name="Rectangle: Rounded Corners 169">
          <a:extLst>
            <a:ext uri="{FF2B5EF4-FFF2-40B4-BE49-F238E27FC236}">
              <a16:creationId xmlns:a16="http://schemas.microsoft.com/office/drawing/2014/main" id="{FDE43D92-3A40-4B4F-9A0C-BDC7077BA6F9}"/>
            </a:ext>
          </a:extLst>
        </xdr:cNvPr>
        <xdr:cNvSpPr/>
      </xdr:nvSpPr>
      <xdr:spPr>
        <a:xfrm>
          <a:off x="31885210" y="151554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99216</xdr:colOff>
      <xdr:row>75</xdr:row>
      <xdr:rowOff>149772</xdr:rowOff>
    </xdr:from>
    <xdr:to>
      <xdr:col>53</xdr:col>
      <xdr:colOff>138822</xdr:colOff>
      <xdr:row>79</xdr:row>
      <xdr:rowOff>73133</xdr:rowOff>
    </xdr:to>
    <xdr:sp macro="" textlink="">
      <xdr:nvSpPr>
        <xdr:cNvPr id="171" name="Rectangle: Rounded Corners 170">
          <a:extLst>
            <a:ext uri="{FF2B5EF4-FFF2-40B4-BE49-F238E27FC236}">
              <a16:creationId xmlns:a16="http://schemas.microsoft.com/office/drawing/2014/main" id="{C88F1E7E-E5F7-4447-84CC-7546A457532A}"/>
            </a:ext>
          </a:extLst>
        </xdr:cNvPr>
        <xdr:cNvSpPr/>
      </xdr:nvSpPr>
      <xdr:spPr>
        <a:xfrm>
          <a:off x="34970241" y="14437272"/>
          <a:ext cx="1258806" cy="6853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109288</xdr:colOff>
      <xdr:row>81</xdr:row>
      <xdr:rowOff>72258</xdr:rowOff>
    </xdr:from>
    <xdr:to>
      <xdr:col>53</xdr:col>
      <xdr:colOff>148894</xdr:colOff>
      <xdr:row>83</xdr:row>
      <xdr:rowOff>181740</xdr:rowOff>
    </xdr:to>
    <xdr:sp macro="" textlink="">
      <xdr:nvSpPr>
        <xdr:cNvPr id="172" name="Rectangle: Rounded Corners 171">
          <a:extLst>
            <a:ext uri="{FF2B5EF4-FFF2-40B4-BE49-F238E27FC236}">
              <a16:creationId xmlns:a16="http://schemas.microsoft.com/office/drawing/2014/main" id="{C09FFD4F-3925-4B34-8353-A52F63BD05DE}"/>
            </a:ext>
          </a:extLst>
        </xdr:cNvPr>
        <xdr:cNvSpPr/>
      </xdr:nvSpPr>
      <xdr:spPr>
        <a:xfrm>
          <a:off x="34980313" y="15502758"/>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138823</xdr:colOff>
      <xdr:row>78</xdr:row>
      <xdr:rowOff>18393</xdr:rowOff>
    </xdr:from>
    <xdr:to>
      <xdr:col>51</xdr:col>
      <xdr:colOff>99216</xdr:colOff>
      <xdr:row>81</xdr:row>
      <xdr:rowOff>18394</xdr:rowOff>
    </xdr:to>
    <xdr:cxnSp macro="">
      <xdr:nvCxnSpPr>
        <xdr:cNvPr id="173" name="Straight Arrow Connector 172">
          <a:extLst>
            <a:ext uri="{FF2B5EF4-FFF2-40B4-BE49-F238E27FC236}">
              <a16:creationId xmlns:a16="http://schemas.microsoft.com/office/drawing/2014/main" id="{9EC6E413-FB55-4389-AAAA-3FC3FEA3E750}"/>
            </a:ext>
          </a:extLst>
        </xdr:cNvPr>
        <xdr:cNvCxnSpPr>
          <a:stCxn id="170" idx="3"/>
          <a:endCxn id="171" idx="1"/>
        </xdr:cNvCxnSpPr>
      </xdr:nvCxnSpPr>
      <xdr:spPr>
        <a:xfrm flipV="1">
          <a:off x="34400248" y="1487739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138823</xdr:colOff>
      <xdr:row>81</xdr:row>
      <xdr:rowOff>18394</xdr:rowOff>
    </xdr:from>
    <xdr:to>
      <xdr:col>51</xdr:col>
      <xdr:colOff>109288</xdr:colOff>
      <xdr:row>82</xdr:row>
      <xdr:rowOff>126999</xdr:rowOff>
    </xdr:to>
    <xdr:cxnSp macro="">
      <xdr:nvCxnSpPr>
        <xdr:cNvPr id="174" name="Straight Arrow Connector 173">
          <a:extLst>
            <a:ext uri="{FF2B5EF4-FFF2-40B4-BE49-F238E27FC236}">
              <a16:creationId xmlns:a16="http://schemas.microsoft.com/office/drawing/2014/main" id="{FBAC9474-FA85-4A6F-80FD-3C39E47FB63B}"/>
            </a:ext>
          </a:extLst>
        </xdr:cNvPr>
        <xdr:cNvCxnSpPr>
          <a:stCxn id="170" idx="3"/>
          <a:endCxn id="172" idx="1"/>
        </xdr:cNvCxnSpPr>
      </xdr:nvCxnSpPr>
      <xdr:spPr>
        <a:xfrm>
          <a:off x="34400248" y="15448894"/>
          <a:ext cx="580065" cy="29910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75567</xdr:colOff>
      <xdr:row>75</xdr:row>
      <xdr:rowOff>148019</xdr:rowOff>
    </xdr:from>
    <xdr:to>
      <xdr:col>56</xdr:col>
      <xdr:colOff>115173</xdr:colOff>
      <xdr:row>79</xdr:row>
      <xdr:rowOff>71380</xdr:rowOff>
    </xdr:to>
    <xdr:sp macro="" textlink="">
      <xdr:nvSpPr>
        <xdr:cNvPr id="175" name="Rectangle: Rounded Corners 174">
          <a:extLst>
            <a:ext uri="{FF2B5EF4-FFF2-40B4-BE49-F238E27FC236}">
              <a16:creationId xmlns:a16="http://schemas.microsoft.com/office/drawing/2014/main" id="{5BF7EC70-E8D9-48B1-BCEC-39422679E700}"/>
            </a:ext>
          </a:extLst>
        </xdr:cNvPr>
        <xdr:cNvSpPr/>
      </xdr:nvSpPr>
      <xdr:spPr>
        <a:xfrm>
          <a:off x="36775392" y="14435519"/>
          <a:ext cx="1258806" cy="6853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63742</xdr:colOff>
      <xdr:row>81</xdr:row>
      <xdr:rowOff>70506</xdr:rowOff>
    </xdr:from>
    <xdr:to>
      <xdr:col>56</xdr:col>
      <xdr:colOff>103348</xdr:colOff>
      <xdr:row>83</xdr:row>
      <xdr:rowOff>179988</xdr:rowOff>
    </xdr:to>
    <xdr:sp macro="" textlink="">
      <xdr:nvSpPr>
        <xdr:cNvPr id="176" name="Rectangle: Rounded Corners 175">
          <a:extLst>
            <a:ext uri="{FF2B5EF4-FFF2-40B4-BE49-F238E27FC236}">
              <a16:creationId xmlns:a16="http://schemas.microsoft.com/office/drawing/2014/main" id="{B0C4AD7B-042C-4408-8159-B08B77BE4379}"/>
            </a:ext>
          </a:extLst>
        </xdr:cNvPr>
        <xdr:cNvSpPr/>
      </xdr:nvSpPr>
      <xdr:spPr>
        <a:xfrm>
          <a:off x="36763567" y="1550100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138822</xdr:colOff>
      <xdr:row>78</xdr:row>
      <xdr:rowOff>16640</xdr:rowOff>
    </xdr:from>
    <xdr:to>
      <xdr:col>54</xdr:col>
      <xdr:colOff>75567</xdr:colOff>
      <xdr:row>78</xdr:row>
      <xdr:rowOff>18393</xdr:rowOff>
    </xdr:to>
    <xdr:cxnSp macro="">
      <xdr:nvCxnSpPr>
        <xdr:cNvPr id="177" name="Straight Arrow Connector 176">
          <a:extLst>
            <a:ext uri="{FF2B5EF4-FFF2-40B4-BE49-F238E27FC236}">
              <a16:creationId xmlns:a16="http://schemas.microsoft.com/office/drawing/2014/main" id="{590913BD-C496-4347-99DC-DE36EBCABC41}"/>
            </a:ext>
          </a:extLst>
        </xdr:cNvPr>
        <xdr:cNvCxnSpPr>
          <a:stCxn id="171" idx="3"/>
          <a:endCxn id="175" idx="1"/>
        </xdr:cNvCxnSpPr>
      </xdr:nvCxnSpPr>
      <xdr:spPr>
        <a:xfrm flipV="1">
          <a:off x="36229047" y="1487564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148894</xdr:colOff>
      <xdr:row>82</xdr:row>
      <xdr:rowOff>125247</xdr:rowOff>
    </xdr:from>
    <xdr:to>
      <xdr:col>54</xdr:col>
      <xdr:colOff>63742</xdr:colOff>
      <xdr:row>82</xdr:row>
      <xdr:rowOff>126999</xdr:rowOff>
    </xdr:to>
    <xdr:cxnSp macro="">
      <xdr:nvCxnSpPr>
        <xdr:cNvPr id="178" name="Straight Arrow Connector 177">
          <a:extLst>
            <a:ext uri="{FF2B5EF4-FFF2-40B4-BE49-F238E27FC236}">
              <a16:creationId xmlns:a16="http://schemas.microsoft.com/office/drawing/2014/main" id="{24F844E6-0F71-442F-A850-288D1B7178DD}"/>
            </a:ext>
          </a:extLst>
        </xdr:cNvPr>
        <xdr:cNvCxnSpPr>
          <a:stCxn id="172" idx="3"/>
          <a:endCxn id="176" idx="1"/>
        </xdr:cNvCxnSpPr>
      </xdr:nvCxnSpPr>
      <xdr:spPr>
        <a:xfrm flipV="1">
          <a:off x="36239119" y="157462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653610</xdr:colOff>
      <xdr:row>81</xdr:row>
      <xdr:rowOff>116051</xdr:rowOff>
    </xdr:from>
    <xdr:to>
      <xdr:col>17</xdr:col>
      <xdr:colOff>2558392</xdr:colOff>
      <xdr:row>84</xdr:row>
      <xdr:rowOff>126999</xdr:rowOff>
    </xdr:to>
    <xdr:sp macro="" textlink="">
      <xdr:nvSpPr>
        <xdr:cNvPr id="179" name="Rectangle: Rounded Corners 178">
          <a:extLst>
            <a:ext uri="{FF2B5EF4-FFF2-40B4-BE49-F238E27FC236}">
              <a16:creationId xmlns:a16="http://schemas.microsoft.com/office/drawing/2014/main" id="{A432259F-6902-4E48-9630-50C40335807D}"/>
            </a:ext>
          </a:extLst>
        </xdr:cNvPr>
        <xdr:cNvSpPr/>
      </xdr:nvSpPr>
      <xdr:spPr>
        <a:xfrm>
          <a:off x="12597960" y="15546551"/>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2558392</xdr:colOff>
      <xdr:row>75</xdr:row>
      <xdr:rowOff>71164</xdr:rowOff>
    </xdr:from>
    <xdr:to>
      <xdr:col>18</xdr:col>
      <xdr:colOff>292097</xdr:colOff>
      <xdr:row>83</xdr:row>
      <xdr:rowOff>28464</xdr:rowOff>
    </xdr:to>
    <xdr:cxnSp macro="">
      <xdr:nvCxnSpPr>
        <xdr:cNvPr id="180" name="Straight Arrow Connector 179">
          <a:extLst>
            <a:ext uri="{FF2B5EF4-FFF2-40B4-BE49-F238E27FC236}">
              <a16:creationId xmlns:a16="http://schemas.microsoft.com/office/drawing/2014/main" id="{A05D8007-5210-44A1-8D39-2444880CDD65}"/>
            </a:ext>
          </a:extLst>
        </xdr:cNvPr>
        <xdr:cNvCxnSpPr>
          <a:stCxn id="179" idx="3"/>
          <a:endCxn id="181" idx="1"/>
        </xdr:cNvCxnSpPr>
      </xdr:nvCxnSpPr>
      <xdr:spPr>
        <a:xfrm flipV="1">
          <a:off x="14502742" y="14358664"/>
          <a:ext cx="438805" cy="14813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292097</xdr:colOff>
      <xdr:row>74</xdr:row>
      <xdr:rowOff>43793</xdr:rowOff>
    </xdr:from>
    <xdr:to>
      <xdr:col>20</xdr:col>
      <xdr:colOff>171667</xdr:colOff>
      <xdr:row>76</xdr:row>
      <xdr:rowOff>98534</xdr:rowOff>
    </xdr:to>
    <xdr:sp macro="" textlink="">
      <xdr:nvSpPr>
        <xdr:cNvPr id="181" name="Rectangle: Rounded Corners 180">
          <a:extLst>
            <a:ext uri="{FF2B5EF4-FFF2-40B4-BE49-F238E27FC236}">
              <a16:creationId xmlns:a16="http://schemas.microsoft.com/office/drawing/2014/main" id="{D15E3E1B-C334-43AF-BFD9-EC8A3ECD71CB}"/>
            </a:ext>
          </a:extLst>
        </xdr:cNvPr>
        <xdr:cNvSpPr/>
      </xdr:nvSpPr>
      <xdr:spPr>
        <a:xfrm>
          <a:off x="14941547" y="14140793"/>
          <a:ext cx="1203545" cy="43574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504715</xdr:colOff>
      <xdr:row>74</xdr:row>
      <xdr:rowOff>43793</xdr:rowOff>
    </xdr:from>
    <xdr:to>
      <xdr:col>23</xdr:col>
      <xdr:colOff>21896</xdr:colOff>
      <xdr:row>76</xdr:row>
      <xdr:rowOff>109481</xdr:rowOff>
    </xdr:to>
    <xdr:sp macro="" textlink="">
      <xdr:nvSpPr>
        <xdr:cNvPr id="182" name="Rectangle: Rounded Corners 181">
          <a:extLst>
            <a:ext uri="{FF2B5EF4-FFF2-40B4-BE49-F238E27FC236}">
              <a16:creationId xmlns:a16="http://schemas.microsoft.com/office/drawing/2014/main" id="{B68D6F92-7967-46DB-B847-3FDBFEDB263E}"/>
            </a:ext>
          </a:extLst>
        </xdr:cNvPr>
        <xdr:cNvSpPr/>
      </xdr:nvSpPr>
      <xdr:spPr>
        <a:xfrm>
          <a:off x="16478140" y="14140793"/>
          <a:ext cx="1345981" cy="44668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291440</xdr:colOff>
      <xdr:row>81</xdr:row>
      <xdr:rowOff>62188</xdr:rowOff>
    </xdr:from>
    <xdr:to>
      <xdr:col>22</xdr:col>
      <xdr:colOff>182615</xdr:colOff>
      <xdr:row>84</xdr:row>
      <xdr:rowOff>182619</xdr:rowOff>
    </xdr:to>
    <xdr:sp macro="" textlink="">
      <xdr:nvSpPr>
        <xdr:cNvPr id="183" name="Rectangle: Rounded Corners 182">
          <a:extLst>
            <a:ext uri="{FF2B5EF4-FFF2-40B4-BE49-F238E27FC236}">
              <a16:creationId xmlns:a16="http://schemas.microsoft.com/office/drawing/2014/main" id="{C1BBE412-784C-4D00-A0E3-5724E9962A54}"/>
            </a:ext>
          </a:extLst>
        </xdr:cNvPr>
        <xdr:cNvSpPr/>
      </xdr:nvSpPr>
      <xdr:spPr>
        <a:xfrm>
          <a:off x="14940890" y="15492688"/>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2558392</xdr:colOff>
      <xdr:row>83</xdr:row>
      <xdr:rowOff>28465</xdr:rowOff>
    </xdr:from>
    <xdr:to>
      <xdr:col>18</xdr:col>
      <xdr:colOff>291440</xdr:colOff>
      <xdr:row>83</xdr:row>
      <xdr:rowOff>29344</xdr:rowOff>
    </xdr:to>
    <xdr:cxnSp macro="">
      <xdr:nvCxnSpPr>
        <xdr:cNvPr id="184" name="Straight Arrow Connector 183">
          <a:extLst>
            <a:ext uri="{FF2B5EF4-FFF2-40B4-BE49-F238E27FC236}">
              <a16:creationId xmlns:a16="http://schemas.microsoft.com/office/drawing/2014/main" id="{F48E7791-1844-494B-8311-0679F55B7D14}"/>
            </a:ext>
          </a:extLst>
        </xdr:cNvPr>
        <xdr:cNvCxnSpPr>
          <a:stCxn id="179" idx="3"/>
          <a:endCxn id="183" idx="1"/>
        </xdr:cNvCxnSpPr>
      </xdr:nvCxnSpPr>
      <xdr:spPr>
        <a:xfrm>
          <a:off x="14502742" y="15839965"/>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612472</xdr:colOff>
      <xdr:row>103</xdr:row>
      <xdr:rowOff>81761</xdr:rowOff>
    </xdr:from>
    <xdr:to>
      <xdr:col>15</xdr:col>
      <xdr:colOff>23182</xdr:colOff>
      <xdr:row>106</xdr:row>
      <xdr:rowOff>141292</xdr:rowOff>
    </xdr:to>
    <xdr:sp macro="" textlink="">
      <xdr:nvSpPr>
        <xdr:cNvPr id="185" name="Rectangle: Rounded Corners 184">
          <a:extLst>
            <a:ext uri="{FF2B5EF4-FFF2-40B4-BE49-F238E27FC236}">
              <a16:creationId xmlns:a16="http://schemas.microsoft.com/office/drawing/2014/main" id="{CC5173D5-0838-4279-B436-8E948157E0B0}"/>
            </a:ext>
          </a:extLst>
        </xdr:cNvPr>
        <xdr:cNvSpPr/>
      </xdr:nvSpPr>
      <xdr:spPr>
        <a:xfrm>
          <a:off x="5717872" y="19703261"/>
          <a:ext cx="3677910"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567888</xdr:colOff>
      <xdr:row>105</xdr:row>
      <xdr:rowOff>18466</xdr:rowOff>
    </xdr:from>
    <xdr:to>
      <xdr:col>8</xdr:col>
      <xdr:colOff>612472</xdr:colOff>
      <xdr:row>105</xdr:row>
      <xdr:rowOff>22633</xdr:rowOff>
    </xdr:to>
    <xdr:cxnSp macro="">
      <xdr:nvCxnSpPr>
        <xdr:cNvPr id="186" name="Straight Arrow Connector 185">
          <a:extLst>
            <a:ext uri="{FF2B5EF4-FFF2-40B4-BE49-F238E27FC236}">
              <a16:creationId xmlns:a16="http://schemas.microsoft.com/office/drawing/2014/main" id="{05BDB9F3-4A1D-4A9F-8051-066F2CAF60E5}"/>
            </a:ext>
          </a:extLst>
        </xdr:cNvPr>
        <xdr:cNvCxnSpPr>
          <a:stCxn id="8" idx="3"/>
          <a:endCxn id="185" idx="1"/>
        </xdr:cNvCxnSpPr>
      </xdr:nvCxnSpPr>
      <xdr:spPr>
        <a:xfrm flipV="1">
          <a:off x="5063688" y="20020966"/>
          <a:ext cx="654184" cy="41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155655</xdr:colOff>
      <xdr:row>102</xdr:row>
      <xdr:rowOff>96538</xdr:rowOff>
    </xdr:from>
    <xdr:to>
      <xdr:col>17</xdr:col>
      <xdr:colOff>417593</xdr:colOff>
      <xdr:row>104</xdr:row>
      <xdr:rowOff>37007</xdr:rowOff>
    </xdr:to>
    <xdr:sp macro="" textlink="">
      <xdr:nvSpPr>
        <xdr:cNvPr id="187" name="Rectangle: Rounded Corners 186">
          <a:extLst>
            <a:ext uri="{FF2B5EF4-FFF2-40B4-BE49-F238E27FC236}">
              <a16:creationId xmlns:a16="http://schemas.microsoft.com/office/drawing/2014/main" id="{14A67FC1-BA96-4C5B-8A68-E4AE0A79B0FE}"/>
            </a:ext>
          </a:extLst>
        </xdr:cNvPr>
        <xdr:cNvSpPr/>
      </xdr:nvSpPr>
      <xdr:spPr>
        <a:xfrm>
          <a:off x="10137855" y="19527538"/>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700/ Rp 10,000,000</a:t>
          </a:r>
        </a:p>
      </xdr:txBody>
    </xdr:sp>
    <xdr:clientData/>
  </xdr:twoCellAnchor>
  <xdr:twoCellAnchor>
    <xdr:from>
      <xdr:col>16</xdr:col>
      <xdr:colOff>143749</xdr:colOff>
      <xdr:row>106</xdr:row>
      <xdr:rowOff>132253</xdr:rowOff>
    </xdr:from>
    <xdr:to>
      <xdr:col>17</xdr:col>
      <xdr:colOff>405687</xdr:colOff>
      <xdr:row>108</xdr:row>
      <xdr:rowOff>37004</xdr:rowOff>
    </xdr:to>
    <xdr:sp macro="" textlink="">
      <xdr:nvSpPr>
        <xdr:cNvPr id="188" name="Rectangle: Rounded Corners 187">
          <a:extLst>
            <a:ext uri="{FF2B5EF4-FFF2-40B4-BE49-F238E27FC236}">
              <a16:creationId xmlns:a16="http://schemas.microsoft.com/office/drawing/2014/main" id="{FA90C3FD-63A2-49B1-AA58-3462D11B455F}"/>
            </a:ext>
          </a:extLst>
        </xdr:cNvPr>
        <xdr:cNvSpPr/>
      </xdr:nvSpPr>
      <xdr:spPr>
        <a:xfrm>
          <a:off x="10125949" y="20325253"/>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700/ Rp 10,000,000</a:t>
          </a:r>
          <a:endParaRPr lang="en-ID" sz="1100"/>
        </a:p>
      </xdr:txBody>
    </xdr:sp>
    <xdr:clientData/>
  </xdr:twoCellAnchor>
  <xdr:twoCellAnchor>
    <xdr:from>
      <xdr:col>15</xdr:col>
      <xdr:colOff>23182</xdr:colOff>
      <xdr:row>103</xdr:row>
      <xdr:rowOff>66773</xdr:rowOff>
    </xdr:from>
    <xdr:to>
      <xdr:col>16</xdr:col>
      <xdr:colOff>155655</xdr:colOff>
      <xdr:row>105</xdr:row>
      <xdr:rowOff>18467</xdr:rowOff>
    </xdr:to>
    <xdr:cxnSp macro="">
      <xdr:nvCxnSpPr>
        <xdr:cNvPr id="189" name="Straight Arrow Connector 188">
          <a:extLst>
            <a:ext uri="{FF2B5EF4-FFF2-40B4-BE49-F238E27FC236}">
              <a16:creationId xmlns:a16="http://schemas.microsoft.com/office/drawing/2014/main" id="{6751AE65-7680-4929-9277-43AA2C5EB4D7}"/>
            </a:ext>
          </a:extLst>
        </xdr:cNvPr>
        <xdr:cNvCxnSpPr>
          <a:stCxn id="185" idx="3"/>
          <a:endCxn id="187" idx="1"/>
        </xdr:cNvCxnSpPr>
      </xdr:nvCxnSpPr>
      <xdr:spPr>
        <a:xfrm flipV="1">
          <a:off x="9395782" y="19688273"/>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23182</xdr:colOff>
      <xdr:row>105</xdr:row>
      <xdr:rowOff>18467</xdr:rowOff>
    </xdr:from>
    <xdr:to>
      <xdr:col>16</xdr:col>
      <xdr:colOff>143749</xdr:colOff>
      <xdr:row>107</xdr:row>
      <xdr:rowOff>84628</xdr:rowOff>
    </xdr:to>
    <xdr:cxnSp macro="">
      <xdr:nvCxnSpPr>
        <xdr:cNvPr id="190" name="Straight Arrow Connector 189">
          <a:extLst>
            <a:ext uri="{FF2B5EF4-FFF2-40B4-BE49-F238E27FC236}">
              <a16:creationId xmlns:a16="http://schemas.microsoft.com/office/drawing/2014/main" id="{D00F6C5C-08A3-4911-A489-4587DE842182}"/>
            </a:ext>
          </a:extLst>
        </xdr:cNvPr>
        <xdr:cNvCxnSpPr>
          <a:stCxn id="185" idx="3"/>
          <a:endCxn id="188" idx="1"/>
        </xdr:cNvCxnSpPr>
      </xdr:nvCxnSpPr>
      <xdr:spPr>
        <a:xfrm>
          <a:off x="9395782" y="20020967"/>
          <a:ext cx="730167" cy="4471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724775</xdr:colOff>
      <xdr:row>106</xdr:row>
      <xdr:rowOff>94154</xdr:rowOff>
    </xdr:from>
    <xdr:to>
      <xdr:col>18</xdr:col>
      <xdr:colOff>58901</xdr:colOff>
      <xdr:row>108</xdr:row>
      <xdr:rowOff>72723</xdr:rowOff>
    </xdr:to>
    <xdr:sp macro="" textlink="">
      <xdr:nvSpPr>
        <xdr:cNvPr id="191" name="Rectangle: Rounded Corners 190">
          <a:extLst>
            <a:ext uri="{FF2B5EF4-FFF2-40B4-BE49-F238E27FC236}">
              <a16:creationId xmlns:a16="http://schemas.microsoft.com/office/drawing/2014/main" id="{1871E9B8-45A7-4654-8959-6CD699EF73D2}"/>
            </a:ext>
          </a:extLst>
        </xdr:cNvPr>
        <xdr:cNvSpPr/>
      </xdr:nvSpPr>
      <xdr:spPr>
        <a:xfrm>
          <a:off x="12669125" y="20287154"/>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405687</xdr:colOff>
      <xdr:row>107</xdr:row>
      <xdr:rowOff>83438</xdr:rowOff>
    </xdr:from>
    <xdr:to>
      <xdr:col>17</xdr:col>
      <xdr:colOff>724775</xdr:colOff>
      <xdr:row>107</xdr:row>
      <xdr:rowOff>84628</xdr:rowOff>
    </xdr:to>
    <xdr:cxnSp macro="">
      <xdr:nvCxnSpPr>
        <xdr:cNvPr id="192" name="Straight Arrow Connector 191">
          <a:extLst>
            <a:ext uri="{FF2B5EF4-FFF2-40B4-BE49-F238E27FC236}">
              <a16:creationId xmlns:a16="http://schemas.microsoft.com/office/drawing/2014/main" id="{D8C352DF-236E-4FDC-9F63-A229658524EE}"/>
            </a:ext>
          </a:extLst>
        </xdr:cNvPr>
        <xdr:cNvCxnSpPr>
          <a:stCxn id="188" idx="3"/>
          <a:endCxn id="191" idx="1"/>
        </xdr:cNvCxnSpPr>
      </xdr:nvCxnSpPr>
      <xdr:spPr>
        <a:xfrm flipV="1">
          <a:off x="12350037" y="20466938"/>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417593</xdr:colOff>
      <xdr:row>103</xdr:row>
      <xdr:rowOff>66773</xdr:rowOff>
    </xdr:from>
    <xdr:to>
      <xdr:col>17</xdr:col>
      <xdr:colOff>677149</xdr:colOff>
      <xdr:row>103</xdr:row>
      <xdr:rowOff>72724</xdr:rowOff>
    </xdr:to>
    <xdr:cxnSp macro="">
      <xdr:nvCxnSpPr>
        <xdr:cNvPr id="193" name="Straight Arrow Connector 192">
          <a:extLst>
            <a:ext uri="{FF2B5EF4-FFF2-40B4-BE49-F238E27FC236}">
              <a16:creationId xmlns:a16="http://schemas.microsoft.com/office/drawing/2014/main" id="{2BC9869D-B9BF-4DC8-9062-E20CE4451A25}"/>
            </a:ext>
          </a:extLst>
        </xdr:cNvPr>
        <xdr:cNvCxnSpPr>
          <a:cxnSpLocks/>
          <a:stCxn id="187" idx="3"/>
        </xdr:cNvCxnSpPr>
      </xdr:nvCxnSpPr>
      <xdr:spPr>
        <a:xfrm>
          <a:off x="12361943" y="19688273"/>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101</xdr:row>
      <xdr:rowOff>18066</xdr:rowOff>
    </xdr:from>
    <xdr:to>
      <xdr:col>40</xdr:col>
      <xdr:colOff>137675</xdr:colOff>
      <xdr:row>104</xdr:row>
      <xdr:rowOff>180372</xdr:rowOff>
    </xdr:to>
    <xdr:sp macro="" textlink="">
      <xdr:nvSpPr>
        <xdr:cNvPr id="194" name="Rectangle: Rounded Corners 193">
          <a:extLst>
            <a:ext uri="{FF2B5EF4-FFF2-40B4-BE49-F238E27FC236}">
              <a16:creationId xmlns:a16="http://schemas.microsoft.com/office/drawing/2014/main" id="{8B8BCCC8-F349-43EC-96DF-E45B4C5E3017}"/>
            </a:ext>
          </a:extLst>
        </xdr:cNvPr>
        <xdr:cNvSpPr/>
      </xdr:nvSpPr>
      <xdr:spPr>
        <a:xfrm>
          <a:off x="23920122" y="19258566"/>
          <a:ext cx="4382978" cy="73380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16229</xdr:colOff>
      <xdr:row>100</xdr:row>
      <xdr:rowOff>27591</xdr:rowOff>
    </xdr:from>
    <xdr:to>
      <xdr:col>42</xdr:col>
      <xdr:colOff>393588</xdr:colOff>
      <xdr:row>101</xdr:row>
      <xdr:rowOff>154181</xdr:rowOff>
    </xdr:to>
    <xdr:sp macro="" textlink="">
      <xdr:nvSpPr>
        <xdr:cNvPr id="195" name="Rectangle: Rounded Corners 194">
          <a:extLst>
            <a:ext uri="{FF2B5EF4-FFF2-40B4-BE49-F238E27FC236}">
              <a16:creationId xmlns:a16="http://schemas.microsoft.com/office/drawing/2014/main" id="{1176953C-E2F2-40C2-B719-BB6473F31D47}"/>
            </a:ext>
          </a:extLst>
        </xdr:cNvPr>
        <xdr:cNvSpPr/>
      </xdr:nvSpPr>
      <xdr:spPr>
        <a:xfrm>
          <a:off x="28791254" y="19077591"/>
          <a:ext cx="986959" cy="3170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25754</xdr:colOff>
      <xdr:row>103</xdr:row>
      <xdr:rowOff>139892</xdr:rowOff>
    </xdr:from>
    <xdr:to>
      <xdr:col>42</xdr:col>
      <xdr:colOff>403113</xdr:colOff>
      <xdr:row>105</xdr:row>
      <xdr:rowOff>80361</xdr:rowOff>
    </xdr:to>
    <xdr:sp macro="" textlink="">
      <xdr:nvSpPr>
        <xdr:cNvPr id="196" name="Rectangle: Rounded Corners 195">
          <a:extLst>
            <a:ext uri="{FF2B5EF4-FFF2-40B4-BE49-F238E27FC236}">
              <a16:creationId xmlns:a16="http://schemas.microsoft.com/office/drawing/2014/main" id="{4A9244AD-D18C-4ADE-A0F1-FB4CD843B31E}"/>
            </a:ext>
          </a:extLst>
        </xdr:cNvPr>
        <xdr:cNvSpPr/>
      </xdr:nvSpPr>
      <xdr:spPr>
        <a:xfrm>
          <a:off x="28800779" y="19761392"/>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137675</xdr:colOff>
      <xdr:row>100</xdr:row>
      <xdr:rowOff>183947</xdr:rowOff>
    </xdr:from>
    <xdr:to>
      <xdr:col>41</xdr:col>
      <xdr:colOff>16229</xdr:colOff>
      <xdr:row>103</xdr:row>
      <xdr:rowOff>6159</xdr:rowOff>
    </xdr:to>
    <xdr:cxnSp macro="">
      <xdr:nvCxnSpPr>
        <xdr:cNvPr id="197" name="Straight Arrow Connector 196">
          <a:extLst>
            <a:ext uri="{FF2B5EF4-FFF2-40B4-BE49-F238E27FC236}">
              <a16:creationId xmlns:a16="http://schemas.microsoft.com/office/drawing/2014/main" id="{7413CF16-3A99-444F-852B-D1EFDD8DC266}"/>
            </a:ext>
          </a:extLst>
        </xdr:cNvPr>
        <xdr:cNvCxnSpPr>
          <a:stCxn id="194" idx="3"/>
          <a:endCxn id="195" idx="1"/>
        </xdr:cNvCxnSpPr>
      </xdr:nvCxnSpPr>
      <xdr:spPr>
        <a:xfrm flipV="1">
          <a:off x="28303100" y="19233947"/>
          <a:ext cx="488154" cy="393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137675</xdr:colOff>
      <xdr:row>103</xdr:row>
      <xdr:rowOff>6159</xdr:rowOff>
    </xdr:from>
    <xdr:to>
      <xdr:col>41</xdr:col>
      <xdr:colOff>25754</xdr:colOff>
      <xdr:row>104</xdr:row>
      <xdr:rowOff>110126</xdr:rowOff>
    </xdr:to>
    <xdr:cxnSp macro="">
      <xdr:nvCxnSpPr>
        <xdr:cNvPr id="198" name="Straight Arrow Connector 197">
          <a:extLst>
            <a:ext uri="{FF2B5EF4-FFF2-40B4-BE49-F238E27FC236}">
              <a16:creationId xmlns:a16="http://schemas.microsoft.com/office/drawing/2014/main" id="{F0469AF3-8FCB-4BFB-A454-4E7C49617BC1}"/>
            </a:ext>
          </a:extLst>
        </xdr:cNvPr>
        <xdr:cNvCxnSpPr>
          <a:stCxn id="194" idx="3"/>
          <a:endCxn id="196" idx="1"/>
        </xdr:cNvCxnSpPr>
      </xdr:nvCxnSpPr>
      <xdr:spPr>
        <a:xfrm>
          <a:off x="28303100" y="19627659"/>
          <a:ext cx="497679" cy="2944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175390</xdr:colOff>
      <xdr:row>103</xdr:row>
      <xdr:rowOff>123933</xdr:rowOff>
    </xdr:from>
    <xdr:to>
      <xdr:col>44</xdr:col>
      <xdr:colOff>437929</xdr:colOff>
      <xdr:row>105</xdr:row>
      <xdr:rowOff>102502</xdr:rowOff>
    </xdr:to>
    <xdr:sp macro="" textlink="">
      <xdr:nvSpPr>
        <xdr:cNvPr id="199" name="Rectangle: Rounded Corners 198">
          <a:extLst>
            <a:ext uri="{FF2B5EF4-FFF2-40B4-BE49-F238E27FC236}">
              <a16:creationId xmlns:a16="http://schemas.microsoft.com/office/drawing/2014/main" id="{77281028-DFCC-4818-A820-6473BFCAF35E}"/>
            </a:ext>
          </a:extLst>
        </xdr:cNvPr>
        <xdr:cNvSpPr/>
      </xdr:nvSpPr>
      <xdr:spPr>
        <a:xfrm>
          <a:off x="30169615" y="19745433"/>
          <a:ext cx="872139"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403113</xdr:colOff>
      <xdr:row>104</xdr:row>
      <xdr:rowOff>110127</xdr:rowOff>
    </xdr:from>
    <xdr:to>
      <xdr:col>43</xdr:col>
      <xdr:colOff>175390</xdr:colOff>
      <xdr:row>104</xdr:row>
      <xdr:rowOff>113218</xdr:rowOff>
    </xdr:to>
    <xdr:cxnSp macro="">
      <xdr:nvCxnSpPr>
        <xdr:cNvPr id="200" name="Straight Arrow Connector 199">
          <a:extLst>
            <a:ext uri="{FF2B5EF4-FFF2-40B4-BE49-F238E27FC236}">
              <a16:creationId xmlns:a16="http://schemas.microsoft.com/office/drawing/2014/main" id="{6B9DD379-8DB7-4EC7-957A-42CB828CEA54}"/>
            </a:ext>
          </a:extLst>
        </xdr:cNvPr>
        <xdr:cNvCxnSpPr>
          <a:stCxn id="196" idx="3"/>
          <a:endCxn id="199" idx="1"/>
        </xdr:cNvCxnSpPr>
      </xdr:nvCxnSpPr>
      <xdr:spPr>
        <a:xfrm>
          <a:off x="29787738" y="19922127"/>
          <a:ext cx="381877"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511460</xdr:colOff>
      <xdr:row>98</xdr:row>
      <xdr:rowOff>105105</xdr:rowOff>
    </xdr:from>
    <xdr:to>
      <xdr:col>41</xdr:col>
      <xdr:colOff>512380</xdr:colOff>
      <xdr:row>100</xdr:row>
      <xdr:rowOff>27591</xdr:rowOff>
    </xdr:to>
    <xdr:cxnSp macro="">
      <xdr:nvCxnSpPr>
        <xdr:cNvPr id="201" name="Straight Arrow Connector 200">
          <a:extLst>
            <a:ext uri="{FF2B5EF4-FFF2-40B4-BE49-F238E27FC236}">
              <a16:creationId xmlns:a16="http://schemas.microsoft.com/office/drawing/2014/main" id="{4C579DDD-A1F7-4F09-A2E9-B8F0994DC2A5}"/>
            </a:ext>
          </a:extLst>
        </xdr:cNvPr>
        <xdr:cNvCxnSpPr>
          <a:stCxn id="195" idx="0"/>
          <a:endCxn id="202" idx="2"/>
        </xdr:cNvCxnSpPr>
      </xdr:nvCxnSpPr>
      <xdr:spPr>
        <a:xfrm flipV="1">
          <a:off x="29286485" y="18774105"/>
          <a:ext cx="920"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291225</xdr:colOff>
      <xdr:row>93</xdr:row>
      <xdr:rowOff>39414</xdr:rowOff>
    </xdr:from>
    <xdr:to>
      <xdr:col>44</xdr:col>
      <xdr:colOff>120432</xdr:colOff>
      <xdr:row>98</xdr:row>
      <xdr:rowOff>105105</xdr:rowOff>
    </xdr:to>
    <xdr:sp macro="" textlink="">
      <xdr:nvSpPr>
        <xdr:cNvPr id="202" name="Rectangle: Rounded Corners 201">
          <a:extLst>
            <a:ext uri="{FF2B5EF4-FFF2-40B4-BE49-F238E27FC236}">
              <a16:creationId xmlns:a16="http://schemas.microsoft.com/office/drawing/2014/main" id="{5D746E7D-15F1-4BBE-8BDF-57C60DABA58A}"/>
            </a:ext>
          </a:extLst>
        </xdr:cNvPr>
        <xdr:cNvSpPr/>
      </xdr:nvSpPr>
      <xdr:spPr>
        <a:xfrm>
          <a:off x="27847050" y="17755914"/>
          <a:ext cx="2877207" cy="10181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393588</xdr:colOff>
      <xdr:row>100</xdr:row>
      <xdr:rowOff>181742</xdr:rowOff>
    </xdr:from>
    <xdr:to>
      <xdr:col>46</xdr:col>
      <xdr:colOff>61309</xdr:colOff>
      <xdr:row>100</xdr:row>
      <xdr:rowOff>183946</xdr:rowOff>
    </xdr:to>
    <xdr:cxnSp macro="">
      <xdr:nvCxnSpPr>
        <xdr:cNvPr id="203" name="Straight Arrow Connector 202">
          <a:extLst>
            <a:ext uri="{FF2B5EF4-FFF2-40B4-BE49-F238E27FC236}">
              <a16:creationId xmlns:a16="http://schemas.microsoft.com/office/drawing/2014/main" id="{BA178F55-B9B2-4EA9-9138-4E6227A1A824}"/>
            </a:ext>
          </a:extLst>
        </xdr:cNvPr>
        <xdr:cNvCxnSpPr>
          <a:stCxn id="195" idx="3"/>
          <a:endCxn id="204" idx="1"/>
        </xdr:cNvCxnSpPr>
      </xdr:nvCxnSpPr>
      <xdr:spPr>
        <a:xfrm flipV="1">
          <a:off x="29778213" y="1923174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61309</xdr:colOff>
      <xdr:row>99</xdr:row>
      <xdr:rowOff>83208</xdr:rowOff>
    </xdr:from>
    <xdr:to>
      <xdr:col>50</xdr:col>
      <xdr:colOff>137947</xdr:colOff>
      <xdr:row>102</xdr:row>
      <xdr:rowOff>94156</xdr:rowOff>
    </xdr:to>
    <xdr:sp macro="" textlink="">
      <xdr:nvSpPr>
        <xdr:cNvPr id="204" name="Rectangle: Rounded Corners 203">
          <a:extLst>
            <a:ext uri="{FF2B5EF4-FFF2-40B4-BE49-F238E27FC236}">
              <a16:creationId xmlns:a16="http://schemas.microsoft.com/office/drawing/2014/main" id="{CFD491FC-55F5-43F1-BE95-C17D48EC3A8C}"/>
            </a:ext>
          </a:extLst>
        </xdr:cNvPr>
        <xdr:cNvSpPr/>
      </xdr:nvSpPr>
      <xdr:spPr>
        <a:xfrm>
          <a:off x="31884334" y="18942708"/>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98340</xdr:colOff>
      <xdr:row>96</xdr:row>
      <xdr:rowOff>127000</xdr:rowOff>
    </xdr:from>
    <xdr:to>
      <xdr:col>53</xdr:col>
      <xdr:colOff>137946</xdr:colOff>
      <xdr:row>99</xdr:row>
      <xdr:rowOff>50361</xdr:rowOff>
    </xdr:to>
    <xdr:sp macro="" textlink="">
      <xdr:nvSpPr>
        <xdr:cNvPr id="205" name="Rectangle: Rounded Corners 204">
          <a:extLst>
            <a:ext uri="{FF2B5EF4-FFF2-40B4-BE49-F238E27FC236}">
              <a16:creationId xmlns:a16="http://schemas.microsoft.com/office/drawing/2014/main" id="{212AD8DF-9BD2-46FC-AF45-99B7FA0EF5DF}"/>
            </a:ext>
          </a:extLst>
        </xdr:cNvPr>
        <xdr:cNvSpPr/>
      </xdr:nvSpPr>
      <xdr:spPr>
        <a:xfrm>
          <a:off x="34969365" y="18415000"/>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108412</xdr:colOff>
      <xdr:row>101</xdr:row>
      <xdr:rowOff>49486</xdr:rowOff>
    </xdr:from>
    <xdr:to>
      <xdr:col>53</xdr:col>
      <xdr:colOff>148018</xdr:colOff>
      <xdr:row>103</xdr:row>
      <xdr:rowOff>158967</xdr:rowOff>
    </xdr:to>
    <xdr:sp macro="" textlink="">
      <xdr:nvSpPr>
        <xdr:cNvPr id="206" name="Rectangle: Rounded Corners 205">
          <a:extLst>
            <a:ext uri="{FF2B5EF4-FFF2-40B4-BE49-F238E27FC236}">
              <a16:creationId xmlns:a16="http://schemas.microsoft.com/office/drawing/2014/main" id="{B33D8372-AF38-41BE-9E7F-CAED2E02C125}"/>
            </a:ext>
          </a:extLst>
        </xdr:cNvPr>
        <xdr:cNvSpPr/>
      </xdr:nvSpPr>
      <xdr:spPr>
        <a:xfrm>
          <a:off x="34979437" y="19289986"/>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137947</xdr:colOff>
      <xdr:row>97</xdr:row>
      <xdr:rowOff>181741</xdr:rowOff>
    </xdr:from>
    <xdr:to>
      <xdr:col>51</xdr:col>
      <xdr:colOff>98340</xdr:colOff>
      <xdr:row>100</xdr:row>
      <xdr:rowOff>181742</xdr:rowOff>
    </xdr:to>
    <xdr:cxnSp macro="">
      <xdr:nvCxnSpPr>
        <xdr:cNvPr id="207" name="Straight Arrow Connector 206">
          <a:extLst>
            <a:ext uri="{FF2B5EF4-FFF2-40B4-BE49-F238E27FC236}">
              <a16:creationId xmlns:a16="http://schemas.microsoft.com/office/drawing/2014/main" id="{66CD838C-88A9-4917-8858-830CB9475925}"/>
            </a:ext>
          </a:extLst>
        </xdr:cNvPr>
        <xdr:cNvCxnSpPr>
          <a:stCxn id="204" idx="3"/>
          <a:endCxn id="205" idx="1"/>
        </xdr:cNvCxnSpPr>
      </xdr:nvCxnSpPr>
      <xdr:spPr>
        <a:xfrm flipV="1">
          <a:off x="34399372" y="18660241"/>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137947</xdr:colOff>
      <xdr:row>100</xdr:row>
      <xdr:rowOff>181742</xdr:rowOff>
    </xdr:from>
    <xdr:to>
      <xdr:col>51</xdr:col>
      <xdr:colOff>108412</xdr:colOff>
      <xdr:row>102</xdr:row>
      <xdr:rowOff>104227</xdr:rowOff>
    </xdr:to>
    <xdr:cxnSp macro="">
      <xdr:nvCxnSpPr>
        <xdr:cNvPr id="208" name="Straight Arrow Connector 207">
          <a:extLst>
            <a:ext uri="{FF2B5EF4-FFF2-40B4-BE49-F238E27FC236}">
              <a16:creationId xmlns:a16="http://schemas.microsoft.com/office/drawing/2014/main" id="{9F87EA7A-72D2-45ED-A719-91D52A04467E}"/>
            </a:ext>
          </a:extLst>
        </xdr:cNvPr>
        <xdr:cNvCxnSpPr>
          <a:stCxn id="204" idx="3"/>
          <a:endCxn id="206" idx="1"/>
        </xdr:cNvCxnSpPr>
      </xdr:nvCxnSpPr>
      <xdr:spPr>
        <a:xfrm>
          <a:off x="34399372" y="19231742"/>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74691</xdr:colOff>
      <xdr:row>96</xdr:row>
      <xdr:rowOff>125247</xdr:rowOff>
    </xdr:from>
    <xdr:to>
      <xdr:col>56</xdr:col>
      <xdr:colOff>114297</xdr:colOff>
      <xdr:row>99</xdr:row>
      <xdr:rowOff>48608</xdr:rowOff>
    </xdr:to>
    <xdr:sp macro="" textlink="">
      <xdr:nvSpPr>
        <xdr:cNvPr id="209" name="Rectangle: Rounded Corners 208">
          <a:extLst>
            <a:ext uri="{FF2B5EF4-FFF2-40B4-BE49-F238E27FC236}">
              <a16:creationId xmlns:a16="http://schemas.microsoft.com/office/drawing/2014/main" id="{04F83A07-6A27-4444-8072-31CB762CE6B7}"/>
            </a:ext>
          </a:extLst>
        </xdr:cNvPr>
        <xdr:cNvSpPr/>
      </xdr:nvSpPr>
      <xdr:spPr>
        <a:xfrm>
          <a:off x="36774516" y="18413247"/>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62866</xdr:colOff>
      <xdr:row>101</xdr:row>
      <xdr:rowOff>47734</xdr:rowOff>
    </xdr:from>
    <xdr:to>
      <xdr:col>56</xdr:col>
      <xdr:colOff>102472</xdr:colOff>
      <xdr:row>103</xdr:row>
      <xdr:rowOff>157215</xdr:rowOff>
    </xdr:to>
    <xdr:sp macro="" textlink="">
      <xdr:nvSpPr>
        <xdr:cNvPr id="210" name="Rectangle: Rounded Corners 209">
          <a:extLst>
            <a:ext uri="{FF2B5EF4-FFF2-40B4-BE49-F238E27FC236}">
              <a16:creationId xmlns:a16="http://schemas.microsoft.com/office/drawing/2014/main" id="{3CD48DB2-A704-41C3-A245-EAD5320F9EEE}"/>
            </a:ext>
          </a:extLst>
        </xdr:cNvPr>
        <xdr:cNvSpPr/>
      </xdr:nvSpPr>
      <xdr:spPr>
        <a:xfrm>
          <a:off x="36762691" y="19288234"/>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137946</xdr:colOff>
      <xdr:row>97</xdr:row>
      <xdr:rowOff>179988</xdr:rowOff>
    </xdr:from>
    <xdr:to>
      <xdr:col>54</xdr:col>
      <xdr:colOff>74691</xdr:colOff>
      <xdr:row>97</xdr:row>
      <xdr:rowOff>181741</xdr:rowOff>
    </xdr:to>
    <xdr:cxnSp macro="">
      <xdr:nvCxnSpPr>
        <xdr:cNvPr id="211" name="Straight Arrow Connector 210">
          <a:extLst>
            <a:ext uri="{FF2B5EF4-FFF2-40B4-BE49-F238E27FC236}">
              <a16:creationId xmlns:a16="http://schemas.microsoft.com/office/drawing/2014/main" id="{6FEAA07C-191E-4EA4-9F0A-BCC1AC6EACD0}"/>
            </a:ext>
          </a:extLst>
        </xdr:cNvPr>
        <xdr:cNvCxnSpPr>
          <a:stCxn id="205" idx="3"/>
          <a:endCxn id="209" idx="1"/>
        </xdr:cNvCxnSpPr>
      </xdr:nvCxnSpPr>
      <xdr:spPr>
        <a:xfrm flipV="1">
          <a:off x="36228171" y="18658488"/>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148018</xdr:colOff>
      <xdr:row>102</xdr:row>
      <xdr:rowOff>102475</xdr:rowOff>
    </xdr:from>
    <xdr:to>
      <xdr:col>54</xdr:col>
      <xdr:colOff>62866</xdr:colOff>
      <xdr:row>102</xdr:row>
      <xdr:rowOff>104227</xdr:rowOff>
    </xdr:to>
    <xdr:cxnSp macro="">
      <xdr:nvCxnSpPr>
        <xdr:cNvPr id="212" name="Straight Arrow Connector 211">
          <a:extLst>
            <a:ext uri="{FF2B5EF4-FFF2-40B4-BE49-F238E27FC236}">
              <a16:creationId xmlns:a16="http://schemas.microsoft.com/office/drawing/2014/main" id="{9BE63DFC-A605-4740-957D-EF420EE2DECD}"/>
            </a:ext>
          </a:extLst>
        </xdr:cNvPr>
        <xdr:cNvCxnSpPr>
          <a:stCxn id="206" idx="3"/>
          <a:endCxn id="210" idx="1"/>
        </xdr:cNvCxnSpPr>
      </xdr:nvCxnSpPr>
      <xdr:spPr>
        <a:xfrm flipV="1">
          <a:off x="36238243" y="19533475"/>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652734</xdr:colOff>
      <xdr:row>101</xdr:row>
      <xdr:rowOff>93279</xdr:rowOff>
    </xdr:from>
    <xdr:to>
      <xdr:col>17</xdr:col>
      <xdr:colOff>2557516</xdr:colOff>
      <xdr:row>104</xdr:row>
      <xdr:rowOff>104226</xdr:rowOff>
    </xdr:to>
    <xdr:sp macro="" textlink="">
      <xdr:nvSpPr>
        <xdr:cNvPr id="213" name="Rectangle: Rounded Corners 212">
          <a:extLst>
            <a:ext uri="{FF2B5EF4-FFF2-40B4-BE49-F238E27FC236}">
              <a16:creationId xmlns:a16="http://schemas.microsoft.com/office/drawing/2014/main" id="{B4EE2EA5-91AC-4FE6-B02C-2832F4BA25B2}"/>
            </a:ext>
          </a:extLst>
        </xdr:cNvPr>
        <xdr:cNvSpPr/>
      </xdr:nvSpPr>
      <xdr:spPr>
        <a:xfrm>
          <a:off x="12597084" y="19333779"/>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2557516</xdr:colOff>
      <xdr:row>96</xdr:row>
      <xdr:rowOff>81562</xdr:rowOff>
    </xdr:from>
    <xdr:to>
      <xdr:col>18</xdr:col>
      <xdr:colOff>291221</xdr:colOff>
      <xdr:row>103</xdr:row>
      <xdr:rowOff>5692</xdr:rowOff>
    </xdr:to>
    <xdr:cxnSp macro="">
      <xdr:nvCxnSpPr>
        <xdr:cNvPr id="214" name="Straight Arrow Connector 213">
          <a:extLst>
            <a:ext uri="{FF2B5EF4-FFF2-40B4-BE49-F238E27FC236}">
              <a16:creationId xmlns:a16="http://schemas.microsoft.com/office/drawing/2014/main" id="{148B5352-6860-4FD1-908F-96A78CE4EEC1}"/>
            </a:ext>
          </a:extLst>
        </xdr:cNvPr>
        <xdr:cNvCxnSpPr>
          <a:stCxn id="213" idx="3"/>
          <a:endCxn id="215" idx="1"/>
        </xdr:cNvCxnSpPr>
      </xdr:nvCxnSpPr>
      <xdr:spPr>
        <a:xfrm flipV="1">
          <a:off x="14501866" y="18369562"/>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291221</xdr:colOff>
      <xdr:row>95</xdr:row>
      <xdr:rowOff>129187</xdr:rowOff>
    </xdr:from>
    <xdr:to>
      <xdr:col>20</xdr:col>
      <xdr:colOff>170791</xdr:colOff>
      <xdr:row>97</xdr:row>
      <xdr:rowOff>33937</xdr:rowOff>
    </xdr:to>
    <xdr:sp macro="" textlink="">
      <xdr:nvSpPr>
        <xdr:cNvPr id="215" name="Rectangle: Rounded Corners 214">
          <a:extLst>
            <a:ext uri="{FF2B5EF4-FFF2-40B4-BE49-F238E27FC236}">
              <a16:creationId xmlns:a16="http://schemas.microsoft.com/office/drawing/2014/main" id="{FFA1BF70-E1F9-4502-97BC-2227CBBC0635}"/>
            </a:ext>
          </a:extLst>
        </xdr:cNvPr>
        <xdr:cNvSpPr/>
      </xdr:nvSpPr>
      <xdr:spPr>
        <a:xfrm>
          <a:off x="14940671" y="18226687"/>
          <a:ext cx="1203545" cy="285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503839</xdr:colOff>
      <xdr:row>95</xdr:row>
      <xdr:rowOff>69192</xdr:rowOff>
    </xdr:from>
    <xdr:to>
      <xdr:col>23</xdr:col>
      <xdr:colOff>21896</xdr:colOff>
      <xdr:row>97</xdr:row>
      <xdr:rowOff>47760</xdr:rowOff>
    </xdr:to>
    <xdr:sp macro="" textlink="">
      <xdr:nvSpPr>
        <xdr:cNvPr id="216" name="Rectangle: Rounded Corners 215">
          <a:extLst>
            <a:ext uri="{FF2B5EF4-FFF2-40B4-BE49-F238E27FC236}">
              <a16:creationId xmlns:a16="http://schemas.microsoft.com/office/drawing/2014/main" id="{67DBD53B-5F43-4DC9-8884-0CC49213C15F}"/>
            </a:ext>
          </a:extLst>
        </xdr:cNvPr>
        <xdr:cNvSpPr/>
      </xdr:nvSpPr>
      <xdr:spPr>
        <a:xfrm>
          <a:off x="16477264" y="18166692"/>
          <a:ext cx="1346857"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290564</xdr:colOff>
      <xdr:row>101</xdr:row>
      <xdr:rowOff>39416</xdr:rowOff>
    </xdr:from>
    <xdr:to>
      <xdr:col>22</xdr:col>
      <xdr:colOff>181739</xdr:colOff>
      <xdr:row>104</xdr:row>
      <xdr:rowOff>159846</xdr:rowOff>
    </xdr:to>
    <xdr:sp macro="" textlink="">
      <xdr:nvSpPr>
        <xdr:cNvPr id="217" name="Rectangle: Rounded Corners 216">
          <a:extLst>
            <a:ext uri="{FF2B5EF4-FFF2-40B4-BE49-F238E27FC236}">
              <a16:creationId xmlns:a16="http://schemas.microsoft.com/office/drawing/2014/main" id="{5343F35A-D760-465E-8E00-09995308F2E2}"/>
            </a:ext>
          </a:extLst>
        </xdr:cNvPr>
        <xdr:cNvSpPr/>
      </xdr:nvSpPr>
      <xdr:spPr>
        <a:xfrm>
          <a:off x="14940014" y="19279916"/>
          <a:ext cx="2434350" cy="6919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2557516</xdr:colOff>
      <xdr:row>103</xdr:row>
      <xdr:rowOff>5692</xdr:rowOff>
    </xdr:from>
    <xdr:to>
      <xdr:col>18</xdr:col>
      <xdr:colOff>290564</xdr:colOff>
      <xdr:row>103</xdr:row>
      <xdr:rowOff>6571</xdr:rowOff>
    </xdr:to>
    <xdr:cxnSp macro="">
      <xdr:nvCxnSpPr>
        <xdr:cNvPr id="218" name="Straight Arrow Connector 217">
          <a:extLst>
            <a:ext uri="{FF2B5EF4-FFF2-40B4-BE49-F238E27FC236}">
              <a16:creationId xmlns:a16="http://schemas.microsoft.com/office/drawing/2014/main" id="{FD0370DB-D177-44C0-896D-F2FF45BCC6D4}"/>
            </a:ext>
          </a:extLst>
        </xdr:cNvPr>
        <xdr:cNvCxnSpPr>
          <a:stCxn id="213" idx="3"/>
          <a:endCxn id="217" idx="1"/>
        </xdr:cNvCxnSpPr>
      </xdr:nvCxnSpPr>
      <xdr:spPr>
        <a:xfrm>
          <a:off x="14501866" y="1962719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228161</xdr:colOff>
      <xdr:row>40</xdr:row>
      <xdr:rowOff>129202</xdr:rowOff>
    </xdr:from>
    <xdr:to>
      <xdr:col>20</xdr:col>
      <xdr:colOff>561209</xdr:colOff>
      <xdr:row>40</xdr:row>
      <xdr:rowOff>138931</xdr:rowOff>
    </xdr:to>
    <xdr:cxnSp macro="">
      <xdr:nvCxnSpPr>
        <xdr:cNvPr id="219" name="Straight Arrow Connector 218">
          <a:extLst>
            <a:ext uri="{FF2B5EF4-FFF2-40B4-BE49-F238E27FC236}">
              <a16:creationId xmlns:a16="http://schemas.microsoft.com/office/drawing/2014/main" id="{C8417CBE-889B-4D05-8D02-A17CCF418477}"/>
            </a:ext>
          </a:extLst>
        </xdr:cNvPr>
        <xdr:cNvCxnSpPr>
          <a:stCxn id="113" idx="3"/>
          <a:endCxn id="114" idx="1"/>
        </xdr:cNvCxnSpPr>
      </xdr:nvCxnSpPr>
      <xdr:spPr>
        <a:xfrm flipV="1">
          <a:off x="16201586" y="7749202"/>
          <a:ext cx="333048" cy="972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21897</xdr:colOff>
      <xdr:row>18</xdr:row>
      <xdr:rowOff>21897</xdr:rowOff>
    </xdr:from>
    <xdr:to>
      <xdr:col>61</xdr:col>
      <xdr:colOff>131380</xdr:colOff>
      <xdr:row>18</xdr:row>
      <xdr:rowOff>32845</xdr:rowOff>
    </xdr:to>
    <xdr:cxnSp macro="">
      <xdr:nvCxnSpPr>
        <xdr:cNvPr id="220" name="Straight Connector 219">
          <a:extLst>
            <a:ext uri="{FF2B5EF4-FFF2-40B4-BE49-F238E27FC236}">
              <a16:creationId xmlns:a16="http://schemas.microsoft.com/office/drawing/2014/main" id="{3148C0F0-9F26-494B-A923-A53742956E0E}"/>
            </a:ext>
          </a:extLst>
        </xdr:cNvPr>
        <xdr:cNvCxnSpPr/>
      </xdr:nvCxnSpPr>
      <xdr:spPr>
        <a:xfrm>
          <a:off x="3298497" y="3450897"/>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10072</xdr:colOff>
      <xdr:row>36</xdr:row>
      <xdr:rowOff>10074</xdr:rowOff>
    </xdr:from>
    <xdr:to>
      <xdr:col>61</xdr:col>
      <xdr:colOff>119555</xdr:colOff>
      <xdr:row>36</xdr:row>
      <xdr:rowOff>21022</xdr:rowOff>
    </xdr:to>
    <xdr:cxnSp macro="">
      <xdr:nvCxnSpPr>
        <xdr:cNvPr id="221" name="Straight Connector 220">
          <a:extLst>
            <a:ext uri="{FF2B5EF4-FFF2-40B4-BE49-F238E27FC236}">
              <a16:creationId xmlns:a16="http://schemas.microsoft.com/office/drawing/2014/main" id="{80DE26EA-440C-4DFA-8B54-BBF08D0DA9F5}"/>
            </a:ext>
          </a:extLst>
        </xdr:cNvPr>
        <xdr:cNvCxnSpPr/>
      </xdr:nvCxnSpPr>
      <xdr:spPr>
        <a:xfrm>
          <a:off x="3286672" y="686807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207141</xdr:colOff>
      <xdr:row>23</xdr:row>
      <xdr:rowOff>7237</xdr:rowOff>
    </xdr:from>
    <xdr:to>
      <xdr:col>20</xdr:col>
      <xdr:colOff>540189</xdr:colOff>
      <xdr:row>23</xdr:row>
      <xdr:rowOff>8427</xdr:rowOff>
    </xdr:to>
    <xdr:cxnSp macro="">
      <xdr:nvCxnSpPr>
        <xdr:cNvPr id="222" name="Straight Arrow Connector 221">
          <a:extLst>
            <a:ext uri="{FF2B5EF4-FFF2-40B4-BE49-F238E27FC236}">
              <a16:creationId xmlns:a16="http://schemas.microsoft.com/office/drawing/2014/main" id="{A7ACD444-7A5B-4381-BA6C-B9F812710D35}"/>
            </a:ext>
          </a:extLst>
        </xdr:cNvPr>
        <xdr:cNvCxnSpPr>
          <a:stCxn id="79" idx="3"/>
          <a:endCxn id="80" idx="1"/>
        </xdr:cNvCxnSpPr>
      </xdr:nvCxnSpPr>
      <xdr:spPr>
        <a:xfrm flipV="1">
          <a:off x="16180566" y="4388737"/>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20147</xdr:colOff>
      <xdr:row>54</xdr:row>
      <xdr:rowOff>9198</xdr:rowOff>
    </xdr:from>
    <xdr:to>
      <xdr:col>61</xdr:col>
      <xdr:colOff>129630</xdr:colOff>
      <xdr:row>54</xdr:row>
      <xdr:rowOff>20146</xdr:rowOff>
    </xdr:to>
    <xdr:cxnSp macro="">
      <xdr:nvCxnSpPr>
        <xdr:cNvPr id="223" name="Straight Connector 222">
          <a:extLst>
            <a:ext uri="{FF2B5EF4-FFF2-40B4-BE49-F238E27FC236}">
              <a16:creationId xmlns:a16="http://schemas.microsoft.com/office/drawing/2014/main" id="{9A7FF31E-A020-44C6-817E-D8CB1078B1F5}"/>
            </a:ext>
          </a:extLst>
        </xdr:cNvPr>
        <xdr:cNvCxnSpPr/>
      </xdr:nvCxnSpPr>
      <xdr:spPr>
        <a:xfrm>
          <a:off x="3296747" y="10296198"/>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227285</xdr:colOff>
      <xdr:row>59</xdr:row>
      <xdr:rowOff>60228</xdr:rowOff>
    </xdr:from>
    <xdr:to>
      <xdr:col>20</xdr:col>
      <xdr:colOff>560333</xdr:colOff>
      <xdr:row>59</xdr:row>
      <xdr:rowOff>61418</xdr:rowOff>
    </xdr:to>
    <xdr:cxnSp macro="">
      <xdr:nvCxnSpPr>
        <xdr:cNvPr id="224" name="Straight Arrow Connector 223">
          <a:extLst>
            <a:ext uri="{FF2B5EF4-FFF2-40B4-BE49-F238E27FC236}">
              <a16:creationId xmlns:a16="http://schemas.microsoft.com/office/drawing/2014/main" id="{4AE1014A-5813-4BEB-921E-1A45297983C1}"/>
            </a:ext>
          </a:extLst>
        </xdr:cNvPr>
        <xdr:cNvCxnSpPr>
          <a:stCxn id="147" idx="3"/>
          <a:endCxn id="148" idx="1"/>
        </xdr:cNvCxnSpPr>
      </xdr:nvCxnSpPr>
      <xdr:spPr>
        <a:xfrm flipV="1">
          <a:off x="16200710" y="11299728"/>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171667</xdr:colOff>
      <xdr:row>75</xdr:row>
      <xdr:rowOff>71164</xdr:rowOff>
    </xdr:from>
    <xdr:to>
      <xdr:col>20</xdr:col>
      <xdr:colOff>504715</xdr:colOff>
      <xdr:row>75</xdr:row>
      <xdr:rowOff>76637</xdr:rowOff>
    </xdr:to>
    <xdr:cxnSp macro="">
      <xdr:nvCxnSpPr>
        <xdr:cNvPr id="225" name="Straight Arrow Connector 224">
          <a:extLst>
            <a:ext uri="{FF2B5EF4-FFF2-40B4-BE49-F238E27FC236}">
              <a16:creationId xmlns:a16="http://schemas.microsoft.com/office/drawing/2014/main" id="{F6BC1F85-CA66-4FDF-B0F8-A86343A0ADCD}"/>
            </a:ext>
          </a:extLst>
        </xdr:cNvPr>
        <xdr:cNvCxnSpPr>
          <a:stCxn id="181" idx="3"/>
          <a:endCxn id="182" idx="1"/>
        </xdr:cNvCxnSpPr>
      </xdr:nvCxnSpPr>
      <xdr:spPr>
        <a:xfrm>
          <a:off x="16145092" y="14358664"/>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321469</xdr:colOff>
      <xdr:row>72</xdr:row>
      <xdr:rowOff>21896</xdr:rowOff>
    </xdr:from>
    <xdr:to>
      <xdr:col>61</xdr:col>
      <xdr:colOff>131380</xdr:colOff>
      <xdr:row>72</xdr:row>
      <xdr:rowOff>23812</xdr:rowOff>
    </xdr:to>
    <xdr:cxnSp macro="">
      <xdr:nvCxnSpPr>
        <xdr:cNvPr id="226" name="Straight Connector 225">
          <a:extLst>
            <a:ext uri="{FF2B5EF4-FFF2-40B4-BE49-F238E27FC236}">
              <a16:creationId xmlns:a16="http://schemas.microsoft.com/office/drawing/2014/main" id="{67C5A1E7-220B-4ACF-8FC4-F9DAE6978F38}"/>
            </a:ext>
          </a:extLst>
        </xdr:cNvPr>
        <xdr:cNvCxnSpPr/>
      </xdr:nvCxnSpPr>
      <xdr:spPr>
        <a:xfrm flipV="1">
          <a:off x="2988469" y="13737896"/>
          <a:ext cx="38109936" cy="1916"/>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570269</xdr:colOff>
      <xdr:row>105</xdr:row>
      <xdr:rowOff>20444</xdr:rowOff>
    </xdr:to>
    <xdr:cxnSp macro="">
      <xdr:nvCxnSpPr>
        <xdr:cNvPr id="227" name="Straight Arrow Connector 430">
          <a:extLst>
            <a:ext uri="{FF2B5EF4-FFF2-40B4-BE49-F238E27FC236}">
              <a16:creationId xmlns:a16="http://schemas.microsoft.com/office/drawing/2014/main" id="{B9F8AACC-34E2-47E2-AE77-4F529C2BCA0A}"/>
            </a:ext>
          </a:extLst>
        </xdr:cNvPr>
        <xdr:cNvCxnSpPr>
          <a:stCxn id="3" idx="3"/>
          <a:endCxn id="8" idx="1"/>
        </xdr:cNvCxnSpPr>
      </xdr:nvCxnSpPr>
      <xdr:spPr>
        <a:xfrm>
          <a:off x="2164556" y="2549346"/>
          <a:ext cx="1072713" cy="1747359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42917</xdr:colOff>
      <xdr:row>91</xdr:row>
      <xdr:rowOff>21020</xdr:rowOff>
    </xdr:from>
    <xdr:to>
      <xdr:col>61</xdr:col>
      <xdr:colOff>152400</xdr:colOff>
      <xdr:row>91</xdr:row>
      <xdr:rowOff>31968</xdr:rowOff>
    </xdr:to>
    <xdr:cxnSp macro="">
      <xdr:nvCxnSpPr>
        <xdr:cNvPr id="228" name="Straight Connector 227">
          <a:extLst>
            <a:ext uri="{FF2B5EF4-FFF2-40B4-BE49-F238E27FC236}">
              <a16:creationId xmlns:a16="http://schemas.microsoft.com/office/drawing/2014/main" id="{96649272-C2D1-4FEA-9F24-9741827FAA38}"/>
            </a:ext>
          </a:extLst>
        </xdr:cNvPr>
        <xdr:cNvCxnSpPr/>
      </xdr:nvCxnSpPr>
      <xdr:spPr>
        <a:xfrm>
          <a:off x="3319517" y="17356520"/>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339396</xdr:colOff>
      <xdr:row>80</xdr:row>
      <xdr:rowOff>153275</xdr:rowOff>
    </xdr:from>
    <xdr:to>
      <xdr:col>27</xdr:col>
      <xdr:colOff>448879</xdr:colOff>
      <xdr:row>85</xdr:row>
      <xdr:rowOff>87585</xdr:rowOff>
    </xdr:to>
    <xdr:sp macro="" textlink="">
      <xdr:nvSpPr>
        <xdr:cNvPr id="229" name="Rectangle: Rounded Corners 228">
          <a:extLst>
            <a:ext uri="{FF2B5EF4-FFF2-40B4-BE49-F238E27FC236}">
              <a16:creationId xmlns:a16="http://schemas.microsoft.com/office/drawing/2014/main" id="{5A236E79-D701-4656-B6AD-9E9B839B8EAC}"/>
            </a:ext>
          </a:extLst>
        </xdr:cNvPr>
        <xdr:cNvSpPr/>
      </xdr:nvSpPr>
      <xdr:spPr>
        <a:xfrm>
          <a:off x="18141621" y="15393275"/>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20</xdr:col>
      <xdr:colOff>170791</xdr:colOff>
      <xdr:row>96</xdr:row>
      <xdr:rowOff>58476</xdr:rowOff>
    </xdr:from>
    <xdr:to>
      <xdr:col>20</xdr:col>
      <xdr:colOff>503839</xdr:colOff>
      <xdr:row>96</xdr:row>
      <xdr:rowOff>81562</xdr:rowOff>
    </xdr:to>
    <xdr:cxnSp macro="">
      <xdr:nvCxnSpPr>
        <xdr:cNvPr id="230" name="Straight Arrow Connector 229">
          <a:extLst>
            <a:ext uri="{FF2B5EF4-FFF2-40B4-BE49-F238E27FC236}">
              <a16:creationId xmlns:a16="http://schemas.microsoft.com/office/drawing/2014/main" id="{D6D8F1F5-219B-49B8-B49D-319BF52AF381}"/>
            </a:ext>
          </a:extLst>
        </xdr:cNvPr>
        <xdr:cNvCxnSpPr>
          <a:stCxn id="215" idx="3"/>
          <a:endCxn id="216" idx="1"/>
        </xdr:cNvCxnSpPr>
      </xdr:nvCxnSpPr>
      <xdr:spPr>
        <a:xfrm flipV="1">
          <a:off x="16144216" y="18346476"/>
          <a:ext cx="333048" cy="2308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182615</xdr:colOff>
      <xdr:row>83</xdr:row>
      <xdr:rowOff>27369</xdr:rowOff>
    </xdr:from>
    <xdr:to>
      <xdr:col>23</xdr:col>
      <xdr:colOff>339396</xdr:colOff>
      <xdr:row>83</xdr:row>
      <xdr:rowOff>29343</xdr:rowOff>
    </xdr:to>
    <xdr:cxnSp macro="">
      <xdr:nvCxnSpPr>
        <xdr:cNvPr id="231" name="Straight Arrow Connector 230">
          <a:extLst>
            <a:ext uri="{FF2B5EF4-FFF2-40B4-BE49-F238E27FC236}">
              <a16:creationId xmlns:a16="http://schemas.microsoft.com/office/drawing/2014/main" id="{FD254DEF-00FC-4241-8381-92EC0258B151}"/>
            </a:ext>
          </a:extLst>
        </xdr:cNvPr>
        <xdr:cNvCxnSpPr>
          <a:stCxn id="183" idx="3"/>
          <a:endCxn id="229" idx="1"/>
        </xdr:cNvCxnSpPr>
      </xdr:nvCxnSpPr>
      <xdr:spPr>
        <a:xfrm flipV="1">
          <a:off x="17375240" y="1583886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94152</xdr:colOff>
      <xdr:row>81</xdr:row>
      <xdr:rowOff>153276</xdr:rowOff>
    </xdr:from>
    <xdr:to>
      <xdr:col>31</xdr:col>
      <xdr:colOff>72256</xdr:colOff>
      <xdr:row>84</xdr:row>
      <xdr:rowOff>77730</xdr:rowOff>
    </xdr:to>
    <xdr:sp macro="" textlink="">
      <xdr:nvSpPr>
        <xdr:cNvPr id="232" name="Rectangle: Rounded Corners 231">
          <a:extLst>
            <a:ext uri="{FF2B5EF4-FFF2-40B4-BE49-F238E27FC236}">
              <a16:creationId xmlns:a16="http://schemas.microsoft.com/office/drawing/2014/main" id="{D5EAD317-B4A4-487C-A51B-5CA76E7D204D}"/>
            </a:ext>
          </a:extLst>
        </xdr:cNvPr>
        <xdr:cNvSpPr/>
      </xdr:nvSpPr>
      <xdr:spPr>
        <a:xfrm>
          <a:off x="21553977" y="1558377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448879</xdr:colOff>
      <xdr:row>83</xdr:row>
      <xdr:rowOff>22442</xdr:rowOff>
    </xdr:from>
    <xdr:to>
      <xdr:col>29</xdr:col>
      <xdr:colOff>94152</xdr:colOff>
      <xdr:row>83</xdr:row>
      <xdr:rowOff>27369</xdr:rowOff>
    </xdr:to>
    <xdr:cxnSp macro="">
      <xdr:nvCxnSpPr>
        <xdr:cNvPr id="233" name="Straight Arrow Connector 232">
          <a:extLst>
            <a:ext uri="{FF2B5EF4-FFF2-40B4-BE49-F238E27FC236}">
              <a16:creationId xmlns:a16="http://schemas.microsoft.com/office/drawing/2014/main" id="{0D59D5BE-71D9-45E7-B2C5-C119A0390125}"/>
            </a:ext>
          </a:extLst>
        </xdr:cNvPr>
        <xdr:cNvCxnSpPr>
          <a:stCxn id="229" idx="3"/>
          <a:endCxn id="232" idx="1"/>
        </xdr:cNvCxnSpPr>
      </xdr:nvCxnSpPr>
      <xdr:spPr>
        <a:xfrm flipV="1">
          <a:off x="20689504" y="15833942"/>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72256</xdr:colOff>
      <xdr:row>83</xdr:row>
      <xdr:rowOff>22442</xdr:rowOff>
    </xdr:from>
    <xdr:to>
      <xdr:col>33</xdr:col>
      <xdr:colOff>21897</xdr:colOff>
      <xdr:row>83</xdr:row>
      <xdr:rowOff>28931</xdr:rowOff>
    </xdr:to>
    <xdr:cxnSp macro="">
      <xdr:nvCxnSpPr>
        <xdr:cNvPr id="234" name="Straight Arrow Connector 233">
          <a:extLst>
            <a:ext uri="{FF2B5EF4-FFF2-40B4-BE49-F238E27FC236}">
              <a16:creationId xmlns:a16="http://schemas.microsoft.com/office/drawing/2014/main" id="{78637F03-6454-4CAE-B990-E99F070804ED}"/>
            </a:ext>
          </a:extLst>
        </xdr:cNvPr>
        <xdr:cNvCxnSpPr>
          <a:stCxn id="232" idx="3"/>
          <a:endCxn id="160" idx="1"/>
        </xdr:cNvCxnSpPr>
      </xdr:nvCxnSpPr>
      <xdr:spPr>
        <a:xfrm>
          <a:off x="22751281" y="15833942"/>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126121</xdr:colOff>
      <xdr:row>86</xdr:row>
      <xdr:rowOff>163348</xdr:rowOff>
    </xdr:from>
    <xdr:to>
      <xdr:col>31</xdr:col>
      <xdr:colOff>104225</xdr:colOff>
      <xdr:row>89</xdr:row>
      <xdr:rowOff>87802</xdr:rowOff>
    </xdr:to>
    <xdr:sp macro="" textlink="">
      <xdr:nvSpPr>
        <xdr:cNvPr id="235" name="Rectangle: Rounded Corners 234">
          <a:extLst>
            <a:ext uri="{FF2B5EF4-FFF2-40B4-BE49-F238E27FC236}">
              <a16:creationId xmlns:a16="http://schemas.microsoft.com/office/drawing/2014/main" id="{68502DF6-D8CF-493F-940D-39E6B1065639}"/>
            </a:ext>
          </a:extLst>
        </xdr:cNvPr>
        <xdr:cNvSpPr/>
      </xdr:nvSpPr>
      <xdr:spPr>
        <a:xfrm>
          <a:off x="21585946" y="165463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448879</xdr:colOff>
      <xdr:row>83</xdr:row>
      <xdr:rowOff>27369</xdr:rowOff>
    </xdr:from>
    <xdr:to>
      <xdr:col>29</xdr:col>
      <xdr:colOff>126121</xdr:colOff>
      <xdr:row>88</xdr:row>
      <xdr:rowOff>32515</xdr:rowOff>
    </xdr:to>
    <xdr:cxnSp macro="">
      <xdr:nvCxnSpPr>
        <xdr:cNvPr id="236" name="Straight Arrow Connector 235">
          <a:extLst>
            <a:ext uri="{FF2B5EF4-FFF2-40B4-BE49-F238E27FC236}">
              <a16:creationId xmlns:a16="http://schemas.microsoft.com/office/drawing/2014/main" id="{9BC24CB8-0791-424D-ACCC-05CAA8C63C20}"/>
            </a:ext>
          </a:extLst>
        </xdr:cNvPr>
        <xdr:cNvCxnSpPr>
          <a:stCxn id="229" idx="3"/>
          <a:endCxn id="235" idx="1"/>
        </xdr:cNvCxnSpPr>
      </xdr:nvCxnSpPr>
      <xdr:spPr>
        <a:xfrm>
          <a:off x="20689504" y="15838869"/>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104225</xdr:colOff>
      <xdr:row>81</xdr:row>
      <xdr:rowOff>18394</xdr:rowOff>
    </xdr:from>
    <xdr:to>
      <xdr:col>46</xdr:col>
      <xdr:colOff>62185</xdr:colOff>
      <xdr:row>88</xdr:row>
      <xdr:rowOff>32515</xdr:rowOff>
    </xdr:to>
    <xdr:cxnSp macro="">
      <xdr:nvCxnSpPr>
        <xdr:cNvPr id="237" name="Connector: Elbow 236">
          <a:extLst>
            <a:ext uri="{FF2B5EF4-FFF2-40B4-BE49-F238E27FC236}">
              <a16:creationId xmlns:a16="http://schemas.microsoft.com/office/drawing/2014/main" id="{8503C24E-A58C-4465-BBB6-C3B010A9D6C8}"/>
            </a:ext>
          </a:extLst>
        </xdr:cNvPr>
        <xdr:cNvCxnSpPr>
          <a:stCxn id="235" idx="3"/>
          <a:endCxn id="170" idx="1"/>
        </xdr:cNvCxnSpPr>
      </xdr:nvCxnSpPr>
      <xdr:spPr>
        <a:xfrm flipV="1">
          <a:off x="22783250" y="1544889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338520</xdr:colOff>
      <xdr:row>100</xdr:row>
      <xdr:rowOff>130503</xdr:rowOff>
    </xdr:from>
    <xdr:to>
      <xdr:col>27</xdr:col>
      <xdr:colOff>448003</xdr:colOff>
      <xdr:row>105</xdr:row>
      <xdr:rowOff>64813</xdr:rowOff>
    </xdr:to>
    <xdr:sp macro="" textlink="">
      <xdr:nvSpPr>
        <xdr:cNvPr id="238" name="Rectangle: Rounded Corners 237">
          <a:extLst>
            <a:ext uri="{FF2B5EF4-FFF2-40B4-BE49-F238E27FC236}">
              <a16:creationId xmlns:a16="http://schemas.microsoft.com/office/drawing/2014/main" id="{24CBC28C-9F74-4AAB-91C6-04A4EC305713}"/>
            </a:ext>
          </a:extLst>
        </xdr:cNvPr>
        <xdr:cNvSpPr/>
      </xdr:nvSpPr>
      <xdr:spPr>
        <a:xfrm>
          <a:off x="18140745" y="19180503"/>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181739</xdr:colOff>
      <xdr:row>103</xdr:row>
      <xdr:rowOff>4598</xdr:rowOff>
    </xdr:from>
    <xdr:to>
      <xdr:col>23</xdr:col>
      <xdr:colOff>338520</xdr:colOff>
      <xdr:row>103</xdr:row>
      <xdr:rowOff>6572</xdr:rowOff>
    </xdr:to>
    <xdr:cxnSp macro="">
      <xdr:nvCxnSpPr>
        <xdr:cNvPr id="239" name="Straight Arrow Connector 238">
          <a:extLst>
            <a:ext uri="{FF2B5EF4-FFF2-40B4-BE49-F238E27FC236}">
              <a16:creationId xmlns:a16="http://schemas.microsoft.com/office/drawing/2014/main" id="{2EB91EBA-3D38-44EB-B130-8B15410F0136}"/>
            </a:ext>
          </a:extLst>
        </xdr:cNvPr>
        <xdr:cNvCxnSpPr>
          <a:endCxn id="238" idx="1"/>
        </xdr:cNvCxnSpPr>
      </xdr:nvCxnSpPr>
      <xdr:spPr>
        <a:xfrm flipV="1">
          <a:off x="17374364" y="19626098"/>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93276</xdr:colOff>
      <xdr:row>101</xdr:row>
      <xdr:rowOff>130504</xdr:rowOff>
    </xdr:from>
    <xdr:to>
      <xdr:col>31</xdr:col>
      <xdr:colOff>71380</xdr:colOff>
      <xdr:row>104</xdr:row>
      <xdr:rowOff>54958</xdr:rowOff>
    </xdr:to>
    <xdr:sp macro="" textlink="">
      <xdr:nvSpPr>
        <xdr:cNvPr id="240" name="Rectangle: Rounded Corners 239">
          <a:extLst>
            <a:ext uri="{FF2B5EF4-FFF2-40B4-BE49-F238E27FC236}">
              <a16:creationId xmlns:a16="http://schemas.microsoft.com/office/drawing/2014/main" id="{CBCED139-6A43-4684-8C30-B00BF0EA2B65}"/>
            </a:ext>
          </a:extLst>
        </xdr:cNvPr>
        <xdr:cNvSpPr/>
      </xdr:nvSpPr>
      <xdr:spPr>
        <a:xfrm>
          <a:off x="21553101" y="19371004"/>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448003</xdr:colOff>
      <xdr:row>102</xdr:row>
      <xdr:rowOff>185791</xdr:rowOff>
    </xdr:from>
    <xdr:to>
      <xdr:col>29</xdr:col>
      <xdr:colOff>93276</xdr:colOff>
      <xdr:row>103</xdr:row>
      <xdr:rowOff>4598</xdr:rowOff>
    </xdr:to>
    <xdr:cxnSp macro="">
      <xdr:nvCxnSpPr>
        <xdr:cNvPr id="241" name="Straight Arrow Connector 240">
          <a:extLst>
            <a:ext uri="{FF2B5EF4-FFF2-40B4-BE49-F238E27FC236}">
              <a16:creationId xmlns:a16="http://schemas.microsoft.com/office/drawing/2014/main" id="{37C7279F-1381-46F1-97CD-145301F29274}"/>
            </a:ext>
          </a:extLst>
        </xdr:cNvPr>
        <xdr:cNvCxnSpPr>
          <a:stCxn id="238" idx="3"/>
          <a:endCxn id="240" idx="1"/>
        </xdr:cNvCxnSpPr>
      </xdr:nvCxnSpPr>
      <xdr:spPr>
        <a:xfrm flipV="1">
          <a:off x="20688628" y="19616791"/>
          <a:ext cx="864473" cy="930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71380</xdr:colOff>
      <xdr:row>102</xdr:row>
      <xdr:rowOff>185791</xdr:rowOff>
    </xdr:from>
    <xdr:to>
      <xdr:col>33</xdr:col>
      <xdr:colOff>21021</xdr:colOff>
      <xdr:row>103</xdr:row>
      <xdr:rowOff>6160</xdr:rowOff>
    </xdr:to>
    <xdr:cxnSp macro="">
      <xdr:nvCxnSpPr>
        <xdr:cNvPr id="242" name="Straight Arrow Connector 241">
          <a:extLst>
            <a:ext uri="{FF2B5EF4-FFF2-40B4-BE49-F238E27FC236}">
              <a16:creationId xmlns:a16="http://schemas.microsoft.com/office/drawing/2014/main" id="{F9129A3F-3B61-4956-92F6-82BE797CCAC2}"/>
            </a:ext>
          </a:extLst>
        </xdr:cNvPr>
        <xdr:cNvCxnSpPr>
          <a:stCxn id="240" idx="3"/>
        </xdr:cNvCxnSpPr>
      </xdr:nvCxnSpPr>
      <xdr:spPr>
        <a:xfrm>
          <a:off x="22750405" y="19616791"/>
          <a:ext cx="1168841" cy="108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448003</xdr:colOff>
      <xdr:row>103</xdr:row>
      <xdr:rowOff>4598</xdr:rowOff>
    </xdr:from>
    <xdr:to>
      <xdr:col>29</xdr:col>
      <xdr:colOff>125245</xdr:colOff>
      <xdr:row>108</xdr:row>
      <xdr:rowOff>9743</xdr:rowOff>
    </xdr:to>
    <xdr:cxnSp macro="">
      <xdr:nvCxnSpPr>
        <xdr:cNvPr id="243" name="Straight Arrow Connector 242">
          <a:extLst>
            <a:ext uri="{FF2B5EF4-FFF2-40B4-BE49-F238E27FC236}">
              <a16:creationId xmlns:a16="http://schemas.microsoft.com/office/drawing/2014/main" id="{CD870126-878E-4DFE-84A7-2F76A39020C1}"/>
            </a:ext>
          </a:extLst>
        </xdr:cNvPr>
        <xdr:cNvCxnSpPr>
          <a:stCxn id="238" idx="3"/>
        </xdr:cNvCxnSpPr>
      </xdr:nvCxnSpPr>
      <xdr:spPr>
        <a:xfrm>
          <a:off x="20688628" y="19626098"/>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147142</xdr:colOff>
      <xdr:row>106</xdr:row>
      <xdr:rowOff>129628</xdr:rowOff>
    </xdr:from>
    <xdr:to>
      <xdr:col>31</xdr:col>
      <xdr:colOff>125246</xdr:colOff>
      <xdr:row>109</xdr:row>
      <xdr:rowOff>54082</xdr:rowOff>
    </xdr:to>
    <xdr:sp macro="" textlink="">
      <xdr:nvSpPr>
        <xdr:cNvPr id="244" name="Rectangle: Rounded Corners 243">
          <a:extLst>
            <a:ext uri="{FF2B5EF4-FFF2-40B4-BE49-F238E27FC236}">
              <a16:creationId xmlns:a16="http://schemas.microsoft.com/office/drawing/2014/main" id="{95247227-2A8E-49C5-90CA-057C053F1CCF}"/>
            </a:ext>
          </a:extLst>
        </xdr:cNvPr>
        <xdr:cNvSpPr/>
      </xdr:nvSpPr>
      <xdr:spPr>
        <a:xfrm>
          <a:off x="21606967" y="2032262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23</xdr:col>
      <xdr:colOff>403334</xdr:colOff>
      <xdr:row>63</xdr:row>
      <xdr:rowOff>107730</xdr:rowOff>
    </xdr:from>
    <xdr:to>
      <xdr:col>27</xdr:col>
      <xdr:colOff>512817</xdr:colOff>
      <xdr:row>68</xdr:row>
      <xdr:rowOff>42041</xdr:rowOff>
    </xdr:to>
    <xdr:sp macro="" textlink="">
      <xdr:nvSpPr>
        <xdr:cNvPr id="245" name="Rectangle: Rounded Corners 244">
          <a:extLst>
            <a:ext uri="{FF2B5EF4-FFF2-40B4-BE49-F238E27FC236}">
              <a16:creationId xmlns:a16="http://schemas.microsoft.com/office/drawing/2014/main" id="{0D7C3E7F-C2FB-4452-A905-CD84BC5B60D2}"/>
            </a:ext>
          </a:extLst>
        </xdr:cNvPr>
        <xdr:cNvSpPr/>
      </xdr:nvSpPr>
      <xdr:spPr>
        <a:xfrm>
          <a:off x="18205559" y="12109230"/>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246553</xdr:colOff>
      <xdr:row>65</xdr:row>
      <xdr:rowOff>167946</xdr:rowOff>
    </xdr:from>
    <xdr:to>
      <xdr:col>23</xdr:col>
      <xdr:colOff>403334</xdr:colOff>
      <xdr:row>65</xdr:row>
      <xdr:rowOff>169920</xdr:rowOff>
    </xdr:to>
    <xdr:cxnSp macro="">
      <xdr:nvCxnSpPr>
        <xdr:cNvPr id="246" name="Straight Arrow Connector 245">
          <a:extLst>
            <a:ext uri="{FF2B5EF4-FFF2-40B4-BE49-F238E27FC236}">
              <a16:creationId xmlns:a16="http://schemas.microsoft.com/office/drawing/2014/main" id="{B4DF5DA0-6197-481E-8E2C-384A7BCCE30F}"/>
            </a:ext>
          </a:extLst>
        </xdr:cNvPr>
        <xdr:cNvCxnSpPr>
          <a:endCxn id="245" idx="1"/>
        </xdr:cNvCxnSpPr>
      </xdr:nvCxnSpPr>
      <xdr:spPr>
        <a:xfrm flipV="1">
          <a:off x="17439178" y="1255044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158090</xdr:colOff>
      <xdr:row>64</xdr:row>
      <xdr:rowOff>107732</xdr:rowOff>
    </xdr:from>
    <xdr:to>
      <xdr:col>31</xdr:col>
      <xdr:colOff>136194</xdr:colOff>
      <xdr:row>67</xdr:row>
      <xdr:rowOff>32186</xdr:rowOff>
    </xdr:to>
    <xdr:sp macro="" textlink="">
      <xdr:nvSpPr>
        <xdr:cNvPr id="247" name="Rectangle: Rounded Corners 246">
          <a:extLst>
            <a:ext uri="{FF2B5EF4-FFF2-40B4-BE49-F238E27FC236}">
              <a16:creationId xmlns:a16="http://schemas.microsoft.com/office/drawing/2014/main" id="{49674057-F6D8-4770-BE4C-393A4286BED1}"/>
            </a:ext>
          </a:extLst>
        </xdr:cNvPr>
        <xdr:cNvSpPr/>
      </xdr:nvSpPr>
      <xdr:spPr>
        <a:xfrm>
          <a:off x="21617915" y="12299732"/>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512817</xdr:colOff>
      <xdr:row>65</xdr:row>
      <xdr:rowOff>163019</xdr:rowOff>
    </xdr:from>
    <xdr:to>
      <xdr:col>29</xdr:col>
      <xdr:colOff>158090</xdr:colOff>
      <xdr:row>65</xdr:row>
      <xdr:rowOff>167946</xdr:rowOff>
    </xdr:to>
    <xdr:cxnSp macro="">
      <xdr:nvCxnSpPr>
        <xdr:cNvPr id="248" name="Straight Arrow Connector 247">
          <a:extLst>
            <a:ext uri="{FF2B5EF4-FFF2-40B4-BE49-F238E27FC236}">
              <a16:creationId xmlns:a16="http://schemas.microsoft.com/office/drawing/2014/main" id="{8A3D5567-1C7B-4907-A4D5-6B847E1646D6}"/>
            </a:ext>
          </a:extLst>
        </xdr:cNvPr>
        <xdr:cNvCxnSpPr>
          <a:stCxn id="245" idx="3"/>
          <a:endCxn id="247" idx="1"/>
        </xdr:cNvCxnSpPr>
      </xdr:nvCxnSpPr>
      <xdr:spPr>
        <a:xfrm flipV="1">
          <a:off x="20753442" y="1254551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512817</xdr:colOff>
      <xdr:row>65</xdr:row>
      <xdr:rowOff>167946</xdr:rowOff>
    </xdr:from>
    <xdr:to>
      <xdr:col>29</xdr:col>
      <xdr:colOff>190059</xdr:colOff>
      <xdr:row>70</xdr:row>
      <xdr:rowOff>173091</xdr:rowOff>
    </xdr:to>
    <xdr:cxnSp macro="">
      <xdr:nvCxnSpPr>
        <xdr:cNvPr id="249" name="Straight Arrow Connector 248">
          <a:extLst>
            <a:ext uri="{FF2B5EF4-FFF2-40B4-BE49-F238E27FC236}">
              <a16:creationId xmlns:a16="http://schemas.microsoft.com/office/drawing/2014/main" id="{DAF0303B-0DF5-4DAB-A957-A479DA9FCB18}"/>
            </a:ext>
          </a:extLst>
        </xdr:cNvPr>
        <xdr:cNvCxnSpPr>
          <a:stCxn id="245" idx="3"/>
        </xdr:cNvCxnSpPr>
      </xdr:nvCxnSpPr>
      <xdr:spPr>
        <a:xfrm>
          <a:off x="20753442" y="1255044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211956</xdr:colOff>
      <xdr:row>69</xdr:row>
      <xdr:rowOff>52115</xdr:rowOff>
    </xdr:from>
    <xdr:to>
      <xdr:col>31</xdr:col>
      <xdr:colOff>190060</xdr:colOff>
      <xdr:row>71</xdr:row>
      <xdr:rowOff>162690</xdr:rowOff>
    </xdr:to>
    <xdr:sp macro="" textlink="">
      <xdr:nvSpPr>
        <xdr:cNvPr id="250" name="Rectangle: Rounded Corners 249">
          <a:extLst>
            <a:ext uri="{FF2B5EF4-FFF2-40B4-BE49-F238E27FC236}">
              <a16:creationId xmlns:a16="http://schemas.microsoft.com/office/drawing/2014/main" id="{A92CC547-350A-4735-81C8-17728008AB21}"/>
            </a:ext>
          </a:extLst>
        </xdr:cNvPr>
        <xdr:cNvSpPr/>
      </xdr:nvSpPr>
      <xdr:spPr>
        <a:xfrm>
          <a:off x="21671781" y="13196615"/>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136194</xdr:colOff>
      <xdr:row>65</xdr:row>
      <xdr:rowOff>163019</xdr:rowOff>
    </xdr:from>
    <xdr:to>
      <xdr:col>33</xdr:col>
      <xdr:colOff>20035</xdr:colOff>
      <xdr:row>65</xdr:row>
      <xdr:rowOff>172135</xdr:rowOff>
    </xdr:to>
    <xdr:cxnSp macro="">
      <xdr:nvCxnSpPr>
        <xdr:cNvPr id="251" name="Straight Arrow Connector 250">
          <a:extLst>
            <a:ext uri="{FF2B5EF4-FFF2-40B4-BE49-F238E27FC236}">
              <a16:creationId xmlns:a16="http://schemas.microsoft.com/office/drawing/2014/main" id="{03A27CF8-2982-451F-8813-6E243BFC9A02}"/>
            </a:ext>
          </a:extLst>
        </xdr:cNvPr>
        <xdr:cNvCxnSpPr>
          <a:stCxn id="247" idx="3"/>
          <a:endCxn id="126" idx="1"/>
        </xdr:cNvCxnSpPr>
      </xdr:nvCxnSpPr>
      <xdr:spPr>
        <a:xfrm>
          <a:off x="22815219" y="1254551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391510</xdr:colOff>
      <xdr:row>44</xdr:row>
      <xdr:rowOff>161596</xdr:rowOff>
    </xdr:from>
    <xdr:to>
      <xdr:col>27</xdr:col>
      <xdr:colOff>500993</xdr:colOff>
      <xdr:row>49</xdr:row>
      <xdr:rowOff>95907</xdr:rowOff>
    </xdr:to>
    <xdr:sp macro="" textlink="">
      <xdr:nvSpPr>
        <xdr:cNvPr id="252" name="Rectangle: Rounded Corners 251">
          <a:extLst>
            <a:ext uri="{FF2B5EF4-FFF2-40B4-BE49-F238E27FC236}">
              <a16:creationId xmlns:a16="http://schemas.microsoft.com/office/drawing/2014/main" id="{D8CC4BDA-E74E-4A3E-96E9-CFCF300D6A1A}"/>
            </a:ext>
          </a:extLst>
        </xdr:cNvPr>
        <xdr:cNvSpPr/>
      </xdr:nvSpPr>
      <xdr:spPr>
        <a:xfrm>
          <a:off x="18193735" y="8543596"/>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234729</xdr:colOff>
      <xdr:row>47</xdr:row>
      <xdr:rowOff>35691</xdr:rowOff>
    </xdr:from>
    <xdr:to>
      <xdr:col>23</xdr:col>
      <xdr:colOff>391510</xdr:colOff>
      <xdr:row>47</xdr:row>
      <xdr:rowOff>37665</xdr:rowOff>
    </xdr:to>
    <xdr:cxnSp macro="">
      <xdr:nvCxnSpPr>
        <xdr:cNvPr id="253" name="Straight Arrow Connector 252">
          <a:extLst>
            <a:ext uri="{FF2B5EF4-FFF2-40B4-BE49-F238E27FC236}">
              <a16:creationId xmlns:a16="http://schemas.microsoft.com/office/drawing/2014/main" id="{3B2E55DA-A52E-4223-8775-13542A99A046}"/>
            </a:ext>
          </a:extLst>
        </xdr:cNvPr>
        <xdr:cNvCxnSpPr>
          <a:endCxn id="252" idx="1"/>
        </xdr:cNvCxnSpPr>
      </xdr:nvCxnSpPr>
      <xdr:spPr>
        <a:xfrm flipV="1">
          <a:off x="17427354" y="8989191"/>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146266</xdr:colOff>
      <xdr:row>45</xdr:row>
      <xdr:rowOff>161598</xdr:rowOff>
    </xdr:from>
    <xdr:to>
      <xdr:col>31</xdr:col>
      <xdr:colOff>124370</xdr:colOff>
      <xdr:row>48</xdr:row>
      <xdr:rowOff>86052</xdr:rowOff>
    </xdr:to>
    <xdr:sp macro="" textlink="">
      <xdr:nvSpPr>
        <xdr:cNvPr id="254" name="Rectangle: Rounded Corners 253">
          <a:extLst>
            <a:ext uri="{FF2B5EF4-FFF2-40B4-BE49-F238E27FC236}">
              <a16:creationId xmlns:a16="http://schemas.microsoft.com/office/drawing/2014/main" id="{8DC954B0-EF57-44BD-B1E1-E2AB9A70023B}"/>
            </a:ext>
          </a:extLst>
        </xdr:cNvPr>
        <xdr:cNvSpPr/>
      </xdr:nvSpPr>
      <xdr:spPr>
        <a:xfrm>
          <a:off x="21606091" y="873409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500993</xdr:colOff>
      <xdr:row>47</xdr:row>
      <xdr:rowOff>30764</xdr:rowOff>
    </xdr:from>
    <xdr:to>
      <xdr:col>29</xdr:col>
      <xdr:colOff>146266</xdr:colOff>
      <xdr:row>47</xdr:row>
      <xdr:rowOff>35691</xdr:rowOff>
    </xdr:to>
    <xdr:cxnSp macro="">
      <xdr:nvCxnSpPr>
        <xdr:cNvPr id="255" name="Straight Arrow Connector 254">
          <a:extLst>
            <a:ext uri="{FF2B5EF4-FFF2-40B4-BE49-F238E27FC236}">
              <a16:creationId xmlns:a16="http://schemas.microsoft.com/office/drawing/2014/main" id="{193A6D89-51C9-42EC-903E-6B7E242B73D8}"/>
            </a:ext>
          </a:extLst>
        </xdr:cNvPr>
        <xdr:cNvCxnSpPr>
          <a:stCxn id="252" idx="3"/>
          <a:endCxn id="254" idx="1"/>
        </xdr:cNvCxnSpPr>
      </xdr:nvCxnSpPr>
      <xdr:spPr>
        <a:xfrm flipV="1">
          <a:off x="20741618" y="8984264"/>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500993</xdr:colOff>
      <xdr:row>47</xdr:row>
      <xdr:rowOff>35691</xdr:rowOff>
    </xdr:from>
    <xdr:to>
      <xdr:col>29</xdr:col>
      <xdr:colOff>178235</xdr:colOff>
      <xdr:row>52</xdr:row>
      <xdr:rowOff>40837</xdr:rowOff>
    </xdr:to>
    <xdr:cxnSp macro="">
      <xdr:nvCxnSpPr>
        <xdr:cNvPr id="256" name="Straight Arrow Connector 255">
          <a:extLst>
            <a:ext uri="{FF2B5EF4-FFF2-40B4-BE49-F238E27FC236}">
              <a16:creationId xmlns:a16="http://schemas.microsoft.com/office/drawing/2014/main" id="{448EDE7A-46E2-4F98-9C2C-30FD9312C41C}"/>
            </a:ext>
          </a:extLst>
        </xdr:cNvPr>
        <xdr:cNvCxnSpPr>
          <a:stCxn id="252" idx="3"/>
        </xdr:cNvCxnSpPr>
      </xdr:nvCxnSpPr>
      <xdr:spPr>
        <a:xfrm>
          <a:off x="20741618" y="8989191"/>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200132</xdr:colOff>
      <xdr:row>50</xdr:row>
      <xdr:rowOff>105981</xdr:rowOff>
    </xdr:from>
    <xdr:to>
      <xdr:col>31</xdr:col>
      <xdr:colOff>178236</xdr:colOff>
      <xdr:row>53</xdr:row>
      <xdr:rowOff>30435</xdr:rowOff>
    </xdr:to>
    <xdr:sp macro="" textlink="">
      <xdr:nvSpPr>
        <xdr:cNvPr id="257" name="Rectangle: Rounded Corners 256">
          <a:extLst>
            <a:ext uri="{FF2B5EF4-FFF2-40B4-BE49-F238E27FC236}">
              <a16:creationId xmlns:a16="http://schemas.microsoft.com/office/drawing/2014/main" id="{6CE2F599-7BE5-4E5E-A570-54EBA22B724D}"/>
            </a:ext>
          </a:extLst>
        </xdr:cNvPr>
        <xdr:cNvSpPr/>
      </xdr:nvSpPr>
      <xdr:spPr>
        <a:xfrm>
          <a:off x="21659957" y="9630981"/>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124370</xdr:colOff>
      <xdr:row>47</xdr:row>
      <xdr:rowOff>30764</xdr:rowOff>
    </xdr:from>
    <xdr:to>
      <xdr:col>33</xdr:col>
      <xdr:colOff>8211</xdr:colOff>
      <xdr:row>47</xdr:row>
      <xdr:rowOff>39880</xdr:rowOff>
    </xdr:to>
    <xdr:cxnSp macro="">
      <xdr:nvCxnSpPr>
        <xdr:cNvPr id="258" name="Straight Arrow Connector 257">
          <a:extLst>
            <a:ext uri="{FF2B5EF4-FFF2-40B4-BE49-F238E27FC236}">
              <a16:creationId xmlns:a16="http://schemas.microsoft.com/office/drawing/2014/main" id="{51826E07-94AB-46C8-A749-A7A7F3723839}"/>
            </a:ext>
          </a:extLst>
        </xdr:cNvPr>
        <xdr:cNvCxnSpPr>
          <a:stCxn id="254" idx="3"/>
        </xdr:cNvCxnSpPr>
      </xdr:nvCxnSpPr>
      <xdr:spPr>
        <a:xfrm>
          <a:off x="22803395" y="8984264"/>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390634</xdr:colOff>
      <xdr:row>27</xdr:row>
      <xdr:rowOff>40290</xdr:rowOff>
    </xdr:from>
    <xdr:to>
      <xdr:col>27</xdr:col>
      <xdr:colOff>500117</xdr:colOff>
      <xdr:row>31</xdr:row>
      <xdr:rowOff>160721</xdr:rowOff>
    </xdr:to>
    <xdr:sp macro="" textlink="">
      <xdr:nvSpPr>
        <xdr:cNvPr id="259" name="Rectangle: Rounded Corners 258">
          <a:extLst>
            <a:ext uri="{FF2B5EF4-FFF2-40B4-BE49-F238E27FC236}">
              <a16:creationId xmlns:a16="http://schemas.microsoft.com/office/drawing/2014/main" id="{A62A1339-EB41-4735-8925-ED0FCD9D2451}"/>
            </a:ext>
          </a:extLst>
        </xdr:cNvPr>
        <xdr:cNvSpPr/>
      </xdr:nvSpPr>
      <xdr:spPr>
        <a:xfrm>
          <a:off x="18192859" y="5183790"/>
          <a:ext cx="2547883" cy="8824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233853</xdr:colOff>
      <xdr:row>29</xdr:row>
      <xdr:rowOff>100506</xdr:rowOff>
    </xdr:from>
    <xdr:to>
      <xdr:col>23</xdr:col>
      <xdr:colOff>390634</xdr:colOff>
      <xdr:row>29</xdr:row>
      <xdr:rowOff>102480</xdr:rowOff>
    </xdr:to>
    <xdr:cxnSp macro="">
      <xdr:nvCxnSpPr>
        <xdr:cNvPr id="260" name="Straight Arrow Connector 259">
          <a:extLst>
            <a:ext uri="{FF2B5EF4-FFF2-40B4-BE49-F238E27FC236}">
              <a16:creationId xmlns:a16="http://schemas.microsoft.com/office/drawing/2014/main" id="{4E10E6DF-B4D5-4443-B5B3-308C8AA8603A}"/>
            </a:ext>
          </a:extLst>
        </xdr:cNvPr>
        <xdr:cNvCxnSpPr>
          <a:endCxn id="259" idx="1"/>
        </xdr:cNvCxnSpPr>
      </xdr:nvCxnSpPr>
      <xdr:spPr>
        <a:xfrm flipV="1">
          <a:off x="17426478" y="562500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145390</xdr:colOff>
      <xdr:row>28</xdr:row>
      <xdr:rowOff>40291</xdr:rowOff>
    </xdr:from>
    <xdr:to>
      <xdr:col>31</xdr:col>
      <xdr:colOff>123494</xdr:colOff>
      <xdr:row>30</xdr:row>
      <xdr:rowOff>150866</xdr:rowOff>
    </xdr:to>
    <xdr:sp macro="" textlink="">
      <xdr:nvSpPr>
        <xdr:cNvPr id="261" name="Rectangle: Rounded Corners 260">
          <a:extLst>
            <a:ext uri="{FF2B5EF4-FFF2-40B4-BE49-F238E27FC236}">
              <a16:creationId xmlns:a16="http://schemas.microsoft.com/office/drawing/2014/main" id="{F3A901F2-2C2C-4C46-A2A5-81C513735ADE}"/>
            </a:ext>
          </a:extLst>
        </xdr:cNvPr>
        <xdr:cNvSpPr/>
      </xdr:nvSpPr>
      <xdr:spPr>
        <a:xfrm>
          <a:off x="21605215" y="5374291"/>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500117</xdr:colOff>
      <xdr:row>29</xdr:row>
      <xdr:rowOff>95579</xdr:rowOff>
    </xdr:from>
    <xdr:to>
      <xdr:col>29</xdr:col>
      <xdr:colOff>145390</xdr:colOff>
      <xdr:row>29</xdr:row>
      <xdr:rowOff>100506</xdr:rowOff>
    </xdr:to>
    <xdr:cxnSp macro="">
      <xdr:nvCxnSpPr>
        <xdr:cNvPr id="262" name="Straight Arrow Connector 261">
          <a:extLst>
            <a:ext uri="{FF2B5EF4-FFF2-40B4-BE49-F238E27FC236}">
              <a16:creationId xmlns:a16="http://schemas.microsoft.com/office/drawing/2014/main" id="{17BB7523-852C-4888-B84F-2E0485959B8F}"/>
            </a:ext>
          </a:extLst>
        </xdr:cNvPr>
        <xdr:cNvCxnSpPr>
          <a:stCxn id="259" idx="3"/>
          <a:endCxn id="261" idx="1"/>
        </xdr:cNvCxnSpPr>
      </xdr:nvCxnSpPr>
      <xdr:spPr>
        <a:xfrm flipV="1">
          <a:off x="20740742" y="562007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500117</xdr:colOff>
      <xdr:row>29</xdr:row>
      <xdr:rowOff>100506</xdr:rowOff>
    </xdr:from>
    <xdr:to>
      <xdr:col>29</xdr:col>
      <xdr:colOff>177359</xdr:colOff>
      <xdr:row>34</xdr:row>
      <xdr:rowOff>105651</xdr:rowOff>
    </xdr:to>
    <xdr:cxnSp macro="">
      <xdr:nvCxnSpPr>
        <xdr:cNvPr id="263" name="Straight Arrow Connector 262">
          <a:extLst>
            <a:ext uri="{FF2B5EF4-FFF2-40B4-BE49-F238E27FC236}">
              <a16:creationId xmlns:a16="http://schemas.microsoft.com/office/drawing/2014/main" id="{CB0623EF-33CE-4B3B-89CE-AFC793AB7642}"/>
            </a:ext>
          </a:extLst>
        </xdr:cNvPr>
        <xdr:cNvCxnSpPr>
          <a:stCxn id="259" idx="3"/>
        </xdr:cNvCxnSpPr>
      </xdr:nvCxnSpPr>
      <xdr:spPr>
        <a:xfrm>
          <a:off x="20740742" y="562500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199256</xdr:colOff>
      <xdr:row>32</xdr:row>
      <xdr:rowOff>170796</xdr:rowOff>
    </xdr:from>
    <xdr:to>
      <xdr:col>31</xdr:col>
      <xdr:colOff>177360</xdr:colOff>
      <xdr:row>35</xdr:row>
      <xdr:rowOff>95250</xdr:rowOff>
    </xdr:to>
    <xdr:sp macro="" textlink="">
      <xdr:nvSpPr>
        <xdr:cNvPr id="264" name="Rectangle: Rounded Corners 263">
          <a:extLst>
            <a:ext uri="{FF2B5EF4-FFF2-40B4-BE49-F238E27FC236}">
              <a16:creationId xmlns:a16="http://schemas.microsoft.com/office/drawing/2014/main" id="{B2D22D31-7782-4B60-BDBE-EA4340ACF3E5}"/>
            </a:ext>
          </a:extLst>
        </xdr:cNvPr>
        <xdr:cNvSpPr/>
      </xdr:nvSpPr>
      <xdr:spPr>
        <a:xfrm>
          <a:off x="21659081" y="626679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123494</xdr:colOff>
      <xdr:row>29</xdr:row>
      <xdr:rowOff>95579</xdr:rowOff>
    </xdr:from>
    <xdr:to>
      <xdr:col>33</xdr:col>
      <xdr:colOff>7335</xdr:colOff>
      <xdr:row>29</xdr:row>
      <xdr:rowOff>104695</xdr:rowOff>
    </xdr:to>
    <xdr:cxnSp macro="">
      <xdr:nvCxnSpPr>
        <xdr:cNvPr id="265" name="Straight Arrow Connector 264">
          <a:extLst>
            <a:ext uri="{FF2B5EF4-FFF2-40B4-BE49-F238E27FC236}">
              <a16:creationId xmlns:a16="http://schemas.microsoft.com/office/drawing/2014/main" id="{2C02E7C8-1F35-4831-8572-7CB8F34AF998}"/>
            </a:ext>
          </a:extLst>
        </xdr:cNvPr>
        <xdr:cNvCxnSpPr>
          <a:stCxn id="261" idx="3"/>
        </xdr:cNvCxnSpPr>
      </xdr:nvCxnSpPr>
      <xdr:spPr>
        <a:xfrm>
          <a:off x="22802519" y="562007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367862</xdr:colOff>
      <xdr:row>8</xdr:row>
      <xdr:rowOff>181742</xdr:rowOff>
    </xdr:from>
    <xdr:to>
      <xdr:col>27</xdr:col>
      <xdr:colOff>477345</xdr:colOff>
      <xdr:row>13</xdr:row>
      <xdr:rowOff>116053</xdr:rowOff>
    </xdr:to>
    <xdr:sp macro="" textlink="">
      <xdr:nvSpPr>
        <xdr:cNvPr id="266" name="Rectangle: Rounded Corners 265">
          <a:extLst>
            <a:ext uri="{FF2B5EF4-FFF2-40B4-BE49-F238E27FC236}">
              <a16:creationId xmlns:a16="http://schemas.microsoft.com/office/drawing/2014/main" id="{C30485A6-1F01-4522-A396-897355E1AC15}"/>
            </a:ext>
          </a:extLst>
        </xdr:cNvPr>
        <xdr:cNvSpPr/>
      </xdr:nvSpPr>
      <xdr:spPr>
        <a:xfrm>
          <a:off x="18170087" y="1705742"/>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this a newly acquired asset?</a:t>
          </a:r>
        </a:p>
        <a:p>
          <a:pPr algn="ctr"/>
          <a:r>
            <a:rPr lang="en-ID" sz="1100" b="0" i="0">
              <a:solidFill>
                <a:schemeClr val="lt1"/>
              </a:solidFill>
              <a:effectLst/>
              <a:latin typeface="+mn-lt"/>
              <a:ea typeface="+mn-ea"/>
              <a:cs typeface="+mn-cs"/>
            </a:rPr>
            <a:t>Apakah ini aset baru?</a:t>
          </a:r>
          <a:endParaRPr lang="en-ID" sz="1100"/>
        </a:p>
      </xdr:txBody>
    </xdr:sp>
    <xdr:clientData/>
  </xdr:twoCellAnchor>
  <xdr:twoCellAnchor>
    <xdr:from>
      <xdr:col>22</xdr:col>
      <xdr:colOff>211081</xdr:colOff>
      <xdr:row>11</xdr:row>
      <xdr:rowOff>55837</xdr:rowOff>
    </xdr:from>
    <xdr:to>
      <xdr:col>23</xdr:col>
      <xdr:colOff>367862</xdr:colOff>
      <xdr:row>11</xdr:row>
      <xdr:rowOff>57811</xdr:rowOff>
    </xdr:to>
    <xdr:cxnSp macro="">
      <xdr:nvCxnSpPr>
        <xdr:cNvPr id="267" name="Straight Arrow Connector 266">
          <a:extLst>
            <a:ext uri="{FF2B5EF4-FFF2-40B4-BE49-F238E27FC236}">
              <a16:creationId xmlns:a16="http://schemas.microsoft.com/office/drawing/2014/main" id="{679CA611-321E-4893-8C3D-A34E106DF24F}"/>
            </a:ext>
          </a:extLst>
        </xdr:cNvPr>
        <xdr:cNvCxnSpPr>
          <a:endCxn id="266" idx="1"/>
        </xdr:cNvCxnSpPr>
      </xdr:nvCxnSpPr>
      <xdr:spPr>
        <a:xfrm flipV="1">
          <a:off x="17403706" y="2151337"/>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122618</xdr:colOff>
      <xdr:row>9</xdr:row>
      <xdr:rowOff>181744</xdr:rowOff>
    </xdr:from>
    <xdr:to>
      <xdr:col>31</xdr:col>
      <xdr:colOff>100722</xdr:colOff>
      <xdr:row>12</xdr:row>
      <xdr:rowOff>106197</xdr:rowOff>
    </xdr:to>
    <xdr:sp macro="" textlink="">
      <xdr:nvSpPr>
        <xdr:cNvPr id="268" name="Rectangle: Rounded Corners 267">
          <a:extLst>
            <a:ext uri="{FF2B5EF4-FFF2-40B4-BE49-F238E27FC236}">
              <a16:creationId xmlns:a16="http://schemas.microsoft.com/office/drawing/2014/main" id="{FA1AB4DA-A5E7-43C8-83D1-49AFBDD5D078}"/>
            </a:ext>
          </a:extLst>
        </xdr:cNvPr>
        <xdr:cNvSpPr/>
      </xdr:nvSpPr>
      <xdr:spPr>
        <a:xfrm>
          <a:off x="21582443" y="1896244"/>
          <a:ext cx="1197304" cy="49595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477345</xdr:colOff>
      <xdr:row>11</xdr:row>
      <xdr:rowOff>50910</xdr:rowOff>
    </xdr:from>
    <xdr:to>
      <xdr:col>29</xdr:col>
      <xdr:colOff>122618</xdr:colOff>
      <xdr:row>11</xdr:row>
      <xdr:rowOff>55837</xdr:rowOff>
    </xdr:to>
    <xdr:cxnSp macro="">
      <xdr:nvCxnSpPr>
        <xdr:cNvPr id="269" name="Straight Arrow Connector 268">
          <a:extLst>
            <a:ext uri="{FF2B5EF4-FFF2-40B4-BE49-F238E27FC236}">
              <a16:creationId xmlns:a16="http://schemas.microsoft.com/office/drawing/2014/main" id="{756E9213-22FB-4DDB-AE35-98677A66EBCF}"/>
            </a:ext>
          </a:extLst>
        </xdr:cNvPr>
        <xdr:cNvCxnSpPr>
          <a:stCxn id="266" idx="3"/>
          <a:endCxn id="268" idx="1"/>
        </xdr:cNvCxnSpPr>
      </xdr:nvCxnSpPr>
      <xdr:spPr>
        <a:xfrm flipV="1">
          <a:off x="20717970" y="2146410"/>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477345</xdr:colOff>
      <xdr:row>11</xdr:row>
      <xdr:rowOff>55837</xdr:rowOff>
    </xdr:from>
    <xdr:to>
      <xdr:col>29</xdr:col>
      <xdr:colOff>154587</xdr:colOff>
      <xdr:row>16</xdr:row>
      <xdr:rowOff>60983</xdr:rowOff>
    </xdr:to>
    <xdr:cxnSp macro="">
      <xdr:nvCxnSpPr>
        <xdr:cNvPr id="270" name="Straight Arrow Connector 269">
          <a:extLst>
            <a:ext uri="{FF2B5EF4-FFF2-40B4-BE49-F238E27FC236}">
              <a16:creationId xmlns:a16="http://schemas.microsoft.com/office/drawing/2014/main" id="{37DFDA82-CC42-4063-B663-6E6535EA3675}"/>
            </a:ext>
          </a:extLst>
        </xdr:cNvPr>
        <xdr:cNvCxnSpPr>
          <a:stCxn id="266" idx="3"/>
        </xdr:cNvCxnSpPr>
      </xdr:nvCxnSpPr>
      <xdr:spPr>
        <a:xfrm>
          <a:off x="20717970" y="2151337"/>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176484</xdr:colOff>
      <xdr:row>14</xdr:row>
      <xdr:rowOff>126127</xdr:rowOff>
    </xdr:from>
    <xdr:to>
      <xdr:col>31</xdr:col>
      <xdr:colOff>154588</xdr:colOff>
      <xdr:row>17</xdr:row>
      <xdr:rowOff>50581</xdr:rowOff>
    </xdr:to>
    <xdr:sp macro="" textlink="">
      <xdr:nvSpPr>
        <xdr:cNvPr id="271" name="Rectangle: Rounded Corners 270">
          <a:extLst>
            <a:ext uri="{FF2B5EF4-FFF2-40B4-BE49-F238E27FC236}">
              <a16:creationId xmlns:a16="http://schemas.microsoft.com/office/drawing/2014/main" id="{8FFE0756-969D-40D7-B333-0EB51E5391E5}"/>
            </a:ext>
          </a:extLst>
        </xdr:cNvPr>
        <xdr:cNvSpPr/>
      </xdr:nvSpPr>
      <xdr:spPr>
        <a:xfrm>
          <a:off x="21636309" y="2793127"/>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100722</xdr:colOff>
      <xdr:row>11</xdr:row>
      <xdr:rowOff>50910</xdr:rowOff>
    </xdr:from>
    <xdr:to>
      <xdr:col>32</xdr:col>
      <xdr:colOff>597666</xdr:colOff>
      <xdr:row>11</xdr:row>
      <xdr:rowOff>60026</xdr:rowOff>
    </xdr:to>
    <xdr:cxnSp macro="">
      <xdr:nvCxnSpPr>
        <xdr:cNvPr id="272" name="Straight Arrow Connector 271">
          <a:extLst>
            <a:ext uri="{FF2B5EF4-FFF2-40B4-BE49-F238E27FC236}">
              <a16:creationId xmlns:a16="http://schemas.microsoft.com/office/drawing/2014/main" id="{84B35312-31F1-475F-BC50-71D258719152}"/>
            </a:ext>
          </a:extLst>
        </xdr:cNvPr>
        <xdr:cNvCxnSpPr>
          <a:stCxn id="268" idx="3"/>
        </xdr:cNvCxnSpPr>
      </xdr:nvCxnSpPr>
      <xdr:spPr>
        <a:xfrm>
          <a:off x="22779747" y="2146410"/>
          <a:ext cx="1106544"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154588</xdr:colOff>
      <xdr:row>9</xdr:row>
      <xdr:rowOff>27372</xdr:rowOff>
    </xdr:from>
    <xdr:to>
      <xdr:col>46</xdr:col>
      <xdr:colOff>98535</xdr:colOff>
      <xdr:row>15</xdr:row>
      <xdr:rowOff>181414</xdr:rowOff>
    </xdr:to>
    <xdr:cxnSp macro="">
      <xdr:nvCxnSpPr>
        <xdr:cNvPr id="273" name="Connector: Elbow 272">
          <a:extLst>
            <a:ext uri="{FF2B5EF4-FFF2-40B4-BE49-F238E27FC236}">
              <a16:creationId xmlns:a16="http://schemas.microsoft.com/office/drawing/2014/main" id="{6B892A7E-EFC6-4C61-97C0-D3AAE9AADDE4}"/>
            </a:ext>
          </a:extLst>
        </xdr:cNvPr>
        <xdr:cNvCxnSpPr>
          <a:stCxn id="271" idx="3"/>
          <a:endCxn id="35" idx="1"/>
        </xdr:cNvCxnSpPr>
      </xdr:nvCxnSpPr>
      <xdr:spPr>
        <a:xfrm flipV="1">
          <a:off x="22833613" y="1741872"/>
          <a:ext cx="9087947" cy="1297042"/>
        </a:xfrm>
        <a:prstGeom prst="bentConnector3">
          <a:avLst>
            <a:gd name="adj1" fmla="val 9611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177360</xdr:colOff>
      <xdr:row>27</xdr:row>
      <xdr:rowOff>108607</xdr:rowOff>
    </xdr:from>
    <xdr:to>
      <xdr:col>46</xdr:col>
      <xdr:colOff>97659</xdr:colOff>
      <xdr:row>34</xdr:row>
      <xdr:rowOff>39962</xdr:rowOff>
    </xdr:to>
    <xdr:cxnSp macro="">
      <xdr:nvCxnSpPr>
        <xdr:cNvPr id="274" name="Connector: Elbow 273">
          <a:extLst>
            <a:ext uri="{FF2B5EF4-FFF2-40B4-BE49-F238E27FC236}">
              <a16:creationId xmlns:a16="http://schemas.microsoft.com/office/drawing/2014/main" id="{0DC227F7-BC70-4CE2-A97F-86B741BB6E1E}"/>
            </a:ext>
          </a:extLst>
        </xdr:cNvPr>
        <xdr:cNvCxnSpPr>
          <a:stCxn id="264" idx="3"/>
          <a:endCxn id="68" idx="1"/>
        </xdr:cNvCxnSpPr>
      </xdr:nvCxnSpPr>
      <xdr:spPr>
        <a:xfrm flipV="1">
          <a:off x="22856385" y="5252107"/>
          <a:ext cx="9064299" cy="1264855"/>
        </a:xfrm>
        <a:prstGeom prst="bentConnector3">
          <a:avLst>
            <a:gd name="adj1" fmla="val 9503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178236</xdr:colOff>
      <xdr:row>45</xdr:row>
      <xdr:rowOff>59532</xdr:rowOff>
    </xdr:from>
    <xdr:to>
      <xdr:col>45</xdr:col>
      <xdr:colOff>440535</xdr:colOff>
      <xdr:row>51</xdr:row>
      <xdr:rowOff>163458</xdr:rowOff>
    </xdr:to>
    <xdr:cxnSp macro="">
      <xdr:nvCxnSpPr>
        <xdr:cNvPr id="275" name="Connector: Elbow 274">
          <a:extLst>
            <a:ext uri="{FF2B5EF4-FFF2-40B4-BE49-F238E27FC236}">
              <a16:creationId xmlns:a16="http://schemas.microsoft.com/office/drawing/2014/main" id="{6FF8BC73-00E0-4910-AF55-B8C503A5F3A6}"/>
            </a:ext>
          </a:extLst>
        </xdr:cNvPr>
        <xdr:cNvCxnSpPr>
          <a:stCxn id="257" idx="3"/>
          <a:endCxn id="378" idx="1"/>
        </xdr:cNvCxnSpPr>
      </xdr:nvCxnSpPr>
      <xdr:spPr>
        <a:xfrm flipV="1">
          <a:off x="22857261" y="8632032"/>
          <a:ext cx="8796699" cy="1246926"/>
        </a:xfrm>
        <a:prstGeom prst="bentConnector3">
          <a:avLst>
            <a:gd name="adj1" fmla="val 9524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190060</xdr:colOff>
      <xdr:row>63</xdr:row>
      <xdr:rowOff>161597</xdr:rowOff>
    </xdr:from>
    <xdr:to>
      <xdr:col>46</xdr:col>
      <xdr:colOff>117803</xdr:colOff>
      <xdr:row>70</xdr:row>
      <xdr:rowOff>107402</xdr:rowOff>
    </xdr:to>
    <xdr:cxnSp macro="">
      <xdr:nvCxnSpPr>
        <xdr:cNvPr id="276" name="Connector: Elbow 275">
          <a:extLst>
            <a:ext uri="{FF2B5EF4-FFF2-40B4-BE49-F238E27FC236}">
              <a16:creationId xmlns:a16="http://schemas.microsoft.com/office/drawing/2014/main" id="{F99F658B-5079-4622-B81D-4989FFC4AC44}"/>
            </a:ext>
          </a:extLst>
        </xdr:cNvPr>
        <xdr:cNvCxnSpPr>
          <a:stCxn id="250" idx="3"/>
          <a:endCxn id="136" idx="1"/>
        </xdr:cNvCxnSpPr>
      </xdr:nvCxnSpPr>
      <xdr:spPr>
        <a:xfrm flipV="1">
          <a:off x="22869085" y="12163097"/>
          <a:ext cx="9071743" cy="1279305"/>
        </a:xfrm>
        <a:prstGeom prst="bentConnector3">
          <a:avLst>
            <a:gd name="adj1" fmla="val 95476"/>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197069</xdr:colOff>
      <xdr:row>100</xdr:row>
      <xdr:rowOff>181743</xdr:rowOff>
    </xdr:from>
    <xdr:to>
      <xdr:col>46</xdr:col>
      <xdr:colOff>61309</xdr:colOff>
      <xdr:row>108</xdr:row>
      <xdr:rowOff>21896</xdr:rowOff>
    </xdr:to>
    <xdr:cxnSp macro="">
      <xdr:nvCxnSpPr>
        <xdr:cNvPr id="277" name="Connector: Elbow 276">
          <a:extLst>
            <a:ext uri="{FF2B5EF4-FFF2-40B4-BE49-F238E27FC236}">
              <a16:creationId xmlns:a16="http://schemas.microsoft.com/office/drawing/2014/main" id="{E2ACC59D-7D08-4469-85BB-48074B576C5D}"/>
            </a:ext>
          </a:extLst>
        </xdr:cNvPr>
        <xdr:cNvCxnSpPr>
          <a:endCxn id="204" idx="1"/>
        </xdr:cNvCxnSpPr>
      </xdr:nvCxnSpPr>
      <xdr:spPr>
        <a:xfrm flipV="1">
          <a:off x="22876094" y="19231743"/>
          <a:ext cx="9008240" cy="1364153"/>
        </a:xfrm>
        <a:prstGeom prst="bentConnector3">
          <a:avLst>
            <a:gd name="adj1" fmla="val 9422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13631</xdr:colOff>
      <xdr:row>122</xdr:row>
      <xdr:rowOff>105678</xdr:rowOff>
    </xdr:from>
    <xdr:to>
      <xdr:col>8</xdr:col>
      <xdr:colOff>11248</xdr:colOff>
      <xdr:row>125</xdr:row>
      <xdr:rowOff>110442</xdr:rowOff>
    </xdr:to>
    <xdr:sp macro="" textlink="">
      <xdr:nvSpPr>
        <xdr:cNvPr id="278" name="Rectangle: Rounded Corners 277">
          <a:extLst>
            <a:ext uri="{FF2B5EF4-FFF2-40B4-BE49-F238E27FC236}">
              <a16:creationId xmlns:a16="http://schemas.microsoft.com/office/drawing/2014/main" id="{680F0B3B-C86D-48D1-B148-2B4A6A23EE44}"/>
            </a:ext>
          </a:extLst>
        </xdr:cNvPr>
        <xdr:cNvSpPr/>
      </xdr:nvSpPr>
      <xdr:spPr>
        <a:xfrm>
          <a:off x="3290231" y="23346678"/>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Furniture and fixtures</a:t>
          </a:r>
        </a:p>
        <a:p>
          <a:pPr algn="ctr"/>
          <a:r>
            <a:rPr lang="en-ID" sz="1100"/>
            <a:t>Furniture dan perlengkapan</a:t>
          </a:r>
        </a:p>
      </xdr:txBody>
    </xdr:sp>
    <xdr:clientData/>
  </xdr:twoCellAnchor>
  <xdr:twoCellAnchor>
    <xdr:from>
      <xdr:col>9</xdr:col>
      <xdr:colOff>33089</xdr:colOff>
      <xdr:row>122</xdr:row>
      <xdr:rowOff>66434</xdr:rowOff>
    </xdr:from>
    <xdr:to>
      <xdr:col>15</xdr:col>
      <xdr:colOff>56902</xdr:colOff>
      <xdr:row>125</xdr:row>
      <xdr:rowOff>125964</xdr:rowOff>
    </xdr:to>
    <xdr:sp macro="" textlink="">
      <xdr:nvSpPr>
        <xdr:cNvPr id="279" name="Rectangle: Rounded Corners 278">
          <a:extLst>
            <a:ext uri="{FF2B5EF4-FFF2-40B4-BE49-F238E27FC236}">
              <a16:creationId xmlns:a16="http://schemas.microsoft.com/office/drawing/2014/main" id="{00C24C39-474A-46E8-944C-A67EF23011E9}"/>
            </a:ext>
          </a:extLst>
        </xdr:cNvPr>
        <xdr:cNvSpPr/>
      </xdr:nvSpPr>
      <xdr:spPr>
        <a:xfrm>
          <a:off x="5748089" y="233074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11248</xdr:colOff>
      <xdr:row>124</xdr:row>
      <xdr:rowOff>3139</xdr:rowOff>
    </xdr:from>
    <xdr:to>
      <xdr:col>9</xdr:col>
      <xdr:colOff>33089</xdr:colOff>
      <xdr:row>124</xdr:row>
      <xdr:rowOff>15000</xdr:rowOff>
    </xdr:to>
    <xdr:cxnSp macro="">
      <xdr:nvCxnSpPr>
        <xdr:cNvPr id="280" name="Straight Arrow Connector 279">
          <a:extLst>
            <a:ext uri="{FF2B5EF4-FFF2-40B4-BE49-F238E27FC236}">
              <a16:creationId xmlns:a16="http://schemas.microsoft.com/office/drawing/2014/main" id="{68B4EE1C-7EF6-4CA4-9361-B85572AFF47A}"/>
            </a:ext>
          </a:extLst>
        </xdr:cNvPr>
        <xdr:cNvCxnSpPr>
          <a:stCxn id="278" idx="3"/>
          <a:endCxn id="279" idx="1"/>
        </xdr:cNvCxnSpPr>
      </xdr:nvCxnSpPr>
      <xdr:spPr>
        <a:xfrm flipV="1">
          <a:off x="5116648" y="23625139"/>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189375</xdr:colOff>
      <xdr:row>121</xdr:row>
      <xdr:rowOff>81210</xdr:rowOff>
    </xdr:from>
    <xdr:to>
      <xdr:col>17</xdr:col>
      <xdr:colOff>451313</xdr:colOff>
      <xdr:row>123</xdr:row>
      <xdr:rowOff>21679</xdr:rowOff>
    </xdr:to>
    <xdr:sp macro="" textlink="">
      <xdr:nvSpPr>
        <xdr:cNvPr id="281" name="Rectangle: Rounded Corners 280">
          <a:extLst>
            <a:ext uri="{FF2B5EF4-FFF2-40B4-BE49-F238E27FC236}">
              <a16:creationId xmlns:a16="http://schemas.microsoft.com/office/drawing/2014/main" id="{3E21BB0F-3E23-4773-9C43-3044567D12F6}"/>
            </a:ext>
          </a:extLst>
        </xdr:cNvPr>
        <xdr:cNvSpPr/>
      </xdr:nvSpPr>
      <xdr:spPr>
        <a:xfrm>
          <a:off x="10171575" y="23131710"/>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177469</xdr:colOff>
      <xdr:row>125</xdr:row>
      <xdr:rowOff>116925</xdr:rowOff>
    </xdr:from>
    <xdr:to>
      <xdr:col>17</xdr:col>
      <xdr:colOff>439407</xdr:colOff>
      <xdr:row>127</xdr:row>
      <xdr:rowOff>16641</xdr:rowOff>
    </xdr:to>
    <xdr:sp macro="" textlink="">
      <xdr:nvSpPr>
        <xdr:cNvPr id="282" name="Rectangle: Rounded Corners 281">
          <a:extLst>
            <a:ext uri="{FF2B5EF4-FFF2-40B4-BE49-F238E27FC236}">
              <a16:creationId xmlns:a16="http://schemas.microsoft.com/office/drawing/2014/main" id="{EDDE87EE-CAC8-4F84-98EC-F7EA50FF9E52}"/>
            </a:ext>
          </a:extLst>
        </xdr:cNvPr>
        <xdr:cNvSpPr/>
      </xdr:nvSpPr>
      <xdr:spPr>
        <a:xfrm>
          <a:off x="10159669" y="239294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56902</xdr:colOff>
      <xdr:row>122</xdr:row>
      <xdr:rowOff>51446</xdr:rowOff>
    </xdr:from>
    <xdr:to>
      <xdr:col>16</xdr:col>
      <xdr:colOff>189375</xdr:colOff>
      <xdr:row>124</xdr:row>
      <xdr:rowOff>3139</xdr:rowOff>
    </xdr:to>
    <xdr:cxnSp macro="">
      <xdr:nvCxnSpPr>
        <xdr:cNvPr id="283" name="Straight Arrow Connector 282">
          <a:extLst>
            <a:ext uri="{FF2B5EF4-FFF2-40B4-BE49-F238E27FC236}">
              <a16:creationId xmlns:a16="http://schemas.microsoft.com/office/drawing/2014/main" id="{EFC9056B-CC89-49A8-BD0D-D7B03A98EAC0}"/>
            </a:ext>
          </a:extLst>
        </xdr:cNvPr>
        <xdr:cNvCxnSpPr>
          <a:stCxn id="279" idx="3"/>
          <a:endCxn id="281" idx="1"/>
        </xdr:cNvCxnSpPr>
      </xdr:nvCxnSpPr>
      <xdr:spPr>
        <a:xfrm flipV="1">
          <a:off x="9429502" y="232924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56902</xdr:colOff>
      <xdr:row>124</xdr:row>
      <xdr:rowOff>3139</xdr:rowOff>
    </xdr:from>
    <xdr:to>
      <xdr:col>16</xdr:col>
      <xdr:colOff>177469</xdr:colOff>
      <xdr:row>126</xdr:row>
      <xdr:rowOff>66783</xdr:rowOff>
    </xdr:to>
    <xdr:cxnSp macro="">
      <xdr:nvCxnSpPr>
        <xdr:cNvPr id="284" name="Straight Arrow Connector 283">
          <a:extLst>
            <a:ext uri="{FF2B5EF4-FFF2-40B4-BE49-F238E27FC236}">
              <a16:creationId xmlns:a16="http://schemas.microsoft.com/office/drawing/2014/main" id="{58B56A17-5C05-4ADB-812C-1EBFE7F45AD5}"/>
            </a:ext>
          </a:extLst>
        </xdr:cNvPr>
        <xdr:cNvCxnSpPr>
          <a:stCxn id="279" idx="3"/>
          <a:endCxn id="282" idx="1"/>
        </xdr:cNvCxnSpPr>
      </xdr:nvCxnSpPr>
      <xdr:spPr>
        <a:xfrm>
          <a:off x="9429502" y="23625139"/>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758495</xdr:colOff>
      <xdr:row>125</xdr:row>
      <xdr:rowOff>78826</xdr:rowOff>
    </xdr:from>
    <xdr:to>
      <xdr:col>18</xdr:col>
      <xdr:colOff>92621</xdr:colOff>
      <xdr:row>127</xdr:row>
      <xdr:rowOff>60434</xdr:rowOff>
    </xdr:to>
    <xdr:sp macro="" textlink="">
      <xdr:nvSpPr>
        <xdr:cNvPr id="285" name="Rectangle: Rounded Corners 284">
          <a:extLst>
            <a:ext uri="{FF2B5EF4-FFF2-40B4-BE49-F238E27FC236}">
              <a16:creationId xmlns:a16="http://schemas.microsoft.com/office/drawing/2014/main" id="{09E10F16-4EEE-41EA-BD74-15279AFEEDCA}"/>
            </a:ext>
          </a:extLst>
        </xdr:cNvPr>
        <xdr:cNvSpPr/>
      </xdr:nvSpPr>
      <xdr:spPr>
        <a:xfrm>
          <a:off x="12702845" y="238913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439407</xdr:colOff>
      <xdr:row>126</xdr:row>
      <xdr:rowOff>66783</xdr:rowOff>
    </xdr:from>
    <xdr:to>
      <xdr:col>17</xdr:col>
      <xdr:colOff>758495</xdr:colOff>
      <xdr:row>126</xdr:row>
      <xdr:rowOff>69630</xdr:rowOff>
    </xdr:to>
    <xdr:cxnSp macro="">
      <xdr:nvCxnSpPr>
        <xdr:cNvPr id="286" name="Straight Arrow Connector 285">
          <a:extLst>
            <a:ext uri="{FF2B5EF4-FFF2-40B4-BE49-F238E27FC236}">
              <a16:creationId xmlns:a16="http://schemas.microsoft.com/office/drawing/2014/main" id="{855F4BF7-145C-4FE9-803F-2B997291EC3C}"/>
            </a:ext>
          </a:extLst>
        </xdr:cNvPr>
        <xdr:cNvCxnSpPr>
          <a:stCxn id="282" idx="3"/>
          <a:endCxn id="285" idx="1"/>
        </xdr:cNvCxnSpPr>
      </xdr:nvCxnSpPr>
      <xdr:spPr>
        <a:xfrm>
          <a:off x="12383757" y="24069783"/>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451313</xdr:colOff>
      <xdr:row>122</xdr:row>
      <xdr:rowOff>51446</xdr:rowOff>
    </xdr:from>
    <xdr:to>
      <xdr:col>17</xdr:col>
      <xdr:colOff>710869</xdr:colOff>
      <xdr:row>122</xdr:row>
      <xdr:rowOff>57397</xdr:rowOff>
    </xdr:to>
    <xdr:cxnSp macro="">
      <xdr:nvCxnSpPr>
        <xdr:cNvPr id="287" name="Straight Arrow Connector 286">
          <a:extLst>
            <a:ext uri="{FF2B5EF4-FFF2-40B4-BE49-F238E27FC236}">
              <a16:creationId xmlns:a16="http://schemas.microsoft.com/office/drawing/2014/main" id="{5B44C0D2-C3A0-4EF4-8183-8C9BB2B583E2}"/>
            </a:ext>
          </a:extLst>
        </xdr:cNvPr>
        <xdr:cNvCxnSpPr>
          <a:cxnSpLocks/>
          <a:stCxn id="281" idx="3"/>
        </xdr:cNvCxnSpPr>
      </xdr:nvCxnSpPr>
      <xdr:spPr>
        <a:xfrm>
          <a:off x="12395663" y="232924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54741</xdr:colOff>
      <xdr:row>120</xdr:row>
      <xdr:rowOff>2737</xdr:rowOff>
    </xdr:from>
    <xdr:to>
      <xdr:col>40</xdr:col>
      <xdr:colOff>171395</xdr:colOff>
      <xdr:row>123</xdr:row>
      <xdr:rowOff>165044</xdr:rowOff>
    </xdr:to>
    <xdr:sp macro="" textlink="">
      <xdr:nvSpPr>
        <xdr:cNvPr id="288" name="Rectangle: Rounded Corners 287">
          <a:extLst>
            <a:ext uri="{FF2B5EF4-FFF2-40B4-BE49-F238E27FC236}">
              <a16:creationId xmlns:a16="http://schemas.microsoft.com/office/drawing/2014/main" id="{54D0BF0F-B941-41D5-8BF8-1D11BEDBB502}"/>
            </a:ext>
          </a:extLst>
        </xdr:cNvPr>
        <xdr:cNvSpPr/>
      </xdr:nvSpPr>
      <xdr:spPr>
        <a:xfrm>
          <a:off x="23952966" y="22862737"/>
          <a:ext cx="4383854"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49949</xdr:colOff>
      <xdr:row>119</xdr:row>
      <xdr:rowOff>12263</xdr:rowOff>
    </xdr:from>
    <xdr:to>
      <xdr:col>42</xdr:col>
      <xdr:colOff>427308</xdr:colOff>
      <xdr:row>120</xdr:row>
      <xdr:rowOff>138852</xdr:rowOff>
    </xdr:to>
    <xdr:sp macro="" textlink="">
      <xdr:nvSpPr>
        <xdr:cNvPr id="289" name="Rectangle: Rounded Corners 288">
          <a:extLst>
            <a:ext uri="{FF2B5EF4-FFF2-40B4-BE49-F238E27FC236}">
              <a16:creationId xmlns:a16="http://schemas.microsoft.com/office/drawing/2014/main" id="{205527C8-D3A6-40B1-8581-B4A83A6C3B12}"/>
            </a:ext>
          </a:extLst>
        </xdr:cNvPr>
        <xdr:cNvSpPr/>
      </xdr:nvSpPr>
      <xdr:spPr>
        <a:xfrm>
          <a:off x="28824974" y="22681763"/>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59474</xdr:colOff>
      <xdr:row>122</xdr:row>
      <xdr:rowOff>124565</xdr:rowOff>
    </xdr:from>
    <xdr:to>
      <xdr:col>42</xdr:col>
      <xdr:colOff>436833</xdr:colOff>
      <xdr:row>124</xdr:row>
      <xdr:rowOff>65033</xdr:rowOff>
    </xdr:to>
    <xdr:sp macro="" textlink="">
      <xdr:nvSpPr>
        <xdr:cNvPr id="290" name="Rectangle: Rounded Corners 289">
          <a:extLst>
            <a:ext uri="{FF2B5EF4-FFF2-40B4-BE49-F238E27FC236}">
              <a16:creationId xmlns:a16="http://schemas.microsoft.com/office/drawing/2014/main" id="{173D7A8E-3335-4494-8DE5-22BA0A53576C}"/>
            </a:ext>
          </a:extLst>
        </xdr:cNvPr>
        <xdr:cNvSpPr/>
      </xdr:nvSpPr>
      <xdr:spPr>
        <a:xfrm>
          <a:off x="28834499" y="233655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171395</xdr:colOff>
      <xdr:row>119</xdr:row>
      <xdr:rowOff>168618</xdr:rowOff>
    </xdr:from>
    <xdr:to>
      <xdr:col>41</xdr:col>
      <xdr:colOff>49949</xdr:colOff>
      <xdr:row>121</xdr:row>
      <xdr:rowOff>176952</xdr:rowOff>
    </xdr:to>
    <xdr:cxnSp macro="">
      <xdr:nvCxnSpPr>
        <xdr:cNvPr id="291" name="Straight Arrow Connector 290">
          <a:extLst>
            <a:ext uri="{FF2B5EF4-FFF2-40B4-BE49-F238E27FC236}">
              <a16:creationId xmlns:a16="http://schemas.microsoft.com/office/drawing/2014/main" id="{03702918-B436-4D8C-A086-5122F4B46AAB}"/>
            </a:ext>
          </a:extLst>
        </xdr:cNvPr>
        <xdr:cNvCxnSpPr>
          <a:stCxn id="288" idx="3"/>
          <a:endCxn id="289" idx="1"/>
        </xdr:cNvCxnSpPr>
      </xdr:nvCxnSpPr>
      <xdr:spPr>
        <a:xfrm flipV="1">
          <a:off x="28336820" y="22838118"/>
          <a:ext cx="488154"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171395</xdr:colOff>
      <xdr:row>121</xdr:row>
      <xdr:rowOff>176952</xdr:rowOff>
    </xdr:from>
    <xdr:to>
      <xdr:col>41</xdr:col>
      <xdr:colOff>59474</xdr:colOff>
      <xdr:row>123</xdr:row>
      <xdr:rowOff>94799</xdr:rowOff>
    </xdr:to>
    <xdr:cxnSp macro="">
      <xdr:nvCxnSpPr>
        <xdr:cNvPr id="292" name="Straight Arrow Connector 291">
          <a:extLst>
            <a:ext uri="{FF2B5EF4-FFF2-40B4-BE49-F238E27FC236}">
              <a16:creationId xmlns:a16="http://schemas.microsoft.com/office/drawing/2014/main" id="{993867CD-8EFE-413F-A42C-A74679F1443D}"/>
            </a:ext>
          </a:extLst>
        </xdr:cNvPr>
        <xdr:cNvCxnSpPr>
          <a:stCxn id="288" idx="3"/>
          <a:endCxn id="290" idx="1"/>
        </xdr:cNvCxnSpPr>
      </xdr:nvCxnSpPr>
      <xdr:spPr>
        <a:xfrm>
          <a:off x="28336820" y="23227452"/>
          <a:ext cx="497679"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198164</xdr:colOff>
      <xdr:row>122</xdr:row>
      <xdr:rowOff>108606</xdr:rowOff>
    </xdr:from>
    <xdr:to>
      <xdr:col>44</xdr:col>
      <xdr:colOff>492672</xdr:colOff>
      <xdr:row>124</xdr:row>
      <xdr:rowOff>87174</xdr:rowOff>
    </xdr:to>
    <xdr:sp macro="" textlink="">
      <xdr:nvSpPr>
        <xdr:cNvPr id="293" name="Rectangle: Rounded Corners 292">
          <a:extLst>
            <a:ext uri="{FF2B5EF4-FFF2-40B4-BE49-F238E27FC236}">
              <a16:creationId xmlns:a16="http://schemas.microsoft.com/office/drawing/2014/main" id="{2103FBDE-3228-4A95-B238-DF7DE82756BE}"/>
            </a:ext>
          </a:extLst>
        </xdr:cNvPr>
        <xdr:cNvSpPr/>
      </xdr:nvSpPr>
      <xdr:spPr>
        <a:xfrm>
          <a:off x="30192389" y="233496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436833</xdr:colOff>
      <xdr:row>123</xdr:row>
      <xdr:rowOff>94799</xdr:rowOff>
    </xdr:from>
    <xdr:to>
      <xdr:col>43</xdr:col>
      <xdr:colOff>198164</xdr:colOff>
      <xdr:row>123</xdr:row>
      <xdr:rowOff>97890</xdr:rowOff>
    </xdr:to>
    <xdr:cxnSp macro="">
      <xdr:nvCxnSpPr>
        <xdr:cNvPr id="294" name="Straight Arrow Connector 293">
          <a:extLst>
            <a:ext uri="{FF2B5EF4-FFF2-40B4-BE49-F238E27FC236}">
              <a16:creationId xmlns:a16="http://schemas.microsoft.com/office/drawing/2014/main" id="{1B62F969-A846-4E9C-BD14-5AAE85309F75}"/>
            </a:ext>
          </a:extLst>
        </xdr:cNvPr>
        <xdr:cNvCxnSpPr>
          <a:stCxn id="290" idx="3"/>
          <a:endCxn id="293" idx="1"/>
        </xdr:cNvCxnSpPr>
      </xdr:nvCxnSpPr>
      <xdr:spPr>
        <a:xfrm>
          <a:off x="29821458" y="23526299"/>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545180</xdr:colOff>
      <xdr:row>117</xdr:row>
      <xdr:rowOff>89775</xdr:rowOff>
    </xdr:from>
    <xdr:to>
      <xdr:col>41</xdr:col>
      <xdr:colOff>551136</xdr:colOff>
      <xdr:row>119</xdr:row>
      <xdr:rowOff>12263</xdr:rowOff>
    </xdr:to>
    <xdr:cxnSp macro="">
      <xdr:nvCxnSpPr>
        <xdr:cNvPr id="295" name="Straight Arrow Connector 294">
          <a:extLst>
            <a:ext uri="{FF2B5EF4-FFF2-40B4-BE49-F238E27FC236}">
              <a16:creationId xmlns:a16="http://schemas.microsoft.com/office/drawing/2014/main" id="{E460EA20-7556-49C1-9F04-65E620DB3A3B}"/>
            </a:ext>
          </a:extLst>
        </xdr:cNvPr>
        <xdr:cNvCxnSpPr>
          <a:stCxn id="289" idx="0"/>
          <a:endCxn id="296" idx="2"/>
        </xdr:cNvCxnSpPr>
      </xdr:nvCxnSpPr>
      <xdr:spPr>
        <a:xfrm flipV="1">
          <a:off x="29320205" y="22378275"/>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324944</xdr:colOff>
      <xdr:row>112</xdr:row>
      <xdr:rowOff>71382</xdr:rowOff>
    </xdr:from>
    <xdr:to>
      <xdr:col>44</xdr:col>
      <xdr:colOff>164224</xdr:colOff>
      <xdr:row>117</xdr:row>
      <xdr:rowOff>89775</xdr:rowOff>
    </xdr:to>
    <xdr:sp macro="" textlink="">
      <xdr:nvSpPr>
        <xdr:cNvPr id="296" name="Rectangle: Rounded Corners 295">
          <a:extLst>
            <a:ext uri="{FF2B5EF4-FFF2-40B4-BE49-F238E27FC236}">
              <a16:creationId xmlns:a16="http://schemas.microsoft.com/office/drawing/2014/main" id="{CE34B214-A3F5-42FC-86E1-03E86F72EC20}"/>
            </a:ext>
          </a:extLst>
        </xdr:cNvPr>
        <xdr:cNvSpPr/>
      </xdr:nvSpPr>
      <xdr:spPr>
        <a:xfrm>
          <a:off x="27880769" y="21407382"/>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427308</xdr:colOff>
      <xdr:row>119</xdr:row>
      <xdr:rowOff>166414</xdr:rowOff>
    </xdr:from>
    <xdr:to>
      <xdr:col>46</xdr:col>
      <xdr:colOff>95029</xdr:colOff>
      <xdr:row>119</xdr:row>
      <xdr:rowOff>168618</xdr:rowOff>
    </xdr:to>
    <xdr:cxnSp macro="">
      <xdr:nvCxnSpPr>
        <xdr:cNvPr id="297" name="Straight Arrow Connector 296">
          <a:extLst>
            <a:ext uri="{FF2B5EF4-FFF2-40B4-BE49-F238E27FC236}">
              <a16:creationId xmlns:a16="http://schemas.microsoft.com/office/drawing/2014/main" id="{30824052-6493-48AE-B956-305774D24103}"/>
            </a:ext>
          </a:extLst>
        </xdr:cNvPr>
        <xdr:cNvCxnSpPr>
          <a:stCxn id="289" idx="3"/>
          <a:endCxn id="298" idx="1"/>
        </xdr:cNvCxnSpPr>
      </xdr:nvCxnSpPr>
      <xdr:spPr>
        <a:xfrm flipV="1">
          <a:off x="29811933" y="2283591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95029</xdr:colOff>
      <xdr:row>118</xdr:row>
      <xdr:rowOff>67880</xdr:rowOff>
    </xdr:from>
    <xdr:to>
      <xdr:col>50</xdr:col>
      <xdr:colOff>171667</xdr:colOff>
      <xdr:row>121</xdr:row>
      <xdr:rowOff>78828</xdr:rowOff>
    </xdr:to>
    <xdr:sp macro="" textlink="">
      <xdr:nvSpPr>
        <xdr:cNvPr id="298" name="Rectangle: Rounded Corners 297">
          <a:extLst>
            <a:ext uri="{FF2B5EF4-FFF2-40B4-BE49-F238E27FC236}">
              <a16:creationId xmlns:a16="http://schemas.microsoft.com/office/drawing/2014/main" id="{72F13737-B869-46AA-A28D-AC601BC7530F}"/>
            </a:ext>
          </a:extLst>
        </xdr:cNvPr>
        <xdr:cNvSpPr/>
      </xdr:nvSpPr>
      <xdr:spPr>
        <a:xfrm>
          <a:off x="31918054" y="225468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132060</xdr:colOff>
      <xdr:row>114</xdr:row>
      <xdr:rowOff>111671</xdr:rowOff>
    </xdr:from>
    <xdr:to>
      <xdr:col>53</xdr:col>
      <xdr:colOff>171666</xdr:colOff>
      <xdr:row>118</xdr:row>
      <xdr:rowOff>35033</xdr:rowOff>
    </xdr:to>
    <xdr:sp macro="" textlink="">
      <xdr:nvSpPr>
        <xdr:cNvPr id="299" name="Rectangle: Rounded Corners 298">
          <a:extLst>
            <a:ext uri="{FF2B5EF4-FFF2-40B4-BE49-F238E27FC236}">
              <a16:creationId xmlns:a16="http://schemas.microsoft.com/office/drawing/2014/main" id="{D0E8A1E3-FFA8-4B08-A775-5CECF787A9B1}"/>
            </a:ext>
          </a:extLst>
        </xdr:cNvPr>
        <xdr:cNvSpPr/>
      </xdr:nvSpPr>
      <xdr:spPr>
        <a:xfrm>
          <a:off x="35003085" y="21828671"/>
          <a:ext cx="1258806"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142132</xdr:colOff>
      <xdr:row>120</xdr:row>
      <xdr:rowOff>34157</xdr:rowOff>
    </xdr:from>
    <xdr:to>
      <xdr:col>53</xdr:col>
      <xdr:colOff>181738</xdr:colOff>
      <xdr:row>122</xdr:row>
      <xdr:rowOff>143640</xdr:rowOff>
    </xdr:to>
    <xdr:sp macro="" textlink="">
      <xdr:nvSpPr>
        <xdr:cNvPr id="300" name="Rectangle: Rounded Corners 299">
          <a:extLst>
            <a:ext uri="{FF2B5EF4-FFF2-40B4-BE49-F238E27FC236}">
              <a16:creationId xmlns:a16="http://schemas.microsoft.com/office/drawing/2014/main" id="{F4ADC239-3988-44A5-81BC-C4D4AA12CD38}"/>
            </a:ext>
          </a:extLst>
        </xdr:cNvPr>
        <xdr:cNvSpPr/>
      </xdr:nvSpPr>
      <xdr:spPr>
        <a:xfrm>
          <a:off x="35013157" y="22894157"/>
          <a:ext cx="1258806"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171667</xdr:colOff>
      <xdr:row>116</xdr:row>
      <xdr:rowOff>166413</xdr:rowOff>
    </xdr:from>
    <xdr:to>
      <xdr:col>51</xdr:col>
      <xdr:colOff>132060</xdr:colOff>
      <xdr:row>119</xdr:row>
      <xdr:rowOff>166414</xdr:rowOff>
    </xdr:to>
    <xdr:cxnSp macro="">
      <xdr:nvCxnSpPr>
        <xdr:cNvPr id="301" name="Straight Arrow Connector 300">
          <a:extLst>
            <a:ext uri="{FF2B5EF4-FFF2-40B4-BE49-F238E27FC236}">
              <a16:creationId xmlns:a16="http://schemas.microsoft.com/office/drawing/2014/main" id="{58084A0E-3031-45E5-BF97-8201020E1020}"/>
            </a:ext>
          </a:extLst>
        </xdr:cNvPr>
        <xdr:cNvCxnSpPr>
          <a:stCxn id="298" idx="3"/>
          <a:endCxn id="299" idx="1"/>
        </xdr:cNvCxnSpPr>
      </xdr:nvCxnSpPr>
      <xdr:spPr>
        <a:xfrm flipV="1">
          <a:off x="34433092" y="2226441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171667</xdr:colOff>
      <xdr:row>119</xdr:row>
      <xdr:rowOff>166414</xdr:rowOff>
    </xdr:from>
    <xdr:to>
      <xdr:col>51</xdr:col>
      <xdr:colOff>142132</xdr:colOff>
      <xdr:row>121</xdr:row>
      <xdr:rowOff>88899</xdr:rowOff>
    </xdr:to>
    <xdr:cxnSp macro="">
      <xdr:nvCxnSpPr>
        <xdr:cNvPr id="302" name="Straight Arrow Connector 301">
          <a:extLst>
            <a:ext uri="{FF2B5EF4-FFF2-40B4-BE49-F238E27FC236}">
              <a16:creationId xmlns:a16="http://schemas.microsoft.com/office/drawing/2014/main" id="{6EA1024B-177C-44FF-82E3-A8D5D152CBB3}"/>
            </a:ext>
          </a:extLst>
        </xdr:cNvPr>
        <xdr:cNvCxnSpPr>
          <a:stCxn id="298" idx="3"/>
          <a:endCxn id="300" idx="1"/>
        </xdr:cNvCxnSpPr>
      </xdr:nvCxnSpPr>
      <xdr:spPr>
        <a:xfrm>
          <a:off x="34433092" y="22835914"/>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108411</xdr:colOff>
      <xdr:row>114</xdr:row>
      <xdr:rowOff>109918</xdr:rowOff>
    </xdr:from>
    <xdr:to>
      <xdr:col>56</xdr:col>
      <xdr:colOff>148017</xdr:colOff>
      <xdr:row>118</xdr:row>
      <xdr:rowOff>33280</xdr:rowOff>
    </xdr:to>
    <xdr:sp macro="" textlink="">
      <xdr:nvSpPr>
        <xdr:cNvPr id="303" name="Rectangle: Rounded Corners 302">
          <a:extLst>
            <a:ext uri="{FF2B5EF4-FFF2-40B4-BE49-F238E27FC236}">
              <a16:creationId xmlns:a16="http://schemas.microsoft.com/office/drawing/2014/main" id="{1ED81D22-EBC0-4D57-8DB6-1E5BBF7C928D}"/>
            </a:ext>
          </a:extLst>
        </xdr:cNvPr>
        <xdr:cNvSpPr/>
      </xdr:nvSpPr>
      <xdr:spPr>
        <a:xfrm>
          <a:off x="36808236" y="21826918"/>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96586</xdr:colOff>
      <xdr:row>120</xdr:row>
      <xdr:rowOff>32405</xdr:rowOff>
    </xdr:from>
    <xdr:to>
      <xdr:col>56</xdr:col>
      <xdr:colOff>136192</xdr:colOff>
      <xdr:row>122</xdr:row>
      <xdr:rowOff>141888</xdr:rowOff>
    </xdr:to>
    <xdr:sp macro="" textlink="">
      <xdr:nvSpPr>
        <xdr:cNvPr id="304" name="Rectangle: Rounded Corners 303">
          <a:extLst>
            <a:ext uri="{FF2B5EF4-FFF2-40B4-BE49-F238E27FC236}">
              <a16:creationId xmlns:a16="http://schemas.microsoft.com/office/drawing/2014/main" id="{34B5729E-1CFF-41B3-84B7-C0982A779938}"/>
            </a:ext>
          </a:extLst>
        </xdr:cNvPr>
        <xdr:cNvSpPr/>
      </xdr:nvSpPr>
      <xdr:spPr>
        <a:xfrm>
          <a:off x="36796411" y="22892405"/>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171666</xdr:colOff>
      <xdr:row>116</xdr:row>
      <xdr:rowOff>164660</xdr:rowOff>
    </xdr:from>
    <xdr:to>
      <xdr:col>54</xdr:col>
      <xdr:colOff>108411</xdr:colOff>
      <xdr:row>116</xdr:row>
      <xdr:rowOff>166413</xdr:rowOff>
    </xdr:to>
    <xdr:cxnSp macro="">
      <xdr:nvCxnSpPr>
        <xdr:cNvPr id="305" name="Straight Arrow Connector 304">
          <a:extLst>
            <a:ext uri="{FF2B5EF4-FFF2-40B4-BE49-F238E27FC236}">
              <a16:creationId xmlns:a16="http://schemas.microsoft.com/office/drawing/2014/main" id="{2AD12664-0A68-45D3-AFCD-8E7E8C6B1029}"/>
            </a:ext>
          </a:extLst>
        </xdr:cNvPr>
        <xdr:cNvCxnSpPr>
          <a:stCxn id="299" idx="3"/>
          <a:endCxn id="303" idx="1"/>
        </xdr:cNvCxnSpPr>
      </xdr:nvCxnSpPr>
      <xdr:spPr>
        <a:xfrm flipV="1">
          <a:off x="36261891" y="2226266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181738</xdr:colOff>
      <xdr:row>121</xdr:row>
      <xdr:rowOff>87147</xdr:rowOff>
    </xdr:from>
    <xdr:to>
      <xdr:col>54</xdr:col>
      <xdr:colOff>96586</xdr:colOff>
      <xdr:row>121</xdr:row>
      <xdr:rowOff>88899</xdr:rowOff>
    </xdr:to>
    <xdr:cxnSp macro="">
      <xdr:nvCxnSpPr>
        <xdr:cNvPr id="306" name="Straight Arrow Connector 305">
          <a:extLst>
            <a:ext uri="{FF2B5EF4-FFF2-40B4-BE49-F238E27FC236}">
              <a16:creationId xmlns:a16="http://schemas.microsoft.com/office/drawing/2014/main" id="{FB4F8427-9231-4766-9F15-3073FD23B0D9}"/>
            </a:ext>
          </a:extLst>
        </xdr:cNvPr>
        <xdr:cNvCxnSpPr>
          <a:stCxn id="300" idx="3"/>
          <a:endCxn id="304" idx="1"/>
        </xdr:cNvCxnSpPr>
      </xdr:nvCxnSpPr>
      <xdr:spPr>
        <a:xfrm flipV="1">
          <a:off x="36271963" y="231376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686454</xdr:colOff>
      <xdr:row>120</xdr:row>
      <xdr:rowOff>77950</xdr:rowOff>
    </xdr:from>
    <xdr:to>
      <xdr:col>17</xdr:col>
      <xdr:colOff>2591236</xdr:colOff>
      <xdr:row>123</xdr:row>
      <xdr:rowOff>88898</xdr:rowOff>
    </xdr:to>
    <xdr:sp macro="" textlink="">
      <xdr:nvSpPr>
        <xdr:cNvPr id="307" name="Rectangle: Rounded Corners 306">
          <a:extLst>
            <a:ext uri="{FF2B5EF4-FFF2-40B4-BE49-F238E27FC236}">
              <a16:creationId xmlns:a16="http://schemas.microsoft.com/office/drawing/2014/main" id="{3ED0A07C-0B0D-4FDF-A44A-C80814CDDBE7}"/>
            </a:ext>
          </a:extLst>
        </xdr:cNvPr>
        <xdr:cNvSpPr/>
      </xdr:nvSpPr>
      <xdr:spPr>
        <a:xfrm>
          <a:off x="12630804" y="22937950"/>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2591236</xdr:colOff>
      <xdr:row>114</xdr:row>
      <xdr:rowOff>33063</xdr:rowOff>
    </xdr:from>
    <xdr:to>
      <xdr:col>18</xdr:col>
      <xdr:colOff>324941</xdr:colOff>
      <xdr:row>121</xdr:row>
      <xdr:rowOff>176485</xdr:rowOff>
    </xdr:to>
    <xdr:cxnSp macro="">
      <xdr:nvCxnSpPr>
        <xdr:cNvPr id="308" name="Straight Arrow Connector 307">
          <a:extLst>
            <a:ext uri="{FF2B5EF4-FFF2-40B4-BE49-F238E27FC236}">
              <a16:creationId xmlns:a16="http://schemas.microsoft.com/office/drawing/2014/main" id="{44F22676-BDA5-4A0A-B1C4-D7E49429BFEC}"/>
            </a:ext>
          </a:extLst>
        </xdr:cNvPr>
        <xdr:cNvCxnSpPr>
          <a:stCxn id="307" idx="3"/>
          <a:endCxn id="309" idx="1"/>
        </xdr:cNvCxnSpPr>
      </xdr:nvCxnSpPr>
      <xdr:spPr>
        <a:xfrm flipV="1">
          <a:off x="14535586" y="21750063"/>
          <a:ext cx="438805" cy="14769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324941</xdr:colOff>
      <xdr:row>113</xdr:row>
      <xdr:rowOff>5692</xdr:rowOff>
    </xdr:from>
    <xdr:to>
      <xdr:col>20</xdr:col>
      <xdr:colOff>204511</xdr:colOff>
      <xdr:row>115</xdr:row>
      <xdr:rowOff>60434</xdr:rowOff>
    </xdr:to>
    <xdr:sp macro="" textlink="">
      <xdr:nvSpPr>
        <xdr:cNvPr id="309" name="Rectangle: Rounded Corners 308">
          <a:extLst>
            <a:ext uri="{FF2B5EF4-FFF2-40B4-BE49-F238E27FC236}">
              <a16:creationId xmlns:a16="http://schemas.microsoft.com/office/drawing/2014/main" id="{08C16292-883F-4741-B68A-400C6AF43738}"/>
            </a:ext>
          </a:extLst>
        </xdr:cNvPr>
        <xdr:cNvSpPr/>
      </xdr:nvSpPr>
      <xdr:spPr>
        <a:xfrm>
          <a:off x="14974391" y="21532192"/>
          <a:ext cx="1203545"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537559</xdr:colOff>
      <xdr:row>113</xdr:row>
      <xdr:rowOff>5692</xdr:rowOff>
    </xdr:from>
    <xdr:to>
      <xdr:col>23</xdr:col>
      <xdr:colOff>54740</xdr:colOff>
      <xdr:row>115</xdr:row>
      <xdr:rowOff>71381</xdr:rowOff>
    </xdr:to>
    <xdr:sp macro="" textlink="">
      <xdr:nvSpPr>
        <xdr:cNvPr id="310" name="Rectangle: Rounded Corners 309">
          <a:extLst>
            <a:ext uri="{FF2B5EF4-FFF2-40B4-BE49-F238E27FC236}">
              <a16:creationId xmlns:a16="http://schemas.microsoft.com/office/drawing/2014/main" id="{60A32072-BE80-475B-B51C-A6944EEC0848}"/>
            </a:ext>
          </a:extLst>
        </xdr:cNvPr>
        <xdr:cNvSpPr/>
      </xdr:nvSpPr>
      <xdr:spPr>
        <a:xfrm>
          <a:off x="16510984" y="21532192"/>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324284</xdr:colOff>
      <xdr:row>120</xdr:row>
      <xdr:rowOff>24087</xdr:rowOff>
    </xdr:from>
    <xdr:to>
      <xdr:col>22</xdr:col>
      <xdr:colOff>215459</xdr:colOff>
      <xdr:row>123</xdr:row>
      <xdr:rowOff>144518</xdr:rowOff>
    </xdr:to>
    <xdr:sp macro="" textlink="">
      <xdr:nvSpPr>
        <xdr:cNvPr id="311" name="Rectangle: Rounded Corners 310">
          <a:extLst>
            <a:ext uri="{FF2B5EF4-FFF2-40B4-BE49-F238E27FC236}">
              <a16:creationId xmlns:a16="http://schemas.microsoft.com/office/drawing/2014/main" id="{17CAC20F-8EB3-4AC3-A77A-3D52C0551575}"/>
            </a:ext>
          </a:extLst>
        </xdr:cNvPr>
        <xdr:cNvSpPr/>
      </xdr:nvSpPr>
      <xdr:spPr>
        <a:xfrm>
          <a:off x="14973734" y="22884087"/>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2591236</xdr:colOff>
      <xdr:row>121</xdr:row>
      <xdr:rowOff>176486</xdr:rowOff>
    </xdr:from>
    <xdr:to>
      <xdr:col>18</xdr:col>
      <xdr:colOff>324284</xdr:colOff>
      <xdr:row>121</xdr:row>
      <xdr:rowOff>177365</xdr:rowOff>
    </xdr:to>
    <xdr:cxnSp macro="">
      <xdr:nvCxnSpPr>
        <xdr:cNvPr id="312" name="Straight Arrow Connector 311">
          <a:extLst>
            <a:ext uri="{FF2B5EF4-FFF2-40B4-BE49-F238E27FC236}">
              <a16:creationId xmlns:a16="http://schemas.microsoft.com/office/drawing/2014/main" id="{F0302DD1-CFDC-4594-93FE-EA3BFCA2ECE3}"/>
            </a:ext>
          </a:extLst>
        </xdr:cNvPr>
        <xdr:cNvCxnSpPr>
          <a:stCxn id="307" idx="3"/>
          <a:endCxn id="311" idx="1"/>
        </xdr:cNvCxnSpPr>
      </xdr:nvCxnSpPr>
      <xdr:spPr>
        <a:xfrm>
          <a:off x="14535586" y="23226986"/>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204511</xdr:colOff>
      <xdr:row>114</xdr:row>
      <xdr:rowOff>33063</xdr:rowOff>
    </xdr:from>
    <xdr:to>
      <xdr:col>20</xdr:col>
      <xdr:colOff>537559</xdr:colOff>
      <xdr:row>114</xdr:row>
      <xdr:rowOff>38536</xdr:rowOff>
    </xdr:to>
    <xdr:cxnSp macro="">
      <xdr:nvCxnSpPr>
        <xdr:cNvPr id="313" name="Straight Arrow Connector 312">
          <a:extLst>
            <a:ext uri="{FF2B5EF4-FFF2-40B4-BE49-F238E27FC236}">
              <a16:creationId xmlns:a16="http://schemas.microsoft.com/office/drawing/2014/main" id="{C3CA5FC1-5E3A-4CC0-9973-B14724C42C52}"/>
            </a:ext>
          </a:extLst>
        </xdr:cNvPr>
        <xdr:cNvCxnSpPr>
          <a:stCxn id="309" idx="3"/>
          <a:endCxn id="310" idx="1"/>
        </xdr:cNvCxnSpPr>
      </xdr:nvCxnSpPr>
      <xdr:spPr>
        <a:xfrm>
          <a:off x="16177936" y="21750063"/>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372240</xdr:colOff>
      <xdr:row>119</xdr:row>
      <xdr:rowOff>115174</xdr:rowOff>
    </xdr:from>
    <xdr:to>
      <xdr:col>27</xdr:col>
      <xdr:colOff>481723</xdr:colOff>
      <xdr:row>124</xdr:row>
      <xdr:rowOff>49485</xdr:rowOff>
    </xdr:to>
    <xdr:sp macro="" textlink="">
      <xdr:nvSpPr>
        <xdr:cNvPr id="314" name="Rectangle: Rounded Corners 313">
          <a:extLst>
            <a:ext uri="{FF2B5EF4-FFF2-40B4-BE49-F238E27FC236}">
              <a16:creationId xmlns:a16="http://schemas.microsoft.com/office/drawing/2014/main" id="{288B2526-FBAE-44AB-94AB-A548141B1F0C}"/>
            </a:ext>
          </a:extLst>
        </xdr:cNvPr>
        <xdr:cNvSpPr/>
      </xdr:nvSpPr>
      <xdr:spPr>
        <a:xfrm>
          <a:off x="18174465" y="22784674"/>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215459</xdr:colOff>
      <xdr:row>121</xdr:row>
      <xdr:rowOff>175390</xdr:rowOff>
    </xdr:from>
    <xdr:to>
      <xdr:col>23</xdr:col>
      <xdr:colOff>372240</xdr:colOff>
      <xdr:row>121</xdr:row>
      <xdr:rowOff>177364</xdr:rowOff>
    </xdr:to>
    <xdr:cxnSp macro="">
      <xdr:nvCxnSpPr>
        <xdr:cNvPr id="315" name="Straight Arrow Connector 314">
          <a:extLst>
            <a:ext uri="{FF2B5EF4-FFF2-40B4-BE49-F238E27FC236}">
              <a16:creationId xmlns:a16="http://schemas.microsoft.com/office/drawing/2014/main" id="{0633EA2A-16F3-4346-A1C7-F9FBCCB1500D}"/>
            </a:ext>
          </a:extLst>
        </xdr:cNvPr>
        <xdr:cNvCxnSpPr>
          <a:stCxn id="311" idx="3"/>
          <a:endCxn id="314" idx="1"/>
        </xdr:cNvCxnSpPr>
      </xdr:nvCxnSpPr>
      <xdr:spPr>
        <a:xfrm flipV="1">
          <a:off x="17408084" y="23225890"/>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126996</xdr:colOff>
      <xdr:row>120</xdr:row>
      <xdr:rowOff>115175</xdr:rowOff>
    </xdr:from>
    <xdr:to>
      <xdr:col>31</xdr:col>
      <xdr:colOff>105100</xdr:colOff>
      <xdr:row>123</xdr:row>
      <xdr:rowOff>39629</xdr:rowOff>
    </xdr:to>
    <xdr:sp macro="" textlink="">
      <xdr:nvSpPr>
        <xdr:cNvPr id="316" name="Rectangle: Rounded Corners 315">
          <a:extLst>
            <a:ext uri="{FF2B5EF4-FFF2-40B4-BE49-F238E27FC236}">
              <a16:creationId xmlns:a16="http://schemas.microsoft.com/office/drawing/2014/main" id="{5E899217-A32A-4224-937F-49F9CF652B74}"/>
            </a:ext>
          </a:extLst>
        </xdr:cNvPr>
        <xdr:cNvSpPr/>
      </xdr:nvSpPr>
      <xdr:spPr>
        <a:xfrm>
          <a:off x="21586821" y="22975175"/>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481723</xdr:colOff>
      <xdr:row>121</xdr:row>
      <xdr:rowOff>170463</xdr:rowOff>
    </xdr:from>
    <xdr:to>
      <xdr:col>29</xdr:col>
      <xdr:colOff>126996</xdr:colOff>
      <xdr:row>121</xdr:row>
      <xdr:rowOff>175390</xdr:rowOff>
    </xdr:to>
    <xdr:cxnSp macro="">
      <xdr:nvCxnSpPr>
        <xdr:cNvPr id="317" name="Straight Arrow Connector 316">
          <a:extLst>
            <a:ext uri="{FF2B5EF4-FFF2-40B4-BE49-F238E27FC236}">
              <a16:creationId xmlns:a16="http://schemas.microsoft.com/office/drawing/2014/main" id="{7F107DA4-6DF8-4D8B-9AEB-C0D7098D02AE}"/>
            </a:ext>
          </a:extLst>
        </xdr:cNvPr>
        <xdr:cNvCxnSpPr>
          <a:stCxn id="314" idx="3"/>
          <a:endCxn id="316" idx="1"/>
        </xdr:cNvCxnSpPr>
      </xdr:nvCxnSpPr>
      <xdr:spPr>
        <a:xfrm flipV="1">
          <a:off x="20722348" y="23220963"/>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105100</xdr:colOff>
      <xdr:row>121</xdr:row>
      <xdr:rowOff>170463</xdr:rowOff>
    </xdr:from>
    <xdr:to>
      <xdr:col>33</xdr:col>
      <xdr:colOff>54741</xdr:colOff>
      <xdr:row>121</xdr:row>
      <xdr:rowOff>176952</xdr:rowOff>
    </xdr:to>
    <xdr:cxnSp macro="">
      <xdr:nvCxnSpPr>
        <xdr:cNvPr id="318" name="Straight Arrow Connector 317">
          <a:extLst>
            <a:ext uri="{FF2B5EF4-FFF2-40B4-BE49-F238E27FC236}">
              <a16:creationId xmlns:a16="http://schemas.microsoft.com/office/drawing/2014/main" id="{61567D7E-5519-4F22-B53E-DD9DAAF72E73}"/>
            </a:ext>
          </a:extLst>
        </xdr:cNvPr>
        <xdr:cNvCxnSpPr>
          <a:stCxn id="316" idx="3"/>
          <a:endCxn id="288" idx="1"/>
        </xdr:cNvCxnSpPr>
      </xdr:nvCxnSpPr>
      <xdr:spPr>
        <a:xfrm>
          <a:off x="22784125" y="23220963"/>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158965</xdr:colOff>
      <xdr:row>125</xdr:row>
      <xdr:rowOff>125248</xdr:rowOff>
    </xdr:from>
    <xdr:to>
      <xdr:col>31</xdr:col>
      <xdr:colOff>137069</xdr:colOff>
      <xdr:row>128</xdr:row>
      <xdr:rowOff>49702</xdr:rowOff>
    </xdr:to>
    <xdr:sp macro="" textlink="">
      <xdr:nvSpPr>
        <xdr:cNvPr id="319" name="Rectangle: Rounded Corners 318">
          <a:extLst>
            <a:ext uri="{FF2B5EF4-FFF2-40B4-BE49-F238E27FC236}">
              <a16:creationId xmlns:a16="http://schemas.microsoft.com/office/drawing/2014/main" id="{26BA0299-CC32-4652-B05B-CCDC9EE132DE}"/>
            </a:ext>
          </a:extLst>
        </xdr:cNvPr>
        <xdr:cNvSpPr/>
      </xdr:nvSpPr>
      <xdr:spPr>
        <a:xfrm>
          <a:off x="21618790" y="239377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481723</xdr:colOff>
      <xdr:row>121</xdr:row>
      <xdr:rowOff>175390</xdr:rowOff>
    </xdr:from>
    <xdr:to>
      <xdr:col>29</xdr:col>
      <xdr:colOff>158965</xdr:colOff>
      <xdr:row>126</xdr:row>
      <xdr:rowOff>180535</xdr:rowOff>
    </xdr:to>
    <xdr:cxnSp macro="">
      <xdr:nvCxnSpPr>
        <xdr:cNvPr id="320" name="Straight Arrow Connector 319">
          <a:extLst>
            <a:ext uri="{FF2B5EF4-FFF2-40B4-BE49-F238E27FC236}">
              <a16:creationId xmlns:a16="http://schemas.microsoft.com/office/drawing/2014/main" id="{B84C08E3-7929-4D32-AF62-EDC5EB29FD76}"/>
            </a:ext>
          </a:extLst>
        </xdr:cNvPr>
        <xdr:cNvCxnSpPr>
          <a:stCxn id="314" idx="3"/>
          <a:endCxn id="319" idx="1"/>
        </xdr:cNvCxnSpPr>
      </xdr:nvCxnSpPr>
      <xdr:spPr>
        <a:xfrm>
          <a:off x="20722348" y="23225890"/>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137069</xdr:colOff>
      <xdr:row>119</xdr:row>
      <xdr:rowOff>166414</xdr:rowOff>
    </xdr:from>
    <xdr:to>
      <xdr:col>46</xdr:col>
      <xdr:colOff>95029</xdr:colOff>
      <xdr:row>126</xdr:row>
      <xdr:rowOff>180535</xdr:rowOff>
    </xdr:to>
    <xdr:cxnSp macro="">
      <xdr:nvCxnSpPr>
        <xdr:cNvPr id="321" name="Connector: Elbow 320">
          <a:extLst>
            <a:ext uri="{FF2B5EF4-FFF2-40B4-BE49-F238E27FC236}">
              <a16:creationId xmlns:a16="http://schemas.microsoft.com/office/drawing/2014/main" id="{528B7E0A-C5DD-45F2-AF49-BDC3DBC602C9}"/>
            </a:ext>
          </a:extLst>
        </xdr:cNvPr>
        <xdr:cNvCxnSpPr>
          <a:stCxn id="319" idx="3"/>
          <a:endCxn id="298" idx="1"/>
        </xdr:cNvCxnSpPr>
      </xdr:nvCxnSpPr>
      <xdr:spPr>
        <a:xfrm flipV="1">
          <a:off x="22816094" y="2283591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13631</xdr:colOff>
      <xdr:row>124</xdr:row>
      <xdr:rowOff>12810</xdr:rowOff>
    </xdr:to>
    <xdr:cxnSp macro="">
      <xdr:nvCxnSpPr>
        <xdr:cNvPr id="322" name="Straight Arrow Connector 625">
          <a:extLst>
            <a:ext uri="{FF2B5EF4-FFF2-40B4-BE49-F238E27FC236}">
              <a16:creationId xmlns:a16="http://schemas.microsoft.com/office/drawing/2014/main" id="{5211A1C8-84F9-4681-9AF2-3A87B56ED817}"/>
            </a:ext>
          </a:extLst>
        </xdr:cNvPr>
        <xdr:cNvCxnSpPr>
          <a:stCxn id="3" idx="3"/>
          <a:endCxn id="278" idx="1"/>
        </xdr:cNvCxnSpPr>
      </xdr:nvCxnSpPr>
      <xdr:spPr>
        <a:xfrm>
          <a:off x="2164556" y="2549346"/>
          <a:ext cx="1125675" cy="210854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60570</xdr:colOff>
      <xdr:row>111</xdr:row>
      <xdr:rowOff>11304</xdr:rowOff>
    </xdr:from>
    <xdr:to>
      <xdr:col>61</xdr:col>
      <xdr:colOff>170053</xdr:colOff>
      <xdr:row>111</xdr:row>
      <xdr:rowOff>22252</xdr:rowOff>
    </xdr:to>
    <xdr:cxnSp macro="">
      <xdr:nvCxnSpPr>
        <xdr:cNvPr id="323" name="Straight Connector 322">
          <a:extLst>
            <a:ext uri="{FF2B5EF4-FFF2-40B4-BE49-F238E27FC236}">
              <a16:creationId xmlns:a16="http://schemas.microsoft.com/office/drawing/2014/main" id="{B618455F-D9E0-4EDC-AE48-D81413B2FA8B}"/>
            </a:ext>
          </a:extLst>
        </xdr:cNvPr>
        <xdr:cNvCxnSpPr/>
      </xdr:nvCxnSpPr>
      <xdr:spPr>
        <a:xfrm>
          <a:off x="3337170" y="2115680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114628</xdr:colOff>
      <xdr:row>139</xdr:row>
      <xdr:rowOff>158777</xdr:rowOff>
    </xdr:from>
    <xdr:to>
      <xdr:col>8</xdr:col>
      <xdr:colOff>112245</xdr:colOff>
      <xdr:row>142</xdr:row>
      <xdr:rowOff>163541</xdr:rowOff>
    </xdr:to>
    <xdr:sp macro="" textlink="">
      <xdr:nvSpPr>
        <xdr:cNvPr id="324" name="Rectangle: Rounded Corners 323">
          <a:extLst>
            <a:ext uri="{FF2B5EF4-FFF2-40B4-BE49-F238E27FC236}">
              <a16:creationId xmlns:a16="http://schemas.microsoft.com/office/drawing/2014/main" id="{B70BCC00-D627-4A9B-B7B9-2597AB629020}"/>
            </a:ext>
          </a:extLst>
        </xdr:cNvPr>
        <xdr:cNvSpPr/>
      </xdr:nvSpPr>
      <xdr:spPr>
        <a:xfrm>
          <a:off x="3391228" y="26638277"/>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Intangible</a:t>
          </a:r>
          <a:r>
            <a:rPr lang="en-ID" sz="1100" baseline="0"/>
            <a:t> asset</a:t>
          </a:r>
          <a:endParaRPr lang="en-ID" sz="1100"/>
        </a:p>
        <a:p>
          <a:pPr algn="ctr"/>
          <a:r>
            <a:rPr lang="en-ID" sz="1100"/>
            <a:t>Asset tidak</a:t>
          </a:r>
          <a:r>
            <a:rPr lang="en-ID" sz="1100" baseline="0"/>
            <a:t> berwujud</a:t>
          </a:r>
          <a:endParaRPr lang="en-ID" sz="1100"/>
        </a:p>
      </xdr:txBody>
    </xdr:sp>
    <xdr:clientData/>
  </xdr:twoCellAnchor>
  <xdr:twoCellAnchor>
    <xdr:from>
      <xdr:col>9</xdr:col>
      <xdr:colOff>134086</xdr:colOff>
      <xdr:row>139</xdr:row>
      <xdr:rowOff>119533</xdr:rowOff>
    </xdr:from>
    <xdr:to>
      <xdr:col>15</xdr:col>
      <xdr:colOff>157899</xdr:colOff>
      <xdr:row>142</xdr:row>
      <xdr:rowOff>179063</xdr:rowOff>
    </xdr:to>
    <xdr:sp macro="" textlink="">
      <xdr:nvSpPr>
        <xdr:cNvPr id="325" name="Rectangle: Rounded Corners 324">
          <a:extLst>
            <a:ext uri="{FF2B5EF4-FFF2-40B4-BE49-F238E27FC236}">
              <a16:creationId xmlns:a16="http://schemas.microsoft.com/office/drawing/2014/main" id="{CE217F39-D529-43C3-90C3-8721B0FF9765}"/>
            </a:ext>
          </a:extLst>
        </xdr:cNvPr>
        <xdr:cNvSpPr/>
      </xdr:nvSpPr>
      <xdr:spPr>
        <a:xfrm>
          <a:off x="5849086" y="26599033"/>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112245</xdr:colOff>
      <xdr:row>141</xdr:row>
      <xdr:rowOff>56238</xdr:rowOff>
    </xdr:from>
    <xdr:to>
      <xdr:col>9</xdr:col>
      <xdr:colOff>134086</xdr:colOff>
      <xdr:row>141</xdr:row>
      <xdr:rowOff>68099</xdr:rowOff>
    </xdr:to>
    <xdr:cxnSp macro="">
      <xdr:nvCxnSpPr>
        <xdr:cNvPr id="326" name="Straight Arrow Connector 325">
          <a:extLst>
            <a:ext uri="{FF2B5EF4-FFF2-40B4-BE49-F238E27FC236}">
              <a16:creationId xmlns:a16="http://schemas.microsoft.com/office/drawing/2014/main" id="{86030E12-11FE-4655-BAC3-7363F72FD64B}"/>
            </a:ext>
          </a:extLst>
        </xdr:cNvPr>
        <xdr:cNvCxnSpPr>
          <a:stCxn id="324" idx="3"/>
          <a:endCxn id="325" idx="1"/>
        </xdr:cNvCxnSpPr>
      </xdr:nvCxnSpPr>
      <xdr:spPr>
        <a:xfrm flipV="1">
          <a:off x="5217645" y="26916738"/>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290372</xdr:colOff>
      <xdr:row>138</xdr:row>
      <xdr:rowOff>134309</xdr:rowOff>
    </xdr:from>
    <xdr:to>
      <xdr:col>17</xdr:col>
      <xdr:colOff>552310</xdr:colOff>
      <xdr:row>140</xdr:row>
      <xdr:rowOff>74778</xdr:rowOff>
    </xdr:to>
    <xdr:sp macro="" textlink="">
      <xdr:nvSpPr>
        <xdr:cNvPr id="327" name="Rectangle: Rounded Corners 326">
          <a:extLst>
            <a:ext uri="{FF2B5EF4-FFF2-40B4-BE49-F238E27FC236}">
              <a16:creationId xmlns:a16="http://schemas.microsoft.com/office/drawing/2014/main" id="{4E65C32A-B634-473B-920A-6B1AA8357179}"/>
            </a:ext>
          </a:extLst>
        </xdr:cNvPr>
        <xdr:cNvSpPr/>
      </xdr:nvSpPr>
      <xdr:spPr>
        <a:xfrm>
          <a:off x="10272572" y="26423309"/>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278466</xdr:colOff>
      <xdr:row>142</xdr:row>
      <xdr:rowOff>170024</xdr:rowOff>
    </xdr:from>
    <xdr:to>
      <xdr:col>17</xdr:col>
      <xdr:colOff>540404</xdr:colOff>
      <xdr:row>144</xdr:row>
      <xdr:rowOff>69740</xdr:rowOff>
    </xdr:to>
    <xdr:sp macro="" textlink="">
      <xdr:nvSpPr>
        <xdr:cNvPr id="328" name="Rectangle: Rounded Corners 327">
          <a:extLst>
            <a:ext uri="{FF2B5EF4-FFF2-40B4-BE49-F238E27FC236}">
              <a16:creationId xmlns:a16="http://schemas.microsoft.com/office/drawing/2014/main" id="{6436EEE0-7FE3-42B2-9DF2-C809541E9042}"/>
            </a:ext>
          </a:extLst>
        </xdr:cNvPr>
        <xdr:cNvSpPr/>
      </xdr:nvSpPr>
      <xdr:spPr>
        <a:xfrm>
          <a:off x="10260666" y="27221024"/>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10,000 / Rp 150,000,000</a:t>
          </a:r>
          <a:endParaRPr lang="en-ID" sz="1100"/>
        </a:p>
      </xdr:txBody>
    </xdr:sp>
    <xdr:clientData/>
  </xdr:twoCellAnchor>
  <xdr:twoCellAnchor>
    <xdr:from>
      <xdr:col>15</xdr:col>
      <xdr:colOff>157899</xdr:colOff>
      <xdr:row>139</xdr:row>
      <xdr:rowOff>104545</xdr:rowOff>
    </xdr:from>
    <xdr:to>
      <xdr:col>16</xdr:col>
      <xdr:colOff>290372</xdr:colOff>
      <xdr:row>141</xdr:row>
      <xdr:rowOff>56238</xdr:rowOff>
    </xdr:to>
    <xdr:cxnSp macro="">
      <xdr:nvCxnSpPr>
        <xdr:cNvPr id="329" name="Straight Arrow Connector 328">
          <a:extLst>
            <a:ext uri="{FF2B5EF4-FFF2-40B4-BE49-F238E27FC236}">
              <a16:creationId xmlns:a16="http://schemas.microsoft.com/office/drawing/2014/main" id="{6B84BC67-FBBB-4AFA-9A2E-B59DB7293BF7}"/>
            </a:ext>
          </a:extLst>
        </xdr:cNvPr>
        <xdr:cNvCxnSpPr>
          <a:stCxn id="325" idx="3"/>
          <a:endCxn id="327" idx="1"/>
        </xdr:cNvCxnSpPr>
      </xdr:nvCxnSpPr>
      <xdr:spPr>
        <a:xfrm flipV="1">
          <a:off x="9530499" y="26584045"/>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157899</xdr:colOff>
      <xdr:row>141</xdr:row>
      <xdr:rowOff>56238</xdr:rowOff>
    </xdr:from>
    <xdr:to>
      <xdr:col>16</xdr:col>
      <xdr:colOff>278466</xdr:colOff>
      <xdr:row>143</xdr:row>
      <xdr:rowOff>119882</xdr:rowOff>
    </xdr:to>
    <xdr:cxnSp macro="">
      <xdr:nvCxnSpPr>
        <xdr:cNvPr id="330" name="Straight Arrow Connector 329">
          <a:extLst>
            <a:ext uri="{FF2B5EF4-FFF2-40B4-BE49-F238E27FC236}">
              <a16:creationId xmlns:a16="http://schemas.microsoft.com/office/drawing/2014/main" id="{D4CC4505-2EE3-44AA-8880-1A8E9A14CFBD}"/>
            </a:ext>
          </a:extLst>
        </xdr:cNvPr>
        <xdr:cNvCxnSpPr>
          <a:stCxn id="325" idx="3"/>
          <a:endCxn id="328" idx="1"/>
        </xdr:cNvCxnSpPr>
      </xdr:nvCxnSpPr>
      <xdr:spPr>
        <a:xfrm>
          <a:off x="9530499" y="26916738"/>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859492</xdr:colOff>
      <xdr:row>142</xdr:row>
      <xdr:rowOff>131925</xdr:rowOff>
    </xdr:from>
    <xdr:to>
      <xdr:col>18</xdr:col>
      <xdr:colOff>193618</xdr:colOff>
      <xdr:row>144</xdr:row>
      <xdr:rowOff>113533</xdr:rowOff>
    </xdr:to>
    <xdr:sp macro="" textlink="">
      <xdr:nvSpPr>
        <xdr:cNvPr id="331" name="Rectangle: Rounded Corners 330">
          <a:extLst>
            <a:ext uri="{FF2B5EF4-FFF2-40B4-BE49-F238E27FC236}">
              <a16:creationId xmlns:a16="http://schemas.microsoft.com/office/drawing/2014/main" id="{FCED1293-358E-4049-9AEE-ED7D01D62DD0}"/>
            </a:ext>
          </a:extLst>
        </xdr:cNvPr>
        <xdr:cNvSpPr/>
      </xdr:nvSpPr>
      <xdr:spPr>
        <a:xfrm>
          <a:off x="12803842" y="27182925"/>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540404</xdr:colOff>
      <xdr:row>143</xdr:row>
      <xdr:rowOff>119882</xdr:rowOff>
    </xdr:from>
    <xdr:to>
      <xdr:col>17</xdr:col>
      <xdr:colOff>859492</xdr:colOff>
      <xdr:row>143</xdr:row>
      <xdr:rowOff>122729</xdr:rowOff>
    </xdr:to>
    <xdr:cxnSp macro="">
      <xdr:nvCxnSpPr>
        <xdr:cNvPr id="332" name="Straight Arrow Connector 331">
          <a:extLst>
            <a:ext uri="{FF2B5EF4-FFF2-40B4-BE49-F238E27FC236}">
              <a16:creationId xmlns:a16="http://schemas.microsoft.com/office/drawing/2014/main" id="{96785B87-A2F7-4044-AE25-BCFB0B073FCF}"/>
            </a:ext>
          </a:extLst>
        </xdr:cNvPr>
        <xdr:cNvCxnSpPr>
          <a:stCxn id="328" idx="3"/>
          <a:endCxn id="331" idx="1"/>
        </xdr:cNvCxnSpPr>
      </xdr:nvCxnSpPr>
      <xdr:spPr>
        <a:xfrm>
          <a:off x="12484754" y="2736138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552310</xdr:colOff>
      <xdr:row>136</xdr:row>
      <xdr:rowOff>83823</xdr:rowOff>
    </xdr:from>
    <xdr:to>
      <xdr:col>17</xdr:col>
      <xdr:colOff>835679</xdr:colOff>
      <xdr:row>139</xdr:row>
      <xdr:rowOff>104544</xdr:rowOff>
    </xdr:to>
    <xdr:cxnSp macro="">
      <xdr:nvCxnSpPr>
        <xdr:cNvPr id="333" name="Straight Arrow Connector 332">
          <a:extLst>
            <a:ext uri="{FF2B5EF4-FFF2-40B4-BE49-F238E27FC236}">
              <a16:creationId xmlns:a16="http://schemas.microsoft.com/office/drawing/2014/main" id="{63DE7425-5212-4B12-A0AA-EE793952BABE}"/>
            </a:ext>
          </a:extLst>
        </xdr:cNvPr>
        <xdr:cNvCxnSpPr>
          <a:cxnSpLocks/>
          <a:stCxn id="327" idx="3"/>
          <a:endCxn id="368" idx="1"/>
        </xdr:cNvCxnSpPr>
      </xdr:nvCxnSpPr>
      <xdr:spPr>
        <a:xfrm flipV="1">
          <a:off x="12496660" y="25991823"/>
          <a:ext cx="283369" cy="5922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72355</xdr:colOff>
      <xdr:row>137</xdr:row>
      <xdr:rowOff>55836</xdr:rowOff>
    </xdr:from>
    <xdr:to>
      <xdr:col>51</xdr:col>
      <xdr:colOff>189010</xdr:colOff>
      <xdr:row>141</xdr:row>
      <xdr:rowOff>27643</xdr:rowOff>
    </xdr:to>
    <xdr:sp macro="" textlink="">
      <xdr:nvSpPr>
        <xdr:cNvPr id="334" name="Rectangle: Rounded Corners 333">
          <a:extLst>
            <a:ext uri="{FF2B5EF4-FFF2-40B4-BE49-F238E27FC236}">
              <a16:creationId xmlns:a16="http://schemas.microsoft.com/office/drawing/2014/main" id="{E5B89A87-A43A-48E6-A7CE-EEACF2CBDA16}"/>
            </a:ext>
          </a:extLst>
        </xdr:cNvPr>
        <xdr:cNvSpPr/>
      </xdr:nvSpPr>
      <xdr:spPr>
        <a:xfrm>
          <a:off x="30676180" y="26154336"/>
          <a:ext cx="4383855"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52</xdr:col>
      <xdr:colOff>67563</xdr:colOff>
      <xdr:row>136</xdr:row>
      <xdr:rowOff>65362</xdr:rowOff>
    </xdr:from>
    <xdr:to>
      <xdr:col>53</xdr:col>
      <xdr:colOff>444923</xdr:colOff>
      <xdr:row>138</xdr:row>
      <xdr:rowOff>1451</xdr:rowOff>
    </xdr:to>
    <xdr:sp macro="" textlink="">
      <xdr:nvSpPr>
        <xdr:cNvPr id="335" name="Rectangle: Rounded Corners 334">
          <a:extLst>
            <a:ext uri="{FF2B5EF4-FFF2-40B4-BE49-F238E27FC236}">
              <a16:creationId xmlns:a16="http://schemas.microsoft.com/office/drawing/2014/main" id="{2A189AE9-FF28-4E4B-8B0F-5EB91B019477}"/>
            </a:ext>
          </a:extLst>
        </xdr:cNvPr>
        <xdr:cNvSpPr/>
      </xdr:nvSpPr>
      <xdr:spPr>
        <a:xfrm>
          <a:off x="35548188" y="25973362"/>
          <a:ext cx="986960"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52</xdr:col>
      <xdr:colOff>77088</xdr:colOff>
      <xdr:row>139</xdr:row>
      <xdr:rowOff>177664</xdr:rowOff>
    </xdr:from>
    <xdr:to>
      <xdr:col>53</xdr:col>
      <xdr:colOff>454448</xdr:colOff>
      <xdr:row>141</xdr:row>
      <xdr:rowOff>118132</xdr:rowOff>
    </xdr:to>
    <xdr:sp macro="" textlink="">
      <xdr:nvSpPr>
        <xdr:cNvPr id="336" name="Rectangle: Rounded Corners 335">
          <a:extLst>
            <a:ext uri="{FF2B5EF4-FFF2-40B4-BE49-F238E27FC236}">
              <a16:creationId xmlns:a16="http://schemas.microsoft.com/office/drawing/2014/main" id="{67569462-129D-43C5-A9A0-9416D8C506E6}"/>
            </a:ext>
          </a:extLst>
        </xdr:cNvPr>
        <xdr:cNvSpPr/>
      </xdr:nvSpPr>
      <xdr:spPr>
        <a:xfrm>
          <a:off x="35557713" y="26657164"/>
          <a:ext cx="986960"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51</xdr:col>
      <xdr:colOff>189010</xdr:colOff>
      <xdr:row>137</xdr:row>
      <xdr:rowOff>31217</xdr:rowOff>
    </xdr:from>
    <xdr:to>
      <xdr:col>52</xdr:col>
      <xdr:colOff>67563</xdr:colOff>
      <xdr:row>139</xdr:row>
      <xdr:rowOff>39551</xdr:rowOff>
    </xdr:to>
    <xdr:cxnSp macro="">
      <xdr:nvCxnSpPr>
        <xdr:cNvPr id="337" name="Straight Arrow Connector 336">
          <a:extLst>
            <a:ext uri="{FF2B5EF4-FFF2-40B4-BE49-F238E27FC236}">
              <a16:creationId xmlns:a16="http://schemas.microsoft.com/office/drawing/2014/main" id="{62FA0C84-6E20-46B3-93FB-39AC8FF33CC3}"/>
            </a:ext>
          </a:extLst>
        </xdr:cNvPr>
        <xdr:cNvCxnSpPr>
          <a:stCxn id="334" idx="3"/>
          <a:endCxn id="335" idx="1"/>
        </xdr:cNvCxnSpPr>
      </xdr:nvCxnSpPr>
      <xdr:spPr>
        <a:xfrm flipV="1">
          <a:off x="35060035" y="26129717"/>
          <a:ext cx="48815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189010</xdr:colOff>
      <xdr:row>139</xdr:row>
      <xdr:rowOff>39551</xdr:rowOff>
    </xdr:from>
    <xdr:to>
      <xdr:col>52</xdr:col>
      <xdr:colOff>77088</xdr:colOff>
      <xdr:row>140</xdr:row>
      <xdr:rowOff>147898</xdr:rowOff>
    </xdr:to>
    <xdr:cxnSp macro="">
      <xdr:nvCxnSpPr>
        <xdr:cNvPr id="338" name="Straight Arrow Connector 337">
          <a:extLst>
            <a:ext uri="{FF2B5EF4-FFF2-40B4-BE49-F238E27FC236}">
              <a16:creationId xmlns:a16="http://schemas.microsoft.com/office/drawing/2014/main" id="{5F33E8D3-7DD1-46A2-AF8E-C8D21B370AE1}"/>
            </a:ext>
          </a:extLst>
        </xdr:cNvPr>
        <xdr:cNvCxnSpPr>
          <a:stCxn id="334" idx="3"/>
          <a:endCxn id="336" idx="1"/>
        </xdr:cNvCxnSpPr>
      </xdr:nvCxnSpPr>
      <xdr:spPr>
        <a:xfrm>
          <a:off x="35060035" y="26519051"/>
          <a:ext cx="497678"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215779</xdr:colOff>
      <xdr:row>139</xdr:row>
      <xdr:rowOff>161705</xdr:rowOff>
    </xdr:from>
    <xdr:to>
      <xdr:col>55</xdr:col>
      <xdr:colOff>510287</xdr:colOff>
      <xdr:row>141</xdr:row>
      <xdr:rowOff>140273</xdr:rowOff>
    </xdr:to>
    <xdr:sp macro="" textlink="">
      <xdr:nvSpPr>
        <xdr:cNvPr id="339" name="Rectangle: Rounded Corners 338">
          <a:extLst>
            <a:ext uri="{FF2B5EF4-FFF2-40B4-BE49-F238E27FC236}">
              <a16:creationId xmlns:a16="http://schemas.microsoft.com/office/drawing/2014/main" id="{06CA39B2-FDDC-4BA6-A3D7-493706A43FF5}"/>
            </a:ext>
          </a:extLst>
        </xdr:cNvPr>
        <xdr:cNvSpPr/>
      </xdr:nvSpPr>
      <xdr:spPr>
        <a:xfrm>
          <a:off x="36915604" y="26641205"/>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53</xdr:col>
      <xdr:colOff>454448</xdr:colOff>
      <xdr:row>140</xdr:row>
      <xdr:rowOff>147898</xdr:rowOff>
    </xdr:from>
    <xdr:to>
      <xdr:col>54</xdr:col>
      <xdr:colOff>215779</xdr:colOff>
      <xdr:row>140</xdr:row>
      <xdr:rowOff>150989</xdr:rowOff>
    </xdr:to>
    <xdr:cxnSp macro="">
      <xdr:nvCxnSpPr>
        <xdr:cNvPr id="340" name="Straight Arrow Connector 339">
          <a:extLst>
            <a:ext uri="{FF2B5EF4-FFF2-40B4-BE49-F238E27FC236}">
              <a16:creationId xmlns:a16="http://schemas.microsoft.com/office/drawing/2014/main" id="{EE75201E-E645-4938-8F64-68A2D3CDA87E}"/>
            </a:ext>
          </a:extLst>
        </xdr:cNvPr>
        <xdr:cNvCxnSpPr>
          <a:stCxn id="336" idx="3"/>
          <a:endCxn id="339" idx="1"/>
        </xdr:cNvCxnSpPr>
      </xdr:nvCxnSpPr>
      <xdr:spPr>
        <a:xfrm>
          <a:off x="36544673" y="26817898"/>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562794</xdr:colOff>
      <xdr:row>134</xdr:row>
      <xdr:rowOff>142874</xdr:rowOff>
    </xdr:from>
    <xdr:to>
      <xdr:col>52</xdr:col>
      <xdr:colOff>568750</xdr:colOff>
      <xdr:row>136</xdr:row>
      <xdr:rowOff>65362</xdr:rowOff>
    </xdr:to>
    <xdr:cxnSp macro="">
      <xdr:nvCxnSpPr>
        <xdr:cNvPr id="341" name="Straight Arrow Connector 340">
          <a:extLst>
            <a:ext uri="{FF2B5EF4-FFF2-40B4-BE49-F238E27FC236}">
              <a16:creationId xmlns:a16="http://schemas.microsoft.com/office/drawing/2014/main" id="{1CA354B8-F932-42C0-AA00-3343CE431A05}"/>
            </a:ext>
          </a:extLst>
        </xdr:cNvPr>
        <xdr:cNvCxnSpPr>
          <a:stCxn id="335" idx="0"/>
          <a:endCxn id="342" idx="2"/>
        </xdr:cNvCxnSpPr>
      </xdr:nvCxnSpPr>
      <xdr:spPr>
        <a:xfrm flipV="1">
          <a:off x="36043419" y="25669874"/>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342559</xdr:colOff>
      <xdr:row>129</xdr:row>
      <xdr:rowOff>124481</xdr:rowOff>
    </xdr:from>
    <xdr:to>
      <xdr:col>55</xdr:col>
      <xdr:colOff>181839</xdr:colOff>
      <xdr:row>134</xdr:row>
      <xdr:rowOff>142874</xdr:rowOff>
    </xdr:to>
    <xdr:sp macro="" textlink="">
      <xdr:nvSpPr>
        <xdr:cNvPr id="342" name="Rectangle: Rounded Corners 341">
          <a:extLst>
            <a:ext uri="{FF2B5EF4-FFF2-40B4-BE49-F238E27FC236}">
              <a16:creationId xmlns:a16="http://schemas.microsoft.com/office/drawing/2014/main" id="{3731F596-EC4E-435D-8646-0366F5CC3087}"/>
            </a:ext>
          </a:extLst>
        </xdr:cNvPr>
        <xdr:cNvSpPr/>
      </xdr:nvSpPr>
      <xdr:spPr>
        <a:xfrm>
          <a:off x="34603984" y="24698981"/>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53</xdr:col>
      <xdr:colOff>444923</xdr:colOff>
      <xdr:row>137</xdr:row>
      <xdr:rowOff>29013</xdr:rowOff>
    </xdr:from>
    <xdr:to>
      <xdr:col>57</xdr:col>
      <xdr:colOff>112644</xdr:colOff>
      <xdr:row>137</xdr:row>
      <xdr:rowOff>31217</xdr:rowOff>
    </xdr:to>
    <xdr:cxnSp macro="">
      <xdr:nvCxnSpPr>
        <xdr:cNvPr id="343" name="Straight Arrow Connector 342">
          <a:extLst>
            <a:ext uri="{FF2B5EF4-FFF2-40B4-BE49-F238E27FC236}">
              <a16:creationId xmlns:a16="http://schemas.microsoft.com/office/drawing/2014/main" id="{072D441A-F9E1-4EC7-BCF1-1D494FFF01F5}"/>
            </a:ext>
          </a:extLst>
        </xdr:cNvPr>
        <xdr:cNvCxnSpPr>
          <a:stCxn id="335" idx="3"/>
          <a:endCxn id="344" idx="1"/>
        </xdr:cNvCxnSpPr>
      </xdr:nvCxnSpPr>
      <xdr:spPr>
        <a:xfrm flipV="1">
          <a:off x="36535148" y="26127513"/>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57</xdr:col>
      <xdr:colOff>112644</xdr:colOff>
      <xdr:row>135</xdr:row>
      <xdr:rowOff>120979</xdr:rowOff>
    </xdr:from>
    <xdr:to>
      <xdr:col>61</xdr:col>
      <xdr:colOff>189282</xdr:colOff>
      <xdr:row>138</xdr:row>
      <xdr:rowOff>131927</xdr:rowOff>
    </xdr:to>
    <xdr:sp macro="" textlink="">
      <xdr:nvSpPr>
        <xdr:cNvPr id="344" name="Rectangle: Rounded Corners 343">
          <a:extLst>
            <a:ext uri="{FF2B5EF4-FFF2-40B4-BE49-F238E27FC236}">
              <a16:creationId xmlns:a16="http://schemas.microsoft.com/office/drawing/2014/main" id="{12BB59D6-DA2F-4017-B483-CF602D5CA7C4}"/>
            </a:ext>
          </a:extLst>
        </xdr:cNvPr>
        <xdr:cNvSpPr/>
      </xdr:nvSpPr>
      <xdr:spPr>
        <a:xfrm>
          <a:off x="38641269" y="25838479"/>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62</xdr:col>
      <xdr:colOff>149675</xdr:colOff>
      <xdr:row>131</xdr:row>
      <xdr:rowOff>164770</xdr:rowOff>
    </xdr:from>
    <xdr:to>
      <xdr:col>64</xdr:col>
      <xdr:colOff>189280</xdr:colOff>
      <xdr:row>135</xdr:row>
      <xdr:rowOff>88132</xdr:rowOff>
    </xdr:to>
    <xdr:sp macro="" textlink="">
      <xdr:nvSpPr>
        <xdr:cNvPr id="345" name="Rectangle: Rounded Corners 344">
          <a:extLst>
            <a:ext uri="{FF2B5EF4-FFF2-40B4-BE49-F238E27FC236}">
              <a16:creationId xmlns:a16="http://schemas.microsoft.com/office/drawing/2014/main" id="{F7F33C60-69FE-48F6-8DBC-A3409BA273AF}"/>
            </a:ext>
          </a:extLst>
        </xdr:cNvPr>
        <xdr:cNvSpPr/>
      </xdr:nvSpPr>
      <xdr:spPr>
        <a:xfrm>
          <a:off x="41726300" y="25120270"/>
          <a:ext cx="1258805"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62</xdr:col>
      <xdr:colOff>159747</xdr:colOff>
      <xdr:row>137</xdr:row>
      <xdr:rowOff>87256</xdr:rowOff>
    </xdr:from>
    <xdr:to>
      <xdr:col>64</xdr:col>
      <xdr:colOff>199352</xdr:colOff>
      <xdr:row>140</xdr:row>
      <xdr:rowOff>6239</xdr:rowOff>
    </xdr:to>
    <xdr:sp macro="" textlink="">
      <xdr:nvSpPr>
        <xdr:cNvPr id="346" name="Rectangle: Rounded Corners 345">
          <a:extLst>
            <a:ext uri="{FF2B5EF4-FFF2-40B4-BE49-F238E27FC236}">
              <a16:creationId xmlns:a16="http://schemas.microsoft.com/office/drawing/2014/main" id="{1D4A858C-320E-40F5-98B9-37829431ABC7}"/>
            </a:ext>
          </a:extLst>
        </xdr:cNvPr>
        <xdr:cNvSpPr/>
      </xdr:nvSpPr>
      <xdr:spPr>
        <a:xfrm>
          <a:off x="41736372" y="26185756"/>
          <a:ext cx="1258805"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61</xdr:col>
      <xdr:colOff>189282</xdr:colOff>
      <xdr:row>134</xdr:row>
      <xdr:rowOff>29012</xdr:rowOff>
    </xdr:from>
    <xdr:to>
      <xdr:col>62</xdr:col>
      <xdr:colOff>149675</xdr:colOff>
      <xdr:row>137</xdr:row>
      <xdr:rowOff>29013</xdr:rowOff>
    </xdr:to>
    <xdr:cxnSp macro="">
      <xdr:nvCxnSpPr>
        <xdr:cNvPr id="347" name="Straight Arrow Connector 346">
          <a:extLst>
            <a:ext uri="{FF2B5EF4-FFF2-40B4-BE49-F238E27FC236}">
              <a16:creationId xmlns:a16="http://schemas.microsoft.com/office/drawing/2014/main" id="{2A8CE613-F2B6-46C2-B621-6AF6A1937F39}"/>
            </a:ext>
          </a:extLst>
        </xdr:cNvPr>
        <xdr:cNvCxnSpPr>
          <a:stCxn id="344" idx="3"/>
          <a:endCxn id="345" idx="1"/>
        </xdr:cNvCxnSpPr>
      </xdr:nvCxnSpPr>
      <xdr:spPr>
        <a:xfrm flipV="1">
          <a:off x="41156307" y="25556012"/>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189282</xdr:colOff>
      <xdr:row>137</xdr:row>
      <xdr:rowOff>29013</xdr:rowOff>
    </xdr:from>
    <xdr:to>
      <xdr:col>62</xdr:col>
      <xdr:colOff>159747</xdr:colOff>
      <xdr:row>138</xdr:row>
      <xdr:rowOff>141998</xdr:rowOff>
    </xdr:to>
    <xdr:cxnSp macro="">
      <xdr:nvCxnSpPr>
        <xdr:cNvPr id="348" name="Straight Arrow Connector 347">
          <a:extLst>
            <a:ext uri="{FF2B5EF4-FFF2-40B4-BE49-F238E27FC236}">
              <a16:creationId xmlns:a16="http://schemas.microsoft.com/office/drawing/2014/main" id="{B96840B3-5640-4D16-85C6-53A782DC6065}"/>
            </a:ext>
          </a:extLst>
        </xdr:cNvPr>
        <xdr:cNvCxnSpPr>
          <a:stCxn id="344" idx="3"/>
          <a:endCxn id="346" idx="1"/>
        </xdr:cNvCxnSpPr>
      </xdr:nvCxnSpPr>
      <xdr:spPr>
        <a:xfrm>
          <a:off x="41156307" y="26127513"/>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65</xdr:col>
      <xdr:colOff>126026</xdr:colOff>
      <xdr:row>131</xdr:row>
      <xdr:rowOff>163017</xdr:rowOff>
    </xdr:from>
    <xdr:to>
      <xdr:col>67</xdr:col>
      <xdr:colOff>165632</xdr:colOff>
      <xdr:row>135</xdr:row>
      <xdr:rowOff>86379</xdr:rowOff>
    </xdr:to>
    <xdr:sp macro="" textlink="">
      <xdr:nvSpPr>
        <xdr:cNvPr id="349" name="Rectangle: Rounded Corners 348">
          <a:extLst>
            <a:ext uri="{FF2B5EF4-FFF2-40B4-BE49-F238E27FC236}">
              <a16:creationId xmlns:a16="http://schemas.microsoft.com/office/drawing/2014/main" id="{2198A1A9-54BC-433A-93E6-276B1BB751E7}"/>
            </a:ext>
          </a:extLst>
        </xdr:cNvPr>
        <xdr:cNvSpPr/>
      </xdr:nvSpPr>
      <xdr:spPr>
        <a:xfrm>
          <a:off x="43531451" y="25118517"/>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65</xdr:col>
      <xdr:colOff>114201</xdr:colOff>
      <xdr:row>137</xdr:row>
      <xdr:rowOff>85504</xdr:rowOff>
    </xdr:from>
    <xdr:to>
      <xdr:col>67</xdr:col>
      <xdr:colOff>153807</xdr:colOff>
      <xdr:row>140</xdr:row>
      <xdr:rowOff>4487</xdr:rowOff>
    </xdr:to>
    <xdr:sp macro="" textlink="">
      <xdr:nvSpPr>
        <xdr:cNvPr id="350" name="Rectangle: Rounded Corners 349">
          <a:extLst>
            <a:ext uri="{FF2B5EF4-FFF2-40B4-BE49-F238E27FC236}">
              <a16:creationId xmlns:a16="http://schemas.microsoft.com/office/drawing/2014/main" id="{F86EDCDC-FB82-4ADD-B655-D98118E336A8}"/>
            </a:ext>
          </a:extLst>
        </xdr:cNvPr>
        <xdr:cNvSpPr/>
      </xdr:nvSpPr>
      <xdr:spPr>
        <a:xfrm>
          <a:off x="43519626" y="26184004"/>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64</xdr:col>
      <xdr:colOff>189280</xdr:colOff>
      <xdr:row>134</xdr:row>
      <xdr:rowOff>27259</xdr:rowOff>
    </xdr:from>
    <xdr:to>
      <xdr:col>65</xdr:col>
      <xdr:colOff>126026</xdr:colOff>
      <xdr:row>134</xdr:row>
      <xdr:rowOff>29012</xdr:rowOff>
    </xdr:to>
    <xdr:cxnSp macro="">
      <xdr:nvCxnSpPr>
        <xdr:cNvPr id="351" name="Straight Arrow Connector 350">
          <a:extLst>
            <a:ext uri="{FF2B5EF4-FFF2-40B4-BE49-F238E27FC236}">
              <a16:creationId xmlns:a16="http://schemas.microsoft.com/office/drawing/2014/main" id="{0001B67B-909B-4C0F-8BD2-21AB8F68D2D8}"/>
            </a:ext>
          </a:extLst>
        </xdr:cNvPr>
        <xdr:cNvCxnSpPr>
          <a:stCxn id="345" idx="3"/>
          <a:endCxn id="349" idx="1"/>
        </xdr:cNvCxnSpPr>
      </xdr:nvCxnSpPr>
      <xdr:spPr>
        <a:xfrm flipV="1">
          <a:off x="42985105" y="25554259"/>
          <a:ext cx="546346"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64</xdr:col>
      <xdr:colOff>199352</xdr:colOff>
      <xdr:row>138</xdr:row>
      <xdr:rowOff>140246</xdr:rowOff>
    </xdr:from>
    <xdr:to>
      <xdr:col>65</xdr:col>
      <xdr:colOff>114201</xdr:colOff>
      <xdr:row>138</xdr:row>
      <xdr:rowOff>141998</xdr:rowOff>
    </xdr:to>
    <xdr:cxnSp macro="">
      <xdr:nvCxnSpPr>
        <xdr:cNvPr id="352" name="Straight Arrow Connector 351">
          <a:extLst>
            <a:ext uri="{FF2B5EF4-FFF2-40B4-BE49-F238E27FC236}">
              <a16:creationId xmlns:a16="http://schemas.microsoft.com/office/drawing/2014/main" id="{539B4DED-8B01-4445-9AE5-E4282148228E}"/>
            </a:ext>
          </a:extLst>
        </xdr:cNvPr>
        <xdr:cNvCxnSpPr>
          <a:stCxn id="346" idx="3"/>
          <a:endCxn id="350" idx="1"/>
        </xdr:cNvCxnSpPr>
      </xdr:nvCxnSpPr>
      <xdr:spPr>
        <a:xfrm flipV="1">
          <a:off x="42995177" y="26429246"/>
          <a:ext cx="524449"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323069</xdr:colOff>
      <xdr:row>136</xdr:row>
      <xdr:rowOff>35719</xdr:rowOff>
    </xdr:from>
    <xdr:to>
      <xdr:col>28</xdr:col>
      <xdr:colOff>406194</xdr:colOff>
      <xdr:row>141</xdr:row>
      <xdr:rowOff>130969</xdr:rowOff>
    </xdr:to>
    <xdr:sp macro="" textlink="">
      <xdr:nvSpPr>
        <xdr:cNvPr id="353" name="Rectangle: Rounded Corners 352">
          <a:extLst>
            <a:ext uri="{FF2B5EF4-FFF2-40B4-BE49-F238E27FC236}">
              <a16:creationId xmlns:a16="http://schemas.microsoft.com/office/drawing/2014/main" id="{AA7108BD-2209-4794-BD9F-D660176ACCFB}"/>
            </a:ext>
          </a:extLst>
        </xdr:cNvPr>
        <xdr:cNvSpPr/>
      </xdr:nvSpPr>
      <xdr:spPr>
        <a:xfrm>
          <a:off x="19344494" y="25943719"/>
          <a:ext cx="1911925" cy="1047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estimation/renewability</a:t>
          </a:r>
          <a:endParaRPr lang="en-ID" sz="1100" baseline="0"/>
        </a:p>
        <a:p>
          <a:pPr algn="ctr"/>
          <a:r>
            <a:rPr lang="en-ID" sz="1100" baseline="0"/>
            <a:t>Estimasi masa manfaat/pembaharuan aset</a:t>
          </a:r>
          <a:endParaRPr lang="en-ID" sz="1100"/>
        </a:p>
      </xdr:txBody>
    </xdr:sp>
    <xdr:clientData/>
  </xdr:twoCellAnchor>
  <xdr:twoCellAnchor>
    <xdr:from>
      <xdr:col>28</xdr:col>
      <xdr:colOff>406194</xdr:colOff>
      <xdr:row>131</xdr:row>
      <xdr:rowOff>86162</xdr:rowOff>
    </xdr:from>
    <xdr:to>
      <xdr:col>29</xdr:col>
      <xdr:colOff>235400</xdr:colOff>
      <xdr:row>138</xdr:row>
      <xdr:rowOff>178594</xdr:rowOff>
    </xdr:to>
    <xdr:cxnSp macro="">
      <xdr:nvCxnSpPr>
        <xdr:cNvPr id="354" name="Straight Arrow Connector 353">
          <a:extLst>
            <a:ext uri="{FF2B5EF4-FFF2-40B4-BE49-F238E27FC236}">
              <a16:creationId xmlns:a16="http://schemas.microsoft.com/office/drawing/2014/main" id="{F35DC48A-4D30-4A7E-9716-0EA0B893FB5D}"/>
            </a:ext>
          </a:extLst>
        </xdr:cNvPr>
        <xdr:cNvCxnSpPr>
          <a:stCxn id="353" idx="3"/>
          <a:endCxn id="355" idx="1"/>
        </xdr:cNvCxnSpPr>
      </xdr:nvCxnSpPr>
      <xdr:spPr>
        <a:xfrm flipV="1">
          <a:off x="21256419" y="25041662"/>
          <a:ext cx="438806" cy="14259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235400</xdr:colOff>
      <xdr:row>130</xdr:row>
      <xdr:rowOff>58791</xdr:rowOff>
    </xdr:from>
    <xdr:to>
      <xdr:col>31</xdr:col>
      <xdr:colOff>222126</xdr:colOff>
      <xdr:row>132</xdr:row>
      <xdr:rowOff>113533</xdr:rowOff>
    </xdr:to>
    <xdr:sp macro="" textlink="">
      <xdr:nvSpPr>
        <xdr:cNvPr id="355" name="Rectangle: Rounded Corners 354">
          <a:extLst>
            <a:ext uri="{FF2B5EF4-FFF2-40B4-BE49-F238E27FC236}">
              <a16:creationId xmlns:a16="http://schemas.microsoft.com/office/drawing/2014/main" id="{821AB718-38B4-47FF-83C7-1FD50DB05634}"/>
            </a:ext>
          </a:extLst>
        </xdr:cNvPr>
        <xdr:cNvSpPr/>
      </xdr:nvSpPr>
      <xdr:spPr>
        <a:xfrm>
          <a:off x="21695225" y="24823791"/>
          <a:ext cx="1205926"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31</xdr:col>
      <xdr:colOff>555174</xdr:colOff>
      <xdr:row>130</xdr:row>
      <xdr:rowOff>58791</xdr:rowOff>
    </xdr:from>
    <xdr:to>
      <xdr:col>34</xdr:col>
      <xdr:colOff>72355</xdr:colOff>
      <xdr:row>132</xdr:row>
      <xdr:rowOff>124480</xdr:rowOff>
    </xdr:to>
    <xdr:sp macro="" textlink="">
      <xdr:nvSpPr>
        <xdr:cNvPr id="356" name="Rectangle: Rounded Corners 355">
          <a:extLst>
            <a:ext uri="{FF2B5EF4-FFF2-40B4-BE49-F238E27FC236}">
              <a16:creationId xmlns:a16="http://schemas.microsoft.com/office/drawing/2014/main" id="{94D68CE9-F917-422F-8AE0-A29AA3B3311D}"/>
            </a:ext>
          </a:extLst>
        </xdr:cNvPr>
        <xdr:cNvSpPr/>
      </xdr:nvSpPr>
      <xdr:spPr>
        <a:xfrm>
          <a:off x="23234199" y="24823791"/>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29</xdr:col>
      <xdr:colOff>234743</xdr:colOff>
      <xdr:row>137</xdr:row>
      <xdr:rowOff>77186</xdr:rowOff>
    </xdr:from>
    <xdr:to>
      <xdr:col>33</xdr:col>
      <xdr:colOff>233074</xdr:colOff>
      <xdr:row>141</xdr:row>
      <xdr:rowOff>7117</xdr:rowOff>
    </xdr:to>
    <xdr:sp macro="" textlink="">
      <xdr:nvSpPr>
        <xdr:cNvPr id="357" name="Rectangle: Rounded Corners 356">
          <a:extLst>
            <a:ext uri="{FF2B5EF4-FFF2-40B4-BE49-F238E27FC236}">
              <a16:creationId xmlns:a16="http://schemas.microsoft.com/office/drawing/2014/main" id="{BC6CD5C1-87FE-4D0F-A109-24ECDDD8A918}"/>
            </a:ext>
          </a:extLst>
        </xdr:cNvPr>
        <xdr:cNvSpPr/>
      </xdr:nvSpPr>
      <xdr:spPr>
        <a:xfrm>
          <a:off x="21694568" y="26175686"/>
          <a:ext cx="2436731"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28</xdr:col>
      <xdr:colOff>406194</xdr:colOff>
      <xdr:row>138</xdr:row>
      <xdr:rowOff>178594</xdr:rowOff>
    </xdr:from>
    <xdr:to>
      <xdr:col>29</xdr:col>
      <xdr:colOff>234743</xdr:colOff>
      <xdr:row>139</xdr:row>
      <xdr:rowOff>42152</xdr:rowOff>
    </xdr:to>
    <xdr:cxnSp macro="">
      <xdr:nvCxnSpPr>
        <xdr:cNvPr id="358" name="Straight Arrow Connector 357">
          <a:extLst>
            <a:ext uri="{FF2B5EF4-FFF2-40B4-BE49-F238E27FC236}">
              <a16:creationId xmlns:a16="http://schemas.microsoft.com/office/drawing/2014/main" id="{32758A70-66FF-4485-93C4-9883CAC4CD86}"/>
            </a:ext>
          </a:extLst>
        </xdr:cNvPr>
        <xdr:cNvCxnSpPr>
          <a:stCxn id="353" idx="3"/>
          <a:endCxn id="357" idx="1"/>
        </xdr:cNvCxnSpPr>
      </xdr:nvCxnSpPr>
      <xdr:spPr>
        <a:xfrm>
          <a:off x="21256419" y="26467594"/>
          <a:ext cx="438149" cy="5405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389855</xdr:colOff>
      <xdr:row>136</xdr:row>
      <xdr:rowOff>168273</xdr:rowOff>
    </xdr:from>
    <xdr:to>
      <xdr:col>38</xdr:col>
      <xdr:colOff>499338</xdr:colOff>
      <xdr:row>141</xdr:row>
      <xdr:rowOff>102584</xdr:rowOff>
    </xdr:to>
    <xdr:sp macro="" textlink="">
      <xdr:nvSpPr>
        <xdr:cNvPr id="359" name="Rectangle: Rounded Corners 358">
          <a:extLst>
            <a:ext uri="{FF2B5EF4-FFF2-40B4-BE49-F238E27FC236}">
              <a16:creationId xmlns:a16="http://schemas.microsoft.com/office/drawing/2014/main" id="{3C2486C3-E528-4E60-B412-4C6B588B1FC4}"/>
            </a:ext>
          </a:extLst>
        </xdr:cNvPr>
        <xdr:cNvSpPr/>
      </xdr:nvSpPr>
      <xdr:spPr>
        <a:xfrm>
          <a:off x="24897680" y="26076273"/>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33</xdr:col>
      <xdr:colOff>233074</xdr:colOff>
      <xdr:row>139</xdr:row>
      <xdr:rowOff>37989</xdr:rowOff>
    </xdr:from>
    <xdr:to>
      <xdr:col>34</xdr:col>
      <xdr:colOff>389855</xdr:colOff>
      <xdr:row>139</xdr:row>
      <xdr:rowOff>39963</xdr:rowOff>
    </xdr:to>
    <xdr:cxnSp macro="">
      <xdr:nvCxnSpPr>
        <xdr:cNvPr id="360" name="Straight Arrow Connector 359">
          <a:extLst>
            <a:ext uri="{FF2B5EF4-FFF2-40B4-BE49-F238E27FC236}">
              <a16:creationId xmlns:a16="http://schemas.microsoft.com/office/drawing/2014/main" id="{1882FFFE-3F45-4416-93FA-77C797E591AB}"/>
            </a:ext>
          </a:extLst>
        </xdr:cNvPr>
        <xdr:cNvCxnSpPr>
          <a:stCxn id="357" idx="3"/>
          <a:endCxn id="359" idx="1"/>
        </xdr:cNvCxnSpPr>
      </xdr:nvCxnSpPr>
      <xdr:spPr>
        <a:xfrm flipV="1">
          <a:off x="24131299" y="2651748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144610</xdr:colOff>
      <xdr:row>137</xdr:row>
      <xdr:rowOff>168274</xdr:rowOff>
    </xdr:from>
    <xdr:to>
      <xdr:col>42</xdr:col>
      <xdr:colOff>122715</xdr:colOff>
      <xdr:row>140</xdr:row>
      <xdr:rowOff>92728</xdr:rowOff>
    </xdr:to>
    <xdr:sp macro="" textlink="">
      <xdr:nvSpPr>
        <xdr:cNvPr id="361" name="Rectangle: Rounded Corners 360">
          <a:extLst>
            <a:ext uri="{FF2B5EF4-FFF2-40B4-BE49-F238E27FC236}">
              <a16:creationId xmlns:a16="http://schemas.microsoft.com/office/drawing/2014/main" id="{11F117C2-E8F2-4018-B4D3-A71DD63E4D20}"/>
            </a:ext>
          </a:extLst>
        </xdr:cNvPr>
        <xdr:cNvSpPr/>
      </xdr:nvSpPr>
      <xdr:spPr>
        <a:xfrm>
          <a:off x="28310035" y="26266774"/>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38</xdr:col>
      <xdr:colOff>499338</xdr:colOff>
      <xdr:row>139</xdr:row>
      <xdr:rowOff>33062</xdr:rowOff>
    </xdr:from>
    <xdr:to>
      <xdr:col>40</xdr:col>
      <xdr:colOff>144610</xdr:colOff>
      <xdr:row>139</xdr:row>
      <xdr:rowOff>37989</xdr:rowOff>
    </xdr:to>
    <xdr:cxnSp macro="">
      <xdr:nvCxnSpPr>
        <xdr:cNvPr id="362" name="Straight Arrow Connector 361">
          <a:extLst>
            <a:ext uri="{FF2B5EF4-FFF2-40B4-BE49-F238E27FC236}">
              <a16:creationId xmlns:a16="http://schemas.microsoft.com/office/drawing/2014/main" id="{B164244C-0320-4F30-9E1C-F302B474CD8C}"/>
            </a:ext>
          </a:extLst>
        </xdr:cNvPr>
        <xdr:cNvCxnSpPr>
          <a:stCxn id="359" idx="3"/>
          <a:endCxn id="361" idx="1"/>
        </xdr:cNvCxnSpPr>
      </xdr:nvCxnSpPr>
      <xdr:spPr>
        <a:xfrm flipV="1">
          <a:off x="27445563" y="26512562"/>
          <a:ext cx="864472"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122715</xdr:colOff>
      <xdr:row>139</xdr:row>
      <xdr:rowOff>33062</xdr:rowOff>
    </xdr:from>
    <xdr:to>
      <xdr:col>44</xdr:col>
      <xdr:colOff>72355</xdr:colOff>
      <xdr:row>139</xdr:row>
      <xdr:rowOff>39551</xdr:rowOff>
    </xdr:to>
    <xdr:cxnSp macro="">
      <xdr:nvCxnSpPr>
        <xdr:cNvPr id="363" name="Straight Arrow Connector 362">
          <a:extLst>
            <a:ext uri="{FF2B5EF4-FFF2-40B4-BE49-F238E27FC236}">
              <a16:creationId xmlns:a16="http://schemas.microsoft.com/office/drawing/2014/main" id="{17638E5D-55E9-424F-B686-C64424776D87}"/>
            </a:ext>
          </a:extLst>
        </xdr:cNvPr>
        <xdr:cNvCxnSpPr>
          <a:stCxn id="361" idx="3"/>
          <a:endCxn id="334" idx="1"/>
        </xdr:cNvCxnSpPr>
      </xdr:nvCxnSpPr>
      <xdr:spPr>
        <a:xfrm>
          <a:off x="29507340" y="26512562"/>
          <a:ext cx="1168840"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176579</xdr:colOff>
      <xdr:row>142</xdr:row>
      <xdr:rowOff>178347</xdr:rowOff>
    </xdr:from>
    <xdr:to>
      <xdr:col>42</xdr:col>
      <xdr:colOff>154684</xdr:colOff>
      <xdr:row>145</xdr:row>
      <xdr:rowOff>102801</xdr:rowOff>
    </xdr:to>
    <xdr:sp macro="" textlink="">
      <xdr:nvSpPr>
        <xdr:cNvPr id="364" name="Rectangle: Rounded Corners 363">
          <a:extLst>
            <a:ext uri="{FF2B5EF4-FFF2-40B4-BE49-F238E27FC236}">
              <a16:creationId xmlns:a16="http://schemas.microsoft.com/office/drawing/2014/main" id="{88CD0A7F-D3DE-4364-9904-065DE5B397D2}"/>
            </a:ext>
          </a:extLst>
        </xdr:cNvPr>
        <xdr:cNvSpPr/>
      </xdr:nvSpPr>
      <xdr:spPr>
        <a:xfrm>
          <a:off x="28342004" y="2722934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38</xdr:col>
      <xdr:colOff>499338</xdr:colOff>
      <xdr:row>139</xdr:row>
      <xdr:rowOff>37989</xdr:rowOff>
    </xdr:from>
    <xdr:to>
      <xdr:col>40</xdr:col>
      <xdr:colOff>176579</xdr:colOff>
      <xdr:row>144</xdr:row>
      <xdr:rowOff>43134</xdr:rowOff>
    </xdr:to>
    <xdr:cxnSp macro="">
      <xdr:nvCxnSpPr>
        <xdr:cNvPr id="365" name="Straight Arrow Connector 364">
          <a:extLst>
            <a:ext uri="{FF2B5EF4-FFF2-40B4-BE49-F238E27FC236}">
              <a16:creationId xmlns:a16="http://schemas.microsoft.com/office/drawing/2014/main" id="{C1147556-F293-4B46-9D89-E4A32238F2BF}"/>
            </a:ext>
          </a:extLst>
        </xdr:cNvPr>
        <xdr:cNvCxnSpPr>
          <a:stCxn id="359" idx="3"/>
          <a:endCxn id="364" idx="1"/>
        </xdr:cNvCxnSpPr>
      </xdr:nvCxnSpPr>
      <xdr:spPr>
        <a:xfrm>
          <a:off x="27445563" y="26517489"/>
          <a:ext cx="896441"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154684</xdr:colOff>
      <xdr:row>137</xdr:row>
      <xdr:rowOff>29013</xdr:rowOff>
    </xdr:from>
    <xdr:to>
      <xdr:col>57</xdr:col>
      <xdr:colOff>112644</xdr:colOff>
      <xdr:row>144</xdr:row>
      <xdr:rowOff>43134</xdr:rowOff>
    </xdr:to>
    <xdr:cxnSp macro="">
      <xdr:nvCxnSpPr>
        <xdr:cNvPr id="366" name="Connector: Elbow 365">
          <a:extLst>
            <a:ext uri="{FF2B5EF4-FFF2-40B4-BE49-F238E27FC236}">
              <a16:creationId xmlns:a16="http://schemas.microsoft.com/office/drawing/2014/main" id="{A086FC13-A3C2-46A6-89ED-CCE5645991D4}"/>
            </a:ext>
          </a:extLst>
        </xdr:cNvPr>
        <xdr:cNvCxnSpPr>
          <a:stCxn id="364" idx="3"/>
          <a:endCxn id="344" idx="1"/>
        </xdr:cNvCxnSpPr>
      </xdr:nvCxnSpPr>
      <xdr:spPr>
        <a:xfrm flipV="1">
          <a:off x="29539309" y="26127513"/>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46282</xdr:colOff>
      <xdr:row>129</xdr:row>
      <xdr:rowOff>92266</xdr:rowOff>
    </xdr:from>
    <xdr:to>
      <xdr:col>61</xdr:col>
      <xdr:colOff>155765</xdr:colOff>
      <xdr:row>129</xdr:row>
      <xdr:rowOff>103214</xdr:rowOff>
    </xdr:to>
    <xdr:cxnSp macro="">
      <xdr:nvCxnSpPr>
        <xdr:cNvPr id="367" name="Straight Connector 366">
          <a:extLst>
            <a:ext uri="{FF2B5EF4-FFF2-40B4-BE49-F238E27FC236}">
              <a16:creationId xmlns:a16="http://schemas.microsoft.com/office/drawing/2014/main" id="{6DDD085F-DF06-451B-BDA2-71BB62127A7C}"/>
            </a:ext>
          </a:extLst>
        </xdr:cNvPr>
        <xdr:cNvCxnSpPr/>
      </xdr:nvCxnSpPr>
      <xdr:spPr>
        <a:xfrm>
          <a:off x="3322882" y="24666766"/>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835679</xdr:colOff>
      <xdr:row>132</xdr:row>
      <xdr:rowOff>11905</xdr:rowOff>
    </xdr:from>
    <xdr:to>
      <xdr:col>18</xdr:col>
      <xdr:colOff>359429</xdr:colOff>
      <xdr:row>140</xdr:row>
      <xdr:rowOff>155740</xdr:rowOff>
    </xdr:to>
    <xdr:sp macro="" textlink="">
      <xdr:nvSpPr>
        <xdr:cNvPr id="368" name="Rectangle: Rounded Corners 367">
          <a:extLst>
            <a:ext uri="{FF2B5EF4-FFF2-40B4-BE49-F238E27FC236}">
              <a16:creationId xmlns:a16="http://schemas.microsoft.com/office/drawing/2014/main" id="{174A7B8F-82FF-4C45-9830-08FB679FAEA2}"/>
            </a:ext>
          </a:extLst>
        </xdr:cNvPr>
        <xdr:cNvSpPr/>
      </xdr:nvSpPr>
      <xdr:spPr>
        <a:xfrm>
          <a:off x="12780029" y="25157905"/>
          <a:ext cx="2228850" cy="166783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transaction essential/can't be seperated for the operational of tangible</a:t>
          </a:r>
          <a:r>
            <a:rPr lang="en-ID" sz="1100" baseline="0"/>
            <a:t> asset (e.g machine, equipment,etc)</a:t>
          </a:r>
        </a:p>
        <a:p>
          <a:pPr algn="ctr"/>
          <a:endParaRPr lang="en-ID" sz="1100"/>
        </a:p>
        <a:p>
          <a:pPr algn="ctr"/>
          <a:r>
            <a:rPr lang="en-ID" sz="1100"/>
            <a:t>Apakah transaksi tersebut esensial/tidak dapat dipisahkan untuk operasional aset fisik (misalnya mesin, peralatan, dll)?</a:t>
          </a:r>
        </a:p>
      </xdr:txBody>
    </xdr:sp>
    <xdr:clientData/>
  </xdr:twoCellAnchor>
  <xdr:twoCellAnchor>
    <xdr:from>
      <xdr:col>19</xdr:col>
      <xdr:colOff>500468</xdr:colOff>
      <xdr:row>132</xdr:row>
      <xdr:rowOff>2277</xdr:rowOff>
    </xdr:from>
    <xdr:to>
      <xdr:col>21</xdr:col>
      <xdr:colOff>478573</xdr:colOff>
      <xdr:row>134</xdr:row>
      <xdr:rowOff>117231</xdr:rowOff>
    </xdr:to>
    <xdr:sp macro="" textlink="">
      <xdr:nvSpPr>
        <xdr:cNvPr id="369" name="Rectangle: Rounded Corners 368">
          <a:extLst>
            <a:ext uri="{FF2B5EF4-FFF2-40B4-BE49-F238E27FC236}">
              <a16:creationId xmlns:a16="http://schemas.microsoft.com/office/drawing/2014/main" id="{4C0E23A0-8084-4F7B-B37E-40AF732B5B7B}"/>
            </a:ext>
          </a:extLst>
        </xdr:cNvPr>
        <xdr:cNvSpPr/>
      </xdr:nvSpPr>
      <xdr:spPr>
        <a:xfrm>
          <a:off x="15864293" y="2514827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18</xdr:col>
      <xdr:colOff>359429</xdr:colOff>
      <xdr:row>133</xdr:row>
      <xdr:rowOff>59754</xdr:rowOff>
    </xdr:from>
    <xdr:to>
      <xdr:col>19</xdr:col>
      <xdr:colOff>500468</xdr:colOff>
      <xdr:row>136</xdr:row>
      <xdr:rowOff>83823</xdr:rowOff>
    </xdr:to>
    <xdr:cxnSp macro="">
      <xdr:nvCxnSpPr>
        <xdr:cNvPr id="370" name="Straight Arrow Connector 369">
          <a:extLst>
            <a:ext uri="{FF2B5EF4-FFF2-40B4-BE49-F238E27FC236}">
              <a16:creationId xmlns:a16="http://schemas.microsoft.com/office/drawing/2014/main" id="{2E295D8B-3E4B-477D-916A-3E14C06E93CF}"/>
            </a:ext>
          </a:extLst>
        </xdr:cNvPr>
        <xdr:cNvCxnSpPr>
          <a:stCxn id="368" idx="3"/>
          <a:endCxn id="369" idx="1"/>
        </xdr:cNvCxnSpPr>
      </xdr:nvCxnSpPr>
      <xdr:spPr>
        <a:xfrm flipV="1">
          <a:off x="15008879" y="25396254"/>
          <a:ext cx="855414" cy="5955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532437</xdr:colOff>
      <xdr:row>137</xdr:row>
      <xdr:rowOff>119499</xdr:rowOff>
    </xdr:from>
    <xdr:to>
      <xdr:col>21</xdr:col>
      <xdr:colOff>510542</xdr:colOff>
      <xdr:row>140</xdr:row>
      <xdr:rowOff>43953</xdr:rowOff>
    </xdr:to>
    <xdr:sp macro="" textlink="">
      <xdr:nvSpPr>
        <xdr:cNvPr id="371" name="Rectangle: Rounded Corners 370">
          <a:extLst>
            <a:ext uri="{FF2B5EF4-FFF2-40B4-BE49-F238E27FC236}">
              <a16:creationId xmlns:a16="http://schemas.microsoft.com/office/drawing/2014/main" id="{8E847D50-D51C-445B-B561-7DD444801670}"/>
            </a:ext>
          </a:extLst>
        </xdr:cNvPr>
        <xdr:cNvSpPr/>
      </xdr:nvSpPr>
      <xdr:spPr>
        <a:xfrm>
          <a:off x="15896262" y="26217999"/>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18</xdr:col>
      <xdr:colOff>359429</xdr:colOff>
      <xdr:row>136</xdr:row>
      <xdr:rowOff>83823</xdr:rowOff>
    </xdr:from>
    <xdr:to>
      <xdr:col>19</xdr:col>
      <xdr:colOff>532437</xdr:colOff>
      <xdr:row>138</xdr:row>
      <xdr:rowOff>176976</xdr:rowOff>
    </xdr:to>
    <xdr:cxnSp macro="">
      <xdr:nvCxnSpPr>
        <xdr:cNvPr id="372" name="Straight Arrow Connector 371">
          <a:extLst>
            <a:ext uri="{FF2B5EF4-FFF2-40B4-BE49-F238E27FC236}">
              <a16:creationId xmlns:a16="http://schemas.microsoft.com/office/drawing/2014/main" id="{1B5ADADD-58DC-4E2E-A067-9997052D60A8}"/>
            </a:ext>
          </a:extLst>
        </xdr:cNvPr>
        <xdr:cNvCxnSpPr>
          <a:stCxn id="368" idx="3"/>
          <a:endCxn id="371" idx="1"/>
        </xdr:cNvCxnSpPr>
      </xdr:nvCxnSpPr>
      <xdr:spPr>
        <a:xfrm>
          <a:off x="15008879" y="25991823"/>
          <a:ext cx="887383" cy="4741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478573</xdr:colOff>
      <xdr:row>133</xdr:row>
      <xdr:rowOff>59532</xdr:rowOff>
    </xdr:from>
    <xdr:to>
      <xdr:col>22</xdr:col>
      <xdr:colOff>226079</xdr:colOff>
      <xdr:row>133</xdr:row>
      <xdr:rowOff>59754</xdr:rowOff>
    </xdr:to>
    <xdr:cxnSp macro="">
      <xdr:nvCxnSpPr>
        <xdr:cNvPr id="373" name="Straight Arrow Connector 372">
          <a:extLst>
            <a:ext uri="{FF2B5EF4-FFF2-40B4-BE49-F238E27FC236}">
              <a16:creationId xmlns:a16="http://schemas.microsoft.com/office/drawing/2014/main" id="{6B4C8029-C9DE-42D3-97AD-4194A7729E46}"/>
            </a:ext>
          </a:extLst>
        </xdr:cNvPr>
        <xdr:cNvCxnSpPr>
          <a:stCxn id="369" idx="3"/>
          <a:endCxn id="374" idx="1"/>
        </xdr:cNvCxnSpPr>
      </xdr:nvCxnSpPr>
      <xdr:spPr>
        <a:xfrm flipV="1">
          <a:off x="17061598" y="25396032"/>
          <a:ext cx="357106" cy="2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226079</xdr:colOff>
      <xdr:row>131</xdr:row>
      <xdr:rowOff>83345</xdr:rowOff>
    </xdr:from>
    <xdr:to>
      <xdr:col>25</xdr:col>
      <xdr:colOff>595312</xdr:colOff>
      <xdr:row>135</xdr:row>
      <xdr:rowOff>35719</xdr:rowOff>
    </xdr:to>
    <xdr:sp macro="" textlink="">
      <xdr:nvSpPr>
        <xdr:cNvPr id="374" name="Rectangle: Rounded Corners 373">
          <a:extLst>
            <a:ext uri="{FF2B5EF4-FFF2-40B4-BE49-F238E27FC236}">
              <a16:creationId xmlns:a16="http://schemas.microsoft.com/office/drawing/2014/main" id="{0F5DEA4C-362A-4B5B-AF97-4811FA5A0797}"/>
            </a:ext>
          </a:extLst>
        </xdr:cNvPr>
        <xdr:cNvSpPr/>
      </xdr:nvSpPr>
      <xdr:spPr>
        <a:xfrm>
          <a:off x="17418704" y="25038845"/>
          <a:ext cx="2198033" cy="714374"/>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Part of other asset type, please back to 1st question (apa tipe asetnya)</a:t>
          </a:r>
        </a:p>
      </xdr:txBody>
    </xdr:sp>
    <xdr:clientData/>
  </xdr:twoCellAnchor>
  <xdr:twoCellAnchor>
    <xdr:from>
      <xdr:col>21</xdr:col>
      <xdr:colOff>510542</xdr:colOff>
      <xdr:row>138</xdr:row>
      <xdr:rowOff>176976</xdr:rowOff>
    </xdr:from>
    <xdr:to>
      <xdr:col>25</xdr:col>
      <xdr:colOff>323069</xdr:colOff>
      <xdr:row>138</xdr:row>
      <xdr:rowOff>178594</xdr:rowOff>
    </xdr:to>
    <xdr:cxnSp macro="">
      <xdr:nvCxnSpPr>
        <xdr:cNvPr id="375" name="Straight Arrow Connector 374">
          <a:extLst>
            <a:ext uri="{FF2B5EF4-FFF2-40B4-BE49-F238E27FC236}">
              <a16:creationId xmlns:a16="http://schemas.microsoft.com/office/drawing/2014/main" id="{4BD441C7-8CD2-4E42-BB44-BB7BC485056E}"/>
            </a:ext>
          </a:extLst>
        </xdr:cNvPr>
        <xdr:cNvCxnSpPr>
          <a:stCxn id="371" idx="3"/>
          <a:endCxn id="353" idx="1"/>
        </xdr:cNvCxnSpPr>
      </xdr:nvCxnSpPr>
      <xdr:spPr>
        <a:xfrm>
          <a:off x="17093567" y="26465976"/>
          <a:ext cx="2250927" cy="161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114628</xdr:colOff>
      <xdr:row>141</xdr:row>
      <xdr:rowOff>65909</xdr:rowOff>
    </xdr:to>
    <xdr:cxnSp macro="">
      <xdr:nvCxnSpPr>
        <xdr:cNvPr id="376" name="Straight Arrow Connector 13">
          <a:extLst>
            <a:ext uri="{FF2B5EF4-FFF2-40B4-BE49-F238E27FC236}">
              <a16:creationId xmlns:a16="http://schemas.microsoft.com/office/drawing/2014/main" id="{FEDD1BE7-7247-4E44-8F68-D423C2D2FB51}"/>
            </a:ext>
          </a:extLst>
        </xdr:cNvPr>
        <xdr:cNvCxnSpPr>
          <a:stCxn id="3" idx="3"/>
          <a:endCxn id="324" idx="1"/>
        </xdr:cNvCxnSpPr>
      </xdr:nvCxnSpPr>
      <xdr:spPr>
        <a:xfrm>
          <a:off x="2164556" y="2549346"/>
          <a:ext cx="1226672" cy="24377063"/>
        </a:xfrm>
        <a:prstGeom prst="bentConnector3">
          <a:avLst>
            <a:gd name="adj1" fmla="val 46102"/>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222126</xdr:colOff>
      <xdr:row>131</xdr:row>
      <xdr:rowOff>86162</xdr:rowOff>
    </xdr:from>
    <xdr:to>
      <xdr:col>31</xdr:col>
      <xdr:colOff>555174</xdr:colOff>
      <xdr:row>131</xdr:row>
      <xdr:rowOff>91636</xdr:rowOff>
    </xdr:to>
    <xdr:cxnSp macro="">
      <xdr:nvCxnSpPr>
        <xdr:cNvPr id="377" name="Straight Arrow Connector 376">
          <a:extLst>
            <a:ext uri="{FF2B5EF4-FFF2-40B4-BE49-F238E27FC236}">
              <a16:creationId xmlns:a16="http://schemas.microsoft.com/office/drawing/2014/main" id="{7AD8854E-A910-40BD-BB21-3C3A8B1CDB45}"/>
            </a:ext>
          </a:extLst>
        </xdr:cNvPr>
        <xdr:cNvCxnSpPr>
          <a:stCxn id="355" idx="3"/>
          <a:endCxn id="356" idx="1"/>
        </xdr:cNvCxnSpPr>
      </xdr:nvCxnSpPr>
      <xdr:spPr>
        <a:xfrm>
          <a:off x="22901151" y="25041662"/>
          <a:ext cx="333048" cy="54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440535</xdr:colOff>
      <xdr:row>42</xdr:row>
      <xdr:rowOff>130970</xdr:rowOff>
    </xdr:from>
    <xdr:to>
      <xdr:col>49</xdr:col>
      <xdr:colOff>517173</xdr:colOff>
      <xdr:row>47</xdr:row>
      <xdr:rowOff>178594</xdr:rowOff>
    </xdr:to>
    <xdr:sp macro="" textlink="">
      <xdr:nvSpPr>
        <xdr:cNvPr id="378" name="Rectangle: Rounded Corners 377">
          <a:extLst>
            <a:ext uri="{FF2B5EF4-FFF2-40B4-BE49-F238E27FC236}">
              <a16:creationId xmlns:a16="http://schemas.microsoft.com/office/drawing/2014/main" id="{2C149283-AE37-4AEF-A266-16711F00519F}"/>
            </a:ext>
          </a:extLst>
        </xdr:cNvPr>
        <xdr:cNvSpPr/>
      </xdr:nvSpPr>
      <xdr:spPr>
        <a:xfrm>
          <a:off x="31653960" y="8131970"/>
          <a:ext cx="2515038" cy="100012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good immediately used in </a:t>
          </a:r>
          <a:r>
            <a:rPr lang="en-ID" sz="1100" baseline="0"/>
            <a:t> this period</a:t>
          </a:r>
          <a:r>
            <a:rPr lang="en-ID" sz="1100"/>
            <a:t>?</a:t>
          </a:r>
          <a:endParaRPr lang="en-ID" sz="1100" baseline="0"/>
        </a:p>
        <a:p>
          <a:pPr algn="ctr"/>
          <a:r>
            <a:rPr lang="en-ID" sz="1100" baseline="0"/>
            <a:t>Apakah barang langsung digunakan di periode ini?</a:t>
          </a:r>
          <a:endParaRPr lang="en-ID" sz="1100"/>
        </a:p>
      </xdr:txBody>
    </xdr:sp>
    <xdr:clientData/>
  </xdr:twoCellAnchor>
  <xdr:twoCellAnchor>
    <xdr:from>
      <xdr:col>50</xdr:col>
      <xdr:colOff>239164</xdr:colOff>
      <xdr:row>44</xdr:row>
      <xdr:rowOff>119062</xdr:rowOff>
    </xdr:from>
    <xdr:to>
      <xdr:col>52</xdr:col>
      <xdr:colOff>95249</xdr:colOff>
      <xdr:row>45</xdr:row>
      <xdr:rowOff>190499</xdr:rowOff>
    </xdr:to>
    <xdr:sp macro="" textlink="">
      <xdr:nvSpPr>
        <xdr:cNvPr id="379" name="Rectangle: Rounded Corners 378">
          <a:extLst>
            <a:ext uri="{FF2B5EF4-FFF2-40B4-BE49-F238E27FC236}">
              <a16:creationId xmlns:a16="http://schemas.microsoft.com/office/drawing/2014/main" id="{5D30CB55-8B38-4562-A742-F70C02601FD9}"/>
            </a:ext>
          </a:extLst>
        </xdr:cNvPr>
        <xdr:cNvSpPr/>
      </xdr:nvSpPr>
      <xdr:spPr>
        <a:xfrm>
          <a:off x="34500589" y="8501062"/>
          <a:ext cx="1075285" cy="26193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50</xdr:col>
      <xdr:colOff>224877</xdr:colOff>
      <xdr:row>50</xdr:row>
      <xdr:rowOff>21430</xdr:rowOff>
    </xdr:from>
    <xdr:to>
      <xdr:col>51</xdr:col>
      <xdr:colOff>602236</xdr:colOff>
      <xdr:row>51</xdr:row>
      <xdr:rowOff>152398</xdr:rowOff>
    </xdr:to>
    <xdr:sp macro="" textlink="">
      <xdr:nvSpPr>
        <xdr:cNvPr id="380" name="Rectangle: Rounded Corners 379">
          <a:extLst>
            <a:ext uri="{FF2B5EF4-FFF2-40B4-BE49-F238E27FC236}">
              <a16:creationId xmlns:a16="http://schemas.microsoft.com/office/drawing/2014/main" id="{F8A30840-D077-4112-BBB6-E98ACF53DAF9}"/>
            </a:ext>
          </a:extLst>
        </xdr:cNvPr>
        <xdr:cNvSpPr/>
      </xdr:nvSpPr>
      <xdr:spPr>
        <a:xfrm>
          <a:off x="34486302" y="9546430"/>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49</xdr:col>
      <xdr:colOff>517173</xdr:colOff>
      <xdr:row>45</xdr:row>
      <xdr:rowOff>59531</xdr:rowOff>
    </xdr:from>
    <xdr:to>
      <xdr:col>50</xdr:col>
      <xdr:colOff>239164</xdr:colOff>
      <xdr:row>45</xdr:row>
      <xdr:rowOff>59532</xdr:rowOff>
    </xdr:to>
    <xdr:cxnSp macro="">
      <xdr:nvCxnSpPr>
        <xdr:cNvPr id="381" name="Straight Arrow Connector 380">
          <a:extLst>
            <a:ext uri="{FF2B5EF4-FFF2-40B4-BE49-F238E27FC236}">
              <a16:creationId xmlns:a16="http://schemas.microsoft.com/office/drawing/2014/main" id="{A9E06CA7-DF3A-42C7-9A48-A976D5158C4D}"/>
            </a:ext>
          </a:extLst>
        </xdr:cNvPr>
        <xdr:cNvCxnSpPr>
          <a:stCxn id="378" idx="3"/>
          <a:endCxn id="379" idx="1"/>
        </xdr:cNvCxnSpPr>
      </xdr:nvCxnSpPr>
      <xdr:spPr>
        <a:xfrm flipV="1">
          <a:off x="34168998" y="8632031"/>
          <a:ext cx="331591" cy="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49</xdr:col>
      <xdr:colOff>517173</xdr:colOff>
      <xdr:row>45</xdr:row>
      <xdr:rowOff>59532</xdr:rowOff>
    </xdr:from>
    <xdr:to>
      <xdr:col>50</xdr:col>
      <xdr:colOff>224877</xdr:colOff>
      <xdr:row>50</xdr:row>
      <xdr:rowOff>182164</xdr:rowOff>
    </xdr:to>
    <xdr:cxnSp macro="">
      <xdr:nvCxnSpPr>
        <xdr:cNvPr id="382" name="Straight Arrow Connector 381">
          <a:extLst>
            <a:ext uri="{FF2B5EF4-FFF2-40B4-BE49-F238E27FC236}">
              <a16:creationId xmlns:a16="http://schemas.microsoft.com/office/drawing/2014/main" id="{8B8FB205-57DC-4691-8D59-43780D67C2C7}"/>
            </a:ext>
          </a:extLst>
        </xdr:cNvPr>
        <xdr:cNvCxnSpPr>
          <a:stCxn id="378" idx="3"/>
          <a:endCxn id="380" idx="1"/>
        </xdr:cNvCxnSpPr>
      </xdr:nvCxnSpPr>
      <xdr:spPr>
        <a:xfrm>
          <a:off x="34168998" y="8632032"/>
          <a:ext cx="317304" cy="10751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451155</xdr:colOff>
      <xdr:row>50</xdr:row>
      <xdr:rowOff>5471</xdr:rowOff>
    </xdr:from>
    <xdr:to>
      <xdr:col>54</xdr:col>
      <xdr:colOff>124867</xdr:colOff>
      <xdr:row>51</xdr:row>
      <xdr:rowOff>174539</xdr:rowOff>
    </xdr:to>
    <xdr:sp macro="" textlink="">
      <xdr:nvSpPr>
        <xdr:cNvPr id="383" name="Rectangle: Rounded Corners 382">
          <a:extLst>
            <a:ext uri="{FF2B5EF4-FFF2-40B4-BE49-F238E27FC236}">
              <a16:creationId xmlns:a16="http://schemas.microsoft.com/office/drawing/2014/main" id="{A37921B8-7AC8-4E57-AF5D-34ED12F7DFDA}"/>
            </a:ext>
          </a:extLst>
        </xdr:cNvPr>
        <xdr:cNvSpPr/>
      </xdr:nvSpPr>
      <xdr:spPr>
        <a:xfrm>
          <a:off x="35931780" y="9530471"/>
          <a:ext cx="892912"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Inventory</a:t>
          </a:r>
        </a:p>
      </xdr:txBody>
    </xdr:sp>
    <xdr:clientData/>
  </xdr:twoCellAnchor>
  <xdr:twoCellAnchor>
    <xdr:from>
      <xdr:col>51</xdr:col>
      <xdr:colOff>602236</xdr:colOff>
      <xdr:row>50</xdr:row>
      <xdr:rowOff>182164</xdr:rowOff>
    </xdr:from>
    <xdr:to>
      <xdr:col>52</xdr:col>
      <xdr:colOff>451155</xdr:colOff>
      <xdr:row>50</xdr:row>
      <xdr:rowOff>185255</xdr:rowOff>
    </xdr:to>
    <xdr:cxnSp macro="">
      <xdr:nvCxnSpPr>
        <xdr:cNvPr id="384" name="Straight Arrow Connector 383">
          <a:extLst>
            <a:ext uri="{FF2B5EF4-FFF2-40B4-BE49-F238E27FC236}">
              <a16:creationId xmlns:a16="http://schemas.microsoft.com/office/drawing/2014/main" id="{7A643273-5487-4B04-B0E9-27826B3333BB}"/>
            </a:ext>
          </a:extLst>
        </xdr:cNvPr>
        <xdr:cNvCxnSpPr>
          <a:stCxn id="380" idx="3"/>
          <a:endCxn id="383" idx="1"/>
        </xdr:cNvCxnSpPr>
      </xdr:nvCxnSpPr>
      <xdr:spPr>
        <a:xfrm>
          <a:off x="35473261" y="9707164"/>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95249</xdr:colOff>
      <xdr:row>45</xdr:row>
      <xdr:rowOff>50801</xdr:rowOff>
    </xdr:from>
    <xdr:to>
      <xdr:col>54</xdr:col>
      <xdr:colOff>118679</xdr:colOff>
      <xdr:row>45</xdr:row>
      <xdr:rowOff>59531</xdr:rowOff>
    </xdr:to>
    <xdr:cxnSp macro="">
      <xdr:nvCxnSpPr>
        <xdr:cNvPr id="385" name="Straight Arrow Connector 384">
          <a:extLst>
            <a:ext uri="{FF2B5EF4-FFF2-40B4-BE49-F238E27FC236}">
              <a16:creationId xmlns:a16="http://schemas.microsoft.com/office/drawing/2014/main" id="{5A7725D8-BD04-4F5C-8A49-B21E446D588A}"/>
            </a:ext>
          </a:extLst>
        </xdr:cNvPr>
        <xdr:cNvCxnSpPr>
          <a:stCxn id="379" idx="3"/>
          <a:endCxn id="102" idx="1"/>
        </xdr:cNvCxnSpPr>
      </xdr:nvCxnSpPr>
      <xdr:spPr>
        <a:xfrm flipV="1">
          <a:off x="35575874" y="8623301"/>
          <a:ext cx="1242630" cy="87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333374</xdr:colOff>
      <xdr:row>72</xdr:row>
      <xdr:rowOff>0</xdr:rowOff>
    </xdr:from>
    <xdr:to>
      <xdr:col>3</xdr:col>
      <xdr:colOff>4000499</xdr:colOff>
      <xdr:row>72</xdr:row>
      <xdr:rowOff>0</xdr:rowOff>
    </xdr:to>
    <xdr:pic>
      <xdr:nvPicPr>
        <xdr:cNvPr id="2" name="Picture 1">
          <a:extLst>
            <a:ext uri="{FF2B5EF4-FFF2-40B4-BE49-F238E27FC236}">
              <a16:creationId xmlns:a16="http://schemas.microsoft.com/office/drawing/2014/main" id="{0D212FC2-D3B5-4D9E-9A01-5D2651CC7B9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49624" y="138112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72342</xdr:colOff>
      <xdr:row>78</xdr:row>
      <xdr:rowOff>610885</xdr:rowOff>
    </xdr:from>
    <xdr:to>
      <xdr:col>3</xdr:col>
      <xdr:colOff>4527638</xdr:colOff>
      <xdr:row>78</xdr:row>
      <xdr:rowOff>2154176</xdr:rowOff>
    </xdr:to>
    <xdr:pic>
      <xdr:nvPicPr>
        <xdr:cNvPr id="3" name="Picture 2">
          <a:extLst>
            <a:ext uri="{FF2B5EF4-FFF2-40B4-BE49-F238E27FC236}">
              <a16:creationId xmlns:a16="http://schemas.microsoft.com/office/drawing/2014/main" id="{A12A8453-A1D3-4984-BEE1-B15BB100127A}"/>
            </a:ext>
          </a:extLst>
        </xdr:cNvPr>
        <xdr:cNvPicPr>
          <a:picLocks noChangeAspect="1"/>
        </xdr:cNvPicPr>
      </xdr:nvPicPr>
      <xdr:blipFill>
        <a:blip xmlns:r="http://schemas.openxmlformats.org/officeDocument/2006/relationships" r:embed="rId2"/>
        <a:stretch>
          <a:fillRect/>
        </a:stretch>
      </xdr:blipFill>
      <xdr:spPr>
        <a:xfrm>
          <a:off x="3088592" y="17298685"/>
          <a:ext cx="4617221" cy="154329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141941</xdr:colOff>
      <xdr:row>0</xdr:row>
      <xdr:rowOff>149411</xdr:rowOff>
    </xdr:from>
    <xdr:to>
      <xdr:col>1</xdr:col>
      <xdr:colOff>1464235</xdr:colOff>
      <xdr:row>4</xdr:row>
      <xdr:rowOff>39449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41941" y="149411"/>
          <a:ext cx="1598706" cy="846273"/>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9C39A-A159-4178-A701-E7135B8546F6}">
  <sheetPr codeName="Sheet11">
    <tabColor rgb="FF339966"/>
  </sheetPr>
  <dimension ref="A2:P349"/>
  <sheetViews>
    <sheetView showGridLines="0" zoomScale="80" zoomScaleNormal="80" workbookViewId="0">
      <selection activeCell="D3" sqref="D3"/>
    </sheetView>
  </sheetViews>
  <sheetFormatPr defaultColWidth="10.28515625" defaultRowHeight="15" outlineLevelRow="4" x14ac:dyDescent="0.25"/>
  <cols>
    <col min="1" max="1" width="0.85546875" style="91" customWidth="1"/>
    <col min="2" max="2" width="3.42578125" style="91" bestFit="1" customWidth="1"/>
    <col min="3" max="3" width="42.42578125" style="91" customWidth="1"/>
    <col min="4" max="4" width="66.85546875" style="91" customWidth="1"/>
    <col min="5" max="5" width="103.5703125" style="91" customWidth="1"/>
    <col min="6" max="6" width="33" style="91" customWidth="1"/>
    <col min="7" max="7" width="31.7109375" style="91" customWidth="1"/>
    <col min="8" max="10" width="10.28515625" style="91"/>
    <col min="11" max="11" width="10.28515625" style="91" customWidth="1"/>
    <col min="12" max="16384" width="10.28515625" style="91"/>
  </cols>
  <sheetData>
    <row r="2" spans="2:16" ht="24" x14ac:dyDescent="0.4">
      <c r="B2" s="90" t="s">
        <v>832</v>
      </c>
    </row>
    <row r="3" spans="2:16" ht="21" x14ac:dyDescent="0.35">
      <c r="B3" s="92"/>
    </row>
    <row r="4" spans="2:16" ht="19.5" thickBot="1" x14ac:dyDescent="0.35">
      <c r="B4" s="93" t="s">
        <v>0</v>
      </c>
      <c r="C4" s="94"/>
      <c r="D4" s="95"/>
      <c r="E4" s="94"/>
      <c r="F4" s="94"/>
      <c r="G4" s="94"/>
      <c r="H4" s="94"/>
      <c r="I4" s="94"/>
      <c r="J4" s="94"/>
      <c r="K4" s="94"/>
      <c r="L4" s="94"/>
      <c r="M4" s="94"/>
      <c r="N4" s="94"/>
      <c r="O4" s="94"/>
      <c r="P4" s="94"/>
    </row>
    <row r="5" spans="2:16" x14ac:dyDescent="0.25">
      <c r="B5" s="96"/>
      <c r="D5" s="97"/>
    </row>
    <row r="6" spans="2:16" x14ac:dyDescent="0.25">
      <c r="B6" s="91">
        <v>1</v>
      </c>
      <c r="C6" s="98" t="s">
        <v>836</v>
      </c>
    </row>
    <row r="7" spans="2:16" x14ac:dyDescent="0.25">
      <c r="B7" s="91">
        <v>2</v>
      </c>
      <c r="C7" s="98" t="s">
        <v>964</v>
      </c>
    </row>
    <row r="8" spans="2:16" x14ac:dyDescent="0.25">
      <c r="B8" s="99" t="s">
        <v>2</v>
      </c>
      <c r="C8" s="98" t="s">
        <v>833</v>
      </c>
    </row>
    <row r="9" spans="2:16" x14ac:dyDescent="0.25">
      <c r="B9" s="99" t="s">
        <v>2</v>
      </c>
      <c r="C9" s="98" t="s">
        <v>837</v>
      </c>
    </row>
    <row r="10" spans="2:16" x14ac:dyDescent="0.25">
      <c r="B10" s="99" t="s">
        <v>2</v>
      </c>
      <c r="C10" s="98" t="s">
        <v>965</v>
      </c>
    </row>
    <row r="11" spans="2:16" x14ac:dyDescent="0.25">
      <c r="B11" s="99" t="s">
        <v>2</v>
      </c>
      <c r="C11" s="98" t="s">
        <v>838</v>
      </c>
    </row>
    <row r="12" spans="2:16" x14ac:dyDescent="0.25">
      <c r="B12" s="99" t="s">
        <v>2</v>
      </c>
      <c r="C12" s="98" t="s">
        <v>839</v>
      </c>
    </row>
    <row r="13" spans="2:16" x14ac:dyDescent="0.25">
      <c r="B13" s="91">
        <v>3</v>
      </c>
      <c r="C13" s="98" t="s">
        <v>966</v>
      </c>
    </row>
    <row r="14" spans="2:16" x14ac:dyDescent="0.25">
      <c r="B14" s="91">
        <v>4</v>
      </c>
      <c r="C14" s="91" t="s">
        <v>4</v>
      </c>
    </row>
    <row r="15" spans="2:16" x14ac:dyDescent="0.25">
      <c r="B15" s="91">
        <v>5</v>
      </c>
      <c r="C15" s="91" t="s">
        <v>967</v>
      </c>
    </row>
    <row r="16" spans="2:16" x14ac:dyDescent="0.25">
      <c r="B16" s="91">
        <v>6</v>
      </c>
      <c r="C16" s="91" t="s">
        <v>1506</v>
      </c>
    </row>
    <row r="18" spans="1:16" ht="19.5" thickBot="1" x14ac:dyDescent="0.35">
      <c r="B18" s="93" t="s">
        <v>6</v>
      </c>
      <c r="C18" s="94"/>
      <c r="D18" s="95"/>
      <c r="E18" s="94"/>
      <c r="F18" s="94"/>
      <c r="G18" s="94"/>
      <c r="H18" s="94"/>
      <c r="I18" s="94"/>
      <c r="J18" s="94"/>
      <c r="K18" s="94"/>
      <c r="L18" s="94"/>
      <c r="M18" s="94"/>
      <c r="N18" s="94"/>
      <c r="O18" s="94"/>
      <c r="P18" s="94"/>
    </row>
    <row r="20" spans="1:16" x14ac:dyDescent="0.25">
      <c r="B20" s="91">
        <v>1</v>
      </c>
      <c r="C20" s="91" t="s">
        <v>7</v>
      </c>
    </row>
    <row r="21" spans="1:16" x14ac:dyDescent="0.25">
      <c r="C21" s="100" t="s">
        <v>8</v>
      </c>
    </row>
    <row r="22" spans="1:16" x14ac:dyDescent="0.25">
      <c r="C22" s="100" t="s">
        <v>968</v>
      </c>
    </row>
    <row r="23" spans="1:16" x14ac:dyDescent="0.25">
      <c r="C23" s="100" t="s">
        <v>969</v>
      </c>
    </row>
    <row r="24" spans="1:16" x14ac:dyDescent="0.25">
      <c r="C24" s="100" t="s">
        <v>970</v>
      </c>
    </row>
    <row r="25" spans="1:16" x14ac:dyDescent="0.25">
      <c r="B25" s="91">
        <v>2</v>
      </c>
      <c r="C25" s="91" t="s">
        <v>971</v>
      </c>
    </row>
    <row r="26" spans="1:16" x14ac:dyDescent="0.25">
      <c r="B26" s="91">
        <v>3</v>
      </c>
      <c r="C26" s="91" t="s">
        <v>972</v>
      </c>
    </row>
    <row r="28" spans="1:16" s="359" customFormat="1" ht="15.75" x14ac:dyDescent="0.25">
      <c r="A28" s="101"/>
      <c r="B28" s="101"/>
      <c r="C28" s="357" t="s">
        <v>10</v>
      </c>
      <c r="D28" s="358" t="s">
        <v>11</v>
      </c>
    </row>
    <row r="30" spans="1:16" x14ac:dyDescent="0.25">
      <c r="C30" s="91" t="s">
        <v>12</v>
      </c>
    </row>
    <row r="31" spans="1:16" outlineLevel="1" x14ac:dyDescent="0.25"/>
    <row r="32" spans="1:16" outlineLevel="1" x14ac:dyDescent="0.25">
      <c r="C32" s="102" t="s">
        <v>13</v>
      </c>
      <c r="D32" s="103" t="s">
        <v>14</v>
      </c>
    </row>
    <row r="33" spans="3:4" ht="60" outlineLevel="1" x14ac:dyDescent="0.25">
      <c r="C33" s="104" t="s">
        <v>15</v>
      </c>
      <c r="D33" s="105" t="s">
        <v>973</v>
      </c>
    </row>
    <row r="34" spans="3:4" outlineLevel="1" x14ac:dyDescent="0.25">
      <c r="C34" s="104" t="s">
        <v>234</v>
      </c>
      <c r="D34" s="105" t="s">
        <v>243</v>
      </c>
    </row>
    <row r="35" spans="3:4" outlineLevel="1" x14ac:dyDescent="0.25">
      <c r="C35" s="104" t="s">
        <v>974</v>
      </c>
      <c r="D35" s="105" t="s">
        <v>975</v>
      </c>
    </row>
    <row r="36" spans="3:4" outlineLevel="1" x14ac:dyDescent="0.25"/>
    <row r="37" spans="3:4" ht="33" customHeight="1" outlineLevel="1" x14ac:dyDescent="0.25">
      <c r="C37" s="106" t="s">
        <v>976</v>
      </c>
      <c r="D37" s="106" t="s">
        <v>977</v>
      </c>
    </row>
    <row r="38" spans="3:4" outlineLevel="2" x14ac:dyDescent="0.25">
      <c r="C38" s="107" t="s">
        <v>978</v>
      </c>
      <c r="D38" s="107" t="s">
        <v>974</v>
      </c>
    </row>
    <row r="39" spans="3:4" outlineLevel="2" x14ac:dyDescent="0.25">
      <c r="C39" s="108" t="s">
        <v>904</v>
      </c>
      <c r="D39" s="108" t="s">
        <v>673</v>
      </c>
    </row>
    <row r="40" spans="3:4" outlineLevel="2" x14ac:dyDescent="0.25">
      <c r="C40" s="108" t="s">
        <v>904</v>
      </c>
      <c r="D40" s="108" t="s">
        <v>669</v>
      </c>
    </row>
    <row r="41" spans="3:4" outlineLevel="2" x14ac:dyDescent="0.25">
      <c r="C41" s="108" t="s">
        <v>904</v>
      </c>
      <c r="D41" s="108" t="s">
        <v>670</v>
      </c>
    </row>
    <row r="42" spans="3:4" outlineLevel="2" x14ac:dyDescent="0.25">
      <c r="C42" s="108" t="s">
        <v>905</v>
      </c>
      <c r="D42" s="108" t="s">
        <v>979</v>
      </c>
    </row>
    <row r="43" spans="3:4" outlineLevel="2" x14ac:dyDescent="0.25">
      <c r="C43" s="108" t="s">
        <v>905</v>
      </c>
      <c r="D43" s="108" t="s">
        <v>980</v>
      </c>
    </row>
    <row r="44" spans="3:4" outlineLevel="2" x14ac:dyDescent="0.25">
      <c r="C44" s="108" t="s">
        <v>905</v>
      </c>
      <c r="D44" s="108" t="s">
        <v>635</v>
      </c>
    </row>
    <row r="45" spans="3:4" outlineLevel="2" x14ac:dyDescent="0.25">
      <c r="C45" s="108" t="s">
        <v>905</v>
      </c>
      <c r="D45" s="108" t="s">
        <v>730</v>
      </c>
    </row>
    <row r="46" spans="3:4" outlineLevel="2" x14ac:dyDescent="0.25">
      <c r="C46" s="108" t="s">
        <v>905</v>
      </c>
      <c r="D46" s="108" t="s">
        <v>675</v>
      </c>
    </row>
    <row r="47" spans="3:4" outlineLevel="2" x14ac:dyDescent="0.25">
      <c r="C47" s="103" t="s">
        <v>981</v>
      </c>
      <c r="D47" s="103" t="s">
        <v>30</v>
      </c>
    </row>
    <row r="48" spans="3:4" outlineLevel="2" x14ac:dyDescent="0.25">
      <c r="C48" s="103" t="s">
        <v>981</v>
      </c>
      <c r="D48" s="103" t="s">
        <v>29</v>
      </c>
    </row>
    <row r="49" spans="3:4" outlineLevel="2" x14ac:dyDescent="0.25">
      <c r="C49" s="103" t="s">
        <v>22</v>
      </c>
      <c r="D49" s="103" t="s">
        <v>291</v>
      </c>
    </row>
    <row r="50" spans="3:4" outlineLevel="2" x14ac:dyDescent="0.25">
      <c r="C50" s="103" t="str">
        <f>C49</f>
        <v>HSE</v>
      </c>
      <c r="D50" s="103" t="s">
        <v>292</v>
      </c>
    </row>
    <row r="51" spans="3:4" outlineLevel="2" x14ac:dyDescent="0.25">
      <c r="C51" s="103" t="s">
        <v>579</v>
      </c>
      <c r="D51" s="103" t="s">
        <v>236</v>
      </c>
    </row>
    <row r="52" spans="3:4" outlineLevel="2" x14ac:dyDescent="0.25">
      <c r="C52" s="103" t="s">
        <v>579</v>
      </c>
      <c r="D52" s="103" t="s">
        <v>32</v>
      </c>
    </row>
    <row r="53" spans="3:4" outlineLevel="2" x14ac:dyDescent="0.25">
      <c r="C53" s="103" t="s">
        <v>902</v>
      </c>
      <c r="D53" s="103" t="s">
        <v>245</v>
      </c>
    </row>
    <row r="54" spans="3:4" outlineLevel="2" x14ac:dyDescent="0.25">
      <c r="C54" s="103" t="s">
        <v>902</v>
      </c>
      <c r="D54" s="103" t="s">
        <v>24</v>
      </c>
    </row>
    <row r="55" spans="3:4" outlineLevel="2" x14ac:dyDescent="0.25">
      <c r="C55" s="103" t="s">
        <v>902</v>
      </c>
      <c r="D55" s="103" t="s">
        <v>19</v>
      </c>
    </row>
    <row r="56" spans="3:4" outlineLevel="2" x14ac:dyDescent="0.25">
      <c r="C56" s="103" t="s">
        <v>902</v>
      </c>
      <c r="D56" s="103" t="s">
        <v>20</v>
      </c>
    </row>
    <row r="57" spans="3:4" outlineLevel="2" x14ac:dyDescent="0.25">
      <c r="C57" s="103" t="s">
        <v>902</v>
      </c>
      <c r="D57" s="103" t="s">
        <v>919</v>
      </c>
    </row>
    <row r="58" spans="3:4" outlineLevel="2" x14ac:dyDescent="0.25">
      <c r="C58" s="103" t="s">
        <v>902</v>
      </c>
      <c r="D58" s="103" t="s">
        <v>1507</v>
      </c>
    </row>
    <row r="59" spans="3:4" outlineLevel="2" x14ac:dyDescent="0.25">
      <c r="C59" s="103" t="s">
        <v>903</v>
      </c>
      <c r="D59" s="103" t="s">
        <v>912</v>
      </c>
    </row>
    <row r="60" spans="3:4" outlineLevel="2" x14ac:dyDescent="0.25">
      <c r="C60" s="103" t="s">
        <v>903</v>
      </c>
      <c r="D60" s="103" t="s">
        <v>1487</v>
      </c>
    </row>
    <row r="61" spans="3:4" outlineLevel="2" x14ac:dyDescent="0.25">
      <c r="C61" s="103" t="s">
        <v>903</v>
      </c>
      <c r="D61" s="103" t="s">
        <v>1488</v>
      </c>
    </row>
    <row r="62" spans="3:4" outlineLevel="2" x14ac:dyDescent="0.25">
      <c r="C62" s="103" t="s">
        <v>1489</v>
      </c>
      <c r="D62" s="103" t="s">
        <v>1189</v>
      </c>
    </row>
    <row r="63" spans="3:4" outlineLevel="2" x14ac:dyDescent="0.25">
      <c r="C63" s="103" t="s">
        <v>1489</v>
      </c>
      <c r="D63" s="103" t="s">
        <v>584</v>
      </c>
    </row>
    <row r="64" spans="3:4" outlineLevel="2" x14ac:dyDescent="0.25">
      <c r="C64" s="103" t="s">
        <v>237</v>
      </c>
      <c r="D64" s="103" t="s">
        <v>1508</v>
      </c>
    </row>
    <row r="65" spans="1:4" outlineLevel="2" x14ac:dyDescent="0.25">
      <c r="C65" s="103" t="s">
        <v>237</v>
      </c>
      <c r="D65" s="103" t="s">
        <v>982</v>
      </c>
    </row>
    <row r="66" spans="1:4" outlineLevel="2" x14ac:dyDescent="0.25">
      <c r="C66" s="103" t="s">
        <v>237</v>
      </c>
      <c r="D66" s="103" t="s">
        <v>1509</v>
      </c>
    </row>
    <row r="67" spans="1:4" outlineLevel="2" x14ac:dyDescent="0.25">
      <c r="C67" s="103" t="s">
        <v>581</v>
      </c>
      <c r="D67" s="103" t="s">
        <v>1450</v>
      </c>
    </row>
    <row r="68" spans="1:4" outlineLevel="2" x14ac:dyDescent="0.25">
      <c r="C68" s="103" t="s">
        <v>581</v>
      </c>
      <c r="D68" s="103" t="s">
        <v>26</v>
      </c>
    </row>
    <row r="69" spans="1:4" outlineLevel="2" x14ac:dyDescent="0.25">
      <c r="C69" s="103" t="s">
        <v>581</v>
      </c>
      <c r="D69" s="103" t="s">
        <v>27</v>
      </c>
    </row>
    <row r="70" spans="1:4" outlineLevel="2" x14ac:dyDescent="0.25">
      <c r="C70" s="103" t="s">
        <v>581</v>
      </c>
      <c r="D70" s="103" t="s">
        <v>28</v>
      </c>
    </row>
    <row r="71" spans="1:4" outlineLevel="2" x14ac:dyDescent="0.25">
      <c r="C71" s="109" t="s">
        <v>239</v>
      </c>
      <c r="D71" s="103" t="s">
        <v>582</v>
      </c>
    </row>
    <row r="72" spans="1:4" outlineLevel="2" x14ac:dyDescent="0.25">
      <c r="C72" s="103" t="s">
        <v>239</v>
      </c>
      <c r="D72" s="103" t="s">
        <v>34</v>
      </c>
    </row>
    <row r="73" spans="1:4" outlineLevel="2" x14ac:dyDescent="0.25">
      <c r="C73" s="103" t="s">
        <v>239</v>
      </c>
      <c r="D73" s="103" t="s">
        <v>35</v>
      </c>
    </row>
    <row r="74" spans="1:4" outlineLevel="1" x14ac:dyDescent="0.25"/>
    <row r="75" spans="1:4" outlineLevel="1" x14ac:dyDescent="0.25">
      <c r="C75" s="91" t="s">
        <v>36</v>
      </c>
    </row>
    <row r="77" spans="1:4" s="359" customFormat="1" ht="15.75" x14ac:dyDescent="0.25">
      <c r="A77" s="101"/>
      <c r="B77" s="101"/>
      <c r="C77" s="357" t="s">
        <v>803</v>
      </c>
      <c r="D77" s="366" t="s">
        <v>1491</v>
      </c>
    </row>
    <row r="79" spans="1:4" x14ac:dyDescent="0.25">
      <c r="C79" s="91" t="s">
        <v>983</v>
      </c>
    </row>
    <row r="80" spans="1:4" x14ac:dyDescent="0.25">
      <c r="C80" s="355" t="s">
        <v>984</v>
      </c>
      <c r="D80" s="110"/>
    </row>
    <row r="81" spans="3:4" outlineLevel="1" x14ac:dyDescent="0.25">
      <c r="C81" s="91" t="s">
        <v>679</v>
      </c>
    </row>
    <row r="82" spans="3:4" outlineLevel="1" x14ac:dyDescent="0.25">
      <c r="C82" s="91" t="s">
        <v>985</v>
      </c>
    </row>
    <row r="83" spans="3:4" outlineLevel="1" x14ac:dyDescent="0.25"/>
    <row r="84" spans="3:4" outlineLevel="1" x14ac:dyDescent="0.25">
      <c r="C84" s="107" t="s">
        <v>986</v>
      </c>
      <c r="D84" s="107" t="s">
        <v>987</v>
      </c>
    </row>
    <row r="85" spans="3:4" ht="60" outlineLevel="1" x14ac:dyDescent="0.25">
      <c r="C85" s="111" t="s">
        <v>681</v>
      </c>
      <c r="D85" s="112" t="s">
        <v>988</v>
      </c>
    </row>
    <row r="86" spans="3:4" ht="45" outlineLevel="1" x14ac:dyDescent="0.25">
      <c r="C86" s="111" t="s">
        <v>338</v>
      </c>
      <c r="D86" s="113" t="s">
        <v>989</v>
      </c>
    </row>
    <row r="87" spans="3:4" ht="75" outlineLevel="1" x14ac:dyDescent="0.25">
      <c r="C87" s="114" t="s">
        <v>683</v>
      </c>
      <c r="D87" s="115" t="s">
        <v>684</v>
      </c>
    </row>
    <row r="88" spans="3:4" ht="48" customHeight="1" outlineLevel="1" x14ac:dyDescent="0.25">
      <c r="C88" s="116" t="s">
        <v>685</v>
      </c>
      <c r="D88" s="117" t="s">
        <v>990</v>
      </c>
    </row>
    <row r="89" spans="3:4" ht="153.75" customHeight="1" outlineLevel="1" x14ac:dyDescent="0.25">
      <c r="C89" s="118"/>
      <c r="D89" s="119" t="e" vm="1">
        <v>#VALUE!</v>
      </c>
    </row>
    <row r="90" spans="3:4" ht="75" outlineLevel="1" x14ac:dyDescent="0.25">
      <c r="C90" s="120" t="s">
        <v>827</v>
      </c>
      <c r="D90" s="121" t="s">
        <v>842</v>
      </c>
    </row>
    <row r="91" spans="3:4" outlineLevel="1" x14ac:dyDescent="0.25">
      <c r="C91" s="122" t="s">
        <v>991</v>
      </c>
      <c r="D91" s="123" t="s">
        <v>992</v>
      </c>
    </row>
    <row r="92" spans="3:4" outlineLevel="1" x14ac:dyDescent="0.25">
      <c r="C92" s="122" t="s">
        <v>993</v>
      </c>
      <c r="D92" s="123" t="s">
        <v>994</v>
      </c>
    </row>
    <row r="93" spans="3:4" outlineLevel="1" x14ac:dyDescent="0.25">
      <c r="C93" s="122" t="s">
        <v>1529</v>
      </c>
      <c r="D93" s="123" t="s">
        <v>995</v>
      </c>
    </row>
    <row r="94" spans="3:4" ht="90" outlineLevel="1" x14ac:dyDescent="0.25">
      <c r="C94" s="124" t="s">
        <v>587</v>
      </c>
      <c r="D94" s="113" t="s">
        <v>996</v>
      </c>
    </row>
    <row r="95" spans="3:4" outlineLevel="1" x14ac:dyDescent="0.25">
      <c r="C95" s="124" t="s">
        <v>588</v>
      </c>
      <c r="D95" s="125" t="s">
        <v>692</v>
      </c>
    </row>
    <row r="96" spans="3:4" outlineLevel="1" x14ac:dyDescent="0.25">
      <c r="C96" s="124" t="s">
        <v>804</v>
      </c>
      <c r="D96" s="125" t="s">
        <v>997</v>
      </c>
    </row>
    <row r="97" spans="3:6" outlineLevel="1" x14ac:dyDescent="0.25">
      <c r="C97" s="124" t="s">
        <v>729</v>
      </c>
      <c r="D97" s="125" t="s">
        <v>805</v>
      </c>
    </row>
    <row r="98" spans="3:6" outlineLevel="1" x14ac:dyDescent="0.25">
      <c r="C98" s="124" t="s">
        <v>717</v>
      </c>
      <c r="D98" s="125" t="s">
        <v>998</v>
      </c>
    </row>
    <row r="99" spans="3:6" outlineLevel="1" x14ac:dyDescent="0.25">
      <c r="C99" s="124" t="s">
        <v>999</v>
      </c>
      <c r="D99" s="125" t="s">
        <v>693</v>
      </c>
    </row>
    <row r="100" spans="3:6" outlineLevel="1" x14ac:dyDescent="0.25">
      <c r="C100" s="124" t="s">
        <v>1000</v>
      </c>
      <c r="D100" s="125" t="s">
        <v>694</v>
      </c>
    </row>
    <row r="101" spans="3:6" outlineLevel="1" x14ac:dyDescent="0.25">
      <c r="C101" s="126" t="s">
        <v>1001</v>
      </c>
      <c r="D101" s="125" t="s">
        <v>1002</v>
      </c>
    </row>
    <row r="102" spans="3:6" outlineLevel="1" x14ac:dyDescent="0.25">
      <c r="C102" s="124" t="s">
        <v>806</v>
      </c>
      <c r="D102" s="125" t="s">
        <v>807</v>
      </c>
    </row>
    <row r="103" spans="3:6" outlineLevel="1" x14ac:dyDescent="0.25"/>
    <row r="104" spans="3:6" outlineLevel="1" x14ac:dyDescent="0.25">
      <c r="C104" s="127" t="s">
        <v>697</v>
      </c>
    </row>
    <row r="105" spans="3:6" outlineLevel="2" x14ac:dyDescent="0.25">
      <c r="C105" s="128" t="s">
        <v>40</v>
      </c>
      <c r="D105" s="107" t="s">
        <v>41</v>
      </c>
      <c r="E105" s="129" t="s">
        <v>1003</v>
      </c>
      <c r="F105" s="130"/>
    </row>
    <row r="106" spans="3:6" outlineLevel="2" x14ac:dyDescent="0.25">
      <c r="C106" s="131" t="s">
        <v>667</v>
      </c>
      <c r="D106" s="132"/>
      <c r="E106" s="133"/>
      <c r="F106" s="134"/>
    </row>
    <row r="107" spans="3:6" outlineLevel="2" x14ac:dyDescent="0.25">
      <c r="C107" s="135">
        <v>15000000</v>
      </c>
      <c r="D107" s="136" t="s">
        <v>638</v>
      </c>
      <c r="E107" s="137" t="s">
        <v>1004</v>
      </c>
      <c r="F107" s="138"/>
    </row>
    <row r="108" spans="3:6" ht="30" outlineLevel="2" x14ac:dyDescent="0.25">
      <c r="C108" s="139">
        <v>15000010</v>
      </c>
      <c r="D108" s="140" t="s">
        <v>639</v>
      </c>
      <c r="E108" s="141" t="s">
        <v>1005</v>
      </c>
      <c r="F108" s="142"/>
    </row>
    <row r="109" spans="3:6" ht="30" outlineLevel="2" x14ac:dyDescent="0.25">
      <c r="C109" s="139">
        <v>15000020</v>
      </c>
      <c r="D109" s="140" t="s">
        <v>640</v>
      </c>
      <c r="E109" s="141" t="s">
        <v>1006</v>
      </c>
      <c r="F109" s="142"/>
    </row>
    <row r="110" spans="3:6" ht="30" outlineLevel="2" x14ac:dyDescent="0.25">
      <c r="C110" s="139">
        <v>15000030</v>
      </c>
      <c r="D110" s="140" t="s">
        <v>641</v>
      </c>
      <c r="E110" s="141" t="s">
        <v>1007</v>
      </c>
      <c r="F110" s="142"/>
    </row>
    <row r="111" spans="3:6" ht="30" outlineLevel="2" x14ac:dyDescent="0.25">
      <c r="C111" s="139">
        <v>15000040</v>
      </c>
      <c r="D111" s="140" t="s">
        <v>642</v>
      </c>
      <c r="E111" s="141" t="s">
        <v>1008</v>
      </c>
      <c r="F111" s="142"/>
    </row>
    <row r="112" spans="3:6" outlineLevel="2" x14ac:dyDescent="0.25">
      <c r="C112" s="139">
        <v>15000050</v>
      </c>
      <c r="D112" s="140" t="s">
        <v>643</v>
      </c>
      <c r="E112" s="141" t="s">
        <v>1009</v>
      </c>
      <c r="F112" s="142"/>
    </row>
    <row r="113" spans="1:6" ht="30" outlineLevel="2" x14ac:dyDescent="0.25">
      <c r="C113" s="139">
        <v>15000060</v>
      </c>
      <c r="D113" s="140" t="s">
        <v>644</v>
      </c>
      <c r="E113" s="141" t="s">
        <v>1010</v>
      </c>
      <c r="F113" s="142"/>
    </row>
    <row r="114" spans="1:6" outlineLevel="2" x14ac:dyDescent="0.25">
      <c r="C114" s="143">
        <v>15000070</v>
      </c>
      <c r="D114" s="144" t="s">
        <v>645</v>
      </c>
      <c r="E114" s="145" t="s">
        <v>1011</v>
      </c>
      <c r="F114" s="142"/>
    </row>
    <row r="115" spans="1:6" outlineLevel="2" x14ac:dyDescent="0.25">
      <c r="C115" s="143">
        <v>15000080</v>
      </c>
      <c r="D115" s="144" t="s">
        <v>646</v>
      </c>
      <c r="E115" s="145" t="s">
        <v>1012</v>
      </c>
      <c r="F115" s="142"/>
    </row>
    <row r="116" spans="1:6" outlineLevel="2" x14ac:dyDescent="0.25">
      <c r="C116" s="143">
        <v>15200000</v>
      </c>
      <c r="D116" s="144" t="s">
        <v>648</v>
      </c>
      <c r="E116" s="145" t="s">
        <v>1013</v>
      </c>
      <c r="F116" s="138"/>
    </row>
    <row r="117" spans="1:6" outlineLevel="2" x14ac:dyDescent="0.25">
      <c r="C117" s="146" t="s">
        <v>1014</v>
      </c>
      <c r="D117" s="147"/>
      <c r="E117" s="148"/>
      <c r="F117" s="134"/>
    </row>
    <row r="118" spans="1:6" ht="30" outlineLevel="2" x14ac:dyDescent="0.25">
      <c r="C118" s="143">
        <v>15020010</v>
      </c>
      <c r="D118" s="144" t="s">
        <v>650</v>
      </c>
      <c r="E118" s="145" t="s">
        <v>1015</v>
      </c>
      <c r="F118" s="142"/>
    </row>
    <row r="119" spans="1:6" ht="30" outlineLevel="2" x14ac:dyDescent="0.25">
      <c r="C119" s="143">
        <v>15020020</v>
      </c>
      <c r="D119" s="144" t="s">
        <v>651</v>
      </c>
      <c r="E119" s="145" t="s">
        <v>1016</v>
      </c>
      <c r="F119" s="142"/>
    </row>
    <row r="120" spans="1:6" ht="30" outlineLevel="2" x14ac:dyDescent="0.25">
      <c r="C120" s="143">
        <v>15020030</v>
      </c>
      <c r="D120" s="144" t="s">
        <v>652</v>
      </c>
      <c r="E120" s="145" t="s">
        <v>1017</v>
      </c>
      <c r="F120" s="142"/>
    </row>
    <row r="121" spans="1:6" outlineLevel="2" x14ac:dyDescent="0.25">
      <c r="C121" s="143">
        <v>15020040</v>
      </c>
      <c r="D121" s="144" t="s">
        <v>653</v>
      </c>
      <c r="E121" s="145" t="s">
        <v>1018</v>
      </c>
      <c r="F121" s="142"/>
    </row>
    <row r="122" spans="1:6" outlineLevel="2" x14ac:dyDescent="0.25">
      <c r="C122" s="143">
        <v>15020080</v>
      </c>
      <c r="D122" s="144" t="s">
        <v>654</v>
      </c>
      <c r="E122" s="145" t="s">
        <v>1019</v>
      </c>
      <c r="F122" s="142"/>
    </row>
    <row r="123" spans="1:6" ht="30" outlineLevel="2" x14ac:dyDescent="0.25">
      <c r="C123" s="149">
        <v>15020090</v>
      </c>
      <c r="D123" s="150" t="s">
        <v>704</v>
      </c>
      <c r="E123" s="151" t="s">
        <v>1020</v>
      </c>
      <c r="F123" s="142"/>
    </row>
    <row r="124" spans="1:6" outlineLevel="2" x14ac:dyDescent="0.25">
      <c r="C124" s="360"/>
      <c r="D124" s="138"/>
      <c r="E124" s="142"/>
      <c r="F124" s="142"/>
    </row>
    <row r="125" spans="1:6" s="363" customFormat="1" ht="15.75" x14ac:dyDescent="0.25">
      <c r="A125" s="152"/>
      <c r="B125" s="152"/>
      <c r="C125" s="361" t="s">
        <v>1497</v>
      </c>
      <c r="D125" s="362" t="s">
        <v>516</v>
      </c>
    </row>
    <row r="127" spans="1:6" outlineLevel="1" x14ac:dyDescent="0.25">
      <c r="C127" s="91" t="s">
        <v>45</v>
      </c>
    </row>
    <row r="128" spans="1:6" outlineLevel="1" x14ac:dyDescent="0.25">
      <c r="C128" s="91" t="s">
        <v>834</v>
      </c>
    </row>
    <row r="129" spans="3:6" outlineLevel="1" x14ac:dyDescent="0.25">
      <c r="C129" s="91" t="s">
        <v>985</v>
      </c>
    </row>
    <row r="130" spans="3:6" outlineLevel="1" x14ac:dyDescent="0.25"/>
    <row r="131" spans="3:6" outlineLevel="1" x14ac:dyDescent="0.25">
      <c r="C131" s="370" t="s">
        <v>1498</v>
      </c>
      <c r="D131" s="370"/>
      <c r="E131" s="370" t="s">
        <v>1499</v>
      </c>
      <c r="F131" s="370"/>
    </row>
    <row r="132" spans="3:6" ht="75" outlineLevel="1" x14ac:dyDescent="0.25">
      <c r="C132" s="153" t="s">
        <v>456</v>
      </c>
      <c r="D132" s="154" t="s">
        <v>1021</v>
      </c>
      <c r="E132" s="153" t="s">
        <v>668</v>
      </c>
      <c r="F132" s="154" t="s">
        <v>1500</v>
      </c>
    </row>
    <row r="133" spans="3:6" ht="49.5" customHeight="1" outlineLevel="1" x14ac:dyDescent="0.25">
      <c r="C133" s="153" t="s">
        <v>460</v>
      </c>
      <c r="D133" s="154" t="s">
        <v>1022</v>
      </c>
      <c r="E133" s="382"/>
      <c r="F133" s="383"/>
    </row>
    <row r="134" spans="3:6" ht="60" outlineLevel="1" x14ac:dyDescent="0.25">
      <c r="C134" s="155" t="s">
        <v>829</v>
      </c>
      <c r="D134" s="156" t="s">
        <v>1023</v>
      </c>
      <c r="E134" s="384"/>
      <c r="F134" s="383"/>
    </row>
    <row r="135" spans="3:6" ht="45" outlineLevel="1" x14ac:dyDescent="0.25">
      <c r="C135" s="155" t="s">
        <v>1024</v>
      </c>
      <c r="D135" s="156" t="s">
        <v>1025</v>
      </c>
      <c r="E135" s="155" t="s">
        <v>1024</v>
      </c>
      <c r="F135" s="156" t="s">
        <v>1025</v>
      </c>
    </row>
    <row r="136" spans="3:6" ht="105" outlineLevel="1" x14ac:dyDescent="0.25">
      <c r="C136" s="153" t="s">
        <v>827</v>
      </c>
      <c r="D136" s="154" t="s">
        <v>1026</v>
      </c>
      <c r="E136" s="153" t="s">
        <v>827</v>
      </c>
      <c r="F136" s="154" t="s">
        <v>1026</v>
      </c>
    </row>
    <row r="137" spans="3:6" ht="45" outlineLevel="1" x14ac:dyDescent="0.25">
      <c r="C137" s="153" t="s">
        <v>830</v>
      </c>
      <c r="D137" s="154" t="s">
        <v>1027</v>
      </c>
      <c r="E137" s="153" t="s">
        <v>830</v>
      </c>
      <c r="F137" s="154" t="s">
        <v>1027</v>
      </c>
    </row>
    <row r="138" spans="3:6" ht="135" outlineLevel="1" x14ac:dyDescent="0.25">
      <c r="C138" s="157" t="s">
        <v>510</v>
      </c>
      <c r="D138" s="154" t="s">
        <v>1028</v>
      </c>
      <c r="E138" s="157" t="s">
        <v>510</v>
      </c>
      <c r="F138" s="154" t="s">
        <v>1028</v>
      </c>
    </row>
    <row r="139" spans="3:6" ht="165" outlineLevel="1" x14ac:dyDescent="0.25">
      <c r="C139" s="157" t="s">
        <v>511</v>
      </c>
      <c r="D139" s="158" t="s">
        <v>1029</v>
      </c>
      <c r="E139" s="157" t="s">
        <v>511</v>
      </c>
      <c r="F139" s="158" t="s">
        <v>1029</v>
      </c>
    </row>
    <row r="140" spans="3:6" ht="30" outlineLevel="1" x14ac:dyDescent="0.25">
      <c r="C140" s="157" t="s">
        <v>512</v>
      </c>
      <c r="D140" s="158" t="s">
        <v>1030</v>
      </c>
      <c r="E140" s="157" t="s">
        <v>512</v>
      </c>
      <c r="F140" s="158" t="s">
        <v>1030</v>
      </c>
    </row>
    <row r="141" spans="3:6" ht="60" outlineLevel="1" x14ac:dyDescent="0.25">
      <c r="C141" s="157" t="s">
        <v>514</v>
      </c>
      <c r="D141" s="158" t="s">
        <v>1031</v>
      </c>
      <c r="E141" s="157" t="s">
        <v>514</v>
      </c>
      <c r="F141" s="158" t="s">
        <v>1031</v>
      </c>
    </row>
    <row r="142" spans="3:6" ht="30" outlineLevel="1" x14ac:dyDescent="0.25">
      <c r="C142" s="157" t="s">
        <v>339</v>
      </c>
      <c r="D142" s="158" t="s">
        <v>1032</v>
      </c>
      <c r="E142" s="157" t="s">
        <v>339</v>
      </c>
      <c r="F142" s="158" t="s">
        <v>1032</v>
      </c>
    </row>
    <row r="143" spans="3:6" ht="60" outlineLevel="1" x14ac:dyDescent="0.25">
      <c r="C143" s="157" t="s">
        <v>513</v>
      </c>
      <c r="D143" s="158" t="s">
        <v>1033</v>
      </c>
      <c r="E143" s="157" t="s">
        <v>513</v>
      </c>
      <c r="F143" s="158" t="s">
        <v>1033</v>
      </c>
    </row>
    <row r="144" spans="3:6" ht="75" outlineLevel="1" x14ac:dyDescent="0.25">
      <c r="C144" s="157" t="s">
        <v>962</v>
      </c>
      <c r="D144" s="158" t="s">
        <v>1034</v>
      </c>
      <c r="E144" s="157" t="s">
        <v>962</v>
      </c>
      <c r="F144" s="158" t="s">
        <v>1034</v>
      </c>
    </row>
    <row r="145" spans="3:7" outlineLevel="1" x14ac:dyDescent="0.25"/>
    <row r="147" spans="3:7" x14ac:dyDescent="0.25">
      <c r="C147" s="127" t="s">
        <v>1045</v>
      </c>
    </row>
    <row r="148" spans="3:7" hidden="1" outlineLevel="2" x14ac:dyDescent="0.25">
      <c r="C148" s="107" t="s">
        <v>1046</v>
      </c>
      <c r="D148" s="107" t="s">
        <v>1047</v>
      </c>
      <c r="E148" s="129" t="s">
        <v>1048</v>
      </c>
      <c r="F148" s="129" t="s">
        <v>1049</v>
      </c>
      <c r="G148" s="129" t="s">
        <v>1050</v>
      </c>
    </row>
    <row r="149" spans="3:7" hidden="1" outlineLevel="4" x14ac:dyDescent="0.25">
      <c r="C149" s="160">
        <v>50200010</v>
      </c>
      <c r="D149" s="141" t="s">
        <v>1051</v>
      </c>
      <c r="E149" s="141" t="s">
        <v>1052</v>
      </c>
      <c r="F149" s="161" t="s">
        <v>463</v>
      </c>
      <c r="G149" s="161" t="s">
        <v>1053</v>
      </c>
    </row>
    <row r="150" spans="3:7" hidden="1" outlineLevel="4" x14ac:dyDescent="0.25">
      <c r="C150" s="160">
        <v>50300010</v>
      </c>
      <c r="D150" s="141" t="s">
        <v>48</v>
      </c>
      <c r="E150" s="141" t="s">
        <v>1054</v>
      </c>
      <c r="F150" s="162" t="s">
        <v>464</v>
      </c>
      <c r="G150" s="162" t="s">
        <v>50</v>
      </c>
    </row>
    <row r="151" spans="3:7" hidden="1" outlineLevel="4" x14ac:dyDescent="0.25">
      <c r="C151" s="160">
        <v>50300020</v>
      </c>
      <c r="D151" s="141" t="s">
        <v>51</v>
      </c>
      <c r="E151" s="141" t="s">
        <v>1055</v>
      </c>
      <c r="F151" s="141" t="s">
        <v>464</v>
      </c>
      <c r="G151" s="162" t="s">
        <v>50</v>
      </c>
    </row>
    <row r="152" spans="3:7" hidden="1" outlineLevel="4" x14ac:dyDescent="0.25">
      <c r="C152" s="160">
        <v>50300030</v>
      </c>
      <c r="D152" s="141" t="s">
        <v>53</v>
      </c>
      <c r="E152" s="141" t="s">
        <v>1056</v>
      </c>
      <c r="F152" s="141" t="s">
        <v>464</v>
      </c>
      <c r="G152" s="162" t="s">
        <v>50</v>
      </c>
    </row>
    <row r="153" spans="3:7" hidden="1" outlineLevel="4" x14ac:dyDescent="0.25">
      <c r="C153" s="160">
        <v>50300040</v>
      </c>
      <c r="D153" s="141" t="s">
        <v>55</v>
      </c>
      <c r="E153" s="141" t="s">
        <v>1057</v>
      </c>
      <c r="F153" s="141" t="s">
        <v>464</v>
      </c>
      <c r="G153" s="162" t="s">
        <v>50</v>
      </c>
    </row>
    <row r="154" spans="3:7" hidden="1" outlineLevel="4" x14ac:dyDescent="0.25">
      <c r="C154" s="160">
        <v>50300050</v>
      </c>
      <c r="D154" s="141" t="s">
        <v>57</v>
      </c>
      <c r="E154" s="141" t="s">
        <v>1058</v>
      </c>
      <c r="F154" s="141" t="s">
        <v>464</v>
      </c>
      <c r="G154" s="162" t="s">
        <v>50</v>
      </c>
    </row>
    <row r="155" spans="3:7" hidden="1" outlineLevel="4" x14ac:dyDescent="0.25">
      <c r="C155" s="160">
        <v>50300060</v>
      </c>
      <c r="D155" s="141" t="s">
        <v>1059</v>
      </c>
      <c r="E155" s="141" t="s">
        <v>1060</v>
      </c>
      <c r="F155" s="141" t="s">
        <v>464</v>
      </c>
      <c r="G155" s="162" t="s">
        <v>50</v>
      </c>
    </row>
    <row r="156" spans="3:7" hidden="1" outlineLevel="4" x14ac:dyDescent="0.25">
      <c r="C156" s="160">
        <v>50300070</v>
      </c>
      <c r="D156" s="141" t="s">
        <v>508</v>
      </c>
      <c r="E156" s="141" t="s">
        <v>1061</v>
      </c>
      <c r="F156" s="145" t="s">
        <v>464</v>
      </c>
      <c r="G156" s="162" t="s">
        <v>50</v>
      </c>
    </row>
    <row r="157" spans="3:7" hidden="1" outlineLevel="4" x14ac:dyDescent="0.25">
      <c r="C157" s="160">
        <v>50300080</v>
      </c>
      <c r="D157" s="141" t="s">
        <v>63</v>
      </c>
      <c r="E157" s="141" t="s">
        <v>1062</v>
      </c>
      <c r="F157" s="145" t="s">
        <v>464</v>
      </c>
      <c r="G157" s="162" t="s">
        <v>50</v>
      </c>
    </row>
    <row r="158" spans="3:7" hidden="1" outlineLevel="4" x14ac:dyDescent="0.25">
      <c r="C158" s="160">
        <v>50300090</v>
      </c>
      <c r="D158" s="141" t="s">
        <v>65</v>
      </c>
      <c r="E158" s="141" t="s">
        <v>1063</v>
      </c>
      <c r="F158" s="145" t="s">
        <v>464</v>
      </c>
      <c r="G158" s="162" t="s">
        <v>50</v>
      </c>
    </row>
    <row r="159" spans="3:7" hidden="1" outlineLevel="4" x14ac:dyDescent="0.25">
      <c r="C159" s="160">
        <v>50300100</v>
      </c>
      <c r="D159" s="141" t="s">
        <v>67</v>
      </c>
      <c r="E159" s="141" t="s">
        <v>1064</v>
      </c>
      <c r="F159" s="145" t="s">
        <v>464</v>
      </c>
      <c r="G159" s="162" t="s">
        <v>50</v>
      </c>
    </row>
    <row r="160" spans="3:7" hidden="1" outlineLevel="4" x14ac:dyDescent="0.25">
      <c r="C160" s="160">
        <v>50300110</v>
      </c>
      <c r="D160" s="141" t="s">
        <v>1065</v>
      </c>
      <c r="E160" s="141" t="s">
        <v>1066</v>
      </c>
      <c r="F160" s="145" t="s">
        <v>464</v>
      </c>
      <c r="G160" s="162" t="s">
        <v>50</v>
      </c>
    </row>
    <row r="161" spans="3:7" hidden="1" outlineLevel="4" x14ac:dyDescent="0.25">
      <c r="C161" s="160">
        <v>50300120</v>
      </c>
      <c r="D161" s="141" t="s">
        <v>1067</v>
      </c>
      <c r="E161" s="141" t="s">
        <v>1068</v>
      </c>
      <c r="F161" s="145" t="s">
        <v>464</v>
      </c>
      <c r="G161" s="162" t="s">
        <v>50</v>
      </c>
    </row>
    <row r="162" spans="3:7" hidden="1" outlineLevel="4" x14ac:dyDescent="0.25">
      <c r="C162" s="160">
        <v>50300990</v>
      </c>
      <c r="D162" s="141" t="s">
        <v>71</v>
      </c>
      <c r="E162" s="141" t="s">
        <v>1069</v>
      </c>
      <c r="F162" s="145" t="s">
        <v>464</v>
      </c>
      <c r="G162" s="162" t="s">
        <v>50</v>
      </c>
    </row>
    <row r="163" spans="3:7" hidden="1" outlineLevel="4" x14ac:dyDescent="0.25">
      <c r="C163" s="160">
        <v>50400010</v>
      </c>
      <c r="D163" s="141" t="s">
        <v>1070</v>
      </c>
      <c r="E163" s="141" t="s">
        <v>1071</v>
      </c>
      <c r="F163" s="145" t="s">
        <v>465</v>
      </c>
      <c r="G163" s="162" t="s">
        <v>50</v>
      </c>
    </row>
    <row r="164" spans="3:7" hidden="1" outlineLevel="4" x14ac:dyDescent="0.25">
      <c r="C164" s="160">
        <v>50500010</v>
      </c>
      <c r="D164" s="141" t="s">
        <v>1072</v>
      </c>
      <c r="E164" s="141" t="s">
        <v>1073</v>
      </c>
      <c r="F164" s="145" t="s">
        <v>466</v>
      </c>
      <c r="G164" s="161" t="s">
        <v>1053</v>
      </c>
    </row>
    <row r="165" spans="3:7" hidden="1" outlineLevel="4" x14ac:dyDescent="0.25">
      <c r="C165" s="160">
        <v>50500020</v>
      </c>
      <c r="D165" s="141" t="s">
        <v>509</v>
      </c>
      <c r="E165" s="141" t="s">
        <v>1074</v>
      </c>
      <c r="F165" s="145" t="s">
        <v>466</v>
      </c>
      <c r="G165" s="161" t="s">
        <v>1053</v>
      </c>
    </row>
    <row r="166" spans="3:7" hidden="1" outlineLevel="4" x14ac:dyDescent="0.25">
      <c r="C166" s="160">
        <v>50500030</v>
      </c>
      <c r="D166" s="141" t="s">
        <v>1075</v>
      </c>
      <c r="E166" s="141" t="s">
        <v>101</v>
      </c>
      <c r="F166" s="145" t="s">
        <v>466</v>
      </c>
      <c r="G166" s="161" t="s">
        <v>1053</v>
      </c>
    </row>
    <row r="167" spans="3:7" hidden="1" outlineLevel="4" x14ac:dyDescent="0.25">
      <c r="C167" s="160">
        <v>50500040</v>
      </c>
      <c r="D167" s="141" t="s">
        <v>111</v>
      </c>
      <c r="E167" s="141" t="s">
        <v>1076</v>
      </c>
      <c r="F167" s="145" t="s">
        <v>466</v>
      </c>
      <c r="G167" s="161" t="s">
        <v>1053</v>
      </c>
    </row>
    <row r="168" spans="3:7" hidden="1" outlineLevel="4" x14ac:dyDescent="0.25">
      <c r="C168" s="160">
        <v>50600010</v>
      </c>
      <c r="D168" s="141" t="s">
        <v>424</v>
      </c>
      <c r="E168" s="141" t="s">
        <v>1077</v>
      </c>
      <c r="F168" s="145" t="s">
        <v>467</v>
      </c>
      <c r="G168" s="161" t="s">
        <v>1053</v>
      </c>
    </row>
    <row r="169" spans="3:7" hidden="1" outlineLevel="4" x14ac:dyDescent="0.25">
      <c r="C169" s="160">
        <v>50600020</v>
      </c>
      <c r="D169" s="141" t="s">
        <v>425</v>
      </c>
      <c r="E169" s="141" t="s">
        <v>1078</v>
      </c>
      <c r="F169" s="145" t="s">
        <v>467</v>
      </c>
      <c r="G169" s="161" t="s">
        <v>1053</v>
      </c>
    </row>
    <row r="170" spans="3:7" hidden="1" outlineLevel="4" x14ac:dyDescent="0.25">
      <c r="C170" s="160">
        <v>50600030</v>
      </c>
      <c r="D170" s="141" t="s">
        <v>1079</v>
      </c>
      <c r="E170" s="141" t="s">
        <v>1080</v>
      </c>
      <c r="F170" s="145" t="s">
        <v>467</v>
      </c>
      <c r="G170" s="161" t="s">
        <v>1053</v>
      </c>
    </row>
    <row r="171" spans="3:7" hidden="1" outlineLevel="4" x14ac:dyDescent="0.25">
      <c r="C171" s="160">
        <v>50600040</v>
      </c>
      <c r="D171" s="141" t="s">
        <v>427</v>
      </c>
      <c r="E171" s="141" t="s">
        <v>1081</v>
      </c>
      <c r="F171" s="145" t="s">
        <v>467</v>
      </c>
      <c r="G171" s="161" t="s">
        <v>1053</v>
      </c>
    </row>
    <row r="172" spans="3:7" hidden="1" outlineLevel="4" x14ac:dyDescent="0.25">
      <c r="C172" s="160">
        <v>50800010</v>
      </c>
      <c r="D172" s="141" t="s">
        <v>1082</v>
      </c>
      <c r="E172" s="141" t="s">
        <v>1083</v>
      </c>
      <c r="F172" s="145" t="s">
        <v>468</v>
      </c>
      <c r="G172" s="161" t="s">
        <v>1053</v>
      </c>
    </row>
    <row r="173" spans="3:7" hidden="1" outlineLevel="4" x14ac:dyDescent="0.25">
      <c r="C173" s="160">
        <v>50800020</v>
      </c>
      <c r="D173" s="141" t="s">
        <v>119</v>
      </c>
      <c r="E173" s="141" t="s">
        <v>1084</v>
      </c>
      <c r="F173" s="145" t="s">
        <v>468</v>
      </c>
      <c r="G173" s="161" t="s">
        <v>1053</v>
      </c>
    </row>
    <row r="174" spans="3:7" hidden="1" outlineLevel="4" x14ac:dyDescent="0.25">
      <c r="C174" s="160">
        <v>50800030</v>
      </c>
      <c r="D174" s="141" t="s">
        <v>122</v>
      </c>
      <c r="E174" s="141" t="s">
        <v>1085</v>
      </c>
      <c r="F174" s="145" t="s">
        <v>468</v>
      </c>
      <c r="G174" s="161" t="s">
        <v>1053</v>
      </c>
    </row>
    <row r="175" spans="3:7" hidden="1" outlineLevel="4" x14ac:dyDescent="0.25">
      <c r="C175" s="160">
        <v>50800040</v>
      </c>
      <c r="D175" s="141" t="s">
        <v>124</v>
      </c>
      <c r="E175" s="141" t="s">
        <v>1086</v>
      </c>
      <c r="F175" s="145" t="s">
        <v>468</v>
      </c>
      <c r="G175" s="161" t="s">
        <v>1053</v>
      </c>
    </row>
    <row r="176" spans="3:7" hidden="1" outlineLevel="4" x14ac:dyDescent="0.25">
      <c r="C176" s="160">
        <v>50800050</v>
      </c>
      <c r="D176" s="141" t="s">
        <v>126</v>
      </c>
      <c r="E176" s="141" t="s">
        <v>1087</v>
      </c>
      <c r="F176" s="145" t="s">
        <v>468</v>
      </c>
      <c r="G176" s="161" t="s">
        <v>1053</v>
      </c>
    </row>
    <row r="177" spans="3:7" hidden="1" outlineLevel="4" x14ac:dyDescent="0.25">
      <c r="C177" s="160">
        <v>50800060</v>
      </c>
      <c r="D177" s="141" t="s">
        <v>128</v>
      </c>
      <c r="E177" s="141" t="s">
        <v>1088</v>
      </c>
      <c r="F177" s="145" t="s">
        <v>468</v>
      </c>
      <c r="G177" s="161" t="s">
        <v>1053</v>
      </c>
    </row>
    <row r="178" spans="3:7" hidden="1" outlineLevel="4" x14ac:dyDescent="0.25">
      <c r="C178" s="160">
        <v>50800070</v>
      </c>
      <c r="D178" s="141" t="s">
        <v>131</v>
      </c>
      <c r="E178" s="141" t="s">
        <v>1089</v>
      </c>
      <c r="F178" s="145" t="s">
        <v>468</v>
      </c>
      <c r="G178" s="161" t="s">
        <v>1053</v>
      </c>
    </row>
    <row r="179" spans="3:7" hidden="1" outlineLevel="4" x14ac:dyDescent="0.25">
      <c r="C179" s="160">
        <v>51100000</v>
      </c>
      <c r="D179" s="141" t="s">
        <v>428</v>
      </c>
      <c r="E179" s="141" t="s">
        <v>1090</v>
      </c>
      <c r="F179" s="145" t="s">
        <v>469</v>
      </c>
      <c r="G179" s="161" t="s">
        <v>1053</v>
      </c>
    </row>
    <row r="180" spans="3:7" hidden="1" outlineLevel="4" x14ac:dyDescent="0.25">
      <c r="C180" s="160">
        <v>51300010</v>
      </c>
      <c r="D180" s="141" t="s">
        <v>438</v>
      </c>
      <c r="E180" s="141" t="s">
        <v>1091</v>
      </c>
      <c r="F180" s="145" t="s">
        <v>471</v>
      </c>
      <c r="G180" s="145" t="s">
        <v>250</v>
      </c>
    </row>
    <row r="181" spans="3:7" hidden="1" outlineLevel="4" x14ac:dyDescent="0.25">
      <c r="C181" s="160">
        <v>51300040</v>
      </c>
      <c r="D181" s="141" t="s">
        <v>441</v>
      </c>
      <c r="E181" s="141" t="s">
        <v>1092</v>
      </c>
      <c r="F181" s="145" t="s">
        <v>471</v>
      </c>
      <c r="G181" s="145" t="s">
        <v>250</v>
      </c>
    </row>
    <row r="182" spans="3:7" hidden="1" outlineLevel="4" x14ac:dyDescent="0.25">
      <c r="C182" s="160">
        <v>51300050</v>
      </c>
      <c r="D182" s="141" t="s">
        <v>442</v>
      </c>
      <c r="E182" s="141" t="s">
        <v>1093</v>
      </c>
      <c r="F182" s="145" t="s">
        <v>471</v>
      </c>
      <c r="G182" s="145" t="s">
        <v>250</v>
      </c>
    </row>
    <row r="183" spans="3:7" hidden="1" outlineLevel="4" x14ac:dyDescent="0.25">
      <c r="C183" s="160">
        <v>51300060</v>
      </c>
      <c r="D183" s="141" t="s">
        <v>443</v>
      </c>
      <c r="E183" s="141" t="s">
        <v>1094</v>
      </c>
      <c r="F183" s="145" t="s">
        <v>471</v>
      </c>
      <c r="G183" s="145" t="s">
        <v>250</v>
      </c>
    </row>
    <row r="184" spans="3:7" hidden="1" outlineLevel="4" x14ac:dyDescent="0.25">
      <c r="C184" s="160">
        <v>51300090</v>
      </c>
      <c r="D184" s="141" t="s">
        <v>446</v>
      </c>
      <c r="E184" s="141" t="s">
        <v>1095</v>
      </c>
      <c r="F184" s="145" t="s">
        <v>471</v>
      </c>
      <c r="G184" s="145" t="s">
        <v>250</v>
      </c>
    </row>
    <row r="185" spans="3:7" hidden="1" outlineLevel="4" x14ac:dyDescent="0.25">
      <c r="C185" s="160">
        <v>51500010</v>
      </c>
      <c r="D185" s="141" t="s">
        <v>1096</v>
      </c>
      <c r="E185" s="141" t="s">
        <v>1097</v>
      </c>
      <c r="F185" s="145" t="s">
        <v>473</v>
      </c>
      <c r="G185" s="161" t="s">
        <v>1053</v>
      </c>
    </row>
    <row r="186" spans="3:7" hidden="1" outlineLevel="4" x14ac:dyDescent="0.25">
      <c r="C186" s="160">
        <v>51600010</v>
      </c>
      <c r="D186" s="141" t="s">
        <v>147</v>
      </c>
      <c r="E186" s="141" t="s">
        <v>1098</v>
      </c>
      <c r="F186" s="145" t="s">
        <v>474</v>
      </c>
      <c r="G186" s="161" t="s">
        <v>1053</v>
      </c>
    </row>
    <row r="187" spans="3:7" hidden="1" outlineLevel="4" x14ac:dyDescent="0.25">
      <c r="C187" s="160">
        <v>51600020</v>
      </c>
      <c r="D187" s="141" t="s">
        <v>148</v>
      </c>
      <c r="E187" s="141" t="s">
        <v>1099</v>
      </c>
      <c r="F187" s="145" t="s">
        <v>474</v>
      </c>
      <c r="G187" s="161" t="s">
        <v>1053</v>
      </c>
    </row>
    <row r="188" spans="3:7" hidden="1" outlineLevel="4" x14ac:dyDescent="0.25">
      <c r="C188" s="160">
        <v>51600030</v>
      </c>
      <c r="D188" s="141" t="s">
        <v>150</v>
      </c>
      <c r="E188" s="141" t="s">
        <v>1100</v>
      </c>
      <c r="F188" s="145" t="s">
        <v>474</v>
      </c>
      <c r="G188" s="161" t="s">
        <v>1053</v>
      </c>
    </row>
    <row r="189" spans="3:7" hidden="1" outlineLevel="4" x14ac:dyDescent="0.25">
      <c r="C189" s="160">
        <v>51600040</v>
      </c>
      <c r="D189" s="141" t="s">
        <v>151</v>
      </c>
      <c r="E189" s="141" t="s">
        <v>1101</v>
      </c>
      <c r="F189" s="145" t="s">
        <v>474</v>
      </c>
      <c r="G189" s="161" t="s">
        <v>1053</v>
      </c>
    </row>
    <row r="190" spans="3:7" hidden="1" outlineLevel="4" x14ac:dyDescent="0.25">
      <c r="C190" s="160">
        <v>51600050</v>
      </c>
      <c r="D190" s="141" t="s">
        <v>449</v>
      </c>
      <c r="E190" s="141" t="s">
        <v>1102</v>
      </c>
      <c r="F190" s="145" t="s">
        <v>474</v>
      </c>
      <c r="G190" s="161" t="s">
        <v>1053</v>
      </c>
    </row>
    <row r="191" spans="3:7" hidden="1" outlineLevel="4" x14ac:dyDescent="0.25">
      <c r="C191" s="160">
        <v>51600070</v>
      </c>
      <c r="D191" s="141" t="s">
        <v>152</v>
      </c>
      <c r="E191" s="141" t="s">
        <v>1103</v>
      </c>
      <c r="F191" s="145" t="s">
        <v>474</v>
      </c>
      <c r="G191" s="161" t="s">
        <v>1053</v>
      </c>
    </row>
    <row r="192" spans="3:7" hidden="1" outlineLevel="4" x14ac:dyDescent="0.25">
      <c r="C192" s="160">
        <v>51700010</v>
      </c>
      <c r="D192" s="141" t="s">
        <v>153</v>
      </c>
      <c r="E192" s="141" t="s">
        <v>1104</v>
      </c>
      <c r="F192" s="145" t="s">
        <v>475</v>
      </c>
      <c r="G192" s="161" t="s">
        <v>1053</v>
      </c>
    </row>
    <row r="193" spans="3:7" hidden="1" outlineLevel="4" x14ac:dyDescent="0.25">
      <c r="C193" s="160">
        <v>51700030</v>
      </c>
      <c r="D193" s="141" t="s">
        <v>155</v>
      </c>
      <c r="E193" s="141" t="s">
        <v>1105</v>
      </c>
      <c r="F193" s="145" t="s">
        <v>475</v>
      </c>
      <c r="G193" s="161" t="s">
        <v>1053</v>
      </c>
    </row>
    <row r="194" spans="3:7" hidden="1" outlineLevel="4" x14ac:dyDescent="0.25">
      <c r="C194" s="160">
        <v>51700040</v>
      </c>
      <c r="D194" s="141" t="s">
        <v>157</v>
      </c>
      <c r="E194" s="141" t="s">
        <v>1106</v>
      </c>
      <c r="F194" s="145" t="s">
        <v>475</v>
      </c>
      <c r="G194" s="161" t="s">
        <v>1053</v>
      </c>
    </row>
    <row r="195" spans="3:7" hidden="1" outlineLevel="4" x14ac:dyDescent="0.25">
      <c r="C195" s="160">
        <v>51700050</v>
      </c>
      <c r="D195" s="141" t="s">
        <v>159</v>
      </c>
      <c r="E195" s="141" t="s">
        <v>1107</v>
      </c>
      <c r="F195" s="145" t="s">
        <v>475</v>
      </c>
      <c r="G195" s="161" t="s">
        <v>1053</v>
      </c>
    </row>
    <row r="196" spans="3:7" hidden="1" outlineLevel="4" x14ac:dyDescent="0.25">
      <c r="C196" s="160">
        <v>51700060</v>
      </c>
      <c r="D196" s="141" t="s">
        <v>161</v>
      </c>
      <c r="E196" s="141" t="s">
        <v>1108</v>
      </c>
      <c r="F196" s="145" t="s">
        <v>475</v>
      </c>
      <c r="G196" s="161" t="s">
        <v>1053</v>
      </c>
    </row>
    <row r="197" spans="3:7" hidden="1" outlineLevel="4" x14ac:dyDescent="0.25">
      <c r="C197" s="160">
        <v>51700070</v>
      </c>
      <c r="D197" s="141" t="s">
        <v>163</v>
      </c>
      <c r="E197" s="141" t="s">
        <v>1109</v>
      </c>
      <c r="F197" s="145" t="s">
        <v>475</v>
      </c>
      <c r="G197" s="161" t="s">
        <v>1053</v>
      </c>
    </row>
    <row r="198" spans="3:7" hidden="1" outlineLevel="4" x14ac:dyDescent="0.25">
      <c r="C198" s="160">
        <v>51800010</v>
      </c>
      <c r="D198" s="141" t="s">
        <v>165</v>
      </c>
      <c r="E198" s="141" t="s">
        <v>1110</v>
      </c>
      <c r="F198" s="145" t="s">
        <v>476</v>
      </c>
      <c r="G198" s="161" t="s">
        <v>1053</v>
      </c>
    </row>
    <row r="199" spans="3:7" hidden="1" outlineLevel="4" x14ac:dyDescent="0.25">
      <c r="C199" s="160">
        <v>51800020</v>
      </c>
      <c r="D199" s="141" t="s">
        <v>168</v>
      </c>
      <c r="E199" s="141" t="s">
        <v>1111</v>
      </c>
      <c r="F199" s="145" t="s">
        <v>476</v>
      </c>
      <c r="G199" s="161" t="s">
        <v>1053</v>
      </c>
    </row>
    <row r="200" spans="3:7" hidden="1" outlineLevel="4" x14ac:dyDescent="0.25">
      <c r="C200" s="160">
        <v>51800030</v>
      </c>
      <c r="D200" s="141" t="s">
        <v>170</v>
      </c>
      <c r="E200" s="141" t="s">
        <v>1112</v>
      </c>
      <c r="F200" s="145" t="s">
        <v>476</v>
      </c>
      <c r="G200" s="161" t="s">
        <v>1053</v>
      </c>
    </row>
    <row r="201" spans="3:7" hidden="1" outlineLevel="4" x14ac:dyDescent="0.25">
      <c r="C201" s="160">
        <v>51800090</v>
      </c>
      <c r="D201" s="141" t="s">
        <v>172</v>
      </c>
      <c r="E201" s="141" t="s">
        <v>1113</v>
      </c>
      <c r="F201" s="145" t="s">
        <v>476</v>
      </c>
      <c r="G201" s="161" t="s">
        <v>1053</v>
      </c>
    </row>
    <row r="202" spans="3:7" hidden="1" outlineLevel="4" x14ac:dyDescent="0.25">
      <c r="C202" s="160">
        <v>51900010</v>
      </c>
      <c r="D202" s="141" t="s">
        <v>174</v>
      </c>
      <c r="E202" s="141" t="s">
        <v>1114</v>
      </c>
      <c r="F202" s="145" t="s">
        <v>340</v>
      </c>
      <c r="G202" s="161" t="s">
        <v>1053</v>
      </c>
    </row>
    <row r="203" spans="3:7" hidden="1" outlineLevel="4" x14ac:dyDescent="0.25">
      <c r="C203" s="160">
        <v>51900020</v>
      </c>
      <c r="D203" s="141" t="s">
        <v>177</v>
      </c>
      <c r="E203" s="141" t="s">
        <v>1115</v>
      </c>
      <c r="F203" s="145" t="s">
        <v>340</v>
      </c>
      <c r="G203" s="161" t="s">
        <v>1053</v>
      </c>
    </row>
    <row r="204" spans="3:7" hidden="1" outlineLevel="4" x14ac:dyDescent="0.25">
      <c r="C204" s="160">
        <v>51900030</v>
      </c>
      <c r="D204" s="141" t="s">
        <v>180</v>
      </c>
      <c r="E204" s="141" t="s">
        <v>1116</v>
      </c>
      <c r="F204" s="145" t="s">
        <v>340</v>
      </c>
      <c r="G204" s="161" t="s">
        <v>1053</v>
      </c>
    </row>
    <row r="205" spans="3:7" hidden="1" outlineLevel="4" x14ac:dyDescent="0.25">
      <c r="C205" s="160">
        <v>51900040</v>
      </c>
      <c r="D205" s="141" t="s">
        <v>182</v>
      </c>
      <c r="E205" s="141" t="s">
        <v>1117</v>
      </c>
      <c r="F205" s="145" t="s">
        <v>340</v>
      </c>
      <c r="G205" s="161" t="s">
        <v>1053</v>
      </c>
    </row>
    <row r="206" spans="3:7" hidden="1" outlineLevel="4" x14ac:dyDescent="0.25">
      <c r="C206" s="160">
        <v>51900090</v>
      </c>
      <c r="D206" s="141" t="s">
        <v>184</v>
      </c>
      <c r="E206" s="141" t="s">
        <v>1118</v>
      </c>
      <c r="F206" s="145" t="s">
        <v>340</v>
      </c>
      <c r="G206" s="161" t="s">
        <v>1053</v>
      </c>
    </row>
    <row r="207" spans="3:7" hidden="1" outlineLevel="4" x14ac:dyDescent="0.25">
      <c r="C207" s="160">
        <v>52100010</v>
      </c>
      <c r="D207" s="141" t="s">
        <v>195</v>
      </c>
      <c r="E207" s="141" t="s">
        <v>196</v>
      </c>
      <c r="F207" s="145" t="s">
        <v>478</v>
      </c>
      <c r="G207" s="161" t="s">
        <v>1053</v>
      </c>
    </row>
    <row r="208" spans="3:7" hidden="1" outlineLevel="4" x14ac:dyDescent="0.25">
      <c r="C208" s="160">
        <v>52100020</v>
      </c>
      <c r="D208" s="141" t="s">
        <v>198</v>
      </c>
      <c r="E208" s="141" t="s">
        <v>1119</v>
      </c>
      <c r="F208" s="145" t="s">
        <v>478</v>
      </c>
      <c r="G208" s="161" t="s">
        <v>1053</v>
      </c>
    </row>
    <row r="209" spans="3:7" hidden="1" outlineLevel="4" x14ac:dyDescent="0.25">
      <c r="C209" s="160">
        <v>52100030</v>
      </c>
      <c r="D209" s="141" t="s">
        <v>200</v>
      </c>
      <c r="E209" s="141" t="s">
        <v>201</v>
      </c>
      <c r="F209" s="145" t="s">
        <v>478</v>
      </c>
      <c r="G209" s="161" t="s">
        <v>1053</v>
      </c>
    </row>
    <row r="210" spans="3:7" hidden="1" outlineLevel="4" x14ac:dyDescent="0.25">
      <c r="C210" s="160">
        <v>52100040</v>
      </c>
      <c r="D210" s="141" t="s">
        <v>202</v>
      </c>
      <c r="E210" s="141" t="s">
        <v>203</v>
      </c>
      <c r="F210" s="145" t="s">
        <v>478</v>
      </c>
      <c r="G210" s="161" t="s">
        <v>1053</v>
      </c>
    </row>
    <row r="211" spans="3:7" hidden="1" outlineLevel="4" x14ac:dyDescent="0.25">
      <c r="C211" s="160">
        <v>52100050</v>
      </c>
      <c r="D211" s="141" t="s">
        <v>204</v>
      </c>
      <c r="E211" s="141" t="s">
        <v>1120</v>
      </c>
      <c r="F211" s="145" t="s">
        <v>478</v>
      </c>
      <c r="G211" s="161" t="s">
        <v>1053</v>
      </c>
    </row>
    <row r="212" spans="3:7" ht="30" hidden="1" outlineLevel="4" x14ac:dyDescent="0.25">
      <c r="C212" s="160">
        <v>52200010</v>
      </c>
      <c r="D212" s="141" t="s">
        <v>206</v>
      </c>
      <c r="E212" s="141" t="s">
        <v>207</v>
      </c>
      <c r="F212" s="145" t="s">
        <v>479</v>
      </c>
      <c r="G212" s="161" t="s">
        <v>1053</v>
      </c>
    </row>
    <row r="213" spans="3:7" ht="30" hidden="1" outlineLevel="4" x14ac:dyDescent="0.25">
      <c r="C213" s="160">
        <v>52200020</v>
      </c>
      <c r="D213" s="141" t="s">
        <v>208</v>
      </c>
      <c r="E213" s="141" t="s">
        <v>209</v>
      </c>
      <c r="F213" s="145" t="s">
        <v>479</v>
      </c>
      <c r="G213" s="161" t="s">
        <v>1053</v>
      </c>
    </row>
    <row r="214" spans="3:7" hidden="1" outlineLevel="4" x14ac:dyDescent="0.25">
      <c r="C214" s="160">
        <v>52300010</v>
      </c>
      <c r="D214" s="141" t="s">
        <v>210</v>
      </c>
      <c r="E214" s="141" t="s">
        <v>1121</v>
      </c>
      <c r="F214" s="145" t="s">
        <v>480</v>
      </c>
      <c r="G214" s="161" t="s">
        <v>1053</v>
      </c>
    </row>
    <row r="215" spans="3:7" ht="30" hidden="1" outlineLevel="4" x14ac:dyDescent="0.25">
      <c r="C215" s="160">
        <v>52300020</v>
      </c>
      <c r="D215" s="141" t="s">
        <v>212</v>
      </c>
      <c r="E215" s="141" t="s">
        <v>1122</v>
      </c>
      <c r="F215" s="145" t="s">
        <v>480</v>
      </c>
      <c r="G215" s="161" t="s">
        <v>1053</v>
      </c>
    </row>
    <row r="216" spans="3:7" hidden="1" outlineLevel="4" x14ac:dyDescent="0.25">
      <c r="C216" s="160">
        <v>52400030</v>
      </c>
      <c r="D216" s="141" t="s">
        <v>214</v>
      </c>
      <c r="E216" s="141" t="s">
        <v>1123</v>
      </c>
      <c r="F216" s="145" t="s">
        <v>481</v>
      </c>
      <c r="G216" s="161" t="s">
        <v>1053</v>
      </c>
    </row>
    <row r="217" spans="3:7" hidden="1" outlineLevel="4" x14ac:dyDescent="0.25">
      <c r="C217" s="160">
        <v>52400040</v>
      </c>
      <c r="D217" s="141" t="s">
        <v>216</v>
      </c>
      <c r="E217" s="141" t="s">
        <v>1124</v>
      </c>
      <c r="F217" s="145" t="s">
        <v>481</v>
      </c>
      <c r="G217" s="161" t="s">
        <v>1053</v>
      </c>
    </row>
    <row r="218" spans="3:7" hidden="1" outlineLevel="4" x14ac:dyDescent="0.25">
      <c r="C218" s="160">
        <v>52400060</v>
      </c>
      <c r="D218" s="141" t="s">
        <v>452</v>
      </c>
      <c r="E218" s="141" t="s">
        <v>1125</v>
      </c>
      <c r="F218" s="145" t="s">
        <v>481</v>
      </c>
      <c r="G218" s="161" t="s">
        <v>1053</v>
      </c>
    </row>
    <row r="219" spans="3:7" hidden="1" outlineLevel="4" x14ac:dyDescent="0.25">
      <c r="C219" s="160">
        <v>52500010</v>
      </c>
      <c r="D219" s="141" t="s">
        <v>218</v>
      </c>
      <c r="E219" s="141" t="s">
        <v>1126</v>
      </c>
      <c r="F219" s="145" t="s">
        <v>218</v>
      </c>
      <c r="G219" s="161" t="s">
        <v>1053</v>
      </c>
    </row>
    <row r="220" spans="3:7" hidden="1" outlineLevel="4" x14ac:dyDescent="0.25">
      <c r="C220" s="160">
        <v>52600020</v>
      </c>
      <c r="D220" s="141" t="s">
        <v>223</v>
      </c>
      <c r="E220" s="141" t="s">
        <v>1127</v>
      </c>
      <c r="F220" s="145" t="s">
        <v>482</v>
      </c>
      <c r="G220" s="161" t="s">
        <v>1053</v>
      </c>
    </row>
    <row r="221" spans="3:7" hidden="1" outlineLevel="4" x14ac:dyDescent="0.25">
      <c r="C221" s="160">
        <v>52600030</v>
      </c>
      <c r="D221" s="141" t="s">
        <v>226</v>
      </c>
      <c r="E221" s="141" t="s">
        <v>1128</v>
      </c>
      <c r="F221" s="145" t="s">
        <v>482</v>
      </c>
      <c r="G221" s="161" t="s">
        <v>1053</v>
      </c>
    </row>
    <row r="222" spans="3:7" hidden="1" outlineLevel="4" x14ac:dyDescent="0.25">
      <c r="C222" s="160">
        <v>52900010</v>
      </c>
      <c r="D222" s="141" t="s">
        <v>228</v>
      </c>
      <c r="E222" s="141" t="s">
        <v>1129</v>
      </c>
      <c r="F222" s="145" t="s">
        <v>483</v>
      </c>
      <c r="G222" s="161" t="s">
        <v>1053</v>
      </c>
    </row>
    <row r="223" spans="3:7" hidden="1" outlineLevel="4" x14ac:dyDescent="0.25">
      <c r="C223" s="160">
        <v>52900020</v>
      </c>
      <c r="D223" s="141" t="s">
        <v>230</v>
      </c>
      <c r="E223" s="141" t="s">
        <v>1130</v>
      </c>
      <c r="F223" s="145" t="s">
        <v>483</v>
      </c>
      <c r="G223" s="161" t="s">
        <v>1053</v>
      </c>
    </row>
    <row r="224" spans="3:7" hidden="1" outlineLevel="4" x14ac:dyDescent="0.25">
      <c r="C224" s="160">
        <v>53100010</v>
      </c>
      <c r="D224" s="141" t="s">
        <v>455</v>
      </c>
      <c r="E224" s="141" t="s">
        <v>1131</v>
      </c>
      <c r="F224" s="145" t="s">
        <v>455</v>
      </c>
      <c r="G224" s="161" t="s">
        <v>1053</v>
      </c>
    </row>
    <row r="225" spans="3:7" hidden="1" outlineLevel="4" x14ac:dyDescent="0.25">
      <c r="C225" s="163"/>
      <c r="D225" s="150"/>
      <c r="E225" s="151"/>
      <c r="F225" s="151"/>
      <c r="G225" s="151"/>
    </row>
    <row r="226" spans="3:7" collapsed="1" x14ac:dyDescent="0.25"/>
    <row r="228" spans="3:7" x14ac:dyDescent="0.25">
      <c r="C228" s="127" t="s">
        <v>1132</v>
      </c>
    </row>
    <row r="229" spans="3:7" x14ac:dyDescent="0.25">
      <c r="C229" s="107" t="s">
        <v>1046</v>
      </c>
      <c r="D229" s="107" t="s">
        <v>1047</v>
      </c>
      <c r="E229" s="129" t="s">
        <v>1048</v>
      </c>
      <c r="F229" s="129" t="s">
        <v>1049</v>
      </c>
      <c r="G229" s="129" t="s">
        <v>1050</v>
      </c>
    </row>
    <row r="230" spans="3:7" x14ac:dyDescent="0.25">
      <c r="C230" s="160">
        <v>60100010</v>
      </c>
      <c r="D230" s="141" t="s">
        <v>73</v>
      </c>
      <c r="E230" s="141" t="s">
        <v>1133</v>
      </c>
      <c r="F230" s="161" t="s">
        <v>485</v>
      </c>
      <c r="G230" s="161" t="s">
        <v>50</v>
      </c>
    </row>
    <row r="231" spans="3:7" x14ac:dyDescent="0.25">
      <c r="C231" s="160">
        <v>60100020</v>
      </c>
      <c r="D231" s="141" t="s">
        <v>75</v>
      </c>
      <c r="E231" s="141" t="s">
        <v>1134</v>
      </c>
      <c r="F231" s="162" t="s">
        <v>485</v>
      </c>
      <c r="G231" s="162" t="s">
        <v>50</v>
      </c>
    </row>
    <row r="232" spans="3:7" x14ac:dyDescent="0.25">
      <c r="C232" s="160">
        <v>60100030</v>
      </c>
      <c r="D232" s="141" t="s">
        <v>77</v>
      </c>
      <c r="E232" s="141" t="s">
        <v>1135</v>
      </c>
      <c r="F232" s="141" t="s">
        <v>485</v>
      </c>
      <c r="G232" s="162" t="s">
        <v>50</v>
      </c>
    </row>
    <row r="233" spans="3:7" x14ac:dyDescent="0.25">
      <c r="C233" s="160">
        <v>60100040</v>
      </c>
      <c r="D233" s="141" t="s">
        <v>79</v>
      </c>
      <c r="E233" s="141" t="s">
        <v>1136</v>
      </c>
      <c r="F233" s="141" t="s">
        <v>485</v>
      </c>
      <c r="G233" s="162" t="s">
        <v>50</v>
      </c>
    </row>
    <row r="234" spans="3:7" x14ac:dyDescent="0.25">
      <c r="C234" s="160">
        <v>60100050</v>
      </c>
      <c r="D234" s="141" t="s">
        <v>81</v>
      </c>
      <c r="E234" s="141" t="s">
        <v>1137</v>
      </c>
      <c r="F234" s="141" t="s">
        <v>485</v>
      </c>
      <c r="G234" s="162" t="s">
        <v>50</v>
      </c>
    </row>
    <row r="235" spans="3:7" x14ac:dyDescent="0.25">
      <c r="C235" s="160">
        <v>60100060</v>
      </c>
      <c r="D235" s="141" t="s">
        <v>83</v>
      </c>
      <c r="E235" s="141" t="s">
        <v>1138</v>
      </c>
      <c r="F235" s="141" t="s">
        <v>485</v>
      </c>
      <c r="G235" s="162" t="s">
        <v>50</v>
      </c>
    </row>
    <row r="236" spans="3:7" x14ac:dyDescent="0.25">
      <c r="C236" s="160">
        <v>60100070</v>
      </c>
      <c r="D236" s="141" t="s">
        <v>85</v>
      </c>
      <c r="E236" s="141" t="s">
        <v>1139</v>
      </c>
      <c r="F236" s="141" t="s">
        <v>485</v>
      </c>
      <c r="G236" s="162" t="s">
        <v>50</v>
      </c>
    </row>
    <row r="237" spans="3:7" x14ac:dyDescent="0.25">
      <c r="C237" s="160">
        <v>60100080</v>
      </c>
      <c r="D237" s="141" t="s">
        <v>87</v>
      </c>
      <c r="E237" s="141" t="s">
        <v>1140</v>
      </c>
      <c r="F237" s="145" t="s">
        <v>485</v>
      </c>
      <c r="G237" s="162" t="s">
        <v>50</v>
      </c>
    </row>
    <row r="238" spans="3:7" x14ac:dyDescent="0.25">
      <c r="C238" s="160">
        <v>60100090</v>
      </c>
      <c r="D238" s="141" t="s">
        <v>89</v>
      </c>
      <c r="E238" s="141" t="s">
        <v>1141</v>
      </c>
      <c r="F238" s="145" t="s">
        <v>485</v>
      </c>
      <c r="G238" s="162" t="s">
        <v>50</v>
      </c>
    </row>
    <row r="239" spans="3:7" x14ac:dyDescent="0.25">
      <c r="C239" s="160">
        <v>60100100</v>
      </c>
      <c r="D239" s="141" t="s">
        <v>91</v>
      </c>
      <c r="E239" s="141" t="s">
        <v>1142</v>
      </c>
      <c r="F239" s="145" t="s">
        <v>485</v>
      </c>
      <c r="G239" s="162" t="s">
        <v>50</v>
      </c>
    </row>
    <row r="240" spans="3:7" x14ac:dyDescent="0.25">
      <c r="C240" s="160">
        <v>60100110</v>
      </c>
      <c r="D240" s="141" t="s">
        <v>93</v>
      </c>
      <c r="E240" s="141" t="s">
        <v>1143</v>
      </c>
      <c r="F240" s="145" t="s">
        <v>485</v>
      </c>
      <c r="G240" s="162" t="s">
        <v>50</v>
      </c>
    </row>
    <row r="241" spans="3:7" x14ac:dyDescent="0.25">
      <c r="C241" s="160">
        <v>60100120</v>
      </c>
      <c r="D241" s="141" t="s">
        <v>1144</v>
      </c>
      <c r="E241" s="141" t="s">
        <v>1136</v>
      </c>
      <c r="F241" s="145" t="s">
        <v>485</v>
      </c>
      <c r="G241" s="162" t="s">
        <v>50</v>
      </c>
    </row>
    <row r="242" spans="3:7" x14ac:dyDescent="0.25">
      <c r="C242" s="160">
        <v>60100990</v>
      </c>
      <c r="D242" s="141" t="s">
        <v>95</v>
      </c>
      <c r="E242" s="141" t="s">
        <v>1145</v>
      </c>
      <c r="F242" s="145" t="s">
        <v>485</v>
      </c>
      <c r="G242" s="162" t="s">
        <v>50</v>
      </c>
    </row>
    <row r="243" spans="3:7" x14ac:dyDescent="0.25">
      <c r="C243" s="160">
        <v>60200010</v>
      </c>
      <c r="D243" s="141" t="s">
        <v>97</v>
      </c>
      <c r="E243" s="141" t="s">
        <v>98</v>
      </c>
      <c r="F243" s="145" t="s">
        <v>465</v>
      </c>
      <c r="G243" s="162" t="s">
        <v>50</v>
      </c>
    </row>
    <row r="244" spans="3:7" x14ac:dyDescent="0.25">
      <c r="C244" s="160">
        <v>60300010</v>
      </c>
      <c r="D244" s="141" t="s">
        <v>100</v>
      </c>
      <c r="E244" s="141" t="s">
        <v>101</v>
      </c>
      <c r="F244" s="145" t="s">
        <v>486</v>
      </c>
      <c r="G244" s="162" t="s">
        <v>50</v>
      </c>
    </row>
    <row r="245" spans="3:7" x14ac:dyDescent="0.25">
      <c r="C245" s="160">
        <v>60600010</v>
      </c>
      <c r="D245" s="141" t="s">
        <v>424</v>
      </c>
      <c r="E245" s="141" t="s">
        <v>1146</v>
      </c>
      <c r="F245" s="145" t="s">
        <v>467</v>
      </c>
      <c r="G245" s="161" t="s">
        <v>106</v>
      </c>
    </row>
    <row r="246" spans="3:7" x14ac:dyDescent="0.25">
      <c r="C246" s="160">
        <v>60600020</v>
      </c>
      <c r="D246" s="141" t="s">
        <v>425</v>
      </c>
      <c r="E246" s="141" t="s">
        <v>1147</v>
      </c>
      <c r="F246" s="145" t="s">
        <v>467</v>
      </c>
      <c r="G246" s="161" t="s">
        <v>106</v>
      </c>
    </row>
    <row r="247" spans="3:7" ht="18" customHeight="1" x14ac:dyDescent="0.25">
      <c r="C247" s="160">
        <v>60600030</v>
      </c>
      <c r="D247" s="141" t="s">
        <v>426</v>
      </c>
      <c r="E247" s="141" t="s">
        <v>1148</v>
      </c>
      <c r="F247" s="145" t="s">
        <v>467</v>
      </c>
      <c r="G247" s="161" t="s">
        <v>106</v>
      </c>
    </row>
    <row r="248" spans="3:7" ht="24.95" customHeight="1" x14ac:dyDescent="0.25">
      <c r="C248" s="160">
        <v>60600050</v>
      </c>
      <c r="D248" s="141" t="s">
        <v>113</v>
      </c>
      <c r="E248" s="141" t="s">
        <v>1510</v>
      </c>
      <c r="F248" s="145" t="s">
        <v>467</v>
      </c>
      <c r="G248" s="161" t="s">
        <v>106</v>
      </c>
    </row>
    <row r="249" spans="3:7" ht="18" customHeight="1" x14ac:dyDescent="0.25">
      <c r="C249" s="160">
        <v>60700010</v>
      </c>
      <c r="D249" s="141" t="s">
        <v>115</v>
      </c>
      <c r="E249" s="141" t="s">
        <v>1511</v>
      </c>
      <c r="F249" s="145" t="s">
        <v>115</v>
      </c>
      <c r="G249" s="161" t="s">
        <v>106</v>
      </c>
    </row>
    <row r="250" spans="3:7" x14ac:dyDescent="0.25">
      <c r="C250" s="160">
        <v>60800010</v>
      </c>
      <c r="D250" s="141" t="s">
        <v>117</v>
      </c>
      <c r="E250" s="141" t="s">
        <v>1083</v>
      </c>
      <c r="F250" s="145" t="s">
        <v>487</v>
      </c>
      <c r="G250" s="161" t="s">
        <v>1053</v>
      </c>
    </row>
    <row r="251" spans="3:7" x14ac:dyDescent="0.25">
      <c r="C251" s="160">
        <v>60800020</v>
      </c>
      <c r="D251" s="141" t="s">
        <v>119</v>
      </c>
      <c r="E251" s="141" t="s">
        <v>1084</v>
      </c>
      <c r="F251" s="145" t="s">
        <v>487</v>
      </c>
      <c r="G251" s="161" t="s">
        <v>1053</v>
      </c>
    </row>
    <row r="252" spans="3:7" x14ac:dyDescent="0.25">
      <c r="C252" s="160">
        <v>60800030</v>
      </c>
      <c r="D252" s="141" t="s">
        <v>122</v>
      </c>
      <c r="E252" s="141" t="s">
        <v>1085</v>
      </c>
      <c r="F252" s="145" t="s">
        <v>487</v>
      </c>
      <c r="G252" s="161" t="s">
        <v>1053</v>
      </c>
    </row>
    <row r="253" spans="3:7" x14ac:dyDescent="0.25">
      <c r="C253" s="160">
        <v>60800040</v>
      </c>
      <c r="D253" s="141" t="s">
        <v>124</v>
      </c>
      <c r="E253" s="141" t="s">
        <v>1086</v>
      </c>
      <c r="F253" s="145" t="s">
        <v>487</v>
      </c>
      <c r="G253" s="161" t="s">
        <v>1053</v>
      </c>
    </row>
    <row r="254" spans="3:7" x14ac:dyDescent="0.25">
      <c r="C254" s="160">
        <v>60800050</v>
      </c>
      <c r="D254" s="141" t="s">
        <v>126</v>
      </c>
      <c r="E254" s="141" t="s">
        <v>1087</v>
      </c>
      <c r="F254" s="145" t="s">
        <v>487</v>
      </c>
      <c r="G254" s="161" t="s">
        <v>1053</v>
      </c>
    </row>
    <row r="255" spans="3:7" x14ac:dyDescent="0.25">
      <c r="C255" s="160">
        <v>60800060</v>
      </c>
      <c r="D255" s="141" t="s">
        <v>128</v>
      </c>
      <c r="E255" s="141" t="s">
        <v>1088</v>
      </c>
      <c r="F255" s="145" t="s">
        <v>487</v>
      </c>
      <c r="G255" s="161" t="s">
        <v>1053</v>
      </c>
    </row>
    <row r="256" spans="3:7" x14ac:dyDescent="0.25">
      <c r="C256" s="160">
        <v>60800070</v>
      </c>
      <c r="D256" s="141" t="s">
        <v>131</v>
      </c>
      <c r="E256" s="141" t="s">
        <v>1089</v>
      </c>
      <c r="F256" s="145" t="s">
        <v>487</v>
      </c>
      <c r="G256" s="161" t="s">
        <v>1053</v>
      </c>
    </row>
    <row r="257" spans="3:7" x14ac:dyDescent="0.25">
      <c r="C257" s="160">
        <v>60800080</v>
      </c>
      <c r="D257" s="141" t="s">
        <v>133</v>
      </c>
      <c r="E257" s="141" t="s">
        <v>1149</v>
      </c>
      <c r="F257" s="145" t="s">
        <v>487</v>
      </c>
      <c r="G257" s="161" t="s">
        <v>1053</v>
      </c>
    </row>
    <row r="258" spans="3:7" x14ac:dyDescent="0.25">
      <c r="C258" s="160">
        <v>61100010</v>
      </c>
      <c r="D258" s="141" t="s">
        <v>428</v>
      </c>
      <c r="E258" s="141" t="s">
        <v>1090</v>
      </c>
      <c r="F258" s="145" t="s">
        <v>469</v>
      </c>
      <c r="G258" s="161" t="s">
        <v>938</v>
      </c>
    </row>
    <row r="259" spans="3:7" x14ac:dyDescent="0.25">
      <c r="C259" s="160">
        <v>61200010</v>
      </c>
      <c r="D259" s="141" t="s">
        <v>429</v>
      </c>
      <c r="E259" s="141" t="s">
        <v>1150</v>
      </c>
      <c r="F259" s="145" t="s">
        <v>470</v>
      </c>
      <c r="G259" s="161" t="s">
        <v>1151</v>
      </c>
    </row>
    <row r="260" spans="3:7" x14ac:dyDescent="0.25">
      <c r="C260" s="160">
        <v>61200020</v>
      </c>
      <c r="D260" s="141" t="s">
        <v>430</v>
      </c>
      <c r="E260" s="141" t="s">
        <v>1152</v>
      </c>
      <c r="F260" s="145" t="s">
        <v>470</v>
      </c>
      <c r="G260" s="161" t="s">
        <v>1151</v>
      </c>
    </row>
    <row r="261" spans="3:7" x14ac:dyDescent="0.25">
      <c r="C261" s="160">
        <v>61200030</v>
      </c>
      <c r="D261" s="141" t="s">
        <v>431</v>
      </c>
      <c r="E261" s="141" t="s">
        <v>1153</v>
      </c>
      <c r="F261" s="145" t="s">
        <v>470</v>
      </c>
      <c r="G261" s="161" t="s">
        <v>1151</v>
      </c>
    </row>
    <row r="262" spans="3:7" x14ac:dyDescent="0.25">
      <c r="C262" s="160">
        <v>61200040</v>
      </c>
      <c r="D262" s="141" t="s">
        <v>432</v>
      </c>
      <c r="E262" s="141" t="s">
        <v>1154</v>
      </c>
      <c r="F262" s="145" t="s">
        <v>470</v>
      </c>
      <c r="G262" s="161" t="s">
        <v>1151</v>
      </c>
    </row>
    <row r="263" spans="3:7" x14ac:dyDescent="0.25">
      <c r="C263" s="160">
        <v>61200050</v>
      </c>
      <c r="D263" s="141" t="s">
        <v>433</v>
      </c>
      <c r="E263" s="141" t="s">
        <v>1155</v>
      </c>
      <c r="F263" s="145" t="s">
        <v>470</v>
      </c>
      <c r="G263" s="161" t="s">
        <v>1151</v>
      </c>
    </row>
    <row r="264" spans="3:7" x14ac:dyDescent="0.25">
      <c r="C264" s="160">
        <v>61200060</v>
      </c>
      <c r="D264" s="141" t="s">
        <v>434</v>
      </c>
      <c r="E264" s="141" t="s">
        <v>1156</v>
      </c>
      <c r="F264" s="145" t="s">
        <v>470</v>
      </c>
      <c r="G264" s="161" t="s">
        <v>1151</v>
      </c>
    </row>
    <row r="265" spans="3:7" x14ac:dyDescent="0.25">
      <c r="C265" s="160">
        <v>61200070</v>
      </c>
      <c r="D265" s="141" t="s">
        <v>435</v>
      </c>
      <c r="E265" s="141" t="s">
        <v>1157</v>
      </c>
      <c r="F265" s="145" t="s">
        <v>470</v>
      </c>
      <c r="G265" s="161" t="s">
        <v>1151</v>
      </c>
    </row>
    <row r="266" spans="3:7" x14ac:dyDescent="0.25">
      <c r="C266" s="160">
        <v>61200080</v>
      </c>
      <c r="D266" s="141" t="s">
        <v>436</v>
      </c>
      <c r="E266" s="141" t="s">
        <v>1158</v>
      </c>
      <c r="F266" s="145" t="s">
        <v>470</v>
      </c>
      <c r="G266" s="161" t="s">
        <v>1151</v>
      </c>
    </row>
    <row r="267" spans="3:7" x14ac:dyDescent="0.25">
      <c r="C267" s="160">
        <v>61200090</v>
      </c>
      <c r="D267" s="141" t="s">
        <v>437</v>
      </c>
      <c r="E267" s="141" t="s">
        <v>1159</v>
      </c>
      <c r="F267" s="145" t="s">
        <v>470</v>
      </c>
      <c r="G267" s="161" t="s">
        <v>1151</v>
      </c>
    </row>
    <row r="268" spans="3:7" x14ac:dyDescent="0.25">
      <c r="C268" s="160">
        <v>61300010</v>
      </c>
      <c r="D268" s="141" t="s">
        <v>438</v>
      </c>
      <c r="E268" s="141" t="s">
        <v>1160</v>
      </c>
      <c r="F268" s="145" t="s">
        <v>471</v>
      </c>
      <c r="G268" s="161" t="s">
        <v>1151</v>
      </c>
    </row>
    <row r="269" spans="3:7" x14ac:dyDescent="0.25">
      <c r="C269" s="160">
        <v>61300020</v>
      </c>
      <c r="D269" s="141" t="s">
        <v>439</v>
      </c>
      <c r="E269" s="141" t="s">
        <v>1161</v>
      </c>
      <c r="F269" s="145" t="s">
        <v>471</v>
      </c>
      <c r="G269" s="161" t="s">
        <v>1151</v>
      </c>
    </row>
    <row r="270" spans="3:7" x14ac:dyDescent="0.25">
      <c r="C270" s="160">
        <v>61300030</v>
      </c>
      <c r="D270" s="141" t="s">
        <v>440</v>
      </c>
      <c r="E270" s="141" t="s">
        <v>1162</v>
      </c>
      <c r="F270" s="145" t="s">
        <v>471</v>
      </c>
      <c r="G270" s="161" t="s">
        <v>1151</v>
      </c>
    </row>
    <row r="271" spans="3:7" x14ac:dyDescent="0.25">
      <c r="C271" s="160">
        <v>61300040</v>
      </c>
      <c r="D271" s="141" t="s">
        <v>441</v>
      </c>
      <c r="E271" s="141" t="s">
        <v>1163</v>
      </c>
      <c r="F271" s="145" t="s">
        <v>471</v>
      </c>
      <c r="G271" s="161" t="s">
        <v>1151</v>
      </c>
    </row>
    <row r="272" spans="3:7" x14ac:dyDescent="0.25">
      <c r="C272" s="160">
        <v>61300050</v>
      </c>
      <c r="D272" s="141" t="s">
        <v>442</v>
      </c>
      <c r="E272" s="141" t="s">
        <v>1164</v>
      </c>
      <c r="F272" s="145" t="s">
        <v>471</v>
      </c>
      <c r="G272" s="161" t="s">
        <v>1151</v>
      </c>
    </row>
    <row r="273" spans="3:7" x14ac:dyDescent="0.25">
      <c r="C273" s="160">
        <v>61300060</v>
      </c>
      <c r="D273" s="141" t="s">
        <v>443</v>
      </c>
      <c r="E273" s="141" t="s">
        <v>1165</v>
      </c>
      <c r="F273" s="145" t="s">
        <v>471</v>
      </c>
      <c r="G273" s="161" t="s">
        <v>1151</v>
      </c>
    </row>
    <row r="274" spans="3:7" x14ac:dyDescent="0.25">
      <c r="C274" s="160">
        <v>61300070</v>
      </c>
      <c r="D274" s="141" t="s">
        <v>444</v>
      </c>
      <c r="E274" s="141" t="s">
        <v>1166</v>
      </c>
      <c r="F274" s="145" t="s">
        <v>471</v>
      </c>
      <c r="G274" s="161" t="s">
        <v>1151</v>
      </c>
    </row>
    <row r="275" spans="3:7" x14ac:dyDescent="0.25">
      <c r="C275" s="160">
        <v>61300080</v>
      </c>
      <c r="D275" s="141" t="s">
        <v>445</v>
      </c>
      <c r="E275" s="141" t="s">
        <v>1167</v>
      </c>
      <c r="F275" s="145" t="s">
        <v>471</v>
      </c>
      <c r="G275" s="161" t="s">
        <v>1151</v>
      </c>
    </row>
    <row r="276" spans="3:7" x14ac:dyDescent="0.25">
      <c r="C276" s="160">
        <v>61300090</v>
      </c>
      <c r="D276" s="141" t="s">
        <v>446</v>
      </c>
      <c r="E276" s="141" t="s">
        <v>1168</v>
      </c>
      <c r="F276" s="145" t="s">
        <v>471</v>
      </c>
      <c r="G276" s="161" t="s">
        <v>1151</v>
      </c>
    </row>
    <row r="277" spans="3:7" x14ac:dyDescent="0.25">
      <c r="C277" s="160">
        <v>61400010</v>
      </c>
      <c r="D277" s="141" t="s">
        <v>135</v>
      </c>
      <c r="E277" s="141" t="s">
        <v>1169</v>
      </c>
      <c r="F277" s="145" t="s">
        <v>472</v>
      </c>
      <c r="G277" s="161" t="s">
        <v>1170</v>
      </c>
    </row>
    <row r="278" spans="3:7" x14ac:dyDescent="0.25">
      <c r="C278" s="160">
        <v>61400020</v>
      </c>
      <c r="D278" s="141" t="s">
        <v>447</v>
      </c>
      <c r="E278" s="141" t="s">
        <v>1171</v>
      </c>
      <c r="F278" s="145" t="s">
        <v>472</v>
      </c>
      <c r="G278" s="161" t="s">
        <v>1170</v>
      </c>
    </row>
    <row r="279" spans="3:7" x14ac:dyDescent="0.25">
      <c r="C279" s="160">
        <v>61400030</v>
      </c>
      <c r="D279" s="141" t="s">
        <v>448</v>
      </c>
      <c r="E279" s="141" t="s">
        <v>1172</v>
      </c>
      <c r="F279" s="145" t="s">
        <v>472</v>
      </c>
      <c r="G279" s="161" t="s">
        <v>1170</v>
      </c>
    </row>
    <row r="280" spans="3:7" x14ac:dyDescent="0.25">
      <c r="C280" s="160">
        <v>61500010</v>
      </c>
      <c r="D280" s="141" t="s">
        <v>141</v>
      </c>
      <c r="E280" s="141" t="s">
        <v>1097</v>
      </c>
      <c r="F280" s="145" t="s">
        <v>473</v>
      </c>
      <c r="G280" s="161" t="s">
        <v>1053</v>
      </c>
    </row>
    <row r="281" spans="3:7" x14ac:dyDescent="0.25">
      <c r="C281" s="160">
        <v>61500020</v>
      </c>
      <c r="D281" s="141" t="s">
        <v>143</v>
      </c>
      <c r="E281" s="141" t="s">
        <v>1097</v>
      </c>
      <c r="F281" s="145" t="s">
        <v>473</v>
      </c>
      <c r="G281" s="161" t="s">
        <v>50</v>
      </c>
    </row>
    <row r="282" spans="3:7" ht="30" x14ac:dyDescent="0.25">
      <c r="C282" s="160">
        <v>61600010</v>
      </c>
      <c r="D282" s="141" t="s">
        <v>1173</v>
      </c>
      <c r="E282" s="141" t="s">
        <v>1174</v>
      </c>
      <c r="F282" s="145" t="s">
        <v>474</v>
      </c>
      <c r="G282" s="161" t="s">
        <v>106</v>
      </c>
    </row>
    <row r="283" spans="3:7" x14ac:dyDescent="0.25">
      <c r="C283" s="160">
        <v>61600030</v>
      </c>
      <c r="D283" s="141" t="s">
        <v>150</v>
      </c>
      <c r="E283" s="141" t="s">
        <v>1175</v>
      </c>
      <c r="F283" s="145" t="s">
        <v>474</v>
      </c>
      <c r="G283" s="161" t="s">
        <v>106</v>
      </c>
    </row>
    <row r="284" spans="3:7" x14ac:dyDescent="0.25">
      <c r="C284" s="160">
        <v>61600040</v>
      </c>
      <c r="D284" s="141" t="s">
        <v>151</v>
      </c>
      <c r="E284" s="141" t="s">
        <v>1176</v>
      </c>
      <c r="F284" s="145" t="s">
        <v>474</v>
      </c>
      <c r="G284" s="161" t="s">
        <v>176</v>
      </c>
    </row>
    <row r="285" spans="3:7" x14ac:dyDescent="0.25">
      <c r="C285" s="160">
        <v>61600050</v>
      </c>
      <c r="D285" s="141" t="s">
        <v>1177</v>
      </c>
      <c r="E285" s="141" t="s">
        <v>1178</v>
      </c>
      <c r="F285" s="145" t="s">
        <v>474</v>
      </c>
      <c r="G285" s="161" t="s">
        <v>176</v>
      </c>
    </row>
    <row r="286" spans="3:7" x14ac:dyDescent="0.25">
      <c r="C286" s="160">
        <v>61600060</v>
      </c>
      <c r="D286" s="141" t="s">
        <v>1179</v>
      </c>
      <c r="E286" s="141" t="s">
        <v>1180</v>
      </c>
      <c r="F286" s="145" t="s">
        <v>474</v>
      </c>
      <c r="G286" s="161" t="s">
        <v>50</v>
      </c>
    </row>
    <row r="287" spans="3:7" x14ac:dyDescent="0.25">
      <c r="C287" s="160">
        <v>61600070</v>
      </c>
      <c r="D287" s="141" t="s">
        <v>152</v>
      </c>
      <c r="E287" s="141" t="s">
        <v>1512</v>
      </c>
      <c r="F287" s="145" t="s">
        <v>474</v>
      </c>
      <c r="G287" s="161" t="s">
        <v>1053</v>
      </c>
    </row>
    <row r="288" spans="3:7" x14ac:dyDescent="0.25">
      <c r="C288" s="160">
        <v>61700010</v>
      </c>
      <c r="D288" s="141" t="s">
        <v>153</v>
      </c>
      <c r="E288" s="141" t="s">
        <v>1104</v>
      </c>
      <c r="F288" s="145" t="s">
        <v>475</v>
      </c>
      <c r="G288" s="161" t="s">
        <v>1181</v>
      </c>
    </row>
    <row r="289" spans="3:7" x14ac:dyDescent="0.25">
      <c r="C289" s="160">
        <v>61700030</v>
      </c>
      <c r="D289" s="141" t="s">
        <v>155</v>
      </c>
      <c r="E289" s="141" t="s">
        <v>1105</v>
      </c>
      <c r="F289" s="145" t="s">
        <v>475</v>
      </c>
      <c r="G289" s="161" t="s">
        <v>106</v>
      </c>
    </row>
    <row r="290" spans="3:7" x14ac:dyDescent="0.25">
      <c r="C290" s="160">
        <v>61700040</v>
      </c>
      <c r="D290" s="141" t="s">
        <v>157</v>
      </c>
      <c r="E290" s="141" t="s">
        <v>1106</v>
      </c>
      <c r="F290" s="145" t="s">
        <v>475</v>
      </c>
      <c r="G290" s="161" t="s">
        <v>106</v>
      </c>
    </row>
    <row r="291" spans="3:7" x14ac:dyDescent="0.25">
      <c r="C291" s="160">
        <v>61700050</v>
      </c>
      <c r="D291" s="141" t="s">
        <v>159</v>
      </c>
      <c r="E291" s="141" t="s">
        <v>1107</v>
      </c>
      <c r="F291" s="145" t="s">
        <v>475</v>
      </c>
      <c r="G291" s="161" t="s">
        <v>106</v>
      </c>
    </row>
    <row r="292" spans="3:7" x14ac:dyDescent="0.25">
      <c r="C292" s="160">
        <v>61700060</v>
      </c>
      <c r="D292" s="141" t="s">
        <v>1182</v>
      </c>
      <c r="E292" s="141" t="s">
        <v>1108</v>
      </c>
      <c r="F292" s="145" t="s">
        <v>475</v>
      </c>
      <c r="G292" s="161" t="s">
        <v>106</v>
      </c>
    </row>
    <row r="293" spans="3:7" x14ac:dyDescent="0.25">
      <c r="C293" s="160">
        <v>61700070</v>
      </c>
      <c r="D293" s="141" t="s">
        <v>163</v>
      </c>
      <c r="E293" s="141" t="s">
        <v>1109</v>
      </c>
      <c r="F293" s="145" t="s">
        <v>475</v>
      </c>
      <c r="G293" s="161" t="s">
        <v>1053</v>
      </c>
    </row>
    <row r="294" spans="3:7" x14ac:dyDescent="0.25">
      <c r="C294" s="160">
        <v>61800010</v>
      </c>
      <c r="D294" s="141" t="s">
        <v>165</v>
      </c>
      <c r="E294" s="141" t="s">
        <v>1110</v>
      </c>
      <c r="F294" s="145" t="s">
        <v>488</v>
      </c>
      <c r="G294" s="161" t="s">
        <v>1053</v>
      </c>
    </row>
    <row r="295" spans="3:7" x14ac:dyDescent="0.25">
      <c r="C295" s="160">
        <v>61800020</v>
      </c>
      <c r="D295" s="160" t="s">
        <v>168</v>
      </c>
      <c r="E295" s="160" t="s">
        <v>1111</v>
      </c>
      <c r="F295" s="160" t="s">
        <v>488</v>
      </c>
      <c r="G295" s="161" t="s">
        <v>1053</v>
      </c>
    </row>
    <row r="296" spans="3:7" x14ac:dyDescent="0.25">
      <c r="C296" s="160">
        <v>61800030</v>
      </c>
      <c r="D296" s="160" t="s">
        <v>170</v>
      </c>
      <c r="E296" s="160" t="s">
        <v>1112</v>
      </c>
      <c r="F296" s="160" t="s">
        <v>488</v>
      </c>
      <c r="G296" s="161" t="s">
        <v>1053</v>
      </c>
    </row>
    <row r="297" spans="3:7" x14ac:dyDescent="0.25">
      <c r="C297" s="160">
        <v>61800090</v>
      </c>
      <c r="D297" s="160" t="s">
        <v>172</v>
      </c>
      <c r="E297" s="160" t="s">
        <v>1183</v>
      </c>
      <c r="F297" s="160" t="s">
        <v>488</v>
      </c>
      <c r="G297" s="161" t="s">
        <v>1053</v>
      </c>
    </row>
    <row r="298" spans="3:7" x14ac:dyDescent="0.25">
      <c r="C298" s="160">
        <v>61900010</v>
      </c>
      <c r="D298" s="160" t="s">
        <v>174</v>
      </c>
      <c r="E298" s="160" t="s">
        <v>1114</v>
      </c>
      <c r="F298" s="160" t="s">
        <v>340</v>
      </c>
      <c r="G298" s="161" t="s">
        <v>1053</v>
      </c>
    </row>
    <row r="299" spans="3:7" x14ac:dyDescent="0.25">
      <c r="C299" s="160">
        <v>61900020</v>
      </c>
      <c r="D299" s="160" t="s">
        <v>177</v>
      </c>
      <c r="E299" s="160" t="s">
        <v>1184</v>
      </c>
      <c r="F299" s="160" t="s">
        <v>340</v>
      </c>
      <c r="G299" s="161" t="s">
        <v>1053</v>
      </c>
    </row>
    <row r="300" spans="3:7" x14ac:dyDescent="0.25">
      <c r="C300" s="160">
        <v>61900030</v>
      </c>
      <c r="D300" s="160" t="s">
        <v>180</v>
      </c>
      <c r="E300" s="160" t="s">
        <v>1116</v>
      </c>
      <c r="F300" s="160" t="s">
        <v>340</v>
      </c>
      <c r="G300" s="161" t="s">
        <v>1053</v>
      </c>
    </row>
    <row r="301" spans="3:7" x14ac:dyDescent="0.25">
      <c r="C301" s="160">
        <v>61900040</v>
      </c>
      <c r="D301" s="160" t="s">
        <v>182</v>
      </c>
      <c r="E301" s="160" t="s">
        <v>1185</v>
      </c>
      <c r="F301" s="160" t="s">
        <v>340</v>
      </c>
      <c r="G301" s="161" t="s">
        <v>1053</v>
      </c>
    </row>
    <row r="302" spans="3:7" x14ac:dyDescent="0.25">
      <c r="C302" s="160">
        <v>61900090</v>
      </c>
      <c r="D302" s="160" t="s">
        <v>184</v>
      </c>
      <c r="E302" s="160" t="s">
        <v>1186</v>
      </c>
      <c r="F302" s="160" t="s">
        <v>340</v>
      </c>
      <c r="G302" s="161" t="s">
        <v>1053</v>
      </c>
    </row>
    <row r="303" spans="3:7" x14ac:dyDescent="0.25">
      <c r="C303" s="160">
        <v>62000010</v>
      </c>
      <c r="D303" s="160" t="s">
        <v>186</v>
      </c>
      <c r="E303" s="160" t="s">
        <v>1187</v>
      </c>
      <c r="F303" s="160" t="s">
        <v>477</v>
      </c>
      <c r="G303" s="160" t="s">
        <v>236</v>
      </c>
    </row>
    <row r="304" spans="3:7" x14ac:dyDescent="0.25">
      <c r="C304" s="160">
        <v>62000020</v>
      </c>
      <c r="D304" s="160" t="s">
        <v>189</v>
      </c>
      <c r="E304" s="160" t="s">
        <v>1188</v>
      </c>
      <c r="F304" s="160" t="s">
        <v>477</v>
      </c>
      <c r="G304" s="160" t="s">
        <v>1189</v>
      </c>
    </row>
    <row r="305" spans="3:7" x14ac:dyDescent="0.25">
      <c r="C305" s="160">
        <v>62000040</v>
      </c>
      <c r="D305" s="160" t="s">
        <v>192</v>
      </c>
      <c r="E305" s="160" t="s">
        <v>1190</v>
      </c>
      <c r="F305" s="160" t="s">
        <v>477</v>
      </c>
      <c r="G305" s="161" t="s">
        <v>1053</v>
      </c>
    </row>
    <row r="306" spans="3:7" x14ac:dyDescent="0.25">
      <c r="C306" s="160">
        <v>62100010</v>
      </c>
      <c r="D306" s="160" t="s">
        <v>195</v>
      </c>
      <c r="E306" s="160" t="s">
        <v>196</v>
      </c>
      <c r="F306" s="160" t="s">
        <v>478</v>
      </c>
      <c r="G306" s="160" t="s">
        <v>176</v>
      </c>
    </row>
    <row r="307" spans="3:7" x14ac:dyDescent="0.25">
      <c r="C307" s="160">
        <v>62100020</v>
      </c>
      <c r="D307" s="160" t="s">
        <v>198</v>
      </c>
      <c r="E307" s="160" t="s">
        <v>1119</v>
      </c>
      <c r="F307" s="160" t="s">
        <v>478</v>
      </c>
      <c r="G307" s="160" t="s">
        <v>176</v>
      </c>
    </row>
    <row r="308" spans="3:7" x14ac:dyDescent="0.25">
      <c r="C308" s="160">
        <v>62100030</v>
      </c>
      <c r="D308" s="160" t="s">
        <v>200</v>
      </c>
      <c r="E308" s="160" t="s">
        <v>201</v>
      </c>
      <c r="F308" s="160" t="s">
        <v>478</v>
      </c>
      <c r="G308" s="160" t="s">
        <v>176</v>
      </c>
    </row>
    <row r="309" spans="3:7" x14ac:dyDescent="0.25">
      <c r="C309" s="160">
        <v>62100040</v>
      </c>
      <c r="D309" s="160" t="s">
        <v>202</v>
      </c>
      <c r="E309" s="160" t="s">
        <v>203</v>
      </c>
      <c r="F309" s="160" t="s">
        <v>478</v>
      </c>
      <c r="G309" s="160" t="s">
        <v>176</v>
      </c>
    </row>
    <row r="310" spans="3:7" x14ac:dyDescent="0.25">
      <c r="C310" s="160">
        <v>62100050</v>
      </c>
      <c r="D310" s="160" t="s">
        <v>451</v>
      </c>
      <c r="E310" s="160" t="s">
        <v>1120</v>
      </c>
      <c r="F310" s="160" t="s">
        <v>478</v>
      </c>
      <c r="G310" s="160" t="s">
        <v>176</v>
      </c>
    </row>
    <row r="311" spans="3:7" ht="30" x14ac:dyDescent="0.25">
      <c r="C311" s="160">
        <v>62200010</v>
      </c>
      <c r="D311" s="160" t="s">
        <v>206</v>
      </c>
      <c r="E311" s="160" t="s">
        <v>207</v>
      </c>
      <c r="F311" s="160" t="s">
        <v>479</v>
      </c>
      <c r="G311" s="161" t="s">
        <v>1053</v>
      </c>
    </row>
    <row r="312" spans="3:7" ht="30" x14ac:dyDescent="0.25">
      <c r="C312" s="160">
        <v>62200020</v>
      </c>
      <c r="D312" s="160" t="s">
        <v>208</v>
      </c>
      <c r="E312" s="160" t="s">
        <v>209</v>
      </c>
      <c r="F312" s="160" t="s">
        <v>479</v>
      </c>
      <c r="G312" s="161" t="s">
        <v>1053</v>
      </c>
    </row>
    <row r="313" spans="3:7" x14ac:dyDescent="0.25">
      <c r="C313" s="160">
        <v>62300010</v>
      </c>
      <c r="D313" s="160" t="s">
        <v>210</v>
      </c>
      <c r="E313" s="160" t="s">
        <v>211</v>
      </c>
      <c r="F313" s="160" t="s">
        <v>480</v>
      </c>
      <c r="G313" s="161" t="s">
        <v>1053</v>
      </c>
    </row>
    <row r="314" spans="3:7" ht="30" x14ac:dyDescent="0.25">
      <c r="C314" s="160">
        <v>62300020</v>
      </c>
      <c r="D314" s="160" t="s">
        <v>212</v>
      </c>
      <c r="E314" s="160" t="s">
        <v>213</v>
      </c>
      <c r="F314" s="160" t="s">
        <v>480</v>
      </c>
      <c r="G314" s="161" t="s">
        <v>1053</v>
      </c>
    </row>
    <row r="315" spans="3:7" ht="30" x14ac:dyDescent="0.25">
      <c r="C315" s="160">
        <v>62400030</v>
      </c>
      <c r="D315" s="160" t="s">
        <v>214</v>
      </c>
      <c r="E315" s="160" t="s">
        <v>215</v>
      </c>
      <c r="F315" s="160" t="s">
        <v>481</v>
      </c>
      <c r="G315" s="161" t="s">
        <v>1053</v>
      </c>
    </row>
    <row r="316" spans="3:7" ht="30" x14ac:dyDescent="0.25">
      <c r="C316" s="160">
        <v>62400040</v>
      </c>
      <c r="D316" s="160" t="s">
        <v>216</v>
      </c>
      <c r="E316" s="160" t="s">
        <v>1191</v>
      </c>
      <c r="F316" s="160" t="s">
        <v>481</v>
      </c>
      <c r="G316" s="161" t="s">
        <v>1053</v>
      </c>
    </row>
    <row r="317" spans="3:7" x14ac:dyDescent="0.25">
      <c r="C317" s="160">
        <v>62400060</v>
      </c>
      <c r="D317" s="160" t="s">
        <v>452</v>
      </c>
      <c r="E317" s="160" t="s">
        <v>555</v>
      </c>
      <c r="F317" s="160" t="s">
        <v>481</v>
      </c>
      <c r="G317" s="160" t="s">
        <v>236</v>
      </c>
    </row>
    <row r="318" spans="3:7" x14ac:dyDescent="0.25">
      <c r="C318" s="160">
        <v>62500010</v>
      </c>
      <c r="D318" s="160" t="s">
        <v>218</v>
      </c>
      <c r="E318" s="160" t="s">
        <v>219</v>
      </c>
      <c r="F318" s="160" t="s">
        <v>218</v>
      </c>
      <c r="G318" s="160" t="s">
        <v>22</v>
      </c>
    </row>
    <row r="319" spans="3:7" ht="30" x14ac:dyDescent="0.25">
      <c r="C319" s="160">
        <v>62600010</v>
      </c>
      <c r="D319" s="160" t="s">
        <v>221</v>
      </c>
      <c r="E319" s="160" t="s">
        <v>1192</v>
      </c>
      <c r="F319" s="160" t="s">
        <v>482</v>
      </c>
      <c r="G319" s="161" t="s">
        <v>1053</v>
      </c>
    </row>
    <row r="320" spans="3:7" x14ac:dyDescent="0.25">
      <c r="C320" s="160">
        <v>62600020</v>
      </c>
      <c r="D320" s="160" t="s">
        <v>223</v>
      </c>
      <c r="E320" s="160" t="s">
        <v>1193</v>
      </c>
      <c r="F320" s="160" t="s">
        <v>482</v>
      </c>
      <c r="G320" s="161" t="s">
        <v>1053</v>
      </c>
    </row>
    <row r="321" spans="1:7" x14ac:dyDescent="0.25">
      <c r="C321" s="160">
        <v>62600030</v>
      </c>
      <c r="D321" s="160" t="s">
        <v>226</v>
      </c>
      <c r="E321" s="160" t="s">
        <v>1194</v>
      </c>
      <c r="F321" s="160" t="s">
        <v>482</v>
      </c>
      <c r="G321" s="161" t="s">
        <v>1053</v>
      </c>
    </row>
    <row r="322" spans="1:7" x14ac:dyDescent="0.25">
      <c r="C322" s="160">
        <v>62700010</v>
      </c>
      <c r="D322" s="160" t="s">
        <v>453</v>
      </c>
      <c r="E322" s="160" t="s">
        <v>1195</v>
      </c>
      <c r="F322" s="160" t="s">
        <v>453</v>
      </c>
      <c r="G322" s="160" t="s">
        <v>236</v>
      </c>
    </row>
    <row r="323" spans="1:7" x14ac:dyDescent="0.25">
      <c r="C323" s="160">
        <v>62800010</v>
      </c>
      <c r="D323" s="160" t="s">
        <v>454</v>
      </c>
      <c r="E323" s="160" t="s">
        <v>1196</v>
      </c>
      <c r="F323" s="160" t="s">
        <v>454</v>
      </c>
      <c r="G323" s="160" t="s">
        <v>238</v>
      </c>
    </row>
    <row r="324" spans="1:7" x14ac:dyDescent="0.25">
      <c r="C324" s="160">
        <v>62900010</v>
      </c>
      <c r="D324" s="160" t="s">
        <v>228</v>
      </c>
      <c r="E324" s="160" t="s">
        <v>229</v>
      </c>
      <c r="F324" s="160" t="s">
        <v>483</v>
      </c>
      <c r="G324" s="161" t="s">
        <v>1053</v>
      </c>
    </row>
    <row r="325" spans="1:7" x14ac:dyDescent="0.25">
      <c r="C325" s="160">
        <v>62900020</v>
      </c>
      <c r="D325" s="160" t="s">
        <v>230</v>
      </c>
      <c r="E325" s="160" t="s">
        <v>231</v>
      </c>
      <c r="F325" s="160" t="s">
        <v>483</v>
      </c>
      <c r="G325" s="161" t="s">
        <v>1053</v>
      </c>
    </row>
    <row r="326" spans="1:7" x14ac:dyDescent="0.25">
      <c r="C326" s="160">
        <v>63300010</v>
      </c>
      <c r="D326" s="160" t="s">
        <v>1197</v>
      </c>
      <c r="E326" s="160" t="s">
        <v>1198</v>
      </c>
      <c r="F326" s="160" t="s">
        <v>340</v>
      </c>
      <c r="G326" s="160"/>
    </row>
    <row r="327" spans="1:7" x14ac:dyDescent="0.25">
      <c r="C327" s="375">
        <v>63900010</v>
      </c>
      <c r="D327" s="150" t="s">
        <v>232</v>
      </c>
      <c r="E327" s="151" t="s">
        <v>1504</v>
      </c>
      <c r="F327" s="151" t="s">
        <v>491</v>
      </c>
      <c r="G327" s="151" t="s">
        <v>1053</v>
      </c>
    </row>
    <row r="330" spans="1:7" s="365" customFormat="1" ht="15.75" x14ac:dyDescent="0.25">
      <c r="A330" s="159"/>
      <c r="B330" s="159"/>
      <c r="C330" s="364" t="s">
        <v>708</v>
      </c>
      <c r="D330" s="356" t="s">
        <v>537</v>
      </c>
    </row>
    <row r="331" spans="1:7" outlineLevel="1" x14ac:dyDescent="0.25"/>
    <row r="332" spans="1:7" outlineLevel="1" x14ac:dyDescent="0.25">
      <c r="C332" s="91" t="s">
        <v>1035</v>
      </c>
    </row>
    <row r="333" spans="1:7" outlineLevel="1" x14ac:dyDescent="0.25"/>
    <row r="334" spans="1:7" outlineLevel="1" x14ac:dyDescent="0.25">
      <c r="B334" s="127" t="s">
        <v>1036</v>
      </c>
      <c r="C334" s="127" t="s">
        <v>539</v>
      </c>
    </row>
    <row r="335" spans="1:7" outlineLevel="1" x14ac:dyDescent="0.25">
      <c r="C335" s="91" t="s">
        <v>831</v>
      </c>
    </row>
    <row r="336" spans="1:7" outlineLevel="1" x14ac:dyDescent="0.25"/>
    <row r="337" spans="2:5" outlineLevel="1" x14ac:dyDescent="0.25">
      <c r="B337" s="127" t="s">
        <v>1037</v>
      </c>
      <c r="C337" s="127" t="s">
        <v>835</v>
      </c>
    </row>
    <row r="338" spans="2:5" outlineLevel="1" x14ac:dyDescent="0.25">
      <c r="C338" s="91" t="s">
        <v>540</v>
      </c>
    </row>
    <row r="339" spans="2:5" outlineLevel="1" x14ac:dyDescent="0.25">
      <c r="C339" s="91" t="s">
        <v>985</v>
      </c>
    </row>
    <row r="340" spans="2:5" outlineLevel="1" x14ac:dyDescent="0.25"/>
    <row r="341" spans="2:5" s="127" customFormat="1" outlineLevel="1" x14ac:dyDescent="0.25">
      <c r="B341" s="127" t="s">
        <v>1038</v>
      </c>
      <c r="C341" s="127" t="s">
        <v>1039</v>
      </c>
    </row>
    <row r="342" spans="2:5" outlineLevel="1" x14ac:dyDescent="0.25">
      <c r="C342" s="91" t="s">
        <v>1040</v>
      </c>
    </row>
    <row r="343" spans="2:5" outlineLevel="1" x14ac:dyDescent="0.25">
      <c r="C343" s="91" t="s">
        <v>985</v>
      </c>
    </row>
    <row r="344" spans="2:5" outlineLevel="1" x14ac:dyDescent="0.25"/>
    <row r="345" spans="2:5" ht="90" outlineLevel="1" x14ac:dyDescent="0.25">
      <c r="C345" s="157" t="s">
        <v>543</v>
      </c>
      <c r="D345" s="158" t="s">
        <v>1041</v>
      </c>
    </row>
    <row r="346" spans="2:5" ht="30" outlineLevel="1" x14ac:dyDescent="0.25">
      <c r="C346" s="157" t="s">
        <v>459</v>
      </c>
      <c r="D346" s="158" t="s">
        <v>1042</v>
      </c>
    </row>
    <row r="347" spans="2:5" ht="30" outlineLevel="1" x14ac:dyDescent="0.25">
      <c r="C347" s="157" t="s">
        <v>46</v>
      </c>
      <c r="D347" s="158" t="s">
        <v>1495</v>
      </c>
      <c r="E347" s="367" t="s">
        <v>1492</v>
      </c>
    </row>
    <row r="348" spans="2:5" ht="45.75" customHeight="1" outlineLevel="1" x14ac:dyDescent="0.25">
      <c r="C348" s="157" t="s">
        <v>458</v>
      </c>
      <c r="D348" s="158" t="s">
        <v>1043</v>
      </c>
    </row>
    <row r="349" spans="2:5" ht="45" outlineLevel="1" x14ac:dyDescent="0.25">
      <c r="C349" s="157" t="s">
        <v>337</v>
      </c>
      <c r="D349" s="158" t="s">
        <v>1044</v>
      </c>
    </row>
  </sheetData>
  <sheetProtection formatRows="0"/>
  <hyperlinks>
    <hyperlink ref="D28" location="Cover!A1" display="Cover" xr:uid="{FD9FA4B3-4F81-4BFF-B0D4-EF42919D6C57}"/>
    <hyperlink ref="D125" location="'Budget Opex Detail'!A1" display="Budget Opex Detail" xr:uid="{1D8E2B85-7157-4221-96A9-B99C13198386}"/>
    <hyperlink ref="D330" location="'Activity Master Opex'!A1" display="Activity Master" xr:uid="{4A8EFA27-FF9E-4FCD-9BD8-417F87A9F164}"/>
    <hyperlink ref="C80" location="'Asset determination'!A1" display="'Asset determination" xr:uid="{AFA0639F-3830-4F19-AAFA-9DD4ECBA7123}"/>
    <hyperlink ref="E347" location="'Master Data'!A1" display="Master Data" xr:uid="{3BB2B9B3-016B-4A97-8B94-B41C207CD30C}"/>
    <hyperlink ref="D77" location="'Budget Capex Detail'!A1" display="Budget Capex Detail" xr:uid="{EBB82B4B-0A49-4CE2-B391-96AAC132A467}"/>
  </hyperlink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334B8-713D-404C-8624-DCF5D1CD1467}">
  <sheetPr codeName="Sheet12">
    <tabColor rgb="FF339966"/>
  </sheetPr>
  <dimension ref="A2:P349"/>
  <sheetViews>
    <sheetView showGridLines="0" zoomScale="80" zoomScaleNormal="80" workbookViewId="0">
      <selection activeCell="C3" sqref="C3"/>
    </sheetView>
  </sheetViews>
  <sheetFormatPr defaultColWidth="10.28515625" defaultRowHeight="15" outlineLevelRow="4" x14ac:dyDescent="0.25"/>
  <cols>
    <col min="1" max="1" width="0.85546875" style="91" customWidth="1"/>
    <col min="2" max="2" width="3.42578125" style="91" bestFit="1" customWidth="1"/>
    <col min="3" max="3" width="45" style="91" bestFit="1" customWidth="1"/>
    <col min="4" max="4" width="70.7109375" style="91" bestFit="1" customWidth="1"/>
    <col min="5" max="5" width="68.7109375" style="91" customWidth="1"/>
    <col min="6" max="6" width="33" style="91" customWidth="1"/>
    <col min="7" max="7" width="31.7109375" style="91" customWidth="1"/>
    <col min="8" max="10" width="10.28515625" style="91"/>
    <col min="11" max="11" width="10.28515625" style="91" customWidth="1"/>
    <col min="12" max="16384" width="10.28515625" style="91"/>
  </cols>
  <sheetData>
    <row r="2" spans="2:16" ht="24" x14ac:dyDescent="0.4">
      <c r="B2" s="90" t="s">
        <v>826</v>
      </c>
    </row>
    <row r="3" spans="2:16" ht="21" x14ac:dyDescent="0.35">
      <c r="B3" s="92"/>
    </row>
    <row r="4" spans="2:16" ht="19.5" thickBot="1" x14ac:dyDescent="0.35">
      <c r="B4" s="93" t="s">
        <v>808</v>
      </c>
      <c r="C4" s="94"/>
      <c r="D4" s="95"/>
      <c r="E4" s="94"/>
      <c r="F4" s="94"/>
      <c r="G4" s="94"/>
      <c r="H4" s="94"/>
      <c r="I4" s="94"/>
      <c r="J4" s="94"/>
      <c r="K4" s="94"/>
      <c r="L4" s="94"/>
      <c r="M4" s="94"/>
      <c r="N4" s="94"/>
      <c r="O4" s="94"/>
      <c r="P4" s="94"/>
    </row>
    <row r="5" spans="2:16" x14ac:dyDescent="0.25">
      <c r="B5" s="96"/>
      <c r="D5" s="97"/>
    </row>
    <row r="6" spans="2:16" x14ac:dyDescent="0.25">
      <c r="B6" s="91">
        <v>1</v>
      </c>
      <c r="C6" s="98" t="s">
        <v>1199</v>
      </c>
    </row>
    <row r="7" spans="2:16" x14ac:dyDescent="0.25">
      <c r="B7" s="91">
        <v>2</v>
      </c>
      <c r="C7" s="98" t="s">
        <v>1200</v>
      </c>
    </row>
    <row r="8" spans="2:16" x14ac:dyDescent="0.25">
      <c r="B8" s="99" t="s">
        <v>2</v>
      </c>
      <c r="C8" s="98" t="s">
        <v>1201</v>
      </c>
    </row>
    <row r="9" spans="2:16" x14ac:dyDescent="0.25">
      <c r="B9" s="99" t="s">
        <v>2</v>
      </c>
      <c r="C9" s="98" t="s">
        <v>1202</v>
      </c>
    </row>
    <row r="10" spans="2:16" x14ac:dyDescent="0.25">
      <c r="B10" s="99" t="s">
        <v>2</v>
      </c>
      <c r="C10" s="98" t="s">
        <v>1203</v>
      </c>
    </row>
    <row r="11" spans="2:16" x14ac:dyDescent="0.25">
      <c r="B11" s="99" t="s">
        <v>2</v>
      </c>
      <c r="C11" s="98" t="s">
        <v>1204</v>
      </c>
    </row>
    <row r="12" spans="2:16" x14ac:dyDescent="0.25">
      <c r="B12" s="99" t="s">
        <v>2</v>
      </c>
      <c r="C12" s="98" t="s">
        <v>1205</v>
      </c>
    </row>
    <row r="13" spans="2:16" x14ac:dyDescent="0.25">
      <c r="B13" s="91">
        <v>3</v>
      </c>
      <c r="C13" s="164" t="s">
        <v>1206</v>
      </c>
    </row>
    <row r="14" spans="2:16" x14ac:dyDescent="0.25">
      <c r="B14" s="91">
        <v>4</v>
      </c>
      <c r="C14" s="91" t="s">
        <v>1207</v>
      </c>
    </row>
    <row r="15" spans="2:16" x14ac:dyDescent="0.25">
      <c r="B15" s="91">
        <v>5</v>
      </c>
      <c r="C15" s="91" t="s">
        <v>1208</v>
      </c>
    </row>
    <row r="16" spans="2:16" x14ac:dyDescent="0.25">
      <c r="B16" s="91">
        <v>6</v>
      </c>
      <c r="C16" s="91" t="s">
        <v>1513</v>
      </c>
    </row>
    <row r="18" spans="1:16" ht="19.5" thickBot="1" x14ac:dyDescent="0.35">
      <c r="B18" s="93" t="s">
        <v>1209</v>
      </c>
      <c r="C18" s="94"/>
      <c r="D18" s="95"/>
      <c r="E18" s="94"/>
      <c r="F18" s="94"/>
      <c r="G18" s="94"/>
      <c r="H18" s="94"/>
      <c r="I18" s="94"/>
      <c r="J18" s="94"/>
      <c r="K18" s="94"/>
      <c r="L18" s="94"/>
      <c r="M18" s="94"/>
      <c r="N18" s="94"/>
      <c r="O18" s="94"/>
      <c r="P18" s="94"/>
    </row>
    <row r="20" spans="1:16" x14ac:dyDescent="0.25">
      <c r="B20" s="91">
        <v>1</v>
      </c>
      <c r="C20" s="91" t="s">
        <v>1210</v>
      </c>
    </row>
    <row r="21" spans="1:16" x14ac:dyDescent="0.25">
      <c r="C21" s="100" t="s">
        <v>8</v>
      </c>
    </row>
    <row r="22" spans="1:16" x14ac:dyDescent="0.25">
      <c r="C22" s="100" t="s">
        <v>1211</v>
      </c>
    </row>
    <row r="23" spans="1:16" x14ac:dyDescent="0.25">
      <c r="C23" s="100" t="s">
        <v>1212</v>
      </c>
    </row>
    <row r="24" spans="1:16" x14ac:dyDescent="0.25">
      <c r="C24" s="100" t="s">
        <v>1213</v>
      </c>
    </row>
    <row r="25" spans="1:16" x14ac:dyDescent="0.25">
      <c r="B25" s="91">
        <v>2</v>
      </c>
      <c r="C25" s="91" t="s">
        <v>1214</v>
      </c>
    </row>
    <row r="26" spans="1:16" x14ac:dyDescent="0.25">
      <c r="B26" s="91">
        <v>3</v>
      </c>
      <c r="C26" s="91" t="s">
        <v>1215</v>
      </c>
    </row>
    <row r="28" spans="1:16" s="359" customFormat="1" ht="15.75" x14ac:dyDescent="0.25">
      <c r="A28" s="101"/>
      <c r="B28" s="101"/>
      <c r="C28" s="357" t="s">
        <v>10</v>
      </c>
      <c r="D28" s="358" t="s">
        <v>11</v>
      </c>
    </row>
    <row r="30" spans="1:16" x14ac:dyDescent="0.25">
      <c r="C30" s="91" t="s">
        <v>1216</v>
      </c>
    </row>
    <row r="31" spans="1:16" outlineLevel="1" x14ac:dyDescent="0.25"/>
    <row r="32" spans="1:16" outlineLevel="1" x14ac:dyDescent="0.25">
      <c r="C32" s="102" t="s">
        <v>13</v>
      </c>
      <c r="D32" s="103" t="s">
        <v>1217</v>
      </c>
    </row>
    <row r="33" spans="3:4" ht="60" outlineLevel="1" x14ac:dyDescent="0.25">
      <c r="C33" s="104" t="s">
        <v>15</v>
      </c>
      <c r="D33" s="105" t="s">
        <v>1218</v>
      </c>
    </row>
    <row r="34" spans="3:4" outlineLevel="1" x14ac:dyDescent="0.25">
      <c r="C34" s="104" t="s">
        <v>234</v>
      </c>
      <c r="D34" s="105" t="s">
        <v>1219</v>
      </c>
    </row>
    <row r="35" spans="3:4" outlineLevel="1" x14ac:dyDescent="0.25">
      <c r="C35" s="104" t="s">
        <v>974</v>
      </c>
      <c r="D35" s="105" t="s">
        <v>1220</v>
      </c>
    </row>
    <row r="36" spans="3:4" outlineLevel="1" x14ac:dyDescent="0.25"/>
    <row r="37" spans="3:4" ht="33" customHeight="1" outlineLevel="1" x14ac:dyDescent="0.25">
      <c r="C37" s="106" t="s">
        <v>840</v>
      </c>
      <c r="D37" s="106" t="s">
        <v>841</v>
      </c>
    </row>
    <row r="38" spans="3:4" outlineLevel="2" x14ac:dyDescent="0.25">
      <c r="C38" s="107" t="s">
        <v>978</v>
      </c>
      <c r="D38" s="107" t="s">
        <v>974</v>
      </c>
    </row>
    <row r="39" spans="3:4" outlineLevel="2" x14ac:dyDescent="0.25">
      <c r="C39" s="108" t="s">
        <v>904</v>
      </c>
      <c r="D39" s="108" t="s">
        <v>673</v>
      </c>
    </row>
    <row r="40" spans="3:4" outlineLevel="2" x14ac:dyDescent="0.25">
      <c r="C40" s="108" t="s">
        <v>904</v>
      </c>
      <c r="D40" s="108" t="s">
        <v>669</v>
      </c>
    </row>
    <row r="41" spans="3:4" outlineLevel="2" x14ac:dyDescent="0.25">
      <c r="C41" s="108" t="s">
        <v>904</v>
      </c>
      <c r="D41" s="108" t="s">
        <v>670</v>
      </c>
    </row>
    <row r="42" spans="3:4" outlineLevel="2" x14ac:dyDescent="0.25">
      <c r="C42" s="108" t="s">
        <v>905</v>
      </c>
      <c r="D42" s="108" t="s">
        <v>979</v>
      </c>
    </row>
    <row r="43" spans="3:4" outlineLevel="2" x14ac:dyDescent="0.25">
      <c r="C43" s="108" t="s">
        <v>905</v>
      </c>
      <c r="D43" s="108" t="s">
        <v>980</v>
      </c>
    </row>
    <row r="44" spans="3:4" outlineLevel="2" x14ac:dyDescent="0.25">
      <c r="C44" s="108" t="s">
        <v>905</v>
      </c>
      <c r="D44" s="108" t="s">
        <v>635</v>
      </c>
    </row>
    <row r="45" spans="3:4" outlineLevel="2" x14ac:dyDescent="0.25">
      <c r="C45" s="108" t="s">
        <v>905</v>
      </c>
      <c r="D45" s="108" t="s">
        <v>730</v>
      </c>
    </row>
    <row r="46" spans="3:4" outlineLevel="2" x14ac:dyDescent="0.25">
      <c r="C46" s="108" t="s">
        <v>905</v>
      </c>
      <c r="D46" s="108" t="s">
        <v>675</v>
      </c>
    </row>
    <row r="47" spans="3:4" outlineLevel="2" x14ac:dyDescent="0.25">
      <c r="C47" s="103" t="s">
        <v>981</v>
      </c>
      <c r="D47" s="103" t="s">
        <v>30</v>
      </c>
    </row>
    <row r="48" spans="3:4" outlineLevel="2" x14ac:dyDescent="0.25">
      <c r="C48" s="103" t="s">
        <v>981</v>
      </c>
      <c r="D48" s="103" t="s">
        <v>29</v>
      </c>
    </row>
    <row r="49" spans="3:4" outlineLevel="2" x14ac:dyDescent="0.25">
      <c r="C49" s="103" t="s">
        <v>22</v>
      </c>
      <c r="D49" s="103" t="s">
        <v>291</v>
      </c>
    </row>
    <row r="50" spans="3:4" outlineLevel="2" x14ac:dyDescent="0.25">
      <c r="C50" s="103" t="str">
        <f>C49</f>
        <v>HSE</v>
      </c>
      <c r="D50" s="103" t="s">
        <v>292</v>
      </c>
    </row>
    <row r="51" spans="3:4" outlineLevel="2" x14ac:dyDescent="0.25">
      <c r="C51" s="103" t="s">
        <v>579</v>
      </c>
      <c r="D51" s="103" t="s">
        <v>236</v>
      </c>
    </row>
    <row r="52" spans="3:4" outlineLevel="2" x14ac:dyDescent="0.25">
      <c r="C52" s="103" t="s">
        <v>579</v>
      </c>
      <c r="D52" s="103" t="s">
        <v>32</v>
      </c>
    </row>
    <row r="53" spans="3:4" outlineLevel="2" x14ac:dyDescent="0.25">
      <c r="C53" s="103" t="s">
        <v>902</v>
      </c>
      <c r="D53" s="103" t="s">
        <v>245</v>
      </c>
    </row>
    <row r="54" spans="3:4" outlineLevel="2" x14ac:dyDescent="0.25">
      <c r="C54" s="103" t="s">
        <v>902</v>
      </c>
      <c r="D54" s="103" t="s">
        <v>24</v>
      </c>
    </row>
    <row r="55" spans="3:4" outlineLevel="2" x14ac:dyDescent="0.25">
      <c r="C55" s="103" t="s">
        <v>902</v>
      </c>
      <c r="D55" s="103" t="s">
        <v>19</v>
      </c>
    </row>
    <row r="56" spans="3:4" outlineLevel="2" x14ac:dyDescent="0.25">
      <c r="C56" s="103" t="s">
        <v>902</v>
      </c>
      <c r="D56" s="103" t="s">
        <v>20</v>
      </c>
    </row>
    <row r="57" spans="3:4" outlineLevel="2" x14ac:dyDescent="0.25">
      <c r="C57" s="103" t="s">
        <v>902</v>
      </c>
      <c r="D57" s="103" t="s">
        <v>919</v>
      </c>
    </row>
    <row r="58" spans="3:4" outlineLevel="2" x14ac:dyDescent="0.25">
      <c r="C58" s="103" t="s">
        <v>902</v>
      </c>
      <c r="D58" s="103" t="s">
        <v>1507</v>
      </c>
    </row>
    <row r="59" spans="3:4" outlineLevel="2" x14ac:dyDescent="0.25">
      <c r="C59" s="103" t="s">
        <v>903</v>
      </c>
      <c r="D59" s="103" t="s">
        <v>912</v>
      </c>
    </row>
    <row r="60" spans="3:4" outlineLevel="2" x14ac:dyDescent="0.25">
      <c r="C60" s="103" t="s">
        <v>903</v>
      </c>
      <c r="D60" s="103" t="s">
        <v>1487</v>
      </c>
    </row>
    <row r="61" spans="3:4" outlineLevel="2" x14ac:dyDescent="0.25">
      <c r="C61" s="103" t="s">
        <v>903</v>
      </c>
      <c r="D61" s="103" t="s">
        <v>1488</v>
      </c>
    </row>
    <row r="62" spans="3:4" outlineLevel="2" x14ac:dyDescent="0.25">
      <c r="C62" s="103" t="s">
        <v>1489</v>
      </c>
      <c r="D62" s="103" t="s">
        <v>1189</v>
      </c>
    </row>
    <row r="63" spans="3:4" outlineLevel="2" x14ac:dyDescent="0.25">
      <c r="C63" s="103" t="s">
        <v>1489</v>
      </c>
      <c r="D63" s="103" t="s">
        <v>584</v>
      </c>
    </row>
    <row r="64" spans="3:4" outlineLevel="2" x14ac:dyDescent="0.25">
      <c r="C64" s="103" t="s">
        <v>237</v>
      </c>
      <c r="D64" s="103" t="s">
        <v>1508</v>
      </c>
    </row>
    <row r="65" spans="1:4" outlineLevel="2" x14ac:dyDescent="0.25">
      <c r="C65" s="103" t="s">
        <v>237</v>
      </c>
      <c r="D65" s="103" t="s">
        <v>982</v>
      </c>
    </row>
    <row r="66" spans="1:4" outlineLevel="2" x14ac:dyDescent="0.25">
      <c r="C66" s="103" t="s">
        <v>237</v>
      </c>
      <c r="D66" s="103" t="s">
        <v>1509</v>
      </c>
    </row>
    <row r="67" spans="1:4" outlineLevel="2" x14ac:dyDescent="0.25">
      <c r="C67" s="103" t="s">
        <v>581</v>
      </c>
      <c r="D67" s="103" t="s">
        <v>1450</v>
      </c>
    </row>
    <row r="68" spans="1:4" outlineLevel="2" x14ac:dyDescent="0.25">
      <c r="C68" s="103" t="s">
        <v>581</v>
      </c>
      <c r="D68" s="103" t="s">
        <v>26</v>
      </c>
    </row>
    <row r="69" spans="1:4" outlineLevel="2" x14ac:dyDescent="0.25">
      <c r="C69" s="103" t="s">
        <v>581</v>
      </c>
      <c r="D69" s="103" t="s">
        <v>27</v>
      </c>
    </row>
    <row r="70" spans="1:4" outlineLevel="2" x14ac:dyDescent="0.25">
      <c r="C70" s="103" t="s">
        <v>581</v>
      </c>
      <c r="D70" s="103" t="s">
        <v>28</v>
      </c>
    </row>
    <row r="71" spans="1:4" outlineLevel="2" x14ac:dyDescent="0.25">
      <c r="C71" s="109" t="s">
        <v>239</v>
      </c>
      <c r="D71" s="103" t="s">
        <v>582</v>
      </c>
    </row>
    <row r="72" spans="1:4" outlineLevel="2" x14ac:dyDescent="0.25">
      <c r="C72" s="103" t="s">
        <v>239</v>
      </c>
      <c r="D72" s="103" t="s">
        <v>34</v>
      </c>
    </row>
    <row r="73" spans="1:4" outlineLevel="2" x14ac:dyDescent="0.25">
      <c r="C73" s="103" t="s">
        <v>239</v>
      </c>
      <c r="D73" s="103" t="s">
        <v>35</v>
      </c>
    </row>
    <row r="74" spans="1:4" outlineLevel="1" x14ac:dyDescent="0.25"/>
    <row r="75" spans="1:4" outlineLevel="1" x14ac:dyDescent="0.25">
      <c r="C75" s="91" t="s">
        <v>1221</v>
      </c>
    </row>
    <row r="77" spans="1:4" s="359" customFormat="1" ht="15.75" x14ac:dyDescent="0.25">
      <c r="A77" s="101"/>
      <c r="B77" s="101"/>
      <c r="C77" s="357" t="s">
        <v>803</v>
      </c>
      <c r="D77" s="366" t="s">
        <v>1491</v>
      </c>
    </row>
    <row r="79" spans="1:4" x14ac:dyDescent="0.25">
      <c r="C79" s="91" t="s">
        <v>1222</v>
      </c>
    </row>
    <row r="80" spans="1:4" x14ac:dyDescent="0.25">
      <c r="C80" s="355" t="s">
        <v>984</v>
      </c>
      <c r="D80" s="110"/>
    </row>
    <row r="81" spans="3:4" outlineLevel="1" x14ac:dyDescent="0.25">
      <c r="C81" s="91" t="s">
        <v>1223</v>
      </c>
    </row>
    <row r="82" spans="3:4" outlineLevel="1" x14ac:dyDescent="0.25">
      <c r="C82" s="91" t="s">
        <v>1224</v>
      </c>
    </row>
    <row r="83" spans="3:4" outlineLevel="1" x14ac:dyDescent="0.25"/>
    <row r="84" spans="3:4" outlineLevel="1" x14ac:dyDescent="0.25">
      <c r="C84" s="107" t="s">
        <v>986</v>
      </c>
      <c r="D84" s="107" t="s">
        <v>987</v>
      </c>
    </row>
    <row r="85" spans="3:4" ht="66.75" customHeight="1" outlineLevel="1" x14ac:dyDescent="0.25">
      <c r="C85" s="111" t="s">
        <v>681</v>
      </c>
      <c r="D85" s="112" t="s">
        <v>1225</v>
      </c>
    </row>
    <row r="86" spans="3:4" ht="45" outlineLevel="1" x14ac:dyDescent="0.25">
      <c r="C86" s="111" t="s">
        <v>338</v>
      </c>
      <c r="D86" s="113" t="s">
        <v>1226</v>
      </c>
    </row>
    <row r="87" spans="3:4" ht="75" outlineLevel="1" x14ac:dyDescent="0.25">
      <c r="C87" s="114" t="s">
        <v>683</v>
      </c>
      <c r="D87" s="115" t="s">
        <v>1227</v>
      </c>
    </row>
    <row r="88" spans="3:4" ht="33" customHeight="1" outlineLevel="1" x14ac:dyDescent="0.25">
      <c r="C88" s="116" t="s">
        <v>685</v>
      </c>
      <c r="D88" s="117" t="s">
        <v>1228</v>
      </c>
    </row>
    <row r="89" spans="3:4" ht="153.75" customHeight="1" outlineLevel="1" x14ac:dyDescent="0.25">
      <c r="C89" s="118"/>
      <c r="D89" s="119" t="e" vm="1">
        <v>#VALUE!</v>
      </c>
    </row>
    <row r="90" spans="3:4" ht="60" outlineLevel="1" x14ac:dyDescent="0.25">
      <c r="C90" s="120" t="s">
        <v>827</v>
      </c>
      <c r="D90" s="121" t="s">
        <v>1229</v>
      </c>
    </row>
    <row r="91" spans="3:4" outlineLevel="1" x14ac:dyDescent="0.25">
      <c r="C91" s="122" t="s">
        <v>991</v>
      </c>
      <c r="D91" s="123" t="s">
        <v>1230</v>
      </c>
    </row>
    <row r="92" spans="3:4" outlineLevel="1" x14ac:dyDescent="0.25">
      <c r="C92" s="122" t="s">
        <v>993</v>
      </c>
      <c r="D92" s="123" t="s">
        <v>1231</v>
      </c>
    </row>
    <row r="93" spans="3:4" outlineLevel="1" x14ac:dyDescent="0.25">
      <c r="C93" s="122" t="s">
        <v>1529</v>
      </c>
      <c r="D93" s="123" t="s">
        <v>1232</v>
      </c>
    </row>
    <row r="94" spans="3:4" ht="75" outlineLevel="1" x14ac:dyDescent="0.25">
      <c r="C94" s="124" t="s">
        <v>587</v>
      </c>
      <c r="D94" s="113" t="s">
        <v>1233</v>
      </c>
    </row>
    <row r="95" spans="3:4" outlineLevel="1" x14ac:dyDescent="0.25">
      <c r="C95" s="124" t="s">
        <v>588</v>
      </c>
      <c r="D95" s="125" t="s">
        <v>1234</v>
      </c>
    </row>
    <row r="96" spans="3:4" outlineLevel="1" x14ac:dyDescent="0.25">
      <c r="C96" s="124" t="s">
        <v>804</v>
      </c>
      <c r="D96" s="125" t="s">
        <v>1235</v>
      </c>
    </row>
    <row r="97" spans="3:6" outlineLevel="1" x14ac:dyDescent="0.25">
      <c r="C97" s="124" t="s">
        <v>729</v>
      </c>
      <c r="D97" s="125" t="s">
        <v>1236</v>
      </c>
    </row>
    <row r="98" spans="3:6" outlineLevel="1" x14ac:dyDescent="0.25">
      <c r="C98" s="124" t="s">
        <v>717</v>
      </c>
      <c r="D98" s="125" t="s">
        <v>1237</v>
      </c>
    </row>
    <row r="99" spans="3:6" outlineLevel="1" x14ac:dyDescent="0.25">
      <c r="C99" s="124" t="s">
        <v>1238</v>
      </c>
      <c r="D99" s="125" t="s">
        <v>809</v>
      </c>
    </row>
    <row r="100" spans="3:6" outlineLevel="1" x14ac:dyDescent="0.25">
      <c r="C100" s="124" t="s">
        <v>1239</v>
      </c>
      <c r="D100" s="125" t="s">
        <v>810</v>
      </c>
    </row>
    <row r="101" spans="3:6" outlineLevel="1" x14ac:dyDescent="0.25">
      <c r="C101" s="126" t="s">
        <v>1001</v>
      </c>
      <c r="D101" s="125" t="s">
        <v>1240</v>
      </c>
    </row>
    <row r="102" spans="3:6" outlineLevel="1" x14ac:dyDescent="0.25">
      <c r="C102" s="124" t="s">
        <v>806</v>
      </c>
      <c r="D102" s="125" t="s">
        <v>1241</v>
      </c>
    </row>
    <row r="103" spans="3:6" outlineLevel="1" x14ac:dyDescent="0.25"/>
    <row r="104" spans="3:6" outlineLevel="1" x14ac:dyDescent="0.25">
      <c r="C104" s="127" t="s">
        <v>1242</v>
      </c>
    </row>
    <row r="105" spans="3:6" outlineLevel="2" x14ac:dyDescent="0.25">
      <c r="C105" s="128" t="s">
        <v>40</v>
      </c>
      <c r="D105" s="107" t="s">
        <v>41</v>
      </c>
      <c r="E105" s="129" t="s">
        <v>1243</v>
      </c>
      <c r="F105" s="130"/>
    </row>
    <row r="106" spans="3:6" outlineLevel="2" x14ac:dyDescent="0.25">
      <c r="C106" s="131" t="s">
        <v>667</v>
      </c>
      <c r="D106" s="132"/>
      <c r="E106" s="133"/>
      <c r="F106" s="134"/>
    </row>
    <row r="107" spans="3:6" outlineLevel="2" x14ac:dyDescent="0.25">
      <c r="C107" s="135">
        <v>15000000</v>
      </c>
      <c r="D107" s="136" t="s">
        <v>638</v>
      </c>
      <c r="E107" s="137" t="s">
        <v>1244</v>
      </c>
      <c r="F107" s="138"/>
    </row>
    <row r="108" spans="3:6" ht="45" outlineLevel="2" x14ac:dyDescent="0.25">
      <c r="C108" s="139">
        <v>15000010</v>
      </c>
      <c r="D108" s="140" t="s">
        <v>639</v>
      </c>
      <c r="E108" s="141" t="s">
        <v>1245</v>
      </c>
      <c r="F108" s="142"/>
    </row>
    <row r="109" spans="3:6" ht="30" outlineLevel="2" x14ac:dyDescent="0.25">
      <c r="C109" s="139">
        <v>15000020</v>
      </c>
      <c r="D109" s="140" t="s">
        <v>640</v>
      </c>
      <c r="E109" s="141" t="s">
        <v>1246</v>
      </c>
      <c r="F109" s="142"/>
    </row>
    <row r="110" spans="3:6" ht="30" outlineLevel="2" x14ac:dyDescent="0.25">
      <c r="C110" s="139">
        <v>15000030</v>
      </c>
      <c r="D110" s="140" t="s">
        <v>641</v>
      </c>
      <c r="E110" s="141" t="s">
        <v>1247</v>
      </c>
      <c r="F110" s="142"/>
    </row>
    <row r="111" spans="3:6" ht="30" outlineLevel="2" x14ac:dyDescent="0.25">
      <c r="C111" s="139">
        <v>15000040</v>
      </c>
      <c r="D111" s="140" t="s">
        <v>642</v>
      </c>
      <c r="E111" s="141" t="s">
        <v>1248</v>
      </c>
      <c r="F111" s="142"/>
    </row>
    <row r="112" spans="3:6" ht="30" outlineLevel="2" x14ac:dyDescent="0.25">
      <c r="C112" s="139">
        <v>15000050</v>
      </c>
      <c r="D112" s="140" t="s">
        <v>643</v>
      </c>
      <c r="E112" s="141" t="s">
        <v>1249</v>
      </c>
      <c r="F112" s="142"/>
    </row>
    <row r="113" spans="1:6" ht="30" outlineLevel="2" x14ac:dyDescent="0.25">
      <c r="C113" s="139">
        <v>15000060</v>
      </c>
      <c r="D113" s="140" t="s">
        <v>644</v>
      </c>
      <c r="E113" s="141" t="s">
        <v>1250</v>
      </c>
      <c r="F113" s="142"/>
    </row>
    <row r="114" spans="1:6" ht="30" outlineLevel="2" x14ac:dyDescent="0.25">
      <c r="C114" s="143">
        <v>15000070</v>
      </c>
      <c r="D114" s="144" t="s">
        <v>645</v>
      </c>
      <c r="E114" s="145" t="s">
        <v>1251</v>
      </c>
      <c r="F114" s="142"/>
    </row>
    <row r="115" spans="1:6" ht="16.5" customHeight="1" outlineLevel="2" x14ac:dyDescent="0.25">
      <c r="C115" s="143">
        <v>15000080</v>
      </c>
      <c r="D115" s="144" t="s">
        <v>646</v>
      </c>
      <c r="E115" s="145" t="s">
        <v>1252</v>
      </c>
      <c r="F115" s="142"/>
    </row>
    <row r="116" spans="1:6" ht="30" outlineLevel="2" x14ac:dyDescent="0.25">
      <c r="C116" s="143">
        <v>15200000</v>
      </c>
      <c r="D116" s="144" t="s">
        <v>648</v>
      </c>
      <c r="E116" s="145" t="s">
        <v>1253</v>
      </c>
      <c r="F116" s="138"/>
    </row>
    <row r="117" spans="1:6" outlineLevel="2" x14ac:dyDescent="0.25">
      <c r="C117" s="146" t="s">
        <v>1254</v>
      </c>
      <c r="D117" s="147"/>
      <c r="E117" s="148"/>
      <c r="F117" s="134"/>
    </row>
    <row r="118" spans="1:6" ht="60" outlineLevel="2" x14ac:dyDescent="0.25">
      <c r="C118" s="143">
        <v>15020010</v>
      </c>
      <c r="D118" s="144" t="s">
        <v>650</v>
      </c>
      <c r="E118" s="145" t="s">
        <v>1255</v>
      </c>
      <c r="F118" s="142"/>
    </row>
    <row r="119" spans="1:6" ht="45" outlineLevel="2" x14ac:dyDescent="0.25">
      <c r="C119" s="143">
        <v>15020020</v>
      </c>
      <c r="D119" s="144" t="s">
        <v>651</v>
      </c>
      <c r="E119" s="145" t="s">
        <v>1256</v>
      </c>
      <c r="F119" s="142"/>
    </row>
    <row r="120" spans="1:6" ht="30" outlineLevel="2" x14ac:dyDescent="0.25">
      <c r="C120" s="143">
        <v>15020030</v>
      </c>
      <c r="D120" s="144" t="s">
        <v>652</v>
      </c>
      <c r="E120" s="145" t="s">
        <v>1257</v>
      </c>
      <c r="F120" s="142"/>
    </row>
    <row r="121" spans="1:6" ht="30" outlineLevel="2" x14ac:dyDescent="0.25">
      <c r="C121" s="143">
        <v>15020040</v>
      </c>
      <c r="D121" s="144" t="s">
        <v>653</v>
      </c>
      <c r="E121" s="145" t="s">
        <v>1258</v>
      </c>
      <c r="F121" s="142"/>
    </row>
    <row r="122" spans="1:6" outlineLevel="2" x14ac:dyDescent="0.25">
      <c r="C122" s="143">
        <v>15020080</v>
      </c>
      <c r="D122" s="144" t="s">
        <v>654</v>
      </c>
      <c r="E122" s="145" t="s">
        <v>1259</v>
      </c>
      <c r="F122" s="142"/>
    </row>
    <row r="123" spans="1:6" ht="45" outlineLevel="2" x14ac:dyDescent="0.25">
      <c r="C123" s="149">
        <v>15020090</v>
      </c>
      <c r="D123" s="150" t="s">
        <v>704</v>
      </c>
      <c r="E123" s="151" t="s">
        <v>1260</v>
      </c>
      <c r="F123" s="142"/>
    </row>
    <row r="124" spans="1:6" outlineLevel="2" x14ac:dyDescent="0.25">
      <c r="C124" s="360"/>
      <c r="D124" s="138"/>
      <c r="E124" s="142"/>
      <c r="F124" s="142"/>
    </row>
    <row r="125" spans="1:6" s="363" customFormat="1" ht="15.75" x14ac:dyDescent="0.25">
      <c r="A125" s="152"/>
      <c r="B125" s="152"/>
      <c r="C125" s="361" t="s">
        <v>1497</v>
      </c>
      <c r="D125" s="362" t="s">
        <v>516</v>
      </c>
    </row>
    <row r="127" spans="1:6" outlineLevel="1" x14ac:dyDescent="0.25">
      <c r="C127" s="91" t="s">
        <v>1261</v>
      </c>
    </row>
    <row r="128" spans="1:6" outlineLevel="1" x14ac:dyDescent="0.25">
      <c r="C128" s="91" t="s">
        <v>1262</v>
      </c>
    </row>
    <row r="129" spans="3:6" outlineLevel="1" x14ac:dyDescent="0.25">
      <c r="C129" s="91" t="s">
        <v>1263</v>
      </c>
    </row>
    <row r="130" spans="3:6" outlineLevel="1" x14ac:dyDescent="0.25"/>
    <row r="131" spans="3:6" outlineLevel="1" x14ac:dyDescent="0.25">
      <c r="C131" s="370" t="s">
        <v>1501</v>
      </c>
      <c r="D131" s="370"/>
      <c r="E131" s="370" t="s">
        <v>1502</v>
      </c>
      <c r="F131" s="370"/>
    </row>
    <row r="132" spans="3:6" ht="75" outlineLevel="1" x14ac:dyDescent="0.25">
      <c r="C132" s="153" t="s">
        <v>456</v>
      </c>
      <c r="D132" s="154" t="s">
        <v>1264</v>
      </c>
      <c r="E132" s="153" t="s">
        <v>668</v>
      </c>
      <c r="F132" s="154" t="s">
        <v>1503</v>
      </c>
    </row>
    <row r="133" spans="3:6" ht="49.5" customHeight="1" outlineLevel="1" x14ac:dyDescent="0.25">
      <c r="C133" s="153" t="s">
        <v>460</v>
      </c>
      <c r="D133" s="154" t="s">
        <v>1265</v>
      </c>
      <c r="E133" s="371"/>
      <c r="F133" s="372"/>
    </row>
    <row r="134" spans="3:6" ht="45" outlineLevel="1" x14ac:dyDescent="0.25">
      <c r="C134" s="155" t="s">
        <v>829</v>
      </c>
      <c r="D134" s="156" t="s">
        <v>1266</v>
      </c>
      <c r="E134" s="373"/>
      <c r="F134" s="372"/>
    </row>
    <row r="135" spans="3:6" ht="60" outlineLevel="1" x14ac:dyDescent="0.25">
      <c r="C135" s="155" t="s">
        <v>1024</v>
      </c>
      <c r="D135" s="156" t="s">
        <v>1267</v>
      </c>
      <c r="E135" s="155" t="s">
        <v>1024</v>
      </c>
      <c r="F135" s="156" t="s">
        <v>1267</v>
      </c>
    </row>
    <row r="136" spans="3:6" ht="60" outlineLevel="1" x14ac:dyDescent="0.25">
      <c r="C136" s="153" t="s">
        <v>827</v>
      </c>
      <c r="D136" s="154" t="s">
        <v>1268</v>
      </c>
      <c r="E136" s="153" t="s">
        <v>827</v>
      </c>
      <c r="F136" s="154" t="s">
        <v>1268</v>
      </c>
    </row>
    <row r="137" spans="3:6" ht="15" customHeight="1" outlineLevel="1" x14ac:dyDescent="0.25">
      <c r="C137" s="153" t="s">
        <v>830</v>
      </c>
      <c r="D137" s="154" t="s">
        <v>1269</v>
      </c>
      <c r="E137" s="153" t="s">
        <v>830</v>
      </c>
      <c r="F137" s="154" t="s">
        <v>1269</v>
      </c>
    </row>
    <row r="138" spans="3:6" ht="150" outlineLevel="1" x14ac:dyDescent="0.25">
      <c r="C138" s="157" t="s">
        <v>510</v>
      </c>
      <c r="D138" s="154" t="s">
        <v>1270</v>
      </c>
      <c r="E138" s="157" t="s">
        <v>510</v>
      </c>
      <c r="F138" s="154" t="s">
        <v>1270</v>
      </c>
    </row>
    <row r="139" spans="3:6" ht="135" outlineLevel="1" x14ac:dyDescent="0.25">
      <c r="C139" s="157" t="s">
        <v>511</v>
      </c>
      <c r="D139" s="158" t="s">
        <v>1271</v>
      </c>
      <c r="E139" s="157" t="s">
        <v>511</v>
      </c>
      <c r="F139" s="158" t="s">
        <v>1271</v>
      </c>
    </row>
    <row r="140" spans="3:6" ht="30" outlineLevel="1" x14ac:dyDescent="0.25">
      <c r="C140" s="157" t="s">
        <v>512</v>
      </c>
      <c r="D140" s="158" t="s">
        <v>1272</v>
      </c>
      <c r="E140" s="157" t="s">
        <v>512</v>
      </c>
      <c r="F140" s="158" t="s">
        <v>1272</v>
      </c>
    </row>
    <row r="141" spans="3:6" ht="60" outlineLevel="1" x14ac:dyDescent="0.25">
      <c r="C141" s="157" t="s">
        <v>514</v>
      </c>
      <c r="D141" s="158" t="s">
        <v>1273</v>
      </c>
      <c r="E141" s="157" t="s">
        <v>514</v>
      </c>
      <c r="F141" s="158" t="s">
        <v>1273</v>
      </c>
    </row>
    <row r="142" spans="3:6" ht="45" outlineLevel="1" x14ac:dyDescent="0.25">
      <c r="C142" s="157" t="s">
        <v>339</v>
      </c>
      <c r="D142" s="158" t="s">
        <v>1274</v>
      </c>
      <c r="E142" s="157" t="s">
        <v>339</v>
      </c>
      <c r="F142" s="158" t="s">
        <v>1274</v>
      </c>
    </row>
    <row r="143" spans="3:6" ht="60" outlineLevel="1" x14ac:dyDescent="0.25">
      <c r="C143" s="157" t="s">
        <v>513</v>
      </c>
      <c r="D143" s="158" t="s">
        <v>1275</v>
      </c>
      <c r="E143" s="157" t="s">
        <v>513</v>
      </c>
      <c r="F143" s="158" t="s">
        <v>1275</v>
      </c>
    </row>
    <row r="144" spans="3:6" ht="75" outlineLevel="1" x14ac:dyDescent="0.25">
      <c r="C144" s="157" t="s">
        <v>962</v>
      </c>
      <c r="D144" s="158" t="s">
        <v>1276</v>
      </c>
      <c r="E144" s="157" t="s">
        <v>962</v>
      </c>
      <c r="F144" s="158" t="s">
        <v>1276</v>
      </c>
    </row>
    <row r="145" spans="3:14" outlineLevel="1" x14ac:dyDescent="0.25"/>
    <row r="147" spans="3:14" x14ac:dyDescent="0.25">
      <c r="C147" s="127" t="s">
        <v>1045</v>
      </c>
    </row>
    <row r="148" spans="3:14" outlineLevel="2" x14ac:dyDescent="0.25">
      <c r="C148" s="107" t="s">
        <v>1046</v>
      </c>
      <c r="D148" s="107" t="s">
        <v>1047</v>
      </c>
      <c r="E148" s="129" t="s">
        <v>1048</v>
      </c>
      <c r="F148" s="129" t="s">
        <v>1049</v>
      </c>
      <c r="G148" s="165" t="s">
        <v>1050</v>
      </c>
      <c r="H148" s="166"/>
      <c r="L148" s="167"/>
      <c r="M148" s="167"/>
      <c r="N148" s="167"/>
    </row>
    <row r="149" spans="3:14" outlineLevel="4" x14ac:dyDescent="0.25">
      <c r="C149" s="160">
        <v>50200010</v>
      </c>
      <c r="D149" s="141" t="s">
        <v>1051</v>
      </c>
      <c r="E149" s="141" t="s">
        <v>1287</v>
      </c>
      <c r="F149" s="161" t="s">
        <v>463</v>
      </c>
      <c r="G149" s="168" t="s">
        <v>1053</v>
      </c>
      <c r="H149" s="169"/>
      <c r="L149" s="368"/>
      <c r="M149" s="368"/>
      <c r="N149" s="368"/>
    </row>
    <row r="150" spans="3:14" outlineLevel="4" x14ac:dyDescent="0.25">
      <c r="C150" s="160">
        <v>50300010</v>
      </c>
      <c r="D150" s="141" t="s">
        <v>48</v>
      </c>
      <c r="E150" s="141" t="s">
        <v>1288</v>
      </c>
      <c r="F150" s="162" t="s">
        <v>464</v>
      </c>
      <c r="G150" s="170" t="s">
        <v>50</v>
      </c>
      <c r="H150" s="169"/>
      <c r="L150" s="368"/>
      <c r="M150" s="368"/>
      <c r="N150" s="368"/>
    </row>
    <row r="151" spans="3:14" outlineLevel="4" x14ac:dyDescent="0.25">
      <c r="C151" s="160">
        <v>50300020</v>
      </c>
      <c r="D151" s="141" t="s">
        <v>51</v>
      </c>
      <c r="E151" s="141" t="s">
        <v>1289</v>
      </c>
      <c r="F151" s="141" t="s">
        <v>464</v>
      </c>
      <c r="G151" s="170" t="s">
        <v>50</v>
      </c>
      <c r="H151" s="169"/>
      <c r="L151" s="368"/>
      <c r="M151" s="368"/>
      <c r="N151" s="368"/>
    </row>
    <row r="152" spans="3:14" outlineLevel="4" x14ac:dyDescent="0.25">
      <c r="C152" s="160">
        <v>50300030</v>
      </c>
      <c r="D152" s="141" t="s">
        <v>53</v>
      </c>
      <c r="E152" s="141" t="s">
        <v>1290</v>
      </c>
      <c r="F152" s="141" t="s">
        <v>464</v>
      </c>
      <c r="G152" s="170" t="s">
        <v>50</v>
      </c>
      <c r="H152" s="169"/>
      <c r="L152" s="368"/>
      <c r="M152" s="368"/>
      <c r="N152" s="368"/>
    </row>
    <row r="153" spans="3:14" outlineLevel="4" x14ac:dyDescent="0.25">
      <c r="C153" s="160">
        <v>50300040</v>
      </c>
      <c r="D153" s="141" t="s">
        <v>55</v>
      </c>
      <c r="E153" s="141" t="s">
        <v>1291</v>
      </c>
      <c r="F153" s="141" t="s">
        <v>464</v>
      </c>
      <c r="G153" s="170" t="s">
        <v>50</v>
      </c>
      <c r="H153" s="169"/>
      <c r="L153" s="368"/>
      <c r="M153" s="368"/>
      <c r="N153" s="368"/>
    </row>
    <row r="154" spans="3:14" outlineLevel="4" x14ac:dyDescent="0.25">
      <c r="C154" s="160">
        <v>50300050</v>
      </c>
      <c r="D154" s="141" t="s">
        <v>57</v>
      </c>
      <c r="E154" s="141" t="s">
        <v>1292</v>
      </c>
      <c r="F154" s="141" t="s">
        <v>464</v>
      </c>
      <c r="G154" s="170" t="s">
        <v>50</v>
      </c>
      <c r="H154" s="169"/>
      <c r="L154" s="368"/>
      <c r="M154" s="368"/>
      <c r="N154" s="368"/>
    </row>
    <row r="155" spans="3:14" outlineLevel="4" x14ac:dyDescent="0.25">
      <c r="C155" s="160">
        <v>50300060</v>
      </c>
      <c r="D155" s="141" t="s">
        <v>1059</v>
      </c>
      <c r="E155" s="141" t="s">
        <v>1293</v>
      </c>
      <c r="F155" s="141" t="s">
        <v>464</v>
      </c>
      <c r="G155" s="170" t="s">
        <v>50</v>
      </c>
      <c r="H155" s="169"/>
      <c r="L155" s="368"/>
      <c r="M155" s="368"/>
      <c r="N155" s="368"/>
    </row>
    <row r="156" spans="3:14" outlineLevel="4" x14ac:dyDescent="0.25">
      <c r="C156" s="160">
        <v>50300070</v>
      </c>
      <c r="D156" s="141" t="s">
        <v>508</v>
      </c>
      <c r="E156" s="141" t="s">
        <v>1294</v>
      </c>
      <c r="F156" s="145" t="s">
        <v>464</v>
      </c>
      <c r="G156" s="170" t="s">
        <v>50</v>
      </c>
      <c r="H156" s="169"/>
      <c r="L156" s="368"/>
      <c r="M156" s="368"/>
      <c r="N156" s="368"/>
    </row>
    <row r="157" spans="3:14" outlineLevel="4" x14ac:dyDescent="0.25">
      <c r="C157" s="160">
        <v>50300080</v>
      </c>
      <c r="D157" s="141" t="s">
        <v>63</v>
      </c>
      <c r="E157" s="141" t="s">
        <v>1295</v>
      </c>
      <c r="F157" s="145" t="s">
        <v>464</v>
      </c>
      <c r="G157" s="170" t="s">
        <v>50</v>
      </c>
      <c r="H157" s="169"/>
      <c r="L157" s="368"/>
      <c r="M157" s="368"/>
      <c r="N157" s="368"/>
    </row>
    <row r="158" spans="3:14" outlineLevel="4" x14ac:dyDescent="0.25">
      <c r="C158" s="160">
        <v>50300090</v>
      </c>
      <c r="D158" s="141" t="s">
        <v>65</v>
      </c>
      <c r="E158" s="141" t="s">
        <v>1296</v>
      </c>
      <c r="F158" s="145" t="s">
        <v>464</v>
      </c>
      <c r="G158" s="170" t="s">
        <v>50</v>
      </c>
      <c r="H158" s="169"/>
      <c r="L158" s="368"/>
      <c r="M158" s="368"/>
      <c r="N158" s="368"/>
    </row>
    <row r="159" spans="3:14" outlineLevel="4" x14ac:dyDescent="0.25">
      <c r="C159" s="160">
        <v>50300100</v>
      </c>
      <c r="D159" s="141" t="s">
        <v>67</v>
      </c>
      <c r="E159" s="141" t="s">
        <v>1297</v>
      </c>
      <c r="F159" s="145" t="s">
        <v>464</v>
      </c>
      <c r="G159" s="170" t="s">
        <v>50</v>
      </c>
      <c r="H159" s="169"/>
      <c r="L159" s="368"/>
      <c r="M159" s="368"/>
      <c r="N159" s="368"/>
    </row>
    <row r="160" spans="3:14" outlineLevel="4" x14ac:dyDescent="0.25">
      <c r="C160" s="160">
        <v>50300110</v>
      </c>
      <c r="D160" s="141" t="s">
        <v>1065</v>
      </c>
      <c r="E160" s="141" t="s">
        <v>1298</v>
      </c>
      <c r="F160" s="145" t="s">
        <v>464</v>
      </c>
      <c r="G160" s="170" t="s">
        <v>50</v>
      </c>
      <c r="H160" s="169"/>
      <c r="L160" s="368"/>
      <c r="M160" s="368"/>
      <c r="N160" s="368"/>
    </row>
    <row r="161" spans="3:14" outlineLevel="4" x14ac:dyDescent="0.25">
      <c r="C161" s="160">
        <v>50300120</v>
      </c>
      <c r="D161" s="141" t="s">
        <v>1067</v>
      </c>
      <c r="E161" s="141" t="s">
        <v>1299</v>
      </c>
      <c r="F161" s="145" t="s">
        <v>464</v>
      </c>
      <c r="G161" s="170" t="s">
        <v>50</v>
      </c>
      <c r="H161" s="169"/>
      <c r="L161" s="368"/>
      <c r="M161" s="368"/>
      <c r="N161" s="368"/>
    </row>
    <row r="162" spans="3:14" outlineLevel="4" x14ac:dyDescent="0.25">
      <c r="C162" s="160">
        <v>50300990</v>
      </c>
      <c r="D162" s="141" t="s">
        <v>71</v>
      </c>
      <c r="E162" s="141" t="s">
        <v>1300</v>
      </c>
      <c r="F162" s="145" t="s">
        <v>464</v>
      </c>
      <c r="G162" s="170" t="s">
        <v>50</v>
      </c>
      <c r="H162" s="169"/>
      <c r="L162" s="368"/>
      <c r="M162" s="368"/>
      <c r="N162" s="368"/>
    </row>
    <row r="163" spans="3:14" outlineLevel="4" x14ac:dyDescent="0.25">
      <c r="C163" s="160">
        <v>50400010</v>
      </c>
      <c r="D163" s="141" t="s">
        <v>1070</v>
      </c>
      <c r="E163" s="141" t="s">
        <v>1301</v>
      </c>
      <c r="F163" s="145" t="s">
        <v>465</v>
      </c>
      <c r="G163" s="170" t="s">
        <v>50</v>
      </c>
      <c r="H163" s="169"/>
      <c r="L163" s="368"/>
      <c r="M163" s="368"/>
      <c r="N163" s="368"/>
    </row>
    <row r="164" spans="3:14" outlineLevel="4" x14ac:dyDescent="0.25">
      <c r="C164" s="160">
        <v>50500010</v>
      </c>
      <c r="D164" s="141" t="s">
        <v>1072</v>
      </c>
      <c r="E164" s="141" t="s">
        <v>1302</v>
      </c>
      <c r="F164" s="145" t="s">
        <v>466</v>
      </c>
      <c r="G164" s="168" t="s">
        <v>1053</v>
      </c>
      <c r="H164" s="169"/>
      <c r="L164" s="368"/>
      <c r="M164" s="368"/>
      <c r="N164" s="368"/>
    </row>
    <row r="165" spans="3:14" outlineLevel="4" x14ac:dyDescent="0.25">
      <c r="C165" s="160">
        <v>50500020</v>
      </c>
      <c r="D165" s="141" t="s">
        <v>509</v>
      </c>
      <c r="E165" s="141" t="s">
        <v>1303</v>
      </c>
      <c r="F165" s="145" t="s">
        <v>466</v>
      </c>
      <c r="G165" s="168" t="s">
        <v>1053</v>
      </c>
      <c r="H165" s="169"/>
      <c r="L165" s="368"/>
      <c r="M165" s="368"/>
      <c r="N165" s="368"/>
    </row>
    <row r="166" spans="3:14" outlineLevel="4" x14ac:dyDescent="0.25">
      <c r="C166" s="160">
        <v>50500030</v>
      </c>
      <c r="D166" s="141" t="s">
        <v>1075</v>
      </c>
      <c r="E166" s="141" t="s">
        <v>1304</v>
      </c>
      <c r="F166" s="145" t="s">
        <v>466</v>
      </c>
      <c r="G166" s="168" t="s">
        <v>1053</v>
      </c>
      <c r="H166" s="169"/>
      <c r="L166" s="368"/>
      <c r="M166" s="368"/>
      <c r="N166" s="368"/>
    </row>
    <row r="167" spans="3:14" outlineLevel="4" x14ac:dyDescent="0.25">
      <c r="C167" s="160">
        <v>50500040</v>
      </c>
      <c r="D167" s="141" t="s">
        <v>111</v>
      </c>
      <c r="E167" s="141" t="s">
        <v>1305</v>
      </c>
      <c r="F167" s="145" t="s">
        <v>466</v>
      </c>
      <c r="G167" s="168" t="s">
        <v>1053</v>
      </c>
      <c r="H167" s="169"/>
      <c r="L167" s="368"/>
      <c r="M167" s="368"/>
      <c r="N167" s="368"/>
    </row>
    <row r="168" spans="3:14" outlineLevel="4" x14ac:dyDescent="0.25">
      <c r="C168" s="160">
        <v>50600010</v>
      </c>
      <c r="D168" s="141" t="s">
        <v>424</v>
      </c>
      <c r="E168" s="141" t="s">
        <v>1306</v>
      </c>
      <c r="F168" s="145" t="s">
        <v>467</v>
      </c>
      <c r="G168" s="168" t="s">
        <v>1053</v>
      </c>
      <c r="H168" s="169"/>
      <c r="L168" s="368"/>
      <c r="M168" s="368"/>
      <c r="N168" s="368"/>
    </row>
    <row r="169" spans="3:14" outlineLevel="4" x14ac:dyDescent="0.25">
      <c r="C169" s="160">
        <v>50600020</v>
      </c>
      <c r="D169" s="141" t="s">
        <v>425</v>
      </c>
      <c r="E169" s="141" t="s">
        <v>1307</v>
      </c>
      <c r="F169" s="145" t="s">
        <v>467</v>
      </c>
      <c r="G169" s="168" t="s">
        <v>1053</v>
      </c>
      <c r="H169" s="169"/>
      <c r="L169" s="368"/>
      <c r="M169" s="368"/>
      <c r="N169" s="368"/>
    </row>
    <row r="170" spans="3:14" outlineLevel="4" x14ac:dyDescent="0.25">
      <c r="C170" s="160">
        <v>50600030</v>
      </c>
      <c r="D170" s="141" t="s">
        <v>1079</v>
      </c>
      <c r="E170" s="141" t="s">
        <v>1308</v>
      </c>
      <c r="F170" s="145" t="s">
        <v>467</v>
      </c>
      <c r="G170" s="168" t="s">
        <v>1053</v>
      </c>
      <c r="H170" s="169"/>
      <c r="L170" s="368"/>
      <c r="M170" s="368"/>
      <c r="N170" s="368"/>
    </row>
    <row r="171" spans="3:14" outlineLevel="4" x14ac:dyDescent="0.25">
      <c r="C171" s="160">
        <v>50600040</v>
      </c>
      <c r="D171" s="141" t="s">
        <v>427</v>
      </c>
      <c r="E171" s="141" t="s">
        <v>1309</v>
      </c>
      <c r="F171" s="145" t="s">
        <v>467</v>
      </c>
      <c r="G171" s="168" t="s">
        <v>1053</v>
      </c>
      <c r="H171" s="169"/>
      <c r="L171" s="368"/>
      <c r="M171" s="368"/>
      <c r="N171" s="368"/>
    </row>
    <row r="172" spans="3:14" outlineLevel="4" x14ac:dyDescent="0.25">
      <c r="C172" s="160">
        <v>50800010</v>
      </c>
      <c r="D172" s="141" t="s">
        <v>1082</v>
      </c>
      <c r="E172" s="141" t="s">
        <v>1310</v>
      </c>
      <c r="F172" s="145" t="s">
        <v>468</v>
      </c>
      <c r="G172" s="168" t="s">
        <v>1053</v>
      </c>
      <c r="H172" s="169"/>
      <c r="L172" s="368"/>
      <c r="M172" s="368"/>
      <c r="N172" s="368"/>
    </row>
    <row r="173" spans="3:14" outlineLevel="4" x14ac:dyDescent="0.25">
      <c r="C173" s="160">
        <v>50800020</v>
      </c>
      <c r="D173" s="141" t="s">
        <v>119</v>
      </c>
      <c r="E173" s="141" t="s">
        <v>1311</v>
      </c>
      <c r="F173" s="145" t="s">
        <v>468</v>
      </c>
      <c r="G173" s="168" t="s">
        <v>1053</v>
      </c>
      <c r="H173" s="169"/>
      <c r="L173" s="368"/>
      <c r="M173" s="368"/>
      <c r="N173" s="368"/>
    </row>
    <row r="174" spans="3:14" outlineLevel="4" x14ac:dyDescent="0.25">
      <c r="C174" s="160">
        <v>50800030</v>
      </c>
      <c r="D174" s="141" t="s">
        <v>122</v>
      </c>
      <c r="E174" s="141" t="s">
        <v>1312</v>
      </c>
      <c r="F174" s="145" t="s">
        <v>468</v>
      </c>
      <c r="G174" s="168" t="s">
        <v>1053</v>
      </c>
      <c r="H174" s="169"/>
      <c r="L174" s="368"/>
      <c r="M174" s="368"/>
      <c r="N174" s="368"/>
    </row>
    <row r="175" spans="3:14" outlineLevel="4" x14ac:dyDescent="0.25">
      <c r="C175" s="160">
        <v>50800040</v>
      </c>
      <c r="D175" s="141" t="s">
        <v>124</v>
      </c>
      <c r="E175" s="141" t="s">
        <v>1313</v>
      </c>
      <c r="F175" s="145" t="s">
        <v>468</v>
      </c>
      <c r="G175" s="168" t="s">
        <v>1053</v>
      </c>
      <c r="H175" s="169"/>
      <c r="L175" s="368"/>
      <c r="M175" s="368"/>
      <c r="N175" s="368"/>
    </row>
    <row r="176" spans="3:14" outlineLevel="4" x14ac:dyDescent="0.25">
      <c r="C176" s="160">
        <v>50800050</v>
      </c>
      <c r="D176" s="141" t="s">
        <v>126</v>
      </c>
      <c r="E176" s="141" t="s">
        <v>1314</v>
      </c>
      <c r="F176" s="145" t="s">
        <v>468</v>
      </c>
      <c r="G176" s="168" t="s">
        <v>1053</v>
      </c>
      <c r="H176" s="169"/>
      <c r="L176" s="368"/>
      <c r="M176" s="368"/>
      <c r="N176" s="368"/>
    </row>
    <row r="177" spans="3:14" outlineLevel="4" x14ac:dyDescent="0.25">
      <c r="C177" s="160">
        <v>50800060</v>
      </c>
      <c r="D177" s="141" t="s">
        <v>128</v>
      </c>
      <c r="E177" s="141" t="s">
        <v>1315</v>
      </c>
      <c r="F177" s="145" t="s">
        <v>468</v>
      </c>
      <c r="G177" s="168" t="s">
        <v>1053</v>
      </c>
      <c r="H177" s="169"/>
      <c r="L177" s="368"/>
      <c r="M177" s="368"/>
      <c r="N177" s="368"/>
    </row>
    <row r="178" spans="3:14" outlineLevel="4" x14ac:dyDescent="0.25">
      <c r="C178" s="160">
        <v>50800070</v>
      </c>
      <c r="D178" s="141" t="s">
        <v>131</v>
      </c>
      <c r="E178" s="141" t="s">
        <v>1316</v>
      </c>
      <c r="F178" s="145" t="s">
        <v>468</v>
      </c>
      <c r="G178" s="168" t="s">
        <v>1053</v>
      </c>
      <c r="H178" s="169"/>
      <c r="L178" s="368"/>
      <c r="M178" s="368"/>
      <c r="N178" s="368"/>
    </row>
    <row r="179" spans="3:14" outlineLevel="4" x14ac:dyDescent="0.25">
      <c r="C179" s="160">
        <v>51100000</v>
      </c>
      <c r="D179" s="141" t="s">
        <v>428</v>
      </c>
      <c r="E179" s="141" t="s">
        <v>1317</v>
      </c>
      <c r="F179" s="145" t="s">
        <v>469</v>
      </c>
      <c r="G179" s="168" t="s">
        <v>1053</v>
      </c>
      <c r="H179" s="169"/>
      <c r="L179" s="368"/>
      <c r="M179" s="368"/>
      <c r="N179" s="368"/>
    </row>
    <row r="180" spans="3:14" outlineLevel="4" x14ac:dyDescent="0.25">
      <c r="C180" s="160">
        <v>51300010</v>
      </c>
      <c r="D180" s="141" t="s">
        <v>438</v>
      </c>
      <c r="E180" s="141" t="s">
        <v>1318</v>
      </c>
      <c r="F180" s="145" t="s">
        <v>471</v>
      </c>
      <c r="G180" s="171" t="s">
        <v>250</v>
      </c>
      <c r="H180" s="169"/>
      <c r="L180" s="368"/>
      <c r="M180" s="368"/>
      <c r="N180" s="368"/>
    </row>
    <row r="181" spans="3:14" outlineLevel="4" x14ac:dyDescent="0.25">
      <c r="C181" s="160">
        <v>51300040</v>
      </c>
      <c r="D181" s="141" t="s">
        <v>441</v>
      </c>
      <c r="E181" s="141" t="s">
        <v>1319</v>
      </c>
      <c r="F181" s="145" t="s">
        <v>471</v>
      </c>
      <c r="G181" s="171" t="s">
        <v>250</v>
      </c>
      <c r="H181" s="169"/>
      <c r="L181" s="368"/>
      <c r="M181" s="368"/>
      <c r="N181" s="368"/>
    </row>
    <row r="182" spans="3:14" outlineLevel="4" x14ac:dyDescent="0.25">
      <c r="C182" s="160">
        <v>51300050</v>
      </c>
      <c r="D182" s="141" t="s">
        <v>442</v>
      </c>
      <c r="E182" s="141" t="s">
        <v>1320</v>
      </c>
      <c r="F182" s="145" t="s">
        <v>471</v>
      </c>
      <c r="G182" s="171" t="s">
        <v>250</v>
      </c>
      <c r="H182" s="169"/>
      <c r="L182" s="368"/>
      <c r="M182" s="368"/>
      <c r="N182" s="368"/>
    </row>
    <row r="183" spans="3:14" outlineLevel="4" x14ac:dyDescent="0.25">
      <c r="C183" s="160">
        <v>51300060</v>
      </c>
      <c r="D183" s="141" t="s">
        <v>443</v>
      </c>
      <c r="E183" s="141" t="s">
        <v>1321</v>
      </c>
      <c r="F183" s="145" t="s">
        <v>471</v>
      </c>
      <c r="G183" s="171" t="s">
        <v>250</v>
      </c>
      <c r="H183" s="169"/>
      <c r="L183" s="368"/>
      <c r="M183" s="368"/>
      <c r="N183" s="368"/>
    </row>
    <row r="184" spans="3:14" outlineLevel="4" x14ac:dyDescent="0.25">
      <c r="C184" s="160">
        <v>51300090</v>
      </c>
      <c r="D184" s="141" t="s">
        <v>446</v>
      </c>
      <c r="E184" s="141" t="s">
        <v>1322</v>
      </c>
      <c r="F184" s="145" t="s">
        <v>471</v>
      </c>
      <c r="G184" s="171" t="s">
        <v>250</v>
      </c>
      <c r="H184" s="169"/>
      <c r="L184" s="368"/>
      <c r="M184" s="368"/>
      <c r="N184" s="368"/>
    </row>
    <row r="185" spans="3:14" outlineLevel="4" x14ac:dyDescent="0.25">
      <c r="C185" s="160">
        <v>51500010</v>
      </c>
      <c r="D185" s="141" t="s">
        <v>1096</v>
      </c>
      <c r="E185" s="141" t="s">
        <v>1323</v>
      </c>
      <c r="F185" s="145" t="s">
        <v>473</v>
      </c>
      <c r="G185" s="168" t="s">
        <v>1053</v>
      </c>
      <c r="H185" s="169"/>
      <c r="L185" s="368"/>
      <c r="M185" s="368"/>
      <c r="N185" s="368"/>
    </row>
    <row r="186" spans="3:14" outlineLevel="4" x14ac:dyDescent="0.25">
      <c r="C186" s="160">
        <v>51600010</v>
      </c>
      <c r="D186" s="141" t="s">
        <v>147</v>
      </c>
      <c r="E186" s="141" t="s">
        <v>1324</v>
      </c>
      <c r="F186" s="145" t="s">
        <v>474</v>
      </c>
      <c r="G186" s="168" t="s">
        <v>1053</v>
      </c>
      <c r="H186" s="169"/>
      <c r="L186" s="368"/>
      <c r="M186" s="368"/>
      <c r="N186" s="368"/>
    </row>
    <row r="187" spans="3:14" outlineLevel="4" x14ac:dyDescent="0.25">
      <c r="C187" s="160">
        <v>51600020</v>
      </c>
      <c r="D187" s="141" t="s">
        <v>148</v>
      </c>
      <c r="E187" s="141" t="s">
        <v>1325</v>
      </c>
      <c r="F187" s="145" t="s">
        <v>474</v>
      </c>
      <c r="G187" s="168" t="s">
        <v>1053</v>
      </c>
      <c r="H187" s="169"/>
      <c r="L187" s="368"/>
      <c r="M187" s="368"/>
      <c r="N187" s="368"/>
    </row>
    <row r="188" spans="3:14" outlineLevel="4" x14ac:dyDescent="0.25">
      <c r="C188" s="160">
        <v>51600030</v>
      </c>
      <c r="D188" s="141" t="s">
        <v>150</v>
      </c>
      <c r="E188" s="141" t="s">
        <v>1326</v>
      </c>
      <c r="F188" s="145" t="s">
        <v>474</v>
      </c>
      <c r="G188" s="168" t="s">
        <v>1053</v>
      </c>
      <c r="H188" s="169"/>
      <c r="L188" s="368"/>
      <c r="M188" s="368"/>
      <c r="N188" s="368"/>
    </row>
    <row r="189" spans="3:14" outlineLevel="4" x14ac:dyDescent="0.25">
      <c r="C189" s="160">
        <v>51600040</v>
      </c>
      <c r="D189" s="141" t="s">
        <v>151</v>
      </c>
      <c r="E189" s="141" t="s">
        <v>1327</v>
      </c>
      <c r="F189" s="145" t="s">
        <v>474</v>
      </c>
      <c r="G189" s="168" t="s">
        <v>1053</v>
      </c>
      <c r="H189" s="169"/>
      <c r="L189" s="368"/>
      <c r="M189" s="368"/>
      <c r="N189" s="368"/>
    </row>
    <row r="190" spans="3:14" outlineLevel="4" x14ac:dyDescent="0.25">
      <c r="C190" s="160">
        <v>51600050</v>
      </c>
      <c r="D190" s="141" t="s">
        <v>449</v>
      </c>
      <c r="E190" s="141" t="s">
        <v>1328</v>
      </c>
      <c r="F190" s="145" t="s">
        <v>474</v>
      </c>
      <c r="G190" s="168" t="s">
        <v>1053</v>
      </c>
      <c r="H190" s="169"/>
      <c r="L190" s="368"/>
      <c r="M190" s="368"/>
      <c r="N190" s="368"/>
    </row>
    <row r="191" spans="3:14" outlineLevel="4" x14ac:dyDescent="0.25">
      <c r="C191" s="160">
        <v>51600070</v>
      </c>
      <c r="D191" s="141" t="s">
        <v>152</v>
      </c>
      <c r="E191" s="141" t="s">
        <v>1329</v>
      </c>
      <c r="F191" s="145" t="s">
        <v>474</v>
      </c>
      <c r="G191" s="168" t="s">
        <v>1053</v>
      </c>
      <c r="H191" s="169"/>
      <c r="L191" s="368"/>
      <c r="M191" s="368"/>
      <c r="N191" s="368"/>
    </row>
    <row r="192" spans="3:14" outlineLevel="4" x14ac:dyDescent="0.25">
      <c r="C192" s="160">
        <v>51700010</v>
      </c>
      <c r="D192" s="141" t="s">
        <v>153</v>
      </c>
      <c r="E192" s="141" t="s">
        <v>1330</v>
      </c>
      <c r="F192" s="145" t="s">
        <v>475</v>
      </c>
      <c r="G192" s="168" t="s">
        <v>1053</v>
      </c>
      <c r="H192" s="169"/>
      <c r="L192" s="368"/>
      <c r="M192" s="368"/>
      <c r="N192" s="368"/>
    </row>
    <row r="193" spans="3:14" outlineLevel="4" x14ac:dyDescent="0.25">
      <c r="C193" s="160">
        <v>51700030</v>
      </c>
      <c r="D193" s="141" t="s">
        <v>155</v>
      </c>
      <c r="E193" s="141" t="s">
        <v>1331</v>
      </c>
      <c r="F193" s="145" t="s">
        <v>475</v>
      </c>
      <c r="G193" s="168" t="s">
        <v>1053</v>
      </c>
      <c r="H193" s="169"/>
      <c r="L193" s="368"/>
      <c r="M193" s="368"/>
      <c r="N193" s="368"/>
    </row>
    <row r="194" spans="3:14" outlineLevel="4" x14ac:dyDescent="0.25">
      <c r="C194" s="160">
        <v>51700040</v>
      </c>
      <c r="D194" s="141" t="s">
        <v>157</v>
      </c>
      <c r="E194" s="141" t="s">
        <v>1332</v>
      </c>
      <c r="F194" s="145" t="s">
        <v>475</v>
      </c>
      <c r="G194" s="168" t="s">
        <v>1053</v>
      </c>
      <c r="H194" s="169"/>
      <c r="L194" s="368"/>
      <c r="M194" s="368"/>
      <c r="N194" s="368"/>
    </row>
    <row r="195" spans="3:14" outlineLevel="4" x14ac:dyDescent="0.25">
      <c r="C195" s="160">
        <v>51700050</v>
      </c>
      <c r="D195" s="141" t="s">
        <v>159</v>
      </c>
      <c r="E195" s="141" t="s">
        <v>1333</v>
      </c>
      <c r="F195" s="145" t="s">
        <v>475</v>
      </c>
      <c r="G195" s="168" t="s">
        <v>1053</v>
      </c>
      <c r="H195" s="169"/>
      <c r="L195" s="368"/>
      <c r="M195" s="368"/>
      <c r="N195" s="368"/>
    </row>
    <row r="196" spans="3:14" outlineLevel="4" x14ac:dyDescent="0.25">
      <c r="C196" s="160">
        <v>51700060</v>
      </c>
      <c r="D196" s="141" t="s">
        <v>161</v>
      </c>
      <c r="E196" s="141" t="s">
        <v>1334</v>
      </c>
      <c r="F196" s="145" t="s">
        <v>475</v>
      </c>
      <c r="G196" s="168" t="s">
        <v>1053</v>
      </c>
      <c r="H196" s="169"/>
      <c r="L196" s="368"/>
      <c r="M196" s="368"/>
      <c r="N196" s="368"/>
    </row>
    <row r="197" spans="3:14" outlineLevel="4" x14ac:dyDescent="0.25">
      <c r="C197" s="160">
        <v>51700070</v>
      </c>
      <c r="D197" s="141" t="s">
        <v>163</v>
      </c>
      <c r="E197" s="141" t="s">
        <v>1335</v>
      </c>
      <c r="F197" s="145" t="s">
        <v>475</v>
      </c>
      <c r="G197" s="168" t="s">
        <v>1053</v>
      </c>
      <c r="H197" s="169"/>
      <c r="L197" s="368"/>
      <c r="M197" s="368"/>
      <c r="N197" s="368"/>
    </row>
    <row r="198" spans="3:14" outlineLevel="4" x14ac:dyDescent="0.25">
      <c r="C198" s="160">
        <v>51800010</v>
      </c>
      <c r="D198" s="141" t="s">
        <v>165</v>
      </c>
      <c r="E198" s="141" t="s">
        <v>1336</v>
      </c>
      <c r="F198" s="145" t="s">
        <v>476</v>
      </c>
      <c r="G198" s="168" t="s">
        <v>1053</v>
      </c>
      <c r="H198" s="169"/>
    </row>
    <row r="199" spans="3:14" outlineLevel="4" x14ac:dyDescent="0.25">
      <c r="C199" s="160">
        <v>51800020</v>
      </c>
      <c r="D199" s="141" t="s">
        <v>168</v>
      </c>
      <c r="E199" s="141" t="s">
        <v>1337</v>
      </c>
      <c r="F199" s="145" t="s">
        <v>476</v>
      </c>
      <c r="G199" s="168" t="s">
        <v>1053</v>
      </c>
      <c r="H199" s="169"/>
    </row>
    <row r="200" spans="3:14" outlineLevel="4" x14ac:dyDescent="0.25">
      <c r="C200" s="160">
        <v>51800030</v>
      </c>
      <c r="D200" s="141" t="s">
        <v>170</v>
      </c>
      <c r="E200" s="141" t="s">
        <v>1338</v>
      </c>
      <c r="F200" s="145" t="s">
        <v>476</v>
      </c>
      <c r="G200" s="168" t="s">
        <v>1053</v>
      </c>
      <c r="H200" s="169"/>
    </row>
    <row r="201" spans="3:14" outlineLevel="4" x14ac:dyDescent="0.25">
      <c r="C201" s="160">
        <v>51800090</v>
      </c>
      <c r="D201" s="141" t="s">
        <v>172</v>
      </c>
      <c r="E201" s="141" t="s">
        <v>1339</v>
      </c>
      <c r="F201" s="145" t="s">
        <v>476</v>
      </c>
      <c r="G201" s="168" t="s">
        <v>1053</v>
      </c>
      <c r="H201" s="169"/>
    </row>
    <row r="202" spans="3:14" outlineLevel="4" x14ac:dyDescent="0.25">
      <c r="C202" s="160">
        <v>51900010</v>
      </c>
      <c r="D202" s="141" t="s">
        <v>174</v>
      </c>
      <c r="E202" s="141" t="s">
        <v>1340</v>
      </c>
      <c r="F202" s="145" t="s">
        <v>340</v>
      </c>
      <c r="G202" s="168" t="s">
        <v>1053</v>
      </c>
      <c r="H202" s="169"/>
    </row>
    <row r="203" spans="3:14" outlineLevel="4" x14ac:dyDescent="0.25">
      <c r="C203" s="160">
        <v>51900020</v>
      </c>
      <c r="D203" s="141" t="s">
        <v>177</v>
      </c>
      <c r="E203" s="141" t="s">
        <v>1341</v>
      </c>
      <c r="F203" s="145" t="s">
        <v>340</v>
      </c>
      <c r="G203" s="168" t="s">
        <v>1053</v>
      </c>
      <c r="H203" s="169"/>
    </row>
    <row r="204" spans="3:14" outlineLevel="4" x14ac:dyDescent="0.25">
      <c r="C204" s="160">
        <v>51900030</v>
      </c>
      <c r="D204" s="141" t="s">
        <v>180</v>
      </c>
      <c r="E204" s="141" t="s">
        <v>1342</v>
      </c>
      <c r="F204" s="145" t="s">
        <v>340</v>
      </c>
      <c r="G204" s="168" t="s">
        <v>1053</v>
      </c>
      <c r="H204" s="169"/>
    </row>
    <row r="205" spans="3:14" outlineLevel="4" x14ac:dyDescent="0.25">
      <c r="C205" s="160">
        <v>51900040</v>
      </c>
      <c r="D205" s="141" t="s">
        <v>182</v>
      </c>
      <c r="E205" s="141" t="s">
        <v>1343</v>
      </c>
      <c r="F205" s="145" t="s">
        <v>340</v>
      </c>
      <c r="G205" s="168" t="s">
        <v>1053</v>
      </c>
      <c r="H205" s="169"/>
    </row>
    <row r="206" spans="3:14" outlineLevel="4" x14ac:dyDescent="0.25">
      <c r="C206" s="160">
        <v>51900090</v>
      </c>
      <c r="D206" s="141" t="s">
        <v>184</v>
      </c>
      <c r="E206" s="141" t="s">
        <v>1344</v>
      </c>
      <c r="F206" s="145" t="s">
        <v>340</v>
      </c>
      <c r="G206" s="168" t="s">
        <v>1053</v>
      </c>
      <c r="H206" s="169"/>
    </row>
    <row r="207" spans="3:14" outlineLevel="4" x14ac:dyDescent="0.25">
      <c r="C207" s="160">
        <v>52100010</v>
      </c>
      <c r="D207" s="141" t="s">
        <v>195</v>
      </c>
      <c r="E207" s="141" t="s">
        <v>1345</v>
      </c>
      <c r="F207" s="145" t="s">
        <v>478</v>
      </c>
      <c r="G207" s="168" t="s">
        <v>1053</v>
      </c>
      <c r="H207" s="169"/>
    </row>
    <row r="208" spans="3:14" outlineLevel="4" x14ac:dyDescent="0.25">
      <c r="C208" s="160">
        <v>52100020</v>
      </c>
      <c r="D208" s="141" t="s">
        <v>198</v>
      </c>
      <c r="E208" s="141" t="s">
        <v>1346</v>
      </c>
      <c r="F208" s="145" t="s">
        <v>478</v>
      </c>
      <c r="G208" s="168" t="s">
        <v>1053</v>
      </c>
      <c r="H208" s="169"/>
    </row>
    <row r="209" spans="3:8" outlineLevel="4" x14ac:dyDescent="0.25">
      <c r="C209" s="160">
        <v>52100030</v>
      </c>
      <c r="D209" s="141" t="s">
        <v>200</v>
      </c>
      <c r="E209" s="141" t="s">
        <v>1347</v>
      </c>
      <c r="F209" s="145" t="s">
        <v>478</v>
      </c>
      <c r="G209" s="168" t="s">
        <v>1053</v>
      </c>
      <c r="H209" s="169"/>
    </row>
    <row r="210" spans="3:8" outlineLevel="4" x14ac:dyDescent="0.25">
      <c r="C210" s="160">
        <v>52100040</v>
      </c>
      <c r="D210" s="141" t="s">
        <v>202</v>
      </c>
      <c r="E210" s="141" t="s">
        <v>1348</v>
      </c>
      <c r="F210" s="145" t="s">
        <v>478</v>
      </c>
      <c r="G210" s="168" t="s">
        <v>1053</v>
      </c>
      <c r="H210" s="169"/>
    </row>
    <row r="211" spans="3:8" outlineLevel="4" x14ac:dyDescent="0.25">
      <c r="C211" s="160">
        <v>52100050</v>
      </c>
      <c r="D211" s="141" t="s">
        <v>204</v>
      </c>
      <c r="E211" s="141" t="s">
        <v>1349</v>
      </c>
      <c r="F211" s="145" t="s">
        <v>478</v>
      </c>
      <c r="G211" s="168" t="s">
        <v>1053</v>
      </c>
      <c r="H211" s="169"/>
    </row>
    <row r="212" spans="3:8" ht="30" outlineLevel="4" x14ac:dyDescent="0.25">
      <c r="C212" s="160">
        <v>52200010</v>
      </c>
      <c r="D212" s="141" t="s">
        <v>206</v>
      </c>
      <c r="E212" s="141" t="s">
        <v>1350</v>
      </c>
      <c r="F212" s="145" t="s">
        <v>479</v>
      </c>
      <c r="G212" s="168" t="s">
        <v>1053</v>
      </c>
      <c r="H212" s="169"/>
    </row>
    <row r="213" spans="3:8" ht="30" outlineLevel="4" x14ac:dyDescent="0.25">
      <c r="C213" s="160">
        <v>52200020</v>
      </c>
      <c r="D213" s="141" t="s">
        <v>208</v>
      </c>
      <c r="E213" s="141" t="s">
        <v>1351</v>
      </c>
      <c r="F213" s="145" t="s">
        <v>479</v>
      </c>
      <c r="G213" s="168" t="s">
        <v>1053</v>
      </c>
      <c r="H213" s="169"/>
    </row>
    <row r="214" spans="3:8" ht="30" outlineLevel="4" x14ac:dyDescent="0.25">
      <c r="C214" s="160">
        <v>52300010</v>
      </c>
      <c r="D214" s="141" t="s">
        <v>210</v>
      </c>
      <c r="E214" s="141" t="s">
        <v>1352</v>
      </c>
      <c r="F214" s="145" t="s">
        <v>480</v>
      </c>
      <c r="G214" s="168" t="s">
        <v>1053</v>
      </c>
      <c r="H214" s="169"/>
    </row>
    <row r="215" spans="3:8" ht="30" outlineLevel="4" x14ac:dyDescent="0.25">
      <c r="C215" s="160">
        <v>52300020</v>
      </c>
      <c r="D215" s="141" t="s">
        <v>212</v>
      </c>
      <c r="E215" s="141" t="s">
        <v>1353</v>
      </c>
      <c r="F215" s="145" t="s">
        <v>480</v>
      </c>
      <c r="G215" s="168" t="s">
        <v>1053</v>
      </c>
      <c r="H215" s="169"/>
    </row>
    <row r="216" spans="3:8" ht="30" outlineLevel="4" x14ac:dyDescent="0.25">
      <c r="C216" s="160">
        <v>52400030</v>
      </c>
      <c r="D216" s="141" t="s">
        <v>214</v>
      </c>
      <c r="E216" s="141" t="s">
        <v>1354</v>
      </c>
      <c r="F216" s="145" t="s">
        <v>481</v>
      </c>
      <c r="G216" s="168" t="s">
        <v>1053</v>
      </c>
      <c r="H216" s="169"/>
    </row>
    <row r="217" spans="3:8" outlineLevel="4" x14ac:dyDescent="0.25">
      <c r="C217" s="160">
        <v>52400040</v>
      </c>
      <c r="D217" s="141" t="s">
        <v>216</v>
      </c>
      <c r="E217" s="141" t="s">
        <v>1355</v>
      </c>
      <c r="F217" s="145" t="s">
        <v>481</v>
      </c>
      <c r="G217" s="168" t="s">
        <v>1053</v>
      </c>
      <c r="H217" s="169"/>
    </row>
    <row r="218" spans="3:8" outlineLevel="4" x14ac:dyDescent="0.25">
      <c r="C218" s="160">
        <v>52400060</v>
      </c>
      <c r="D218" s="141" t="s">
        <v>452</v>
      </c>
      <c r="E218" s="141" t="s">
        <v>1356</v>
      </c>
      <c r="F218" s="145" t="s">
        <v>481</v>
      </c>
      <c r="G218" s="168" t="s">
        <v>1053</v>
      </c>
      <c r="H218" s="169"/>
    </row>
    <row r="219" spans="3:8" outlineLevel="4" x14ac:dyDescent="0.25">
      <c r="C219" s="160">
        <v>52500010</v>
      </c>
      <c r="D219" s="141" t="s">
        <v>218</v>
      </c>
      <c r="E219" s="141" t="s">
        <v>1357</v>
      </c>
      <c r="F219" s="145" t="s">
        <v>218</v>
      </c>
      <c r="G219" s="168" t="s">
        <v>1053</v>
      </c>
      <c r="H219" s="169"/>
    </row>
    <row r="220" spans="3:8" outlineLevel="4" x14ac:dyDescent="0.25">
      <c r="C220" s="160">
        <v>52600020</v>
      </c>
      <c r="D220" s="141" t="s">
        <v>223</v>
      </c>
      <c r="E220" s="141" t="s">
        <v>1358</v>
      </c>
      <c r="F220" s="145" t="s">
        <v>482</v>
      </c>
      <c r="G220" s="168" t="s">
        <v>1053</v>
      </c>
      <c r="H220" s="169"/>
    </row>
    <row r="221" spans="3:8" outlineLevel="4" x14ac:dyDescent="0.25">
      <c r="C221" s="160">
        <v>52600030</v>
      </c>
      <c r="D221" s="141" t="s">
        <v>226</v>
      </c>
      <c r="E221" s="141" t="s">
        <v>1359</v>
      </c>
      <c r="F221" s="145" t="s">
        <v>482</v>
      </c>
      <c r="G221" s="168" t="s">
        <v>1053</v>
      </c>
      <c r="H221" s="169"/>
    </row>
    <row r="222" spans="3:8" outlineLevel="4" x14ac:dyDescent="0.25">
      <c r="C222" s="160">
        <v>52900010</v>
      </c>
      <c r="D222" s="141" t="s">
        <v>228</v>
      </c>
      <c r="E222" s="141" t="s">
        <v>1360</v>
      </c>
      <c r="F222" s="145" t="s">
        <v>483</v>
      </c>
      <c r="G222" s="168" t="s">
        <v>1053</v>
      </c>
      <c r="H222" s="169"/>
    </row>
    <row r="223" spans="3:8" outlineLevel="4" x14ac:dyDescent="0.25">
      <c r="C223" s="160">
        <v>52900020</v>
      </c>
      <c r="D223" s="141" t="s">
        <v>230</v>
      </c>
      <c r="E223" s="141" t="s">
        <v>1361</v>
      </c>
      <c r="F223" s="145" t="s">
        <v>483</v>
      </c>
      <c r="G223" s="168" t="s">
        <v>1053</v>
      </c>
      <c r="H223" s="169"/>
    </row>
    <row r="224" spans="3:8" ht="30" outlineLevel="4" x14ac:dyDescent="0.25">
      <c r="C224" s="160">
        <v>53100010</v>
      </c>
      <c r="D224" s="141" t="s">
        <v>455</v>
      </c>
      <c r="E224" s="141" t="s">
        <v>1362</v>
      </c>
      <c r="F224" s="145" t="s">
        <v>455</v>
      </c>
      <c r="G224" s="168" t="s">
        <v>1053</v>
      </c>
      <c r="H224" s="169"/>
    </row>
    <row r="225" spans="3:7" outlineLevel="4" x14ac:dyDescent="0.25">
      <c r="C225" s="163"/>
      <c r="D225" s="150"/>
      <c r="E225" s="151"/>
      <c r="F225" s="151"/>
      <c r="G225" s="151"/>
    </row>
    <row r="228" spans="3:7" x14ac:dyDescent="0.25">
      <c r="C228" s="127" t="s">
        <v>1132</v>
      </c>
    </row>
    <row r="229" spans="3:7" x14ac:dyDescent="0.25">
      <c r="C229" s="107" t="s">
        <v>1046</v>
      </c>
      <c r="D229" s="107" t="s">
        <v>1047</v>
      </c>
      <c r="E229" s="129" t="s">
        <v>1048</v>
      </c>
      <c r="F229" s="129" t="s">
        <v>1049</v>
      </c>
      <c r="G229" s="129" t="s">
        <v>1050</v>
      </c>
    </row>
    <row r="230" spans="3:7" x14ac:dyDescent="0.25">
      <c r="C230" s="160">
        <v>60100010</v>
      </c>
      <c r="D230" s="141" t="s">
        <v>73</v>
      </c>
      <c r="E230" s="141" t="s">
        <v>1363</v>
      </c>
      <c r="F230" s="161" t="s">
        <v>485</v>
      </c>
      <c r="G230" s="161" t="s">
        <v>50</v>
      </c>
    </row>
    <row r="231" spans="3:7" x14ac:dyDescent="0.25">
      <c r="C231" s="160">
        <v>60100020</v>
      </c>
      <c r="D231" s="141" t="s">
        <v>75</v>
      </c>
      <c r="E231" s="141" t="s">
        <v>1364</v>
      </c>
      <c r="F231" s="162" t="s">
        <v>485</v>
      </c>
      <c r="G231" s="162" t="s">
        <v>50</v>
      </c>
    </row>
    <row r="232" spans="3:7" x14ac:dyDescent="0.25">
      <c r="C232" s="160">
        <v>60100030</v>
      </c>
      <c r="D232" s="141" t="s">
        <v>77</v>
      </c>
      <c r="E232" s="141" t="s">
        <v>1135</v>
      </c>
      <c r="F232" s="141" t="s">
        <v>485</v>
      </c>
      <c r="G232" s="162" t="s">
        <v>50</v>
      </c>
    </row>
    <row r="233" spans="3:7" x14ac:dyDescent="0.25">
      <c r="C233" s="160">
        <v>60100040</v>
      </c>
      <c r="D233" s="141" t="s">
        <v>79</v>
      </c>
      <c r="E233" s="141" t="s">
        <v>1365</v>
      </c>
      <c r="F233" s="141" t="s">
        <v>485</v>
      </c>
      <c r="G233" s="162" t="s">
        <v>50</v>
      </c>
    </row>
    <row r="234" spans="3:7" x14ac:dyDescent="0.25">
      <c r="C234" s="160">
        <v>60100050</v>
      </c>
      <c r="D234" s="141" t="s">
        <v>81</v>
      </c>
      <c r="E234" s="141" t="s">
        <v>1366</v>
      </c>
      <c r="F234" s="141" t="s">
        <v>485</v>
      </c>
      <c r="G234" s="162" t="s">
        <v>50</v>
      </c>
    </row>
    <row r="235" spans="3:7" x14ac:dyDescent="0.25">
      <c r="C235" s="160">
        <v>60100060</v>
      </c>
      <c r="D235" s="141" t="s">
        <v>83</v>
      </c>
      <c r="E235" s="141" t="s">
        <v>1367</v>
      </c>
      <c r="F235" s="141" t="s">
        <v>485</v>
      </c>
      <c r="G235" s="162" t="s">
        <v>50</v>
      </c>
    </row>
    <row r="236" spans="3:7" x14ac:dyDescent="0.25">
      <c r="C236" s="160">
        <v>60100070</v>
      </c>
      <c r="D236" s="141" t="s">
        <v>85</v>
      </c>
      <c r="E236" s="141" t="s">
        <v>1368</v>
      </c>
      <c r="F236" s="141" t="s">
        <v>485</v>
      </c>
      <c r="G236" s="162" t="s">
        <v>50</v>
      </c>
    </row>
    <row r="237" spans="3:7" x14ac:dyDescent="0.25">
      <c r="C237" s="160">
        <v>60100080</v>
      </c>
      <c r="D237" s="141" t="s">
        <v>87</v>
      </c>
      <c r="E237" s="141" t="s">
        <v>1369</v>
      </c>
      <c r="F237" s="145" t="s">
        <v>485</v>
      </c>
      <c r="G237" s="162" t="s">
        <v>50</v>
      </c>
    </row>
    <row r="238" spans="3:7" x14ac:dyDescent="0.25">
      <c r="C238" s="160">
        <v>60100090</v>
      </c>
      <c r="D238" s="141" t="s">
        <v>89</v>
      </c>
      <c r="E238" s="141" t="s">
        <v>1370</v>
      </c>
      <c r="F238" s="145" t="s">
        <v>485</v>
      </c>
      <c r="G238" s="162" t="s">
        <v>50</v>
      </c>
    </row>
    <row r="239" spans="3:7" x14ac:dyDescent="0.25">
      <c r="C239" s="160">
        <v>60100100</v>
      </c>
      <c r="D239" s="141" t="s">
        <v>91</v>
      </c>
      <c r="E239" s="141" t="s">
        <v>1371</v>
      </c>
      <c r="F239" s="145" t="s">
        <v>485</v>
      </c>
      <c r="G239" s="162" t="s">
        <v>50</v>
      </c>
    </row>
    <row r="240" spans="3:7" x14ac:dyDescent="0.25">
      <c r="C240" s="160">
        <v>60100110</v>
      </c>
      <c r="D240" s="141" t="s">
        <v>93</v>
      </c>
      <c r="E240" s="141" t="s">
        <v>1372</v>
      </c>
      <c r="F240" s="145" t="s">
        <v>485</v>
      </c>
      <c r="G240" s="162" t="s">
        <v>50</v>
      </c>
    </row>
    <row r="241" spans="1:7" x14ac:dyDescent="0.25">
      <c r="C241" s="160">
        <v>60100120</v>
      </c>
      <c r="D241" s="141" t="s">
        <v>1144</v>
      </c>
      <c r="E241" s="141" t="s">
        <v>1365</v>
      </c>
      <c r="F241" s="145" t="s">
        <v>485</v>
      </c>
      <c r="G241" s="162" t="s">
        <v>50</v>
      </c>
    </row>
    <row r="242" spans="1:7" x14ac:dyDescent="0.25">
      <c r="C242" s="160">
        <v>60100990</v>
      </c>
      <c r="D242" s="141" t="s">
        <v>95</v>
      </c>
      <c r="E242" s="141" t="s">
        <v>1373</v>
      </c>
      <c r="F242" s="145" t="s">
        <v>485</v>
      </c>
      <c r="G242" s="162" t="s">
        <v>50</v>
      </c>
    </row>
    <row r="243" spans="1:7" x14ac:dyDescent="0.25">
      <c r="C243" s="160">
        <v>60200010</v>
      </c>
      <c r="D243" s="141" t="s">
        <v>97</v>
      </c>
      <c r="E243" s="141" t="s">
        <v>1374</v>
      </c>
      <c r="F243" s="145" t="s">
        <v>465</v>
      </c>
      <c r="G243" s="162" t="s">
        <v>50</v>
      </c>
    </row>
    <row r="244" spans="1:7" x14ac:dyDescent="0.25">
      <c r="C244" s="160">
        <v>60300010</v>
      </c>
      <c r="D244" s="141" t="s">
        <v>100</v>
      </c>
      <c r="E244" s="141" t="s">
        <v>1375</v>
      </c>
      <c r="F244" s="145" t="s">
        <v>486</v>
      </c>
      <c r="G244" s="162" t="s">
        <v>50</v>
      </c>
    </row>
    <row r="245" spans="1:7" x14ac:dyDescent="0.25">
      <c r="C245" s="160">
        <v>60600010</v>
      </c>
      <c r="D245" s="141" t="s">
        <v>424</v>
      </c>
      <c r="E245" s="141" t="s">
        <v>1376</v>
      </c>
      <c r="F245" s="145" t="s">
        <v>467</v>
      </c>
      <c r="G245" s="161" t="s">
        <v>106</v>
      </c>
    </row>
    <row r="246" spans="1:7" x14ac:dyDescent="0.25">
      <c r="C246" s="160">
        <v>60600020</v>
      </c>
      <c r="D246" s="141" t="s">
        <v>425</v>
      </c>
      <c r="E246" s="141" t="s">
        <v>1377</v>
      </c>
      <c r="F246" s="145" t="s">
        <v>467</v>
      </c>
      <c r="G246" s="161" t="s">
        <v>106</v>
      </c>
    </row>
    <row r="247" spans="1:7" ht="14.25" customHeight="1" x14ac:dyDescent="0.25">
      <c r="C247" s="160">
        <v>60600030</v>
      </c>
      <c r="D247" s="141" t="s">
        <v>426</v>
      </c>
      <c r="E247" s="141" t="s">
        <v>1378</v>
      </c>
      <c r="F247" s="145" t="s">
        <v>467</v>
      </c>
      <c r="G247" s="161" t="s">
        <v>106</v>
      </c>
    </row>
    <row r="248" spans="1:7" ht="14.25" customHeight="1" x14ac:dyDescent="0.25">
      <c r="C248" s="160">
        <v>60600050</v>
      </c>
      <c r="D248" s="141" t="s">
        <v>113</v>
      </c>
      <c r="E248" s="141" t="s">
        <v>1514</v>
      </c>
      <c r="F248" s="145" t="s">
        <v>467</v>
      </c>
      <c r="G248" s="161" t="s">
        <v>106</v>
      </c>
    </row>
    <row r="249" spans="1:7" ht="14.25" customHeight="1" x14ac:dyDescent="0.25">
      <c r="A249" s="141"/>
      <c r="B249" s="141"/>
      <c r="C249" s="160">
        <v>60700010</v>
      </c>
      <c r="D249" s="141" t="s">
        <v>115</v>
      </c>
      <c r="E249" s="141" t="s">
        <v>1515</v>
      </c>
      <c r="F249" s="145" t="s">
        <v>115</v>
      </c>
      <c r="G249" s="161" t="s">
        <v>106</v>
      </c>
    </row>
    <row r="250" spans="1:7" x14ac:dyDescent="0.25">
      <c r="C250" s="160">
        <v>60800010</v>
      </c>
      <c r="D250" s="141" t="s">
        <v>117</v>
      </c>
      <c r="E250" s="141" t="s">
        <v>1379</v>
      </c>
      <c r="F250" s="145" t="s">
        <v>487</v>
      </c>
      <c r="G250" s="161" t="s">
        <v>1053</v>
      </c>
    </row>
    <row r="251" spans="1:7" x14ac:dyDescent="0.25">
      <c r="C251" s="160">
        <v>60800020</v>
      </c>
      <c r="D251" s="141" t="s">
        <v>119</v>
      </c>
      <c r="E251" s="141" t="s">
        <v>1380</v>
      </c>
      <c r="F251" s="145" t="s">
        <v>487</v>
      </c>
      <c r="G251" s="161" t="s">
        <v>1053</v>
      </c>
    </row>
    <row r="252" spans="1:7" x14ac:dyDescent="0.25">
      <c r="C252" s="160">
        <v>60800030</v>
      </c>
      <c r="D252" s="141" t="s">
        <v>122</v>
      </c>
      <c r="E252" s="141" t="s">
        <v>1381</v>
      </c>
      <c r="F252" s="145" t="s">
        <v>487</v>
      </c>
      <c r="G252" s="161" t="s">
        <v>1053</v>
      </c>
    </row>
    <row r="253" spans="1:7" x14ac:dyDescent="0.25">
      <c r="C253" s="160">
        <v>60800040</v>
      </c>
      <c r="D253" s="141" t="s">
        <v>124</v>
      </c>
      <c r="E253" s="141" t="s">
        <v>1382</v>
      </c>
      <c r="F253" s="145" t="s">
        <v>487</v>
      </c>
      <c r="G253" s="161" t="s">
        <v>1053</v>
      </c>
    </row>
    <row r="254" spans="1:7" x14ac:dyDescent="0.25">
      <c r="C254" s="160">
        <v>60800050</v>
      </c>
      <c r="D254" s="141" t="s">
        <v>126</v>
      </c>
      <c r="E254" s="141" t="s">
        <v>1383</v>
      </c>
      <c r="F254" s="145" t="s">
        <v>487</v>
      </c>
      <c r="G254" s="161" t="s">
        <v>1053</v>
      </c>
    </row>
    <row r="255" spans="1:7" x14ac:dyDescent="0.25">
      <c r="C255" s="160">
        <v>60800060</v>
      </c>
      <c r="D255" s="141" t="s">
        <v>128</v>
      </c>
      <c r="E255" s="141" t="s">
        <v>1315</v>
      </c>
      <c r="F255" s="145" t="s">
        <v>487</v>
      </c>
      <c r="G255" s="161" t="s">
        <v>1053</v>
      </c>
    </row>
    <row r="256" spans="1:7" x14ac:dyDescent="0.25">
      <c r="C256" s="160">
        <v>60800070</v>
      </c>
      <c r="D256" s="141" t="s">
        <v>131</v>
      </c>
      <c r="E256" s="141" t="s">
        <v>1316</v>
      </c>
      <c r="F256" s="145" t="s">
        <v>487</v>
      </c>
      <c r="G256" s="161" t="s">
        <v>1053</v>
      </c>
    </row>
    <row r="257" spans="3:7" x14ac:dyDescent="0.25">
      <c r="C257" s="160">
        <v>60800080</v>
      </c>
      <c r="D257" s="141" t="s">
        <v>133</v>
      </c>
      <c r="E257" s="141" t="s">
        <v>1384</v>
      </c>
      <c r="F257" s="145" t="s">
        <v>487</v>
      </c>
      <c r="G257" s="161" t="s">
        <v>1053</v>
      </c>
    </row>
    <row r="258" spans="3:7" x14ac:dyDescent="0.25">
      <c r="C258" s="160">
        <v>61100010</v>
      </c>
      <c r="D258" s="141" t="s">
        <v>428</v>
      </c>
      <c r="E258" s="141" t="s">
        <v>1317</v>
      </c>
      <c r="F258" s="145" t="s">
        <v>469</v>
      </c>
      <c r="G258" s="161" t="s">
        <v>938</v>
      </c>
    </row>
    <row r="259" spans="3:7" x14ac:dyDescent="0.25">
      <c r="C259" s="160">
        <v>61200010</v>
      </c>
      <c r="D259" s="141" t="s">
        <v>429</v>
      </c>
      <c r="E259" s="141" t="s">
        <v>1385</v>
      </c>
      <c r="F259" s="145" t="s">
        <v>470</v>
      </c>
      <c r="G259" s="161" t="s">
        <v>1151</v>
      </c>
    </row>
    <row r="260" spans="3:7" x14ac:dyDescent="0.25">
      <c r="C260" s="160">
        <v>61200020</v>
      </c>
      <c r="D260" s="141" t="s">
        <v>430</v>
      </c>
      <c r="E260" s="141" t="s">
        <v>1386</v>
      </c>
      <c r="F260" s="145" t="s">
        <v>470</v>
      </c>
      <c r="G260" s="161" t="s">
        <v>1151</v>
      </c>
    </row>
    <row r="261" spans="3:7" x14ac:dyDescent="0.25">
      <c r="C261" s="160">
        <v>61200030</v>
      </c>
      <c r="D261" s="141" t="s">
        <v>431</v>
      </c>
      <c r="E261" s="141" t="s">
        <v>1387</v>
      </c>
      <c r="F261" s="145" t="s">
        <v>470</v>
      </c>
      <c r="G261" s="161" t="s">
        <v>1151</v>
      </c>
    </row>
    <row r="262" spans="3:7" x14ac:dyDescent="0.25">
      <c r="C262" s="160">
        <v>61200040</v>
      </c>
      <c r="D262" s="141" t="s">
        <v>432</v>
      </c>
      <c r="E262" s="141" t="s">
        <v>1388</v>
      </c>
      <c r="F262" s="145" t="s">
        <v>470</v>
      </c>
      <c r="G262" s="161" t="s">
        <v>1151</v>
      </c>
    </row>
    <row r="263" spans="3:7" x14ac:dyDescent="0.25">
      <c r="C263" s="160">
        <v>61200050</v>
      </c>
      <c r="D263" s="141" t="s">
        <v>433</v>
      </c>
      <c r="E263" s="141" t="s">
        <v>1389</v>
      </c>
      <c r="F263" s="145" t="s">
        <v>470</v>
      </c>
      <c r="G263" s="161" t="s">
        <v>1151</v>
      </c>
    </row>
    <row r="264" spans="3:7" x14ac:dyDescent="0.25">
      <c r="C264" s="160">
        <v>61200060</v>
      </c>
      <c r="D264" s="141" t="s">
        <v>434</v>
      </c>
      <c r="E264" s="141" t="s">
        <v>1390</v>
      </c>
      <c r="F264" s="145" t="s">
        <v>470</v>
      </c>
      <c r="G264" s="161" t="s">
        <v>1151</v>
      </c>
    </row>
    <row r="265" spans="3:7" x14ac:dyDescent="0.25">
      <c r="C265" s="160">
        <v>61200070</v>
      </c>
      <c r="D265" s="141" t="s">
        <v>435</v>
      </c>
      <c r="E265" s="141" t="s">
        <v>1391</v>
      </c>
      <c r="F265" s="145" t="s">
        <v>470</v>
      </c>
      <c r="G265" s="161" t="s">
        <v>1151</v>
      </c>
    </row>
    <row r="266" spans="3:7" x14ac:dyDescent="0.25">
      <c r="C266" s="160">
        <v>61200080</v>
      </c>
      <c r="D266" s="141" t="s">
        <v>436</v>
      </c>
      <c r="E266" s="141" t="s">
        <v>1392</v>
      </c>
      <c r="F266" s="145" t="s">
        <v>470</v>
      </c>
      <c r="G266" s="161" t="s">
        <v>1151</v>
      </c>
    </row>
    <row r="267" spans="3:7" x14ac:dyDescent="0.25">
      <c r="C267" s="160">
        <v>61200090</v>
      </c>
      <c r="D267" s="141" t="s">
        <v>437</v>
      </c>
      <c r="E267" s="141" t="s">
        <v>1393</v>
      </c>
      <c r="F267" s="145" t="s">
        <v>470</v>
      </c>
      <c r="G267" s="161" t="s">
        <v>1151</v>
      </c>
    </row>
    <row r="268" spans="3:7" x14ac:dyDescent="0.25">
      <c r="C268" s="160">
        <v>61300010</v>
      </c>
      <c r="D268" s="141" t="s">
        <v>438</v>
      </c>
      <c r="E268" s="141" t="s">
        <v>1394</v>
      </c>
      <c r="F268" s="145" t="s">
        <v>471</v>
      </c>
      <c r="G268" s="161" t="s">
        <v>1151</v>
      </c>
    </row>
    <row r="269" spans="3:7" x14ac:dyDescent="0.25">
      <c r="C269" s="160">
        <v>61300020</v>
      </c>
      <c r="D269" s="141" t="s">
        <v>439</v>
      </c>
      <c r="E269" s="141" t="s">
        <v>1395</v>
      </c>
      <c r="F269" s="145" t="s">
        <v>471</v>
      </c>
      <c r="G269" s="161" t="s">
        <v>1151</v>
      </c>
    </row>
    <row r="270" spans="3:7" x14ac:dyDescent="0.25">
      <c r="C270" s="160">
        <v>61300030</v>
      </c>
      <c r="D270" s="141" t="s">
        <v>440</v>
      </c>
      <c r="E270" s="141" t="s">
        <v>1396</v>
      </c>
      <c r="F270" s="145" t="s">
        <v>471</v>
      </c>
      <c r="G270" s="161" t="s">
        <v>1151</v>
      </c>
    </row>
    <row r="271" spans="3:7" x14ac:dyDescent="0.25">
      <c r="C271" s="160">
        <v>61300040</v>
      </c>
      <c r="D271" s="141" t="s">
        <v>441</v>
      </c>
      <c r="E271" s="141" t="s">
        <v>1397</v>
      </c>
      <c r="F271" s="145" t="s">
        <v>471</v>
      </c>
      <c r="G271" s="161" t="s">
        <v>1151</v>
      </c>
    </row>
    <row r="272" spans="3:7" x14ac:dyDescent="0.25">
      <c r="C272" s="160">
        <v>61300050</v>
      </c>
      <c r="D272" s="141" t="s">
        <v>442</v>
      </c>
      <c r="E272" s="141" t="s">
        <v>1398</v>
      </c>
      <c r="F272" s="145" t="s">
        <v>471</v>
      </c>
      <c r="G272" s="161" t="s">
        <v>1151</v>
      </c>
    </row>
    <row r="273" spans="3:7" x14ac:dyDescent="0.25">
      <c r="C273" s="160">
        <v>61300060</v>
      </c>
      <c r="D273" s="141" t="s">
        <v>443</v>
      </c>
      <c r="E273" s="141" t="s">
        <v>1399</v>
      </c>
      <c r="F273" s="145" t="s">
        <v>471</v>
      </c>
      <c r="G273" s="161" t="s">
        <v>1151</v>
      </c>
    </row>
    <row r="274" spans="3:7" x14ac:dyDescent="0.25">
      <c r="C274" s="160">
        <v>61300070</v>
      </c>
      <c r="D274" s="141" t="s">
        <v>444</v>
      </c>
      <c r="E274" s="141" t="s">
        <v>1400</v>
      </c>
      <c r="F274" s="145" t="s">
        <v>471</v>
      </c>
      <c r="G274" s="161" t="s">
        <v>1151</v>
      </c>
    </row>
    <row r="275" spans="3:7" x14ac:dyDescent="0.25">
      <c r="C275" s="160">
        <v>61300080</v>
      </c>
      <c r="D275" s="141" t="s">
        <v>445</v>
      </c>
      <c r="E275" s="141" t="s">
        <v>1401</v>
      </c>
      <c r="F275" s="145" t="s">
        <v>471</v>
      </c>
      <c r="G275" s="161" t="s">
        <v>1151</v>
      </c>
    </row>
    <row r="276" spans="3:7" ht="30" x14ac:dyDescent="0.25">
      <c r="C276" s="160">
        <v>61300090</v>
      </c>
      <c r="D276" s="141" t="s">
        <v>446</v>
      </c>
      <c r="E276" s="141" t="s">
        <v>1402</v>
      </c>
      <c r="F276" s="145" t="s">
        <v>471</v>
      </c>
      <c r="G276" s="161" t="s">
        <v>1151</v>
      </c>
    </row>
    <row r="277" spans="3:7" x14ac:dyDescent="0.25">
      <c r="C277" s="160">
        <v>61400010</v>
      </c>
      <c r="D277" s="141" t="s">
        <v>135</v>
      </c>
      <c r="E277" s="141" t="s">
        <v>1403</v>
      </c>
      <c r="F277" s="145" t="s">
        <v>472</v>
      </c>
      <c r="G277" s="161" t="s">
        <v>1170</v>
      </c>
    </row>
    <row r="278" spans="3:7" x14ac:dyDescent="0.25">
      <c r="C278" s="160">
        <v>61400020</v>
      </c>
      <c r="D278" s="141" t="s">
        <v>447</v>
      </c>
      <c r="E278" s="141" t="s">
        <v>1404</v>
      </c>
      <c r="F278" s="145" t="s">
        <v>472</v>
      </c>
      <c r="G278" s="161" t="s">
        <v>1170</v>
      </c>
    </row>
    <row r="279" spans="3:7" x14ac:dyDescent="0.25">
      <c r="C279" s="160">
        <v>61400030</v>
      </c>
      <c r="D279" s="141" t="s">
        <v>448</v>
      </c>
      <c r="E279" s="141" t="s">
        <v>1405</v>
      </c>
      <c r="F279" s="145" t="s">
        <v>472</v>
      </c>
      <c r="G279" s="161" t="s">
        <v>1170</v>
      </c>
    </row>
    <row r="280" spans="3:7" x14ac:dyDescent="0.25">
      <c r="C280" s="160">
        <v>61500010</v>
      </c>
      <c r="D280" s="141" t="s">
        <v>141</v>
      </c>
      <c r="E280" s="141" t="s">
        <v>1323</v>
      </c>
      <c r="F280" s="145" t="s">
        <v>473</v>
      </c>
      <c r="G280" s="161" t="s">
        <v>1053</v>
      </c>
    </row>
    <row r="281" spans="3:7" x14ac:dyDescent="0.25">
      <c r="C281" s="160">
        <v>61500020</v>
      </c>
      <c r="D281" s="141" t="s">
        <v>143</v>
      </c>
      <c r="E281" s="141" t="s">
        <v>1323</v>
      </c>
      <c r="F281" s="145" t="s">
        <v>473</v>
      </c>
      <c r="G281" s="161" t="s">
        <v>50</v>
      </c>
    </row>
    <row r="282" spans="3:7" ht="30" x14ac:dyDescent="0.25">
      <c r="C282" s="160">
        <v>61600010</v>
      </c>
      <c r="D282" s="141" t="s">
        <v>1173</v>
      </c>
      <c r="E282" s="141" t="s">
        <v>1406</v>
      </c>
      <c r="F282" s="145" t="s">
        <v>474</v>
      </c>
      <c r="G282" s="161" t="s">
        <v>106</v>
      </c>
    </row>
    <row r="283" spans="3:7" x14ac:dyDescent="0.25">
      <c r="C283" s="160">
        <v>61600030</v>
      </c>
      <c r="D283" s="141" t="s">
        <v>150</v>
      </c>
      <c r="E283" s="141" t="s">
        <v>1407</v>
      </c>
      <c r="F283" s="145" t="s">
        <v>474</v>
      </c>
      <c r="G283" s="161" t="s">
        <v>106</v>
      </c>
    </row>
    <row r="284" spans="3:7" ht="45" x14ac:dyDescent="0.25">
      <c r="C284" s="160">
        <v>61600040</v>
      </c>
      <c r="D284" s="141" t="s">
        <v>151</v>
      </c>
      <c r="E284" s="141" t="s">
        <v>1408</v>
      </c>
      <c r="F284" s="145" t="s">
        <v>474</v>
      </c>
      <c r="G284" s="161" t="s">
        <v>176</v>
      </c>
    </row>
    <row r="285" spans="3:7" ht="31.5" customHeight="1" x14ac:dyDescent="0.25">
      <c r="C285" s="160">
        <v>61600050</v>
      </c>
      <c r="D285" s="141" t="s">
        <v>1177</v>
      </c>
      <c r="E285" s="141" t="s">
        <v>1409</v>
      </c>
      <c r="F285" s="145" t="s">
        <v>474</v>
      </c>
      <c r="G285" s="161" t="s">
        <v>176</v>
      </c>
    </row>
    <row r="286" spans="3:7" ht="30" x14ac:dyDescent="0.25">
      <c r="C286" s="160">
        <v>61600060</v>
      </c>
      <c r="D286" s="141" t="s">
        <v>1179</v>
      </c>
      <c r="E286" s="141" t="s">
        <v>1410</v>
      </c>
      <c r="F286" s="145" t="s">
        <v>474</v>
      </c>
      <c r="G286" s="161" t="s">
        <v>50</v>
      </c>
    </row>
    <row r="287" spans="3:7" ht="30" x14ac:dyDescent="0.25">
      <c r="C287" s="160">
        <v>61600070</v>
      </c>
      <c r="D287" s="141" t="s">
        <v>152</v>
      </c>
      <c r="E287" s="141" t="s">
        <v>1516</v>
      </c>
      <c r="F287" s="145" t="s">
        <v>474</v>
      </c>
      <c r="G287" s="161" t="s">
        <v>1053</v>
      </c>
    </row>
    <row r="288" spans="3:7" x14ac:dyDescent="0.25">
      <c r="C288" s="160">
        <v>61700010</v>
      </c>
      <c r="D288" s="141" t="s">
        <v>153</v>
      </c>
      <c r="E288" s="141" t="s">
        <v>1330</v>
      </c>
      <c r="F288" s="145" t="s">
        <v>475</v>
      </c>
      <c r="G288" s="161" t="s">
        <v>1181</v>
      </c>
    </row>
    <row r="289" spans="3:7" x14ac:dyDescent="0.25">
      <c r="C289" s="160">
        <v>61700030</v>
      </c>
      <c r="D289" s="141" t="s">
        <v>155</v>
      </c>
      <c r="E289" s="141" t="s">
        <v>1331</v>
      </c>
      <c r="F289" s="145" t="s">
        <v>475</v>
      </c>
      <c r="G289" s="161" t="s">
        <v>106</v>
      </c>
    </row>
    <row r="290" spans="3:7" x14ac:dyDescent="0.25">
      <c r="C290" s="160">
        <v>61700040</v>
      </c>
      <c r="D290" s="141" t="s">
        <v>157</v>
      </c>
      <c r="E290" s="141" t="s">
        <v>1332</v>
      </c>
      <c r="F290" s="145" t="s">
        <v>475</v>
      </c>
      <c r="G290" s="161" t="s">
        <v>106</v>
      </c>
    </row>
    <row r="291" spans="3:7" x14ac:dyDescent="0.25">
      <c r="C291" s="160">
        <v>61700050</v>
      </c>
      <c r="D291" s="141" t="s">
        <v>159</v>
      </c>
      <c r="E291" s="141" t="s">
        <v>1333</v>
      </c>
      <c r="F291" s="145" t="s">
        <v>475</v>
      </c>
      <c r="G291" s="161" t="s">
        <v>106</v>
      </c>
    </row>
    <row r="292" spans="3:7" x14ac:dyDescent="0.25">
      <c r="C292" s="160">
        <v>61700060</v>
      </c>
      <c r="D292" s="141" t="s">
        <v>1182</v>
      </c>
      <c r="E292" s="141" t="s">
        <v>1334</v>
      </c>
      <c r="F292" s="145" t="s">
        <v>475</v>
      </c>
      <c r="G292" s="161" t="s">
        <v>106</v>
      </c>
    </row>
    <row r="293" spans="3:7" x14ac:dyDescent="0.25">
      <c r="C293" s="160">
        <v>61700070</v>
      </c>
      <c r="D293" s="141" t="s">
        <v>163</v>
      </c>
      <c r="E293" s="141" t="s">
        <v>1335</v>
      </c>
      <c r="F293" s="145" t="s">
        <v>475</v>
      </c>
      <c r="G293" s="161" t="s">
        <v>1053</v>
      </c>
    </row>
    <row r="294" spans="3:7" x14ac:dyDescent="0.25">
      <c r="C294" s="160">
        <v>61800010</v>
      </c>
      <c r="D294" s="141" t="s">
        <v>165</v>
      </c>
      <c r="E294" s="141" t="s">
        <v>1336</v>
      </c>
      <c r="F294" s="145" t="s">
        <v>488</v>
      </c>
      <c r="G294" s="161" t="s">
        <v>1053</v>
      </c>
    </row>
    <row r="295" spans="3:7" x14ac:dyDescent="0.25">
      <c r="C295" s="160">
        <v>61800020</v>
      </c>
      <c r="D295" s="160" t="s">
        <v>168</v>
      </c>
      <c r="E295" s="160" t="s">
        <v>1411</v>
      </c>
      <c r="F295" s="160" t="s">
        <v>488</v>
      </c>
      <c r="G295" s="161" t="s">
        <v>1053</v>
      </c>
    </row>
    <row r="296" spans="3:7" x14ac:dyDescent="0.25">
      <c r="C296" s="160">
        <v>61800030</v>
      </c>
      <c r="D296" s="160" t="s">
        <v>170</v>
      </c>
      <c r="E296" s="160" t="s">
        <v>1338</v>
      </c>
      <c r="F296" s="160" t="s">
        <v>488</v>
      </c>
      <c r="G296" s="161" t="s">
        <v>1053</v>
      </c>
    </row>
    <row r="297" spans="3:7" x14ac:dyDescent="0.25">
      <c r="C297" s="160">
        <v>61800090</v>
      </c>
      <c r="D297" s="160" t="s">
        <v>172</v>
      </c>
      <c r="E297" s="160" t="s">
        <v>1412</v>
      </c>
      <c r="F297" s="160" t="s">
        <v>488</v>
      </c>
      <c r="G297" s="161" t="s">
        <v>1053</v>
      </c>
    </row>
    <row r="298" spans="3:7" x14ac:dyDescent="0.25">
      <c r="C298" s="160">
        <v>61900010</v>
      </c>
      <c r="D298" s="160" t="s">
        <v>174</v>
      </c>
      <c r="E298" s="160" t="s">
        <v>1413</v>
      </c>
      <c r="F298" s="160" t="s">
        <v>340</v>
      </c>
      <c r="G298" s="161" t="s">
        <v>1053</v>
      </c>
    </row>
    <row r="299" spans="3:7" x14ac:dyDescent="0.25">
      <c r="C299" s="160">
        <v>61900020</v>
      </c>
      <c r="D299" s="160" t="s">
        <v>177</v>
      </c>
      <c r="E299" s="160" t="s">
        <v>1414</v>
      </c>
      <c r="F299" s="160" t="s">
        <v>340</v>
      </c>
      <c r="G299" s="161" t="s">
        <v>1053</v>
      </c>
    </row>
    <row r="300" spans="3:7" x14ac:dyDescent="0.25">
      <c r="C300" s="160">
        <v>61900030</v>
      </c>
      <c r="D300" s="160" t="s">
        <v>180</v>
      </c>
      <c r="E300" s="160" t="s">
        <v>1415</v>
      </c>
      <c r="F300" s="160" t="s">
        <v>340</v>
      </c>
      <c r="G300" s="161" t="s">
        <v>1053</v>
      </c>
    </row>
    <row r="301" spans="3:7" x14ac:dyDescent="0.25">
      <c r="C301" s="160">
        <v>61900040</v>
      </c>
      <c r="D301" s="160" t="s">
        <v>182</v>
      </c>
      <c r="E301" s="160" t="s">
        <v>1416</v>
      </c>
      <c r="F301" s="160" t="s">
        <v>340</v>
      </c>
      <c r="G301" s="161" t="s">
        <v>1053</v>
      </c>
    </row>
    <row r="302" spans="3:7" x14ac:dyDescent="0.25">
      <c r="C302" s="160">
        <v>61900090</v>
      </c>
      <c r="D302" s="160" t="s">
        <v>184</v>
      </c>
      <c r="E302" s="160" t="s">
        <v>1417</v>
      </c>
      <c r="F302" s="160" t="s">
        <v>340</v>
      </c>
      <c r="G302" s="161" t="s">
        <v>1053</v>
      </c>
    </row>
    <row r="303" spans="3:7" x14ac:dyDescent="0.25">
      <c r="C303" s="160">
        <v>62000010</v>
      </c>
      <c r="D303" s="160" t="s">
        <v>186</v>
      </c>
      <c r="E303" s="160" t="s">
        <v>1418</v>
      </c>
      <c r="F303" s="160" t="s">
        <v>477</v>
      </c>
      <c r="G303" s="160" t="s">
        <v>236</v>
      </c>
    </row>
    <row r="304" spans="3:7" x14ac:dyDescent="0.25">
      <c r="C304" s="160">
        <v>62000020</v>
      </c>
      <c r="D304" s="160" t="s">
        <v>189</v>
      </c>
      <c r="E304" s="160" t="s">
        <v>1419</v>
      </c>
      <c r="F304" s="160" t="s">
        <v>477</v>
      </c>
      <c r="G304" s="160" t="s">
        <v>1189</v>
      </c>
    </row>
    <row r="305" spans="3:7" x14ac:dyDescent="0.25">
      <c r="C305" s="160">
        <v>62000040</v>
      </c>
      <c r="D305" s="160" t="s">
        <v>192</v>
      </c>
      <c r="E305" s="160" t="s">
        <v>1420</v>
      </c>
      <c r="F305" s="160" t="s">
        <v>477</v>
      </c>
      <c r="G305" s="161" t="s">
        <v>1053</v>
      </c>
    </row>
    <row r="306" spans="3:7" x14ac:dyDescent="0.25">
      <c r="C306" s="160">
        <v>62100010</v>
      </c>
      <c r="D306" s="160" t="s">
        <v>195</v>
      </c>
      <c r="E306" s="160" t="s">
        <v>1421</v>
      </c>
      <c r="F306" s="160" t="s">
        <v>478</v>
      </c>
      <c r="G306" s="160" t="s">
        <v>176</v>
      </c>
    </row>
    <row r="307" spans="3:7" x14ac:dyDescent="0.25">
      <c r="C307" s="160">
        <v>62100020</v>
      </c>
      <c r="D307" s="160" t="s">
        <v>198</v>
      </c>
      <c r="E307" s="160" t="s">
        <v>1422</v>
      </c>
      <c r="F307" s="160" t="s">
        <v>478</v>
      </c>
      <c r="G307" s="160" t="s">
        <v>176</v>
      </c>
    </row>
    <row r="308" spans="3:7" x14ac:dyDescent="0.25">
      <c r="C308" s="160">
        <v>62100030</v>
      </c>
      <c r="D308" s="160" t="s">
        <v>200</v>
      </c>
      <c r="E308" s="160" t="s">
        <v>1423</v>
      </c>
      <c r="F308" s="160" t="s">
        <v>478</v>
      </c>
      <c r="G308" s="160" t="s">
        <v>176</v>
      </c>
    </row>
    <row r="309" spans="3:7" x14ac:dyDescent="0.25">
      <c r="C309" s="160">
        <v>62100040</v>
      </c>
      <c r="D309" s="160" t="s">
        <v>202</v>
      </c>
      <c r="E309" s="160" t="s">
        <v>1424</v>
      </c>
      <c r="F309" s="160" t="s">
        <v>478</v>
      </c>
      <c r="G309" s="160" t="s">
        <v>176</v>
      </c>
    </row>
    <row r="310" spans="3:7" x14ac:dyDescent="0.25">
      <c r="C310" s="160">
        <v>62100050</v>
      </c>
      <c r="D310" s="160" t="s">
        <v>451</v>
      </c>
      <c r="E310" s="160" t="s">
        <v>1425</v>
      </c>
      <c r="F310" s="160" t="s">
        <v>478</v>
      </c>
      <c r="G310" s="160" t="s">
        <v>176</v>
      </c>
    </row>
    <row r="311" spans="3:7" x14ac:dyDescent="0.25">
      <c r="C311" s="160">
        <v>62200010</v>
      </c>
      <c r="D311" s="160" t="s">
        <v>206</v>
      </c>
      <c r="E311" s="160" t="s">
        <v>1426</v>
      </c>
      <c r="F311" s="160" t="s">
        <v>479</v>
      </c>
      <c r="G311" s="161" t="s">
        <v>1053</v>
      </c>
    </row>
    <row r="312" spans="3:7" ht="30" x14ac:dyDescent="0.25">
      <c r="C312" s="160">
        <v>62200020</v>
      </c>
      <c r="D312" s="160" t="s">
        <v>208</v>
      </c>
      <c r="E312" s="160" t="s">
        <v>1427</v>
      </c>
      <c r="F312" s="160" t="s">
        <v>479</v>
      </c>
      <c r="G312" s="161" t="s">
        <v>1053</v>
      </c>
    </row>
    <row r="313" spans="3:7" x14ac:dyDescent="0.25">
      <c r="C313" s="160">
        <v>62300010</v>
      </c>
      <c r="D313" s="160" t="s">
        <v>210</v>
      </c>
      <c r="E313" s="160" t="s">
        <v>1428</v>
      </c>
      <c r="F313" s="160" t="s">
        <v>480</v>
      </c>
      <c r="G313" s="161" t="s">
        <v>1053</v>
      </c>
    </row>
    <row r="314" spans="3:7" ht="30" x14ac:dyDescent="0.25">
      <c r="C314" s="160">
        <v>62300020</v>
      </c>
      <c r="D314" s="160" t="s">
        <v>212</v>
      </c>
      <c r="E314" s="160" t="s">
        <v>1429</v>
      </c>
      <c r="F314" s="160" t="s">
        <v>480</v>
      </c>
      <c r="G314" s="161" t="s">
        <v>1053</v>
      </c>
    </row>
    <row r="315" spans="3:7" ht="30" x14ac:dyDescent="0.25">
      <c r="C315" s="160">
        <v>62400030</v>
      </c>
      <c r="D315" s="160" t="s">
        <v>214</v>
      </c>
      <c r="E315" s="160" t="s">
        <v>1430</v>
      </c>
      <c r="F315" s="160" t="s">
        <v>481</v>
      </c>
      <c r="G315" s="161" t="s">
        <v>1053</v>
      </c>
    </row>
    <row r="316" spans="3:7" ht="30" x14ac:dyDescent="0.25">
      <c r="C316" s="160">
        <v>62400040</v>
      </c>
      <c r="D316" s="160" t="s">
        <v>216</v>
      </c>
      <c r="E316" s="160" t="s">
        <v>1431</v>
      </c>
      <c r="F316" s="160" t="s">
        <v>481</v>
      </c>
      <c r="G316" s="161" t="s">
        <v>1053</v>
      </c>
    </row>
    <row r="317" spans="3:7" x14ac:dyDescent="0.25">
      <c r="C317" s="160">
        <v>62400060</v>
      </c>
      <c r="D317" s="160" t="s">
        <v>452</v>
      </c>
      <c r="E317" s="160" t="s">
        <v>1432</v>
      </c>
      <c r="F317" s="160" t="s">
        <v>481</v>
      </c>
      <c r="G317" s="160" t="s">
        <v>236</v>
      </c>
    </row>
    <row r="318" spans="3:7" x14ac:dyDescent="0.25">
      <c r="C318" s="160">
        <v>62500010</v>
      </c>
      <c r="D318" s="160" t="s">
        <v>218</v>
      </c>
      <c r="E318" s="160" t="s">
        <v>1433</v>
      </c>
      <c r="F318" s="160" t="s">
        <v>218</v>
      </c>
      <c r="G318" s="160" t="s">
        <v>22</v>
      </c>
    </row>
    <row r="319" spans="3:7" ht="30" x14ac:dyDescent="0.25">
      <c r="C319" s="160">
        <v>62600010</v>
      </c>
      <c r="D319" s="160" t="s">
        <v>221</v>
      </c>
      <c r="E319" s="160" t="s">
        <v>1434</v>
      </c>
      <c r="F319" s="160" t="s">
        <v>482</v>
      </c>
      <c r="G319" s="161" t="s">
        <v>1053</v>
      </c>
    </row>
    <row r="320" spans="3:7" x14ac:dyDescent="0.25">
      <c r="C320" s="160">
        <v>62600020</v>
      </c>
      <c r="D320" s="160" t="s">
        <v>223</v>
      </c>
      <c r="E320" s="160" t="s">
        <v>1435</v>
      </c>
      <c r="F320" s="160" t="s">
        <v>482</v>
      </c>
      <c r="G320" s="161" t="s">
        <v>1053</v>
      </c>
    </row>
    <row r="321" spans="1:7" ht="30" x14ac:dyDescent="0.25">
      <c r="C321" s="160">
        <v>62600030</v>
      </c>
      <c r="D321" s="160" t="s">
        <v>226</v>
      </c>
      <c r="E321" s="160" t="s">
        <v>1436</v>
      </c>
      <c r="F321" s="160" t="s">
        <v>482</v>
      </c>
      <c r="G321" s="161" t="s">
        <v>1053</v>
      </c>
    </row>
    <row r="322" spans="1:7" x14ac:dyDescent="0.25">
      <c r="C322" s="160">
        <v>62700010</v>
      </c>
      <c r="D322" s="160" t="s">
        <v>453</v>
      </c>
      <c r="E322" s="160" t="s">
        <v>1437</v>
      </c>
      <c r="F322" s="160" t="s">
        <v>453</v>
      </c>
      <c r="G322" s="160" t="s">
        <v>236</v>
      </c>
    </row>
    <row r="323" spans="1:7" x14ac:dyDescent="0.25">
      <c r="C323" s="160">
        <v>62800010</v>
      </c>
      <c r="D323" s="160" t="s">
        <v>454</v>
      </c>
      <c r="E323" s="160" t="s">
        <v>1438</v>
      </c>
      <c r="F323" s="160" t="s">
        <v>454</v>
      </c>
      <c r="G323" s="160" t="s">
        <v>238</v>
      </c>
    </row>
    <row r="324" spans="1:7" x14ac:dyDescent="0.25">
      <c r="C324" s="160">
        <v>62900010</v>
      </c>
      <c r="D324" s="160" t="s">
        <v>228</v>
      </c>
      <c r="E324" s="160" t="s">
        <v>812</v>
      </c>
      <c r="F324" s="160" t="s">
        <v>483</v>
      </c>
      <c r="G324" s="161" t="s">
        <v>1053</v>
      </c>
    </row>
    <row r="325" spans="1:7" x14ac:dyDescent="0.25">
      <c r="C325" s="160">
        <v>62900020</v>
      </c>
      <c r="D325" s="160" t="s">
        <v>230</v>
      </c>
      <c r="E325" s="160" t="s">
        <v>1439</v>
      </c>
      <c r="F325" s="160" t="s">
        <v>483</v>
      </c>
      <c r="G325" s="161" t="s">
        <v>1053</v>
      </c>
    </row>
    <row r="326" spans="1:7" x14ac:dyDescent="0.25">
      <c r="C326" s="160">
        <v>63300010</v>
      </c>
      <c r="D326" s="160" t="s">
        <v>1197</v>
      </c>
      <c r="E326" s="160" t="s">
        <v>1440</v>
      </c>
      <c r="F326" s="160" t="s">
        <v>340</v>
      </c>
      <c r="G326" s="160"/>
    </row>
    <row r="327" spans="1:7" x14ac:dyDescent="0.25">
      <c r="C327" s="375">
        <v>63900010</v>
      </c>
      <c r="D327" s="150" t="s">
        <v>232</v>
      </c>
      <c r="E327" s="151" t="s">
        <v>1505</v>
      </c>
      <c r="F327" s="151" t="s">
        <v>491</v>
      </c>
      <c r="G327" s="151" t="s">
        <v>1053</v>
      </c>
    </row>
    <row r="330" spans="1:7" s="365" customFormat="1" ht="15.75" x14ac:dyDescent="0.25">
      <c r="A330" s="159"/>
      <c r="B330" s="159"/>
      <c r="C330" s="364" t="s">
        <v>708</v>
      </c>
      <c r="D330" s="356" t="s">
        <v>537</v>
      </c>
    </row>
    <row r="331" spans="1:7" outlineLevel="1" x14ac:dyDescent="0.25"/>
    <row r="332" spans="1:7" outlineLevel="1" x14ac:dyDescent="0.25">
      <c r="C332" s="91" t="s">
        <v>1277</v>
      </c>
    </row>
    <row r="333" spans="1:7" outlineLevel="1" x14ac:dyDescent="0.25"/>
    <row r="334" spans="1:7" outlineLevel="1" x14ac:dyDescent="0.25">
      <c r="B334" s="127" t="s">
        <v>1036</v>
      </c>
      <c r="C334" s="127" t="s">
        <v>811</v>
      </c>
    </row>
    <row r="335" spans="1:7" outlineLevel="1" x14ac:dyDescent="0.25">
      <c r="C335" s="91" t="s">
        <v>1278</v>
      </c>
    </row>
    <row r="336" spans="1:7" outlineLevel="1" x14ac:dyDescent="0.25"/>
    <row r="337" spans="2:5" outlineLevel="1" x14ac:dyDescent="0.25">
      <c r="B337" s="127" t="s">
        <v>1037</v>
      </c>
      <c r="C337" s="127" t="s">
        <v>828</v>
      </c>
    </row>
    <row r="338" spans="2:5" outlineLevel="1" x14ac:dyDescent="0.25">
      <c r="C338" s="91" t="s">
        <v>1279</v>
      </c>
    </row>
    <row r="339" spans="2:5" outlineLevel="1" x14ac:dyDescent="0.25">
      <c r="C339" s="91" t="s">
        <v>1280</v>
      </c>
    </row>
    <row r="340" spans="2:5" outlineLevel="1" x14ac:dyDescent="0.25"/>
    <row r="341" spans="2:5" s="127" customFormat="1" outlineLevel="1" x14ac:dyDescent="0.25">
      <c r="B341" s="127" t="s">
        <v>1038</v>
      </c>
      <c r="C341" s="127" t="s">
        <v>1281</v>
      </c>
    </row>
    <row r="342" spans="2:5" outlineLevel="1" x14ac:dyDescent="0.25">
      <c r="C342" s="91" t="s">
        <v>1282</v>
      </c>
    </row>
    <row r="343" spans="2:5" outlineLevel="1" x14ac:dyDescent="0.25">
      <c r="C343" s="91" t="s">
        <v>1280</v>
      </c>
    </row>
    <row r="344" spans="2:5" outlineLevel="1" x14ac:dyDescent="0.25"/>
    <row r="345" spans="2:5" ht="105" outlineLevel="1" x14ac:dyDescent="0.25">
      <c r="C345" s="157" t="s">
        <v>543</v>
      </c>
      <c r="D345" s="158" t="s">
        <v>1283</v>
      </c>
    </row>
    <row r="346" spans="2:5" ht="15.75" customHeight="1" outlineLevel="1" x14ac:dyDescent="0.25">
      <c r="C346" s="157" t="s">
        <v>459</v>
      </c>
      <c r="D346" s="158" t="s">
        <v>1284</v>
      </c>
    </row>
    <row r="347" spans="2:5" ht="30" outlineLevel="1" x14ac:dyDescent="0.25">
      <c r="C347" s="157" t="s">
        <v>46</v>
      </c>
      <c r="D347" s="158" t="s">
        <v>1517</v>
      </c>
      <c r="E347" s="367" t="s">
        <v>1492</v>
      </c>
    </row>
    <row r="348" spans="2:5" ht="45.75" customHeight="1" outlineLevel="1" x14ac:dyDescent="0.25">
      <c r="C348" s="157" t="s">
        <v>458</v>
      </c>
      <c r="D348" s="158" t="s">
        <v>1285</v>
      </c>
    </row>
    <row r="349" spans="2:5" ht="45" outlineLevel="1" x14ac:dyDescent="0.25">
      <c r="C349" s="157" t="s">
        <v>337</v>
      </c>
      <c r="D349" s="158" t="s">
        <v>1286</v>
      </c>
    </row>
  </sheetData>
  <sheetProtection formatRows="0"/>
  <hyperlinks>
    <hyperlink ref="D28" location="Cover!A1" display="Cover" xr:uid="{8307975B-FF08-49F0-8E0B-61C0C569D5AF}"/>
    <hyperlink ref="D125" location="'Budget Opex Detail'!A1" display="Budget Opex Detail" xr:uid="{4C4FB645-63A1-4C9C-8BEA-04E2F272ECE3}"/>
    <hyperlink ref="D330" location="'Activity Master Opex'!A1" display="Activity Master" xr:uid="{299500E2-7AA6-4B79-90FA-ADDA6A20D9E3}"/>
    <hyperlink ref="D77" location="'Budget Capex Detail'!A1" display="Budget Capex Detail" xr:uid="{482C2E14-859C-49EE-874C-DD6C5AE9FE0E}"/>
    <hyperlink ref="C80" location="'Asset determination'!A1" display="'Asset determination" xr:uid="{E40603CF-59F1-493D-A5EE-4DC3E3D545F3}"/>
    <hyperlink ref="E347" location="'Master Data'!A1" display="Master Data" xr:uid="{EB6D3E29-9662-4EF4-8CF6-062EF1DDA75D}"/>
  </hyperlink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8E0A9-7C6F-4188-B88E-60A8A069366F}">
  <sheetPr>
    <tabColor rgb="FF339966"/>
  </sheetPr>
  <dimension ref="B1:D15"/>
  <sheetViews>
    <sheetView showGridLines="0" topLeftCell="A5" zoomScale="80" zoomScaleNormal="80" workbookViewId="0">
      <pane xSplit="8" topLeftCell="I1" activePane="topRight" state="frozen"/>
      <selection activeCell="E328" sqref="E328"/>
      <selection pane="topRight"/>
    </sheetView>
  </sheetViews>
  <sheetFormatPr defaultColWidth="9.140625" defaultRowHeight="15" outlineLevelRow="1" x14ac:dyDescent="0.25"/>
  <cols>
    <col min="1" max="1" width="5.28515625" style="176" customWidth="1"/>
    <col min="2" max="2" width="14.85546875" style="176" customWidth="1"/>
    <col min="3" max="3" width="10.7109375" style="176" bestFit="1" customWidth="1"/>
    <col min="4" max="16" width="9.140625" style="176"/>
    <col min="17" max="17" width="29.42578125" style="176" bestFit="1" customWidth="1"/>
    <col min="18" max="18" width="40.5703125" style="176" bestFit="1" customWidth="1"/>
    <col min="19" max="19" width="10.7109375" style="176" bestFit="1" customWidth="1"/>
    <col min="20" max="16384" width="9.140625" style="176"/>
  </cols>
  <sheetData>
    <row r="1" spans="2:4" outlineLevel="1" x14ac:dyDescent="0.25"/>
    <row r="2" spans="2:4" outlineLevel="1" x14ac:dyDescent="0.25">
      <c r="B2" s="188"/>
      <c r="C2" s="189"/>
    </row>
    <row r="3" spans="2:4" outlineLevel="1" x14ac:dyDescent="0.25"/>
    <row r="4" spans="2:4" outlineLevel="1" x14ac:dyDescent="0.25"/>
    <row r="5" spans="2:4" outlineLevel="1" x14ac:dyDescent="0.25"/>
    <row r="6" spans="2:4" outlineLevel="1" x14ac:dyDescent="0.25"/>
    <row r="7" spans="2:4" outlineLevel="1" x14ac:dyDescent="0.25"/>
    <row r="8" spans="2:4" outlineLevel="1" x14ac:dyDescent="0.25"/>
    <row r="9" spans="2:4" outlineLevel="1" x14ac:dyDescent="0.25"/>
    <row r="10" spans="2:4" outlineLevel="1" x14ac:dyDescent="0.25">
      <c r="C10" s="190"/>
    </row>
    <row r="15" spans="2:4" x14ac:dyDescent="0.25">
      <c r="D15" s="176" t="s">
        <v>1441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874B7-51A6-4796-8BE1-74DCD0C95FEA}">
  <sheetPr codeName="Sheet7">
    <tabColor rgb="FF8A0000"/>
  </sheetPr>
  <dimension ref="A1:W255"/>
  <sheetViews>
    <sheetView showGridLines="0" topLeftCell="A28" zoomScale="70" zoomScaleNormal="70" workbookViewId="0">
      <selection activeCell="A35" sqref="A35"/>
    </sheetView>
  </sheetViews>
  <sheetFormatPr defaultColWidth="10.28515625" defaultRowHeight="14.25" outlineLevelRow="2" x14ac:dyDescent="0.2"/>
  <cols>
    <col min="1" max="1" width="0.85546875" style="1" customWidth="1"/>
    <col min="2" max="2" width="2.5703125" style="1" customWidth="1"/>
    <col min="3" max="3" width="39.85546875" style="1" customWidth="1"/>
    <col min="4" max="4" width="67.85546875" style="1" bestFit="1" customWidth="1"/>
    <col min="5" max="5" width="127.42578125" style="1" customWidth="1"/>
    <col min="6" max="6" width="33" style="1" customWidth="1"/>
    <col min="7" max="7" width="31.7109375" style="1" customWidth="1"/>
    <col min="8" max="16384" width="10.28515625" style="1"/>
  </cols>
  <sheetData>
    <row r="1" spans="2:16" ht="9" customHeight="1" x14ac:dyDescent="0.2"/>
    <row r="2" spans="2:16" ht="23.25" x14ac:dyDescent="0.35">
      <c r="B2" s="2" t="s">
        <v>561</v>
      </c>
    </row>
    <row r="3" spans="2:16" ht="9" customHeight="1" x14ac:dyDescent="0.3">
      <c r="B3" s="3"/>
    </row>
    <row r="4" spans="2:16" ht="32.25" customHeight="1" thickBot="1" x14ac:dyDescent="0.3">
      <c r="B4" s="4" t="s">
        <v>0</v>
      </c>
      <c r="C4" s="5"/>
      <c r="D4" s="6"/>
      <c r="E4" s="5"/>
      <c r="F4" s="5"/>
      <c r="G4" s="5"/>
      <c r="H4" s="5"/>
      <c r="I4" s="5"/>
      <c r="J4" s="5"/>
      <c r="K4" s="5"/>
      <c r="L4" s="5"/>
      <c r="M4" s="5"/>
      <c r="N4" s="5"/>
      <c r="O4" s="5"/>
      <c r="P4" s="5"/>
    </row>
    <row r="5" spans="2:16" ht="14.25" customHeight="1" x14ac:dyDescent="0.25">
      <c r="B5" s="7"/>
      <c r="D5" s="8"/>
    </row>
    <row r="6" spans="2:16" ht="14.25" customHeight="1" x14ac:dyDescent="0.2">
      <c r="B6" s="1">
        <v>1</v>
      </c>
      <c r="C6" s="9" t="s">
        <v>796</v>
      </c>
    </row>
    <row r="7" spans="2:16" ht="14.25" customHeight="1" x14ac:dyDescent="0.2">
      <c r="B7" s="1">
        <v>2</v>
      </c>
      <c r="C7" s="9" t="s">
        <v>1</v>
      </c>
    </row>
    <row r="8" spans="2:16" ht="14.25" customHeight="1" x14ac:dyDescent="0.2">
      <c r="B8" s="10" t="s">
        <v>2</v>
      </c>
      <c r="C8" s="9" t="s">
        <v>562</v>
      </c>
    </row>
    <row r="9" spans="2:16" ht="14.25" customHeight="1" x14ac:dyDescent="0.2">
      <c r="B9" s="10" t="s">
        <v>2</v>
      </c>
      <c r="C9" s="9" t="s">
        <v>567</v>
      </c>
    </row>
    <row r="10" spans="2:16" ht="14.25" customHeight="1" x14ac:dyDescent="0.2">
      <c r="B10" s="10" t="s">
        <v>2</v>
      </c>
      <c r="C10" s="9" t="s">
        <v>563</v>
      </c>
    </row>
    <row r="11" spans="2:16" ht="14.25" customHeight="1" x14ac:dyDescent="0.2">
      <c r="B11" s="10" t="s">
        <v>2</v>
      </c>
      <c r="C11" s="9" t="s">
        <v>568</v>
      </c>
    </row>
    <row r="12" spans="2:16" ht="14.25" customHeight="1" x14ac:dyDescent="0.2">
      <c r="B12" s="10" t="s">
        <v>2</v>
      </c>
      <c r="C12" s="9" t="s">
        <v>569</v>
      </c>
    </row>
    <row r="13" spans="2:16" ht="14.25" customHeight="1" x14ac:dyDescent="0.25">
      <c r="B13" s="1">
        <v>3</v>
      </c>
      <c r="C13" s="9" t="s">
        <v>3</v>
      </c>
    </row>
    <row r="14" spans="2:16" ht="14.25" customHeight="1" x14ac:dyDescent="0.2">
      <c r="B14" s="1">
        <v>4</v>
      </c>
      <c r="C14" s="1" t="s">
        <v>4</v>
      </c>
    </row>
    <row r="15" spans="2:16" ht="14.25" customHeight="1" x14ac:dyDescent="0.2">
      <c r="B15" s="1">
        <v>5</v>
      </c>
      <c r="C15" s="1" t="s">
        <v>5</v>
      </c>
    </row>
    <row r="16" spans="2:16" x14ac:dyDescent="0.2">
      <c r="B16" s="1">
        <v>6</v>
      </c>
      <c r="C16" s="1" t="s">
        <v>779</v>
      </c>
    </row>
    <row r="17" spans="1:23" ht="13.5" customHeight="1" x14ac:dyDescent="0.2"/>
    <row r="18" spans="1:23" ht="32.25" customHeight="1" thickBot="1" x14ac:dyDescent="0.3">
      <c r="B18" s="4" t="s">
        <v>6</v>
      </c>
      <c r="C18" s="5"/>
      <c r="D18" s="6"/>
      <c r="E18" s="5"/>
      <c r="F18" s="5"/>
      <c r="G18" s="5"/>
      <c r="H18" s="5"/>
      <c r="I18" s="5"/>
      <c r="J18" s="5"/>
      <c r="K18" s="5"/>
      <c r="L18" s="5"/>
      <c r="M18" s="5"/>
      <c r="N18" s="5"/>
      <c r="O18" s="5"/>
      <c r="P18" s="5"/>
    </row>
    <row r="20" spans="1:23" ht="14.25" customHeight="1" x14ac:dyDescent="0.2">
      <c r="B20" s="1">
        <v>1</v>
      </c>
      <c r="C20" s="1" t="s">
        <v>7</v>
      </c>
    </row>
    <row r="21" spans="1:23" ht="14.25" customHeight="1" x14ac:dyDescent="0.2">
      <c r="C21" s="11" t="s">
        <v>8</v>
      </c>
    </row>
    <row r="22" spans="1:23" ht="14.25" customHeight="1" x14ac:dyDescent="0.2">
      <c r="C22" s="11" t="s">
        <v>706</v>
      </c>
    </row>
    <row r="23" spans="1:23" ht="14.25" customHeight="1" x14ac:dyDescent="0.2">
      <c r="C23" s="11" t="s">
        <v>9</v>
      </c>
    </row>
    <row r="24" spans="1:23" ht="14.25" customHeight="1" x14ac:dyDescent="0.2">
      <c r="C24" s="11" t="s">
        <v>707</v>
      </c>
    </row>
    <row r="25" spans="1:23" ht="14.25" customHeight="1" x14ac:dyDescent="0.25">
      <c r="B25" s="1">
        <v>2</v>
      </c>
      <c r="C25" s="1" t="s">
        <v>530</v>
      </c>
    </row>
    <row r="26" spans="1:23" ht="14.25" customHeight="1" x14ac:dyDescent="0.25">
      <c r="A26" s="12"/>
      <c r="B26" s="12"/>
      <c r="D26" s="12"/>
      <c r="E26" s="12"/>
      <c r="F26" s="12"/>
      <c r="G26" s="12"/>
      <c r="H26" s="12"/>
      <c r="I26" s="12"/>
      <c r="J26" s="12"/>
      <c r="K26" s="12"/>
      <c r="L26" s="12"/>
      <c r="M26" s="12"/>
      <c r="N26" s="12"/>
      <c r="O26" s="12"/>
      <c r="P26" s="12"/>
      <c r="Q26" s="12"/>
      <c r="R26" s="12"/>
      <c r="S26" s="12"/>
      <c r="T26" s="12"/>
      <c r="U26" s="12"/>
      <c r="V26" s="12"/>
      <c r="W26" s="12"/>
    </row>
    <row r="27" spans="1:23" s="13" customFormat="1" ht="24" customHeight="1" x14ac:dyDescent="0.2">
      <c r="C27" s="14" t="s">
        <v>10</v>
      </c>
      <c r="D27" s="15" t="s">
        <v>11</v>
      </c>
      <c r="E27" s="16"/>
      <c r="F27" s="16"/>
      <c r="G27" s="16"/>
      <c r="H27" s="16"/>
      <c r="I27" s="16"/>
      <c r="J27" s="16"/>
      <c r="K27" s="16"/>
      <c r="L27" s="16"/>
      <c r="M27" s="16"/>
      <c r="N27" s="16"/>
      <c r="O27" s="16"/>
      <c r="P27" s="16"/>
      <c r="Q27" s="16"/>
      <c r="R27" s="16"/>
      <c r="S27" s="16"/>
      <c r="T27" s="16"/>
      <c r="U27" s="16"/>
      <c r="V27" s="16"/>
      <c r="W27" s="16"/>
    </row>
    <row r="29" spans="1:23" outlineLevel="1" x14ac:dyDescent="0.2">
      <c r="C29" s="1" t="s">
        <v>12</v>
      </c>
    </row>
    <row r="30" spans="1:23" outlineLevel="1" x14ac:dyDescent="0.2"/>
    <row r="31" spans="1:23" ht="15" outlineLevel="1" x14ac:dyDescent="0.25">
      <c r="C31" s="17" t="s">
        <v>13</v>
      </c>
      <c r="D31" s="18" t="s">
        <v>14</v>
      </c>
    </row>
    <row r="32" spans="1:23" ht="28.5" outlineLevel="1" x14ac:dyDescent="0.2">
      <c r="C32" s="19" t="s">
        <v>15</v>
      </c>
      <c r="D32" s="20" t="s">
        <v>235</v>
      </c>
    </row>
    <row r="33" spans="3:4" ht="15" outlineLevel="1" x14ac:dyDescent="0.2">
      <c r="C33" s="19" t="s">
        <v>234</v>
      </c>
      <c r="D33" s="20" t="s">
        <v>243</v>
      </c>
    </row>
    <row r="34" spans="3:4" ht="15" outlineLevel="1" x14ac:dyDescent="0.2">
      <c r="C34" s="19" t="s">
        <v>16</v>
      </c>
      <c r="D34" s="20" t="s">
        <v>17</v>
      </c>
    </row>
    <row r="35" spans="3:4" outlineLevel="1" x14ac:dyDescent="0.2"/>
    <row r="36" spans="3:4" ht="25.5" customHeight="1" outlineLevel="1" x14ac:dyDescent="0.2">
      <c r="C36" s="36" t="s">
        <v>797</v>
      </c>
      <c r="D36" s="36" t="s">
        <v>798</v>
      </c>
    </row>
    <row r="37" spans="3:4" outlineLevel="2" x14ac:dyDescent="0.2">
      <c r="C37" s="21" t="s">
        <v>234</v>
      </c>
      <c r="D37" s="21" t="s">
        <v>244</v>
      </c>
    </row>
    <row r="38" spans="3:4" outlineLevel="2" x14ac:dyDescent="0.2">
      <c r="C38" s="50" t="s">
        <v>674</v>
      </c>
      <c r="D38" s="50" t="s">
        <v>673</v>
      </c>
    </row>
    <row r="39" spans="3:4" outlineLevel="2" x14ac:dyDescent="0.2">
      <c r="C39" s="50" t="s">
        <v>674</v>
      </c>
      <c r="D39" s="50" t="s">
        <v>669</v>
      </c>
    </row>
    <row r="40" spans="3:4" outlineLevel="2" x14ac:dyDescent="0.2">
      <c r="C40" s="50" t="s">
        <v>674</v>
      </c>
      <c r="D40" s="50" t="s">
        <v>670</v>
      </c>
    </row>
    <row r="41" spans="3:4" outlineLevel="2" x14ac:dyDescent="0.2">
      <c r="C41" s="50" t="s">
        <v>676</v>
      </c>
      <c r="D41" s="50" t="s">
        <v>634</v>
      </c>
    </row>
    <row r="42" spans="3:4" outlineLevel="2" x14ac:dyDescent="0.2">
      <c r="C42" s="50" t="s">
        <v>676</v>
      </c>
      <c r="D42" s="50" t="s">
        <v>635</v>
      </c>
    </row>
    <row r="43" spans="3:4" outlineLevel="2" x14ac:dyDescent="0.2">
      <c r="C43" s="50" t="s">
        <v>676</v>
      </c>
      <c r="D43" s="50" t="s">
        <v>730</v>
      </c>
    </row>
    <row r="44" spans="3:4" outlineLevel="2" x14ac:dyDescent="0.2">
      <c r="C44" s="50" t="s">
        <v>676</v>
      </c>
      <c r="D44" s="50" t="s">
        <v>675</v>
      </c>
    </row>
    <row r="45" spans="3:4" outlineLevel="2" x14ac:dyDescent="0.2">
      <c r="C45" s="22" t="s">
        <v>731</v>
      </c>
      <c r="D45" s="22" t="s">
        <v>30</v>
      </c>
    </row>
    <row r="46" spans="3:4" outlineLevel="2" x14ac:dyDescent="0.2">
      <c r="C46" s="22" t="s">
        <v>731</v>
      </c>
      <c r="D46" s="22" t="s">
        <v>29</v>
      </c>
    </row>
    <row r="47" spans="3:4" outlineLevel="2" x14ac:dyDescent="0.2">
      <c r="C47" s="22" t="s">
        <v>731</v>
      </c>
      <c r="D47" s="22" t="s">
        <v>291</v>
      </c>
    </row>
    <row r="48" spans="3:4" outlineLevel="2" x14ac:dyDescent="0.2">
      <c r="C48" s="22" t="s">
        <v>731</v>
      </c>
      <c r="D48" s="22" t="s">
        <v>292</v>
      </c>
    </row>
    <row r="49" spans="3:4" outlineLevel="2" x14ac:dyDescent="0.2">
      <c r="C49" s="22" t="s">
        <v>579</v>
      </c>
      <c r="D49" s="22" t="s">
        <v>236</v>
      </c>
    </row>
    <row r="50" spans="3:4" outlineLevel="2" x14ac:dyDescent="0.2">
      <c r="C50" s="22" t="s">
        <v>579</v>
      </c>
      <c r="D50" s="22" t="s">
        <v>32</v>
      </c>
    </row>
    <row r="51" spans="3:4" outlineLevel="2" x14ac:dyDescent="0.2">
      <c r="C51" s="22" t="s">
        <v>240</v>
      </c>
      <c r="D51" s="22" t="s">
        <v>245</v>
      </c>
    </row>
    <row r="52" spans="3:4" outlineLevel="2" x14ac:dyDescent="0.2">
      <c r="C52" s="22" t="s">
        <v>240</v>
      </c>
      <c r="D52" s="22" t="s">
        <v>24</v>
      </c>
    </row>
    <row r="53" spans="3:4" outlineLevel="2" x14ac:dyDescent="0.2">
      <c r="C53" s="22" t="s">
        <v>240</v>
      </c>
      <c r="D53" s="22" t="s">
        <v>19</v>
      </c>
    </row>
    <row r="54" spans="3:4" outlineLevel="2" x14ac:dyDescent="0.2">
      <c r="C54" s="22" t="s">
        <v>240</v>
      </c>
      <c r="D54" s="22" t="s">
        <v>20</v>
      </c>
    </row>
    <row r="55" spans="3:4" outlineLevel="2" x14ac:dyDescent="0.2">
      <c r="C55" s="22" t="s">
        <v>176</v>
      </c>
      <c r="D55" s="22" t="s">
        <v>21</v>
      </c>
    </row>
    <row r="56" spans="3:4" outlineLevel="2" x14ac:dyDescent="0.2">
      <c r="C56" s="22" t="s">
        <v>176</v>
      </c>
      <c r="D56" s="22" t="s">
        <v>23</v>
      </c>
    </row>
    <row r="57" spans="3:4" outlineLevel="2" x14ac:dyDescent="0.2">
      <c r="C57" s="22" t="s">
        <v>580</v>
      </c>
      <c r="D57" s="22" t="s">
        <v>583</v>
      </c>
    </row>
    <row r="58" spans="3:4" outlineLevel="2" x14ac:dyDescent="0.2">
      <c r="C58" s="22" t="s">
        <v>580</v>
      </c>
      <c r="D58" s="22" t="s">
        <v>584</v>
      </c>
    </row>
    <row r="59" spans="3:4" outlineLevel="2" x14ac:dyDescent="0.2">
      <c r="C59" s="22" t="s">
        <v>237</v>
      </c>
      <c r="D59" s="22" t="s">
        <v>237</v>
      </c>
    </row>
    <row r="60" spans="3:4" outlineLevel="2" x14ac:dyDescent="0.2">
      <c r="C60" s="22" t="s">
        <v>581</v>
      </c>
      <c r="D60" s="22" t="s">
        <v>25</v>
      </c>
    </row>
    <row r="61" spans="3:4" outlineLevel="2" x14ac:dyDescent="0.2">
      <c r="C61" s="22" t="s">
        <v>581</v>
      </c>
      <c r="D61" s="22" t="s">
        <v>26</v>
      </c>
    </row>
    <row r="62" spans="3:4" outlineLevel="2" x14ac:dyDescent="0.2">
      <c r="C62" s="22" t="s">
        <v>581</v>
      </c>
      <c r="D62" s="22" t="s">
        <v>27</v>
      </c>
    </row>
    <row r="63" spans="3:4" outlineLevel="2" x14ac:dyDescent="0.2">
      <c r="C63" s="22" t="s">
        <v>581</v>
      </c>
      <c r="D63" s="22" t="s">
        <v>28</v>
      </c>
    </row>
    <row r="64" spans="3:4" outlineLevel="2" x14ac:dyDescent="0.2">
      <c r="C64" s="22" t="s">
        <v>581</v>
      </c>
      <c r="D64" s="22" t="s">
        <v>248</v>
      </c>
    </row>
    <row r="65" spans="3:23" outlineLevel="2" x14ac:dyDescent="0.2">
      <c r="C65" s="23" t="s">
        <v>239</v>
      </c>
      <c r="D65" s="22" t="s">
        <v>582</v>
      </c>
    </row>
    <row r="66" spans="3:23" outlineLevel="2" x14ac:dyDescent="0.2">
      <c r="C66" s="22" t="s">
        <v>239</v>
      </c>
      <c r="D66" s="22" t="s">
        <v>34</v>
      </c>
    </row>
    <row r="67" spans="3:23" outlineLevel="2" x14ac:dyDescent="0.2">
      <c r="C67" s="22" t="s">
        <v>239</v>
      </c>
      <c r="D67" s="22" t="s">
        <v>35</v>
      </c>
    </row>
    <row r="68" spans="3:23" outlineLevel="1" x14ac:dyDescent="0.2"/>
    <row r="69" spans="3:23" outlineLevel="1" x14ac:dyDescent="0.2">
      <c r="C69" s="1" t="s">
        <v>36</v>
      </c>
    </row>
    <row r="71" spans="3:23" s="13" customFormat="1" ht="24" customHeight="1" x14ac:dyDescent="0.2">
      <c r="C71" s="14" t="s">
        <v>677</v>
      </c>
      <c r="D71" s="51" t="s">
        <v>678</v>
      </c>
      <c r="E71" s="16"/>
      <c r="F71" s="16"/>
      <c r="G71" s="16"/>
      <c r="H71" s="16"/>
      <c r="I71" s="16"/>
      <c r="J71" s="16"/>
      <c r="K71" s="16"/>
      <c r="L71" s="16"/>
      <c r="M71" s="16"/>
      <c r="N71" s="16"/>
      <c r="O71" s="16"/>
      <c r="P71" s="16"/>
      <c r="Q71" s="16"/>
      <c r="R71" s="16"/>
      <c r="S71" s="16"/>
      <c r="T71" s="16"/>
      <c r="U71" s="16"/>
      <c r="V71" s="16"/>
      <c r="W71" s="16"/>
    </row>
    <row r="73" spans="3:23" outlineLevel="1" x14ac:dyDescent="0.2">
      <c r="C73" s="1" t="s">
        <v>679</v>
      </c>
    </row>
    <row r="74" spans="3:23" ht="15" outlineLevel="1" x14ac:dyDescent="0.25">
      <c r="C74" s="1" t="s">
        <v>37</v>
      </c>
    </row>
    <row r="75" spans="3:23" outlineLevel="1" x14ac:dyDescent="0.2"/>
    <row r="76" spans="3:23" ht="42.75" outlineLevel="1" x14ac:dyDescent="0.2">
      <c r="C76" s="52" t="s">
        <v>38</v>
      </c>
      <c r="D76" s="53" t="s">
        <v>680</v>
      </c>
    </row>
    <row r="77" spans="3:23" ht="72.75" customHeight="1" outlineLevel="1" x14ac:dyDescent="0.2">
      <c r="C77" s="52" t="s">
        <v>681</v>
      </c>
      <c r="D77" s="54" t="s">
        <v>682</v>
      </c>
    </row>
    <row r="78" spans="3:23" ht="71.25" outlineLevel="1" x14ac:dyDescent="0.2">
      <c r="C78" s="52" t="s">
        <v>683</v>
      </c>
      <c r="D78" s="53" t="s">
        <v>684</v>
      </c>
    </row>
    <row r="79" spans="3:23" ht="189.95" customHeight="1" outlineLevel="1" x14ac:dyDescent="0.2">
      <c r="C79" s="52" t="s">
        <v>685</v>
      </c>
      <c r="D79" s="54" t="s">
        <v>686</v>
      </c>
    </row>
    <row r="80" spans="3:23" ht="57" outlineLevel="1" x14ac:dyDescent="0.2">
      <c r="C80" s="80" t="s">
        <v>39</v>
      </c>
      <c r="D80" s="81" t="s">
        <v>687</v>
      </c>
    </row>
    <row r="81" spans="3:6" ht="42.75" outlineLevel="1" x14ac:dyDescent="0.2">
      <c r="C81" s="80" t="s">
        <v>688</v>
      </c>
      <c r="D81" s="81" t="s">
        <v>799</v>
      </c>
    </row>
    <row r="82" spans="3:6" ht="85.5" outlineLevel="1" x14ac:dyDescent="0.2">
      <c r="C82" s="52" t="s">
        <v>565</v>
      </c>
      <c r="D82" s="53" t="s">
        <v>780</v>
      </c>
    </row>
    <row r="83" spans="3:6" ht="42.75" outlineLevel="1" x14ac:dyDescent="0.2">
      <c r="C83" s="52" t="s">
        <v>689</v>
      </c>
      <c r="D83" s="53" t="s">
        <v>690</v>
      </c>
    </row>
    <row r="84" spans="3:6" ht="71.25" outlineLevel="1" x14ac:dyDescent="0.2">
      <c r="C84" s="55" t="s">
        <v>587</v>
      </c>
      <c r="D84" s="53" t="s">
        <v>691</v>
      </c>
    </row>
    <row r="85" spans="3:6" ht="15" outlineLevel="1" x14ac:dyDescent="0.2">
      <c r="C85" s="55" t="s">
        <v>588</v>
      </c>
      <c r="D85" s="56" t="s">
        <v>692</v>
      </c>
    </row>
    <row r="86" spans="3:6" ht="15" outlineLevel="1" x14ac:dyDescent="0.2">
      <c r="C86" s="55" t="s">
        <v>589</v>
      </c>
      <c r="D86" s="56" t="s">
        <v>693</v>
      </c>
    </row>
    <row r="87" spans="3:6" ht="15" outlineLevel="1" x14ac:dyDescent="0.2">
      <c r="C87" s="55" t="s">
        <v>590</v>
      </c>
      <c r="D87" s="56" t="s">
        <v>694</v>
      </c>
    </row>
    <row r="88" spans="3:6" ht="15" outlineLevel="1" x14ac:dyDescent="0.2">
      <c r="C88" s="55" t="s">
        <v>591</v>
      </c>
      <c r="D88" s="56" t="s">
        <v>695</v>
      </c>
    </row>
    <row r="89" spans="3:6" ht="71.25" hidden="1" outlineLevel="1" x14ac:dyDescent="0.2">
      <c r="C89" s="55" t="s">
        <v>592</v>
      </c>
      <c r="D89" s="57" t="s">
        <v>696</v>
      </c>
    </row>
    <row r="90" spans="3:6" outlineLevel="1" x14ac:dyDescent="0.2"/>
    <row r="91" spans="3:6" outlineLevel="1" x14ac:dyDescent="0.2"/>
    <row r="92" spans="3:6" outlineLevel="1" x14ac:dyDescent="0.2">
      <c r="C92" s="24" t="s">
        <v>697</v>
      </c>
    </row>
    <row r="93" spans="3:6" outlineLevel="2" x14ac:dyDescent="0.2">
      <c r="C93" s="25" t="s">
        <v>40</v>
      </c>
      <c r="D93" s="21" t="s">
        <v>41</v>
      </c>
      <c r="E93" s="26" t="s">
        <v>42</v>
      </c>
      <c r="F93" s="26" t="s">
        <v>43</v>
      </c>
    </row>
    <row r="94" spans="3:6" ht="14.25" customHeight="1" outlineLevel="2" x14ac:dyDescent="0.2">
      <c r="C94" s="58" t="s">
        <v>666</v>
      </c>
      <c r="D94" s="59"/>
      <c r="E94" s="59"/>
      <c r="F94" s="59"/>
    </row>
    <row r="95" spans="3:6" outlineLevel="2" x14ac:dyDescent="0.2">
      <c r="C95" s="60">
        <v>15000000</v>
      </c>
      <c r="D95" s="27" t="s">
        <v>638</v>
      </c>
      <c r="E95" s="28" t="s">
        <v>655</v>
      </c>
      <c r="F95" s="28" t="s">
        <v>44</v>
      </c>
    </row>
    <row r="96" spans="3:6" ht="38.25" outlineLevel="2" x14ac:dyDescent="0.2">
      <c r="C96" s="61">
        <v>15000010</v>
      </c>
      <c r="D96" s="29" t="s">
        <v>639</v>
      </c>
      <c r="E96" s="30" t="s">
        <v>656</v>
      </c>
      <c r="F96" s="30" t="s">
        <v>44</v>
      </c>
    </row>
    <row r="97" spans="3:6" ht="38.25" outlineLevel="2" x14ac:dyDescent="0.2">
      <c r="C97" s="61">
        <v>15000020</v>
      </c>
      <c r="D97" s="29" t="s">
        <v>640</v>
      </c>
      <c r="E97" s="30" t="s">
        <v>657</v>
      </c>
      <c r="F97" s="30" t="s">
        <v>44</v>
      </c>
    </row>
    <row r="98" spans="3:6" outlineLevel="2" x14ac:dyDescent="0.2">
      <c r="C98" s="61">
        <v>15000030</v>
      </c>
      <c r="D98" s="29" t="s">
        <v>641</v>
      </c>
      <c r="E98" s="30" t="s">
        <v>658</v>
      </c>
      <c r="F98" s="30" t="s">
        <v>44</v>
      </c>
    </row>
    <row r="99" spans="3:6" ht="25.5" outlineLevel="2" x14ac:dyDescent="0.2">
      <c r="C99" s="61">
        <v>15000040</v>
      </c>
      <c r="D99" s="29" t="s">
        <v>642</v>
      </c>
      <c r="E99" s="30" t="s">
        <v>659</v>
      </c>
      <c r="F99" s="30" t="s">
        <v>44</v>
      </c>
    </row>
    <row r="100" spans="3:6" ht="51" outlineLevel="2" x14ac:dyDescent="0.2">
      <c r="C100" s="61">
        <v>15000050</v>
      </c>
      <c r="D100" s="29" t="s">
        <v>643</v>
      </c>
      <c r="E100" s="30" t="s">
        <v>660</v>
      </c>
      <c r="F100" s="30" t="s">
        <v>44</v>
      </c>
    </row>
    <row r="101" spans="3:6" ht="25.5" outlineLevel="2" x14ac:dyDescent="0.2">
      <c r="C101" s="61">
        <v>15000060</v>
      </c>
      <c r="D101" s="29" t="s">
        <v>644</v>
      </c>
      <c r="E101" s="30" t="s">
        <v>661</v>
      </c>
      <c r="F101" s="30" t="s">
        <v>44</v>
      </c>
    </row>
    <row r="102" spans="3:6" ht="25.5" outlineLevel="2" x14ac:dyDescent="0.2">
      <c r="C102" s="62">
        <v>15000070</v>
      </c>
      <c r="D102" s="31" t="s">
        <v>645</v>
      </c>
      <c r="E102" s="32" t="s">
        <v>662</v>
      </c>
      <c r="F102" s="32" t="s">
        <v>44</v>
      </c>
    </row>
    <row r="103" spans="3:6" outlineLevel="2" x14ac:dyDescent="0.2">
      <c r="C103" s="62">
        <v>15000080</v>
      </c>
      <c r="D103" s="31" t="s">
        <v>646</v>
      </c>
      <c r="E103" s="32" t="s">
        <v>663</v>
      </c>
      <c r="F103" s="32" t="s">
        <v>44</v>
      </c>
    </row>
    <row r="104" spans="3:6" outlineLevel="2" x14ac:dyDescent="0.2">
      <c r="C104" s="62">
        <v>15000090</v>
      </c>
      <c r="D104" s="31" t="s">
        <v>647</v>
      </c>
      <c r="E104" s="63" t="s">
        <v>664</v>
      </c>
      <c r="F104" s="63" t="s">
        <v>44</v>
      </c>
    </row>
    <row r="105" spans="3:6" outlineLevel="2" x14ac:dyDescent="0.2">
      <c r="C105" s="62">
        <v>15200000</v>
      </c>
      <c r="D105" s="31" t="s">
        <v>648</v>
      </c>
      <c r="E105" s="63" t="s">
        <v>698</v>
      </c>
      <c r="F105" s="63" t="s">
        <v>44</v>
      </c>
    </row>
    <row r="106" spans="3:6" ht="25.5" outlineLevel="2" x14ac:dyDescent="0.2">
      <c r="C106" s="62">
        <v>15000250</v>
      </c>
      <c r="D106" s="31" t="s">
        <v>649</v>
      </c>
      <c r="E106" s="32" t="s">
        <v>665</v>
      </c>
      <c r="F106" s="63" t="s">
        <v>44</v>
      </c>
    </row>
    <row r="107" spans="3:6" ht="14.25" customHeight="1" outlineLevel="2" x14ac:dyDescent="0.2">
      <c r="C107" s="64" t="s">
        <v>303</v>
      </c>
      <c r="D107" s="65"/>
      <c r="E107" s="65"/>
      <c r="F107" s="66"/>
    </row>
    <row r="108" spans="3:6" ht="34.5" customHeight="1" outlineLevel="2" x14ac:dyDescent="0.2">
      <c r="C108" s="62">
        <v>15020010</v>
      </c>
      <c r="D108" s="31" t="s">
        <v>650</v>
      </c>
      <c r="E108" s="32" t="s">
        <v>699</v>
      </c>
      <c r="F108" s="32" t="s">
        <v>44</v>
      </c>
    </row>
    <row r="109" spans="3:6" ht="34.5" customHeight="1" outlineLevel="2" x14ac:dyDescent="0.2">
      <c r="C109" s="62">
        <v>15020020</v>
      </c>
      <c r="D109" s="31" t="s">
        <v>651</v>
      </c>
      <c r="E109" s="32" t="s">
        <v>700</v>
      </c>
      <c r="F109" s="32" t="s">
        <v>44</v>
      </c>
    </row>
    <row r="110" spans="3:6" ht="34.5" customHeight="1" outlineLevel="2" x14ac:dyDescent="0.2">
      <c r="C110" s="62">
        <v>15020030</v>
      </c>
      <c r="D110" s="31" t="s">
        <v>652</v>
      </c>
      <c r="E110" s="32" t="s">
        <v>701</v>
      </c>
      <c r="F110" s="32" t="s">
        <v>44</v>
      </c>
    </row>
    <row r="111" spans="3:6" ht="34.5" customHeight="1" outlineLevel="2" x14ac:dyDescent="0.2">
      <c r="C111" s="62">
        <v>15020040</v>
      </c>
      <c r="D111" s="31" t="s">
        <v>653</v>
      </c>
      <c r="E111" s="32" t="s">
        <v>702</v>
      </c>
      <c r="F111" s="32" t="s">
        <v>44</v>
      </c>
    </row>
    <row r="112" spans="3:6" ht="34.5" customHeight="1" outlineLevel="2" x14ac:dyDescent="0.2">
      <c r="C112" s="62">
        <v>15020080</v>
      </c>
      <c r="D112" s="31" t="s">
        <v>654</v>
      </c>
      <c r="E112" s="32" t="s">
        <v>703</v>
      </c>
      <c r="F112" s="32" t="s">
        <v>44</v>
      </c>
    </row>
    <row r="113" spans="3:23" ht="34.5" customHeight="1" outlineLevel="2" x14ac:dyDescent="0.2">
      <c r="C113" s="33">
        <v>15020090</v>
      </c>
      <c r="D113" s="34" t="s">
        <v>704</v>
      </c>
      <c r="E113" s="35" t="s">
        <v>705</v>
      </c>
      <c r="F113" s="35" t="s">
        <v>44</v>
      </c>
    </row>
    <row r="114" spans="3:23" ht="34.5" customHeight="1" outlineLevel="2" x14ac:dyDescent="0.2">
      <c r="C114" s="67"/>
      <c r="D114" s="68"/>
      <c r="E114" s="69"/>
      <c r="F114" s="69"/>
    </row>
    <row r="115" spans="3:23" s="13" customFormat="1" ht="24" customHeight="1" x14ac:dyDescent="0.2">
      <c r="C115" s="14" t="s">
        <v>781</v>
      </c>
      <c r="D115" s="15" t="s">
        <v>516</v>
      </c>
      <c r="E115" s="16"/>
      <c r="F115" s="16"/>
      <c r="G115" s="16"/>
      <c r="H115" s="16"/>
      <c r="I115" s="16"/>
      <c r="J115" s="16"/>
      <c r="K115" s="16"/>
      <c r="L115" s="16"/>
      <c r="M115" s="16"/>
      <c r="N115" s="16"/>
      <c r="O115" s="16"/>
      <c r="P115" s="16"/>
      <c r="Q115" s="16"/>
      <c r="R115" s="16"/>
      <c r="S115" s="16"/>
      <c r="T115" s="16"/>
      <c r="U115" s="16"/>
      <c r="V115" s="16"/>
      <c r="W115" s="16"/>
    </row>
    <row r="117" spans="3:23" outlineLevel="1" x14ac:dyDescent="0.2">
      <c r="C117" s="1" t="s">
        <v>45</v>
      </c>
    </row>
    <row r="118" spans="3:23" outlineLevel="1" x14ac:dyDescent="0.2">
      <c r="C118" s="1" t="s">
        <v>564</v>
      </c>
    </row>
    <row r="119" spans="3:23" ht="15" outlineLevel="1" x14ac:dyDescent="0.25">
      <c r="C119" s="1" t="s">
        <v>37</v>
      </c>
    </row>
    <row r="120" spans="3:23" outlineLevel="1" x14ac:dyDescent="0.2"/>
    <row r="121" spans="3:23" ht="99.75" outlineLevel="1" x14ac:dyDescent="0.2">
      <c r="C121" s="37" t="s">
        <v>456</v>
      </c>
      <c r="D121" s="39" t="s">
        <v>570</v>
      </c>
    </row>
    <row r="122" spans="3:23" ht="57" outlineLevel="1" x14ac:dyDescent="0.2">
      <c r="C122" s="37" t="s">
        <v>460</v>
      </c>
      <c r="D122" s="39" t="s">
        <v>782</v>
      </c>
    </row>
    <row r="123" spans="3:23" ht="57" outlineLevel="1" x14ac:dyDescent="0.2">
      <c r="C123" s="82" t="s">
        <v>39</v>
      </c>
      <c r="D123" s="83" t="s">
        <v>575</v>
      </c>
    </row>
    <row r="124" spans="3:23" ht="42.75" outlineLevel="1" x14ac:dyDescent="0.2">
      <c r="C124" s="82" t="s">
        <v>571</v>
      </c>
      <c r="D124" s="83" t="s">
        <v>572</v>
      </c>
    </row>
    <row r="125" spans="3:23" ht="85.5" outlineLevel="1" x14ac:dyDescent="0.2">
      <c r="C125" s="37" t="s">
        <v>565</v>
      </c>
      <c r="D125" s="39" t="s">
        <v>783</v>
      </c>
      <c r="E125" s="41"/>
    </row>
    <row r="126" spans="3:23" ht="28.5" outlineLevel="1" x14ac:dyDescent="0.2">
      <c r="C126" s="37" t="s">
        <v>573</v>
      </c>
      <c r="D126" s="39" t="s">
        <v>784</v>
      </c>
    </row>
    <row r="127" spans="3:23" ht="128.25" hidden="1" outlineLevel="1" x14ac:dyDescent="0.2">
      <c r="C127" s="42" t="s">
        <v>510</v>
      </c>
      <c r="D127" s="43" t="s">
        <v>536</v>
      </c>
    </row>
    <row r="128" spans="3:23" ht="127.5" customHeight="1" outlineLevel="1" x14ac:dyDescent="0.2">
      <c r="C128" s="40" t="s">
        <v>511</v>
      </c>
      <c r="D128" s="38" t="s">
        <v>785</v>
      </c>
    </row>
    <row r="129" spans="3:23" ht="28.5" outlineLevel="1" x14ac:dyDescent="0.2">
      <c r="C129" s="40" t="s">
        <v>512</v>
      </c>
      <c r="D129" s="38" t="s">
        <v>535</v>
      </c>
    </row>
    <row r="130" spans="3:23" ht="57.75" outlineLevel="1" x14ac:dyDescent="0.2">
      <c r="C130" s="40" t="s">
        <v>514</v>
      </c>
      <c r="D130" s="38" t="s">
        <v>533</v>
      </c>
    </row>
    <row r="131" spans="3:23" ht="43.5" outlineLevel="1" x14ac:dyDescent="0.2">
      <c r="C131" s="40" t="s">
        <v>339</v>
      </c>
      <c r="D131" s="38" t="s">
        <v>534</v>
      </c>
    </row>
    <row r="132" spans="3:23" ht="57" outlineLevel="1" x14ac:dyDescent="0.2">
      <c r="C132" s="40" t="s">
        <v>513</v>
      </c>
      <c r="D132" s="38" t="s">
        <v>532</v>
      </c>
    </row>
    <row r="133" spans="3:23" ht="78.75" customHeight="1" outlineLevel="1" x14ac:dyDescent="0.2">
      <c r="C133" s="40" t="s">
        <v>462</v>
      </c>
      <c r="D133" s="38" t="s">
        <v>531</v>
      </c>
    </row>
    <row r="134" spans="3:23" outlineLevel="1" x14ac:dyDescent="0.2"/>
    <row r="136" spans="3:23" s="13" customFormat="1" ht="24" customHeight="1" x14ac:dyDescent="0.2">
      <c r="C136" s="14" t="s">
        <v>708</v>
      </c>
      <c r="D136" s="15" t="s">
        <v>537</v>
      </c>
      <c r="E136" s="16"/>
      <c r="F136" s="16"/>
      <c r="G136" s="16"/>
      <c r="H136" s="16"/>
      <c r="I136" s="16"/>
      <c r="J136" s="16"/>
      <c r="K136" s="16"/>
      <c r="L136" s="16"/>
      <c r="M136" s="16"/>
      <c r="N136" s="16"/>
      <c r="O136" s="16"/>
      <c r="P136" s="16"/>
      <c r="Q136" s="16"/>
      <c r="R136" s="16"/>
      <c r="S136" s="16"/>
      <c r="T136" s="16"/>
      <c r="U136" s="16"/>
      <c r="V136" s="16"/>
      <c r="W136" s="16"/>
    </row>
    <row r="138" spans="3:23" outlineLevel="1" x14ac:dyDescent="0.2">
      <c r="C138" s="1" t="s">
        <v>538</v>
      </c>
    </row>
    <row r="139" spans="3:23" outlineLevel="1" x14ac:dyDescent="0.2"/>
    <row r="140" spans="3:23" outlineLevel="1" x14ac:dyDescent="0.2">
      <c r="C140" s="1" t="s">
        <v>539</v>
      </c>
    </row>
    <row r="141" spans="3:23" outlineLevel="1" x14ac:dyDescent="0.2">
      <c r="C141" s="1" t="s">
        <v>574</v>
      </c>
    </row>
    <row r="142" spans="3:23" outlineLevel="1" x14ac:dyDescent="0.2"/>
    <row r="143" spans="3:23" outlineLevel="1" x14ac:dyDescent="0.2">
      <c r="C143" s="1" t="s">
        <v>566</v>
      </c>
    </row>
    <row r="144" spans="3:23" outlineLevel="1" x14ac:dyDescent="0.2">
      <c r="C144" s="1" t="s">
        <v>540</v>
      </c>
    </row>
    <row r="145" spans="3:6" ht="15" outlineLevel="1" x14ac:dyDescent="0.25">
      <c r="C145" s="1" t="s">
        <v>37</v>
      </c>
    </row>
    <row r="146" spans="3:6" outlineLevel="1" x14ac:dyDescent="0.2"/>
    <row r="147" spans="3:6" ht="159" outlineLevel="1" x14ac:dyDescent="0.2">
      <c r="C147" s="40" t="s">
        <v>543</v>
      </c>
      <c r="D147" s="38" t="s">
        <v>544</v>
      </c>
    </row>
    <row r="148" spans="3:6" ht="15" outlineLevel="1" x14ac:dyDescent="0.2">
      <c r="C148" s="40" t="s">
        <v>459</v>
      </c>
      <c r="D148" s="38" t="s">
        <v>786</v>
      </c>
    </row>
    <row r="149" spans="3:6" ht="28.5" outlineLevel="1" x14ac:dyDescent="0.2">
      <c r="C149" s="40" t="s">
        <v>46</v>
      </c>
      <c r="D149" s="38" t="s">
        <v>542</v>
      </c>
    </row>
    <row r="150" spans="3:6" ht="28.5" outlineLevel="1" x14ac:dyDescent="0.2">
      <c r="C150" s="40" t="s">
        <v>458</v>
      </c>
      <c r="D150" s="38" t="s">
        <v>541</v>
      </c>
    </row>
    <row r="151" spans="3:6" ht="71.25" outlineLevel="1" x14ac:dyDescent="0.2">
      <c r="C151" s="40" t="s">
        <v>337</v>
      </c>
      <c r="D151" s="38" t="s">
        <v>787</v>
      </c>
    </row>
    <row r="152" spans="3:6" outlineLevel="1" x14ac:dyDescent="0.2"/>
    <row r="153" spans="3:6" outlineLevel="1" x14ac:dyDescent="0.2">
      <c r="C153" s="24" t="s">
        <v>47</v>
      </c>
    </row>
    <row r="154" spans="3:6" outlineLevel="2" x14ac:dyDescent="0.2">
      <c r="C154" s="21" t="s">
        <v>40</v>
      </c>
      <c r="D154" s="21" t="s">
        <v>41</v>
      </c>
      <c r="E154" s="26" t="s">
        <v>42</v>
      </c>
      <c r="F154" s="26" t="s">
        <v>43</v>
      </c>
    </row>
    <row r="155" spans="3:6" outlineLevel="2" x14ac:dyDescent="0.2">
      <c r="C155" s="47" t="s">
        <v>517</v>
      </c>
      <c r="D155" s="30" t="s">
        <v>48</v>
      </c>
      <c r="E155" s="30" t="s">
        <v>49</v>
      </c>
      <c r="F155" s="45" t="s">
        <v>50</v>
      </c>
    </row>
    <row r="156" spans="3:6" outlineLevel="2" x14ac:dyDescent="0.2">
      <c r="C156" s="47" t="s">
        <v>518</v>
      </c>
      <c r="D156" s="30" t="s">
        <v>51</v>
      </c>
      <c r="E156" s="30" t="s">
        <v>52</v>
      </c>
      <c r="F156" s="46" t="s">
        <v>50</v>
      </c>
    </row>
    <row r="157" spans="3:6" ht="25.5" outlineLevel="2" x14ac:dyDescent="0.2">
      <c r="C157" s="47" t="s">
        <v>519</v>
      </c>
      <c r="D157" s="30" t="s">
        <v>53</v>
      </c>
      <c r="E157" s="30" t="s">
        <v>54</v>
      </c>
      <c r="F157" s="30" t="s">
        <v>50</v>
      </c>
    </row>
    <row r="158" spans="3:6" outlineLevel="2" x14ac:dyDescent="0.2">
      <c r="C158" s="47" t="s">
        <v>520</v>
      </c>
      <c r="D158" s="30" t="s">
        <v>55</v>
      </c>
      <c r="E158" s="30" t="s">
        <v>56</v>
      </c>
      <c r="F158" s="30" t="s">
        <v>50</v>
      </c>
    </row>
    <row r="159" spans="3:6" outlineLevel="2" x14ac:dyDescent="0.2">
      <c r="C159" s="47" t="s">
        <v>521</v>
      </c>
      <c r="D159" s="30" t="s">
        <v>57</v>
      </c>
      <c r="E159" s="30" t="s">
        <v>58</v>
      </c>
      <c r="F159" s="30" t="s">
        <v>50</v>
      </c>
    </row>
    <row r="160" spans="3:6" outlineLevel="2" x14ac:dyDescent="0.2">
      <c r="C160" s="47" t="s">
        <v>522</v>
      </c>
      <c r="D160" s="30" t="s">
        <v>59</v>
      </c>
      <c r="E160" s="30" t="s">
        <v>60</v>
      </c>
      <c r="F160" s="30" t="s">
        <v>50</v>
      </c>
    </row>
    <row r="161" spans="3:6" outlineLevel="2" x14ac:dyDescent="0.2">
      <c r="C161" s="47" t="s">
        <v>523</v>
      </c>
      <c r="D161" s="30" t="s">
        <v>61</v>
      </c>
      <c r="E161" s="30" t="s">
        <v>62</v>
      </c>
      <c r="F161" s="30" t="s">
        <v>50</v>
      </c>
    </row>
    <row r="162" spans="3:6" outlineLevel="2" x14ac:dyDescent="0.2">
      <c r="C162" s="47" t="s">
        <v>524</v>
      </c>
      <c r="D162" s="30" t="s">
        <v>63</v>
      </c>
      <c r="E162" s="30" t="s">
        <v>64</v>
      </c>
      <c r="F162" s="32" t="s">
        <v>50</v>
      </c>
    </row>
    <row r="163" spans="3:6" outlineLevel="2" x14ac:dyDescent="0.2">
      <c r="C163" s="47" t="s">
        <v>525</v>
      </c>
      <c r="D163" s="30" t="s">
        <v>65</v>
      </c>
      <c r="E163" s="30" t="s">
        <v>66</v>
      </c>
      <c r="F163" s="32" t="s">
        <v>50</v>
      </c>
    </row>
    <row r="164" spans="3:6" outlineLevel="2" x14ac:dyDescent="0.2">
      <c r="C164" s="47" t="s">
        <v>526</v>
      </c>
      <c r="D164" s="30" t="s">
        <v>67</v>
      </c>
      <c r="E164" s="30" t="s">
        <v>68</v>
      </c>
      <c r="F164" s="32" t="s">
        <v>50</v>
      </c>
    </row>
    <row r="165" spans="3:6" outlineLevel="2" x14ac:dyDescent="0.2">
      <c r="C165" s="47" t="s">
        <v>527</v>
      </c>
      <c r="D165" s="30" t="s">
        <v>69</v>
      </c>
      <c r="E165" s="30" t="s">
        <v>70</v>
      </c>
      <c r="F165" s="32" t="s">
        <v>50</v>
      </c>
    </row>
    <row r="166" spans="3:6" outlineLevel="2" x14ac:dyDescent="0.2">
      <c r="C166" s="47" t="s">
        <v>528</v>
      </c>
      <c r="D166" s="30" t="s">
        <v>71</v>
      </c>
      <c r="E166" s="30" t="s">
        <v>72</v>
      </c>
      <c r="F166" s="32" t="s">
        <v>50</v>
      </c>
    </row>
    <row r="167" spans="3:6" outlineLevel="2" x14ac:dyDescent="0.2">
      <c r="C167" s="47" t="s">
        <v>341</v>
      </c>
      <c r="D167" s="30" t="s">
        <v>73</v>
      </c>
      <c r="E167" s="30" t="s">
        <v>74</v>
      </c>
      <c r="F167" s="32" t="s">
        <v>50</v>
      </c>
    </row>
    <row r="168" spans="3:6" outlineLevel="2" x14ac:dyDescent="0.2">
      <c r="C168" s="47" t="s">
        <v>342</v>
      </c>
      <c r="D168" s="30" t="s">
        <v>75</v>
      </c>
      <c r="E168" s="30" t="s">
        <v>76</v>
      </c>
      <c r="F168" s="32" t="s">
        <v>50</v>
      </c>
    </row>
    <row r="169" spans="3:6" ht="25.5" outlineLevel="2" x14ac:dyDescent="0.2">
      <c r="C169" s="47" t="s">
        <v>343</v>
      </c>
      <c r="D169" s="30" t="s">
        <v>77</v>
      </c>
      <c r="E169" s="30" t="s">
        <v>78</v>
      </c>
      <c r="F169" s="32" t="s">
        <v>50</v>
      </c>
    </row>
    <row r="170" spans="3:6" outlineLevel="2" x14ac:dyDescent="0.2">
      <c r="C170" s="47" t="s">
        <v>344</v>
      </c>
      <c r="D170" s="30" t="s">
        <v>79</v>
      </c>
      <c r="E170" s="30" t="s">
        <v>80</v>
      </c>
      <c r="F170" s="32" t="s">
        <v>50</v>
      </c>
    </row>
    <row r="171" spans="3:6" outlineLevel="2" x14ac:dyDescent="0.2">
      <c r="C171" s="47" t="s">
        <v>345</v>
      </c>
      <c r="D171" s="30" t="s">
        <v>81</v>
      </c>
      <c r="E171" s="30" t="s">
        <v>82</v>
      </c>
      <c r="F171" s="32" t="s">
        <v>50</v>
      </c>
    </row>
    <row r="172" spans="3:6" outlineLevel="2" x14ac:dyDescent="0.2">
      <c r="C172" s="47" t="s">
        <v>346</v>
      </c>
      <c r="D172" s="30" t="s">
        <v>83</v>
      </c>
      <c r="E172" s="30" t="s">
        <v>84</v>
      </c>
      <c r="F172" s="32" t="s">
        <v>50</v>
      </c>
    </row>
    <row r="173" spans="3:6" outlineLevel="2" x14ac:dyDescent="0.2">
      <c r="C173" s="47" t="s">
        <v>347</v>
      </c>
      <c r="D173" s="30" t="s">
        <v>85</v>
      </c>
      <c r="E173" s="30" t="s">
        <v>86</v>
      </c>
      <c r="F173" s="32" t="s">
        <v>50</v>
      </c>
    </row>
    <row r="174" spans="3:6" outlineLevel="2" x14ac:dyDescent="0.2">
      <c r="C174" s="47" t="s">
        <v>348</v>
      </c>
      <c r="D174" s="30" t="s">
        <v>87</v>
      </c>
      <c r="E174" s="30" t="s">
        <v>88</v>
      </c>
      <c r="F174" s="32" t="s">
        <v>50</v>
      </c>
    </row>
    <row r="175" spans="3:6" outlineLevel="2" x14ac:dyDescent="0.2">
      <c r="C175" s="47" t="s">
        <v>349</v>
      </c>
      <c r="D175" s="30" t="s">
        <v>89</v>
      </c>
      <c r="E175" s="30" t="s">
        <v>90</v>
      </c>
      <c r="F175" s="32" t="s">
        <v>50</v>
      </c>
    </row>
    <row r="176" spans="3:6" outlineLevel="2" x14ac:dyDescent="0.2">
      <c r="C176" s="47" t="s">
        <v>350</v>
      </c>
      <c r="D176" s="30" t="s">
        <v>91</v>
      </c>
      <c r="E176" s="30" t="s">
        <v>92</v>
      </c>
      <c r="F176" s="32" t="s">
        <v>50</v>
      </c>
    </row>
    <row r="177" spans="3:6" outlineLevel="2" x14ac:dyDescent="0.2">
      <c r="C177" s="47" t="s">
        <v>351</v>
      </c>
      <c r="D177" s="30" t="s">
        <v>93</v>
      </c>
      <c r="E177" s="30" t="s">
        <v>94</v>
      </c>
      <c r="F177" s="32" t="s">
        <v>50</v>
      </c>
    </row>
    <row r="178" spans="3:6" outlineLevel="2" x14ac:dyDescent="0.2">
      <c r="C178" s="47" t="s">
        <v>352</v>
      </c>
      <c r="D178" s="30" t="s">
        <v>95</v>
      </c>
      <c r="E178" s="30" t="s">
        <v>96</v>
      </c>
      <c r="F178" s="32" t="s">
        <v>50</v>
      </c>
    </row>
    <row r="179" spans="3:6" outlineLevel="2" x14ac:dyDescent="0.2">
      <c r="C179" s="47" t="s">
        <v>529</v>
      </c>
      <c r="D179" s="30" t="s">
        <v>97</v>
      </c>
      <c r="E179" s="30" t="s">
        <v>98</v>
      </c>
      <c r="F179" s="32" t="s">
        <v>99</v>
      </c>
    </row>
    <row r="180" spans="3:6" outlineLevel="2" x14ac:dyDescent="0.2">
      <c r="C180" s="47" t="s">
        <v>353</v>
      </c>
      <c r="D180" s="30" t="s">
        <v>97</v>
      </c>
      <c r="E180" s="30" t="s">
        <v>98</v>
      </c>
      <c r="F180" s="32" t="s">
        <v>99</v>
      </c>
    </row>
    <row r="181" spans="3:6" outlineLevel="2" x14ac:dyDescent="0.2">
      <c r="C181" s="47" t="s">
        <v>354</v>
      </c>
      <c r="D181" s="30" t="s">
        <v>100</v>
      </c>
      <c r="E181" s="30" t="s">
        <v>101</v>
      </c>
      <c r="F181" s="32" t="s">
        <v>44</v>
      </c>
    </row>
    <row r="182" spans="3:6" outlineLevel="2" x14ac:dyDescent="0.2">
      <c r="C182" s="47" t="s">
        <v>355</v>
      </c>
      <c r="D182" s="30" t="s">
        <v>102</v>
      </c>
      <c r="E182" s="30" t="s">
        <v>103</v>
      </c>
      <c r="F182" s="32" t="s">
        <v>44</v>
      </c>
    </row>
    <row r="183" spans="3:6" outlineLevel="2" x14ac:dyDescent="0.2">
      <c r="C183" s="47" t="s">
        <v>356</v>
      </c>
      <c r="D183" s="30" t="s">
        <v>104</v>
      </c>
      <c r="E183" s="30" t="s">
        <v>105</v>
      </c>
      <c r="F183" s="32" t="s">
        <v>106</v>
      </c>
    </row>
    <row r="184" spans="3:6" outlineLevel="2" x14ac:dyDescent="0.2">
      <c r="C184" s="47" t="s">
        <v>357</v>
      </c>
      <c r="D184" s="30" t="s">
        <v>107</v>
      </c>
      <c r="E184" s="30" t="s">
        <v>108</v>
      </c>
      <c r="F184" s="32" t="s">
        <v>106</v>
      </c>
    </row>
    <row r="185" spans="3:6" outlineLevel="2" x14ac:dyDescent="0.2">
      <c r="C185" s="47" t="s">
        <v>358</v>
      </c>
      <c r="D185" s="30" t="s">
        <v>109</v>
      </c>
      <c r="E185" s="30" t="s">
        <v>110</v>
      </c>
      <c r="F185" s="32" t="s">
        <v>106</v>
      </c>
    </row>
    <row r="186" spans="3:6" outlineLevel="2" x14ac:dyDescent="0.2">
      <c r="C186" s="47" t="s">
        <v>359</v>
      </c>
      <c r="D186" s="30" t="s">
        <v>111</v>
      </c>
      <c r="E186" s="30" t="s">
        <v>112</v>
      </c>
      <c r="F186" s="32" t="s">
        <v>33</v>
      </c>
    </row>
    <row r="187" spans="3:6" ht="25.5" outlineLevel="2" x14ac:dyDescent="0.2">
      <c r="C187" s="47" t="s">
        <v>363</v>
      </c>
      <c r="D187" s="30" t="s">
        <v>113</v>
      </c>
      <c r="E187" s="30" t="s">
        <v>114</v>
      </c>
      <c r="F187" s="32" t="s">
        <v>106</v>
      </c>
    </row>
    <row r="188" spans="3:6" ht="25.5" outlineLevel="2" x14ac:dyDescent="0.2">
      <c r="C188" s="47" t="s">
        <v>360</v>
      </c>
      <c r="D188" s="30" t="s">
        <v>424</v>
      </c>
      <c r="E188" s="30" t="s">
        <v>545</v>
      </c>
      <c r="F188" s="32" t="s">
        <v>106</v>
      </c>
    </row>
    <row r="189" spans="3:6" ht="25.5" outlineLevel="2" x14ac:dyDescent="0.2">
      <c r="C189" s="47" t="s">
        <v>361</v>
      </c>
      <c r="D189" s="30" t="s">
        <v>425</v>
      </c>
      <c r="E189" s="30" t="s">
        <v>546</v>
      </c>
      <c r="F189" s="32" t="s">
        <v>44</v>
      </c>
    </row>
    <row r="190" spans="3:6" ht="25.5" outlineLevel="2" x14ac:dyDescent="0.2">
      <c r="C190" s="47" t="s">
        <v>362</v>
      </c>
      <c r="D190" s="30" t="s">
        <v>427</v>
      </c>
      <c r="E190" s="30" t="s">
        <v>547</v>
      </c>
      <c r="F190" s="32" t="s">
        <v>44</v>
      </c>
    </row>
    <row r="191" spans="3:6" outlineLevel="2" x14ac:dyDescent="0.2">
      <c r="C191" s="47" t="s">
        <v>364</v>
      </c>
      <c r="D191" s="30" t="s">
        <v>115</v>
      </c>
      <c r="E191" s="30" t="s">
        <v>116</v>
      </c>
      <c r="F191" s="32" t="s">
        <v>106</v>
      </c>
    </row>
    <row r="192" spans="3:6" outlineLevel="2" x14ac:dyDescent="0.2">
      <c r="C192" s="47" t="s">
        <v>365</v>
      </c>
      <c r="D192" s="30" t="s">
        <v>117</v>
      </c>
      <c r="E192" s="30" t="s">
        <v>118</v>
      </c>
      <c r="F192" s="32" t="s">
        <v>106</v>
      </c>
    </row>
    <row r="193" spans="3:6" outlineLevel="2" x14ac:dyDescent="0.2">
      <c r="C193" s="47" t="s">
        <v>366</v>
      </c>
      <c r="D193" s="30" t="s">
        <v>119</v>
      </c>
      <c r="E193" s="30" t="s">
        <v>120</v>
      </c>
      <c r="F193" s="32" t="s">
        <v>121</v>
      </c>
    </row>
    <row r="194" spans="3:6" outlineLevel="2" x14ac:dyDescent="0.2">
      <c r="C194" s="47" t="s">
        <v>367</v>
      </c>
      <c r="D194" s="30" t="s">
        <v>122</v>
      </c>
      <c r="E194" s="30" t="s">
        <v>123</v>
      </c>
      <c r="F194" s="32" t="s">
        <v>121</v>
      </c>
    </row>
    <row r="195" spans="3:6" outlineLevel="2" x14ac:dyDescent="0.2">
      <c r="C195" s="47" t="s">
        <v>368</v>
      </c>
      <c r="D195" s="30" t="s">
        <v>124</v>
      </c>
      <c r="E195" s="30" t="s">
        <v>125</v>
      </c>
      <c r="F195" s="32" t="s">
        <v>106</v>
      </c>
    </row>
    <row r="196" spans="3:6" outlineLevel="2" x14ac:dyDescent="0.2">
      <c r="C196" s="47" t="s">
        <v>369</v>
      </c>
      <c r="D196" s="30" t="s">
        <v>126</v>
      </c>
      <c r="E196" s="30" t="s">
        <v>127</v>
      </c>
      <c r="F196" s="32" t="s">
        <v>106</v>
      </c>
    </row>
    <row r="197" spans="3:6" outlineLevel="2" x14ac:dyDescent="0.2">
      <c r="C197" s="47" t="s">
        <v>370</v>
      </c>
      <c r="D197" s="30" t="s">
        <v>128</v>
      </c>
      <c r="E197" s="30" t="s">
        <v>129</v>
      </c>
      <c r="F197" s="32" t="s">
        <v>130</v>
      </c>
    </row>
    <row r="198" spans="3:6" outlineLevel="2" x14ac:dyDescent="0.2">
      <c r="C198" s="47" t="s">
        <v>371</v>
      </c>
      <c r="D198" s="30" t="s">
        <v>131</v>
      </c>
      <c r="E198" s="30" t="s">
        <v>132</v>
      </c>
      <c r="F198" s="32" t="s">
        <v>106</v>
      </c>
    </row>
    <row r="199" spans="3:6" outlineLevel="2" x14ac:dyDescent="0.2">
      <c r="C199" s="47" t="s">
        <v>372</v>
      </c>
      <c r="D199" s="30" t="s">
        <v>133</v>
      </c>
      <c r="E199" s="30" t="s">
        <v>134</v>
      </c>
      <c r="F199" s="32" t="s">
        <v>106</v>
      </c>
    </row>
    <row r="200" spans="3:6" ht="25.5" outlineLevel="2" x14ac:dyDescent="0.2">
      <c r="C200" s="47" t="s">
        <v>373</v>
      </c>
      <c r="D200" s="30" t="s">
        <v>135</v>
      </c>
      <c r="E200" s="30" t="s">
        <v>136</v>
      </c>
      <c r="F200" s="32" t="s">
        <v>44</v>
      </c>
    </row>
    <row r="201" spans="3:6" outlineLevel="2" x14ac:dyDescent="0.2">
      <c r="C201" s="47" t="s">
        <v>374</v>
      </c>
      <c r="D201" s="30" t="s">
        <v>137</v>
      </c>
      <c r="E201" s="30" t="s">
        <v>138</v>
      </c>
      <c r="F201" s="32" t="s">
        <v>44</v>
      </c>
    </row>
    <row r="202" spans="3:6" outlineLevel="2" x14ac:dyDescent="0.2">
      <c r="C202" s="47" t="s">
        <v>375</v>
      </c>
      <c r="D202" s="30" t="s">
        <v>139</v>
      </c>
      <c r="E202" s="30" t="s">
        <v>140</v>
      </c>
      <c r="F202" s="32" t="s">
        <v>44</v>
      </c>
    </row>
    <row r="203" spans="3:6" ht="25.5" outlineLevel="2" x14ac:dyDescent="0.2">
      <c r="C203" s="47" t="s">
        <v>376</v>
      </c>
      <c r="D203" s="30" t="s">
        <v>141</v>
      </c>
      <c r="E203" s="30" t="s">
        <v>142</v>
      </c>
      <c r="F203" s="32" t="s">
        <v>44</v>
      </c>
    </row>
    <row r="204" spans="3:6" ht="25.5" outlineLevel="2" x14ac:dyDescent="0.2">
      <c r="C204" s="47" t="s">
        <v>377</v>
      </c>
      <c r="D204" s="30" t="s">
        <v>143</v>
      </c>
      <c r="E204" s="30" t="s">
        <v>144</v>
      </c>
      <c r="F204" s="32" t="s">
        <v>44</v>
      </c>
    </row>
    <row r="205" spans="3:6" outlineLevel="2" x14ac:dyDescent="0.2">
      <c r="C205" s="47" t="s">
        <v>378</v>
      </c>
      <c r="D205" s="30" t="s">
        <v>145</v>
      </c>
      <c r="E205" s="30" t="s">
        <v>146</v>
      </c>
      <c r="F205" s="32" t="s">
        <v>44</v>
      </c>
    </row>
    <row r="206" spans="3:6" ht="25.5" outlineLevel="2" x14ac:dyDescent="0.2">
      <c r="C206" s="47" t="s">
        <v>379</v>
      </c>
      <c r="D206" s="30" t="s">
        <v>147</v>
      </c>
      <c r="E206" s="30" t="s">
        <v>548</v>
      </c>
      <c r="F206" s="32" t="s">
        <v>106</v>
      </c>
    </row>
    <row r="207" spans="3:6" ht="25.5" outlineLevel="2" x14ac:dyDescent="0.2">
      <c r="C207" s="47" t="s">
        <v>380</v>
      </c>
      <c r="D207" s="30" t="s">
        <v>148</v>
      </c>
      <c r="E207" s="30" t="s">
        <v>549</v>
      </c>
      <c r="F207" s="32" t="s">
        <v>149</v>
      </c>
    </row>
    <row r="208" spans="3:6" ht="38.25" outlineLevel="2" x14ac:dyDescent="0.2">
      <c r="C208" s="47" t="s">
        <v>381</v>
      </c>
      <c r="D208" s="30" t="s">
        <v>150</v>
      </c>
      <c r="E208" s="30" t="s">
        <v>550</v>
      </c>
      <c r="F208" s="32" t="s">
        <v>106</v>
      </c>
    </row>
    <row r="209" spans="3:6" ht="38.25" outlineLevel="2" x14ac:dyDescent="0.2">
      <c r="C209" s="47" t="s">
        <v>382</v>
      </c>
      <c r="D209" s="30" t="s">
        <v>151</v>
      </c>
      <c r="E209" s="30" t="s">
        <v>551</v>
      </c>
      <c r="F209" s="32" t="s">
        <v>44</v>
      </c>
    </row>
    <row r="210" spans="3:6" ht="38.25" outlineLevel="2" x14ac:dyDescent="0.2">
      <c r="C210" s="47" t="s">
        <v>383</v>
      </c>
      <c r="D210" s="30" t="s">
        <v>449</v>
      </c>
      <c r="E210" s="30" t="s">
        <v>552</v>
      </c>
      <c r="F210" s="32" t="s">
        <v>44</v>
      </c>
    </row>
    <row r="211" spans="3:6" ht="38.25" outlineLevel="2" x14ac:dyDescent="0.2">
      <c r="C211" s="47" t="s">
        <v>384</v>
      </c>
      <c r="D211" s="30" t="s">
        <v>450</v>
      </c>
      <c r="E211" s="30" t="s">
        <v>553</v>
      </c>
      <c r="F211" s="32" t="s">
        <v>44</v>
      </c>
    </row>
    <row r="212" spans="3:6" outlineLevel="2" x14ac:dyDescent="0.2">
      <c r="C212" s="47" t="s">
        <v>385</v>
      </c>
      <c r="D212" s="30" t="s">
        <v>152</v>
      </c>
      <c r="E212" s="30" t="s">
        <v>554</v>
      </c>
      <c r="F212" s="32" t="s">
        <v>44</v>
      </c>
    </row>
    <row r="213" spans="3:6" outlineLevel="2" x14ac:dyDescent="0.2">
      <c r="C213" s="47" t="s">
        <v>386</v>
      </c>
      <c r="D213" s="30" t="s">
        <v>153</v>
      </c>
      <c r="E213" s="30" t="s">
        <v>154</v>
      </c>
      <c r="F213" s="32" t="s">
        <v>121</v>
      </c>
    </row>
    <row r="214" spans="3:6" outlineLevel="2" x14ac:dyDescent="0.2">
      <c r="C214" s="47" t="s">
        <v>387</v>
      </c>
      <c r="D214" s="30" t="s">
        <v>155</v>
      </c>
      <c r="E214" s="30" t="s">
        <v>156</v>
      </c>
      <c r="F214" s="32" t="s">
        <v>106</v>
      </c>
    </row>
    <row r="215" spans="3:6" outlineLevel="2" x14ac:dyDescent="0.2">
      <c r="C215" s="47" t="s">
        <v>388</v>
      </c>
      <c r="D215" s="30" t="s">
        <v>157</v>
      </c>
      <c r="E215" s="30" t="s">
        <v>158</v>
      </c>
      <c r="F215" s="32" t="s">
        <v>106</v>
      </c>
    </row>
    <row r="216" spans="3:6" outlineLevel="2" x14ac:dyDescent="0.2">
      <c r="C216" s="47" t="s">
        <v>389</v>
      </c>
      <c r="D216" s="30" t="s">
        <v>159</v>
      </c>
      <c r="E216" s="30" t="s">
        <v>160</v>
      </c>
      <c r="F216" s="32" t="s">
        <v>106</v>
      </c>
    </row>
    <row r="217" spans="3:6" outlineLevel="2" x14ac:dyDescent="0.2">
      <c r="C217" s="47" t="s">
        <v>390</v>
      </c>
      <c r="D217" s="30" t="s">
        <v>161</v>
      </c>
      <c r="E217" s="30" t="s">
        <v>162</v>
      </c>
      <c r="F217" s="32" t="s">
        <v>149</v>
      </c>
    </row>
    <row r="218" spans="3:6" outlineLevel="2" x14ac:dyDescent="0.2">
      <c r="C218" s="47" t="s">
        <v>391</v>
      </c>
      <c r="D218" s="30" t="s">
        <v>163</v>
      </c>
      <c r="E218" s="30" t="s">
        <v>164</v>
      </c>
      <c r="F218" s="32" t="s">
        <v>149</v>
      </c>
    </row>
    <row r="219" spans="3:6" outlineLevel="2" x14ac:dyDescent="0.2">
      <c r="C219" s="47" t="s">
        <v>392</v>
      </c>
      <c r="D219" s="30" t="s">
        <v>165</v>
      </c>
      <c r="E219" s="30" t="s">
        <v>166</v>
      </c>
      <c r="F219" s="32" t="s">
        <v>167</v>
      </c>
    </row>
    <row r="220" spans="3:6" outlineLevel="2" x14ac:dyDescent="0.2">
      <c r="C220" s="47" t="s">
        <v>393</v>
      </c>
      <c r="D220" s="30" t="s">
        <v>168</v>
      </c>
      <c r="E220" s="30" t="s">
        <v>169</v>
      </c>
      <c r="F220" s="32" t="s">
        <v>44</v>
      </c>
    </row>
    <row r="221" spans="3:6" outlineLevel="2" x14ac:dyDescent="0.2">
      <c r="C221" s="47" t="s">
        <v>394</v>
      </c>
      <c r="D221" s="30" t="s">
        <v>170</v>
      </c>
      <c r="E221" s="30" t="s">
        <v>171</v>
      </c>
      <c r="F221" s="32" t="s">
        <v>44</v>
      </c>
    </row>
    <row r="222" spans="3:6" outlineLevel="2" x14ac:dyDescent="0.2">
      <c r="C222" s="47" t="s">
        <v>395</v>
      </c>
      <c r="D222" s="30" t="s">
        <v>172</v>
      </c>
      <c r="E222" s="30" t="s">
        <v>173</v>
      </c>
      <c r="F222" s="32" t="s">
        <v>44</v>
      </c>
    </row>
    <row r="223" spans="3:6" outlineLevel="2" x14ac:dyDescent="0.2">
      <c r="C223" s="47" t="s">
        <v>396</v>
      </c>
      <c r="D223" s="30" t="s">
        <v>174</v>
      </c>
      <c r="E223" s="30" t="s">
        <v>175</v>
      </c>
      <c r="F223" s="32" t="s">
        <v>176</v>
      </c>
    </row>
    <row r="224" spans="3:6" outlineLevel="2" x14ac:dyDescent="0.2">
      <c r="C224" s="47" t="s">
        <v>397</v>
      </c>
      <c r="D224" s="30" t="s">
        <v>177</v>
      </c>
      <c r="E224" s="30" t="s">
        <v>178</v>
      </c>
      <c r="F224" s="32" t="s">
        <v>179</v>
      </c>
    </row>
    <row r="225" spans="3:6" outlineLevel="2" x14ac:dyDescent="0.2">
      <c r="C225" s="47" t="s">
        <v>398</v>
      </c>
      <c r="D225" s="30" t="s">
        <v>180</v>
      </c>
      <c r="E225" s="30" t="s">
        <v>181</v>
      </c>
      <c r="F225" s="32" t="s">
        <v>99</v>
      </c>
    </row>
    <row r="226" spans="3:6" outlineLevel="2" x14ac:dyDescent="0.2">
      <c r="C226" s="47" t="s">
        <v>399</v>
      </c>
      <c r="D226" s="30" t="s">
        <v>182</v>
      </c>
      <c r="E226" s="30" t="s">
        <v>183</v>
      </c>
      <c r="F226" s="32" t="s">
        <v>44</v>
      </c>
    </row>
    <row r="227" spans="3:6" outlineLevel="2" x14ac:dyDescent="0.2">
      <c r="C227" s="47" t="s">
        <v>576</v>
      </c>
      <c r="D227" s="30" t="s">
        <v>577</v>
      </c>
      <c r="E227" s="30" t="s">
        <v>578</v>
      </c>
      <c r="F227" s="32" t="s">
        <v>44</v>
      </c>
    </row>
    <row r="228" spans="3:6" outlineLevel="2" x14ac:dyDescent="0.2">
      <c r="C228" s="47" t="s">
        <v>400</v>
      </c>
      <c r="D228" s="30" t="s">
        <v>184</v>
      </c>
      <c r="E228" s="30" t="s">
        <v>185</v>
      </c>
      <c r="F228" s="32" t="s">
        <v>44</v>
      </c>
    </row>
    <row r="229" spans="3:6" ht="25.5" outlineLevel="2" x14ac:dyDescent="0.2">
      <c r="C229" s="47" t="s">
        <v>401</v>
      </c>
      <c r="D229" s="30" t="s">
        <v>186</v>
      </c>
      <c r="E229" s="30" t="s">
        <v>187</v>
      </c>
      <c r="F229" s="32" t="s">
        <v>188</v>
      </c>
    </row>
    <row r="230" spans="3:6" outlineLevel="2" x14ac:dyDescent="0.2">
      <c r="C230" s="47" t="s">
        <v>402</v>
      </c>
      <c r="D230" s="30" t="s">
        <v>189</v>
      </c>
      <c r="E230" s="30" t="s">
        <v>190</v>
      </c>
      <c r="F230" s="32" t="s">
        <v>191</v>
      </c>
    </row>
    <row r="231" spans="3:6" outlineLevel="2" x14ac:dyDescent="0.2">
      <c r="C231" s="47" t="s">
        <v>403</v>
      </c>
      <c r="D231" s="30" t="s">
        <v>192</v>
      </c>
      <c r="E231" s="30" t="s">
        <v>193</v>
      </c>
      <c r="F231" s="32" t="s">
        <v>194</v>
      </c>
    </row>
    <row r="232" spans="3:6" outlineLevel="2" x14ac:dyDescent="0.2">
      <c r="C232" s="47" t="s">
        <v>404</v>
      </c>
      <c r="D232" s="30" t="s">
        <v>195</v>
      </c>
      <c r="E232" s="30" t="s">
        <v>196</v>
      </c>
      <c r="F232" s="32" t="s">
        <v>197</v>
      </c>
    </row>
    <row r="233" spans="3:6" outlineLevel="2" x14ac:dyDescent="0.2">
      <c r="C233" s="47" t="s">
        <v>405</v>
      </c>
      <c r="D233" s="30" t="s">
        <v>198</v>
      </c>
      <c r="E233" s="30" t="s">
        <v>199</v>
      </c>
      <c r="F233" s="32" t="s">
        <v>197</v>
      </c>
    </row>
    <row r="234" spans="3:6" outlineLevel="2" x14ac:dyDescent="0.2">
      <c r="C234" s="47" t="s">
        <v>406</v>
      </c>
      <c r="D234" s="30" t="s">
        <v>200</v>
      </c>
      <c r="E234" s="30" t="s">
        <v>201</v>
      </c>
      <c r="F234" s="32" t="s">
        <v>176</v>
      </c>
    </row>
    <row r="235" spans="3:6" outlineLevel="2" x14ac:dyDescent="0.2">
      <c r="C235" s="47" t="s">
        <v>407</v>
      </c>
      <c r="D235" s="30" t="s">
        <v>202</v>
      </c>
      <c r="E235" s="30" t="s">
        <v>203</v>
      </c>
      <c r="F235" s="32" t="s">
        <v>44</v>
      </c>
    </row>
    <row r="236" spans="3:6" outlineLevel="2" x14ac:dyDescent="0.2">
      <c r="C236" s="47" t="s">
        <v>408</v>
      </c>
      <c r="D236" s="30" t="s">
        <v>204</v>
      </c>
      <c r="E236" s="30" t="s">
        <v>205</v>
      </c>
      <c r="F236" s="32" t="s">
        <v>44</v>
      </c>
    </row>
    <row r="237" spans="3:6" ht="25.5" outlineLevel="2" x14ac:dyDescent="0.2">
      <c r="C237" s="47" t="s">
        <v>409</v>
      </c>
      <c r="D237" s="30" t="s">
        <v>206</v>
      </c>
      <c r="E237" s="30" t="s">
        <v>207</v>
      </c>
      <c r="F237" s="32" t="s">
        <v>44</v>
      </c>
    </row>
    <row r="238" spans="3:6" ht="25.5" outlineLevel="2" x14ac:dyDescent="0.2">
      <c r="C238" s="47" t="s">
        <v>410</v>
      </c>
      <c r="D238" s="30" t="s">
        <v>208</v>
      </c>
      <c r="E238" s="30" t="s">
        <v>209</v>
      </c>
      <c r="F238" s="32" t="s">
        <v>44</v>
      </c>
    </row>
    <row r="239" spans="3:6" outlineLevel="2" x14ac:dyDescent="0.2">
      <c r="C239" s="47" t="s">
        <v>411</v>
      </c>
      <c r="D239" s="30" t="s">
        <v>210</v>
      </c>
      <c r="E239" s="30" t="s">
        <v>211</v>
      </c>
      <c r="F239" s="32" t="s">
        <v>44</v>
      </c>
    </row>
    <row r="240" spans="3:6" outlineLevel="2" x14ac:dyDescent="0.2">
      <c r="C240" s="47" t="s">
        <v>412</v>
      </c>
      <c r="D240" s="30" t="s">
        <v>212</v>
      </c>
      <c r="E240" s="30" t="s">
        <v>213</v>
      </c>
      <c r="F240" s="32" t="s">
        <v>44</v>
      </c>
    </row>
    <row r="241" spans="3:6" outlineLevel="2" x14ac:dyDescent="0.2">
      <c r="C241" s="47" t="s">
        <v>413</v>
      </c>
      <c r="D241" s="30" t="s">
        <v>214</v>
      </c>
      <c r="E241" s="30" t="s">
        <v>215</v>
      </c>
      <c r="F241" s="32" t="s">
        <v>44</v>
      </c>
    </row>
    <row r="242" spans="3:6" ht="89.25" outlineLevel="2" x14ac:dyDescent="0.2">
      <c r="C242" s="47" t="s">
        <v>414</v>
      </c>
      <c r="D242" s="30" t="s">
        <v>216</v>
      </c>
      <c r="E242" s="30" t="s">
        <v>217</v>
      </c>
      <c r="F242" s="32" t="s">
        <v>44</v>
      </c>
    </row>
    <row r="243" spans="3:6" outlineLevel="2" x14ac:dyDescent="0.2">
      <c r="C243" s="47" t="s">
        <v>415</v>
      </c>
      <c r="D243" s="30" t="s">
        <v>452</v>
      </c>
      <c r="E243" s="30" t="s">
        <v>555</v>
      </c>
      <c r="F243" s="32" t="s">
        <v>557</v>
      </c>
    </row>
    <row r="244" spans="3:6" outlineLevel="2" x14ac:dyDescent="0.2">
      <c r="C244" s="47" t="s">
        <v>416</v>
      </c>
      <c r="D244" s="30" t="s">
        <v>218</v>
      </c>
      <c r="E244" s="30" t="s">
        <v>219</v>
      </c>
      <c r="F244" s="32" t="s">
        <v>220</v>
      </c>
    </row>
    <row r="245" spans="3:6" ht="63.75" outlineLevel="2" x14ac:dyDescent="0.2">
      <c r="C245" s="47" t="s">
        <v>417</v>
      </c>
      <c r="D245" s="30" t="s">
        <v>221</v>
      </c>
      <c r="E245" s="30" t="s">
        <v>222</v>
      </c>
      <c r="F245" s="32" t="s">
        <v>106</v>
      </c>
    </row>
    <row r="246" spans="3:6" ht="63.75" outlineLevel="2" x14ac:dyDescent="0.2">
      <c r="C246" s="47" t="s">
        <v>418</v>
      </c>
      <c r="D246" s="30" t="s">
        <v>223</v>
      </c>
      <c r="E246" s="30" t="s">
        <v>224</v>
      </c>
      <c r="F246" s="32" t="s">
        <v>225</v>
      </c>
    </row>
    <row r="247" spans="3:6" ht="63.75" outlineLevel="2" x14ac:dyDescent="0.2">
      <c r="C247" s="47" t="s">
        <v>419</v>
      </c>
      <c r="D247" s="30" t="s">
        <v>226</v>
      </c>
      <c r="E247" s="30" t="s">
        <v>227</v>
      </c>
      <c r="F247" s="32" t="s">
        <v>44</v>
      </c>
    </row>
    <row r="248" spans="3:6" outlineLevel="2" x14ac:dyDescent="0.2">
      <c r="C248" s="47" t="s">
        <v>420</v>
      </c>
      <c r="D248" s="30" t="s">
        <v>453</v>
      </c>
      <c r="E248" s="30" t="s">
        <v>556</v>
      </c>
      <c r="F248" s="32" t="s">
        <v>557</v>
      </c>
    </row>
    <row r="249" spans="3:6" outlineLevel="2" x14ac:dyDescent="0.2">
      <c r="C249" s="47" t="s">
        <v>421</v>
      </c>
      <c r="D249" s="30" t="s">
        <v>228</v>
      </c>
      <c r="E249" s="30" t="s">
        <v>229</v>
      </c>
      <c r="F249" s="32" t="s">
        <v>44</v>
      </c>
    </row>
    <row r="250" spans="3:6" outlineLevel="2" x14ac:dyDescent="0.2">
      <c r="C250" s="47" t="s">
        <v>422</v>
      </c>
      <c r="D250" s="30" t="s">
        <v>230</v>
      </c>
      <c r="E250" s="30" t="s">
        <v>231</v>
      </c>
      <c r="F250" s="32" t="s">
        <v>44</v>
      </c>
    </row>
    <row r="251" spans="3:6" outlineLevel="2" x14ac:dyDescent="0.2">
      <c r="C251" s="47" t="s">
        <v>423</v>
      </c>
      <c r="D251" s="30" t="s">
        <v>232</v>
      </c>
      <c r="E251" s="30" t="s">
        <v>233</v>
      </c>
      <c r="F251" s="32" t="s">
        <v>44</v>
      </c>
    </row>
    <row r="252" spans="3:6" outlineLevel="2" collapsed="1" x14ac:dyDescent="0.2">
      <c r="C252" s="48"/>
      <c r="D252" s="34"/>
      <c r="E252" s="35"/>
      <c r="F252" s="35"/>
    </row>
    <row r="253" spans="3:6" outlineLevel="1" x14ac:dyDescent="0.2"/>
    <row r="254" spans="3:6" outlineLevel="1" x14ac:dyDescent="0.2"/>
    <row r="255" spans="3:6" outlineLevel="1" x14ac:dyDescent="0.2"/>
  </sheetData>
  <sheetProtection formatRows="0"/>
  <hyperlinks>
    <hyperlink ref="D27" location="Cover!A1" display="Cover" xr:uid="{714038DF-CA3D-4E91-82FE-CB91CC3CD488}"/>
    <hyperlink ref="D115" location="'Budget Opex Detail'!A1" display="Budget Opex Detail" xr:uid="{994768F2-73C0-4CCA-8E68-9BFC031F6582}"/>
    <hyperlink ref="D136" location="'Activity Master'!A1" display="Activity Master" xr:uid="{856F5DFE-63F3-41D7-96BC-CCF75E283F08}"/>
    <hyperlink ref="D71" location="'Capex &amp; Project Detail'!A1" display="'Capex &amp; Project Detail" xr:uid="{9E1F9D4D-2A7C-4778-ACE6-F564B30442D6}"/>
  </hyperlinks>
  <pageMargins left="0.7" right="0.7" top="0.75" bottom="0.75" header="0.3" footer="0.3"/>
  <pageSetup paperSize="9" orientation="portrait" horizontalDpi="0"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39997558519241921"/>
  </sheetPr>
  <dimension ref="A1:O61"/>
  <sheetViews>
    <sheetView showGridLines="0" tabSelected="1" zoomScale="80" zoomScaleNormal="80" workbookViewId="0"/>
  </sheetViews>
  <sheetFormatPr defaultColWidth="9.140625" defaultRowHeight="15" x14ac:dyDescent="0.25"/>
  <cols>
    <col min="1" max="1" width="4" style="176" customWidth="1"/>
    <col min="2" max="2" width="23.140625" style="176" customWidth="1"/>
    <col min="3" max="3" width="2.7109375" style="176" customWidth="1"/>
    <col min="4" max="4" width="24.85546875" style="176" customWidth="1"/>
    <col min="5" max="5" width="2.42578125" style="176" customWidth="1"/>
    <col min="6" max="6" width="25.85546875" style="176" customWidth="1"/>
    <col min="7" max="7" width="3.28515625" style="176" customWidth="1"/>
    <col min="8" max="8" width="4.140625" style="176" hidden="1" customWidth="1"/>
    <col min="9" max="9" width="11.140625" style="176" customWidth="1"/>
    <col min="10" max="10" width="21.42578125" style="176" customWidth="1"/>
    <col min="11" max="11" width="19.5703125" style="176" customWidth="1"/>
    <col min="12" max="12" width="15.140625" style="176" customWidth="1"/>
    <col min="13" max="15" width="18.5703125" style="176" customWidth="1"/>
    <col min="16" max="16384" width="9.140625" style="176"/>
  </cols>
  <sheetData>
    <row r="1" spans="1:8" x14ac:dyDescent="0.25">
      <c r="A1" s="91"/>
      <c r="B1" s="91"/>
      <c r="C1" s="91"/>
      <c r="D1" s="91"/>
      <c r="E1" s="91"/>
      <c r="F1" s="91"/>
      <c r="G1" s="91"/>
      <c r="H1" s="91"/>
    </row>
    <row r="2" spans="1:8" ht="31.5" x14ac:dyDescent="0.5">
      <c r="A2" s="91"/>
      <c r="B2" s="91"/>
      <c r="C2" s="341" t="s">
        <v>241</v>
      </c>
      <c r="D2" s="127"/>
      <c r="E2" s="91"/>
      <c r="F2" s="91"/>
      <c r="G2" s="91"/>
      <c r="H2" s="91"/>
    </row>
    <row r="3" spans="1:8" x14ac:dyDescent="0.25">
      <c r="A3" s="91"/>
      <c r="B3" s="91"/>
      <c r="C3" s="91"/>
      <c r="D3" s="91"/>
      <c r="E3" s="91"/>
      <c r="F3" s="91"/>
      <c r="G3" s="91"/>
      <c r="H3" s="91"/>
    </row>
    <row r="4" spans="1:8" x14ac:dyDescent="0.25">
      <c r="A4" s="91"/>
      <c r="B4" s="91"/>
      <c r="C4" s="91"/>
      <c r="D4" s="91"/>
      <c r="E4" s="91"/>
      <c r="F4" s="91"/>
      <c r="G4" s="91"/>
      <c r="H4" s="91"/>
    </row>
    <row r="5" spans="1:8" x14ac:dyDescent="0.25">
      <c r="A5" s="91"/>
      <c r="B5" s="91"/>
      <c r="C5" s="91"/>
      <c r="D5" s="91"/>
      <c r="E5" s="91"/>
      <c r="F5" s="91"/>
      <c r="G5" s="91"/>
      <c r="H5" s="91"/>
    </row>
    <row r="6" spans="1:8" x14ac:dyDescent="0.25">
      <c r="A6" s="91"/>
      <c r="B6" s="127" t="s">
        <v>13</v>
      </c>
      <c r="C6" s="127" t="s">
        <v>242</v>
      </c>
      <c r="D6" s="191">
        <v>2026</v>
      </c>
      <c r="E6" s="91"/>
      <c r="F6" s="91"/>
      <c r="G6" s="91"/>
      <c r="H6" s="91"/>
    </row>
    <row r="7" spans="1:8" x14ac:dyDescent="0.25">
      <c r="A7" s="91"/>
      <c r="B7" s="127" t="s">
        <v>1456</v>
      </c>
      <c r="C7" s="127" t="s">
        <v>242</v>
      </c>
      <c r="D7" s="191" t="s">
        <v>18</v>
      </c>
      <c r="E7" s="91"/>
      <c r="F7" s="91"/>
      <c r="G7" s="91"/>
      <c r="H7" s="91"/>
    </row>
    <row r="8" spans="1:8" x14ac:dyDescent="0.25">
      <c r="A8" s="91"/>
      <c r="B8" s="127" t="s">
        <v>234</v>
      </c>
      <c r="C8" s="127" t="s">
        <v>242</v>
      </c>
      <c r="D8" s="191" t="s">
        <v>579</v>
      </c>
      <c r="E8" s="91"/>
      <c r="F8" s="91"/>
      <c r="G8" s="91"/>
      <c r="H8" s="91"/>
    </row>
    <row r="9" spans="1:8" x14ac:dyDescent="0.25">
      <c r="A9" s="192"/>
      <c r="B9" s="127" t="s">
        <v>16</v>
      </c>
      <c r="C9" s="127" t="s">
        <v>242</v>
      </c>
      <c r="D9" s="191" t="s">
        <v>236</v>
      </c>
      <c r="E9" s="91"/>
      <c r="F9" s="91"/>
      <c r="G9" s="91"/>
      <c r="H9" s="91"/>
    </row>
    <row r="10" spans="1:8" x14ac:dyDescent="0.25">
      <c r="A10" s="193"/>
      <c r="B10" s="193"/>
      <c r="C10" s="193"/>
      <c r="D10" s="193"/>
      <c r="E10" s="193"/>
      <c r="F10" s="193"/>
      <c r="G10" s="193"/>
      <c r="H10" s="193"/>
    </row>
    <row r="11" spans="1:8" x14ac:dyDescent="0.25">
      <c r="A11" s="193"/>
      <c r="B11" s="193"/>
      <c r="C11" s="193"/>
      <c r="D11" s="193"/>
      <c r="E11" s="193"/>
      <c r="F11" s="193"/>
      <c r="G11" s="193"/>
      <c r="H11" s="193"/>
    </row>
    <row r="12" spans="1:8" s="193" customFormat="1" ht="14.25" customHeight="1" x14ac:dyDescent="0.25">
      <c r="B12" s="194"/>
      <c r="C12" s="194"/>
      <c r="D12" s="194"/>
      <c r="E12" s="194"/>
      <c r="F12" s="194"/>
      <c r="G12" s="194"/>
      <c r="H12" s="194"/>
    </row>
    <row r="13" spans="1:8" s="193" customFormat="1" ht="14.25" customHeight="1" x14ac:dyDescent="0.25">
      <c r="B13" s="450" t="s">
        <v>726</v>
      </c>
      <c r="C13" s="451"/>
      <c r="D13" s="452"/>
      <c r="E13" s="194"/>
      <c r="F13" s="194"/>
    </row>
    <row r="14" spans="1:8" s="193" customFormat="1" ht="14.25" customHeight="1" x14ac:dyDescent="0.25">
      <c r="B14" s="444" t="s">
        <v>776</v>
      </c>
      <c r="C14" s="445"/>
      <c r="D14" s="448" t="s">
        <v>778</v>
      </c>
      <c r="E14" s="194"/>
      <c r="F14" s="194"/>
      <c r="G14" s="194"/>
      <c r="H14" s="194"/>
    </row>
    <row r="15" spans="1:8" s="193" customFormat="1" ht="14.25" customHeight="1" x14ac:dyDescent="0.25">
      <c r="B15" s="446"/>
      <c r="C15" s="447"/>
      <c r="D15" s="449"/>
      <c r="E15" s="194"/>
      <c r="F15" s="194"/>
      <c r="G15" s="194"/>
      <c r="H15" s="194"/>
    </row>
    <row r="16" spans="1:8" s="193" customFormat="1" ht="14.25" customHeight="1" x14ac:dyDescent="0.25">
      <c r="B16" s="456"/>
      <c r="C16" s="457"/>
      <c r="D16" s="460"/>
      <c r="E16" s="194"/>
      <c r="F16" s="194"/>
      <c r="G16" s="194"/>
      <c r="H16" s="194"/>
    </row>
    <row r="17" spans="2:15" s="193" customFormat="1" ht="14.25" customHeight="1" x14ac:dyDescent="0.25">
      <c r="B17" s="456"/>
      <c r="C17" s="457"/>
      <c r="D17" s="461"/>
      <c r="E17" s="194"/>
      <c r="F17" s="194"/>
      <c r="G17" s="194"/>
      <c r="H17" s="194"/>
    </row>
    <row r="18" spans="2:15" s="193" customFormat="1" ht="14.25" customHeight="1" x14ac:dyDescent="0.25">
      <c r="B18" s="456"/>
      <c r="C18" s="457"/>
      <c r="D18" s="461"/>
      <c r="E18" s="194"/>
      <c r="F18" s="194"/>
      <c r="G18" s="194"/>
      <c r="H18" s="194"/>
    </row>
    <row r="19" spans="2:15" s="193" customFormat="1" ht="14.25" customHeight="1" x14ac:dyDescent="0.25">
      <c r="B19" s="458" t="s">
        <v>777</v>
      </c>
      <c r="C19" s="459"/>
      <c r="D19" s="195" t="s">
        <v>788</v>
      </c>
      <c r="E19" s="194"/>
      <c r="F19" s="194"/>
      <c r="G19" s="194"/>
      <c r="H19" s="194"/>
    </row>
    <row r="20" spans="2:15" s="193" customFormat="1" ht="14.25" customHeight="1" x14ac:dyDescent="0.25">
      <c r="G20" s="194"/>
      <c r="H20" s="194"/>
      <c r="I20" s="194"/>
      <c r="J20" s="194"/>
    </row>
    <row r="21" spans="2:15" s="193" customFormat="1" ht="14.25" customHeight="1" x14ac:dyDescent="0.25">
      <c r="G21" s="194"/>
      <c r="H21" s="194"/>
      <c r="I21" s="194"/>
      <c r="J21" s="194"/>
    </row>
    <row r="22" spans="2:15" s="193" customFormat="1" ht="14.25" customHeight="1" x14ac:dyDescent="0.25">
      <c r="H22" s="196"/>
      <c r="I22" s="197"/>
    </row>
    <row r="23" spans="2:15" s="193" customFormat="1" ht="15" customHeight="1" x14ac:dyDescent="0.25">
      <c r="H23" s="196"/>
      <c r="I23" s="197"/>
    </row>
    <row r="24" spans="2:15" s="193" customFormat="1" ht="15" customHeight="1" x14ac:dyDescent="0.25">
      <c r="B24" s="453" t="s">
        <v>559</v>
      </c>
      <c r="C24" s="454"/>
      <c r="D24" s="454"/>
      <c r="E24" s="454"/>
      <c r="F24" s="454"/>
      <c r="G24" s="454"/>
      <c r="H24" s="454"/>
      <c r="I24" s="454"/>
      <c r="J24" s="454"/>
      <c r="K24" s="454"/>
      <c r="L24" s="455"/>
      <c r="M24" s="196"/>
      <c r="N24" s="196"/>
      <c r="O24" s="196"/>
    </row>
    <row r="25" spans="2:15" s="193" customFormat="1" ht="25.5" customHeight="1" x14ac:dyDescent="0.25">
      <c r="B25" s="434" t="s">
        <v>887</v>
      </c>
      <c r="C25" s="435"/>
      <c r="D25" s="436" t="s">
        <v>843</v>
      </c>
      <c r="E25" s="436"/>
      <c r="F25" s="436" t="s">
        <v>800</v>
      </c>
      <c r="G25" s="436"/>
      <c r="H25" s="198"/>
      <c r="I25" s="437" t="s">
        <v>801</v>
      </c>
      <c r="J25" s="438"/>
      <c r="K25" s="437" t="s">
        <v>802</v>
      </c>
      <c r="L25" s="438"/>
      <c r="M25" s="196"/>
      <c r="N25" s="196"/>
      <c r="O25" s="196"/>
    </row>
    <row r="26" spans="2:15" s="193" customFormat="1" ht="15" customHeight="1" x14ac:dyDescent="0.25">
      <c r="B26" s="199"/>
      <c r="C26" s="200"/>
      <c r="D26" s="201"/>
      <c r="E26" s="202"/>
      <c r="F26" s="201"/>
      <c r="G26" s="202"/>
      <c r="H26" s="202"/>
      <c r="I26" s="200"/>
      <c r="J26" s="203"/>
      <c r="K26" s="200"/>
      <c r="L26" s="203"/>
      <c r="M26" s="196"/>
      <c r="N26" s="196"/>
      <c r="O26" s="197"/>
    </row>
    <row r="27" spans="2:15" s="193" customFormat="1" ht="15" customHeight="1" x14ac:dyDescent="0.25">
      <c r="B27" s="204"/>
      <c r="C27" s="194"/>
      <c r="D27" s="205"/>
      <c r="E27" s="206"/>
      <c r="F27" s="205"/>
      <c r="G27" s="206"/>
      <c r="H27" s="206"/>
      <c r="I27" s="194"/>
      <c r="J27" s="207"/>
      <c r="K27" s="194"/>
      <c r="L27" s="207"/>
      <c r="M27" s="196"/>
      <c r="N27" s="196"/>
      <c r="O27" s="197"/>
    </row>
    <row r="28" spans="2:15" s="193" customFormat="1" ht="15" customHeight="1" x14ac:dyDescent="0.25">
      <c r="B28" s="204"/>
      <c r="C28" s="194"/>
      <c r="D28" s="205"/>
      <c r="E28" s="206"/>
      <c r="F28" s="205"/>
      <c r="G28" s="206"/>
      <c r="H28" s="206"/>
      <c r="I28" s="194"/>
      <c r="J28" s="207"/>
      <c r="K28" s="194"/>
      <c r="L28" s="207"/>
      <c r="M28" s="196"/>
      <c r="N28" s="196"/>
      <c r="O28" s="197"/>
    </row>
    <row r="29" spans="2:15" s="193" customFormat="1" ht="15" customHeight="1" x14ac:dyDescent="0.25">
      <c r="B29" s="439" t="s">
        <v>722</v>
      </c>
      <c r="C29" s="440"/>
      <c r="D29" s="441" t="s">
        <v>723</v>
      </c>
      <c r="E29" s="442"/>
      <c r="F29" s="443" t="s">
        <v>560</v>
      </c>
      <c r="G29" s="443"/>
      <c r="H29" s="208"/>
      <c r="I29" s="432" t="s">
        <v>724</v>
      </c>
      <c r="J29" s="433"/>
      <c r="K29" s="432" t="s">
        <v>725</v>
      </c>
      <c r="L29" s="433"/>
      <c r="M29" s="196"/>
      <c r="N29" s="196"/>
      <c r="O29" s="196"/>
    </row>
    <row r="30" spans="2:15" s="193" customFormat="1" ht="15" customHeight="1" x14ac:dyDescent="0.25"/>
    <row r="31" spans="2:15" s="209" customFormat="1" x14ac:dyDescent="0.25"/>
    <row r="32" spans="2:15" s="209" customFormat="1" x14ac:dyDescent="0.25"/>
    <row r="33" s="209" customFormat="1" x14ac:dyDescent="0.25"/>
    <row r="34" s="209" customFormat="1" x14ac:dyDescent="0.25"/>
    <row r="35" s="209" customFormat="1" x14ac:dyDescent="0.25"/>
    <row r="36" s="209" customFormat="1" x14ac:dyDescent="0.25"/>
    <row r="37" s="209" customFormat="1" x14ac:dyDescent="0.25"/>
    <row r="38" s="209" customFormat="1" x14ac:dyDescent="0.25"/>
    <row r="39" s="209" customFormat="1" x14ac:dyDescent="0.25"/>
    <row r="40" s="209" customFormat="1" x14ac:dyDescent="0.25"/>
    <row r="41" s="209" customFormat="1" x14ac:dyDescent="0.25"/>
    <row r="42" s="209" customFormat="1" x14ac:dyDescent="0.25"/>
    <row r="43" s="209" customFormat="1" x14ac:dyDescent="0.25"/>
    <row r="44" s="209" customFormat="1" x14ac:dyDescent="0.25"/>
    <row r="45" s="209" customFormat="1" x14ac:dyDescent="0.25"/>
    <row r="46" s="209" customFormat="1" x14ac:dyDescent="0.25"/>
    <row r="47" s="209" customFormat="1" x14ac:dyDescent="0.25"/>
    <row r="48" s="209" customFormat="1" x14ac:dyDescent="0.25"/>
    <row r="49" s="209" customFormat="1" x14ac:dyDescent="0.25"/>
    <row r="50" s="209" customFormat="1" x14ac:dyDescent="0.25"/>
    <row r="51" s="209" customFormat="1" x14ac:dyDescent="0.25"/>
    <row r="52" s="209" customFormat="1" x14ac:dyDescent="0.25"/>
    <row r="53" s="209" customFormat="1" x14ac:dyDescent="0.25"/>
    <row r="54" s="209" customFormat="1" x14ac:dyDescent="0.25"/>
    <row r="55" s="209" customFormat="1" x14ac:dyDescent="0.25"/>
    <row r="56" s="209" customFormat="1" x14ac:dyDescent="0.25"/>
    <row r="57" s="209" customFormat="1" x14ac:dyDescent="0.25"/>
    <row r="58" s="209" customFormat="1" x14ac:dyDescent="0.25"/>
    <row r="59" s="209" customFormat="1" x14ac:dyDescent="0.25"/>
    <row r="60" s="209" customFormat="1" x14ac:dyDescent="0.25"/>
    <row r="61" s="209" customFormat="1" x14ac:dyDescent="0.25"/>
  </sheetData>
  <mergeCells count="17">
    <mergeCell ref="B14:C15"/>
    <mergeCell ref="D14:D15"/>
    <mergeCell ref="B13:D13"/>
    <mergeCell ref="B24:L24"/>
    <mergeCell ref="I25:J25"/>
    <mergeCell ref="B16:C18"/>
    <mergeCell ref="B19:C19"/>
    <mergeCell ref="D16:D18"/>
    <mergeCell ref="I29:J29"/>
    <mergeCell ref="B25:C25"/>
    <mergeCell ref="D25:E25"/>
    <mergeCell ref="F25:G25"/>
    <mergeCell ref="K25:L25"/>
    <mergeCell ref="B29:C29"/>
    <mergeCell ref="D29:E29"/>
    <mergeCell ref="F29:G29"/>
    <mergeCell ref="K29:L29"/>
  </mergeCells>
  <dataValidations count="3">
    <dataValidation showInputMessage="1" showErrorMessage="1" sqref="D7" xr:uid="{00000000-0002-0000-0100-000000000000}"/>
    <dataValidation type="whole" allowBlank="1" showInputMessage="1" showErrorMessage="1" sqref="D6" xr:uid="{00000000-0002-0000-0100-000001000000}">
      <formula1>2022</formula1>
      <formula2>2050</formula2>
    </dataValidation>
    <dataValidation showInputMessage="1" showErrorMessage="1" error="Check BU/HO" sqref="D9" xr:uid="{00000000-0002-0000-0100-000002000000}"/>
  </dataValidations>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3000000}">
          <x14:formula1>
            <xm:f>'Master Data'!$B$7:$B$15</xm:f>
          </x14:formula1>
          <xm:sqref>D8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A31A2-7F85-4DEF-8921-9D2AFA3650B5}">
  <sheetPr>
    <tabColor theme="5" tint="0.39997558519241921"/>
    <pageSetUpPr fitToPage="1"/>
  </sheetPr>
  <dimension ref="A1:BN65"/>
  <sheetViews>
    <sheetView showGridLines="0" zoomScale="80" zoomScaleNormal="80" workbookViewId="0">
      <pane xSplit="3" ySplit="3" topLeftCell="D4" activePane="bottomRight" state="frozen"/>
      <selection activeCell="B16" sqref="B16:C18"/>
      <selection pane="topRight" activeCell="B16" sqref="B16:C18"/>
      <selection pane="bottomLeft" activeCell="B16" sqref="B16:C18"/>
      <selection pane="bottomRight" activeCell="A3" sqref="A3"/>
    </sheetView>
  </sheetViews>
  <sheetFormatPr defaultColWidth="13.7109375" defaultRowHeight="15" customHeight="1" outlineLevelCol="1" x14ac:dyDescent="0.25"/>
  <cols>
    <col min="1" max="1" width="15.42578125" style="210" customWidth="1"/>
    <col min="2" max="2" width="11.42578125" style="210" customWidth="1"/>
    <col min="3" max="3" width="29.140625" style="211" customWidth="1"/>
    <col min="4" max="4" width="13.42578125" style="211" customWidth="1"/>
    <col min="5" max="5" width="9.140625" style="211" customWidth="1"/>
    <col min="6" max="6" width="24.42578125" style="212" customWidth="1"/>
    <col min="7" max="7" width="15.5703125" style="211" customWidth="1"/>
    <col min="8" max="8" width="13.42578125" style="211" customWidth="1"/>
    <col min="9" max="9" width="13.5703125" style="211" customWidth="1"/>
    <col min="10" max="10" width="20.7109375" style="211" customWidth="1"/>
    <col min="11" max="11" width="12.85546875" style="242" customWidth="1"/>
    <col min="12" max="12" width="20.42578125" style="211" customWidth="1"/>
    <col min="13" max="13" width="19.28515625" style="213" customWidth="1"/>
    <col min="14" max="14" width="22.42578125" style="213" customWidth="1"/>
    <col min="15" max="15" width="9.140625" style="214" customWidth="1" outlineLevel="1"/>
    <col min="16" max="16" width="10.140625" style="214" customWidth="1" outlineLevel="1"/>
    <col min="17" max="26" width="10.42578125" style="214" customWidth="1" outlineLevel="1"/>
    <col min="27" max="27" width="10.5703125" style="214" bestFit="1" customWidth="1"/>
    <col min="28" max="28" width="3.28515625" style="214" customWidth="1"/>
    <col min="29" max="29" width="14.42578125" style="213" customWidth="1" outlineLevel="1"/>
    <col min="30" max="30" width="13" style="213" customWidth="1" outlineLevel="1"/>
    <col min="31" max="31" width="11.28515625" style="213" customWidth="1" outlineLevel="1"/>
    <col min="32" max="32" width="13.42578125" style="213" customWidth="1" outlineLevel="1"/>
    <col min="33" max="33" width="12.28515625" style="213" customWidth="1" outlineLevel="1"/>
    <col min="34" max="34" width="13.85546875" style="213" customWidth="1" outlineLevel="1"/>
    <col min="35" max="36" width="12.28515625" style="243" customWidth="1" outlineLevel="1"/>
    <col min="37" max="37" width="11.42578125" style="243" customWidth="1" outlineLevel="1"/>
    <col min="38" max="38" width="11.85546875" style="213" customWidth="1" outlineLevel="1"/>
    <col min="39" max="40" width="13.7109375" style="213" outlineLevel="1"/>
    <col min="41" max="41" width="13.7109375" style="213"/>
    <col min="42" max="42" width="3.5703125" style="213" customWidth="1"/>
    <col min="43" max="54" width="13.7109375" style="213" outlineLevel="1"/>
    <col min="55" max="55" width="13.7109375" style="213"/>
    <col min="56" max="56" width="9" style="213" customWidth="1"/>
    <col min="57" max="57" width="13.7109375" style="213"/>
    <col min="58" max="58" width="16.140625" style="213" customWidth="1"/>
    <col min="59" max="64" width="13.7109375" style="213"/>
    <col min="65" max="65" width="37.85546875" style="213" customWidth="1"/>
    <col min="66" max="16384" width="13.7109375" style="213"/>
  </cols>
  <sheetData>
    <row r="1" spans="1:66" ht="15" customHeight="1" x14ac:dyDescent="0.25">
      <c r="K1" s="212"/>
      <c r="AB1" s="215"/>
      <c r="AC1" s="216"/>
      <c r="AD1" s="216"/>
      <c r="AE1" s="214"/>
      <c r="AF1" s="214"/>
      <c r="AG1" s="214"/>
      <c r="AH1" s="214"/>
      <c r="AI1" s="214"/>
      <c r="AJ1" s="214"/>
      <c r="AK1" s="214"/>
      <c r="AL1" s="214"/>
      <c r="AM1" s="214"/>
      <c r="AN1" s="214"/>
      <c r="AO1" s="214"/>
      <c r="AP1" s="217"/>
      <c r="AQ1" s="216"/>
      <c r="AR1" s="216"/>
      <c r="AS1" s="214"/>
      <c r="AT1" s="214"/>
      <c r="AU1" s="214"/>
      <c r="AV1" s="214"/>
      <c r="AW1" s="214"/>
      <c r="AX1" s="214"/>
      <c r="AY1" s="214"/>
      <c r="AZ1" s="214"/>
      <c r="BA1" s="214"/>
      <c r="BB1" s="214"/>
      <c r="BC1" s="214"/>
      <c r="BD1" s="214"/>
      <c r="BE1" s="218"/>
      <c r="BK1" s="219"/>
      <c r="BL1" s="219"/>
      <c r="BM1" s="219"/>
    </row>
    <row r="2" spans="1:66" ht="15" customHeight="1" x14ac:dyDescent="0.25">
      <c r="A2" s="244"/>
      <c r="B2" s="245"/>
      <c r="C2" s="246"/>
      <c r="D2" s="247"/>
      <c r="E2" s="248"/>
      <c r="F2" s="249"/>
      <c r="G2" s="246"/>
      <c r="H2" s="246"/>
      <c r="I2" s="246"/>
      <c r="J2" s="246"/>
      <c r="K2" s="249"/>
      <c r="L2" s="246"/>
      <c r="M2" s="250"/>
      <c r="N2" s="250"/>
      <c r="O2" s="251" t="s">
        <v>959</v>
      </c>
      <c r="P2" s="252"/>
      <c r="Q2" s="252"/>
      <c r="R2" s="252"/>
      <c r="S2" s="251"/>
      <c r="T2" s="252"/>
      <c r="U2" s="252"/>
      <c r="V2" s="252"/>
      <c r="W2" s="252"/>
      <c r="X2" s="252"/>
      <c r="Y2" s="252"/>
      <c r="Z2" s="252"/>
      <c r="AA2" s="252"/>
      <c r="AB2" s="253"/>
      <c r="AC2" s="251" t="s">
        <v>960</v>
      </c>
      <c r="AD2" s="252"/>
      <c r="AE2" s="252"/>
      <c r="AF2" s="252"/>
      <c r="AG2" s="251"/>
      <c r="AH2" s="252"/>
      <c r="AI2" s="252"/>
      <c r="AJ2" s="252"/>
      <c r="AK2" s="252"/>
      <c r="AL2" s="252"/>
      <c r="AM2" s="252"/>
      <c r="AN2" s="252"/>
      <c r="AO2" s="252"/>
      <c r="AP2" s="253"/>
      <c r="AQ2" s="251" t="s">
        <v>1496</v>
      </c>
      <c r="AR2" s="252"/>
      <c r="AS2" s="252"/>
      <c r="AT2" s="252"/>
      <c r="AU2" s="251"/>
      <c r="AV2" s="252"/>
      <c r="AW2" s="252"/>
      <c r="AX2" s="252"/>
      <c r="AY2" s="252"/>
      <c r="AZ2" s="252"/>
      <c r="BA2" s="252"/>
      <c r="BB2" s="252"/>
      <c r="BC2" s="254"/>
      <c r="BD2" s="214"/>
      <c r="BE2" s="218"/>
      <c r="BG2" s="220" t="s">
        <v>1469</v>
      </c>
      <c r="BH2" s="221">
        <v>16500</v>
      </c>
      <c r="BK2" s="219"/>
      <c r="BL2" s="219"/>
      <c r="BM2" s="219"/>
    </row>
    <row r="3" spans="1:66" s="263" customFormat="1" ht="41.25" customHeight="1" x14ac:dyDescent="0.25">
      <c r="A3" s="255" t="s">
        <v>234</v>
      </c>
      <c r="B3" s="256" t="s">
        <v>15</v>
      </c>
      <c r="C3" s="256" t="s">
        <v>16</v>
      </c>
      <c r="D3" s="462" t="s">
        <v>46</v>
      </c>
      <c r="E3" s="462"/>
      <c r="F3" s="257" t="s">
        <v>336</v>
      </c>
      <c r="G3" s="256" t="s">
        <v>338</v>
      </c>
      <c r="H3" s="256" t="s">
        <v>709</v>
      </c>
      <c r="I3" s="256" t="s">
        <v>672</v>
      </c>
      <c r="J3" s="256" t="s">
        <v>1470</v>
      </c>
      <c r="K3" s="257" t="s">
        <v>671</v>
      </c>
      <c r="L3" s="256" t="s">
        <v>1471</v>
      </c>
      <c r="M3" s="256" t="s">
        <v>585</v>
      </c>
      <c r="N3" s="256" t="s">
        <v>586</v>
      </c>
      <c r="O3" s="258" t="s">
        <v>1472</v>
      </c>
      <c r="P3" s="258" t="s">
        <v>1473</v>
      </c>
      <c r="Q3" s="258" t="s">
        <v>1474</v>
      </c>
      <c r="R3" s="258" t="s">
        <v>1475</v>
      </c>
      <c r="S3" s="258" t="s">
        <v>1476</v>
      </c>
      <c r="T3" s="258" t="s">
        <v>1477</v>
      </c>
      <c r="U3" s="258" t="s">
        <v>1478</v>
      </c>
      <c r="V3" s="258" t="s">
        <v>1479</v>
      </c>
      <c r="W3" s="258" t="s">
        <v>1480</v>
      </c>
      <c r="X3" s="258" t="s">
        <v>1481</v>
      </c>
      <c r="Y3" s="258" t="s">
        <v>1482</v>
      </c>
      <c r="Z3" s="258" t="s">
        <v>1483</v>
      </c>
      <c r="AA3" s="258" t="s">
        <v>844</v>
      </c>
      <c r="AB3" s="259"/>
      <c r="AC3" s="258" t="s">
        <v>1472</v>
      </c>
      <c r="AD3" s="258" t="s">
        <v>1473</v>
      </c>
      <c r="AE3" s="258" t="s">
        <v>1474</v>
      </c>
      <c r="AF3" s="258" t="s">
        <v>1475</v>
      </c>
      <c r="AG3" s="258" t="s">
        <v>1476</v>
      </c>
      <c r="AH3" s="258" t="s">
        <v>1477</v>
      </c>
      <c r="AI3" s="258" t="s">
        <v>1478</v>
      </c>
      <c r="AJ3" s="258" t="s">
        <v>1479</v>
      </c>
      <c r="AK3" s="258" t="s">
        <v>1480</v>
      </c>
      <c r="AL3" s="258" t="s">
        <v>1481</v>
      </c>
      <c r="AM3" s="258" t="s">
        <v>1482</v>
      </c>
      <c r="AN3" s="258" t="s">
        <v>1483</v>
      </c>
      <c r="AO3" s="258" t="s">
        <v>844</v>
      </c>
      <c r="AP3" s="259"/>
      <c r="AQ3" s="258" t="s">
        <v>1472</v>
      </c>
      <c r="AR3" s="258" t="s">
        <v>1473</v>
      </c>
      <c r="AS3" s="258" t="s">
        <v>1474</v>
      </c>
      <c r="AT3" s="258" t="s">
        <v>1475</v>
      </c>
      <c r="AU3" s="258" t="s">
        <v>1476</v>
      </c>
      <c r="AV3" s="258" t="s">
        <v>1477</v>
      </c>
      <c r="AW3" s="258" t="s">
        <v>1478</v>
      </c>
      <c r="AX3" s="258" t="s">
        <v>1479</v>
      </c>
      <c r="AY3" s="258" t="s">
        <v>1480</v>
      </c>
      <c r="AZ3" s="258" t="s">
        <v>1481</v>
      </c>
      <c r="BA3" s="258" t="s">
        <v>1482</v>
      </c>
      <c r="BB3" s="258" t="s">
        <v>1483</v>
      </c>
      <c r="BC3" s="258" t="s">
        <v>844</v>
      </c>
      <c r="BD3" s="369" t="s">
        <v>790</v>
      </c>
      <c r="BE3" s="260" t="s">
        <v>587</v>
      </c>
      <c r="BF3" s="261" t="s">
        <v>514</v>
      </c>
      <c r="BG3" s="261" t="s">
        <v>728</v>
      </c>
      <c r="BH3" s="261" t="s">
        <v>729</v>
      </c>
      <c r="BI3" s="261" t="s">
        <v>845</v>
      </c>
      <c r="BJ3" s="260" t="s">
        <v>717</v>
      </c>
      <c r="BK3" s="262" t="s">
        <v>589</v>
      </c>
      <c r="BL3" s="262" t="s">
        <v>590</v>
      </c>
      <c r="BM3" s="262" t="s">
        <v>900</v>
      </c>
      <c r="BN3" s="262" t="s">
        <v>806</v>
      </c>
    </row>
    <row r="4" spans="1:66" s="241" customFormat="1" ht="30.75" customHeight="1" x14ac:dyDescent="0.25">
      <c r="A4" s="222" t="str">
        <f>IF(D4="","",Cover!$D$8)</f>
        <v/>
      </c>
      <c r="B4" s="222" t="str">
        <f>IF(D4="","",Cover!$D$7)</f>
        <v/>
      </c>
      <c r="C4" s="223" t="str">
        <f>IF(F4="","",IFERROR(VLOOKUP(F4,'Master Data'!$E$59:$J$146,6,FALSE),0))</f>
        <v/>
      </c>
      <c r="D4" s="224" t="str">
        <f>IF(F4="","",IFERROR(VLOOKUP(F4,'Master Data'!$E$59:$L$146,8,FALSE),0))</f>
        <v/>
      </c>
      <c r="E4" s="223" t="str">
        <f>IF(D4="","",IFERROR(VLOOKUP(D4,'Master Data'!$D$59:$I$146,6,FALSE),0))</f>
        <v/>
      </c>
      <c r="F4" s="225"/>
      <c r="G4" s="226"/>
      <c r="H4" s="227">
        <f>IFERROR(VLOOKUP(G4,'Master Data'!$C$336:$I$353,7,FALSE),0)</f>
        <v>0</v>
      </c>
      <c r="I4" s="228">
        <f>IFERROR(VLOOKUP(H4,'Master Data'!$B$336:$D$351,3,FALSE),0)</f>
        <v>0</v>
      </c>
      <c r="J4" s="229">
        <f>IFERROR(VLOOKUP(H4,'Master Data'!$B$336:$H$353,7,FALSE),0)</f>
        <v>0</v>
      </c>
      <c r="K4" s="230"/>
      <c r="L4" s="231" t="str">
        <f>IFERROR(IF(I4="FIXED ASSET",J4&amp;E4&amp;K4,VLOOKUP(F4,'Master Data'!$E$59:$H$144,4,FALSE)&amp;"-"&amp;J4&amp;"-"&amp;K4),"-")</f>
        <v>-</v>
      </c>
      <c r="M4" s="225"/>
      <c r="N4" s="232"/>
      <c r="O4" s="233"/>
      <c r="P4" s="233"/>
      <c r="Q4" s="233"/>
      <c r="R4" s="233"/>
      <c r="S4" s="233"/>
      <c r="T4" s="233"/>
      <c r="U4" s="233"/>
      <c r="V4" s="233"/>
      <c r="W4" s="233"/>
      <c r="X4" s="233"/>
      <c r="Y4" s="233"/>
      <c r="Z4" s="233"/>
      <c r="AA4" s="234">
        <f>SUM(O4:Z4)</f>
        <v>0</v>
      </c>
      <c r="AB4" s="264"/>
      <c r="AC4" s="233"/>
      <c r="AD4" s="233"/>
      <c r="AE4" s="233"/>
      <c r="AF4" s="233"/>
      <c r="AG4" s="233"/>
      <c r="AH4" s="233"/>
      <c r="AI4" s="233"/>
      <c r="AJ4" s="233"/>
      <c r="AK4" s="233"/>
      <c r="AL4" s="233"/>
      <c r="AM4" s="233"/>
      <c r="AN4" s="233"/>
      <c r="AO4" s="234">
        <f t="shared" ref="AO4" si="0">SUM(AC4:AN4)</f>
        <v>0</v>
      </c>
      <c r="AP4" s="235"/>
      <c r="AQ4" s="233"/>
      <c r="AR4" s="233"/>
      <c r="AS4" s="233"/>
      <c r="AT4" s="233"/>
      <c r="AU4" s="233"/>
      <c r="AV4" s="233"/>
      <c r="AW4" s="233"/>
      <c r="AX4" s="233"/>
      <c r="AY4" s="233"/>
      <c r="AZ4" s="233"/>
      <c r="BA4" s="233"/>
      <c r="BB4" s="233"/>
      <c r="BC4" s="234">
        <f t="shared" ref="BC4" si="1">SUM(AQ4:BB4)</f>
        <v>0</v>
      </c>
      <c r="BD4" s="236">
        <f>+AA4-BI4</f>
        <v>0</v>
      </c>
      <c r="BE4" s="226"/>
      <c r="BF4" s="237"/>
      <c r="BG4" s="237"/>
      <c r="BH4" s="237"/>
      <c r="BI4" s="238">
        <f>IF(BG4="USD",BH4*$BH$2,IF(BG4="IDR",BH4,0))</f>
        <v>0</v>
      </c>
      <c r="BJ4" s="237"/>
      <c r="BK4" s="239" t="str">
        <f t="shared" ref="BK4:BK56" si="2">IF($I4="PROJECT","Please Fill Start Date","")</f>
        <v/>
      </c>
      <c r="BL4" s="239" t="str">
        <f>IF($I4="PROJECT","Please Fill Finish Date","")</f>
        <v/>
      </c>
      <c r="BM4" s="239" t="str">
        <f t="shared" ref="BM4" si="3">IF(AA4&gt;0,"Please Fill Remarks","")</f>
        <v/>
      </c>
      <c r="BN4" s="240"/>
    </row>
    <row r="5" spans="1:66" s="241" customFormat="1" x14ac:dyDescent="0.25">
      <c r="A5" s="222" t="str">
        <f>IF(D5="","",Cover!$D$8)</f>
        <v/>
      </c>
      <c r="B5" s="222" t="str">
        <f>IF(D5="","",Cover!$D$7)</f>
        <v/>
      </c>
      <c r="C5" s="223" t="str">
        <f>IF(F5="","",IFERROR(VLOOKUP(F5,'Master Data'!$E$59:$J$146,6,FALSE),0))</f>
        <v/>
      </c>
      <c r="D5" s="224" t="str">
        <f>IF(F5="","",IFERROR(VLOOKUP(F5,'Master Data'!$E$59:$L$146,8,FALSE),0))</f>
        <v/>
      </c>
      <c r="E5" s="223" t="str">
        <f>IF(D5="","",IFERROR(VLOOKUP(D5,'Master Data'!$D$59:$I$146,6,FALSE),0))</f>
        <v/>
      </c>
      <c r="F5" s="225"/>
      <c r="G5" s="226"/>
      <c r="H5" s="227">
        <f>IFERROR(VLOOKUP(G5,'Master Data'!$C$336:$I$353,7,FALSE),0)</f>
        <v>0</v>
      </c>
      <c r="I5" s="228">
        <f>IFERROR(VLOOKUP(H5,'Master Data'!$B$336:$D$351,3,FALSE),0)</f>
        <v>0</v>
      </c>
      <c r="J5" s="229">
        <f>IFERROR(VLOOKUP(H5,'Master Data'!$B$336:$H$353,7,FALSE),0)</f>
        <v>0</v>
      </c>
      <c r="K5" s="230"/>
      <c r="L5" s="231" t="str">
        <f>IFERROR(IF(I5="FIXED ASSET",J5&amp;E5&amp;K5,VLOOKUP(F5,'Master Data'!$E$59:$H$144,4,FALSE)&amp;"-"&amp;J5&amp;"-"&amp;K5),"-")</f>
        <v>-</v>
      </c>
      <c r="M5" s="225"/>
      <c r="N5" s="232"/>
      <c r="O5" s="233"/>
      <c r="P5" s="233"/>
      <c r="Q5" s="233"/>
      <c r="R5" s="233"/>
      <c r="S5" s="233"/>
      <c r="T5" s="233"/>
      <c r="U5" s="233"/>
      <c r="V5" s="233"/>
      <c r="W5" s="233"/>
      <c r="X5" s="233"/>
      <c r="Y5" s="233"/>
      <c r="Z5" s="233"/>
      <c r="AA5" s="234">
        <f t="shared" ref="AA5:AA56" si="4">SUM(O5:Z5)</f>
        <v>0</v>
      </c>
      <c r="AB5" s="264"/>
      <c r="AC5" s="233"/>
      <c r="AD5" s="233"/>
      <c r="AE5" s="233"/>
      <c r="AF5" s="233"/>
      <c r="AG5" s="233"/>
      <c r="AH5" s="233"/>
      <c r="AI5" s="233"/>
      <c r="AJ5" s="233"/>
      <c r="AK5" s="233"/>
      <c r="AL5" s="233"/>
      <c r="AM5" s="233"/>
      <c r="AN5" s="233"/>
      <c r="AO5" s="234">
        <f t="shared" ref="AO5:AO56" si="5">SUM(AC5:AN5)</f>
        <v>0</v>
      </c>
      <c r="AP5" s="235"/>
      <c r="AQ5" s="233"/>
      <c r="AR5" s="233"/>
      <c r="AS5" s="233"/>
      <c r="AT5" s="233"/>
      <c r="AU5" s="233"/>
      <c r="AV5" s="233"/>
      <c r="AW5" s="233"/>
      <c r="AX5" s="233"/>
      <c r="AY5" s="233"/>
      <c r="AZ5" s="233"/>
      <c r="BA5" s="233"/>
      <c r="BB5" s="233"/>
      <c r="BC5" s="234">
        <f t="shared" ref="BC5:BC56" si="6">SUM(AQ5:BB5)</f>
        <v>0</v>
      </c>
      <c r="BD5" s="236">
        <f t="shared" ref="BD5:BD56" si="7">+AA5-BI5</f>
        <v>0</v>
      </c>
      <c r="BE5" s="226"/>
      <c r="BF5" s="237"/>
      <c r="BG5" s="237"/>
      <c r="BH5" s="237"/>
      <c r="BI5" s="238">
        <f t="shared" ref="BI5:BI56" si="8">IF(BG5="USD",BH5*$BH$2,IF(BG5="IDR",BH5,0))</f>
        <v>0</v>
      </c>
      <c r="BJ5" s="237"/>
      <c r="BK5" s="239" t="str">
        <f t="shared" si="2"/>
        <v/>
      </c>
      <c r="BL5" s="239" t="str">
        <f t="shared" ref="BL5:BL56" si="9">IF($I5="PROJECT","Please Fill Finish Date","")</f>
        <v/>
      </c>
      <c r="BM5" s="239" t="str">
        <f t="shared" ref="BM5:BM56" si="10">IF(AA5&gt;0,"Please Fill Remarks","")</f>
        <v/>
      </c>
      <c r="BN5" s="240"/>
    </row>
    <row r="6" spans="1:66" s="241" customFormat="1" ht="27.95" customHeight="1" x14ac:dyDescent="0.25">
      <c r="A6" s="222" t="str">
        <f>IF(D6="","",Cover!$D$8)</f>
        <v/>
      </c>
      <c r="B6" s="222" t="str">
        <f>IF(D6="","",Cover!$D$7)</f>
        <v/>
      </c>
      <c r="C6" s="223" t="str">
        <f>IF(F6="","",IFERROR(VLOOKUP(F6,'Master Data'!$E$59:$J$146,6,FALSE),0))</f>
        <v/>
      </c>
      <c r="D6" s="224" t="str">
        <f>IF(F6="","",IFERROR(VLOOKUP(F6,'Master Data'!$E$59:$L$146,8,FALSE),0))</f>
        <v/>
      </c>
      <c r="E6" s="223" t="str">
        <f>IF(D6="","",IFERROR(VLOOKUP(D6,'Master Data'!$D$59:$I$146,6,FALSE),0))</f>
        <v/>
      </c>
      <c r="F6" s="225"/>
      <c r="G6" s="226"/>
      <c r="H6" s="227">
        <f>IFERROR(VLOOKUP(G6,'Master Data'!$C$336:$I$353,7,FALSE),0)</f>
        <v>0</v>
      </c>
      <c r="I6" s="228">
        <f>IFERROR(VLOOKUP(H6,'Master Data'!$B$336:$D$351,3,FALSE),0)</f>
        <v>0</v>
      </c>
      <c r="J6" s="229">
        <f>IFERROR(VLOOKUP(H6,'Master Data'!$B$336:$H$353,7,FALSE),0)</f>
        <v>0</v>
      </c>
      <c r="K6" s="230"/>
      <c r="L6" s="231" t="str">
        <f>IFERROR(IF(I6="FIXED ASSET",J6&amp;E6&amp;K6,VLOOKUP(F6,'Master Data'!$E$59:$H$144,4,FALSE)&amp;"-"&amp;J6&amp;"-"&amp;K6),"-")</f>
        <v>-</v>
      </c>
      <c r="M6" s="225"/>
      <c r="N6" s="232"/>
      <c r="O6" s="233"/>
      <c r="P6" s="233"/>
      <c r="Q6" s="233"/>
      <c r="R6" s="233"/>
      <c r="S6" s="233"/>
      <c r="T6" s="233"/>
      <c r="U6" s="233"/>
      <c r="V6" s="233"/>
      <c r="W6" s="233"/>
      <c r="X6" s="233"/>
      <c r="Y6" s="233"/>
      <c r="Z6" s="233"/>
      <c r="AA6" s="234">
        <f t="shared" si="4"/>
        <v>0</v>
      </c>
      <c r="AB6" s="264"/>
      <c r="AC6" s="233"/>
      <c r="AD6" s="233"/>
      <c r="AE6" s="233"/>
      <c r="AF6" s="233"/>
      <c r="AG6" s="233"/>
      <c r="AH6" s="233"/>
      <c r="AI6" s="233"/>
      <c r="AJ6" s="233"/>
      <c r="AK6" s="233"/>
      <c r="AL6" s="233"/>
      <c r="AM6" s="233"/>
      <c r="AN6" s="233"/>
      <c r="AO6" s="234">
        <f t="shared" si="5"/>
        <v>0</v>
      </c>
      <c r="AP6" s="235"/>
      <c r="AQ6" s="233"/>
      <c r="AR6" s="233"/>
      <c r="AS6" s="233"/>
      <c r="AT6" s="233"/>
      <c r="AU6" s="233"/>
      <c r="AV6" s="233"/>
      <c r="AW6" s="233"/>
      <c r="AX6" s="233"/>
      <c r="AY6" s="233"/>
      <c r="AZ6" s="233"/>
      <c r="BA6" s="233"/>
      <c r="BB6" s="233"/>
      <c r="BC6" s="234">
        <f t="shared" si="6"/>
        <v>0</v>
      </c>
      <c r="BD6" s="236">
        <f t="shared" si="7"/>
        <v>0</v>
      </c>
      <c r="BE6" s="226"/>
      <c r="BF6" s="237"/>
      <c r="BG6" s="237"/>
      <c r="BH6" s="237"/>
      <c r="BI6" s="238">
        <f t="shared" si="8"/>
        <v>0</v>
      </c>
      <c r="BJ6" s="237"/>
      <c r="BK6" s="239" t="str">
        <f t="shared" si="2"/>
        <v/>
      </c>
      <c r="BL6" s="239" t="str">
        <f t="shared" si="9"/>
        <v/>
      </c>
      <c r="BM6" s="239" t="str">
        <f t="shared" si="10"/>
        <v/>
      </c>
      <c r="BN6" s="240"/>
    </row>
    <row r="7" spans="1:66" s="142" customFormat="1" ht="27.95" customHeight="1" x14ac:dyDescent="0.25">
      <c r="A7" s="222" t="str">
        <f>IF(D7="","",Cover!$D$8)</f>
        <v/>
      </c>
      <c r="B7" s="222" t="str">
        <f>IF(D7="","",Cover!$D$7)</f>
        <v/>
      </c>
      <c r="C7" s="223" t="str">
        <f>IF(F7="","",IFERROR(VLOOKUP(F7,'Master Data'!$E$59:$J$146,6,FALSE),0))</f>
        <v/>
      </c>
      <c r="D7" s="224" t="str">
        <f>IF(F7="","",IFERROR(VLOOKUP(F7,'Master Data'!$E$59:$L$146,8,FALSE),0))</f>
        <v/>
      </c>
      <c r="E7" s="223" t="str">
        <f>IF(D7="","",IFERROR(VLOOKUP(D7,'Master Data'!$D$59:$I$146,6,FALSE),0))</f>
        <v/>
      </c>
      <c r="F7" s="225"/>
      <c r="G7" s="226"/>
      <c r="H7" s="227">
        <f>IFERROR(VLOOKUP(G7,'Master Data'!$C$336:$I$353,7,FALSE),0)</f>
        <v>0</v>
      </c>
      <c r="I7" s="228">
        <f>IFERROR(VLOOKUP(H7,'Master Data'!$B$336:$D$351,3,FALSE),0)</f>
        <v>0</v>
      </c>
      <c r="J7" s="229">
        <f>IFERROR(VLOOKUP(H7,'Master Data'!$B$336:$H$353,7,FALSE),0)</f>
        <v>0</v>
      </c>
      <c r="K7" s="230"/>
      <c r="L7" s="231" t="str">
        <f>IFERROR(IF(I7="FIXED ASSET",J7&amp;E7&amp;K7,VLOOKUP(F7,'Master Data'!$E$59:$H$144,4,FALSE)&amp;"-"&amp;J7&amp;"-"&amp;K7),"-")</f>
        <v>-</v>
      </c>
      <c r="M7" s="225"/>
      <c r="N7" s="232"/>
      <c r="O7" s="233"/>
      <c r="P7" s="233"/>
      <c r="Q7" s="233"/>
      <c r="R7" s="233"/>
      <c r="S7" s="233"/>
      <c r="T7" s="233"/>
      <c r="U7" s="233"/>
      <c r="V7" s="233"/>
      <c r="W7" s="233"/>
      <c r="X7" s="233"/>
      <c r="Y7" s="233"/>
      <c r="Z7" s="233"/>
      <c r="AA7" s="234">
        <f t="shared" si="4"/>
        <v>0</v>
      </c>
      <c r="AB7" s="264"/>
      <c r="AC7" s="233"/>
      <c r="AD7" s="233"/>
      <c r="AE7" s="233"/>
      <c r="AF7" s="233"/>
      <c r="AG7" s="233"/>
      <c r="AH7" s="233"/>
      <c r="AI7" s="233"/>
      <c r="AJ7" s="233"/>
      <c r="AK7" s="233"/>
      <c r="AL7" s="233"/>
      <c r="AM7" s="233"/>
      <c r="AN7" s="233"/>
      <c r="AO7" s="234">
        <f t="shared" si="5"/>
        <v>0</v>
      </c>
      <c r="AP7" s="235"/>
      <c r="AQ7" s="233"/>
      <c r="AR7" s="233"/>
      <c r="AS7" s="233"/>
      <c r="AT7" s="233"/>
      <c r="AU7" s="233"/>
      <c r="AV7" s="233"/>
      <c r="AW7" s="233"/>
      <c r="AX7" s="233"/>
      <c r="AY7" s="233"/>
      <c r="AZ7" s="233"/>
      <c r="BA7" s="233"/>
      <c r="BB7" s="233"/>
      <c r="BC7" s="234">
        <f t="shared" si="6"/>
        <v>0</v>
      </c>
      <c r="BD7" s="236">
        <f t="shared" si="7"/>
        <v>0</v>
      </c>
      <c r="BE7" s="226"/>
      <c r="BF7" s="237"/>
      <c r="BG7" s="237"/>
      <c r="BH7" s="237"/>
      <c r="BI7" s="238">
        <f t="shared" si="8"/>
        <v>0</v>
      </c>
      <c r="BJ7" s="237"/>
      <c r="BK7" s="239" t="str">
        <f t="shared" si="2"/>
        <v/>
      </c>
      <c r="BL7" s="239" t="str">
        <f t="shared" si="9"/>
        <v/>
      </c>
      <c r="BM7" s="239" t="str">
        <f t="shared" si="10"/>
        <v/>
      </c>
      <c r="BN7" s="240"/>
    </row>
    <row r="8" spans="1:66" s="142" customFormat="1" ht="27.95" customHeight="1" x14ac:dyDescent="0.25">
      <c r="A8" s="222" t="str">
        <f>IF(D8="","",Cover!$D$8)</f>
        <v/>
      </c>
      <c r="B8" s="222" t="str">
        <f>IF(D8="","",Cover!$D$7)</f>
        <v/>
      </c>
      <c r="C8" s="223" t="str">
        <f>IF(F8="","",IFERROR(VLOOKUP(F8,'Master Data'!$E$59:$J$146,6,FALSE),0))</f>
        <v/>
      </c>
      <c r="D8" s="224" t="str">
        <f>IF(F8="","",IFERROR(VLOOKUP(F8,'Master Data'!$E$59:$L$146,8,FALSE),0))</f>
        <v/>
      </c>
      <c r="E8" s="223" t="str">
        <f>IF(D8="","",IFERROR(VLOOKUP(D8,'Master Data'!$D$59:$I$146,6,FALSE),0))</f>
        <v/>
      </c>
      <c r="F8" s="225"/>
      <c r="G8" s="226"/>
      <c r="H8" s="227">
        <f>IFERROR(VLOOKUP(G8,'Master Data'!$C$336:$I$353,7,FALSE),0)</f>
        <v>0</v>
      </c>
      <c r="I8" s="228">
        <f>IFERROR(VLOOKUP(H8,'Master Data'!$B$336:$D$351,3,FALSE),0)</f>
        <v>0</v>
      </c>
      <c r="J8" s="229">
        <f>IFERROR(VLOOKUP(H8,'Master Data'!$B$336:$H$353,7,FALSE),0)</f>
        <v>0</v>
      </c>
      <c r="K8" s="230"/>
      <c r="L8" s="231" t="str">
        <f>IFERROR(IF(I8="FIXED ASSET",J8&amp;E8&amp;K8,VLOOKUP(F8,'Master Data'!$E$59:$H$144,4,FALSE)&amp;"-"&amp;J8&amp;"-"&amp;K8),"-")</f>
        <v>-</v>
      </c>
      <c r="M8" s="225"/>
      <c r="N8" s="232"/>
      <c r="O8" s="233"/>
      <c r="P8" s="233"/>
      <c r="Q8" s="233"/>
      <c r="R8" s="233"/>
      <c r="S8" s="233"/>
      <c r="T8" s="233"/>
      <c r="U8" s="233"/>
      <c r="V8" s="233"/>
      <c r="W8" s="233"/>
      <c r="X8" s="233"/>
      <c r="Y8" s="233"/>
      <c r="Z8" s="233"/>
      <c r="AA8" s="234">
        <f t="shared" si="4"/>
        <v>0</v>
      </c>
      <c r="AB8" s="264"/>
      <c r="AC8" s="233"/>
      <c r="AD8" s="233"/>
      <c r="AE8" s="233"/>
      <c r="AF8" s="233"/>
      <c r="AG8" s="233"/>
      <c r="AH8" s="233"/>
      <c r="AI8" s="233"/>
      <c r="AJ8" s="233"/>
      <c r="AK8" s="233"/>
      <c r="AL8" s="233"/>
      <c r="AM8" s="233"/>
      <c r="AN8" s="233"/>
      <c r="AO8" s="234">
        <f t="shared" si="5"/>
        <v>0</v>
      </c>
      <c r="AP8" s="235"/>
      <c r="AQ8" s="233"/>
      <c r="AR8" s="233"/>
      <c r="AS8" s="233"/>
      <c r="AT8" s="233"/>
      <c r="AU8" s="233"/>
      <c r="AV8" s="233"/>
      <c r="AW8" s="233"/>
      <c r="AX8" s="233"/>
      <c r="AY8" s="233"/>
      <c r="AZ8" s="233"/>
      <c r="BA8" s="233"/>
      <c r="BB8" s="233"/>
      <c r="BC8" s="234">
        <f t="shared" si="6"/>
        <v>0</v>
      </c>
      <c r="BD8" s="236">
        <f t="shared" si="7"/>
        <v>0</v>
      </c>
      <c r="BE8" s="226"/>
      <c r="BF8" s="237"/>
      <c r="BG8" s="237"/>
      <c r="BH8" s="237"/>
      <c r="BI8" s="238">
        <f t="shared" si="8"/>
        <v>0</v>
      </c>
      <c r="BJ8" s="237"/>
      <c r="BK8" s="239" t="str">
        <f t="shared" si="2"/>
        <v/>
      </c>
      <c r="BL8" s="239" t="str">
        <f t="shared" si="9"/>
        <v/>
      </c>
      <c r="BM8" s="239" t="str">
        <f t="shared" si="10"/>
        <v/>
      </c>
      <c r="BN8" s="240"/>
    </row>
    <row r="9" spans="1:66" s="142" customFormat="1" ht="27.95" customHeight="1" x14ac:dyDescent="0.25">
      <c r="A9" s="222" t="str">
        <f>IF(D9="","",Cover!$D$8)</f>
        <v/>
      </c>
      <c r="B9" s="222" t="str">
        <f>IF(D9="","",Cover!$D$7)</f>
        <v/>
      </c>
      <c r="C9" s="223" t="str">
        <f>IF(F9="","",IFERROR(VLOOKUP(F9,'Master Data'!$E$59:$J$146,6,FALSE),0))</f>
        <v/>
      </c>
      <c r="D9" s="224" t="str">
        <f>IF(F9="","",IFERROR(VLOOKUP(F9,'Master Data'!$E$59:$L$146,8,FALSE),0))</f>
        <v/>
      </c>
      <c r="E9" s="223" t="str">
        <f>IF(D9="","",IFERROR(VLOOKUP(D9,'Master Data'!$D$59:$I$146,6,FALSE),0))</f>
        <v/>
      </c>
      <c r="F9" s="225"/>
      <c r="G9" s="226"/>
      <c r="H9" s="227">
        <f>IFERROR(VLOOKUP(G9,'Master Data'!$C$336:$I$353,7,FALSE),0)</f>
        <v>0</v>
      </c>
      <c r="I9" s="228">
        <f>IFERROR(VLOOKUP(H9,'Master Data'!$B$336:$D$351,3,FALSE),0)</f>
        <v>0</v>
      </c>
      <c r="J9" s="229">
        <f>IFERROR(VLOOKUP(H9,'Master Data'!$B$336:$H$353,7,FALSE),0)</f>
        <v>0</v>
      </c>
      <c r="K9" s="230"/>
      <c r="L9" s="231" t="str">
        <f>IFERROR(IF(I9="FIXED ASSET",J9&amp;E9&amp;K9,VLOOKUP(F9,'Master Data'!$E$59:$H$144,4,FALSE)&amp;"-"&amp;J9&amp;"-"&amp;K9),"-")</f>
        <v>-</v>
      </c>
      <c r="M9" s="225"/>
      <c r="N9" s="232"/>
      <c r="O9" s="233"/>
      <c r="P9" s="233"/>
      <c r="Q9" s="233"/>
      <c r="R9" s="233"/>
      <c r="S9" s="233"/>
      <c r="T9" s="233"/>
      <c r="U9" s="233"/>
      <c r="V9" s="233"/>
      <c r="W9" s="233"/>
      <c r="X9" s="233"/>
      <c r="Y9" s="233"/>
      <c r="Z9" s="233"/>
      <c r="AA9" s="234">
        <f t="shared" si="4"/>
        <v>0</v>
      </c>
      <c r="AB9" s="264"/>
      <c r="AC9" s="233"/>
      <c r="AD9" s="233"/>
      <c r="AE9" s="233"/>
      <c r="AF9" s="233"/>
      <c r="AG9" s="233"/>
      <c r="AH9" s="233"/>
      <c r="AI9" s="233"/>
      <c r="AJ9" s="233"/>
      <c r="AK9" s="233"/>
      <c r="AL9" s="233"/>
      <c r="AM9" s="233"/>
      <c r="AN9" s="233"/>
      <c r="AO9" s="234">
        <f t="shared" si="5"/>
        <v>0</v>
      </c>
      <c r="AP9" s="235"/>
      <c r="AQ9" s="233"/>
      <c r="AR9" s="233"/>
      <c r="AS9" s="233"/>
      <c r="AT9" s="233"/>
      <c r="AU9" s="233"/>
      <c r="AV9" s="233"/>
      <c r="AW9" s="233"/>
      <c r="AX9" s="233"/>
      <c r="AY9" s="233"/>
      <c r="AZ9" s="233"/>
      <c r="BA9" s="233"/>
      <c r="BB9" s="233"/>
      <c r="BC9" s="234">
        <f t="shared" si="6"/>
        <v>0</v>
      </c>
      <c r="BD9" s="236">
        <f t="shared" si="7"/>
        <v>0</v>
      </c>
      <c r="BE9" s="226"/>
      <c r="BF9" s="237"/>
      <c r="BG9" s="237"/>
      <c r="BH9" s="237"/>
      <c r="BI9" s="238">
        <f t="shared" si="8"/>
        <v>0</v>
      </c>
      <c r="BJ9" s="237"/>
      <c r="BK9" s="239" t="str">
        <f t="shared" si="2"/>
        <v/>
      </c>
      <c r="BL9" s="239" t="str">
        <f t="shared" si="9"/>
        <v/>
      </c>
      <c r="BM9" s="239" t="str">
        <f t="shared" si="10"/>
        <v/>
      </c>
      <c r="BN9" s="240"/>
    </row>
    <row r="10" spans="1:66" s="142" customFormat="1" ht="27.95" customHeight="1" x14ac:dyDescent="0.25">
      <c r="A10" s="222" t="str">
        <f>IF(D10="","",Cover!$D$8)</f>
        <v/>
      </c>
      <c r="B10" s="222" t="str">
        <f>IF(D10="","",Cover!$D$7)</f>
        <v/>
      </c>
      <c r="C10" s="223" t="str">
        <f>IF(F10="","",IFERROR(VLOOKUP(F10,'Master Data'!$E$59:$J$146,6,FALSE),0))</f>
        <v/>
      </c>
      <c r="D10" s="224" t="str">
        <f>IF(F10="","",IFERROR(VLOOKUP(F10,'Master Data'!$E$59:$L$146,8,FALSE),0))</f>
        <v/>
      </c>
      <c r="E10" s="223" t="str">
        <f>IF(D10="","",IFERROR(VLOOKUP(D10,'Master Data'!$D$59:$I$146,6,FALSE),0))</f>
        <v/>
      </c>
      <c r="F10" s="225"/>
      <c r="G10" s="226"/>
      <c r="H10" s="227">
        <f>IFERROR(VLOOKUP(G10,'Master Data'!$C$336:$I$353,7,FALSE),0)</f>
        <v>0</v>
      </c>
      <c r="I10" s="228">
        <f>IFERROR(VLOOKUP(H10,'Master Data'!$B$336:$D$351,3,FALSE),0)</f>
        <v>0</v>
      </c>
      <c r="J10" s="229">
        <f>IFERROR(VLOOKUP(H10,'Master Data'!$B$336:$H$353,7,FALSE),0)</f>
        <v>0</v>
      </c>
      <c r="K10" s="230"/>
      <c r="L10" s="231" t="str">
        <f>IFERROR(IF(I10="FIXED ASSET",J10&amp;E10&amp;K10,VLOOKUP(F10,'Master Data'!$E$59:$H$144,4,FALSE)&amp;"-"&amp;J10&amp;"-"&amp;K10),"-")</f>
        <v>-</v>
      </c>
      <c r="M10" s="225"/>
      <c r="N10" s="232"/>
      <c r="O10" s="233"/>
      <c r="P10" s="233"/>
      <c r="Q10" s="233"/>
      <c r="R10" s="233"/>
      <c r="S10" s="233"/>
      <c r="T10" s="233"/>
      <c r="U10" s="233"/>
      <c r="V10" s="233"/>
      <c r="W10" s="233"/>
      <c r="X10" s="233"/>
      <c r="Y10" s="233"/>
      <c r="Z10" s="233"/>
      <c r="AA10" s="234">
        <f t="shared" si="4"/>
        <v>0</v>
      </c>
      <c r="AB10" s="264"/>
      <c r="AC10" s="233"/>
      <c r="AD10" s="233"/>
      <c r="AE10" s="233"/>
      <c r="AF10" s="233"/>
      <c r="AG10" s="233"/>
      <c r="AH10" s="233"/>
      <c r="AI10" s="233"/>
      <c r="AJ10" s="233"/>
      <c r="AK10" s="233"/>
      <c r="AL10" s="233"/>
      <c r="AM10" s="233"/>
      <c r="AN10" s="233"/>
      <c r="AO10" s="234">
        <f t="shared" si="5"/>
        <v>0</v>
      </c>
      <c r="AP10" s="235"/>
      <c r="AQ10" s="233"/>
      <c r="AR10" s="233"/>
      <c r="AS10" s="233"/>
      <c r="AT10" s="233"/>
      <c r="AU10" s="233"/>
      <c r="AV10" s="233"/>
      <c r="AW10" s="233"/>
      <c r="AX10" s="233"/>
      <c r="AY10" s="233"/>
      <c r="AZ10" s="233"/>
      <c r="BA10" s="233"/>
      <c r="BB10" s="233"/>
      <c r="BC10" s="234">
        <f t="shared" si="6"/>
        <v>0</v>
      </c>
      <c r="BD10" s="236">
        <f t="shared" si="7"/>
        <v>0</v>
      </c>
      <c r="BE10" s="226"/>
      <c r="BF10" s="237"/>
      <c r="BG10" s="237"/>
      <c r="BH10" s="237"/>
      <c r="BI10" s="238">
        <f t="shared" si="8"/>
        <v>0</v>
      </c>
      <c r="BJ10" s="237"/>
      <c r="BK10" s="239" t="str">
        <f t="shared" si="2"/>
        <v/>
      </c>
      <c r="BL10" s="239" t="str">
        <f t="shared" si="9"/>
        <v/>
      </c>
      <c r="BM10" s="239" t="str">
        <f t="shared" si="10"/>
        <v/>
      </c>
      <c r="BN10" s="240"/>
    </row>
    <row r="11" spans="1:66" s="142" customFormat="1" ht="27.95" customHeight="1" x14ac:dyDescent="0.25">
      <c r="A11" s="222" t="str">
        <f>IF(D11="","",Cover!$D$8)</f>
        <v/>
      </c>
      <c r="B11" s="222" t="str">
        <f>IF(D11="","",Cover!$D$7)</f>
        <v/>
      </c>
      <c r="C11" s="223" t="str">
        <f>IF(F11="","",IFERROR(VLOOKUP(F11,'Master Data'!$E$59:$J$146,6,FALSE),0))</f>
        <v/>
      </c>
      <c r="D11" s="224" t="str">
        <f>IF(F11="","",IFERROR(VLOOKUP(F11,'Master Data'!$E$59:$L$146,8,FALSE),0))</f>
        <v/>
      </c>
      <c r="E11" s="223" t="str">
        <f>IF(D11="","",IFERROR(VLOOKUP(D11,'Master Data'!$D$59:$I$146,6,FALSE),0))</f>
        <v/>
      </c>
      <c r="F11" s="225"/>
      <c r="G11" s="226"/>
      <c r="H11" s="227">
        <f>IFERROR(VLOOKUP(G11,'Master Data'!$C$336:$I$353,7,FALSE),0)</f>
        <v>0</v>
      </c>
      <c r="I11" s="228">
        <f>IFERROR(VLOOKUP(H11,'Master Data'!$B$336:$D$351,3,FALSE),0)</f>
        <v>0</v>
      </c>
      <c r="J11" s="229">
        <f>IFERROR(VLOOKUP(H11,'Master Data'!$B$336:$H$353,7,FALSE),0)</f>
        <v>0</v>
      </c>
      <c r="K11" s="230"/>
      <c r="L11" s="231" t="str">
        <f>IFERROR(IF(I11="FIXED ASSET",J11&amp;E11&amp;K11,VLOOKUP(F11,'Master Data'!$E$59:$H$144,4,FALSE)&amp;"-"&amp;J11&amp;"-"&amp;K11),"-")</f>
        <v>-</v>
      </c>
      <c r="M11" s="225"/>
      <c r="N11" s="232"/>
      <c r="O11" s="233"/>
      <c r="P11" s="233"/>
      <c r="Q11" s="233"/>
      <c r="R11" s="233"/>
      <c r="S11" s="233"/>
      <c r="T11" s="233"/>
      <c r="U11" s="233"/>
      <c r="V11" s="233"/>
      <c r="W11" s="233"/>
      <c r="X11" s="233"/>
      <c r="Y11" s="233"/>
      <c r="Z11" s="233"/>
      <c r="AA11" s="234">
        <f t="shared" si="4"/>
        <v>0</v>
      </c>
      <c r="AB11" s="264"/>
      <c r="AC11" s="233"/>
      <c r="AD11" s="233"/>
      <c r="AE11" s="233"/>
      <c r="AF11" s="233"/>
      <c r="AG11" s="233"/>
      <c r="AH11" s="233"/>
      <c r="AI11" s="233"/>
      <c r="AJ11" s="233"/>
      <c r="AK11" s="233"/>
      <c r="AL11" s="233"/>
      <c r="AM11" s="233"/>
      <c r="AN11" s="233"/>
      <c r="AO11" s="234">
        <f t="shared" si="5"/>
        <v>0</v>
      </c>
      <c r="AP11" s="235"/>
      <c r="AQ11" s="233"/>
      <c r="AR11" s="233"/>
      <c r="AS11" s="233"/>
      <c r="AT11" s="233"/>
      <c r="AU11" s="233"/>
      <c r="AV11" s="233"/>
      <c r="AW11" s="233"/>
      <c r="AX11" s="233"/>
      <c r="AY11" s="233"/>
      <c r="AZ11" s="233"/>
      <c r="BA11" s="233"/>
      <c r="BB11" s="233"/>
      <c r="BC11" s="234">
        <f t="shared" si="6"/>
        <v>0</v>
      </c>
      <c r="BD11" s="236">
        <f t="shared" si="7"/>
        <v>0</v>
      </c>
      <c r="BE11" s="226"/>
      <c r="BF11" s="237"/>
      <c r="BG11" s="237"/>
      <c r="BH11" s="237"/>
      <c r="BI11" s="238">
        <f t="shared" si="8"/>
        <v>0</v>
      </c>
      <c r="BJ11" s="237"/>
      <c r="BK11" s="239" t="str">
        <f t="shared" si="2"/>
        <v/>
      </c>
      <c r="BL11" s="239" t="str">
        <f t="shared" si="9"/>
        <v/>
      </c>
      <c r="BM11" s="239" t="str">
        <f t="shared" si="10"/>
        <v/>
      </c>
      <c r="BN11" s="240"/>
    </row>
    <row r="12" spans="1:66" s="142" customFormat="1" ht="27.95" customHeight="1" x14ac:dyDescent="0.25">
      <c r="A12" s="222" t="str">
        <f>IF(D12="","",Cover!$D$8)</f>
        <v/>
      </c>
      <c r="B12" s="222" t="str">
        <f>IF(D12="","",Cover!$D$7)</f>
        <v/>
      </c>
      <c r="C12" s="223" t="str">
        <f>IF(F12="","",IFERROR(VLOOKUP(F12,'Master Data'!$E$59:$J$146,6,FALSE),0))</f>
        <v/>
      </c>
      <c r="D12" s="224" t="str">
        <f>IF(F12="","",IFERROR(VLOOKUP(F12,'Master Data'!$E$59:$L$146,8,FALSE),0))</f>
        <v/>
      </c>
      <c r="E12" s="223" t="str">
        <f>IF(D12="","",IFERROR(VLOOKUP(D12,'Master Data'!$D$59:$I$146,6,FALSE),0))</f>
        <v/>
      </c>
      <c r="F12" s="225"/>
      <c r="G12" s="226"/>
      <c r="H12" s="227">
        <f>IFERROR(VLOOKUP(G12,'Master Data'!$C$336:$I$353,7,FALSE),0)</f>
        <v>0</v>
      </c>
      <c r="I12" s="228">
        <f>IFERROR(VLOOKUP(H12,'Master Data'!$B$336:$D$351,3,FALSE),0)</f>
        <v>0</v>
      </c>
      <c r="J12" s="229">
        <f>IFERROR(VLOOKUP(H12,'Master Data'!$B$336:$H$353,7,FALSE),0)</f>
        <v>0</v>
      </c>
      <c r="K12" s="230"/>
      <c r="L12" s="231" t="str">
        <f>IFERROR(IF(I12="FIXED ASSET",J12&amp;E12&amp;K12,VLOOKUP(F12,'Master Data'!$E$59:$H$144,4,FALSE)&amp;"-"&amp;J12&amp;"-"&amp;K12),"-")</f>
        <v>-</v>
      </c>
      <c r="M12" s="225"/>
      <c r="N12" s="232"/>
      <c r="O12" s="233"/>
      <c r="P12" s="233"/>
      <c r="Q12" s="233"/>
      <c r="R12" s="233"/>
      <c r="S12" s="233"/>
      <c r="T12" s="233"/>
      <c r="U12" s="233"/>
      <c r="V12" s="233"/>
      <c r="W12" s="233"/>
      <c r="X12" s="233"/>
      <c r="Y12" s="233"/>
      <c r="Z12" s="233"/>
      <c r="AA12" s="234">
        <f t="shared" si="4"/>
        <v>0</v>
      </c>
      <c r="AB12" s="264"/>
      <c r="AC12" s="233"/>
      <c r="AD12" s="233"/>
      <c r="AE12" s="233"/>
      <c r="AF12" s="233"/>
      <c r="AG12" s="233"/>
      <c r="AH12" s="233"/>
      <c r="AI12" s="233"/>
      <c r="AJ12" s="233"/>
      <c r="AK12" s="233"/>
      <c r="AL12" s="233"/>
      <c r="AM12" s="233"/>
      <c r="AN12" s="233"/>
      <c r="AO12" s="234">
        <f t="shared" si="5"/>
        <v>0</v>
      </c>
      <c r="AP12" s="235"/>
      <c r="AQ12" s="233"/>
      <c r="AR12" s="233"/>
      <c r="AS12" s="233"/>
      <c r="AT12" s="233"/>
      <c r="AU12" s="233"/>
      <c r="AV12" s="233"/>
      <c r="AW12" s="233"/>
      <c r="AX12" s="233"/>
      <c r="AY12" s="233"/>
      <c r="AZ12" s="233"/>
      <c r="BA12" s="233"/>
      <c r="BB12" s="233"/>
      <c r="BC12" s="234">
        <f t="shared" si="6"/>
        <v>0</v>
      </c>
      <c r="BD12" s="236">
        <f t="shared" si="7"/>
        <v>0</v>
      </c>
      <c r="BE12" s="226"/>
      <c r="BF12" s="237"/>
      <c r="BG12" s="237"/>
      <c r="BH12" s="237"/>
      <c r="BI12" s="238">
        <f t="shared" si="8"/>
        <v>0</v>
      </c>
      <c r="BJ12" s="237"/>
      <c r="BK12" s="239" t="str">
        <f t="shared" si="2"/>
        <v/>
      </c>
      <c r="BL12" s="239" t="str">
        <f t="shared" si="9"/>
        <v/>
      </c>
      <c r="BM12" s="239" t="str">
        <f t="shared" si="10"/>
        <v/>
      </c>
      <c r="BN12" s="240"/>
    </row>
    <row r="13" spans="1:66" s="142" customFormat="1" ht="27.95" customHeight="1" x14ac:dyDescent="0.25">
      <c r="A13" s="222" t="str">
        <f>IF(D13="","",Cover!$D$8)</f>
        <v/>
      </c>
      <c r="B13" s="222" t="str">
        <f>IF(D13="","",Cover!$D$7)</f>
        <v/>
      </c>
      <c r="C13" s="223" t="str">
        <f>IF(F13="","",IFERROR(VLOOKUP(F13,'Master Data'!$E$59:$J$146,6,FALSE),0))</f>
        <v/>
      </c>
      <c r="D13" s="224" t="str">
        <f>IF(F13="","",IFERROR(VLOOKUP(F13,'Master Data'!$E$59:$L$146,8,FALSE),0))</f>
        <v/>
      </c>
      <c r="E13" s="223" t="str">
        <f>IF(D13="","",IFERROR(VLOOKUP(D13,'Master Data'!$D$59:$I$146,6,FALSE),0))</f>
        <v/>
      </c>
      <c r="F13" s="225"/>
      <c r="G13" s="226"/>
      <c r="H13" s="227">
        <f>IFERROR(VLOOKUP(G13,'Master Data'!$C$336:$I$353,7,FALSE),0)</f>
        <v>0</v>
      </c>
      <c r="I13" s="228">
        <f>IFERROR(VLOOKUP(H13,'Master Data'!$B$336:$D$351,3,FALSE),0)</f>
        <v>0</v>
      </c>
      <c r="J13" s="229">
        <f>IFERROR(VLOOKUP(H13,'Master Data'!$B$336:$H$353,7,FALSE),0)</f>
        <v>0</v>
      </c>
      <c r="K13" s="230"/>
      <c r="L13" s="231" t="str">
        <f>IFERROR(IF(I13="FIXED ASSET",J13&amp;E13&amp;K13,VLOOKUP(F13,'Master Data'!$E$59:$H$144,4,FALSE)&amp;"-"&amp;J13&amp;"-"&amp;K13),"-")</f>
        <v>-</v>
      </c>
      <c r="M13" s="225"/>
      <c r="N13" s="232"/>
      <c r="O13" s="233"/>
      <c r="P13" s="233"/>
      <c r="Q13" s="233"/>
      <c r="R13" s="233"/>
      <c r="S13" s="233"/>
      <c r="T13" s="233"/>
      <c r="U13" s="233"/>
      <c r="V13" s="233"/>
      <c r="W13" s="233"/>
      <c r="X13" s="233"/>
      <c r="Y13" s="233"/>
      <c r="Z13" s="233"/>
      <c r="AA13" s="234">
        <f t="shared" si="4"/>
        <v>0</v>
      </c>
      <c r="AB13" s="264"/>
      <c r="AC13" s="233"/>
      <c r="AD13" s="233"/>
      <c r="AE13" s="233"/>
      <c r="AF13" s="233"/>
      <c r="AG13" s="233"/>
      <c r="AH13" s="233"/>
      <c r="AI13" s="233"/>
      <c r="AJ13" s="233"/>
      <c r="AK13" s="233"/>
      <c r="AL13" s="233"/>
      <c r="AM13" s="233"/>
      <c r="AN13" s="233"/>
      <c r="AO13" s="234">
        <f t="shared" si="5"/>
        <v>0</v>
      </c>
      <c r="AP13" s="235"/>
      <c r="AQ13" s="233"/>
      <c r="AR13" s="233"/>
      <c r="AS13" s="233"/>
      <c r="AT13" s="233"/>
      <c r="AU13" s="233"/>
      <c r="AV13" s="233"/>
      <c r="AW13" s="233"/>
      <c r="AX13" s="233"/>
      <c r="AY13" s="233"/>
      <c r="AZ13" s="233"/>
      <c r="BA13" s="233"/>
      <c r="BB13" s="233"/>
      <c r="BC13" s="234">
        <f t="shared" si="6"/>
        <v>0</v>
      </c>
      <c r="BD13" s="236">
        <f t="shared" si="7"/>
        <v>0</v>
      </c>
      <c r="BE13" s="226"/>
      <c r="BF13" s="237"/>
      <c r="BG13" s="237"/>
      <c r="BH13" s="237"/>
      <c r="BI13" s="238">
        <f t="shared" si="8"/>
        <v>0</v>
      </c>
      <c r="BJ13" s="237"/>
      <c r="BK13" s="239" t="str">
        <f t="shared" si="2"/>
        <v/>
      </c>
      <c r="BL13" s="239" t="str">
        <f t="shared" si="9"/>
        <v/>
      </c>
      <c r="BM13" s="239" t="str">
        <f t="shared" si="10"/>
        <v/>
      </c>
      <c r="BN13" s="240"/>
    </row>
    <row r="14" spans="1:66" s="142" customFormat="1" ht="27.95" customHeight="1" x14ac:dyDescent="0.25">
      <c r="A14" s="222" t="str">
        <f>IF(D14="","",Cover!$D$8)</f>
        <v/>
      </c>
      <c r="B14" s="222" t="str">
        <f>IF(D14="","",Cover!$D$7)</f>
        <v/>
      </c>
      <c r="C14" s="223" t="str">
        <f>IF(F14="","",IFERROR(VLOOKUP(F14,'Master Data'!$E$59:$J$146,6,FALSE),0))</f>
        <v/>
      </c>
      <c r="D14" s="224" t="str">
        <f>IF(F14="","",IFERROR(VLOOKUP(F14,'Master Data'!$E$59:$L$146,8,FALSE),0))</f>
        <v/>
      </c>
      <c r="E14" s="223" t="str">
        <f>IF(D14="","",IFERROR(VLOOKUP(D14,'Master Data'!$D$59:$I$146,6,FALSE),0))</f>
        <v/>
      </c>
      <c r="F14" s="225"/>
      <c r="G14" s="226"/>
      <c r="H14" s="227">
        <f>IFERROR(VLOOKUP(G14,'Master Data'!$C$336:$I$353,7,FALSE),0)</f>
        <v>0</v>
      </c>
      <c r="I14" s="228">
        <f>IFERROR(VLOOKUP(H14,'Master Data'!$B$336:$D$351,3,FALSE),0)</f>
        <v>0</v>
      </c>
      <c r="J14" s="229">
        <f>IFERROR(VLOOKUP(H14,'Master Data'!$B$336:$H$353,7,FALSE),0)</f>
        <v>0</v>
      </c>
      <c r="K14" s="230"/>
      <c r="L14" s="231" t="str">
        <f>IFERROR(IF(I14="FIXED ASSET",J14&amp;E14&amp;K14,VLOOKUP(F14,'Master Data'!$E$59:$H$144,4,FALSE)&amp;"-"&amp;J14&amp;"-"&amp;K14),"-")</f>
        <v>-</v>
      </c>
      <c r="M14" s="225"/>
      <c r="N14" s="232"/>
      <c r="O14" s="233"/>
      <c r="P14" s="233"/>
      <c r="Q14" s="233"/>
      <c r="R14" s="233"/>
      <c r="S14" s="233"/>
      <c r="T14" s="233"/>
      <c r="U14" s="233"/>
      <c r="V14" s="233"/>
      <c r="W14" s="233"/>
      <c r="X14" s="233"/>
      <c r="Y14" s="233"/>
      <c r="Z14" s="233"/>
      <c r="AA14" s="234">
        <f t="shared" si="4"/>
        <v>0</v>
      </c>
      <c r="AB14" s="264"/>
      <c r="AC14" s="233"/>
      <c r="AD14" s="233"/>
      <c r="AE14" s="233"/>
      <c r="AF14" s="233"/>
      <c r="AG14" s="233"/>
      <c r="AH14" s="233"/>
      <c r="AI14" s="233"/>
      <c r="AJ14" s="233"/>
      <c r="AK14" s="233"/>
      <c r="AL14" s="233"/>
      <c r="AM14" s="233"/>
      <c r="AN14" s="233"/>
      <c r="AO14" s="234">
        <f t="shared" si="5"/>
        <v>0</v>
      </c>
      <c r="AP14" s="235"/>
      <c r="AQ14" s="233"/>
      <c r="AR14" s="233"/>
      <c r="AS14" s="233"/>
      <c r="AT14" s="233"/>
      <c r="AU14" s="233"/>
      <c r="AV14" s="233"/>
      <c r="AW14" s="233"/>
      <c r="AX14" s="233"/>
      <c r="AY14" s="233"/>
      <c r="AZ14" s="233"/>
      <c r="BA14" s="233"/>
      <c r="BB14" s="233"/>
      <c r="BC14" s="234">
        <f t="shared" si="6"/>
        <v>0</v>
      </c>
      <c r="BD14" s="236">
        <f t="shared" si="7"/>
        <v>0</v>
      </c>
      <c r="BE14" s="226"/>
      <c r="BF14" s="237"/>
      <c r="BG14" s="237"/>
      <c r="BH14" s="237"/>
      <c r="BI14" s="238">
        <f t="shared" si="8"/>
        <v>0</v>
      </c>
      <c r="BJ14" s="237"/>
      <c r="BK14" s="239" t="str">
        <f t="shared" si="2"/>
        <v/>
      </c>
      <c r="BL14" s="239" t="str">
        <f t="shared" si="9"/>
        <v/>
      </c>
      <c r="BM14" s="239" t="str">
        <f t="shared" si="10"/>
        <v/>
      </c>
      <c r="BN14" s="240"/>
    </row>
    <row r="15" spans="1:66" s="142" customFormat="1" ht="27.95" customHeight="1" x14ac:dyDescent="0.25">
      <c r="A15" s="222" t="str">
        <f>IF(D15="","",Cover!$D$8)</f>
        <v/>
      </c>
      <c r="B15" s="222" t="str">
        <f>IF(D15="","",Cover!$D$7)</f>
        <v/>
      </c>
      <c r="C15" s="223" t="str">
        <f>IF(F15="","",IFERROR(VLOOKUP(F15,'Master Data'!$E$59:$J$146,6,FALSE),0))</f>
        <v/>
      </c>
      <c r="D15" s="224" t="str">
        <f>IF(F15="","",IFERROR(VLOOKUP(F15,'Master Data'!$E$59:$L$146,8,FALSE),0))</f>
        <v/>
      </c>
      <c r="E15" s="223" t="str">
        <f>IF(D15="","",IFERROR(VLOOKUP(D15,'Master Data'!$D$59:$I$146,6,FALSE),0))</f>
        <v/>
      </c>
      <c r="F15" s="225"/>
      <c r="G15" s="226"/>
      <c r="H15" s="227">
        <f>IFERROR(VLOOKUP(G15,'Master Data'!$C$336:$I$353,7,FALSE),0)</f>
        <v>0</v>
      </c>
      <c r="I15" s="228">
        <f>IFERROR(VLOOKUP(H15,'Master Data'!$B$336:$D$351,3,FALSE),0)</f>
        <v>0</v>
      </c>
      <c r="J15" s="229">
        <f>IFERROR(VLOOKUP(H15,'Master Data'!$B$336:$H$353,7,FALSE),0)</f>
        <v>0</v>
      </c>
      <c r="K15" s="230"/>
      <c r="L15" s="231" t="str">
        <f>IFERROR(IF(I15="FIXED ASSET",J15&amp;E15&amp;K15,VLOOKUP(F15,'Master Data'!$E$59:$H$144,4,FALSE)&amp;"-"&amp;J15&amp;"-"&amp;K15),"-")</f>
        <v>-</v>
      </c>
      <c r="M15" s="225"/>
      <c r="N15" s="232"/>
      <c r="O15" s="233"/>
      <c r="P15" s="233"/>
      <c r="Q15" s="233"/>
      <c r="R15" s="233"/>
      <c r="S15" s="233"/>
      <c r="T15" s="233"/>
      <c r="U15" s="233"/>
      <c r="V15" s="233"/>
      <c r="W15" s="233"/>
      <c r="X15" s="233"/>
      <c r="Y15" s="233"/>
      <c r="Z15" s="233"/>
      <c r="AA15" s="234">
        <f t="shared" si="4"/>
        <v>0</v>
      </c>
      <c r="AB15" s="264"/>
      <c r="AC15" s="233"/>
      <c r="AD15" s="233"/>
      <c r="AE15" s="233"/>
      <c r="AF15" s="233"/>
      <c r="AG15" s="233"/>
      <c r="AH15" s="233"/>
      <c r="AI15" s="233"/>
      <c r="AJ15" s="233"/>
      <c r="AK15" s="233"/>
      <c r="AL15" s="233"/>
      <c r="AM15" s="233"/>
      <c r="AN15" s="233"/>
      <c r="AO15" s="234">
        <f t="shared" si="5"/>
        <v>0</v>
      </c>
      <c r="AP15" s="235"/>
      <c r="AQ15" s="233"/>
      <c r="AR15" s="233"/>
      <c r="AS15" s="233"/>
      <c r="AT15" s="233"/>
      <c r="AU15" s="233"/>
      <c r="AV15" s="233"/>
      <c r="AW15" s="233"/>
      <c r="AX15" s="233"/>
      <c r="AY15" s="233"/>
      <c r="AZ15" s="233"/>
      <c r="BA15" s="233"/>
      <c r="BB15" s="233"/>
      <c r="BC15" s="234">
        <f t="shared" si="6"/>
        <v>0</v>
      </c>
      <c r="BD15" s="236">
        <f t="shared" si="7"/>
        <v>0</v>
      </c>
      <c r="BE15" s="226"/>
      <c r="BF15" s="237"/>
      <c r="BG15" s="237"/>
      <c r="BH15" s="237"/>
      <c r="BI15" s="238">
        <f t="shared" si="8"/>
        <v>0</v>
      </c>
      <c r="BJ15" s="237"/>
      <c r="BK15" s="239" t="str">
        <f t="shared" si="2"/>
        <v/>
      </c>
      <c r="BL15" s="239" t="str">
        <f t="shared" si="9"/>
        <v/>
      </c>
      <c r="BM15" s="239" t="str">
        <f t="shared" si="10"/>
        <v/>
      </c>
      <c r="BN15" s="240"/>
    </row>
    <row r="16" spans="1:66" s="142" customFormat="1" ht="27.95" customHeight="1" x14ac:dyDescent="0.25">
      <c r="A16" s="222" t="str">
        <f>IF(D16="","",Cover!$D$8)</f>
        <v/>
      </c>
      <c r="B16" s="222" t="str">
        <f>IF(D16="","",Cover!$D$7)</f>
        <v/>
      </c>
      <c r="C16" s="223" t="str">
        <f>IF(F16="","",IFERROR(VLOOKUP(F16,'Master Data'!$E$59:$J$146,6,FALSE),0))</f>
        <v/>
      </c>
      <c r="D16" s="224" t="str">
        <f>IF(F16="","",IFERROR(VLOOKUP(F16,'Master Data'!$E$59:$L$146,8,FALSE),0))</f>
        <v/>
      </c>
      <c r="E16" s="223" t="str">
        <f>IF(D16="","",IFERROR(VLOOKUP(D16,'Master Data'!$D$59:$I$146,6,FALSE),0))</f>
        <v/>
      </c>
      <c r="F16" s="225"/>
      <c r="G16" s="226"/>
      <c r="H16" s="227">
        <f>IFERROR(VLOOKUP(G16,'Master Data'!$C$336:$I$353,7,FALSE),0)</f>
        <v>0</v>
      </c>
      <c r="I16" s="228">
        <f>IFERROR(VLOOKUP(H16,'Master Data'!$B$336:$D$351,3,FALSE),0)</f>
        <v>0</v>
      </c>
      <c r="J16" s="229">
        <f>IFERROR(VLOOKUP(H16,'Master Data'!$B$336:$H$353,7,FALSE),0)</f>
        <v>0</v>
      </c>
      <c r="K16" s="230"/>
      <c r="L16" s="231" t="str">
        <f>IFERROR(IF(I16="FIXED ASSET",J16&amp;E16&amp;K16,VLOOKUP(F16,'Master Data'!$E$59:$H$144,4,FALSE)&amp;"-"&amp;J16&amp;"-"&amp;K16),"-")</f>
        <v>-</v>
      </c>
      <c r="M16" s="225"/>
      <c r="N16" s="232"/>
      <c r="O16" s="233"/>
      <c r="P16" s="233"/>
      <c r="Q16" s="233"/>
      <c r="R16" s="233"/>
      <c r="S16" s="233"/>
      <c r="T16" s="233"/>
      <c r="U16" s="233"/>
      <c r="V16" s="233"/>
      <c r="W16" s="233"/>
      <c r="X16" s="233"/>
      <c r="Y16" s="233"/>
      <c r="Z16" s="233"/>
      <c r="AA16" s="234">
        <f t="shared" si="4"/>
        <v>0</v>
      </c>
      <c r="AB16" s="264"/>
      <c r="AC16" s="233"/>
      <c r="AD16" s="233"/>
      <c r="AE16" s="233"/>
      <c r="AF16" s="233"/>
      <c r="AG16" s="233"/>
      <c r="AH16" s="233"/>
      <c r="AI16" s="233"/>
      <c r="AJ16" s="233"/>
      <c r="AK16" s="233"/>
      <c r="AL16" s="233"/>
      <c r="AM16" s="233"/>
      <c r="AN16" s="233"/>
      <c r="AO16" s="234">
        <f t="shared" si="5"/>
        <v>0</v>
      </c>
      <c r="AP16" s="235"/>
      <c r="AQ16" s="233"/>
      <c r="AR16" s="233"/>
      <c r="AS16" s="233"/>
      <c r="AT16" s="233"/>
      <c r="AU16" s="233"/>
      <c r="AV16" s="233"/>
      <c r="AW16" s="233"/>
      <c r="AX16" s="233"/>
      <c r="AY16" s="233"/>
      <c r="AZ16" s="233"/>
      <c r="BA16" s="233"/>
      <c r="BB16" s="233"/>
      <c r="BC16" s="234">
        <f t="shared" si="6"/>
        <v>0</v>
      </c>
      <c r="BD16" s="236">
        <f t="shared" si="7"/>
        <v>0</v>
      </c>
      <c r="BE16" s="226"/>
      <c r="BF16" s="237"/>
      <c r="BG16" s="237"/>
      <c r="BH16" s="237"/>
      <c r="BI16" s="238">
        <f t="shared" si="8"/>
        <v>0</v>
      </c>
      <c r="BJ16" s="237"/>
      <c r="BK16" s="239" t="str">
        <f t="shared" si="2"/>
        <v/>
      </c>
      <c r="BL16" s="239" t="str">
        <f t="shared" si="9"/>
        <v/>
      </c>
      <c r="BM16" s="239" t="str">
        <f t="shared" si="10"/>
        <v/>
      </c>
      <c r="BN16" s="240"/>
    </row>
    <row r="17" spans="1:66" s="142" customFormat="1" ht="27.95" customHeight="1" x14ac:dyDescent="0.25">
      <c r="A17" s="222" t="str">
        <f>IF(D17="","",Cover!$D$8)</f>
        <v/>
      </c>
      <c r="B17" s="222" t="str">
        <f>IF(D17="","",Cover!$D$7)</f>
        <v/>
      </c>
      <c r="C17" s="223" t="str">
        <f>IF(F17="","",IFERROR(VLOOKUP(F17,'Master Data'!$E$59:$J$146,6,FALSE),0))</f>
        <v/>
      </c>
      <c r="D17" s="224" t="str">
        <f>IF(F17="","",IFERROR(VLOOKUP(F17,'Master Data'!$E$59:$L$146,8,FALSE),0))</f>
        <v/>
      </c>
      <c r="E17" s="223" t="str">
        <f>IF(D17="","",IFERROR(VLOOKUP(D17,'Master Data'!$D$59:$I$146,6,FALSE),0))</f>
        <v/>
      </c>
      <c r="F17" s="225"/>
      <c r="G17" s="226"/>
      <c r="H17" s="227">
        <f>IFERROR(VLOOKUP(G17,'Master Data'!$C$336:$I$353,7,FALSE),0)</f>
        <v>0</v>
      </c>
      <c r="I17" s="228">
        <f>IFERROR(VLOOKUP(H17,'Master Data'!$B$336:$D$351,3,FALSE),0)</f>
        <v>0</v>
      </c>
      <c r="J17" s="229">
        <f>IFERROR(VLOOKUP(H17,'Master Data'!$B$336:$H$353,7,FALSE),0)</f>
        <v>0</v>
      </c>
      <c r="K17" s="230"/>
      <c r="L17" s="231" t="str">
        <f>IFERROR(IF(I17="FIXED ASSET",J17&amp;E17&amp;K17,VLOOKUP(F17,'Master Data'!$E$59:$H$144,4,FALSE)&amp;"-"&amp;J17&amp;"-"&amp;K17),"-")</f>
        <v>-</v>
      </c>
      <c r="M17" s="225"/>
      <c r="N17" s="232"/>
      <c r="O17" s="233"/>
      <c r="P17" s="233"/>
      <c r="Q17" s="233"/>
      <c r="R17" s="233"/>
      <c r="S17" s="233"/>
      <c r="T17" s="233"/>
      <c r="U17" s="233"/>
      <c r="V17" s="233"/>
      <c r="W17" s="233"/>
      <c r="X17" s="233"/>
      <c r="Y17" s="233"/>
      <c r="Z17" s="233"/>
      <c r="AA17" s="234">
        <f t="shared" si="4"/>
        <v>0</v>
      </c>
      <c r="AB17" s="264"/>
      <c r="AC17" s="233"/>
      <c r="AD17" s="233"/>
      <c r="AE17" s="233"/>
      <c r="AF17" s="233"/>
      <c r="AG17" s="233"/>
      <c r="AH17" s="233"/>
      <c r="AI17" s="233"/>
      <c r="AJ17" s="233"/>
      <c r="AK17" s="233"/>
      <c r="AL17" s="233"/>
      <c r="AM17" s="233"/>
      <c r="AN17" s="233"/>
      <c r="AO17" s="234">
        <f t="shared" si="5"/>
        <v>0</v>
      </c>
      <c r="AP17" s="235"/>
      <c r="AQ17" s="233"/>
      <c r="AR17" s="233"/>
      <c r="AS17" s="233"/>
      <c r="AT17" s="233"/>
      <c r="AU17" s="233"/>
      <c r="AV17" s="233"/>
      <c r="AW17" s="233"/>
      <c r="AX17" s="233"/>
      <c r="AY17" s="233"/>
      <c r="AZ17" s="233"/>
      <c r="BA17" s="233"/>
      <c r="BB17" s="233"/>
      <c r="BC17" s="234">
        <f t="shared" si="6"/>
        <v>0</v>
      </c>
      <c r="BD17" s="236">
        <f t="shared" si="7"/>
        <v>0</v>
      </c>
      <c r="BE17" s="226"/>
      <c r="BF17" s="237"/>
      <c r="BG17" s="237"/>
      <c r="BH17" s="237"/>
      <c r="BI17" s="238">
        <f t="shared" si="8"/>
        <v>0</v>
      </c>
      <c r="BJ17" s="237"/>
      <c r="BK17" s="239" t="str">
        <f t="shared" si="2"/>
        <v/>
      </c>
      <c r="BL17" s="239" t="str">
        <f t="shared" si="9"/>
        <v/>
      </c>
      <c r="BM17" s="239" t="str">
        <f t="shared" si="10"/>
        <v/>
      </c>
      <c r="BN17" s="240"/>
    </row>
    <row r="18" spans="1:66" s="142" customFormat="1" ht="27.95" customHeight="1" x14ac:dyDescent="0.25">
      <c r="A18" s="222" t="str">
        <f>IF(D18="","",Cover!$D$8)</f>
        <v/>
      </c>
      <c r="B18" s="222" t="str">
        <f>IF(D18="","",Cover!$D$7)</f>
        <v/>
      </c>
      <c r="C18" s="223" t="str">
        <f>IF(F18="","",IFERROR(VLOOKUP(F18,'Master Data'!$E$59:$J$146,6,FALSE),0))</f>
        <v/>
      </c>
      <c r="D18" s="224" t="str">
        <f>IF(F18="","",IFERROR(VLOOKUP(F18,'Master Data'!$E$59:$L$146,8,FALSE),0))</f>
        <v/>
      </c>
      <c r="E18" s="223" t="str">
        <f>IF(D18="","",IFERROR(VLOOKUP(D18,'Master Data'!$D$59:$I$146,6,FALSE),0))</f>
        <v/>
      </c>
      <c r="F18" s="225"/>
      <c r="G18" s="226"/>
      <c r="H18" s="227">
        <f>IFERROR(VLOOKUP(G18,'Master Data'!$C$336:$I$353,7,FALSE),0)</f>
        <v>0</v>
      </c>
      <c r="I18" s="228">
        <f>IFERROR(VLOOKUP(H18,'Master Data'!$B$336:$D$351,3,FALSE),0)</f>
        <v>0</v>
      </c>
      <c r="J18" s="229">
        <f>IFERROR(VLOOKUP(H18,'Master Data'!$B$336:$H$353,7,FALSE),0)</f>
        <v>0</v>
      </c>
      <c r="K18" s="230"/>
      <c r="L18" s="231" t="str">
        <f>IFERROR(IF(I18="FIXED ASSET",J18&amp;E18&amp;K18,VLOOKUP(F18,'Master Data'!$E$59:$H$144,4,FALSE)&amp;"-"&amp;J18&amp;"-"&amp;K18),"-")</f>
        <v>-</v>
      </c>
      <c r="M18" s="225"/>
      <c r="N18" s="232"/>
      <c r="O18" s="233"/>
      <c r="P18" s="233"/>
      <c r="Q18" s="233"/>
      <c r="R18" s="233"/>
      <c r="S18" s="233"/>
      <c r="T18" s="233"/>
      <c r="U18" s="233"/>
      <c r="V18" s="233"/>
      <c r="W18" s="233"/>
      <c r="X18" s="233"/>
      <c r="Y18" s="233"/>
      <c r="Z18" s="233"/>
      <c r="AA18" s="234">
        <f t="shared" si="4"/>
        <v>0</v>
      </c>
      <c r="AB18" s="264"/>
      <c r="AC18" s="233"/>
      <c r="AD18" s="233"/>
      <c r="AE18" s="233"/>
      <c r="AF18" s="233"/>
      <c r="AG18" s="233"/>
      <c r="AH18" s="233"/>
      <c r="AI18" s="233"/>
      <c r="AJ18" s="233"/>
      <c r="AK18" s="233"/>
      <c r="AL18" s="233"/>
      <c r="AM18" s="233"/>
      <c r="AN18" s="233"/>
      <c r="AO18" s="234">
        <f t="shared" si="5"/>
        <v>0</v>
      </c>
      <c r="AP18" s="235"/>
      <c r="AQ18" s="233"/>
      <c r="AR18" s="233"/>
      <c r="AS18" s="233"/>
      <c r="AT18" s="233"/>
      <c r="AU18" s="233"/>
      <c r="AV18" s="233"/>
      <c r="AW18" s="233"/>
      <c r="AX18" s="233"/>
      <c r="AY18" s="233"/>
      <c r="AZ18" s="233"/>
      <c r="BA18" s="233"/>
      <c r="BB18" s="233"/>
      <c r="BC18" s="234">
        <f t="shared" si="6"/>
        <v>0</v>
      </c>
      <c r="BD18" s="236">
        <f t="shared" si="7"/>
        <v>0</v>
      </c>
      <c r="BE18" s="226"/>
      <c r="BF18" s="237"/>
      <c r="BG18" s="237"/>
      <c r="BH18" s="237"/>
      <c r="BI18" s="238">
        <f t="shared" si="8"/>
        <v>0</v>
      </c>
      <c r="BJ18" s="237"/>
      <c r="BK18" s="239" t="str">
        <f t="shared" si="2"/>
        <v/>
      </c>
      <c r="BL18" s="239" t="str">
        <f t="shared" si="9"/>
        <v/>
      </c>
      <c r="BM18" s="239" t="str">
        <f t="shared" si="10"/>
        <v/>
      </c>
      <c r="BN18" s="240"/>
    </row>
    <row r="19" spans="1:66" s="142" customFormat="1" ht="27.95" customHeight="1" x14ac:dyDescent="0.25">
      <c r="A19" s="222" t="str">
        <f>IF(D19="","",Cover!$D$8)</f>
        <v/>
      </c>
      <c r="B19" s="222" t="str">
        <f>IF(D19="","",Cover!$D$7)</f>
        <v/>
      </c>
      <c r="C19" s="223" t="str">
        <f>IF(F19="","",IFERROR(VLOOKUP(F19,'Master Data'!$E$59:$J$146,6,FALSE),0))</f>
        <v/>
      </c>
      <c r="D19" s="224" t="str">
        <f>IF(F19="","",IFERROR(VLOOKUP(F19,'Master Data'!$E$59:$L$146,8,FALSE),0))</f>
        <v/>
      </c>
      <c r="E19" s="223" t="str">
        <f>IF(D19="","",IFERROR(VLOOKUP(D19,'Master Data'!$D$59:$I$146,6,FALSE),0))</f>
        <v/>
      </c>
      <c r="F19" s="225"/>
      <c r="G19" s="226"/>
      <c r="H19" s="227">
        <f>IFERROR(VLOOKUP(G19,'Master Data'!$C$336:$I$353,7,FALSE),0)</f>
        <v>0</v>
      </c>
      <c r="I19" s="228">
        <f>IFERROR(VLOOKUP(H19,'Master Data'!$B$336:$D$351,3,FALSE),0)</f>
        <v>0</v>
      </c>
      <c r="J19" s="229">
        <f>IFERROR(VLOOKUP(H19,'Master Data'!$B$336:$H$353,7,FALSE),0)</f>
        <v>0</v>
      </c>
      <c r="K19" s="230"/>
      <c r="L19" s="231" t="str">
        <f>IFERROR(IF(I19="FIXED ASSET",J19&amp;E19&amp;K19,VLOOKUP(F19,'Master Data'!$E$59:$H$144,4,FALSE)&amp;"-"&amp;J19&amp;"-"&amp;K19),"-")</f>
        <v>-</v>
      </c>
      <c r="M19" s="225"/>
      <c r="N19" s="232"/>
      <c r="O19" s="233"/>
      <c r="P19" s="233"/>
      <c r="Q19" s="233"/>
      <c r="R19" s="233"/>
      <c r="S19" s="233"/>
      <c r="T19" s="233"/>
      <c r="U19" s="233"/>
      <c r="V19" s="233"/>
      <c r="W19" s="233"/>
      <c r="X19" s="233"/>
      <c r="Y19" s="233"/>
      <c r="Z19" s="233"/>
      <c r="AA19" s="234">
        <f t="shared" si="4"/>
        <v>0</v>
      </c>
      <c r="AB19" s="264"/>
      <c r="AC19" s="233"/>
      <c r="AD19" s="233"/>
      <c r="AE19" s="233"/>
      <c r="AF19" s="233"/>
      <c r="AG19" s="233"/>
      <c r="AH19" s="233"/>
      <c r="AI19" s="233"/>
      <c r="AJ19" s="233"/>
      <c r="AK19" s="233"/>
      <c r="AL19" s="233"/>
      <c r="AM19" s="233"/>
      <c r="AN19" s="233"/>
      <c r="AO19" s="234">
        <f t="shared" si="5"/>
        <v>0</v>
      </c>
      <c r="AP19" s="235"/>
      <c r="AQ19" s="233"/>
      <c r="AR19" s="233"/>
      <c r="AS19" s="233"/>
      <c r="AT19" s="233"/>
      <c r="AU19" s="233"/>
      <c r="AV19" s="233"/>
      <c r="AW19" s="233"/>
      <c r="AX19" s="233"/>
      <c r="AY19" s="233"/>
      <c r="AZ19" s="233"/>
      <c r="BA19" s="233"/>
      <c r="BB19" s="233"/>
      <c r="BC19" s="234">
        <f t="shared" si="6"/>
        <v>0</v>
      </c>
      <c r="BD19" s="236">
        <f t="shared" si="7"/>
        <v>0</v>
      </c>
      <c r="BE19" s="226"/>
      <c r="BF19" s="237"/>
      <c r="BG19" s="237"/>
      <c r="BH19" s="237"/>
      <c r="BI19" s="238">
        <f t="shared" si="8"/>
        <v>0</v>
      </c>
      <c r="BJ19" s="237"/>
      <c r="BK19" s="239" t="str">
        <f t="shared" si="2"/>
        <v/>
      </c>
      <c r="BL19" s="239" t="str">
        <f t="shared" si="9"/>
        <v/>
      </c>
      <c r="BM19" s="239" t="str">
        <f t="shared" si="10"/>
        <v/>
      </c>
      <c r="BN19" s="240"/>
    </row>
    <row r="20" spans="1:66" s="142" customFormat="1" ht="27.95" customHeight="1" x14ac:dyDescent="0.25">
      <c r="A20" s="222" t="str">
        <f>IF(D20="","",Cover!$D$8)</f>
        <v/>
      </c>
      <c r="B20" s="222" t="str">
        <f>IF(D20="","",Cover!$D$7)</f>
        <v/>
      </c>
      <c r="C20" s="223" t="str">
        <f>IF(F20="","",IFERROR(VLOOKUP(F20,'Master Data'!$E$59:$J$146,6,FALSE),0))</f>
        <v/>
      </c>
      <c r="D20" s="224" t="str">
        <f>IF(F20="","",IFERROR(VLOOKUP(F20,'Master Data'!$E$59:$L$146,8,FALSE),0))</f>
        <v/>
      </c>
      <c r="E20" s="223" t="str">
        <f>IF(D20="","",IFERROR(VLOOKUP(D20,'Master Data'!$D$59:$I$146,6,FALSE),0))</f>
        <v/>
      </c>
      <c r="F20" s="225"/>
      <c r="G20" s="226"/>
      <c r="H20" s="227">
        <f>IFERROR(VLOOKUP(G20,'Master Data'!$C$336:$I$353,7,FALSE),0)</f>
        <v>0</v>
      </c>
      <c r="I20" s="228">
        <f>IFERROR(VLOOKUP(H20,'Master Data'!$B$336:$D$351,3,FALSE),0)</f>
        <v>0</v>
      </c>
      <c r="J20" s="229">
        <f>IFERROR(VLOOKUP(H20,'Master Data'!$B$336:$H$353,7,FALSE),0)</f>
        <v>0</v>
      </c>
      <c r="K20" s="230"/>
      <c r="L20" s="231" t="str">
        <f>IFERROR(IF(I20="FIXED ASSET",J20&amp;E20&amp;K20,VLOOKUP(F20,'Master Data'!$E$59:$H$144,4,FALSE)&amp;"-"&amp;J20&amp;"-"&amp;K20),"-")</f>
        <v>-</v>
      </c>
      <c r="M20" s="225"/>
      <c r="N20" s="232"/>
      <c r="O20" s="233"/>
      <c r="P20" s="233"/>
      <c r="Q20" s="233"/>
      <c r="R20" s="233"/>
      <c r="S20" s="233"/>
      <c r="T20" s="233"/>
      <c r="U20" s="233"/>
      <c r="V20" s="233"/>
      <c r="W20" s="233"/>
      <c r="X20" s="233"/>
      <c r="Y20" s="233"/>
      <c r="Z20" s="233"/>
      <c r="AA20" s="234">
        <f t="shared" si="4"/>
        <v>0</v>
      </c>
      <c r="AB20" s="264"/>
      <c r="AC20" s="233"/>
      <c r="AD20" s="233"/>
      <c r="AE20" s="233"/>
      <c r="AF20" s="233"/>
      <c r="AG20" s="233"/>
      <c r="AH20" s="233"/>
      <c r="AI20" s="233"/>
      <c r="AJ20" s="233"/>
      <c r="AK20" s="233"/>
      <c r="AL20" s="233"/>
      <c r="AM20" s="233"/>
      <c r="AN20" s="233"/>
      <c r="AO20" s="234">
        <f t="shared" si="5"/>
        <v>0</v>
      </c>
      <c r="AP20" s="235"/>
      <c r="AQ20" s="233"/>
      <c r="AR20" s="233"/>
      <c r="AS20" s="233"/>
      <c r="AT20" s="233"/>
      <c r="AU20" s="233"/>
      <c r="AV20" s="233"/>
      <c r="AW20" s="233"/>
      <c r="AX20" s="233"/>
      <c r="AY20" s="233"/>
      <c r="AZ20" s="233"/>
      <c r="BA20" s="233"/>
      <c r="BB20" s="233"/>
      <c r="BC20" s="234">
        <f t="shared" si="6"/>
        <v>0</v>
      </c>
      <c r="BD20" s="236">
        <f t="shared" si="7"/>
        <v>0</v>
      </c>
      <c r="BE20" s="226"/>
      <c r="BF20" s="237"/>
      <c r="BG20" s="237"/>
      <c r="BH20" s="237"/>
      <c r="BI20" s="238">
        <f t="shared" si="8"/>
        <v>0</v>
      </c>
      <c r="BJ20" s="237"/>
      <c r="BK20" s="239" t="str">
        <f t="shared" si="2"/>
        <v/>
      </c>
      <c r="BL20" s="239" t="str">
        <f t="shared" si="9"/>
        <v/>
      </c>
      <c r="BM20" s="239" t="str">
        <f t="shared" si="10"/>
        <v/>
      </c>
      <c r="BN20" s="240"/>
    </row>
    <row r="21" spans="1:66" s="142" customFormat="1" ht="27.95" customHeight="1" x14ac:dyDescent="0.25">
      <c r="A21" s="222" t="str">
        <f>IF(D21="","",Cover!$D$8)</f>
        <v/>
      </c>
      <c r="B21" s="222" t="str">
        <f>IF(D21="","",Cover!$D$7)</f>
        <v/>
      </c>
      <c r="C21" s="223" t="str">
        <f>IF(F21="","",IFERROR(VLOOKUP(F21,'Master Data'!$E$59:$J$146,6,FALSE),0))</f>
        <v/>
      </c>
      <c r="D21" s="224" t="str">
        <f>IF(F21="","",IFERROR(VLOOKUP(F21,'Master Data'!$E$59:$L$146,8,FALSE),0))</f>
        <v/>
      </c>
      <c r="E21" s="223" t="str">
        <f>IF(D21="","",IFERROR(VLOOKUP(D21,'Master Data'!$D$59:$I$146,6,FALSE),0))</f>
        <v/>
      </c>
      <c r="F21" s="225"/>
      <c r="G21" s="226"/>
      <c r="H21" s="227">
        <f>IFERROR(VLOOKUP(G21,'Master Data'!$C$336:$I$353,7,FALSE),0)</f>
        <v>0</v>
      </c>
      <c r="I21" s="228">
        <f>IFERROR(VLOOKUP(H21,'Master Data'!$B$336:$D$351,3,FALSE),0)</f>
        <v>0</v>
      </c>
      <c r="J21" s="229">
        <f>IFERROR(VLOOKUP(H21,'Master Data'!$B$336:$H$353,7,FALSE),0)</f>
        <v>0</v>
      </c>
      <c r="K21" s="230"/>
      <c r="L21" s="231" t="str">
        <f>IFERROR(IF(I21="FIXED ASSET",J21&amp;E21&amp;K21,VLOOKUP(F21,'Master Data'!$E$59:$H$144,4,FALSE)&amp;"-"&amp;J21&amp;"-"&amp;K21),"-")</f>
        <v>-</v>
      </c>
      <c r="M21" s="225"/>
      <c r="N21" s="232"/>
      <c r="O21" s="233"/>
      <c r="P21" s="233"/>
      <c r="Q21" s="233"/>
      <c r="R21" s="233"/>
      <c r="S21" s="233"/>
      <c r="T21" s="233"/>
      <c r="U21" s="233"/>
      <c r="V21" s="233"/>
      <c r="W21" s="233"/>
      <c r="X21" s="233"/>
      <c r="Y21" s="233"/>
      <c r="Z21" s="233"/>
      <c r="AA21" s="234">
        <f t="shared" si="4"/>
        <v>0</v>
      </c>
      <c r="AB21" s="264"/>
      <c r="AC21" s="233"/>
      <c r="AD21" s="233"/>
      <c r="AE21" s="233"/>
      <c r="AF21" s="233"/>
      <c r="AG21" s="233"/>
      <c r="AH21" s="233"/>
      <c r="AI21" s="233"/>
      <c r="AJ21" s="233"/>
      <c r="AK21" s="233"/>
      <c r="AL21" s="233"/>
      <c r="AM21" s="233"/>
      <c r="AN21" s="233"/>
      <c r="AO21" s="234">
        <f t="shared" si="5"/>
        <v>0</v>
      </c>
      <c r="AP21" s="235"/>
      <c r="AQ21" s="233"/>
      <c r="AR21" s="233"/>
      <c r="AS21" s="233"/>
      <c r="AT21" s="233"/>
      <c r="AU21" s="233"/>
      <c r="AV21" s="233"/>
      <c r="AW21" s="233"/>
      <c r="AX21" s="233"/>
      <c r="AY21" s="233"/>
      <c r="AZ21" s="233"/>
      <c r="BA21" s="233"/>
      <c r="BB21" s="233"/>
      <c r="BC21" s="234">
        <f t="shared" si="6"/>
        <v>0</v>
      </c>
      <c r="BD21" s="236">
        <f t="shared" si="7"/>
        <v>0</v>
      </c>
      <c r="BE21" s="226"/>
      <c r="BF21" s="237"/>
      <c r="BG21" s="237"/>
      <c r="BH21" s="237"/>
      <c r="BI21" s="238">
        <f t="shared" si="8"/>
        <v>0</v>
      </c>
      <c r="BJ21" s="237"/>
      <c r="BK21" s="239" t="str">
        <f t="shared" si="2"/>
        <v/>
      </c>
      <c r="BL21" s="239" t="str">
        <f t="shared" si="9"/>
        <v/>
      </c>
      <c r="BM21" s="239" t="str">
        <f t="shared" si="10"/>
        <v/>
      </c>
      <c r="BN21" s="240"/>
    </row>
    <row r="22" spans="1:66" s="142" customFormat="1" ht="27.95" customHeight="1" x14ac:dyDescent="0.25">
      <c r="A22" s="222" t="str">
        <f>IF(D22="","",Cover!$D$8)</f>
        <v/>
      </c>
      <c r="B22" s="222" t="str">
        <f>IF(D22="","",Cover!$D$7)</f>
        <v/>
      </c>
      <c r="C22" s="223" t="str">
        <f>IF(F22="","",IFERROR(VLOOKUP(F22,'Master Data'!$E$59:$J$146,6,FALSE),0))</f>
        <v/>
      </c>
      <c r="D22" s="224" t="str">
        <f>IF(F22="","",IFERROR(VLOOKUP(F22,'Master Data'!$E$59:$L$146,8,FALSE),0))</f>
        <v/>
      </c>
      <c r="E22" s="223" t="str">
        <f>IF(D22="","",IFERROR(VLOOKUP(D22,'Master Data'!$D$59:$I$146,6,FALSE),0))</f>
        <v/>
      </c>
      <c r="F22" s="225"/>
      <c r="G22" s="226"/>
      <c r="H22" s="227">
        <f>IFERROR(VLOOKUP(G22,'Master Data'!$C$336:$I$353,7,FALSE),0)</f>
        <v>0</v>
      </c>
      <c r="I22" s="228">
        <f>IFERROR(VLOOKUP(H22,'Master Data'!$B$336:$D$351,3,FALSE),0)</f>
        <v>0</v>
      </c>
      <c r="J22" s="229">
        <f>IFERROR(VLOOKUP(H22,'Master Data'!$B$336:$H$353,7,FALSE),0)</f>
        <v>0</v>
      </c>
      <c r="K22" s="230"/>
      <c r="L22" s="231" t="str">
        <f>IFERROR(IF(I22="FIXED ASSET",J22&amp;E22&amp;K22,VLOOKUP(F22,'Master Data'!$E$59:$H$144,4,FALSE)&amp;"-"&amp;J22&amp;"-"&amp;K22),"-")</f>
        <v>-</v>
      </c>
      <c r="M22" s="225"/>
      <c r="N22" s="232"/>
      <c r="O22" s="233"/>
      <c r="P22" s="233"/>
      <c r="Q22" s="233"/>
      <c r="R22" s="233"/>
      <c r="S22" s="233"/>
      <c r="T22" s="233"/>
      <c r="U22" s="233"/>
      <c r="V22" s="233"/>
      <c r="W22" s="233"/>
      <c r="X22" s="233"/>
      <c r="Y22" s="233"/>
      <c r="Z22" s="233"/>
      <c r="AA22" s="234">
        <f t="shared" si="4"/>
        <v>0</v>
      </c>
      <c r="AB22" s="264"/>
      <c r="AC22" s="233"/>
      <c r="AD22" s="233"/>
      <c r="AE22" s="233"/>
      <c r="AF22" s="233"/>
      <c r="AG22" s="233"/>
      <c r="AH22" s="233"/>
      <c r="AI22" s="233"/>
      <c r="AJ22" s="233"/>
      <c r="AK22" s="233"/>
      <c r="AL22" s="233"/>
      <c r="AM22" s="233"/>
      <c r="AN22" s="233"/>
      <c r="AO22" s="234">
        <f t="shared" si="5"/>
        <v>0</v>
      </c>
      <c r="AP22" s="235"/>
      <c r="AQ22" s="233"/>
      <c r="AR22" s="233"/>
      <c r="AS22" s="233"/>
      <c r="AT22" s="233"/>
      <c r="AU22" s="233"/>
      <c r="AV22" s="233"/>
      <c r="AW22" s="233"/>
      <c r="AX22" s="233"/>
      <c r="AY22" s="233"/>
      <c r="AZ22" s="233"/>
      <c r="BA22" s="233"/>
      <c r="BB22" s="233"/>
      <c r="BC22" s="234">
        <f t="shared" si="6"/>
        <v>0</v>
      </c>
      <c r="BD22" s="236">
        <f t="shared" si="7"/>
        <v>0</v>
      </c>
      <c r="BE22" s="226"/>
      <c r="BF22" s="237"/>
      <c r="BG22" s="237"/>
      <c r="BH22" s="237"/>
      <c r="BI22" s="238">
        <f t="shared" si="8"/>
        <v>0</v>
      </c>
      <c r="BJ22" s="237"/>
      <c r="BK22" s="239" t="str">
        <f t="shared" si="2"/>
        <v/>
      </c>
      <c r="BL22" s="239" t="str">
        <f t="shared" si="9"/>
        <v/>
      </c>
      <c r="BM22" s="239" t="str">
        <f t="shared" si="10"/>
        <v/>
      </c>
      <c r="BN22" s="240"/>
    </row>
    <row r="23" spans="1:66" s="142" customFormat="1" ht="27.95" customHeight="1" x14ac:dyDescent="0.25">
      <c r="A23" s="222" t="str">
        <f>IF(D23="","",Cover!$D$8)</f>
        <v/>
      </c>
      <c r="B23" s="222" t="str">
        <f>IF(D23="","",Cover!$D$7)</f>
        <v/>
      </c>
      <c r="C23" s="223" t="str">
        <f>IF(F23="","",IFERROR(VLOOKUP(F23,'Master Data'!$E$59:$J$146,6,FALSE),0))</f>
        <v/>
      </c>
      <c r="D23" s="224" t="str">
        <f>IF(F23="","",IFERROR(VLOOKUP(F23,'Master Data'!$E$59:$L$146,8,FALSE),0))</f>
        <v/>
      </c>
      <c r="E23" s="223" t="str">
        <f>IF(D23="","",IFERROR(VLOOKUP(D23,'Master Data'!$D$59:$I$146,6,FALSE),0))</f>
        <v/>
      </c>
      <c r="F23" s="225"/>
      <c r="G23" s="226"/>
      <c r="H23" s="227">
        <f>IFERROR(VLOOKUP(G23,'Master Data'!$C$336:$I$353,7,FALSE),0)</f>
        <v>0</v>
      </c>
      <c r="I23" s="228">
        <f>IFERROR(VLOOKUP(H23,'Master Data'!$B$336:$D$351,3,FALSE),0)</f>
        <v>0</v>
      </c>
      <c r="J23" s="229">
        <f>IFERROR(VLOOKUP(H23,'Master Data'!$B$336:$H$353,7,FALSE),0)</f>
        <v>0</v>
      </c>
      <c r="K23" s="230"/>
      <c r="L23" s="231" t="str">
        <f>IFERROR(IF(I23="FIXED ASSET",J23&amp;E23&amp;K23,VLOOKUP(F23,'Master Data'!$E$59:$H$144,4,FALSE)&amp;"-"&amp;J23&amp;"-"&amp;K23),"-")</f>
        <v>-</v>
      </c>
      <c r="M23" s="225"/>
      <c r="N23" s="232"/>
      <c r="O23" s="233"/>
      <c r="P23" s="233"/>
      <c r="Q23" s="233"/>
      <c r="R23" s="233"/>
      <c r="S23" s="233"/>
      <c r="T23" s="233"/>
      <c r="U23" s="233"/>
      <c r="V23" s="233"/>
      <c r="W23" s="233"/>
      <c r="X23" s="233"/>
      <c r="Y23" s="233"/>
      <c r="Z23" s="233"/>
      <c r="AA23" s="234">
        <f t="shared" si="4"/>
        <v>0</v>
      </c>
      <c r="AB23" s="264"/>
      <c r="AC23" s="233"/>
      <c r="AD23" s="233"/>
      <c r="AE23" s="233"/>
      <c r="AF23" s="233"/>
      <c r="AG23" s="233"/>
      <c r="AH23" s="233"/>
      <c r="AI23" s="233"/>
      <c r="AJ23" s="233"/>
      <c r="AK23" s="233"/>
      <c r="AL23" s="233"/>
      <c r="AM23" s="233"/>
      <c r="AN23" s="233"/>
      <c r="AO23" s="234">
        <f t="shared" si="5"/>
        <v>0</v>
      </c>
      <c r="AP23" s="235"/>
      <c r="AQ23" s="233"/>
      <c r="AR23" s="233"/>
      <c r="AS23" s="233"/>
      <c r="AT23" s="233"/>
      <c r="AU23" s="233"/>
      <c r="AV23" s="233"/>
      <c r="AW23" s="233"/>
      <c r="AX23" s="233"/>
      <c r="AY23" s="233"/>
      <c r="AZ23" s="233"/>
      <c r="BA23" s="233"/>
      <c r="BB23" s="233"/>
      <c r="BC23" s="234">
        <f t="shared" si="6"/>
        <v>0</v>
      </c>
      <c r="BD23" s="236">
        <f t="shared" si="7"/>
        <v>0</v>
      </c>
      <c r="BE23" s="226"/>
      <c r="BF23" s="237"/>
      <c r="BG23" s="237"/>
      <c r="BH23" s="237"/>
      <c r="BI23" s="238">
        <f t="shared" si="8"/>
        <v>0</v>
      </c>
      <c r="BJ23" s="237"/>
      <c r="BK23" s="239" t="str">
        <f t="shared" si="2"/>
        <v/>
      </c>
      <c r="BL23" s="239" t="str">
        <f t="shared" si="9"/>
        <v/>
      </c>
      <c r="BM23" s="239" t="str">
        <f t="shared" si="10"/>
        <v/>
      </c>
      <c r="BN23" s="240"/>
    </row>
    <row r="24" spans="1:66" s="142" customFormat="1" ht="27.95" customHeight="1" x14ac:dyDescent="0.25">
      <c r="A24" s="222" t="str">
        <f>IF(D24="","",Cover!$D$8)</f>
        <v/>
      </c>
      <c r="B24" s="222" t="str">
        <f>IF(D24="","",Cover!$D$7)</f>
        <v/>
      </c>
      <c r="C24" s="223" t="str">
        <f>IF(F24="","",IFERROR(VLOOKUP(F24,'Master Data'!$E$59:$J$146,6,FALSE),0))</f>
        <v/>
      </c>
      <c r="D24" s="224" t="str">
        <f>IF(F24="","",IFERROR(VLOOKUP(F24,'Master Data'!$E$59:$L$146,8,FALSE),0))</f>
        <v/>
      </c>
      <c r="E24" s="223" t="str">
        <f>IF(D24="","",IFERROR(VLOOKUP(D24,'Master Data'!$D$59:$I$146,6,FALSE),0))</f>
        <v/>
      </c>
      <c r="F24" s="225"/>
      <c r="G24" s="226"/>
      <c r="H24" s="227">
        <f>IFERROR(VLOOKUP(G24,'Master Data'!$C$336:$I$353,7,FALSE),0)</f>
        <v>0</v>
      </c>
      <c r="I24" s="228">
        <f>IFERROR(VLOOKUP(H24,'Master Data'!$B$336:$D$351,3,FALSE),0)</f>
        <v>0</v>
      </c>
      <c r="J24" s="229">
        <f>IFERROR(VLOOKUP(H24,'Master Data'!$B$336:$H$353,7,FALSE),0)</f>
        <v>0</v>
      </c>
      <c r="K24" s="230"/>
      <c r="L24" s="231" t="str">
        <f>IFERROR(IF(I24="FIXED ASSET",J24&amp;E24&amp;K24,VLOOKUP(F24,'Master Data'!$E$59:$H$144,4,FALSE)&amp;"-"&amp;J24&amp;"-"&amp;K24),"-")</f>
        <v>-</v>
      </c>
      <c r="M24" s="225"/>
      <c r="N24" s="232"/>
      <c r="O24" s="233"/>
      <c r="P24" s="233"/>
      <c r="Q24" s="233"/>
      <c r="R24" s="233"/>
      <c r="S24" s="233"/>
      <c r="T24" s="233"/>
      <c r="U24" s="233"/>
      <c r="V24" s="233"/>
      <c r="W24" s="233"/>
      <c r="X24" s="233"/>
      <c r="Y24" s="233"/>
      <c r="Z24" s="233"/>
      <c r="AA24" s="234">
        <f t="shared" si="4"/>
        <v>0</v>
      </c>
      <c r="AB24" s="264"/>
      <c r="AC24" s="233"/>
      <c r="AD24" s="233"/>
      <c r="AE24" s="233"/>
      <c r="AF24" s="233"/>
      <c r="AG24" s="233"/>
      <c r="AH24" s="233"/>
      <c r="AI24" s="233"/>
      <c r="AJ24" s="233"/>
      <c r="AK24" s="233"/>
      <c r="AL24" s="233"/>
      <c r="AM24" s="233"/>
      <c r="AN24" s="233"/>
      <c r="AO24" s="234">
        <f t="shared" si="5"/>
        <v>0</v>
      </c>
      <c r="AP24" s="235"/>
      <c r="AQ24" s="233"/>
      <c r="AR24" s="233"/>
      <c r="AS24" s="233"/>
      <c r="AT24" s="233"/>
      <c r="AU24" s="233"/>
      <c r="AV24" s="233"/>
      <c r="AW24" s="233"/>
      <c r="AX24" s="233"/>
      <c r="AY24" s="233"/>
      <c r="AZ24" s="233"/>
      <c r="BA24" s="233"/>
      <c r="BB24" s="233"/>
      <c r="BC24" s="234">
        <f t="shared" si="6"/>
        <v>0</v>
      </c>
      <c r="BD24" s="236">
        <f t="shared" si="7"/>
        <v>0</v>
      </c>
      <c r="BE24" s="226"/>
      <c r="BF24" s="237"/>
      <c r="BG24" s="237"/>
      <c r="BH24" s="237"/>
      <c r="BI24" s="238">
        <f t="shared" si="8"/>
        <v>0</v>
      </c>
      <c r="BJ24" s="237"/>
      <c r="BK24" s="239" t="str">
        <f t="shared" si="2"/>
        <v/>
      </c>
      <c r="BL24" s="239" t="str">
        <f t="shared" si="9"/>
        <v/>
      </c>
      <c r="BM24" s="239" t="str">
        <f t="shared" si="10"/>
        <v/>
      </c>
      <c r="BN24" s="240"/>
    </row>
    <row r="25" spans="1:66" ht="27.95" customHeight="1" x14ac:dyDescent="0.25">
      <c r="A25" s="222" t="str">
        <f>IF(D25="","",Cover!$D$8)</f>
        <v/>
      </c>
      <c r="B25" s="222" t="str">
        <f>IF(D25="","",Cover!$D$7)</f>
        <v/>
      </c>
      <c r="C25" s="223" t="str">
        <f>IF(F25="","",IFERROR(VLOOKUP(F25,'Master Data'!$E$59:$J$146,6,FALSE),0))</f>
        <v/>
      </c>
      <c r="D25" s="224" t="str">
        <f>IF(F25="","",IFERROR(VLOOKUP(F25,'Master Data'!$E$59:$L$146,8,FALSE),0))</f>
        <v/>
      </c>
      <c r="E25" s="223" t="str">
        <f>IF(D25="","",IFERROR(VLOOKUP(D25,'Master Data'!$D$59:$I$146,6,FALSE),0))</f>
        <v/>
      </c>
      <c r="F25" s="225"/>
      <c r="G25" s="226"/>
      <c r="H25" s="227">
        <f>IFERROR(VLOOKUP(G25,'Master Data'!$C$336:$I$353,7,FALSE),0)</f>
        <v>0</v>
      </c>
      <c r="I25" s="228">
        <f>IFERROR(VLOOKUP(H25,'Master Data'!$B$336:$D$351,3,FALSE),0)</f>
        <v>0</v>
      </c>
      <c r="J25" s="229">
        <f>IFERROR(VLOOKUP(H25,'Master Data'!$B$336:$H$353,7,FALSE),0)</f>
        <v>0</v>
      </c>
      <c r="K25" s="230"/>
      <c r="L25" s="231" t="str">
        <f>IFERROR(IF(I25="FIXED ASSET",J25&amp;E25&amp;K25,VLOOKUP(F25,'Master Data'!$E$59:$H$144,4,FALSE)&amp;"-"&amp;J25&amp;"-"&amp;K25),"-")</f>
        <v>-</v>
      </c>
      <c r="M25" s="225"/>
      <c r="N25" s="232"/>
      <c r="O25" s="233"/>
      <c r="P25" s="233"/>
      <c r="Q25" s="233"/>
      <c r="R25" s="233"/>
      <c r="S25" s="233"/>
      <c r="T25" s="233"/>
      <c r="U25" s="233"/>
      <c r="V25" s="233"/>
      <c r="W25" s="233"/>
      <c r="X25" s="233"/>
      <c r="Y25" s="233"/>
      <c r="Z25" s="233"/>
      <c r="AA25" s="234">
        <f t="shared" si="4"/>
        <v>0</v>
      </c>
      <c r="AB25" s="264"/>
      <c r="AC25" s="233"/>
      <c r="AD25" s="233"/>
      <c r="AE25" s="233"/>
      <c r="AF25" s="233"/>
      <c r="AG25" s="233"/>
      <c r="AH25" s="233"/>
      <c r="AI25" s="233"/>
      <c r="AJ25" s="233"/>
      <c r="AK25" s="233"/>
      <c r="AL25" s="233"/>
      <c r="AM25" s="233"/>
      <c r="AN25" s="233"/>
      <c r="AO25" s="234">
        <f t="shared" si="5"/>
        <v>0</v>
      </c>
      <c r="AP25" s="235"/>
      <c r="AQ25" s="233"/>
      <c r="AR25" s="233"/>
      <c r="AS25" s="233"/>
      <c r="AT25" s="233"/>
      <c r="AU25" s="233"/>
      <c r="AV25" s="233"/>
      <c r="AW25" s="233"/>
      <c r="AX25" s="233"/>
      <c r="AY25" s="233"/>
      <c r="AZ25" s="233"/>
      <c r="BA25" s="233"/>
      <c r="BB25" s="233"/>
      <c r="BC25" s="234">
        <f t="shared" si="6"/>
        <v>0</v>
      </c>
      <c r="BD25" s="236">
        <f t="shared" si="7"/>
        <v>0</v>
      </c>
      <c r="BE25" s="226"/>
      <c r="BF25" s="237"/>
      <c r="BG25" s="237"/>
      <c r="BH25" s="237"/>
      <c r="BI25" s="238">
        <f t="shared" si="8"/>
        <v>0</v>
      </c>
      <c r="BJ25" s="237"/>
      <c r="BK25" s="239" t="str">
        <f t="shared" si="2"/>
        <v/>
      </c>
      <c r="BL25" s="239" t="str">
        <f t="shared" si="9"/>
        <v/>
      </c>
      <c r="BM25" s="239" t="str">
        <f t="shared" si="10"/>
        <v/>
      </c>
      <c r="BN25" s="240"/>
    </row>
    <row r="26" spans="1:66" ht="27.95" customHeight="1" x14ac:dyDescent="0.25">
      <c r="A26" s="222" t="str">
        <f>IF(D26="","",Cover!$D$8)</f>
        <v/>
      </c>
      <c r="B26" s="222" t="str">
        <f>IF(D26="","",Cover!$D$7)</f>
        <v/>
      </c>
      <c r="C26" s="223" t="str">
        <f>IF(F26="","",IFERROR(VLOOKUP(F26,'Master Data'!$E$59:$J$146,6,FALSE),0))</f>
        <v/>
      </c>
      <c r="D26" s="224" t="str">
        <f>IF(F26="","",IFERROR(VLOOKUP(F26,'Master Data'!$E$59:$L$146,8,FALSE),0))</f>
        <v/>
      </c>
      <c r="E26" s="223" t="str">
        <f>IF(D26="","",IFERROR(VLOOKUP(D26,'Master Data'!$D$59:$I$146,6,FALSE),0))</f>
        <v/>
      </c>
      <c r="F26" s="225"/>
      <c r="G26" s="226"/>
      <c r="H26" s="227">
        <f>IFERROR(VLOOKUP(G26,'Master Data'!$C$336:$I$353,7,FALSE),0)</f>
        <v>0</v>
      </c>
      <c r="I26" s="228">
        <f>IFERROR(VLOOKUP(H26,'Master Data'!$B$336:$D$351,3,FALSE),0)</f>
        <v>0</v>
      </c>
      <c r="J26" s="229">
        <f>IFERROR(VLOOKUP(H26,'Master Data'!$B$336:$H$353,7,FALSE),0)</f>
        <v>0</v>
      </c>
      <c r="K26" s="230"/>
      <c r="L26" s="231" t="str">
        <f>IFERROR(IF(I26="FIXED ASSET",J26&amp;E26&amp;K26,VLOOKUP(F26,'Master Data'!$E$59:$H$144,4,FALSE)&amp;"-"&amp;J26&amp;"-"&amp;K26),"-")</f>
        <v>-</v>
      </c>
      <c r="M26" s="225"/>
      <c r="N26" s="232"/>
      <c r="O26" s="233"/>
      <c r="P26" s="233"/>
      <c r="Q26" s="233"/>
      <c r="R26" s="233"/>
      <c r="S26" s="233"/>
      <c r="T26" s="233"/>
      <c r="U26" s="233"/>
      <c r="V26" s="233"/>
      <c r="W26" s="233"/>
      <c r="X26" s="233"/>
      <c r="Y26" s="233"/>
      <c r="Z26" s="233"/>
      <c r="AA26" s="234">
        <f t="shared" si="4"/>
        <v>0</v>
      </c>
      <c r="AB26" s="264"/>
      <c r="AC26" s="233"/>
      <c r="AD26" s="233"/>
      <c r="AE26" s="233"/>
      <c r="AF26" s="233"/>
      <c r="AG26" s="233"/>
      <c r="AH26" s="233"/>
      <c r="AI26" s="233"/>
      <c r="AJ26" s="233"/>
      <c r="AK26" s="233"/>
      <c r="AL26" s="233"/>
      <c r="AM26" s="233"/>
      <c r="AN26" s="233"/>
      <c r="AO26" s="234">
        <f t="shared" si="5"/>
        <v>0</v>
      </c>
      <c r="AP26" s="235"/>
      <c r="AQ26" s="233"/>
      <c r="AR26" s="233"/>
      <c r="AS26" s="233"/>
      <c r="AT26" s="233"/>
      <c r="AU26" s="233"/>
      <c r="AV26" s="233"/>
      <c r="AW26" s="233"/>
      <c r="AX26" s="233"/>
      <c r="AY26" s="233"/>
      <c r="AZ26" s="233"/>
      <c r="BA26" s="233"/>
      <c r="BB26" s="233"/>
      <c r="BC26" s="234">
        <f t="shared" si="6"/>
        <v>0</v>
      </c>
      <c r="BD26" s="236">
        <f t="shared" si="7"/>
        <v>0</v>
      </c>
      <c r="BE26" s="226"/>
      <c r="BF26" s="237"/>
      <c r="BG26" s="237"/>
      <c r="BH26" s="237"/>
      <c r="BI26" s="238">
        <f t="shared" si="8"/>
        <v>0</v>
      </c>
      <c r="BJ26" s="237"/>
      <c r="BK26" s="239" t="str">
        <f t="shared" si="2"/>
        <v/>
      </c>
      <c r="BL26" s="239" t="str">
        <f t="shared" si="9"/>
        <v/>
      </c>
      <c r="BM26" s="239" t="str">
        <f t="shared" si="10"/>
        <v/>
      </c>
      <c r="BN26" s="240"/>
    </row>
    <row r="27" spans="1:66" ht="27.95" customHeight="1" x14ac:dyDescent="0.25">
      <c r="A27" s="222" t="str">
        <f>IF(D27="","",Cover!$D$8)</f>
        <v/>
      </c>
      <c r="B27" s="222" t="str">
        <f>IF(D27="","",Cover!$D$7)</f>
        <v/>
      </c>
      <c r="C27" s="223" t="str">
        <f>IF(F27="","",IFERROR(VLOOKUP(F27,'Master Data'!$E$59:$J$146,6,FALSE),0))</f>
        <v/>
      </c>
      <c r="D27" s="224" t="str">
        <f>IF(F27="","",IFERROR(VLOOKUP(F27,'Master Data'!$E$59:$L$146,8,FALSE),0))</f>
        <v/>
      </c>
      <c r="E27" s="223" t="str">
        <f>IF(D27="","",IFERROR(VLOOKUP(D27,'Master Data'!$D$59:$I$146,6,FALSE),0))</f>
        <v/>
      </c>
      <c r="F27" s="225"/>
      <c r="G27" s="226"/>
      <c r="H27" s="227">
        <f>IFERROR(VLOOKUP(G27,'Master Data'!$C$336:$I$353,7,FALSE),0)</f>
        <v>0</v>
      </c>
      <c r="I27" s="228">
        <f>IFERROR(VLOOKUP(H27,'Master Data'!$B$336:$D$351,3,FALSE),0)</f>
        <v>0</v>
      </c>
      <c r="J27" s="229">
        <f>IFERROR(VLOOKUP(H27,'Master Data'!$B$336:$H$353,7,FALSE),0)</f>
        <v>0</v>
      </c>
      <c r="K27" s="230"/>
      <c r="L27" s="231" t="str">
        <f>IFERROR(IF(I27="FIXED ASSET",J27&amp;E27&amp;K27,VLOOKUP(F27,'Master Data'!$E$59:$H$144,4,FALSE)&amp;"-"&amp;J27&amp;"-"&amp;K27),"-")</f>
        <v>-</v>
      </c>
      <c r="M27" s="225"/>
      <c r="N27" s="232"/>
      <c r="O27" s="233"/>
      <c r="P27" s="233"/>
      <c r="Q27" s="233"/>
      <c r="R27" s="233"/>
      <c r="S27" s="233"/>
      <c r="T27" s="233"/>
      <c r="U27" s="233"/>
      <c r="V27" s="233"/>
      <c r="W27" s="233"/>
      <c r="X27" s="233"/>
      <c r="Y27" s="233"/>
      <c r="Z27" s="233"/>
      <c r="AA27" s="234">
        <f t="shared" si="4"/>
        <v>0</v>
      </c>
      <c r="AB27" s="264"/>
      <c r="AC27" s="233"/>
      <c r="AD27" s="233"/>
      <c r="AE27" s="233"/>
      <c r="AF27" s="233"/>
      <c r="AG27" s="233"/>
      <c r="AH27" s="233"/>
      <c r="AI27" s="233"/>
      <c r="AJ27" s="233"/>
      <c r="AK27" s="233"/>
      <c r="AL27" s="233"/>
      <c r="AM27" s="233"/>
      <c r="AN27" s="233"/>
      <c r="AO27" s="234">
        <f t="shared" si="5"/>
        <v>0</v>
      </c>
      <c r="AP27" s="235"/>
      <c r="AQ27" s="233"/>
      <c r="AR27" s="233"/>
      <c r="AS27" s="233"/>
      <c r="AT27" s="233"/>
      <c r="AU27" s="233"/>
      <c r="AV27" s="233"/>
      <c r="AW27" s="233"/>
      <c r="AX27" s="233"/>
      <c r="AY27" s="233"/>
      <c r="AZ27" s="233"/>
      <c r="BA27" s="233"/>
      <c r="BB27" s="233"/>
      <c r="BC27" s="234">
        <f t="shared" si="6"/>
        <v>0</v>
      </c>
      <c r="BD27" s="236">
        <f t="shared" si="7"/>
        <v>0</v>
      </c>
      <c r="BE27" s="226"/>
      <c r="BF27" s="237"/>
      <c r="BG27" s="237"/>
      <c r="BH27" s="237"/>
      <c r="BI27" s="238">
        <f t="shared" si="8"/>
        <v>0</v>
      </c>
      <c r="BJ27" s="237"/>
      <c r="BK27" s="239" t="str">
        <f t="shared" si="2"/>
        <v/>
      </c>
      <c r="BL27" s="239" t="str">
        <f t="shared" si="9"/>
        <v/>
      </c>
      <c r="BM27" s="239" t="str">
        <f t="shared" si="10"/>
        <v/>
      </c>
      <c r="BN27" s="240"/>
    </row>
    <row r="28" spans="1:66" ht="27.95" customHeight="1" x14ac:dyDescent="0.25">
      <c r="A28" s="222" t="str">
        <f>IF(D28="","",Cover!$D$8)</f>
        <v/>
      </c>
      <c r="B28" s="222" t="str">
        <f>IF(D28="","",Cover!$D$7)</f>
        <v/>
      </c>
      <c r="C28" s="223" t="str">
        <f>IF(F28="","",IFERROR(VLOOKUP(F28,'Master Data'!$E$59:$J$146,6,FALSE),0))</f>
        <v/>
      </c>
      <c r="D28" s="224" t="str">
        <f>IF(F28="","",IFERROR(VLOOKUP(F28,'Master Data'!$E$59:$L$146,8,FALSE),0))</f>
        <v/>
      </c>
      <c r="E28" s="223" t="str">
        <f>IF(D28="","",IFERROR(VLOOKUP(D28,'Master Data'!$D$59:$I$146,6,FALSE),0))</f>
        <v/>
      </c>
      <c r="F28" s="225"/>
      <c r="G28" s="226"/>
      <c r="H28" s="227">
        <f>IFERROR(VLOOKUP(G28,'Master Data'!$C$336:$I$353,7,FALSE),0)</f>
        <v>0</v>
      </c>
      <c r="I28" s="228">
        <f>IFERROR(VLOOKUP(H28,'Master Data'!$B$336:$D$351,3,FALSE),0)</f>
        <v>0</v>
      </c>
      <c r="J28" s="229">
        <f>IFERROR(VLOOKUP(H28,'Master Data'!$B$336:$H$353,7,FALSE),0)</f>
        <v>0</v>
      </c>
      <c r="K28" s="230"/>
      <c r="L28" s="231" t="str">
        <f>IFERROR(IF(I28="FIXED ASSET",J28&amp;E28&amp;K28,VLOOKUP(F28,'Master Data'!$E$59:$H$144,4,FALSE)&amp;"-"&amp;J28&amp;"-"&amp;K28),"-")</f>
        <v>-</v>
      </c>
      <c r="M28" s="225"/>
      <c r="N28" s="232"/>
      <c r="O28" s="233"/>
      <c r="P28" s="233"/>
      <c r="Q28" s="233"/>
      <c r="R28" s="233"/>
      <c r="S28" s="233"/>
      <c r="T28" s="233"/>
      <c r="U28" s="233"/>
      <c r="V28" s="233"/>
      <c r="W28" s="233"/>
      <c r="X28" s="233"/>
      <c r="Y28" s="233"/>
      <c r="Z28" s="233"/>
      <c r="AA28" s="234">
        <f t="shared" si="4"/>
        <v>0</v>
      </c>
      <c r="AB28" s="264"/>
      <c r="AC28" s="233"/>
      <c r="AD28" s="233"/>
      <c r="AE28" s="233"/>
      <c r="AF28" s="233"/>
      <c r="AG28" s="233"/>
      <c r="AH28" s="233"/>
      <c r="AI28" s="233"/>
      <c r="AJ28" s="233"/>
      <c r="AK28" s="233"/>
      <c r="AL28" s="233"/>
      <c r="AM28" s="233"/>
      <c r="AN28" s="233"/>
      <c r="AO28" s="234">
        <f t="shared" si="5"/>
        <v>0</v>
      </c>
      <c r="AP28" s="235"/>
      <c r="AQ28" s="233"/>
      <c r="AR28" s="233"/>
      <c r="AS28" s="233"/>
      <c r="AT28" s="233"/>
      <c r="AU28" s="233"/>
      <c r="AV28" s="233"/>
      <c r="AW28" s="233"/>
      <c r="AX28" s="233"/>
      <c r="AY28" s="233"/>
      <c r="AZ28" s="233"/>
      <c r="BA28" s="233"/>
      <c r="BB28" s="233"/>
      <c r="BC28" s="234">
        <f t="shared" si="6"/>
        <v>0</v>
      </c>
      <c r="BD28" s="236">
        <f t="shared" si="7"/>
        <v>0</v>
      </c>
      <c r="BE28" s="226"/>
      <c r="BF28" s="237"/>
      <c r="BG28" s="237"/>
      <c r="BH28" s="237"/>
      <c r="BI28" s="238">
        <f t="shared" si="8"/>
        <v>0</v>
      </c>
      <c r="BJ28" s="237"/>
      <c r="BK28" s="239" t="str">
        <f t="shared" si="2"/>
        <v/>
      </c>
      <c r="BL28" s="239" t="str">
        <f t="shared" si="9"/>
        <v/>
      </c>
      <c r="BM28" s="239" t="str">
        <f t="shared" si="10"/>
        <v/>
      </c>
      <c r="BN28" s="240"/>
    </row>
    <row r="29" spans="1:66" ht="27.95" customHeight="1" x14ac:dyDescent="0.25">
      <c r="A29" s="222" t="str">
        <f>IF(D29="","",Cover!$D$8)</f>
        <v/>
      </c>
      <c r="B29" s="222" t="str">
        <f>IF(D29="","",Cover!$D$7)</f>
        <v/>
      </c>
      <c r="C29" s="223" t="str">
        <f>IF(F29="","",IFERROR(VLOOKUP(F29,'Master Data'!$E$59:$J$146,6,FALSE),0))</f>
        <v/>
      </c>
      <c r="D29" s="224" t="str">
        <f>IF(F29="","",IFERROR(VLOOKUP(F29,'Master Data'!$E$59:$L$146,8,FALSE),0))</f>
        <v/>
      </c>
      <c r="E29" s="223" t="str">
        <f>IF(D29="","",IFERROR(VLOOKUP(D29,'Master Data'!$D$59:$I$146,6,FALSE),0))</f>
        <v/>
      </c>
      <c r="F29" s="225"/>
      <c r="G29" s="226"/>
      <c r="H29" s="227">
        <f>IFERROR(VLOOKUP(G29,'Master Data'!$C$336:$I$353,7,FALSE),0)</f>
        <v>0</v>
      </c>
      <c r="I29" s="228">
        <f>IFERROR(VLOOKUP(H29,'Master Data'!$B$336:$D$351,3,FALSE),0)</f>
        <v>0</v>
      </c>
      <c r="J29" s="229">
        <f>IFERROR(VLOOKUP(H29,'Master Data'!$B$336:$H$353,7,FALSE),0)</f>
        <v>0</v>
      </c>
      <c r="K29" s="230"/>
      <c r="L29" s="231" t="str">
        <f>IFERROR(IF(I29="FIXED ASSET",J29&amp;E29&amp;K29,VLOOKUP(F29,'Master Data'!$E$59:$H$144,4,FALSE)&amp;"-"&amp;J29&amp;"-"&amp;K29),"-")</f>
        <v>-</v>
      </c>
      <c r="M29" s="225"/>
      <c r="N29" s="232"/>
      <c r="O29" s="233"/>
      <c r="P29" s="233"/>
      <c r="Q29" s="233"/>
      <c r="R29" s="233"/>
      <c r="S29" s="233"/>
      <c r="T29" s="233"/>
      <c r="U29" s="233"/>
      <c r="V29" s="233"/>
      <c r="W29" s="233"/>
      <c r="X29" s="233"/>
      <c r="Y29" s="233"/>
      <c r="Z29" s="233"/>
      <c r="AA29" s="234">
        <f t="shared" si="4"/>
        <v>0</v>
      </c>
      <c r="AB29" s="264"/>
      <c r="AC29" s="233"/>
      <c r="AD29" s="233"/>
      <c r="AE29" s="233"/>
      <c r="AF29" s="233"/>
      <c r="AG29" s="233"/>
      <c r="AH29" s="233"/>
      <c r="AI29" s="233"/>
      <c r="AJ29" s="233"/>
      <c r="AK29" s="233"/>
      <c r="AL29" s="233"/>
      <c r="AM29" s="233"/>
      <c r="AN29" s="233"/>
      <c r="AO29" s="234">
        <f t="shared" si="5"/>
        <v>0</v>
      </c>
      <c r="AP29" s="235"/>
      <c r="AQ29" s="233"/>
      <c r="AR29" s="233"/>
      <c r="AS29" s="233"/>
      <c r="AT29" s="233"/>
      <c r="AU29" s="233"/>
      <c r="AV29" s="233"/>
      <c r="AW29" s="233"/>
      <c r="AX29" s="233"/>
      <c r="AY29" s="233"/>
      <c r="AZ29" s="233"/>
      <c r="BA29" s="233"/>
      <c r="BB29" s="233"/>
      <c r="BC29" s="234">
        <f t="shared" si="6"/>
        <v>0</v>
      </c>
      <c r="BD29" s="236">
        <f t="shared" si="7"/>
        <v>0</v>
      </c>
      <c r="BE29" s="226"/>
      <c r="BF29" s="237"/>
      <c r="BG29" s="237"/>
      <c r="BH29" s="237"/>
      <c r="BI29" s="238">
        <f t="shared" si="8"/>
        <v>0</v>
      </c>
      <c r="BJ29" s="237"/>
      <c r="BK29" s="239" t="str">
        <f t="shared" si="2"/>
        <v/>
      </c>
      <c r="BL29" s="239" t="str">
        <f t="shared" si="9"/>
        <v/>
      </c>
      <c r="BM29" s="239" t="str">
        <f t="shared" si="10"/>
        <v/>
      </c>
      <c r="BN29" s="240"/>
    </row>
    <row r="30" spans="1:66" ht="27.95" customHeight="1" x14ac:dyDescent="0.25">
      <c r="A30" s="222" t="str">
        <f>IF(D30="","",Cover!$D$8)</f>
        <v/>
      </c>
      <c r="B30" s="222" t="str">
        <f>IF(D30="","",Cover!$D$7)</f>
        <v/>
      </c>
      <c r="C30" s="223" t="str">
        <f>IF(F30="","",IFERROR(VLOOKUP(F30,'Master Data'!$E$59:$J$146,6,FALSE),0))</f>
        <v/>
      </c>
      <c r="D30" s="224" t="str">
        <f>IF(F30="","",IFERROR(VLOOKUP(F30,'Master Data'!$E$59:$L$146,8,FALSE),0))</f>
        <v/>
      </c>
      <c r="E30" s="223" t="str">
        <f>IF(D30="","",IFERROR(VLOOKUP(D30,'Master Data'!$D$59:$I$146,6,FALSE),0))</f>
        <v/>
      </c>
      <c r="F30" s="225"/>
      <c r="G30" s="226"/>
      <c r="H30" s="227">
        <f>IFERROR(VLOOKUP(G30,'Master Data'!$C$336:$I$353,7,FALSE),0)</f>
        <v>0</v>
      </c>
      <c r="I30" s="228">
        <f>IFERROR(VLOOKUP(H30,'Master Data'!$B$336:$D$351,3,FALSE),0)</f>
        <v>0</v>
      </c>
      <c r="J30" s="229">
        <f>IFERROR(VLOOKUP(H30,'Master Data'!$B$336:$H$353,7,FALSE),0)</f>
        <v>0</v>
      </c>
      <c r="K30" s="230"/>
      <c r="L30" s="231" t="str">
        <f>IFERROR(IF(I30="FIXED ASSET",J30&amp;E30&amp;K30,VLOOKUP(F30,'Master Data'!$E$59:$H$144,4,FALSE)&amp;"-"&amp;J30&amp;"-"&amp;K30),"-")</f>
        <v>-</v>
      </c>
      <c r="M30" s="225"/>
      <c r="N30" s="232"/>
      <c r="O30" s="233"/>
      <c r="P30" s="233"/>
      <c r="Q30" s="233"/>
      <c r="R30" s="233"/>
      <c r="S30" s="233"/>
      <c r="T30" s="233"/>
      <c r="U30" s="233"/>
      <c r="V30" s="233"/>
      <c r="W30" s="233"/>
      <c r="X30" s="233"/>
      <c r="Y30" s="233"/>
      <c r="Z30" s="233"/>
      <c r="AA30" s="234">
        <f t="shared" si="4"/>
        <v>0</v>
      </c>
      <c r="AB30" s="264"/>
      <c r="AC30" s="233"/>
      <c r="AD30" s="233"/>
      <c r="AE30" s="233"/>
      <c r="AF30" s="233"/>
      <c r="AG30" s="233"/>
      <c r="AH30" s="233"/>
      <c r="AI30" s="233"/>
      <c r="AJ30" s="233"/>
      <c r="AK30" s="233"/>
      <c r="AL30" s="233"/>
      <c r="AM30" s="233"/>
      <c r="AN30" s="233"/>
      <c r="AO30" s="234">
        <f t="shared" si="5"/>
        <v>0</v>
      </c>
      <c r="AP30" s="235"/>
      <c r="AQ30" s="233"/>
      <c r="AR30" s="233"/>
      <c r="AS30" s="233"/>
      <c r="AT30" s="233"/>
      <c r="AU30" s="233"/>
      <c r="AV30" s="233"/>
      <c r="AW30" s="233"/>
      <c r="AX30" s="233"/>
      <c r="AY30" s="233"/>
      <c r="AZ30" s="233"/>
      <c r="BA30" s="233"/>
      <c r="BB30" s="233"/>
      <c r="BC30" s="234">
        <f t="shared" si="6"/>
        <v>0</v>
      </c>
      <c r="BD30" s="236">
        <f t="shared" si="7"/>
        <v>0</v>
      </c>
      <c r="BE30" s="226"/>
      <c r="BF30" s="237"/>
      <c r="BG30" s="237"/>
      <c r="BH30" s="237"/>
      <c r="BI30" s="238">
        <f t="shared" si="8"/>
        <v>0</v>
      </c>
      <c r="BJ30" s="237"/>
      <c r="BK30" s="239" t="str">
        <f t="shared" si="2"/>
        <v/>
      </c>
      <c r="BL30" s="239" t="str">
        <f t="shared" si="9"/>
        <v/>
      </c>
      <c r="BM30" s="239" t="str">
        <f t="shared" si="10"/>
        <v/>
      </c>
      <c r="BN30" s="240"/>
    </row>
    <row r="31" spans="1:66" ht="27.95" customHeight="1" x14ac:dyDescent="0.25">
      <c r="A31" s="222" t="str">
        <f>IF(D31="","",Cover!$D$8)</f>
        <v/>
      </c>
      <c r="B31" s="222" t="str">
        <f>IF(D31="","",Cover!$D$7)</f>
        <v/>
      </c>
      <c r="C31" s="223" t="str">
        <f>IF(F31="","",IFERROR(VLOOKUP(F31,'Master Data'!$E$59:$J$146,6,FALSE),0))</f>
        <v/>
      </c>
      <c r="D31" s="224" t="str">
        <f>IF(F31="","",IFERROR(VLOOKUP(F31,'Master Data'!$E$59:$L$146,8,FALSE),0))</f>
        <v/>
      </c>
      <c r="E31" s="223" t="str">
        <f>IF(D31="","",IFERROR(VLOOKUP(D31,'Master Data'!$D$59:$I$146,6,FALSE),0))</f>
        <v/>
      </c>
      <c r="F31" s="225"/>
      <c r="G31" s="226"/>
      <c r="H31" s="227">
        <f>IFERROR(VLOOKUP(G31,'Master Data'!$C$336:$I$353,7,FALSE),0)</f>
        <v>0</v>
      </c>
      <c r="I31" s="228">
        <f>IFERROR(VLOOKUP(H31,'Master Data'!$B$336:$D$351,3,FALSE),0)</f>
        <v>0</v>
      </c>
      <c r="J31" s="229">
        <f>IFERROR(VLOOKUP(H31,'Master Data'!$B$336:$H$353,7,FALSE),0)</f>
        <v>0</v>
      </c>
      <c r="K31" s="230"/>
      <c r="L31" s="231" t="str">
        <f>IFERROR(IF(I31="FIXED ASSET",J31&amp;E31&amp;K31,VLOOKUP(F31,'Master Data'!$E$59:$H$144,4,FALSE)&amp;"-"&amp;J31&amp;"-"&amp;K31),"-")</f>
        <v>-</v>
      </c>
      <c r="M31" s="225"/>
      <c r="N31" s="232"/>
      <c r="O31" s="233"/>
      <c r="P31" s="233"/>
      <c r="Q31" s="233"/>
      <c r="R31" s="233"/>
      <c r="S31" s="233"/>
      <c r="T31" s="233"/>
      <c r="U31" s="233"/>
      <c r="V31" s="233"/>
      <c r="W31" s="233"/>
      <c r="X31" s="233"/>
      <c r="Y31" s="233"/>
      <c r="Z31" s="233"/>
      <c r="AA31" s="234">
        <f t="shared" si="4"/>
        <v>0</v>
      </c>
      <c r="AB31" s="264"/>
      <c r="AC31" s="233"/>
      <c r="AD31" s="233"/>
      <c r="AE31" s="233"/>
      <c r="AF31" s="233"/>
      <c r="AG31" s="233"/>
      <c r="AH31" s="233"/>
      <c r="AI31" s="233"/>
      <c r="AJ31" s="233"/>
      <c r="AK31" s="233"/>
      <c r="AL31" s="233"/>
      <c r="AM31" s="233"/>
      <c r="AN31" s="233"/>
      <c r="AO31" s="234">
        <f t="shared" si="5"/>
        <v>0</v>
      </c>
      <c r="AP31" s="235"/>
      <c r="AQ31" s="233"/>
      <c r="AR31" s="233"/>
      <c r="AS31" s="233"/>
      <c r="AT31" s="233"/>
      <c r="AU31" s="233"/>
      <c r="AV31" s="233"/>
      <c r="AW31" s="233"/>
      <c r="AX31" s="233"/>
      <c r="AY31" s="233"/>
      <c r="AZ31" s="233"/>
      <c r="BA31" s="233"/>
      <c r="BB31" s="233"/>
      <c r="BC31" s="234">
        <f t="shared" si="6"/>
        <v>0</v>
      </c>
      <c r="BD31" s="236">
        <f t="shared" si="7"/>
        <v>0</v>
      </c>
      <c r="BE31" s="226"/>
      <c r="BF31" s="237"/>
      <c r="BG31" s="237"/>
      <c r="BH31" s="237"/>
      <c r="BI31" s="238">
        <f t="shared" si="8"/>
        <v>0</v>
      </c>
      <c r="BJ31" s="237"/>
      <c r="BK31" s="239" t="str">
        <f t="shared" si="2"/>
        <v/>
      </c>
      <c r="BL31" s="239" t="str">
        <f t="shared" si="9"/>
        <v/>
      </c>
      <c r="BM31" s="239" t="str">
        <f t="shared" si="10"/>
        <v/>
      </c>
      <c r="BN31" s="240"/>
    </row>
    <row r="32" spans="1:66" ht="27.95" customHeight="1" x14ac:dyDescent="0.25">
      <c r="A32" s="222" t="str">
        <f>IF(D32="","",Cover!$D$8)</f>
        <v/>
      </c>
      <c r="B32" s="222" t="str">
        <f>IF(D32="","",Cover!$D$7)</f>
        <v/>
      </c>
      <c r="C32" s="223" t="str">
        <f>IF(F32="","",IFERROR(VLOOKUP(F32,'Master Data'!$E$59:$J$146,6,FALSE),0))</f>
        <v/>
      </c>
      <c r="D32" s="224" t="str">
        <f>IF(F32="","",IFERROR(VLOOKUP(F32,'Master Data'!$E$59:$L$146,8,FALSE),0))</f>
        <v/>
      </c>
      <c r="E32" s="223" t="str">
        <f>IF(D32="","",IFERROR(VLOOKUP(D32,'Master Data'!$D$59:$I$146,6,FALSE),0))</f>
        <v/>
      </c>
      <c r="F32" s="225"/>
      <c r="G32" s="226"/>
      <c r="H32" s="227">
        <f>IFERROR(VLOOKUP(G32,'Master Data'!$C$336:$I$353,7,FALSE),0)</f>
        <v>0</v>
      </c>
      <c r="I32" s="228">
        <f>IFERROR(VLOOKUP(H32,'Master Data'!$B$336:$D$351,3,FALSE),0)</f>
        <v>0</v>
      </c>
      <c r="J32" s="229">
        <f>IFERROR(VLOOKUP(H32,'Master Data'!$B$336:$H$353,7,FALSE),0)</f>
        <v>0</v>
      </c>
      <c r="K32" s="230"/>
      <c r="L32" s="231" t="str">
        <f>IFERROR(IF(I32="FIXED ASSET",J32&amp;E32&amp;K32,VLOOKUP(F32,'Master Data'!$E$59:$H$144,4,FALSE)&amp;"-"&amp;J32&amp;"-"&amp;K32),"-")</f>
        <v>-</v>
      </c>
      <c r="M32" s="225"/>
      <c r="N32" s="232"/>
      <c r="O32" s="233"/>
      <c r="P32" s="233"/>
      <c r="Q32" s="233"/>
      <c r="R32" s="233"/>
      <c r="S32" s="233"/>
      <c r="T32" s="233"/>
      <c r="U32" s="233"/>
      <c r="V32" s="233"/>
      <c r="W32" s="233"/>
      <c r="X32" s="233"/>
      <c r="Y32" s="233"/>
      <c r="Z32" s="233"/>
      <c r="AA32" s="234">
        <f t="shared" si="4"/>
        <v>0</v>
      </c>
      <c r="AB32" s="264"/>
      <c r="AC32" s="233"/>
      <c r="AD32" s="233"/>
      <c r="AE32" s="233"/>
      <c r="AF32" s="233"/>
      <c r="AG32" s="233"/>
      <c r="AH32" s="233"/>
      <c r="AI32" s="233"/>
      <c r="AJ32" s="233"/>
      <c r="AK32" s="233"/>
      <c r="AL32" s="233"/>
      <c r="AM32" s="233"/>
      <c r="AN32" s="233"/>
      <c r="AO32" s="234">
        <f t="shared" si="5"/>
        <v>0</v>
      </c>
      <c r="AP32" s="235"/>
      <c r="AQ32" s="233"/>
      <c r="AR32" s="233"/>
      <c r="AS32" s="233"/>
      <c r="AT32" s="233"/>
      <c r="AU32" s="233"/>
      <c r="AV32" s="233"/>
      <c r="AW32" s="233"/>
      <c r="AX32" s="233"/>
      <c r="AY32" s="233"/>
      <c r="AZ32" s="233"/>
      <c r="BA32" s="233"/>
      <c r="BB32" s="233"/>
      <c r="BC32" s="234">
        <f t="shared" si="6"/>
        <v>0</v>
      </c>
      <c r="BD32" s="236">
        <f t="shared" si="7"/>
        <v>0</v>
      </c>
      <c r="BE32" s="226"/>
      <c r="BF32" s="237"/>
      <c r="BG32" s="237"/>
      <c r="BH32" s="237"/>
      <c r="BI32" s="238">
        <f t="shared" si="8"/>
        <v>0</v>
      </c>
      <c r="BJ32" s="237"/>
      <c r="BK32" s="239" t="str">
        <f t="shared" si="2"/>
        <v/>
      </c>
      <c r="BL32" s="239" t="str">
        <f t="shared" si="9"/>
        <v/>
      </c>
      <c r="BM32" s="239" t="str">
        <f t="shared" si="10"/>
        <v/>
      </c>
      <c r="BN32" s="240"/>
    </row>
    <row r="33" spans="1:66" ht="27.95" customHeight="1" x14ac:dyDescent="0.25">
      <c r="A33" s="222" t="str">
        <f>IF(D33="","",Cover!$D$8)</f>
        <v/>
      </c>
      <c r="B33" s="222" t="str">
        <f>IF(D33="","",Cover!$D$7)</f>
        <v/>
      </c>
      <c r="C33" s="223" t="str">
        <f>IF(F33="","",IFERROR(VLOOKUP(F33,'Master Data'!$E$59:$J$146,6,FALSE),0))</f>
        <v/>
      </c>
      <c r="D33" s="224" t="str">
        <f>IF(F33="","",IFERROR(VLOOKUP(F33,'Master Data'!$E$59:$L$146,8,FALSE),0))</f>
        <v/>
      </c>
      <c r="E33" s="223" t="str">
        <f>IF(D33="","",IFERROR(VLOOKUP(D33,'Master Data'!$D$59:$I$146,6,FALSE),0))</f>
        <v/>
      </c>
      <c r="F33" s="225"/>
      <c r="G33" s="226"/>
      <c r="H33" s="227">
        <f>IFERROR(VLOOKUP(G33,'Master Data'!$C$336:$I$353,7,FALSE),0)</f>
        <v>0</v>
      </c>
      <c r="I33" s="228">
        <f>IFERROR(VLOOKUP(H33,'Master Data'!$B$336:$D$351,3,FALSE),0)</f>
        <v>0</v>
      </c>
      <c r="J33" s="229">
        <f>IFERROR(VLOOKUP(H33,'Master Data'!$B$336:$H$353,7,FALSE),0)</f>
        <v>0</v>
      </c>
      <c r="K33" s="230"/>
      <c r="L33" s="231" t="str">
        <f>IFERROR(IF(I33="FIXED ASSET",J33&amp;E33&amp;K33,VLOOKUP(F33,'Master Data'!$E$59:$H$144,4,FALSE)&amp;"-"&amp;J33&amp;"-"&amp;K33),"-")</f>
        <v>-</v>
      </c>
      <c r="M33" s="225"/>
      <c r="N33" s="232"/>
      <c r="O33" s="233"/>
      <c r="P33" s="233"/>
      <c r="Q33" s="233"/>
      <c r="R33" s="233"/>
      <c r="S33" s="233"/>
      <c r="T33" s="233"/>
      <c r="U33" s="233"/>
      <c r="V33" s="233"/>
      <c r="W33" s="233"/>
      <c r="X33" s="233"/>
      <c r="Y33" s="233"/>
      <c r="Z33" s="233"/>
      <c r="AA33" s="234">
        <f t="shared" si="4"/>
        <v>0</v>
      </c>
      <c r="AB33" s="264"/>
      <c r="AC33" s="233"/>
      <c r="AD33" s="233"/>
      <c r="AE33" s="233"/>
      <c r="AF33" s="233"/>
      <c r="AG33" s="233"/>
      <c r="AH33" s="233"/>
      <c r="AI33" s="233"/>
      <c r="AJ33" s="233"/>
      <c r="AK33" s="233"/>
      <c r="AL33" s="233"/>
      <c r="AM33" s="233"/>
      <c r="AN33" s="233"/>
      <c r="AO33" s="234">
        <f t="shared" si="5"/>
        <v>0</v>
      </c>
      <c r="AP33" s="235"/>
      <c r="AQ33" s="233"/>
      <c r="AR33" s="233"/>
      <c r="AS33" s="233"/>
      <c r="AT33" s="233"/>
      <c r="AU33" s="233"/>
      <c r="AV33" s="233"/>
      <c r="AW33" s="233"/>
      <c r="AX33" s="233"/>
      <c r="AY33" s="233"/>
      <c r="AZ33" s="233"/>
      <c r="BA33" s="233"/>
      <c r="BB33" s="233"/>
      <c r="BC33" s="234">
        <f t="shared" si="6"/>
        <v>0</v>
      </c>
      <c r="BD33" s="236">
        <f t="shared" si="7"/>
        <v>0</v>
      </c>
      <c r="BE33" s="226"/>
      <c r="BF33" s="237"/>
      <c r="BG33" s="237"/>
      <c r="BH33" s="237"/>
      <c r="BI33" s="238">
        <f t="shared" si="8"/>
        <v>0</v>
      </c>
      <c r="BJ33" s="237"/>
      <c r="BK33" s="239" t="str">
        <f t="shared" si="2"/>
        <v/>
      </c>
      <c r="BL33" s="239" t="str">
        <f t="shared" si="9"/>
        <v/>
      </c>
      <c r="BM33" s="239" t="str">
        <f t="shared" si="10"/>
        <v/>
      </c>
      <c r="BN33" s="240"/>
    </row>
    <row r="34" spans="1:66" ht="27.95" customHeight="1" x14ac:dyDescent="0.25">
      <c r="A34" s="222" t="str">
        <f>IF(D34="","",Cover!$D$8)</f>
        <v/>
      </c>
      <c r="B34" s="222" t="str">
        <f>IF(D34="","",Cover!$D$7)</f>
        <v/>
      </c>
      <c r="C34" s="223" t="str">
        <f>IF(F34="","",IFERROR(VLOOKUP(F34,'Master Data'!$E$59:$J$146,6,FALSE),0))</f>
        <v/>
      </c>
      <c r="D34" s="224" t="str">
        <f>IF(F34="","",IFERROR(VLOOKUP(F34,'Master Data'!$E$59:$L$146,8,FALSE),0))</f>
        <v/>
      </c>
      <c r="E34" s="223" t="str">
        <f>IF(D34="","",IFERROR(VLOOKUP(D34,'Master Data'!$D$59:$I$146,6,FALSE),0))</f>
        <v/>
      </c>
      <c r="F34" s="225"/>
      <c r="G34" s="226"/>
      <c r="H34" s="227">
        <f>IFERROR(VLOOKUP(G34,'Master Data'!$C$336:$I$353,7,FALSE),0)</f>
        <v>0</v>
      </c>
      <c r="I34" s="228">
        <f>IFERROR(VLOOKUP(H34,'Master Data'!$B$336:$D$351,3,FALSE),0)</f>
        <v>0</v>
      </c>
      <c r="J34" s="229">
        <f>IFERROR(VLOOKUP(H34,'Master Data'!$B$336:$H$353,7,FALSE),0)</f>
        <v>0</v>
      </c>
      <c r="K34" s="230"/>
      <c r="L34" s="231" t="str">
        <f>IFERROR(IF(I34="FIXED ASSET",J34&amp;E34&amp;K34,VLOOKUP(F34,'Master Data'!$E$59:$H$144,4,FALSE)&amp;"-"&amp;J34&amp;"-"&amp;K34),"-")</f>
        <v>-</v>
      </c>
      <c r="M34" s="225"/>
      <c r="N34" s="232"/>
      <c r="O34" s="233"/>
      <c r="P34" s="233"/>
      <c r="Q34" s="233"/>
      <c r="R34" s="233"/>
      <c r="S34" s="233"/>
      <c r="T34" s="233"/>
      <c r="U34" s="233"/>
      <c r="V34" s="233"/>
      <c r="W34" s="233"/>
      <c r="X34" s="233"/>
      <c r="Y34" s="233"/>
      <c r="Z34" s="233"/>
      <c r="AA34" s="234">
        <f t="shared" si="4"/>
        <v>0</v>
      </c>
      <c r="AB34" s="264"/>
      <c r="AC34" s="233"/>
      <c r="AD34" s="233"/>
      <c r="AE34" s="233"/>
      <c r="AF34" s="233"/>
      <c r="AG34" s="233"/>
      <c r="AH34" s="233"/>
      <c r="AI34" s="233"/>
      <c r="AJ34" s="233"/>
      <c r="AK34" s="233"/>
      <c r="AL34" s="233"/>
      <c r="AM34" s="233"/>
      <c r="AN34" s="233"/>
      <c r="AO34" s="234">
        <f t="shared" si="5"/>
        <v>0</v>
      </c>
      <c r="AP34" s="235"/>
      <c r="AQ34" s="233"/>
      <c r="AR34" s="233"/>
      <c r="AS34" s="233"/>
      <c r="AT34" s="233"/>
      <c r="AU34" s="233"/>
      <c r="AV34" s="233"/>
      <c r="AW34" s="233"/>
      <c r="AX34" s="233"/>
      <c r="AY34" s="233"/>
      <c r="AZ34" s="233"/>
      <c r="BA34" s="233"/>
      <c r="BB34" s="233"/>
      <c r="BC34" s="234">
        <f t="shared" si="6"/>
        <v>0</v>
      </c>
      <c r="BD34" s="236">
        <f t="shared" si="7"/>
        <v>0</v>
      </c>
      <c r="BE34" s="226"/>
      <c r="BF34" s="237"/>
      <c r="BG34" s="237"/>
      <c r="BH34" s="237"/>
      <c r="BI34" s="238">
        <f t="shared" si="8"/>
        <v>0</v>
      </c>
      <c r="BJ34" s="237"/>
      <c r="BK34" s="239" t="str">
        <f t="shared" si="2"/>
        <v/>
      </c>
      <c r="BL34" s="239" t="str">
        <f t="shared" si="9"/>
        <v/>
      </c>
      <c r="BM34" s="239" t="str">
        <f t="shared" si="10"/>
        <v/>
      </c>
      <c r="BN34" s="240"/>
    </row>
    <row r="35" spans="1:66" ht="27.95" customHeight="1" x14ac:dyDescent="0.25">
      <c r="A35" s="222" t="str">
        <f>IF(D35="","",Cover!$D$8)</f>
        <v/>
      </c>
      <c r="B35" s="222" t="str">
        <f>IF(D35="","",Cover!$D$7)</f>
        <v/>
      </c>
      <c r="C35" s="223" t="str">
        <f>IF(F35="","",IFERROR(VLOOKUP(F35,'Master Data'!$E$59:$J$146,6,FALSE),0))</f>
        <v/>
      </c>
      <c r="D35" s="224" t="str">
        <f>IF(F35="","",IFERROR(VLOOKUP(F35,'Master Data'!$E$59:$L$146,8,FALSE),0))</f>
        <v/>
      </c>
      <c r="E35" s="223" t="str">
        <f>IF(D35="","",IFERROR(VLOOKUP(D35,'Master Data'!$D$59:$I$146,6,FALSE),0))</f>
        <v/>
      </c>
      <c r="F35" s="225"/>
      <c r="G35" s="226"/>
      <c r="H35" s="227">
        <f>IFERROR(VLOOKUP(G35,'Master Data'!$C$336:$I$353,7,FALSE),0)</f>
        <v>0</v>
      </c>
      <c r="I35" s="228">
        <f>IFERROR(VLOOKUP(H35,'Master Data'!$B$336:$D$351,3,FALSE),0)</f>
        <v>0</v>
      </c>
      <c r="J35" s="229">
        <f>IFERROR(VLOOKUP(H35,'Master Data'!$B$336:$H$353,7,FALSE),0)</f>
        <v>0</v>
      </c>
      <c r="K35" s="230"/>
      <c r="L35" s="231" t="str">
        <f>IFERROR(IF(I35="FIXED ASSET",J35&amp;E35&amp;K35,VLOOKUP(F35,'Master Data'!$E$59:$H$144,4,FALSE)&amp;"-"&amp;J35&amp;"-"&amp;K35),"-")</f>
        <v>-</v>
      </c>
      <c r="M35" s="225"/>
      <c r="N35" s="232"/>
      <c r="O35" s="233"/>
      <c r="P35" s="233"/>
      <c r="Q35" s="233"/>
      <c r="R35" s="233"/>
      <c r="S35" s="233"/>
      <c r="T35" s="233"/>
      <c r="U35" s="233"/>
      <c r="V35" s="233"/>
      <c r="W35" s="233"/>
      <c r="X35" s="233"/>
      <c r="Y35" s="233"/>
      <c r="Z35" s="233"/>
      <c r="AA35" s="234">
        <f t="shared" si="4"/>
        <v>0</v>
      </c>
      <c r="AB35" s="264"/>
      <c r="AC35" s="233"/>
      <c r="AD35" s="233"/>
      <c r="AE35" s="233"/>
      <c r="AF35" s="233"/>
      <c r="AG35" s="233"/>
      <c r="AH35" s="233"/>
      <c r="AI35" s="233"/>
      <c r="AJ35" s="233"/>
      <c r="AK35" s="233"/>
      <c r="AL35" s="233"/>
      <c r="AM35" s="233"/>
      <c r="AN35" s="233"/>
      <c r="AO35" s="234">
        <f t="shared" si="5"/>
        <v>0</v>
      </c>
      <c r="AP35" s="235"/>
      <c r="AQ35" s="233"/>
      <c r="AR35" s="233"/>
      <c r="AS35" s="233"/>
      <c r="AT35" s="233"/>
      <c r="AU35" s="233"/>
      <c r="AV35" s="233"/>
      <c r="AW35" s="233"/>
      <c r="AX35" s="233"/>
      <c r="AY35" s="233"/>
      <c r="AZ35" s="233"/>
      <c r="BA35" s="233"/>
      <c r="BB35" s="233"/>
      <c r="BC35" s="234">
        <f t="shared" si="6"/>
        <v>0</v>
      </c>
      <c r="BD35" s="236">
        <f t="shared" si="7"/>
        <v>0</v>
      </c>
      <c r="BE35" s="226"/>
      <c r="BF35" s="237"/>
      <c r="BG35" s="237"/>
      <c r="BH35" s="237"/>
      <c r="BI35" s="238">
        <f t="shared" si="8"/>
        <v>0</v>
      </c>
      <c r="BJ35" s="237"/>
      <c r="BK35" s="239" t="str">
        <f t="shared" si="2"/>
        <v/>
      </c>
      <c r="BL35" s="239" t="str">
        <f t="shared" si="9"/>
        <v/>
      </c>
      <c r="BM35" s="239" t="str">
        <f t="shared" si="10"/>
        <v/>
      </c>
      <c r="BN35" s="240"/>
    </row>
    <row r="36" spans="1:66" ht="27.95" customHeight="1" x14ac:dyDescent="0.25">
      <c r="A36" s="222" t="str">
        <f>IF(D36="","",Cover!$D$8)</f>
        <v/>
      </c>
      <c r="B36" s="222" t="str">
        <f>IF(D36="","",Cover!$D$7)</f>
        <v/>
      </c>
      <c r="C36" s="223" t="str">
        <f>IF(F36="","",IFERROR(VLOOKUP(F36,'Master Data'!$E$59:$J$146,6,FALSE),0))</f>
        <v/>
      </c>
      <c r="D36" s="224" t="str">
        <f>IF(F36="","",IFERROR(VLOOKUP(F36,'Master Data'!$E$59:$L$146,8,FALSE),0))</f>
        <v/>
      </c>
      <c r="E36" s="223" t="str">
        <f>IF(D36="","",IFERROR(VLOOKUP(D36,'Master Data'!$D$59:$I$146,6,FALSE),0))</f>
        <v/>
      </c>
      <c r="F36" s="225"/>
      <c r="G36" s="226"/>
      <c r="H36" s="227">
        <f>IFERROR(VLOOKUP(G36,'Master Data'!$C$336:$I$353,7,FALSE),0)</f>
        <v>0</v>
      </c>
      <c r="I36" s="228">
        <f>IFERROR(VLOOKUP(H36,'Master Data'!$B$336:$D$351,3,FALSE),0)</f>
        <v>0</v>
      </c>
      <c r="J36" s="229">
        <f>IFERROR(VLOOKUP(H36,'Master Data'!$B$336:$H$353,7,FALSE),0)</f>
        <v>0</v>
      </c>
      <c r="K36" s="230"/>
      <c r="L36" s="231" t="str">
        <f>IFERROR(IF(I36="FIXED ASSET",J36&amp;E36&amp;K36,VLOOKUP(F36,'Master Data'!$E$59:$H$144,4,FALSE)&amp;"-"&amp;J36&amp;"-"&amp;K36),"-")</f>
        <v>-</v>
      </c>
      <c r="M36" s="225"/>
      <c r="N36" s="232"/>
      <c r="O36" s="233"/>
      <c r="P36" s="233"/>
      <c r="Q36" s="233"/>
      <c r="R36" s="233"/>
      <c r="S36" s="233"/>
      <c r="T36" s="233"/>
      <c r="U36" s="233"/>
      <c r="V36" s="233"/>
      <c r="W36" s="233"/>
      <c r="X36" s="233"/>
      <c r="Y36" s="233"/>
      <c r="Z36" s="233"/>
      <c r="AA36" s="234">
        <f t="shared" si="4"/>
        <v>0</v>
      </c>
      <c r="AB36" s="264"/>
      <c r="AC36" s="233"/>
      <c r="AD36" s="233"/>
      <c r="AE36" s="233"/>
      <c r="AF36" s="233"/>
      <c r="AG36" s="233"/>
      <c r="AH36" s="233"/>
      <c r="AI36" s="233"/>
      <c r="AJ36" s="233"/>
      <c r="AK36" s="233"/>
      <c r="AL36" s="233"/>
      <c r="AM36" s="233"/>
      <c r="AN36" s="233"/>
      <c r="AO36" s="234">
        <f t="shared" si="5"/>
        <v>0</v>
      </c>
      <c r="AP36" s="235"/>
      <c r="AQ36" s="233"/>
      <c r="AR36" s="233"/>
      <c r="AS36" s="233"/>
      <c r="AT36" s="233"/>
      <c r="AU36" s="233"/>
      <c r="AV36" s="233"/>
      <c r="AW36" s="233"/>
      <c r="AX36" s="233"/>
      <c r="AY36" s="233"/>
      <c r="AZ36" s="233"/>
      <c r="BA36" s="233"/>
      <c r="BB36" s="233"/>
      <c r="BC36" s="234">
        <f t="shared" si="6"/>
        <v>0</v>
      </c>
      <c r="BD36" s="236">
        <f t="shared" si="7"/>
        <v>0</v>
      </c>
      <c r="BE36" s="226"/>
      <c r="BF36" s="237"/>
      <c r="BG36" s="237"/>
      <c r="BH36" s="237"/>
      <c r="BI36" s="238">
        <f t="shared" si="8"/>
        <v>0</v>
      </c>
      <c r="BJ36" s="237"/>
      <c r="BK36" s="239" t="str">
        <f t="shared" si="2"/>
        <v/>
      </c>
      <c r="BL36" s="239" t="str">
        <f t="shared" si="9"/>
        <v/>
      </c>
      <c r="BM36" s="239" t="str">
        <f t="shared" si="10"/>
        <v/>
      </c>
      <c r="BN36" s="240"/>
    </row>
    <row r="37" spans="1:66" ht="27.95" customHeight="1" x14ac:dyDescent="0.25">
      <c r="A37" s="222" t="str">
        <f>IF(D37="","",Cover!$D$8)</f>
        <v/>
      </c>
      <c r="B37" s="222" t="str">
        <f>IF(D37="","",Cover!$D$7)</f>
        <v/>
      </c>
      <c r="C37" s="223" t="str">
        <f>IF(F37="","",IFERROR(VLOOKUP(F37,'Master Data'!$E$59:$J$146,6,FALSE),0))</f>
        <v/>
      </c>
      <c r="D37" s="224" t="str">
        <f>IF(F37="","",IFERROR(VLOOKUP(F37,'Master Data'!$E$59:$L$146,8,FALSE),0))</f>
        <v/>
      </c>
      <c r="E37" s="223" t="str">
        <f>IF(D37="","",IFERROR(VLOOKUP(D37,'Master Data'!$D$59:$I$146,6,FALSE),0))</f>
        <v/>
      </c>
      <c r="F37" s="225"/>
      <c r="G37" s="226"/>
      <c r="H37" s="227">
        <f>IFERROR(VLOOKUP(G37,'Master Data'!$C$336:$I$353,7,FALSE),0)</f>
        <v>0</v>
      </c>
      <c r="I37" s="228">
        <f>IFERROR(VLOOKUP(H37,'Master Data'!$B$336:$D$351,3,FALSE),0)</f>
        <v>0</v>
      </c>
      <c r="J37" s="229">
        <f>IFERROR(VLOOKUP(H37,'Master Data'!$B$336:$H$353,7,FALSE),0)</f>
        <v>0</v>
      </c>
      <c r="K37" s="230"/>
      <c r="L37" s="231" t="str">
        <f>IFERROR(IF(I37="FIXED ASSET",J37&amp;E37&amp;K37,VLOOKUP(F37,'Master Data'!$E$59:$H$144,4,FALSE)&amp;"-"&amp;J37&amp;"-"&amp;K37),"-")</f>
        <v>-</v>
      </c>
      <c r="M37" s="225"/>
      <c r="N37" s="232"/>
      <c r="O37" s="233"/>
      <c r="P37" s="233"/>
      <c r="Q37" s="233"/>
      <c r="R37" s="233"/>
      <c r="S37" s="233"/>
      <c r="T37" s="233"/>
      <c r="U37" s="233"/>
      <c r="V37" s="233"/>
      <c r="W37" s="233"/>
      <c r="X37" s="233"/>
      <c r="Y37" s="233"/>
      <c r="Z37" s="233"/>
      <c r="AA37" s="234">
        <f t="shared" si="4"/>
        <v>0</v>
      </c>
      <c r="AB37" s="264"/>
      <c r="AC37" s="233"/>
      <c r="AD37" s="233"/>
      <c r="AE37" s="233"/>
      <c r="AF37" s="233"/>
      <c r="AG37" s="233"/>
      <c r="AH37" s="233"/>
      <c r="AI37" s="233"/>
      <c r="AJ37" s="233"/>
      <c r="AK37" s="233"/>
      <c r="AL37" s="233"/>
      <c r="AM37" s="233"/>
      <c r="AN37" s="233"/>
      <c r="AO37" s="234">
        <f t="shared" si="5"/>
        <v>0</v>
      </c>
      <c r="AP37" s="235"/>
      <c r="AQ37" s="233"/>
      <c r="AR37" s="233"/>
      <c r="AS37" s="233"/>
      <c r="AT37" s="233"/>
      <c r="AU37" s="233"/>
      <c r="AV37" s="233"/>
      <c r="AW37" s="233"/>
      <c r="AX37" s="233"/>
      <c r="AY37" s="233"/>
      <c r="AZ37" s="233"/>
      <c r="BA37" s="233"/>
      <c r="BB37" s="233"/>
      <c r="BC37" s="234">
        <f t="shared" si="6"/>
        <v>0</v>
      </c>
      <c r="BD37" s="236">
        <f t="shared" si="7"/>
        <v>0</v>
      </c>
      <c r="BE37" s="226"/>
      <c r="BF37" s="237"/>
      <c r="BG37" s="237"/>
      <c r="BH37" s="237"/>
      <c r="BI37" s="238">
        <f t="shared" si="8"/>
        <v>0</v>
      </c>
      <c r="BJ37" s="237"/>
      <c r="BK37" s="239" t="str">
        <f t="shared" si="2"/>
        <v/>
      </c>
      <c r="BL37" s="239" t="str">
        <f t="shared" si="9"/>
        <v/>
      </c>
      <c r="BM37" s="239" t="str">
        <f t="shared" si="10"/>
        <v/>
      </c>
      <c r="BN37" s="240"/>
    </row>
    <row r="38" spans="1:66" ht="27.95" customHeight="1" x14ac:dyDescent="0.25">
      <c r="A38" s="222" t="str">
        <f>IF(D38="","",Cover!$D$8)</f>
        <v/>
      </c>
      <c r="B38" s="222" t="str">
        <f>IF(D38="","",Cover!$D$7)</f>
        <v/>
      </c>
      <c r="C38" s="223" t="str">
        <f>IF(F38="","",IFERROR(VLOOKUP(F38,'Master Data'!$E$59:$J$146,6,FALSE),0))</f>
        <v/>
      </c>
      <c r="D38" s="224" t="str">
        <f>IF(F38="","",IFERROR(VLOOKUP(F38,'Master Data'!$E$59:$L$146,8,FALSE),0))</f>
        <v/>
      </c>
      <c r="E38" s="223" t="str">
        <f>IF(D38="","",IFERROR(VLOOKUP(D38,'Master Data'!$D$59:$I$146,6,FALSE),0))</f>
        <v/>
      </c>
      <c r="F38" s="225"/>
      <c r="G38" s="226"/>
      <c r="H38" s="227">
        <f>IFERROR(VLOOKUP(G38,'Master Data'!$C$336:$I$353,7,FALSE),0)</f>
        <v>0</v>
      </c>
      <c r="I38" s="228">
        <f>IFERROR(VLOOKUP(H38,'Master Data'!$B$336:$D$351,3,FALSE),0)</f>
        <v>0</v>
      </c>
      <c r="J38" s="229">
        <f>IFERROR(VLOOKUP(H38,'Master Data'!$B$336:$H$353,7,FALSE),0)</f>
        <v>0</v>
      </c>
      <c r="K38" s="230"/>
      <c r="L38" s="231" t="str">
        <f>IFERROR(IF(I38="FIXED ASSET",J38&amp;E38&amp;K38,VLOOKUP(F38,'Master Data'!$E$59:$H$144,4,FALSE)&amp;"-"&amp;J38&amp;"-"&amp;K38),"-")</f>
        <v>-</v>
      </c>
      <c r="M38" s="225"/>
      <c r="N38" s="232"/>
      <c r="O38" s="233"/>
      <c r="P38" s="233"/>
      <c r="Q38" s="233"/>
      <c r="R38" s="233"/>
      <c r="S38" s="233"/>
      <c r="T38" s="233"/>
      <c r="U38" s="233"/>
      <c r="V38" s="233"/>
      <c r="W38" s="233"/>
      <c r="X38" s="233"/>
      <c r="Y38" s="233"/>
      <c r="Z38" s="233"/>
      <c r="AA38" s="234">
        <f t="shared" si="4"/>
        <v>0</v>
      </c>
      <c r="AB38" s="264"/>
      <c r="AC38" s="233"/>
      <c r="AD38" s="233"/>
      <c r="AE38" s="233"/>
      <c r="AF38" s="233"/>
      <c r="AG38" s="233"/>
      <c r="AH38" s="233"/>
      <c r="AI38" s="233"/>
      <c r="AJ38" s="233"/>
      <c r="AK38" s="233"/>
      <c r="AL38" s="233"/>
      <c r="AM38" s="233"/>
      <c r="AN38" s="233"/>
      <c r="AO38" s="234">
        <f t="shared" si="5"/>
        <v>0</v>
      </c>
      <c r="AP38" s="235"/>
      <c r="AQ38" s="233"/>
      <c r="AR38" s="233"/>
      <c r="AS38" s="233"/>
      <c r="AT38" s="233"/>
      <c r="AU38" s="233"/>
      <c r="AV38" s="233"/>
      <c r="AW38" s="233"/>
      <c r="AX38" s="233"/>
      <c r="AY38" s="233"/>
      <c r="AZ38" s="233"/>
      <c r="BA38" s="233"/>
      <c r="BB38" s="233"/>
      <c r="BC38" s="234">
        <f t="shared" si="6"/>
        <v>0</v>
      </c>
      <c r="BD38" s="236">
        <f t="shared" si="7"/>
        <v>0</v>
      </c>
      <c r="BE38" s="226"/>
      <c r="BF38" s="237"/>
      <c r="BG38" s="237"/>
      <c r="BH38" s="237"/>
      <c r="BI38" s="238">
        <f t="shared" si="8"/>
        <v>0</v>
      </c>
      <c r="BJ38" s="237"/>
      <c r="BK38" s="239" t="str">
        <f t="shared" si="2"/>
        <v/>
      </c>
      <c r="BL38" s="239" t="str">
        <f t="shared" si="9"/>
        <v/>
      </c>
      <c r="BM38" s="239" t="str">
        <f t="shared" si="10"/>
        <v/>
      </c>
      <c r="BN38" s="240"/>
    </row>
    <row r="39" spans="1:66" ht="27.95" customHeight="1" x14ac:dyDescent="0.25">
      <c r="A39" s="222" t="str">
        <f>IF(D39="","",Cover!$D$8)</f>
        <v/>
      </c>
      <c r="B39" s="222" t="str">
        <f>IF(D39="","",Cover!$D$7)</f>
        <v/>
      </c>
      <c r="C39" s="223" t="str">
        <f>IF(F39="","",IFERROR(VLOOKUP(F39,'Master Data'!$E$59:$J$146,6,FALSE),0))</f>
        <v/>
      </c>
      <c r="D39" s="224" t="str">
        <f>IF(F39="","",IFERROR(VLOOKUP(F39,'Master Data'!$E$59:$L$146,8,FALSE),0))</f>
        <v/>
      </c>
      <c r="E39" s="223" t="str">
        <f>IF(D39="","",IFERROR(VLOOKUP(D39,'Master Data'!$D$59:$I$146,6,FALSE),0))</f>
        <v/>
      </c>
      <c r="F39" s="225"/>
      <c r="G39" s="226"/>
      <c r="H39" s="227">
        <f>IFERROR(VLOOKUP(G39,'Master Data'!$C$336:$I$353,7,FALSE),0)</f>
        <v>0</v>
      </c>
      <c r="I39" s="228">
        <f>IFERROR(VLOOKUP(H39,'Master Data'!$B$336:$D$351,3,FALSE),0)</f>
        <v>0</v>
      </c>
      <c r="J39" s="229">
        <f>IFERROR(VLOOKUP(H39,'Master Data'!$B$336:$H$353,7,FALSE),0)</f>
        <v>0</v>
      </c>
      <c r="K39" s="230"/>
      <c r="L39" s="231" t="str">
        <f>IFERROR(IF(I39="FIXED ASSET",J39&amp;E39&amp;K39,VLOOKUP(F39,'Master Data'!$E$59:$H$144,4,FALSE)&amp;"-"&amp;J39&amp;"-"&amp;K39),"-")</f>
        <v>-</v>
      </c>
      <c r="M39" s="225"/>
      <c r="N39" s="232"/>
      <c r="O39" s="233"/>
      <c r="P39" s="233"/>
      <c r="Q39" s="233"/>
      <c r="R39" s="233"/>
      <c r="S39" s="233"/>
      <c r="T39" s="233"/>
      <c r="U39" s="233"/>
      <c r="V39" s="233"/>
      <c r="W39" s="233"/>
      <c r="X39" s="233"/>
      <c r="Y39" s="233"/>
      <c r="Z39" s="233"/>
      <c r="AA39" s="234">
        <f t="shared" si="4"/>
        <v>0</v>
      </c>
      <c r="AB39" s="264"/>
      <c r="AC39" s="233"/>
      <c r="AD39" s="233"/>
      <c r="AE39" s="233"/>
      <c r="AF39" s="233"/>
      <c r="AG39" s="233"/>
      <c r="AH39" s="233"/>
      <c r="AI39" s="233"/>
      <c r="AJ39" s="233"/>
      <c r="AK39" s="233"/>
      <c r="AL39" s="233"/>
      <c r="AM39" s="233"/>
      <c r="AN39" s="233"/>
      <c r="AO39" s="234">
        <f t="shared" si="5"/>
        <v>0</v>
      </c>
      <c r="AP39" s="235"/>
      <c r="AQ39" s="233"/>
      <c r="AR39" s="233"/>
      <c r="AS39" s="233"/>
      <c r="AT39" s="233"/>
      <c r="AU39" s="233"/>
      <c r="AV39" s="233"/>
      <c r="AW39" s="233"/>
      <c r="AX39" s="233"/>
      <c r="AY39" s="233"/>
      <c r="AZ39" s="233"/>
      <c r="BA39" s="233"/>
      <c r="BB39" s="233"/>
      <c r="BC39" s="234">
        <f t="shared" si="6"/>
        <v>0</v>
      </c>
      <c r="BD39" s="236">
        <f t="shared" si="7"/>
        <v>0</v>
      </c>
      <c r="BE39" s="226"/>
      <c r="BF39" s="237"/>
      <c r="BG39" s="237"/>
      <c r="BH39" s="237"/>
      <c r="BI39" s="238">
        <f t="shared" si="8"/>
        <v>0</v>
      </c>
      <c r="BJ39" s="237"/>
      <c r="BK39" s="239" t="str">
        <f t="shared" si="2"/>
        <v/>
      </c>
      <c r="BL39" s="239" t="str">
        <f t="shared" si="9"/>
        <v/>
      </c>
      <c r="BM39" s="239" t="str">
        <f t="shared" si="10"/>
        <v/>
      </c>
      <c r="BN39" s="240"/>
    </row>
    <row r="40" spans="1:66" ht="27.95" customHeight="1" x14ac:dyDescent="0.25">
      <c r="A40" s="222" t="str">
        <f>IF(D40="","",Cover!$D$8)</f>
        <v/>
      </c>
      <c r="B40" s="222" t="str">
        <f>IF(D40="","",Cover!$D$7)</f>
        <v/>
      </c>
      <c r="C40" s="223" t="str">
        <f>IF(F40="","",IFERROR(VLOOKUP(F40,'Master Data'!$E$59:$J$146,6,FALSE),0))</f>
        <v/>
      </c>
      <c r="D40" s="224" t="str">
        <f>IF(F40="","",IFERROR(VLOOKUP(F40,'Master Data'!$E$59:$L$146,8,FALSE),0))</f>
        <v/>
      </c>
      <c r="E40" s="223" t="str">
        <f>IF(D40="","",IFERROR(VLOOKUP(D40,'Master Data'!$D$59:$I$146,6,FALSE),0))</f>
        <v/>
      </c>
      <c r="F40" s="225"/>
      <c r="G40" s="226"/>
      <c r="H40" s="227">
        <f>IFERROR(VLOOKUP(G40,'Master Data'!$C$336:$I$353,7,FALSE),0)</f>
        <v>0</v>
      </c>
      <c r="I40" s="228">
        <f>IFERROR(VLOOKUP(H40,'Master Data'!$B$336:$D$351,3,FALSE),0)</f>
        <v>0</v>
      </c>
      <c r="J40" s="229">
        <f>IFERROR(VLOOKUP(H40,'Master Data'!$B$336:$H$353,7,FALSE),0)</f>
        <v>0</v>
      </c>
      <c r="K40" s="230"/>
      <c r="L40" s="231" t="str">
        <f>IFERROR(IF(I40="FIXED ASSET",J40&amp;E40&amp;K40,VLOOKUP(F40,'Master Data'!$E$59:$H$144,4,FALSE)&amp;"-"&amp;J40&amp;"-"&amp;K40),"-")</f>
        <v>-</v>
      </c>
      <c r="M40" s="225"/>
      <c r="N40" s="232"/>
      <c r="O40" s="233"/>
      <c r="P40" s="233"/>
      <c r="Q40" s="233"/>
      <c r="R40" s="233"/>
      <c r="S40" s="233"/>
      <c r="T40" s="233"/>
      <c r="U40" s="233"/>
      <c r="V40" s="233"/>
      <c r="W40" s="233"/>
      <c r="X40" s="233"/>
      <c r="Y40" s="233"/>
      <c r="Z40" s="233"/>
      <c r="AA40" s="234">
        <f t="shared" si="4"/>
        <v>0</v>
      </c>
      <c r="AB40" s="264"/>
      <c r="AC40" s="233"/>
      <c r="AD40" s="233"/>
      <c r="AE40" s="233"/>
      <c r="AF40" s="233"/>
      <c r="AG40" s="233"/>
      <c r="AH40" s="233"/>
      <c r="AI40" s="233"/>
      <c r="AJ40" s="233"/>
      <c r="AK40" s="233"/>
      <c r="AL40" s="233"/>
      <c r="AM40" s="233"/>
      <c r="AN40" s="233"/>
      <c r="AO40" s="234">
        <f t="shared" si="5"/>
        <v>0</v>
      </c>
      <c r="AP40" s="235"/>
      <c r="AQ40" s="233"/>
      <c r="AR40" s="233"/>
      <c r="AS40" s="233"/>
      <c r="AT40" s="233"/>
      <c r="AU40" s="233"/>
      <c r="AV40" s="233"/>
      <c r="AW40" s="233"/>
      <c r="AX40" s="233"/>
      <c r="AY40" s="233"/>
      <c r="AZ40" s="233"/>
      <c r="BA40" s="233"/>
      <c r="BB40" s="233"/>
      <c r="BC40" s="234">
        <f t="shared" si="6"/>
        <v>0</v>
      </c>
      <c r="BD40" s="236">
        <f t="shared" si="7"/>
        <v>0</v>
      </c>
      <c r="BE40" s="226"/>
      <c r="BF40" s="237"/>
      <c r="BG40" s="237"/>
      <c r="BH40" s="237"/>
      <c r="BI40" s="238">
        <f t="shared" si="8"/>
        <v>0</v>
      </c>
      <c r="BJ40" s="237"/>
      <c r="BK40" s="239" t="str">
        <f t="shared" si="2"/>
        <v/>
      </c>
      <c r="BL40" s="239" t="str">
        <f t="shared" si="9"/>
        <v/>
      </c>
      <c r="BM40" s="239" t="str">
        <f t="shared" si="10"/>
        <v/>
      </c>
      <c r="BN40" s="240"/>
    </row>
    <row r="41" spans="1:66" ht="27.95" customHeight="1" x14ac:dyDescent="0.25">
      <c r="A41" s="222" t="str">
        <f>IF(D41="","",Cover!$D$8)</f>
        <v/>
      </c>
      <c r="B41" s="222" t="str">
        <f>IF(D41="","",Cover!$D$7)</f>
        <v/>
      </c>
      <c r="C41" s="223" t="str">
        <f>IF(F41="","",IFERROR(VLOOKUP(F41,'Master Data'!$E$59:$J$146,6,FALSE),0))</f>
        <v/>
      </c>
      <c r="D41" s="224" t="str">
        <f>IF(F41="","",IFERROR(VLOOKUP(F41,'Master Data'!$E$59:$L$146,8,FALSE),0))</f>
        <v/>
      </c>
      <c r="E41" s="223" t="str">
        <f>IF(D41="","",IFERROR(VLOOKUP(D41,'Master Data'!$D$59:$I$146,6,FALSE),0))</f>
        <v/>
      </c>
      <c r="F41" s="225"/>
      <c r="G41" s="226"/>
      <c r="H41" s="227">
        <f>IFERROR(VLOOKUP(G41,'Master Data'!$C$336:$I$353,7,FALSE),0)</f>
        <v>0</v>
      </c>
      <c r="I41" s="228">
        <f>IFERROR(VLOOKUP(H41,'Master Data'!$B$336:$D$351,3,FALSE),0)</f>
        <v>0</v>
      </c>
      <c r="J41" s="229">
        <f>IFERROR(VLOOKUP(H41,'Master Data'!$B$336:$H$353,7,FALSE),0)</f>
        <v>0</v>
      </c>
      <c r="K41" s="230"/>
      <c r="L41" s="231" t="str">
        <f>IFERROR(IF(I41="FIXED ASSET",J41&amp;E41&amp;K41,VLOOKUP(F41,'Master Data'!$E$59:$H$144,4,FALSE)&amp;"-"&amp;J41&amp;"-"&amp;K41),"-")</f>
        <v>-</v>
      </c>
      <c r="M41" s="225"/>
      <c r="N41" s="232"/>
      <c r="O41" s="233"/>
      <c r="P41" s="233"/>
      <c r="Q41" s="233"/>
      <c r="R41" s="233"/>
      <c r="S41" s="233"/>
      <c r="T41" s="233"/>
      <c r="U41" s="233"/>
      <c r="V41" s="233"/>
      <c r="W41" s="233"/>
      <c r="X41" s="233"/>
      <c r="Y41" s="233"/>
      <c r="Z41" s="233"/>
      <c r="AA41" s="234">
        <f t="shared" si="4"/>
        <v>0</v>
      </c>
      <c r="AB41" s="264"/>
      <c r="AC41" s="233"/>
      <c r="AD41" s="233"/>
      <c r="AE41" s="233"/>
      <c r="AF41" s="233"/>
      <c r="AG41" s="233"/>
      <c r="AH41" s="233"/>
      <c r="AI41" s="233"/>
      <c r="AJ41" s="233"/>
      <c r="AK41" s="233"/>
      <c r="AL41" s="233"/>
      <c r="AM41" s="233"/>
      <c r="AN41" s="233"/>
      <c r="AO41" s="234">
        <f t="shared" si="5"/>
        <v>0</v>
      </c>
      <c r="AP41" s="235"/>
      <c r="AQ41" s="233"/>
      <c r="AR41" s="233"/>
      <c r="AS41" s="233"/>
      <c r="AT41" s="233"/>
      <c r="AU41" s="233"/>
      <c r="AV41" s="233"/>
      <c r="AW41" s="233"/>
      <c r="AX41" s="233"/>
      <c r="AY41" s="233"/>
      <c r="AZ41" s="233"/>
      <c r="BA41" s="233"/>
      <c r="BB41" s="233"/>
      <c r="BC41" s="234">
        <f t="shared" si="6"/>
        <v>0</v>
      </c>
      <c r="BD41" s="236">
        <f t="shared" si="7"/>
        <v>0</v>
      </c>
      <c r="BE41" s="226"/>
      <c r="BF41" s="237"/>
      <c r="BG41" s="237"/>
      <c r="BH41" s="237"/>
      <c r="BI41" s="238">
        <f t="shared" si="8"/>
        <v>0</v>
      </c>
      <c r="BJ41" s="237"/>
      <c r="BK41" s="239" t="str">
        <f t="shared" si="2"/>
        <v/>
      </c>
      <c r="BL41" s="239" t="str">
        <f t="shared" si="9"/>
        <v/>
      </c>
      <c r="BM41" s="239" t="str">
        <f t="shared" si="10"/>
        <v/>
      </c>
      <c r="BN41" s="240"/>
    </row>
    <row r="42" spans="1:66" ht="27.95" customHeight="1" x14ac:dyDescent="0.25">
      <c r="A42" s="222" t="str">
        <f>IF(D42="","",Cover!$D$8)</f>
        <v/>
      </c>
      <c r="B42" s="222" t="str">
        <f>IF(D42="","",Cover!$D$7)</f>
        <v/>
      </c>
      <c r="C42" s="223" t="str">
        <f>IF(F42="","",IFERROR(VLOOKUP(F42,'Master Data'!$E$59:$J$146,6,FALSE),0))</f>
        <v/>
      </c>
      <c r="D42" s="224" t="str">
        <f>IF(F42="","",IFERROR(VLOOKUP(F42,'Master Data'!$E$59:$L$146,8,FALSE),0))</f>
        <v/>
      </c>
      <c r="E42" s="223" t="str">
        <f>IF(D42="","",IFERROR(VLOOKUP(D42,'Master Data'!$D$59:$I$146,6,FALSE),0))</f>
        <v/>
      </c>
      <c r="F42" s="225"/>
      <c r="G42" s="226"/>
      <c r="H42" s="227">
        <f>IFERROR(VLOOKUP(G42,'Master Data'!$C$336:$I$353,7,FALSE),0)</f>
        <v>0</v>
      </c>
      <c r="I42" s="228">
        <f>IFERROR(VLOOKUP(H42,'Master Data'!$B$336:$D$351,3,FALSE),0)</f>
        <v>0</v>
      </c>
      <c r="J42" s="229">
        <f>IFERROR(VLOOKUP(H42,'Master Data'!$B$336:$H$353,7,FALSE),0)</f>
        <v>0</v>
      </c>
      <c r="K42" s="230"/>
      <c r="L42" s="231" t="str">
        <f>IFERROR(IF(I42="FIXED ASSET",J42&amp;E42&amp;K42,VLOOKUP(F42,'Master Data'!$E$59:$H$144,4,FALSE)&amp;"-"&amp;J42&amp;"-"&amp;K42),"-")</f>
        <v>-</v>
      </c>
      <c r="M42" s="225"/>
      <c r="N42" s="232"/>
      <c r="O42" s="233"/>
      <c r="P42" s="233"/>
      <c r="Q42" s="233"/>
      <c r="R42" s="233"/>
      <c r="S42" s="233"/>
      <c r="T42" s="233"/>
      <c r="U42" s="233"/>
      <c r="V42" s="233"/>
      <c r="W42" s="233"/>
      <c r="X42" s="233"/>
      <c r="Y42" s="233"/>
      <c r="Z42" s="233"/>
      <c r="AA42" s="234">
        <f t="shared" si="4"/>
        <v>0</v>
      </c>
      <c r="AB42" s="264"/>
      <c r="AC42" s="233"/>
      <c r="AD42" s="233"/>
      <c r="AE42" s="233"/>
      <c r="AF42" s="233"/>
      <c r="AG42" s="233"/>
      <c r="AH42" s="233"/>
      <c r="AI42" s="233"/>
      <c r="AJ42" s="233"/>
      <c r="AK42" s="233"/>
      <c r="AL42" s="233"/>
      <c r="AM42" s="233"/>
      <c r="AN42" s="233"/>
      <c r="AO42" s="234">
        <f t="shared" si="5"/>
        <v>0</v>
      </c>
      <c r="AP42" s="235"/>
      <c r="AQ42" s="233"/>
      <c r="AR42" s="233"/>
      <c r="AS42" s="233"/>
      <c r="AT42" s="233"/>
      <c r="AU42" s="233"/>
      <c r="AV42" s="233"/>
      <c r="AW42" s="233"/>
      <c r="AX42" s="233"/>
      <c r="AY42" s="233"/>
      <c r="AZ42" s="233"/>
      <c r="BA42" s="233"/>
      <c r="BB42" s="233"/>
      <c r="BC42" s="234">
        <f t="shared" si="6"/>
        <v>0</v>
      </c>
      <c r="BD42" s="236">
        <f t="shared" si="7"/>
        <v>0</v>
      </c>
      <c r="BE42" s="226"/>
      <c r="BF42" s="237"/>
      <c r="BG42" s="237"/>
      <c r="BH42" s="237"/>
      <c r="BI42" s="238">
        <f t="shared" si="8"/>
        <v>0</v>
      </c>
      <c r="BJ42" s="237"/>
      <c r="BK42" s="239" t="str">
        <f t="shared" si="2"/>
        <v/>
      </c>
      <c r="BL42" s="239" t="str">
        <f t="shared" si="9"/>
        <v/>
      </c>
      <c r="BM42" s="239" t="str">
        <f t="shared" si="10"/>
        <v/>
      </c>
      <c r="BN42" s="240"/>
    </row>
    <row r="43" spans="1:66" ht="27.95" customHeight="1" x14ac:dyDescent="0.25">
      <c r="A43" s="222" t="str">
        <f>IF(D43="","",Cover!$D$8)</f>
        <v/>
      </c>
      <c r="B43" s="222" t="str">
        <f>IF(D43="","",Cover!$D$7)</f>
        <v/>
      </c>
      <c r="C43" s="223" t="str">
        <f>IF(F43="","",IFERROR(VLOOKUP(F43,'Master Data'!$E$59:$J$146,6,FALSE),0))</f>
        <v/>
      </c>
      <c r="D43" s="224" t="str">
        <f>IF(F43="","",IFERROR(VLOOKUP(F43,'Master Data'!$E$59:$L$146,8,FALSE),0))</f>
        <v/>
      </c>
      <c r="E43" s="223" t="str">
        <f>IF(D43="","",IFERROR(VLOOKUP(D43,'Master Data'!$D$59:$I$146,6,FALSE),0))</f>
        <v/>
      </c>
      <c r="F43" s="225"/>
      <c r="G43" s="226"/>
      <c r="H43" s="227">
        <f>IFERROR(VLOOKUP(G43,'Master Data'!$C$336:$I$353,7,FALSE),0)</f>
        <v>0</v>
      </c>
      <c r="I43" s="228">
        <f>IFERROR(VLOOKUP(H43,'Master Data'!$B$336:$D$351,3,FALSE),0)</f>
        <v>0</v>
      </c>
      <c r="J43" s="229">
        <f>IFERROR(VLOOKUP(H43,'Master Data'!$B$336:$H$353,7,FALSE),0)</f>
        <v>0</v>
      </c>
      <c r="K43" s="230"/>
      <c r="L43" s="231" t="str">
        <f>IFERROR(IF(I43="FIXED ASSET",J43&amp;E43&amp;K43,VLOOKUP(F43,'Master Data'!$E$59:$H$144,4,FALSE)&amp;"-"&amp;J43&amp;"-"&amp;K43),"-")</f>
        <v>-</v>
      </c>
      <c r="M43" s="225"/>
      <c r="N43" s="232"/>
      <c r="O43" s="233"/>
      <c r="P43" s="233"/>
      <c r="Q43" s="233"/>
      <c r="R43" s="233"/>
      <c r="S43" s="233"/>
      <c r="T43" s="233"/>
      <c r="U43" s="233"/>
      <c r="V43" s="233"/>
      <c r="W43" s="233"/>
      <c r="X43" s="233"/>
      <c r="Y43" s="233"/>
      <c r="Z43" s="233"/>
      <c r="AA43" s="234">
        <f t="shared" si="4"/>
        <v>0</v>
      </c>
      <c r="AB43" s="264"/>
      <c r="AC43" s="233"/>
      <c r="AD43" s="233"/>
      <c r="AE43" s="233"/>
      <c r="AF43" s="233"/>
      <c r="AG43" s="233"/>
      <c r="AH43" s="233"/>
      <c r="AI43" s="233"/>
      <c r="AJ43" s="233"/>
      <c r="AK43" s="233"/>
      <c r="AL43" s="233"/>
      <c r="AM43" s="233"/>
      <c r="AN43" s="233"/>
      <c r="AO43" s="234">
        <f t="shared" si="5"/>
        <v>0</v>
      </c>
      <c r="AP43" s="235"/>
      <c r="AQ43" s="233"/>
      <c r="AR43" s="233"/>
      <c r="AS43" s="233"/>
      <c r="AT43" s="233"/>
      <c r="AU43" s="233"/>
      <c r="AV43" s="233"/>
      <c r="AW43" s="233"/>
      <c r="AX43" s="233"/>
      <c r="AY43" s="233"/>
      <c r="AZ43" s="233"/>
      <c r="BA43" s="233"/>
      <c r="BB43" s="233"/>
      <c r="BC43" s="234">
        <f t="shared" si="6"/>
        <v>0</v>
      </c>
      <c r="BD43" s="236">
        <f t="shared" si="7"/>
        <v>0</v>
      </c>
      <c r="BE43" s="226"/>
      <c r="BF43" s="237"/>
      <c r="BG43" s="237"/>
      <c r="BH43" s="237"/>
      <c r="BI43" s="238">
        <f t="shared" si="8"/>
        <v>0</v>
      </c>
      <c r="BJ43" s="237"/>
      <c r="BK43" s="239" t="str">
        <f t="shared" si="2"/>
        <v/>
      </c>
      <c r="BL43" s="239" t="str">
        <f t="shared" si="9"/>
        <v/>
      </c>
      <c r="BM43" s="239" t="str">
        <f t="shared" si="10"/>
        <v/>
      </c>
      <c r="BN43" s="240"/>
    </row>
    <row r="44" spans="1:66" ht="27.95" customHeight="1" x14ac:dyDescent="0.25">
      <c r="A44" s="222" t="str">
        <f>IF(D44="","",Cover!$D$8)</f>
        <v/>
      </c>
      <c r="B44" s="222" t="str">
        <f>IF(D44="","",Cover!$D$7)</f>
        <v/>
      </c>
      <c r="C44" s="223" t="str">
        <f>IF(F44="","",IFERROR(VLOOKUP(F44,'Master Data'!$E$59:$J$146,6,FALSE),0))</f>
        <v/>
      </c>
      <c r="D44" s="224" t="str">
        <f>IF(F44="","",IFERROR(VLOOKUP(F44,'Master Data'!$E$59:$L$146,8,FALSE),0))</f>
        <v/>
      </c>
      <c r="E44" s="223" t="str">
        <f>IF(D44="","",IFERROR(VLOOKUP(D44,'Master Data'!$D$59:$I$146,6,FALSE),0))</f>
        <v/>
      </c>
      <c r="F44" s="225"/>
      <c r="G44" s="226"/>
      <c r="H44" s="227">
        <f>IFERROR(VLOOKUP(G44,'Master Data'!$C$336:$I$353,7,FALSE),0)</f>
        <v>0</v>
      </c>
      <c r="I44" s="228">
        <f>IFERROR(VLOOKUP(H44,'Master Data'!$B$336:$D$351,3,FALSE),0)</f>
        <v>0</v>
      </c>
      <c r="J44" s="229">
        <f>IFERROR(VLOOKUP(H44,'Master Data'!$B$336:$H$353,7,FALSE),0)</f>
        <v>0</v>
      </c>
      <c r="K44" s="230"/>
      <c r="L44" s="231" t="str">
        <f>IFERROR(IF(I44="FIXED ASSET",J44&amp;E44&amp;K44,VLOOKUP(F44,'Master Data'!$E$59:$H$144,4,FALSE)&amp;"-"&amp;J44&amp;"-"&amp;K44),"-")</f>
        <v>-</v>
      </c>
      <c r="M44" s="225"/>
      <c r="N44" s="232"/>
      <c r="O44" s="233"/>
      <c r="P44" s="233"/>
      <c r="Q44" s="233"/>
      <c r="R44" s="233"/>
      <c r="S44" s="233"/>
      <c r="T44" s="233"/>
      <c r="U44" s="233"/>
      <c r="V44" s="233"/>
      <c r="W44" s="233"/>
      <c r="X44" s="233"/>
      <c r="Y44" s="233"/>
      <c r="Z44" s="233"/>
      <c r="AA44" s="234">
        <f t="shared" si="4"/>
        <v>0</v>
      </c>
      <c r="AB44" s="264"/>
      <c r="AC44" s="233"/>
      <c r="AD44" s="233"/>
      <c r="AE44" s="233"/>
      <c r="AF44" s="233"/>
      <c r="AG44" s="233"/>
      <c r="AH44" s="233"/>
      <c r="AI44" s="233"/>
      <c r="AJ44" s="233"/>
      <c r="AK44" s="233"/>
      <c r="AL44" s="233"/>
      <c r="AM44" s="233"/>
      <c r="AN44" s="233"/>
      <c r="AO44" s="234">
        <f t="shared" si="5"/>
        <v>0</v>
      </c>
      <c r="AP44" s="235"/>
      <c r="AQ44" s="233"/>
      <c r="AR44" s="233"/>
      <c r="AS44" s="233"/>
      <c r="AT44" s="233"/>
      <c r="AU44" s="233"/>
      <c r="AV44" s="233"/>
      <c r="AW44" s="233"/>
      <c r="AX44" s="233"/>
      <c r="AY44" s="233"/>
      <c r="AZ44" s="233"/>
      <c r="BA44" s="233"/>
      <c r="BB44" s="233"/>
      <c r="BC44" s="234">
        <f t="shared" si="6"/>
        <v>0</v>
      </c>
      <c r="BD44" s="236">
        <f t="shared" si="7"/>
        <v>0</v>
      </c>
      <c r="BE44" s="226"/>
      <c r="BF44" s="237"/>
      <c r="BG44" s="237"/>
      <c r="BH44" s="237"/>
      <c r="BI44" s="238">
        <f t="shared" si="8"/>
        <v>0</v>
      </c>
      <c r="BJ44" s="237"/>
      <c r="BK44" s="239" t="str">
        <f t="shared" si="2"/>
        <v/>
      </c>
      <c r="BL44" s="239" t="str">
        <f t="shared" si="9"/>
        <v/>
      </c>
      <c r="BM44" s="239" t="str">
        <f t="shared" si="10"/>
        <v/>
      </c>
      <c r="BN44" s="240"/>
    </row>
    <row r="45" spans="1:66" ht="27.95" customHeight="1" x14ac:dyDescent="0.25">
      <c r="A45" s="222" t="str">
        <f>IF(D45="","",Cover!$D$8)</f>
        <v/>
      </c>
      <c r="B45" s="222" t="str">
        <f>IF(D45="","",Cover!$D$7)</f>
        <v/>
      </c>
      <c r="C45" s="223" t="str">
        <f>IF(F45="","",IFERROR(VLOOKUP(F45,'Master Data'!$E$59:$J$146,6,FALSE),0))</f>
        <v/>
      </c>
      <c r="D45" s="224" t="str">
        <f>IF(F45="","",IFERROR(VLOOKUP(F45,'Master Data'!$E$59:$L$146,8,FALSE),0))</f>
        <v/>
      </c>
      <c r="E45" s="223" t="str">
        <f>IF(D45="","",IFERROR(VLOOKUP(D45,'Master Data'!$D$59:$I$146,6,FALSE),0))</f>
        <v/>
      </c>
      <c r="F45" s="225"/>
      <c r="G45" s="226"/>
      <c r="H45" s="227">
        <f>IFERROR(VLOOKUP(G45,'Master Data'!$C$336:$I$353,7,FALSE),0)</f>
        <v>0</v>
      </c>
      <c r="I45" s="228">
        <f>IFERROR(VLOOKUP(H45,'Master Data'!$B$336:$D$351,3,FALSE),0)</f>
        <v>0</v>
      </c>
      <c r="J45" s="229">
        <f>IFERROR(VLOOKUP(H45,'Master Data'!$B$336:$H$353,7,FALSE),0)</f>
        <v>0</v>
      </c>
      <c r="K45" s="230"/>
      <c r="L45" s="231" t="str">
        <f>IFERROR(IF(I45="FIXED ASSET",J45&amp;E45&amp;K45,VLOOKUP(F45,'Master Data'!$E$59:$H$144,4,FALSE)&amp;"-"&amp;J45&amp;"-"&amp;K45),"-")</f>
        <v>-</v>
      </c>
      <c r="M45" s="225"/>
      <c r="N45" s="232"/>
      <c r="O45" s="233"/>
      <c r="P45" s="233"/>
      <c r="Q45" s="233"/>
      <c r="R45" s="233"/>
      <c r="S45" s="233"/>
      <c r="T45" s="233"/>
      <c r="U45" s="233"/>
      <c r="V45" s="233"/>
      <c r="W45" s="233"/>
      <c r="X45" s="233"/>
      <c r="Y45" s="233"/>
      <c r="Z45" s="233"/>
      <c r="AA45" s="234">
        <f t="shared" si="4"/>
        <v>0</v>
      </c>
      <c r="AB45" s="264"/>
      <c r="AC45" s="233"/>
      <c r="AD45" s="233"/>
      <c r="AE45" s="233"/>
      <c r="AF45" s="233"/>
      <c r="AG45" s="233"/>
      <c r="AH45" s="233"/>
      <c r="AI45" s="233"/>
      <c r="AJ45" s="233"/>
      <c r="AK45" s="233"/>
      <c r="AL45" s="233"/>
      <c r="AM45" s="233"/>
      <c r="AN45" s="233"/>
      <c r="AO45" s="234">
        <f t="shared" si="5"/>
        <v>0</v>
      </c>
      <c r="AP45" s="235"/>
      <c r="AQ45" s="233"/>
      <c r="AR45" s="233"/>
      <c r="AS45" s="233"/>
      <c r="AT45" s="233"/>
      <c r="AU45" s="233"/>
      <c r="AV45" s="233"/>
      <c r="AW45" s="233"/>
      <c r="AX45" s="233"/>
      <c r="AY45" s="233"/>
      <c r="AZ45" s="233"/>
      <c r="BA45" s="233"/>
      <c r="BB45" s="233"/>
      <c r="BC45" s="234">
        <f t="shared" si="6"/>
        <v>0</v>
      </c>
      <c r="BD45" s="236">
        <f t="shared" si="7"/>
        <v>0</v>
      </c>
      <c r="BE45" s="226"/>
      <c r="BF45" s="237"/>
      <c r="BG45" s="237"/>
      <c r="BH45" s="237"/>
      <c r="BI45" s="238">
        <f t="shared" si="8"/>
        <v>0</v>
      </c>
      <c r="BJ45" s="237"/>
      <c r="BK45" s="239" t="str">
        <f t="shared" si="2"/>
        <v/>
      </c>
      <c r="BL45" s="239" t="str">
        <f t="shared" si="9"/>
        <v/>
      </c>
      <c r="BM45" s="239" t="str">
        <f t="shared" si="10"/>
        <v/>
      </c>
      <c r="BN45" s="240"/>
    </row>
    <row r="46" spans="1:66" ht="27.95" customHeight="1" x14ac:dyDescent="0.25">
      <c r="A46" s="222" t="str">
        <f>IF(D46="","",Cover!$D$8)</f>
        <v/>
      </c>
      <c r="B46" s="222" t="str">
        <f>IF(D46="","",Cover!$D$7)</f>
        <v/>
      </c>
      <c r="C46" s="223" t="str">
        <f>IF(F46="","",IFERROR(VLOOKUP(F46,'Master Data'!$E$59:$J$146,6,FALSE),0))</f>
        <v/>
      </c>
      <c r="D46" s="224" t="str">
        <f>IF(F46="","",IFERROR(VLOOKUP(F46,'Master Data'!$E$59:$L$146,8,FALSE),0))</f>
        <v/>
      </c>
      <c r="E46" s="223" t="str">
        <f>IF(D46="","",IFERROR(VLOOKUP(D46,'Master Data'!$D$59:$I$146,6,FALSE),0))</f>
        <v/>
      </c>
      <c r="F46" s="225"/>
      <c r="G46" s="226"/>
      <c r="H46" s="227">
        <f>IFERROR(VLOOKUP(G46,'Master Data'!$C$336:$I$353,7,FALSE),0)</f>
        <v>0</v>
      </c>
      <c r="I46" s="228">
        <f>IFERROR(VLOOKUP(H46,'Master Data'!$B$336:$D$351,3,FALSE),0)</f>
        <v>0</v>
      </c>
      <c r="J46" s="229">
        <f>IFERROR(VLOOKUP(H46,'Master Data'!$B$336:$H$353,7,FALSE),0)</f>
        <v>0</v>
      </c>
      <c r="K46" s="230"/>
      <c r="L46" s="231" t="str">
        <f>IFERROR(IF(I46="FIXED ASSET",J46&amp;E46&amp;K46,VLOOKUP(F46,'Master Data'!$E$59:$H$144,4,FALSE)&amp;"-"&amp;J46&amp;"-"&amp;K46),"-")</f>
        <v>-</v>
      </c>
      <c r="M46" s="225"/>
      <c r="N46" s="232"/>
      <c r="O46" s="233"/>
      <c r="P46" s="233"/>
      <c r="Q46" s="233"/>
      <c r="R46" s="233"/>
      <c r="S46" s="233"/>
      <c r="T46" s="233"/>
      <c r="U46" s="233"/>
      <c r="V46" s="233"/>
      <c r="W46" s="233"/>
      <c r="X46" s="233"/>
      <c r="Y46" s="233"/>
      <c r="Z46" s="233"/>
      <c r="AA46" s="234">
        <f t="shared" si="4"/>
        <v>0</v>
      </c>
      <c r="AB46" s="264"/>
      <c r="AC46" s="233"/>
      <c r="AD46" s="233"/>
      <c r="AE46" s="233"/>
      <c r="AF46" s="233"/>
      <c r="AG46" s="233"/>
      <c r="AH46" s="233"/>
      <c r="AI46" s="233"/>
      <c r="AJ46" s="233"/>
      <c r="AK46" s="233"/>
      <c r="AL46" s="233"/>
      <c r="AM46" s="233"/>
      <c r="AN46" s="233"/>
      <c r="AO46" s="234">
        <f t="shared" si="5"/>
        <v>0</v>
      </c>
      <c r="AP46" s="235"/>
      <c r="AQ46" s="233"/>
      <c r="AR46" s="233"/>
      <c r="AS46" s="233"/>
      <c r="AT46" s="233"/>
      <c r="AU46" s="233"/>
      <c r="AV46" s="233"/>
      <c r="AW46" s="233"/>
      <c r="AX46" s="233"/>
      <c r="AY46" s="233"/>
      <c r="AZ46" s="233"/>
      <c r="BA46" s="233"/>
      <c r="BB46" s="233"/>
      <c r="BC46" s="234">
        <f t="shared" si="6"/>
        <v>0</v>
      </c>
      <c r="BD46" s="236">
        <f t="shared" si="7"/>
        <v>0</v>
      </c>
      <c r="BE46" s="226"/>
      <c r="BF46" s="237"/>
      <c r="BG46" s="237"/>
      <c r="BH46" s="237"/>
      <c r="BI46" s="238">
        <f t="shared" si="8"/>
        <v>0</v>
      </c>
      <c r="BJ46" s="237"/>
      <c r="BK46" s="239" t="str">
        <f t="shared" si="2"/>
        <v/>
      </c>
      <c r="BL46" s="239" t="str">
        <f t="shared" si="9"/>
        <v/>
      </c>
      <c r="BM46" s="239" t="str">
        <f t="shared" si="10"/>
        <v/>
      </c>
      <c r="BN46" s="240"/>
    </row>
    <row r="47" spans="1:66" ht="27.95" customHeight="1" x14ac:dyDescent="0.25">
      <c r="A47" s="222" t="str">
        <f>IF(D47="","",Cover!$D$8)</f>
        <v/>
      </c>
      <c r="B47" s="222" t="str">
        <f>IF(D47="","",Cover!$D$7)</f>
        <v/>
      </c>
      <c r="C47" s="223" t="str">
        <f>IF(F47="","",IFERROR(VLOOKUP(F47,'Master Data'!$E$59:$J$146,6,FALSE),0))</f>
        <v/>
      </c>
      <c r="D47" s="224" t="str">
        <f>IF(F47="","",IFERROR(VLOOKUP(F47,'Master Data'!$E$59:$L$146,8,FALSE),0))</f>
        <v/>
      </c>
      <c r="E47" s="223" t="str">
        <f>IF(D47="","",IFERROR(VLOOKUP(D47,'Master Data'!$D$59:$I$146,6,FALSE),0))</f>
        <v/>
      </c>
      <c r="F47" s="225"/>
      <c r="G47" s="226"/>
      <c r="H47" s="227">
        <f>IFERROR(VLOOKUP(G47,'Master Data'!$C$336:$I$353,7,FALSE),0)</f>
        <v>0</v>
      </c>
      <c r="I47" s="228">
        <f>IFERROR(VLOOKUP(H47,'Master Data'!$B$336:$D$351,3,FALSE),0)</f>
        <v>0</v>
      </c>
      <c r="J47" s="229">
        <f>IFERROR(VLOOKUP(H47,'Master Data'!$B$336:$H$353,7,FALSE),0)</f>
        <v>0</v>
      </c>
      <c r="K47" s="230"/>
      <c r="L47" s="231" t="str">
        <f>IFERROR(IF(I47="FIXED ASSET",J47&amp;E47&amp;K47,VLOOKUP(F47,'Master Data'!$E$59:$H$144,4,FALSE)&amp;"-"&amp;J47&amp;"-"&amp;K47),"-")</f>
        <v>-</v>
      </c>
      <c r="M47" s="225"/>
      <c r="N47" s="232"/>
      <c r="O47" s="233"/>
      <c r="P47" s="233"/>
      <c r="Q47" s="233"/>
      <c r="R47" s="233"/>
      <c r="S47" s="233"/>
      <c r="T47" s="233"/>
      <c r="U47" s="233"/>
      <c r="V47" s="233"/>
      <c r="W47" s="233"/>
      <c r="X47" s="233"/>
      <c r="Y47" s="233"/>
      <c r="Z47" s="233"/>
      <c r="AA47" s="234">
        <f t="shared" si="4"/>
        <v>0</v>
      </c>
      <c r="AB47" s="264"/>
      <c r="AC47" s="233"/>
      <c r="AD47" s="233"/>
      <c r="AE47" s="233"/>
      <c r="AF47" s="233"/>
      <c r="AG47" s="233"/>
      <c r="AH47" s="233"/>
      <c r="AI47" s="233"/>
      <c r="AJ47" s="233"/>
      <c r="AK47" s="233"/>
      <c r="AL47" s="233"/>
      <c r="AM47" s="233"/>
      <c r="AN47" s="233"/>
      <c r="AO47" s="234">
        <f t="shared" si="5"/>
        <v>0</v>
      </c>
      <c r="AP47" s="235"/>
      <c r="AQ47" s="233"/>
      <c r="AR47" s="233"/>
      <c r="AS47" s="233"/>
      <c r="AT47" s="233"/>
      <c r="AU47" s="233"/>
      <c r="AV47" s="233"/>
      <c r="AW47" s="233"/>
      <c r="AX47" s="233"/>
      <c r="AY47" s="233"/>
      <c r="AZ47" s="233"/>
      <c r="BA47" s="233"/>
      <c r="BB47" s="233"/>
      <c r="BC47" s="234">
        <f t="shared" si="6"/>
        <v>0</v>
      </c>
      <c r="BD47" s="236">
        <f t="shared" si="7"/>
        <v>0</v>
      </c>
      <c r="BE47" s="226"/>
      <c r="BF47" s="237"/>
      <c r="BG47" s="237"/>
      <c r="BH47" s="237"/>
      <c r="BI47" s="238">
        <f t="shared" si="8"/>
        <v>0</v>
      </c>
      <c r="BJ47" s="237"/>
      <c r="BK47" s="239" t="str">
        <f t="shared" si="2"/>
        <v/>
      </c>
      <c r="BL47" s="239" t="str">
        <f t="shared" si="9"/>
        <v/>
      </c>
      <c r="BM47" s="239" t="str">
        <f t="shared" si="10"/>
        <v/>
      </c>
      <c r="BN47" s="240"/>
    </row>
    <row r="48" spans="1:66" ht="27.95" customHeight="1" x14ac:dyDescent="0.25">
      <c r="A48" s="222" t="str">
        <f>IF(D48="","",Cover!$D$8)</f>
        <v/>
      </c>
      <c r="B48" s="222" t="str">
        <f>IF(D48="","",Cover!$D$7)</f>
        <v/>
      </c>
      <c r="C48" s="223" t="str">
        <f>IF(F48="","",IFERROR(VLOOKUP(F48,'Master Data'!$E$59:$J$146,6,FALSE),0))</f>
        <v/>
      </c>
      <c r="D48" s="224" t="str">
        <f>IF(F48="","",IFERROR(VLOOKUP(F48,'Master Data'!$E$59:$L$146,8,FALSE),0))</f>
        <v/>
      </c>
      <c r="E48" s="223" t="str">
        <f>IF(D48="","",IFERROR(VLOOKUP(D48,'Master Data'!$D$59:$I$146,6,FALSE),0))</f>
        <v/>
      </c>
      <c r="F48" s="225"/>
      <c r="G48" s="226"/>
      <c r="H48" s="227">
        <f>IFERROR(VLOOKUP(G48,'Master Data'!$C$336:$I$353,7,FALSE),0)</f>
        <v>0</v>
      </c>
      <c r="I48" s="228">
        <f>IFERROR(VLOOKUP(H48,'Master Data'!$B$336:$D$351,3,FALSE),0)</f>
        <v>0</v>
      </c>
      <c r="J48" s="229">
        <f>IFERROR(VLOOKUP(H48,'Master Data'!$B$336:$H$353,7,FALSE),0)</f>
        <v>0</v>
      </c>
      <c r="K48" s="230"/>
      <c r="L48" s="231" t="str">
        <f>IFERROR(IF(I48="FIXED ASSET",J48&amp;E48&amp;K48,VLOOKUP(F48,'Master Data'!$E$59:$H$144,4,FALSE)&amp;"-"&amp;J48&amp;"-"&amp;K48),"-")</f>
        <v>-</v>
      </c>
      <c r="M48" s="225"/>
      <c r="N48" s="232"/>
      <c r="O48" s="233"/>
      <c r="P48" s="233"/>
      <c r="Q48" s="233"/>
      <c r="R48" s="233"/>
      <c r="S48" s="233"/>
      <c r="T48" s="233"/>
      <c r="U48" s="233"/>
      <c r="V48" s="233"/>
      <c r="W48" s="233"/>
      <c r="X48" s="233"/>
      <c r="Y48" s="233"/>
      <c r="Z48" s="233"/>
      <c r="AA48" s="234">
        <f t="shared" si="4"/>
        <v>0</v>
      </c>
      <c r="AB48" s="264"/>
      <c r="AC48" s="233"/>
      <c r="AD48" s="233"/>
      <c r="AE48" s="233"/>
      <c r="AF48" s="233"/>
      <c r="AG48" s="233"/>
      <c r="AH48" s="233"/>
      <c r="AI48" s="233"/>
      <c r="AJ48" s="233"/>
      <c r="AK48" s="233"/>
      <c r="AL48" s="233"/>
      <c r="AM48" s="233"/>
      <c r="AN48" s="233"/>
      <c r="AO48" s="234">
        <f t="shared" si="5"/>
        <v>0</v>
      </c>
      <c r="AP48" s="235"/>
      <c r="AQ48" s="233"/>
      <c r="AR48" s="233"/>
      <c r="AS48" s="233"/>
      <c r="AT48" s="233"/>
      <c r="AU48" s="233"/>
      <c r="AV48" s="233"/>
      <c r="AW48" s="233"/>
      <c r="AX48" s="233"/>
      <c r="AY48" s="233"/>
      <c r="AZ48" s="233"/>
      <c r="BA48" s="233"/>
      <c r="BB48" s="233"/>
      <c r="BC48" s="234">
        <f t="shared" si="6"/>
        <v>0</v>
      </c>
      <c r="BD48" s="236">
        <f t="shared" si="7"/>
        <v>0</v>
      </c>
      <c r="BE48" s="226"/>
      <c r="BF48" s="237"/>
      <c r="BG48" s="237"/>
      <c r="BH48" s="237"/>
      <c r="BI48" s="238">
        <f t="shared" si="8"/>
        <v>0</v>
      </c>
      <c r="BJ48" s="237"/>
      <c r="BK48" s="239" t="str">
        <f t="shared" si="2"/>
        <v/>
      </c>
      <c r="BL48" s="239" t="str">
        <f t="shared" si="9"/>
        <v/>
      </c>
      <c r="BM48" s="239" t="str">
        <f t="shared" si="10"/>
        <v/>
      </c>
      <c r="BN48" s="240"/>
    </row>
    <row r="49" spans="1:66" ht="27.95" customHeight="1" x14ac:dyDescent="0.25">
      <c r="A49" s="222" t="str">
        <f>IF(D49="","",Cover!$D$8)</f>
        <v/>
      </c>
      <c r="B49" s="222" t="str">
        <f>IF(D49="","",Cover!$D$7)</f>
        <v/>
      </c>
      <c r="C49" s="223" t="str">
        <f>IF(F49="","",IFERROR(VLOOKUP(F49,'Master Data'!$E$59:$J$146,6,FALSE),0))</f>
        <v/>
      </c>
      <c r="D49" s="224" t="str">
        <f>IF(F49="","",IFERROR(VLOOKUP(F49,'Master Data'!$E$59:$L$146,8,FALSE),0))</f>
        <v/>
      </c>
      <c r="E49" s="223" t="str">
        <f>IF(D49="","",IFERROR(VLOOKUP(D49,'Master Data'!$D$59:$I$146,6,FALSE),0))</f>
        <v/>
      </c>
      <c r="F49" s="225"/>
      <c r="G49" s="226"/>
      <c r="H49" s="227">
        <f>IFERROR(VLOOKUP(G49,'Master Data'!$C$336:$I$353,7,FALSE),0)</f>
        <v>0</v>
      </c>
      <c r="I49" s="228">
        <f>IFERROR(VLOOKUP(H49,'Master Data'!$B$336:$D$351,3,FALSE),0)</f>
        <v>0</v>
      </c>
      <c r="J49" s="229">
        <f>IFERROR(VLOOKUP(H49,'Master Data'!$B$336:$H$353,7,FALSE),0)</f>
        <v>0</v>
      </c>
      <c r="K49" s="230"/>
      <c r="L49" s="231" t="str">
        <f>IFERROR(IF(I49="FIXED ASSET",J49&amp;E49&amp;K49,VLOOKUP(F49,'Master Data'!$E$59:$H$144,4,FALSE)&amp;"-"&amp;J49&amp;"-"&amp;K49),"-")</f>
        <v>-</v>
      </c>
      <c r="M49" s="225"/>
      <c r="N49" s="232"/>
      <c r="O49" s="233"/>
      <c r="P49" s="233"/>
      <c r="Q49" s="233"/>
      <c r="R49" s="233"/>
      <c r="S49" s="233"/>
      <c r="T49" s="233"/>
      <c r="U49" s="233"/>
      <c r="V49" s="233"/>
      <c r="W49" s="233"/>
      <c r="X49" s="233"/>
      <c r="Y49" s="233"/>
      <c r="Z49" s="233"/>
      <c r="AA49" s="234">
        <f t="shared" si="4"/>
        <v>0</v>
      </c>
      <c r="AB49" s="264"/>
      <c r="AC49" s="233"/>
      <c r="AD49" s="233"/>
      <c r="AE49" s="233"/>
      <c r="AF49" s="233"/>
      <c r="AG49" s="233"/>
      <c r="AH49" s="233"/>
      <c r="AI49" s="233"/>
      <c r="AJ49" s="233"/>
      <c r="AK49" s="233"/>
      <c r="AL49" s="233"/>
      <c r="AM49" s="233"/>
      <c r="AN49" s="233"/>
      <c r="AO49" s="234">
        <f t="shared" si="5"/>
        <v>0</v>
      </c>
      <c r="AP49" s="235"/>
      <c r="AQ49" s="233"/>
      <c r="AR49" s="233"/>
      <c r="AS49" s="233"/>
      <c r="AT49" s="233"/>
      <c r="AU49" s="233"/>
      <c r="AV49" s="233"/>
      <c r="AW49" s="233"/>
      <c r="AX49" s="233"/>
      <c r="AY49" s="233"/>
      <c r="AZ49" s="233"/>
      <c r="BA49" s="233"/>
      <c r="BB49" s="233"/>
      <c r="BC49" s="234">
        <f t="shared" si="6"/>
        <v>0</v>
      </c>
      <c r="BD49" s="236">
        <f t="shared" si="7"/>
        <v>0</v>
      </c>
      <c r="BE49" s="226"/>
      <c r="BF49" s="237"/>
      <c r="BG49" s="237"/>
      <c r="BH49" s="237"/>
      <c r="BI49" s="238">
        <f t="shared" si="8"/>
        <v>0</v>
      </c>
      <c r="BJ49" s="237"/>
      <c r="BK49" s="239" t="str">
        <f t="shared" si="2"/>
        <v/>
      </c>
      <c r="BL49" s="239" t="str">
        <f t="shared" si="9"/>
        <v/>
      </c>
      <c r="BM49" s="239" t="str">
        <f t="shared" si="10"/>
        <v/>
      </c>
      <c r="BN49" s="240"/>
    </row>
    <row r="50" spans="1:66" ht="27.95" customHeight="1" x14ac:dyDescent="0.25">
      <c r="A50" s="222" t="str">
        <f>IF(D50="","",Cover!$D$8)</f>
        <v/>
      </c>
      <c r="B50" s="222" t="str">
        <f>IF(D50="","",Cover!$D$7)</f>
        <v/>
      </c>
      <c r="C50" s="223" t="str">
        <f>IF(F50="","",IFERROR(VLOOKUP(F50,'Master Data'!$E$59:$J$146,6,FALSE),0))</f>
        <v/>
      </c>
      <c r="D50" s="224" t="str">
        <f>IF(F50="","",IFERROR(VLOOKUP(F50,'Master Data'!$E$59:$L$146,8,FALSE),0))</f>
        <v/>
      </c>
      <c r="E50" s="223" t="str">
        <f>IF(D50="","",IFERROR(VLOOKUP(D50,'Master Data'!$D$59:$I$146,6,FALSE),0))</f>
        <v/>
      </c>
      <c r="F50" s="225"/>
      <c r="G50" s="226"/>
      <c r="H50" s="227">
        <f>IFERROR(VLOOKUP(G50,'Master Data'!$C$336:$I$353,7,FALSE),0)</f>
        <v>0</v>
      </c>
      <c r="I50" s="228">
        <f>IFERROR(VLOOKUP(H50,'Master Data'!$B$336:$D$351,3,FALSE),0)</f>
        <v>0</v>
      </c>
      <c r="J50" s="229">
        <f>IFERROR(VLOOKUP(H50,'Master Data'!$B$336:$H$353,7,FALSE),0)</f>
        <v>0</v>
      </c>
      <c r="K50" s="230"/>
      <c r="L50" s="231" t="str">
        <f>IFERROR(IF(I50="FIXED ASSET",J50&amp;E50&amp;K50,VLOOKUP(F50,'Master Data'!$E$59:$H$144,4,FALSE)&amp;"-"&amp;J50&amp;"-"&amp;K50),"-")</f>
        <v>-</v>
      </c>
      <c r="M50" s="225"/>
      <c r="N50" s="232"/>
      <c r="O50" s="233"/>
      <c r="P50" s="233"/>
      <c r="Q50" s="233"/>
      <c r="R50" s="233"/>
      <c r="S50" s="233"/>
      <c r="T50" s="233"/>
      <c r="U50" s="233"/>
      <c r="V50" s="233"/>
      <c r="W50" s="233"/>
      <c r="X50" s="233"/>
      <c r="Y50" s="233"/>
      <c r="Z50" s="233"/>
      <c r="AA50" s="234">
        <f t="shared" si="4"/>
        <v>0</v>
      </c>
      <c r="AB50" s="264"/>
      <c r="AC50" s="233"/>
      <c r="AD50" s="233"/>
      <c r="AE50" s="233"/>
      <c r="AF50" s="233"/>
      <c r="AG50" s="233"/>
      <c r="AH50" s="233"/>
      <c r="AI50" s="233"/>
      <c r="AJ50" s="233"/>
      <c r="AK50" s="233"/>
      <c r="AL50" s="233"/>
      <c r="AM50" s="233"/>
      <c r="AN50" s="233"/>
      <c r="AO50" s="234">
        <f t="shared" si="5"/>
        <v>0</v>
      </c>
      <c r="AP50" s="235"/>
      <c r="AQ50" s="233"/>
      <c r="AR50" s="233"/>
      <c r="AS50" s="233"/>
      <c r="AT50" s="233"/>
      <c r="AU50" s="233"/>
      <c r="AV50" s="233"/>
      <c r="AW50" s="233"/>
      <c r="AX50" s="233"/>
      <c r="AY50" s="233"/>
      <c r="AZ50" s="233"/>
      <c r="BA50" s="233"/>
      <c r="BB50" s="233"/>
      <c r="BC50" s="234">
        <f t="shared" si="6"/>
        <v>0</v>
      </c>
      <c r="BD50" s="236">
        <f t="shared" si="7"/>
        <v>0</v>
      </c>
      <c r="BE50" s="226"/>
      <c r="BF50" s="237"/>
      <c r="BG50" s="237"/>
      <c r="BH50" s="237"/>
      <c r="BI50" s="238">
        <f t="shared" si="8"/>
        <v>0</v>
      </c>
      <c r="BJ50" s="237"/>
      <c r="BK50" s="239" t="str">
        <f t="shared" si="2"/>
        <v/>
      </c>
      <c r="BL50" s="239" t="str">
        <f t="shared" si="9"/>
        <v/>
      </c>
      <c r="BM50" s="239" t="str">
        <f t="shared" si="10"/>
        <v/>
      </c>
      <c r="BN50" s="240"/>
    </row>
    <row r="51" spans="1:66" ht="27.95" customHeight="1" x14ac:dyDescent="0.25">
      <c r="A51" s="222" t="str">
        <f>IF(D51="","",Cover!$D$8)</f>
        <v/>
      </c>
      <c r="B51" s="222" t="str">
        <f>IF(D51="","",Cover!$D$7)</f>
        <v/>
      </c>
      <c r="C51" s="223" t="str">
        <f>IF(F51="","",IFERROR(VLOOKUP(F51,'Master Data'!$E$59:$J$146,6,FALSE),0))</f>
        <v/>
      </c>
      <c r="D51" s="224" t="str">
        <f>IF(F51="","",IFERROR(VLOOKUP(F51,'Master Data'!$E$59:$L$146,8,FALSE),0))</f>
        <v/>
      </c>
      <c r="E51" s="223" t="str">
        <f>IF(D51="","",IFERROR(VLOOKUP(D51,'Master Data'!$D$59:$I$146,6,FALSE),0))</f>
        <v/>
      </c>
      <c r="F51" s="225"/>
      <c r="G51" s="226"/>
      <c r="H51" s="227">
        <f>IFERROR(VLOOKUP(G51,'Master Data'!$C$336:$I$353,7,FALSE),0)</f>
        <v>0</v>
      </c>
      <c r="I51" s="228">
        <f>IFERROR(VLOOKUP(H51,'Master Data'!$B$336:$D$351,3,FALSE),0)</f>
        <v>0</v>
      </c>
      <c r="J51" s="229">
        <f>IFERROR(VLOOKUP(H51,'Master Data'!$B$336:$H$353,7,FALSE),0)</f>
        <v>0</v>
      </c>
      <c r="K51" s="230"/>
      <c r="L51" s="231" t="str">
        <f>IFERROR(IF(I51="FIXED ASSET",J51&amp;E51&amp;K51,VLOOKUP(F51,'Master Data'!$E$59:$H$144,4,FALSE)&amp;"-"&amp;J51&amp;"-"&amp;K51),"-")</f>
        <v>-</v>
      </c>
      <c r="M51" s="225"/>
      <c r="N51" s="232"/>
      <c r="O51" s="233"/>
      <c r="P51" s="233"/>
      <c r="Q51" s="233"/>
      <c r="R51" s="233"/>
      <c r="S51" s="233"/>
      <c r="T51" s="233"/>
      <c r="U51" s="233"/>
      <c r="V51" s="233"/>
      <c r="W51" s="233"/>
      <c r="X51" s="233"/>
      <c r="Y51" s="233"/>
      <c r="Z51" s="233"/>
      <c r="AA51" s="234">
        <f t="shared" si="4"/>
        <v>0</v>
      </c>
      <c r="AB51" s="264"/>
      <c r="AC51" s="233"/>
      <c r="AD51" s="233"/>
      <c r="AE51" s="233"/>
      <c r="AF51" s="233"/>
      <c r="AG51" s="233"/>
      <c r="AH51" s="233"/>
      <c r="AI51" s="233"/>
      <c r="AJ51" s="233"/>
      <c r="AK51" s="233"/>
      <c r="AL51" s="233"/>
      <c r="AM51" s="233"/>
      <c r="AN51" s="233"/>
      <c r="AO51" s="234">
        <f t="shared" si="5"/>
        <v>0</v>
      </c>
      <c r="AP51" s="235"/>
      <c r="AQ51" s="233"/>
      <c r="AR51" s="233"/>
      <c r="AS51" s="233"/>
      <c r="AT51" s="233"/>
      <c r="AU51" s="233"/>
      <c r="AV51" s="233"/>
      <c r="AW51" s="233"/>
      <c r="AX51" s="233"/>
      <c r="AY51" s="233"/>
      <c r="AZ51" s="233"/>
      <c r="BA51" s="233"/>
      <c r="BB51" s="233"/>
      <c r="BC51" s="234">
        <f t="shared" si="6"/>
        <v>0</v>
      </c>
      <c r="BD51" s="236">
        <f t="shared" si="7"/>
        <v>0</v>
      </c>
      <c r="BE51" s="226"/>
      <c r="BF51" s="237"/>
      <c r="BG51" s="237"/>
      <c r="BH51" s="237"/>
      <c r="BI51" s="238">
        <f t="shared" si="8"/>
        <v>0</v>
      </c>
      <c r="BJ51" s="237"/>
      <c r="BK51" s="239" t="str">
        <f t="shared" si="2"/>
        <v/>
      </c>
      <c r="BL51" s="239" t="str">
        <f t="shared" si="9"/>
        <v/>
      </c>
      <c r="BM51" s="239" t="str">
        <f t="shared" si="10"/>
        <v/>
      </c>
      <c r="BN51" s="240"/>
    </row>
    <row r="52" spans="1:66" ht="27.95" customHeight="1" x14ac:dyDescent="0.25">
      <c r="A52" s="222" t="str">
        <f>IF(D52="","",Cover!$D$8)</f>
        <v/>
      </c>
      <c r="B52" s="222" t="str">
        <f>IF(D52="","",Cover!$D$7)</f>
        <v/>
      </c>
      <c r="C52" s="223" t="str">
        <f>IF(F52="","",IFERROR(VLOOKUP(F52,'Master Data'!$E$59:$J$146,6,FALSE),0))</f>
        <v/>
      </c>
      <c r="D52" s="224" t="str">
        <f>IF(F52="","",IFERROR(VLOOKUP(F52,'Master Data'!$E$59:$L$146,8,FALSE),0))</f>
        <v/>
      </c>
      <c r="E52" s="223" t="str">
        <f>IF(D52="","",IFERROR(VLOOKUP(D52,'Master Data'!$D$59:$I$146,6,FALSE),0))</f>
        <v/>
      </c>
      <c r="F52" s="225"/>
      <c r="G52" s="226"/>
      <c r="H52" s="227">
        <f>IFERROR(VLOOKUP(G52,'Master Data'!$C$336:$I$353,7,FALSE),0)</f>
        <v>0</v>
      </c>
      <c r="I52" s="228">
        <f>IFERROR(VLOOKUP(H52,'Master Data'!$B$336:$D$351,3,FALSE),0)</f>
        <v>0</v>
      </c>
      <c r="J52" s="229">
        <f>IFERROR(VLOOKUP(H52,'Master Data'!$B$336:$H$353,7,FALSE),0)</f>
        <v>0</v>
      </c>
      <c r="K52" s="230"/>
      <c r="L52" s="231" t="str">
        <f>IFERROR(IF(I52="FIXED ASSET",J52&amp;E52&amp;K52,VLOOKUP(F52,'Master Data'!$E$59:$H$144,4,FALSE)&amp;"-"&amp;J52&amp;"-"&amp;K52),"-")</f>
        <v>-</v>
      </c>
      <c r="M52" s="225"/>
      <c r="N52" s="232"/>
      <c r="O52" s="233"/>
      <c r="P52" s="233"/>
      <c r="Q52" s="233"/>
      <c r="R52" s="233"/>
      <c r="S52" s="233"/>
      <c r="T52" s="233"/>
      <c r="U52" s="233"/>
      <c r="V52" s="233"/>
      <c r="W52" s="233"/>
      <c r="X52" s="233"/>
      <c r="Y52" s="233"/>
      <c r="Z52" s="233"/>
      <c r="AA52" s="234">
        <f t="shared" si="4"/>
        <v>0</v>
      </c>
      <c r="AB52" s="264"/>
      <c r="AC52" s="233"/>
      <c r="AD52" s="233"/>
      <c r="AE52" s="233"/>
      <c r="AF52" s="233"/>
      <c r="AG52" s="233"/>
      <c r="AH52" s="233"/>
      <c r="AI52" s="233"/>
      <c r="AJ52" s="233"/>
      <c r="AK52" s="233"/>
      <c r="AL52" s="233"/>
      <c r="AM52" s="233"/>
      <c r="AN52" s="233"/>
      <c r="AO52" s="234">
        <f t="shared" si="5"/>
        <v>0</v>
      </c>
      <c r="AP52" s="235"/>
      <c r="AQ52" s="233"/>
      <c r="AR52" s="233"/>
      <c r="AS52" s="233"/>
      <c r="AT52" s="233"/>
      <c r="AU52" s="233"/>
      <c r="AV52" s="233"/>
      <c r="AW52" s="233"/>
      <c r="AX52" s="233"/>
      <c r="AY52" s="233"/>
      <c r="AZ52" s="233"/>
      <c r="BA52" s="233"/>
      <c r="BB52" s="233"/>
      <c r="BC52" s="234">
        <f t="shared" si="6"/>
        <v>0</v>
      </c>
      <c r="BD52" s="236">
        <f t="shared" si="7"/>
        <v>0</v>
      </c>
      <c r="BE52" s="226"/>
      <c r="BF52" s="237"/>
      <c r="BG52" s="237"/>
      <c r="BH52" s="237"/>
      <c r="BI52" s="238">
        <f t="shared" si="8"/>
        <v>0</v>
      </c>
      <c r="BJ52" s="237"/>
      <c r="BK52" s="239" t="str">
        <f t="shared" si="2"/>
        <v/>
      </c>
      <c r="BL52" s="239" t="str">
        <f t="shared" si="9"/>
        <v/>
      </c>
      <c r="BM52" s="239" t="str">
        <f t="shared" si="10"/>
        <v/>
      </c>
      <c r="BN52" s="240"/>
    </row>
    <row r="53" spans="1:66" ht="27.95" customHeight="1" x14ac:dyDescent="0.25">
      <c r="A53" s="222" t="str">
        <f>IF(D53="","",Cover!$D$8)</f>
        <v/>
      </c>
      <c r="B53" s="222" t="str">
        <f>IF(D53="","",Cover!$D$7)</f>
        <v/>
      </c>
      <c r="C53" s="223" t="str">
        <f>IF(F53="","",IFERROR(VLOOKUP(F53,'Master Data'!$E$59:$J$146,6,FALSE),0))</f>
        <v/>
      </c>
      <c r="D53" s="224" t="str">
        <f>IF(F53="","",IFERROR(VLOOKUP(F53,'Master Data'!$E$59:$L$146,8,FALSE),0))</f>
        <v/>
      </c>
      <c r="E53" s="223" t="str">
        <f>IF(D53="","",IFERROR(VLOOKUP(D53,'Master Data'!$D$59:$I$146,6,FALSE),0))</f>
        <v/>
      </c>
      <c r="F53" s="225"/>
      <c r="G53" s="226"/>
      <c r="H53" s="227">
        <f>IFERROR(VLOOKUP(G53,'Master Data'!$C$336:$I$353,7,FALSE),0)</f>
        <v>0</v>
      </c>
      <c r="I53" s="228">
        <f>IFERROR(VLOOKUP(H53,'Master Data'!$B$336:$D$351,3,FALSE),0)</f>
        <v>0</v>
      </c>
      <c r="J53" s="229">
        <f>IFERROR(VLOOKUP(H53,'Master Data'!$B$336:$H$353,7,FALSE),0)</f>
        <v>0</v>
      </c>
      <c r="K53" s="230"/>
      <c r="L53" s="231" t="str">
        <f>IFERROR(IF(I53="FIXED ASSET",J53&amp;E53&amp;K53,VLOOKUP(F53,'Master Data'!$E$59:$H$144,4,FALSE)&amp;"-"&amp;J53&amp;"-"&amp;K53),"-")</f>
        <v>-</v>
      </c>
      <c r="M53" s="225"/>
      <c r="N53" s="232"/>
      <c r="O53" s="233"/>
      <c r="P53" s="233"/>
      <c r="Q53" s="233"/>
      <c r="R53" s="233"/>
      <c r="S53" s="233"/>
      <c r="T53" s="233"/>
      <c r="U53" s="233"/>
      <c r="V53" s="233"/>
      <c r="W53" s="233"/>
      <c r="X53" s="233"/>
      <c r="Y53" s="233"/>
      <c r="Z53" s="233"/>
      <c r="AA53" s="234">
        <f t="shared" si="4"/>
        <v>0</v>
      </c>
      <c r="AB53" s="264"/>
      <c r="AC53" s="233"/>
      <c r="AD53" s="233"/>
      <c r="AE53" s="233"/>
      <c r="AF53" s="233"/>
      <c r="AG53" s="233"/>
      <c r="AH53" s="233"/>
      <c r="AI53" s="233"/>
      <c r="AJ53" s="233"/>
      <c r="AK53" s="233"/>
      <c r="AL53" s="233"/>
      <c r="AM53" s="233"/>
      <c r="AN53" s="233"/>
      <c r="AO53" s="234">
        <f t="shared" si="5"/>
        <v>0</v>
      </c>
      <c r="AP53" s="235"/>
      <c r="AQ53" s="233"/>
      <c r="AR53" s="233"/>
      <c r="AS53" s="233"/>
      <c r="AT53" s="233"/>
      <c r="AU53" s="233"/>
      <c r="AV53" s="233"/>
      <c r="AW53" s="233"/>
      <c r="AX53" s="233"/>
      <c r="AY53" s="233"/>
      <c r="AZ53" s="233"/>
      <c r="BA53" s="233"/>
      <c r="BB53" s="233"/>
      <c r="BC53" s="234">
        <f t="shared" si="6"/>
        <v>0</v>
      </c>
      <c r="BD53" s="236">
        <f t="shared" si="7"/>
        <v>0</v>
      </c>
      <c r="BE53" s="226"/>
      <c r="BF53" s="237"/>
      <c r="BG53" s="237"/>
      <c r="BH53" s="237"/>
      <c r="BI53" s="238">
        <f t="shared" si="8"/>
        <v>0</v>
      </c>
      <c r="BJ53" s="237"/>
      <c r="BK53" s="239" t="str">
        <f t="shared" si="2"/>
        <v/>
      </c>
      <c r="BL53" s="239" t="str">
        <f t="shared" si="9"/>
        <v/>
      </c>
      <c r="BM53" s="239" t="str">
        <f t="shared" si="10"/>
        <v/>
      </c>
      <c r="BN53" s="240"/>
    </row>
    <row r="54" spans="1:66" ht="27.95" customHeight="1" x14ac:dyDescent="0.25">
      <c r="A54" s="222" t="str">
        <f>IF(D54="","",Cover!$D$8)</f>
        <v/>
      </c>
      <c r="B54" s="222" t="str">
        <f>IF(D54="","",Cover!$D$7)</f>
        <v/>
      </c>
      <c r="C54" s="223" t="str">
        <f>IF(F54="","",IFERROR(VLOOKUP(F54,'Master Data'!$E$59:$J$146,6,FALSE),0))</f>
        <v/>
      </c>
      <c r="D54" s="224" t="str">
        <f>IF(F54="","",IFERROR(VLOOKUP(F54,'Master Data'!$E$59:$L$146,8,FALSE),0))</f>
        <v/>
      </c>
      <c r="E54" s="223" t="str">
        <f>IF(D54="","",IFERROR(VLOOKUP(D54,'Master Data'!$D$59:$I$146,6,FALSE),0))</f>
        <v/>
      </c>
      <c r="F54" s="225"/>
      <c r="G54" s="226"/>
      <c r="H54" s="227">
        <f>IFERROR(VLOOKUP(G54,'Master Data'!$C$336:$I$353,7,FALSE),0)</f>
        <v>0</v>
      </c>
      <c r="I54" s="228">
        <f>IFERROR(VLOOKUP(H54,'Master Data'!$B$336:$D$351,3,FALSE),0)</f>
        <v>0</v>
      </c>
      <c r="J54" s="229">
        <f>IFERROR(VLOOKUP(H54,'Master Data'!$B$336:$H$353,7,FALSE),0)</f>
        <v>0</v>
      </c>
      <c r="K54" s="230"/>
      <c r="L54" s="231" t="str">
        <f>IFERROR(IF(I54="FIXED ASSET",J54&amp;E54&amp;K54,VLOOKUP(F54,'Master Data'!$E$59:$H$144,4,FALSE)&amp;"-"&amp;J54&amp;"-"&amp;K54),"-")</f>
        <v>-</v>
      </c>
      <c r="M54" s="225"/>
      <c r="N54" s="232"/>
      <c r="O54" s="233"/>
      <c r="P54" s="233"/>
      <c r="Q54" s="233"/>
      <c r="R54" s="233"/>
      <c r="S54" s="233"/>
      <c r="T54" s="233"/>
      <c r="U54" s="233"/>
      <c r="V54" s="233"/>
      <c r="W54" s="233"/>
      <c r="X54" s="233"/>
      <c r="Y54" s="233"/>
      <c r="Z54" s="233"/>
      <c r="AA54" s="234">
        <f t="shared" si="4"/>
        <v>0</v>
      </c>
      <c r="AB54" s="264"/>
      <c r="AC54" s="233"/>
      <c r="AD54" s="233"/>
      <c r="AE54" s="233"/>
      <c r="AF54" s="233"/>
      <c r="AG54" s="233"/>
      <c r="AH54" s="233"/>
      <c r="AI54" s="233"/>
      <c r="AJ54" s="233"/>
      <c r="AK54" s="233"/>
      <c r="AL54" s="233"/>
      <c r="AM54" s="233"/>
      <c r="AN54" s="233"/>
      <c r="AO54" s="234">
        <f t="shared" si="5"/>
        <v>0</v>
      </c>
      <c r="AP54" s="235"/>
      <c r="AQ54" s="233"/>
      <c r="AR54" s="233"/>
      <c r="AS54" s="233"/>
      <c r="AT54" s="233"/>
      <c r="AU54" s="233"/>
      <c r="AV54" s="233"/>
      <c r="AW54" s="233"/>
      <c r="AX54" s="233"/>
      <c r="AY54" s="233"/>
      <c r="AZ54" s="233"/>
      <c r="BA54" s="233"/>
      <c r="BB54" s="233"/>
      <c r="BC54" s="234">
        <f t="shared" si="6"/>
        <v>0</v>
      </c>
      <c r="BD54" s="236">
        <f t="shared" si="7"/>
        <v>0</v>
      </c>
      <c r="BE54" s="226"/>
      <c r="BF54" s="237"/>
      <c r="BG54" s="237"/>
      <c r="BH54" s="237"/>
      <c r="BI54" s="238">
        <f t="shared" si="8"/>
        <v>0</v>
      </c>
      <c r="BJ54" s="237"/>
      <c r="BK54" s="239" t="str">
        <f t="shared" si="2"/>
        <v/>
      </c>
      <c r="BL54" s="239" t="str">
        <f t="shared" si="9"/>
        <v/>
      </c>
      <c r="BM54" s="239" t="str">
        <f t="shared" si="10"/>
        <v/>
      </c>
      <c r="BN54" s="240"/>
    </row>
    <row r="55" spans="1:66" ht="27.95" customHeight="1" x14ac:dyDescent="0.25">
      <c r="A55" s="222" t="str">
        <f>IF(D55="","",Cover!$D$8)</f>
        <v/>
      </c>
      <c r="B55" s="222" t="str">
        <f>IF(D55="","",Cover!$D$7)</f>
        <v/>
      </c>
      <c r="C55" s="223" t="str">
        <f>IF(F55="","",IFERROR(VLOOKUP(F55,'Master Data'!$E$59:$J$146,6,FALSE),0))</f>
        <v/>
      </c>
      <c r="D55" s="224" t="str">
        <f>IF(F55="","",IFERROR(VLOOKUP(F55,'Master Data'!$E$59:$L$146,8,FALSE),0))</f>
        <v/>
      </c>
      <c r="E55" s="223" t="str">
        <f>IF(D55="","",IFERROR(VLOOKUP(D55,'Master Data'!$D$59:$I$146,6,FALSE),0))</f>
        <v/>
      </c>
      <c r="F55" s="225"/>
      <c r="G55" s="226"/>
      <c r="H55" s="227">
        <f>IFERROR(VLOOKUP(G55,'Master Data'!$C$336:$I$353,7,FALSE),0)</f>
        <v>0</v>
      </c>
      <c r="I55" s="228">
        <f>IFERROR(VLOOKUP(H55,'Master Data'!$B$336:$D$351,3,FALSE),0)</f>
        <v>0</v>
      </c>
      <c r="J55" s="229">
        <f>IFERROR(VLOOKUP(H55,'Master Data'!$B$336:$H$353,7,FALSE),0)</f>
        <v>0</v>
      </c>
      <c r="K55" s="230"/>
      <c r="L55" s="231" t="str">
        <f>IFERROR(IF(I55="FIXED ASSET",J55&amp;E55&amp;K55,VLOOKUP(F55,'Master Data'!$E$59:$H$144,4,FALSE)&amp;"-"&amp;J55&amp;"-"&amp;K55),"-")</f>
        <v>-</v>
      </c>
      <c r="M55" s="225"/>
      <c r="N55" s="232"/>
      <c r="O55" s="233"/>
      <c r="P55" s="233"/>
      <c r="Q55" s="233"/>
      <c r="R55" s="233"/>
      <c r="S55" s="233"/>
      <c r="T55" s="233"/>
      <c r="U55" s="233"/>
      <c r="V55" s="233"/>
      <c r="W55" s="233"/>
      <c r="X55" s="233"/>
      <c r="Y55" s="233"/>
      <c r="Z55" s="233"/>
      <c r="AA55" s="234">
        <f t="shared" si="4"/>
        <v>0</v>
      </c>
      <c r="AB55" s="264"/>
      <c r="AC55" s="233"/>
      <c r="AD55" s="233"/>
      <c r="AE55" s="233"/>
      <c r="AF55" s="233"/>
      <c r="AG55" s="233"/>
      <c r="AH55" s="233"/>
      <c r="AI55" s="233"/>
      <c r="AJ55" s="233"/>
      <c r="AK55" s="233"/>
      <c r="AL55" s="233"/>
      <c r="AM55" s="233"/>
      <c r="AN55" s="233"/>
      <c r="AO55" s="234">
        <f t="shared" si="5"/>
        <v>0</v>
      </c>
      <c r="AP55" s="235"/>
      <c r="AQ55" s="233"/>
      <c r="AR55" s="233"/>
      <c r="AS55" s="233"/>
      <c r="AT55" s="233"/>
      <c r="AU55" s="233"/>
      <c r="AV55" s="233"/>
      <c r="AW55" s="233"/>
      <c r="AX55" s="233"/>
      <c r="AY55" s="233"/>
      <c r="AZ55" s="233"/>
      <c r="BA55" s="233"/>
      <c r="BB55" s="233"/>
      <c r="BC55" s="234">
        <f t="shared" si="6"/>
        <v>0</v>
      </c>
      <c r="BD55" s="236">
        <f t="shared" si="7"/>
        <v>0</v>
      </c>
      <c r="BE55" s="226"/>
      <c r="BF55" s="237"/>
      <c r="BG55" s="237"/>
      <c r="BH55" s="237"/>
      <c r="BI55" s="238">
        <f t="shared" si="8"/>
        <v>0</v>
      </c>
      <c r="BJ55" s="237"/>
      <c r="BK55" s="239" t="str">
        <f t="shared" si="2"/>
        <v/>
      </c>
      <c r="BL55" s="239" t="str">
        <f t="shared" si="9"/>
        <v/>
      </c>
      <c r="BM55" s="239" t="str">
        <f t="shared" si="10"/>
        <v/>
      </c>
      <c r="BN55" s="240"/>
    </row>
    <row r="56" spans="1:66" ht="27.95" customHeight="1" x14ac:dyDescent="0.25">
      <c r="A56" s="222" t="str">
        <f>IF(D56="","",Cover!$D$8)</f>
        <v/>
      </c>
      <c r="B56" s="222" t="str">
        <f>IF(D56="","",Cover!$D$7)</f>
        <v/>
      </c>
      <c r="C56" s="223" t="str">
        <f>IF(F56="","",IFERROR(VLOOKUP(F56,'Master Data'!$E$59:$J$146,6,FALSE),0))</f>
        <v/>
      </c>
      <c r="D56" s="224" t="str">
        <f>IF(F56="","",IFERROR(VLOOKUP(F56,'Master Data'!$E$59:$L$146,8,FALSE),0))</f>
        <v/>
      </c>
      <c r="E56" s="223" t="str">
        <f>IF(D56="","",IFERROR(VLOOKUP(D56,'Master Data'!$D$59:$I$146,6,FALSE),0))</f>
        <v/>
      </c>
      <c r="F56" s="225"/>
      <c r="G56" s="226"/>
      <c r="H56" s="227">
        <f>IFERROR(VLOOKUP(G56,'Master Data'!$C$336:$I$353,7,FALSE),0)</f>
        <v>0</v>
      </c>
      <c r="I56" s="228">
        <f>IFERROR(VLOOKUP(H56,'Master Data'!$B$336:$D$351,3,FALSE),0)</f>
        <v>0</v>
      </c>
      <c r="J56" s="229">
        <f>IFERROR(VLOOKUP(H56,'Master Data'!$B$336:$H$353,7,FALSE),0)</f>
        <v>0</v>
      </c>
      <c r="K56" s="230"/>
      <c r="L56" s="231" t="str">
        <f>IFERROR(IF(I56="FIXED ASSET",J56&amp;E56&amp;K56,VLOOKUP(F56,'Master Data'!$E$59:$H$144,4,FALSE)&amp;"-"&amp;J56&amp;"-"&amp;K56),"-")</f>
        <v>-</v>
      </c>
      <c r="M56" s="225"/>
      <c r="N56" s="232"/>
      <c r="O56" s="233"/>
      <c r="P56" s="233"/>
      <c r="Q56" s="233"/>
      <c r="R56" s="233"/>
      <c r="S56" s="233"/>
      <c r="T56" s="233"/>
      <c r="U56" s="233"/>
      <c r="V56" s="233"/>
      <c r="W56" s="233"/>
      <c r="X56" s="233"/>
      <c r="Y56" s="233"/>
      <c r="Z56" s="233"/>
      <c r="AA56" s="234">
        <f t="shared" si="4"/>
        <v>0</v>
      </c>
      <c r="AB56" s="264"/>
      <c r="AC56" s="233"/>
      <c r="AD56" s="233"/>
      <c r="AE56" s="233"/>
      <c r="AF56" s="233"/>
      <c r="AG56" s="233"/>
      <c r="AH56" s="233"/>
      <c r="AI56" s="233"/>
      <c r="AJ56" s="233"/>
      <c r="AK56" s="233"/>
      <c r="AL56" s="233"/>
      <c r="AM56" s="233"/>
      <c r="AN56" s="233"/>
      <c r="AO56" s="234">
        <f t="shared" si="5"/>
        <v>0</v>
      </c>
      <c r="AP56" s="235"/>
      <c r="AQ56" s="233"/>
      <c r="AR56" s="233"/>
      <c r="AS56" s="233"/>
      <c r="AT56" s="233"/>
      <c r="AU56" s="233"/>
      <c r="AV56" s="233"/>
      <c r="AW56" s="233"/>
      <c r="AX56" s="233"/>
      <c r="AY56" s="233"/>
      <c r="AZ56" s="233"/>
      <c r="BA56" s="233"/>
      <c r="BB56" s="233"/>
      <c r="BC56" s="234">
        <f t="shared" si="6"/>
        <v>0</v>
      </c>
      <c r="BD56" s="236">
        <f t="shared" si="7"/>
        <v>0</v>
      </c>
      <c r="BE56" s="226"/>
      <c r="BF56" s="237"/>
      <c r="BG56" s="237"/>
      <c r="BH56" s="237"/>
      <c r="BI56" s="238">
        <f t="shared" si="8"/>
        <v>0</v>
      </c>
      <c r="BJ56" s="237"/>
      <c r="BK56" s="239" t="str">
        <f t="shared" si="2"/>
        <v/>
      </c>
      <c r="BL56" s="239" t="str">
        <f t="shared" si="9"/>
        <v/>
      </c>
      <c r="BM56" s="239" t="str">
        <f t="shared" si="10"/>
        <v/>
      </c>
      <c r="BN56" s="240"/>
    </row>
    <row r="57" spans="1:66" ht="15" customHeight="1" x14ac:dyDescent="0.25">
      <c r="A57" s="222" t="str">
        <f>IF(D57="","",Cover!$D$8)</f>
        <v/>
      </c>
      <c r="B57" s="222" t="str">
        <f>IF(D57="","",Cover!$D$7)</f>
        <v/>
      </c>
      <c r="C57" s="223" t="str">
        <f>IF(F57="","",IFERROR(VLOOKUP(F57,'Master Data'!$E$59:$J$146,6,FALSE),0))</f>
        <v/>
      </c>
      <c r="D57" s="224" t="str">
        <f>IF(F57="","",IFERROR(VLOOKUP(F57,'Master Data'!$E$59:$L$146,8,FALSE),0))</f>
        <v/>
      </c>
      <c r="E57" s="223" t="str">
        <f>IF(D57="","",IFERROR(VLOOKUP(D57,'Master Data'!$D$59:$I$146,6,FALSE),0))</f>
        <v/>
      </c>
      <c r="F57" s="225"/>
      <c r="G57" s="226"/>
      <c r="H57" s="227">
        <f>IFERROR(VLOOKUP(G57,'Master Data'!$C$336:$I$353,7,FALSE),0)</f>
        <v>0</v>
      </c>
      <c r="I57" s="228">
        <f>IFERROR(VLOOKUP(H57,'Master Data'!$B$336:$D$351,3,FALSE),0)</f>
        <v>0</v>
      </c>
      <c r="J57" s="229">
        <f>IFERROR(VLOOKUP(H57,'Master Data'!$B$336:$H$353,7,FALSE),0)</f>
        <v>0</v>
      </c>
      <c r="K57" s="230"/>
      <c r="L57" s="231" t="str">
        <f>IFERROR(IF(I57="FIXED ASSET",J57&amp;E57&amp;K57,VLOOKUP(F57,'Master Data'!$E$59:$H$144,4,FALSE)&amp;"-"&amp;J57&amp;"-"&amp;K57),"-")</f>
        <v>-</v>
      </c>
      <c r="M57" s="225"/>
      <c r="N57" s="232"/>
      <c r="O57" s="233"/>
      <c r="P57" s="233"/>
      <c r="Q57" s="233"/>
      <c r="R57" s="233"/>
      <c r="S57" s="233"/>
      <c r="T57" s="233"/>
      <c r="U57" s="233"/>
      <c r="V57" s="233"/>
      <c r="W57" s="233"/>
      <c r="X57" s="233"/>
      <c r="Y57" s="233"/>
      <c r="Z57" s="233"/>
      <c r="AA57" s="234">
        <f t="shared" ref="AA57:AA65" si="11">SUM(O57:Z57)</f>
        <v>0</v>
      </c>
      <c r="AB57" s="264"/>
      <c r="AC57" s="233"/>
      <c r="AD57" s="233"/>
      <c r="AE57" s="233"/>
      <c r="AF57" s="233"/>
      <c r="AG57" s="233"/>
      <c r="AH57" s="233"/>
      <c r="AI57" s="233"/>
      <c r="AJ57" s="233"/>
      <c r="AK57" s="233"/>
      <c r="AL57" s="233"/>
      <c r="AM57" s="233"/>
      <c r="AN57" s="233"/>
      <c r="AO57" s="234">
        <f t="shared" ref="AO57:AO65" si="12">SUM(AC57:AN57)</f>
        <v>0</v>
      </c>
      <c r="AP57" s="235"/>
      <c r="AQ57" s="233"/>
      <c r="AR57" s="233"/>
      <c r="AS57" s="233"/>
      <c r="AT57" s="233"/>
      <c r="AU57" s="233"/>
      <c r="AV57" s="233"/>
      <c r="AW57" s="233"/>
      <c r="AX57" s="233"/>
      <c r="AY57" s="233"/>
      <c r="AZ57" s="233"/>
      <c r="BA57" s="233"/>
      <c r="BB57" s="233"/>
      <c r="BC57" s="234">
        <f t="shared" ref="BC57:BC65" si="13">SUM(AQ57:BB57)</f>
        <v>0</v>
      </c>
      <c r="BD57" s="236">
        <f t="shared" ref="BD57:BD65" si="14">+AA57-BI57</f>
        <v>0</v>
      </c>
      <c r="BE57" s="226"/>
      <c r="BF57" s="237"/>
      <c r="BG57" s="237"/>
      <c r="BH57" s="237"/>
      <c r="BI57" s="238">
        <f t="shared" ref="BI57:BI65" si="15">IF(BG57="USD",BH57*$BH$2,IF(BG57="IDR",BH57,0))</f>
        <v>0</v>
      </c>
      <c r="BJ57" s="237"/>
      <c r="BK57" s="239"/>
      <c r="BL57" s="239"/>
      <c r="BM57" s="239"/>
      <c r="BN57" s="240"/>
    </row>
    <row r="58" spans="1:66" ht="15" customHeight="1" x14ac:dyDescent="0.25">
      <c r="A58" s="222" t="str">
        <f>IF(D58="","",Cover!$D$8)</f>
        <v/>
      </c>
      <c r="B58" s="222" t="str">
        <f>IF(D58="","",Cover!$D$7)</f>
        <v/>
      </c>
      <c r="C58" s="223" t="str">
        <f>IF(F58="","",IFERROR(VLOOKUP(F58,'Master Data'!$E$59:$J$146,6,FALSE),0))</f>
        <v/>
      </c>
      <c r="D58" s="224" t="str">
        <f>IF(F58="","",IFERROR(VLOOKUP(F58,'Master Data'!$E$59:$L$146,8,FALSE),0))</f>
        <v/>
      </c>
      <c r="E58" s="223" t="str">
        <f>IF(D58="","",IFERROR(VLOOKUP(D58,'Master Data'!$D$59:$I$146,6,FALSE),0))</f>
        <v/>
      </c>
      <c r="F58" s="225"/>
      <c r="G58" s="226"/>
      <c r="H58" s="227">
        <f>IFERROR(VLOOKUP(G58,'Master Data'!$C$336:$I$353,7,FALSE),0)</f>
        <v>0</v>
      </c>
      <c r="I58" s="228">
        <f>IFERROR(VLOOKUP(H58,'Master Data'!$B$336:$D$351,3,FALSE),0)</f>
        <v>0</v>
      </c>
      <c r="J58" s="229">
        <f>IFERROR(VLOOKUP(H58,'Master Data'!$B$336:$H$353,7,FALSE),0)</f>
        <v>0</v>
      </c>
      <c r="K58" s="230"/>
      <c r="L58" s="231" t="str">
        <f>IFERROR(IF(I58="FIXED ASSET",J58&amp;E58&amp;K58,VLOOKUP(F58,'Master Data'!$E$59:$H$144,4,FALSE)&amp;"-"&amp;J58&amp;"-"&amp;K58),"-")</f>
        <v>-</v>
      </c>
      <c r="M58" s="225"/>
      <c r="N58" s="232"/>
      <c r="O58" s="233"/>
      <c r="P58" s="233"/>
      <c r="Q58" s="233"/>
      <c r="R58" s="233"/>
      <c r="S58" s="233"/>
      <c r="T58" s="233"/>
      <c r="U58" s="233"/>
      <c r="V58" s="233"/>
      <c r="W58" s="233"/>
      <c r="X58" s="233"/>
      <c r="Y58" s="233"/>
      <c r="Z58" s="233"/>
      <c r="AA58" s="234">
        <f t="shared" si="11"/>
        <v>0</v>
      </c>
      <c r="AB58" s="264"/>
      <c r="AC58" s="233"/>
      <c r="AD58" s="233"/>
      <c r="AE58" s="233"/>
      <c r="AF58" s="233"/>
      <c r="AG58" s="233"/>
      <c r="AH58" s="233"/>
      <c r="AI58" s="233"/>
      <c r="AJ58" s="233"/>
      <c r="AK58" s="233"/>
      <c r="AL58" s="233"/>
      <c r="AM58" s="233"/>
      <c r="AN58" s="233"/>
      <c r="AO58" s="234">
        <f t="shared" si="12"/>
        <v>0</v>
      </c>
      <c r="AP58" s="235"/>
      <c r="AQ58" s="233"/>
      <c r="AR58" s="233"/>
      <c r="AS58" s="233"/>
      <c r="AT58" s="233"/>
      <c r="AU58" s="233"/>
      <c r="AV58" s="233"/>
      <c r="AW58" s="233"/>
      <c r="AX58" s="233"/>
      <c r="AY58" s="233"/>
      <c r="AZ58" s="233"/>
      <c r="BA58" s="233"/>
      <c r="BB58" s="233"/>
      <c r="BC58" s="234">
        <f t="shared" si="13"/>
        <v>0</v>
      </c>
      <c r="BD58" s="236">
        <f t="shared" si="14"/>
        <v>0</v>
      </c>
      <c r="BE58" s="226"/>
      <c r="BF58" s="237"/>
      <c r="BG58" s="237"/>
      <c r="BH58" s="237"/>
      <c r="BI58" s="238">
        <f t="shared" si="15"/>
        <v>0</v>
      </c>
      <c r="BJ58" s="237"/>
      <c r="BK58" s="239"/>
      <c r="BL58" s="239"/>
      <c r="BM58" s="239"/>
      <c r="BN58" s="240"/>
    </row>
    <row r="59" spans="1:66" ht="15" customHeight="1" x14ac:dyDescent="0.25">
      <c r="A59" s="222" t="str">
        <f>IF(D59="","",Cover!$D$8)</f>
        <v/>
      </c>
      <c r="B59" s="222" t="str">
        <f>IF(D59="","",Cover!$D$7)</f>
        <v/>
      </c>
      <c r="C59" s="223" t="str">
        <f>IF(F59="","",IFERROR(VLOOKUP(F59,'Master Data'!$E$59:$J$146,6,FALSE),0))</f>
        <v/>
      </c>
      <c r="D59" s="224" t="str">
        <f>IF(F59="","",IFERROR(VLOOKUP(F59,'Master Data'!$E$59:$L$146,8,FALSE),0))</f>
        <v/>
      </c>
      <c r="E59" s="223" t="str">
        <f>IF(D59="","",IFERROR(VLOOKUP(D59,'Master Data'!$D$59:$I$146,6,FALSE),0))</f>
        <v/>
      </c>
      <c r="F59" s="225"/>
      <c r="G59" s="226"/>
      <c r="H59" s="227">
        <f>IFERROR(VLOOKUP(G59,'Master Data'!$C$336:$I$353,7,FALSE),0)</f>
        <v>0</v>
      </c>
      <c r="I59" s="228">
        <f>IFERROR(VLOOKUP(H59,'Master Data'!$B$336:$D$351,3,FALSE),0)</f>
        <v>0</v>
      </c>
      <c r="J59" s="229">
        <f>IFERROR(VLOOKUP(H59,'Master Data'!$B$336:$H$353,7,FALSE),0)</f>
        <v>0</v>
      </c>
      <c r="K59" s="230"/>
      <c r="L59" s="231" t="str">
        <f>IFERROR(IF(I59="FIXED ASSET",J59&amp;E59&amp;K59,VLOOKUP(F59,'Master Data'!$E$59:$H$144,4,FALSE)&amp;"-"&amp;J59&amp;"-"&amp;K59),"-")</f>
        <v>-</v>
      </c>
      <c r="M59" s="225"/>
      <c r="N59" s="232"/>
      <c r="O59" s="233"/>
      <c r="P59" s="233"/>
      <c r="Q59" s="233"/>
      <c r="R59" s="233"/>
      <c r="S59" s="233"/>
      <c r="T59" s="233"/>
      <c r="U59" s="233"/>
      <c r="V59" s="233"/>
      <c r="W59" s="233"/>
      <c r="X59" s="233"/>
      <c r="Y59" s="233"/>
      <c r="Z59" s="233"/>
      <c r="AA59" s="234">
        <f t="shared" si="11"/>
        <v>0</v>
      </c>
      <c r="AB59" s="264"/>
      <c r="AC59" s="233"/>
      <c r="AD59" s="233"/>
      <c r="AE59" s="233"/>
      <c r="AF59" s="233"/>
      <c r="AG59" s="233"/>
      <c r="AH59" s="233"/>
      <c r="AI59" s="233"/>
      <c r="AJ59" s="233"/>
      <c r="AK59" s="233"/>
      <c r="AL59" s="233"/>
      <c r="AM59" s="233"/>
      <c r="AN59" s="233"/>
      <c r="AO59" s="234">
        <f t="shared" si="12"/>
        <v>0</v>
      </c>
      <c r="AP59" s="235"/>
      <c r="AQ59" s="233"/>
      <c r="AR59" s="233"/>
      <c r="AS59" s="233"/>
      <c r="AT59" s="233"/>
      <c r="AU59" s="233"/>
      <c r="AV59" s="233"/>
      <c r="AW59" s="233"/>
      <c r="AX59" s="233"/>
      <c r="AY59" s="233"/>
      <c r="AZ59" s="233"/>
      <c r="BA59" s="233"/>
      <c r="BB59" s="233"/>
      <c r="BC59" s="234">
        <f t="shared" si="13"/>
        <v>0</v>
      </c>
      <c r="BD59" s="236">
        <f t="shared" si="14"/>
        <v>0</v>
      </c>
      <c r="BE59" s="226"/>
      <c r="BF59" s="237"/>
      <c r="BG59" s="237"/>
      <c r="BH59" s="237"/>
      <c r="BI59" s="238">
        <f t="shared" si="15"/>
        <v>0</v>
      </c>
      <c r="BJ59" s="237"/>
      <c r="BK59" s="239"/>
      <c r="BL59" s="239"/>
      <c r="BM59" s="239"/>
      <c r="BN59" s="240"/>
    </row>
    <row r="60" spans="1:66" ht="15" customHeight="1" x14ac:dyDescent="0.25">
      <c r="A60" s="222" t="str">
        <f>IF(D60="","",Cover!$D$8)</f>
        <v/>
      </c>
      <c r="B60" s="222" t="str">
        <f>IF(D60="","",Cover!$D$7)</f>
        <v/>
      </c>
      <c r="C60" s="223" t="str">
        <f>IF(F60="","",IFERROR(VLOOKUP(F60,'Master Data'!$E$59:$J$146,6,FALSE),0))</f>
        <v/>
      </c>
      <c r="D60" s="224" t="str">
        <f>IF(F60="","",IFERROR(VLOOKUP(F60,'Master Data'!$E$59:$L$146,8,FALSE),0))</f>
        <v/>
      </c>
      <c r="E60" s="223" t="str">
        <f>IF(D60="","",IFERROR(VLOOKUP(D60,'Master Data'!$D$59:$I$146,6,FALSE),0))</f>
        <v/>
      </c>
      <c r="F60" s="225"/>
      <c r="G60" s="226"/>
      <c r="H60" s="227">
        <f>IFERROR(VLOOKUP(G60,'Master Data'!$C$336:$I$353,7,FALSE),0)</f>
        <v>0</v>
      </c>
      <c r="I60" s="228">
        <f>IFERROR(VLOOKUP(H60,'Master Data'!$B$336:$D$351,3,FALSE),0)</f>
        <v>0</v>
      </c>
      <c r="J60" s="229">
        <f>IFERROR(VLOOKUP(H60,'Master Data'!$B$336:$H$353,7,FALSE),0)</f>
        <v>0</v>
      </c>
      <c r="K60" s="230"/>
      <c r="L60" s="231" t="str">
        <f>IFERROR(IF(I60="FIXED ASSET",J60&amp;E60&amp;K60,VLOOKUP(F60,'Master Data'!$E$59:$H$144,4,FALSE)&amp;"-"&amp;J60&amp;"-"&amp;K60),"-")</f>
        <v>-</v>
      </c>
      <c r="M60" s="225"/>
      <c r="N60" s="232"/>
      <c r="O60" s="233"/>
      <c r="P60" s="233"/>
      <c r="Q60" s="233"/>
      <c r="R60" s="233"/>
      <c r="S60" s="233"/>
      <c r="T60" s="233"/>
      <c r="U60" s="233"/>
      <c r="V60" s="233"/>
      <c r="W60" s="233"/>
      <c r="X60" s="233"/>
      <c r="Y60" s="233"/>
      <c r="Z60" s="233"/>
      <c r="AA60" s="234">
        <f t="shared" si="11"/>
        <v>0</v>
      </c>
      <c r="AB60" s="264"/>
      <c r="AC60" s="233"/>
      <c r="AD60" s="233"/>
      <c r="AE60" s="233"/>
      <c r="AF60" s="233"/>
      <c r="AG60" s="233"/>
      <c r="AH60" s="233"/>
      <c r="AI60" s="233"/>
      <c r="AJ60" s="233"/>
      <c r="AK60" s="233"/>
      <c r="AL60" s="233"/>
      <c r="AM60" s="233"/>
      <c r="AN60" s="233"/>
      <c r="AO60" s="234">
        <f t="shared" si="12"/>
        <v>0</v>
      </c>
      <c r="AP60" s="235"/>
      <c r="AQ60" s="233"/>
      <c r="AR60" s="233"/>
      <c r="AS60" s="233"/>
      <c r="AT60" s="233"/>
      <c r="AU60" s="233"/>
      <c r="AV60" s="233"/>
      <c r="AW60" s="233"/>
      <c r="AX60" s="233"/>
      <c r="AY60" s="233"/>
      <c r="AZ60" s="233"/>
      <c r="BA60" s="233"/>
      <c r="BB60" s="233"/>
      <c r="BC60" s="234">
        <f t="shared" si="13"/>
        <v>0</v>
      </c>
      <c r="BD60" s="236">
        <f t="shared" si="14"/>
        <v>0</v>
      </c>
      <c r="BE60" s="226"/>
      <c r="BF60" s="237"/>
      <c r="BG60" s="237"/>
      <c r="BH60" s="237"/>
      <c r="BI60" s="238">
        <f t="shared" si="15"/>
        <v>0</v>
      </c>
      <c r="BJ60" s="237"/>
      <c r="BK60" s="239"/>
      <c r="BL60" s="239"/>
      <c r="BM60" s="239"/>
      <c r="BN60" s="240"/>
    </row>
    <row r="61" spans="1:66" ht="15" customHeight="1" x14ac:dyDescent="0.25">
      <c r="A61" s="222" t="str">
        <f>IF(D61="","",Cover!$D$8)</f>
        <v/>
      </c>
      <c r="B61" s="222" t="str">
        <f>IF(D61="","",Cover!$D$7)</f>
        <v/>
      </c>
      <c r="C61" s="223" t="str">
        <f>IF(F61="","",IFERROR(VLOOKUP(F61,'Master Data'!$E$59:$J$146,6,FALSE),0))</f>
        <v/>
      </c>
      <c r="D61" s="224" t="str">
        <f>IF(F61="","",IFERROR(VLOOKUP(F61,'Master Data'!$E$59:$L$146,8,FALSE),0))</f>
        <v/>
      </c>
      <c r="E61" s="223" t="str">
        <f>IF(D61="","",IFERROR(VLOOKUP(D61,'Master Data'!$D$59:$I$146,6,FALSE),0))</f>
        <v/>
      </c>
      <c r="F61" s="225"/>
      <c r="G61" s="226"/>
      <c r="H61" s="227">
        <f>IFERROR(VLOOKUP(G61,'Master Data'!$C$336:$I$353,7,FALSE),0)</f>
        <v>0</v>
      </c>
      <c r="I61" s="228">
        <f>IFERROR(VLOOKUP(H61,'Master Data'!$B$336:$D$351,3,FALSE),0)</f>
        <v>0</v>
      </c>
      <c r="J61" s="229">
        <f>IFERROR(VLOOKUP(H61,'Master Data'!$B$336:$H$353,7,FALSE),0)</f>
        <v>0</v>
      </c>
      <c r="K61" s="230"/>
      <c r="L61" s="231" t="str">
        <f>IFERROR(IF(I61="FIXED ASSET",J61&amp;E61&amp;K61,VLOOKUP(F61,'Master Data'!$E$59:$H$144,4,FALSE)&amp;"-"&amp;J61&amp;"-"&amp;K61),"-")</f>
        <v>-</v>
      </c>
      <c r="M61" s="225"/>
      <c r="N61" s="232"/>
      <c r="O61" s="233"/>
      <c r="P61" s="233"/>
      <c r="Q61" s="233"/>
      <c r="R61" s="233"/>
      <c r="S61" s="233"/>
      <c r="T61" s="233"/>
      <c r="U61" s="233"/>
      <c r="V61" s="233"/>
      <c r="W61" s="233"/>
      <c r="X61" s="233"/>
      <c r="Y61" s="233"/>
      <c r="Z61" s="233"/>
      <c r="AA61" s="234">
        <f t="shared" si="11"/>
        <v>0</v>
      </c>
      <c r="AB61" s="264"/>
      <c r="AC61" s="233"/>
      <c r="AD61" s="233"/>
      <c r="AE61" s="233"/>
      <c r="AF61" s="233"/>
      <c r="AG61" s="233"/>
      <c r="AH61" s="233"/>
      <c r="AI61" s="233"/>
      <c r="AJ61" s="233"/>
      <c r="AK61" s="233"/>
      <c r="AL61" s="233"/>
      <c r="AM61" s="233"/>
      <c r="AN61" s="233"/>
      <c r="AO61" s="234">
        <f t="shared" si="12"/>
        <v>0</v>
      </c>
      <c r="AP61" s="235"/>
      <c r="AQ61" s="233"/>
      <c r="AR61" s="233"/>
      <c r="AS61" s="233"/>
      <c r="AT61" s="233"/>
      <c r="AU61" s="233"/>
      <c r="AV61" s="233"/>
      <c r="AW61" s="233"/>
      <c r="AX61" s="233"/>
      <c r="AY61" s="233"/>
      <c r="AZ61" s="233"/>
      <c r="BA61" s="233"/>
      <c r="BB61" s="233"/>
      <c r="BC61" s="234">
        <f t="shared" si="13"/>
        <v>0</v>
      </c>
      <c r="BD61" s="236">
        <f t="shared" si="14"/>
        <v>0</v>
      </c>
      <c r="BE61" s="226"/>
      <c r="BF61" s="237"/>
      <c r="BG61" s="237"/>
      <c r="BH61" s="237"/>
      <c r="BI61" s="238">
        <f t="shared" si="15"/>
        <v>0</v>
      </c>
      <c r="BJ61" s="237"/>
      <c r="BK61" s="239"/>
      <c r="BL61" s="239"/>
      <c r="BM61" s="239"/>
      <c r="BN61" s="240"/>
    </row>
    <row r="62" spans="1:66" ht="15" customHeight="1" x14ac:dyDescent="0.25">
      <c r="A62" s="222" t="str">
        <f>IF(D62="","",Cover!$D$8)</f>
        <v/>
      </c>
      <c r="B62" s="222" t="str">
        <f>IF(D62="","",Cover!$D$7)</f>
        <v/>
      </c>
      <c r="C62" s="223" t="str">
        <f>IF(F62="","",IFERROR(VLOOKUP(F62,'Master Data'!$E$59:$J$146,6,FALSE),0))</f>
        <v/>
      </c>
      <c r="D62" s="224" t="str">
        <f>IF(F62="","",IFERROR(VLOOKUP(F62,'Master Data'!$E$59:$L$146,8,FALSE),0))</f>
        <v/>
      </c>
      <c r="E62" s="223" t="str">
        <f>IF(D62="","",IFERROR(VLOOKUP(D62,'Master Data'!$D$59:$I$146,6,FALSE),0))</f>
        <v/>
      </c>
      <c r="F62" s="225"/>
      <c r="G62" s="226"/>
      <c r="H62" s="227">
        <f>IFERROR(VLOOKUP(G62,'Master Data'!$C$336:$I$353,7,FALSE),0)</f>
        <v>0</v>
      </c>
      <c r="I62" s="228">
        <f>IFERROR(VLOOKUP(H62,'Master Data'!$B$336:$D$351,3,FALSE),0)</f>
        <v>0</v>
      </c>
      <c r="J62" s="229">
        <f>IFERROR(VLOOKUP(H62,'Master Data'!$B$336:$H$353,7,FALSE),0)</f>
        <v>0</v>
      </c>
      <c r="K62" s="230"/>
      <c r="L62" s="231" t="str">
        <f>IFERROR(IF(I62="FIXED ASSET",J62&amp;E62&amp;K62,VLOOKUP(F62,'Master Data'!$E$59:$H$144,4,FALSE)&amp;"-"&amp;J62&amp;"-"&amp;K62),"-")</f>
        <v>-</v>
      </c>
      <c r="M62" s="225"/>
      <c r="N62" s="232"/>
      <c r="O62" s="233"/>
      <c r="P62" s="233"/>
      <c r="Q62" s="233"/>
      <c r="R62" s="233"/>
      <c r="S62" s="233"/>
      <c r="T62" s="233"/>
      <c r="U62" s="233"/>
      <c r="V62" s="233"/>
      <c r="W62" s="233"/>
      <c r="X62" s="233"/>
      <c r="Y62" s="233"/>
      <c r="Z62" s="233"/>
      <c r="AA62" s="234">
        <f t="shared" si="11"/>
        <v>0</v>
      </c>
      <c r="AB62" s="264"/>
      <c r="AC62" s="233"/>
      <c r="AD62" s="233"/>
      <c r="AE62" s="233"/>
      <c r="AF62" s="233"/>
      <c r="AG62" s="233"/>
      <c r="AH62" s="233"/>
      <c r="AI62" s="233"/>
      <c r="AJ62" s="233"/>
      <c r="AK62" s="233"/>
      <c r="AL62" s="233"/>
      <c r="AM62" s="233"/>
      <c r="AN62" s="233"/>
      <c r="AO62" s="234">
        <f t="shared" si="12"/>
        <v>0</v>
      </c>
      <c r="AP62" s="235"/>
      <c r="AQ62" s="233"/>
      <c r="AR62" s="233"/>
      <c r="AS62" s="233"/>
      <c r="AT62" s="233"/>
      <c r="AU62" s="233"/>
      <c r="AV62" s="233"/>
      <c r="AW62" s="233"/>
      <c r="AX62" s="233"/>
      <c r="AY62" s="233"/>
      <c r="AZ62" s="233"/>
      <c r="BA62" s="233"/>
      <c r="BB62" s="233"/>
      <c r="BC62" s="234">
        <f t="shared" si="13"/>
        <v>0</v>
      </c>
      <c r="BD62" s="236">
        <f t="shared" si="14"/>
        <v>0</v>
      </c>
      <c r="BE62" s="226"/>
      <c r="BF62" s="237"/>
      <c r="BG62" s="237"/>
      <c r="BH62" s="237"/>
      <c r="BI62" s="238">
        <f t="shared" si="15"/>
        <v>0</v>
      </c>
      <c r="BJ62" s="237"/>
      <c r="BK62" s="239"/>
      <c r="BL62" s="239"/>
      <c r="BM62" s="239"/>
      <c r="BN62" s="240"/>
    </row>
    <row r="63" spans="1:66" ht="15" customHeight="1" x14ac:dyDescent="0.25">
      <c r="A63" s="222" t="str">
        <f>IF(D63="","",Cover!$D$8)</f>
        <v/>
      </c>
      <c r="B63" s="222" t="str">
        <f>IF(D63="","",Cover!$D$7)</f>
        <v/>
      </c>
      <c r="C63" s="223" t="str">
        <f>IF(F63="","",IFERROR(VLOOKUP(F63,'Master Data'!$E$59:$J$146,6,FALSE),0))</f>
        <v/>
      </c>
      <c r="D63" s="224" t="str">
        <f>IF(F63="","",IFERROR(VLOOKUP(F63,'Master Data'!$E$59:$L$146,8,FALSE),0))</f>
        <v/>
      </c>
      <c r="E63" s="223" t="str">
        <f>IF(D63="","",IFERROR(VLOOKUP(D63,'Master Data'!$D$59:$I$146,6,FALSE),0))</f>
        <v/>
      </c>
      <c r="F63" s="225"/>
      <c r="G63" s="226"/>
      <c r="H63" s="227">
        <f>IFERROR(VLOOKUP(G63,'Master Data'!$C$336:$I$353,7,FALSE),0)</f>
        <v>0</v>
      </c>
      <c r="I63" s="228">
        <f>IFERROR(VLOOKUP(H63,'Master Data'!$B$336:$D$351,3,FALSE),0)</f>
        <v>0</v>
      </c>
      <c r="J63" s="229">
        <f>IFERROR(VLOOKUP(H63,'Master Data'!$B$336:$H$353,7,FALSE),0)</f>
        <v>0</v>
      </c>
      <c r="K63" s="230"/>
      <c r="L63" s="231" t="str">
        <f>IFERROR(IF(I63="FIXED ASSET",J63&amp;E63&amp;K63,VLOOKUP(F63,'Master Data'!$E$59:$H$144,4,FALSE)&amp;"-"&amp;J63&amp;"-"&amp;K63),"-")</f>
        <v>-</v>
      </c>
      <c r="M63" s="225"/>
      <c r="N63" s="232"/>
      <c r="O63" s="233"/>
      <c r="P63" s="233"/>
      <c r="Q63" s="233"/>
      <c r="R63" s="233"/>
      <c r="S63" s="233"/>
      <c r="T63" s="233"/>
      <c r="U63" s="233"/>
      <c r="V63" s="233"/>
      <c r="W63" s="233"/>
      <c r="X63" s="233"/>
      <c r="Y63" s="233"/>
      <c r="Z63" s="233"/>
      <c r="AA63" s="234">
        <f t="shared" si="11"/>
        <v>0</v>
      </c>
      <c r="AB63" s="264"/>
      <c r="AC63" s="233"/>
      <c r="AD63" s="233"/>
      <c r="AE63" s="233"/>
      <c r="AF63" s="233"/>
      <c r="AG63" s="233"/>
      <c r="AH63" s="233"/>
      <c r="AI63" s="233"/>
      <c r="AJ63" s="233"/>
      <c r="AK63" s="233"/>
      <c r="AL63" s="233"/>
      <c r="AM63" s="233"/>
      <c r="AN63" s="233"/>
      <c r="AO63" s="234">
        <f t="shared" si="12"/>
        <v>0</v>
      </c>
      <c r="AP63" s="235"/>
      <c r="AQ63" s="233"/>
      <c r="AR63" s="233"/>
      <c r="AS63" s="233"/>
      <c r="AT63" s="233"/>
      <c r="AU63" s="233"/>
      <c r="AV63" s="233"/>
      <c r="AW63" s="233"/>
      <c r="AX63" s="233"/>
      <c r="AY63" s="233"/>
      <c r="AZ63" s="233"/>
      <c r="BA63" s="233"/>
      <c r="BB63" s="233"/>
      <c r="BC63" s="234">
        <f t="shared" si="13"/>
        <v>0</v>
      </c>
      <c r="BD63" s="236">
        <f t="shared" si="14"/>
        <v>0</v>
      </c>
      <c r="BE63" s="226"/>
      <c r="BF63" s="237"/>
      <c r="BG63" s="237"/>
      <c r="BH63" s="237"/>
      <c r="BI63" s="238">
        <f t="shared" si="15"/>
        <v>0</v>
      </c>
      <c r="BJ63" s="237"/>
      <c r="BK63" s="239"/>
      <c r="BL63" s="239"/>
      <c r="BM63" s="239"/>
      <c r="BN63" s="240"/>
    </row>
    <row r="64" spans="1:66" ht="15" customHeight="1" x14ac:dyDescent="0.25">
      <c r="A64" s="222" t="str">
        <f>IF(D64="","",Cover!$D$8)</f>
        <v/>
      </c>
      <c r="B64" s="222" t="str">
        <f>IF(D64="","",Cover!$D$7)</f>
        <v/>
      </c>
      <c r="C64" s="223" t="str">
        <f>IF(F64="","",IFERROR(VLOOKUP(F64,'Master Data'!$E$59:$J$146,6,FALSE),0))</f>
        <v/>
      </c>
      <c r="D64" s="224" t="str">
        <f>IF(F64="","",IFERROR(VLOOKUP(F64,'Master Data'!$E$59:$L$146,8,FALSE),0))</f>
        <v/>
      </c>
      <c r="E64" s="223" t="str">
        <f>IF(D64="","",IFERROR(VLOOKUP(D64,'Master Data'!$D$59:$I$146,6,FALSE),0))</f>
        <v/>
      </c>
      <c r="F64" s="225"/>
      <c r="G64" s="226"/>
      <c r="H64" s="227">
        <f>IFERROR(VLOOKUP(G64,'Master Data'!$C$336:$I$353,7,FALSE),0)</f>
        <v>0</v>
      </c>
      <c r="I64" s="228">
        <f>IFERROR(VLOOKUP(H64,'Master Data'!$B$336:$D$351,3,FALSE),0)</f>
        <v>0</v>
      </c>
      <c r="J64" s="229">
        <f>IFERROR(VLOOKUP(H64,'Master Data'!$B$336:$H$353,7,FALSE),0)</f>
        <v>0</v>
      </c>
      <c r="K64" s="230"/>
      <c r="L64" s="231" t="str">
        <f>IFERROR(IF(I64="FIXED ASSET",J64&amp;E64&amp;K64,VLOOKUP(F64,'Master Data'!$E$59:$H$144,4,FALSE)&amp;"-"&amp;J64&amp;"-"&amp;K64),"-")</f>
        <v>-</v>
      </c>
      <c r="M64" s="225"/>
      <c r="N64" s="232"/>
      <c r="O64" s="233"/>
      <c r="P64" s="233"/>
      <c r="Q64" s="233"/>
      <c r="R64" s="233"/>
      <c r="S64" s="233"/>
      <c r="T64" s="233"/>
      <c r="U64" s="233"/>
      <c r="V64" s="233"/>
      <c r="W64" s="233"/>
      <c r="X64" s="233"/>
      <c r="Y64" s="233"/>
      <c r="Z64" s="233"/>
      <c r="AA64" s="234">
        <f t="shared" si="11"/>
        <v>0</v>
      </c>
      <c r="AB64" s="264"/>
      <c r="AC64" s="233"/>
      <c r="AD64" s="233"/>
      <c r="AE64" s="233"/>
      <c r="AF64" s="233"/>
      <c r="AG64" s="233"/>
      <c r="AH64" s="233"/>
      <c r="AI64" s="233"/>
      <c r="AJ64" s="233"/>
      <c r="AK64" s="233"/>
      <c r="AL64" s="233"/>
      <c r="AM64" s="233"/>
      <c r="AN64" s="233"/>
      <c r="AO64" s="234">
        <f t="shared" si="12"/>
        <v>0</v>
      </c>
      <c r="AP64" s="235"/>
      <c r="AQ64" s="233"/>
      <c r="AR64" s="233"/>
      <c r="AS64" s="233"/>
      <c r="AT64" s="233"/>
      <c r="AU64" s="233"/>
      <c r="AV64" s="233"/>
      <c r="AW64" s="233"/>
      <c r="AX64" s="233"/>
      <c r="AY64" s="233"/>
      <c r="AZ64" s="233"/>
      <c r="BA64" s="233"/>
      <c r="BB64" s="233"/>
      <c r="BC64" s="234">
        <f t="shared" si="13"/>
        <v>0</v>
      </c>
      <c r="BD64" s="236">
        <f t="shared" si="14"/>
        <v>0</v>
      </c>
      <c r="BE64" s="226"/>
      <c r="BF64" s="237"/>
      <c r="BG64" s="237"/>
      <c r="BH64" s="237"/>
      <c r="BI64" s="238">
        <f t="shared" si="15"/>
        <v>0</v>
      </c>
      <c r="BJ64" s="237"/>
      <c r="BK64" s="239"/>
      <c r="BL64" s="239"/>
      <c r="BM64" s="239"/>
      <c r="BN64" s="240"/>
    </row>
    <row r="65" spans="1:66" ht="15" customHeight="1" x14ac:dyDescent="0.25">
      <c r="A65" s="222" t="str">
        <f>IF(D65="","",Cover!$D$8)</f>
        <v/>
      </c>
      <c r="B65" s="222" t="str">
        <f>IF(D65="","",Cover!$D$7)</f>
        <v/>
      </c>
      <c r="C65" s="223" t="str">
        <f>IF(F65="","",IFERROR(VLOOKUP(F65,'Master Data'!$E$59:$J$146,6,FALSE),0))</f>
        <v/>
      </c>
      <c r="D65" s="224" t="str">
        <f>IF(F65="","",IFERROR(VLOOKUP(F65,'Master Data'!$E$59:$L$146,8,FALSE),0))</f>
        <v/>
      </c>
      <c r="E65" s="223" t="str">
        <f>IF(D65="","",IFERROR(VLOOKUP(D65,'Master Data'!$D$59:$I$146,6,FALSE),0))</f>
        <v/>
      </c>
      <c r="F65" s="225"/>
      <c r="G65" s="226"/>
      <c r="H65" s="227">
        <f>IFERROR(VLOOKUP(G65,'Master Data'!$C$336:$I$353,7,FALSE),0)</f>
        <v>0</v>
      </c>
      <c r="I65" s="228">
        <f>IFERROR(VLOOKUP(H65,'Master Data'!$B$336:$D$351,3,FALSE),0)</f>
        <v>0</v>
      </c>
      <c r="J65" s="229">
        <f>IFERROR(VLOOKUP(H65,'Master Data'!$B$336:$H$353,7,FALSE),0)</f>
        <v>0</v>
      </c>
      <c r="K65" s="230"/>
      <c r="L65" s="231" t="str">
        <f>IFERROR(IF(I65="FIXED ASSET",J65&amp;E65&amp;K65,VLOOKUP(F65,'Master Data'!$E$59:$H$144,4,FALSE)&amp;"-"&amp;J65&amp;"-"&amp;K65),"-")</f>
        <v>-</v>
      </c>
      <c r="M65" s="225"/>
      <c r="N65" s="232"/>
      <c r="O65" s="233"/>
      <c r="P65" s="233"/>
      <c r="Q65" s="233"/>
      <c r="R65" s="233"/>
      <c r="S65" s="233"/>
      <c r="T65" s="233"/>
      <c r="U65" s="233"/>
      <c r="V65" s="233"/>
      <c r="W65" s="233"/>
      <c r="X65" s="233"/>
      <c r="Y65" s="233"/>
      <c r="Z65" s="233"/>
      <c r="AA65" s="234">
        <f t="shared" si="11"/>
        <v>0</v>
      </c>
      <c r="AB65" s="264"/>
      <c r="AC65" s="233"/>
      <c r="AD65" s="233"/>
      <c r="AE65" s="233"/>
      <c r="AF65" s="233"/>
      <c r="AG65" s="233"/>
      <c r="AH65" s="233"/>
      <c r="AI65" s="233"/>
      <c r="AJ65" s="233"/>
      <c r="AK65" s="233"/>
      <c r="AL65" s="233"/>
      <c r="AM65" s="233"/>
      <c r="AN65" s="233"/>
      <c r="AO65" s="234">
        <f t="shared" si="12"/>
        <v>0</v>
      </c>
      <c r="AP65" s="235"/>
      <c r="AQ65" s="233"/>
      <c r="AR65" s="233"/>
      <c r="AS65" s="233"/>
      <c r="AT65" s="233"/>
      <c r="AU65" s="233"/>
      <c r="AV65" s="233"/>
      <c r="AW65" s="233"/>
      <c r="AX65" s="233"/>
      <c r="AY65" s="233"/>
      <c r="AZ65" s="233"/>
      <c r="BA65" s="233"/>
      <c r="BB65" s="233"/>
      <c r="BC65" s="234">
        <f t="shared" si="13"/>
        <v>0</v>
      </c>
      <c r="BD65" s="236">
        <f t="shared" si="14"/>
        <v>0</v>
      </c>
      <c r="BE65" s="226"/>
      <c r="BF65" s="237"/>
      <c r="BG65" s="237"/>
      <c r="BH65" s="237"/>
      <c r="BI65" s="238">
        <f t="shared" si="15"/>
        <v>0</v>
      </c>
      <c r="BJ65" s="237"/>
      <c r="BK65" s="239"/>
      <c r="BL65" s="239"/>
      <c r="BM65" s="239"/>
      <c r="BN65" s="240"/>
    </row>
  </sheetData>
  <sheetProtection formatColumns="0" formatRows="0" autoFilter="0"/>
  <autoFilter ref="A3:AK25" xr:uid="{00000000-0009-0000-0000-000003000000}"/>
  <dataConsolidate/>
  <mergeCells count="1">
    <mergeCell ref="D3:E3"/>
  </mergeCells>
  <conditionalFormatting sqref="AI4:AI65">
    <cfRule type="containsText" dxfId="10" priority="10" operator="containsText" text="Please Fill Start Date">
      <formula>NOT(ISERROR(SEARCH("Please Fill Start Date",AI4)))</formula>
    </cfRule>
  </conditionalFormatting>
  <conditionalFormatting sqref="AJ4:AJ65">
    <cfRule type="containsText" dxfId="9" priority="9" operator="containsText" text="Please Fill Start Date">
      <formula>NOT(ISERROR(SEARCH("Please Fill Start Date",AJ4)))</formula>
    </cfRule>
  </conditionalFormatting>
  <conditionalFormatting sqref="AK4:AK65">
    <cfRule type="containsText" dxfId="8" priority="7" operator="containsText" text="Please Fill Remarks">
      <formula>NOT(ISERROR(SEARCH("Please Fill Remarks",AK4)))</formula>
    </cfRule>
    <cfRule type="containsText" dxfId="7" priority="8" operator="containsText" text="Please Fill Start Date">
      <formula>NOT(ISERROR(SEARCH("Please Fill Start Date",AK4)))</formula>
    </cfRule>
  </conditionalFormatting>
  <conditionalFormatting sqref="BK4:BK65">
    <cfRule type="containsText" dxfId="6" priority="6" operator="containsText" text="Please Fill Start Date">
      <formula>NOT(ISERROR(SEARCH("Please Fill Start Date",BK4)))</formula>
    </cfRule>
  </conditionalFormatting>
  <conditionalFormatting sqref="BL4:BL65">
    <cfRule type="containsText" dxfId="5" priority="5" operator="containsText" text="Please Fill Start Date">
      <formula>NOT(ISERROR(SEARCH("Please Fill Start Date",BL4)))</formula>
    </cfRule>
  </conditionalFormatting>
  <conditionalFormatting sqref="BM4:BM65">
    <cfRule type="containsText" dxfId="4" priority="3" operator="containsText" text="Please Fill Remarks">
      <formula>NOT(ISERROR(SEARCH("Please Fill Remarks",BM4)))</formula>
    </cfRule>
    <cfRule type="containsText" dxfId="3" priority="4" operator="containsText" text="Please Fill Start Date">
      <formula>NOT(ISERROR(SEARCH("Please Fill Start Date",BM4)))</formula>
    </cfRule>
  </conditionalFormatting>
  <conditionalFormatting sqref="K4:K65">
    <cfRule type="containsText" dxfId="2" priority="1" operator="containsText" text="Please Fill Sequence Number">
      <formula>NOT(ISERROR(SEARCH("Please Fill Sequence Number",K4)))</formula>
    </cfRule>
  </conditionalFormatting>
  <dataValidations count="3">
    <dataValidation showInputMessage="1" showErrorMessage="1" error="Ledger tidak sesuai atau isi Divisi/Dept. pada halaman Cover." sqref="A4:B65" xr:uid="{D9601B00-C2AC-4715-B511-30FF4AA18573}"/>
    <dataValidation type="custom" showInputMessage="1" showErrorMessage="1" error="Pastikan Ledger Number dan Cost Center sudah terisi" sqref="AQ4:BB65 O4:Z65 AC4:AN65" xr:uid="{2BA74905-C126-4D70-848D-E0403D5A4B5B}">
      <formula1>AND($A4&lt;&gt;"",$J4&lt;&gt;"")</formula1>
    </dataValidation>
    <dataValidation allowBlank="1" showInputMessage="1" showErrorMessage="1" promptTitle="Mandatory for FA &amp; PROJECT" prompt="Started from 01 for each ledger description_x000a_For 01 to 09, please enter them with a leading apostrophe, e.g. : _x000a_'01, '02, ..., '09_x000a_Restart from '01 when switching to different ledger description" sqref="K4:K65" xr:uid="{372B6E5C-B48E-4BAA-8C8A-72867666F646}"/>
  </dataValidations>
  <pageMargins left="0.27" right="0.28000000000000003" top="0.44" bottom="0.75" header="0" footer="0"/>
  <pageSetup paperSize="9" scale="85" orientation="landscape" r:id="rId1"/>
  <ignoredErrors>
    <ignoredError sqref="BO26:XFD56 BK4:BM56 AO4:AP56 BC4:BC56" unlockedFormula="1"/>
  </ignoredErrors>
  <extLst>
    <ext xmlns:x14="http://schemas.microsoft.com/office/spreadsheetml/2009/9/main" uri="{CCE6A557-97BC-4b89-ADB6-D9C93CAAB3DF}">
      <x14:dataValidations xmlns:xm="http://schemas.microsoft.com/office/excel/2006/main" count="5">
        <x14:dataValidation type="list" allowBlank="1" showInputMessage="1" showErrorMessage="1" xr:uid="{11CA38E0-99D6-464F-BB8D-BD430128E04E}">
          <x14:formula1>
            <xm:f>'Master Data'!$C$336:$C$353</xm:f>
          </x14:formula1>
          <xm:sqref>G4:G65</xm:sqref>
        </x14:dataValidation>
        <x14:dataValidation type="list" allowBlank="1" showInputMessage="1" showErrorMessage="1" xr:uid="{EC78AA2C-4521-4762-97C4-5DA7086D0939}">
          <x14:formula1>
            <xm:f>'Master Data'!$B$357:$B$359</xm:f>
          </x14:formula1>
          <xm:sqref>BE4:BE65</xm:sqref>
        </x14:dataValidation>
        <x14:dataValidation type="list" allowBlank="1" showInputMessage="1" showErrorMessage="1" xr:uid="{664165FC-30DB-4C82-B8EB-B60056CDB973}">
          <x14:formula1>
            <xm:f>'Master Data'!$B$372:$B$373</xm:f>
          </x14:formula1>
          <xm:sqref>BG4:BG65</xm:sqref>
        </x14:dataValidation>
        <x14:dataValidation type="list" allowBlank="1" showInputMessage="1" showErrorMessage="1" xr:uid="{A128A01A-F79C-4951-A2E4-480D11B88763}">
          <x14:formula1>
            <xm:f>'Master Data'!$B$365:$B$368</xm:f>
          </x14:formula1>
          <xm:sqref>BJ4:BJ65</xm:sqref>
        </x14:dataValidation>
        <x14:dataValidation type="list" allowBlank="1" showInputMessage="1" showErrorMessage="1" xr:uid="{89676F23-F160-465F-9922-0910BE84B611}">
          <x14:formula1>
            <xm:f>'Master Data'!$E$145:$E$146</xm:f>
          </x14:formula1>
          <xm:sqref>F4:F65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5" tint="0.39997558519241921"/>
  </sheetPr>
  <dimension ref="A1:BT26"/>
  <sheetViews>
    <sheetView showGridLines="0" zoomScale="80" zoomScaleNormal="80" workbookViewId="0">
      <pane xSplit="5" ySplit="3" topLeftCell="F4" activePane="bottomRight" state="frozen"/>
      <selection activeCell="B16" sqref="B16:C18"/>
      <selection pane="topRight" activeCell="B16" sqref="B16:C18"/>
      <selection pane="bottomLeft" activeCell="B16" sqref="B16:C18"/>
      <selection pane="bottomRight" activeCell="C3" sqref="C3"/>
    </sheetView>
  </sheetViews>
  <sheetFormatPr defaultColWidth="9.140625" defaultRowHeight="15" outlineLevelCol="1" x14ac:dyDescent="0.25"/>
  <cols>
    <col min="1" max="1" width="20" style="176" customWidth="1"/>
    <col min="2" max="2" width="19.85546875" style="176" customWidth="1"/>
    <col min="3" max="3" width="16.42578125" style="176" customWidth="1"/>
    <col min="4" max="4" width="39" style="209" customWidth="1"/>
    <col min="5" max="5" width="15.42578125" style="176" customWidth="1"/>
    <col min="6" max="6" width="15.28515625" style="176" customWidth="1" outlineLevel="1"/>
    <col min="7" max="7" width="27.140625" style="176" customWidth="1" outlineLevel="1"/>
    <col min="8" max="8" width="12.85546875" style="176" customWidth="1" outlineLevel="1"/>
    <col min="9" max="9" width="39.5703125" style="176" customWidth="1" outlineLevel="1"/>
    <col min="10" max="11" width="17.7109375" style="176" customWidth="1"/>
    <col min="12" max="23" width="15.7109375" style="176" customWidth="1" outlineLevel="1"/>
    <col min="24" max="24" width="15.7109375" style="176" customWidth="1"/>
    <col min="25" max="25" width="3.42578125" style="176" customWidth="1"/>
    <col min="26" max="26" width="12" style="176" customWidth="1" outlineLevel="1"/>
    <col min="27" max="27" width="10.85546875" style="295" customWidth="1" outlineLevel="1"/>
    <col min="28" max="28" width="13.85546875" style="176" customWidth="1" outlineLevel="1"/>
    <col min="29" max="29" width="15.140625" style="176" customWidth="1" outlineLevel="1"/>
    <col min="30" max="30" width="11.140625" style="265" customWidth="1" outlineLevel="1"/>
    <col min="31" max="31" width="17.7109375" style="265" customWidth="1" outlineLevel="1"/>
    <col min="32" max="32" width="11.140625" style="265" customWidth="1" outlineLevel="1"/>
    <col min="33" max="33" width="10.28515625" style="265" customWidth="1" outlineLevel="1"/>
    <col min="34" max="34" width="15.7109375" style="265" customWidth="1" outlineLevel="1"/>
    <col min="35" max="35" width="11" style="265" customWidth="1" outlineLevel="1"/>
    <col min="36" max="36" width="13.28515625" style="265" customWidth="1" outlineLevel="1"/>
    <col min="37" max="37" width="12.28515625" style="265" customWidth="1" outlineLevel="1"/>
    <col min="38" max="38" width="15.5703125" style="176" customWidth="1"/>
    <col min="39" max="39" width="3.5703125" style="266" customWidth="1"/>
    <col min="40" max="40" width="10.85546875" style="176" customWidth="1" outlineLevel="1"/>
    <col min="41" max="41" width="9.140625" style="268" outlineLevel="1"/>
    <col min="42" max="42" width="29.28515625" style="268" hidden="1" customWidth="1" outlineLevel="1"/>
    <col min="43" max="43" width="35.28515625" style="268" hidden="1" customWidth="1" outlineLevel="1"/>
    <col min="44" max="44" width="30.42578125" style="268" hidden="1" customWidth="1" outlineLevel="1"/>
    <col min="45" max="46" width="9.140625" style="268" outlineLevel="1"/>
    <col min="47" max="47" width="9.85546875" style="268" bestFit="1" customWidth="1" outlineLevel="1"/>
    <col min="48" max="51" width="9.140625" style="268" outlineLevel="1"/>
    <col min="52" max="52" width="9.140625" style="268"/>
    <col min="53" max="53" width="23.140625" style="268" customWidth="1"/>
    <col min="54" max="55" width="9.140625" style="268"/>
    <col min="56" max="56" width="9.28515625" style="268" bestFit="1" customWidth="1"/>
    <col min="57" max="57" width="12" style="268" bestFit="1" customWidth="1"/>
    <col min="58" max="58" width="10" style="268" bestFit="1" customWidth="1"/>
    <col min="59" max="59" width="11.42578125" style="268" bestFit="1" customWidth="1"/>
    <col min="60" max="60" width="15.5703125" style="268" customWidth="1"/>
    <col min="61" max="61" width="21.7109375" style="268" bestFit="1" customWidth="1"/>
    <col min="62" max="62" width="13" style="268" bestFit="1" customWidth="1"/>
    <col min="63" max="63" width="23.42578125" style="268" bestFit="1" customWidth="1"/>
    <col min="64" max="64" width="16.42578125" style="268" bestFit="1" customWidth="1"/>
    <col min="65" max="66" width="26.7109375" style="268" bestFit="1" customWidth="1"/>
    <col min="67" max="67" width="28.7109375" style="268" bestFit="1" customWidth="1"/>
    <col min="68" max="68" width="16.28515625" style="268" customWidth="1"/>
    <col min="69" max="69" width="9.140625" style="268"/>
    <col min="70" max="70" width="16.42578125" style="268" bestFit="1" customWidth="1"/>
    <col min="71" max="71" width="17.7109375" style="268" customWidth="1"/>
    <col min="72" max="72" width="16.7109375" style="268" customWidth="1"/>
    <col min="73" max="16384" width="9.140625" style="268"/>
  </cols>
  <sheetData>
    <row r="1" spans="1:72" x14ac:dyDescent="0.25">
      <c r="Y1" s="215"/>
      <c r="Z1" s="216"/>
      <c r="AA1" s="216"/>
      <c r="AB1" s="214"/>
      <c r="AC1" s="214"/>
      <c r="AD1" s="214"/>
      <c r="AE1" s="214"/>
      <c r="AF1" s="214"/>
      <c r="AG1" s="214"/>
      <c r="AH1" s="214"/>
      <c r="AI1" s="214"/>
      <c r="AJ1" s="214"/>
      <c r="AK1" s="214"/>
      <c r="AL1" s="214"/>
      <c r="AM1" s="217"/>
      <c r="AN1" s="216"/>
      <c r="AO1" s="216"/>
      <c r="AP1" s="214"/>
      <c r="AQ1" s="214"/>
      <c r="AR1" s="214"/>
      <c r="AS1" s="214"/>
      <c r="AT1" s="214"/>
      <c r="AU1" s="214"/>
      <c r="AV1" s="214"/>
      <c r="AW1" s="214"/>
      <c r="AX1" s="214"/>
      <c r="AY1" s="214"/>
      <c r="AZ1" s="214"/>
      <c r="BA1" s="176"/>
      <c r="BB1" s="176"/>
      <c r="BC1" s="176"/>
      <c r="BD1" s="176"/>
      <c r="BE1" s="176"/>
      <c r="BF1" s="265"/>
      <c r="BG1" s="266"/>
      <c r="BH1" s="176"/>
      <c r="BI1" s="176"/>
      <c r="BL1" s="266"/>
      <c r="BM1" s="188"/>
      <c r="BN1" s="176"/>
      <c r="BO1" s="266"/>
      <c r="BP1" s="176"/>
    </row>
    <row r="2" spans="1:72" ht="30" x14ac:dyDescent="0.25">
      <c r="A2" s="342"/>
      <c r="B2" s="342"/>
      <c r="C2" s="342"/>
      <c r="D2" s="343"/>
      <c r="E2" s="342"/>
      <c r="F2" s="342"/>
      <c r="G2" s="342"/>
      <c r="H2" s="342"/>
      <c r="I2" s="342"/>
      <c r="J2" s="342"/>
      <c r="K2" s="342"/>
      <c r="L2" s="344" t="s">
        <v>959</v>
      </c>
      <c r="M2" s="345"/>
      <c r="N2" s="345"/>
      <c r="O2" s="345"/>
      <c r="P2" s="344"/>
      <c r="Q2" s="345"/>
      <c r="R2" s="345"/>
      <c r="S2" s="345"/>
      <c r="T2" s="345"/>
      <c r="U2" s="345"/>
      <c r="V2" s="345"/>
      <c r="W2" s="345"/>
      <c r="X2" s="345"/>
      <c r="Y2" s="217"/>
      <c r="Z2" s="344" t="s">
        <v>960</v>
      </c>
      <c r="AA2" s="345"/>
      <c r="AB2" s="345"/>
      <c r="AC2" s="345"/>
      <c r="AD2" s="344"/>
      <c r="AE2" s="345"/>
      <c r="AF2" s="345"/>
      <c r="AG2" s="345"/>
      <c r="AH2" s="345"/>
      <c r="AI2" s="345"/>
      <c r="AJ2" s="345"/>
      <c r="AK2" s="345"/>
      <c r="AL2" s="345"/>
      <c r="AM2" s="217"/>
      <c r="AN2" s="344" t="s">
        <v>1496</v>
      </c>
      <c r="AO2" s="345"/>
      <c r="AP2" s="345"/>
      <c r="AQ2" s="345"/>
      <c r="AR2" s="344"/>
      <c r="AS2" s="345"/>
      <c r="AT2" s="345"/>
      <c r="AU2" s="345"/>
      <c r="AV2" s="345"/>
      <c r="AW2" s="345"/>
      <c r="AX2" s="345"/>
      <c r="AY2" s="345"/>
      <c r="AZ2" s="345"/>
      <c r="BA2" s="342"/>
      <c r="BB2" s="342"/>
      <c r="BC2" s="176"/>
      <c r="BD2" s="176"/>
      <c r="BE2" s="176"/>
      <c r="BF2" s="265"/>
      <c r="BG2" s="266"/>
      <c r="BH2" s="176"/>
      <c r="BI2" s="176"/>
      <c r="BJ2" s="267" t="s">
        <v>961</v>
      </c>
      <c r="BK2" s="221">
        <v>16500</v>
      </c>
      <c r="BL2" s="266"/>
      <c r="BM2" s="188"/>
      <c r="BN2" s="176"/>
      <c r="BO2" s="266"/>
      <c r="BP2" s="176"/>
    </row>
    <row r="3" spans="1:72" s="271" customFormat="1" ht="54.75" customHeight="1" x14ac:dyDescent="0.25">
      <c r="A3" s="346" t="s">
        <v>234</v>
      </c>
      <c r="B3" s="346" t="s">
        <v>16</v>
      </c>
      <c r="C3" s="346" t="s">
        <v>456</v>
      </c>
      <c r="D3" s="347" t="s">
        <v>459</v>
      </c>
      <c r="E3" s="346" t="s">
        <v>460</v>
      </c>
      <c r="F3" s="346" t="s">
        <v>46</v>
      </c>
      <c r="G3" s="346" t="s">
        <v>336</v>
      </c>
      <c r="H3" s="346" t="s">
        <v>38</v>
      </c>
      <c r="I3" s="346" t="s">
        <v>338</v>
      </c>
      <c r="J3" s="348" t="s">
        <v>879</v>
      </c>
      <c r="K3" s="349" t="s">
        <v>880</v>
      </c>
      <c r="L3" s="346" t="s">
        <v>888</v>
      </c>
      <c r="M3" s="346" t="s">
        <v>889</v>
      </c>
      <c r="N3" s="346" t="s">
        <v>890</v>
      </c>
      <c r="O3" s="346" t="s">
        <v>891</v>
      </c>
      <c r="P3" s="346" t="s">
        <v>892</v>
      </c>
      <c r="Q3" s="346" t="s">
        <v>893</v>
      </c>
      <c r="R3" s="346" t="s">
        <v>894</v>
      </c>
      <c r="S3" s="346" t="s">
        <v>895</v>
      </c>
      <c r="T3" s="346" t="s">
        <v>896</v>
      </c>
      <c r="U3" s="346" t="s">
        <v>897</v>
      </c>
      <c r="V3" s="346" t="s">
        <v>898</v>
      </c>
      <c r="W3" s="346" t="s">
        <v>899</v>
      </c>
      <c r="X3" s="346" t="s">
        <v>901</v>
      </c>
      <c r="Y3" s="350"/>
      <c r="Z3" s="346" t="s">
        <v>888</v>
      </c>
      <c r="AA3" s="346" t="s">
        <v>889</v>
      </c>
      <c r="AB3" s="346" t="s">
        <v>890</v>
      </c>
      <c r="AC3" s="346" t="s">
        <v>891</v>
      </c>
      <c r="AD3" s="346" t="s">
        <v>892</v>
      </c>
      <c r="AE3" s="346" t="s">
        <v>893</v>
      </c>
      <c r="AF3" s="346" t="s">
        <v>894</v>
      </c>
      <c r="AG3" s="346" t="s">
        <v>895</v>
      </c>
      <c r="AH3" s="346" t="s">
        <v>896</v>
      </c>
      <c r="AI3" s="346" t="s">
        <v>897</v>
      </c>
      <c r="AJ3" s="346" t="s">
        <v>898</v>
      </c>
      <c r="AK3" s="346" t="s">
        <v>899</v>
      </c>
      <c r="AL3" s="346" t="s">
        <v>844</v>
      </c>
      <c r="AM3" s="351"/>
      <c r="AN3" s="346" t="s">
        <v>888</v>
      </c>
      <c r="AO3" s="346" t="s">
        <v>889</v>
      </c>
      <c r="AP3" s="346" t="s">
        <v>890</v>
      </c>
      <c r="AQ3" s="346" t="s">
        <v>891</v>
      </c>
      <c r="AR3" s="346" t="s">
        <v>892</v>
      </c>
      <c r="AS3" s="346" t="s">
        <v>893</v>
      </c>
      <c r="AT3" s="346" t="s">
        <v>894</v>
      </c>
      <c r="AU3" s="346" t="s">
        <v>895</v>
      </c>
      <c r="AV3" s="346" t="s">
        <v>896</v>
      </c>
      <c r="AW3" s="346" t="s">
        <v>897</v>
      </c>
      <c r="AX3" s="346" t="s">
        <v>898</v>
      </c>
      <c r="AY3" s="346" t="s">
        <v>899</v>
      </c>
      <c r="AZ3" s="346" t="s">
        <v>844</v>
      </c>
      <c r="BA3" s="346" t="s">
        <v>484</v>
      </c>
      <c r="BB3" s="346" t="s">
        <v>789</v>
      </c>
      <c r="BC3" s="269" t="s">
        <v>790</v>
      </c>
      <c r="BD3" s="261" t="s">
        <v>881</v>
      </c>
      <c r="BE3" s="261" t="s">
        <v>511</v>
      </c>
      <c r="BF3" s="261" t="s">
        <v>512</v>
      </c>
      <c r="BG3" s="260" t="s">
        <v>717</v>
      </c>
      <c r="BH3" s="261" t="s">
        <v>510</v>
      </c>
      <c r="BI3" s="261" t="s">
        <v>514</v>
      </c>
      <c r="BJ3" s="261" t="s">
        <v>728</v>
      </c>
      <c r="BK3" s="261" t="s">
        <v>882</v>
      </c>
      <c r="BL3" s="261" t="s">
        <v>884</v>
      </c>
      <c r="BM3" s="261" t="s">
        <v>883</v>
      </c>
      <c r="BN3" s="261" t="s">
        <v>885</v>
      </c>
      <c r="BO3" s="261" t="s">
        <v>886</v>
      </c>
      <c r="BP3" s="270" t="s">
        <v>962</v>
      </c>
      <c r="BQ3" s="352" t="s">
        <v>1484</v>
      </c>
      <c r="BR3" s="296" t="s">
        <v>1485</v>
      </c>
      <c r="BS3" s="296" t="s">
        <v>1486</v>
      </c>
      <c r="BT3" s="296" t="s">
        <v>489</v>
      </c>
    </row>
    <row r="4" spans="1:72" s="293" customFormat="1" ht="14.1" customHeight="1" x14ac:dyDescent="0.25">
      <c r="A4" s="272" t="str">
        <f>IF(D4="","",Cover!$D$8)</f>
        <v>Sales &amp; Procurement</v>
      </c>
      <c r="B4" s="223" t="str">
        <f>IF(D4="","",IFERROR(VLOOKUP(G4,'Master Data'!$E$59:$J$146,6,FALSE),0))</f>
        <v>Sales</v>
      </c>
      <c r="C4" s="273" t="str">
        <f>_xlfn.XLOOKUP('Budget Opex Detail'!D4,'Activity Master Opex'!C:C,'Activity Master Opex'!B:B,"",0)</f>
        <v>SM001-00002</v>
      </c>
      <c r="D4" s="274" t="s">
        <v>748</v>
      </c>
      <c r="E4" s="273">
        <f>IF(D4="","",IFERROR(VLOOKUP(D4,'Activity Master Opex'!$C:$L,6,FALSE),0))</f>
        <v>0</v>
      </c>
      <c r="F4" s="275" t="str">
        <f>IFERROR(IF($C4="","",VLOOKUP($C4,'Activity Master Opex'!$B:$I,3,0)),"")</f>
        <v>10301SM001</v>
      </c>
      <c r="G4" s="273" t="str">
        <f>IFERROR(IF($C4="","",VLOOKUP($F4,'Master Data'!$D$59:$E$146,2,FALSE)),"")</f>
        <v>SALES</v>
      </c>
      <c r="H4" s="276">
        <f>IFERROR(IF($C4="","",VLOOKUP($C4,'Activity Master Opex'!$B:$I,5,0)),"")</f>
        <v>62300010</v>
      </c>
      <c r="I4" s="272" t="str">
        <f>IFERROR(VLOOKUP(H4,'Activity Master Opex'!$F:$G,2,FALSE),"")</f>
        <v>Meeting Expenses</v>
      </c>
      <c r="J4" s="277">
        <f>56322.5806451613*15500</f>
        <v>873000000.00000024</v>
      </c>
      <c r="K4" s="277">
        <v>18944738</v>
      </c>
      <c r="L4" s="278"/>
      <c r="M4" s="278"/>
      <c r="N4" s="278"/>
      <c r="O4" s="278"/>
      <c r="P4" s="278"/>
      <c r="Q4" s="278"/>
      <c r="R4" s="278"/>
      <c r="S4" s="278"/>
      <c r="T4" s="278"/>
      <c r="U4" s="278"/>
      <c r="V4" s="278"/>
      <c r="W4" s="278"/>
      <c r="X4" s="279">
        <f>SUM(L4:W4)</f>
        <v>0</v>
      </c>
      <c r="Y4" s="280"/>
      <c r="Z4" s="233"/>
      <c r="AA4" s="233"/>
      <c r="AB4" s="233"/>
      <c r="AC4" s="233"/>
      <c r="AD4" s="233"/>
      <c r="AE4" s="233"/>
      <c r="AF4" s="233"/>
      <c r="AG4" s="233"/>
      <c r="AH4" s="233"/>
      <c r="AI4" s="233"/>
      <c r="AJ4" s="233"/>
      <c r="AK4" s="233"/>
      <c r="AL4" s="234">
        <f>SUM(Z4:AK4)</f>
        <v>0</v>
      </c>
      <c r="AM4" s="235"/>
      <c r="AN4" s="233"/>
      <c r="AO4" s="233"/>
      <c r="AP4" s="233"/>
      <c r="AQ4" s="233"/>
      <c r="AR4" s="233"/>
      <c r="AS4" s="233"/>
      <c r="AT4" s="233"/>
      <c r="AU4" s="233"/>
      <c r="AV4" s="233"/>
      <c r="AW4" s="233"/>
      <c r="AX4" s="233"/>
      <c r="AY4" s="233"/>
      <c r="AZ4" s="234">
        <f>SUM(AN4:AY4)</f>
        <v>0</v>
      </c>
      <c r="BA4" s="281">
        <f>X4-J4</f>
        <v>-873000000.00000024</v>
      </c>
      <c r="BB4" s="282"/>
      <c r="BC4" s="283">
        <f t="shared" ref="BC4" si="0">X4-BO4</f>
        <v>0</v>
      </c>
      <c r="BD4" s="284" t="str">
        <f>IF('Budget Opex Detail'!C4="","",IF(COUNTIFS('Activity Master Opex'!$B$4:$B$37,'Budget Opex Detail'!$C4)&gt;0,"","New Activity"))</f>
        <v/>
      </c>
      <c r="BE4" s="285"/>
      <c r="BF4" s="286"/>
      <c r="BG4" s="287"/>
      <c r="BH4" s="288"/>
      <c r="BI4" s="289"/>
      <c r="BJ4" s="289"/>
      <c r="BK4" s="290"/>
      <c r="BL4" s="238">
        <f>IF(BJ4="USD",BK4*$BK$2,IF(BJ4="IDR",BK4,0))</f>
        <v>0</v>
      </c>
      <c r="BM4" s="288"/>
      <c r="BN4" s="288"/>
      <c r="BO4" s="291">
        <f t="shared" ref="BO4" si="1">BL4+BN4</f>
        <v>0</v>
      </c>
      <c r="BP4" s="292"/>
      <c r="BR4" s="353" t="str">
        <f>IF($H4="","",VLOOKUP($H4,'Master Data'!$B:$D,3,FALSE))</f>
        <v>Meeting &amp; Ceremony Expense</v>
      </c>
      <c r="BS4" s="353" t="str">
        <f t="shared" ref="BS4:BS26" si="2">IF(C4="","",IF($A4&lt;&gt;"human resources",IF(LEFT(F4,6)="10301S","Selling","General Administrative"),IFERROR(IF(FIND("Selling",D4)&gt;0,"Selling","General Administrative"),"General Administrative")))</f>
        <v>Selling</v>
      </c>
      <c r="BT4" s="353" t="str">
        <f>IF($H4="","",VLOOKUP(VALUE($H4),'Master Data'!B:I,8,FALSE))</f>
        <v>Meeting and ceremony</v>
      </c>
    </row>
    <row r="5" spans="1:72" s="293" customFormat="1" x14ac:dyDescent="0.25">
      <c r="A5" s="272" t="str">
        <f>IF(D5="","",Cover!$D$8)</f>
        <v>Sales &amp; Procurement</v>
      </c>
      <c r="B5" s="223" t="str">
        <f>IF(D5="","",IFERROR(VLOOKUP(G5,'Master Data'!$E$59:$J$146,6,FALSE),0))</f>
        <v>Sales</v>
      </c>
      <c r="C5" s="273" t="str">
        <f>_xlfn.XLOOKUP('Budget Opex Detail'!D5,'Activity Master Opex'!C:C,'Activity Master Opex'!B:B,"",0)</f>
        <v>SM001-00003</v>
      </c>
      <c r="D5" s="274" t="s">
        <v>734</v>
      </c>
      <c r="E5" s="273">
        <f>IF(D5="","",IFERROR(VLOOKUP(D5,'Activity Master Opex'!$C:$L,6,FALSE),0))</f>
        <v>0</v>
      </c>
      <c r="F5" s="275" t="str">
        <f>IFERROR(IF($C5="","",VLOOKUP($C5,'Activity Master Opex'!$B:$I,3,0)),"")</f>
        <v>10301SM001</v>
      </c>
      <c r="G5" s="273" t="str">
        <f>IFERROR(IF($C5="","",VLOOKUP($F5,'Master Data'!$D$59:$E$146,2,FALSE)),"")</f>
        <v>SALES</v>
      </c>
      <c r="H5" s="276">
        <f>IFERROR(IF($C5="","",VLOOKUP($C5,'Activity Master Opex'!$B:$I,5,0)),"")</f>
        <v>62000040</v>
      </c>
      <c r="I5" s="272" t="str">
        <f>IFERROR(VLOOKUP(H5,'Activity Master Opex'!$F:$G,2,FALSE),"")</f>
        <v>Ent. Exp - Others Entertainment</v>
      </c>
      <c r="J5" s="277">
        <f>30254.8387096774*15500</f>
        <v>468949999.9999997</v>
      </c>
      <c r="K5" s="277">
        <v>84904497</v>
      </c>
      <c r="L5" s="278"/>
      <c r="M5" s="278"/>
      <c r="N5" s="278"/>
      <c r="O5" s="278"/>
      <c r="P5" s="278"/>
      <c r="Q5" s="278"/>
      <c r="R5" s="278"/>
      <c r="S5" s="278"/>
      <c r="T5" s="278"/>
      <c r="U5" s="278"/>
      <c r="V5" s="278"/>
      <c r="W5" s="278"/>
      <c r="X5" s="279">
        <f>SUM(L5:W5)</f>
        <v>0</v>
      </c>
      <c r="Y5" s="280"/>
      <c r="Z5" s="282"/>
      <c r="AA5" s="233"/>
      <c r="AB5" s="233"/>
      <c r="AC5" s="285"/>
      <c r="AD5" s="286"/>
      <c r="AE5" s="286"/>
      <c r="AF5" s="286"/>
      <c r="AG5" s="286"/>
      <c r="AH5" s="286"/>
      <c r="AI5" s="286"/>
      <c r="AJ5" s="286"/>
      <c r="AK5" s="286"/>
      <c r="AL5" s="234">
        <f t="shared" ref="AL5:AL26" si="3">SUM(Z5:AK5)</f>
        <v>0</v>
      </c>
      <c r="AM5" s="235"/>
      <c r="AN5" s="233"/>
      <c r="AO5" s="233"/>
      <c r="AP5" s="233"/>
      <c r="AQ5" s="233"/>
      <c r="AR5" s="233"/>
      <c r="AS5" s="233"/>
      <c r="AT5" s="233"/>
      <c r="AU5" s="233"/>
      <c r="AV5" s="233"/>
      <c r="AW5" s="233"/>
      <c r="AX5" s="233"/>
      <c r="AY5" s="233"/>
      <c r="AZ5" s="234">
        <f t="shared" ref="AZ5:AZ26" si="4">SUM(AN5:AY5)</f>
        <v>0</v>
      </c>
      <c r="BA5" s="281">
        <f t="shared" ref="BA5:BA26" si="5">X5-J5</f>
        <v>-468949999.9999997</v>
      </c>
      <c r="BB5" s="282"/>
      <c r="BC5" s="283">
        <f t="shared" ref="BC5:BC26" si="6">X5-BO5</f>
        <v>0</v>
      </c>
      <c r="BD5" s="284" t="str">
        <f>IF('Budget Opex Detail'!C5="","",IF(COUNTIFS('Activity Master Opex'!$B$4:$B$37,'Budget Opex Detail'!$C5)&gt;0,"","New Activity"))</f>
        <v/>
      </c>
      <c r="BE5" s="285"/>
      <c r="BF5" s="286"/>
      <c r="BG5" s="287"/>
      <c r="BH5" s="288"/>
      <c r="BI5" s="289"/>
      <c r="BJ5" s="289"/>
      <c r="BK5" s="290"/>
      <c r="BL5" s="238">
        <f t="shared" ref="BL5:BL26" si="7">IF(BJ5="USD",BK5*$BK$2,IF(BJ5="IDR",BK5,0))</f>
        <v>0</v>
      </c>
      <c r="BM5" s="288"/>
      <c r="BN5" s="288"/>
      <c r="BO5" s="291">
        <f t="shared" ref="BO5:BO26" si="8">BL5+BN5</f>
        <v>0</v>
      </c>
      <c r="BP5" s="292"/>
      <c r="BR5" s="353" t="str">
        <f>IF($H5="","",VLOOKUP($H5,'Master Data'!$B:$D,3,FALSE))</f>
        <v>Entertainment Expenses</v>
      </c>
      <c r="BS5" s="353" t="str">
        <f t="shared" si="2"/>
        <v>Selling</v>
      </c>
      <c r="BT5" s="353" t="str">
        <f>IF($H5="","",VLOOKUP(VALUE($H5),'Master Data'!B:I,8,FALSE))</f>
        <v xml:space="preserve">Entertainment </v>
      </c>
    </row>
    <row r="6" spans="1:72" s="293" customFormat="1" x14ac:dyDescent="0.25">
      <c r="A6" s="272" t="str">
        <f>IF(D6="","",Cover!$D$8)</f>
        <v>Sales &amp; Procurement</v>
      </c>
      <c r="B6" s="223" t="str">
        <f>IF(D6="","",IFERROR(VLOOKUP(G6,'Master Data'!$E$59:$J$146,6,FALSE),0))</f>
        <v>Sales</v>
      </c>
      <c r="C6" s="273" t="str">
        <f>_xlfn.XLOOKUP('Budget Opex Detail'!D6,'Activity Master Opex'!C:C,'Activity Master Opex'!B:B,"",0)</f>
        <v>SM001-00004</v>
      </c>
      <c r="D6" s="274" t="s">
        <v>736</v>
      </c>
      <c r="E6" s="273">
        <f>IF(D6="","",IFERROR(VLOOKUP(D6,'Activity Master Opex'!$C:$L,6,FALSE),0))</f>
        <v>0</v>
      </c>
      <c r="F6" s="275" t="str">
        <f>IFERROR(IF($C6="","",VLOOKUP($C6,'Activity Master Opex'!$B:$I,3,0)),"")</f>
        <v>10301SM001</v>
      </c>
      <c r="G6" s="273" t="str">
        <f>IFERROR(IF($C6="","",VLOOKUP($F6,'Master Data'!$D$59:$E$146,2,FALSE)),"")</f>
        <v>SALES</v>
      </c>
      <c r="H6" s="276">
        <f>IFERROR(IF($C6="","",VLOOKUP($C6,'Activity Master Opex'!$B:$I,5,0)),"")</f>
        <v>62000040</v>
      </c>
      <c r="I6" s="272" t="str">
        <f>IFERROR(VLOOKUP(H6,'Activity Master Opex'!$F:$G,2,FALSE),"")</f>
        <v>Ent. Exp - Others Entertainment</v>
      </c>
      <c r="J6" s="277">
        <f>1161.29032258065*15500</f>
        <v>18000000.000000075</v>
      </c>
      <c r="K6" s="277">
        <v>4000000</v>
      </c>
      <c r="L6" s="278"/>
      <c r="M6" s="278"/>
      <c r="N6" s="278"/>
      <c r="O6" s="278"/>
      <c r="P6" s="278"/>
      <c r="Q6" s="278"/>
      <c r="R6" s="278"/>
      <c r="S6" s="278"/>
      <c r="T6" s="278"/>
      <c r="U6" s="278"/>
      <c r="V6" s="278"/>
      <c r="W6" s="278"/>
      <c r="X6" s="279">
        <f>SUM(L6:W6)</f>
        <v>0</v>
      </c>
      <c r="Y6" s="280"/>
      <c r="Z6" s="282"/>
      <c r="AA6" s="233"/>
      <c r="AB6" s="233"/>
      <c r="AC6" s="285"/>
      <c r="AD6" s="286"/>
      <c r="AE6" s="286"/>
      <c r="AF6" s="286"/>
      <c r="AG6" s="286"/>
      <c r="AH6" s="286"/>
      <c r="AI6" s="286"/>
      <c r="AJ6" s="286"/>
      <c r="AK6" s="286"/>
      <c r="AL6" s="234">
        <f t="shared" si="3"/>
        <v>0</v>
      </c>
      <c r="AM6" s="235"/>
      <c r="AN6" s="233"/>
      <c r="AO6" s="233"/>
      <c r="AP6" s="233"/>
      <c r="AQ6" s="233"/>
      <c r="AR6" s="233"/>
      <c r="AS6" s="233"/>
      <c r="AT6" s="233"/>
      <c r="AU6" s="233"/>
      <c r="AV6" s="233"/>
      <c r="AW6" s="233"/>
      <c r="AX6" s="233"/>
      <c r="AY6" s="233"/>
      <c r="AZ6" s="234">
        <f t="shared" si="4"/>
        <v>0</v>
      </c>
      <c r="BA6" s="281">
        <f t="shared" si="5"/>
        <v>-18000000.000000075</v>
      </c>
      <c r="BB6" s="282"/>
      <c r="BC6" s="283">
        <f t="shared" si="6"/>
        <v>0</v>
      </c>
      <c r="BD6" s="284" t="str">
        <f>IF('Budget Opex Detail'!C6="","",IF(COUNTIFS('Activity Master Opex'!$B$4:$B$37,'Budget Opex Detail'!$C6)&gt;0,"","New Activity"))</f>
        <v/>
      </c>
      <c r="BE6" s="285"/>
      <c r="BF6" s="286"/>
      <c r="BG6" s="287"/>
      <c r="BH6" s="288"/>
      <c r="BI6" s="289"/>
      <c r="BJ6" s="289"/>
      <c r="BK6" s="290"/>
      <c r="BL6" s="238">
        <f t="shared" si="7"/>
        <v>0</v>
      </c>
      <c r="BM6" s="288"/>
      <c r="BN6" s="288"/>
      <c r="BO6" s="291">
        <f t="shared" si="8"/>
        <v>0</v>
      </c>
      <c r="BP6" s="292"/>
      <c r="BR6" s="353" t="str">
        <f>IF($H6="","",VLOOKUP($H6,'Master Data'!$B:$D,3,FALSE))</f>
        <v>Entertainment Expenses</v>
      </c>
      <c r="BS6" s="353" t="str">
        <f t="shared" si="2"/>
        <v>Selling</v>
      </c>
      <c r="BT6" s="353" t="str">
        <f>IF($H6="","",VLOOKUP(VALUE($H6),'Master Data'!B:I,8,FALSE))</f>
        <v xml:space="preserve">Entertainment </v>
      </c>
    </row>
    <row r="7" spans="1:72" s="293" customFormat="1" x14ac:dyDescent="0.25">
      <c r="A7" s="272" t="str">
        <f>IF(D7="","",Cover!$D$8)</f>
        <v>Sales &amp; Procurement</v>
      </c>
      <c r="B7" s="223" t="str">
        <f>IF(D7="","",IFERROR(VLOOKUP(G7,'Master Data'!$E$59:$J$146,6,FALSE),0))</f>
        <v>Sales</v>
      </c>
      <c r="C7" s="273" t="str">
        <f>_xlfn.XLOOKUP('Budget Opex Detail'!D7,'Activity Master Opex'!C:C,'Activity Master Opex'!B:B,"",0)</f>
        <v>SM001-00005</v>
      </c>
      <c r="D7" s="274" t="s">
        <v>749</v>
      </c>
      <c r="E7" s="273">
        <f>IF(D7="","",IFERROR(VLOOKUP(D7,'Activity Master Opex'!$C:$L,6,FALSE),0))</f>
        <v>0</v>
      </c>
      <c r="F7" s="275" t="str">
        <f>IFERROR(IF($C7="","",VLOOKUP($C7,'Activity Master Opex'!$B:$I,3,0)),"")</f>
        <v>10301SM001</v>
      </c>
      <c r="G7" s="273" t="str">
        <f>IFERROR(IF($C7="","",VLOOKUP($F7,'Master Data'!$D$59:$E$146,2,FALSE)),"")</f>
        <v>SALES</v>
      </c>
      <c r="H7" s="276">
        <f>IFERROR(IF($C7="","",VLOOKUP($C7,'Activity Master Opex'!$B:$I,5,0)),"")</f>
        <v>62400030</v>
      </c>
      <c r="I7" s="272" t="str">
        <f>IFERROR(VLOOKUP(H7,'Activity Master Opex'!$F:$G,2,FALSE),"")</f>
        <v>Gen. Transp. Travelling Expenses</v>
      </c>
      <c r="J7" s="277">
        <f>55469.0436129032*15500</f>
        <v>859770175.99999964</v>
      </c>
      <c r="K7" s="277">
        <v>383590670</v>
      </c>
      <c r="L7" s="278"/>
      <c r="M7" s="278"/>
      <c r="N7" s="278"/>
      <c r="O7" s="278"/>
      <c r="P7" s="278"/>
      <c r="Q7" s="278"/>
      <c r="R7" s="278"/>
      <c r="S7" s="278"/>
      <c r="T7" s="278"/>
      <c r="U7" s="278"/>
      <c r="V7" s="278"/>
      <c r="W7" s="278"/>
      <c r="X7" s="279">
        <f>SUM(L7:W7)</f>
        <v>0</v>
      </c>
      <c r="Y7" s="280"/>
      <c r="Z7" s="282"/>
      <c r="AA7" s="233"/>
      <c r="AB7" s="233"/>
      <c r="AC7" s="285"/>
      <c r="AD7" s="286"/>
      <c r="AE7" s="286"/>
      <c r="AF7" s="286"/>
      <c r="AG7" s="286"/>
      <c r="AH7" s="286"/>
      <c r="AI7" s="286"/>
      <c r="AJ7" s="286"/>
      <c r="AK7" s="286"/>
      <c r="AL7" s="234">
        <f t="shared" si="3"/>
        <v>0</v>
      </c>
      <c r="AM7" s="235"/>
      <c r="AN7" s="233"/>
      <c r="AO7" s="233"/>
      <c r="AP7" s="233"/>
      <c r="AQ7" s="233"/>
      <c r="AR7" s="233"/>
      <c r="AS7" s="233"/>
      <c r="AT7" s="233"/>
      <c r="AU7" s="233"/>
      <c r="AV7" s="233"/>
      <c r="AW7" s="233"/>
      <c r="AX7" s="233"/>
      <c r="AY7" s="233"/>
      <c r="AZ7" s="234">
        <f t="shared" si="4"/>
        <v>0</v>
      </c>
      <c r="BA7" s="281">
        <f t="shared" si="5"/>
        <v>-859770175.99999964</v>
      </c>
      <c r="BB7" s="282"/>
      <c r="BC7" s="283">
        <f t="shared" si="6"/>
        <v>0</v>
      </c>
      <c r="BD7" s="284" t="str">
        <f>IF('Budget Opex Detail'!C7="","",IF(COUNTIFS('Activity Master Opex'!$B$4:$B$37,'Budget Opex Detail'!$C7)&gt;0,"","New Activity"))</f>
        <v/>
      </c>
      <c r="BE7" s="285"/>
      <c r="BF7" s="286"/>
      <c r="BG7" s="287"/>
      <c r="BH7" s="288"/>
      <c r="BI7" s="289"/>
      <c r="BJ7" s="289"/>
      <c r="BK7" s="290"/>
      <c r="BL7" s="238">
        <f t="shared" si="7"/>
        <v>0</v>
      </c>
      <c r="BM7" s="288"/>
      <c r="BN7" s="288"/>
      <c r="BO7" s="291">
        <f t="shared" si="8"/>
        <v>0</v>
      </c>
      <c r="BP7" s="292"/>
      <c r="BR7" s="353" t="str">
        <f>IF($H7="","",VLOOKUP($H7,'Master Data'!$B:$D,3,FALSE))</f>
        <v>General Transportation Exp</v>
      </c>
      <c r="BS7" s="353" t="str">
        <f t="shared" si="2"/>
        <v>Selling</v>
      </c>
      <c r="BT7" s="353" t="str">
        <f>IF($H7="","",VLOOKUP(VALUE($H7),'Master Data'!B:I,8,FALSE))</f>
        <v>General transportation</v>
      </c>
    </row>
    <row r="8" spans="1:72" s="293" customFormat="1" x14ac:dyDescent="0.25">
      <c r="A8" s="272" t="str">
        <f>IF(D8="","",Cover!$D$8)</f>
        <v>Sales &amp; Procurement</v>
      </c>
      <c r="B8" s="223" t="str">
        <f>IF(D8="","",IFERROR(VLOOKUP(G8,'Master Data'!$E$59:$J$146,6,FALSE),0))</f>
        <v>Sales</v>
      </c>
      <c r="C8" s="273" t="str">
        <f>_xlfn.XLOOKUP('Budget Opex Detail'!D8,'Activity Master Opex'!C:C,'Activity Master Opex'!B:B,"",0)</f>
        <v>SM001-00025</v>
      </c>
      <c r="D8" s="274" t="s">
        <v>738</v>
      </c>
      <c r="E8" s="273">
        <f>IF(D8="","",IFERROR(VLOOKUP(D8,'Activity Master Opex'!$C:$L,6,FALSE),0))</f>
        <v>0</v>
      </c>
      <c r="F8" s="275" t="str">
        <f>IFERROR(IF($C8="","",VLOOKUP($C8,'Activity Master Opex'!$B:$I,3,0)),"")</f>
        <v>10301SM001</v>
      </c>
      <c r="G8" s="273" t="str">
        <f>IFERROR(IF($C8="","",VLOOKUP($F8,'Master Data'!$D$59:$E$146,2,FALSE)),"")</f>
        <v>SALES</v>
      </c>
      <c r="H8" s="276">
        <f>IFERROR(IF($C8="","",VLOOKUP($C8,'Activity Master Opex'!$B:$I,5,0)),"")</f>
        <v>62400060</v>
      </c>
      <c r="I8" s="272" t="str">
        <f>IFERROR(VLOOKUP(H8,'Activity Master Opex'!$F:$G,2,FALSE),"")</f>
        <v>Gen. Transp. Freight Local</v>
      </c>
      <c r="J8" s="277">
        <f>1252837.26200308*15500</f>
        <v>19418977561.047741</v>
      </c>
      <c r="K8" s="277">
        <v>5159407618</v>
      </c>
      <c r="L8" s="278"/>
      <c r="M8" s="278"/>
      <c r="N8" s="278"/>
      <c r="O8" s="278"/>
      <c r="P8" s="278"/>
      <c r="Q8" s="278"/>
      <c r="R8" s="278"/>
      <c r="S8" s="278"/>
      <c r="T8" s="278"/>
      <c r="U8" s="278"/>
      <c r="V8" s="278"/>
      <c r="W8" s="278"/>
      <c r="X8" s="279">
        <f t="shared" ref="X8:X10" si="9">SUM(L8:W8)</f>
        <v>0</v>
      </c>
      <c r="Y8" s="280"/>
      <c r="Z8" s="282"/>
      <c r="AA8" s="233"/>
      <c r="AB8" s="233"/>
      <c r="AC8" s="285"/>
      <c r="AD8" s="286"/>
      <c r="AE8" s="286"/>
      <c r="AF8" s="286"/>
      <c r="AG8" s="286"/>
      <c r="AH8" s="286"/>
      <c r="AI8" s="286"/>
      <c r="AJ8" s="286"/>
      <c r="AK8" s="286"/>
      <c r="AL8" s="234">
        <f t="shared" si="3"/>
        <v>0</v>
      </c>
      <c r="AM8" s="235"/>
      <c r="AN8" s="233"/>
      <c r="AO8" s="233"/>
      <c r="AP8" s="233"/>
      <c r="AQ8" s="233"/>
      <c r="AR8" s="233"/>
      <c r="AS8" s="233"/>
      <c r="AT8" s="233"/>
      <c r="AU8" s="233"/>
      <c r="AV8" s="233"/>
      <c r="AW8" s="233"/>
      <c r="AX8" s="233"/>
      <c r="AY8" s="233"/>
      <c r="AZ8" s="234">
        <f t="shared" si="4"/>
        <v>0</v>
      </c>
      <c r="BA8" s="281">
        <f t="shared" si="5"/>
        <v>-19418977561.047741</v>
      </c>
      <c r="BB8" s="282"/>
      <c r="BC8" s="283">
        <f t="shared" si="6"/>
        <v>0</v>
      </c>
      <c r="BD8" s="284" t="str">
        <f>IF('Budget Opex Detail'!C8="","",IF(COUNTIFS('Activity Master Opex'!$B$4:$B$37,'Budget Opex Detail'!$C8)&gt;0,"","New Activity"))</f>
        <v/>
      </c>
      <c r="BE8" s="285"/>
      <c r="BF8" s="286"/>
      <c r="BG8" s="287"/>
      <c r="BH8" s="288"/>
      <c r="BI8" s="289"/>
      <c r="BJ8" s="289"/>
      <c r="BK8" s="290"/>
      <c r="BL8" s="238">
        <f t="shared" si="7"/>
        <v>0</v>
      </c>
      <c r="BM8" s="288"/>
      <c r="BN8" s="288"/>
      <c r="BO8" s="291">
        <f t="shared" si="8"/>
        <v>0</v>
      </c>
      <c r="BP8" s="292"/>
      <c r="BR8" s="353" t="str">
        <f>IF($H8="","",VLOOKUP($H8,'Master Data'!$B:$D,3,FALSE))</f>
        <v>General Transportation Exp</v>
      </c>
      <c r="BS8" s="353" t="str">
        <f t="shared" si="2"/>
        <v>Selling</v>
      </c>
      <c r="BT8" s="353" t="str">
        <f>IF($H8="","",VLOOKUP(VALUE($H8),'Master Data'!B:I,8,FALSE))</f>
        <v>General transportation</v>
      </c>
    </row>
    <row r="9" spans="1:72" s="293" customFormat="1" x14ac:dyDescent="0.25">
      <c r="A9" s="272" t="str">
        <f>IF(D9="","",Cover!$D$8)</f>
        <v>Sales &amp; Procurement</v>
      </c>
      <c r="B9" s="223" t="str">
        <f>IF(D9="","",IFERROR(VLOOKUP(G9,'Master Data'!$E$59:$J$146,6,FALSE),0))</f>
        <v>Sales</v>
      </c>
      <c r="C9" s="273" t="str">
        <f>_xlfn.XLOOKUP('Budget Opex Detail'!D9,'Activity Master Opex'!C:C,'Activity Master Opex'!B:B,"",0)</f>
        <v>SM001-00010</v>
      </c>
      <c r="D9" s="274" t="s">
        <v>853</v>
      </c>
      <c r="E9" s="273">
        <f>IF(D9="","",IFERROR(VLOOKUP(D9,'Activity Master Opex'!$C:$L,6,FALSE),0))</f>
        <v>0</v>
      </c>
      <c r="F9" s="275" t="str">
        <f>IFERROR(IF($C9="","",VLOOKUP($C9,'Activity Master Opex'!$B:$I,3,0)),"")</f>
        <v>10301SM001</v>
      </c>
      <c r="G9" s="273" t="str">
        <f>IFERROR(IF($C9="","",VLOOKUP($F9,'Master Data'!$D$59:$E$146,2,FALSE)),"")</f>
        <v>SALES</v>
      </c>
      <c r="H9" s="276">
        <f>IFERROR(IF($C9="","",VLOOKUP($C9,'Activity Master Opex'!$B:$I,5,0)),"")</f>
        <v>61900050</v>
      </c>
      <c r="I9" s="272" t="str">
        <f>IFERROR(VLOOKUP(H9,'Activity Master Opex'!$F:$G,2,FALSE),"")</f>
        <v>PF - Management Fee</v>
      </c>
      <c r="J9" s="277">
        <f>5272734.95870509*15500</f>
        <v>81727391859.928894</v>
      </c>
      <c r="K9" s="277">
        <v>18513938850</v>
      </c>
      <c r="L9" s="278">
        <f>Calculation!C18</f>
        <v>0</v>
      </c>
      <c r="M9" s="278">
        <f>Calculation!D18</f>
        <v>0</v>
      </c>
      <c r="N9" s="278">
        <f>Calculation!E18</f>
        <v>0</v>
      </c>
      <c r="O9" s="278">
        <f>Calculation!F18</f>
        <v>0</v>
      </c>
      <c r="P9" s="278">
        <f>Calculation!G18</f>
        <v>0</v>
      </c>
      <c r="Q9" s="278">
        <f>Calculation!H18</f>
        <v>0</v>
      </c>
      <c r="R9" s="278">
        <f>Calculation!I18</f>
        <v>0</v>
      </c>
      <c r="S9" s="278">
        <f>Calculation!J18</f>
        <v>0</v>
      </c>
      <c r="T9" s="278">
        <f>Calculation!K18</f>
        <v>0</v>
      </c>
      <c r="U9" s="278">
        <f>Calculation!L18</f>
        <v>0</v>
      </c>
      <c r="V9" s="278">
        <f>Calculation!M18</f>
        <v>0</v>
      </c>
      <c r="W9" s="278">
        <f>Calculation!N18</f>
        <v>0</v>
      </c>
      <c r="X9" s="279">
        <f t="shared" si="9"/>
        <v>0</v>
      </c>
      <c r="Y9" s="280"/>
      <c r="Z9" s="282"/>
      <c r="AA9" s="233"/>
      <c r="AB9" s="233"/>
      <c r="AC9" s="285"/>
      <c r="AD9" s="286"/>
      <c r="AE9" s="286"/>
      <c r="AF9" s="286"/>
      <c r="AG9" s="286"/>
      <c r="AH9" s="286"/>
      <c r="AI9" s="286"/>
      <c r="AJ9" s="286"/>
      <c r="AK9" s="286"/>
      <c r="AL9" s="234">
        <f t="shared" si="3"/>
        <v>0</v>
      </c>
      <c r="AM9" s="235"/>
      <c r="AN9" s="233"/>
      <c r="AO9" s="233"/>
      <c r="AP9" s="233"/>
      <c r="AQ9" s="233"/>
      <c r="AR9" s="233"/>
      <c r="AS9" s="233"/>
      <c r="AT9" s="233"/>
      <c r="AU9" s="233"/>
      <c r="AV9" s="233"/>
      <c r="AW9" s="233"/>
      <c r="AX9" s="233"/>
      <c r="AY9" s="233"/>
      <c r="AZ9" s="234">
        <f t="shared" si="4"/>
        <v>0</v>
      </c>
      <c r="BA9" s="281">
        <f t="shared" si="5"/>
        <v>-81727391859.928894</v>
      </c>
      <c r="BB9" s="282"/>
      <c r="BC9" s="283">
        <f t="shared" si="6"/>
        <v>0</v>
      </c>
      <c r="BD9" s="284" t="str">
        <f>IF('Budget Opex Detail'!C9="","",IF(COUNTIFS('Activity Master Opex'!$B$4:$B$37,'Budget Opex Detail'!$C9)&gt;0,"","New Activity"))</f>
        <v/>
      </c>
      <c r="BE9" s="285"/>
      <c r="BF9" s="286"/>
      <c r="BG9" s="287"/>
      <c r="BH9" s="288"/>
      <c r="BI9" s="289"/>
      <c r="BJ9" s="289"/>
      <c r="BK9" s="290"/>
      <c r="BL9" s="238">
        <f t="shared" si="7"/>
        <v>0</v>
      </c>
      <c r="BM9" s="288"/>
      <c r="BN9" s="288"/>
      <c r="BO9" s="291">
        <f t="shared" si="8"/>
        <v>0</v>
      </c>
      <c r="BP9" s="292"/>
      <c r="BR9" s="353" t="s">
        <v>1494</v>
      </c>
      <c r="BS9" s="353" t="str">
        <f t="shared" si="2"/>
        <v>Selling</v>
      </c>
      <c r="BT9" s="353" t="s">
        <v>501</v>
      </c>
    </row>
    <row r="10" spans="1:72" s="293" customFormat="1" x14ac:dyDescent="0.25">
      <c r="A10" s="272" t="str">
        <f>IF(D10="","",Cover!$D$8)</f>
        <v>Sales &amp; Procurement</v>
      </c>
      <c r="B10" s="223" t="str">
        <f>IF(D10="","",IFERROR(VLOOKUP(G10,'Master Data'!$E$59:$J$146,6,FALSE),0))</f>
        <v>Sales</v>
      </c>
      <c r="C10" s="273" t="str">
        <f>_xlfn.XLOOKUP('Budget Opex Detail'!D10,'Activity Master Opex'!C:C,'Activity Master Opex'!B:B,"",0)</f>
        <v>SM001-00011</v>
      </c>
      <c r="D10" s="274" t="s">
        <v>854</v>
      </c>
      <c r="E10" s="273">
        <f>IF(D10="","",IFERROR(VLOOKUP(D10,'Activity Master Opex'!$C:$L,6,FALSE),0))</f>
        <v>0</v>
      </c>
      <c r="F10" s="275" t="str">
        <f>IFERROR(IF($C10="","",VLOOKUP($C10,'Activity Master Opex'!$B:$I,3,0)),"")</f>
        <v>10301SM001</v>
      </c>
      <c r="G10" s="273" t="str">
        <f>IFERROR(IF($C10="","",VLOOKUP($F10,'Master Data'!$D$59:$E$146,2,FALSE)),"")</f>
        <v>SALES</v>
      </c>
      <c r="H10" s="276">
        <f>IFERROR(IF($C10="","",VLOOKUP($C10,'Activity Master Opex'!$B:$I,5,0)),"")</f>
        <v>61900050</v>
      </c>
      <c r="I10" s="272" t="str">
        <f>IFERROR(VLOOKUP(H10,'Activity Master Opex'!$F:$G,2,FALSE),"")</f>
        <v>PF - Management Fee</v>
      </c>
      <c r="J10" s="277">
        <f>988637.933971599*15500</f>
        <v>15323887976.559784</v>
      </c>
      <c r="K10" s="277">
        <v>3444538446</v>
      </c>
      <c r="L10" s="278">
        <f>Calculation!C19</f>
        <v>0</v>
      </c>
      <c r="M10" s="278">
        <f>Calculation!D19</f>
        <v>0</v>
      </c>
      <c r="N10" s="278">
        <f>Calculation!E19</f>
        <v>0</v>
      </c>
      <c r="O10" s="278">
        <f>Calculation!F19</f>
        <v>0</v>
      </c>
      <c r="P10" s="278">
        <f>Calculation!G19</f>
        <v>0</v>
      </c>
      <c r="Q10" s="278">
        <f>Calculation!H19</f>
        <v>0</v>
      </c>
      <c r="R10" s="278">
        <f>Calculation!I19</f>
        <v>0</v>
      </c>
      <c r="S10" s="278">
        <f>Calculation!J19</f>
        <v>0</v>
      </c>
      <c r="T10" s="278">
        <f>Calculation!K19</f>
        <v>0</v>
      </c>
      <c r="U10" s="278">
        <f>Calculation!L19</f>
        <v>0</v>
      </c>
      <c r="V10" s="278">
        <f>Calculation!M19</f>
        <v>0</v>
      </c>
      <c r="W10" s="278">
        <f>Calculation!N19</f>
        <v>0</v>
      </c>
      <c r="X10" s="279">
        <f t="shared" si="9"/>
        <v>0</v>
      </c>
      <c r="Y10" s="280"/>
      <c r="Z10" s="282"/>
      <c r="AA10" s="233"/>
      <c r="AB10" s="233"/>
      <c r="AC10" s="285"/>
      <c r="AD10" s="286"/>
      <c r="AE10" s="286"/>
      <c r="AF10" s="286"/>
      <c r="AG10" s="286"/>
      <c r="AH10" s="286"/>
      <c r="AI10" s="286"/>
      <c r="AJ10" s="286"/>
      <c r="AK10" s="286"/>
      <c r="AL10" s="234">
        <f t="shared" si="3"/>
        <v>0</v>
      </c>
      <c r="AM10" s="235"/>
      <c r="AN10" s="233"/>
      <c r="AO10" s="233"/>
      <c r="AP10" s="233"/>
      <c r="AQ10" s="233"/>
      <c r="AR10" s="233"/>
      <c r="AS10" s="233"/>
      <c r="AT10" s="233"/>
      <c r="AU10" s="233"/>
      <c r="AV10" s="233"/>
      <c r="AW10" s="233"/>
      <c r="AX10" s="233"/>
      <c r="AY10" s="233"/>
      <c r="AZ10" s="234">
        <f t="shared" si="4"/>
        <v>0</v>
      </c>
      <c r="BA10" s="281">
        <f t="shared" si="5"/>
        <v>-15323887976.559784</v>
      </c>
      <c r="BB10" s="282"/>
      <c r="BC10" s="283">
        <f t="shared" si="6"/>
        <v>0</v>
      </c>
      <c r="BD10" s="284" t="str">
        <f>IF('Budget Opex Detail'!C10="","",IF(COUNTIFS('Activity Master Opex'!$B$4:$B$37,'Budget Opex Detail'!$C10)&gt;0,"","New Activity"))</f>
        <v/>
      </c>
      <c r="BE10" s="285"/>
      <c r="BF10" s="286"/>
      <c r="BG10" s="287"/>
      <c r="BH10" s="288"/>
      <c r="BI10" s="289"/>
      <c r="BJ10" s="289"/>
      <c r="BK10" s="290"/>
      <c r="BL10" s="238">
        <f t="shared" si="7"/>
        <v>0</v>
      </c>
      <c r="BM10" s="288"/>
      <c r="BN10" s="288"/>
      <c r="BO10" s="291">
        <f t="shared" si="8"/>
        <v>0</v>
      </c>
      <c r="BP10" s="292"/>
      <c r="BR10" s="353" t="s">
        <v>1494</v>
      </c>
      <c r="BS10" s="353" t="str">
        <f t="shared" si="2"/>
        <v>Selling</v>
      </c>
      <c r="BT10" s="353" t="s">
        <v>501</v>
      </c>
    </row>
    <row r="11" spans="1:72" s="293" customFormat="1" x14ac:dyDescent="0.25">
      <c r="A11" s="272" t="str">
        <f>IF(D11="","",Cover!$D$8)</f>
        <v>Sales &amp; Procurement</v>
      </c>
      <c r="B11" s="223" t="str">
        <f>IF(D11="","",IFERROR(VLOOKUP(G11,'Master Data'!$E$59:$J$146,6,FALSE),0))</f>
        <v>Sales</v>
      </c>
      <c r="C11" s="273" t="str">
        <f>_xlfn.XLOOKUP('Budget Opex Detail'!D11,'Activity Master Opex'!C:C,'Activity Master Opex'!B:B,"",0)</f>
        <v>SM001-00012</v>
      </c>
      <c r="D11" s="274" t="s">
        <v>855</v>
      </c>
      <c r="E11" s="273">
        <f>IF(D11="","",IFERROR(VLOOKUP(D11,'Activity Master Opex'!$C:$L,6,FALSE),0))</f>
        <v>0</v>
      </c>
      <c r="F11" s="275" t="str">
        <f>IFERROR(IF($C11="","",VLOOKUP($C11,'Activity Master Opex'!$B:$I,3,0)),"")</f>
        <v>10301SM001</v>
      </c>
      <c r="G11" s="273" t="str">
        <f>IFERROR(IF($C11="","",VLOOKUP($F11,'Master Data'!$D$59:$E$146,2,FALSE)),"")</f>
        <v>SALES</v>
      </c>
      <c r="H11" s="276">
        <f>IFERROR(IF($C11="","",VLOOKUP($C11,'Activity Master Opex'!$B:$I,5,0)),"")</f>
        <v>61900050</v>
      </c>
      <c r="I11" s="272" t="str">
        <f>IFERROR(VLOOKUP(H11,'Activity Master Opex'!$F:$G,2,FALSE),"")</f>
        <v>PF - Management Fee</v>
      </c>
      <c r="J11" s="294">
        <f>329544.771989524*15500</f>
        <v>5107943965.8376226</v>
      </c>
      <c r="K11" s="277">
        <v>1148179482</v>
      </c>
      <c r="L11" s="278">
        <f>Calculation!C20</f>
        <v>0</v>
      </c>
      <c r="M11" s="278">
        <f>Calculation!D20</f>
        <v>0</v>
      </c>
      <c r="N11" s="278">
        <f>Calculation!E20</f>
        <v>0</v>
      </c>
      <c r="O11" s="278">
        <f>Calculation!F20</f>
        <v>0</v>
      </c>
      <c r="P11" s="278">
        <f>Calculation!G20</f>
        <v>0</v>
      </c>
      <c r="Q11" s="278">
        <f>Calculation!H20</f>
        <v>0</v>
      </c>
      <c r="R11" s="278">
        <f>Calculation!I20</f>
        <v>0</v>
      </c>
      <c r="S11" s="278">
        <f>Calculation!J20</f>
        <v>0</v>
      </c>
      <c r="T11" s="278">
        <f>Calculation!K20</f>
        <v>0</v>
      </c>
      <c r="U11" s="278">
        <f>Calculation!L20</f>
        <v>0</v>
      </c>
      <c r="V11" s="278">
        <f>Calculation!M20</f>
        <v>0</v>
      </c>
      <c r="W11" s="278">
        <f>Calculation!N20</f>
        <v>0</v>
      </c>
      <c r="X11" s="279">
        <f t="shared" ref="X11:X26" si="10">SUM(L11:W11)</f>
        <v>0</v>
      </c>
      <c r="Y11" s="280"/>
      <c r="Z11" s="282"/>
      <c r="AA11" s="233"/>
      <c r="AB11" s="233"/>
      <c r="AC11" s="285"/>
      <c r="AD11" s="286"/>
      <c r="AE11" s="286"/>
      <c r="AF11" s="286"/>
      <c r="AG11" s="286"/>
      <c r="AH11" s="286"/>
      <c r="AI11" s="286"/>
      <c r="AJ11" s="286"/>
      <c r="AK11" s="286"/>
      <c r="AL11" s="234">
        <f t="shared" si="3"/>
        <v>0</v>
      </c>
      <c r="AM11" s="235"/>
      <c r="AN11" s="233"/>
      <c r="AO11" s="233"/>
      <c r="AP11" s="233"/>
      <c r="AQ11" s="233"/>
      <c r="AR11" s="233"/>
      <c r="AS11" s="233"/>
      <c r="AT11" s="233"/>
      <c r="AU11" s="233"/>
      <c r="AV11" s="233"/>
      <c r="AW11" s="233"/>
      <c r="AX11" s="233"/>
      <c r="AY11" s="233"/>
      <c r="AZ11" s="234">
        <f t="shared" si="4"/>
        <v>0</v>
      </c>
      <c r="BA11" s="281">
        <f t="shared" si="5"/>
        <v>-5107943965.8376226</v>
      </c>
      <c r="BB11" s="282"/>
      <c r="BC11" s="283">
        <f t="shared" si="6"/>
        <v>0</v>
      </c>
      <c r="BD11" s="284" t="str">
        <f>IF('Budget Opex Detail'!C11="","",IF(COUNTIFS('Activity Master Opex'!$B$4:$B$37,'Budget Opex Detail'!$C11)&gt;0,"","New Activity"))</f>
        <v/>
      </c>
      <c r="BE11" s="285"/>
      <c r="BF11" s="286"/>
      <c r="BG11" s="287"/>
      <c r="BH11" s="288"/>
      <c r="BI11" s="289"/>
      <c r="BJ11" s="289"/>
      <c r="BK11" s="290"/>
      <c r="BL11" s="238">
        <f t="shared" si="7"/>
        <v>0</v>
      </c>
      <c r="BM11" s="288"/>
      <c r="BN11" s="288"/>
      <c r="BO11" s="291">
        <f t="shared" si="8"/>
        <v>0</v>
      </c>
      <c r="BP11" s="292"/>
      <c r="BR11" s="353" t="s">
        <v>1494</v>
      </c>
      <c r="BS11" s="353" t="str">
        <f t="shared" si="2"/>
        <v>Selling</v>
      </c>
      <c r="BT11" s="353" t="s">
        <v>501</v>
      </c>
    </row>
    <row r="12" spans="1:72" s="293" customFormat="1" x14ac:dyDescent="0.25">
      <c r="A12" s="272" t="str">
        <f>IF(D12="","",Cover!$D$8)</f>
        <v>Sales &amp; Procurement</v>
      </c>
      <c r="B12" s="223" t="str">
        <f>IF(D12="","",IFERROR(VLOOKUP(G12,'Master Data'!$E$59:$J$146,6,FALSE),0))</f>
        <v>Sales</v>
      </c>
      <c r="C12" s="273" t="str">
        <f>_xlfn.XLOOKUP('Budget Opex Detail'!D12,'Activity Master Opex'!C:C,'Activity Master Opex'!B:B,"",0)</f>
        <v>SM001-00019</v>
      </c>
      <c r="D12" s="274" t="s">
        <v>743</v>
      </c>
      <c r="E12" s="273">
        <f>IF(D12="","",IFERROR(VLOOKUP(D12,'Activity Master Opex'!$C:$L,6,FALSE),0))</f>
        <v>0</v>
      </c>
      <c r="F12" s="275" t="str">
        <f>IFERROR(IF($C12="","",VLOOKUP($C12,'Activity Master Opex'!$B:$I,3,0)),"")</f>
        <v>10301SM001</v>
      </c>
      <c r="G12" s="273" t="str">
        <f>IFERROR(IF($C12="","",VLOOKUP($F12,'Master Data'!$D$59:$E$146,2,FALSE)),"")</f>
        <v>SALES</v>
      </c>
      <c r="H12" s="276">
        <f>IFERROR(IF($C12="","",VLOOKUP($C12,'Activity Master Opex'!$B:$I,5,0)),"")</f>
        <v>62200020</v>
      </c>
      <c r="I12" s="272" t="str">
        <f>IFERROR(VLOOKUP(H12,'Activity Master Opex'!$F:$G,2,FALSE),"")</f>
        <v>Printing and Supplies Expenses</v>
      </c>
      <c r="J12" s="294">
        <f>5981.41935483871*15500</f>
        <v>92712000.000000015</v>
      </c>
      <c r="K12" s="277">
        <v>42797000</v>
      </c>
      <c r="L12" s="278"/>
      <c r="M12" s="278"/>
      <c r="N12" s="278"/>
      <c r="O12" s="278"/>
      <c r="P12" s="278"/>
      <c r="Q12" s="278"/>
      <c r="R12" s="278"/>
      <c r="S12" s="278"/>
      <c r="T12" s="278"/>
      <c r="U12" s="278"/>
      <c r="V12" s="278"/>
      <c r="W12" s="278"/>
      <c r="X12" s="279">
        <f t="shared" si="10"/>
        <v>0</v>
      </c>
      <c r="Y12" s="280"/>
      <c r="Z12" s="282"/>
      <c r="AA12" s="233"/>
      <c r="AB12" s="233"/>
      <c r="AC12" s="288"/>
      <c r="AD12" s="286"/>
      <c r="AE12" s="286"/>
      <c r="AF12" s="286"/>
      <c r="AG12" s="286"/>
      <c r="AH12" s="286"/>
      <c r="AI12" s="286"/>
      <c r="AJ12" s="286"/>
      <c r="AK12" s="286"/>
      <c r="AL12" s="234">
        <f t="shared" si="3"/>
        <v>0</v>
      </c>
      <c r="AM12" s="235"/>
      <c r="AN12" s="233"/>
      <c r="AO12" s="233"/>
      <c r="AP12" s="233"/>
      <c r="AQ12" s="233"/>
      <c r="AR12" s="233"/>
      <c r="AS12" s="233"/>
      <c r="AT12" s="233"/>
      <c r="AU12" s="233"/>
      <c r="AV12" s="233"/>
      <c r="AW12" s="233"/>
      <c r="AX12" s="233"/>
      <c r="AY12" s="233"/>
      <c r="AZ12" s="234">
        <f t="shared" si="4"/>
        <v>0</v>
      </c>
      <c r="BA12" s="281">
        <f t="shared" si="5"/>
        <v>-92712000.000000015</v>
      </c>
      <c r="BB12" s="282"/>
      <c r="BC12" s="283">
        <f t="shared" si="6"/>
        <v>0</v>
      </c>
      <c r="BD12" s="284" t="str">
        <f>IF('Budget Opex Detail'!C12="","",IF(COUNTIFS('Activity Master Opex'!$B$4:$B$37,'Budget Opex Detail'!$C12)&gt;0,"","New Activity"))</f>
        <v/>
      </c>
      <c r="BE12" s="285"/>
      <c r="BF12" s="286"/>
      <c r="BG12" s="287"/>
      <c r="BH12" s="288"/>
      <c r="BI12" s="289"/>
      <c r="BJ12" s="289"/>
      <c r="BK12" s="290"/>
      <c r="BL12" s="238">
        <f t="shared" si="7"/>
        <v>0</v>
      </c>
      <c r="BM12" s="288"/>
      <c r="BN12" s="288"/>
      <c r="BO12" s="291">
        <f t="shared" si="8"/>
        <v>0</v>
      </c>
      <c r="BP12" s="292"/>
      <c r="BR12" s="353" t="str">
        <f>IF($H12="","",VLOOKUP($H12,'Master Data'!$B:$D,3,FALSE))</f>
        <v>Stationery &amp; Supplies Expe</v>
      </c>
      <c r="BS12" s="353" t="str">
        <f t="shared" si="2"/>
        <v>Selling</v>
      </c>
      <c r="BT12" s="353" t="str">
        <f>IF($H12="","",VLOOKUP(VALUE($H12),'Master Data'!B:I,8,FALSE))</f>
        <v>Stationery and supplies</v>
      </c>
    </row>
    <row r="13" spans="1:72" s="293" customFormat="1" x14ac:dyDescent="0.25">
      <c r="A13" s="272" t="str">
        <f>IF(D13="","",Cover!$D$8)</f>
        <v>Sales &amp; Procurement</v>
      </c>
      <c r="B13" s="223" t="str">
        <f>IF(D13="","",IFERROR(VLOOKUP(G13,'Master Data'!$E$59:$J$146,6,FALSE),0))</f>
        <v>Sales</v>
      </c>
      <c r="C13" s="273" t="str">
        <f>_xlfn.XLOOKUP('Budget Opex Detail'!D13,'Activity Master Opex'!C:C,'Activity Master Opex'!B:B,"",0)</f>
        <v>SM001-00023</v>
      </c>
      <c r="D13" s="274" t="s">
        <v>745</v>
      </c>
      <c r="E13" s="273">
        <f>IF(D13="","",IFERROR(VLOOKUP(D13,'Activity Master Opex'!$C:$L,6,FALSE),0))</f>
        <v>0</v>
      </c>
      <c r="F13" s="275" t="str">
        <f>IFERROR(IF($C13="","",VLOOKUP($C13,'Activity Master Opex'!$B:$I,3,0)),"")</f>
        <v>10301SM001</v>
      </c>
      <c r="G13" s="273" t="str">
        <f>IFERROR(IF($C13="","",VLOOKUP($F13,'Master Data'!$D$59:$E$146,2,FALSE)),"")</f>
        <v>SALES</v>
      </c>
      <c r="H13" s="276">
        <f>IFERROR(IF($C13="","",VLOOKUP($C13,'Activity Master Opex'!$B:$I,5,0)),"")</f>
        <v>61700070</v>
      </c>
      <c r="I13" s="272" t="str">
        <f>IFERROR(VLOOKUP(H13,'Activity Master Opex'!$F:$G,2,FALSE),"")</f>
        <v>RE - Rental Other</v>
      </c>
      <c r="J13" s="294">
        <f>775.748571428571*15500</f>
        <v>12024102.857142851</v>
      </c>
      <c r="K13" s="277">
        <v>0</v>
      </c>
      <c r="L13" s="278"/>
      <c r="M13" s="278"/>
      <c r="N13" s="278"/>
      <c r="O13" s="278"/>
      <c r="P13" s="278"/>
      <c r="Q13" s="278"/>
      <c r="R13" s="278"/>
      <c r="S13" s="278"/>
      <c r="T13" s="278"/>
      <c r="U13" s="278"/>
      <c r="V13" s="278"/>
      <c r="W13" s="278"/>
      <c r="X13" s="279">
        <f t="shared" si="10"/>
        <v>0</v>
      </c>
      <c r="Y13" s="280"/>
      <c r="Z13" s="282"/>
      <c r="AA13" s="233"/>
      <c r="AB13" s="233"/>
      <c r="AC13" s="288"/>
      <c r="AD13" s="286"/>
      <c r="AE13" s="286"/>
      <c r="AF13" s="286"/>
      <c r="AG13" s="286"/>
      <c r="AH13" s="286"/>
      <c r="AI13" s="286"/>
      <c r="AJ13" s="286"/>
      <c r="AK13" s="286"/>
      <c r="AL13" s="234">
        <f t="shared" si="3"/>
        <v>0</v>
      </c>
      <c r="AM13" s="235"/>
      <c r="AN13" s="233"/>
      <c r="AO13" s="233"/>
      <c r="AP13" s="233"/>
      <c r="AQ13" s="233"/>
      <c r="AR13" s="233"/>
      <c r="AS13" s="233"/>
      <c r="AT13" s="233"/>
      <c r="AU13" s="233"/>
      <c r="AV13" s="233"/>
      <c r="AW13" s="233"/>
      <c r="AX13" s="233"/>
      <c r="AY13" s="233"/>
      <c r="AZ13" s="234">
        <f t="shared" si="4"/>
        <v>0</v>
      </c>
      <c r="BA13" s="281">
        <f t="shared" si="5"/>
        <v>-12024102.857142851</v>
      </c>
      <c r="BB13" s="282"/>
      <c r="BC13" s="283">
        <f t="shared" si="6"/>
        <v>0</v>
      </c>
      <c r="BD13" s="284" t="str">
        <f>IF('Budget Opex Detail'!C13="","",IF(COUNTIFS('Activity Master Opex'!$B$4:$B$37,'Budget Opex Detail'!$C13)&gt;0,"","New Activity"))</f>
        <v/>
      </c>
      <c r="BE13" s="285"/>
      <c r="BF13" s="286"/>
      <c r="BG13" s="287"/>
      <c r="BH13" s="288"/>
      <c r="BI13" s="289"/>
      <c r="BJ13" s="289"/>
      <c r="BK13" s="290"/>
      <c r="BL13" s="238">
        <f t="shared" si="7"/>
        <v>0</v>
      </c>
      <c r="BM13" s="288"/>
      <c r="BN13" s="288"/>
      <c r="BO13" s="291">
        <f t="shared" si="8"/>
        <v>0</v>
      </c>
      <c r="BP13" s="292"/>
      <c r="BR13" s="353" t="str">
        <f>IF($H13="","",VLOOKUP($H13,'Master Data'!$B:$D,3,FALSE))</f>
        <v>Rental Expenses</v>
      </c>
      <c r="BS13" s="353" t="str">
        <f t="shared" si="2"/>
        <v>Selling</v>
      </c>
      <c r="BT13" s="353" t="str">
        <f>IF($H13="","",VLOOKUP(VALUE($H13),'Master Data'!B:I,8,FALSE))</f>
        <v>Rental</v>
      </c>
    </row>
    <row r="14" spans="1:72" s="293" customFormat="1" x14ac:dyDescent="0.25">
      <c r="A14" s="272" t="str">
        <f>IF(D14="","",Cover!$D$8)</f>
        <v>Sales &amp; Procurement</v>
      </c>
      <c r="B14" s="223" t="str">
        <f>IF(D14="","",IFERROR(VLOOKUP(G14,'Master Data'!$E$59:$J$146,6,FALSE),0))</f>
        <v>Sales</v>
      </c>
      <c r="C14" s="273" t="str">
        <f>_xlfn.XLOOKUP('Budget Opex Detail'!D14,'Activity Master Opex'!C:C,'Activity Master Opex'!B:B,"",0)</f>
        <v>SM001-00026</v>
      </c>
      <c r="D14" s="274" t="s">
        <v>791</v>
      </c>
      <c r="E14" s="273">
        <f>IF(D14="","",IFERROR(VLOOKUP(D14,'Activity Master Opex'!$C:$L,6,FALSE),0))</f>
        <v>0</v>
      </c>
      <c r="F14" s="275" t="str">
        <f>IFERROR(IF($C14="","",VLOOKUP($C14,'Activity Master Opex'!$B:$I,3,0)),"")</f>
        <v>10301SM001</v>
      </c>
      <c r="G14" s="273" t="str">
        <f>IFERROR(IF($C14="","",VLOOKUP($F14,'Master Data'!$D$59:$E$146,2,FALSE)),"")</f>
        <v>SALES</v>
      </c>
      <c r="H14" s="276">
        <f>IFERROR(IF($C14="","",VLOOKUP($C14,'Activity Master Opex'!$B:$I,5,0)),"")</f>
        <v>62700010</v>
      </c>
      <c r="I14" s="272" t="str">
        <f>IFERROR(VLOOKUP(H14,'Activity Master Opex'!$F:$G,2,FALSE),"")</f>
        <v>Commission Expense</v>
      </c>
      <c r="J14" s="294">
        <f>23225.8064516129*15500</f>
        <v>360000000</v>
      </c>
      <c r="K14" s="277">
        <v>0</v>
      </c>
      <c r="L14" s="278"/>
      <c r="M14" s="278"/>
      <c r="N14" s="278"/>
      <c r="O14" s="278"/>
      <c r="P14" s="278"/>
      <c r="Q14" s="278"/>
      <c r="R14" s="278"/>
      <c r="S14" s="278"/>
      <c r="T14" s="278"/>
      <c r="U14" s="278"/>
      <c r="V14" s="278"/>
      <c r="W14" s="278"/>
      <c r="X14" s="279">
        <f t="shared" si="10"/>
        <v>0</v>
      </c>
      <c r="Y14" s="280"/>
      <c r="Z14" s="282"/>
      <c r="AA14" s="233"/>
      <c r="AB14" s="233"/>
      <c r="AC14" s="288"/>
      <c r="AD14" s="286"/>
      <c r="AE14" s="286"/>
      <c r="AF14" s="286"/>
      <c r="AG14" s="286"/>
      <c r="AH14" s="286"/>
      <c r="AI14" s="286"/>
      <c r="AJ14" s="286"/>
      <c r="AK14" s="286"/>
      <c r="AL14" s="234">
        <f t="shared" si="3"/>
        <v>0</v>
      </c>
      <c r="AM14" s="235"/>
      <c r="AN14" s="233"/>
      <c r="AO14" s="233"/>
      <c r="AP14" s="233"/>
      <c r="AQ14" s="233"/>
      <c r="AR14" s="233"/>
      <c r="AS14" s="233"/>
      <c r="AT14" s="233"/>
      <c r="AU14" s="233"/>
      <c r="AV14" s="233"/>
      <c r="AW14" s="233"/>
      <c r="AX14" s="233"/>
      <c r="AY14" s="233"/>
      <c r="AZ14" s="234">
        <f t="shared" si="4"/>
        <v>0</v>
      </c>
      <c r="BA14" s="281">
        <f t="shared" si="5"/>
        <v>-360000000</v>
      </c>
      <c r="BB14" s="282"/>
      <c r="BC14" s="283">
        <f t="shared" si="6"/>
        <v>0</v>
      </c>
      <c r="BD14" s="284" t="str">
        <f>IF('Budget Opex Detail'!C14="","",IF(COUNTIFS('Activity Master Opex'!$B$4:$B$37,'Budget Opex Detail'!$C14)&gt;0,"","New Activity"))</f>
        <v/>
      </c>
      <c r="BE14" s="285"/>
      <c r="BF14" s="286"/>
      <c r="BG14" s="287"/>
      <c r="BH14" s="288"/>
      <c r="BI14" s="289"/>
      <c r="BJ14" s="289"/>
      <c r="BK14" s="290"/>
      <c r="BL14" s="238">
        <f t="shared" si="7"/>
        <v>0</v>
      </c>
      <c r="BM14" s="288"/>
      <c r="BN14" s="288"/>
      <c r="BO14" s="291">
        <f t="shared" si="8"/>
        <v>0</v>
      </c>
      <c r="BP14" s="292"/>
      <c r="BR14" s="353" t="str">
        <f>IF($H14="","",VLOOKUP($H14,'Master Data'!$B:$D,3,FALSE))</f>
        <v>Commission Expense</v>
      </c>
      <c r="BS14" s="353" t="str">
        <f t="shared" si="2"/>
        <v>Selling</v>
      </c>
      <c r="BT14" s="353" t="str">
        <f>IF($H14="","",VLOOKUP(VALUE($H14),'Master Data'!B:I,8,FALSE))</f>
        <v>Comission Expenses</v>
      </c>
    </row>
    <row r="15" spans="1:72" s="293" customFormat="1" x14ac:dyDescent="0.25">
      <c r="A15" s="272" t="str">
        <f>IF(D15="","",Cover!$D$8)</f>
        <v>Sales &amp; Procurement</v>
      </c>
      <c r="B15" s="223" t="str">
        <f>IF(D15="","",IFERROR(VLOOKUP(G15,'Master Data'!$E$59:$J$146,6,FALSE),0))</f>
        <v>Sales</v>
      </c>
      <c r="C15" s="273" t="str">
        <f>_xlfn.XLOOKUP('Budget Opex Detail'!D15,'Activity Master Opex'!C:C,'Activity Master Opex'!B:B,"",0)</f>
        <v>SM004-00001</v>
      </c>
      <c r="D15" s="274" t="s">
        <v>875</v>
      </c>
      <c r="E15" s="273" t="str">
        <f>IF(D15="","",IFERROR(VLOOKUP(D15,'Activity Master Opex'!$C:$L,6,FALSE),0))</f>
        <v>Business Trip for Head of Sales</v>
      </c>
      <c r="F15" s="275" t="str">
        <f>IFERROR(IF($C15="","",VLOOKUP($C15,'Activity Master Opex'!$B:$I,3,0)),"")</f>
        <v>10301SM004</v>
      </c>
      <c r="G15" s="273" t="str">
        <f>IFERROR(IF($C15="","",VLOOKUP($F15,'Master Data'!$D$59:$E$146,2,FALSE)),"")</f>
        <v>HEAD OF SALES EXP</v>
      </c>
      <c r="H15" s="276">
        <f>IFERROR(IF($C15="","",VLOOKUP($C15,'Activity Master Opex'!$B:$I,5,0)),"")</f>
        <v>62400030</v>
      </c>
      <c r="I15" s="272" t="str">
        <f>IFERROR(VLOOKUP(H15,'Activity Master Opex'!$F:$G,2,FALSE),"")</f>
        <v>Gen. Transp. Travelling Expenses</v>
      </c>
      <c r="J15" s="294">
        <f>21075.9383225806*15500</f>
        <v>326677043.99999934</v>
      </c>
      <c r="K15" s="277">
        <v>265919811</v>
      </c>
      <c r="L15" s="278"/>
      <c r="M15" s="278"/>
      <c r="N15" s="278"/>
      <c r="O15" s="278"/>
      <c r="P15" s="278"/>
      <c r="Q15" s="278"/>
      <c r="R15" s="278"/>
      <c r="S15" s="278"/>
      <c r="T15" s="278"/>
      <c r="U15" s="278"/>
      <c r="V15" s="278"/>
      <c r="W15" s="278"/>
      <c r="X15" s="279">
        <f t="shared" si="10"/>
        <v>0</v>
      </c>
      <c r="Y15" s="280"/>
      <c r="Z15" s="282"/>
      <c r="AA15" s="233"/>
      <c r="AB15" s="233"/>
      <c r="AC15" s="288"/>
      <c r="AD15" s="286"/>
      <c r="AE15" s="286"/>
      <c r="AF15" s="286"/>
      <c r="AG15" s="286"/>
      <c r="AH15" s="286"/>
      <c r="AI15" s="286"/>
      <c r="AJ15" s="286"/>
      <c r="AK15" s="286"/>
      <c r="AL15" s="234">
        <f t="shared" si="3"/>
        <v>0</v>
      </c>
      <c r="AM15" s="235"/>
      <c r="AN15" s="233"/>
      <c r="AO15" s="233"/>
      <c r="AP15" s="233"/>
      <c r="AQ15" s="233"/>
      <c r="AR15" s="233"/>
      <c r="AS15" s="233"/>
      <c r="AT15" s="233"/>
      <c r="AU15" s="233"/>
      <c r="AV15" s="233"/>
      <c r="AW15" s="233"/>
      <c r="AX15" s="233"/>
      <c r="AY15" s="233"/>
      <c r="AZ15" s="234">
        <f t="shared" si="4"/>
        <v>0</v>
      </c>
      <c r="BA15" s="281">
        <f t="shared" si="5"/>
        <v>-326677043.99999934</v>
      </c>
      <c r="BB15" s="282"/>
      <c r="BC15" s="283">
        <f t="shared" si="6"/>
        <v>0</v>
      </c>
      <c r="BD15" s="284" t="str">
        <f>IF('Budget Opex Detail'!C15="","",IF(COUNTIFS('Activity Master Opex'!$B$4:$B$37,'Budget Opex Detail'!$C15)&gt;0,"","New Activity"))</f>
        <v/>
      </c>
      <c r="BE15" s="285"/>
      <c r="BF15" s="286"/>
      <c r="BG15" s="287"/>
      <c r="BH15" s="288"/>
      <c r="BI15" s="289"/>
      <c r="BJ15" s="289"/>
      <c r="BK15" s="290"/>
      <c r="BL15" s="238">
        <f t="shared" si="7"/>
        <v>0</v>
      </c>
      <c r="BM15" s="288"/>
      <c r="BN15" s="288"/>
      <c r="BO15" s="291">
        <f t="shared" si="8"/>
        <v>0</v>
      </c>
      <c r="BP15" s="292"/>
      <c r="BR15" s="353" t="str">
        <f>IF($H15="","",VLOOKUP($H15,'Master Data'!$B:$D,3,FALSE))</f>
        <v>General Transportation Exp</v>
      </c>
      <c r="BS15" s="353" t="str">
        <f t="shared" si="2"/>
        <v>Selling</v>
      </c>
      <c r="BT15" s="353" t="str">
        <f>IF($H15="","",VLOOKUP(VALUE($H15),'Master Data'!B:I,8,FALSE))</f>
        <v>General transportation</v>
      </c>
    </row>
    <row r="16" spans="1:72" s="293" customFormat="1" x14ac:dyDescent="0.25">
      <c r="A16" s="272" t="str">
        <f>IF(D16="","",Cover!$D$8)</f>
        <v>Sales &amp; Procurement</v>
      </c>
      <c r="B16" s="223" t="str">
        <f>IF(D16="","",IFERROR(VLOOKUP(G16,'Master Data'!$E$59:$J$146,6,FALSE),0))</f>
        <v>Sales</v>
      </c>
      <c r="C16" s="273" t="str">
        <f>_xlfn.XLOOKUP('Budget Opex Detail'!D16,'Activity Master Opex'!C:C,'Activity Master Opex'!B:B,"",0)</f>
        <v>SM001-00030</v>
      </c>
      <c r="D16" s="274" t="s">
        <v>863</v>
      </c>
      <c r="E16" s="273" t="str">
        <f>IF(D16="","",IFERROR(VLOOKUP(D16,'Activity Master Opex'!$C:$L,6,FALSE),0))</f>
        <v>Road to campus and seminar</v>
      </c>
      <c r="F16" s="275" t="str">
        <f>IFERROR(IF($C16="","",VLOOKUP($C16,'Activity Master Opex'!$B:$I,3,0)),"")</f>
        <v>10301SM001</v>
      </c>
      <c r="G16" s="273" t="str">
        <f>IFERROR(IF($C16="","",VLOOKUP($F16,'Master Data'!$D$59:$E$146,2,FALSE)),"")</f>
        <v>SALES</v>
      </c>
      <c r="H16" s="276">
        <f>IFERROR(IF($C16="","",VLOOKUP($C16,'Activity Master Opex'!$B:$I,5,0)),"")</f>
        <v>61400010</v>
      </c>
      <c r="I16" s="272" t="str">
        <f>IFERROR(VLOOKUP(H16,'Activity Master Opex'!$F:$G,2,FALSE),"")</f>
        <v>AE - Advertising and Promotion Expenses</v>
      </c>
      <c r="J16" s="294">
        <f>63090.4838709677*15500</f>
        <v>977902499.99999928</v>
      </c>
      <c r="K16" s="277">
        <v>943448442</v>
      </c>
      <c r="L16" s="278"/>
      <c r="M16" s="278"/>
      <c r="N16" s="278"/>
      <c r="O16" s="278"/>
      <c r="P16" s="278"/>
      <c r="Q16" s="278"/>
      <c r="R16" s="278"/>
      <c r="S16" s="278"/>
      <c r="T16" s="278"/>
      <c r="U16" s="278"/>
      <c r="V16" s="278"/>
      <c r="W16" s="278"/>
      <c r="X16" s="279">
        <f t="shared" si="10"/>
        <v>0</v>
      </c>
      <c r="Y16" s="280"/>
      <c r="Z16" s="282"/>
      <c r="AA16" s="233"/>
      <c r="AB16" s="233"/>
      <c r="AC16" s="288"/>
      <c r="AD16" s="286"/>
      <c r="AE16" s="286"/>
      <c r="AF16" s="286"/>
      <c r="AG16" s="286"/>
      <c r="AH16" s="286"/>
      <c r="AI16" s="286"/>
      <c r="AJ16" s="286"/>
      <c r="AK16" s="286"/>
      <c r="AL16" s="234">
        <f t="shared" si="3"/>
        <v>0</v>
      </c>
      <c r="AM16" s="235"/>
      <c r="AN16" s="233"/>
      <c r="AO16" s="233"/>
      <c r="AP16" s="233"/>
      <c r="AQ16" s="233"/>
      <c r="AR16" s="233"/>
      <c r="AS16" s="233"/>
      <c r="AT16" s="233"/>
      <c r="AU16" s="233"/>
      <c r="AV16" s="233"/>
      <c r="AW16" s="233"/>
      <c r="AX16" s="233"/>
      <c r="AY16" s="233"/>
      <c r="AZ16" s="234">
        <f t="shared" si="4"/>
        <v>0</v>
      </c>
      <c r="BA16" s="281">
        <f t="shared" si="5"/>
        <v>-977902499.99999928</v>
      </c>
      <c r="BB16" s="282"/>
      <c r="BC16" s="283">
        <f t="shared" si="6"/>
        <v>0</v>
      </c>
      <c r="BD16" s="284" t="str">
        <f>IF('Budget Opex Detail'!C16="","",IF(COUNTIFS('Activity Master Opex'!$B$4:$B$37,'Budget Opex Detail'!$C16)&gt;0,"","New Activity"))</f>
        <v/>
      </c>
      <c r="BE16" s="285"/>
      <c r="BF16" s="286"/>
      <c r="BG16" s="287"/>
      <c r="BH16" s="288"/>
      <c r="BI16" s="289"/>
      <c r="BJ16" s="289"/>
      <c r="BK16" s="290"/>
      <c r="BL16" s="238">
        <f t="shared" si="7"/>
        <v>0</v>
      </c>
      <c r="BM16" s="288"/>
      <c r="BN16" s="288"/>
      <c r="BO16" s="291">
        <f t="shared" si="8"/>
        <v>0</v>
      </c>
      <c r="BP16" s="292"/>
      <c r="BR16" s="353" t="str">
        <f>IF($H16="","",VLOOKUP($H16,'Master Data'!$B:$D,3,FALSE))</f>
        <v>Advertising Expenses</v>
      </c>
      <c r="BS16" s="353" t="str">
        <f t="shared" si="2"/>
        <v>Selling</v>
      </c>
      <c r="BT16" s="353" t="str">
        <f>IF($H16="","",VLOOKUP(VALUE($H16),'Master Data'!B:I,8,FALSE))</f>
        <v>Advertising</v>
      </c>
    </row>
    <row r="17" spans="1:72" s="293" customFormat="1" x14ac:dyDescent="0.25">
      <c r="A17" s="272" t="str">
        <f>IF(D17="","",Cover!$D$8)</f>
        <v>Sales &amp; Procurement</v>
      </c>
      <c r="B17" s="223" t="str">
        <f>IF(D17="","",IFERROR(VLOOKUP(G17,'Master Data'!$E$59:$J$146,6,FALSE),0))</f>
        <v>Sales</v>
      </c>
      <c r="C17" s="273" t="str">
        <f>_xlfn.XLOOKUP('Budget Opex Detail'!D17,'Activity Master Opex'!C:C,'Activity Master Opex'!B:B,"",0)</f>
        <v>SM001-00031</v>
      </c>
      <c r="D17" s="274" t="s">
        <v>865</v>
      </c>
      <c r="E17" s="273" t="str">
        <f>IF(D17="","",IFERROR(VLOOKUP(D17,'Activity Master Opex'!$C:$L,6,FALSE),0))</f>
        <v>Distributor Trip to Japan</v>
      </c>
      <c r="F17" s="275" t="str">
        <f>IFERROR(IF($C17="","",VLOOKUP($C17,'Activity Master Opex'!$B:$I,3,0)),"")</f>
        <v>10301SM001</v>
      </c>
      <c r="G17" s="273" t="str">
        <f>IFERROR(IF($C17="","",VLOOKUP($F17,'Master Data'!$D$59:$E$146,2,FALSE)),"")</f>
        <v>SALES</v>
      </c>
      <c r="H17" s="276">
        <f>IFERROR(IF($C17="","",VLOOKUP($C17,'Activity Master Opex'!$B:$I,5,0)),"")</f>
        <v>61400010</v>
      </c>
      <c r="I17" s="272" t="str">
        <f>IFERROR(VLOOKUP(H17,'Activity Master Opex'!$F:$G,2,FALSE),"")</f>
        <v>AE - Advertising and Promotion Expenses</v>
      </c>
      <c r="J17" s="294">
        <f>132180.64516129*15500</f>
        <v>2048799999.9999952</v>
      </c>
      <c r="K17" s="277">
        <v>572685035</v>
      </c>
      <c r="L17" s="278"/>
      <c r="M17" s="278"/>
      <c r="N17" s="278"/>
      <c r="O17" s="278"/>
      <c r="P17" s="278"/>
      <c r="Q17" s="278"/>
      <c r="R17" s="278"/>
      <c r="S17" s="278"/>
      <c r="T17" s="278"/>
      <c r="U17" s="278"/>
      <c r="V17" s="278"/>
      <c r="W17" s="278"/>
      <c r="X17" s="279">
        <f t="shared" si="10"/>
        <v>0</v>
      </c>
      <c r="Y17" s="280"/>
      <c r="Z17" s="282"/>
      <c r="AA17" s="233"/>
      <c r="AB17" s="233"/>
      <c r="AC17" s="288"/>
      <c r="AD17" s="286"/>
      <c r="AE17" s="286"/>
      <c r="AF17" s="286"/>
      <c r="AG17" s="286"/>
      <c r="AH17" s="286"/>
      <c r="AI17" s="286"/>
      <c r="AJ17" s="286"/>
      <c r="AK17" s="286"/>
      <c r="AL17" s="234">
        <f t="shared" si="3"/>
        <v>0</v>
      </c>
      <c r="AM17" s="235"/>
      <c r="AN17" s="233"/>
      <c r="AO17" s="233"/>
      <c r="AP17" s="233"/>
      <c r="AQ17" s="233"/>
      <c r="AR17" s="233"/>
      <c r="AS17" s="233"/>
      <c r="AT17" s="233"/>
      <c r="AU17" s="233"/>
      <c r="AV17" s="233"/>
      <c r="AW17" s="233"/>
      <c r="AX17" s="233"/>
      <c r="AY17" s="233"/>
      <c r="AZ17" s="234">
        <f t="shared" si="4"/>
        <v>0</v>
      </c>
      <c r="BA17" s="281">
        <f t="shared" si="5"/>
        <v>-2048799999.9999952</v>
      </c>
      <c r="BB17" s="282"/>
      <c r="BC17" s="283">
        <f t="shared" si="6"/>
        <v>0</v>
      </c>
      <c r="BD17" s="284" t="str">
        <f>IF('Budget Opex Detail'!C17="","",IF(COUNTIFS('Activity Master Opex'!$B$4:$B$37,'Budget Opex Detail'!$C17)&gt;0,"","New Activity"))</f>
        <v/>
      </c>
      <c r="BE17" s="285"/>
      <c r="BF17" s="286"/>
      <c r="BG17" s="287"/>
      <c r="BH17" s="288"/>
      <c r="BI17" s="289"/>
      <c r="BJ17" s="289"/>
      <c r="BK17" s="290"/>
      <c r="BL17" s="238">
        <f t="shared" si="7"/>
        <v>0</v>
      </c>
      <c r="BM17" s="288"/>
      <c r="BN17" s="288"/>
      <c r="BO17" s="291">
        <f t="shared" si="8"/>
        <v>0</v>
      </c>
      <c r="BP17" s="292"/>
      <c r="BR17" s="353" t="str">
        <f>IF($H17="","",VLOOKUP($H17,'Master Data'!$B:$D,3,FALSE))</f>
        <v>Advertising Expenses</v>
      </c>
      <c r="BS17" s="353" t="str">
        <f t="shared" si="2"/>
        <v>Selling</v>
      </c>
      <c r="BT17" s="353" t="str">
        <f>IF($H17="","",VLOOKUP(VALUE($H17),'Master Data'!B:I,8,FALSE))</f>
        <v>Advertising</v>
      </c>
    </row>
    <row r="18" spans="1:72" s="293" customFormat="1" x14ac:dyDescent="0.25">
      <c r="A18" s="272" t="str">
        <f>IF(D18="","",Cover!$D$8)</f>
        <v>Sales &amp; Procurement</v>
      </c>
      <c r="B18" s="223" t="str">
        <f>IF(D18="","",IFERROR(VLOOKUP(G18,'Master Data'!$E$59:$J$146,6,FALSE),0))</f>
        <v>Sales</v>
      </c>
      <c r="C18" s="273" t="str">
        <f>_xlfn.XLOOKUP('Budget Opex Detail'!D18,'Activity Master Opex'!C:C,'Activity Master Opex'!B:B,"",0)</f>
        <v>SM001-00032</v>
      </c>
      <c r="D18" s="274" t="s">
        <v>867</v>
      </c>
      <c r="E18" s="273" t="str">
        <f>IF(D18="","",IFERROR(VLOOKUP(D18,'Activity Master Opex'!$C:$L,6,FALSE),0))</f>
        <v>Participate in any exhibition to promote GYS Product</v>
      </c>
      <c r="F18" s="275" t="str">
        <f>IFERROR(IF($C18="","",VLOOKUP($C18,'Activity Master Opex'!$B:$I,3,0)),"")</f>
        <v>10301SM001</v>
      </c>
      <c r="G18" s="273" t="str">
        <f>IFERROR(IF($C18="","",VLOOKUP($F18,'Master Data'!$D$59:$E$146,2,FALSE)),"")</f>
        <v>SALES</v>
      </c>
      <c r="H18" s="276">
        <f>IFERROR(IF($C18="","",VLOOKUP($C18,'Activity Master Opex'!$B:$I,5,0)),"")</f>
        <v>61400030</v>
      </c>
      <c r="I18" s="272" t="str">
        <f>IFERROR(VLOOKUP(H18,'Activity Master Opex'!$F:$G,2,FALSE),"")</f>
        <v>AE - Exhibition and Sponsorship</v>
      </c>
      <c r="J18" s="294">
        <f>35562.4194193548*15500</f>
        <v>551217500.9999994</v>
      </c>
      <c r="K18" s="277">
        <v>184743198</v>
      </c>
      <c r="L18" s="278"/>
      <c r="M18" s="278"/>
      <c r="N18" s="278"/>
      <c r="O18" s="278"/>
      <c r="P18" s="278"/>
      <c r="Q18" s="278"/>
      <c r="R18" s="278"/>
      <c r="S18" s="278"/>
      <c r="T18" s="278"/>
      <c r="U18" s="278"/>
      <c r="V18" s="278"/>
      <c r="W18" s="278"/>
      <c r="X18" s="279">
        <f t="shared" si="10"/>
        <v>0</v>
      </c>
      <c r="Y18" s="280"/>
      <c r="Z18" s="282"/>
      <c r="AA18" s="233"/>
      <c r="AB18" s="233"/>
      <c r="AC18" s="288"/>
      <c r="AD18" s="286"/>
      <c r="AE18" s="286"/>
      <c r="AF18" s="286"/>
      <c r="AG18" s="286"/>
      <c r="AH18" s="286"/>
      <c r="AI18" s="286"/>
      <c r="AJ18" s="286"/>
      <c r="AK18" s="286"/>
      <c r="AL18" s="234">
        <f t="shared" si="3"/>
        <v>0</v>
      </c>
      <c r="AM18" s="235"/>
      <c r="AN18" s="233"/>
      <c r="AO18" s="233"/>
      <c r="AP18" s="233"/>
      <c r="AQ18" s="233"/>
      <c r="AR18" s="233"/>
      <c r="AS18" s="233"/>
      <c r="AT18" s="233"/>
      <c r="AU18" s="233"/>
      <c r="AV18" s="233"/>
      <c r="AW18" s="233"/>
      <c r="AX18" s="233"/>
      <c r="AY18" s="233"/>
      <c r="AZ18" s="234">
        <f t="shared" si="4"/>
        <v>0</v>
      </c>
      <c r="BA18" s="281">
        <f t="shared" si="5"/>
        <v>-551217500.9999994</v>
      </c>
      <c r="BB18" s="282"/>
      <c r="BC18" s="283">
        <f t="shared" si="6"/>
        <v>0</v>
      </c>
      <c r="BD18" s="284" t="str">
        <f>IF('Budget Opex Detail'!C18="","",IF(COUNTIFS('Activity Master Opex'!$B$4:$B$37,'Budget Opex Detail'!$C18)&gt;0,"","New Activity"))</f>
        <v/>
      </c>
      <c r="BE18" s="285"/>
      <c r="BF18" s="286"/>
      <c r="BG18" s="287"/>
      <c r="BH18" s="288"/>
      <c r="BI18" s="289"/>
      <c r="BJ18" s="289"/>
      <c r="BK18" s="290"/>
      <c r="BL18" s="238">
        <f t="shared" si="7"/>
        <v>0</v>
      </c>
      <c r="BM18" s="288"/>
      <c r="BN18" s="288"/>
      <c r="BO18" s="291">
        <f t="shared" si="8"/>
        <v>0</v>
      </c>
      <c r="BP18" s="292"/>
      <c r="BR18" s="353" t="str">
        <f>IF($H18="","",VLOOKUP($H18,'Master Data'!$B:$D,3,FALSE))</f>
        <v>Advertising Expenses</v>
      </c>
      <c r="BS18" s="353" t="str">
        <f t="shared" si="2"/>
        <v>Selling</v>
      </c>
      <c r="BT18" s="353" t="str">
        <f>IF($H18="","",VLOOKUP(VALUE($H18),'Master Data'!B:I,8,FALSE))</f>
        <v>Advertising</v>
      </c>
    </row>
    <row r="19" spans="1:72" s="293" customFormat="1" x14ac:dyDescent="0.25">
      <c r="A19" s="272" t="str">
        <f>IF(D19="","",Cover!$D$8)</f>
        <v>Sales &amp; Procurement</v>
      </c>
      <c r="B19" s="223" t="str">
        <f>IF(D19="","",IFERROR(VLOOKUP(G19,'Master Data'!$E$59:$J$146,6,FALSE),0))</f>
        <v>Sales</v>
      </c>
      <c r="C19" s="273" t="str">
        <f>_xlfn.XLOOKUP('Budget Opex Detail'!D19,'Activity Master Opex'!C:C,'Activity Master Opex'!B:B,"",0)</f>
        <v>SM001-00033</v>
      </c>
      <c r="D19" s="274" t="s">
        <v>869</v>
      </c>
      <c r="E19" s="273" t="str">
        <f>IF(D19="","",IFERROR(VLOOKUP(D19,'Activity Master Opex'!$C:$L,6,FALSE),0))</f>
        <v>Rebranding activity, Marketing research for seismic grade with ITB, TADA</v>
      </c>
      <c r="F19" s="275" t="str">
        <f>IFERROR(IF($C19="","",VLOOKUP($C19,'Activity Master Opex'!$B:$I,3,0)),"")</f>
        <v>10301SM001</v>
      </c>
      <c r="G19" s="273" t="str">
        <f>IFERROR(IF($C19="","",VLOOKUP($F19,'Master Data'!$D$59:$E$146,2,FALSE)),"")</f>
        <v>SALES</v>
      </c>
      <c r="H19" s="276">
        <f>IFERROR(IF($C19="","",VLOOKUP($C19,'Activity Master Opex'!$B:$I,5,0)),"")</f>
        <v>61900090</v>
      </c>
      <c r="I19" s="272" t="str">
        <f>IFERROR(VLOOKUP(H19,'Activity Master Opex'!$F:$G,2,FALSE),"")</f>
        <v>PF - Other Professional Fees</v>
      </c>
      <c r="J19" s="277">
        <f>117125.654774194*15500</f>
        <v>1815447649.0000069</v>
      </c>
      <c r="K19" s="277">
        <v>576673000</v>
      </c>
      <c r="L19" s="278"/>
      <c r="M19" s="278"/>
      <c r="N19" s="278"/>
      <c r="O19" s="278"/>
      <c r="P19" s="278"/>
      <c r="Q19" s="278"/>
      <c r="R19" s="278"/>
      <c r="S19" s="278"/>
      <c r="T19" s="278"/>
      <c r="U19" s="278"/>
      <c r="V19" s="278"/>
      <c r="W19" s="278"/>
      <c r="X19" s="279">
        <f t="shared" si="10"/>
        <v>0</v>
      </c>
      <c r="Y19" s="280"/>
      <c r="Z19" s="282"/>
      <c r="AA19" s="233"/>
      <c r="AB19" s="233"/>
      <c r="AC19" s="288"/>
      <c r="AD19" s="286"/>
      <c r="AE19" s="286"/>
      <c r="AF19" s="286"/>
      <c r="AG19" s="286"/>
      <c r="AH19" s="286"/>
      <c r="AI19" s="286"/>
      <c r="AJ19" s="286"/>
      <c r="AK19" s="286"/>
      <c r="AL19" s="234">
        <f t="shared" si="3"/>
        <v>0</v>
      </c>
      <c r="AM19" s="235"/>
      <c r="AN19" s="233"/>
      <c r="AO19" s="233"/>
      <c r="AP19" s="233"/>
      <c r="AQ19" s="233"/>
      <c r="AR19" s="233"/>
      <c r="AS19" s="233"/>
      <c r="AT19" s="233"/>
      <c r="AU19" s="233"/>
      <c r="AV19" s="233"/>
      <c r="AW19" s="233"/>
      <c r="AX19" s="233"/>
      <c r="AY19" s="233"/>
      <c r="AZ19" s="234">
        <f t="shared" si="4"/>
        <v>0</v>
      </c>
      <c r="BA19" s="281">
        <f t="shared" si="5"/>
        <v>-1815447649.0000069</v>
      </c>
      <c r="BB19" s="282"/>
      <c r="BC19" s="283">
        <f t="shared" si="6"/>
        <v>0</v>
      </c>
      <c r="BD19" s="284" t="str">
        <f>IF('Budget Opex Detail'!C19="","",IF(COUNTIFS('Activity Master Opex'!$B$4:$B$37,'Budget Opex Detail'!$C19)&gt;0,"","New Activity"))</f>
        <v/>
      </c>
      <c r="BE19" s="285"/>
      <c r="BF19" s="286"/>
      <c r="BG19" s="287"/>
      <c r="BH19" s="288"/>
      <c r="BI19" s="289"/>
      <c r="BJ19" s="289"/>
      <c r="BK19" s="290"/>
      <c r="BL19" s="238">
        <f t="shared" si="7"/>
        <v>0</v>
      </c>
      <c r="BM19" s="288"/>
      <c r="BN19" s="288"/>
      <c r="BO19" s="291">
        <f t="shared" si="8"/>
        <v>0</v>
      </c>
      <c r="BP19" s="292"/>
      <c r="BR19" s="353" t="str">
        <f>IF($H19="","",VLOOKUP($H19,'Master Data'!$B:$D,3,FALSE))</f>
        <v>Professional Fees</v>
      </c>
      <c r="BS19" s="353" t="str">
        <f t="shared" si="2"/>
        <v>Selling</v>
      </c>
      <c r="BT19" s="353" t="str">
        <f>IF($H19="","",VLOOKUP(VALUE($H19),'Master Data'!B:I,8,FALSE))</f>
        <v>Professional fees</v>
      </c>
    </row>
    <row r="20" spans="1:72" s="293" customFormat="1" x14ac:dyDescent="0.25">
      <c r="A20" s="272" t="str">
        <f>IF(D20="","",Cover!$D$8)</f>
        <v>Sales &amp; Procurement</v>
      </c>
      <c r="B20" s="223" t="str">
        <f>IF(D20="","",IFERROR(VLOOKUP(G20,'Master Data'!$E$59:$J$146,6,FALSE),0))</f>
        <v>Sales</v>
      </c>
      <c r="C20" s="273" t="str">
        <f>_xlfn.XLOOKUP('Budget Opex Detail'!D20,'Activity Master Opex'!C:C,'Activity Master Opex'!B:B,"",0)</f>
        <v>SM001-00029</v>
      </c>
      <c r="D20" s="274" t="s">
        <v>230</v>
      </c>
      <c r="E20" s="273" t="str">
        <f>IF(D20="","",IFERROR(VLOOKUP(D20,'Activity Master Opex'!$C:$L,6,FALSE),0))</f>
        <v>Subscription to Data Base Projects</v>
      </c>
      <c r="F20" s="275" t="str">
        <f>IFERROR(IF($C20="","",VLOOKUP($C20,'Activity Master Opex'!$B:$I,3,0)),"")</f>
        <v>10301SM001</v>
      </c>
      <c r="G20" s="273" t="str">
        <f>IFERROR(IF($C20="","",VLOOKUP($F20,'Master Data'!$D$59:$E$146,2,FALSE)),"")</f>
        <v>SALES</v>
      </c>
      <c r="H20" s="276">
        <f>IFERROR(IF($C20="","",VLOOKUP($C20,'Activity Master Opex'!$B:$I,5,0)),"")</f>
        <v>62900020</v>
      </c>
      <c r="I20" s="272" t="str">
        <f>IFERROR(VLOOKUP(H20,'Activity Master Opex'!$F:$G,2,FALSE),"")</f>
        <v>Subscriptions and Periodicals</v>
      </c>
      <c r="J20" s="277">
        <f>10587.402516129*15500</f>
        <v>164104738.99999949</v>
      </c>
      <c r="K20" s="277">
        <v>0</v>
      </c>
      <c r="L20" s="278"/>
      <c r="M20" s="278"/>
      <c r="N20" s="278"/>
      <c r="O20" s="278"/>
      <c r="P20" s="278"/>
      <c r="Q20" s="278"/>
      <c r="R20" s="278"/>
      <c r="S20" s="278"/>
      <c r="T20" s="278"/>
      <c r="U20" s="278"/>
      <c r="V20" s="278"/>
      <c r="W20" s="278"/>
      <c r="X20" s="279">
        <f t="shared" si="10"/>
        <v>0</v>
      </c>
      <c r="Y20" s="280"/>
      <c r="Z20" s="282"/>
      <c r="AA20" s="233"/>
      <c r="AB20" s="233"/>
      <c r="AC20" s="288"/>
      <c r="AD20" s="286"/>
      <c r="AE20" s="286"/>
      <c r="AF20" s="286"/>
      <c r="AG20" s="286"/>
      <c r="AH20" s="286"/>
      <c r="AI20" s="286"/>
      <c r="AJ20" s="286"/>
      <c r="AK20" s="286"/>
      <c r="AL20" s="234">
        <f t="shared" si="3"/>
        <v>0</v>
      </c>
      <c r="AM20" s="235"/>
      <c r="AN20" s="233"/>
      <c r="AO20" s="233"/>
      <c r="AP20" s="233"/>
      <c r="AQ20" s="233"/>
      <c r="AR20" s="233"/>
      <c r="AS20" s="233"/>
      <c r="AT20" s="233"/>
      <c r="AU20" s="233"/>
      <c r="AV20" s="233"/>
      <c r="AW20" s="233"/>
      <c r="AX20" s="233"/>
      <c r="AY20" s="233"/>
      <c r="AZ20" s="234">
        <f t="shared" si="4"/>
        <v>0</v>
      </c>
      <c r="BA20" s="281">
        <f t="shared" si="5"/>
        <v>-164104738.99999949</v>
      </c>
      <c r="BB20" s="282"/>
      <c r="BC20" s="283">
        <f t="shared" si="6"/>
        <v>0</v>
      </c>
      <c r="BD20" s="284" t="str">
        <f>IF('Budget Opex Detail'!C20="","",IF(COUNTIFS('Activity Master Opex'!$B$4:$B$37,'Budget Opex Detail'!$C20)&gt;0,"","New Activity"))</f>
        <v/>
      </c>
      <c r="BE20" s="285"/>
      <c r="BF20" s="286"/>
      <c r="BG20" s="287"/>
      <c r="BH20" s="288"/>
      <c r="BI20" s="289"/>
      <c r="BJ20" s="289"/>
      <c r="BK20" s="290"/>
      <c r="BL20" s="238">
        <f t="shared" si="7"/>
        <v>0</v>
      </c>
      <c r="BM20" s="288"/>
      <c r="BN20" s="288"/>
      <c r="BO20" s="291">
        <f t="shared" si="8"/>
        <v>0</v>
      </c>
      <c r="BP20" s="292"/>
      <c r="BR20" s="353" t="str">
        <f>IF($H20="","",VLOOKUP($H20,'Master Data'!$B:$D,3,FALSE))</f>
        <v>Membership &amp; Sponsorship</v>
      </c>
      <c r="BS20" s="353" t="str">
        <f t="shared" si="2"/>
        <v>Selling</v>
      </c>
      <c r="BT20" s="353" t="str">
        <f>IF($H20="","",VLOOKUP(VALUE($H20),'Master Data'!B:I,8,FALSE))</f>
        <v>Subscriptions and Periodicals</v>
      </c>
    </row>
    <row r="21" spans="1:72" s="293" customFormat="1" x14ac:dyDescent="0.25">
      <c r="A21" s="272" t="str">
        <f>IF(D21="","",Cover!$D$8)</f>
        <v>Sales &amp; Procurement</v>
      </c>
      <c r="B21" s="223" t="str">
        <f>IF(D21="","",IFERROR(VLOOKUP(G21,'Master Data'!$E$59:$J$146,6,FALSE),0))</f>
        <v>Sales</v>
      </c>
      <c r="C21" s="273" t="str">
        <f>_xlfn.XLOOKUP('Budget Opex Detail'!D21,'Activity Master Opex'!C:C,'Activity Master Opex'!B:B,"",0)</f>
        <v>SM001-00008</v>
      </c>
      <c r="D21" s="274" t="s">
        <v>852</v>
      </c>
      <c r="E21" s="273">
        <f>IF(D21="","",IFERROR(VLOOKUP(D21,'Activity Master Opex'!$C:$L,6,FALSE),0))</f>
        <v>0</v>
      </c>
      <c r="F21" s="275" t="str">
        <f>IFERROR(IF($C21="","",VLOOKUP($C21,'Activity Master Opex'!$B:$I,3,0)),"")</f>
        <v>10301SM001</v>
      </c>
      <c r="G21" s="273" t="str">
        <f>IFERROR(IF($C21="","",VLOOKUP($F21,'Master Data'!$D$59:$E$146,2,FALSE)),"")</f>
        <v>SALES</v>
      </c>
      <c r="H21" s="276">
        <f>IFERROR(IF($C21="","",VLOOKUP($C21,'Activity Master Opex'!$B:$I,5,0)),"")</f>
        <v>61100010</v>
      </c>
      <c r="I21" s="272" t="str">
        <f>IFERROR(VLOOKUP(H21,'Activity Master Opex'!$F:$G,2,FALSE),"")</f>
        <v>Steel  Laboratorium Expenses</v>
      </c>
      <c r="J21" s="277">
        <f>10609.1936129032*15500</f>
        <v>164442500.99999961</v>
      </c>
      <c r="K21" s="277">
        <v>104524600</v>
      </c>
      <c r="L21" s="278"/>
      <c r="M21" s="278"/>
      <c r="N21" s="278"/>
      <c r="O21" s="278"/>
      <c r="P21" s="278"/>
      <c r="Q21" s="278"/>
      <c r="R21" s="278"/>
      <c r="S21" s="278"/>
      <c r="T21" s="278"/>
      <c r="U21" s="278"/>
      <c r="V21" s="278"/>
      <c r="W21" s="278"/>
      <c r="X21" s="279">
        <f t="shared" si="10"/>
        <v>0</v>
      </c>
      <c r="Y21" s="280"/>
      <c r="Z21" s="282"/>
      <c r="AA21" s="233"/>
      <c r="AB21" s="233"/>
      <c r="AC21" s="288"/>
      <c r="AD21" s="286"/>
      <c r="AE21" s="286"/>
      <c r="AF21" s="286"/>
      <c r="AG21" s="286"/>
      <c r="AH21" s="286"/>
      <c r="AI21" s="286"/>
      <c r="AJ21" s="286"/>
      <c r="AK21" s="286"/>
      <c r="AL21" s="234">
        <f t="shared" si="3"/>
        <v>0</v>
      </c>
      <c r="AM21" s="235"/>
      <c r="AN21" s="233"/>
      <c r="AO21" s="233"/>
      <c r="AP21" s="233"/>
      <c r="AQ21" s="233"/>
      <c r="AR21" s="233"/>
      <c r="AS21" s="233"/>
      <c r="AT21" s="233"/>
      <c r="AU21" s="233"/>
      <c r="AV21" s="233"/>
      <c r="AW21" s="233"/>
      <c r="AX21" s="233"/>
      <c r="AY21" s="233"/>
      <c r="AZ21" s="234">
        <f t="shared" si="4"/>
        <v>0</v>
      </c>
      <c r="BA21" s="281">
        <f t="shared" si="5"/>
        <v>-164442500.99999961</v>
      </c>
      <c r="BB21" s="282"/>
      <c r="BC21" s="283">
        <f t="shared" si="6"/>
        <v>0</v>
      </c>
      <c r="BD21" s="284" t="str">
        <f>IF('Budget Opex Detail'!C21="","",IF(COUNTIFS('Activity Master Opex'!$B$4:$B$37,'Budget Opex Detail'!$C21)&gt;0,"","New Activity"))</f>
        <v/>
      </c>
      <c r="BE21" s="285"/>
      <c r="BF21" s="286"/>
      <c r="BG21" s="287"/>
      <c r="BH21" s="288"/>
      <c r="BI21" s="289"/>
      <c r="BJ21" s="289"/>
      <c r="BK21" s="290"/>
      <c r="BL21" s="238">
        <f t="shared" si="7"/>
        <v>0</v>
      </c>
      <c r="BM21" s="288"/>
      <c r="BN21" s="288"/>
      <c r="BO21" s="291">
        <f t="shared" si="8"/>
        <v>0</v>
      </c>
      <c r="BP21" s="292"/>
      <c r="BR21" s="353" t="str">
        <f>IF($H21="","",VLOOKUP($H21,'Master Data'!$B:$D,3,FALSE))</f>
        <v>Laboratory Cost</v>
      </c>
      <c r="BS21" s="353" t="str">
        <f t="shared" si="2"/>
        <v>Selling</v>
      </c>
      <c r="BT21" s="353" t="str">
        <f>IF($H21="","",VLOOKUP(VALUE($H21),'Master Data'!B:I,8,FALSE))</f>
        <v>Laboratory Cost</v>
      </c>
    </row>
    <row r="22" spans="1:72" s="293" customFormat="1" x14ac:dyDescent="0.25">
      <c r="A22" s="272" t="str">
        <f>IF(D22="","",Cover!$D$8)</f>
        <v>Sales &amp; Procurement</v>
      </c>
      <c r="B22" s="223" t="str">
        <f>IF(D22="","",IFERROR(VLOOKUP(G22,'Master Data'!$E$59:$J$146,6,FALSE),0))</f>
        <v>Sales</v>
      </c>
      <c r="C22" s="273" t="str">
        <f>_xlfn.XLOOKUP('Budget Opex Detail'!D22,'Activity Master Opex'!C:C,'Activity Master Opex'!B:B,"",0)</f>
        <v>SM001-00034</v>
      </c>
      <c r="D22" s="274" t="s">
        <v>871</v>
      </c>
      <c r="E22" s="273" t="str">
        <f>IF(D22="","",IFERROR(VLOOKUP(D22,'Activity Master Opex'!$C:$L,6,FALSE),0))</f>
        <v>Billboad using vendor, for Customers</v>
      </c>
      <c r="F22" s="275" t="str">
        <f>IFERROR(IF($C22="","",VLOOKUP($C22,'Activity Master Opex'!$B:$I,3,0)),"")</f>
        <v>10301SM001</v>
      </c>
      <c r="G22" s="273" t="str">
        <f>IFERROR(IF($C22="","",VLOOKUP($F22,'Master Data'!$D$59:$E$146,2,FALSE)),"")</f>
        <v>SALES</v>
      </c>
      <c r="H22" s="276">
        <f>IFERROR(IF($C22="","",VLOOKUP($C22,'Activity Master Opex'!$B:$I,5,0)),"")</f>
        <v>61400010</v>
      </c>
      <c r="I22" s="272" t="str">
        <f>IFERROR(VLOOKUP(H22,'Activity Master Opex'!$F:$G,2,FALSE),"")</f>
        <v>AE - Advertising and Promotion Expenses</v>
      </c>
      <c r="J22" s="277">
        <f>5341.93548387097*15500</f>
        <v>82800000.00000003</v>
      </c>
      <c r="K22" s="277">
        <v>0</v>
      </c>
      <c r="L22" s="278"/>
      <c r="M22" s="278"/>
      <c r="N22" s="278"/>
      <c r="O22" s="278"/>
      <c r="P22" s="278"/>
      <c r="Q22" s="278"/>
      <c r="R22" s="278"/>
      <c r="S22" s="278"/>
      <c r="T22" s="278"/>
      <c r="U22" s="278"/>
      <c r="V22" s="278"/>
      <c r="W22" s="278"/>
      <c r="X22" s="279">
        <f t="shared" si="10"/>
        <v>0</v>
      </c>
      <c r="Y22" s="280"/>
      <c r="Z22" s="282"/>
      <c r="AA22" s="233"/>
      <c r="AB22" s="233"/>
      <c r="AC22" s="288"/>
      <c r="AD22" s="286"/>
      <c r="AE22" s="286"/>
      <c r="AF22" s="286"/>
      <c r="AG22" s="286"/>
      <c r="AH22" s="286"/>
      <c r="AI22" s="286"/>
      <c r="AJ22" s="286"/>
      <c r="AK22" s="286"/>
      <c r="AL22" s="234">
        <f t="shared" si="3"/>
        <v>0</v>
      </c>
      <c r="AM22" s="235"/>
      <c r="AN22" s="233"/>
      <c r="AO22" s="233"/>
      <c r="AP22" s="233"/>
      <c r="AQ22" s="233"/>
      <c r="AR22" s="233"/>
      <c r="AS22" s="233"/>
      <c r="AT22" s="233"/>
      <c r="AU22" s="233"/>
      <c r="AV22" s="233"/>
      <c r="AW22" s="233"/>
      <c r="AX22" s="233"/>
      <c r="AY22" s="233"/>
      <c r="AZ22" s="234">
        <f t="shared" si="4"/>
        <v>0</v>
      </c>
      <c r="BA22" s="281">
        <f t="shared" si="5"/>
        <v>-82800000.00000003</v>
      </c>
      <c r="BB22" s="282"/>
      <c r="BC22" s="283">
        <f t="shared" si="6"/>
        <v>0</v>
      </c>
      <c r="BD22" s="284" t="str">
        <f>IF('Budget Opex Detail'!C22="","",IF(COUNTIFS('Activity Master Opex'!$B$4:$B$37,'Budget Opex Detail'!$C22)&gt;0,"","New Activity"))</f>
        <v/>
      </c>
      <c r="BE22" s="285"/>
      <c r="BF22" s="286"/>
      <c r="BG22" s="287"/>
      <c r="BH22" s="288"/>
      <c r="BI22" s="289"/>
      <c r="BJ22" s="289"/>
      <c r="BK22" s="290"/>
      <c r="BL22" s="238">
        <f t="shared" si="7"/>
        <v>0</v>
      </c>
      <c r="BM22" s="288"/>
      <c r="BN22" s="288"/>
      <c r="BO22" s="291">
        <f t="shared" si="8"/>
        <v>0</v>
      </c>
      <c r="BP22" s="292"/>
      <c r="BR22" s="353" t="str">
        <f>IF($H22="","",VLOOKUP($H22,'Master Data'!$B:$D,3,FALSE))</f>
        <v>Advertising Expenses</v>
      </c>
      <c r="BS22" s="353" t="str">
        <f t="shared" si="2"/>
        <v>Selling</v>
      </c>
      <c r="BT22" s="353" t="str">
        <f>IF($H22="","",VLOOKUP(VALUE($H22),'Master Data'!B:I,8,FALSE))</f>
        <v>Advertising</v>
      </c>
    </row>
    <row r="23" spans="1:72" s="293" customFormat="1" x14ac:dyDescent="0.25">
      <c r="A23" s="272" t="str">
        <f>IF(D23="","",Cover!$D$8)</f>
        <v>Sales &amp; Procurement</v>
      </c>
      <c r="B23" s="223" t="str">
        <f>IF(D23="","",IFERROR(VLOOKUP(G23,'Master Data'!$E$59:$J$146,6,FALSE),0))</f>
        <v>Sales</v>
      </c>
      <c r="C23" s="273" t="str">
        <f>_xlfn.XLOOKUP('Budget Opex Detail'!D23,'Activity Master Opex'!C:C,'Activity Master Opex'!B:B,"",0)</f>
        <v>SM001-00035</v>
      </c>
      <c r="D23" s="274" t="s">
        <v>873</v>
      </c>
      <c r="E23" s="273">
        <f>IF(D23="","",IFERROR(VLOOKUP(D23,'Activity Master Opex'!$C:$L,6,FALSE),0))</f>
        <v>0</v>
      </c>
      <c r="F23" s="275" t="str">
        <f>IFERROR(IF($C23="","",VLOOKUP($C23,'Activity Master Opex'!$B:$I,3,0)),"")</f>
        <v>10301SM001</v>
      </c>
      <c r="G23" s="273" t="str">
        <f>IFERROR(IF($C23="","",VLOOKUP($F23,'Master Data'!$D$59:$E$146,2,FALSE)),"")</f>
        <v>SALES</v>
      </c>
      <c r="H23" s="276">
        <f>IFERROR(IF($C23="","",VLOOKUP($C23,'Activity Master Opex'!$B:$I,5,0)),"")</f>
        <v>61900090</v>
      </c>
      <c r="I23" s="272" t="str">
        <f>IFERROR(VLOOKUP(H23,'Activity Master Opex'!$F:$G,2,FALSE),"")</f>
        <v>PF - Other Professional Fees</v>
      </c>
      <c r="J23" s="277">
        <f>58064.5161290323*15500</f>
        <v>900000000.00000072</v>
      </c>
      <c r="K23" s="277">
        <v>150000000</v>
      </c>
      <c r="L23" s="278"/>
      <c r="M23" s="278"/>
      <c r="N23" s="278"/>
      <c r="O23" s="278"/>
      <c r="P23" s="278"/>
      <c r="Q23" s="278"/>
      <c r="R23" s="278"/>
      <c r="S23" s="278"/>
      <c r="T23" s="278"/>
      <c r="U23" s="278"/>
      <c r="V23" s="278"/>
      <c r="W23" s="278"/>
      <c r="X23" s="279">
        <f t="shared" si="10"/>
        <v>0</v>
      </c>
      <c r="Y23" s="280"/>
      <c r="Z23" s="282"/>
      <c r="AA23" s="233"/>
      <c r="AB23" s="233"/>
      <c r="AC23" s="288"/>
      <c r="AD23" s="286"/>
      <c r="AE23" s="286"/>
      <c r="AF23" s="286"/>
      <c r="AG23" s="286"/>
      <c r="AH23" s="286"/>
      <c r="AI23" s="286"/>
      <c r="AJ23" s="286"/>
      <c r="AK23" s="286"/>
      <c r="AL23" s="234">
        <f t="shared" si="3"/>
        <v>0</v>
      </c>
      <c r="AM23" s="235"/>
      <c r="AN23" s="233"/>
      <c r="AO23" s="233"/>
      <c r="AP23" s="233"/>
      <c r="AQ23" s="233"/>
      <c r="AR23" s="233"/>
      <c r="AS23" s="233"/>
      <c r="AT23" s="233"/>
      <c r="AU23" s="233"/>
      <c r="AV23" s="233"/>
      <c r="AW23" s="233"/>
      <c r="AX23" s="233"/>
      <c r="AY23" s="233"/>
      <c r="AZ23" s="234">
        <f t="shared" si="4"/>
        <v>0</v>
      </c>
      <c r="BA23" s="281">
        <f t="shared" si="5"/>
        <v>-900000000.00000072</v>
      </c>
      <c r="BB23" s="282"/>
      <c r="BC23" s="283">
        <f t="shared" si="6"/>
        <v>0</v>
      </c>
      <c r="BD23" s="284" t="str">
        <f>IF('Budget Opex Detail'!C23="","",IF(COUNTIFS('Activity Master Opex'!$B$4:$B$37,'Budget Opex Detail'!$C23)&gt;0,"","New Activity"))</f>
        <v/>
      </c>
      <c r="BE23" s="285"/>
      <c r="BF23" s="286"/>
      <c r="BG23" s="287"/>
      <c r="BH23" s="288"/>
      <c r="BI23" s="289"/>
      <c r="BJ23" s="289"/>
      <c r="BK23" s="290"/>
      <c r="BL23" s="238">
        <f t="shared" si="7"/>
        <v>0</v>
      </c>
      <c r="BM23" s="288"/>
      <c r="BN23" s="288"/>
      <c r="BO23" s="291">
        <f t="shared" si="8"/>
        <v>0</v>
      </c>
      <c r="BP23" s="292"/>
      <c r="BR23" s="353" t="str">
        <f>IF($H23="","",VLOOKUP($H23,'Master Data'!$B:$D,3,FALSE))</f>
        <v>Professional Fees</v>
      </c>
      <c r="BS23" s="353" t="str">
        <f t="shared" si="2"/>
        <v>Selling</v>
      </c>
      <c r="BT23" s="353" t="str">
        <f>IF($H23="","",VLOOKUP(VALUE($H23),'Master Data'!B:I,8,FALSE))</f>
        <v>Professional fees</v>
      </c>
    </row>
    <row r="24" spans="1:72" s="293" customFormat="1" x14ac:dyDescent="0.25">
      <c r="A24" s="272" t="str">
        <f>IF(D24="","",Cover!$D$8)</f>
        <v/>
      </c>
      <c r="B24" s="223" t="str">
        <f>IF(D24="","",IFERROR(VLOOKUP(G24,'Master Data'!$E$59:$J$146,6,FALSE),0))</f>
        <v/>
      </c>
      <c r="C24" s="273" t="str">
        <f>IF(D24="","",_xlfn.XLOOKUP(D24,'Activity Master Opex'!C:C,'Activity Master Opex'!B:B,0,0,1))</f>
        <v/>
      </c>
      <c r="D24" s="274"/>
      <c r="E24" s="273" t="str">
        <f>IF(D24="","",IFERROR(VLOOKUP(D24,'Activity Master Opex'!$C:$L,6,FALSE),0))</f>
        <v/>
      </c>
      <c r="F24" s="275" t="str">
        <f>IFERROR(IF($C24="","",VLOOKUP($C24,'Activity Master Opex'!$B:$I,3,0)),"")</f>
        <v/>
      </c>
      <c r="G24" s="273" t="str">
        <f>IFERROR(IF($C24="","",VLOOKUP($F24,'Master Data'!$D$59:$E$146,2,FALSE)),"")</f>
        <v/>
      </c>
      <c r="H24" s="276" t="str">
        <f>IFERROR(IF($C24="","",VLOOKUP($C24,'Activity Master Opex'!$B:$I,5,0)),"")</f>
        <v/>
      </c>
      <c r="I24" s="272" t="str">
        <f>IFERROR(VLOOKUP(H24,'Activity Master Opex'!$F:$G,2,FALSE),"")</f>
        <v/>
      </c>
      <c r="J24" s="277"/>
      <c r="K24" s="277"/>
      <c r="L24" s="278"/>
      <c r="M24" s="278"/>
      <c r="N24" s="278"/>
      <c r="O24" s="278"/>
      <c r="P24" s="278"/>
      <c r="Q24" s="278"/>
      <c r="R24" s="278"/>
      <c r="S24" s="278"/>
      <c r="T24" s="278"/>
      <c r="U24" s="278"/>
      <c r="V24" s="278"/>
      <c r="W24" s="278"/>
      <c r="X24" s="279">
        <f t="shared" si="10"/>
        <v>0</v>
      </c>
      <c r="Y24" s="280"/>
      <c r="Z24" s="282"/>
      <c r="AA24" s="233"/>
      <c r="AB24" s="233"/>
      <c r="AC24" s="288"/>
      <c r="AD24" s="286"/>
      <c r="AE24" s="286"/>
      <c r="AF24" s="286"/>
      <c r="AG24" s="286"/>
      <c r="AH24" s="286"/>
      <c r="AI24" s="286"/>
      <c r="AJ24" s="286"/>
      <c r="AK24" s="286"/>
      <c r="AL24" s="234">
        <f t="shared" si="3"/>
        <v>0</v>
      </c>
      <c r="AM24" s="235"/>
      <c r="AN24" s="233"/>
      <c r="AO24" s="233"/>
      <c r="AP24" s="233"/>
      <c r="AQ24" s="233"/>
      <c r="AR24" s="233"/>
      <c r="AS24" s="233"/>
      <c r="AT24" s="233"/>
      <c r="AU24" s="233"/>
      <c r="AV24" s="233"/>
      <c r="AW24" s="233"/>
      <c r="AX24" s="233"/>
      <c r="AY24" s="233"/>
      <c r="AZ24" s="234">
        <f t="shared" si="4"/>
        <v>0</v>
      </c>
      <c r="BA24" s="281">
        <f t="shared" si="5"/>
        <v>0</v>
      </c>
      <c r="BB24" s="282"/>
      <c r="BC24" s="283">
        <f t="shared" si="6"/>
        <v>0</v>
      </c>
      <c r="BD24" s="284"/>
      <c r="BE24" s="285"/>
      <c r="BF24" s="286"/>
      <c r="BG24" s="287"/>
      <c r="BH24" s="288"/>
      <c r="BI24" s="289"/>
      <c r="BJ24" s="289"/>
      <c r="BK24" s="290"/>
      <c r="BL24" s="238">
        <f t="shared" si="7"/>
        <v>0</v>
      </c>
      <c r="BM24" s="288"/>
      <c r="BN24" s="288"/>
      <c r="BO24" s="291">
        <f t="shared" si="8"/>
        <v>0</v>
      </c>
      <c r="BP24" s="292"/>
      <c r="BR24" s="353" t="str">
        <f>IF($H24="","",VLOOKUP($H24,'Master Data'!$B:$D,3,FALSE))</f>
        <v/>
      </c>
      <c r="BS24" s="353" t="str">
        <f t="shared" si="2"/>
        <v/>
      </c>
      <c r="BT24" s="353" t="str">
        <f>IF($H24="","",VLOOKUP(VALUE($H24),'Master Data'!B:I,8,FALSE))</f>
        <v/>
      </c>
    </row>
    <row r="25" spans="1:72" s="293" customFormat="1" x14ac:dyDescent="0.25">
      <c r="A25" s="272" t="str">
        <f>IF(D25="","",Cover!$D$8)</f>
        <v/>
      </c>
      <c r="B25" s="223" t="str">
        <f>IF(D25="","",IFERROR(VLOOKUP(G25,'Master Data'!$E$59:$J$146,6,FALSE),0))</f>
        <v/>
      </c>
      <c r="C25" s="273" t="str">
        <f>IF(D25="","",_xlfn.XLOOKUP(D25,'Activity Master Opex'!C:C,'Activity Master Opex'!B:B,0,0,1))</f>
        <v/>
      </c>
      <c r="D25" s="274"/>
      <c r="E25" s="273" t="str">
        <f>IF(D25="","",IFERROR(VLOOKUP(D25,'Activity Master Opex'!$C:$L,6,FALSE),0))</f>
        <v/>
      </c>
      <c r="F25" s="275" t="str">
        <f>IFERROR(IF($C25="","",VLOOKUP($C25,'Activity Master Opex'!$B:$I,3,0)),"")</f>
        <v/>
      </c>
      <c r="G25" s="273" t="str">
        <f>IFERROR(IF($C25="","",VLOOKUP($F25,'Master Data'!$D$59:$E$146,2,FALSE)),"")</f>
        <v/>
      </c>
      <c r="H25" s="276" t="str">
        <f>IFERROR(IF($C25="","",VLOOKUP($C25,'Activity Master Opex'!$B:$I,5,0)),"")</f>
        <v/>
      </c>
      <c r="I25" s="272" t="str">
        <f>IFERROR(VLOOKUP(H25,'Activity Master Opex'!$F:$G,2,FALSE),"")</f>
        <v/>
      </c>
      <c r="J25" s="277"/>
      <c r="K25" s="277"/>
      <c r="L25" s="278"/>
      <c r="M25" s="278"/>
      <c r="N25" s="278"/>
      <c r="O25" s="278"/>
      <c r="P25" s="278"/>
      <c r="Q25" s="278"/>
      <c r="R25" s="278"/>
      <c r="S25" s="278"/>
      <c r="T25" s="278"/>
      <c r="U25" s="278"/>
      <c r="V25" s="278"/>
      <c r="W25" s="278"/>
      <c r="X25" s="279">
        <f t="shared" si="10"/>
        <v>0</v>
      </c>
      <c r="Y25" s="280"/>
      <c r="Z25" s="282"/>
      <c r="AA25" s="233"/>
      <c r="AB25" s="233"/>
      <c r="AC25" s="288"/>
      <c r="AD25" s="286"/>
      <c r="AE25" s="286"/>
      <c r="AF25" s="286"/>
      <c r="AG25" s="286"/>
      <c r="AH25" s="286"/>
      <c r="AI25" s="286"/>
      <c r="AJ25" s="286"/>
      <c r="AK25" s="286"/>
      <c r="AL25" s="234">
        <f t="shared" si="3"/>
        <v>0</v>
      </c>
      <c r="AM25" s="235"/>
      <c r="AN25" s="233"/>
      <c r="AO25" s="233"/>
      <c r="AP25" s="233"/>
      <c r="AQ25" s="233"/>
      <c r="AR25" s="233"/>
      <c r="AS25" s="233"/>
      <c r="AT25" s="233"/>
      <c r="AU25" s="233"/>
      <c r="AV25" s="233"/>
      <c r="AW25" s="233"/>
      <c r="AX25" s="233"/>
      <c r="AY25" s="233"/>
      <c r="AZ25" s="234">
        <f t="shared" si="4"/>
        <v>0</v>
      </c>
      <c r="BA25" s="281">
        <f t="shared" si="5"/>
        <v>0</v>
      </c>
      <c r="BB25" s="282"/>
      <c r="BC25" s="283">
        <f t="shared" si="6"/>
        <v>0</v>
      </c>
      <c r="BD25" s="284"/>
      <c r="BE25" s="285"/>
      <c r="BF25" s="286"/>
      <c r="BG25" s="287"/>
      <c r="BH25" s="288"/>
      <c r="BI25" s="289"/>
      <c r="BJ25" s="289"/>
      <c r="BK25" s="290"/>
      <c r="BL25" s="238">
        <f t="shared" si="7"/>
        <v>0</v>
      </c>
      <c r="BM25" s="288"/>
      <c r="BN25" s="288"/>
      <c r="BO25" s="291">
        <f t="shared" si="8"/>
        <v>0</v>
      </c>
      <c r="BP25" s="292"/>
      <c r="BR25" s="353" t="str">
        <f>IF($H25="","",VLOOKUP($H25,'Master Data'!$B:$D,3,FALSE))</f>
        <v/>
      </c>
      <c r="BS25" s="353" t="str">
        <f t="shared" si="2"/>
        <v/>
      </c>
      <c r="BT25" s="353" t="str">
        <f>IF($H25="","",VLOOKUP(VALUE($H25),'Master Data'!B:I,8,FALSE))</f>
        <v/>
      </c>
    </row>
    <row r="26" spans="1:72" s="293" customFormat="1" x14ac:dyDescent="0.25">
      <c r="A26" s="272" t="str">
        <f>IF(D26="","",Cover!$D$8)</f>
        <v/>
      </c>
      <c r="B26" s="223" t="str">
        <f>IF(D26="","",IFERROR(VLOOKUP(G26,'Master Data'!$E$59:$J$146,6,FALSE),0))</f>
        <v/>
      </c>
      <c r="C26" s="273" t="str">
        <f>IF(D26="","",_xlfn.XLOOKUP(D26,'Activity Master Opex'!C:C,'Activity Master Opex'!B:B,0,0,1))</f>
        <v/>
      </c>
      <c r="D26" s="274"/>
      <c r="E26" s="273" t="str">
        <f>IF(D26="","",IFERROR(VLOOKUP(D26,'Activity Master Opex'!$C:$L,6,FALSE),0))</f>
        <v/>
      </c>
      <c r="F26" s="275" t="str">
        <f>IFERROR(IF($C26="","",VLOOKUP($C26,'Activity Master Opex'!$B:$I,3,0)),"")</f>
        <v/>
      </c>
      <c r="G26" s="273" t="str">
        <f>IFERROR(IF($C26="","",VLOOKUP($F26,'Master Data'!$D$59:$E$146,2,FALSE)),"")</f>
        <v/>
      </c>
      <c r="H26" s="276" t="str">
        <f>IFERROR(IF($C26="","",VLOOKUP($C26,'Activity Master Opex'!$B:$I,5,0)),"")</f>
        <v/>
      </c>
      <c r="I26" s="272" t="str">
        <f>IFERROR(VLOOKUP(H26,'Activity Master Opex'!$F:$G,2,FALSE),"")</f>
        <v/>
      </c>
      <c r="J26" s="277"/>
      <c r="K26" s="277"/>
      <c r="L26" s="278"/>
      <c r="M26" s="278"/>
      <c r="N26" s="278"/>
      <c r="O26" s="278"/>
      <c r="P26" s="278"/>
      <c r="Q26" s="278"/>
      <c r="R26" s="278"/>
      <c r="S26" s="278"/>
      <c r="T26" s="278"/>
      <c r="U26" s="278"/>
      <c r="V26" s="278"/>
      <c r="W26" s="278"/>
      <c r="X26" s="279">
        <f t="shared" si="10"/>
        <v>0</v>
      </c>
      <c r="Y26" s="280"/>
      <c r="Z26" s="282"/>
      <c r="AA26" s="233"/>
      <c r="AB26" s="233"/>
      <c r="AC26" s="288"/>
      <c r="AD26" s="286"/>
      <c r="AE26" s="286"/>
      <c r="AF26" s="286"/>
      <c r="AG26" s="286"/>
      <c r="AH26" s="286"/>
      <c r="AI26" s="286"/>
      <c r="AJ26" s="286"/>
      <c r="AK26" s="286"/>
      <c r="AL26" s="234">
        <f t="shared" si="3"/>
        <v>0</v>
      </c>
      <c r="AM26" s="235"/>
      <c r="AN26" s="233"/>
      <c r="AO26" s="233"/>
      <c r="AP26" s="233"/>
      <c r="AQ26" s="233"/>
      <c r="AR26" s="233"/>
      <c r="AS26" s="233"/>
      <c r="AT26" s="233"/>
      <c r="AU26" s="233"/>
      <c r="AV26" s="233"/>
      <c r="AW26" s="233"/>
      <c r="AX26" s="233"/>
      <c r="AY26" s="233"/>
      <c r="AZ26" s="234">
        <f t="shared" si="4"/>
        <v>0</v>
      </c>
      <c r="BA26" s="281">
        <f t="shared" si="5"/>
        <v>0</v>
      </c>
      <c r="BB26" s="282"/>
      <c r="BC26" s="283">
        <f t="shared" si="6"/>
        <v>0</v>
      </c>
      <c r="BD26" s="284"/>
      <c r="BE26" s="285"/>
      <c r="BF26" s="286"/>
      <c r="BG26" s="287"/>
      <c r="BH26" s="288"/>
      <c r="BI26" s="289"/>
      <c r="BJ26" s="289"/>
      <c r="BK26" s="290"/>
      <c r="BL26" s="238">
        <f t="shared" si="7"/>
        <v>0</v>
      </c>
      <c r="BM26" s="288"/>
      <c r="BN26" s="288"/>
      <c r="BO26" s="291">
        <f t="shared" si="8"/>
        <v>0</v>
      </c>
      <c r="BP26" s="292"/>
      <c r="BR26" s="353" t="str">
        <f>IF($H26="","",VLOOKUP($H26,'Master Data'!$B:$D,3,FALSE))</f>
        <v/>
      </c>
      <c r="BS26" s="353" t="str">
        <f t="shared" si="2"/>
        <v/>
      </c>
      <c r="BT26" s="353" t="str">
        <f>IF($H26="","",VLOOKUP(VALUE($H26),'Master Data'!B:I,8,FALSE))</f>
        <v/>
      </c>
    </row>
  </sheetData>
  <sheetProtection formatColumns="0" formatRows="0" sort="0" autoFilter="0" pivotTables="0"/>
  <autoFilter ref="A3:AR26" xr:uid="{00000000-0009-0000-0000-000003000000}"/>
  <dataValidations count="4">
    <dataValidation type="list" allowBlank="1" showInputMessage="1" showErrorMessage="1" sqref="BH4:BH26" xr:uid="{00000000-0002-0000-0300-000000000000}">
      <formula1>"Essentials, Moderate, Not Essentials"</formula1>
    </dataValidation>
    <dataValidation type="list" allowBlank="1" showInputMessage="1" showErrorMessage="1" sqref="BE4:BE26 AC5:AC26" xr:uid="{00000000-0002-0000-0300-000001000000}">
      <formula1>"Monthly Recurring, Periodically (Quarterly/Yearly) Recurring, One Off, Conditional"</formula1>
    </dataValidation>
    <dataValidation type="custom" showInputMessage="1" showErrorMessage="1" error="Pastikan Ledger Number dan Cost Center sudah terisi" sqref="AA5:AB26 AN4:AY26 Z4:AK4" xr:uid="{E7C3B51D-9CFC-4F31-85FA-861A428E2FCA}">
      <formula1>AND($A4&lt;&gt;"",$J4&lt;&gt;"")</formula1>
    </dataValidation>
    <dataValidation type="custom" showInputMessage="1" showErrorMessage="1" error="Pastikan Master Activity Number sudah terisi dan format isian adalah angka_x000a_" sqref="L4:W26" xr:uid="{00000000-0002-0000-0300-000003000000}">
      <formula1>AND(ISNUMBER(L4),$C4&lt;&gt;"")</formula1>
    </dataValidation>
  </dataValidations>
  <pageMargins left="0.7" right="0.7" top="0.75" bottom="0.75" header="0.3" footer="0.3"/>
  <pageSetup orientation="portrait" r:id="rId1"/>
  <ignoredErrors>
    <ignoredError sqref="X4:X26" formulaRange="1"/>
    <ignoredError sqref="L9:W11" unlockedFormula="1"/>
  </ignoredErrors>
  <legacyDrawing r:id="rId2"/>
  <extLst>
    <ext xmlns:x14="http://schemas.microsoft.com/office/spreadsheetml/2009/9/main" uri="{78C0D931-6437-407d-A8EE-F0AAD7539E65}">
      <x14:conditionalFormattings>
        <x14:conditionalFormatting xmlns:xm="http://schemas.microsoft.com/office/excel/2006/main">
          <x14:cfRule type="iconSet" priority="10" id="{50CEB022-34EF-4328-A4DF-3A06C8F53998}">
            <x14:iconSet iconSet="3Triangles">
              <x14:cfvo type="percent">
                <xm:f>0</xm:f>
              </x14:cfvo>
              <x14:cfvo type="num">
                <xm:f>0</xm:f>
              </x14:cfvo>
              <x14:cfvo type="num" gte="0">
                <xm:f>0</xm:f>
              </x14:cfvo>
            </x14:iconSet>
          </x14:cfRule>
          <xm:sqref>BA4:BA26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8CF6BAD3-0844-4DCC-8C0F-DC83961F72A7}">
          <x14:formula1>
            <xm:f>'Master Data'!$C$365:$C$367</xm:f>
          </x14:formula1>
          <xm:sqref>BG4:BG26</xm:sqref>
        </x14:dataValidation>
        <x14:dataValidation type="list" allowBlank="1" showInputMessage="1" showErrorMessage="1" xr:uid="{D4986CAE-1EBA-4944-ABE1-77FADF254696}">
          <x14:formula1>
            <xm:f>'Master Data'!$B$372:$B$373</xm:f>
          </x14:formula1>
          <xm:sqref>BJ4:BJ26</xm:sqref>
        </x14:dataValidation>
        <x14:dataValidation type="list" allowBlank="1" showInputMessage="1" showErrorMessage="1" xr:uid="{2CD11C85-3AF4-4073-AE08-150143AB5965}">
          <x14:formula1>
            <xm:f>'Activity Master Opex'!$C:$C</xm:f>
          </x14:formula1>
          <xm:sqref>D4:D26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5" tint="0.39997558519241921"/>
  </sheetPr>
  <dimension ref="A1:I66"/>
  <sheetViews>
    <sheetView showGridLines="0" zoomScale="70" zoomScaleNormal="70" workbookViewId="0">
      <selection activeCell="E3" sqref="E3"/>
    </sheetView>
  </sheetViews>
  <sheetFormatPr defaultColWidth="9.140625" defaultRowHeight="15" x14ac:dyDescent="0.25"/>
  <cols>
    <col min="1" max="1" width="4.5703125" style="176" customWidth="1"/>
    <col min="2" max="2" width="30.140625" style="176" bestFit="1" customWidth="1"/>
    <col min="3" max="3" width="38.28515625" style="176" bestFit="1" customWidth="1"/>
    <col min="4" max="4" width="13.7109375" style="176" customWidth="1"/>
    <col min="5" max="5" width="31.85546875" style="176" bestFit="1" customWidth="1"/>
    <col min="6" max="6" width="14.7109375" style="176" customWidth="1"/>
    <col min="7" max="7" width="56.28515625" style="176" customWidth="1"/>
    <col min="8" max="8" width="79.7109375" style="177" customWidth="1"/>
    <col min="9" max="16384" width="9.140625" style="176"/>
  </cols>
  <sheetData>
    <row r="1" spans="1:9" x14ac:dyDescent="0.25">
      <c r="A1" s="297" t="e">
        <f>VLOOKUP(Cover!$D$9,#REF!,2,0)</f>
        <v>#REF!</v>
      </c>
      <c r="F1" s="298" t="s">
        <v>515</v>
      </c>
    </row>
    <row r="2" spans="1:9" x14ac:dyDescent="0.25">
      <c r="B2" s="465" t="s">
        <v>461</v>
      </c>
      <c r="C2" s="466"/>
      <c r="D2" s="466"/>
      <c r="E2" s="466"/>
      <c r="F2" s="466"/>
      <c r="G2" s="466"/>
      <c r="H2" s="466"/>
      <c r="I2" s="299" t="s">
        <v>1457</v>
      </c>
    </row>
    <row r="3" spans="1:9" s="300" customFormat="1" x14ac:dyDescent="0.25">
      <c r="B3" s="301" t="s">
        <v>543</v>
      </c>
      <c r="C3" s="302" t="s">
        <v>459</v>
      </c>
      <c r="D3" s="302" t="s">
        <v>46</v>
      </c>
      <c r="E3" s="302" t="s">
        <v>457</v>
      </c>
      <c r="F3" s="302" t="s">
        <v>458</v>
      </c>
      <c r="G3" s="302" t="s">
        <v>458</v>
      </c>
      <c r="H3" s="303" t="s">
        <v>337</v>
      </c>
      <c r="I3" s="304"/>
    </row>
    <row r="4" spans="1:9" s="300" customFormat="1" x14ac:dyDescent="0.25">
      <c r="B4" s="305" t="s">
        <v>847</v>
      </c>
      <c r="C4" s="306" t="s">
        <v>848</v>
      </c>
      <c r="D4" s="306" t="s">
        <v>251</v>
      </c>
      <c r="E4" s="306" t="s">
        <v>334</v>
      </c>
      <c r="F4" s="306">
        <v>61800030</v>
      </c>
      <c r="G4" s="306" t="str">
        <f>VLOOKUP(F4,'Master Data'!$B$234:$C$333,2,0)</f>
        <v>PT Exp. - Stamp Duty</v>
      </c>
      <c r="H4" s="307"/>
      <c r="I4" s="304">
        <f>IFERROR(VLOOKUP(F4,'Master Data'!B:B,1,FALSE),0)</f>
        <v>61800030</v>
      </c>
    </row>
    <row r="5" spans="1:9" s="300" customFormat="1" x14ac:dyDescent="0.25">
      <c r="B5" s="305" t="s">
        <v>732</v>
      </c>
      <c r="C5" s="306" t="s">
        <v>748</v>
      </c>
      <c r="D5" s="306" t="s">
        <v>251</v>
      </c>
      <c r="E5" s="306" t="s">
        <v>334</v>
      </c>
      <c r="F5" s="306">
        <v>62300010</v>
      </c>
      <c r="G5" s="306" t="str">
        <f>VLOOKUP(F5,'Master Data'!$B$234:$C$333,2,0)</f>
        <v>Meeting Expenses</v>
      </c>
      <c r="H5" s="308"/>
      <c r="I5" s="304">
        <f>IFERROR(VLOOKUP(F5,'Master Data'!B:B,1,FALSE),0)</f>
        <v>62300010</v>
      </c>
    </row>
    <row r="6" spans="1:9" s="300" customFormat="1" x14ac:dyDescent="0.25">
      <c r="B6" s="305" t="s">
        <v>733</v>
      </c>
      <c r="C6" s="306" t="s">
        <v>734</v>
      </c>
      <c r="D6" s="306" t="s">
        <v>251</v>
      </c>
      <c r="E6" s="306" t="s">
        <v>334</v>
      </c>
      <c r="F6" s="306">
        <v>62000040</v>
      </c>
      <c r="G6" s="306" t="str">
        <f>VLOOKUP(F6,'Master Data'!$B$234:$C$333,2,0)</f>
        <v>Ent. Exp - Others Entertainment</v>
      </c>
      <c r="H6" s="308"/>
      <c r="I6" s="304">
        <f>IFERROR(VLOOKUP(F6,'Master Data'!B:B,1,FALSE),0)</f>
        <v>62000040</v>
      </c>
    </row>
    <row r="7" spans="1:9" s="300" customFormat="1" x14ac:dyDescent="0.25">
      <c r="B7" s="305" t="s">
        <v>735</v>
      </c>
      <c r="C7" s="306" t="s">
        <v>736</v>
      </c>
      <c r="D7" s="306" t="s">
        <v>251</v>
      </c>
      <c r="E7" s="306" t="s">
        <v>334</v>
      </c>
      <c r="F7" s="306">
        <v>62000040</v>
      </c>
      <c r="G7" s="306" t="str">
        <f>VLOOKUP(F7,'Master Data'!$B$234:$C$333,2,0)</f>
        <v>Ent. Exp - Others Entertainment</v>
      </c>
      <c r="H7" s="308"/>
      <c r="I7" s="304">
        <f>IFERROR(VLOOKUP(F7,'Master Data'!B:B,1,FALSE),0)</f>
        <v>62000040</v>
      </c>
    </row>
    <row r="8" spans="1:9" s="300" customFormat="1" x14ac:dyDescent="0.25">
      <c r="B8" s="305" t="s">
        <v>737</v>
      </c>
      <c r="C8" s="306" t="s">
        <v>749</v>
      </c>
      <c r="D8" s="306" t="s">
        <v>251</v>
      </c>
      <c r="E8" s="306" t="s">
        <v>334</v>
      </c>
      <c r="F8" s="306">
        <v>62400030</v>
      </c>
      <c r="G8" s="306" t="str">
        <f>VLOOKUP(F8,'Master Data'!$B$234:$C$333,2,0)</f>
        <v>Gen. Transp. Travelling Expenses</v>
      </c>
      <c r="H8" s="308"/>
      <c r="I8" s="304">
        <f>IFERROR(VLOOKUP(F8,'Master Data'!B:B,1,FALSE),0)</f>
        <v>62400030</v>
      </c>
    </row>
    <row r="9" spans="1:9" s="300" customFormat="1" x14ac:dyDescent="0.25">
      <c r="B9" s="305" t="s">
        <v>849</v>
      </c>
      <c r="C9" s="306" t="s">
        <v>850</v>
      </c>
      <c r="D9" s="306" t="s">
        <v>251</v>
      </c>
      <c r="E9" s="306" t="s">
        <v>334</v>
      </c>
      <c r="F9" s="306">
        <v>61900090</v>
      </c>
      <c r="G9" s="306" t="str">
        <f>VLOOKUP(F9,'Master Data'!$B$234:$C$333,2,0)</f>
        <v>PF - Other Professional Fees</v>
      </c>
      <c r="H9" s="308"/>
      <c r="I9" s="304">
        <f>IFERROR(VLOOKUP(F9,'Master Data'!B:B,1,FALSE),0)</f>
        <v>61900090</v>
      </c>
    </row>
    <row r="10" spans="1:9" s="300" customFormat="1" x14ac:dyDescent="0.25">
      <c r="B10" s="305" t="s">
        <v>851</v>
      </c>
      <c r="C10" s="306" t="s">
        <v>852</v>
      </c>
      <c r="D10" s="306" t="s">
        <v>251</v>
      </c>
      <c r="E10" s="306" t="s">
        <v>334</v>
      </c>
      <c r="F10" s="306">
        <v>61100010</v>
      </c>
      <c r="G10" s="306" t="str">
        <f>VLOOKUP(F10,'Master Data'!$B$234:$C$333,2,0)</f>
        <v>Steel  Laboratorium Expenses</v>
      </c>
      <c r="H10" s="308"/>
      <c r="I10" s="304">
        <f>IFERROR(VLOOKUP(F10,'Master Data'!B:B,1,FALSE),0)</f>
        <v>61100010</v>
      </c>
    </row>
    <row r="11" spans="1:9" s="300" customFormat="1" x14ac:dyDescent="0.25">
      <c r="B11" s="305" t="s">
        <v>739</v>
      </c>
      <c r="C11" s="306" t="s">
        <v>853</v>
      </c>
      <c r="D11" s="306" t="s">
        <v>251</v>
      </c>
      <c r="E11" s="306" t="s">
        <v>334</v>
      </c>
      <c r="F11" s="306">
        <v>61900050</v>
      </c>
      <c r="G11" s="306" t="str">
        <f>VLOOKUP(F11,'Master Data'!$B$234:$C$333,2,0)</f>
        <v>PF - Management Fee</v>
      </c>
      <c r="H11" s="308"/>
      <c r="I11" s="304">
        <f>IFERROR(VLOOKUP(F11,'Master Data'!B:B,1,FALSE),0)</f>
        <v>61900050</v>
      </c>
    </row>
    <row r="12" spans="1:9" s="300" customFormat="1" x14ac:dyDescent="0.25">
      <c r="B12" s="305" t="s">
        <v>740</v>
      </c>
      <c r="C12" s="306" t="s">
        <v>854</v>
      </c>
      <c r="D12" s="306" t="s">
        <v>251</v>
      </c>
      <c r="E12" s="306" t="s">
        <v>334</v>
      </c>
      <c r="F12" s="306">
        <v>61900050</v>
      </c>
      <c r="G12" s="306" t="str">
        <f>VLOOKUP(F12,'Master Data'!$B$234:$C$333,2,0)</f>
        <v>PF - Management Fee</v>
      </c>
      <c r="H12" s="308"/>
      <c r="I12" s="304">
        <f>IFERROR(VLOOKUP(F12,'Master Data'!B:B,1,FALSE),0)</f>
        <v>61900050</v>
      </c>
    </row>
    <row r="13" spans="1:9" s="300" customFormat="1" x14ac:dyDescent="0.25">
      <c r="B13" s="305" t="s">
        <v>741</v>
      </c>
      <c r="C13" s="306" t="s">
        <v>855</v>
      </c>
      <c r="D13" s="306" t="s">
        <v>251</v>
      </c>
      <c r="E13" s="306" t="s">
        <v>334</v>
      </c>
      <c r="F13" s="306">
        <v>61900050</v>
      </c>
      <c r="G13" s="306" t="str">
        <f>VLOOKUP(F13,'Master Data'!$B$234:$C$333,2,0)</f>
        <v>PF - Management Fee</v>
      </c>
      <c r="H13" s="308"/>
      <c r="I13" s="304">
        <f>IFERROR(VLOOKUP(F13,'Master Data'!B:B,1,FALSE),0)</f>
        <v>61900050</v>
      </c>
    </row>
    <row r="14" spans="1:9" s="300" customFormat="1" x14ac:dyDescent="0.25">
      <c r="B14" s="305" t="s">
        <v>856</v>
      </c>
      <c r="C14" s="306" t="s">
        <v>857</v>
      </c>
      <c r="D14" s="306" t="s">
        <v>251</v>
      </c>
      <c r="E14" s="306" t="s">
        <v>334</v>
      </c>
      <c r="F14" s="306">
        <v>62000020</v>
      </c>
      <c r="G14" s="306" t="str">
        <f>VLOOKUP(F14,'Master Data'!$B$234:$C$333,2,0)</f>
        <v>Ent. Exp - Donation and Social Contribution</v>
      </c>
      <c r="H14" s="308"/>
      <c r="I14" s="304">
        <f>IFERROR(VLOOKUP(F14,'Master Data'!B:B,1,FALSE),0)</f>
        <v>62000020</v>
      </c>
    </row>
    <row r="15" spans="1:9" s="300" customFormat="1" x14ac:dyDescent="0.25">
      <c r="B15" s="305" t="s">
        <v>742</v>
      </c>
      <c r="C15" s="306" t="s">
        <v>743</v>
      </c>
      <c r="D15" s="306" t="s">
        <v>251</v>
      </c>
      <c r="E15" s="306" t="s">
        <v>334</v>
      </c>
      <c r="F15" s="306">
        <v>62200020</v>
      </c>
      <c r="G15" s="306" t="str">
        <f>VLOOKUP(F15,'Master Data'!$B$234:$C$333,2,0)</f>
        <v>Printing and Supplies Expenses</v>
      </c>
      <c r="H15" s="308"/>
      <c r="I15" s="304">
        <f>IFERROR(VLOOKUP(F15,'Master Data'!B:B,1,FALSE),0)</f>
        <v>62200020</v>
      </c>
    </row>
    <row r="16" spans="1:9" s="300" customFormat="1" x14ac:dyDescent="0.25">
      <c r="B16" s="305" t="s">
        <v>744</v>
      </c>
      <c r="C16" s="306" t="s">
        <v>745</v>
      </c>
      <c r="D16" s="306" t="s">
        <v>251</v>
      </c>
      <c r="E16" s="306" t="s">
        <v>334</v>
      </c>
      <c r="F16" s="306">
        <v>61700070</v>
      </c>
      <c r="G16" s="306" t="str">
        <f>VLOOKUP(F16,'Master Data'!$B$234:$C$333,2,0)</f>
        <v>RE - Rental Other</v>
      </c>
      <c r="H16" s="308"/>
      <c r="I16" s="304">
        <f>IFERROR(VLOOKUP(F16,'Master Data'!B:B,1,FALSE),0)</f>
        <v>61700070</v>
      </c>
    </row>
    <row r="17" spans="2:9" s="300" customFormat="1" x14ac:dyDescent="0.25">
      <c r="B17" s="305" t="s">
        <v>746</v>
      </c>
      <c r="C17" s="306" t="s">
        <v>747</v>
      </c>
      <c r="D17" s="306" t="s">
        <v>251</v>
      </c>
      <c r="E17" s="306" t="s">
        <v>334</v>
      </c>
      <c r="F17" s="306">
        <v>61900090</v>
      </c>
      <c r="G17" s="306" t="str">
        <f>VLOOKUP(F17,'Master Data'!$B$234:$C$333,2,0)</f>
        <v>PF - Other Professional Fees</v>
      </c>
      <c r="H17" s="308"/>
      <c r="I17" s="304">
        <f>IFERROR(VLOOKUP(F17,'Master Data'!B:B,1,FALSE),0)</f>
        <v>61900090</v>
      </c>
    </row>
    <row r="18" spans="2:9" s="300" customFormat="1" x14ac:dyDescent="0.25">
      <c r="B18" s="305" t="s">
        <v>858</v>
      </c>
      <c r="C18" s="306" t="s">
        <v>859</v>
      </c>
      <c r="D18" s="306" t="s">
        <v>251</v>
      </c>
      <c r="E18" s="306" t="s">
        <v>334</v>
      </c>
      <c r="F18" s="306">
        <v>62100050</v>
      </c>
      <c r="G18" s="306" t="str">
        <f>VLOOKUP(F18,'Master Data'!$B$234:$C$333,2,0)</f>
        <v>TL - Others Tax and License</v>
      </c>
      <c r="H18" s="308"/>
      <c r="I18" s="304">
        <f>IFERROR(VLOOKUP(F18,'Master Data'!B:B,1,FALSE),0)</f>
        <v>62100050</v>
      </c>
    </row>
    <row r="19" spans="2:9" s="300" customFormat="1" x14ac:dyDescent="0.25">
      <c r="B19" s="305" t="s">
        <v>860</v>
      </c>
      <c r="C19" s="306" t="s">
        <v>861</v>
      </c>
      <c r="D19" s="306" t="s">
        <v>251</v>
      </c>
      <c r="E19" s="306" t="s">
        <v>334</v>
      </c>
      <c r="F19" s="306">
        <v>62900020</v>
      </c>
      <c r="G19" s="306" t="str">
        <f>VLOOKUP(F19,'Master Data'!$B$234:$C$333,2,0)</f>
        <v>Subscriptions and Periodicals</v>
      </c>
      <c r="H19" s="308" t="s">
        <v>1527</v>
      </c>
      <c r="I19" s="304">
        <f>IFERROR(VLOOKUP(F19,'Master Data'!B:B,1,FALSE),0)</f>
        <v>62900020</v>
      </c>
    </row>
    <row r="20" spans="2:9" s="300" customFormat="1" x14ac:dyDescent="0.25">
      <c r="B20" s="305" t="s">
        <v>862</v>
      </c>
      <c r="C20" s="306" t="s">
        <v>863</v>
      </c>
      <c r="D20" s="306" t="s">
        <v>251</v>
      </c>
      <c r="E20" s="306" t="s">
        <v>334</v>
      </c>
      <c r="F20" s="306">
        <v>61400010</v>
      </c>
      <c r="G20" s="306" t="str">
        <f>VLOOKUP(F20,'Master Data'!$B$234:$C$333,2,0)</f>
        <v>AE - Advertising and Promotion Expenses</v>
      </c>
      <c r="H20" s="307" t="s">
        <v>1523</v>
      </c>
      <c r="I20" s="304">
        <f>IFERROR(VLOOKUP(F20,'Master Data'!B:B,1,FALSE),0)</f>
        <v>61400010</v>
      </c>
    </row>
    <row r="21" spans="2:9" s="300" customFormat="1" x14ac:dyDescent="0.25">
      <c r="B21" s="305" t="s">
        <v>864</v>
      </c>
      <c r="C21" s="306" t="s">
        <v>865</v>
      </c>
      <c r="D21" s="306" t="s">
        <v>251</v>
      </c>
      <c r="E21" s="306" t="s">
        <v>334</v>
      </c>
      <c r="F21" s="306">
        <v>61400010</v>
      </c>
      <c r="G21" s="306" t="str">
        <f>VLOOKUP(F21,'Master Data'!$B$234:$C$333,2,0)</f>
        <v>AE - Advertising and Promotion Expenses</v>
      </c>
      <c r="H21" s="307" t="s">
        <v>1524</v>
      </c>
      <c r="I21" s="304">
        <f>IFERROR(VLOOKUP(F21,'Master Data'!B:B,1,FALSE),0)</f>
        <v>61400010</v>
      </c>
    </row>
    <row r="22" spans="2:9" s="300" customFormat="1" x14ac:dyDescent="0.25">
      <c r="B22" s="305" t="s">
        <v>866</v>
      </c>
      <c r="C22" s="306" t="s">
        <v>867</v>
      </c>
      <c r="D22" s="306" t="s">
        <v>251</v>
      </c>
      <c r="E22" s="306" t="s">
        <v>334</v>
      </c>
      <c r="F22" s="306">
        <v>61400030</v>
      </c>
      <c r="G22" s="306" t="str">
        <f>VLOOKUP(F22,'Master Data'!$B$234:$C$333,2,0)</f>
        <v>AE - Exhibition and Sponsorship</v>
      </c>
      <c r="H22" s="307" t="s">
        <v>1525</v>
      </c>
      <c r="I22" s="304">
        <f>IFERROR(VLOOKUP(F22,'Master Data'!B:B,1,FALSE),0)</f>
        <v>61400030</v>
      </c>
    </row>
    <row r="23" spans="2:9" s="300" customFormat="1" x14ac:dyDescent="0.25">
      <c r="B23" s="305" t="s">
        <v>868</v>
      </c>
      <c r="C23" s="306" t="s">
        <v>869</v>
      </c>
      <c r="D23" s="306" t="s">
        <v>251</v>
      </c>
      <c r="E23" s="306" t="s">
        <v>334</v>
      </c>
      <c r="F23" s="306">
        <v>61900090</v>
      </c>
      <c r="G23" s="306" t="str">
        <f>VLOOKUP(F23,'Master Data'!$B$234:$C$333,2,0)</f>
        <v>PF - Other Professional Fees</v>
      </c>
      <c r="H23" s="307" t="s">
        <v>1526</v>
      </c>
      <c r="I23" s="304">
        <f>IFERROR(VLOOKUP(F23,'Master Data'!B:B,1,FALSE),0)</f>
        <v>61900090</v>
      </c>
    </row>
    <row r="24" spans="2:9" s="300" customFormat="1" x14ac:dyDescent="0.25">
      <c r="B24" s="305" t="s">
        <v>870</v>
      </c>
      <c r="C24" s="306" t="s">
        <v>871</v>
      </c>
      <c r="D24" s="306" t="s">
        <v>251</v>
      </c>
      <c r="E24" s="306" t="s">
        <v>334</v>
      </c>
      <c r="F24" s="306">
        <v>61400010</v>
      </c>
      <c r="G24" s="306" t="str">
        <f>VLOOKUP(F24,'Master Data'!$B$234:$C$333,2,0)</f>
        <v>AE - Advertising and Promotion Expenses</v>
      </c>
      <c r="H24" s="309" t="s">
        <v>1528</v>
      </c>
      <c r="I24" s="304">
        <f>IFERROR(VLOOKUP(F24,'Master Data'!B:B,1,FALSE),0)</f>
        <v>61400010</v>
      </c>
    </row>
    <row r="25" spans="2:9" s="300" customFormat="1" x14ac:dyDescent="0.25">
      <c r="B25" s="305" t="s">
        <v>872</v>
      </c>
      <c r="C25" s="306" t="s">
        <v>873</v>
      </c>
      <c r="D25" s="306" t="s">
        <v>251</v>
      </c>
      <c r="E25" s="306" t="s">
        <v>334</v>
      </c>
      <c r="F25" s="306">
        <v>61900090</v>
      </c>
      <c r="G25" s="306" t="str">
        <f>VLOOKUP(F25,'Master Data'!$B$234:$C$333,2,0)</f>
        <v>PF - Other Professional Fees</v>
      </c>
      <c r="H25" s="310"/>
      <c r="I25" s="304">
        <f>IFERROR(VLOOKUP(F25,'Master Data'!B:B,1,FALSE),0)</f>
        <v>61900090</v>
      </c>
    </row>
    <row r="26" spans="2:9" s="300" customFormat="1" x14ac:dyDescent="0.25">
      <c r="B26" s="305" t="s">
        <v>874</v>
      </c>
      <c r="C26" s="306" t="s">
        <v>875</v>
      </c>
      <c r="D26" s="306" t="s">
        <v>824</v>
      </c>
      <c r="E26" s="306" t="s">
        <v>878</v>
      </c>
      <c r="F26" s="306">
        <v>62400030</v>
      </c>
      <c r="G26" s="306" t="str">
        <f>VLOOKUP(F26,'Master Data'!$B$234:$C$333,2,0)</f>
        <v>Gen. Transp. Travelling Expenses</v>
      </c>
      <c r="H26" s="307" t="s">
        <v>1522</v>
      </c>
      <c r="I26" s="304">
        <f>IFERROR(VLOOKUP(F26,'Master Data'!B:B,1,FALSE),0)</f>
        <v>62400030</v>
      </c>
    </row>
    <row r="27" spans="2:9" s="300" customFormat="1" x14ac:dyDescent="0.25">
      <c r="B27" s="305" t="s">
        <v>876</v>
      </c>
      <c r="C27" s="306" t="s">
        <v>738</v>
      </c>
      <c r="D27" s="306" t="s">
        <v>251</v>
      </c>
      <c r="E27" s="306" t="s">
        <v>334</v>
      </c>
      <c r="F27" s="306">
        <v>62400060</v>
      </c>
      <c r="G27" s="306" t="str">
        <f>VLOOKUP(F27,'Master Data'!$B$234:$C$333,2,0)</f>
        <v>Gen. Transp. Freight Local</v>
      </c>
      <c r="H27" s="307"/>
      <c r="I27" s="304">
        <f>IFERROR(VLOOKUP(F27,'Master Data'!B:B,1,FALSE),0)</f>
        <v>62400060</v>
      </c>
    </row>
    <row r="28" spans="2:9" s="300" customFormat="1" x14ac:dyDescent="0.25">
      <c r="B28" s="305" t="s">
        <v>877</v>
      </c>
      <c r="C28" s="306" t="s">
        <v>791</v>
      </c>
      <c r="D28" s="306" t="s">
        <v>251</v>
      </c>
      <c r="E28" s="306" t="s">
        <v>334</v>
      </c>
      <c r="F28" s="306">
        <v>62700010</v>
      </c>
      <c r="G28" s="306" t="str">
        <f>VLOOKUP(F28,'Master Data'!$B$234:$C$333,2,0)</f>
        <v>Commission Expense</v>
      </c>
      <c r="H28" s="307"/>
      <c r="I28" s="304">
        <f>IFERROR(VLOOKUP(F28,'Master Data'!B:B,1,FALSE),0)</f>
        <v>62700010</v>
      </c>
    </row>
    <row r="29" spans="2:9" s="300" customFormat="1" x14ac:dyDescent="0.25">
      <c r="B29" s="305"/>
      <c r="C29" s="306"/>
      <c r="D29" s="306"/>
      <c r="E29" s="306"/>
      <c r="F29" s="306"/>
      <c r="G29" s="306"/>
      <c r="H29" s="310"/>
      <c r="I29" s="304">
        <f>IFERROR(VLOOKUP(F29,'Master Data'!B:B,1,FALSE),0)</f>
        <v>0</v>
      </c>
    </row>
    <row r="30" spans="2:9" s="300" customFormat="1" x14ac:dyDescent="0.25">
      <c r="B30" s="305"/>
      <c r="C30" s="306"/>
      <c r="D30" s="306"/>
      <c r="E30" s="306"/>
      <c r="F30" s="306"/>
      <c r="G30" s="306"/>
      <c r="H30" s="307"/>
      <c r="I30" s="304">
        <f>IFERROR(VLOOKUP(F30,'Master Data'!B:B,1,FALSE),0)</f>
        <v>0</v>
      </c>
    </row>
    <row r="31" spans="2:9" s="300" customFormat="1" x14ac:dyDescent="0.25">
      <c r="B31" s="305"/>
      <c r="C31" s="306"/>
      <c r="D31" s="306"/>
      <c r="E31" s="306"/>
      <c r="F31" s="306"/>
      <c r="G31" s="306"/>
      <c r="H31" s="307"/>
      <c r="I31" s="304">
        <f>IFERROR(VLOOKUP(F31,'Master Data'!B:B,1,FALSE),0)</f>
        <v>0</v>
      </c>
    </row>
    <row r="32" spans="2:9" x14ac:dyDescent="0.25">
      <c r="B32" s="311"/>
      <c r="C32" s="312"/>
      <c r="D32" s="313"/>
      <c r="E32" s="313"/>
      <c r="F32" s="312"/>
      <c r="G32" s="313" t="str">
        <f>IF(B32="","",VLOOKUP(F32,#REF!,2,0))</f>
        <v/>
      </c>
      <c r="H32" s="314"/>
      <c r="I32" s="304">
        <f>IFERROR(VLOOKUP(F32,'Master Data'!B:B,1,FALSE),0)</f>
        <v>0</v>
      </c>
    </row>
    <row r="33" spans="2:9" ht="15.75" thickBot="1" x14ac:dyDescent="0.3">
      <c r="B33" s="315"/>
      <c r="C33" s="316"/>
      <c r="D33" s="316"/>
      <c r="E33" s="316"/>
      <c r="F33" s="316"/>
      <c r="G33" s="316"/>
      <c r="H33" s="317"/>
      <c r="I33" s="304">
        <f>IFERROR(VLOOKUP(F33,'Master Data'!B:B,1,FALSE),0)</f>
        <v>0</v>
      </c>
    </row>
    <row r="34" spans="2:9" ht="15.75" thickBot="1" x14ac:dyDescent="0.3"/>
    <row r="35" spans="2:9" x14ac:dyDescent="0.25">
      <c r="B35" s="467" t="s">
        <v>846</v>
      </c>
      <c r="C35" s="468"/>
      <c r="D35" s="468"/>
      <c r="E35" s="468"/>
      <c r="F35" s="468"/>
      <c r="G35" s="468"/>
      <c r="H35" s="469"/>
      <c r="I35" s="463" t="s">
        <v>558</v>
      </c>
    </row>
    <row r="36" spans="2:9" ht="15.75" thickBot="1" x14ac:dyDescent="0.3">
      <c r="B36" s="318" t="s">
        <v>543</v>
      </c>
      <c r="C36" s="318" t="s">
        <v>459</v>
      </c>
      <c r="D36" s="318" t="s">
        <v>46</v>
      </c>
      <c r="E36" s="318" t="s">
        <v>457</v>
      </c>
      <c r="F36" s="319" t="s">
        <v>458</v>
      </c>
      <c r="G36" s="320" t="s">
        <v>458</v>
      </c>
      <c r="H36" s="320" t="s">
        <v>337</v>
      </c>
      <c r="I36" s="464"/>
    </row>
    <row r="37" spans="2:9" x14ac:dyDescent="0.25">
      <c r="B37" s="321"/>
      <c r="C37" s="209"/>
      <c r="D37" s="322">
        <f>IFERROR(VLOOKUP(E37,'Master Data'!$E$59:$L$144,8,FALSE),0)</f>
        <v>0</v>
      </c>
      <c r="E37" s="323"/>
      <c r="F37" s="324">
        <f>IFERROR(VLOOKUP(G37,'Master Data'!$C$233:$H$331,6,FALSE),0)</f>
        <v>0</v>
      </c>
      <c r="G37" s="325"/>
      <c r="I37" s="326" t="str">
        <f>IF(B37="","",IF(AND(RIGHT(D37,5)=LEFT(B37,5),MID(B37,6,1)="-",COUNTIFS(B:B,B37)=1),"Benar","Salah"))</f>
        <v/>
      </c>
    </row>
    <row r="38" spans="2:9" x14ac:dyDescent="0.25">
      <c r="B38" s="321"/>
      <c r="C38" s="209"/>
      <c r="D38" s="327">
        <f>IFERROR(VLOOKUP(E38,'Master Data'!$E$59:$L$144,8,FALSE),0)</f>
        <v>0</v>
      </c>
      <c r="E38" s="328"/>
      <c r="F38" s="329">
        <f>IFERROR(VLOOKUP(G38,'Master Data'!$C$233:$H$331,6,FALSE),0)</f>
        <v>0</v>
      </c>
      <c r="G38" s="330"/>
      <c r="I38" s="326" t="str">
        <f t="shared" ref="I38:I50" si="0">IF(B38="","",IF(AND(RIGHT(D38,5)=LEFT(B38,5),MID(B38,6,1)="-",COUNTIFS(B:B,"*"&amp;RIGHT(B38,5))=1),"Benar","Salah"))</f>
        <v/>
      </c>
    </row>
    <row r="39" spans="2:9" x14ac:dyDescent="0.25">
      <c r="B39" s="321"/>
      <c r="C39" s="209"/>
      <c r="D39" s="327">
        <f>IFERROR(VLOOKUP(E39,'Master Data'!$E$59:$L$144,8,FALSE),0)</f>
        <v>0</v>
      </c>
      <c r="E39" s="328"/>
      <c r="F39" s="329">
        <f>IFERROR(VLOOKUP(G39,'Master Data'!$C$233:$H$331,6,FALSE),0)</f>
        <v>0</v>
      </c>
      <c r="G39" s="330"/>
      <c r="I39" s="326" t="str">
        <f t="shared" si="0"/>
        <v/>
      </c>
    </row>
    <row r="40" spans="2:9" x14ac:dyDescent="0.25">
      <c r="B40" s="321"/>
      <c r="C40" s="209"/>
      <c r="D40" s="327">
        <f>IFERROR(VLOOKUP(E40,'Master Data'!$E$59:$L$144,8,FALSE),0)</f>
        <v>0</v>
      </c>
      <c r="E40" s="328"/>
      <c r="F40" s="329">
        <f>IFERROR(VLOOKUP(G40,'Master Data'!$C$233:$H$331,6,FALSE),0)</f>
        <v>0</v>
      </c>
      <c r="G40" s="330"/>
      <c r="I40" s="326" t="str">
        <f t="shared" si="0"/>
        <v/>
      </c>
    </row>
    <row r="41" spans="2:9" x14ac:dyDescent="0.25">
      <c r="B41" s="321"/>
      <c r="C41" s="209"/>
      <c r="D41" s="327">
        <f>IFERROR(VLOOKUP(E41,'Master Data'!$E$59:$L$144,8,FALSE),0)</f>
        <v>0</v>
      </c>
      <c r="E41" s="328"/>
      <c r="F41" s="329">
        <f>IFERROR(VLOOKUP(G41,'Master Data'!$C$233:$H$331,6,FALSE),0)</f>
        <v>0</v>
      </c>
      <c r="G41" s="330"/>
      <c r="I41" s="326" t="str">
        <f t="shared" si="0"/>
        <v/>
      </c>
    </row>
    <row r="42" spans="2:9" x14ac:dyDescent="0.25">
      <c r="B42" s="321"/>
      <c r="C42" s="209"/>
      <c r="D42" s="327">
        <f>IFERROR(VLOOKUP(E42,'Master Data'!$E$59:$L$144,8,FALSE),0)</f>
        <v>0</v>
      </c>
      <c r="E42" s="328"/>
      <c r="F42" s="329">
        <f>IFERROR(VLOOKUP(G42,'Master Data'!$C$233:$H$331,6,FALSE),0)</f>
        <v>0</v>
      </c>
      <c r="G42" s="330"/>
      <c r="I42" s="326" t="str">
        <f t="shared" si="0"/>
        <v/>
      </c>
    </row>
    <row r="43" spans="2:9" x14ac:dyDescent="0.25">
      <c r="B43" s="321"/>
      <c r="C43" s="209"/>
      <c r="D43" s="327">
        <f>IFERROR(VLOOKUP(E43,'Master Data'!$E$59:$L$144,8,FALSE),0)</f>
        <v>0</v>
      </c>
      <c r="E43" s="328"/>
      <c r="F43" s="329">
        <f>IFERROR(VLOOKUP(G43,'Master Data'!$C$233:$H$331,6,FALSE),0)</f>
        <v>0</v>
      </c>
      <c r="G43" s="330"/>
      <c r="I43" s="326" t="str">
        <f t="shared" si="0"/>
        <v/>
      </c>
    </row>
    <row r="44" spans="2:9" x14ac:dyDescent="0.25">
      <c r="B44" s="321"/>
      <c r="C44" s="209"/>
      <c r="D44" s="327">
        <f>IFERROR(VLOOKUP(E44,'Master Data'!$E$59:$L$144,8,FALSE),0)</f>
        <v>0</v>
      </c>
      <c r="E44" s="328"/>
      <c r="F44" s="329">
        <f>IFERROR(VLOOKUP(G44,'Master Data'!$C$233:$H$331,6,FALSE),0)</f>
        <v>0</v>
      </c>
      <c r="G44" s="330"/>
      <c r="I44" s="326" t="str">
        <f t="shared" si="0"/>
        <v/>
      </c>
    </row>
    <row r="45" spans="2:9" x14ac:dyDescent="0.25">
      <c r="B45" s="321"/>
      <c r="C45" s="209"/>
      <c r="D45" s="327">
        <f>IFERROR(VLOOKUP(E45,'Master Data'!$E$59:$L$144,8,FALSE),0)</f>
        <v>0</v>
      </c>
      <c r="E45" s="328"/>
      <c r="F45" s="329">
        <f>IFERROR(VLOOKUP(G45,'Master Data'!$C$233:$H$331,6,FALSE),0)</f>
        <v>0</v>
      </c>
      <c r="G45" s="330"/>
      <c r="I45" s="326" t="str">
        <f t="shared" si="0"/>
        <v/>
      </c>
    </row>
    <row r="46" spans="2:9" x14ac:dyDescent="0.25">
      <c r="B46" s="321"/>
      <c r="C46" s="209"/>
      <c r="D46" s="327">
        <f>IFERROR(VLOOKUP(E46,'Master Data'!$E$59:$L$144,8,FALSE),0)</f>
        <v>0</v>
      </c>
      <c r="E46" s="328"/>
      <c r="F46" s="329">
        <f>IFERROR(VLOOKUP(G46,'Master Data'!$C$233:$H$331,6,FALSE),0)</f>
        <v>0</v>
      </c>
      <c r="G46" s="330"/>
      <c r="I46" s="326" t="str">
        <f t="shared" si="0"/>
        <v/>
      </c>
    </row>
    <row r="47" spans="2:9" x14ac:dyDescent="0.25">
      <c r="B47" s="321"/>
      <c r="C47" s="209"/>
      <c r="D47" s="327">
        <f>IFERROR(VLOOKUP(E47,'Master Data'!$E$59:$L$144,8,FALSE),0)</f>
        <v>0</v>
      </c>
      <c r="E47" s="328"/>
      <c r="F47" s="329">
        <f>IFERROR(VLOOKUP(G47,'Master Data'!$C$233:$H$331,6,FALSE),0)</f>
        <v>0</v>
      </c>
      <c r="G47" s="330"/>
      <c r="I47" s="326" t="str">
        <f t="shared" si="0"/>
        <v/>
      </c>
    </row>
    <row r="48" spans="2:9" x14ac:dyDescent="0.25">
      <c r="B48" s="321"/>
      <c r="C48" s="209"/>
      <c r="D48" s="327">
        <f>IFERROR(VLOOKUP(E48,'Master Data'!$E$59:$L$144,8,FALSE),0)</f>
        <v>0</v>
      </c>
      <c r="E48" s="328"/>
      <c r="F48" s="329">
        <f>IFERROR(VLOOKUP(G48,'Master Data'!$C$233:$H$331,6,FALSE),0)</f>
        <v>0</v>
      </c>
      <c r="G48" s="330"/>
      <c r="I48" s="326" t="str">
        <f t="shared" si="0"/>
        <v/>
      </c>
    </row>
    <row r="49" spans="2:9" x14ac:dyDescent="0.25">
      <c r="B49" s="321"/>
      <c r="C49" s="209"/>
      <c r="D49" s="327">
        <f>IFERROR(VLOOKUP(E49,'Master Data'!$E$59:$L$144,8,FALSE),0)</f>
        <v>0</v>
      </c>
      <c r="E49" s="328"/>
      <c r="F49" s="329">
        <f>IFERROR(VLOOKUP(G49,'Master Data'!$C$233:$H$331,6,FALSE),0)</f>
        <v>0</v>
      </c>
      <c r="G49" s="330"/>
      <c r="I49" s="326" t="str">
        <f t="shared" si="0"/>
        <v/>
      </c>
    </row>
    <row r="50" spans="2:9" ht="15.75" thickBot="1" x14ac:dyDescent="0.3">
      <c r="B50" s="331"/>
      <c r="C50" s="332"/>
      <c r="D50" s="333">
        <f>IFERROR(VLOOKUP(E50,'Master Data'!$E$59:$L$144,8,FALSE),0)</f>
        <v>0</v>
      </c>
      <c r="E50" s="334"/>
      <c r="F50" s="335">
        <f>IFERROR(VLOOKUP(G50,'Master Data'!$C$233:$H$331,6,FALSE),0)</f>
        <v>0</v>
      </c>
      <c r="G50" s="336"/>
      <c r="H50" s="337"/>
      <c r="I50" s="338" t="str">
        <f t="shared" si="0"/>
        <v/>
      </c>
    </row>
    <row r="51" spans="2:9" x14ac:dyDescent="0.25">
      <c r="B51" s="209"/>
      <c r="C51" s="209"/>
      <c r="D51" s="209"/>
      <c r="F51" s="339"/>
      <c r="I51" s="177"/>
    </row>
    <row r="52" spans="2:9" ht="15.75" thickBot="1" x14ac:dyDescent="0.3">
      <c r="B52" s="209"/>
      <c r="C52" s="209"/>
      <c r="D52" s="209"/>
      <c r="E52" s="176" t="str">
        <f>IF(D52="","",VLOOKUP(D52,#REF!,2,0))</f>
        <v/>
      </c>
      <c r="F52" s="339"/>
      <c r="G52" s="176" t="str">
        <f>IF(F52="","",VLOOKUP(F52,#REF!,2,0))</f>
        <v/>
      </c>
      <c r="I52" s="177" t="str">
        <f>IF(B52="","",IF(AND(RIGHT(D52,5)=LEFT(B52,5),MID(B52,6,1)="-",COUNTIFS(B:B,"*"&amp;RIGHT(B52,5))=1),"Benar","Salah"))</f>
        <v/>
      </c>
    </row>
    <row r="53" spans="2:9" x14ac:dyDescent="0.25">
      <c r="B53" s="470" t="s">
        <v>963</v>
      </c>
      <c r="C53" s="471"/>
      <c r="D53" s="471"/>
      <c r="E53" s="471"/>
      <c r="F53" s="471"/>
      <c r="G53" s="471"/>
      <c r="H53" s="472"/>
      <c r="I53" s="473"/>
    </row>
    <row r="54" spans="2:9" x14ac:dyDescent="0.25">
      <c r="B54" s="340" t="s">
        <v>543</v>
      </c>
      <c r="C54" s="318" t="s">
        <v>459</v>
      </c>
      <c r="D54" s="318" t="s">
        <v>46</v>
      </c>
      <c r="E54" s="318" t="s">
        <v>457</v>
      </c>
      <c r="F54" s="319" t="s">
        <v>458</v>
      </c>
      <c r="G54" s="320" t="s">
        <v>458</v>
      </c>
      <c r="H54" s="320" t="s">
        <v>337</v>
      </c>
      <c r="I54" s="473"/>
    </row>
    <row r="55" spans="2:9" x14ac:dyDescent="0.25">
      <c r="B55" s="321"/>
      <c r="C55" s="209"/>
      <c r="D55" s="327">
        <f>IFERROR(VLOOKUP(E55,'Master Data'!$E$59:$L$144,8,FALSE),0)</f>
        <v>0</v>
      </c>
      <c r="E55" s="328"/>
      <c r="F55" s="329">
        <f>IFERROR(VLOOKUP(G55,'Master Data'!$C$233:$H$331,6,FALSE),0)</f>
        <v>0</v>
      </c>
      <c r="G55" s="325"/>
      <c r="I55" s="374"/>
    </row>
    <row r="56" spans="2:9" x14ac:dyDescent="0.25">
      <c r="B56" s="321"/>
      <c r="C56" s="209"/>
      <c r="D56" s="327">
        <f>IFERROR(VLOOKUP(E56,'Master Data'!$E$59:$L$144,8,FALSE),0)</f>
        <v>0</v>
      </c>
      <c r="E56" s="328"/>
      <c r="F56" s="329">
        <f>IFERROR(VLOOKUP(G56,'Master Data'!$C$233:$H$331,6,FALSE),0)</f>
        <v>0</v>
      </c>
      <c r="G56" s="330"/>
      <c r="I56" s="374"/>
    </row>
    <row r="57" spans="2:9" x14ac:dyDescent="0.25">
      <c r="B57" s="321"/>
      <c r="C57" s="209"/>
      <c r="D57" s="327">
        <f>IFERROR(VLOOKUP(E57,'Master Data'!$E$59:$L$144,8,FALSE),0)</f>
        <v>0</v>
      </c>
      <c r="E57" s="328"/>
      <c r="F57" s="329">
        <f>IFERROR(VLOOKUP(G57,'Master Data'!$C$233:$H$331,6,FALSE),0)</f>
        <v>0</v>
      </c>
      <c r="G57" s="330"/>
      <c r="I57" s="374"/>
    </row>
    <row r="58" spans="2:9" x14ac:dyDescent="0.25">
      <c r="B58" s="321"/>
      <c r="C58" s="209"/>
      <c r="D58" s="327">
        <f>IFERROR(VLOOKUP(E58,'Master Data'!$E$59:$L$144,8,FALSE),0)</f>
        <v>0</v>
      </c>
      <c r="E58" s="328"/>
      <c r="F58" s="329">
        <f>IFERROR(VLOOKUP(G58,'Master Data'!$C$233:$H$331,6,FALSE),0)</f>
        <v>0</v>
      </c>
      <c r="G58" s="330"/>
      <c r="I58" s="374"/>
    </row>
    <row r="59" spans="2:9" x14ac:dyDescent="0.25">
      <c r="B59" s="321"/>
      <c r="C59" s="209"/>
      <c r="D59" s="327">
        <f>IFERROR(VLOOKUP(E59,'Master Data'!$E$59:$L$144,8,FALSE),0)</f>
        <v>0</v>
      </c>
      <c r="E59" s="328"/>
      <c r="F59" s="329">
        <f>IFERROR(VLOOKUP(G59,'Master Data'!$C$233:$H$331,6,FALSE),0)</f>
        <v>0</v>
      </c>
      <c r="G59" s="330"/>
      <c r="I59" s="374"/>
    </row>
    <row r="60" spans="2:9" x14ac:dyDescent="0.25">
      <c r="B60" s="321"/>
      <c r="C60" s="209"/>
      <c r="D60" s="327">
        <f>IFERROR(VLOOKUP(E60,'Master Data'!$E$59:$L$144,8,FALSE),0)</f>
        <v>0</v>
      </c>
      <c r="E60" s="328"/>
      <c r="F60" s="329">
        <f>IFERROR(VLOOKUP(G60,'Master Data'!$C$233:$H$331,6,FALSE),0)</f>
        <v>0</v>
      </c>
      <c r="G60" s="330"/>
      <c r="I60" s="374"/>
    </row>
    <row r="61" spans="2:9" x14ac:dyDescent="0.25">
      <c r="B61" s="321"/>
      <c r="C61" s="209"/>
      <c r="D61" s="327">
        <f>IFERROR(VLOOKUP(E61,'Master Data'!$E$59:$L$144,8,FALSE),0)</f>
        <v>0</v>
      </c>
      <c r="E61" s="328"/>
      <c r="F61" s="329">
        <f>IFERROR(VLOOKUP(G61,'Master Data'!$C$233:$H$331,6,FALSE),0)</f>
        <v>0</v>
      </c>
      <c r="G61" s="330"/>
      <c r="I61" s="374"/>
    </row>
    <row r="62" spans="2:9" x14ac:dyDescent="0.25">
      <c r="B62" s="321"/>
      <c r="C62" s="209"/>
      <c r="D62" s="327">
        <f>IFERROR(VLOOKUP(E62,'Master Data'!$E$59:$L$144,8,FALSE),0)</f>
        <v>0</v>
      </c>
      <c r="E62" s="328"/>
      <c r="F62" s="329">
        <f>IFERROR(VLOOKUP(G62,'Master Data'!$C$233:$H$331,6,FALSE),0)</f>
        <v>0</v>
      </c>
      <c r="G62" s="330"/>
      <c r="I62" s="374"/>
    </row>
    <row r="63" spans="2:9" x14ac:dyDescent="0.25">
      <c r="B63" s="321"/>
      <c r="C63" s="209"/>
      <c r="D63" s="327">
        <f>IFERROR(VLOOKUP(E63,'Master Data'!$E$59:$L$144,8,FALSE),0)</f>
        <v>0</v>
      </c>
      <c r="E63" s="328"/>
      <c r="F63" s="329">
        <f>IFERROR(VLOOKUP(G63,'Master Data'!$C$233:$H$331,6,FALSE),0)</f>
        <v>0</v>
      </c>
      <c r="G63" s="330"/>
      <c r="I63" s="374"/>
    </row>
    <row r="64" spans="2:9" x14ac:dyDescent="0.25">
      <c r="B64" s="321"/>
      <c r="C64" s="209"/>
      <c r="D64" s="327">
        <f>IFERROR(VLOOKUP(E64,'Master Data'!$E$59:$L$144,8,FALSE),0)</f>
        <v>0</v>
      </c>
      <c r="E64" s="328"/>
      <c r="F64" s="329">
        <f>IFERROR(VLOOKUP(G64,'Master Data'!$C$233:$H$331,6,FALSE),0)</f>
        <v>0</v>
      </c>
      <c r="G64" s="330"/>
      <c r="I64" s="374"/>
    </row>
    <row r="65" spans="2:9" x14ac:dyDescent="0.25">
      <c r="B65" s="321"/>
      <c r="C65" s="209"/>
      <c r="D65" s="327">
        <f>IFERROR(VLOOKUP(E65,'Master Data'!$E$59:$L$144,8,FALSE),0)</f>
        <v>0</v>
      </c>
      <c r="E65" s="328"/>
      <c r="F65" s="329">
        <f>IFERROR(VLOOKUP(G65,'Master Data'!$C$233:$H$331,6,FALSE),0)</f>
        <v>0</v>
      </c>
      <c r="G65" s="330"/>
      <c r="I65" s="374"/>
    </row>
    <row r="66" spans="2:9" ht="15.75" thickBot="1" x14ac:dyDescent="0.3">
      <c r="B66" s="331"/>
      <c r="C66" s="332"/>
      <c r="D66" s="333">
        <f>IFERROR(VLOOKUP(E66,'Master Data'!$E$59:$L$144,8,FALSE),0)</f>
        <v>0</v>
      </c>
      <c r="E66" s="334"/>
      <c r="F66" s="335">
        <f>IFERROR(VLOOKUP(G66,'Master Data'!$C$233:$H$331,6,FALSE),0)</f>
        <v>0</v>
      </c>
      <c r="G66" s="336"/>
      <c r="H66" s="337"/>
      <c r="I66" s="374"/>
    </row>
  </sheetData>
  <sheetProtection autoFilter="0"/>
  <autoFilter ref="B3:G66" xr:uid="{00000000-0009-0000-0000-000004000000}"/>
  <mergeCells count="5">
    <mergeCell ref="I35:I36"/>
    <mergeCell ref="B2:H2"/>
    <mergeCell ref="B35:H35"/>
    <mergeCell ref="B53:H53"/>
    <mergeCell ref="I53:I54"/>
  </mergeCells>
  <dataValidations count="2">
    <dataValidation type="list" allowBlank="1" showInputMessage="1" showErrorMessage="1" sqref="F51:F52" xr:uid="{00000000-0002-0000-0400-000000000000}">
      <formula1>INDIRECT($F$1)</formula1>
    </dataValidation>
    <dataValidation type="list" allowBlank="1" showInputMessage="1" showErrorMessage="1" sqref="D51:D52" xr:uid="{00000000-0002-0000-0400-000001000000}">
      <formula1>INDIRECT($A$1)</formula1>
    </dataValidation>
  </dataValidations>
  <pageMargins left="0.7" right="0.7" top="0.75" bottom="0.75" header="0.3" footer="0.3"/>
  <pageSetup orientation="portrait" r:id="rId1"/>
  <ignoredErrors>
    <ignoredError sqref="D37:E37 D39:E49 D38 D56:E65 D50 F37:F50 D55:E55 F55:F66 D66"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5DC9138C-BC43-4B1C-AF13-EA09CCEC4948}">
          <x14:formula1>
            <xm:f>'Master Data'!$E$143:$E$144</xm:f>
          </x14:formula1>
          <xm:sqref>E37:E49 E55:E65</xm:sqref>
        </x14:dataValidation>
        <x14:dataValidation type="list" allowBlank="1" showInputMessage="1" showErrorMessage="1" xr:uid="{DFA8DC7D-21BD-400E-B59E-5FEA49900B7D}">
          <x14:formula1>
            <xm:f>'Master Data'!$C$233:$C$331</xm:f>
          </x14:formula1>
          <xm:sqref>G37:G50 G55:G66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A9E93-0156-445A-9723-765966C80676}">
  <dimension ref="A2:AJ44"/>
  <sheetViews>
    <sheetView zoomScale="80" zoomScaleNormal="80" workbookViewId="0">
      <selection activeCell="F35" sqref="F35"/>
    </sheetView>
  </sheetViews>
  <sheetFormatPr defaultRowHeight="15" x14ac:dyDescent="0.25"/>
  <cols>
    <col min="1" max="1" width="3.7109375" style="176" bestFit="1" customWidth="1"/>
    <col min="2" max="2" width="28.85546875" style="176" bestFit="1" customWidth="1"/>
    <col min="3" max="3" width="10.7109375" style="176" bestFit="1" customWidth="1"/>
    <col min="4" max="4" width="14.42578125" style="176" bestFit="1" customWidth="1"/>
    <col min="5" max="11" width="12.28515625" style="176" bestFit="1" customWidth="1"/>
    <col min="12" max="12" width="16.28515625" style="176" bestFit="1" customWidth="1"/>
    <col min="13" max="13" width="15.85546875" style="176" bestFit="1" customWidth="1"/>
    <col min="14" max="14" width="10.28515625" style="176" bestFit="1" customWidth="1"/>
    <col min="15" max="15" width="16.28515625" style="176" bestFit="1" customWidth="1"/>
    <col min="16" max="22" width="9.140625" style="176"/>
    <col min="23" max="23" width="9.28515625" style="176" bestFit="1" customWidth="1"/>
    <col min="24" max="30" width="12" style="176" bestFit="1" customWidth="1"/>
    <col min="31" max="31" width="16.28515625" style="176" bestFit="1" customWidth="1"/>
    <col min="32" max="32" width="9.140625" style="176"/>
    <col min="33" max="33" width="11.42578125" style="176" bestFit="1" customWidth="1"/>
    <col min="34" max="34" width="12" style="176" bestFit="1" customWidth="1"/>
    <col min="35" max="16384" width="9.140625" style="176"/>
  </cols>
  <sheetData>
    <row r="2" spans="1:14" x14ac:dyDescent="0.25">
      <c r="B2" s="389"/>
      <c r="C2" s="176" t="s">
        <v>1548</v>
      </c>
    </row>
    <row r="4" spans="1:14" s="172" customFormat="1" x14ac:dyDescent="0.25">
      <c r="A4" s="172" t="s">
        <v>1036</v>
      </c>
      <c r="B4" s="172" t="s">
        <v>1547</v>
      </c>
    </row>
    <row r="6" spans="1:14" x14ac:dyDescent="0.25">
      <c r="B6" s="392" t="s">
        <v>1530</v>
      </c>
      <c r="C6" s="394"/>
      <c r="D6" s="394" t="s">
        <v>1531</v>
      </c>
      <c r="E6" s="394" t="s">
        <v>1532</v>
      </c>
      <c r="F6" s="394" t="s">
        <v>1533</v>
      </c>
      <c r="G6" s="394" t="s">
        <v>1534</v>
      </c>
      <c r="H6" s="394"/>
      <c r="I6" s="394"/>
    </row>
    <row r="7" spans="1:14" x14ac:dyDescent="0.25">
      <c r="B7" s="395" t="s">
        <v>1535</v>
      </c>
      <c r="C7" s="394" t="s">
        <v>1536</v>
      </c>
      <c r="D7" s="394">
        <v>1143628</v>
      </c>
      <c r="E7" s="394">
        <v>4594729</v>
      </c>
      <c r="F7" s="394">
        <v>5738357</v>
      </c>
      <c r="G7" s="394">
        <v>0.45000005097278423</v>
      </c>
      <c r="H7" s="394"/>
      <c r="I7" s="394"/>
    </row>
    <row r="8" spans="1:14" x14ac:dyDescent="0.25">
      <c r="B8" s="392" t="s">
        <v>1537</v>
      </c>
      <c r="C8" s="394" t="s">
        <v>1536</v>
      </c>
      <c r="D8" s="394">
        <v>889488</v>
      </c>
      <c r="E8" s="394">
        <v>3573679</v>
      </c>
      <c r="F8" s="394">
        <v>4463167</v>
      </c>
      <c r="G8" s="394">
        <v>0.35000007449868464</v>
      </c>
      <c r="H8" s="394"/>
      <c r="I8" s="394"/>
    </row>
    <row r="9" spans="1:14" x14ac:dyDescent="0.25">
      <c r="B9" s="392" t="s">
        <v>1538</v>
      </c>
      <c r="C9" s="394" t="s">
        <v>1536</v>
      </c>
      <c r="D9" s="394">
        <v>381210</v>
      </c>
      <c r="E9" s="394">
        <v>1531576</v>
      </c>
      <c r="F9" s="394">
        <v>1912786</v>
      </c>
      <c r="G9" s="394">
        <v>0.15000004313081741</v>
      </c>
      <c r="H9" s="394"/>
      <c r="I9" s="394"/>
    </row>
    <row r="10" spans="1:14" x14ac:dyDescent="0.25">
      <c r="B10" s="392" t="s">
        <v>1539</v>
      </c>
      <c r="C10" s="394" t="s">
        <v>1536</v>
      </c>
      <c r="D10" s="394"/>
      <c r="E10" s="394">
        <v>637593</v>
      </c>
      <c r="F10" s="394">
        <v>637593</v>
      </c>
      <c r="G10" s="394">
        <v>4.9999831397713738E-2</v>
      </c>
      <c r="H10" s="394"/>
      <c r="I10" s="396"/>
    </row>
    <row r="11" spans="1:14" x14ac:dyDescent="0.25">
      <c r="B11" s="394" t="s">
        <v>1540</v>
      </c>
      <c r="C11" s="397">
        <v>1.4999999999999999E-2</v>
      </c>
      <c r="D11" s="394"/>
      <c r="E11" s="394"/>
      <c r="F11" s="394"/>
      <c r="G11" s="394"/>
      <c r="H11" s="394"/>
      <c r="I11" s="394"/>
    </row>
    <row r="12" spans="1:14" x14ac:dyDescent="0.25">
      <c r="B12" s="394"/>
      <c r="C12" s="393"/>
      <c r="D12" s="394"/>
      <c r="E12" s="394"/>
      <c r="F12" s="394"/>
      <c r="G12" s="394"/>
      <c r="H12" s="394"/>
      <c r="I12" s="394"/>
    </row>
    <row r="13" spans="1:14" x14ac:dyDescent="0.25">
      <c r="B13" s="394"/>
      <c r="C13" s="401" t="s">
        <v>1547</v>
      </c>
      <c r="D13" s="398"/>
      <c r="E13" s="398"/>
      <c r="F13" s="398"/>
      <c r="G13" s="398"/>
      <c r="H13" s="385"/>
      <c r="I13" s="385"/>
      <c r="J13" s="385"/>
      <c r="K13" s="385"/>
      <c r="L13" s="385"/>
      <c r="M13" s="386"/>
      <c r="N13" s="387"/>
    </row>
    <row r="14" spans="1:14" x14ac:dyDescent="0.25">
      <c r="B14" s="394"/>
      <c r="C14" s="388">
        <v>46023</v>
      </c>
      <c r="D14" s="388">
        <v>46054</v>
      </c>
      <c r="E14" s="388">
        <v>46082</v>
      </c>
      <c r="F14" s="388">
        <v>46113</v>
      </c>
      <c r="G14" s="388">
        <v>46143</v>
      </c>
      <c r="H14" s="388">
        <v>46174</v>
      </c>
      <c r="I14" s="388">
        <v>46204</v>
      </c>
      <c r="J14" s="388">
        <v>46235</v>
      </c>
      <c r="K14" s="388">
        <v>46266</v>
      </c>
      <c r="L14" s="388">
        <v>46296</v>
      </c>
      <c r="M14" s="388">
        <v>46327</v>
      </c>
      <c r="N14" s="388">
        <v>46357</v>
      </c>
    </row>
    <row r="15" spans="1:14" x14ac:dyDescent="0.25">
      <c r="B15" s="394" t="s">
        <v>1541</v>
      </c>
      <c r="C15" s="399"/>
      <c r="D15" s="399"/>
      <c r="E15" s="399"/>
      <c r="F15" s="399"/>
      <c r="G15" s="399"/>
      <c r="H15" s="399"/>
      <c r="I15" s="399"/>
      <c r="J15" s="399"/>
      <c r="K15" s="399"/>
      <c r="L15" s="399"/>
      <c r="M15" s="399"/>
      <c r="N15" s="399"/>
    </row>
    <row r="16" spans="1:14" x14ac:dyDescent="0.25">
      <c r="B16" s="394" t="s">
        <v>1546</v>
      </c>
      <c r="C16" s="399"/>
      <c r="D16" s="399"/>
      <c r="E16" s="399"/>
      <c r="F16" s="399"/>
      <c r="G16" s="399"/>
      <c r="H16" s="399"/>
      <c r="I16" s="399"/>
      <c r="J16" s="399"/>
      <c r="K16" s="399"/>
      <c r="L16" s="399"/>
      <c r="M16" s="399"/>
      <c r="N16" s="399"/>
    </row>
    <row r="17" spans="1:36" x14ac:dyDescent="0.25">
      <c r="B17" s="394" t="s">
        <v>1545</v>
      </c>
      <c r="C17" s="400">
        <f t="shared" ref="C17:G17" si="0">SUM(C15:C16)</f>
        <v>0</v>
      </c>
      <c r="D17" s="400">
        <f t="shared" si="0"/>
        <v>0</v>
      </c>
      <c r="E17" s="400">
        <f t="shared" si="0"/>
        <v>0</v>
      </c>
      <c r="F17" s="400">
        <f t="shared" si="0"/>
        <v>0</v>
      </c>
      <c r="G17" s="400">
        <f t="shared" si="0"/>
        <v>0</v>
      </c>
      <c r="H17" s="400">
        <f>SUM(H15:H16)</f>
        <v>0</v>
      </c>
      <c r="I17" s="400">
        <f t="shared" ref="I17:N17" si="1">SUM(I15:I16)</f>
        <v>0</v>
      </c>
      <c r="J17" s="400">
        <f t="shared" si="1"/>
        <v>0</v>
      </c>
      <c r="K17" s="400">
        <f t="shared" si="1"/>
        <v>0</v>
      </c>
      <c r="L17" s="400">
        <f t="shared" si="1"/>
        <v>0</v>
      </c>
      <c r="M17" s="400">
        <f t="shared" si="1"/>
        <v>0</v>
      </c>
      <c r="N17" s="400">
        <f t="shared" si="1"/>
        <v>0</v>
      </c>
    </row>
    <row r="18" spans="1:36" x14ac:dyDescent="0.25">
      <c r="B18" s="394" t="s">
        <v>1542</v>
      </c>
      <c r="C18" s="390">
        <f t="shared" ref="C18:G18" si="2">$C$11*C17</f>
        <v>0</v>
      </c>
      <c r="D18" s="390">
        <f t="shared" si="2"/>
        <v>0</v>
      </c>
      <c r="E18" s="390">
        <f t="shared" si="2"/>
        <v>0</v>
      </c>
      <c r="F18" s="390">
        <f t="shared" si="2"/>
        <v>0</v>
      </c>
      <c r="G18" s="390">
        <f t="shared" si="2"/>
        <v>0</v>
      </c>
      <c r="H18" s="390">
        <f t="shared" ref="H18:N18" si="3">$C$11*H17</f>
        <v>0</v>
      </c>
      <c r="I18" s="390">
        <f t="shared" si="3"/>
        <v>0</v>
      </c>
      <c r="J18" s="390">
        <f t="shared" si="3"/>
        <v>0</v>
      </c>
      <c r="K18" s="390">
        <f t="shared" si="3"/>
        <v>0</v>
      </c>
      <c r="L18" s="390">
        <f t="shared" si="3"/>
        <v>0</v>
      </c>
      <c r="M18" s="390">
        <f t="shared" si="3"/>
        <v>0</v>
      </c>
      <c r="N18" s="390">
        <f t="shared" si="3"/>
        <v>0</v>
      </c>
    </row>
    <row r="19" spans="1:36" x14ac:dyDescent="0.25">
      <c r="B19" s="394" t="s">
        <v>1543</v>
      </c>
      <c r="C19" s="266">
        <f t="shared" ref="C19:G19" si="4">($C$11*$G$9/SUM($G$7:$G$8))*C17</f>
        <v>0</v>
      </c>
      <c r="D19" s="266">
        <f t="shared" si="4"/>
        <v>0</v>
      </c>
      <c r="E19" s="266">
        <f t="shared" si="4"/>
        <v>0</v>
      </c>
      <c r="F19" s="266">
        <f t="shared" si="4"/>
        <v>0</v>
      </c>
      <c r="G19" s="266">
        <f t="shared" si="4"/>
        <v>0</v>
      </c>
      <c r="H19" s="266">
        <f t="shared" ref="H19:N19" si="5">($C$11*$G$9/SUM($G$7:$G$8))*H17</f>
        <v>0</v>
      </c>
      <c r="I19" s="266">
        <f t="shared" si="5"/>
        <v>0</v>
      </c>
      <c r="J19" s="266">
        <f t="shared" si="5"/>
        <v>0</v>
      </c>
      <c r="K19" s="266">
        <f t="shared" si="5"/>
        <v>0</v>
      </c>
      <c r="L19" s="266">
        <f t="shared" si="5"/>
        <v>0</v>
      </c>
      <c r="M19" s="266">
        <f t="shared" si="5"/>
        <v>0</v>
      </c>
      <c r="N19" s="266">
        <f t="shared" si="5"/>
        <v>0</v>
      </c>
    </row>
    <row r="20" spans="1:36" x14ac:dyDescent="0.25">
      <c r="B20" s="394" t="s">
        <v>1544</v>
      </c>
      <c r="C20" s="266">
        <f t="shared" ref="C20:G20" si="6">($C$11*$G$10/SUM($G$7:$G$8))*C17</f>
        <v>0</v>
      </c>
      <c r="D20" s="266">
        <f t="shared" si="6"/>
        <v>0</v>
      </c>
      <c r="E20" s="266">
        <f t="shared" si="6"/>
        <v>0</v>
      </c>
      <c r="F20" s="266">
        <f t="shared" si="6"/>
        <v>0</v>
      </c>
      <c r="G20" s="266">
        <f t="shared" si="6"/>
        <v>0</v>
      </c>
      <c r="H20" s="266">
        <f t="shared" ref="H20:N20" si="7">($C$11*$G$10/SUM($G$7:$G$8))*H17</f>
        <v>0</v>
      </c>
      <c r="I20" s="266">
        <f t="shared" si="7"/>
        <v>0</v>
      </c>
      <c r="J20" s="266">
        <f t="shared" si="7"/>
        <v>0</v>
      </c>
      <c r="K20" s="266">
        <f t="shared" si="7"/>
        <v>0</v>
      </c>
      <c r="L20" s="266">
        <f t="shared" si="7"/>
        <v>0</v>
      </c>
      <c r="M20" s="266">
        <f t="shared" si="7"/>
        <v>0</v>
      </c>
      <c r="N20" s="266">
        <f t="shared" si="7"/>
        <v>0</v>
      </c>
    </row>
    <row r="21" spans="1:36" ht="15.75" thickBot="1" x14ac:dyDescent="0.3">
      <c r="B21" s="394" t="s">
        <v>1533</v>
      </c>
      <c r="C21" s="391">
        <f t="shared" ref="C21:G21" si="8">SUM(C18:C20)</f>
        <v>0</v>
      </c>
      <c r="D21" s="391">
        <f t="shared" si="8"/>
        <v>0</v>
      </c>
      <c r="E21" s="391">
        <f t="shared" si="8"/>
        <v>0</v>
      </c>
      <c r="F21" s="391">
        <f t="shared" si="8"/>
        <v>0</v>
      </c>
      <c r="G21" s="391">
        <f t="shared" si="8"/>
        <v>0</v>
      </c>
      <c r="H21" s="391">
        <f t="shared" ref="H21:N21" si="9">SUM(H18:H20)</f>
        <v>0</v>
      </c>
      <c r="I21" s="391">
        <f t="shared" si="9"/>
        <v>0</v>
      </c>
      <c r="J21" s="391">
        <f t="shared" si="9"/>
        <v>0</v>
      </c>
      <c r="K21" s="391">
        <f t="shared" si="9"/>
        <v>0</v>
      </c>
      <c r="L21" s="391">
        <f t="shared" si="9"/>
        <v>0</v>
      </c>
      <c r="M21" s="391">
        <f t="shared" si="9"/>
        <v>0</v>
      </c>
      <c r="N21" s="391">
        <f t="shared" si="9"/>
        <v>0</v>
      </c>
    </row>
    <row r="22" spans="1:36" ht="15.75" thickTop="1" x14ac:dyDescent="0.25"/>
    <row r="24" spans="1:36" s="172" customFormat="1" x14ac:dyDescent="0.25">
      <c r="A24" s="172" t="s">
        <v>1037</v>
      </c>
      <c r="B24" s="172" t="s">
        <v>1549</v>
      </c>
    </row>
    <row r="26" spans="1:36" s="406" customFormat="1" x14ac:dyDescent="0.25"/>
    <row r="27" spans="1:36" s="406" customFormat="1" x14ac:dyDescent="0.25"/>
    <row r="28" spans="1:36" s="406" customFormat="1" x14ac:dyDescent="0.25">
      <c r="C28" s="408" t="s">
        <v>1550</v>
      </c>
      <c r="D28" s="408" t="s">
        <v>1551</v>
      </c>
      <c r="E28" s="408" t="s">
        <v>1552</v>
      </c>
      <c r="F28" s="408" t="s">
        <v>1553</v>
      </c>
      <c r="G28" s="408" t="s">
        <v>1554</v>
      </c>
      <c r="H28" s="408" t="s">
        <v>1555</v>
      </c>
      <c r="I28" s="408" t="s">
        <v>1556</v>
      </c>
      <c r="J28" s="408" t="s">
        <v>1557</v>
      </c>
      <c r="K28" s="408" t="s">
        <v>1558</v>
      </c>
      <c r="L28" s="408" t="s">
        <v>1559</v>
      </c>
      <c r="M28" s="408" t="s">
        <v>1560</v>
      </c>
      <c r="N28" s="408" t="s">
        <v>1561</v>
      </c>
      <c r="O28" s="408" t="s">
        <v>1562</v>
      </c>
    </row>
    <row r="29" spans="1:36" s="406" customFormat="1" x14ac:dyDescent="0.25">
      <c r="B29" s="406" t="s">
        <v>1563</v>
      </c>
      <c r="C29" s="409"/>
      <c r="D29" s="409"/>
      <c r="E29" s="409"/>
      <c r="F29" s="409"/>
      <c r="G29" s="409"/>
      <c r="H29" s="409"/>
      <c r="I29" s="409"/>
      <c r="J29" s="409"/>
      <c r="K29" s="409"/>
      <c r="L29" s="409"/>
      <c r="M29" s="409"/>
      <c r="N29" s="409"/>
      <c r="O29" s="410"/>
    </row>
    <row r="30" spans="1:36" s="406" customFormat="1" x14ac:dyDescent="0.25">
      <c r="B30" s="406" t="s">
        <v>1564</v>
      </c>
      <c r="C30" s="409" t="e">
        <f t="shared" ref="C30:N30" si="10">C29*$L$36*$N$39</f>
        <v>#DIV/0!</v>
      </c>
      <c r="D30" s="409" t="e">
        <f t="shared" si="10"/>
        <v>#DIV/0!</v>
      </c>
      <c r="E30" s="409" t="e">
        <f t="shared" si="10"/>
        <v>#DIV/0!</v>
      </c>
      <c r="F30" s="409" t="e">
        <f t="shared" si="10"/>
        <v>#DIV/0!</v>
      </c>
      <c r="G30" s="409" t="e">
        <f t="shared" si="10"/>
        <v>#DIV/0!</v>
      </c>
      <c r="H30" s="409" t="e">
        <f t="shared" si="10"/>
        <v>#DIV/0!</v>
      </c>
      <c r="I30" s="409" t="e">
        <f t="shared" si="10"/>
        <v>#DIV/0!</v>
      </c>
      <c r="J30" s="409" t="e">
        <f t="shared" si="10"/>
        <v>#DIV/0!</v>
      </c>
      <c r="K30" s="409" t="e">
        <f t="shared" si="10"/>
        <v>#DIV/0!</v>
      </c>
      <c r="L30" s="409" t="e">
        <f t="shared" si="10"/>
        <v>#DIV/0!</v>
      </c>
      <c r="M30" s="409" t="e">
        <f t="shared" si="10"/>
        <v>#DIV/0!</v>
      </c>
      <c r="N30" s="409" t="e">
        <f t="shared" si="10"/>
        <v>#DIV/0!</v>
      </c>
      <c r="O30" s="410" t="e">
        <f>SUM(C30:N30)</f>
        <v>#DIV/0!</v>
      </c>
      <c r="AJ30" s="176"/>
    </row>
    <row r="31" spans="1:36" s="406" customFormat="1" ht="28.5" customHeight="1" x14ac:dyDescent="0.25"/>
    <row r="32" spans="1:36" s="406" customFormat="1" ht="15" customHeight="1" x14ac:dyDescent="0.25">
      <c r="C32" s="407" t="s">
        <v>1565</v>
      </c>
      <c r="AJ32" s="404"/>
    </row>
    <row r="33" spans="2:36" s="406" customFormat="1" x14ac:dyDescent="0.25">
      <c r="B33" s="407" t="s">
        <v>1565</v>
      </c>
      <c r="AJ33" s="176"/>
    </row>
    <row r="34" spans="2:36" s="406" customFormat="1" x14ac:dyDescent="0.25">
      <c r="AJ34" s="176"/>
    </row>
    <row r="35" spans="2:36" s="406" customFormat="1" x14ac:dyDescent="0.25">
      <c r="B35" s="407" t="s">
        <v>1566</v>
      </c>
      <c r="AJ35" s="176"/>
    </row>
    <row r="36" spans="2:36" s="406" customFormat="1" x14ac:dyDescent="0.25">
      <c r="B36" s="411" t="s">
        <v>1567</v>
      </c>
      <c r="C36" s="411"/>
      <c r="D36" s="411"/>
      <c r="E36" s="412" t="e">
        <f t="shared" ref="E36:L36" si="11">E40/E42</f>
        <v>#DIV/0!</v>
      </c>
      <c r="F36" s="412" t="e">
        <f t="shared" si="11"/>
        <v>#DIV/0!</v>
      </c>
      <c r="G36" s="412" t="e">
        <f t="shared" si="11"/>
        <v>#DIV/0!</v>
      </c>
      <c r="H36" s="412" t="e">
        <f t="shared" si="11"/>
        <v>#DIV/0!</v>
      </c>
      <c r="I36" s="412" t="e">
        <f t="shared" si="11"/>
        <v>#DIV/0!</v>
      </c>
      <c r="J36" s="412" t="e">
        <f t="shared" si="11"/>
        <v>#DIV/0!</v>
      </c>
      <c r="K36" s="412" t="e">
        <f t="shared" si="11"/>
        <v>#DIV/0!</v>
      </c>
      <c r="L36" s="412" t="e">
        <f t="shared" si="11"/>
        <v>#DIV/0!</v>
      </c>
      <c r="M36" s="176"/>
      <c r="N36" s="402" t="s">
        <v>1575</v>
      </c>
      <c r="O36" s="188"/>
      <c r="AJ36" s="176"/>
    </row>
    <row r="37" spans="2:36" s="406" customFormat="1" ht="30" x14ac:dyDescent="0.25">
      <c r="B37" s="413" t="s">
        <v>1568</v>
      </c>
      <c r="C37" s="414" t="s">
        <v>335</v>
      </c>
      <c r="D37" s="415" t="s">
        <v>1569</v>
      </c>
      <c r="E37" s="424" t="s">
        <v>1570</v>
      </c>
      <c r="F37" s="425"/>
      <c r="G37" s="425"/>
      <c r="H37" s="425"/>
      <c r="I37" s="425"/>
      <c r="J37" s="425"/>
      <c r="K37" s="425"/>
      <c r="L37" s="176"/>
      <c r="M37" s="176" t="s">
        <v>1571</v>
      </c>
      <c r="N37" s="403">
        <f>SUM(E40:K40)/1000</f>
        <v>0</v>
      </c>
      <c r="O37" s="429"/>
      <c r="P37" s="176"/>
      <c r="AJ37" s="176"/>
    </row>
    <row r="38" spans="2:36" s="406" customFormat="1" x14ac:dyDescent="0.25">
      <c r="B38" s="416"/>
      <c r="C38" s="417"/>
      <c r="D38" s="418"/>
      <c r="E38" s="419" t="s">
        <v>1550</v>
      </c>
      <c r="F38" s="419" t="s">
        <v>1551</v>
      </c>
      <c r="G38" s="419" t="s">
        <v>1552</v>
      </c>
      <c r="H38" s="419" t="s">
        <v>1553</v>
      </c>
      <c r="I38" s="419" t="s">
        <v>1554</v>
      </c>
      <c r="J38" s="419" t="s">
        <v>1555</v>
      </c>
      <c r="K38" s="419" t="s">
        <v>1556</v>
      </c>
      <c r="L38" s="176"/>
      <c r="M38" s="300" t="s">
        <v>1572</v>
      </c>
      <c r="N38" s="427"/>
      <c r="O38" s="430"/>
      <c r="P38" s="404"/>
    </row>
    <row r="39" spans="2:36" s="406" customFormat="1" x14ac:dyDescent="0.25">
      <c r="B39" s="420"/>
      <c r="C39" s="420" t="s">
        <v>1573</v>
      </c>
      <c r="D39" s="420"/>
      <c r="E39" s="426"/>
      <c r="F39" s="426"/>
      <c r="G39" s="426"/>
      <c r="H39" s="426"/>
      <c r="I39" s="426"/>
      <c r="J39" s="426"/>
      <c r="K39" s="426"/>
      <c r="L39" s="176"/>
      <c r="M39" s="176" t="s">
        <v>1576</v>
      </c>
      <c r="N39" s="428" t="e">
        <f>N38/N37*'Budget Opex Detail'!$BK$2</f>
        <v>#DIV/0!</v>
      </c>
      <c r="O39" s="431"/>
    </row>
    <row r="40" spans="2:36" s="406" customFormat="1" x14ac:dyDescent="0.25">
      <c r="B40" s="420"/>
      <c r="C40" s="420" t="s">
        <v>1574</v>
      </c>
      <c r="D40" s="420"/>
      <c r="E40" s="426"/>
      <c r="F40" s="426"/>
      <c r="G40" s="426"/>
      <c r="H40" s="426"/>
      <c r="I40" s="426"/>
      <c r="J40" s="426"/>
      <c r="K40" s="426"/>
      <c r="L40" s="405">
        <f>SUM(E40:K40)</f>
        <v>0</v>
      </c>
      <c r="M40" s="176"/>
      <c r="N40" s="176"/>
      <c r="O40" s="176"/>
      <c r="P40" s="176"/>
    </row>
    <row r="41" spans="2:36" s="406" customFormat="1" x14ac:dyDescent="0.25">
      <c r="B41" s="411"/>
      <c r="C41" s="411"/>
      <c r="D41" s="411"/>
      <c r="E41" s="421"/>
      <c r="F41" s="421"/>
      <c r="G41" s="421"/>
      <c r="H41" s="421"/>
      <c r="I41" s="421"/>
      <c r="J41" s="421"/>
      <c r="K41" s="421"/>
      <c r="L41" s="176"/>
      <c r="M41" s="176"/>
      <c r="N41" s="176"/>
      <c r="O41" s="176"/>
      <c r="P41" s="176"/>
    </row>
    <row r="42" spans="2:36" ht="15.75" thickBot="1" x14ac:dyDescent="0.3">
      <c r="B42" s="422"/>
      <c r="C42" s="422"/>
      <c r="D42" s="422"/>
      <c r="E42" s="423">
        <f t="shared" ref="E42:K42" si="12">SUM(E39:E41)</f>
        <v>0</v>
      </c>
      <c r="F42" s="423">
        <f t="shared" si="12"/>
        <v>0</v>
      </c>
      <c r="G42" s="423">
        <f t="shared" si="12"/>
        <v>0</v>
      </c>
      <c r="H42" s="423">
        <f t="shared" si="12"/>
        <v>0</v>
      </c>
      <c r="I42" s="423">
        <f t="shared" si="12"/>
        <v>0</v>
      </c>
      <c r="J42" s="423">
        <f t="shared" si="12"/>
        <v>0</v>
      </c>
      <c r="K42" s="423">
        <f t="shared" si="12"/>
        <v>0</v>
      </c>
      <c r="L42" s="405">
        <f>SUM(E42:K42)</f>
        <v>0</v>
      </c>
    </row>
    <row r="43" spans="2:36" x14ac:dyDescent="0.25">
      <c r="B43" s="411"/>
      <c r="C43" s="411"/>
      <c r="D43" s="411"/>
      <c r="E43" s="421">
        <f t="shared" ref="E43:K43" si="13">E42/1000</f>
        <v>0</v>
      </c>
      <c r="F43" s="421">
        <f t="shared" si="13"/>
        <v>0</v>
      </c>
      <c r="G43" s="421">
        <f t="shared" si="13"/>
        <v>0</v>
      </c>
      <c r="H43" s="421">
        <f t="shared" si="13"/>
        <v>0</v>
      </c>
      <c r="I43" s="421">
        <f t="shared" si="13"/>
        <v>0</v>
      </c>
      <c r="J43" s="421">
        <f t="shared" si="13"/>
        <v>0</v>
      </c>
      <c r="K43" s="421">
        <f t="shared" si="13"/>
        <v>0</v>
      </c>
      <c r="N43" s="406"/>
    </row>
    <row r="44" spans="2:36" x14ac:dyDescent="0.25">
      <c r="B44" s="406"/>
      <c r="C44" s="406"/>
      <c r="D44" s="406"/>
      <c r="E44" s="406"/>
      <c r="F44" s="406"/>
      <c r="G44" s="406"/>
      <c r="H44" s="406"/>
      <c r="I44" s="406"/>
      <c r="J44" s="406"/>
      <c r="K44" s="406"/>
      <c r="L44" s="406"/>
      <c r="M44" s="406"/>
      <c r="N44" s="406"/>
      <c r="O44" s="406"/>
      <c r="P44" s="40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C8885-4B83-4180-8AB8-D30BA3A44F34}">
  <dimension ref="B2:L373"/>
  <sheetViews>
    <sheetView zoomScale="80" zoomScaleNormal="80" workbookViewId="0">
      <selection activeCell="A7" sqref="A7"/>
    </sheetView>
  </sheetViews>
  <sheetFormatPr defaultColWidth="9.140625" defaultRowHeight="15" outlineLevelRow="1" x14ac:dyDescent="0.25"/>
  <cols>
    <col min="1" max="1" width="4.140625" style="176" customWidth="1"/>
    <col min="2" max="2" width="26.5703125" style="176" bestFit="1" customWidth="1"/>
    <col min="3" max="3" width="30.85546875" style="176" bestFit="1" customWidth="1"/>
    <col min="4" max="4" width="39.5703125" style="176" customWidth="1"/>
    <col min="5" max="5" width="24.42578125" style="176" bestFit="1" customWidth="1"/>
    <col min="6" max="6" width="30.28515625" style="176" bestFit="1" customWidth="1"/>
    <col min="7" max="7" width="3.42578125" style="176" customWidth="1"/>
    <col min="8" max="8" width="20.42578125" style="177" customWidth="1"/>
    <col min="9" max="9" width="27.5703125" style="177" customWidth="1"/>
    <col min="10" max="10" width="32.85546875" style="176" bestFit="1" customWidth="1"/>
    <col min="11" max="11" width="9.140625" style="176"/>
    <col min="12" max="12" width="16.5703125" style="176" customWidth="1"/>
    <col min="13" max="14" width="9.140625" style="176"/>
    <col min="15" max="15" width="30.85546875" style="176" bestFit="1" customWidth="1"/>
    <col min="16" max="16" width="25.85546875" style="176" bestFit="1" customWidth="1"/>
    <col min="17" max="16384" width="9.140625" style="176"/>
  </cols>
  <sheetData>
    <row r="2" spans="2:9" s="173" customFormat="1" x14ac:dyDescent="0.25">
      <c r="B2" s="172" t="s">
        <v>234</v>
      </c>
      <c r="H2" s="174"/>
      <c r="I2" s="174"/>
    </row>
    <row r="4" spans="2:9" outlineLevel="1" x14ac:dyDescent="0.25">
      <c r="B4" s="175" t="s">
        <v>234</v>
      </c>
      <c r="C4" s="175" t="s">
        <v>249</v>
      </c>
    </row>
    <row r="5" spans="2:9" outlineLevel="1" x14ac:dyDescent="0.25">
      <c r="B5" s="178" t="s">
        <v>904</v>
      </c>
      <c r="C5" s="178" t="s">
        <v>674</v>
      </c>
    </row>
    <row r="6" spans="2:9" outlineLevel="1" x14ac:dyDescent="0.25">
      <c r="B6" s="178" t="s">
        <v>905</v>
      </c>
      <c r="C6" s="178" t="s">
        <v>676</v>
      </c>
    </row>
    <row r="7" spans="2:9" outlineLevel="1" x14ac:dyDescent="0.25">
      <c r="B7" s="178" t="s">
        <v>981</v>
      </c>
      <c r="C7" s="178" t="s">
        <v>906</v>
      </c>
    </row>
    <row r="8" spans="2:9" outlineLevel="1" x14ac:dyDescent="0.25">
      <c r="B8" s="178" t="s">
        <v>22</v>
      </c>
      <c r="C8" s="178" t="s">
        <v>22</v>
      </c>
    </row>
    <row r="9" spans="2:9" outlineLevel="1" x14ac:dyDescent="0.25">
      <c r="B9" s="178" t="s">
        <v>579</v>
      </c>
      <c r="C9" s="178" t="s">
        <v>579</v>
      </c>
    </row>
    <row r="10" spans="2:9" outlineLevel="1" x14ac:dyDescent="0.25">
      <c r="B10" s="178" t="s">
        <v>902</v>
      </c>
      <c r="C10" s="178" t="s">
        <v>902</v>
      </c>
    </row>
    <row r="11" spans="2:9" outlineLevel="1" x14ac:dyDescent="0.25">
      <c r="B11" s="178" t="s">
        <v>903</v>
      </c>
      <c r="C11" s="178" t="s">
        <v>903</v>
      </c>
    </row>
    <row r="12" spans="2:9" outlineLevel="1" x14ac:dyDescent="0.25">
      <c r="B12" s="178" t="s">
        <v>1489</v>
      </c>
      <c r="C12" s="178" t="s">
        <v>1489</v>
      </c>
    </row>
    <row r="13" spans="2:9" outlineLevel="1" x14ac:dyDescent="0.25">
      <c r="B13" s="178" t="s">
        <v>237</v>
      </c>
      <c r="C13" s="178" t="s">
        <v>31</v>
      </c>
    </row>
    <row r="14" spans="2:9" outlineLevel="1" x14ac:dyDescent="0.25">
      <c r="B14" s="178" t="s">
        <v>581</v>
      </c>
      <c r="C14" s="178" t="s">
        <v>299</v>
      </c>
    </row>
    <row r="15" spans="2:9" outlineLevel="1" x14ac:dyDescent="0.25">
      <c r="B15" s="178" t="s">
        <v>239</v>
      </c>
      <c r="C15" s="178" t="s">
        <v>247</v>
      </c>
    </row>
    <row r="16" spans="2:9" outlineLevel="1" x14ac:dyDescent="0.25">
      <c r="B16"/>
    </row>
    <row r="17" spans="2:9" s="173" customFormat="1" x14ac:dyDescent="0.25">
      <c r="B17" s="172" t="s">
        <v>974</v>
      </c>
      <c r="H17" s="174"/>
      <c r="I17" s="174"/>
    </row>
    <row r="18" spans="2:9" x14ac:dyDescent="0.25">
      <c r="B18"/>
    </row>
    <row r="19" spans="2:9" outlineLevel="1" x14ac:dyDescent="0.25">
      <c r="B19" s="107" t="s">
        <v>978</v>
      </c>
      <c r="C19" s="107" t="s">
        <v>974</v>
      </c>
    </row>
    <row r="20" spans="2:9" outlineLevel="1" x14ac:dyDescent="0.25">
      <c r="B20" s="108" t="s">
        <v>904</v>
      </c>
      <c r="C20" s="108" t="s">
        <v>673</v>
      </c>
    </row>
    <row r="21" spans="2:9" outlineLevel="1" x14ac:dyDescent="0.25">
      <c r="B21" s="108" t="s">
        <v>904</v>
      </c>
      <c r="C21" s="108" t="s">
        <v>669</v>
      </c>
    </row>
    <row r="22" spans="2:9" outlineLevel="1" x14ac:dyDescent="0.25">
      <c r="B22" s="108" t="s">
        <v>904</v>
      </c>
      <c r="C22" s="108" t="s">
        <v>670</v>
      </c>
    </row>
    <row r="23" spans="2:9" outlineLevel="1" x14ac:dyDescent="0.25">
      <c r="B23" s="108" t="s">
        <v>905</v>
      </c>
      <c r="C23" s="108" t="s">
        <v>979</v>
      </c>
    </row>
    <row r="24" spans="2:9" outlineLevel="1" x14ac:dyDescent="0.25">
      <c r="B24" s="108" t="s">
        <v>905</v>
      </c>
      <c r="C24" s="108" t="s">
        <v>980</v>
      </c>
    </row>
    <row r="25" spans="2:9" outlineLevel="1" x14ac:dyDescent="0.25">
      <c r="B25" s="108" t="s">
        <v>905</v>
      </c>
      <c r="C25" s="108" t="s">
        <v>635</v>
      </c>
    </row>
    <row r="26" spans="2:9" outlineLevel="1" x14ac:dyDescent="0.25">
      <c r="B26" s="108" t="s">
        <v>905</v>
      </c>
      <c r="C26" s="108" t="s">
        <v>730</v>
      </c>
    </row>
    <row r="27" spans="2:9" outlineLevel="1" x14ac:dyDescent="0.25">
      <c r="B27" s="108" t="s">
        <v>905</v>
      </c>
      <c r="C27" s="108" t="s">
        <v>675</v>
      </c>
    </row>
    <row r="28" spans="2:9" outlineLevel="1" x14ac:dyDescent="0.25">
      <c r="B28" s="103" t="s">
        <v>981</v>
      </c>
      <c r="C28" s="103" t="s">
        <v>30</v>
      </c>
    </row>
    <row r="29" spans="2:9" outlineLevel="1" x14ac:dyDescent="0.25">
      <c r="B29" s="103" t="s">
        <v>981</v>
      </c>
      <c r="C29" s="103" t="s">
        <v>29</v>
      </c>
    </row>
    <row r="30" spans="2:9" outlineLevel="1" x14ac:dyDescent="0.25">
      <c r="B30" s="103" t="s">
        <v>22</v>
      </c>
      <c r="C30" s="103" t="s">
        <v>291</v>
      </c>
    </row>
    <row r="31" spans="2:9" outlineLevel="1" x14ac:dyDescent="0.25">
      <c r="B31" s="103" t="str">
        <f>B30</f>
        <v>HSE</v>
      </c>
      <c r="C31" s="103" t="s">
        <v>292</v>
      </c>
    </row>
    <row r="32" spans="2:9" outlineLevel="1" x14ac:dyDescent="0.25">
      <c r="B32" s="103" t="s">
        <v>579</v>
      </c>
      <c r="C32" s="103" t="s">
        <v>236</v>
      </c>
    </row>
    <row r="33" spans="2:3" outlineLevel="1" x14ac:dyDescent="0.25">
      <c r="B33" s="103" t="s">
        <v>579</v>
      </c>
      <c r="C33" s="103" t="s">
        <v>32</v>
      </c>
    </row>
    <row r="34" spans="2:3" outlineLevel="1" x14ac:dyDescent="0.25">
      <c r="B34" s="103" t="s">
        <v>902</v>
      </c>
      <c r="C34" s="103" t="s">
        <v>245</v>
      </c>
    </row>
    <row r="35" spans="2:3" outlineLevel="1" x14ac:dyDescent="0.25">
      <c r="B35" s="103" t="s">
        <v>902</v>
      </c>
      <c r="C35" s="103" t="s">
        <v>24</v>
      </c>
    </row>
    <row r="36" spans="2:3" outlineLevel="1" x14ac:dyDescent="0.25">
      <c r="B36" s="103" t="s">
        <v>902</v>
      </c>
      <c r="C36" s="103" t="s">
        <v>19</v>
      </c>
    </row>
    <row r="37" spans="2:3" outlineLevel="1" x14ac:dyDescent="0.25">
      <c r="B37" s="103" t="s">
        <v>902</v>
      </c>
      <c r="C37" s="103" t="s">
        <v>20</v>
      </c>
    </row>
    <row r="38" spans="2:3" outlineLevel="1" x14ac:dyDescent="0.25">
      <c r="B38" s="103" t="s">
        <v>902</v>
      </c>
      <c r="C38" s="103" t="s">
        <v>919</v>
      </c>
    </row>
    <row r="39" spans="2:3" outlineLevel="1" x14ac:dyDescent="0.25">
      <c r="B39" s="103" t="s">
        <v>902</v>
      </c>
      <c r="C39" s="103" t="s">
        <v>1507</v>
      </c>
    </row>
    <row r="40" spans="2:3" outlineLevel="1" x14ac:dyDescent="0.25">
      <c r="B40" s="103" t="s">
        <v>903</v>
      </c>
      <c r="C40" s="103" t="s">
        <v>912</v>
      </c>
    </row>
    <row r="41" spans="2:3" outlineLevel="1" x14ac:dyDescent="0.25">
      <c r="B41" s="103" t="s">
        <v>903</v>
      </c>
      <c r="C41" s="103" t="s">
        <v>1487</v>
      </c>
    </row>
    <row r="42" spans="2:3" outlineLevel="1" x14ac:dyDescent="0.25">
      <c r="B42" s="103" t="s">
        <v>903</v>
      </c>
      <c r="C42" s="103" t="s">
        <v>1488</v>
      </c>
    </row>
    <row r="43" spans="2:3" outlineLevel="1" x14ac:dyDescent="0.25">
      <c r="B43" s="103" t="s">
        <v>1489</v>
      </c>
      <c r="C43" s="103" t="s">
        <v>1189</v>
      </c>
    </row>
    <row r="44" spans="2:3" outlineLevel="1" x14ac:dyDescent="0.25">
      <c r="B44" s="103" t="s">
        <v>1489</v>
      </c>
      <c r="C44" s="103" t="s">
        <v>584</v>
      </c>
    </row>
    <row r="45" spans="2:3" outlineLevel="1" x14ac:dyDescent="0.25">
      <c r="B45" s="103" t="s">
        <v>237</v>
      </c>
      <c r="C45" s="103" t="s">
        <v>1508</v>
      </c>
    </row>
    <row r="46" spans="2:3" outlineLevel="1" x14ac:dyDescent="0.25">
      <c r="B46" s="103" t="s">
        <v>237</v>
      </c>
      <c r="C46" s="103" t="s">
        <v>982</v>
      </c>
    </row>
    <row r="47" spans="2:3" outlineLevel="1" x14ac:dyDescent="0.25">
      <c r="B47" s="103" t="s">
        <v>237</v>
      </c>
      <c r="C47" s="103" t="s">
        <v>1509</v>
      </c>
    </row>
    <row r="48" spans="2:3" outlineLevel="1" x14ac:dyDescent="0.25">
      <c r="B48" s="103" t="s">
        <v>581</v>
      </c>
      <c r="C48" s="103" t="s">
        <v>1450</v>
      </c>
    </row>
    <row r="49" spans="2:12" outlineLevel="1" x14ac:dyDescent="0.25">
      <c r="B49" s="103" t="s">
        <v>581</v>
      </c>
      <c r="C49" s="103" t="s">
        <v>26</v>
      </c>
    </row>
    <row r="50" spans="2:12" outlineLevel="1" x14ac:dyDescent="0.25">
      <c r="B50" s="103" t="s">
        <v>581</v>
      </c>
      <c r="C50" s="103" t="s">
        <v>27</v>
      </c>
    </row>
    <row r="51" spans="2:12" outlineLevel="1" x14ac:dyDescent="0.25">
      <c r="B51" s="103" t="s">
        <v>581</v>
      </c>
      <c r="C51" s="103" t="s">
        <v>28</v>
      </c>
    </row>
    <row r="52" spans="2:12" outlineLevel="1" x14ac:dyDescent="0.25">
      <c r="B52" s="109" t="s">
        <v>239</v>
      </c>
      <c r="C52" s="103" t="s">
        <v>582</v>
      </c>
    </row>
    <row r="53" spans="2:12" outlineLevel="1" x14ac:dyDescent="0.25">
      <c r="B53" s="103" t="s">
        <v>239</v>
      </c>
      <c r="C53" s="103" t="s">
        <v>34</v>
      </c>
    </row>
    <row r="54" spans="2:12" outlineLevel="1" x14ac:dyDescent="0.25">
      <c r="B54" s="103" t="s">
        <v>239</v>
      </c>
      <c r="C54" s="103" t="s">
        <v>35</v>
      </c>
    </row>
    <row r="55" spans="2:12" outlineLevel="1" x14ac:dyDescent="0.25"/>
    <row r="56" spans="2:12" s="173" customFormat="1" x14ac:dyDescent="0.25">
      <c r="B56" s="172" t="s">
        <v>1442</v>
      </c>
      <c r="H56" s="179"/>
      <c r="I56" s="179"/>
    </row>
    <row r="58" spans="2:12" outlineLevel="1" x14ac:dyDescent="0.25">
      <c r="B58" s="175" t="s">
        <v>234</v>
      </c>
      <c r="C58" s="175" t="s">
        <v>974</v>
      </c>
      <c r="D58" s="175" t="s">
        <v>1443</v>
      </c>
      <c r="E58" s="175" t="s">
        <v>1444</v>
      </c>
      <c r="H58" s="175" t="s">
        <v>1445</v>
      </c>
      <c r="I58" s="175" t="s">
        <v>1446</v>
      </c>
      <c r="J58" s="175" t="s">
        <v>974</v>
      </c>
      <c r="L58" s="175" t="s">
        <v>1443</v>
      </c>
    </row>
    <row r="59" spans="2:12" outlineLevel="1" x14ac:dyDescent="0.25">
      <c r="B59" s="178" t="s">
        <v>914</v>
      </c>
      <c r="C59" s="178" t="s">
        <v>914</v>
      </c>
      <c r="D59" s="178" t="s">
        <v>601</v>
      </c>
      <c r="E59" s="178" t="s">
        <v>602</v>
      </c>
      <c r="H59" s="180" t="s">
        <v>914</v>
      </c>
      <c r="I59" s="180" t="str">
        <f>IF(MID(D59,6,2)="PP",_xlfn.CONCAT(H59,RIGHT(D59,2)),IF(MID(D59,6,2)="SU",RIGHT(D59,5),_xlfn.CONCAT(H59,"01",RIGHT(D59,1))))</f>
        <v>SMS01</v>
      </c>
      <c r="J59" s="178" t="str">
        <f>C59</f>
        <v>SMS</v>
      </c>
      <c r="L59" s="176" t="str">
        <f>D59</f>
        <v>10101PP001</v>
      </c>
    </row>
    <row r="60" spans="2:12" outlineLevel="1" x14ac:dyDescent="0.25">
      <c r="B60" s="178" t="s">
        <v>914</v>
      </c>
      <c r="C60" s="178" t="s">
        <v>914</v>
      </c>
      <c r="D60" s="178" t="s">
        <v>603</v>
      </c>
      <c r="E60" s="178" t="s">
        <v>604</v>
      </c>
      <c r="H60" s="180" t="s">
        <v>914</v>
      </c>
      <c r="I60" s="180" t="str">
        <f t="shared" ref="I60:I84" si="0">IF(MID(D60,6,2)="PP",_xlfn.CONCAT(H60,RIGHT(D60,2)),IF(MID(D60,6,2)="SU",RIGHT(D60,5),_xlfn.CONCAT(H60,"01",RIGHT(D60,1))))</f>
        <v>SMS02</v>
      </c>
      <c r="J60" s="178" t="str">
        <f t="shared" ref="J60:J123" si="1">C60</f>
        <v>SMS</v>
      </c>
      <c r="L60" s="176" t="str">
        <f t="shared" ref="L60:L123" si="2">D60</f>
        <v>10101PP002</v>
      </c>
    </row>
    <row r="61" spans="2:12" outlineLevel="1" x14ac:dyDescent="0.25">
      <c r="B61" s="178" t="s">
        <v>914</v>
      </c>
      <c r="C61" s="178" t="s">
        <v>914</v>
      </c>
      <c r="D61" s="178" t="s">
        <v>605</v>
      </c>
      <c r="E61" s="178" t="s">
        <v>606</v>
      </c>
      <c r="H61" s="180" t="s">
        <v>914</v>
      </c>
      <c r="I61" s="180" t="str">
        <f t="shared" si="0"/>
        <v>SMS03</v>
      </c>
      <c r="J61" s="178" t="str">
        <f t="shared" si="1"/>
        <v>SMS</v>
      </c>
      <c r="L61" s="176" t="str">
        <f t="shared" si="2"/>
        <v>10101PP003</v>
      </c>
    </row>
    <row r="62" spans="2:12" outlineLevel="1" x14ac:dyDescent="0.25">
      <c r="B62" s="178" t="s">
        <v>914</v>
      </c>
      <c r="C62" s="178" t="s">
        <v>914</v>
      </c>
      <c r="D62" s="178" t="s">
        <v>607</v>
      </c>
      <c r="E62" s="178" t="s">
        <v>608</v>
      </c>
      <c r="H62" s="180" t="s">
        <v>914</v>
      </c>
      <c r="I62" s="180" t="str">
        <f t="shared" si="0"/>
        <v>SMS04</v>
      </c>
      <c r="J62" s="178" t="str">
        <f t="shared" si="1"/>
        <v>SMS</v>
      </c>
      <c r="L62" s="176" t="str">
        <f t="shared" si="2"/>
        <v>10101PP004</v>
      </c>
    </row>
    <row r="63" spans="2:12" outlineLevel="1" x14ac:dyDescent="0.25">
      <c r="B63" s="178" t="s">
        <v>914</v>
      </c>
      <c r="C63" s="178" t="s">
        <v>914</v>
      </c>
      <c r="D63" s="178" t="s">
        <v>609</v>
      </c>
      <c r="E63" s="178" t="s">
        <v>610</v>
      </c>
      <c r="H63" s="180" t="s">
        <v>914</v>
      </c>
      <c r="I63" s="180" t="str">
        <f t="shared" si="0"/>
        <v>SMS05</v>
      </c>
      <c r="J63" s="178" t="str">
        <f t="shared" si="1"/>
        <v>SMS</v>
      </c>
      <c r="L63" s="176" t="str">
        <f t="shared" si="2"/>
        <v>10101PP005</v>
      </c>
    </row>
    <row r="64" spans="2:12" outlineLevel="1" x14ac:dyDescent="0.25">
      <c r="B64" s="178" t="s">
        <v>914</v>
      </c>
      <c r="C64" s="178" t="s">
        <v>914</v>
      </c>
      <c r="D64" s="178" t="s">
        <v>611</v>
      </c>
      <c r="E64" s="178" t="s">
        <v>612</v>
      </c>
      <c r="H64" s="180" t="s">
        <v>914</v>
      </c>
      <c r="I64" s="180" t="str">
        <f t="shared" si="0"/>
        <v>SMS06</v>
      </c>
      <c r="J64" s="178" t="str">
        <f t="shared" si="1"/>
        <v>SMS</v>
      </c>
      <c r="L64" s="176" t="str">
        <f t="shared" si="2"/>
        <v>10101PP006</v>
      </c>
    </row>
    <row r="65" spans="2:12" outlineLevel="1" x14ac:dyDescent="0.25">
      <c r="B65" s="178" t="s">
        <v>914</v>
      </c>
      <c r="C65" s="178" t="s">
        <v>914</v>
      </c>
      <c r="D65" s="178" t="s">
        <v>613</v>
      </c>
      <c r="E65" s="178" t="s">
        <v>614</v>
      </c>
      <c r="H65" s="180" t="s">
        <v>914</v>
      </c>
      <c r="I65" s="180" t="str">
        <f t="shared" si="0"/>
        <v>SMS07</v>
      </c>
      <c r="J65" s="178" t="str">
        <f t="shared" si="1"/>
        <v>SMS</v>
      </c>
      <c r="L65" s="176" t="str">
        <f t="shared" si="2"/>
        <v>10101PP007</v>
      </c>
    </row>
    <row r="66" spans="2:12" outlineLevel="1" x14ac:dyDescent="0.25">
      <c r="B66" s="178" t="s">
        <v>911</v>
      </c>
      <c r="C66" s="178" t="s">
        <v>911</v>
      </c>
      <c r="D66" s="178" t="s">
        <v>615</v>
      </c>
      <c r="E66" s="178" t="s">
        <v>940</v>
      </c>
      <c r="H66" s="180" t="s">
        <v>914</v>
      </c>
      <c r="I66" s="180" t="str">
        <f>IF(MID(D66,6,2)="PP",_xlfn.CONCAT(H66,RIGHT(D66,2)),IF(MID(D66,6,2)="SU",RIGHT(D66,5),_xlfn.CONCAT(H66,"1",RIGHT(D66,1))))</f>
        <v>SMS11</v>
      </c>
      <c r="J66" s="178" t="str">
        <f t="shared" si="1"/>
        <v>ELECTRICAL</v>
      </c>
      <c r="L66" s="176" t="str">
        <f t="shared" si="2"/>
        <v>10101PS001</v>
      </c>
    </row>
    <row r="67" spans="2:12" outlineLevel="1" x14ac:dyDescent="0.25">
      <c r="B67" s="178" t="s">
        <v>915</v>
      </c>
      <c r="C67" s="178" t="s">
        <v>915</v>
      </c>
      <c r="D67" s="178" t="s">
        <v>616</v>
      </c>
      <c r="E67" s="178" t="s">
        <v>941</v>
      </c>
      <c r="H67" s="180" t="s">
        <v>914</v>
      </c>
      <c r="I67" s="180" t="str">
        <f t="shared" ref="I67:I73" si="3">IF(MID(D67,6,2)="PP",_xlfn.CONCAT(H67,RIGHT(D67,2)),IF(MID(D67,6,2)="SU",RIGHT(D67,5),_xlfn.CONCAT(H67,"1",RIGHT(D67,1))))</f>
        <v>SMS12</v>
      </c>
      <c r="J67" s="178" t="str">
        <f t="shared" si="1"/>
        <v>MECHANICAL</v>
      </c>
      <c r="L67" s="176" t="str">
        <f t="shared" si="2"/>
        <v>10101PS002</v>
      </c>
    </row>
    <row r="68" spans="2:12" outlineLevel="1" x14ac:dyDescent="0.25">
      <c r="B68" s="178" t="s">
        <v>635</v>
      </c>
      <c r="C68" s="178" t="s">
        <v>635</v>
      </c>
      <c r="D68" s="178" t="s">
        <v>617</v>
      </c>
      <c r="E68" s="178" t="s">
        <v>942</v>
      </c>
      <c r="H68" s="180" t="s">
        <v>914</v>
      </c>
      <c r="I68" s="180" t="str">
        <f t="shared" si="3"/>
        <v>SMS13</v>
      </c>
      <c r="J68" s="178" t="str">
        <f t="shared" si="1"/>
        <v>PPIC</v>
      </c>
      <c r="L68" s="176" t="str">
        <f t="shared" si="2"/>
        <v>10101PS003</v>
      </c>
    </row>
    <row r="69" spans="2:12" outlineLevel="1" x14ac:dyDescent="0.25">
      <c r="B69" s="178" t="s">
        <v>730</v>
      </c>
      <c r="C69" s="178" t="s">
        <v>730</v>
      </c>
      <c r="D69" s="178" t="s">
        <v>618</v>
      </c>
      <c r="E69" s="178" t="s">
        <v>943</v>
      </c>
      <c r="H69" s="180" t="s">
        <v>914</v>
      </c>
      <c r="I69" s="180" t="str">
        <f t="shared" si="3"/>
        <v>SMS14</v>
      </c>
      <c r="J69" s="178" t="str">
        <f t="shared" si="1"/>
        <v>QAQC</v>
      </c>
      <c r="L69" s="176" t="str">
        <f t="shared" si="2"/>
        <v>10101PS004</v>
      </c>
    </row>
    <row r="70" spans="2:12" outlineLevel="1" x14ac:dyDescent="0.25">
      <c r="B70" s="178" t="s">
        <v>914</v>
      </c>
      <c r="C70" s="178" t="s">
        <v>914</v>
      </c>
      <c r="D70" s="178" t="s">
        <v>619</v>
      </c>
      <c r="E70" s="178" t="s">
        <v>944</v>
      </c>
      <c r="H70" s="180" t="s">
        <v>914</v>
      </c>
      <c r="I70" s="180" t="str">
        <f t="shared" si="3"/>
        <v>SMS15</v>
      </c>
      <c r="J70" s="178" t="str">
        <f t="shared" si="1"/>
        <v>SMS</v>
      </c>
      <c r="L70" s="176" t="str">
        <f t="shared" si="2"/>
        <v>10101PS005</v>
      </c>
    </row>
    <row r="71" spans="2:12" outlineLevel="1" x14ac:dyDescent="0.25">
      <c r="B71" s="178" t="s">
        <v>914</v>
      </c>
      <c r="C71" s="178" t="s">
        <v>914</v>
      </c>
      <c r="D71" s="178" t="s">
        <v>620</v>
      </c>
      <c r="E71" s="178" t="s">
        <v>945</v>
      </c>
      <c r="H71" s="180" t="s">
        <v>914</v>
      </c>
      <c r="I71" s="180" t="str">
        <f t="shared" si="3"/>
        <v>SMS16</v>
      </c>
      <c r="J71" s="178" t="str">
        <f t="shared" si="1"/>
        <v>SMS</v>
      </c>
      <c r="L71" s="176" t="str">
        <f t="shared" si="2"/>
        <v>10101PS006</v>
      </c>
    </row>
    <row r="72" spans="2:12" outlineLevel="1" x14ac:dyDescent="0.25">
      <c r="B72" s="178" t="s">
        <v>914</v>
      </c>
      <c r="C72" s="178" t="s">
        <v>914</v>
      </c>
      <c r="D72" s="178" t="s">
        <v>621</v>
      </c>
      <c r="E72" s="178" t="s">
        <v>946</v>
      </c>
      <c r="H72" s="180" t="s">
        <v>914</v>
      </c>
      <c r="I72" s="180" t="str">
        <f t="shared" si="3"/>
        <v>SMS17</v>
      </c>
      <c r="J72" s="178" t="str">
        <f t="shared" si="1"/>
        <v>SMS</v>
      </c>
      <c r="L72" s="176" t="str">
        <f t="shared" si="2"/>
        <v>10101PS007</v>
      </c>
    </row>
    <row r="73" spans="2:12" outlineLevel="1" x14ac:dyDescent="0.25">
      <c r="B73" s="178" t="s">
        <v>914</v>
      </c>
      <c r="C73" s="178" t="s">
        <v>914</v>
      </c>
      <c r="D73" s="178" t="s">
        <v>622</v>
      </c>
      <c r="E73" s="178" t="s">
        <v>947</v>
      </c>
      <c r="H73" s="180" t="s">
        <v>914</v>
      </c>
      <c r="I73" s="180" t="str">
        <f t="shared" si="3"/>
        <v>SMS18</v>
      </c>
      <c r="J73" s="178" t="str">
        <f t="shared" si="1"/>
        <v>SMS</v>
      </c>
      <c r="L73" s="176" t="str">
        <f t="shared" si="2"/>
        <v>10101PS008</v>
      </c>
    </row>
    <row r="74" spans="2:12" outlineLevel="1" x14ac:dyDescent="0.25">
      <c r="B74" s="178" t="s">
        <v>673</v>
      </c>
      <c r="C74" s="178" t="s">
        <v>673</v>
      </c>
      <c r="D74" s="178" t="s">
        <v>623</v>
      </c>
      <c r="E74" s="178" t="s">
        <v>624</v>
      </c>
      <c r="H74" s="180" t="s">
        <v>673</v>
      </c>
      <c r="I74" s="180" t="str">
        <f>IF(MID(D74,6,2)="PP",_xlfn.CONCAT(H74,RIGHT(D74,3)),IF(MID(D74,6,2)="SU",RIGHT(D74,5),_xlfn.CONCAT(H74,"01",RIGHT(D74,1))))</f>
        <v>BP001</v>
      </c>
      <c r="J74" s="178" t="str">
        <f t="shared" si="1"/>
        <v>BP</v>
      </c>
      <c r="L74" s="176" t="str">
        <f t="shared" si="2"/>
        <v>10103PP001</v>
      </c>
    </row>
    <row r="75" spans="2:12" outlineLevel="1" x14ac:dyDescent="0.25">
      <c r="B75" s="178" t="s">
        <v>673</v>
      </c>
      <c r="C75" s="178" t="s">
        <v>673</v>
      </c>
      <c r="D75" s="178" t="s">
        <v>625</v>
      </c>
      <c r="E75" s="178" t="s">
        <v>626</v>
      </c>
      <c r="H75" s="180" t="s">
        <v>673</v>
      </c>
      <c r="I75" s="180" t="str">
        <f t="shared" ref="I75:I76" si="4">IF(MID(D75,6,2)="PP",_xlfn.CONCAT(H75,RIGHT(D75,3)),IF(MID(D75,6,2)="SU",RIGHT(D75,5),_xlfn.CONCAT(H75,"01",RIGHT(D75,1))))</f>
        <v>BP009</v>
      </c>
      <c r="J75" s="178" t="str">
        <f t="shared" si="1"/>
        <v>BP</v>
      </c>
      <c r="L75" s="176" t="str">
        <f t="shared" si="2"/>
        <v>10103PP009</v>
      </c>
    </row>
    <row r="76" spans="2:12" outlineLevel="1" x14ac:dyDescent="0.25">
      <c r="B76" s="178" t="s">
        <v>673</v>
      </c>
      <c r="C76" s="178" t="s">
        <v>673</v>
      </c>
      <c r="D76" s="178" t="s">
        <v>627</v>
      </c>
      <c r="E76" s="178" t="s">
        <v>1447</v>
      </c>
      <c r="H76" s="180" t="s">
        <v>673</v>
      </c>
      <c r="I76" s="180" t="str">
        <f t="shared" si="4"/>
        <v>BP010</v>
      </c>
      <c r="J76" s="178" t="str">
        <f t="shared" si="1"/>
        <v>BP</v>
      </c>
      <c r="L76" s="176" t="str">
        <f t="shared" si="2"/>
        <v>10103PP010</v>
      </c>
    </row>
    <row r="77" spans="2:12" outlineLevel="1" x14ac:dyDescent="0.25">
      <c r="B77" s="178" t="s">
        <v>911</v>
      </c>
      <c r="C77" s="178" t="s">
        <v>911</v>
      </c>
      <c r="D77" s="178" t="s">
        <v>628</v>
      </c>
      <c r="E77" s="178" t="s">
        <v>955</v>
      </c>
      <c r="H77" s="180" t="s">
        <v>673</v>
      </c>
      <c r="I77" s="180" t="str">
        <f>IF(MID(D77,6,2)="PP",_xlfn.CONCAT(H77,RIGHT(D77,2)),IF(MID(D77,6,2)="SU",RIGHT(D77,5),_xlfn.CONCAT(H77,"01",RIGHT(D77,1))))</f>
        <v>BP011</v>
      </c>
      <c r="J77" s="178" t="str">
        <f t="shared" si="1"/>
        <v>ELECTRICAL</v>
      </c>
      <c r="L77" s="176" t="str">
        <f t="shared" si="2"/>
        <v>10103PS001</v>
      </c>
    </row>
    <row r="78" spans="2:12" outlineLevel="1" x14ac:dyDescent="0.25">
      <c r="B78" s="178" t="s">
        <v>915</v>
      </c>
      <c r="C78" s="178" t="s">
        <v>915</v>
      </c>
      <c r="D78" s="178" t="s">
        <v>629</v>
      </c>
      <c r="E78" s="178" t="s">
        <v>956</v>
      </c>
      <c r="H78" s="180" t="s">
        <v>673</v>
      </c>
      <c r="I78" s="180" t="str">
        <f t="shared" si="0"/>
        <v>BP012</v>
      </c>
      <c r="J78" s="178" t="str">
        <f t="shared" si="1"/>
        <v>MECHANICAL</v>
      </c>
      <c r="L78" s="176" t="str">
        <f t="shared" si="2"/>
        <v>10103PS002</v>
      </c>
    </row>
    <row r="79" spans="2:12" outlineLevel="1" x14ac:dyDescent="0.25">
      <c r="B79" s="178" t="s">
        <v>635</v>
      </c>
      <c r="C79" s="178" t="s">
        <v>635</v>
      </c>
      <c r="D79" s="178" t="s">
        <v>630</v>
      </c>
      <c r="E79" s="178" t="s">
        <v>957</v>
      </c>
      <c r="H79" s="180" t="s">
        <v>673</v>
      </c>
      <c r="I79" s="180" t="str">
        <f t="shared" si="0"/>
        <v>BP013</v>
      </c>
      <c r="J79" s="178" t="str">
        <f t="shared" si="1"/>
        <v>PPIC</v>
      </c>
      <c r="L79" s="176" t="str">
        <f t="shared" si="2"/>
        <v>10103PS003</v>
      </c>
    </row>
    <row r="80" spans="2:12" outlineLevel="1" x14ac:dyDescent="0.25">
      <c r="B80" s="178" t="s">
        <v>730</v>
      </c>
      <c r="C80" s="178" t="s">
        <v>730</v>
      </c>
      <c r="D80" s="178" t="s">
        <v>631</v>
      </c>
      <c r="E80" s="178" t="s">
        <v>958</v>
      </c>
      <c r="H80" s="180" t="s">
        <v>673</v>
      </c>
      <c r="I80" s="180" t="str">
        <f t="shared" si="0"/>
        <v>BP014</v>
      </c>
      <c r="J80" s="178" t="str">
        <f t="shared" si="1"/>
        <v>QAQC</v>
      </c>
      <c r="L80" s="176" t="str">
        <f t="shared" si="2"/>
        <v>10103PS004</v>
      </c>
    </row>
    <row r="81" spans="2:12" outlineLevel="1" x14ac:dyDescent="0.25">
      <c r="B81" s="178" t="s">
        <v>673</v>
      </c>
      <c r="C81" s="178" t="s">
        <v>673</v>
      </c>
      <c r="D81" s="178" t="s">
        <v>632</v>
      </c>
      <c r="E81" s="178" t="s">
        <v>633</v>
      </c>
      <c r="H81" s="180" t="s">
        <v>673</v>
      </c>
      <c r="I81" s="180" t="str">
        <f t="shared" si="0"/>
        <v>BP016</v>
      </c>
      <c r="J81" s="178" t="str">
        <f t="shared" si="1"/>
        <v>BP</v>
      </c>
      <c r="L81" s="176" t="str">
        <f t="shared" si="2"/>
        <v>10103PS006</v>
      </c>
    </row>
    <row r="82" spans="2:12" outlineLevel="1" x14ac:dyDescent="0.25">
      <c r="B82" s="178" t="s">
        <v>246</v>
      </c>
      <c r="C82" s="178" t="s">
        <v>669</v>
      </c>
      <c r="D82" s="178" t="s">
        <v>593</v>
      </c>
      <c r="E82" s="178" t="s">
        <v>948</v>
      </c>
      <c r="H82" s="180" t="s">
        <v>669</v>
      </c>
      <c r="I82" s="180" t="str">
        <f t="shared" si="0"/>
        <v>LSM01</v>
      </c>
      <c r="J82" s="178" t="str">
        <f t="shared" si="1"/>
        <v>LSM</v>
      </c>
      <c r="L82" s="176" t="str">
        <f t="shared" si="2"/>
        <v>10131PP001</v>
      </c>
    </row>
    <row r="83" spans="2:12" outlineLevel="1" x14ac:dyDescent="0.25">
      <c r="B83" s="178" t="s">
        <v>669</v>
      </c>
      <c r="C83" s="178" t="s">
        <v>669</v>
      </c>
      <c r="D83" s="178" t="s">
        <v>594</v>
      </c>
      <c r="E83" s="178" t="s">
        <v>949</v>
      </c>
      <c r="H83" s="180" t="s">
        <v>669</v>
      </c>
      <c r="I83" s="180" t="str">
        <f t="shared" si="0"/>
        <v>LSM09</v>
      </c>
      <c r="J83" s="178" t="str">
        <f t="shared" si="1"/>
        <v>LSM</v>
      </c>
      <c r="L83" s="176" t="str">
        <f t="shared" si="2"/>
        <v>10131PP009</v>
      </c>
    </row>
    <row r="84" spans="2:12" outlineLevel="1" x14ac:dyDescent="0.25">
      <c r="B84" s="354" t="s">
        <v>669</v>
      </c>
      <c r="C84" s="354" t="s">
        <v>669</v>
      </c>
      <c r="D84" s="354" t="s">
        <v>595</v>
      </c>
      <c r="E84" s="354" t="s">
        <v>1468</v>
      </c>
      <c r="F84" s="176" t="s">
        <v>1490</v>
      </c>
      <c r="H84" s="180" t="s">
        <v>669</v>
      </c>
      <c r="I84" s="180" t="str">
        <f t="shared" si="0"/>
        <v>LSM10</v>
      </c>
      <c r="J84" s="178" t="str">
        <f t="shared" si="1"/>
        <v>LSM</v>
      </c>
      <c r="L84" s="176" t="str">
        <f t="shared" si="2"/>
        <v>10131PP010</v>
      </c>
    </row>
    <row r="85" spans="2:12" outlineLevel="1" x14ac:dyDescent="0.25">
      <c r="B85" s="178" t="s">
        <v>911</v>
      </c>
      <c r="C85" s="178" t="s">
        <v>911</v>
      </c>
      <c r="D85" s="178" t="s">
        <v>596</v>
      </c>
      <c r="E85" s="178" t="s">
        <v>950</v>
      </c>
      <c r="H85" s="180" t="s">
        <v>669</v>
      </c>
      <c r="I85" s="180" t="str">
        <f>IF(MID(D85,6,2)="PP",_xlfn.CONCAT(H85,RIGHT(D85,2)),IF(MID(D85,6,2)="SU",RIGHT(D85,5),_xlfn.CONCAT(H85,"1",RIGHT(D85,1))))</f>
        <v>LSM11</v>
      </c>
      <c r="J85" s="178" t="str">
        <f t="shared" si="1"/>
        <v>ELECTRICAL</v>
      </c>
      <c r="L85" s="176" t="str">
        <f t="shared" si="2"/>
        <v>10131PS001</v>
      </c>
    </row>
    <row r="86" spans="2:12" outlineLevel="1" x14ac:dyDescent="0.25">
      <c r="B86" s="178" t="s">
        <v>915</v>
      </c>
      <c r="C86" s="178" t="s">
        <v>915</v>
      </c>
      <c r="D86" s="178" t="s">
        <v>597</v>
      </c>
      <c r="E86" s="178" t="s">
        <v>951</v>
      </c>
      <c r="H86" s="180" t="s">
        <v>669</v>
      </c>
      <c r="I86" s="180" t="str">
        <f>IF(MID(D86,6,2)="PP",_xlfn.CONCAT(H86,RIGHT(D86,2)),IF(MID(D86,6,2)="SU",RIGHT(D86,5),_xlfn.CONCAT(H86,"1",RIGHT(D86,1))))</f>
        <v>LSM12</v>
      </c>
      <c r="J86" s="178" t="str">
        <f t="shared" si="1"/>
        <v>MECHANICAL</v>
      </c>
      <c r="L86" s="176" t="str">
        <f t="shared" si="2"/>
        <v>10131PS002</v>
      </c>
    </row>
    <row r="87" spans="2:12" outlineLevel="1" x14ac:dyDescent="0.25">
      <c r="B87" s="178" t="s">
        <v>635</v>
      </c>
      <c r="C87" s="178" t="s">
        <v>635</v>
      </c>
      <c r="D87" s="178" t="s">
        <v>598</v>
      </c>
      <c r="E87" s="178" t="s">
        <v>952</v>
      </c>
      <c r="H87" s="180" t="s">
        <v>669</v>
      </c>
      <c r="I87" s="180" t="str">
        <f>IF(MID(D87,6,2)="PP",_xlfn.CONCAT(H87,RIGHT(D87,2)),IF(MID(D87,6,2)="SU",RIGHT(D87,5),_xlfn.CONCAT(H87,"1",RIGHT(D87,1))))</f>
        <v>LSM13</v>
      </c>
      <c r="J87" s="178" t="str">
        <f t="shared" si="1"/>
        <v>PPIC</v>
      </c>
      <c r="L87" s="176" t="str">
        <f t="shared" si="2"/>
        <v>10131PS003</v>
      </c>
    </row>
    <row r="88" spans="2:12" outlineLevel="1" x14ac:dyDescent="0.25">
      <c r="B88" s="178" t="s">
        <v>730</v>
      </c>
      <c r="C88" s="178" t="s">
        <v>730</v>
      </c>
      <c r="D88" s="178" t="s">
        <v>599</v>
      </c>
      <c r="E88" s="178" t="s">
        <v>953</v>
      </c>
      <c r="H88" s="180" t="s">
        <v>669</v>
      </c>
      <c r="I88" s="180" t="str">
        <f>IF(MID(D88,6,2)="PP",_xlfn.CONCAT(H88,RIGHT(D88,2)),IF(MID(D88,6,2)="SU",RIGHT(D88,5),_xlfn.CONCAT(H88,"1",RIGHT(D88,1))))</f>
        <v>LSM14</v>
      </c>
      <c r="J88" s="178" t="str">
        <f t="shared" si="1"/>
        <v>QAQC</v>
      </c>
      <c r="L88" s="176" t="str">
        <f t="shared" si="2"/>
        <v>10131PS004</v>
      </c>
    </row>
    <row r="89" spans="2:12" outlineLevel="1" x14ac:dyDescent="0.25">
      <c r="B89" s="178" t="s">
        <v>669</v>
      </c>
      <c r="C89" s="178" t="s">
        <v>669</v>
      </c>
      <c r="D89" s="178" t="s">
        <v>600</v>
      </c>
      <c r="E89" s="178" t="s">
        <v>954</v>
      </c>
      <c r="H89" s="180" t="s">
        <v>669</v>
      </c>
      <c r="I89" s="180" t="str">
        <f>IF(MID(D89,6,2)="PP",_xlfn.CONCAT(H89,RIGHT(D89,2)),IF(MID(D89,6,2)="SU",RIGHT(D89,5),_xlfn.CONCAT(H89,"1",RIGHT(D89,1))))</f>
        <v>LSM16</v>
      </c>
      <c r="J89" s="178" t="str">
        <f t="shared" si="1"/>
        <v>LSM</v>
      </c>
      <c r="L89" s="176" t="str">
        <f t="shared" si="2"/>
        <v>10131PS006</v>
      </c>
    </row>
    <row r="90" spans="2:12" outlineLevel="1" x14ac:dyDescent="0.25">
      <c r="B90" s="178" t="s">
        <v>675</v>
      </c>
      <c r="C90" s="178" t="s">
        <v>675</v>
      </c>
      <c r="D90" s="178" t="s">
        <v>929</v>
      </c>
      <c r="E90" s="178" t="s">
        <v>675</v>
      </c>
      <c r="H90" s="180" t="s">
        <v>675</v>
      </c>
      <c r="I90" s="180" t="str">
        <f>IF(MID(D90,6,2)="PP",_xlfn.CONCAT(H90,RIGHT(D90,2)),IF(MID(D90,6,2)="SU",RIGHT(D90,5),_xlfn.CONCAT(H90,"01",RIGHT(D90,1))))</f>
        <v>SU001</v>
      </c>
      <c r="J90" s="178" t="str">
        <f t="shared" si="1"/>
        <v>SSC</v>
      </c>
      <c r="L90" s="176" t="str">
        <f t="shared" si="2"/>
        <v>10202SU001</v>
      </c>
    </row>
    <row r="91" spans="2:12" outlineLevel="1" x14ac:dyDescent="0.25">
      <c r="B91" s="178" t="s">
        <v>635</v>
      </c>
      <c r="C91" s="178" t="s">
        <v>635</v>
      </c>
      <c r="D91" s="178" t="s">
        <v>636</v>
      </c>
      <c r="E91" s="178" t="s">
        <v>932</v>
      </c>
      <c r="H91" s="180" t="s">
        <v>635</v>
      </c>
      <c r="I91" s="180" t="str">
        <f>IF(MID(D91,6,2)="PP",_xlfn.CONCAT(H91,RIGHT(D91,2)),IF(MID(D91,6,2)="SU",RIGHT(D91,5),_xlfn.CONCAT(H91,"01",RIGHT(D91,1))))</f>
        <v>SU006</v>
      </c>
      <c r="J91" s="178" t="str">
        <f t="shared" si="1"/>
        <v>PPIC</v>
      </c>
      <c r="L91" s="176" t="str">
        <f t="shared" si="2"/>
        <v>10202SU006</v>
      </c>
    </row>
    <row r="92" spans="2:12" outlineLevel="1" x14ac:dyDescent="0.25">
      <c r="B92" s="178" t="s">
        <v>730</v>
      </c>
      <c r="C92" s="178" t="s">
        <v>730</v>
      </c>
      <c r="D92" s="178" t="s">
        <v>637</v>
      </c>
      <c r="E92" s="178" t="s">
        <v>933</v>
      </c>
      <c r="H92" s="180" t="s">
        <v>730</v>
      </c>
      <c r="I92" s="180" t="str">
        <f>IF(MID(D92,6,2)="PP",_xlfn.CONCAT(H92,RIGHT(D92,2)),IF(MID(D92,6,2)="SU",RIGHT(D92,5),_xlfn.CONCAT(H92,"01",RIGHT(D92,1))))</f>
        <v>SU007</v>
      </c>
      <c r="J92" s="178" t="str">
        <f t="shared" si="1"/>
        <v>QAQC</v>
      </c>
      <c r="L92" s="176" t="str">
        <f t="shared" si="2"/>
        <v>10202SU007</v>
      </c>
    </row>
    <row r="93" spans="2:12" outlineLevel="1" x14ac:dyDescent="0.25">
      <c r="B93" s="178" t="s">
        <v>911</v>
      </c>
      <c r="C93" s="178" t="s">
        <v>911</v>
      </c>
      <c r="D93" s="178" t="s">
        <v>930</v>
      </c>
      <c r="E93" s="178" t="s">
        <v>931</v>
      </c>
      <c r="H93" s="180" t="s">
        <v>634</v>
      </c>
      <c r="I93" s="180" t="str">
        <f>IF(MID(D93,6,2)="PP",_xlfn.CONCAT(H93,RIGHT(D93,2)),IF(MID(D93,6,2)="SU",RIGHT(D93,5),_xlfn.CONCAT(H93,"01",RIGHT(D93,1))))</f>
        <v>SU009</v>
      </c>
      <c r="J93" s="178" t="str">
        <f t="shared" si="1"/>
        <v>ELECTRICAL</v>
      </c>
      <c r="L93" s="176" t="str">
        <f t="shared" si="2"/>
        <v>10202SU009</v>
      </c>
    </row>
    <row r="94" spans="2:12" outlineLevel="1" x14ac:dyDescent="0.25">
      <c r="B94" s="178" t="s">
        <v>918</v>
      </c>
      <c r="C94" s="178" t="s">
        <v>918</v>
      </c>
      <c r="D94" s="178" t="s">
        <v>934</v>
      </c>
      <c r="E94" s="178" t="s">
        <v>935</v>
      </c>
      <c r="H94" s="180" t="s">
        <v>918</v>
      </c>
      <c r="I94" s="180" t="str">
        <f>IF(MID(D94,6,2)="PP",_xlfn.CONCAT(H94,RIGHT(D94,2)),IF(MID(D94,6,2)="SU",RIGHT(D94,5),_xlfn.CONCAT(H94,"01",RIGHT(D94,1))))</f>
        <v>SU017</v>
      </c>
      <c r="J94" s="178" t="str">
        <f t="shared" si="1"/>
        <v>MSN</v>
      </c>
      <c r="L94" s="176" t="str">
        <f t="shared" si="2"/>
        <v>10202SU017</v>
      </c>
    </row>
    <row r="95" spans="2:12" outlineLevel="1" x14ac:dyDescent="0.25">
      <c r="B95" s="178" t="s">
        <v>920</v>
      </c>
      <c r="C95" s="178" t="s">
        <v>907</v>
      </c>
      <c r="D95" s="178" t="s">
        <v>255</v>
      </c>
      <c r="E95" s="178" t="s">
        <v>294</v>
      </c>
      <c r="H95" s="180" t="s">
        <v>1448</v>
      </c>
      <c r="I95" s="180" t="str">
        <f>RIGHT(D95,5)</f>
        <v>BD001</v>
      </c>
      <c r="J95" s="178" t="str">
        <f t="shared" si="1"/>
        <v>Board of Directors</v>
      </c>
      <c r="L95" s="176" t="str">
        <f t="shared" si="2"/>
        <v>10301BD001</v>
      </c>
    </row>
    <row r="96" spans="2:12" outlineLevel="1" x14ac:dyDescent="0.25">
      <c r="B96" s="178" t="s">
        <v>920</v>
      </c>
      <c r="C96" s="178" t="s">
        <v>907</v>
      </c>
      <c r="D96" s="178" t="s">
        <v>814</v>
      </c>
      <c r="E96" s="178" t="s">
        <v>815</v>
      </c>
      <c r="H96" s="180" t="s">
        <v>1448</v>
      </c>
      <c r="I96" s="180" t="str">
        <f t="shared" ref="I96:I144" si="5">RIGHT(D96,5)</f>
        <v>BD002</v>
      </c>
      <c r="J96" s="178" t="str">
        <f t="shared" si="1"/>
        <v>Board of Directors</v>
      </c>
      <c r="L96" s="176" t="str">
        <f t="shared" si="2"/>
        <v>10301BD002</v>
      </c>
    </row>
    <row r="97" spans="2:12" outlineLevel="1" x14ac:dyDescent="0.25">
      <c r="B97" s="178" t="s">
        <v>920</v>
      </c>
      <c r="C97" s="178" t="s">
        <v>19</v>
      </c>
      <c r="D97" s="178" t="s">
        <v>256</v>
      </c>
      <c r="E97" s="178" t="s">
        <v>296</v>
      </c>
      <c r="H97" s="180" t="s">
        <v>1448</v>
      </c>
      <c r="I97" s="180" t="str">
        <f t="shared" si="5"/>
        <v>CP001</v>
      </c>
      <c r="J97" s="178" t="str">
        <f t="shared" si="1"/>
        <v>Corp. Planning &amp; Sustainability</v>
      </c>
      <c r="L97" s="176" t="str">
        <f t="shared" si="2"/>
        <v>10301CP001</v>
      </c>
    </row>
    <row r="98" spans="2:12" outlineLevel="1" x14ac:dyDescent="0.25">
      <c r="B98" s="178" t="s">
        <v>920</v>
      </c>
      <c r="C98" s="178" t="s">
        <v>20</v>
      </c>
      <c r="D98" s="178" t="s">
        <v>261</v>
      </c>
      <c r="E98" s="178" t="s">
        <v>320</v>
      </c>
      <c r="H98" s="180" t="s">
        <v>1448</v>
      </c>
      <c r="I98" s="180" t="str">
        <f t="shared" si="5"/>
        <v>IA001</v>
      </c>
      <c r="J98" s="178" t="str">
        <f t="shared" si="1"/>
        <v>Internal Audit</v>
      </c>
      <c r="L98" s="176" t="str">
        <f t="shared" si="2"/>
        <v>10301IA001</v>
      </c>
    </row>
    <row r="99" spans="2:12" outlineLevel="1" x14ac:dyDescent="0.25">
      <c r="B99" s="354" t="s">
        <v>920</v>
      </c>
      <c r="C99" s="354" t="s">
        <v>919</v>
      </c>
      <c r="D99" s="354"/>
      <c r="E99" s="354" t="s">
        <v>1493</v>
      </c>
      <c r="F99" s="176" t="s">
        <v>1490</v>
      </c>
      <c r="H99" s="180" t="s">
        <v>1448</v>
      </c>
      <c r="I99" s="180" t="str">
        <f t="shared" si="5"/>
        <v/>
      </c>
      <c r="J99" s="178" t="str">
        <f t="shared" si="1"/>
        <v>Sustainability</v>
      </c>
      <c r="L99" s="176">
        <f t="shared" si="2"/>
        <v>0</v>
      </c>
    </row>
    <row r="100" spans="2:12" outlineLevel="1" x14ac:dyDescent="0.25">
      <c r="B100" s="354" t="s">
        <v>920</v>
      </c>
      <c r="C100" s="354" t="s">
        <v>1507</v>
      </c>
      <c r="D100" s="354"/>
      <c r="E100" s="354" t="s">
        <v>1518</v>
      </c>
      <c r="F100" s="176" t="s">
        <v>1490</v>
      </c>
      <c r="H100" s="180" t="s">
        <v>1448</v>
      </c>
      <c r="I100" s="180" t="str">
        <f t="shared" si="5"/>
        <v/>
      </c>
      <c r="J100" s="178" t="str">
        <f t="shared" si="1"/>
        <v>Project Management</v>
      </c>
      <c r="L100" s="176">
        <f t="shared" si="2"/>
        <v>0</v>
      </c>
    </row>
    <row r="101" spans="2:12" outlineLevel="1" x14ac:dyDescent="0.25">
      <c r="B101" s="178" t="s">
        <v>921</v>
      </c>
      <c r="C101" s="178" t="s">
        <v>908</v>
      </c>
      <c r="D101" s="178" t="s">
        <v>263</v>
      </c>
      <c r="E101" s="178" t="s">
        <v>295</v>
      </c>
      <c r="H101" s="180" t="s">
        <v>1449</v>
      </c>
      <c r="I101" s="180" t="str">
        <f t="shared" si="5"/>
        <v>CL001</v>
      </c>
      <c r="J101" s="178" t="str">
        <f t="shared" si="1"/>
        <v>General Counsel</v>
      </c>
      <c r="L101" s="176" t="str">
        <f t="shared" si="2"/>
        <v>10301CL001</v>
      </c>
    </row>
    <row r="102" spans="2:12" outlineLevel="1" x14ac:dyDescent="0.25">
      <c r="B102" s="178" t="s">
        <v>921</v>
      </c>
      <c r="C102" s="178" t="s">
        <v>912</v>
      </c>
      <c r="D102" s="178" t="s">
        <v>271</v>
      </c>
      <c r="E102" s="178" t="s">
        <v>297</v>
      </c>
      <c r="H102" s="180" t="s">
        <v>1449</v>
      </c>
      <c r="I102" s="180" t="str">
        <f t="shared" si="5"/>
        <v>CS001</v>
      </c>
      <c r="J102" s="178" t="str">
        <f t="shared" si="1"/>
        <v>Compliance &amp; Governance</v>
      </c>
      <c r="L102" s="176" t="str">
        <f t="shared" si="2"/>
        <v>10301CS001</v>
      </c>
    </row>
    <row r="103" spans="2:12" outlineLevel="1" x14ac:dyDescent="0.25">
      <c r="B103" s="178" t="s">
        <v>921</v>
      </c>
      <c r="C103" s="178" t="s">
        <v>916</v>
      </c>
      <c r="D103" s="178" t="s">
        <v>277</v>
      </c>
      <c r="E103" s="178" t="s">
        <v>324</v>
      </c>
      <c r="H103" s="180" t="s">
        <v>1449</v>
      </c>
      <c r="I103" s="180" t="str">
        <f t="shared" si="5"/>
        <v>MS005</v>
      </c>
      <c r="J103" s="178" t="str">
        <f t="shared" si="1"/>
        <v>Permit &amp; Licensing</v>
      </c>
      <c r="L103" s="176" t="str">
        <f t="shared" si="2"/>
        <v>10301MS005</v>
      </c>
    </row>
    <row r="104" spans="2:12" outlineLevel="1" x14ac:dyDescent="0.25">
      <c r="B104" s="178" t="s">
        <v>921</v>
      </c>
      <c r="C104" s="178" t="s">
        <v>916</v>
      </c>
      <c r="D104" s="178" t="s">
        <v>264</v>
      </c>
      <c r="E104" s="178" t="s">
        <v>326</v>
      </c>
      <c r="H104" s="180" t="s">
        <v>1449</v>
      </c>
      <c r="I104" s="180" t="str">
        <f t="shared" si="5"/>
        <v>MS008</v>
      </c>
      <c r="J104" s="178" t="str">
        <f t="shared" si="1"/>
        <v>Permit &amp; Licensing</v>
      </c>
      <c r="L104" s="176" t="str">
        <f t="shared" si="2"/>
        <v>10301MS008</v>
      </c>
    </row>
    <row r="105" spans="2:12" outlineLevel="1" x14ac:dyDescent="0.25">
      <c r="B105" s="178" t="s">
        <v>299</v>
      </c>
      <c r="C105" s="178" t="s">
        <v>28</v>
      </c>
      <c r="D105" s="178" t="s">
        <v>266</v>
      </c>
      <c r="E105" s="178" t="s">
        <v>298</v>
      </c>
      <c r="H105" s="180" t="s">
        <v>299</v>
      </c>
      <c r="I105" s="180" t="str">
        <f t="shared" si="5"/>
        <v>FA001</v>
      </c>
      <c r="J105" s="178" t="str">
        <f t="shared" si="1"/>
        <v>Treasury &amp; Finance</v>
      </c>
      <c r="L105" s="176" t="str">
        <f t="shared" si="2"/>
        <v>10301FA001</v>
      </c>
    </row>
    <row r="106" spans="2:12" outlineLevel="1" x14ac:dyDescent="0.25">
      <c r="B106" s="178" t="s">
        <v>299</v>
      </c>
      <c r="C106" s="178" t="s">
        <v>1450</v>
      </c>
      <c r="D106" s="178" t="s">
        <v>254</v>
      </c>
      <c r="E106" s="178" t="s">
        <v>300</v>
      </c>
      <c r="H106" s="180" t="s">
        <v>299</v>
      </c>
      <c r="I106" s="180" t="str">
        <f t="shared" si="5"/>
        <v>FA002</v>
      </c>
      <c r="J106" s="178" t="str">
        <f t="shared" si="1"/>
        <v>Accounting &amp; Fixed Asset Management</v>
      </c>
      <c r="L106" s="176" t="str">
        <f t="shared" si="2"/>
        <v>10301FA002</v>
      </c>
    </row>
    <row r="107" spans="2:12" outlineLevel="1" x14ac:dyDescent="0.25">
      <c r="B107" s="178" t="s">
        <v>299</v>
      </c>
      <c r="C107" s="178" t="s">
        <v>27</v>
      </c>
      <c r="D107" s="178" t="s">
        <v>265</v>
      </c>
      <c r="E107" s="178" t="s">
        <v>301</v>
      </c>
      <c r="H107" s="180" t="s">
        <v>299</v>
      </c>
      <c r="I107" s="180" t="str">
        <f t="shared" si="5"/>
        <v>FA003</v>
      </c>
      <c r="J107" s="178" t="str">
        <f t="shared" si="1"/>
        <v>Taxation</v>
      </c>
      <c r="L107" s="176" t="str">
        <f t="shared" si="2"/>
        <v>10301FA003</v>
      </c>
    </row>
    <row r="108" spans="2:12" outlineLevel="1" x14ac:dyDescent="0.25">
      <c r="B108" s="178" t="s">
        <v>299</v>
      </c>
      <c r="C108" s="178" t="s">
        <v>26</v>
      </c>
      <c r="D108" s="178" t="s">
        <v>257</v>
      </c>
      <c r="E108" s="178" t="s">
        <v>302</v>
      </c>
      <c r="H108" s="180" t="s">
        <v>299</v>
      </c>
      <c r="I108" s="180" t="str">
        <f t="shared" si="5"/>
        <v>FA004</v>
      </c>
      <c r="J108" s="178" t="str">
        <f t="shared" si="1"/>
        <v>Financial Planning &amp; Analysis</v>
      </c>
      <c r="L108" s="176" t="str">
        <f t="shared" si="2"/>
        <v>10301FA004</v>
      </c>
    </row>
    <row r="109" spans="2:12" outlineLevel="1" x14ac:dyDescent="0.25">
      <c r="B109" s="178" t="s">
        <v>299</v>
      </c>
      <c r="C109" s="178" t="s">
        <v>28</v>
      </c>
      <c r="D109" s="178" t="s">
        <v>273</v>
      </c>
      <c r="E109" s="178" t="s">
        <v>304</v>
      </c>
      <c r="H109" s="180" t="s">
        <v>299</v>
      </c>
      <c r="I109" s="180" t="str">
        <f t="shared" si="5"/>
        <v>FA006</v>
      </c>
      <c r="J109" s="178" t="str">
        <f t="shared" si="1"/>
        <v>Treasury &amp; Finance</v>
      </c>
      <c r="L109" s="176" t="str">
        <f t="shared" si="2"/>
        <v>10301FA006</v>
      </c>
    </row>
    <row r="110" spans="2:12" outlineLevel="1" x14ac:dyDescent="0.25">
      <c r="B110" s="178" t="s">
        <v>299</v>
      </c>
      <c r="C110" s="178" t="s">
        <v>1450</v>
      </c>
      <c r="D110" s="178" t="s">
        <v>267</v>
      </c>
      <c r="E110" s="178" t="s">
        <v>305</v>
      </c>
      <c r="H110" s="180" t="s">
        <v>299</v>
      </c>
      <c r="I110" s="180" t="str">
        <f t="shared" si="5"/>
        <v>FA007</v>
      </c>
      <c r="J110" s="178" t="str">
        <f t="shared" si="1"/>
        <v>Accounting &amp; Fixed Asset Management</v>
      </c>
      <c r="L110" s="176" t="str">
        <f t="shared" si="2"/>
        <v>10301FA007</v>
      </c>
    </row>
    <row r="111" spans="2:12" outlineLevel="1" x14ac:dyDescent="0.25">
      <c r="B111" s="178" t="s">
        <v>299</v>
      </c>
      <c r="C111" s="178" t="s">
        <v>1450</v>
      </c>
      <c r="D111" s="178" t="s">
        <v>816</v>
      </c>
      <c r="E111" s="178" t="s">
        <v>817</v>
      </c>
      <c r="H111" s="180" t="s">
        <v>299</v>
      </c>
      <c r="I111" s="180" t="str">
        <f t="shared" si="5"/>
        <v>FA008</v>
      </c>
      <c r="J111" s="178" t="str">
        <f t="shared" si="1"/>
        <v>Accounting &amp; Fixed Asset Management</v>
      </c>
      <c r="L111" s="176" t="str">
        <f t="shared" si="2"/>
        <v>10301FA008</v>
      </c>
    </row>
    <row r="112" spans="2:12" outlineLevel="1" x14ac:dyDescent="0.25">
      <c r="B112" s="178" t="s">
        <v>906</v>
      </c>
      <c r="C112" s="178" t="s">
        <v>29</v>
      </c>
      <c r="D112" s="178" t="s">
        <v>258</v>
      </c>
      <c r="E112" s="178" t="s">
        <v>306</v>
      </c>
      <c r="H112" s="180" t="s">
        <v>106</v>
      </c>
      <c r="I112" s="180" t="str">
        <f t="shared" si="5"/>
        <v>GA001</v>
      </c>
      <c r="J112" s="178" t="str">
        <f t="shared" si="1"/>
        <v>General Affairs</v>
      </c>
      <c r="L112" s="176" t="str">
        <f t="shared" si="2"/>
        <v>10301GA001</v>
      </c>
    </row>
    <row r="113" spans="2:12" outlineLevel="1" x14ac:dyDescent="0.25">
      <c r="B113" s="178" t="s">
        <v>906</v>
      </c>
      <c r="C113" s="178" t="s">
        <v>29</v>
      </c>
      <c r="D113" s="178" t="s">
        <v>268</v>
      </c>
      <c r="E113" s="178" t="s">
        <v>307</v>
      </c>
      <c r="H113" s="180" t="s">
        <v>106</v>
      </c>
      <c r="I113" s="180" t="str">
        <f t="shared" si="5"/>
        <v>GA002</v>
      </c>
      <c r="J113" s="178" t="str">
        <f t="shared" si="1"/>
        <v>General Affairs</v>
      </c>
      <c r="L113" s="176" t="str">
        <f t="shared" si="2"/>
        <v>10301GA002</v>
      </c>
    </row>
    <row r="114" spans="2:12" outlineLevel="1" x14ac:dyDescent="0.25">
      <c r="B114" s="178" t="s">
        <v>906</v>
      </c>
      <c r="C114" s="178" t="s">
        <v>29</v>
      </c>
      <c r="D114" s="178" t="s">
        <v>275</v>
      </c>
      <c r="E114" s="178" t="s">
        <v>308</v>
      </c>
      <c r="H114" s="180" t="s">
        <v>106</v>
      </c>
      <c r="I114" s="180" t="str">
        <f t="shared" si="5"/>
        <v>GA003</v>
      </c>
      <c r="J114" s="178" t="str">
        <f t="shared" si="1"/>
        <v>General Affairs</v>
      </c>
      <c r="L114" s="176" t="str">
        <f t="shared" si="2"/>
        <v>10301GA003</v>
      </c>
    </row>
    <row r="115" spans="2:12" outlineLevel="1" x14ac:dyDescent="0.25">
      <c r="B115" s="178" t="s">
        <v>906</v>
      </c>
      <c r="C115" s="178" t="s">
        <v>29</v>
      </c>
      <c r="D115" s="178" t="s">
        <v>280</v>
      </c>
      <c r="E115" s="178" t="s">
        <v>309</v>
      </c>
      <c r="H115" s="180" t="s">
        <v>106</v>
      </c>
      <c r="I115" s="180" t="str">
        <f t="shared" si="5"/>
        <v>GA004</v>
      </c>
      <c r="J115" s="178" t="str">
        <f t="shared" si="1"/>
        <v>General Affairs</v>
      </c>
      <c r="L115" s="176" t="str">
        <f t="shared" si="2"/>
        <v>10301GA004</v>
      </c>
    </row>
    <row r="116" spans="2:12" outlineLevel="1" x14ac:dyDescent="0.25">
      <c r="B116" s="178" t="s">
        <v>906</v>
      </c>
      <c r="C116" s="178" t="s">
        <v>29</v>
      </c>
      <c r="D116" s="178" t="s">
        <v>283</v>
      </c>
      <c r="E116" s="178" t="s">
        <v>310</v>
      </c>
      <c r="H116" s="180" t="s">
        <v>106</v>
      </c>
      <c r="I116" s="180" t="str">
        <f t="shared" si="5"/>
        <v>GA005</v>
      </c>
      <c r="J116" s="178" t="str">
        <f t="shared" si="1"/>
        <v>General Affairs</v>
      </c>
      <c r="L116" s="176" t="str">
        <f t="shared" si="2"/>
        <v>10301GA005</v>
      </c>
    </row>
    <row r="117" spans="2:12" outlineLevel="1" x14ac:dyDescent="0.25">
      <c r="B117" s="178" t="s">
        <v>906</v>
      </c>
      <c r="C117" s="178" t="s">
        <v>29</v>
      </c>
      <c r="D117" s="178" t="s">
        <v>286</v>
      </c>
      <c r="E117" s="178" t="s">
        <v>311</v>
      </c>
      <c r="H117" s="180" t="s">
        <v>106</v>
      </c>
      <c r="I117" s="180" t="str">
        <f t="shared" si="5"/>
        <v>GA008</v>
      </c>
      <c r="J117" s="178" t="str">
        <f t="shared" si="1"/>
        <v>General Affairs</v>
      </c>
      <c r="L117" s="176" t="str">
        <f t="shared" si="2"/>
        <v>10301GA008</v>
      </c>
    </row>
    <row r="118" spans="2:12" outlineLevel="1" x14ac:dyDescent="0.25">
      <c r="B118" s="178" t="s">
        <v>906</v>
      </c>
      <c r="C118" s="178" t="s">
        <v>30</v>
      </c>
      <c r="D118" s="178" t="s">
        <v>260</v>
      </c>
      <c r="E118" s="178" t="s">
        <v>312</v>
      </c>
      <c r="H118" s="180" t="s">
        <v>50</v>
      </c>
      <c r="I118" s="180" t="str">
        <f t="shared" si="5"/>
        <v>HR001</v>
      </c>
      <c r="J118" s="178" t="str">
        <f t="shared" si="1"/>
        <v>Human Resources</v>
      </c>
      <c r="L118" s="176" t="str">
        <f t="shared" si="2"/>
        <v>10301HR001</v>
      </c>
    </row>
    <row r="119" spans="2:12" outlineLevel="1" x14ac:dyDescent="0.25">
      <c r="B119" s="178" t="s">
        <v>906</v>
      </c>
      <c r="C119" s="178" t="s">
        <v>30</v>
      </c>
      <c r="D119" s="178" t="s">
        <v>269</v>
      </c>
      <c r="E119" s="178" t="s">
        <v>313</v>
      </c>
      <c r="H119" s="180" t="s">
        <v>50</v>
      </c>
      <c r="I119" s="180" t="str">
        <f t="shared" si="5"/>
        <v>HR002</v>
      </c>
      <c r="J119" s="178" t="str">
        <f t="shared" si="1"/>
        <v>Human Resources</v>
      </c>
      <c r="L119" s="176" t="str">
        <f t="shared" si="2"/>
        <v>10301HR002</v>
      </c>
    </row>
    <row r="120" spans="2:12" outlineLevel="1" x14ac:dyDescent="0.25">
      <c r="B120" s="178" t="s">
        <v>906</v>
      </c>
      <c r="C120" s="178" t="s">
        <v>30</v>
      </c>
      <c r="D120" s="178" t="s">
        <v>276</v>
      </c>
      <c r="E120" s="178" t="s">
        <v>314</v>
      </c>
      <c r="H120" s="180" t="s">
        <v>50</v>
      </c>
      <c r="I120" s="180" t="str">
        <f t="shared" si="5"/>
        <v>HR003</v>
      </c>
      <c r="J120" s="178" t="str">
        <f t="shared" si="1"/>
        <v>Human Resources</v>
      </c>
      <c r="L120" s="176" t="str">
        <f t="shared" si="2"/>
        <v>10301HR003</v>
      </c>
    </row>
    <row r="121" spans="2:12" outlineLevel="1" x14ac:dyDescent="0.25">
      <c r="B121" s="178" t="s">
        <v>906</v>
      </c>
      <c r="C121" s="178" t="s">
        <v>30</v>
      </c>
      <c r="D121" s="178" t="s">
        <v>281</v>
      </c>
      <c r="E121" s="178" t="s">
        <v>315</v>
      </c>
      <c r="H121" s="180" t="s">
        <v>50</v>
      </c>
      <c r="I121" s="180" t="str">
        <f t="shared" si="5"/>
        <v>HR004</v>
      </c>
      <c r="J121" s="178" t="str">
        <f t="shared" si="1"/>
        <v>Human Resources</v>
      </c>
      <c r="L121" s="176" t="str">
        <f t="shared" si="2"/>
        <v>10301HR004</v>
      </c>
    </row>
    <row r="122" spans="2:12" outlineLevel="1" x14ac:dyDescent="0.25">
      <c r="B122" s="178" t="s">
        <v>906</v>
      </c>
      <c r="C122" s="178" t="s">
        <v>30</v>
      </c>
      <c r="D122" s="178" t="s">
        <v>284</v>
      </c>
      <c r="E122" s="178" t="s">
        <v>316</v>
      </c>
      <c r="H122" s="180" t="s">
        <v>50</v>
      </c>
      <c r="I122" s="180" t="str">
        <f t="shared" si="5"/>
        <v>HR005</v>
      </c>
      <c r="J122" s="178" t="str">
        <f t="shared" si="1"/>
        <v>Human Resources</v>
      </c>
      <c r="L122" s="176" t="str">
        <f t="shared" si="2"/>
        <v>10301HR005</v>
      </c>
    </row>
    <row r="123" spans="2:12" outlineLevel="1" x14ac:dyDescent="0.25">
      <c r="B123" s="178" t="s">
        <v>906</v>
      </c>
      <c r="C123" s="178" t="s">
        <v>30</v>
      </c>
      <c r="D123" s="178" t="s">
        <v>287</v>
      </c>
      <c r="E123" s="178" t="s">
        <v>317</v>
      </c>
      <c r="H123" s="180" t="s">
        <v>50</v>
      </c>
      <c r="I123" s="180" t="str">
        <f t="shared" si="5"/>
        <v>HR007</v>
      </c>
      <c r="J123" s="178" t="str">
        <f t="shared" si="1"/>
        <v>Human Resources</v>
      </c>
      <c r="L123" s="176" t="str">
        <f t="shared" si="2"/>
        <v>10301HR007</v>
      </c>
    </row>
    <row r="124" spans="2:12" outlineLevel="1" x14ac:dyDescent="0.25">
      <c r="B124" s="178" t="s">
        <v>906</v>
      </c>
      <c r="C124" s="178" t="s">
        <v>29</v>
      </c>
      <c r="D124" s="178" t="s">
        <v>289</v>
      </c>
      <c r="E124" s="178" t="s">
        <v>323</v>
      </c>
      <c r="H124" s="180" t="s">
        <v>106</v>
      </c>
      <c r="I124" s="180" t="str">
        <f t="shared" si="5"/>
        <v>MS001</v>
      </c>
      <c r="J124" s="178" t="str">
        <f t="shared" ref="J124:J144" si="6">C124</f>
        <v>General Affairs</v>
      </c>
      <c r="L124" s="176" t="str">
        <f t="shared" ref="L124:L144" si="7">D124</f>
        <v>10301MS001</v>
      </c>
    </row>
    <row r="125" spans="2:12" outlineLevel="1" x14ac:dyDescent="0.25">
      <c r="B125" s="178" t="s">
        <v>22</v>
      </c>
      <c r="C125" s="178" t="s">
        <v>291</v>
      </c>
      <c r="D125" s="178" t="s">
        <v>259</v>
      </c>
      <c r="E125" s="178" t="s">
        <v>318</v>
      </c>
      <c r="H125" s="180" t="s">
        <v>22</v>
      </c>
      <c r="I125" s="180" t="str">
        <f t="shared" si="5"/>
        <v>HS001</v>
      </c>
      <c r="J125" s="178" t="str">
        <f t="shared" si="6"/>
        <v>Health &amp; Safety</v>
      </c>
      <c r="L125" s="176" t="str">
        <f t="shared" si="7"/>
        <v>10301HS001</v>
      </c>
    </row>
    <row r="126" spans="2:12" outlineLevel="1" x14ac:dyDescent="0.25">
      <c r="B126" s="178" t="s">
        <v>22</v>
      </c>
      <c r="C126" s="178" t="s">
        <v>292</v>
      </c>
      <c r="D126" s="178" t="s">
        <v>285</v>
      </c>
      <c r="E126" s="178" t="s">
        <v>319</v>
      </c>
      <c r="H126" s="180" t="s">
        <v>22</v>
      </c>
      <c r="I126" s="180" t="str">
        <f t="shared" si="5"/>
        <v>HS002</v>
      </c>
      <c r="J126" s="178" t="str">
        <f t="shared" si="6"/>
        <v>Environment</v>
      </c>
      <c r="L126" s="176" t="str">
        <f t="shared" si="7"/>
        <v>10301HS002</v>
      </c>
    </row>
    <row r="127" spans="2:12" outlineLevel="1" x14ac:dyDescent="0.25">
      <c r="B127" s="178" t="s">
        <v>31</v>
      </c>
      <c r="C127" s="178" t="s">
        <v>237</v>
      </c>
      <c r="D127" s="178" t="s">
        <v>262</v>
      </c>
      <c r="E127" s="178" t="s">
        <v>321</v>
      </c>
      <c r="H127" s="180" t="s">
        <v>31</v>
      </c>
      <c r="I127" s="180" t="str">
        <f t="shared" si="5"/>
        <v>IT001</v>
      </c>
      <c r="J127" s="178" t="str">
        <f t="shared" si="6"/>
        <v>Information Technology</v>
      </c>
      <c r="L127" s="176" t="str">
        <f t="shared" si="7"/>
        <v>10301IT001</v>
      </c>
    </row>
    <row r="128" spans="2:12" outlineLevel="1" x14ac:dyDescent="0.25">
      <c r="B128" s="178" t="s">
        <v>31</v>
      </c>
      <c r="C128" s="178" t="s">
        <v>237</v>
      </c>
      <c r="D128" s="178" t="s">
        <v>322</v>
      </c>
      <c r="E128" s="178" t="s">
        <v>813</v>
      </c>
      <c r="H128" s="180" t="s">
        <v>31</v>
      </c>
      <c r="I128" s="180" t="str">
        <f t="shared" si="5"/>
        <v>IT002</v>
      </c>
      <c r="J128" s="178" t="str">
        <f t="shared" si="6"/>
        <v>Information Technology</v>
      </c>
      <c r="L128" s="176" t="str">
        <f t="shared" si="7"/>
        <v>10301IT002</v>
      </c>
    </row>
    <row r="129" spans="2:12" outlineLevel="1" x14ac:dyDescent="0.25">
      <c r="B129" s="178" t="s">
        <v>31</v>
      </c>
      <c r="C129" s="178" t="s">
        <v>237</v>
      </c>
      <c r="D129" s="178" t="s">
        <v>270</v>
      </c>
      <c r="E129" s="103" t="s">
        <v>922</v>
      </c>
      <c r="H129" s="180" t="s">
        <v>31</v>
      </c>
      <c r="I129" s="180" t="str">
        <f t="shared" si="5"/>
        <v>IT003</v>
      </c>
      <c r="J129" s="178" t="str">
        <f t="shared" si="6"/>
        <v>Information Technology</v>
      </c>
      <c r="L129" s="176" t="str">
        <f t="shared" si="7"/>
        <v>10301IT003</v>
      </c>
    </row>
    <row r="130" spans="2:12" outlineLevel="1" x14ac:dyDescent="0.25">
      <c r="B130" s="178" t="s">
        <v>31</v>
      </c>
      <c r="C130" s="178" t="s">
        <v>237</v>
      </c>
      <c r="D130" s="178" t="s">
        <v>818</v>
      </c>
      <c r="E130" s="178" t="s">
        <v>819</v>
      </c>
      <c r="H130" s="180" t="s">
        <v>31</v>
      </c>
      <c r="I130" s="180" t="str">
        <f t="shared" si="5"/>
        <v>IT004</v>
      </c>
      <c r="J130" s="178" t="str">
        <f t="shared" si="6"/>
        <v>Information Technology</v>
      </c>
      <c r="L130" s="176" t="str">
        <f t="shared" si="7"/>
        <v>10301IT004</v>
      </c>
    </row>
    <row r="131" spans="2:12" outlineLevel="1" x14ac:dyDescent="0.25">
      <c r="B131" s="178" t="s">
        <v>923</v>
      </c>
      <c r="C131" s="178" t="s">
        <v>910</v>
      </c>
      <c r="D131" s="178" t="s">
        <v>272</v>
      </c>
      <c r="E131" s="178" t="s">
        <v>1519</v>
      </c>
      <c r="H131" s="180" t="s">
        <v>939</v>
      </c>
      <c r="I131" s="180" t="str">
        <f t="shared" si="5"/>
        <v>MS002</v>
      </c>
      <c r="J131" s="178" t="str">
        <f t="shared" si="6"/>
        <v>Government Relation &amp; EA</v>
      </c>
      <c r="L131" s="176" t="str">
        <f t="shared" si="7"/>
        <v>10301MS002</v>
      </c>
    </row>
    <row r="132" spans="2:12" outlineLevel="1" x14ac:dyDescent="0.25">
      <c r="B132" s="178" t="s">
        <v>923</v>
      </c>
      <c r="C132" s="178" t="s">
        <v>910</v>
      </c>
      <c r="D132" s="178" t="s">
        <v>278</v>
      </c>
      <c r="E132" s="178" t="s">
        <v>1520</v>
      </c>
      <c r="H132" s="180" t="s">
        <v>939</v>
      </c>
      <c r="I132" s="180" t="str">
        <f t="shared" si="5"/>
        <v>MS006</v>
      </c>
      <c r="J132" s="178" t="str">
        <f t="shared" si="6"/>
        <v>Government Relation &amp; EA</v>
      </c>
      <c r="L132" s="176" t="str">
        <f t="shared" si="7"/>
        <v>10301MS006</v>
      </c>
    </row>
    <row r="133" spans="2:12" outlineLevel="1" x14ac:dyDescent="0.25">
      <c r="B133" s="178" t="s">
        <v>923</v>
      </c>
      <c r="C133" s="178" t="s">
        <v>910</v>
      </c>
      <c r="D133" s="178" t="s">
        <v>282</v>
      </c>
      <c r="E133" s="178" t="s">
        <v>325</v>
      </c>
      <c r="H133" s="180" t="s">
        <v>939</v>
      </c>
      <c r="I133" s="180" t="str">
        <f t="shared" si="5"/>
        <v>MS007</v>
      </c>
      <c r="J133" s="178" t="str">
        <f t="shared" si="6"/>
        <v>Government Relation &amp; EA</v>
      </c>
      <c r="L133" s="176" t="str">
        <f t="shared" si="7"/>
        <v>10301MS007</v>
      </c>
    </row>
    <row r="134" spans="2:12" outlineLevel="1" x14ac:dyDescent="0.25">
      <c r="B134" s="178" t="s">
        <v>923</v>
      </c>
      <c r="C134" s="178" t="s">
        <v>910</v>
      </c>
      <c r="D134" s="178" t="s">
        <v>924</v>
      </c>
      <c r="E134" s="178" t="s">
        <v>1521</v>
      </c>
      <c r="H134" s="180" t="s">
        <v>939</v>
      </c>
      <c r="I134" s="180" t="str">
        <f t="shared" si="5"/>
        <v>MS010</v>
      </c>
      <c r="J134" s="178" t="str">
        <f t="shared" si="6"/>
        <v>Government Relation &amp; EA</v>
      </c>
      <c r="L134" s="176" t="str">
        <f t="shared" si="7"/>
        <v>10301MS010</v>
      </c>
    </row>
    <row r="135" spans="2:12" outlineLevel="1" x14ac:dyDescent="0.25">
      <c r="B135" s="178" t="s">
        <v>920</v>
      </c>
      <c r="C135" s="178" t="s">
        <v>24</v>
      </c>
      <c r="D135" s="178" t="s">
        <v>288</v>
      </c>
      <c r="E135" s="178" t="s">
        <v>327</v>
      </c>
      <c r="H135" s="180" t="s">
        <v>1448</v>
      </c>
      <c r="I135" s="180" t="str">
        <f t="shared" si="5"/>
        <v>PR001</v>
      </c>
      <c r="J135" s="178" t="str">
        <f t="shared" si="6"/>
        <v>Corporate Communication</v>
      </c>
      <c r="L135" s="176" t="str">
        <f t="shared" si="7"/>
        <v>10301PR001</v>
      </c>
    </row>
    <row r="136" spans="2:12" outlineLevel="1" x14ac:dyDescent="0.25">
      <c r="B136" s="178" t="s">
        <v>920</v>
      </c>
      <c r="C136" s="178" t="s">
        <v>24</v>
      </c>
      <c r="D136" s="178" t="s">
        <v>290</v>
      </c>
      <c r="E136" s="178" t="s">
        <v>328</v>
      </c>
      <c r="H136" s="180" t="s">
        <v>1448</v>
      </c>
      <c r="I136" s="180" t="str">
        <f t="shared" si="5"/>
        <v>PR002</v>
      </c>
      <c r="J136" s="178" t="str">
        <f t="shared" si="6"/>
        <v>Corporate Communication</v>
      </c>
      <c r="L136" s="176" t="str">
        <f t="shared" si="7"/>
        <v>10301PR002</v>
      </c>
    </row>
    <row r="137" spans="2:12" outlineLevel="1" x14ac:dyDescent="0.25">
      <c r="B137" s="178" t="s">
        <v>247</v>
      </c>
      <c r="C137" s="178" t="s">
        <v>909</v>
      </c>
      <c r="D137" s="178" t="s">
        <v>279</v>
      </c>
      <c r="E137" s="178" t="s">
        <v>925</v>
      </c>
      <c r="H137" s="180" t="s">
        <v>247</v>
      </c>
      <c r="I137" s="180" t="str">
        <f t="shared" si="5"/>
        <v>SC002</v>
      </c>
      <c r="J137" s="178" t="str">
        <f t="shared" si="6"/>
        <v>SCM Logistics</v>
      </c>
      <c r="L137" s="176" t="str">
        <f t="shared" si="7"/>
        <v>10301SC002</v>
      </c>
    </row>
    <row r="138" spans="2:12" outlineLevel="1" x14ac:dyDescent="0.25">
      <c r="B138" s="178" t="s">
        <v>247</v>
      </c>
      <c r="C138" s="178" t="s">
        <v>913</v>
      </c>
      <c r="D138" s="178" t="s">
        <v>253</v>
      </c>
      <c r="E138" s="178" t="s">
        <v>926</v>
      </c>
      <c r="H138" s="180" t="s">
        <v>247</v>
      </c>
      <c r="I138" s="180" t="str">
        <f t="shared" si="5"/>
        <v>SC004</v>
      </c>
      <c r="J138" s="178" t="str">
        <f t="shared" si="6"/>
        <v>SCM Warehouse &amp; Inventory</v>
      </c>
      <c r="L138" s="176" t="str">
        <f t="shared" si="7"/>
        <v>10301SC004</v>
      </c>
    </row>
    <row r="139" spans="2:12" outlineLevel="1" x14ac:dyDescent="0.25">
      <c r="B139" s="178" t="s">
        <v>247</v>
      </c>
      <c r="C139" s="178" t="s">
        <v>917</v>
      </c>
      <c r="D139" s="178" t="s">
        <v>274</v>
      </c>
      <c r="E139" s="178" t="s">
        <v>927</v>
      </c>
      <c r="H139" s="180" t="s">
        <v>247</v>
      </c>
      <c r="I139" s="180" t="str">
        <f t="shared" si="5"/>
        <v>SC005</v>
      </c>
      <c r="J139" s="178" t="str">
        <f t="shared" si="6"/>
        <v>SCM Grader</v>
      </c>
      <c r="L139" s="176" t="str">
        <f t="shared" si="7"/>
        <v>10301SC005</v>
      </c>
    </row>
    <row r="140" spans="2:12" outlineLevel="1" x14ac:dyDescent="0.25">
      <c r="B140" s="178" t="s">
        <v>247</v>
      </c>
      <c r="C140" s="178" t="s">
        <v>913</v>
      </c>
      <c r="D140" s="178" t="s">
        <v>330</v>
      </c>
      <c r="E140" s="178" t="s">
        <v>331</v>
      </c>
      <c r="H140" s="180" t="s">
        <v>247</v>
      </c>
      <c r="I140" s="180" t="str">
        <f t="shared" si="5"/>
        <v>SC006</v>
      </c>
      <c r="J140" s="178" t="str">
        <f t="shared" si="6"/>
        <v>SCM Warehouse &amp; Inventory</v>
      </c>
      <c r="L140" s="176" t="str">
        <f t="shared" si="7"/>
        <v>10301SC006</v>
      </c>
    </row>
    <row r="141" spans="2:12" outlineLevel="1" x14ac:dyDescent="0.25">
      <c r="B141" s="178" t="s">
        <v>247</v>
      </c>
      <c r="C141" s="178" t="s">
        <v>913</v>
      </c>
      <c r="D141" s="178" t="s">
        <v>332</v>
      </c>
      <c r="E141" s="178" t="s">
        <v>333</v>
      </c>
      <c r="H141" s="180" t="s">
        <v>247</v>
      </c>
      <c r="I141" s="180" t="str">
        <f t="shared" si="5"/>
        <v>SC007</v>
      </c>
      <c r="J141" s="178" t="str">
        <f t="shared" si="6"/>
        <v>SCM Warehouse &amp; Inventory</v>
      </c>
      <c r="L141" s="176" t="str">
        <f t="shared" si="7"/>
        <v>10301SC007</v>
      </c>
    </row>
    <row r="142" spans="2:12" outlineLevel="1" x14ac:dyDescent="0.25">
      <c r="B142" s="178" t="s">
        <v>247</v>
      </c>
      <c r="C142" s="178" t="s">
        <v>913</v>
      </c>
      <c r="D142" s="178" t="s">
        <v>822</v>
      </c>
      <c r="E142" s="178" t="s">
        <v>823</v>
      </c>
      <c r="H142" s="180" t="s">
        <v>247</v>
      </c>
      <c r="I142" s="180" t="str">
        <f t="shared" si="5"/>
        <v>SC009</v>
      </c>
      <c r="J142" s="178" t="str">
        <f t="shared" si="6"/>
        <v>SCM Warehouse &amp; Inventory</v>
      </c>
      <c r="L142" s="176" t="str">
        <f t="shared" si="7"/>
        <v>10301SC009</v>
      </c>
    </row>
    <row r="143" spans="2:12" outlineLevel="1" x14ac:dyDescent="0.25">
      <c r="B143" s="178" t="s">
        <v>928</v>
      </c>
      <c r="C143" s="178" t="s">
        <v>32</v>
      </c>
      <c r="D143" s="178" t="s">
        <v>252</v>
      </c>
      <c r="E143" s="178" t="s">
        <v>329</v>
      </c>
      <c r="H143" s="180" t="s">
        <v>937</v>
      </c>
      <c r="I143" s="180" t="str">
        <f t="shared" si="5"/>
        <v>SC001</v>
      </c>
      <c r="J143" s="178" t="str">
        <f t="shared" si="6"/>
        <v>Strategic Sourcing &amp; Procurement</v>
      </c>
      <c r="L143" s="176" t="str">
        <f t="shared" si="7"/>
        <v>10301SC001</v>
      </c>
    </row>
    <row r="144" spans="2:12" outlineLevel="1" x14ac:dyDescent="0.25">
      <c r="B144" s="178" t="s">
        <v>928</v>
      </c>
      <c r="C144" s="178" t="s">
        <v>32</v>
      </c>
      <c r="D144" s="178" t="s">
        <v>820</v>
      </c>
      <c r="E144" s="178" t="s">
        <v>821</v>
      </c>
      <c r="H144" s="180" t="s">
        <v>937</v>
      </c>
      <c r="I144" s="180" t="str">
        <f t="shared" si="5"/>
        <v>SC008</v>
      </c>
      <c r="J144" s="178" t="str">
        <f t="shared" si="6"/>
        <v>Strategic Sourcing &amp; Procurement</v>
      </c>
      <c r="L144" s="176" t="str">
        <f t="shared" si="7"/>
        <v>10301SC008</v>
      </c>
    </row>
    <row r="145" spans="2:12" outlineLevel="1" x14ac:dyDescent="0.25">
      <c r="B145" s="178" t="s">
        <v>928</v>
      </c>
      <c r="C145" s="178" t="s">
        <v>236</v>
      </c>
      <c r="D145" s="178" t="s">
        <v>251</v>
      </c>
      <c r="E145" s="178" t="s">
        <v>334</v>
      </c>
      <c r="H145" s="180" t="s">
        <v>936</v>
      </c>
      <c r="I145" s="180" t="str">
        <f t="shared" ref="I145:I146" si="8">RIGHT(D145,5)</f>
        <v>SM001</v>
      </c>
      <c r="J145" s="178" t="str">
        <f t="shared" ref="J145:J146" si="9">C145</f>
        <v>Sales</v>
      </c>
      <c r="L145" s="176" t="str">
        <f t="shared" ref="L145:L146" si="10">D145</f>
        <v>10301SM001</v>
      </c>
    </row>
    <row r="146" spans="2:12" outlineLevel="1" x14ac:dyDescent="0.25">
      <c r="B146" s="178" t="s">
        <v>928</v>
      </c>
      <c r="C146" s="178" t="s">
        <v>236</v>
      </c>
      <c r="D146" s="178" t="s">
        <v>824</v>
      </c>
      <c r="E146" s="178" t="s">
        <v>825</v>
      </c>
      <c r="H146" s="180" t="s">
        <v>936</v>
      </c>
      <c r="I146" s="180" t="str">
        <f t="shared" si="8"/>
        <v>SM004</v>
      </c>
      <c r="J146" s="178" t="str">
        <f t="shared" si="9"/>
        <v>Sales</v>
      </c>
      <c r="L146" s="176" t="str">
        <f t="shared" si="10"/>
        <v>10301SM004</v>
      </c>
    </row>
    <row r="147" spans="2:12" outlineLevel="1" x14ac:dyDescent="0.25"/>
    <row r="148" spans="2:12" s="173" customFormat="1" x14ac:dyDescent="0.25">
      <c r="B148" s="172" t="s">
        <v>1451</v>
      </c>
      <c r="H148" s="174"/>
      <c r="I148" s="174"/>
    </row>
    <row r="150" spans="2:12" s="91" customFormat="1" x14ac:dyDescent="0.25">
      <c r="B150" s="127" t="s">
        <v>1045</v>
      </c>
      <c r="H150" s="181"/>
      <c r="I150" s="181"/>
    </row>
    <row r="151" spans="2:12" s="91" customFormat="1" outlineLevel="1" x14ac:dyDescent="0.25">
      <c r="B151" s="107" t="s">
        <v>1046</v>
      </c>
      <c r="C151" s="107" t="s">
        <v>1047</v>
      </c>
      <c r="D151" s="129" t="s">
        <v>1049</v>
      </c>
      <c r="E151" s="129" t="s">
        <v>1050</v>
      </c>
      <c r="H151" s="107" t="s">
        <v>1046</v>
      </c>
    </row>
    <row r="152" spans="2:12" s="91" customFormat="1" outlineLevel="1" x14ac:dyDescent="0.25">
      <c r="B152" s="160">
        <v>50200010</v>
      </c>
      <c r="C152" s="141" t="s">
        <v>1051</v>
      </c>
      <c r="D152" s="161" t="s">
        <v>463</v>
      </c>
      <c r="E152" s="161" t="s">
        <v>1053</v>
      </c>
      <c r="H152" s="181">
        <f t="shared" ref="H152:H183" si="11">B152</f>
        <v>50200010</v>
      </c>
    </row>
    <row r="153" spans="2:12" s="91" customFormat="1" outlineLevel="1" x14ac:dyDescent="0.25">
      <c r="B153" s="160">
        <v>50300010</v>
      </c>
      <c r="C153" s="141" t="s">
        <v>48</v>
      </c>
      <c r="D153" s="162" t="s">
        <v>464</v>
      </c>
      <c r="E153" s="162" t="s">
        <v>50</v>
      </c>
      <c r="H153" s="181">
        <f t="shared" si="11"/>
        <v>50300010</v>
      </c>
    </row>
    <row r="154" spans="2:12" s="91" customFormat="1" outlineLevel="1" x14ac:dyDescent="0.25">
      <c r="B154" s="160">
        <v>50300020</v>
      </c>
      <c r="C154" s="141" t="s">
        <v>51</v>
      </c>
      <c r="D154" s="141" t="s">
        <v>464</v>
      </c>
      <c r="E154" s="162" t="s">
        <v>50</v>
      </c>
      <c r="H154" s="181">
        <f t="shared" si="11"/>
        <v>50300020</v>
      </c>
    </row>
    <row r="155" spans="2:12" s="91" customFormat="1" outlineLevel="1" x14ac:dyDescent="0.25">
      <c r="B155" s="160">
        <v>50300030</v>
      </c>
      <c r="C155" s="141" t="s">
        <v>53</v>
      </c>
      <c r="D155" s="141" t="s">
        <v>464</v>
      </c>
      <c r="E155" s="162" t="s">
        <v>50</v>
      </c>
      <c r="H155" s="181">
        <f t="shared" si="11"/>
        <v>50300030</v>
      </c>
    </row>
    <row r="156" spans="2:12" s="91" customFormat="1" outlineLevel="1" x14ac:dyDescent="0.25">
      <c r="B156" s="160">
        <v>50300040</v>
      </c>
      <c r="C156" s="141" t="s">
        <v>55</v>
      </c>
      <c r="D156" s="141" t="s">
        <v>464</v>
      </c>
      <c r="E156" s="162" t="s">
        <v>50</v>
      </c>
      <c r="H156" s="181">
        <f t="shared" si="11"/>
        <v>50300040</v>
      </c>
    </row>
    <row r="157" spans="2:12" s="91" customFormat="1" outlineLevel="1" x14ac:dyDescent="0.25">
      <c r="B157" s="160">
        <v>50300050</v>
      </c>
      <c r="C157" s="141" t="s">
        <v>57</v>
      </c>
      <c r="D157" s="141" t="s">
        <v>464</v>
      </c>
      <c r="E157" s="162" t="s">
        <v>50</v>
      </c>
      <c r="H157" s="181">
        <f t="shared" si="11"/>
        <v>50300050</v>
      </c>
    </row>
    <row r="158" spans="2:12" s="91" customFormat="1" outlineLevel="1" x14ac:dyDescent="0.25">
      <c r="B158" s="160">
        <v>50300060</v>
      </c>
      <c r="C158" s="141" t="s">
        <v>1059</v>
      </c>
      <c r="D158" s="141" t="s">
        <v>464</v>
      </c>
      <c r="E158" s="162" t="s">
        <v>50</v>
      </c>
      <c r="H158" s="181">
        <f t="shared" si="11"/>
        <v>50300060</v>
      </c>
    </row>
    <row r="159" spans="2:12" s="91" customFormat="1" outlineLevel="1" x14ac:dyDescent="0.25">
      <c r="B159" s="160">
        <v>50300070</v>
      </c>
      <c r="C159" s="141" t="s">
        <v>508</v>
      </c>
      <c r="D159" s="145" t="s">
        <v>464</v>
      </c>
      <c r="E159" s="162" t="s">
        <v>50</v>
      </c>
      <c r="H159" s="181">
        <f t="shared" si="11"/>
        <v>50300070</v>
      </c>
    </row>
    <row r="160" spans="2:12" s="91" customFormat="1" outlineLevel="1" x14ac:dyDescent="0.25">
      <c r="B160" s="160">
        <v>50300080</v>
      </c>
      <c r="C160" s="141" t="s">
        <v>63</v>
      </c>
      <c r="D160" s="145" t="s">
        <v>464</v>
      </c>
      <c r="E160" s="162" t="s">
        <v>50</v>
      </c>
      <c r="H160" s="181">
        <f t="shared" si="11"/>
        <v>50300080</v>
      </c>
    </row>
    <row r="161" spans="2:8" s="91" customFormat="1" outlineLevel="1" x14ac:dyDescent="0.25">
      <c r="B161" s="160">
        <v>50300090</v>
      </c>
      <c r="C161" s="141" t="s">
        <v>65</v>
      </c>
      <c r="D161" s="145" t="s">
        <v>464</v>
      </c>
      <c r="E161" s="162" t="s">
        <v>50</v>
      </c>
      <c r="H161" s="181">
        <f t="shared" si="11"/>
        <v>50300090</v>
      </c>
    </row>
    <row r="162" spans="2:8" s="91" customFormat="1" outlineLevel="1" x14ac:dyDescent="0.25">
      <c r="B162" s="160">
        <v>50300100</v>
      </c>
      <c r="C162" s="141" t="s">
        <v>67</v>
      </c>
      <c r="D162" s="145" t="s">
        <v>464</v>
      </c>
      <c r="E162" s="162" t="s">
        <v>50</v>
      </c>
      <c r="H162" s="181">
        <f t="shared" si="11"/>
        <v>50300100</v>
      </c>
    </row>
    <row r="163" spans="2:8" s="91" customFormat="1" outlineLevel="1" x14ac:dyDescent="0.25">
      <c r="B163" s="160">
        <v>50300110</v>
      </c>
      <c r="C163" s="141" t="s">
        <v>1065</v>
      </c>
      <c r="D163" s="145" t="s">
        <v>464</v>
      </c>
      <c r="E163" s="162" t="s">
        <v>50</v>
      </c>
      <c r="H163" s="181">
        <f t="shared" si="11"/>
        <v>50300110</v>
      </c>
    </row>
    <row r="164" spans="2:8" s="91" customFormat="1" outlineLevel="1" x14ac:dyDescent="0.25">
      <c r="B164" s="160">
        <v>50300120</v>
      </c>
      <c r="C164" s="141" t="s">
        <v>1067</v>
      </c>
      <c r="D164" s="145" t="s">
        <v>464</v>
      </c>
      <c r="E164" s="162" t="s">
        <v>50</v>
      </c>
      <c r="H164" s="181">
        <f t="shared" si="11"/>
        <v>50300120</v>
      </c>
    </row>
    <row r="165" spans="2:8" s="91" customFormat="1" outlineLevel="1" x14ac:dyDescent="0.25">
      <c r="B165" s="160">
        <v>50300990</v>
      </c>
      <c r="C165" s="141" t="s">
        <v>71</v>
      </c>
      <c r="D165" s="145" t="s">
        <v>464</v>
      </c>
      <c r="E165" s="162" t="s">
        <v>50</v>
      </c>
      <c r="H165" s="181">
        <f t="shared" si="11"/>
        <v>50300990</v>
      </c>
    </row>
    <row r="166" spans="2:8" s="91" customFormat="1" ht="30" outlineLevel="1" x14ac:dyDescent="0.25">
      <c r="B166" s="160">
        <v>50400010</v>
      </c>
      <c r="C166" s="141" t="s">
        <v>1070</v>
      </c>
      <c r="D166" s="145" t="s">
        <v>465</v>
      </c>
      <c r="E166" s="162" t="s">
        <v>50</v>
      </c>
      <c r="H166" s="181">
        <f t="shared" si="11"/>
        <v>50400010</v>
      </c>
    </row>
    <row r="167" spans="2:8" s="91" customFormat="1" outlineLevel="1" x14ac:dyDescent="0.25">
      <c r="B167" s="160">
        <v>50500010</v>
      </c>
      <c r="C167" s="141" t="s">
        <v>1072</v>
      </c>
      <c r="D167" s="145" t="s">
        <v>466</v>
      </c>
      <c r="E167" s="161" t="s">
        <v>1053</v>
      </c>
      <c r="H167" s="181">
        <f t="shared" si="11"/>
        <v>50500010</v>
      </c>
    </row>
    <row r="168" spans="2:8" s="91" customFormat="1" outlineLevel="1" x14ac:dyDescent="0.25">
      <c r="B168" s="160">
        <v>50500020</v>
      </c>
      <c r="C168" s="141" t="s">
        <v>509</v>
      </c>
      <c r="D168" s="145" t="s">
        <v>466</v>
      </c>
      <c r="E168" s="161" t="s">
        <v>1053</v>
      </c>
      <c r="H168" s="181">
        <f t="shared" si="11"/>
        <v>50500020</v>
      </c>
    </row>
    <row r="169" spans="2:8" s="91" customFormat="1" outlineLevel="1" x14ac:dyDescent="0.25">
      <c r="B169" s="160">
        <v>50500030</v>
      </c>
      <c r="C169" s="141" t="s">
        <v>1075</v>
      </c>
      <c r="D169" s="145" t="s">
        <v>466</v>
      </c>
      <c r="E169" s="161" t="s">
        <v>1053</v>
      </c>
      <c r="H169" s="181">
        <f t="shared" si="11"/>
        <v>50500030</v>
      </c>
    </row>
    <row r="170" spans="2:8" s="91" customFormat="1" outlineLevel="1" x14ac:dyDescent="0.25">
      <c r="B170" s="160">
        <v>50500040</v>
      </c>
      <c r="C170" s="141" t="s">
        <v>111</v>
      </c>
      <c r="D170" s="145" t="s">
        <v>466</v>
      </c>
      <c r="E170" s="161" t="s">
        <v>1053</v>
      </c>
      <c r="H170" s="181">
        <f t="shared" si="11"/>
        <v>50500040</v>
      </c>
    </row>
    <row r="171" spans="2:8" s="91" customFormat="1" outlineLevel="1" x14ac:dyDescent="0.25">
      <c r="B171" s="160">
        <v>50600010</v>
      </c>
      <c r="C171" s="141" t="s">
        <v>424</v>
      </c>
      <c r="D171" s="145" t="s">
        <v>467</v>
      </c>
      <c r="E171" s="161" t="s">
        <v>1053</v>
      </c>
      <c r="H171" s="181">
        <f t="shared" si="11"/>
        <v>50600010</v>
      </c>
    </row>
    <row r="172" spans="2:8" s="91" customFormat="1" outlineLevel="1" x14ac:dyDescent="0.25">
      <c r="B172" s="160">
        <v>50600020</v>
      </c>
      <c r="C172" s="141" t="s">
        <v>425</v>
      </c>
      <c r="D172" s="145" t="s">
        <v>467</v>
      </c>
      <c r="E172" s="161" t="s">
        <v>1053</v>
      </c>
      <c r="H172" s="181">
        <f t="shared" si="11"/>
        <v>50600020</v>
      </c>
    </row>
    <row r="173" spans="2:8" s="91" customFormat="1" outlineLevel="1" x14ac:dyDescent="0.25">
      <c r="B173" s="160">
        <v>50600030</v>
      </c>
      <c r="C173" s="141" t="s">
        <v>1079</v>
      </c>
      <c r="D173" s="145" t="s">
        <v>467</v>
      </c>
      <c r="E173" s="161" t="s">
        <v>1053</v>
      </c>
      <c r="H173" s="181">
        <f t="shared" si="11"/>
        <v>50600030</v>
      </c>
    </row>
    <row r="174" spans="2:8" s="91" customFormat="1" ht="30" outlineLevel="1" x14ac:dyDescent="0.25">
      <c r="B174" s="160">
        <v>50600040</v>
      </c>
      <c r="C174" s="141" t="s">
        <v>427</v>
      </c>
      <c r="D174" s="145" t="s">
        <v>467</v>
      </c>
      <c r="E174" s="161" t="s">
        <v>1053</v>
      </c>
      <c r="H174" s="181">
        <f t="shared" si="11"/>
        <v>50600040</v>
      </c>
    </row>
    <row r="175" spans="2:8" s="91" customFormat="1" outlineLevel="1" x14ac:dyDescent="0.25">
      <c r="B175" s="160">
        <v>50800010</v>
      </c>
      <c r="C175" s="141" t="s">
        <v>1082</v>
      </c>
      <c r="D175" s="145" t="s">
        <v>468</v>
      </c>
      <c r="E175" s="161" t="s">
        <v>1053</v>
      </c>
      <c r="H175" s="181">
        <f t="shared" si="11"/>
        <v>50800010</v>
      </c>
    </row>
    <row r="176" spans="2:8" s="91" customFormat="1" ht="30" outlineLevel="1" x14ac:dyDescent="0.25">
      <c r="B176" s="160">
        <v>50800020</v>
      </c>
      <c r="C176" s="141" t="s">
        <v>119</v>
      </c>
      <c r="D176" s="145" t="s">
        <v>468</v>
      </c>
      <c r="E176" s="161" t="s">
        <v>1053</v>
      </c>
      <c r="H176" s="181">
        <f t="shared" si="11"/>
        <v>50800020</v>
      </c>
    </row>
    <row r="177" spans="2:8" s="91" customFormat="1" outlineLevel="1" x14ac:dyDescent="0.25">
      <c r="B177" s="160">
        <v>50800030</v>
      </c>
      <c r="C177" s="141" t="s">
        <v>122</v>
      </c>
      <c r="D177" s="145" t="s">
        <v>468</v>
      </c>
      <c r="E177" s="161" t="s">
        <v>1053</v>
      </c>
      <c r="H177" s="181">
        <f t="shared" si="11"/>
        <v>50800030</v>
      </c>
    </row>
    <row r="178" spans="2:8" s="91" customFormat="1" outlineLevel="1" x14ac:dyDescent="0.25">
      <c r="B178" s="160">
        <v>50800040</v>
      </c>
      <c r="C178" s="141" t="s">
        <v>124</v>
      </c>
      <c r="D178" s="145" t="s">
        <v>468</v>
      </c>
      <c r="E178" s="161" t="s">
        <v>1053</v>
      </c>
      <c r="H178" s="181">
        <f t="shared" si="11"/>
        <v>50800040</v>
      </c>
    </row>
    <row r="179" spans="2:8" s="91" customFormat="1" outlineLevel="1" x14ac:dyDescent="0.25">
      <c r="B179" s="160">
        <v>50800050</v>
      </c>
      <c r="C179" s="141" t="s">
        <v>126</v>
      </c>
      <c r="D179" s="145" t="s">
        <v>468</v>
      </c>
      <c r="E179" s="161" t="s">
        <v>1053</v>
      </c>
      <c r="H179" s="181">
        <f t="shared" si="11"/>
        <v>50800050</v>
      </c>
    </row>
    <row r="180" spans="2:8" s="91" customFormat="1" ht="30" outlineLevel="1" x14ac:dyDescent="0.25">
      <c r="B180" s="160">
        <v>50800060</v>
      </c>
      <c r="C180" s="141" t="s">
        <v>128</v>
      </c>
      <c r="D180" s="145" t="s">
        <v>468</v>
      </c>
      <c r="E180" s="161" t="s">
        <v>1053</v>
      </c>
      <c r="H180" s="181">
        <f t="shared" si="11"/>
        <v>50800060</v>
      </c>
    </row>
    <row r="181" spans="2:8" s="91" customFormat="1" outlineLevel="1" x14ac:dyDescent="0.25">
      <c r="B181" s="160">
        <v>50800070</v>
      </c>
      <c r="C181" s="141" t="s">
        <v>131</v>
      </c>
      <c r="D181" s="145" t="s">
        <v>468</v>
      </c>
      <c r="E181" s="161" t="s">
        <v>1053</v>
      </c>
      <c r="H181" s="181">
        <f t="shared" si="11"/>
        <v>50800070</v>
      </c>
    </row>
    <row r="182" spans="2:8" s="91" customFormat="1" outlineLevel="1" x14ac:dyDescent="0.25">
      <c r="B182" s="160">
        <v>51100000</v>
      </c>
      <c r="C182" s="141" t="s">
        <v>428</v>
      </c>
      <c r="D182" s="145" t="s">
        <v>469</v>
      </c>
      <c r="E182" s="161" t="s">
        <v>1053</v>
      </c>
      <c r="H182" s="181">
        <f t="shared" si="11"/>
        <v>51100000</v>
      </c>
    </row>
    <row r="183" spans="2:8" s="91" customFormat="1" outlineLevel="1" x14ac:dyDescent="0.25">
      <c r="B183" s="160">
        <v>51300010</v>
      </c>
      <c r="C183" s="141" t="s">
        <v>438</v>
      </c>
      <c r="D183" s="145" t="s">
        <v>471</v>
      </c>
      <c r="E183" s="145" t="s">
        <v>250</v>
      </c>
      <c r="H183" s="181">
        <f t="shared" si="11"/>
        <v>51300010</v>
      </c>
    </row>
    <row r="184" spans="2:8" s="91" customFormat="1" outlineLevel="1" x14ac:dyDescent="0.25">
      <c r="B184" s="160">
        <v>51300040</v>
      </c>
      <c r="C184" s="141" t="s">
        <v>441</v>
      </c>
      <c r="D184" s="145" t="s">
        <v>471</v>
      </c>
      <c r="E184" s="145" t="s">
        <v>250</v>
      </c>
      <c r="H184" s="181">
        <f t="shared" ref="H184:H215" si="12">B184</f>
        <v>51300040</v>
      </c>
    </row>
    <row r="185" spans="2:8" s="91" customFormat="1" outlineLevel="1" x14ac:dyDescent="0.25">
      <c r="B185" s="160">
        <v>51300050</v>
      </c>
      <c r="C185" s="141" t="s">
        <v>442</v>
      </c>
      <c r="D185" s="145" t="s">
        <v>471</v>
      </c>
      <c r="E185" s="145" t="s">
        <v>250</v>
      </c>
      <c r="H185" s="181">
        <f t="shared" si="12"/>
        <v>51300050</v>
      </c>
    </row>
    <row r="186" spans="2:8" s="91" customFormat="1" outlineLevel="1" x14ac:dyDescent="0.25">
      <c r="B186" s="160">
        <v>51300060</v>
      </c>
      <c r="C186" s="141" t="s">
        <v>443</v>
      </c>
      <c r="D186" s="145" t="s">
        <v>471</v>
      </c>
      <c r="E186" s="145" t="s">
        <v>250</v>
      </c>
      <c r="H186" s="181">
        <f t="shared" si="12"/>
        <v>51300060</v>
      </c>
    </row>
    <row r="187" spans="2:8" s="91" customFormat="1" outlineLevel="1" x14ac:dyDescent="0.25">
      <c r="B187" s="160">
        <v>51300090</v>
      </c>
      <c r="C187" s="141" t="s">
        <v>446</v>
      </c>
      <c r="D187" s="145" t="s">
        <v>471</v>
      </c>
      <c r="E187" s="145" t="s">
        <v>250</v>
      </c>
      <c r="H187" s="181">
        <f t="shared" si="12"/>
        <v>51300090</v>
      </c>
    </row>
    <row r="188" spans="2:8" s="91" customFormat="1" outlineLevel="1" x14ac:dyDescent="0.25">
      <c r="B188" s="160">
        <v>51500010</v>
      </c>
      <c r="C188" s="141" t="s">
        <v>1096</v>
      </c>
      <c r="D188" s="145" t="s">
        <v>473</v>
      </c>
      <c r="E188" s="161" t="s">
        <v>1053</v>
      </c>
      <c r="H188" s="181">
        <f t="shared" si="12"/>
        <v>51500010</v>
      </c>
    </row>
    <row r="189" spans="2:8" s="91" customFormat="1" outlineLevel="1" x14ac:dyDescent="0.25">
      <c r="B189" s="160">
        <v>51600010</v>
      </c>
      <c r="C189" s="141" t="s">
        <v>147</v>
      </c>
      <c r="D189" s="145" t="s">
        <v>474</v>
      </c>
      <c r="E189" s="161" t="s">
        <v>1053</v>
      </c>
      <c r="H189" s="181">
        <f t="shared" si="12"/>
        <v>51600010</v>
      </c>
    </row>
    <row r="190" spans="2:8" s="91" customFormat="1" ht="30" outlineLevel="1" x14ac:dyDescent="0.25">
      <c r="B190" s="160">
        <v>51600020</v>
      </c>
      <c r="C190" s="141" t="s">
        <v>148</v>
      </c>
      <c r="D190" s="145" t="s">
        <v>474</v>
      </c>
      <c r="E190" s="161" t="s">
        <v>1053</v>
      </c>
      <c r="H190" s="181">
        <f t="shared" si="12"/>
        <v>51600020</v>
      </c>
    </row>
    <row r="191" spans="2:8" s="91" customFormat="1" outlineLevel="1" x14ac:dyDescent="0.25">
      <c r="B191" s="160">
        <v>51600030</v>
      </c>
      <c r="C191" s="141" t="s">
        <v>150</v>
      </c>
      <c r="D191" s="145" t="s">
        <v>474</v>
      </c>
      <c r="E191" s="161" t="s">
        <v>1053</v>
      </c>
      <c r="H191" s="181">
        <f t="shared" si="12"/>
        <v>51600030</v>
      </c>
    </row>
    <row r="192" spans="2:8" s="91" customFormat="1" ht="30" outlineLevel="1" x14ac:dyDescent="0.25">
      <c r="B192" s="160">
        <v>51600040</v>
      </c>
      <c r="C192" s="141" t="s">
        <v>151</v>
      </c>
      <c r="D192" s="145" t="s">
        <v>474</v>
      </c>
      <c r="E192" s="161" t="s">
        <v>1053</v>
      </c>
      <c r="H192" s="181">
        <f t="shared" si="12"/>
        <v>51600040</v>
      </c>
    </row>
    <row r="193" spans="2:8" s="91" customFormat="1" ht="30" outlineLevel="1" x14ac:dyDescent="0.25">
      <c r="B193" s="160">
        <v>51600050</v>
      </c>
      <c r="C193" s="141" t="s">
        <v>449</v>
      </c>
      <c r="D193" s="145" t="s">
        <v>474</v>
      </c>
      <c r="E193" s="161" t="s">
        <v>1053</v>
      </c>
      <c r="H193" s="181">
        <f t="shared" si="12"/>
        <v>51600050</v>
      </c>
    </row>
    <row r="194" spans="2:8" s="91" customFormat="1" outlineLevel="1" x14ac:dyDescent="0.25">
      <c r="B194" s="160">
        <v>51600070</v>
      </c>
      <c r="C194" s="141" t="s">
        <v>152</v>
      </c>
      <c r="D194" s="145" t="s">
        <v>474</v>
      </c>
      <c r="E194" s="161" t="s">
        <v>1053</v>
      </c>
      <c r="H194" s="181">
        <f t="shared" si="12"/>
        <v>51600070</v>
      </c>
    </row>
    <row r="195" spans="2:8" s="91" customFormat="1" outlineLevel="1" x14ac:dyDescent="0.25">
      <c r="B195" s="160">
        <v>51700010</v>
      </c>
      <c r="C195" s="141" t="s">
        <v>153</v>
      </c>
      <c r="D195" s="145" t="s">
        <v>475</v>
      </c>
      <c r="E195" s="161" t="s">
        <v>1053</v>
      </c>
      <c r="H195" s="181">
        <f t="shared" si="12"/>
        <v>51700010</v>
      </c>
    </row>
    <row r="196" spans="2:8" s="91" customFormat="1" outlineLevel="1" x14ac:dyDescent="0.25">
      <c r="B196" s="160">
        <v>51700030</v>
      </c>
      <c r="C196" s="141" t="s">
        <v>155</v>
      </c>
      <c r="D196" s="145" t="s">
        <v>475</v>
      </c>
      <c r="E196" s="161" t="s">
        <v>1053</v>
      </c>
      <c r="H196" s="181">
        <f t="shared" si="12"/>
        <v>51700030</v>
      </c>
    </row>
    <row r="197" spans="2:8" s="91" customFormat="1" outlineLevel="1" x14ac:dyDescent="0.25">
      <c r="B197" s="160">
        <v>51700040</v>
      </c>
      <c r="C197" s="141" t="s">
        <v>157</v>
      </c>
      <c r="D197" s="145" t="s">
        <v>475</v>
      </c>
      <c r="E197" s="161" t="s">
        <v>1053</v>
      </c>
      <c r="H197" s="181">
        <f t="shared" si="12"/>
        <v>51700040</v>
      </c>
    </row>
    <row r="198" spans="2:8" s="91" customFormat="1" outlineLevel="1" x14ac:dyDescent="0.25">
      <c r="B198" s="160">
        <v>51700050</v>
      </c>
      <c r="C198" s="141" t="s">
        <v>159</v>
      </c>
      <c r="D198" s="145" t="s">
        <v>475</v>
      </c>
      <c r="E198" s="161" t="s">
        <v>1053</v>
      </c>
      <c r="H198" s="181">
        <f t="shared" si="12"/>
        <v>51700050</v>
      </c>
    </row>
    <row r="199" spans="2:8" s="91" customFormat="1" outlineLevel="1" x14ac:dyDescent="0.25">
      <c r="B199" s="160">
        <v>51700060</v>
      </c>
      <c r="C199" s="141" t="s">
        <v>161</v>
      </c>
      <c r="D199" s="145" t="s">
        <v>475</v>
      </c>
      <c r="E199" s="161" t="s">
        <v>1053</v>
      </c>
      <c r="H199" s="181">
        <f t="shared" si="12"/>
        <v>51700060</v>
      </c>
    </row>
    <row r="200" spans="2:8" s="91" customFormat="1" outlineLevel="1" x14ac:dyDescent="0.25">
      <c r="B200" s="160">
        <v>51700070</v>
      </c>
      <c r="C200" s="141" t="s">
        <v>163</v>
      </c>
      <c r="D200" s="145" t="s">
        <v>475</v>
      </c>
      <c r="E200" s="161" t="s">
        <v>1053</v>
      </c>
      <c r="H200" s="181">
        <f t="shared" si="12"/>
        <v>51700070</v>
      </c>
    </row>
    <row r="201" spans="2:8" s="91" customFormat="1" ht="30" outlineLevel="1" x14ac:dyDescent="0.25">
      <c r="B201" s="160">
        <v>51800010</v>
      </c>
      <c r="C201" s="141" t="s">
        <v>165</v>
      </c>
      <c r="D201" s="145" t="s">
        <v>476</v>
      </c>
      <c r="E201" s="161" t="s">
        <v>1053</v>
      </c>
      <c r="H201" s="181">
        <f t="shared" si="12"/>
        <v>51800010</v>
      </c>
    </row>
    <row r="202" spans="2:8" s="91" customFormat="1" outlineLevel="1" x14ac:dyDescent="0.25">
      <c r="B202" s="160">
        <v>51800020</v>
      </c>
      <c r="C202" s="141" t="s">
        <v>168</v>
      </c>
      <c r="D202" s="145" t="s">
        <v>476</v>
      </c>
      <c r="E202" s="161" t="s">
        <v>1053</v>
      </c>
      <c r="H202" s="181">
        <f t="shared" si="12"/>
        <v>51800020</v>
      </c>
    </row>
    <row r="203" spans="2:8" s="91" customFormat="1" outlineLevel="1" x14ac:dyDescent="0.25">
      <c r="B203" s="160">
        <v>51800030</v>
      </c>
      <c r="C203" s="141" t="s">
        <v>170</v>
      </c>
      <c r="D203" s="145" t="s">
        <v>476</v>
      </c>
      <c r="E203" s="161" t="s">
        <v>1053</v>
      </c>
      <c r="H203" s="181">
        <f t="shared" si="12"/>
        <v>51800030</v>
      </c>
    </row>
    <row r="204" spans="2:8" s="91" customFormat="1" outlineLevel="1" x14ac:dyDescent="0.25">
      <c r="B204" s="160">
        <v>51800090</v>
      </c>
      <c r="C204" s="141" t="s">
        <v>172</v>
      </c>
      <c r="D204" s="145" t="s">
        <v>476</v>
      </c>
      <c r="E204" s="161" t="s">
        <v>1053</v>
      </c>
      <c r="H204" s="181">
        <f t="shared" si="12"/>
        <v>51800090</v>
      </c>
    </row>
    <row r="205" spans="2:8" s="91" customFormat="1" outlineLevel="1" x14ac:dyDescent="0.25">
      <c r="B205" s="160">
        <v>51900010</v>
      </c>
      <c r="C205" s="141" t="s">
        <v>174</v>
      </c>
      <c r="D205" s="145" t="s">
        <v>340</v>
      </c>
      <c r="E205" s="161" t="s">
        <v>1053</v>
      </c>
      <c r="H205" s="181">
        <f t="shared" si="12"/>
        <v>51900010</v>
      </c>
    </row>
    <row r="206" spans="2:8" s="91" customFormat="1" outlineLevel="1" x14ac:dyDescent="0.25">
      <c r="B206" s="160">
        <v>51900020</v>
      </c>
      <c r="C206" s="141" t="s">
        <v>177</v>
      </c>
      <c r="D206" s="145" t="s">
        <v>340</v>
      </c>
      <c r="E206" s="161" t="s">
        <v>1053</v>
      </c>
      <c r="H206" s="181">
        <f t="shared" si="12"/>
        <v>51900020</v>
      </c>
    </row>
    <row r="207" spans="2:8" s="91" customFormat="1" outlineLevel="1" x14ac:dyDescent="0.25">
      <c r="B207" s="160">
        <v>51900030</v>
      </c>
      <c r="C207" s="141" t="s">
        <v>180</v>
      </c>
      <c r="D207" s="145" t="s">
        <v>340</v>
      </c>
      <c r="E207" s="161" t="s">
        <v>1053</v>
      </c>
      <c r="H207" s="181">
        <f t="shared" si="12"/>
        <v>51900030</v>
      </c>
    </row>
    <row r="208" spans="2:8" s="91" customFormat="1" outlineLevel="1" x14ac:dyDescent="0.25">
      <c r="B208" s="160">
        <v>51900040</v>
      </c>
      <c r="C208" s="141" t="s">
        <v>182</v>
      </c>
      <c r="D208" s="145" t="s">
        <v>340</v>
      </c>
      <c r="E208" s="161" t="s">
        <v>1053</v>
      </c>
      <c r="H208" s="181">
        <f t="shared" si="12"/>
        <v>51900040</v>
      </c>
    </row>
    <row r="209" spans="2:8" s="91" customFormat="1" outlineLevel="1" x14ac:dyDescent="0.25">
      <c r="B209" s="160">
        <v>51900090</v>
      </c>
      <c r="C209" s="141" t="s">
        <v>184</v>
      </c>
      <c r="D209" s="145" t="s">
        <v>340</v>
      </c>
      <c r="E209" s="161" t="s">
        <v>1053</v>
      </c>
      <c r="H209" s="181">
        <f t="shared" si="12"/>
        <v>51900090</v>
      </c>
    </row>
    <row r="210" spans="2:8" s="91" customFormat="1" outlineLevel="1" x14ac:dyDescent="0.25">
      <c r="B210" s="160">
        <v>52100010</v>
      </c>
      <c r="C210" s="141" t="s">
        <v>195</v>
      </c>
      <c r="D210" s="145" t="s">
        <v>478</v>
      </c>
      <c r="E210" s="161" t="s">
        <v>1053</v>
      </c>
      <c r="H210" s="181">
        <f t="shared" si="12"/>
        <v>52100010</v>
      </c>
    </row>
    <row r="211" spans="2:8" s="91" customFormat="1" outlineLevel="1" x14ac:dyDescent="0.25">
      <c r="B211" s="160">
        <v>52100020</v>
      </c>
      <c r="C211" s="141" t="s">
        <v>198</v>
      </c>
      <c r="D211" s="145" t="s">
        <v>478</v>
      </c>
      <c r="E211" s="161" t="s">
        <v>1053</v>
      </c>
      <c r="H211" s="181">
        <f t="shared" si="12"/>
        <v>52100020</v>
      </c>
    </row>
    <row r="212" spans="2:8" s="91" customFormat="1" outlineLevel="1" x14ac:dyDescent="0.25">
      <c r="B212" s="160">
        <v>52100030</v>
      </c>
      <c r="C212" s="141" t="s">
        <v>200</v>
      </c>
      <c r="D212" s="145" t="s">
        <v>478</v>
      </c>
      <c r="E212" s="161" t="s">
        <v>1053</v>
      </c>
      <c r="H212" s="181">
        <f t="shared" si="12"/>
        <v>52100030</v>
      </c>
    </row>
    <row r="213" spans="2:8" s="91" customFormat="1" outlineLevel="1" x14ac:dyDescent="0.25">
      <c r="B213" s="160">
        <v>52100040</v>
      </c>
      <c r="C213" s="141" t="s">
        <v>202</v>
      </c>
      <c r="D213" s="145" t="s">
        <v>478</v>
      </c>
      <c r="E213" s="161" t="s">
        <v>1053</v>
      </c>
      <c r="H213" s="181">
        <f t="shared" si="12"/>
        <v>52100040</v>
      </c>
    </row>
    <row r="214" spans="2:8" s="91" customFormat="1" outlineLevel="1" x14ac:dyDescent="0.25">
      <c r="B214" s="160">
        <v>52100050</v>
      </c>
      <c r="C214" s="141" t="s">
        <v>204</v>
      </c>
      <c r="D214" s="145" t="s">
        <v>478</v>
      </c>
      <c r="E214" s="161" t="s">
        <v>1053</v>
      </c>
      <c r="H214" s="181">
        <f t="shared" si="12"/>
        <v>52100050</v>
      </c>
    </row>
    <row r="215" spans="2:8" s="91" customFormat="1" outlineLevel="1" x14ac:dyDescent="0.25">
      <c r="B215" s="160">
        <v>52200010</v>
      </c>
      <c r="C215" s="141" t="s">
        <v>206</v>
      </c>
      <c r="D215" s="145" t="s">
        <v>479</v>
      </c>
      <c r="E215" s="161" t="s">
        <v>1053</v>
      </c>
      <c r="H215" s="181">
        <f t="shared" si="12"/>
        <v>52200010</v>
      </c>
    </row>
    <row r="216" spans="2:8" s="91" customFormat="1" outlineLevel="1" x14ac:dyDescent="0.25">
      <c r="B216" s="160">
        <v>52200020</v>
      </c>
      <c r="C216" s="141" t="s">
        <v>208</v>
      </c>
      <c r="D216" s="145" t="s">
        <v>479</v>
      </c>
      <c r="E216" s="161" t="s">
        <v>1053</v>
      </c>
      <c r="H216" s="181">
        <f t="shared" ref="H216:H227" si="13">B216</f>
        <v>52200020</v>
      </c>
    </row>
    <row r="217" spans="2:8" s="91" customFormat="1" outlineLevel="1" x14ac:dyDescent="0.25">
      <c r="B217" s="160">
        <v>52300010</v>
      </c>
      <c r="C217" s="141" t="s">
        <v>210</v>
      </c>
      <c r="D217" s="145" t="s">
        <v>480</v>
      </c>
      <c r="E217" s="161" t="s">
        <v>1053</v>
      </c>
      <c r="H217" s="181">
        <f t="shared" si="13"/>
        <v>52300010</v>
      </c>
    </row>
    <row r="218" spans="2:8" s="91" customFormat="1" outlineLevel="1" x14ac:dyDescent="0.25">
      <c r="B218" s="160">
        <v>52300020</v>
      </c>
      <c r="C218" s="141" t="s">
        <v>212</v>
      </c>
      <c r="D218" s="145" t="s">
        <v>480</v>
      </c>
      <c r="E218" s="161" t="s">
        <v>1053</v>
      </c>
      <c r="H218" s="181">
        <f t="shared" si="13"/>
        <v>52300020</v>
      </c>
    </row>
    <row r="219" spans="2:8" s="91" customFormat="1" outlineLevel="1" x14ac:dyDescent="0.25">
      <c r="B219" s="160">
        <v>52400030</v>
      </c>
      <c r="C219" s="141" t="s">
        <v>214</v>
      </c>
      <c r="D219" s="145" t="s">
        <v>481</v>
      </c>
      <c r="E219" s="161" t="s">
        <v>1053</v>
      </c>
      <c r="H219" s="181">
        <f t="shared" si="13"/>
        <v>52400030</v>
      </c>
    </row>
    <row r="220" spans="2:8" s="91" customFormat="1" outlineLevel="1" x14ac:dyDescent="0.25">
      <c r="B220" s="160">
        <v>52400040</v>
      </c>
      <c r="C220" s="141" t="s">
        <v>216</v>
      </c>
      <c r="D220" s="145" t="s">
        <v>481</v>
      </c>
      <c r="E220" s="161" t="s">
        <v>1053</v>
      </c>
      <c r="H220" s="181">
        <f t="shared" si="13"/>
        <v>52400040</v>
      </c>
    </row>
    <row r="221" spans="2:8" s="91" customFormat="1" outlineLevel="1" x14ac:dyDescent="0.25">
      <c r="B221" s="160">
        <v>52400060</v>
      </c>
      <c r="C221" s="141" t="s">
        <v>452</v>
      </c>
      <c r="D221" s="145" t="s">
        <v>481</v>
      </c>
      <c r="E221" s="161" t="s">
        <v>1053</v>
      </c>
      <c r="H221" s="181">
        <f t="shared" si="13"/>
        <v>52400060</v>
      </c>
    </row>
    <row r="222" spans="2:8" s="91" customFormat="1" outlineLevel="1" x14ac:dyDescent="0.25">
      <c r="B222" s="160">
        <v>52500010</v>
      </c>
      <c r="C222" s="141" t="s">
        <v>218</v>
      </c>
      <c r="D222" s="145" t="s">
        <v>218</v>
      </c>
      <c r="E222" s="161" t="s">
        <v>1053</v>
      </c>
      <c r="H222" s="181">
        <f t="shared" si="13"/>
        <v>52500010</v>
      </c>
    </row>
    <row r="223" spans="2:8" s="91" customFormat="1" outlineLevel="1" x14ac:dyDescent="0.25">
      <c r="B223" s="160">
        <v>52600020</v>
      </c>
      <c r="C223" s="141" t="s">
        <v>223</v>
      </c>
      <c r="D223" s="145" t="s">
        <v>482</v>
      </c>
      <c r="E223" s="161" t="s">
        <v>1053</v>
      </c>
      <c r="H223" s="181">
        <f t="shared" si="13"/>
        <v>52600020</v>
      </c>
    </row>
    <row r="224" spans="2:8" s="91" customFormat="1" outlineLevel="1" x14ac:dyDescent="0.25">
      <c r="B224" s="160">
        <v>52600030</v>
      </c>
      <c r="C224" s="141" t="s">
        <v>226</v>
      </c>
      <c r="D224" s="145" t="s">
        <v>482</v>
      </c>
      <c r="E224" s="161" t="s">
        <v>1053</v>
      </c>
      <c r="H224" s="181">
        <f t="shared" si="13"/>
        <v>52600030</v>
      </c>
    </row>
    <row r="225" spans="2:9" s="91" customFormat="1" outlineLevel="1" x14ac:dyDescent="0.25">
      <c r="B225" s="160">
        <v>52900010</v>
      </c>
      <c r="C225" s="141" t="s">
        <v>228</v>
      </c>
      <c r="D225" s="145" t="s">
        <v>483</v>
      </c>
      <c r="E225" s="161" t="s">
        <v>1053</v>
      </c>
      <c r="H225" s="181">
        <f t="shared" si="13"/>
        <v>52900010</v>
      </c>
    </row>
    <row r="226" spans="2:9" s="91" customFormat="1" outlineLevel="1" x14ac:dyDescent="0.25">
      <c r="B226" s="160">
        <v>52900020</v>
      </c>
      <c r="C226" s="141" t="s">
        <v>230</v>
      </c>
      <c r="D226" s="145" t="s">
        <v>483</v>
      </c>
      <c r="E226" s="161" t="s">
        <v>1053</v>
      </c>
      <c r="H226" s="181">
        <f t="shared" si="13"/>
        <v>52900020</v>
      </c>
    </row>
    <row r="227" spans="2:9" s="91" customFormat="1" outlineLevel="1" x14ac:dyDescent="0.25">
      <c r="B227" s="160">
        <v>53100010</v>
      </c>
      <c r="C227" s="141" t="s">
        <v>455</v>
      </c>
      <c r="D227" s="145" t="s">
        <v>455</v>
      </c>
      <c r="E227" s="161" t="s">
        <v>1053</v>
      </c>
      <c r="H227" s="181">
        <f t="shared" si="13"/>
        <v>53100010</v>
      </c>
    </row>
    <row r="228" spans="2:9" s="91" customFormat="1" outlineLevel="1" x14ac:dyDescent="0.25">
      <c r="B228" s="163"/>
      <c r="C228" s="150"/>
      <c r="D228" s="151"/>
      <c r="E228" s="151"/>
      <c r="H228" s="181"/>
      <c r="I228" s="181"/>
    </row>
    <row r="229" spans="2:9" s="91" customFormat="1" outlineLevel="1" x14ac:dyDescent="0.25">
      <c r="H229" s="181"/>
      <c r="I229" s="181"/>
    </row>
    <row r="230" spans="2:9" s="91" customFormat="1" outlineLevel="1" x14ac:dyDescent="0.25">
      <c r="H230" s="181"/>
      <c r="I230" s="181"/>
    </row>
    <row r="231" spans="2:9" s="91" customFormat="1" x14ac:dyDescent="0.25">
      <c r="B231" s="127" t="s">
        <v>1132</v>
      </c>
      <c r="H231" s="181"/>
      <c r="I231" s="181"/>
    </row>
    <row r="232" spans="2:9" s="91" customFormat="1" outlineLevel="1" x14ac:dyDescent="0.25">
      <c r="B232" s="107" t="s">
        <v>1046</v>
      </c>
      <c r="C232" s="107" t="s">
        <v>1047</v>
      </c>
      <c r="D232" s="129" t="s">
        <v>1049</v>
      </c>
      <c r="E232" s="129" t="s">
        <v>1050</v>
      </c>
      <c r="H232" s="107" t="s">
        <v>1046</v>
      </c>
      <c r="I232" s="107" t="s">
        <v>489</v>
      </c>
    </row>
    <row r="233" spans="2:9" s="91" customFormat="1" outlineLevel="1" x14ac:dyDescent="0.25">
      <c r="B233" s="160">
        <v>60100010</v>
      </c>
      <c r="C233" s="141" t="s">
        <v>73</v>
      </c>
      <c r="D233" s="161" t="s">
        <v>485</v>
      </c>
      <c r="E233" s="161" t="s">
        <v>50</v>
      </c>
      <c r="H233" s="181">
        <f t="shared" ref="H233:H266" si="14">B233</f>
        <v>60100010</v>
      </c>
      <c r="I233" s="91" t="s">
        <v>490</v>
      </c>
    </row>
    <row r="234" spans="2:9" s="91" customFormat="1" outlineLevel="1" x14ac:dyDescent="0.25">
      <c r="B234" s="160">
        <v>60100020</v>
      </c>
      <c r="C234" s="141" t="s">
        <v>75</v>
      </c>
      <c r="D234" s="162" t="s">
        <v>485</v>
      </c>
      <c r="E234" s="162" t="s">
        <v>50</v>
      </c>
      <c r="H234" s="181">
        <f t="shared" si="14"/>
        <v>60100020</v>
      </c>
      <c r="I234" s="91" t="s">
        <v>490</v>
      </c>
    </row>
    <row r="235" spans="2:9" s="91" customFormat="1" outlineLevel="1" x14ac:dyDescent="0.25">
      <c r="B235" s="160">
        <v>60100030</v>
      </c>
      <c r="C235" s="141" t="s">
        <v>77</v>
      </c>
      <c r="D235" s="141" t="s">
        <v>485</v>
      </c>
      <c r="E235" s="162" t="s">
        <v>50</v>
      </c>
      <c r="H235" s="181">
        <f t="shared" si="14"/>
        <v>60100030</v>
      </c>
      <c r="I235" s="91" t="s">
        <v>490</v>
      </c>
    </row>
    <row r="236" spans="2:9" s="91" customFormat="1" outlineLevel="1" x14ac:dyDescent="0.25">
      <c r="B236" s="160">
        <v>60100040</v>
      </c>
      <c r="C236" s="141" t="s">
        <v>79</v>
      </c>
      <c r="D236" s="141" t="s">
        <v>485</v>
      </c>
      <c r="E236" s="162" t="s">
        <v>50</v>
      </c>
      <c r="H236" s="181">
        <f t="shared" si="14"/>
        <v>60100040</v>
      </c>
      <c r="I236" s="91" t="s">
        <v>490</v>
      </c>
    </row>
    <row r="237" spans="2:9" s="91" customFormat="1" outlineLevel="1" x14ac:dyDescent="0.25">
      <c r="B237" s="160">
        <v>60100050</v>
      </c>
      <c r="C237" s="141" t="s">
        <v>81</v>
      </c>
      <c r="D237" s="141" t="s">
        <v>485</v>
      </c>
      <c r="E237" s="162" t="s">
        <v>50</v>
      </c>
      <c r="H237" s="181">
        <f t="shared" si="14"/>
        <v>60100050</v>
      </c>
      <c r="I237" s="91" t="s">
        <v>490</v>
      </c>
    </row>
    <row r="238" spans="2:9" s="91" customFormat="1" outlineLevel="1" x14ac:dyDescent="0.25">
      <c r="B238" s="160">
        <v>60100060</v>
      </c>
      <c r="C238" s="141" t="s">
        <v>83</v>
      </c>
      <c r="D238" s="141" t="s">
        <v>485</v>
      </c>
      <c r="E238" s="162" t="s">
        <v>50</v>
      </c>
      <c r="H238" s="181">
        <f t="shared" si="14"/>
        <v>60100060</v>
      </c>
      <c r="I238" s="91" t="s">
        <v>490</v>
      </c>
    </row>
    <row r="239" spans="2:9" s="91" customFormat="1" outlineLevel="1" x14ac:dyDescent="0.25">
      <c r="B239" s="160">
        <v>60100070</v>
      </c>
      <c r="C239" s="141" t="s">
        <v>85</v>
      </c>
      <c r="D239" s="141" t="s">
        <v>485</v>
      </c>
      <c r="E239" s="162" t="s">
        <v>50</v>
      </c>
      <c r="H239" s="181">
        <f t="shared" si="14"/>
        <v>60100070</v>
      </c>
      <c r="I239" s="91" t="s">
        <v>490</v>
      </c>
    </row>
    <row r="240" spans="2:9" s="91" customFormat="1" outlineLevel="1" x14ac:dyDescent="0.25">
      <c r="B240" s="160">
        <v>60100080</v>
      </c>
      <c r="C240" s="141" t="s">
        <v>87</v>
      </c>
      <c r="D240" s="145" t="s">
        <v>485</v>
      </c>
      <c r="E240" s="162" t="s">
        <v>50</v>
      </c>
      <c r="H240" s="181">
        <f t="shared" si="14"/>
        <v>60100080</v>
      </c>
      <c r="I240" s="91" t="s">
        <v>490</v>
      </c>
    </row>
    <row r="241" spans="2:9" s="91" customFormat="1" outlineLevel="1" x14ac:dyDescent="0.25">
      <c r="B241" s="160">
        <v>60100090</v>
      </c>
      <c r="C241" s="141" t="s">
        <v>89</v>
      </c>
      <c r="D241" s="145" t="s">
        <v>485</v>
      </c>
      <c r="E241" s="162" t="s">
        <v>50</v>
      </c>
      <c r="H241" s="181">
        <f t="shared" si="14"/>
        <v>60100090</v>
      </c>
      <c r="I241" s="91" t="s">
        <v>490</v>
      </c>
    </row>
    <row r="242" spans="2:9" s="91" customFormat="1" outlineLevel="1" x14ac:dyDescent="0.25">
      <c r="B242" s="160">
        <v>60100100</v>
      </c>
      <c r="C242" s="141" t="s">
        <v>91</v>
      </c>
      <c r="D242" s="145" t="s">
        <v>485</v>
      </c>
      <c r="E242" s="162" t="s">
        <v>50</v>
      </c>
      <c r="H242" s="181">
        <f t="shared" si="14"/>
        <v>60100100</v>
      </c>
      <c r="I242" s="91" t="s">
        <v>490</v>
      </c>
    </row>
    <row r="243" spans="2:9" s="91" customFormat="1" outlineLevel="1" x14ac:dyDescent="0.25">
      <c r="B243" s="160">
        <v>60100110</v>
      </c>
      <c r="C243" s="141" t="s">
        <v>93</v>
      </c>
      <c r="D243" s="145" t="s">
        <v>485</v>
      </c>
      <c r="E243" s="162" t="s">
        <v>50</v>
      </c>
      <c r="H243" s="181">
        <f t="shared" si="14"/>
        <v>60100110</v>
      </c>
      <c r="I243" s="91" t="s">
        <v>490</v>
      </c>
    </row>
    <row r="244" spans="2:9" s="91" customFormat="1" outlineLevel="1" x14ac:dyDescent="0.25">
      <c r="B244" s="160">
        <v>60100120</v>
      </c>
      <c r="C244" s="141" t="s">
        <v>1144</v>
      </c>
      <c r="D244" s="145" t="s">
        <v>485</v>
      </c>
      <c r="E244" s="162" t="s">
        <v>50</v>
      </c>
      <c r="H244" s="181">
        <f t="shared" si="14"/>
        <v>60100120</v>
      </c>
      <c r="I244" s="91" t="s">
        <v>490</v>
      </c>
    </row>
    <row r="245" spans="2:9" s="91" customFormat="1" outlineLevel="1" x14ac:dyDescent="0.25">
      <c r="B245" s="160">
        <v>60100990</v>
      </c>
      <c r="C245" s="141" t="s">
        <v>95</v>
      </c>
      <c r="D245" s="145" t="s">
        <v>485</v>
      </c>
      <c r="E245" s="162" t="s">
        <v>50</v>
      </c>
      <c r="H245" s="181">
        <f t="shared" si="14"/>
        <v>60100990</v>
      </c>
      <c r="I245" s="91" t="s">
        <v>490</v>
      </c>
    </row>
    <row r="246" spans="2:9" s="91" customFormat="1" outlineLevel="1" x14ac:dyDescent="0.25">
      <c r="B246" s="160">
        <v>60200010</v>
      </c>
      <c r="C246" s="141" t="s">
        <v>97</v>
      </c>
      <c r="D246" s="145" t="s">
        <v>465</v>
      </c>
      <c r="E246" s="162" t="s">
        <v>50</v>
      </c>
      <c r="H246" s="181">
        <f t="shared" si="14"/>
        <v>60200010</v>
      </c>
      <c r="I246" s="91" t="s">
        <v>492</v>
      </c>
    </row>
    <row r="247" spans="2:9" s="91" customFormat="1" outlineLevel="1" x14ac:dyDescent="0.25">
      <c r="B247" s="160">
        <v>60300010</v>
      </c>
      <c r="C247" s="141" t="s">
        <v>100</v>
      </c>
      <c r="D247" s="145" t="s">
        <v>486</v>
      </c>
      <c r="E247" s="162" t="s">
        <v>50</v>
      </c>
      <c r="H247" s="181">
        <f t="shared" si="14"/>
        <v>60300010</v>
      </c>
      <c r="I247" s="91" t="s">
        <v>466</v>
      </c>
    </row>
    <row r="248" spans="2:9" s="91" customFormat="1" outlineLevel="1" x14ac:dyDescent="0.25">
      <c r="B248" s="160">
        <v>60600010</v>
      </c>
      <c r="C248" s="141" t="s">
        <v>424</v>
      </c>
      <c r="D248" s="145" t="s">
        <v>467</v>
      </c>
      <c r="E248" s="161" t="s">
        <v>106</v>
      </c>
      <c r="H248" s="181">
        <f t="shared" si="14"/>
        <v>60600010</v>
      </c>
      <c r="I248" s="91" t="s">
        <v>467</v>
      </c>
    </row>
    <row r="249" spans="2:9" s="91" customFormat="1" outlineLevel="1" x14ac:dyDescent="0.25">
      <c r="B249" s="160">
        <v>60600020</v>
      </c>
      <c r="C249" s="141" t="s">
        <v>425</v>
      </c>
      <c r="D249" s="145" t="s">
        <v>467</v>
      </c>
      <c r="E249" s="161" t="s">
        <v>106</v>
      </c>
      <c r="H249" s="181">
        <f t="shared" si="14"/>
        <v>60600020</v>
      </c>
      <c r="I249" s="91" t="s">
        <v>467</v>
      </c>
    </row>
    <row r="250" spans="2:9" s="91" customFormat="1" ht="30" outlineLevel="1" x14ac:dyDescent="0.25">
      <c r="B250" s="160">
        <v>60600030</v>
      </c>
      <c r="C250" s="141" t="s">
        <v>426</v>
      </c>
      <c r="D250" s="145" t="s">
        <v>467</v>
      </c>
      <c r="E250" s="161" t="s">
        <v>106</v>
      </c>
      <c r="H250" s="181">
        <f t="shared" si="14"/>
        <v>60600030</v>
      </c>
      <c r="I250" s="91" t="s">
        <v>467</v>
      </c>
    </row>
    <row r="251" spans="2:9" s="91" customFormat="1" outlineLevel="1" x14ac:dyDescent="0.25">
      <c r="B251" s="160">
        <v>60600050</v>
      </c>
      <c r="C251" s="141" t="s">
        <v>113</v>
      </c>
      <c r="D251" s="145" t="s">
        <v>467</v>
      </c>
      <c r="E251" s="161" t="s">
        <v>1053</v>
      </c>
      <c r="H251" s="181">
        <f t="shared" si="14"/>
        <v>60600050</v>
      </c>
      <c r="I251" s="91" t="s">
        <v>467</v>
      </c>
    </row>
    <row r="252" spans="2:9" s="91" customFormat="1" outlineLevel="1" x14ac:dyDescent="0.25">
      <c r="B252" s="160">
        <v>60700010</v>
      </c>
      <c r="C252" s="141" t="s">
        <v>115</v>
      </c>
      <c r="D252" s="145" t="s">
        <v>115</v>
      </c>
      <c r="E252" s="161" t="s">
        <v>106</v>
      </c>
      <c r="H252" s="181">
        <f t="shared" si="14"/>
        <v>60700010</v>
      </c>
      <c r="I252" s="91" t="s">
        <v>115</v>
      </c>
    </row>
    <row r="253" spans="2:9" s="91" customFormat="1" outlineLevel="1" x14ac:dyDescent="0.25">
      <c r="B253" s="160">
        <v>60800010</v>
      </c>
      <c r="C253" s="141" t="s">
        <v>117</v>
      </c>
      <c r="D253" s="145" t="s">
        <v>487</v>
      </c>
      <c r="E253" s="161" t="s">
        <v>1053</v>
      </c>
      <c r="H253" s="181">
        <f t="shared" si="14"/>
        <v>60800010</v>
      </c>
      <c r="I253" s="91" t="s">
        <v>493</v>
      </c>
    </row>
    <row r="254" spans="2:9" s="91" customFormat="1" ht="30" outlineLevel="1" x14ac:dyDescent="0.25">
      <c r="B254" s="160">
        <v>60800020</v>
      </c>
      <c r="C254" s="141" t="s">
        <v>119</v>
      </c>
      <c r="D254" s="145" t="s">
        <v>487</v>
      </c>
      <c r="E254" s="161" t="s">
        <v>1053</v>
      </c>
      <c r="H254" s="181">
        <f t="shared" si="14"/>
        <v>60800020</v>
      </c>
      <c r="I254" s="91" t="s">
        <v>493</v>
      </c>
    </row>
    <row r="255" spans="2:9" s="91" customFormat="1" outlineLevel="1" x14ac:dyDescent="0.25">
      <c r="B255" s="160">
        <v>60800030</v>
      </c>
      <c r="C255" s="141" t="s">
        <v>122</v>
      </c>
      <c r="D255" s="145" t="s">
        <v>487</v>
      </c>
      <c r="E255" s="161" t="s">
        <v>1053</v>
      </c>
      <c r="H255" s="181">
        <f t="shared" si="14"/>
        <v>60800030</v>
      </c>
      <c r="I255" s="91" t="s">
        <v>493</v>
      </c>
    </row>
    <row r="256" spans="2:9" s="91" customFormat="1" outlineLevel="1" x14ac:dyDescent="0.25">
      <c r="B256" s="160">
        <v>60800040</v>
      </c>
      <c r="C256" s="141" t="s">
        <v>124</v>
      </c>
      <c r="D256" s="145" t="s">
        <v>487</v>
      </c>
      <c r="E256" s="161" t="s">
        <v>1053</v>
      </c>
      <c r="H256" s="181">
        <f t="shared" si="14"/>
        <v>60800040</v>
      </c>
      <c r="I256" s="91" t="s">
        <v>493</v>
      </c>
    </row>
    <row r="257" spans="2:9" s="91" customFormat="1" outlineLevel="1" x14ac:dyDescent="0.25">
      <c r="B257" s="160">
        <v>60800050</v>
      </c>
      <c r="C257" s="141" t="s">
        <v>126</v>
      </c>
      <c r="D257" s="145" t="s">
        <v>487</v>
      </c>
      <c r="E257" s="161" t="s">
        <v>1053</v>
      </c>
      <c r="H257" s="181">
        <f t="shared" si="14"/>
        <v>60800050</v>
      </c>
      <c r="I257" s="91" t="s">
        <v>493</v>
      </c>
    </row>
    <row r="258" spans="2:9" s="91" customFormat="1" ht="30" outlineLevel="1" x14ac:dyDescent="0.25">
      <c r="B258" s="160">
        <v>60800060</v>
      </c>
      <c r="C258" s="141" t="s">
        <v>128</v>
      </c>
      <c r="D258" s="145" t="s">
        <v>487</v>
      </c>
      <c r="E258" s="161" t="s">
        <v>1053</v>
      </c>
      <c r="H258" s="181">
        <f t="shared" si="14"/>
        <v>60800060</v>
      </c>
      <c r="I258" s="91" t="s">
        <v>493</v>
      </c>
    </row>
    <row r="259" spans="2:9" s="91" customFormat="1" outlineLevel="1" x14ac:dyDescent="0.25">
      <c r="B259" s="160">
        <v>60800070</v>
      </c>
      <c r="C259" s="141" t="s">
        <v>131</v>
      </c>
      <c r="D259" s="145" t="s">
        <v>487</v>
      </c>
      <c r="E259" s="161" t="s">
        <v>1053</v>
      </c>
      <c r="H259" s="181">
        <f t="shared" si="14"/>
        <v>60800070</v>
      </c>
      <c r="I259" s="91" t="s">
        <v>493</v>
      </c>
    </row>
    <row r="260" spans="2:9" s="91" customFormat="1" outlineLevel="1" x14ac:dyDescent="0.25">
      <c r="B260" s="160">
        <v>60800080</v>
      </c>
      <c r="C260" s="141" t="s">
        <v>133</v>
      </c>
      <c r="D260" s="145" t="s">
        <v>487</v>
      </c>
      <c r="E260" s="161" t="s">
        <v>1053</v>
      </c>
      <c r="H260" s="181">
        <f t="shared" si="14"/>
        <v>60800080</v>
      </c>
      <c r="I260" s="91" t="s">
        <v>493</v>
      </c>
    </row>
    <row r="261" spans="2:9" s="91" customFormat="1" outlineLevel="1" x14ac:dyDescent="0.25">
      <c r="B261" s="160">
        <v>61100010</v>
      </c>
      <c r="C261" s="141" t="s">
        <v>428</v>
      </c>
      <c r="D261" s="145" t="s">
        <v>469</v>
      </c>
      <c r="E261" s="161" t="s">
        <v>938</v>
      </c>
      <c r="H261" s="181">
        <f t="shared" si="14"/>
        <v>61100010</v>
      </c>
      <c r="I261" s="91" t="s">
        <v>469</v>
      </c>
    </row>
    <row r="262" spans="2:9" s="91" customFormat="1" outlineLevel="1" x14ac:dyDescent="0.25">
      <c r="B262" s="160">
        <v>61200010</v>
      </c>
      <c r="C262" s="141" t="s">
        <v>429</v>
      </c>
      <c r="D262" s="145" t="s">
        <v>470</v>
      </c>
      <c r="E262" s="161" t="s">
        <v>1151</v>
      </c>
      <c r="H262" s="181">
        <f t="shared" si="14"/>
        <v>61200010</v>
      </c>
      <c r="I262" s="91" t="s">
        <v>494</v>
      </c>
    </row>
    <row r="263" spans="2:9" s="91" customFormat="1" outlineLevel="1" x14ac:dyDescent="0.25">
      <c r="B263" s="160">
        <v>61200020</v>
      </c>
      <c r="C263" s="141" t="s">
        <v>430</v>
      </c>
      <c r="D263" s="145" t="s">
        <v>470</v>
      </c>
      <c r="E263" s="161" t="s">
        <v>1151</v>
      </c>
      <c r="H263" s="181">
        <f t="shared" si="14"/>
        <v>61200020</v>
      </c>
      <c r="I263" s="91" t="s">
        <v>494</v>
      </c>
    </row>
    <row r="264" spans="2:9" s="91" customFormat="1" outlineLevel="1" x14ac:dyDescent="0.25">
      <c r="B264" s="160">
        <v>61200030</v>
      </c>
      <c r="C264" s="141" t="s">
        <v>431</v>
      </c>
      <c r="D264" s="145" t="s">
        <v>470</v>
      </c>
      <c r="E264" s="161" t="s">
        <v>1151</v>
      </c>
      <c r="H264" s="181">
        <f t="shared" si="14"/>
        <v>61200030</v>
      </c>
      <c r="I264" s="91" t="s">
        <v>494</v>
      </c>
    </row>
    <row r="265" spans="2:9" s="91" customFormat="1" outlineLevel="1" x14ac:dyDescent="0.25">
      <c r="B265" s="160">
        <v>61200040</v>
      </c>
      <c r="C265" s="141" t="s">
        <v>432</v>
      </c>
      <c r="D265" s="145" t="s">
        <v>470</v>
      </c>
      <c r="E265" s="161" t="s">
        <v>1151</v>
      </c>
      <c r="H265" s="181">
        <f t="shared" si="14"/>
        <v>61200040</v>
      </c>
      <c r="I265" s="91" t="s">
        <v>494</v>
      </c>
    </row>
    <row r="266" spans="2:9" s="91" customFormat="1" outlineLevel="1" x14ac:dyDescent="0.25">
      <c r="B266" s="160">
        <v>61200050</v>
      </c>
      <c r="C266" s="141" t="s">
        <v>433</v>
      </c>
      <c r="D266" s="145" t="s">
        <v>470</v>
      </c>
      <c r="E266" s="161" t="s">
        <v>1151</v>
      </c>
      <c r="H266" s="181">
        <f t="shared" si="14"/>
        <v>61200050</v>
      </c>
      <c r="I266" s="91" t="s">
        <v>494</v>
      </c>
    </row>
    <row r="267" spans="2:9" s="91" customFormat="1" outlineLevel="1" x14ac:dyDescent="0.25">
      <c r="B267" s="160">
        <v>61200060</v>
      </c>
      <c r="C267" s="141" t="s">
        <v>434</v>
      </c>
      <c r="D267" s="145" t="s">
        <v>470</v>
      </c>
      <c r="E267" s="161" t="s">
        <v>1151</v>
      </c>
      <c r="H267" s="181">
        <f t="shared" ref="H267:H299" si="15">B267</f>
        <v>61200060</v>
      </c>
      <c r="I267" s="91" t="s">
        <v>494</v>
      </c>
    </row>
    <row r="268" spans="2:9" s="91" customFormat="1" outlineLevel="1" x14ac:dyDescent="0.25">
      <c r="B268" s="160">
        <v>61200070</v>
      </c>
      <c r="C268" s="141" t="s">
        <v>435</v>
      </c>
      <c r="D268" s="145" t="s">
        <v>470</v>
      </c>
      <c r="E268" s="161" t="s">
        <v>1151</v>
      </c>
      <c r="H268" s="181">
        <f t="shared" si="15"/>
        <v>61200070</v>
      </c>
      <c r="I268" s="91" t="s">
        <v>494</v>
      </c>
    </row>
    <row r="269" spans="2:9" s="91" customFormat="1" outlineLevel="1" x14ac:dyDescent="0.25">
      <c r="B269" s="160">
        <v>61200080</v>
      </c>
      <c r="C269" s="141" t="s">
        <v>436</v>
      </c>
      <c r="D269" s="145" t="s">
        <v>470</v>
      </c>
      <c r="E269" s="161" t="s">
        <v>1151</v>
      </c>
      <c r="H269" s="181">
        <f t="shared" si="15"/>
        <v>61200080</v>
      </c>
      <c r="I269" s="91" t="s">
        <v>494</v>
      </c>
    </row>
    <row r="270" spans="2:9" s="91" customFormat="1" outlineLevel="1" x14ac:dyDescent="0.25">
      <c r="B270" s="160">
        <v>61200090</v>
      </c>
      <c r="C270" s="141" t="s">
        <v>437</v>
      </c>
      <c r="D270" s="145" t="s">
        <v>470</v>
      </c>
      <c r="E270" s="161" t="s">
        <v>1151</v>
      </c>
      <c r="H270" s="181">
        <f t="shared" si="15"/>
        <v>61200090</v>
      </c>
      <c r="I270" s="91" t="s">
        <v>494</v>
      </c>
    </row>
    <row r="271" spans="2:9" s="91" customFormat="1" outlineLevel="1" x14ac:dyDescent="0.25">
      <c r="B271" s="160">
        <v>61300010</v>
      </c>
      <c r="C271" s="141" t="s">
        <v>438</v>
      </c>
      <c r="D271" s="145" t="s">
        <v>471</v>
      </c>
      <c r="E271" s="161" t="s">
        <v>1151</v>
      </c>
      <c r="H271" s="181">
        <f t="shared" si="15"/>
        <v>61300010</v>
      </c>
      <c r="I271" s="91" t="s">
        <v>495</v>
      </c>
    </row>
    <row r="272" spans="2:9" s="91" customFormat="1" outlineLevel="1" x14ac:dyDescent="0.25">
      <c r="B272" s="160">
        <v>61300020</v>
      </c>
      <c r="C272" s="141" t="s">
        <v>439</v>
      </c>
      <c r="D272" s="145" t="s">
        <v>471</v>
      </c>
      <c r="E272" s="161" t="s">
        <v>1151</v>
      </c>
      <c r="H272" s="181">
        <f t="shared" si="15"/>
        <v>61300020</v>
      </c>
      <c r="I272" s="91" t="s">
        <v>495</v>
      </c>
    </row>
    <row r="273" spans="2:9" s="91" customFormat="1" outlineLevel="1" x14ac:dyDescent="0.25">
      <c r="B273" s="160">
        <v>61300030</v>
      </c>
      <c r="C273" s="141" t="s">
        <v>440</v>
      </c>
      <c r="D273" s="145" t="s">
        <v>471</v>
      </c>
      <c r="E273" s="161" t="s">
        <v>1151</v>
      </c>
      <c r="H273" s="181">
        <f t="shared" si="15"/>
        <v>61300030</v>
      </c>
      <c r="I273" s="91" t="s">
        <v>495</v>
      </c>
    </row>
    <row r="274" spans="2:9" s="91" customFormat="1" outlineLevel="1" x14ac:dyDescent="0.25">
      <c r="B274" s="160">
        <v>61300040</v>
      </c>
      <c r="C274" s="141" t="s">
        <v>441</v>
      </c>
      <c r="D274" s="145" t="s">
        <v>471</v>
      </c>
      <c r="E274" s="161" t="s">
        <v>1151</v>
      </c>
      <c r="H274" s="181">
        <f t="shared" si="15"/>
        <v>61300040</v>
      </c>
      <c r="I274" s="91" t="s">
        <v>495</v>
      </c>
    </row>
    <row r="275" spans="2:9" s="91" customFormat="1" outlineLevel="1" x14ac:dyDescent="0.25">
      <c r="B275" s="160">
        <v>61300050</v>
      </c>
      <c r="C275" s="141" t="s">
        <v>442</v>
      </c>
      <c r="D275" s="145" t="s">
        <v>471</v>
      </c>
      <c r="E275" s="161" t="s">
        <v>1151</v>
      </c>
      <c r="H275" s="181">
        <f t="shared" si="15"/>
        <v>61300050</v>
      </c>
      <c r="I275" s="91" t="s">
        <v>495</v>
      </c>
    </row>
    <row r="276" spans="2:9" s="91" customFormat="1" outlineLevel="1" x14ac:dyDescent="0.25">
      <c r="B276" s="160">
        <v>61300060</v>
      </c>
      <c r="C276" s="141" t="s">
        <v>443</v>
      </c>
      <c r="D276" s="145" t="s">
        <v>471</v>
      </c>
      <c r="E276" s="161" t="s">
        <v>1151</v>
      </c>
      <c r="H276" s="181">
        <f t="shared" si="15"/>
        <v>61300060</v>
      </c>
      <c r="I276" s="91" t="s">
        <v>495</v>
      </c>
    </row>
    <row r="277" spans="2:9" s="91" customFormat="1" outlineLevel="1" x14ac:dyDescent="0.25">
      <c r="B277" s="160">
        <v>61300070</v>
      </c>
      <c r="C277" s="141" t="s">
        <v>444</v>
      </c>
      <c r="D277" s="145" t="s">
        <v>471</v>
      </c>
      <c r="E277" s="161" t="s">
        <v>1151</v>
      </c>
      <c r="H277" s="181">
        <f t="shared" si="15"/>
        <v>61300070</v>
      </c>
      <c r="I277" s="91" t="s">
        <v>495</v>
      </c>
    </row>
    <row r="278" spans="2:9" s="91" customFormat="1" outlineLevel="1" x14ac:dyDescent="0.25">
      <c r="B278" s="160">
        <v>61300080</v>
      </c>
      <c r="C278" s="141" t="s">
        <v>445</v>
      </c>
      <c r="D278" s="145" t="s">
        <v>471</v>
      </c>
      <c r="E278" s="161" t="s">
        <v>1151</v>
      </c>
      <c r="H278" s="181">
        <f t="shared" si="15"/>
        <v>61300080</v>
      </c>
      <c r="I278" s="91" t="s">
        <v>495</v>
      </c>
    </row>
    <row r="279" spans="2:9" s="91" customFormat="1" outlineLevel="1" x14ac:dyDescent="0.25">
      <c r="B279" s="160">
        <v>61300090</v>
      </c>
      <c r="C279" s="141" t="s">
        <v>446</v>
      </c>
      <c r="D279" s="145" t="s">
        <v>471</v>
      </c>
      <c r="E279" s="161" t="s">
        <v>1151</v>
      </c>
      <c r="H279" s="181">
        <f t="shared" si="15"/>
        <v>61300090</v>
      </c>
      <c r="I279" s="91" t="s">
        <v>495</v>
      </c>
    </row>
    <row r="280" spans="2:9" s="91" customFormat="1" ht="30" outlineLevel="1" x14ac:dyDescent="0.25">
      <c r="B280" s="160">
        <v>61400010</v>
      </c>
      <c r="C280" s="141" t="s">
        <v>135</v>
      </c>
      <c r="D280" s="145" t="s">
        <v>472</v>
      </c>
      <c r="E280" s="161" t="s">
        <v>1170</v>
      </c>
      <c r="H280" s="181">
        <f t="shared" si="15"/>
        <v>61400010</v>
      </c>
      <c r="I280" s="91" t="s">
        <v>496</v>
      </c>
    </row>
    <row r="281" spans="2:9" s="91" customFormat="1" outlineLevel="1" x14ac:dyDescent="0.25">
      <c r="B281" s="160">
        <v>61400020</v>
      </c>
      <c r="C281" s="141" t="s">
        <v>447</v>
      </c>
      <c r="D281" s="145" t="s">
        <v>472</v>
      </c>
      <c r="E281" s="161" t="s">
        <v>1170</v>
      </c>
      <c r="H281" s="181">
        <f t="shared" si="15"/>
        <v>61400020</v>
      </c>
      <c r="I281" s="91" t="s">
        <v>496</v>
      </c>
    </row>
    <row r="282" spans="2:9" s="91" customFormat="1" outlineLevel="1" x14ac:dyDescent="0.25">
      <c r="B282" s="160">
        <v>61400030</v>
      </c>
      <c r="C282" s="141" t="s">
        <v>448</v>
      </c>
      <c r="D282" s="145" t="s">
        <v>472</v>
      </c>
      <c r="E282" s="161" t="s">
        <v>1170</v>
      </c>
      <c r="H282" s="181">
        <f t="shared" si="15"/>
        <v>61400030</v>
      </c>
      <c r="I282" s="91" t="s">
        <v>496</v>
      </c>
    </row>
    <row r="283" spans="2:9" s="91" customFormat="1" outlineLevel="1" x14ac:dyDescent="0.25">
      <c r="B283" s="160">
        <v>61500010</v>
      </c>
      <c r="C283" s="141" t="s">
        <v>141</v>
      </c>
      <c r="D283" s="145" t="s">
        <v>473</v>
      </c>
      <c r="E283" s="161" t="s">
        <v>1053</v>
      </c>
      <c r="H283" s="181">
        <f t="shared" si="15"/>
        <v>61500010</v>
      </c>
      <c r="I283" s="91" t="s">
        <v>497</v>
      </c>
    </row>
    <row r="284" spans="2:9" s="91" customFormat="1" outlineLevel="1" x14ac:dyDescent="0.25">
      <c r="B284" s="160">
        <v>61500020</v>
      </c>
      <c r="C284" s="141" t="s">
        <v>143</v>
      </c>
      <c r="D284" s="145" t="s">
        <v>473</v>
      </c>
      <c r="E284" s="161" t="s">
        <v>50</v>
      </c>
      <c r="H284" s="181">
        <f t="shared" si="15"/>
        <v>61500020</v>
      </c>
      <c r="I284" s="91" t="s">
        <v>497</v>
      </c>
    </row>
    <row r="285" spans="2:9" s="91" customFormat="1" ht="30" outlineLevel="1" x14ac:dyDescent="0.25">
      <c r="B285" s="160">
        <v>61600010</v>
      </c>
      <c r="C285" s="141" t="s">
        <v>1173</v>
      </c>
      <c r="D285" s="145" t="s">
        <v>474</v>
      </c>
      <c r="E285" s="161" t="s">
        <v>106</v>
      </c>
      <c r="H285" s="181">
        <f t="shared" si="15"/>
        <v>61600010</v>
      </c>
      <c r="I285" s="91" t="s">
        <v>498</v>
      </c>
    </row>
    <row r="286" spans="2:9" s="91" customFormat="1" outlineLevel="1" x14ac:dyDescent="0.25">
      <c r="B286" s="160">
        <v>61600030</v>
      </c>
      <c r="C286" s="141" t="s">
        <v>150</v>
      </c>
      <c r="D286" s="145" t="s">
        <v>474</v>
      </c>
      <c r="E286" s="161" t="s">
        <v>106</v>
      </c>
      <c r="H286" s="181">
        <f t="shared" si="15"/>
        <v>61600030</v>
      </c>
      <c r="I286" s="91" t="s">
        <v>498</v>
      </c>
    </row>
    <row r="287" spans="2:9" s="91" customFormat="1" ht="30" outlineLevel="1" x14ac:dyDescent="0.25">
      <c r="B287" s="160">
        <v>61600040</v>
      </c>
      <c r="C287" s="141" t="s">
        <v>151</v>
      </c>
      <c r="D287" s="145" t="s">
        <v>474</v>
      </c>
      <c r="E287" s="161" t="s">
        <v>176</v>
      </c>
      <c r="H287" s="181">
        <f t="shared" si="15"/>
        <v>61600040</v>
      </c>
      <c r="I287" s="91" t="s">
        <v>498</v>
      </c>
    </row>
    <row r="288" spans="2:9" s="91" customFormat="1" ht="30" outlineLevel="1" x14ac:dyDescent="0.25">
      <c r="B288" s="160">
        <v>61600050</v>
      </c>
      <c r="C288" s="141" t="s">
        <v>1177</v>
      </c>
      <c r="D288" s="145" t="s">
        <v>474</v>
      </c>
      <c r="E288" s="161" t="s">
        <v>176</v>
      </c>
      <c r="H288" s="181">
        <f t="shared" si="15"/>
        <v>61600050</v>
      </c>
      <c r="I288" s="91" t="s">
        <v>498</v>
      </c>
    </row>
    <row r="289" spans="2:9" s="91" customFormat="1" outlineLevel="1" x14ac:dyDescent="0.25">
      <c r="B289" s="160">
        <v>61600060</v>
      </c>
      <c r="C289" s="141" t="s">
        <v>1179</v>
      </c>
      <c r="D289" s="145" t="s">
        <v>474</v>
      </c>
      <c r="E289" s="161" t="s">
        <v>106</v>
      </c>
      <c r="H289" s="181">
        <f t="shared" si="15"/>
        <v>61600060</v>
      </c>
      <c r="I289" s="91" t="s">
        <v>498</v>
      </c>
    </row>
    <row r="290" spans="2:9" s="91" customFormat="1" outlineLevel="1" x14ac:dyDescent="0.25">
      <c r="B290" s="160">
        <v>61600070</v>
      </c>
      <c r="C290" s="141" t="s">
        <v>152</v>
      </c>
      <c r="D290" s="145" t="s">
        <v>474</v>
      </c>
      <c r="E290" s="161" t="s">
        <v>106</v>
      </c>
      <c r="H290" s="181">
        <f t="shared" si="15"/>
        <v>61600070</v>
      </c>
      <c r="I290" s="91" t="s">
        <v>498</v>
      </c>
    </row>
    <row r="291" spans="2:9" s="91" customFormat="1" outlineLevel="1" x14ac:dyDescent="0.25">
      <c r="B291" s="160">
        <v>61700010</v>
      </c>
      <c r="C291" s="141" t="s">
        <v>153</v>
      </c>
      <c r="D291" s="145" t="s">
        <v>475</v>
      </c>
      <c r="E291" s="161" t="s">
        <v>1181</v>
      </c>
      <c r="H291" s="181">
        <f t="shared" si="15"/>
        <v>61700010</v>
      </c>
      <c r="I291" s="91" t="s">
        <v>499</v>
      </c>
    </row>
    <row r="292" spans="2:9" s="91" customFormat="1" outlineLevel="1" x14ac:dyDescent="0.25">
      <c r="B292" s="160">
        <v>61700030</v>
      </c>
      <c r="C292" s="141" t="s">
        <v>155</v>
      </c>
      <c r="D292" s="145" t="s">
        <v>475</v>
      </c>
      <c r="E292" s="161" t="s">
        <v>106</v>
      </c>
      <c r="H292" s="181">
        <f t="shared" si="15"/>
        <v>61700030</v>
      </c>
      <c r="I292" s="91" t="s">
        <v>499</v>
      </c>
    </row>
    <row r="293" spans="2:9" s="91" customFormat="1" outlineLevel="1" x14ac:dyDescent="0.25">
      <c r="B293" s="160">
        <v>61700040</v>
      </c>
      <c r="C293" s="141" t="s">
        <v>157</v>
      </c>
      <c r="D293" s="145" t="s">
        <v>475</v>
      </c>
      <c r="E293" s="161" t="s">
        <v>106</v>
      </c>
      <c r="H293" s="181">
        <f t="shared" si="15"/>
        <v>61700040</v>
      </c>
      <c r="I293" s="91" t="s">
        <v>499</v>
      </c>
    </row>
    <row r="294" spans="2:9" s="91" customFormat="1" outlineLevel="1" x14ac:dyDescent="0.25">
      <c r="B294" s="160">
        <v>61700050</v>
      </c>
      <c r="C294" s="141" t="s">
        <v>159</v>
      </c>
      <c r="D294" s="145" t="s">
        <v>475</v>
      </c>
      <c r="E294" s="161" t="s">
        <v>106</v>
      </c>
      <c r="H294" s="181">
        <f t="shared" si="15"/>
        <v>61700050</v>
      </c>
      <c r="I294" s="91" t="s">
        <v>499</v>
      </c>
    </row>
    <row r="295" spans="2:9" s="91" customFormat="1" outlineLevel="1" x14ac:dyDescent="0.25">
      <c r="B295" s="160">
        <v>61700060</v>
      </c>
      <c r="C295" s="141" t="s">
        <v>1182</v>
      </c>
      <c r="D295" s="145" t="s">
        <v>475</v>
      </c>
      <c r="E295" s="161" t="s">
        <v>106</v>
      </c>
      <c r="H295" s="181">
        <f t="shared" si="15"/>
        <v>61700060</v>
      </c>
      <c r="I295" s="91" t="s">
        <v>499</v>
      </c>
    </row>
    <row r="296" spans="2:9" s="91" customFormat="1" outlineLevel="1" x14ac:dyDescent="0.25">
      <c r="B296" s="160">
        <v>61700070</v>
      </c>
      <c r="C296" s="141" t="s">
        <v>163</v>
      </c>
      <c r="D296" s="145" t="s">
        <v>475</v>
      </c>
      <c r="E296" s="161" t="s">
        <v>1053</v>
      </c>
      <c r="H296" s="181">
        <f t="shared" si="15"/>
        <v>61700070</v>
      </c>
      <c r="I296" s="91" t="s">
        <v>499</v>
      </c>
    </row>
    <row r="297" spans="2:9" s="91" customFormat="1" ht="30" outlineLevel="1" x14ac:dyDescent="0.25">
      <c r="B297" s="160">
        <v>61800010</v>
      </c>
      <c r="C297" s="141" t="s">
        <v>165</v>
      </c>
      <c r="D297" s="145" t="s">
        <v>488</v>
      </c>
      <c r="E297" s="161" t="s">
        <v>1053</v>
      </c>
      <c r="H297" s="181">
        <f t="shared" si="15"/>
        <v>61800010</v>
      </c>
      <c r="I297" s="91" t="s">
        <v>500</v>
      </c>
    </row>
    <row r="298" spans="2:9" s="91" customFormat="1" outlineLevel="1" x14ac:dyDescent="0.25">
      <c r="B298" s="160">
        <v>61800020</v>
      </c>
      <c r="C298" s="160" t="s">
        <v>168</v>
      </c>
      <c r="D298" s="160" t="s">
        <v>488</v>
      </c>
      <c r="E298" s="161" t="s">
        <v>1053</v>
      </c>
      <c r="H298" s="181">
        <f t="shared" si="15"/>
        <v>61800020</v>
      </c>
      <c r="I298" s="91" t="s">
        <v>500</v>
      </c>
    </row>
    <row r="299" spans="2:9" s="91" customFormat="1" outlineLevel="1" x14ac:dyDescent="0.25">
      <c r="B299" s="160">
        <v>61800030</v>
      </c>
      <c r="C299" s="160" t="s">
        <v>170</v>
      </c>
      <c r="D299" s="160" t="s">
        <v>488</v>
      </c>
      <c r="E299" s="161" t="s">
        <v>1053</v>
      </c>
      <c r="H299" s="181">
        <f t="shared" si="15"/>
        <v>61800030</v>
      </c>
      <c r="I299" s="91" t="s">
        <v>500</v>
      </c>
    </row>
    <row r="300" spans="2:9" s="91" customFormat="1" outlineLevel="1" x14ac:dyDescent="0.25">
      <c r="B300" s="160">
        <v>61800090</v>
      </c>
      <c r="C300" s="160" t="s">
        <v>172</v>
      </c>
      <c r="D300" s="160" t="s">
        <v>488</v>
      </c>
      <c r="E300" s="161" t="s">
        <v>1053</v>
      </c>
      <c r="H300" s="181">
        <f t="shared" ref="H300:H330" si="16">B300</f>
        <v>61800090</v>
      </c>
      <c r="I300" s="91" t="s">
        <v>500</v>
      </c>
    </row>
    <row r="301" spans="2:9" s="91" customFormat="1" outlineLevel="1" x14ac:dyDescent="0.25">
      <c r="B301" s="160">
        <v>61900010</v>
      </c>
      <c r="C301" s="160" t="s">
        <v>174</v>
      </c>
      <c r="D301" s="160" t="s">
        <v>340</v>
      </c>
      <c r="E301" s="161" t="s">
        <v>1053</v>
      </c>
      <c r="H301" s="181">
        <f t="shared" si="16"/>
        <v>61900010</v>
      </c>
      <c r="I301" s="91" t="s">
        <v>501</v>
      </c>
    </row>
    <row r="302" spans="2:9" s="91" customFormat="1" outlineLevel="1" x14ac:dyDescent="0.25">
      <c r="B302" s="160">
        <v>61900020</v>
      </c>
      <c r="C302" s="160" t="s">
        <v>177</v>
      </c>
      <c r="D302" s="160" t="s">
        <v>340</v>
      </c>
      <c r="E302" s="161" t="s">
        <v>1053</v>
      </c>
      <c r="H302" s="181">
        <f t="shared" si="16"/>
        <v>61900020</v>
      </c>
      <c r="I302" s="91" t="s">
        <v>501</v>
      </c>
    </row>
    <row r="303" spans="2:9" s="91" customFormat="1" outlineLevel="1" x14ac:dyDescent="0.25">
      <c r="B303" s="160">
        <v>61900030</v>
      </c>
      <c r="C303" s="160" t="s">
        <v>180</v>
      </c>
      <c r="D303" s="160" t="s">
        <v>340</v>
      </c>
      <c r="E303" s="161" t="s">
        <v>1053</v>
      </c>
      <c r="H303" s="181">
        <f t="shared" si="16"/>
        <v>61900030</v>
      </c>
      <c r="I303" s="91" t="s">
        <v>501</v>
      </c>
    </row>
    <row r="304" spans="2:9" s="91" customFormat="1" outlineLevel="1" x14ac:dyDescent="0.25">
      <c r="B304" s="160">
        <v>61900040</v>
      </c>
      <c r="C304" s="160" t="s">
        <v>182</v>
      </c>
      <c r="D304" s="160" t="s">
        <v>340</v>
      </c>
      <c r="E304" s="161" t="s">
        <v>1053</v>
      </c>
      <c r="H304" s="181">
        <f t="shared" si="16"/>
        <v>61900040</v>
      </c>
      <c r="I304" s="91" t="s">
        <v>501</v>
      </c>
    </row>
    <row r="305" spans="2:9" s="91" customFormat="1" outlineLevel="1" x14ac:dyDescent="0.25">
      <c r="B305" s="160">
        <v>61900050</v>
      </c>
      <c r="C305" s="160" t="s">
        <v>577</v>
      </c>
      <c r="D305" s="160" t="s">
        <v>340</v>
      </c>
      <c r="E305" s="161" t="s">
        <v>1053</v>
      </c>
      <c r="H305" s="181">
        <f t="shared" si="16"/>
        <v>61900050</v>
      </c>
      <c r="I305" s="91" t="s">
        <v>501</v>
      </c>
    </row>
    <row r="306" spans="2:9" s="91" customFormat="1" outlineLevel="1" x14ac:dyDescent="0.25">
      <c r="B306" s="160">
        <v>61900090</v>
      </c>
      <c r="C306" s="160" t="s">
        <v>184</v>
      </c>
      <c r="D306" s="160" t="s">
        <v>340</v>
      </c>
      <c r="E306" s="161" t="s">
        <v>1053</v>
      </c>
      <c r="H306" s="181">
        <f t="shared" si="16"/>
        <v>61900090</v>
      </c>
      <c r="I306" s="91" t="s">
        <v>501</v>
      </c>
    </row>
    <row r="307" spans="2:9" s="91" customFormat="1" outlineLevel="1" x14ac:dyDescent="0.25">
      <c r="B307" s="160">
        <v>62000010</v>
      </c>
      <c r="C307" s="160" t="s">
        <v>186</v>
      </c>
      <c r="D307" s="160" t="s">
        <v>477</v>
      </c>
      <c r="E307" s="160" t="s">
        <v>236</v>
      </c>
      <c r="H307" s="181">
        <f t="shared" si="16"/>
        <v>62000010</v>
      </c>
      <c r="I307" s="91" t="s">
        <v>502</v>
      </c>
    </row>
    <row r="308" spans="2:9" s="91" customFormat="1" ht="30" outlineLevel="1" x14ac:dyDescent="0.25">
      <c r="B308" s="160">
        <v>62000020</v>
      </c>
      <c r="C308" s="160" t="s">
        <v>189</v>
      </c>
      <c r="D308" s="160" t="s">
        <v>477</v>
      </c>
      <c r="E308" s="160" t="s">
        <v>1189</v>
      </c>
      <c r="H308" s="181">
        <f t="shared" si="16"/>
        <v>62000020</v>
      </c>
      <c r="I308" s="91" t="s">
        <v>502</v>
      </c>
    </row>
    <row r="309" spans="2:9" s="91" customFormat="1" outlineLevel="1" x14ac:dyDescent="0.25">
      <c r="B309" s="160">
        <v>62000040</v>
      </c>
      <c r="C309" s="160" t="s">
        <v>192</v>
      </c>
      <c r="D309" s="160" t="s">
        <v>477</v>
      </c>
      <c r="E309" s="161" t="s">
        <v>1053</v>
      </c>
      <c r="H309" s="181">
        <f t="shared" si="16"/>
        <v>62000040</v>
      </c>
      <c r="I309" s="91" t="s">
        <v>502</v>
      </c>
    </row>
    <row r="310" spans="2:9" s="91" customFormat="1" outlineLevel="1" x14ac:dyDescent="0.25">
      <c r="B310" s="160">
        <v>62100010</v>
      </c>
      <c r="C310" s="160" t="s">
        <v>195</v>
      </c>
      <c r="D310" s="160" t="s">
        <v>478</v>
      </c>
      <c r="E310" s="160" t="s">
        <v>176</v>
      </c>
      <c r="H310" s="181">
        <f t="shared" si="16"/>
        <v>62100010</v>
      </c>
      <c r="I310" s="91" t="s">
        <v>503</v>
      </c>
    </row>
    <row r="311" spans="2:9" s="91" customFormat="1" outlineLevel="1" x14ac:dyDescent="0.25">
      <c r="B311" s="160">
        <v>62100020</v>
      </c>
      <c r="C311" s="160" t="s">
        <v>198</v>
      </c>
      <c r="D311" s="160" t="s">
        <v>478</v>
      </c>
      <c r="E311" s="160" t="s">
        <v>176</v>
      </c>
      <c r="H311" s="181">
        <f t="shared" si="16"/>
        <v>62100020</v>
      </c>
      <c r="I311" s="91" t="s">
        <v>503</v>
      </c>
    </row>
    <row r="312" spans="2:9" s="91" customFormat="1" outlineLevel="1" x14ac:dyDescent="0.25">
      <c r="B312" s="160">
        <v>62100030</v>
      </c>
      <c r="C312" s="160" t="s">
        <v>200</v>
      </c>
      <c r="D312" s="160" t="s">
        <v>478</v>
      </c>
      <c r="E312" s="160" t="s">
        <v>176</v>
      </c>
      <c r="H312" s="181">
        <f t="shared" si="16"/>
        <v>62100030</v>
      </c>
      <c r="I312" s="91" t="s">
        <v>503</v>
      </c>
    </row>
    <row r="313" spans="2:9" s="91" customFormat="1" outlineLevel="1" x14ac:dyDescent="0.25">
      <c r="B313" s="160">
        <v>62100040</v>
      </c>
      <c r="C313" s="160" t="s">
        <v>202</v>
      </c>
      <c r="D313" s="160" t="s">
        <v>478</v>
      </c>
      <c r="E313" s="160" t="s">
        <v>176</v>
      </c>
      <c r="H313" s="181">
        <f t="shared" si="16"/>
        <v>62100040</v>
      </c>
      <c r="I313" s="91" t="s">
        <v>503</v>
      </c>
    </row>
    <row r="314" spans="2:9" s="91" customFormat="1" outlineLevel="1" x14ac:dyDescent="0.25">
      <c r="B314" s="160">
        <v>62100050</v>
      </c>
      <c r="C314" s="160" t="s">
        <v>451</v>
      </c>
      <c r="D314" s="160" t="s">
        <v>478</v>
      </c>
      <c r="E314" s="160" t="s">
        <v>176</v>
      </c>
      <c r="H314" s="181">
        <f t="shared" si="16"/>
        <v>62100050</v>
      </c>
      <c r="I314" s="91" t="s">
        <v>503</v>
      </c>
    </row>
    <row r="315" spans="2:9" s="91" customFormat="1" outlineLevel="1" x14ac:dyDescent="0.25">
      <c r="B315" s="160">
        <v>62200010</v>
      </c>
      <c r="C315" s="160" t="s">
        <v>206</v>
      </c>
      <c r="D315" s="160" t="s">
        <v>479</v>
      </c>
      <c r="E315" s="161" t="s">
        <v>1053</v>
      </c>
      <c r="H315" s="181">
        <f t="shared" si="16"/>
        <v>62200010</v>
      </c>
      <c r="I315" s="91" t="s">
        <v>504</v>
      </c>
    </row>
    <row r="316" spans="2:9" s="91" customFormat="1" outlineLevel="1" x14ac:dyDescent="0.25">
      <c r="B316" s="160">
        <v>62200020</v>
      </c>
      <c r="C316" s="160" t="s">
        <v>208</v>
      </c>
      <c r="D316" s="160" t="s">
        <v>479</v>
      </c>
      <c r="E316" s="161" t="s">
        <v>1053</v>
      </c>
      <c r="H316" s="181">
        <f t="shared" si="16"/>
        <v>62200020</v>
      </c>
      <c r="I316" s="91" t="s">
        <v>504</v>
      </c>
    </row>
    <row r="317" spans="2:9" s="91" customFormat="1" outlineLevel="1" x14ac:dyDescent="0.25">
      <c r="B317" s="160">
        <v>62300010</v>
      </c>
      <c r="C317" s="160" t="s">
        <v>210</v>
      </c>
      <c r="D317" s="160" t="s">
        <v>480</v>
      </c>
      <c r="E317" s="161" t="s">
        <v>1053</v>
      </c>
      <c r="H317" s="181">
        <f t="shared" si="16"/>
        <v>62300010</v>
      </c>
      <c r="I317" s="91" t="s">
        <v>505</v>
      </c>
    </row>
    <row r="318" spans="2:9" s="91" customFormat="1" outlineLevel="1" x14ac:dyDescent="0.25">
      <c r="B318" s="160">
        <v>62300020</v>
      </c>
      <c r="C318" s="160" t="s">
        <v>212</v>
      </c>
      <c r="D318" s="160" t="s">
        <v>480</v>
      </c>
      <c r="E318" s="161" t="s">
        <v>1053</v>
      </c>
      <c r="H318" s="181">
        <f t="shared" si="16"/>
        <v>62300020</v>
      </c>
      <c r="I318" s="91" t="s">
        <v>505</v>
      </c>
    </row>
    <row r="319" spans="2:9" s="91" customFormat="1" outlineLevel="1" x14ac:dyDescent="0.25">
      <c r="B319" s="160">
        <v>62400030</v>
      </c>
      <c r="C319" s="160" t="s">
        <v>214</v>
      </c>
      <c r="D319" s="160" t="s">
        <v>481</v>
      </c>
      <c r="E319" s="161" t="s">
        <v>1053</v>
      </c>
      <c r="H319" s="181">
        <f t="shared" si="16"/>
        <v>62400030</v>
      </c>
      <c r="I319" s="91" t="s">
        <v>506</v>
      </c>
    </row>
    <row r="320" spans="2:9" s="91" customFormat="1" outlineLevel="1" x14ac:dyDescent="0.25">
      <c r="B320" s="160">
        <v>62400040</v>
      </c>
      <c r="C320" s="160" t="s">
        <v>216</v>
      </c>
      <c r="D320" s="160" t="s">
        <v>481</v>
      </c>
      <c r="E320" s="161" t="s">
        <v>1053</v>
      </c>
      <c r="H320" s="181">
        <f t="shared" si="16"/>
        <v>62400040</v>
      </c>
      <c r="I320" s="91" t="s">
        <v>506</v>
      </c>
    </row>
    <row r="321" spans="2:9" s="91" customFormat="1" outlineLevel="1" x14ac:dyDescent="0.25">
      <c r="B321" s="160">
        <v>62400060</v>
      </c>
      <c r="C321" s="160" t="s">
        <v>452</v>
      </c>
      <c r="D321" s="160" t="s">
        <v>481</v>
      </c>
      <c r="E321" s="160" t="s">
        <v>236</v>
      </c>
      <c r="H321" s="181">
        <f t="shared" si="16"/>
        <v>62400060</v>
      </c>
      <c r="I321" s="91" t="s">
        <v>506</v>
      </c>
    </row>
    <row r="322" spans="2:9" s="91" customFormat="1" outlineLevel="1" x14ac:dyDescent="0.25">
      <c r="B322" s="160">
        <v>62500010</v>
      </c>
      <c r="C322" s="160" t="s">
        <v>218</v>
      </c>
      <c r="D322" s="160" t="s">
        <v>218</v>
      </c>
      <c r="E322" s="160" t="s">
        <v>22</v>
      </c>
      <c r="H322" s="181">
        <f t="shared" si="16"/>
        <v>62500010</v>
      </c>
      <c r="I322" s="91" t="s">
        <v>482</v>
      </c>
    </row>
    <row r="323" spans="2:9" s="91" customFormat="1" outlineLevel="1" x14ac:dyDescent="0.25">
      <c r="B323" s="160">
        <v>62600010</v>
      </c>
      <c r="C323" s="160" t="s">
        <v>221</v>
      </c>
      <c r="D323" s="160" t="s">
        <v>482</v>
      </c>
      <c r="E323" s="161" t="s">
        <v>1053</v>
      </c>
      <c r="H323" s="181">
        <f t="shared" si="16"/>
        <v>62600010</v>
      </c>
      <c r="I323" s="91" t="s">
        <v>482</v>
      </c>
    </row>
    <row r="324" spans="2:9" s="91" customFormat="1" outlineLevel="1" x14ac:dyDescent="0.25">
      <c r="B324" s="160">
        <v>62600020</v>
      </c>
      <c r="C324" s="160" t="s">
        <v>223</v>
      </c>
      <c r="D324" s="160" t="s">
        <v>482</v>
      </c>
      <c r="E324" s="161" t="s">
        <v>1053</v>
      </c>
      <c r="H324" s="181">
        <f t="shared" si="16"/>
        <v>62600020</v>
      </c>
      <c r="I324" s="91" t="s">
        <v>482</v>
      </c>
    </row>
    <row r="325" spans="2:9" s="91" customFormat="1" outlineLevel="1" x14ac:dyDescent="0.25">
      <c r="B325" s="160">
        <v>62600030</v>
      </c>
      <c r="C325" s="160" t="s">
        <v>226</v>
      </c>
      <c r="D325" s="160" t="s">
        <v>482</v>
      </c>
      <c r="E325" s="161" t="s">
        <v>1053</v>
      </c>
      <c r="H325" s="181">
        <f t="shared" si="16"/>
        <v>62600030</v>
      </c>
      <c r="I325" s="91" t="s">
        <v>482</v>
      </c>
    </row>
    <row r="326" spans="2:9" s="91" customFormat="1" outlineLevel="1" x14ac:dyDescent="0.25">
      <c r="B326" s="160">
        <v>62700010</v>
      </c>
      <c r="C326" s="160" t="s">
        <v>453</v>
      </c>
      <c r="D326" s="160" t="s">
        <v>453</v>
      </c>
      <c r="E326" s="160" t="s">
        <v>236</v>
      </c>
      <c r="H326" s="181">
        <f t="shared" si="16"/>
        <v>62700010</v>
      </c>
      <c r="I326" s="91" t="s">
        <v>507</v>
      </c>
    </row>
    <row r="327" spans="2:9" s="91" customFormat="1" outlineLevel="1" x14ac:dyDescent="0.25">
      <c r="B327" s="160">
        <v>62800010</v>
      </c>
      <c r="C327" s="160" t="s">
        <v>454</v>
      </c>
      <c r="D327" s="160" t="s">
        <v>454</v>
      </c>
      <c r="E327" s="160" t="s">
        <v>238</v>
      </c>
      <c r="H327" s="181">
        <f t="shared" si="16"/>
        <v>62800010</v>
      </c>
      <c r="I327" s="91" t="s">
        <v>454</v>
      </c>
    </row>
    <row r="328" spans="2:9" s="91" customFormat="1" outlineLevel="1" x14ac:dyDescent="0.25">
      <c r="B328" s="160">
        <v>62900010</v>
      </c>
      <c r="C328" s="160" t="s">
        <v>228</v>
      </c>
      <c r="D328" s="160" t="s">
        <v>483</v>
      </c>
      <c r="E328" s="161" t="s">
        <v>1053</v>
      </c>
      <c r="H328" s="181">
        <f t="shared" si="16"/>
        <v>62900010</v>
      </c>
      <c r="I328" s="91" t="s">
        <v>228</v>
      </c>
    </row>
    <row r="329" spans="2:9" s="91" customFormat="1" outlineLevel="1" x14ac:dyDescent="0.25">
      <c r="B329" s="160">
        <v>62900020</v>
      </c>
      <c r="C329" s="160" t="s">
        <v>230</v>
      </c>
      <c r="D329" s="160" t="s">
        <v>483</v>
      </c>
      <c r="E329" s="161" t="s">
        <v>1053</v>
      </c>
      <c r="H329" s="181">
        <f t="shared" si="16"/>
        <v>62900020</v>
      </c>
      <c r="I329" s="91" t="s">
        <v>230</v>
      </c>
    </row>
    <row r="330" spans="2:9" s="91" customFormat="1" outlineLevel="1" x14ac:dyDescent="0.25">
      <c r="B330" s="160">
        <v>63300010</v>
      </c>
      <c r="C330" s="160" t="s">
        <v>1197</v>
      </c>
      <c r="D330" s="160" t="s">
        <v>340</v>
      </c>
      <c r="E330" s="160"/>
      <c r="H330" s="181">
        <f t="shared" si="16"/>
        <v>63300010</v>
      </c>
      <c r="I330" s="91" t="s">
        <v>501</v>
      </c>
    </row>
    <row r="331" spans="2:9" s="91" customFormat="1" outlineLevel="1" x14ac:dyDescent="0.25">
      <c r="B331" s="376">
        <v>63900010</v>
      </c>
      <c r="C331" s="377" t="s">
        <v>232</v>
      </c>
      <c r="D331" s="377" t="s">
        <v>491</v>
      </c>
      <c r="E331" s="378" t="s">
        <v>1053</v>
      </c>
      <c r="H331" s="181">
        <f>B331</f>
        <v>63900010</v>
      </c>
      <c r="I331" s="91" t="s">
        <v>491</v>
      </c>
    </row>
    <row r="332" spans="2:9" outlineLevel="1" x14ac:dyDescent="0.25">
      <c r="B332" s="379"/>
      <c r="C332" s="380"/>
      <c r="D332" s="380"/>
      <c r="E332" s="381"/>
    </row>
    <row r="333" spans="2:9" outlineLevel="1" x14ac:dyDescent="0.25"/>
    <row r="334" spans="2:9" outlineLevel="1" x14ac:dyDescent="0.25">
      <c r="B334" s="127" t="s">
        <v>1452</v>
      </c>
      <c r="C334" s="91"/>
      <c r="D334" s="91"/>
      <c r="E334" s="91"/>
      <c r="F334" s="91"/>
    </row>
    <row r="335" spans="2:9" x14ac:dyDescent="0.25">
      <c r="B335" s="182" t="s">
        <v>1046</v>
      </c>
      <c r="C335" s="182" t="s">
        <v>1047</v>
      </c>
      <c r="D335" s="182" t="s">
        <v>1049</v>
      </c>
      <c r="E335" s="182" t="s">
        <v>1050</v>
      </c>
      <c r="H335" s="182" t="s">
        <v>1453</v>
      </c>
      <c r="I335" s="182" t="s">
        <v>1046</v>
      </c>
    </row>
    <row r="336" spans="2:9" x14ac:dyDescent="0.25">
      <c r="B336" s="161">
        <v>15000000</v>
      </c>
      <c r="C336" s="183" t="s">
        <v>638</v>
      </c>
      <c r="D336" s="161" t="s">
        <v>667</v>
      </c>
      <c r="E336" s="161" t="s">
        <v>44</v>
      </c>
      <c r="H336" s="184" t="s">
        <v>1458</v>
      </c>
      <c r="I336" s="161">
        <v>15000000</v>
      </c>
    </row>
    <row r="337" spans="2:9" x14ac:dyDescent="0.25">
      <c r="B337" s="161">
        <v>15000010</v>
      </c>
      <c r="C337" s="183" t="s">
        <v>639</v>
      </c>
      <c r="D337" s="161" t="s">
        <v>667</v>
      </c>
      <c r="E337" s="161" t="s">
        <v>44</v>
      </c>
      <c r="H337" s="184" t="s">
        <v>1459</v>
      </c>
      <c r="I337" s="161">
        <v>15000010</v>
      </c>
    </row>
    <row r="338" spans="2:9" x14ac:dyDescent="0.25">
      <c r="B338" s="161">
        <v>15000020</v>
      </c>
      <c r="C338" s="183" t="s">
        <v>640</v>
      </c>
      <c r="D338" s="161" t="s">
        <v>667</v>
      </c>
      <c r="E338" s="161" t="s">
        <v>44</v>
      </c>
      <c r="H338" s="184" t="s">
        <v>1460</v>
      </c>
      <c r="I338" s="161">
        <v>15000020</v>
      </c>
    </row>
    <row r="339" spans="2:9" x14ac:dyDescent="0.25">
      <c r="B339" s="161">
        <v>15000030</v>
      </c>
      <c r="C339" s="183" t="s">
        <v>641</v>
      </c>
      <c r="D339" s="161" t="s">
        <v>667</v>
      </c>
      <c r="E339" s="161" t="s">
        <v>44</v>
      </c>
      <c r="H339" s="184" t="s">
        <v>1461</v>
      </c>
      <c r="I339" s="161">
        <v>15000030</v>
      </c>
    </row>
    <row r="340" spans="2:9" x14ac:dyDescent="0.25">
      <c r="B340" s="161">
        <v>15000040</v>
      </c>
      <c r="C340" s="183" t="s">
        <v>642</v>
      </c>
      <c r="D340" s="161" t="s">
        <v>667</v>
      </c>
      <c r="E340" s="161" t="s">
        <v>44</v>
      </c>
      <c r="H340" s="184" t="s">
        <v>1462</v>
      </c>
      <c r="I340" s="161">
        <v>15000040</v>
      </c>
    </row>
    <row r="341" spans="2:9" x14ac:dyDescent="0.25">
      <c r="B341" s="161">
        <v>15000050</v>
      </c>
      <c r="C341" s="183" t="s">
        <v>643</v>
      </c>
      <c r="D341" s="161" t="s">
        <v>667</v>
      </c>
      <c r="E341" s="161" t="s">
        <v>44</v>
      </c>
      <c r="H341" s="184" t="s">
        <v>1463</v>
      </c>
      <c r="I341" s="161">
        <v>15000050</v>
      </c>
    </row>
    <row r="342" spans="2:9" x14ac:dyDescent="0.25">
      <c r="B342" s="161">
        <v>15000060</v>
      </c>
      <c r="C342" s="183" t="s">
        <v>644</v>
      </c>
      <c r="D342" s="161" t="s">
        <v>667</v>
      </c>
      <c r="E342" s="161" t="s">
        <v>44</v>
      </c>
      <c r="H342" s="184" t="s">
        <v>1464</v>
      </c>
      <c r="I342" s="161">
        <v>15000060</v>
      </c>
    </row>
    <row r="343" spans="2:9" x14ac:dyDescent="0.25">
      <c r="B343" s="161">
        <v>15000070</v>
      </c>
      <c r="C343" s="183" t="s">
        <v>645</v>
      </c>
      <c r="D343" s="161" t="s">
        <v>667</v>
      </c>
      <c r="E343" s="161" t="s">
        <v>44</v>
      </c>
      <c r="H343" s="184" t="s">
        <v>1465</v>
      </c>
      <c r="I343" s="161">
        <v>15000070</v>
      </c>
    </row>
    <row r="344" spans="2:9" x14ac:dyDescent="0.25">
      <c r="B344" s="161">
        <v>15000080</v>
      </c>
      <c r="C344" s="183" t="s">
        <v>646</v>
      </c>
      <c r="D344" s="161" t="s">
        <v>667</v>
      </c>
      <c r="E344" s="161" t="s">
        <v>44</v>
      </c>
      <c r="H344" s="184" t="s">
        <v>1466</v>
      </c>
      <c r="I344" s="161">
        <v>15000080</v>
      </c>
    </row>
    <row r="345" spans="2:9" x14ac:dyDescent="0.25">
      <c r="B345" s="161">
        <v>15200000</v>
      </c>
      <c r="C345" s="183" t="s">
        <v>648</v>
      </c>
      <c r="D345" s="161" t="s">
        <v>667</v>
      </c>
      <c r="E345" s="161" t="s">
        <v>44</v>
      </c>
      <c r="H345" s="184" t="s">
        <v>1467</v>
      </c>
      <c r="I345" s="161">
        <v>15200000</v>
      </c>
    </row>
    <row r="346" spans="2:9" ht="30" x14ac:dyDescent="0.25">
      <c r="B346" s="161">
        <v>15020010</v>
      </c>
      <c r="C346" s="183" t="s">
        <v>650</v>
      </c>
      <c r="D346" s="161" t="s">
        <v>303</v>
      </c>
      <c r="E346" s="161" t="s">
        <v>44</v>
      </c>
      <c r="H346" s="184">
        <v>6026</v>
      </c>
      <c r="I346" s="161">
        <v>15020010</v>
      </c>
    </row>
    <row r="347" spans="2:9" ht="30" x14ac:dyDescent="0.25">
      <c r="B347" s="161">
        <v>15020020</v>
      </c>
      <c r="C347" s="183" t="s">
        <v>651</v>
      </c>
      <c r="D347" s="161" t="s">
        <v>303</v>
      </c>
      <c r="E347" s="161" t="s">
        <v>44</v>
      </c>
      <c r="H347" s="184">
        <v>6126</v>
      </c>
      <c r="I347" s="161">
        <v>15020020</v>
      </c>
    </row>
    <row r="348" spans="2:9" ht="30" x14ac:dyDescent="0.25">
      <c r="B348" s="161">
        <v>15020030</v>
      </c>
      <c r="C348" s="183" t="s">
        <v>652</v>
      </c>
      <c r="D348" s="161" t="s">
        <v>303</v>
      </c>
      <c r="E348" s="161" t="s">
        <v>44</v>
      </c>
      <c r="H348" s="184">
        <v>6226</v>
      </c>
      <c r="I348" s="161">
        <v>15020030</v>
      </c>
    </row>
    <row r="349" spans="2:9" ht="30" x14ac:dyDescent="0.25">
      <c r="B349" s="161">
        <v>15020040</v>
      </c>
      <c r="C349" s="183" t="s">
        <v>653</v>
      </c>
      <c r="D349" s="161" t="s">
        <v>303</v>
      </c>
      <c r="E349" s="161" t="s">
        <v>44</v>
      </c>
      <c r="H349" s="184">
        <v>6326</v>
      </c>
      <c r="I349" s="161">
        <v>15020040</v>
      </c>
    </row>
    <row r="350" spans="2:9" ht="30" x14ac:dyDescent="0.25">
      <c r="B350" s="161">
        <v>15020080</v>
      </c>
      <c r="C350" s="183" t="s">
        <v>654</v>
      </c>
      <c r="D350" s="161" t="s">
        <v>303</v>
      </c>
      <c r="E350" s="161" t="s">
        <v>44</v>
      </c>
      <c r="H350" s="184">
        <v>6426</v>
      </c>
      <c r="I350" s="161">
        <v>15020080</v>
      </c>
    </row>
    <row r="351" spans="2:9" ht="30" x14ac:dyDescent="0.25">
      <c r="B351" s="185">
        <v>15020090</v>
      </c>
      <c r="C351" s="186" t="s">
        <v>704</v>
      </c>
      <c r="D351" s="161" t="s">
        <v>303</v>
      </c>
      <c r="E351" s="185" t="s">
        <v>44</v>
      </c>
      <c r="H351" s="187">
        <v>6526</v>
      </c>
      <c r="I351" s="185">
        <v>15020090</v>
      </c>
    </row>
    <row r="354" spans="2:9" s="173" customFormat="1" x14ac:dyDescent="0.25">
      <c r="B354" s="172" t="s">
        <v>1454</v>
      </c>
      <c r="H354" s="174"/>
      <c r="I354" s="174"/>
    </row>
    <row r="356" spans="2:9" x14ac:dyDescent="0.25">
      <c r="B356" s="49" t="s">
        <v>587</v>
      </c>
      <c r="C356" s="49" t="s">
        <v>710</v>
      </c>
    </row>
    <row r="357" spans="2:9" x14ac:dyDescent="0.25">
      <c r="B357" s="44" t="s">
        <v>711</v>
      </c>
      <c r="C357" s="44" t="s">
        <v>714</v>
      </c>
    </row>
    <row r="358" spans="2:9" x14ac:dyDescent="0.25">
      <c r="B358" s="44" t="s">
        <v>712</v>
      </c>
      <c r="C358" s="44" t="s">
        <v>715</v>
      </c>
    </row>
    <row r="359" spans="2:9" x14ac:dyDescent="0.25">
      <c r="B359" s="44" t="s">
        <v>713</v>
      </c>
      <c r="C359" s="44" t="s">
        <v>716</v>
      </c>
    </row>
    <row r="362" spans="2:9" s="173" customFormat="1" x14ac:dyDescent="0.25">
      <c r="B362" s="172" t="s">
        <v>717</v>
      </c>
      <c r="H362" s="174"/>
      <c r="I362" s="174"/>
    </row>
    <row r="364" spans="2:9" x14ac:dyDescent="0.25">
      <c r="B364" s="188" t="s">
        <v>666</v>
      </c>
      <c r="C364" s="188" t="s">
        <v>1455</v>
      </c>
    </row>
    <row r="365" spans="2:9" x14ac:dyDescent="0.25">
      <c r="B365" t="s">
        <v>721</v>
      </c>
      <c r="C365" t="s">
        <v>721</v>
      </c>
    </row>
    <row r="366" spans="2:9" x14ac:dyDescent="0.25">
      <c r="B366" t="s">
        <v>720</v>
      </c>
      <c r="C366" t="s">
        <v>718</v>
      </c>
    </row>
    <row r="367" spans="2:9" x14ac:dyDescent="0.25">
      <c r="B367" t="s">
        <v>718</v>
      </c>
      <c r="C367" t="s">
        <v>719</v>
      </c>
    </row>
    <row r="368" spans="2:9" x14ac:dyDescent="0.25">
      <c r="B368" t="s">
        <v>719</v>
      </c>
    </row>
    <row r="371" spans="2:9" s="173" customFormat="1" x14ac:dyDescent="0.25">
      <c r="B371" s="172" t="s">
        <v>804</v>
      </c>
      <c r="H371" s="174"/>
      <c r="I371" s="174"/>
    </row>
    <row r="372" spans="2:9" x14ac:dyDescent="0.25">
      <c r="B372" s="176" t="s">
        <v>293</v>
      </c>
    </row>
    <row r="373" spans="2:9" x14ac:dyDescent="0.25">
      <c r="B373" s="176" t="s">
        <v>727</v>
      </c>
    </row>
  </sheetData>
  <conditionalFormatting sqref="I133">
    <cfRule type="duplicateValues" dxfId="1" priority="1"/>
  </conditionalFormatting>
  <conditionalFormatting sqref="I59:I132 I134:I146">
    <cfRule type="duplicateValues" dxfId="0" priority="12"/>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151E3-B7E7-4717-BB5C-38433862BF79}">
  <dimension ref="A1:Q6"/>
  <sheetViews>
    <sheetView showGridLines="0" zoomScale="70" zoomScaleNormal="70" workbookViewId="0">
      <selection activeCell="B279" sqref="B279"/>
    </sheetView>
  </sheetViews>
  <sheetFormatPr defaultRowHeight="15" x14ac:dyDescent="0.25"/>
  <cols>
    <col min="1" max="1" width="10.42578125" bestFit="1" customWidth="1"/>
    <col min="4" max="4" width="10.42578125" bestFit="1" customWidth="1"/>
    <col min="5" max="5" width="35.7109375" bestFit="1" customWidth="1"/>
    <col min="6" max="6" width="12.140625" bestFit="1" customWidth="1"/>
    <col min="7" max="7" width="14" bestFit="1" customWidth="1"/>
    <col min="9" max="9" width="12.140625" customWidth="1"/>
    <col min="13" max="13" width="16.85546875" style="89" bestFit="1" customWidth="1"/>
    <col min="14" max="14" width="16.85546875" customWidth="1"/>
    <col min="15" max="15" width="37.140625" bestFit="1" customWidth="1"/>
    <col min="16" max="16" width="14.5703125" customWidth="1"/>
    <col min="17" max="17" width="18.140625" bestFit="1" customWidth="1"/>
  </cols>
  <sheetData>
    <row r="1" spans="1:17" x14ac:dyDescent="0.25">
      <c r="A1" s="474" t="s">
        <v>750</v>
      </c>
      <c r="B1" s="474"/>
      <c r="C1" s="474"/>
      <c r="D1" s="474"/>
      <c r="E1" s="474"/>
      <c r="F1" s="474"/>
      <c r="G1" s="474"/>
      <c r="H1" s="474"/>
      <c r="I1" s="474"/>
      <c r="J1" s="474"/>
      <c r="K1" s="474"/>
      <c r="L1" s="474"/>
      <c r="M1" s="474"/>
      <c r="N1" s="474"/>
      <c r="O1" s="474"/>
      <c r="P1" s="474"/>
      <c r="Q1" s="474"/>
    </row>
    <row r="2" spans="1:17" x14ac:dyDescent="0.25">
      <c r="D2" s="85">
        <f>SUBTOTAL(9,D3:D5)</f>
        <v>1846.2</v>
      </c>
      <c r="F2" s="70"/>
      <c r="M2" s="85">
        <f>SUBTOTAL(9,M3:M5)</f>
        <v>29000000</v>
      </c>
      <c r="N2" s="70"/>
      <c r="O2" s="70"/>
      <c r="P2" s="70"/>
    </row>
    <row r="3" spans="1:17" ht="60" x14ac:dyDescent="0.25">
      <c r="A3" s="84" t="s">
        <v>751</v>
      </c>
      <c r="B3" s="84" t="s">
        <v>752</v>
      </c>
      <c r="C3" s="84" t="s">
        <v>753</v>
      </c>
      <c r="D3" s="86" t="s">
        <v>754</v>
      </c>
      <c r="E3" s="84" t="s">
        <v>755</v>
      </c>
      <c r="F3" s="84" t="s">
        <v>756</v>
      </c>
      <c r="G3" s="84" t="s">
        <v>757</v>
      </c>
      <c r="H3" s="84" t="s">
        <v>758</v>
      </c>
      <c r="I3" s="84" t="s">
        <v>759</v>
      </c>
      <c r="J3" s="84" t="s">
        <v>760</v>
      </c>
      <c r="K3" s="84" t="s">
        <v>761</v>
      </c>
      <c r="L3" s="84" t="s">
        <v>762</v>
      </c>
      <c r="M3" s="86" t="s">
        <v>763</v>
      </c>
      <c r="N3" s="84" t="s">
        <v>792</v>
      </c>
      <c r="O3" s="84" t="s">
        <v>764</v>
      </c>
      <c r="P3" s="84" t="s">
        <v>765</v>
      </c>
      <c r="Q3" s="71" t="s">
        <v>766</v>
      </c>
    </row>
    <row r="4" spans="1:17" x14ac:dyDescent="0.25">
      <c r="A4" s="72" t="s">
        <v>767</v>
      </c>
      <c r="B4" s="79">
        <v>1</v>
      </c>
      <c r="C4" s="72" t="s">
        <v>768</v>
      </c>
      <c r="D4" s="87">
        <v>923.1</v>
      </c>
      <c r="E4" s="72" t="s">
        <v>795</v>
      </c>
      <c r="F4" s="73">
        <v>45341</v>
      </c>
      <c r="G4" s="72" t="s">
        <v>769</v>
      </c>
      <c r="H4" s="72" t="s">
        <v>770</v>
      </c>
      <c r="I4" s="73">
        <v>45341</v>
      </c>
      <c r="J4" s="72" t="s">
        <v>771</v>
      </c>
      <c r="K4" s="72" t="s">
        <v>773</v>
      </c>
      <c r="L4" s="72" t="s">
        <v>727</v>
      </c>
      <c r="M4" s="87">
        <v>14500000</v>
      </c>
      <c r="N4" s="74" t="s">
        <v>793</v>
      </c>
      <c r="O4" s="72" t="s">
        <v>774</v>
      </c>
      <c r="P4" s="75"/>
      <c r="Q4" s="75" t="s">
        <v>775</v>
      </c>
    </row>
    <row r="5" spans="1:17" x14ac:dyDescent="0.25">
      <c r="A5" s="74" t="s">
        <v>767</v>
      </c>
      <c r="B5" s="76">
        <v>1</v>
      </c>
      <c r="C5" s="74" t="s">
        <v>768</v>
      </c>
      <c r="D5" s="88">
        <v>923.1</v>
      </c>
      <c r="E5" s="72" t="s">
        <v>795</v>
      </c>
      <c r="F5" s="77">
        <v>45341</v>
      </c>
      <c r="G5" s="74" t="s">
        <v>769</v>
      </c>
      <c r="H5" s="74" t="s">
        <v>770</v>
      </c>
      <c r="I5" s="77">
        <v>45341</v>
      </c>
      <c r="J5" s="74" t="s">
        <v>772</v>
      </c>
      <c r="K5" s="74" t="s">
        <v>773</v>
      </c>
      <c r="L5" s="74" t="s">
        <v>727</v>
      </c>
      <c r="M5" s="88">
        <v>14500000</v>
      </c>
      <c r="N5" s="74" t="s">
        <v>794</v>
      </c>
      <c r="O5" s="74" t="s">
        <v>774</v>
      </c>
      <c r="P5" s="75"/>
      <c r="Q5" s="75" t="s">
        <v>775</v>
      </c>
    </row>
    <row r="6" spans="1:17" x14ac:dyDescent="0.25">
      <c r="D6" s="78"/>
      <c r="F6" s="78"/>
    </row>
  </sheetData>
  <mergeCells count="1">
    <mergeCell ref="A1:Q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Guidance (Indonesia)</vt:lpstr>
      <vt:lpstr>Guidance (English)</vt:lpstr>
      <vt:lpstr>Asset determination</vt:lpstr>
      <vt:lpstr>Guidance</vt:lpstr>
      <vt:lpstr>Cover</vt:lpstr>
      <vt:lpstr>Budget Capex Detail</vt:lpstr>
      <vt:lpstr>Budget Opex Detail</vt:lpstr>
      <vt:lpstr>Activity Master Opex</vt:lpstr>
      <vt:lpstr>Calculation</vt:lpstr>
      <vt:lpstr>Master Data</vt:lpstr>
      <vt:lpstr>Realisation Capex 2024</vt:lpstr>
      <vt:lpstr>'Budget Capex Detail'!_FilterDatabase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Safitri Nur Andhini</dc:creator>
  <cp:lastModifiedBy>Nur Qomariyah</cp:lastModifiedBy>
  <dcterms:created xsi:type="dcterms:W3CDTF">2023-07-25T08:22:13Z</dcterms:created>
  <dcterms:modified xsi:type="dcterms:W3CDTF">2025-08-04T04:45:55Z</dcterms:modified>
</cp:coreProperties>
</file>